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C:\Users\Admin\PycharmProjects\tatneft\media\"/>
    </mc:Choice>
  </mc:AlternateContent>
  <bookViews>
    <workbookView xWindow="0" yWindow="0" windowWidth="20490" windowHeight="7455" tabRatio="852" activeTab="5"/>
  </bookViews>
  <sheets>
    <sheet name="Продажи" sheetId="20" r:id="rId1"/>
    <sheet name="Конструкторы" sheetId="3" r:id="rId2"/>
    <sheet name="Производство" sheetId="14" r:id="rId3"/>
    <sheet name="Технологи" sheetId="1" r:id="rId4"/>
    <sheet name="Обеспечение" sheetId="17" r:id="rId5"/>
    <sheet name="Потребность профиль" sheetId="11" r:id="rId6"/>
    <sheet name="Лист1" sheetId="21" r:id="rId7"/>
  </sheets>
  <externalReferences>
    <externalReference r:id="rId8"/>
    <externalReference r:id="rId9"/>
    <externalReference r:id="rId10"/>
  </externalReferences>
  <definedNames>
    <definedName name="_xlnm._FilterDatabase" localSheetId="1" hidden="1">Конструкторы!$A$5:$T$1277</definedName>
    <definedName name="_xlnm._FilterDatabase" localSheetId="4" hidden="1">Обеспечение!$B$183:$O$195</definedName>
    <definedName name="_xlnm._FilterDatabase" localSheetId="0" hidden="1">Продажи!$A$367:$Q$1114</definedName>
    <definedName name="_xlnm._FilterDatabase" localSheetId="3" hidden="1">Технологи!$C$4:$T$552</definedName>
    <definedName name="AI_Version">[1]Options!$B$5</definedName>
    <definedName name="CalcMethod">[1]Проект!$B$77</definedName>
    <definedName name="IS_DEMO">[1]Options!$B$7</definedName>
    <definedName name="IS_ESTATE">[1]Options!$B$11</definedName>
    <definedName name="IS_SUMM">[1]Options!$B$10</definedName>
    <definedName name="IS_TRIAL">[1]Options!$B$8</definedName>
    <definedName name="LanguageID">[1]Language!$A$2</definedName>
    <definedName name="PORT_PrjPeriods">[1]Портфель!$A$28</definedName>
    <definedName name="_xlnm.Criteria" localSheetId="4">Обеспечение!$C$184:$C$195</definedName>
    <definedName name="Линии">[2]!Таблица1[линии]</definedName>
    <definedName name="Продукция">Продажи!$D$5:$D$359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47" i="20" l="1"/>
  <c r="D1267" i="3"/>
  <c r="D1268" i="3"/>
  <c r="D1269" i="3"/>
  <c r="D1270" i="3"/>
  <c r="D1271" i="3"/>
  <c r="D1272" i="3"/>
  <c r="D1273" i="3"/>
  <c r="D1274" i="3"/>
  <c r="D1275" i="3"/>
  <c r="D1266" i="3"/>
  <c r="AQ5" i="11"/>
  <c r="I1277" i="3"/>
  <c r="J1277" i="3"/>
  <c r="K1277" i="3"/>
  <c r="L1277" i="3"/>
  <c r="M1277" i="3"/>
  <c r="N1277" i="3"/>
  <c r="O1277" i="3"/>
  <c r="P1277" i="3"/>
  <c r="Q1277" i="3"/>
  <c r="R1277" i="3"/>
  <c r="S1277" i="3"/>
  <c r="T1277" i="3"/>
  <c r="D1256" i="3"/>
  <c r="D1257" i="3"/>
  <c r="D1258" i="3"/>
  <c r="D1259" i="3"/>
  <c r="D1260" i="3"/>
  <c r="D1261" i="3"/>
  <c r="D1262" i="3"/>
  <c r="D1263" i="3"/>
  <c r="D1264" i="3"/>
  <c r="D1265" i="3"/>
  <c r="I656" i="20"/>
  <c r="AQ3" i="11"/>
  <c r="BC3" i="11" s="1"/>
  <c r="BO3" i="11" s="1"/>
  <c r="CA3" i="11" s="1"/>
  <c r="AR3" i="11"/>
  <c r="BD3" i="11" s="1"/>
  <c r="BP3" i="11" s="1"/>
  <c r="CB3" i="11" s="1"/>
  <c r="AS3" i="11"/>
  <c r="BE3" i="11" s="1"/>
  <c r="BQ3" i="11" s="1"/>
  <c r="CC3" i="11" s="1"/>
  <c r="AT3" i="11"/>
  <c r="BF3" i="11" s="1"/>
  <c r="BR3" i="11" s="1"/>
  <c r="CD3" i="11" s="1"/>
  <c r="AU3" i="11"/>
  <c r="BG3" i="11" s="1"/>
  <c r="BS3" i="11" s="1"/>
  <c r="CE3" i="11" s="1"/>
  <c r="AV3" i="11"/>
  <c r="BH3" i="11" s="1"/>
  <c r="BT3" i="11" s="1"/>
  <c r="CF3" i="11" s="1"/>
  <c r="AW3" i="11"/>
  <c r="BI3" i="11" s="1"/>
  <c r="BU3" i="11" s="1"/>
  <c r="CG3" i="11" s="1"/>
  <c r="AX3" i="11"/>
  <c r="BJ3" i="11" s="1"/>
  <c r="BV3" i="11" s="1"/>
  <c r="CH3" i="11" s="1"/>
  <c r="AY3" i="11"/>
  <c r="BK3" i="11" s="1"/>
  <c r="BW3" i="11" s="1"/>
  <c r="CI3" i="11" s="1"/>
  <c r="AZ3" i="11"/>
  <c r="BL3" i="11" s="1"/>
  <c r="BX3" i="11" s="1"/>
  <c r="CJ3" i="11" s="1"/>
  <c r="BA3" i="11"/>
  <c r="BM3" i="11" s="1"/>
  <c r="BY3" i="11" s="1"/>
  <c r="CK3" i="11" s="1"/>
  <c r="AP3" i="11"/>
  <c r="BB3" i="11" s="1"/>
  <c r="BN3" i="11" s="1"/>
  <c r="BZ3" i="11" s="1"/>
  <c r="AE3" i="11"/>
  <c r="AF3" i="11"/>
  <c r="AG3" i="11"/>
  <c r="AH3" i="11"/>
  <c r="AI3" i="11"/>
  <c r="AJ3" i="11"/>
  <c r="AK3" i="11"/>
  <c r="AL3" i="11"/>
  <c r="AM3" i="11"/>
  <c r="AN3" i="11"/>
  <c r="AO3" i="11"/>
  <c r="AD3" i="11"/>
  <c r="S3" i="11"/>
  <c r="T3" i="11"/>
  <c r="U3" i="11"/>
  <c r="V3" i="11"/>
  <c r="W3" i="11"/>
  <c r="X3" i="11"/>
  <c r="Y3" i="11"/>
  <c r="Z3" i="11"/>
  <c r="AA3" i="11"/>
  <c r="AB3" i="11"/>
  <c r="AC3" i="11"/>
  <c r="R3" i="11"/>
  <c r="G3" i="11"/>
  <c r="H3" i="11"/>
  <c r="I3" i="11"/>
  <c r="J3" i="11"/>
  <c r="K3" i="11"/>
  <c r="L3" i="11"/>
  <c r="M3" i="11"/>
  <c r="N3" i="11"/>
  <c r="O3" i="11"/>
  <c r="P3" i="11"/>
  <c r="Q3" i="11"/>
  <c r="H811" i="20" l="1"/>
  <c r="G681" i="20" l="1"/>
  <c r="H681" i="20"/>
  <c r="G682" i="20"/>
  <c r="H682" i="20"/>
  <c r="G683" i="20"/>
  <c r="H683" i="20"/>
  <c r="I683" i="20" s="1"/>
  <c r="G684" i="20"/>
  <c r="H684" i="20"/>
  <c r="I684" i="20" s="1"/>
  <c r="I681" i="20" l="1"/>
  <c r="I682" i="20"/>
  <c r="H735" i="20" l="1"/>
  <c r="G735" i="20"/>
  <c r="H734" i="20"/>
  <c r="G734" i="20"/>
  <c r="H733" i="20"/>
  <c r="G733" i="20"/>
  <c r="H680" i="20"/>
  <c r="G680" i="20"/>
  <c r="H679" i="20"/>
  <c r="G679" i="20"/>
  <c r="H678" i="20"/>
  <c r="G678" i="20"/>
  <c r="G619" i="20"/>
  <c r="H619" i="20"/>
  <c r="G620" i="20"/>
  <c r="H620" i="20"/>
  <c r="G621" i="20"/>
  <c r="H621" i="20"/>
  <c r="G622" i="20"/>
  <c r="H622" i="20"/>
  <c r="G623" i="20"/>
  <c r="H623" i="20"/>
  <c r="G624" i="20"/>
  <c r="H624" i="20"/>
  <c r="G625" i="20"/>
  <c r="H625" i="20"/>
  <c r="G626" i="20"/>
  <c r="H626" i="20"/>
  <c r="I625" i="20" l="1"/>
  <c r="I626" i="20"/>
  <c r="I623" i="20"/>
  <c r="I624" i="20"/>
  <c r="I622" i="20"/>
  <c r="I621" i="20"/>
  <c r="I735" i="20"/>
  <c r="I734" i="20"/>
  <c r="I733" i="20"/>
  <c r="I680" i="20"/>
  <c r="I679" i="20"/>
  <c r="I678" i="20"/>
  <c r="I620" i="20"/>
  <c r="I619" i="20"/>
  <c r="H704" i="20"/>
  <c r="G676" i="20" l="1"/>
  <c r="H676" i="20"/>
  <c r="I676" i="20" s="1"/>
  <c r="H693" i="20" l="1"/>
  <c r="I693" i="20" s="1"/>
  <c r="F692" i="20"/>
  <c r="F675" i="20"/>
  <c r="G675" i="20" s="1"/>
  <c r="F674" i="20"/>
  <c r="F677" i="20"/>
  <c r="F673" i="20"/>
  <c r="H675" i="20"/>
  <c r="F703" i="20"/>
  <c r="G534" i="20"/>
  <c r="H534" i="20"/>
  <c r="G535" i="20"/>
  <c r="H535" i="20"/>
  <c r="G536" i="20"/>
  <c r="H536" i="20"/>
  <c r="G537" i="20"/>
  <c r="H537" i="20"/>
  <c r="G538" i="20"/>
  <c r="H538" i="20"/>
  <c r="I535" i="20" l="1"/>
  <c r="I538" i="20"/>
  <c r="I537" i="20"/>
  <c r="I536" i="20"/>
  <c r="I534" i="20"/>
  <c r="I675" i="20"/>
  <c r="G539" i="20"/>
  <c r="H539" i="20"/>
  <c r="G540" i="20"/>
  <c r="H540" i="20"/>
  <c r="G541" i="20"/>
  <c r="H541" i="20"/>
  <c r="G542" i="20"/>
  <c r="H542" i="20"/>
  <c r="G543" i="20"/>
  <c r="H543" i="20"/>
  <c r="G544" i="20"/>
  <c r="H544" i="20"/>
  <c r="G545" i="20"/>
  <c r="H545" i="20"/>
  <c r="G546" i="20"/>
  <c r="H546" i="20"/>
  <c r="H529" i="20"/>
  <c r="H530" i="20"/>
  <c r="H531" i="20"/>
  <c r="H532" i="20"/>
  <c r="H533" i="20"/>
  <c r="G533" i="20"/>
  <c r="G531" i="20"/>
  <c r="G530" i="20"/>
  <c r="G529" i="20"/>
  <c r="G525" i="20"/>
  <c r="H525" i="20"/>
  <c r="G526" i="20"/>
  <c r="H526" i="20"/>
  <c r="G527" i="20"/>
  <c r="H527" i="20"/>
  <c r="G528" i="20"/>
  <c r="H528" i="20"/>
  <c r="G511" i="20"/>
  <c r="H511" i="20"/>
  <c r="G512" i="20"/>
  <c r="H512" i="20"/>
  <c r="G513" i="20"/>
  <c r="H513" i="20"/>
  <c r="G514" i="20"/>
  <c r="H514" i="20"/>
  <c r="G515" i="20"/>
  <c r="H515" i="20"/>
  <c r="G516" i="20"/>
  <c r="H516" i="20"/>
  <c r="G517" i="20"/>
  <c r="H517" i="20"/>
  <c r="G518" i="20"/>
  <c r="H518" i="20"/>
  <c r="I547" i="20"/>
  <c r="H548" i="20"/>
  <c r="I548" i="20" s="1"/>
  <c r="H549" i="20"/>
  <c r="I549" i="20" s="1"/>
  <c r="H550" i="20"/>
  <c r="I550" i="20" s="1"/>
  <c r="H551" i="20"/>
  <c r="I551" i="20" s="1"/>
  <c r="H552" i="20"/>
  <c r="I552" i="20" s="1"/>
  <c r="H553" i="20"/>
  <c r="I553" i="20" s="1"/>
  <c r="H554" i="20"/>
  <c r="I554" i="20" s="1"/>
  <c r="H555" i="20"/>
  <c r="I555" i="20" s="1"/>
  <c r="H556" i="20"/>
  <c r="I556" i="20" s="1"/>
  <c r="H557" i="20"/>
  <c r="I557" i="20" s="1"/>
  <c r="H558" i="20"/>
  <c r="I558" i="20" s="1"/>
  <c r="H559" i="20"/>
  <c r="I559" i="20" s="1"/>
  <c r="H560" i="20"/>
  <c r="I560" i="20" s="1"/>
  <c r="H561" i="20"/>
  <c r="I561" i="20" s="1"/>
  <c r="H562" i="20"/>
  <c r="I562" i="20" s="1"/>
  <c r="H563" i="20"/>
  <c r="I563" i="20" s="1"/>
  <c r="H564" i="20"/>
  <c r="I564" i="20" s="1"/>
  <c r="H565" i="20"/>
  <c r="I565" i="20" s="1"/>
  <c r="H566" i="20"/>
  <c r="I566" i="20" s="1"/>
  <c r="H567" i="20"/>
  <c r="I567" i="20" s="1"/>
  <c r="H568" i="20"/>
  <c r="I568" i="20" s="1"/>
  <c r="H569" i="20"/>
  <c r="I569" i="20" s="1"/>
  <c r="H570" i="20"/>
  <c r="I570" i="20" s="1"/>
  <c r="H571" i="20"/>
  <c r="I571" i="20" s="1"/>
  <c r="H572" i="20"/>
  <c r="I572" i="20" s="1"/>
  <c r="H573" i="20"/>
  <c r="I573" i="20" s="1"/>
  <c r="H574" i="20"/>
  <c r="I574" i="20" s="1"/>
  <c r="H575" i="20"/>
  <c r="I575" i="20" s="1"/>
  <c r="H576" i="20"/>
  <c r="I576" i="20" s="1"/>
  <c r="H577" i="20"/>
  <c r="I577" i="20" s="1"/>
  <c r="H578" i="20"/>
  <c r="I578" i="20" s="1"/>
  <c r="I540" i="20" l="1"/>
  <c r="I546" i="20"/>
  <c r="I542" i="20"/>
  <c r="I543" i="20"/>
  <c r="I539" i="20"/>
  <c r="I545" i="20"/>
  <c r="I541" i="20"/>
  <c r="I527" i="20"/>
  <c r="I525" i="20"/>
  <c r="I531" i="20"/>
  <c r="I530" i="20"/>
  <c r="I528" i="20"/>
  <c r="I526" i="20"/>
  <c r="I533" i="20"/>
  <c r="I529" i="20"/>
  <c r="I544" i="20"/>
  <c r="I518" i="20"/>
  <c r="I517" i="20"/>
  <c r="I515" i="20"/>
  <c r="I514" i="20"/>
  <c r="I513" i="20"/>
  <c r="I516" i="20"/>
  <c r="I512" i="20"/>
  <c r="I511" i="20"/>
  <c r="H586" i="20" l="1"/>
  <c r="I586" i="20" s="1"/>
  <c r="F348" i="20" l="1"/>
  <c r="G348" i="20"/>
  <c r="H348" i="20"/>
  <c r="I348" i="20"/>
  <c r="J348" i="20"/>
  <c r="K348" i="20"/>
  <c r="L348" i="20"/>
  <c r="M348" i="20"/>
  <c r="N348" i="20"/>
  <c r="O348" i="20"/>
  <c r="P348" i="20"/>
  <c r="Q348" i="20"/>
  <c r="F349" i="20"/>
  <c r="G349" i="20"/>
  <c r="H349" i="20"/>
  <c r="I349" i="20"/>
  <c r="J349" i="20"/>
  <c r="K349" i="20"/>
  <c r="L349" i="20"/>
  <c r="M349" i="20"/>
  <c r="N349" i="20"/>
  <c r="O349" i="20"/>
  <c r="P349" i="20"/>
  <c r="Q349" i="20"/>
  <c r="F350" i="20"/>
  <c r="G350" i="20"/>
  <c r="H350" i="20"/>
  <c r="I350" i="20"/>
  <c r="J350" i="20"/>
  <c r="K350" i="20"/>
  <c r="L350" i="20"/>
  <c r="M350" i="20"/>
  <c r="N350" i="20"/>
  <c r="O350" i="20"/>
  <c r="P350" i="20"/>
  <c r="Q350" i="20"/>
  <c r="F351" i="20"/>
  <c r="G351" i="20"/>
  <c r="H351" i="20"/>
  <c r="I351" i="20"/>
  <c r="J351" i="20"/>
  <c r="K351" i="20"/>
  <c r="L351" i="20"/>
  <c r="M351" i="20"/>
  <c r="N351" i="20"/>
  <c r="O351" i="20"/>
  <c r="P351" i="20"/>
  <c r="Q351" i="20"/>
  <c r="F352" i="20"/>
  <c r="G352" i="20"/>
  <c r="H352" i="20"/>
  <c r="I352" i="20"/>
  <c r="J352" i="20"/>
  <c r="K352" i="20"/>
  <c r="L352" i="20"/>
  <c r="M352" i="20"/>
  <c r="N352" i="20"/>
  <c r="O352" i="20"/>
  <c r="P352" i="20"/>
  <c r="Q352" i="20"/>
  <c r="F353" i="20"/>
  <c r="G353" i="20"/>
  <c r="H353" i="20"/>
  <c r="I353" i="20"/>
  <c r="J353" i="20"/>
  <c r="K353" i="20"/>
  <c r="L353" i="20"/>
  <c r="M353" i="20"/>
  <c r="N353" i="20"/>
  <c r="O353" i="20"/>
  <c r="P353" i="20"/>
  <c r="Q353" i="20"/>
  <c r="F354" i="20"/>
  <c r="I1265" i="3" s="1"/>
  <c r="G354" i="20"/>
  <c r="J1265" i="3" s="1"/>
  <c r="H354" i="20"/>
  <c r="K1265" i="3" s="1"/>
  <c r="I354" i="20"/>
  <c r="L1265" i="3" s="1"/>
  <c r="J354" i="20"/>
  <c r="M1265" i="3" s="1"/>
  <c r="K354" i="20"/>
  <c r="N1265" i="3" s="1"/>
  <c r="L354" i="20"/>
  <c r="O1265" i="3" s="1"/>
  <c r="M354" i="20"/>
  <c r="P1265" i="3" s="1"/>
  <c r="N354" i="20"/>
  <c r="Q1265" i="3" s="1"/>
  <c r="O354" i="20"/>
  <c r="R1265" i="3" s="1"/>
  <c r="P354" i="20"/>
  <c r="S1265" i="3" s="1"/>
  <c r="Q354" i="20"/>
  <c r="T1265" i="3" s="1"/>
  <c r="F359" i="20"/>
  <c r="G359" i="20"/>
  <c r="H359" i="20"/>
  <c r="I359" i="20"/>
  <c r="J359" i="20"/>
  <c r="K359" i="20"/>
  <c r="L359" i="20"/>
  <c r="M359" i="20"/>
  <c r="N359" i="20"/>
  <c r="O359" i="20"/>
  <c r="P359" i="20"/>
  <c r="Q359" i="20"/>
  <c r="G347" i="20"/>
  <c r="H347" i="20"/>
  <c r="I347" i="20"/>
  <c r="J347" i="20"/>
  <c r="K347" i="20"/>
  <c r="L347" i="20"/>
  <c r="M347" i="20"/>
  <c r="N347" i="20"/>
  <c r="O347" i="20"/>
  <c r="P347" i="20"/>
  <c r="Q347" i="20"/>
  <c r="F347" i="20"/>
  <c r="F334" i="20"/>
  <c r="G334" i="20"/>
  <c r="H334" i="20"/>
  <c r="I334" i="20"/>
  <c r="J334" i="20"/>
  <c r="K334" i="20"/>
  <c r="L334" i="20"/>
  <c r="M334" i="20"/>
  <c r="N334" i="20"/>
  <c r="O334" i="20"/>
  <c r="P334" i="20"/>
  <c r="Q334" i="20"/>
  <c r="F335" i="20"/>
  <c r="G335" i="20"/>
  <c r="H335" i="20"/>
  <c r="I335" i="20"/>
  <c r="J335" i="20"/>
  <c r="K335" i="20"/>
  <c r="L335" i="20"/>
  <c r="M335" i="20"/>
  <c r="N335" i="20"/>
  <c r="O335" i="20"/>
  <c r="P335" i="20"/>
  <c r="Q335" i="20"/>
  <c r="F336" i="20"/>
  <c r="G336" i="20"/>
  <c r="H336" i="20"/>
  <c r="I336" i="20"/>
  <c r="J336" i="20"/>
  <c r="K336" i="20"/>
  <c r="L336" i="20"/>
  <c r="M336" i="20"/>
  <c r="N336" i="20"/>
  <c r="O336" i="20"/>
  <c r="P336" i="20"/>
  <c r="Q336" i="20"/>
  <c r="F337" i="20"/>
  <c r="G337" i="20"/>
  <c r="H337" i="20"/>
  <c r="I337" i="20"/>
  <c r="J337" i="20"/>
  <c r="K337" i="20"/>
  <c r="L337" i="20"/>
  <c r="M337" i="20"/>
  <c r="N337" i="20"/>
  <c r="O337" i="20"/>
  <c r="P337" i="20"/>
  <c r="Q337" i="20"/>
  <c r="F338" i="20"/>
  <c r="G338" i="20"/>
  <c r="H338" i="20"/>
  <c r="I338" i="20"/>
  <c r="J338" i="20"/>
  <c r="K338" i="20"/>
  <c r="L338" i="20"/>
  <c r="M338" i="20"/>
  <c r="N338" i="20"/>
  <c r="O338" i="20"/>
  <c r="P338" i="20"/>
  <c r="Q338" i="20"/>
  <c r="F339" i="20"/>
  <c r="G339" i="20"/>
  <c r="H339" i="20"/>
  <c r="I339" i="20"/>
  <c r="J339" i="20"/>
  <c r="K339" i="20"/>
  <c r="L339" i="20"/>
  <c r="M339" i="20"/>
  <c r="N339" i="20"/>
  <c r="O339" i="20"/>
  <c r="P339" i="20"/>
  <c r="Q339" i="20"/>
  <c r="F340" i="20"/>
  <c r="G340" i="20"/>
  <c r="H340" i="20"/>
  <c r="I340" i="20"/>
  <c r="J340" i="20"/>
  <c r="K340" i="20"/>
  <c r="L340" i="20"/>
  <c r="M340" i="20"/>
  <c r="N340" i="20"/>
  <c r="O340" i="20"/>
  <c r="P340" i="20"/>
  <c r="Q340" i="20"/>
  <c r="F341" i="20"/>
  <c r="G341" i="20"/>
  <c r="H341" i="20"/>
  <c r="I341" i="20"/>
  <c r="J341" i="20"/>
  <c r="K341" i="20"/>
  <c r="L341" i="20"/>
  <c r="M341" i="20"/>
  <c r="N341" i="20"/>
  <c r="O341" i="20"/>
  <c r="P341" i="20"/>
  <c r="Q341" i="20"/>
  <c r="F342" i="20"/>
  <c r="G342" i="20"/>
  <c r="H342" i="20"/>
  <c r="I342" i="20"/>
  <c r="J342" i="20"/>
  <c r="K342" i="20"/>
  <c r="L342" i="20"/>
  <c r="M342" i="20"/>
  <c r="N342" i="20"/>
  <c r="O342" i="20"/>
  <c r="P342" i="20"/>
  <c r="Q342" i="20"/>
  <c r="F343" i="20"/>
  <c r="G343" i="20"/>
  <c r="H343" i="20"/>
  <c r="I343" i="20"/>
  <c r="J343" i="20"/>
  <c r="K343" i="20"/>
  <c r="L343" i="20"/>
  <c r="M343" i="20"/>
  <c r="N343" i="20"/>
  <c r="O343" i="20"/>
  <c r="P343" i="20"/>
  <c r="Q343" i="20"/>
  <c r="F344" i="20"/>
  <c r="G344" i="20"/>
  <c r="H344" i="20"/>
  <c r="I344" i="20"/>
  <c r="J344" i="20"/>
  <c r="K344" i="20"/>
  <c r="L344" i="20"/>
  <c r="M344" i="20"/>
  <c r="N344" i="20"/>
  <c r="O344" i="20"/>
  <c r="P344" i="20"/>
  <c r="Q344" i="20"/>
  <c r="F345" i="20"/>
  <c r="G345" i="20"/>
  <c r="H345" i="20"/>
  <c r="I345" i="20"/>
  <c r="J345" i="20"/>
  <c r="K345" i="20"/>
  <c r="L345" i="20"/>
  <c r="M345" i="20"/>
  <c r="N345" i="20"/>
  <c r="O345" i="20"/>
  <c r="P345" i="20"/>
  <c r="Q345" i="20"/>
  <c r="F346" i="20"/>
  <c r="G346" i="20"/>
  <c r="H346" i="20"/>
  <c r="I346" i="20"/>
  <c r="J346" i="20"/>
  <c r="K346" i="20"/>
  <c r="L346" i="20"/>
  <c r="M346" i="20"/>
  <c r="N346" i="20"/>
  <c r="O346" i="20"/>
  <c r="P346" i="20"/>
  <c r="Q346" i="20"/>
  <c r="G333" i="20"/>
  <c r="H333" i="20"/>
  <c r="I333" i="20"/>
  <c r="J333" i="20"/>
  <c r="K333" i="20"/>
  <c r="L333" i="20"/>
  <c r="M333" i="20"/>
  <c r="N333" i="20"/>
  <c r="O333" i="20"/>
  <c r="P333" i="20"/>
  <c r="Q333" i="20"/>
  <c r="F333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F69" i="20"/>
  <c r="G69" i="20"/>
  <c r="H69" i="20"/>
  <c r="I69" i="20"/>
  <c r="J69" i="20"/>
  <c r="K69" i="20"/>
  <c r="L69" i="20"/>
  <c r="M69" i="20"/>
  <c r="N69" i="20"/>
  <c r="O69" i="20"/>
  <c r="P69" i="20"/>
  <c r="Q69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F71" i="20"/>
  <c r="G71" i="20"/>
  <c r="H71" i="20"/>
  <c r="I71" i="20"/>
  <c r="J71" i="20"/>
  <c r="K71" i="20"/>
  <c r="L71" i="20"/>
  <c r="M71" i="20"/>
  <c r="N71" i="20"/>
  <c r="O71" i="20"/>
  <c r="P71" i="20"/>
  <c r="Q71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F74" i="20"/>
  <c r="G74" i="20"/>
  <c r="H74" i="20"/>
  <c r="I74" i="20"/>
  <c r="J74" i="20"/>
  <c r="K74" i="20"/>
  <c r="L74" i="20"/>
  <c r="M74" i="20"/>
  <c r="N74" i="20"/>
  <c r="O74" i="20"/>
  <c r="P74" i="20"/>
  <c r="Q74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F79" i="20"/>
  <c r="G79" i="20"/>
  <c r="H79" i="20"/>
  <c r="I79" i="20"/>
  <c r="J79" i="20"/>
  <c r="K79" i="20"/>
  <c r="L79" i="20"/>
  <c r="M79" i="20"/>
  <c r="N79" i="20"/>
  <c r="O79" i="20"/>
  <c r="P79" i="20"/>
  <c r="Q79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F82" i="20"/>
  <c r="G82" i="20"/>
  <c r="H82" i="20"/>
  <c r="I82" i="20"/>
  <c r="J82" i="20"/>
  <c r="K82" i="20"/>
  <c r="L82" i="20"/>
  <c r="M82" i="20"/>
  <c r="N82" i="20"/>
  <c r="O82" i="20"/>
  <c r="P82" i="20"/>
  <c r="Q82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F84" i="20"/>
  <c r="G84" i="20"/>
  <c r="H84" i="20"/>
  <c r="I84" i="20"/>
  <c r="J84" i="20"/>
  <c r="K84" i="20"/>
  <c r="L84" i="20"/>
  <c r="M84" i="20"/>
  <c r="N84" i="20"/>
  <c r="O84" i="20"/>
  <c r="P84" i="20"/>
  <c r="Q84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F86" i="20"/>
  <c r="G86" i="20"/>
  <c r="H86" i="20"/>
  <c r="I86" i="20"/>
  <c r="J86" i="20"/>
  <c r="K86" i="20"/>
  <c r="L86" i="20"/>
  <c r="M86" i="20"/>
  <c r="N86" i="20"/>
  <c r="O86" i="20"/>
  <c r="P86" i="20"/>
  <c r="Q86" i="20"/>
  <c r="F87" i="20"/>
  <c r="G87" i="20"/>
  <c r="H87" i="20"/>
  <c r="I87" i="20"/>
  <c r="J87" i="20"/>
  <c r="K87" i="20"/>
  <c r="L87" i="20"/>
  <c r="M87" i="20"/>
  <c r="N87" i="20"/>
  <c r="O87" i="20"/>
  <c r="P87" i="20"/>
  <c r="Q87" i="20"/>
  <c r="F88" i="20"/>
  <c r="G88" i="20"/>
  <c r="H88" i="20"/>
  <c r="I88" i="20"/>
  <c r="J88" i="20"/>
  <c r="K88" i="20"/>
  <c r="L88" i="20"/>
  <c r="M88" i="20"/>
  <c r="N88" i="20"/>
  <c r="O88" i="20"/>
  <c r="P88" i="20"/>
  <c r="Q88" i="20"/>
  <c r="F89" i="20"/>
  <c r="G89" i="20"/>
  <c r="H89" i="20"/>
  <c r="I89" i="20"/>
  <c r="J89" i="20"/>
  <c r="K89" i="20"/>
  <c r="L89" i="20"/>
  <c r="M89" i="20"/>
  <c r="N89" i="20"/>
  <c r="O89" i="20"/>
  <c r="P89" i="20"/>
  <c r="Q89" i="20"/>
  <c r="F90" i="20"/>
  <c r="G90" i="20"/>
  <c r="H90" i="20"/>
  <c r="I90" i="20"/>
  <c r="J90" i="20"/>
  <c r="K90" i="20"/>
  <c r="L90" i="20"/>
  <c r="M90" i="20"/>
  <c r="N90" i="20"/>
  <c r="O90" i="20"/>
  <c r="P90" i="20"/>
  <c r="Q90" i="20"/>
  <c r="F91" i="20"/>
  <c r="G91" i="20"/>
  <c r="H91" i="20"/>
  <c r="I91" i="20"/>
  <c r="J91" i="20"/>
  <c r="K91" i="20"/>
  <c r="L91" i="20"/>
  <c r="M91" i="20"/>
  <c r="N91" i="20"/>
  <c r="O91" i="20"/>
  <c r="P91" i="20"/>
  <c r="Q91" i="20"/>
  <c r="F92" i="20"/>
  <c r="G92" i="20"/>
  <c r="H92" i="20"/>
  <c r="I92" i="20"/>
  <c r="J92" i="20"/>
  <c r="K92" i="20"/>
  <c r="L92" i="20"/>
  <c r="M92" i="20"/>
  <c r="N92" i="20"/>
  <c r="O92" i="20"/>
  <c r="P92" i="20"/>
  <c r="Q92" i="20"/>
  <c r="F93" i="20"/>
  <c r="G93" i="20"/>
  <c r="H93" i="20"/>
  <c r="I93" i="20"/>
  <c r="J93" i="20"/>
  <c r="K93" i="20"/>
  <c r="L93" i="20"/>
  <c r="M93" i="20"/>
  <c r="N93" i="20"/>
  <c r="O93" i="20"/>
  <c r="P93" i="20"/>
  <c r="Q93" i="20"/>
  <c r="F94" i="20"/>
  <c r="G94" i="20"/>
  <c r="H94" i="20"/>
  <c r="I94" i="20"/>
  <c r="J94" i="20"/>
  <c r="K94" i="20"/>
  <c r="L94" i="20"/>
  <c r="M94" i="20"/>
  <c r="N94" i="20"/>
  <c r="O94" i="20"/>
  <c r="P94" i="20"/>
  <c r="Q94" i="20"/>
  <c r="F95" i="20"/>
  <c r="G95" i="20"/>
  <c r="H95" i="20"/>
  <c r="I95" i="20"/>
  <c r="J95" i="20"/>
  <c r="K95" i="20"/>
  <c r="L95" i="20"/>
  <c r="M95" i="20"/>
  <c r="N95" i="20"/>
  <c r="O95" i="20"/>
  <c r="P95" i="20"/>
  <c r="Q95" i="20"/>
  <c r="F96" i="20"/>
  <c r="G96" i="20"/>
  <c r="H96" i="20"/>
  <c r="I96" i="20"/>
  <c r="J96" i="20"/>
  <c r="K96" i="20"/>
  <c r="L96" i="20"/>
  <c r="M96" i="20"/>
  <c r="N96" i="20"/>
  <c r="O96" i="20"/>
  <c r="P96" i="20"/>
  <c r="Q96" i="20"/>
  <c r="F97" i="20"/>
  <c r="G97" i="20"/>
  <c r="H97" i="20"/>
  <c r="I97" i="20"/>
  <c r="J97" i="20"/>
  <c r="K97" i="20"/>
  <c r="L97" i="20"/>
  <c r="M97" i="20"/>
  <c r="N97" i="20"/>
  <c r="O97" i="20"/>
  <c r="P97" i="20"/>
  <c r="Q97" i="20"/>
  <c r="F98" i="20"/>
  <c r="G98" i="20"/>
  <c r="H98" i="20"/>
  <c r="I98" i="20"/>
  <c r="J98" i="20"/>
  <c r="K98" i="20"/>
  <c r="L98" i="20"/>
  <c r="M98" i="20"/>
  <c r="N98" i="20"/>
  <c r="O98" i="20"/>
  <c r="P98" i="20"/>
  <c r="Q98" i="20"/>
  <c r="F99" i="20"/>
  <c r="G99" i="20"/>
  <c r="H99" i="20"/>
  <c r="I99" i="20"/>
  <c r="J99" i="20"/>
  <c r="K99" i="20"/>
  <c r="L99" i="20"/>
  <c r="M99" i="20"/>
  <c r="N99" i="20"/>
  <c r="O99" i="20"/>
  <c r="P99" i="20"/>
  <c r="Q99" i="20"/>
  <c r="F100" i="20"/>
  <c r="G100" i="20"/>
  <c r="H100" i="20"/>
  <c r="I100" i="20"/>
  <c r="J100" i="20"/>
  <c r="K100" i="20"/>
  <c r="L100" i="20"/>
  <c r="M100" i="20"/>
  <c r="N100" i="20"/>
  <c r="O100" i="20"/>
  <c r="P100" i="20"/>
  <c r="Q100" i="20"/>
  <c r="F101" i="20"/>
  <c r="G101" i="20"/>
  <c r="H101" i="20"/>
  <c r="I101" i="20"/>
  <c r="J101" i="20"/>
  <c r="K101" i="20"/>
  <c r="L101" i="20"/>
  <c r="M101" i="20"/>
  <c r="N101" i="20"/>
  <c r="O101" i="20"/>
  <c r="P101" i="20"/>
  <c r="Q101" i="20"/>
  <c r="F102" i="20"/>
  <c r="G102" i="20"/>
  <c r="H102" i="20"/>
  <c r="I102" i="20"/>
  <c r="J102" i="20"/>
  <c r="K102" i="20"/>
  <c r="L102" i="20"/>
  <c r="M102" i="20"/>
  <c r="N102" i="20"/>
  <c r="O102" i="20"/>
  <c r="P102" i="20"/>
  <c r="Q102" i="20"/>
  <c r="F103" i="20"/>
  <c r="G103" i="20"/>
  <c r="H103" i="20"/>
  <c r="I103" i="20"/>
  <c r="J103" i="20"/>
  <c r="K103" i="20"/>
  <c r="L103" i="20"/>
  <c r="M103" i="20"/>
  <c r="N103" i="20"/>
  <c r="O103" i="20"/>
  <c r="P103" i="20"/>
  <c r="Q103" i="20"/>
  <c r="F104" i="20"/>
  <c r="G104" i="20"/>
  <c r="H104" i="20"/>
  <c r="I104" i="20"/>
  <c r="J104" i="20"/>
  <c r="K104" i="20"/>
  <c r="L104" i="20"/>
  <c r="M104" i="20"/>
  <c r="N104" i="20"/>
  <c r="O104" i="20"/>
  <c r="P104" i="20"/>
  <c r="Q104" i="20"/>
  <c r="F105" i="20"/>
  <c r="G105" i="20"/>
  <c r="H105" i="20"/>
  <c r="I105" i="20"/>
  <c r="J105" i="20"/>
  <c r="K105" i="20"/>
  <c r="L105" i="20"/>
  <c r="M105" i="20"/>
  <c r="N105" i="20"/>
  <c r="O105" i="20"/>
  <c r="P105" i="20"/>
  <c r="Q105" i="20"/>
  <c r="F106" i="20"/>
  <c r="G106" i="20"/>
  <c r="H106" i="20"/>
  <c r="I106" i="20"/>
  <c r="J106" i="20"/>
  <c r="K106" i="20"/>
  <c r="L106" i="20"/>
  <c r="M106" i="20"/>
  <c r="N106" i="20"/>
  <c r="O106" i="20"/>
  <c r="P106" i="20"/>
  <c r="Q106" i="20"/>
  <c r="F107" i="20"/>
  <c r="G107" i="20"/>
  <c r="H107" i="20"/>
  <c r="I107" i="20"/>
  <c r="J107" i="20"/>
  <c r="K107" i="20"/>
  <c r="L107" i="20"/>
  <c r="M107" i="20"/>
  <c r="N107" i="20"/>
  <c r="O107" i="20"/>
  <c r="P107" i="20"/>
  <c r="Q107" i="20"/>
  <c r="F108" i="20"/>
  <c r="G108" i="20"/>
  <c r="H108" i="20"/>
  <c r="I108" i="20"/>
  <c r="J108" i="20"/>
  <c r="K108" i="20"/>
  <c r="L108" i="20"/>
  <c r="M108" i="20"/>
  <c r="N108" i="20"/>
  <c r="O108" i="20"/>
  <c r="P108" i="20"/>
  <c r="Q108" i="20"/>
  <c r="F109" i="20"/>
  <c r="G109" i="20"/>
  <c r="H109" i="20"/>
  <c r="I109" i="20"/>
  <c r="J109" i="20"/>
  <c r="K109" i="20"/>
  <c r="L109" i="20"/>
  <c r="M109" i="20"/>
  <c r="N109" i="20"/>
  <c r="O109" i="20"/>
  <c r="P109" i="20"/>
  <c r="Q109" i="20"/>
  <c r="F110" i="20"/>
  <c r="G110" i="20"/>
  <c r="H110" i="20"/>
  <c r="I110" i="20"/>
  <c r="J110" i="20"/>
  <c r="K110" i="20"/>
  <c r="L110" i="20"/>
  <c r="M110" i="20"/>
  <c r="N110" i="20"/>
  <c r="O110" i="20"/>
  <c r="P110" i="20"/>
  <c r="Q110" i="20"/>
  <c r="F111" i="20"/>
  <c r="G111" i="20"/>
  <c r="H111" i="20"/>
  <c r="I111" i="20"/>
  <c r="J111" i="20"/>
  <c r="K111" i="20"/>
  <c r="L111" i="20"/>
  <c r="M111" i="20"/>
  <c r="N111" i="20"/>
  <c r="O111" i="20"/>
  <c r="P111" i="20"/>
  <c r="Q111" i="20"/>
  <c r="F112" i="20"/>
  <c r="G112" i="20"/>
  <c r="H112" i="20"/>
  <c r="I112" i="20"/>
  <c r="J112" i="20"/>
  <c r="K112" i="20"/>
  <c r="L112" i="20"/>
  <c r="M112" i="20"/>
  <c r="N112" i="20"/>
  <c r="O112" i="20"/>
  <c r="P112" i="20"/>
  <c r="Q112" i="20"/>
  <c r="F113" i="20"/>
  <c r="G113" i="20"/>
  <c r="H113" i="20"/>
  <c r="I113" i="20"/>
  <c r="J113" i="20"/>
  <c r="K113" i="20"/>
  <c r="L113" i="20"/>
  <c r="M113" i="20"/>
  <c r="N113" i="20"/>
  <c r="O113" i="20"/>
  <c r="P113" i="20"/>
  <c r="Q113" i="20"/>
  <c r="F114" i="20"/>
  <c r="G114" i="20"/>
  <c r="H114" i="20"/>
  <c r="I114" i="20"/>
  <c r="J114" i="20"/>
  <c r="K114" i="20"/>
  <c r="L114" i="20"/>
  <c r="M114" i="20"/>
  <c r="N114" i="20"/>
  <c r="O114" i="20"/>
  <c r="P114" i="20"/>
  <c r="Q114" i="20"/>
  <c r="F115" i="20"/>
  <c r="G115" i="20"/>
  <c r="H115" i="20"/>
  <c r="I115" i="20"/>
  <c r="J115" i="20"/>
  <c r="K115" i="20"/>
  <c r="L115" i="20"/>
  <c r="M115" i="20"/>
  <c r="N115" i="20"/>
  <c r="O115" i="20"/>
  <c r="P115" i="20"/>
  <c r="Q115" i="20"/>
  <c r="F116" i="20"/>
  <c r="G116" i="20"/>
  <c r="H116" i="20"/>
  <c r="I116" i="20"/>
  <c r="J116" i="20"/>
  <c r="K116" i="20"/>
  <c r="L116" i="20"/>
  <c r="M116" i="20"/>
  <c r="N116" i="20"/>
  <c r="O116" i="20"/>
  <c r="P116" i="20"/>
  <c r="Q116" i="20"/>
  <c r="F117" i="20"/>
  <c r="G117" i="20"/>
  <c r="H117" i="20"/>
  <c r="I117" i="20"/>
  <c r="J117" i="20"/>
  <c r="K117" i="20"/>
  <c r="L117" i="20"/>
  <c r="M117" i="20"/>
  <c r="N117" i="20"/>
  <c r="O117" i="20"/>
  <c r="P117" i="20"/>
  <c r="Q117" i="20"/>
  <c r="F118" i="20"/>
  <c r="G118" i="20"/>
  <c r="H118" i="20"/>
  <c r="I118" i="20"/>
  <c r="J118" i="20"/>
  <c r="K118" i="20"/>
  <c r="L118" i="20"/>
  <c r="M118" i="20"/>
  <c r="N118" i="20"/>
  <c r="O118" i="20"/>
  <c r="P118" i="20"/>
  <c r="Q118" i="20"/>
  <c r="F119" i="20"/>
  <c r="G119" i="20"/>
  <c r="H119" i="20"/>
  <c r="I119" i="20"/>
  <c r="J119" i="20"/>
  <c r="K119" i="20"/>
  <c r="L119" i="20"/>
  <c r="M119" i="20"/>
  <c r="N119" i="20"/>
  <c r="O119" i="20"/>
  <c r="P119" i="20"/>
  <c r="Q119" i="20"/>
  <c r="F120" i="20"/>
  <c r="G120" i="20"/>
  <c r="H120" i="20"/>
  <c r="I120" i="20"/>
  <c r="J120" i="20"/>
  <c r="K120" i="20"/>
  <c r="L120" i="20"/>
  <c r="M120" i="20"/>
  <c r="N120" i="20"/>
  <c r="O120" i="20"/>
  <c r="P120" i="20"/>
  <c r="Q120" i="20"/>
  <c r="F121" i="20"/>
  <c r="G121" i="20"/>
  <c r="H121" i="20"/>
  <c r="I121" i="20"/>
  <c r="J121" i="20"/>
  <c r="K121" i="20"/>
  <c r="L121" i="20"/>
  <c r="M121" i="20"/>
  <c r="N121" i="20"/>
  <c r="O121" i="20"/>
  <c r="P121" i="20"/>
  <c r="Q121" i="20"/>
  <c r="F122" i="20"/>
  <c r="G122" i="20"/>
  <c r="H122" i="20"/>
  <c r="I122" i="20"/>
  <c r="J122" i="20"/>
  <c r="K122" i="20"/>
  <c r="L122" i="20"/>
  <c r="M122" i="20"/>
  <c r="N122" i="20"/>
  <c r="O122" i="20"/>
  <c r="P122" i="20"/>
  <c r="Q122" i="20"/>
  <c r="F123" i="20"/>
  <c r="G123" i="20"/>
  <c r="H123" i="20"/>
  <c r="I123" i="20"/>
  <c r="J123" i="20"/>
  <c r="K123" i="20"/>
  <c r="L123" i="20"/>
  <c r="M123" i="20"/>
  <c r="N123" i="20"/>
  <c r="O123" i="20"/>
  <c r="P123" i="20"/>
  <c r="Q123" i="20"/>
  <c r="F124" i="20"/>
  <c r="G124" i="20"/>
  <c r="H124" i="20"/>
  <c r="I124" i="20"/>
  <c r="J124" i="20"/>
  <c r="K124" i="20"/>
  <c r="L124" i="20"/>
  <c r="M124" i="20"/>
  <c r="N124" i="20"/>
  <c r="O124" i="20"/>
  <c r="P124" i="20"/>
  <c r="Q124" i="20"/>
  <c r="F125" i="20"/>
  <c r="G125" i="20"/>
  <c r="H125" i="20"/>
  <c r="I125" i="20"/>
  <c r="J125" i="20"/>
  <c r="K125" i="20"/>
  <c r="L125" i="20"/>
  <c r="M125" i="20"/>
  <c r="N125" i="20"/>
  <c r="O125" i="20"/>
  <c r="P125" i="20"/>
  <c r="Q125" i="20"/>
  <c r="F126" i="20"/>
  <c r="G126" i="20"/>
  <c r="H126" i="20"/>
  <c r="I126" i="20"/>
  <c r="J126" i="20"/>
  <c r="K126" i="20"/>
  <c r="L126" i="20"/>
  <c r="M126" i="20"/>
  <c r="N126" i="20"/>
  <c r="O126" i="20"/>
  <c r="P126" i="20"/>
  <c r="Q126" i="20"/>
  <c r="F127" i="20"/>
  <c r="G127" i="20"/>
  <c r="H127" i="20"/>
  <c r="I127" i="20"/>
  <c r="J127" i="20"/>
  <c r="K127" i="20"/>
  <c r="L127" i="20"/>
  <c r="M127" i="20"/>
  <c r="N127" i="20"/>
  <c r="O127" i="20"/>
  <c r="P127" i="20"/>
  <c r="Q127" i="20"/>
  <c r="F128" i="20"/>
  <c r="G128" i="20"/>
  <c r="H128" i="20"/>
  <c r="I128" i="20"/>
  <c r="J128" i="20"/>
  <c r="K128" i="20"/>
  <c r="L128" i="20"/>
  <c r="M128" i="20"/>
  <c r="N128" i="20"/>
  <c r="O128" i="20"/>
  <c r="P128" i="20"/>
  <c r="Q128" i="20"/>
  <c r="F129" i="20"/>
  <c r="G129" i="20"/>
  <c r="H129" i="20"/>
  <c r="I129" i="20"/>
  <c r="J129" i="20"/>
  <c r="K129" i="20"/>
  <c r="L129" i="20"/>
  <c r="M129" i="20"/>
  <c r="N129" i="20"/>
  <c r="O129" i="20"/>
  <c r="P129" i="20"/>
  <c r="Q129" i="20"/>
  <c r="F130" i="20"/>
  <c r="G130" i="20"/>
  <c r="H130" i="20"/>
  <c r="I130" i="20"/>
  <c r="J130" i="20"/>
  <c r="K130" i="20"/>
  <c r="L130" i="20"/>
  <c r="M130" i="20"/>
  <c r="N130" i="20"/>
  <c r="O130" i="20"/>
  <c r="P130" i="20"/>
  <c r="Q130" i="20"/>
  <c r="F131" i="20"/>
  <c r="G131" i="20"/>
  <c r="H131" i="20"/>
  <c r="I131" i="20"/>
  <c r="J131" i="20"/>
  <c r="K131" i="20"/>
  <c r="L131" i="20"/>
  <c r="M131" i="20"/>
  <c r="N131" i="20"/>
  <c r="O131" i="20"/>
  <c r="P131" i="20"/>
  <c r="Q131" i="20"/>
  <c r="F132" i="20"/>
  <c r="G132" i="20"/>
  <c r="H132" i="20"/>
  <c r="I132" i="20"/>
  <c r="J132" i="20"/>
  <c r="K132" i="20"/>
  <c r="L132" i="20"/>
  <c r="M132" i="20"/>
  <c r="N132" i="20"/>
  <c r="O132" i="20"/>
  <c r="P132" i="20"/>
  <c r="Q132" i="20"/>
  <c r="F133" i="20"/>
  <c r="G133" i="20"/>
  <c r="H133" i="20"/>
  <c r="I133" i="20"/>
  <c r="J133" i="20"/>
  <c r="K133" i="20"/>
  <c r="L133" i="20"/>
  <c r="M133" i="20"/>
  <c r="N133" i="20"/>
  <c r="O133" i="20"/>
  <c r="P133" i="20"/>
  <c r="Q133" i="20"/>
  <c r="F134" i="20"/>
  <c r="G134" i="20"/>
  <c r="H134" i="20"/>
  <c r="I134" i="20"/>
  <c r="J134" i="20"/>
  <c r="K134" i="20"/>
  <c r="L134" i="20"/>
  <c r="M134" i="20"/>
  <c r="N134" i="20"/>
  <c r="O134" i="20"/>
  <c r="P134" i="20"/>
  <c r="Q134" i="20"/>
  <c r="F135" i="20"/>
  <c r="G135" i="20"/>
  <c r="H135" i="20"/>
  <c r="I135" i="20"/>
  <c r="J135" i="20"/>
  <c r="K135" i="20"/>
  <c r="L135" i="20"/>
  <c r="M135" i="20"/>
  <c r="N135" i="20"/>
  <c r="O135" i="20"/>
  <c r="P135" i="20"/>
  <c r="Q135" i="20"/>
  <c r="F136" i="20"/>
  <c r="G136" i="20"/>
  <c r="H136" i="20"/>
  <c r="I136" i="20"/>
  <c r="J136" i="20"/>
  <c r="K136" i="20"/>
  <c r="L136" i="20"/>
  <c r="M136" i="20"/>
  <c r="N136" i="20"/>
  <c r="O136" i="20"/>
  <c r="P136" i="20"/>
  <c r="Q136" i="20"/>
  <c r="F137" i="20"/>
  <c r="G137" i="20"/>
  <c r="H137" i="20"/>
  <c r="I137" i="20"/>
  <c r="J137" i="20"/>
  <c r="K137" i="20"/>
  <c r="L137" i="20"/>
  <c r="M137" i="20"/>
  <c r="N137" i="20"/>
  <c r="O137" i="20"/>
  <c r="P137" i="20"/>
  <c r="Q137" i="20"/>
  <c r="F138" i="20"/>
  <c r="G138" i="20"/>
  <c r="H138" i="20"/>
  <c r="I138" i="20"/>
  <c r="J138" i="20"/>
  <c r="K138" i="20"/>
  <c r="L138" i="20"/>
  <c r="M138" i="20"/>
  <c r="N138" i="20"/>
  <c r="O138" i="20"/>
  <c r="P138" i="20"/>
  <c r="Q138" i="20"/>
  <c r="F139" i="20"/>
  <c r="G139" i="20"/>
  <c r="H139" i="20"/>
  <c r="I139" i="20"/>
  <c r="J139" i="20"/>
  <c r="K139" i="20"/>
  <c r="L139" i="20"/>
  <c r="M139" i="20"/>
  <c r="N139" i="20"/>
  <c r="O139" i="20"/>
  <c r="P139" i="20"/>
  <c r="Q139" i="20"/>
  <c r="F140" i="20"/>
  <c r="G140" i="20"/>
  <c r="H140" i="20"/>
  <c r="I140" i="20"/>
  <c r="J140" i="20"/>
  <c r="K140" i="20"/>
  <c r="L140" i="20"/>
  <c r="M140" i="20"/>
  <c r="N140" i="20"/>
  <c r="O140" i="20"/>
  <c r="P140" i="20"/>
  <c r="Q140" i="20"/>
  <c r="F141" i="20"/>
  <c r="G141" i="20"/>
  <c r="H141" i="20"/>
  <c r="I141" i="20"/>
  <c r="J141" i="20"/>
  <c r="K141" i="20"/>
  <c r="L141" i="20"/>
  <c r="M141" i="20"/>
  <c r="N141" i="20"/>
  <c r="O141" i="20"/>
  <c r="P141" i="20"/>
  <c r="Q141" i="20"/>
  <c r="F142" i="20"/>
  <c r="G142" i="20"/>
  <c r="H142" i="20"/>
  <c r="I142" i="20"/>
  <c r="J142" i="20"/>
  <c r="K142" i="20"/>
  <c r="L142" i="20"/>
  <c r="M142" i="20"/>
  <c r="N142" i="20"/>
  <c r="O142" i="20"/>
  <c r="P142" i="20"/>
  <c r="Q142" i="20"/>
  <c r="F143" i="20"/>
  <c r="G143" i="20"/>
  <c r="H143" i="20"/>
  <c r="I143" i="20"/>
  <c r="J143" i="20"/>
  <c r="K143" i="20"/>
  <c r="L143" i="20"/>
  <c r="M143" i="20"/>
  <c r="N143" i="20"/>
  <c r="O143" i="20"/>
  <c r="P143" i="20"/>
  <c r="Q143" i="20"/>
  <c r="F144" i="20"/>
  <c r="G144" i="20"/>
  <c r="H144" i="20"/>
  <c r="I144" i="20"/>
  <c r="J144" i="20"/>
  <c r="K144" i="20"/>
  <c r="L144" i="20"/>
  <c r="M144" i="20"/>
  <c r="N144" i="20"/>
  <c r="O144" i="20"/>
  <c r="P144" i="20"/>
  <c r="Q144" i="20"/>
  <c r="F145" i="20"/>
  <c r="G145" i="20"/>
  <c r="H145" i="20"/>
  <c r="I145" i="20"/>
  <c r="J145" i="20"/>
  <c r="K145" i="20"/>
  <c r="L145" i="20"/>
  <c r="M145" i="20"/>
  <c r="N145" i="20"/>
  <c r="O145" i="20"/>
  <c r="P145" i="20"/>
  <c r="Q145" i="20"/>
  <c r="F146" i="20"/>
  <c r="G146" i="20"/>
  <c r="H146" i="20"/>
  <c r="I146" i="20"/>
  <c r="J146" i="20"/>
  <c r="K146" i="20"/>
  <c r="L146" i="20"/>
  <c r="M146" i="20"/>
  <c r="N146" i="20"/>
  <c r="O146" i="20"/>
  <c r="P146" i="20"/>
  <c r="Q146" i="20"/>
  <c r="F147" i="20"/>
  <c r="G147" i="20"/>
  <c r="H147" i="20"/>
  <c r="I147" i="20"/>
  <c r="J147" i="20"/>
  <c r="K147" i="20"/>
  <c r="L147" i="20"/>
  <c r="M147" i="20"/>
  <c r="N147" i="20"/>
  <c r="O147" i="20"/>
  <c r="P147" i="20"/>
  <c r="Q147" i="20"/>
  <c r="F148" i="20"/>
  <c r="G148" i="20"/>
  <c r="H148" i="20"/>
  <c r="I148" i="20"/>
  <c r="J148" i="20"/>
  <c r="K148" i="20"/>
  <c r="L148" i="20"/>
  <c r="M148" i="20"/>
  <c r="N148" i="20"/>
  <c r="O148" i="20"/>
  <c r="P148" i="20"/>
  <c r="Q148" i="20"/>
  <c r="F149" i="20"/>
  <c r="G149" i="20"/>
  <c r="H149" i="20"/>
  <c r="I149" i="20"/>
  <c r="J149" i="20"/>
  <c r="K149" i="20"/>
  <c r="L149" i="20"/>
  <c r="M149" i="20"/>
  <c r="N149" i="20"/>
  <c r="O149" i="20"/>
  <c r="P149" i="20"/>
  <c r="Q149" i="20"/>
  <c r="F150" i="20"/>
  <c r="G150" i="20"/>
  <c r="H150" i="20"/>
  <c r="I150" i="20"/>
  <c r="J150" i="20"/>
  <c r="K150" i="20"/>
  <c r="L150" i="20"/>
  <c r="M150" i="20"/>
  <c r="N150" i="20"/>
  <c r="O150" i="20"/>
  <c r="P150" i="20"/>
  <c r="Q150" i="20"/>
  <c r="F151" i="20"/>
  <c r="G151" i="20"/>
  <c r="H151" i="20"/>
  <c r="I151" i="20"/>
  <c r="J151" i="20"/>
  <c r="K151" i="20"/>
  <c r="L151" i="20"/>
  <c r="M151" i="20"/>
  <c r="N151" i="20"/>
  <c r="O151" i="20"/>
  <c r="P151" i="20"/>
  <c r="Q151" i="20"/>
  <c r="F152" i="20"/>
  <c r="G152" i="20"/>
  <c r="H152" i="20"/>
  <c r="I152" i="20"/>
  <c r="J152" i="20"/>
  <c r="K152" i="20"/>
  <c r="L152" i="20"/>
  <c r="M152" i="20"/>
  <c r="N152" i="20"/>
  <c r="O152" i="20"/>
  <c r="P152" i="20"/>
  <c r="Q152" i="20"/>
  <c r="F153" i="20"/>
  <c r="G153" i="20"/>
  <c r="H153" i="20"/>
  <c r="I153" i="20"/>
  <c r="J153" i="20"/>
  <c r="K153" i="20"/>
  <c r="L153" i="20"/>
  <c r="M153" i="20"/>
  <c r="N153" i="20"/>
  <c r="O153" i="20"/>
  <c r="P153" i="20"/>
  <c r="Q153" i="20"/>
  <c r="F154" i="20"/>
  <c r="G154" i="20"/>
  <c r="H154" i="20"/>
  <c r="I154" i="20"/>
  <c r="J154" i="20"/>
  <c r="K154" i="20"/>
  <c r="L154" i="20"/>
  <c r="M154" i="20"/>
  <c r="N154" i="20"/>
  <c r="O154" i="20"/>
  <c r="P154" i="20"/>
  <c r="Q154" i="20"/>
  <c r="F155" i="20"/>
  <c r="G155" i="20"/>
  <c r="H155" i="20"/>
  <c r="I155" i="20"/>
  <c r="J155" i="20"/>
  <c r="K155" i="20"/>
  <c r="L155" i="20"/>
  <c r="M155" i="20"/>
  <c r="N155" i="20"/>
  <c r="O155" i="20"/>
  <c r="P155" i="20"/>
  <c r="Q155" i="20"/>
  <c r="F156" i="20"/>
  <c r="G156" i="20"/>
  <c r="H156" i="20"/>
  <c r="I156" i="20"/>
  <c r="J156" i="20"/>
  <c r="K156" i="20"/>
  <c r="L156" i="20"/>
  <c r="M156" i="20"/>
  <c r="N156" i="20"/>
  <c r="O156" i="20"/>
  <c r="P156" i="20"/>
  <c r="Q156" i="20"/>
  <c r="F157" i="20"/>
  <c r="G157" i="20"/>
  <c r="H157" i="20"/>
  <c r="I157" i="20"/>
  <c r="J157" i="20"/>
  <c r="K157" i="20"/>
  <c r="L157" i="20"/>
  <c r="M157" i="20"/>
  <c r="N157" i="20"/>
  <c r="O157" i="20"/>
  <c r="P157" i="20"/>
  <c r="Q157" i="20"/>
  <c r="F158" i="20"/>
  <c r="G158" i="20"/>
  <c r="H158" i="20"/>
  <c r="I158" i="20"/>
  <c r="J158" i="20"/>
  <c r="K158" i="20"/>
  <c r="L158" i="20"/>
  <c r="M158" i="20"/>
  <c r="N158" i="20"/>
  <c r="O158" i="20"/>
  <c r="P158" i="20"/>
  <c r="Q158" i="20"/>
  <c r="F159" i="20"/>
  <c r="G159" i="20"/>
  <c r="H159" i="20"/>
  <c r="I159" i="20"/>
  <c r="J159" i="20"/>
  <c r="K159" i="20"/>
  <c r="L159" i="20"/>
  <c r="M159" i="20"/>
  <c r="N159" i="20"/>
  <c r="O159" i="20"/>
  <c r="P159" i="20"/>
  <c r="Q159" i="20"/>
  <c r="F160" i="20"/>
  <c r="G160" i="20"/>
  <c r="H160" i="20"/>
  <c r="I160" i="20"/>
  <c r="J160" i="20"/>
  <c r="K160" i="20"/>
  <c r="L160" i="20"/>
  <c r="M160" i="20"/>
  <c r="N160" i="20"/>
  <c r="O160" i="20"/>
  <c r="P160" i="20"/>
  <c r="Q160" i="20"/>
  <c r="F161" i="20"/>
  <c r="G161" i="20"/>
  <c r="H161" i="20"/>
  <c r="I161" i="20"/>
  <c r="J161" i="20"/>
  <c r="K161" i="20"/>
  <c r="L161" i="20"/>
  <c r="M161" i="20"/>
  <c r="N161" i="20"/>
  <c r="O161" i="20"/>
  <c r="P161" i="20"/>
  <c r="Q161" i="20"/>
  <c r="F162" i="20"/>
  <c r="G162" i="20"/>
  <c r="H162" i="20"/>
  <c r="I162" i="20"/>
  <c r="J162" i="20"/>
  <c r="K162" i="20"/>
  <c r="L162" i="20"/>
  <c r="M162" i="20"/>
  <c r="N162" i="20"/>
  <c r="O162" i="20"/>
  <c r="P162" i="20"/>
  <c r="Q162" i="20"/>
  <c r="F163" i="20"/>
  <c r="G163" i="20"/>
  <c r="H163" i="20"/>
  <c r="I163" i="20"/>
  <c r="J163" i="20"/>
  <c r="K163" i="20"/>
  <c r="L163" i="20"/>
  <c r="M163" i="20"/>
  <c r="N163" i="20"/>
  <c r="O163" i="20"/>
  <c r="P163" i="20"/>
  <c r="Q163" i="20"/>
  <c r="F164" i="20"/>
  <c r="G164" i="20"/>
  <c r="H164" i="20"/>
  <c r="I164" i="20"/>
  <c r="J164" i="20"/>
  <c r="K164" i="20"/>
  <c r="L164" i="20"/>
  <c r="M164" i="20"/>
  <c r="N164" i="20"/>
  <c r="O164" i="20"/>
  <c r="P164" i="20"/>
  <c r="Q164" i="20"/>
  <c r="F165" i="20"/>
  <c r="G165" i="20"/>
  <c r="H165" i="20"/>
  <c r="I165" i="20"/>
  <c r="J165" i="20"/>
  <c r="K165" i="20"/>
  <c r="L165" i="20"/>
  <c r="M165" i="20"/>
  <c r="N165" i="20"/>
  <c r="O165" i="20"/>
  <c r="P165" i="20"/>
  <c r="Q165" i="20"/>
  <c r="F166" i="20"/>
  <c r="G166" i="20"/>
  <c r="H166" i="20"/>
  <c r="I166" i="20"/>
  <c r="J166" i="20"/>
  <c r="K166" i="20"/>
  <c r="L166" i="20"/>
  <c r="M166" i="20"/>
  <c r="N166" i="20"/>
  <c r="O166" i="20"/>
  <c r="P166" i="20"/>
  <c r="Q166" i="20"/>
  <c r="F167" i="20"/>
  <c r="G167" i="20"/>
  <c r="H167" i="20"/>
  <c r="I167" i="20"/>
  <c r="J167" i="20"/>
  <c r="K167" i="20"/>
  <c r="L167" i="20"/>
  <c r="M167" i="20"/>
  <c r="N167" i="20"/>
  <c r="O167" i="20"/>
  <c r="P167" i="20"/>
  <c r="Q167" i="20"/>
  <c r="F168" i="20"/>
  <c r="G168" i="20"/>
  <c r="H168" i="20"/>
  <c r="I168" i="20"/>
  <c r="J168" i="20"/>
  <c r="K168" i="20"/>
  <c r="L168" i="20"/>
  <c r="M168" i="20"/>
  <c r="N168" i="20"/>
  <c r="O168" i="20"/>
  <c r="P168" i="20"/>
  <c r="Q168" i="20"/>
  <c r="F169" i="20"/>
  <c r="G169" i="20"/>
  <c r="H169" i="20"/>
  <c r="I169" i="20"/>
  <c r="J169" i="20"/>
  <c r="K169" i="20"/>
  <c r="L169" i="20"/>
  <c r="M169" i="20"/>
  <c r="N169" i="20"/>
  <c r="O169" i="20"/>
  <c r="P169" i="20"/>
  <c r="Q169" i="20"/>
  <c r="F170" i="20"/>
  <c r="G170" i="20"/>
  <c r="H170" i="20"/>
  <c r="I170" i="20"/>
  <c r="J170" i="20"/>
  <c r="K170" i="20"/>
  <c r="L170" i="20"/>
  <c r="M170" i="20"/>
  <c r="N170" i="20"/>
  <c r="O170" i="20"/>
  <c r="P170" i="20"/>
  <c r="Q170" i="20"/>
  <c r="F171" i="20"/>
  <c r="G171" i="20"/>
  <c r="H171" i="20"/>
  <c r="I171" i="20"/>
  <c r="J171" i="20"/>
  <c r="K171" i="20"/>
  <c r="L171" i="20"/>
  <c r="M171" i="20"/>
  <c r="N171" i="20"/>
  <c r="O171" i="20"/>
  <c r="P171" i="20"/>
  <c r="Q171" i="20"/>
  <c r="F172" i="20"/>
  <c r="G172" i="20"/>
  <c r="H172" i="20"/>
  <c r="I172" i="20"/>
  <c r="J172" i="20"/>
  <c r="K172" i="20"/>
  <c r="L172" i="20"/>
  <c r="M172" i="20"/>
  <c r="N172" i="20"/>
  <c r="O172" i="20"/>
  <c r="P172" i="20"/>
  <c r="Q172" i="20"/>
  <c r="F173" i="20"/>
  <c r="G173" i="20"/>
  <c r="H173" i="20"/>
  <c r="I173" i="20"/>
  <c r="J173" i="20"/>
  <c r="K173" i="20"/>
  <c r="L173" i="20"/>
  <c r="M173" i="20"/>
  <c r="N173" i="20"/>
  <c r="O173" i="20"/>
  <c r="P173" i="20"/>
  <c r="Q173" i="20"/>
  <c r="F174" i="20"/>
  <c r="G174" i="20"/>
  <c r="H174" i="20"/>
  <c r="I174" i="20"/>
  <c r="J174" i="20"/>
  <c r="K174" i="20"/>
  <c r="L174" i="20"/>
  <c r="M174" i="20"/>
  <c r="N174" i="20"/>
  <c r="O174" i="20"/>
  <c r="P174" i="20"/>
  <c r="Q174" i="20"/>
  <c r="F175" i="20"/>
  <c r="G175" i="20"/>
  <c r="H175" i="20"/>
  <c r="I175" i="20"/>
  <c r="J175" i="20"/>
  <c r="K175" i="20"/>
  <c r="L175" i="20"/>
  <c r="M175" i="20"/>
  <c r="N175" i="20"/>
  <c r="O175" i="20"/>
  <c r="P175" i="20"/>
  <c r="Q175" i="20"/>
  <c r="F176" i="20"/>
  <c r="G176" i="20"/>
  <c r="H176" i="20"/>
  <c r="I176" i="20"/>
  <c r="J176" i="20"/>
  <c r="K176" i="20"/>
  <c r="L176" i="20"/>
  <c r="M176" i="20"/>
  <c r="N176" i="20"/>
  <c r="O176" i="20"/>
  <c r="P176" i="20"/>
  <c r="Q176" i="20"/>
  <c r="F177" i="20"/>
  <c r="G177" i="20"/>
  <c r="H177" i="20"/>
  <c r="I177" i="20"/>
  <c r="J177" i="20"/>
  <c r="K177" i="20"/>
  <c r="L177" i="20"/>
  <c r="M177" i="20"/>
  <c r="N177" i="20"/>
  <c r="O177" i="20"/>
  <c r="P177" i="20"/>
  <c r="Q177" i="20"/>
  <c r="F178" i="20"/>
  <c r="G178" i="20"/>
  <c r="H178" i="20"/>
  <c r="I178" i="20"/>
  <c r="J178" i="20"/>
  <c r="K178" i="20"/>
  <c r="L178" i="20"/>
  <c r="M178" i="20"/>
  <c r="N178" i="20"/>
  <c r="O178" i="20"/>
  <c r="P178" i="20"/>
  <c r="Q178" i="20"/>
  <c r="F179" i="20"/>
  <c r="G179" i="20"/>
  <c r="H179" i="20"/>
  <c r="I179" i="20"/>
  <c r="J179" i="20"/>
  <c r="K179" i="20"/>
  <c r="L179" i="20"/>
  <c r="M179" i="20"/>
  <c r="N179" i="20"/>
  <c r="O179" i="20"/>
  <c r="P179" i="20"/>
  <c r="Q179" i="20"/>
  <c r="F180" i="20"/>
  <c r="G180" i="20"/>
  <c r="H180" i="20"/>
  <c r="I180" i="20"/>
  <c r="J180" i="20"/>
  <c r="K180" i="20"/>
  <c r="L180" i="20"/>
  <c r="M180" i="20"/>
  <c r="N180" i="20"/>
  <c r="O180" i="20"/>
  <c r="P180" i="20"/>
  <c r="Q180" i="20"/>
  <c r="F181" i="20"/>
  <c r="G181" i="20"/>
  <c r="H181" i="20"/>
  <c r="I181" i="20"/>
  <c r="J181" i="20"/>
  <c r="K181" i="20"/>
  <c r="L181" i="20"/>
  <c r="M181" i="20"/>
  <c r="N181" i="20"/>
  <c r="O181" i="20"/>
  <c r="P181" i="20"/>
  <c r="Q181" i="20"/>
  <c r="F182" i="20"/>
  <c r="G182" i="20"/>
  <c r="H182" i="20"/>
  <c r="I182" i="20"/>
  <c r="J182" i="20"/>
  <c r="K182" i="20"/>
  <c r="L182" i="20"/>
  <c r="M182" i="20"/>
  <c r="N182" i="20"/>
  <c r="O182" i="20"/>
  <c r="P182" i="20"/>
  <c r="Q182" i="20"/>
  <c r="F183" i="20"/>
  <c r="G183" i="20"/>
  <c r="H183" i="20"/>
  <c r="I183" i="20"/>
  <c r="J183" i="20"/>
  <c r="K183" i="20"/>
  <c r="L183" i="20"/>
  <c r="M183" i="20"/>
  <c r="N183" i="20"/>
  <c r="O183" i="20"/>
  <c r="P183" i="20"/>
  <c r="Q183" i="20"/>
  <c r="F184" i="20"/>
  <c r="G184" i="20"/>
  <c r="H184" i="20"/>
  <c r="I184" i="20"/>
  <c r="J184" i="20"/>
  <c r="K184" i="20"/>
  <c r="L184" i="20"/>
  <c r="M184" i="20"/>
  <c r="N184" i="20"/>
  <c r="O184" i="20"/>
  <c r="P184" i="20"/>
  <c r="Q184" i="20"/>
  <c r="F185" i="20"/>
  <c r="G185" i="20"/>
  <c r="H185" i="20"/>
  <c r="I185" i="20"/>
  <c r="J185" i="20"/>
  <c r="K185" i="20"/>
  <c r="L185" i="20"/>
  <c r="M185" i="20"/>
  <c r="N185" i="20"/>
  <c r="O185" i="20"/>
  <c r="P185" i="20"/>
  <c r="Q185" i="20"/>
  <c r="F186" i="20"/>
  <c r="G186" i="20"/>
  <c r="H186" i="20"/>
  <c r="I186" i="20"/>
  <c r="J186" i="20"/>
  <c r="K186" i="20"/>
  <c r="L186" i="20"/>
  <c r="M186" i="20"/>
  <c r="N186" i="20"/>
  <c r="O186" i="20"/>
  <c r="P186" i="20"/>
  <c r="Q186" i="20"/>
  <c r="F187" i="20"/>
  <c r="G187" i="20"/>
  <c r="H187" i="20"/>
  <c r="I187" i="20"/>
  <c r="J187" i="20"/>
  <c r="K187" i="20"/>
  <c r="L187" i="20"/>
  <c r="M187" i="20"/>
  <c r="N187" i="20"/>
  <c r="O187" i="20"/>
  <c r="P187" i="20"/>
  <c r="Q187" i="20"/>
  <c r="F188" i="20"/>
  <c r="G188" i="20"/>
  <c r="H188" i="20"/>
  <c r="I188" i="20"/>
  <c r="J188" i="20"/>
  <c r="K188" i="20"/>
  <c r="L188" i="20"/>
  <c r="M188" i="20"/>
  <c r="N188" i="20"/>
  <c r="O188" i="20"/>
  <c r="P188" i="20"/>
  <c r="Q188" i="20"/>
  <c r="F189" i="20"/>
  <c r="G189" i="20"/>
  <c r="H189" i="20"/>
  <c r="I189" i="20"/>
  <c r="J189" i="20"/>
  <c r="K189" i="20"/>
  <c r="L189" i="20"/>
  <c r="M189" i="20"/>
  <c r="N189" i="20"/>
  <c r="O189" i="20"/>
  <c r="P189" i="20"/>
  <c r="Q189" i="20"/>
  <c r="F190" i="20"/>
  <c r="G190" i="20"/>
  <c r="H190" i="20"/>
  <c r="I190" i="20"/>
  <c r="J190" i="20"/>
  <c r="K190" i="20"/>
  <c r="L190" i="20"/>
  <c r="M190" i="20"/>
  <c r="N190" i="20"/>
  <c r="O190" i="20"/>
  <c r="P190" i="20"/>
  <c r="Q190" i="20"/>
  <c r="F191" i="20"/>
  <c r="G191" i="20"/>
  <c r="H191" i="20"/>
  <c r="I191" i="20"/>
  <c r="J191" i="20"/>
  <c r="K191" i="20"/>
  <c r="L191" i="20"/>
  <c r="M191" i="20"/>
  <c r="N191" i="20"/>
  <c r="O191" i="20"/>
  <c r="P191" i="20"/>
  <c r="Q191" i="20"/>
  <c r="F192" i="20"/>
  <c r="G192" i="20"/>
  <c r="H192" i="20"/>
  <c r="I192" i="20"/>
  <c r="J192" i="20"/>
  <c r="K192" i="20"/>
  <c r="L192" i="20"/>
  <c r="M192" i="20"/>
  <c r="N192" i="20"/>
  <c r="O192" i="20"/>
  <c r="P192" i="20"/>
  <c r="Q192" i="20"/>
  <c r="F193" i="20"/>
  <c r="G193" i="20"/>
  <c r="H193" i="20"/>
  <c r="I193" i="20"/>
  <c r="J193" i="20"/>
  <c r="K193" i="20"/>
  <c r="L193" i="20"/>
  <c r="M193" i="20"/>
  <c r="N193" i="20"/>
  <c r="O193" i="20"/>
  <c r="P193" i="20"/>
  <c r="Q193" i="20"/>
  <c r="F194" i="20"/>
  <c r="G194" i="20"/>
  <c r="H194" i="20"/>
  <c r="I194" i="20"/>
  <c r="J194" i="20"/>
  <c r="K194" i="20"/>
  <c r="L194" i="20"/>
  <c r="M194" i="20"/>
  <c r="N194" i="20"/>
  <c r="O194" i="20"/>
  <c r="P194" i="20"/>
  <c r="Q194" i="20"/>
  <c r="F195" i="20"/>
  <c r="G195" i="20"/>
  <c r="H195" i="20"/>
  <c r="I195" i="20"/>
  <c r="J195" i="20"/>
  <c r="K195" i="20"/>
  <c r="L195" i="20"/>
  <c r="M195" i="20"/>
  <c r="N195" i="20"/>
  <c r="O195" i="20"/>
  <c r="P195" i="20"/>
  <c r="Q195" i="20"/>
  <c r="F196" i="20"/>
  <c r="G196" i="20"/>
  <c r="H196" i="20"/>
  <c r="I196" i="20"/>
  <c r="J196" i="20"/>
  <c r="K196" i="20"/>
  <c r="L196" i="20"/>
  <c r="M196" i="20"/>
  <c r="N196" i="20"/>
  <c r="O196" i="20"/>
  <c r="P196" i="20"/>
  <c r="Q196" i="20"/>
  <c r="F197" i="20"/>
  <c r="G197" i="20"/>
  <c r="H197" i="20"/>
  <c r="I197" i="20"/>
  <c r="J197" i="20"/>
  <c r="K197" i="20"/>
  <c r="L197" i="20"/>
  <c r="M197" i="20"/>
  <c r="N197" i="20"/>
  <c r="O197" i="20"/>
  <c r="P197" i="20"/>
  <c r="Q197" i="20"/>
  <c r="F198" i="20"/>
  <c r="G198" i="20"/>
  <c r="H198" i="20"/>
  <c r="I198" i="20"/>
  <c r="J198" i="20"/>
  <c r="K198" i="20"/>
  <c r="L198" i="20"/>
  <c r="M198" i="20"/>
  <c r="N198" i="20"/>
  <c r="O198" i="20"/>
  <c r="P198" i="20"/>
  <c r="Q198" i="20"/>
  <c r="F199" i="20"/>
  <c r="G199" i="20"/>
  <c r="H199" i="20"/>
  <c r="I199" i="20"/>
  <c r="J199" i="20"/>
  <c r="K199" i="20"/>
  <c r="L199" i="20"/>
  <c r="M199" i="20"/>
  <c r="N199" i="20"/>
  <c r="O199" i="20"/>
  <c r="P199" i="20"/>
  <c r="Q199" i="20"/>
  <c r="F200" i="20"/>
  <c r="G200" i="20"/>
  <c r="H200" i="20"/>
  <c r="I200" i="20"/>
  <c r="J200" i="20"/>
  <c r="K200" i="20"/>
  <c r="L200" i="20"/>
  <c r="M200" i="20"/>
  <c r="N200" i="20"/>
  <c r="O200" i="20"/>
  <c r="P200" i="20"/>
  <c r="Q200" i="20"/>
  <c r="F201" i="20"/>
  <c r="G201" i="20"/>
  <c r="H201" i="20"/>
  <c r="I201" i="20"/>
  <c r="J201" i="20"/>
  <c r="K201" i="20"/>
  <c r="L201" i="20"/>
  <c r="M201" i="20"/>
  <c r="N201" i="20"/>
  <c r="O201" i="20"/>
  <c r="P201" i="20"/>
  <c r="Q201" i="20"/>
  <c r="F202" i="20"/>
  <c r="G202" i="20"/>
  <c r="H202" i="20"/>
  <c r="I202" i="20"/>
  <c r="J202" i="20"/>
  <c r="K202" i="20"/>
  <c r="L202" i="20"/>
  <c r="M202" i="20"/>
  <c r="N202" i="20"/>
  <c r="O202" i="20"/>
  <c r="P202" i="20"/>
  <c r="Q202" i="20"/>
  <c r="F203" i="20"/>
  <c r="G203" i="20"/>
  <c r="H203" i="20"/>
  <c r="I203" i="20"/>
  <c r="J203" i="20"/>
  <c r="K203" i="20"/>
  <c r="L203" i="20"/>
  <c r="M203" i="20"/>
  <c r="N203" i="20"/>
  <c r="O203" i="20"/>
  <c r="P203" i="20"/>
  <c r="Q203" i="20"/>
  <c r="F204" i="20"/>
  <c r="G204" i="20"/>
  <c r="H204" i="20"/>
  <c r="I204" i="20"/>
  <c r="J204" i="20"/>
  <c r="K204" i="20"/>
  <c r="L204" i="20"/>
  <c r="M204" i="20"/>
  <c r="N204" i="20"/>
  <c r="O204" i="20"/>
  <c r="P204" i="20"/>
  <c r="Q204" i="20"/>
  <c r="F205" i="20"/>
  <c r="G205" i="20"/>
  <c r="H205" i="20"/>
  <c r="I205" i="20"/>
  <c r="J205" i="20"/>
  <c r="K205" i="20"/>
  <c r="L205" i="20"/>
  <c r="M205" i="20"/>
  <c r="N205" i="20"/>
  <c r="O205" i="20"/>
  <c r="P205" i="20"/>
  <c r="Q205" i="20"/>
  <c r="F206" i="20"/>
  <c r="G206" i="20"/>
  <c r="H206" i="20"/>
  <c r="I206" i="20"/>
  <c r="J206" i="20"/>
  <c r="K206" i="20"/>
  <c r="L206" i="20"/>
  <c r="M206" i="20"/>
  <c r="N206" i="20"/>
  <c r="O206" i="20"/>
  <c r="P206" i="20"/>
  <c r="Q206" i="20"/>
  <c r="F207" i="20"/>
  <c r="G207" i="20"/>
  <c r="H207" i="20"/>
  <c r="I207" i="20"/>
  <c r="J207" i="20"/>
  <c r="K207" i="20"/>
  <c r="L207" i="20"/>
  <c r="M207" i="20"/>
  <c r="N207" i="20"/>
  <c r="O207" i="20"/>
  <c r="P207" i="20"/>
  <c r="Q207" i="20"/>
  <c r="F208" i="20"/>
  <c r="G208" i="20"/>
  <c r="H208" i="20"/>
  <c r="I208" i="20"/>
  <c r="J208" i="20"/>
  <c r="K208" i="20"/>
  <c r="L208" i="20"/>
  <c r="M208" i="20"/>
  <c r="N208" i="20"/>
  <c r="O208" i="20"/>
  <c r="P208" i="20"/>
  <c r="Q208" i="20"/>
  <c r="F209" i="20"/>
  <c r="G209" i="20"/>
  <c r="H209" i="20"/>
  <c r="I209" i="20"/>
  <c r="J209" i="20"/>
  <c r="K209" i="20"/>
  <c r="L209" i="20"/>
  <c r="M209" i="20"/>
  <c r="N209" i="20"/>
  <c r="O209" i="20"/>
  <c r="P209" i="20"/>
  <c r="Q209" i="20"/>
  <c r="F210" i="20"/>
  <c r="G210" i="20"/>
  <c r="H210" i="20"/>
  <c r="I210" i="20"/>
  <c r="J210" i="20"/>
  <c r="K210" i="20"/>
  <c r="L210" i="20"/>
  <c r="M210" i="20"/>
  <c r="N210" i="20"/>
  <c r="O210" i="20"/>
  <c r="P210" i="20"/>
  <c r="Q210" i="20"/>
  <c r="F211" i="20"/>
  <c r="G211" i="20"/>
  <c r="H211" i="20"/>
  <c r="I211" i="20"/>
  <c r="J211" i="20"/>
  <c r="K211" i="20"/>
  <c r="L211" i="20"/>
  <c r="M211" i="20"/>
  <c r="N211" i="20"/>
  <c r="O211" i="20"/>
  <c r="P211" i="20"/>
  <c r="Q211" i="20"/>
  <c r="F212" i="20"/>
  <c r="G212" i="20"/>
  <c r="H212" i="20"/>
  <c r="I212" i="20"/>
  <c r="J212" i="20"/>
  <c r="K212" i="20"/>
  <c r="L212" i="20"/>
  <c r="M212" i="20"/>
  <c r="N212" i="20"/>
  <c r="O212" i="20"/>
  <c r="P212" i="20"/>
  <c r="Q212" i="20"/>
  <c r="F213" i="20"/>
  <c r="G213" i="20"/>
  <c r="H213" i="20"/>
  <c r="I213" i="20"/>
  <c r="J213" i="20"/>
  <c r="K213" i="20"/>
  <c r="L213" i="20"/>
  <c r="M213" i="20"/>
  <c r="N213" i="20"/>
  <c r="O213" i="20"/>
  <c r="P213" i="20"/>
  <c r="Q213" i="20"/>
  <c r="F214" i="20"/>
  <c r="G214" i="20"/>
  <c r="H214" i="20"/>
  <c r="I214" i="20"/>
  <c r="J214" i="20"/>
  <c r="K214" i="20"/>
  <c r="L214" i="20"/>
  <c r="M214" i="20"/>
  <c r="N214" i="20"/>
  <c r="O214" i="20"/>
  <c r="P214" i="20"/>
  <c r="Q214" i="20"/>
  <c r="F215" i="20"/>
  <c r="G215" i="20"/>
  <c r="H215" i="20"/>
  <c r="I215" i="20"/>
  <c r="J215" i="20"/>
  <c r="K215" i="20"/>
  <c r="L215" i="20"/>
  <c r="M215" i="20"/>
  <c r="N215" i="20"/>
  <c r="O215" i="20"/>
  <c r="P215" i="20"/>
  <c r="Q215" i="20"/>
  <c r="F216" i="20"/>
  <c r="G216" i="20"/>
  <c r="H216" i="20"/>
  <c r="I216" i="20"/>
  <c r="J216" i="20"/>
  <c r="K216" i="20"/>
  <c r="L216" i="20"/>
  <c r="M216" i="20"/>
  <c r="N216" i="20"/>
  <c r="O216" i="20"/>
  <c r="P216" i="20"/>
  <c r="Q216" i="20"/>
  <c r="F217" i="20"/>
  <c r="G217" i="20"/>
  <c r="H217" i="20"/>
  <c r="I217" i="20"/>
  <c r="J217" i="20"/>
  <c r="K217" i="20"/>
  <c r="L217" i="20"/>
  <c r="M217" i="20"/>
  <c r="N217" i="20"/>
  <c r="O217" i="20"/>
  <c r="P217" i="20"/>
  <c r="Q217" i="20"/>
  <c r="F218" i="20"/>
  <c r="G218" i="20"/>
  <c r="H218" i="20"/>
  <c r="I218" i="20"/>
  <c r="J218" i="20"/>
  <c r="K218" i="20"/>
  <c r="L218" i="20"/>
  <c r="M218" i="20"/>
  <c r="N218" i="20"/>
  <c r="O218" i="20"/>
  <c r="P218" i="20"/>
  <c r="Q218" i="20"/>
  <c r="F219" i="20"/>
  <c r="G219" i="20"/>
  <c r="H219" i="20"/>
  <c r="I219" i="20"/>
  <c r="J219" i="20"/>
  <c r="K219" i="20"/>
  <c r="L219" i="20"/>
  <c r="M219" i="20"/>
  <c r="N219" i="20"/>
  <c r="O219" i="20"/>
  <c r="P219" i="20"/>
  <c r="Q219" i="20"/>
  <c r="F220" i="20"/>
  <c r="G220" i="20"/>
  <c r="H220" i="20"/>
  <c r="I220" i="20"/>
  <c r="J220" i="20"/>
  <c r="K220" i="20"/>
  <c r="L220" i="20"/>
  <c r="M220" i="20"/>
  <c r="N220" i="20"/>
  <c r="O220" i="20"/>
  <c r="P220" i="20"/>
  <c r="Q220" i="20"/>
  <c r="F221" i="20"/>
  <c r="G221" i="20"/>
  <c r="H221" i="20"/>
  <c r="I221" i="20"/>
  <c r="J221" i="20"/>
  <c r="K221" i="20"/>
  <c r="L221" i="20"/>
  <c r="M221" i="20"/>
  <c r="N221" i="20"/>
  <c r="O221" i="20"/>
  <c r="P221" i="20"/>
  <c r="Q221" i="20"/>
  <c r="F222" i="20"/>
  <c r="G222" i="20"/>
  <c r="H222" i="20"/>
  <c r="I222" i="20"/>
  <c r="J222" i="20"/>
  <c r="K222" i="20"/>
  <c r="L222" i="20"/>
  <c r="M222" i="20"/>
  <c r="N222" i="20"/>
  <c r="O222" i="20"/>
  <c r="P222" i="20"/>
  <c r="Q222" i="20"/>
  <c r="F223" i="20"/>
  <c r="G223" i="20"/>
  <c r="H223" i="20"/>
  <c r="I223" i="20"/>
  <c r="J223" i="20"/>
  <c r="K223" i="20"/>
  <c r="L223" i="20"/>
  <c r="M223" i="20"/>
  <c r="N223" i="20"/>
  <c r="O223" i="20"/>
  <c r="P223" i="20"/>
  <c r="Q223" i="20"/>
  <c r="F224" i="20"/>
  <c r="G224" i="20"/>
  <c r="H224" i="20"/>
  <c r="I224" i="20"/>
  <c r="J224" i="20"/>
  <c r="K224" i="20"/>
  <c r="L224" i="20"/>
  <c r="M224" i="20"/>
  <c r="N224" i="20"/>
  <c r="O224" i="20"/>
  <c r="P224" i="20"/>
  <c r="Q224" i="20"/>
  <c r="F225" i="20"/>
  <c r="G225" i="20"/>
  <c r="H225" i="20"/>
  <c r="I225" i="20"/>
  <c r="J225" i="20"/>
  <c r="K225" i="20"/>
  <c r="L225" i="20"/>
  <c r="M225" i="20"/>
  <c r="N225" i="20"/>
  <c r="O225" i="20"/>
  <c r="P225" i="20"/>
  <c r="Q225" i="20"/>
  <c r="F226" i="20"/>
  <c r="G226" i="20"/>
  <c r="H226" i="20"/>
  <c r="I226" i="20"/>
  <c r="J226" i="20"/>
  <c r="K226" i="20"/>
  <c r="L226" i="20"/>
  <c r="M226" i="20"/>
  <c r="N226" i="20"/>
  <c r="O226" i="20"/>
  <c r="P226" i="20"/>
  <c r="Q226" i="20"/>
  <c r="F227" i="20"/>
  <c r="G227" i="20"/>
  <c r="H227" i="20"/>
  <c r="I227" i="20"/>
  <c r="J227" i="20"/>
  <c r="K227" i="20"/>
  <c r="L227" i="20"/>
  <c r="M227" i="20"/>
  <c r="N227" i="20"/>
  <c r="O227" i="20"/>
  <c r="P227" i="20"/>
  <c r="Q227" i="20"/>
  <c r="F228" i="20"/>
  <c r="G228" i="20"/>
  <c r="H228" i="20"/>
  <c r="I228" i="20"/>
  <c r="J228" i="20"/>
  <c r="K228" i="20"/>
  <c r="L228" i="20"/>
  <c r="M228" i="20"/>
  <c r="N228" i="20"/>
  <c r="O228" i="20"/>
  <c r="P228" i="20"/>
  <c r="Q228" i="20"/>
  <c r="F229" i="20"/>
  <c r="G229" i="20"/>
  <c r="H229" i="20"/>
  <c r="I229" i="20"/>
  <c r="J229" i="20"/>
  <c r="K229" i="20"/>
  <c r="L229" i="20"/>
  <c r="M229" i="20"/>
  <c r="N229" i="20"/>
  <c r="O229" i="20"/>
  <c r="P229" i="20"/>
  <c r="Q229" i="20"/>
  <c r="F230" i="20"/>
  <c r="G230" i="20"/>
  <c r="H230" i="20"/>
  <c r="I230" i="20"/>
  <c r="J230" i="20"/>
  <c r="K230" i="20"/>
  <c r="L230" i="20"/>
  <c r="M230" i="20"/>
  <c r="N230" i="20"/>
  <c r="O230" i="20"/>
  <c r="P230" i="20"/>
  <c r="Q230" i="20"/>
  <c r="F231" i="20"/>
  <c r="G231" i="20"/>
  <c r="H231" i="20"/>
  <c r="I231" i="20"/>
  <c r="J231" i="20"/>
  <c r="K231" i="20"/>
  <c r="L231" i="20"/>
  <c r="M231" i="20"/>
  <c r="N231" i="20"/>
  <c r="O231" i="20"/>
  <c r="P231" i="20"/>
  <c r="Q231" i="20"/>
  <c r="F232" i="20"/>
  <c r="G232" i="20"/>
  <c r="H232" i="20"/>
  <c r="I232" i="20"/>
  <c r="J232" i="20"/>
  <c r="K232" i="20"/>
  <c r="L232" i="20"/>
  <c r="M232" i="20"/>
  <c r="N232" i="20"/>
  <c r="O232" i="20"/>
  <c r="P232" i="20"/>
  <c r="Q232" i="20"/>
  <c r="F233" i="20"/>
  <c r="G233" i="20"/>
  <c r="H233" i="20"/>
  <c r="I233" i="20"/>
  <c r="J233" i="20"/>
  <c r="K233" i="20"/>
  <c r="L233" i="20"/>
  <c r="M233" i="20"/>
  <c r="N233" i="20"/>
  <c r="O233" i="20"/>
  <c r="P233" i="20"/>
  <c r="Q233" i="20"/>
  <c r="F234" i="20"/>
  <c r="G234" i="20"/>
  <c r="H234" i="20"/>
  <c r="I234" i="20"/>
  <c r="J234" i="20"/>
  <c r="K234" i="20"/>
  <c r="L234" i="20"/>
  <c r="M234" i="20"/>
  <c r="N234" i="20"/>
  <c r="O234" i="20"/>
  <c r="P234" i="20"/>
  <c r="Q234" i="20"/>
  <c r="F235" i="20"/>
  <c r="G235" i="20"/>
  <c r="H235" i="20"/>
  <c r="I235" i="20"/>
  <c r="J235" i="20"/>
  <c r="K235" i="20"/>
  <c r="L235" i="20"/>
  <c r="M235" i="20"/>
  <c r="N235" i="20"/>
  <c r="O235" i="20"/>
  <c r="P235" i="20"/>
  <c r="Q235" i="20"/>
  <c r="F236" i="20"/>
  <c r="G236" i="20"/>
  <c r="H236" i="20"/>
  <c r="I236" i="20"/>
  <c r="J236" i="20"/>
  <c r="K236" i="20"/>
  <c r="L236" i="20"/>
  <c r="M236" i="20"/>
  <c r="N236" i="20"/>
  <c r="O236" i="20"/>
  <c r="P236" i="20"/>
  <c r="Q236" i="20"/>
  <c r="F237" i="20"/>
  <c r="G237" i="20"/>
  <c r="H237" i="20"/>
  <c r="I237" i="20"/>
  <c r="J237" i="20"/>
  <c r="K237" i="20"/>
  <c r="L237" i="20"/>
  <c r="M237" i="20"/>
  <c r="N237" i="20"/>
  <c r="O237" i="20"/>
  <c r="P237" i="20"/>
  <c r="Q237" i="20"/>
  <c r="F238" i="20"/>
  <c r="G238" i="20"/>
  <c r="H238" i="20"/>
  <c r="I238" i="20"/>
  <c r="J238" i="20"/>
  <c r="K238" i="20"/>
  <c r="L238" i="20"/>
  <c r="M238" i="20"/>
  <c r="N238" i="20"/>
  <c r="O238" i="20"/>
  <c r="P238" i="20"/>
  <c r="Q238" i="20"/>
  <c r="F239" i="20"/>
  <c r="G239" i="20"/>
  <c r="H239" i="20"/>
  <c r="I239" i="20"/>
  <c r="J239" i="20"/>
  <c r="K239" i="20"/>
  <c r="L239" i="20"/>
  <c r="M239" i="20"/>
  <c r="N239" i="20"/>
  <c r="O239" i="20"/>
  <c r="P239" i="20"/>
  <c r="Q239" i="20"/>
  <c r="F240" i="20"/>
  <c r="G240" i="20"/>
  <c r="H240" i="20"/>
  <c r="I240" i="20"/>
  <c r="J240" i="20"/>
  <c r="K240" i="20"/>
  <c r="L240" i="20"/>
  <c r="M240" i="20"/>
  <c r="N240" i="20"/>
  <c r="O240" i="20"/>
  <c r="P240" i="20"/>
  <c r="Q240" i="20"/>
  <c r="F241" i="20"/>
  <c r="G241" i="20"/>
  <c r="H241" i="20"/>
  <c r="I241" i="20"/>
  <c r="J241" i="20"/>
  <c r="K241" i="20"/>
  <c r="L241" i="20"/>
  <c r="M241" i="20"/>
  <c r="N241" i="20"/>
  <c r="O241" i="20"/>
  <c r="P241" i="20"/>
  <c r="Q241" i="20"/>
  <c r="F242" i="20"/>
  <c r="G242" i="20"/>
  <c r="H242" i="20"/>
  <c r="I242" i="20"/>
  <c r="J242" i="20"/>
  <c r="K242" i="20"/>
  <c r="L242" i="20"/>
  <c r="M242" i="20"/>
  <c r="N242" i="20"/>
  <c r="O242" i="20"/>
  <c r="P242" i="20"/>
  <c r="Q242" i="20"/>
  <c r="F243" i="20"/>
  <c r="G243" i="20"/>
  <c r="H243" i="20"/>
  <c r="I243" i="20"/>
  <c r="J243" i="20"/>
  <c r="K243" i="20"/>
  <c r="L243" i="20"/>
  <c r="M243" i="20"/>
  <c r="N243" i="20"/>
  <c r="O243" i="20"/>
  <c r="P243" i="20"/>
  <c r="Q243" i="20"/>
  <c r="F244" i="20"/>
  <c r="G244" i="20"/>
  <c r="H244" i="20"/>
  <c r="I244" i="20"/>
  <c r="J244" i="20"/>
  <c r="K244" i="20"/>
  <c r="L244" i="20"/>
  <c r="M244" i="20"/>
  <c r="N244" i="20"/>
  <c r="O244" i="20"/>
  <c r="P244" i="20"/>
  <c r="Q244" i="20"/>
  <c r="F245" i="20"/>
  <c r="G245" i="20"/>
  <c r="H245" i="20"/>
  <c r="I245" i="20"/>
  <c r="J245" i="20"/>
  <c r="K245" i="20"/>
  <c r="L245" i="20"/>
  <c r="M245" i="20"/>
  <c r="N245" i="20"/>
  <c r="O245" i="20"/>
  <c r="P245" i="20"/>
  <c r="Q245" i="20"/>
  <c r="F246" i="20"/>
  <c r="G246" i="20"/>
  <c r="H246" i="20"/>
  <c r="I246" i="20"/>
  <c r="J246" i="20"/>
  <c r="K246" i="20"/>
  <c r="L246" i="20"/>
  <c r="M246" i="20"/>
  <c r="N246" i="20"/>
  <c r="O246" i="20"/>
  <c r="P246" i="20"/>
  <c r="Q246" i="20"/>
  <c r="F247" i="20"/>
  <c r="G247" i="20"/>
  <c r="H247" i="20"/>
  <c r="I247" i="20"/>
  <c r="J247" i="20"/>
  <c r="K247" i="20"/>
  <c r="L247" i="20"/>
  <c r="M247" i="20"/>
  <c r="N247" i="20"/>
  <c r="O247" i="20"/>
  <c r="P247" i="20"/>
  <c r="Q247" i="20"/>
  <c r="F248" i="20"/>
  <c r="G248" i="20"/>
  <c r="H248" i="20"/>
  <c r="I248" i="20"/>
  <c r="J248" i="20"/>
  <c r="K248" i="20"/>
  <c r="L248" i="20"/>
  <c r="M248" i="20"/>
  <c r="N248" i="20"/>
  <c r="O248" i="20"/>
  <c r="P248" i="20"/>
  <c r="Q248" i="20"/>
  <c r="F249" i="20"/>
  <c r="G249" i="20"/>
  <c r="H249" i="20"/>
  <c r="I249" i="20"/>
  <c r="J249" i="20"/>
  <c r="K249" i="20"/>
  <c r="L249" i="20"/>
  <c r="M249" i="20"/>
  <c r="N249" i="20"/>
  <c r="O249" i="20"/>
  <c r="P249" i="20"/>
  <c r="Q249" i="20"/>
  <c r="F250" i="20"/>
  <c r="G250" i="20"/>
  <c r="H250" i="20"/>
  <c r="I250" i="20"/>
  <c r="J250" i="20"/>
  <c r="K250" i="20"/>
  <c r="L250" i="20"/>
  <c r="M250" i="20"/>
  <c r="N250" i="20"/>
  <c r="O250" i="20"/>
  <c r="P250" i="20"/>
  <c r="Q250" i="20"/>
  <c r="F251" i="20"/>
  <c r="G251" i="20"/>
  <c r="H251" i="20"/>
  <c r="I251" i="20"/>
  <c r="J251" i="20"/>
  <c r="K251" i="20"/>
  <c r="L251" i="20"/>
  <c r="M251" i="20"/>
  <c r="N251" i="20"/>
  <c r="O251" i="20"/>
  <c r="P251" i="20"/>
  <c r="Q251" i="20"/>
  <c r="F252" i="20"/>
  <c r="G252" i="20"/>
  <c r="H252" i="20"/>
  <c r="I252" i="20"/>
  <c r="J252" i="20"/>
  <c r="K252" i="20"/>
  <c r="L252" i="20"/>
  <c r="M252" i="20"/>
  <c r="N252" i="20"/>
  <c r="O252" i="20"/>
  <c r="P252" i="20"/>
  <c r="Q252" i="20"/>
  <c r="F253" i="20"/>
  <c r="G253" i="20"/>
  <c r="H253" i="20"/>
  <c r="I253" i="20"/>
  <c r="J253" i="20"/>
  <c r="K253" i="20"/>
  <c r="L253" i="20"/>
  <c r="M253" i="20"/>
  <c r="N253" i="20"/>
  <c r="O253" i="20"/>
  <c r="P253" i="20"/>
  <c r="Q253" i="20"/>
  <c r="F254" i="20"/>
  <c r="G254" i="20"/>
  <c r="H254" i="20"/>
  <c r="I254" i="20"/>
  <c r="J254" i="20"/>
  <c r="K254" i="20"/>
  <c r="L254" i="20"/>
  <c r="M254" i="20"/>
  <c r="N254" i="20"/>
  <c r="O254" i="20"/>
  <c r="P254" i="20"/>
  <c r="Q254" i="20"/>
  <c r="F255" i="20"/>
  <c r="G255" i="20"/>
  <c r="H255" i="20"/>
  <c r="I255" i="20"/>
  <c r="J255" i="20"/>
  <c r="K255" i="20"/>
  <c r="L255" i="20"/>
  <c r="M255" i="20"/>
  <c r="N255" i="20"/>
  <c r="O255" i="20"/>
  <c r="P255" i="20"/>
  <c r="Q255" i="20"/>
  <c r="F256" i="20"/>
  <c r="G256" i="20"/>
  <c r="H256" i="20"/>
  <c r="I256" i="20"/>
  <c r="J256" i="20"/>
  <c r="K256" i="20"/>
  <c r="L256" i="20"/>
  <c r="M256" i="20"/>
  <c r="N256" i="20"/>
  <c r="O256" i="20"/>
  <c r="P256" i="20"/>
  <c r="Q256" i="20"/>
  <c r="F257" i="20"/>
  <c r="G257" i="20"/>
  <c r="H257" i="20"/>
  <c r="I257" i="20"/>
  <c r="J257" i="20"/>
  <c r="K257" i="20"/>
  <c r="L257" i="20"/>
  <c r="M257" i="20"/>
  <c r="N257" i="20"/>
  <c r="O257" i="20"/>
  <c r="P257" i="20"/>
  <c r="Q257" i="20"/>
  <c r="F258" i="20"/>
  <c r="G258" i="20"/>
  <c r="H258" i="20"/>
  <c r="I258" i="20"/>
  <c r="J258" i="20"/>
  <c r="K258" i="20"/>
  <c r="L258" i="20"/>
  <c r="M258" i="20"/>
  <c r="N258" i="20"/>
  <c r="O258" i="20"/>
  <c r="P258" i="20"/>
  <c r="Q258" i="20"/>
  <c r="F259" i="20"/>
  <c r="G259" i="20"/>
  <c r="H259" i="20"/>
  <c r="I259" i="20"/>
  <c r="J259" i="20"/>
  <c r="K259" i="20"/>
  <c r="L259" i="20"/>
  <c r="M259" i="20"/>
  <c r="N259" i="20"/>
  <c r="O259" i="20"/>
  <c r="P259" i="20"/>
  <c r="Q259" i="20"/>
  <c r="F260" i="20"/>
  <c r="G260" i="20"/>
  <c r="H260" i="20"/>
  <c r="I260" i="20"/>
  <c r="J260" i="20"/>
  <c r="K260" i="20"/>
  <c r="L260" i="20"/>
  <c r="M260" i="20"/>
  <c r="N260" i="20"/>
  <c r="O260" i="20"/>
  <c r="P260" i="20"/>
  <c r="Q260" i="20"/>
  <c r="F261" i="20"/>
  <c r="G261" i="20"/>
  <c r="H261" i="20"/>
  <c r="I261" i="20"/>
  <c r="J261" i="20"/>
  <c r="K261" i="20"/>
  <c r="L261" i="20"/>
  <c r="M261" i="20"/>
  <c r="N261" i="20"/>
  <c r="O261" i="20"/>
  <c r="P261" i="20"/>
  <c r="Q261" i="20"/>
  <c r="F262" i="20"/>
  <c r="G262" i="20"/>
  <c r="H262" i="20"/>
  <c r="I262" i="20"/>
  <c r="J262" i="20"/>
  <c r="K262" i="20"/>
  <c r="L262" i="20"/>
  <c r="M262" i="20"/>
  <c r="N262" i="20"/>
  <c r="O262" i="20"/>
  <c r="P262" i="20"/>
  <c r="Q262" i="20"/>
  <c r="F263" i="20"/>
  <c r="G263" i="20"/>
  <c r="H263" i="20"/>
  <c r="I263" i="20"/>
  <c r="J263" i="20"/>
  <c r="K263" i="20"/>
  <c r="L263" i="20"/>
  <c r="M263" i="20"/>
  <c r="N263" i="20"/>
  <c r="O263" i="20"/>
  <c r="P263" i="20"/>
  <c r="Q263" i="20"/>
  <c r="F264" i="20"/>
  <c r="G264" i="20"/>
  <c r="H264" i="20"/>
  <c r="I264" i="20"/>
  <c r="J264" i="20"/>
  <c r="K264" i="20"/>
  <c r="L264" i="20"/>
  <c r="M264" i="20"/>
  <c r="N264" i="20"/>
  <c r="O264" i="20"/>
  <c r="P264" i="20"/>
  <c r="Q264" i="20"/>
  <c r="F265" i="20"/>
  <c r="G265" i="20"/>
  <c r="H265" i="20"/>
  <c r="I265" i="20"/>
  <c r="J265" i="20"/>
  <c r="K265" i="20"/>
  <c r="L265" i="20"/>
  <c r="M265" i="20"/>
  <c r="N265" i="20"/>
  <c r="O265" i="20"/>
  <c r="P265" i="20"/>
  <c r="Q265" i="20"/>
  <c r="F266" i="20"/>
  <c r="G266" i="20"/>
  <c r="H266" i="20"/>
  <c r="I266" i="20"/>
  <c r="J266" i="20"/>
  <c r="K266" i="20"/>
  <c r="L266" i="20"/>
  <c r="M266" i="20"/>
  <c r="N266" i="20"/>
  <c r="O266" i="20"/>
  <c r="P266" i="20"/>
  <c r="Q266" i="20"/>
  <c r="F267" i="20"/>
  <c r="G267" i="20"/>
  <c r="H267" i="20"/>
  <c r="I267" i="20"/>
  <c r="J267" i="20"/>
  <c r="K267" i="20"/>
  <c r="L267" i="20"/>
  <c r="M267" i="20"/>
  <c r="N267" i="20"/>
  <c r="O267" i="20"/>
  <c r="P267" i="20"/>
  <c r="Q267" i="20"/>
  <c r="F268" i="20"/>
  <c r="G268" i="20"/>
  <c r="H268" i="20"/>
  <c r="I268" i="20"/>
  <c r="J268" i="20"/>
  <c r="K268" i="20"/>
  <c r="L268" i="20"/>
  <c r="M268" i="20"/>
  <c r="N268" i="20"/>
  <c r="O268" i="20"/>
  <c r="P268" i="20"/>
  <c r="Q268" i="20"/>
  <c r="F269" i="20"/>
  <c r="G269" i="20"/>
  <c r="H269" i="20"/>
  <c r="I269" i="20"/>
  <c r="J269" i="20"/>
  <c r="K269" i="20"/>
  <c r="L269" i="20"/>
  <c r="M269" i="20"/>
  <c r="N269" i="20"/>
  <c r="O269" i="20"/>
  <c r="P269" i="20"/>
  <c r="Q269" i="20"/>
  <c r="F270" i="20"/>
  <c r="G270" i="20"/>
  <c r="H270" i="20"/>
  <c r="I270" i="20"/>
  <c r="J270" i="20"/>
  <c r="K270" i="20"/>
  <c r="L270" i="20"/>
  <c r="M270" i="20"/>
  <c r="N270" i="20"/>
  <c r="O270" i="20"/>
  <c r="P270" i="20"/>
  <c r="Q270" i="20"/>
  <c r="F271" i="20"/>
  <c r="G271" i="20"/>
  <c r="H271" i="20"/>
  <c r="I271" i="20"/>
  <c r="J271" i="20"/>
  <c r="K271" i="20"/>
  <c r="L271" i="20"/>
  <c r="M271" i="20"/>
  <c r="N271" i="20"/>
  <c r="O271" i="20"/>
  <c r="P271" i="20"/>
  <c r="Q271" i="20"/>
  <c r="F272" i="20"/>
  <c r="G272" i="20"/>
  <c r="H272" i="20"/>
  <c r="I272" i="20"/>
  <c r="J272" i="20"/>
  <c r="K272" i="20"/>
  <c r="L272" i="20"/>
  <c r="M272" i="20"/>
  <c r="N272" i="20"/>
  <c r="O272" i="20"/>
  <c r="P272" i="20"/>
  <c r="Q272" i="20"/>
  <c r="F273" i="20"/>
  <c r="G273" i="20"/>
  <c r="H273" i="20"/>
  <c r="I273" i="20"/>
  <c r="J273" i="20"/>
  <c r="K273" i="20"/>
  <c r="L273" i="20"/>
  <c r="M273" i="20"/>
  <c r="N273" i="20"/>
  <c r="O273" i="20"/>
  <c r="P273" i="20"/>
  <c r="Q273" i="20"/>
  <c r="F274" i="20"/>
  <c r="G274" i="20"/>
  <c r="H274" i="20"/>
  <c r="I274" i="20"/>
  <c r="J274" i="20"/>
  <c r="K274" i="20"/>
  <c r="L274" i="20"/>
  <c r="M274" i="20"/>
  <c r="N274" i="20"/>
  <c r="O274" i="20"/>
  <c r="P274" i="20"/>
  <c r="Q274" i="20"/>
  <c r="F275" i="20"/>
  <c r="G275" i="20"/>
  <c r="H275" i="20"/>
  <c r="I275" i="20"/>
  <c r="J275" i="20"/>
  <c r="K275" i="20"/>
  <c r="L275" i="20"/>
  <c r="M275" i="20"/>
  <c r="N275" i="20"/>
  <c r="O275" i="20"/>
  <c r="P275" i="20"/>
  <c r="Q275" i="20"/>
  <c r="F276" i="20"/>
  <c r="G276" i="20"/>
  <c r="H276" i="20"/>
  <c r="I276" i="20"/>
  <c r="J276" i="20"/>
  <c r="K276" i="20"/>
  <c r="L276" i="20"/>
  <c r="M276" i="20"/>
  <c r="N276" i="20"/>
  <c r="O276" i="20"/>
  <c r="P276" i="20"/>
  <c r="Q276" i="20"/>
  <c r="F277" i="20"/>
  <c r="G277" i="20"/>
  <c r="H277" i="20"/>
  <c r="I277" i="20"/>
  <c r="J277" i="20"/>
  <c r="K277" i="20"/>
  <c r="L277" i="20"/>
  <c r="M277" i="20"/>
  <c r="N277" i="20"/>
  <c r="O277" i="20"/>
  <c r="P277" i="20"/>
  <c r="Q277" i="20"/>
  <c r="F278" i="20"/>
  <c r="G278" i="20"/>
  <c r="H278" i="20"/>
  <c r="I278" i="20"/>
  <c r="J278" i="20"/>
  <c r="K278" i="20"/>
  <c r="L278" i="20"/>
  <c r="M278" i="20"/>
  <c r="N278" i="20"/>
  <c r="O278" i="20"/>
  <c r="P278" i="20"/>
  <c r="Q278" i="20"/>
  <c r="F279" i="20"/>
  <c r="G279" i="20"/>
  <c r="H279" i="20"/>
  <c r="I279" i="20"/>
  <c r="J279" i="20"/>
  <c r="K279" i="20"/>
  <c r="L279" i="20"/>
  <c r="M279" i="20"/>
  <c r="N279" i="20"/>
  <c r="O279" i="20"/>
  <c r="P279" i="20"/>
  <c r="Q279" i="20"/>
  <c r="F280" i="20"/>
  <c r="G280" i="20"/>
  <c r="H280" i="20"/>
  <c r="I280" i="20"/>
  <c r="J280" i="20"/>
  <c r="K280" i="20"/>
  <c r="L280" i="20"/>
  <c r="M280" i="20"/>
  <c r="N280" i="20"/>
  <c r="O280" i="20"/>
  <c r="P280" i="20"/>
  <c r="Q280" i="20"/>
  <c r="F281" i="20"/>
  <c r="G281" i="20"/>
  <c r="H281" i="20"/>
  <c r="I281" i="20"/>
  <c r="J281" i="20"/>
  <c r="K281" i="20"/>
  <c r="L281" i="20"/>
  <c r="M281" i="20"/>
  <c r="N281" i="20"/>
  <c r="O281" i="20"/>
  <c r="P281" i="20"/>
  <c r="Q281" i="20"/>
  <c r="F282" i="20"/>
  <c r="G282" i="20"/>
  <c r="H282" i="20"/>
  <c r="I282" i="20"/>
  <c r="J282" i="20"/>
  <c r="K282" i="20"/>
  <c r="L282" i="20"/>
  <c r="M282" i="20"/>
  <c r="N282" i="20"/>
  <c r="O282" i="20"/>
  <c r="P282" i="20"/>
  <c r="Q282" i="20"/>
  <c r="F283" i="20"/>
  <c r="G283" i="20"/>
  <c r="H283" i="20"/>
  <c r="I283" i="20"/>
  <c r="J283" i="20"/>
  <c r="K283" i="20"/>
  <c r="L283" i="20"/>
  <c r="M283" i="20"/>
  <c r="N283" i="20"/>
  <c r="O283" i="20"/>
  <c r="P283" i="20"/>
  <c r="Q283" i="20"/>
  <c r="F284" i="20"/>
  <c r="G284" i="20"/>
  <c r="H284" i="20"/>
  <c r="I284" i="20"/>
  <c r="J284" i="20"/>
  <c r="K284" i="20"/>
  <c r="L284" i="20"/>
  <c r="M284" i="20"/>
  <c r="N284" i="20"/>
  <c r="O284" i="20"/>
  <c r="P284" i="20"/>
  <c r="Q284" i="20"/>
  <c r="F285" i="20"/>
  <c r="G285" i="20"/>
  <c r="H285" i="20"/>
  <c r="I285" i="20"/>
  <c r="J285" i="20"/>
  <c r="K285" i="20"/>
  <c r="L285" i="20"/>
  <c r="M285" i="20"/>
  <c r="N285" i="20"/>
  <c r="O285" i="20"/>
  <c r="P285" i="20"/>
  <c r="Q285" i="20"/>
  <c r="F286" i="20"/>
  <c r="G286" i="20"/>
  <c r="H286" i="20"/>
  <c r="I286" i="20"/>
  <c r="J286" i="20"/>
  <c r="K286" i="20"/>
  <c r="L286" i="20"/>
  <c r="M286" i="20"/>
  <c r="N286" i="20"/>
  <c r="O286" i="20"/>
  <c r="P286" i="20"/>
  <c r="Q286" i="20"/>
  <c r="F287" i="20"/>
  <c r="G287" i="20"/>
  <c r="H287" i="20"/>
  <c r="I287" i="20"/>
  <c r="J287" i="20"/>
  <c r="K287" i="20"/>
  <c r="L287" i="20"/>
  <c r="M287" i="20"/>
  <c r="N287" i="20"/>
  <c r="O287" i="20"/>
  <c r="P287" i="20"/>
  <c r="Q287" i="20"/>
  <c r="F288" i="20"/>
  <c r="G288" i="20"/>
  <c r="H288" i="20"/>
  <c r="I288" i="20"/>
  <c r="J288" i="20"/>
  <c r="K288" i="20"/>
  <c r="L288" i="20"/>
  <c r="M288" i="20"/>
  <c r="N288" i="20"/>
  <c r="O288" i="20"/>
  <c r="P288" i="20"/>
  <c r="Q288" i="20"/>
  <c r="F289" i="20"/>
  <c r="G289" i="20"/>
  <c r="H289" i="20"/>
  <c r="I289" i="20"/>
  <c r="J289" i="20"/>
  <c r="K289" i="20"/>
  <c r="L289" i="20"/>
  <c r="M289" i="20"/>
  <c r="N289" i="20"/>
  <c r="O289" i="20"/>
  <c r="P289" i="20"/>
  <c r="Q289" i="20"/>
  <c r="F290" i="20"/>
  <c r="G290" i="20"/>
  <c r="H290" i="20"/>
  <c r="I290" i="20"/>
  <c r="J290" i="20"/>
  <c r="K290" i="20"/>
  <c r="L290" i="20"/>
  <c r="M290" i="20"/>
  <c r="N290" i="20"/>
  <c r="O290" i="20"/>
  <c r="P290" i="20"/>
  <c r="Q290" i="20"/>
  <c r="F291" i="20"/>
  <c r="G291" i="20"/>
  <c r="H291" i="20"/>
  <c r="I291" i="20"/>
  <c r="J291" i="20"/>
  <c r="K291" i="20"/>
  <c r="L291" i="20"/>
  <c r="M291" i="20"/>
  <c r="N291" i="20"/>
  <c r="O291" i="20"/>
  <c r="P291" i="20"/>
  <c r="Q291" i="20"/>
  <c r="F292" i="20"/>
  <c r="G292" i="20"/>
  <c r="H292" i="20"/>
  <c r="I292" i="20"/>
  <c r="J292" i="20"/>
  <c r="K292" i="20"/>
  <c r="L292" i="20"/>
  <c r="M292" i="20"/>
  <c r="N292" i="20"/>
  <c r="O292" i="20"/>
  <c r="P292" i="20"/>
  <c r="Q292" i="20"/>
  <c r="F293" i="20"/>
  <c r="G293" i="20"/>
  <c r="H293" i="20"/>
  <c r="I293" i="20"/>
  <c r="J293" i="20"/>
  <c r="K293" i="20"/>
  <c r="L293" i="20"/>
  <c r="M293" i="20"/>
  <c r="N293" i="20"/>
  <c r="O293" i="20"/>
  <c r="P293" i="20"/>
  <c r="Q293" i="20"/>
  <c r="F294" i="20"/>
  <c r="G294" i="20"/>
  <c r="H294" i="20"/>
  <c r="I294" i="20"/>
  <c r="J294" i="20"/>
  <c r="K294" i="20"/>
  <c r="L294" i="20"/>
  <c r="M294" i="20"/>
  <c r="N294" i="20"/>
  <c r="O294" i="20"/>
  <c r="P294" i="20"/>
  <c r="Q294" i="20"/>
  <c r="F295" i="20"/>
  <c r="G295" i="20"/>
  <c r="H295" i="20"/>
  <c r="I295" i="20"/>
  <c r="J295" i="20"/>
  <c r="K295" i="20"/>
  <c r="L295" i="20"/>
  <c r="M295" i="20"/>
  <c r="N295" i="20"/>
  <c r="O295" i="20"/>
  <c r="P295" i="20"/>
  <c r="Q295" i="20"/>
  <c r="F296" i="20"/>
  <c r="G296" i="20"/>
  <c r="H296" i="20"/>
  <c r="I296" i="20"/>
  <c r="J296" i="20"/>
  <c r="K296" i="20"/>
  <c r="L296" i="20"/>
  <c r="M296" i="20"/>
  <c r="N296" i="20"/>
  <c r="O296" i="20"/>
  <c r="P296" i="20"/>
  <c r="Q296" i="20"/>
  <c r="F297" i="20"/>
  <c r="G297" i="20"/>
  <c r="H297" i="20"/>
  <c r="I297" i="20"/>
  <c r="J297" i="20"/>
  <c r="K297" i="20"/>
  <c r="L297" i="20"/>
  <c r="M297" i="20"/>
  <c r="N297" i="20"/>
  <c r="O297" i="20"/>
  <c r="P297" i="20"/>
  <c r="Q297" i="20"/>
  <c r="F298" i="20"/>
  <c r="G298" i="20"/>
  <c r="H298" i="20"/>
  <c r="I298" i="20"/>
  <c r="J298" i="20"/>
  <c r="K298" i="20"/>
  <c r="L298" i="20"/>
  <c r="M298" i="20"/>
  <c r="N298" i="20"/>
  <c r="O298" i="20"/>
  <c r="P298" i="20"/>
  <c r="Q298" i="20"/>
  <c r="F299" i="20"/>
  <c r="G299" i="20"/>
  <c r="H299" i="20"/>
  <c r="I299" i="20"/>
  <c r="J299" i="20"/>
  <c r="K299" i="20"/>
  <c r="L299" i="20"/>
  <c r="M299" i="20"/>
  <c r="N299" i="20"/>
  <c r="O299" i="20"/>
  <c r="P299" i="20"/>
  <c r="Q299" i="20"/>
  <c r="F300" i="20"/>
  <c r="G300" i="20"/>
  <c r="H300" i="20"/>
  <c r="I300" i="20"/>
  <c r="J300" i="20"/>
  <c r="K300" i="20"/>
  <c r="L300" i="20"/>
  <c r="M300" i="20"/>
  <c r="N300" i="20"/>
  <c r="O300" i="20"/>
  <c r="P300" i="20"/>
  <c r="Q300" i="20"/>
  <c r="F301" i="20"/>
  <c r="G301" i="20"/>
  <c r="H301" i="20"/>
  <c r="I301" i="20"/>
  <c r="J301" i="20"/>
  <c r="K301" i="20"/>
  <c r="L301" i="20"/>
  <c r="M301" i="20"/>
  <c r="N301" i="20"/>
  <c r="O301" i="20"/>
  <c r="P301" i="20"/>
  <c r="Q301" i="20"/>
  <c r="F302" i="20"/>
  <c r="G302" i="20"/>
  <c r="H302" i="20"/>
  <c r="I302" i="20"/>
  <c r="J302" i="20"/>
  <c r="K302" i="20"/>
  <c r="L302" i="20"/>
  <c r="M302" i="20"/>
  <c r="N302" i="20"/>
  <c r="O302" i="20"/>
  <c r="P302" i="20"/>
  <c r="Q302" i="20"/>
  <c r="F303" i="20"/>
  <c r="G303" i="20"/>
  <c r="H303" i="20"/>
  <c r="I303" i="20"/>
  <c r="J303" i="20"/>
  <c r="K303" i="20"/>
  <c r="L303" i="20"/>
  <c r="M303" i="20"/>
  <c r="N303" i="20"/>
  <c r="O303" i="20"/>
  <c r="P303" i="20"/>
  <c r="Q303" i="20"/>
  <c r="F304" i="20"/>
  <c r="G304" i="20"/>
  <c r="H304" i="20"/>
  <c r="I304" i="20"/>
  <c r="J304" i="20"/>
  <c r="K304" i="20"/>
  <c r="L304" i="20"/>
  <c r="M304" i="20"/>
  <c r="N304" i="20"/>
  <c r="O304" i="20"/>
  <c r="P304" i="20"/>
  <c r="Q304" i="20"/>
  <c r="F305" i="20"/>
  <c r="G305" i="20"/>
  <c r="H305" i="20"/>
  <c r="I305" i="20"/>
  <c r="J305" i="20"/>
  <c r="K305" i="20"/>
  <c r="L305" i="20"/>
  <c r="M305" i="20"/>
  <c r="N305" i="20"/>
  <c r="O305" i="20"/>
  <c r="P305" i="20"/>
  <c r="Q305" i="20"/>
  <c r="F306" i="20"/>
  <c r="G306" i="20"/>
  <c r="H306" i="20"/>
  <c r="I306" i="20"/>
  <c r="J306" i="20"/>
  <c r="K306" i="20"/>
  <c r="L306" i="20"/>
  <c r="M306" i="20"/>
  <c r="N306" i="20"/>
  <c r="O306" i="20"/>
  <c r="P306" i="20"/>
  <c r="Q306" i="20"/>
  <c r="F307" i="20"/>
  <c r="G307" i="20"/>
  <c r="H307" i="20"/>
  <c r="I307" i="20"/>
  <c r="J307" i="20"/>
  <c r="K307" i="20"/>
  <c r="L307" i="20"/>
  <c r="M307" i="20"/>
  <c r="N307" i="20"/>
  <c r="O307" i="20"/>
  <c r="P307" i="20"/>
  <c r="Q307" i="20"/>
  <c r="F308" i="20"/>
  <c r="G308" i="20"/>
  <c r="H308" i="20"/>
  <c r="I308" i="20"/>
  <c r="J308" i="20"/>
  <c r="K308" i="20"/>
  <c r="L308" i="20"/>
  <c r="M308" i="20"/>
  <c r="N308" i="20"/>
  <c r="O308" i="20"/>
  <c r="P308" i="20"/>
  <c r="Q308" i="20"/>
  <c r="F309" i="20"/>
  <c r="G309" i="20"/>
  <c r="H309" i="20"/>
  <c r="I309" i="20"/>
  <c r="J309" i="20"/>
  <c r="K309" i="20"/>
  <c r="L309" i="20"/>
  <c r="M309" i="20"/>
  <c r="N309" i="20"/>
  <c r="O309" i="20"/>
  <c r="P309" i="20"/>
  <c r="Q309" i="20"/>
  <c r="F310" i="20"/>
  <c r="G310" i="20"/>
  <c r="H310" i="20"/>
  <c r="I310" i="20"/>
  <c r="J310" i="20"/>
  <c r="K310" i="20"/>
  <c r="L310" i="20"/>
  <c r="M310" i="20"/>
  <c r="N310" i="20"/>
  <c r="O310" i="20"/>
  <c r="P310" i="20"/>
  <c r="Q310" i="20"/>
  <c r="F311" i="20"/>
  <c r="G311" i="20"/>
  <c r="H311" i="20"/>
  <c r="I311" i="20"/>
  <c r="J311" i="20"/>
  <c r="K311" i="20"/>
  <c r="L311" i="20"/>
  <c r="M311" i="20"/>
  <c r="N311" i="20"/>
  <c r="O311" i="20"/>
  <c r="P311" i="20"/>
  <c r="Q311" i="20"/>
  <c r="F312" i="20"/>
  <c r="G312" i="20"/>
  <c r="H312" i="20"/>
  <c r="I312" i="20"/>
  <c r="J312" i="20"/>
  <c r="K312" i="20"/>
  <c r="L312" i="20"/>
  <c r="M312" i="20"/>
  <c r="N312" i="20"/>
  <c r="O312" i="20"/>
  <c r="P312" i="20"/>
  <c r="Q312" i="20"/>
  <c r="F313" i="20"/>
  <c r="G313" i="20"/>
  <c r="H313" i="20"/>
  <c r="I313" i="20"/>
  <c r="J313" i="20"/>
  <c r="K313" i="20"/>
  <c r="L313" i="20"/>
  <c r="M313" i="20"/>
  <c r="N313" i="20"/>
  <c r="O313" i="20"/>
  <c r="P313" i="20"/>
  <c r="Q313" i="20"/>
  <c r="F314" i="20"/>
  <c r="G314" i="20"/>
  <c r="H314" i="20"/>
  <c r="I314" i="20"/>
  <c r="J314" i="20"/>
  <c r="K314" i="20"/>
  <c r="L314" i="20"/>
  <c r="M314" i="20"/>
  <c r="N314" i="20"/>
  <c r="O314" i="20"/>
  <c r="P314" i="20"/>
  <c r="Q314" i="20"/>
  <c r="F315" i="20"/>
  <c r="G315" i="20"/>
  <c r="H315" i="20"/>
  <c r="I315" i="20"/>
  <c r="J315" i="20"/>
  <c r="K315" i="20"/>
  <c r="L315" i="20"/>
  <c r="M315" i="20"/>
  <c r="N315" i="20"/>
  <c r="O315" i="20"/>
  <c r="P315" i="20"/>
  <c r="Q315" i="20"/>
  <c r="F316" i="20"/>
  <c r="G316" i="20"/>
  <c r="H316" i="20"/>
  <c r="I316" i="20"/>
  <c r="J316" i="20"/>
  <c r="K316" i="20"/>
  <c r="L316" i="20"/>
  <c r="M316" i="20"/>
  <c r="N316" i="20"/>
  <c r="O316" i="20"/>
  <c r="P316" i="20"/>
  <c r="Q316" i="20"/>
  <c r="F317" i="20"/>
  <c r="G317" i="20"/>
  <c r="H317" i="20"/>
  <c r="I317" i="20"/>
  <c r="J317" i="20"/>
  <c r="K317" i="20"/>
  <c r="L317" i="20"/>
  <c r="M317" i="20"/>
  <c r="N317" i="20"/>
  <c r="O317" i="20"/>
  <c r="P317" i="20"/>
  <c r="Q317" i="20"/>
  <c r="F318" i="20"/>
  <c r="G318" i="20"/>
  <c r="H318" i="20"/>
  <c r="I318" i="20"/>
  <c r="J318" i="20"/>
  <c r="K318" i="20"/>
  <c r="L318" i="20"/>
  <c r="M318" i="20"/>
  <c r="N318" i="20"/>
  <c r="O318" i="20"/>
  <c r="P318" i="20"/>
  <c r="Q318" i="20"/>
  <c r="F319" i="20"/>
  <c r="G319" i="20"/>
  <c r="H319" i="20"/>
  <c r="I319" i="20"/>
  <c r="J319" i="20"/>
  <c r="K319" i="20"/>
  <c r="L319" i="20"/>
  <c r="M319" i="20"/>
  <c r="N319" i="20"/>
  <c r="O319" i="20"/>
  <c r="P319" i="20"/>
  <c r="Q319" i="20"/>
  <c r="F320" i="20"/>
  <c r="G320" i="20"/>
  <c r="H320" i="20"/>
  <c r="I320" i="20"/>
  <c r="J320" i="20"/>
  <c r="K320" i="20"/>
  <c r="L320" i="20"/>
  <c r="M320" i="20"/>
  <c r="N320" i="20"/>
  <c r="O320" i="20"/>
  <c r="P320" i="20"/>
  <c r="Q320" i="20"/>
  <c r="F321" i="20"/>
  <c r="G321" i="20"/>
  <c r="H321" i="20"/>
  <c r="I321" i="20"/>
  <c r="J321" i="20"/>
  <c r="K321" i="20"/>
  <c r="L321" i="20"/>
  <c r="M321" i="20"/>
  <c r="N321" i="20"/>
  <c r="O321" i="20"/>
  <c r="P321" i="20"/>
  <c r="Q321" i="20"/>
  <c r="F322" i="20"/>
  <c r="G322" i="20"/>
  <c r="H322" i="20"/>
  <c r="I322" i="20"/>
  <c r="J322" i="20"/>
  <c r="K322" i="20"/>
  <c r="L322" i="20"/>
  <c r="M322" i="20"/>
  <c r="N322" i="20"/>
  <c r="O322" i="20"/>
  <c r="P322" i="20"/>
  <c r="Q322" i="20"/>
  <c r="F323" i="20"/>
  <c r="G323" i="20"/>
  <c r="H323" i="20"/>
  <c r="I323" i="20"/>
  <c r="J323" i="20"/>
  <c r="K323" i="20"/>
  <c r="L323" i="20"/>
  <c r="M323" i="20"/>
  <c r="N323" i="20"/>
  <c r="O323" i="20"/>
  <c r="P323" i="20"/>
  <c r="Q323" i="20"/>
  <c r="F324" i="20"/>
  <c r="G324" i="20"/>
  <c r="H324" i="20"/>
  <c r="I324" i="20"/>
  <c r="J324" i="20"/>
  <c r="K324" i="20"/>
  <c r="L324" i="20"/>
  <c r="M324" i="20"/>
  <c r="N324" i="20"/>
  <c r="O324" i="20"/>
  <c r="P324" i="20"/>
  <c r="Q324" i="20"/>
  <c r="F325" i="20"/>
  <c r="G325" i="20"/>
  <c r="H325" i="20"/>
  <c r="I325" i="20"/>
  <c r="J325" i="20"/>
  <c r="K325" i="20"/>
  <c r="L325" i="20"/>
  <c r="M325" i="20"/>
  <c r="N325" i="20"/>
  <c r="O325" i="20"/>
  <c r="P325" i="20"/>
  <c r="Q325" i="20"/>
  <c r="F326" i="20"/>
  <c r="G326" i="20"/>
  <c r="H326" i="20"/>
  <c r="I326" i="20"/>
  <c r="J326" i="20"/>
  <c r="K326" i="20"/>
  <c r="L326" i="20"/>
  <c r="M326" i="20"/>
  <c r="N326" i="20"/>
  <c r="O326" i="20"/>
  <c r="P326" i="20"/>
  <c r="Q326" i="20"/>
  <c r="F327" i="20"/>
  <c r="G327" i="20"/>
  <c r="H327" i="20"/>
  <c r="I327" i="20"/>
  <c r="J327" i="20"/>
  <c r="K327" i="20"/>
  <c r="L327" i="20"/>
  <c r="M327" i="20"/>
  <c r="N327" i="20"/>
  <c r="O327" i="20"/>
  <c r="P327" i="20"/>
  <c r="Q327" i="20"/>
  <c r="F328" i="20"/>
  <c r="G328" i="20"/>
  <c r="H328" i="20"/>
  <c r="I328" i="20"/>
  <c r="J328" i="20"/>
  <c r="K328" i="20"/>
  <c r="L328" i="20"/>
  <c r="M328" i="20"/>
  <c r="N328" i="20"/>
  <c r="O328" i="20"/>
  <c r="P328" i="20"/>
  <c r="Q328" i="20"/>
  <c r="F329" i="20"/>
  <c r="G329" i="20"/>
  <c r="H329" i="20"/>
  <c r="I329" i="20"/>
  <c r="J329" i="20"/>
  <c r="K329" i="20"/>
  <c r="L329" i="20"/>
  <c r="M329" i="20"/>
  <c r="N329" i="20"/>
  <c r="O329" i="20"/>
  <c r="P329" i="20"/>
  <c r="Q329" i="20"/>
  <c r="F330" i="20"/>
  <c r="G330" i="20"/>
  <c r="H330" i="20"/>
  <c r="I330" i="20"/>
  <c r="J330" i="20"/>
  <c r="K330" i="20"/>
  <c r="L330" i="20"/>
  <c r="M330" i="20"/>
  <c r="N330" i="20"/>
  <c r="O330" i="20"/>
  <c r="P330" i="20"/>
  <c r="Q330" i="20"/>
  <c r="F331" i="20"/>
  <c r="G331" i="20"/>
  <c r="H331" i="20"/>
  <c r="I331" i="20"/>
  <c r="J331" i="20"/>
  <c r="K331" i="20"/>
  <c r="L331" i="20"/>
  <c r="M331" i="20"/>
  <c r="N331" i="20"/>
  <c r="O331" i="20"/>
  <c r="P331" i="20"/>
  <c r="Q331" i="20"/>
  <c r="F332" i="20"/>
  <c r="G332" i="20"/>
  <c r="H332" i="20"/>
  <c r="I332" i="20"/>
  <c r="J332" i="20"/>
  <c r="K332" i="20"/>
  <c r="L332" i="20"/>
  <c r="M332" i="20"/>
  <c r="N332" i="20"/>
  <c r="O332" i="20"/>
  <c r="P332" i="20"/>
  <c r="Q332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F49" i="20"/>
  <c r="G49" i="20"/>
  <c r="H49" i="20"/>
  <c r="I49" i="20"/>
  <c r="L45" i="3" s="1"/>
  <c r="J49" i="20"/>
  <c r="K49" i="20"/>
  <c r="L49" i="20"/>
  <c r="M49" i="20"/>
  <c r="N49" i="20"/>
  <c r="O49" i="20"/>
  <c r="P49" i="20"/>
  <c r="Q49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G47" i="20"/>
  <c r="H47" i="20"/>
  <c r="I47" i="20"/>
  <c r="J47" i="20"/>
  <c r="K47" i="20"/>
  <c r="L47" i="20"/>
  <c r="M47" i="20"/>
  <c r="N47" i="20"/>
  <c r="O47" i="20"/>
  <c r="P47" i="20"/>
  <c r="Q47" i="20"/>
  <c r="F47" i="20"/>
  <c r="G27" i="20"/>
  <c r="H27" i="20"/>
  <c r="I27" i="20"/>
  <c r="J27" i="20"/>
  <c r="K27" i="20"/>
  <c r="L27" i="20"/>
  <c r="M27" i="20"/>
  <c r="N27" i="20"/>
  <c r="O27" i="20"/>
  <c r="P27" i="20"/>
  <c r="Q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G29" i="20"/>
  <c r="H29" i="20"/>
  <c r="I29" i="20"/>
  <c r="J29" i="20"/>
  <c r="K29" i="20"/>
  <c r="L29" i="20"/>
  <c r="M29" i="20"/>
  <c r="N29" i="20"/>
  <c r="O29" i="20"/>
  <c r="P29" i="20"/>
  <c r="Q29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F40" i="20"/>
  <c r="G40" i="20"/>
  <c r="I40" i="20"/>
  <c r="J40" i="20"/>
  <c r="K40" i="20"/>
  <c r="L40" i="20"/>
  <c r="M40" i="20"/>
  <c r="N40" i="20"/>
  <c r="O40" i="20"/>
  <c r="P40" i="20"/>
  <c r="Q40" i="20"/>
  <c r="G41" i="20"/>
  <c r="H41" i="20"/>
  <c r="I41" i="20"/>
  <c r="J41" i="20"/>
  <c r="K41" i="20"/>
  <c r="L41" i="20"/>
  <c r="M41" i="20"/>
  <c r="N41" i="20"/>
  <c r="O41" i="20"/>
  <c r="P41" i="20"/>
  <c r="Q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H13" i="20"/>
  <c r="I13" i="20"/>
  <c r="J13" i="20"/>
  <c r="K13" i="20"/>
  <c r="L13" i="20"/>
  <c r="M13" i="20"/>
  <c r="N13" i="20"/>
  <c r="O13" i="20"/>
  <c r="P13" i="20"/>
  <c r="Q13" i="20"/>
  <c r="H14" i="20"/>
  <c r="I14" i="20"/>
  <c r="J14" i="20"/>
  <c r="K14" i="20"/>
  <c r="L14" i="20"/>
  <c r="M14" i="20"/>
  <c r="N14" i="20"/>
  <c r="O14" i="20"/>
  <c r="P14" i="20"/>
  <c r="Q14" i="20"/>
  <c r="H15" i="20"/>
  <c r="I15" i="20"/>
  <c r="J15" i="20"/>
  <c r="K15" i="20"/>
  <c r="L15" i="20"/>
  <c r="M15" i="20"/>
  <c r="N15" i="20"/>
  <c r="O15" i="20"/>
  <c r="P15" i="20"/>
  <c r="Q15" i="20"/>
  <c r="G16" i="20"/>
  <c r="H16" i="20"/>
  <c r="I16" i="20"/>
  <c r="J16" i="20"/>
  <c r="K16" i="20"/>
  <c r="L16" i="20"/>
  <c r="M16" i="20"/>
  <c r="N16" i="20"/>
  <c r="O16" i="20"/>
  <c r="P16" i="20"/>
  <c r="Q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F24" i="20"/>
  <c r="H24" i="20"/>
  <c r="I24" i="20"/>
  <c r="J24" i="20"/>
  <c r="K24" i="20"/>
  <c r="L24" i="20"/>
  <c r="M24" i="20"/>
  <c r="N24" i="20"/>
  <c r="O24" i="20"/>
  <c r="P24" i="20"/>
  <c r="Q24" i="20"/>
  <c r="G25" i="20"/>
  <c r="H25" i="20"/>
  <c r="I25" i="20"/>
  <c r="J25" i="20"/>
  <c r="K25" i="20"/>
  <c r="L25" i="20"/>
  <c r="M25" i="20"/>
  <c r="N25" i="20"/>
  <c r="O25" i="20"/>
  <c r="P25" i="20"/>
  <c r="Q25" i="20"/>
  <c r="F26" i="20"/>
  <c r="G26" i="20"/>
  <c r="H26" i="20"/>
  <c r="F6" i="20"/>
  <c r="G6" i="20"/>
  <c r="H6" i="20"/>
  <c r="G7" i="20"/>
  <c r="H7" i="20"/>
  <c r="I7" i="20"/>
  <c r="J7" i="20"/>
  <c r="K7" i="20"/>
  <c r="L7" i="20"/>
  <c r="M7" i="20"/>
  <c r="N7" i="20"/>
  <c r="O7" i="20"/>
  <c r="P7" i="20"/>
  <c r="Q7" i="20"/>
  <c r="F8" i="20"/>
  <c r="G8" i="20"/>
  <c r="H8" i="20"/>
  <c r="I8" i="20"/>
  <c r="J8" i="20"/>
  <c r="K8" i="20"/>
  <c r="L8" i="20"/>
  <c r="M8" i="20"/>
  <c r="N8" i="20"/>
  <c r="O8" i="20"/>
  <c r="P8" i="20"/>
  <c r="Q8" i="20"/>
  <c r="G9" i="20"/>
  <c r="I9" i="20"/>
  <c r="J9" i="20"/>
  <c r="K9" i="20"/>
  <c r="L9" i="20"/>
  <c r="M9" i="20"/>
  <c r="N9" i="20"/>
  <c r="O9" i="20"/>
  <c r="P9" i="20"/>
  <c r="Q9" i="20"/>
  <c r="F10" i="20"/>
  <c r="G10" i="20"/>
  <c r="I10" i="20"/>
  <c r="J10" i="20"/>
  <c r="K10" i="20"/>
  <c r="L10" i="20"/>
  <c r="M10" i="20"/>
  <c r="N10" i="20"/>
  <c r="O10" i="20"/>
  <c r="P10" i="20"/>
  <c r="Q10" i="20"/>
  <c r="G11" i="20"/>
  <c r="I11" i="20"/>
  <c r="J11" i="20"/>
  <c r="K11" i="20"/>
  <c r="L11" i="20"/>
  <c r="M11" i="20"/>
  <c r="N11" i="20"/>
  <c r="O11" i="20"/>
  <c r="P11" i="20"/>
  <c r="Q11" i="20"/>
  <c r="H12" i="20"/>
  <c r="I12" i="20"/>
  <c r="J12" i="20"/>
  <c r="K12" i="20"/>
  <c r="L12" i="20"/>
  <c r="M12" i="20"/>
  <c r="N12" i="20"/>
  <c r="O12" i="20"/>
  <c r="P12" i="20"/>
  <c r="Q12" i="20"/>
  <c r="H5" i="20"/>
  <c r="I5" i="20"/>
  <c r="J5" i="20"/>
  <c r="K5" i="20"/>
  <c r="L5" i="20"/>
  <c r="M5" i="20"/>
  <c r="N5" i="20"/>
  <c r="O5" i="20"/>
  <c r="P5" i="20"/>
  <c r="Q5" i="20"/>
  <c r="F5" i="20"/>
  <c r="F5" i="11" s="1"/>
  <c r="H1149" i="20"/>
  <c r="H1148" i="20"/>
  <c r="H1147" i="20"/>
  <c r="H1146" i="20"/>
  <c r="H1145" i="20"/>
  <c r="H1144" i="20"/>
  <c r="H1143" i="20"/>
  <c r="H1142" i="20"/>
  <c r="H1141" i="20"/>
  <c r="I1141" i="20" s="1"/>
  <c r="H1140" i="20"/>
  <c r="I1140" i="20" s="1"/>
  <c r="H1139" i="20"/>
  <c r="I1139" i="20" s="1"/>
  <c r="H1138" i="20"/>
  <c r="I1138" i="20" s="1"/>
  <c r="H1137" i="20"/>
  <c r="I1137" i="20" s="1"/>
  <c r="H1136" i="20"/>
  <c r="I1136" i="20" s="1"/>
  <c r="H1135" i="20"/>
  <c r="I1135" i="20" s="1"/>
  <c r="H1134" i="20"/>
  <c r="I1134" i="20" s="1"/>
  <c r="H1133" i="20"/>
  <c r="I1133" i="20" s="1"/>
  <c r="H1132" i="20"/>
  <c r="I1132" i="20" s="1"/>
  <c r="H1131" i="20"/>
  <c r="I1131" i="20" s="1"/>
  <c r="H1130" i="20"/>
  <c r="I1130" i="20" s="1"/>
  <c r="H1129" i="20"/>
  <c r="I1129" i="20" s="1"/>
  <c r="H1128" i="20"/>
  <c r="I1128" i="20" s="1"/>
  <c r="H1127" i="20"/>
  <c r="G1127" i="20"/>
  <c r="H1126" i="20"/>
  <c r="G1126" i="20"/>
  <c r="H1125" i="20"/>
  <c r="G1125" i="20"/>
  <c r="H1124" i="20"/>
  <c r="G1124" i="20"/>
  <c r="H1123" i="20"/>
  <c r="G1123" i="20"/>
  <c r="H1122" i="20"/>
  <c r="G1122" i="20"/>
  <c r="H1121" i="20"/>
  <c r="G1121" i="20"/>
  <c r="H1120" i="20"/>
  <c r="G1120" i="20"/>
  <c r="I1119" i="20"/>
  <c r="H1119" i="20"/>
  <c r="H1118" i="20"/>
  <c r="F1118" i="20"/>
  <c r="H1117" i="20"/>
  <c r="F1117" i="20"/>
  <c r="H1116" i="20"/>
  <c r="G1091" i="20"/>
  <c r="G1092" i="20"/>
  <c r="Q26" i="20" s="1"/>
  <c r="H1091" i="20"/>
  <c r="H1092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9" i="20"/>
  <c r="H520" i="20"/>
  <c r="H521" i="20"/>
  <c r="H522" i="20"/>
  <c r="H523" i="20"/>
  <c r="H524" i="20"/>
  <c r="H579" i="20"/>
  <c r="H580" i="20"/>
  <c r="H581" i="20"/>
  <c r="H582" i="20"/>
  <c r="H583" i="20"/>
  <c r="H584" i="20"/>
  <c r="H585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67" i="20"/>
  <c r="H668" i="20"/>
  <c r="H669" i="20"/>
  <c r="H670" i="20"/>
  <c r="H671" i="20"/>
  <c r="H672" i="20"/>
  <c r="H673" i="20"/>
  <c r="H674" i="20"/>
  <c r="H677" i="20"/>
  <c r="H686" i="20"/>
  <c r="H687" i="20"/>
  <c r="H688" i="20"/>
  <c r="H689" i="20"/>
  <c r="H690" i="20"/>
  <c r="H691" i="20"/>
  <c r="H692" i="20"/>
  <c r="H694" i="20"/>
  <c r="H695" i="20"/>
  <c r="H696" i="20"/>
  <c r="H697" i="20"/>
  <c r="H698" i="20"/>
  <c r="H699" i="20"/>
  <c r="H700" i="20"/>
  <c r="H701" i="20"/>
  <c r="H702" i="20"/>
  <c r="H703" i="20"/>
  <c r="H705" i="20"/>
  <c r="H706" i="20"/>
  <c r="H707" i="20"/>
  <c r="H708" i="20"/>
  <c r="H709" i="20"/>
  <c r="H710" i="20"/>
  <c r="H711" i="20"/>
  <c r="H712" i="20"/>
  <c r="H713" i="20"/>
  <c r="H714" i="20"/>
  <c r="H715" i="20"/>
  <c r="H727" i="20"/>
  <c r="H728" i="20"/>
  <c r="H729" i="20"/>
  <c r="H730" i="20"/>
  <c r="H731" i="20"/>
  <c r="H732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H1109" i="20"/>
  <c r="H1110" i="20"/>
  <c r="H1111" i="20"/>
  <c r="H1112" i="20"/>
  <c r="H1113" i="20"/>
  <c r="H1114" i="20"/>
  <c r="H397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73" i="20"/>
  <c r="H374" i="20"/>
  <c r="H375" i="20"/>
  <c r="H376" i="20"/>
  <c r="H377" i="20"/>
  <c r="H378" i="20"/>
  <c r="H379" i="20"/>
  <c r="H380" i="20"/>
  <c r="H372" i="20"/>
  <c r="G1116" i="20" l="1"/>
  <c r="T1272" i="3"/>
  <c r="T1274" i="3"/>
  <c r="T1275" i="3"/>
  <c r="T1266" i="3"/>
  <c r="T1267" i="3"/>
  <c r="T1268" i="3"/>
  <c r="T1269" i="3"/>
  <c r="T1270" i="3"/>
  <c r="T1271" i="3"/>
  <c r="T1273" i="3"/>
  <c r="P1271" i="3"/>
  <c r="P1273" i="3"/>
  <c r="P1266" i="3"/>
  <c r="P1267" i="3"/>
  <c r="P1268" i="3"/>
  <c r="P1269" i="3"/>
  <c r="P1270" i="3"/>
  <c r="P1272" i="3"/>
  <c r="P1274" i="3"/>
  <c r="P1275" i="3"/>
  <c r="L1272" i="3"/>
  <c r="L1274" i="3"/>
  <c r="L1275" i="3"/>
  <c r="L1266" i="3"/>
  <c r="L1267" i="3"/>
  <c r="L1268" i="3"/>
  <c r="L1269" i="3"/>
  <c r="L1270" i="3"/>
  <c r="L1271" i="3"/>
  <c r="L1273" i="3"/>
  <c r="S1266" i="3"/>
  <c r="S1267" i="3"/>
  <c r="S1268" i="3"/>
  <c r="S1269" i="3"/>
  <c r="S1270" i="3"/>
  <c r="S1271" i="3"/>
  <c r="S1272" i="3"/>
  <c r="S1273" i="3"/>
  <c r="S1274" i="3"/>
  <c r="S1275" i="3"/>
  <c r="O1266" i="3"/>
  <c r="O1267" i="3"/>
  <c r="O1268" i="3"/>
  <c r="O1269" i="3"/>
  <c r="O1270" i="3"/>
  <c r="O1271" i="3"/>
  <c r="O1272" i="3"/>
  <c r="O1273" i="3"/>
  <c r="O1274" i="3"/>
  <c r="O1275" i="3"/>
  <c r="K1266" i="3"/>
  <c r="K1267" i="3"/>
  <c r="K1268" i="3"/>
  <c r="K1269" i="3"/>
  <c r="K1270" i="3"/>
  <c r="K1271" i="3"/>
  <c r="K1272" i="3"/>
  <c r="K1273" i="3"/>
  <c r="K1274" i="3"/>
  <c r="K1275" i="3"/>
  <c r="R1266" i="3"/>
  <c r="R1267" i="3"/>
  <c r="R1268" i="3"/>
  <c r="R1269" i="3"/>
  <c r="R1270" i="3"/>
  <c r="R1271" i="3"/>
  <c r="R1272" i="3"/>
  <c r="R1273" i="3"/>
  <c r="R1274" i="3"/>
  <c r="R1275" i="3"/>
  <c r="N1266" i="3"/>
  <c r="N1267" i="3"/>
  <c r="N1268" i="3"/>
  <c r="N1269" i="3"/>
  <c r="N1270" i="3"/>
  <c r="N1271" i="3"/>
  <c r="N1272" i="3"/>
  <c r="N1273" i="3"/>
  <c r="N1274" i="3"/>
  <c r="N1275" i="3"/>
  <c r="J1266" i="3"/>
  <c r="J1267" i="3"/>
  <c r="J1268" i="3"/>
  <c r="J1269" i="3"/>
  <c r="J1270" i="3"/>
  <c r="J1271" i="3"/>
  <c r="J1272" i="3"/>
  <c r="J1273" i="3"/>
  <c r="J1274" i="3"/>
  <c r="J1275" i="3"/>
  <c r="Q1266" i="3"/>
  <c r="Q1267" i="3"/>
  <c r="Q1268" i="3"/>
  <c r="Q1269" i="3"/>
  <c r="Q1270" i="3"/>
  <c r="Q1271" i="3"/>
  <c r="Q1272" i="3"/>
  <c r="Q1273" i="3"/>
  <c r="Q1274" i="3"/>
  <c r="Q1275" i="3"/>
  <c r="M1266" i="3"/>
  <c r="M1267" i="3"/>
  <c r="M1268" i="3"/>
  <c r="M1269" i="3"/>
  <c r="M1270" i="3"/>
  <c r="M1271" i="3"/>
  <c r="M1272" i="3"/>
  <c r="M1273" i="3"/>
  <c r="M1274" i="3"/>
  <c r="M1275" i="3"/>
  <c r="I1266" i="3"/>
  <c r="I1267" i="3"/>
  <c r="I1268" i="3"/>
  <c r="I1269" i="3"/>
  <c r="I1270" i="3"/>
  <c r="I1271" i="3"/>
  <c r="I1272" i="3"/>
  <c r="I1273" i="3"/>
  <c r="I1274" i="3"/>
  <c r="I1275" i="3"/>
  <c r="T1256" i="3"/>
  <c r="T1257" i="3"/>
  <c r="T1258" i="3"/>
  <c r="T1259" i="3"/>
  <c r="T1260" i="3"/>
  <c r="T1261" i="3"/>
  <c r="T1262" i="3"/>
  <c r="T1263" i="3"/>
  <c r="T1264" i="3"/>
  <c r="P1256" i="3"/>
  <c r="P1257" i="3"/>
  <c r="P1258" i="3"/>
  <c r="P1259" i="3"/>
  <c r="P1260" i="3"/>
  <c r="P1261" i="3"/>
  <c r="P1262" i="3"/>
  <c r="P1263" i="3"/>
  <c r="P1264" i="3"/>
  <c r="L1256" i="3"/>
  <c r="L1257" i="3"/>
  <c r="L1258" i="3"/>
  <c r="L1259" i="3"/>
  <c r="L1260" i="3"/>
  <c r="L1261" i="3"/>
  <c r="L1262" i="3"/>
  <c r="L1263" i="3"/>
  <c r="L1264" i="3"/>
  <c r="S1256" i="3"/>
  <c r="S1257" i="3"/>
  <c r="S1258" i="3"/>
  <c r="S1259" i="3"/>
  <c r="S1260" i="3"/>
  <c r="S1261" i="3"/>
  <c r="S1262" i="3"/>
  <c r="S1263" i="3"/>
  <c r="S1264" i="3"/>
  <c r="O1256" i="3"/>
  <c r="O1257" i="3"/>
  <c r="O1258" i="3"/>
  <c r="O1259" i="3"/>
  <c r="O1260" i="3"/>
  <c r="O1261" i="3"/>
  <c r="O1262" i="3"/>
  <c r="O1263" i="3"/>
  <c r="O1264" i="3"/>
  <c r="K1256" i="3"/>
  <c r="K1257" i="3"/>
  <c r="K1258" i="3"/>
  <c r="K1259" i="3"/>
  <c r="K1260" i="3"/>
  <c r="K1261" i="3"/>
  <c r="K1262" i="3"/>
  <c r="K1263" i="3"/>
  <c r="K1264" i="3"/>
  <c r="R1263" i="3"/>
  <c r="R1264" i="3"/>
  <c r="R1256" i="3"/>
  <c r="R1257" i="3"/>
  <c r="R1258" i="3"/>
  <c r="R1259" i="3"/>
  <c r="R1260" i="3"/>
  <c r="R1261" i="3"/>
  <c r="R1262" i="3"/>
  <c r="N1264" i="3"/>
  <c r="N1256" i="3"/>
  <c r="N1257" i="3"/>
  <c r="N1258" i="3"/>
  <c r="N1259" i="3"/>
  <c r="N1260" i="3"/>
  <c r="N1261" i="3"/>
  <c r="N1262" i="3"/>
  <c r="N1263" i="3"/>
  <c r="J1264" i="3"/>
  <c r="J1256" i="3"/>
  <c r="J1257" i="3"/>
  <c r="J1258" i="3"/>
  <c r="J1259" i="3"/>
  <c r="J1260" i="3"/>
  <c r="J1261" i="3"/>
  <c r="J1262" i="3"/>
  <c r="J1263" i="3"/>
  <c r="Q1256" i="3"/>
  <c r="Q1257" i="3"/>
  <c r="Q1258" i="3"/>
  <c r="Q1259" i="3"/>
  <c r="Q1260" i="3"/>
  <c r="Q1261" i="3"/>
  <c r="Q1262" i="3"/>
  <c r="Q1263" i="3"/>
  <c r="Q1264" i="3"/>
  <c r="M1256" i="3"/>
  <c r="M1257" i="3"/>
  <c r="M1258" i="3"/>
  <c r="M1259" i="3"/>
  <c r="M1260" i="3"/>
  <c r="M1261" i="3"/>
  <c r="M1262" i="3"/>
  <c r="M1263" i="3"/>
  <c r="M1264" i="3"/>
  <c r="I1256" i="3"/>
  <c r="I1257" i="3"/>
  <c r="I1258" i="3"/>
  <c r="I1259" i="3"/>
  <c r="I1260" i="3"/>
  <c r="I1261" i="3"/>
  <c r="I1262" i="3"/>
  <c r="I1263" i="3"/>
  <c r="I1264" i="3"/>
  <c r="I1123" i="20"/>
  <c r="I1125" i="20"/>
  <c r="I1124" i="20"/>
  <c r="I1126" i="20"/>
  <c r="I1091" i="20"/>
  <c r="I1092" i="20"/>
  <c r="I1122" i="20"/>
  <c r="I1127" i="20"/>
  <c r="I1121" i="20"/>
  <c r="I1117" i="20"/>
  <c r="I1120" i="20"/>
  <c r="J34" i="3"/>
  <c r="K34" i="3"/>
  <c r="L34" i="3"/>
  <c r="M34" i="3"/>
  <c r="N34" i="3"/>
  <c r="O34" i="3"/>
  <c r="P34" i="3"/>
  <c r="Q34" i="3"/>
  <c r="R34" i="3"/>
  <c r="S34" i="3"/>
  <c r="T34" i="3"/>
  <c r="J78" i="3"/>
  <c r="K78" i="3"/>
  <c r="L78" i="3"/>
  <c r="M78" i="3"/>
  <c r="N78" i="3"/>
  <c r="O78" i="3"/>
  <c r="P78" i="3"/>
  <c r="Q78" i="3"/>
  <c r="R78" i="3"/>
  <c r="S78" i="3"/>
  <c r="T78" i="3"/>
  <c r="J79" i="3"/>
  <c r="K79" i="3"/>
  <c r="L79" i="3"/>
  <c r="M79" i="3"/>
  <c r="N79" i="3"/>
  <c r="O79" i="3"/>
  <c r="P79" i="3"/>
  <c r="Q79" i="3"/>
  <c r="R79" i="3"/>
  <c r="S79" i="3"/>
  <c r="T79" i="3"/>
  <c r="J80" i="3"/>
  <c r="K80" i="3"/>
  <c r="L80" i="3"/>
  <c r="M80" i="3"/>
  <c r="N80" i="3"/>
  <c r="O80" i="3"/>
  <c r="P80" i="3"/>
  <c r="Q80" i="3"/>
  <c r="R80" i="3"/>
  <c r="S80" i="3"/>
  <c r="T80" i="3"/>
  <c r="J81" i="3"/>
  <c r="K81" i="3"/>
  <c r="L81" i="3"/>
  <c r="M81" i="3"/>
  <c r="N81" i="3"/>
  <c r="O81" i="3"/>
  <c r="P81" i="3"/>
  <c r="Q81" i="3"/>
  <c r="R81" i="3"/>
  <c r="S81" i="3"/>
  <c r="T81" i="3"/>
  <c r="J82" i="3"/>
  <c r="K82" i="3"/>
  <c r="L82" i="3"/>
  <c r="M82" i="3"/>
  <c r="N82" i="3"/>
  <c r="O82" i="3"/>
  <c r="P82" i="3"/>
  <c r="Q82" i="3"/>
  <c r="R82" i="3"/>
  <c r="S82" i="3"/>
  <c r="T82" i="3"/>
  <c r="J93" i="3"/>
  <c r="K93" i="3"/>
  <c r="L93" i="3"/>
  <c r="M93" i="3"/>
  <c r="N93" i="3"/>
  <c r="O93" i="3"/>
  <c r="P93" i="3"/>
  <c r="Q93" i="3"/>
  <c r="R93" i="3"/>
  <c r="S93" i="3"/>
  <c r="T93" i="3"/>
  <c r="J94" i="3"/>
  <c r="K94" i="3"/>
  <c r="L94" i="3"/>
  <c r="M94" i="3"/>
  <c r="N94" i="3"/>
  <c r="O94" i="3"/>
  <c r="P94" i="3"/>
  <c r="Q94" i="3"/>
  <c r="R94" i="3"/>
  <c r="S94" i="3"/>
  <c r="T94" i="3"/>
  <c r="J95" i="3"/>
  <c r="K95" i="3"/>
  <c r="L95" i="3"/>
  <c r="M95" i="3"/>
  <c r="N95" i="3"/>
  <c r="O95" i="3"/>
  <c r="P95" i="3"/>
  <c r="Q95" i="3"/>
  <c r="R95" i="3"/>
  <c r="S95" i="3"/>
  <c r="T95" i="3"/>
  <c r="J1191" i="3"/>
  <c r="K1191" i="3"/>
  <c r="L1191" i="3"/>
  <c r="M1191" i="3"/>
  <c r="N1191" i="3"/>
  <c r="O1191" i="3"/>
  <c r="P1191" i="3"/>
  <c r="Q1191" i="3"/>
  <c r="R1191" i="3"/>
  <c r="S1191" i="3"/>
  <c r="T1191" i="3"/>
  <c r="I34" i="3"/>
  <c r="I78" i="3"/>
  <c r="I79" i="3"/>
  <c r="I80" i="3"/>
  <c r="I81" i="3"/>
  <c r="I82" i="3"/>
  <c r="I93" i="3"/>
  <c r="I94" i="3"/>
  <c r="I95" i="3"/>
  <c r="I1191" i="3"/>
  <c r="I5" i="3"/>
  <c r="O220" i="17"/>
  <c r="O221" i="17"/>
  <c r="O222" i="17"/>
  <c r="O223" i="17"/>
  <c r="O224" i="17"/>
  <c r="O225" i="17"/>
  <c r="O226" i="17"/>
  <c r="O227" i="17"/>
  <c r="O228" i="17"/>
  <c r="O229" i="17"/>
  <c r="O230" i="17"/>
  <c r="O231" i="17"/>
  <c r="O232" i="17"/>
  <c r="O233" i="17"/>
  <c r="O234" i="17"/>
  <c r="O235" i="17"/>
  <c r="O236" i="17"/>
  <c r="O237" i="17"/>
  <c r="O238" i="17"/>
  <c r="L220" i="17"/>
  <c r="M220" i="17"/>
  <c r="N220" i="17"/>
  <c r="L221" i="17"/>
  <c r="M221" i="17"/>
  <c r="N221" i="17"/>
  <c r="L222" i="17"/>
  <c r="M222" i="17"/>
  <c r="N222" i="17"/>
  <c r="L223" i="17"/>
  <c r="M223" i="17"/>
  <c r="N223" i="17"/>
  <c r="L224" i="17"/>
  <c r="M224" i="17"/>
  <c r="N224" i="17"/>
  <c r="L225" i="17"/>
  <c r="M225" i="17"/>
  <c r="N225" i="17"/>
  <c r="L226" i="17"/>
  <c r="M226" i="17"/>
  <c r="N226" i="17"/>
  <c r="L227" i="17"/>
  <c r="M227" i="17"/>
  <c r="N227" i="17"/>
  <c r="L228" i="17"/>
  <c r="M228" i="17"/>
  <c r="N228" i="17"/>
  <c r="L229" i="17"/>
  <c r="M229" i="17"/>
  <c r="N229" i="17"/>
  <c r="L230" i="17"/>
  <c r="M230" i="17"/>
  <c r="N230" i="17"/>
  <c r="L231" i="17"/>
  <c r="M231" i="17"/>
  <c r="N231" i="17"/>
  <c r="L232" i="17"/>
  <c r="M232" i="17"/>
  <c r="N232" i="17"/>
  <c r="L233" i="17"/>
  <c r="M233" i="17"/>
  <c r="N233" i="17"/>
  <c r="L234" i="17"/>
  <c r="M234" i="17"/>
  <c r="N234" i="17"/>
  <c r="L235" i="17"/>
  <c r="M235" i="17"/>
  <c r="N235" i="17"/>
  <c r="L236" i="17"/>
  <c r="M236" i="17"/>
  <c r="N236" i="17"/>
  <c r="L237" i="17"/>
  <c r="M237" i="17"/>
  <c r="N237" i="17"/>
  <c r="L238" i="17"/>
  <c r="M238" i="17"/>
  <c r="N238" i="17"/>
  <c r="E220" i="17"/>
  <c r="F220" i="17"/>
  <c r="G220" i="17"/>
  <c r="H220" i="17"/>
  <c r="I220" i="17"/>
  <c r="J220" i="17"/>
  <c r="K220" i="17"/>
  <c r="E221" i="17"/>
  <c r="F221" i="17"/>
  <c r="G221" i="17"/>
  <c r="H221" i="17"/>
  <c r="I221" i="17"/>
  <c r="J221" i="17"/>
  <c r="K221" i="17"/>
  <c r="E222" i="17"/>
  <c r="F222" i="17"/>
  <c r="G222" i="17"/>
  <c r="H222" i="17"/>
  <c r="I222" i="17"/>
  <c r="J222" i="17"/>
  <c r="K222" i="17"/>
  <c r="E223" i="17"/>
  <c r="F223" i="17"/>
  <c r="G223" i="17"/>
  <c r="H223" i="17"/>
  <c r="I223" i="17"/>
  <c r="J223" i="17"/>
  <c r="K223" i="17"/>
  <c r="E224" i="17"/>
  <c r="F224" i="17"/>
  <c r="G224" i="17"/>
  <c r="H224" i="17"/>
  <c r="I224" i="17"/>
  <c r="J224" i="17"/>
  <c r="K224" i="17"/>
  <c r="E225" i="17"/>
  <c r="F225" i="17"/>
  <c r="G225" i="17"/>
  <c r="H225" i="17"/>
  <c r="I225" i="17"/>
  <c r="J225" i="17"/>
  <c r="K225" i="17"/>
  <c r="E226" i="17"/>
  <c r="F226" i="17"/>
  <c r="G226" i="17"/>
  <c r="H226" i="17"/>
  <c r="I226" i="17"/>
  <c r="J226" i="17"/>
  <c r="K226" i="17"/>
  <c r="E227" i="17"/>
  <c r="F227" i="17"/>
  <c r="G227" i="17"/>
  <c r="H227" i="17"/>
  <c r="I227" i="17"/>
  <c r="J227" i="17"/>
  <c r="K227" i="17"/>
  <c r="E228" i="17"/>
  <c r="F228" i="17"/>
  <c r="G228" i="17"/>
  <c r="H228" i="17"/>
  <c r="I228" i="17"/>
  <c r="J228" i="17"/>
  <c r="K228" i="17"/>
  <c r="E229" i="17"/>
  <c r="F229" i="17"/>
  <c r="G229" i="17"/>
  <c r="H229" i="17"/>
  <c r="I229" i="17"/>
  <c r="J229" i="17"/>
  <c r="K229" i="17"/>
  <c r="E230" i="17"/>
  <c r="F230" i="17"/>
  <c r="G230" i="17"/>
  <c r="H230" i="17"/>
  <c r="I230" i="17"/>
  <c r="J230" i="17"/>
  <c r="K230" i="17"/>
  <c r="E231" i="17"/>
  <c r="F231" i="17"/>
  <c r="G231" i="17"/>
  <c r="H231" i="17"/>
  <c r="I231" i="17"/>
  <c r="J231" i="17"/>
  <c r="K231" i="17"/>
  <c r="E232" i="17"/>
  <c r="F232" i="17"/>
  <c r="G232" i="17"/>
  <c r="H232" i="17"/>
  <c r="I232" i="17"/>
  <c r="J232" i="17"/>
  <c r="K232" i="17"/>
  <c r="E233" i="17"/>
  <c r="F233" i="17"/>
  <c r="G233" i="17"/>
  <c r="H233" i="17"/>
  <c r="I233" i="17"/>
  <c r="J233" i="17"/>
  <c r="K233" i="17"/>
  <c r="E234" i="17"/>
  <c r="F234" i="17"/>
  <c r="G234" i="17"/>
  <c r="H234" i="17"/>
  <c r="I234" i="17"/>
  <c r="J234" i="17"/>
  <c r="K234" i="17"/>
  <c r="E235" i="17"/>
  <c r="F235" i="17"/>
  <c r="G235" i="17"/>
  <c r="H235" i="17"/>
  <c r="I235" i="17"/>
  <c r="J235" i="17"/>
  <c r="K235" i="17"/>
  <c r="E236" i="17"/>
  <c r="F236" i="17"/>
  <c r="G236" i="17"/>
  <c r="H236" i="17"/>
  <c r="I236" i="17"/>
  <c r="J236" i="17"/>
  <c r="K236" i="17"/>
  <c r="E237" i="17"/>
  <c r="F237" i="17"/>
  <c r="G237" i="17"/>
  <c r="H237" i="17"/>
  <c r="I237" i="17"/>
  <c r="J237" i="17"/>
  <c r="K237" i="17"/>
  <c r="E238" i="17"/>
  <c r="F238" i="17"/>
  <c r="G238" i="17"/>
  <c r="H238" i="17"/>
  <c r="I238" i="17"/>
  <c r="J238" i="17"/>
  <c r="K238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B195" i="17" l="1"/>
  <c r="B185" i="17"/>
  <c r="B186" i="17"/>
  <c r="B187" i="17"/>
  <c r="B188" i="17"/>
  <c r="B189" i="17"/>
  <c r="B190" i="17"/>
  <c r="B191" i="17"/>
  <c r="B192" i="17"/>
  <c r="B193" i="17"/>
  <c r="B194" i="17"/>
  <c r="B184" i="17"/>
  <c r="C172" i="17" l="1"/>
  <c r="C173" i="17"/>
  <c r="C174" i="17"/>
  <c r="C175" i="17"/>
  <c r="C176" i="17"/>
  <c r="C177" i="17"/>
  <c r="C178" i="17"/>
  <c r="C179" i="17"/>
  <c r="C180" i="17"/>
  <c r="C171" i="17"/>
  <c r="E45" i="17" l="1"/>
  <c r="U73" i="17" s="1"/>
  <c r="F45" i="17"/>
  <c r="F73" i="17" s="1"/>
  <c r="F121" i="17" s="1"/>
  <c r="G45" i="17"/>
  <c r="W73" i="17" s="1"/>
  <c r="H45" i="17"/>
  <c r="X73" i="17" s="1"/>
  <c r="I45" i="17"/>
  <c r="Y73" i="17" s="1"/>
  <c r="J45" i="17"/>
  <c r="Z73" i="17" s="1"/>
  <c r="K45" i="17"/>
  <c r="AA73" i="17" s="1"/>
  <c r="L45" i="17"/>
  <c r="AB73" i="17" s="1"/>
  <c r="M45" i="17"/>
  <c r="AC73" i="17" s="1"/>
  <c r="N45" i="17"/>
  <c r="AD73" i="17" s="1"/>
  <c r="O45" i="17"/>
  <c r="AE73" i="17" s="1"/>
  <c r="D45" i="17"/>
  <c r="T73" i="17" s="1"/>
  <c r="E34" i="17"/>
  <c r="F34" i="17"/>
  <c r="G34" i="17"/>
  <c r="H34" i="17"/>
  <c r="I34" i="17"/>
  <c r="J34" i="17"/>
  <c r="K34" i="17"/>
  <c r="L34" i="17"/>
  <c r="M34" i="17"/>
  <c r="N34" i="17"/>
  <c r="O34" i="17"/>
  <c r="E35" i="17"/>
  <c r="F35" i="17"/>
  <c r="G35" i="17"/>
  <c r="H35" i="17"/>
  <c r="I35" i="17"/>
  <c r="J35" i="17"/>
  <c r="K35" i="17"/>
  <c r="L35" i="17"/>
  <c r="M35" i="17"/>
  <c r="N35" i="17"/>
  <c r="O35" i="17"/>
  <c r="E36" i="17"/>
  <c r="F36" i="17"/>
  <c r="G36" i="17"/>
  <c r="H36" i="17"/>
  <c r="I36" i="17"/>
  <c r="J36" i="17"/>
  <c r="K36" i="17"/>
  <c r="L36" i="17"/>
  <c r="M36" i="17"/>
  <c r="N36" i="17"/>
  <c r="O36" i="17"/>
  <c r="E37" i="17"/>
  <c r="F37" i="17"/>
  <c r="G37" i="17"/>
  <c r="H37" i="17"/>
  <c r="I37" i="17"/>
  <c r="J37" i="17"/>
  <c r="K37" i="17"/>
  <c r="L37" i="17"/>
  <c r="M37" i="17"/>
  <c r="N37" i="17"/>
  <c r="O37" i="17"/>
  <c r="E38" i="17"/>
  <c r="F38" i="17"/>
  <c r="G38" i="17"/>
  <c r="H38" i="17"/>
  <c r="I38" i="17"/>
  <c r="J38" i="17"/>
  <c r="K38" i="17"/>
  <c r="L38" i="17"/>
  <c r="M38" i="17"/>
  <c r="N38" i="17"/>
  <c r="O38" i="17"/>
  <c r="E39" i="17"/>
  <c r="F39" i="17"/>
  <c r="G39" i="17"/>
  <c r="H39" i="17"/>
  <c r="I39" i="17"/>
  <c r="J39" i="17"/>
  <c r="K39" i="17"/>
  <c r="L39" i="17"/>
  <c r="M39" i="17"/>
  <c r="N39" i="17"/>
  <c r="O39" i="17"/>
  <c r="D34" i="17"/>
  <c r="D35" i="17"/>
  <c r="D36" i="17"/>
  <c r="D37" i="17"/>
  <c r="D38" i="17"/>
  <c r="D39" i="17"/>
  <c r="E2" i="17"/>
  <c r="F2" i="17"/>
  <c r="G2" i="17"/>
  <c r="H2" i="17"/>
  <c r="I2" i="17"/>
  <c r="J2" i="17"/>
  <c r="K2" i="17"/>
  <c r="L2" i="17"/>
  <c r="M2" i="17"/>
  <c r="N2" i="17"/>
  <c r="O2" i="17"/>
  <c r="D2" i="17"/>
  <c r="O3" i="17"/>
  <c r="E3" i="17"/>
  <c r="F3" i="17"/>
  <c r="G3" i="17"/>
  <c r="H3" i="17"/>
  <c r="I3" i="17"/>
  <c r="J3" i="17"/>
  <c r="K3" i="17"/>
  <c r="L3" i="17"/>
  <c r="M3" i="17"/>
  <c r="N3" i="17"/>
  <c r="D3" i="17"/>
  <c r="V121" i="17" l="1"/>
  <c r="V137" i="17" s="1"/>
  <c r="F137" i="17"/>
  <c r="F183" i="17" s="1"/>
  <c r="F200" i="17" s="1"/>
  <c r="F104" i="17"/>
  <c r="N73" i="17"/>
  <c r="J73" i="17"/>
  <c r="V73" i="17"/>
  <c r="M73" i="17"/>
  <c r="I73" i="17"/>
  <c r="E73" i="17"/>
  <c r="D73" i="17"/>
  <c r="L73" i="17"/>
  <c r="H73" i="17"/>
  <c r="O73" i="17"/>
  <c r="K73" i="17"/>
  <c r="G73" i="17"/>
  <c r="F103" i="17"/>
  <c r="F185" i="17" l="1"/>
  <c r="F186" i="17"/>
  <c r="F195" i="17"/>
  <c r="F191" i="17"/>
  <c r="F193" i="17"/>
  <c r="F194" i="17"/>
  <c r="F187" i="17"/>
  <c r="F189" i="17"/>
  <c r="F190" i="17"/>
  <c r="F184" i="17"/>
  <c r="F188" i="17"/>
  <c r="F192" i="17"/>
  <c r="E121" i="17"/>
  <c r="E104" i="17"/>
  <c r="I121" i="17"/>
  <c r="I104" i="17"/>
  <c r="N121" i="17"/>
  <c r="N104" i="17"/>
  <c r="G121" i="17"/>
  <c r="G104" i="17"/>
  <c r="L121" i="17"/>
  <c r="L104" i="17"/>
  <c r="M121" i="17"/>
  <c r="M104" i="17"/>
  <c r="O121" i="17"/>
  <c r="O104" i="17"/>
  <c r="J121" i="17"/>
  <c r="J104" i="17"/>
  <c r="H121" i="17"/>
  <c r="H104" i="17"/>
  <c r="K121" i="17"/>
  <c r="K104" i="17"/>
  <c r="D121" i="17"/>
  <c r="D104" i="17"/>
  <c r="G7" i="14"/>
  <c r="G57" i="14" s="1"/>
  <c r="G103" i="14" s="1"/>
  <c r="G149" i="14" s="1"/>
  <c r="H7" i="14"/>
  <c r="H57" i="14" s="1"/>
  <c r="H103" i="14" s="1"/>
  <c r="H149" i="14" s="1"/>
  <c r="I7" i="14"/>
  <c r="I57" i="14" s="1"/>
  <c r="I103" i="14" s="1"/>
  <c r="I149" i="14" s="1"/>
  <c r="J7" i="14"/>
  <c r="J57" i="14" s="1"/>
  <c r="J103" i="14" s="1"/>
  <c r="J149" i="14" s="1"/>
  <c r="K7" i="14"/>
  <c r="K57" i="14" s="1"/>
  <c r="K103" i="14" s="1"/>
  <c r="K149" i="14" s="1"/>
  <c r="L7" i="14"/>
  <c r="L57" i="14" s="1"/>
  <c r="L103" i="14" s="1"/>
  <c r="L149" i="14" s="1"/>
  <c r="M7" i="14"/>
  <c r="M57" i="14" s="1"/>
  <c r="M103" i="14" s="1"/>
  <c r="M149" i="14" s="1"/>
  <c r="N7" i="14"/>
  <c r="N57" i="14" s="1"/>
  <c r="N103" i="14" s="1"/>
  <c r="N149" i="14" s="1"/>
  <c r="O7" i="14"/>
  <c r="O57" i="14" s="1"/>
  <c r="O103" i="14" s="1"/>
  <c r="O149" i="14" s="1"/>
  <c r="P7" i="14"/>
  <c r="P57" i="14" s="1"/>
  <c r="P103" i="14" s="1"/>
  <c r="P149" i="14" s="1"/>
  <c r="Q7" i="14"/>
  <c r="Q57" i="14" s="1"/>
  <c r="Q103" i="14" s="1"/>
  <c r="Q149" i="14" s="1"/>
  <c r="F7" i="14"/>
  <c r="F57" i="14" s="1"/>
  <c r="F103" i="14" s="1"/>
  <c r="F149" i="14" s="1"/>
  <c r="F1" i="11"/>
  <c r="F3" i="11"/>
  <c r="J2" i="3"/>
  <c r="K2" i="3"/>
  <c r="L2" i="3"/>
  <c r="M2" i="3"/>
  <c r="N2" i="3"/>
  <c r="O2" i="3"/>
  <c r="P2" i="3"/>
  <c r="Q2" i="3"/>
  <c r="R2" i="3"/>
  <c r="S2" i="3"/>
  <c r="T2" i="3"/>
  <c r="J3" i="3"/>
  <c r="K3" i="3"/>
  <c r="L3" i="3"/>
  <c r="M3" i="3"/>
  <c r="N3" i="3"/>
  <c r="O3" i="3"/>
  <c r="P3" i="3"/>
  <c r="Q3" i="3"/>
  <c r="R3" i="3"/>
  <c r="S3" i="3"/>
  <c r="T3" i="3"/>
  <c r="J4" i="3"/>
  <c r="K4" i="3"/>
  <c r="L4" i="3"/>
  <c r="M4" i="3"/>
  <c r="N4" i="3"/>
  <c r="O4" i="3"/>
  <c r="P4" i="3"/>
  <c r="Q4" i="3"/>
  <c r="R4" i="3"/>
  <c r="S4" i="3"/>
  <c r="T4" i="3"/>
  <c r="J5" i="3"/>
  <c r="K5" i="3"/>
  <c r="L5" i="3"/>
  <c r="M5" i="3"/>
  <c r="N5" i="3"/>
  <c r="O5" i="3"/>
  <c r="P5" i="3"/>
  <c r="Q5" i="3"/>
  <c r="R5" i="3"/>
  <c r="S5" i="3"/>
  <c r="T5" i="3"/>
  <c r="I2" i="3"/>
  <c r="I3" i="3"/>
  <c r="I4" i="3"/>
  <c r="E103" i="17"/>
  <c r="N103" i="17"/>
  <c r="L103" i="17"/>
  <c r="O103" i="17"/>
  <c r="H103" i="17"/>
  <c r="D103" i="17"/>
  <c r="I103" i="17"/>
  <c r="G103" i="17"/>
  <c r="M103" i="17"/>
  <c r="J103" i="17"/>
  <c r="K103" i="17"/>
  <c r="I30" i="3" l="1"/>
  <c r="I27" i="3"/>
  <c r="I31" i="3"/>
  <c r="I28" i="3"/>
  <c r="I29" i="3"/>
  <c r="S32" i="3"/>
  <c r="S33" i="3"/>
  <c r="O32" i="3"/>
  <c r="O33" i="3"/>
  <c r="K32" i="3"/>
  <c r="K33" i="3"/>
  <c r="Q27" i="3"/>
  <c r="Q29" i="3"/>
  <c r="Q31" i="3"/>
  <c r="Q28" i="3"/>
  <c r="Q30" i="3"/>
  <c r="M27" i="3"/>
  <c r="M29" i="3"/>
  <c r="M31" i="3"/>
  <c r="M28" i="3"/>
  <c r="M30" i="3"/>
  <c r="T20" i="3"/>
  <c r="T22" i="3"/>
  <c r="T19" i="3"/>
  <c r="T21" i="3"/>
  <c r="T23" i="3"/>
  <c r="P20" i="3"/>
  <c r="P22" i="3"/>
  <c r="P19" i="3"/>
  <c r="P21" i="3"/>
  <c r="P23" i="3"/>
  <c r="L20" i="3"/>
  <c r="L22" i="3"/>
  <c r="L19" i="3"/>
  <c r="L21" i="3"/>
  <c r="L23" i="3"/>
  <c r="S14" i="3"/>
  <c r="S15" i="3"/>
  <c r="O14" i="3"/>
  <c r="O15" i="3"/>
  <c r="K14" i="3"/>
  <c r="K15" i="3"/>
  <c r="R7" i="3"/>
  <c r="M23" i="17" s="1"/>
  <c r="R9" i="3"/>
  <c r="M25" i="17" s="1"/>
  <c r="R11" i="3"/>
  <c r="R8" i="3"/>
  <c r="M24" i="17" s="1"/>
  <c r="R10" i="3"/>
  <c r="M26" i="17" s="1"/>
  <c r="N7" i="3"/>
  <c r="N9" i="3"/>
  <c r="N11" i="3"/>
  <c r="I27" i="17" s="1"/>
  <c r="N8" i="3"/>
  <c r="I24" i="17" s="1"/>
  <c r="N10" i="3"/>
  <c r="J7" i="3"/>
  <c r="E23" i="17" s="1"/>
  <c r="J11" i="3"/>
  <c r="E27" i="17" s="1"/>
  <c r="J8" i="3"/>
  <c r="E24" i="17" s="1"/>
  <c r="J9" i="3"/>
  <c r="J10" i="3"/>
  <c r="E26" i="17" s="1"/>
  <c r="I22" i="3"/>
  <c r="I19" i="3"/>
  <c r="I23" i="3"/>
  <c r="I20" i="3"/>
  <c r="I21" i="3"/>
  <c r="R33" i="3"/>
  <c r="R32" i="3"/>
  <c r="N33" i="3"/>
  <c r="N32" i="3"/>
  <c r="J32" i="3"/>
  <c r="J33" i="3"/>
  <c r="T28" i="3"/>
  <c r="T30" i="3"/>
  <c r="T27" i="3"/>
  <c r="T29" i="3"/>
  <c r="T31" i="3"/>
  <c r="P28" i="3"/>
  <c r="P30" i="3"/>
  <c r="P27" i="3"/>
  <c r="P29" i="3"/>
  <c r="P31" i="3"/>
  <c r="L28" i="3"/>
  <c r="L30" i="3"/>
  <c r="L27" i="3"/>
  <c r="L29" i="3"/>
  <c r="L31" i="3"/>
  <c r="S20" i="3"/>
  <c r="S22" i="3"/>
  <c r="S19" i="3"/>
  <c r="S21" i="3"/>
  <c r="S23" i="3"/>
  <c r="O20" i="3"/>
  <c r="O22" i="3"/>
  <c r="O19" i="3"/>
  <c r="O21" i="3"/>
  <c r="O23" i="3"/>
  <c r="K20" i="3"/>
  <c r="K22" i="3"/>
  <c r="K19" i="3"/>
  <c r="K21" i="3"/>
  <c r="K23" i="3"/>
  <c r="R15" i="3"/>
  <c r="R14" i="3"/>
  <c r="N15" i="3"/>
  <c r="N14" i="3"/>
  <c r="J15" i="3"/>
  <c r="J14" i="3"/>
  <c r="Q7" i="3"/>
  <c r="L23" i="17" s="1"/>
  <c r="Q9" i="3"/>
  <c r="L25" i="17" s="1"/>
  <c r="Q11" i="3"/>
  <c r="L27" i="17" s="1"/>
  <c r="Q8" i="3"/>
  <c r="L24" i="17" s="1"/>
  <c r="Q10" i="3"/>
  <c r="L26" i="17" s="1"/>
  <c r="M7" i="3"/>
  <c r="M9" i="3"/>
  <c r="H25" i="17" s="1"/>
  <c r="M11" i="3"/>
  <c r="H27" i="17" s="1"/>
  <c r="M8" i="3"/>
  <c r="M10" i="3"/>
  <c r="I32" i="3"/>
  <c r="I33" i="3"/>
  <c r="I14" i="3"/>
  <c r="I15" i="3"/>
  <c r="Q33" i="3"/>
  <c r="Q32" i="3"/>
  <c r="M33" i="3"/>
  <c r="M32" i="3"/>
  <c r="S28" i="3"/>
  <c r="S30" i="3"/>
  <c r="S27" i="3"/>
  <c r="S29" i="3"/>
  <c r="S31" i="3"/>
  <c r="O28" i="3"/>
  <c r="O30" i="3"/>
  <c r="O27" i="3"/>
  <c r="O29" i="3"/>
  <c r="O31" i="3"/>
  <c r="K28" i="3"/>
  <c r="K30" i="3"/>
  <c r="K27" i="3"/>
  <c r="K29" i="3"/>
  <c r="K31" i="3"/>
  <c r="R19" i="3"/>
  <c r="R21" i="3"/>
  <c r="R23" i="3"/>
  <c r="R20" i="3"/>
  <c r="R22" i="3"/>
  <c r="N19" i="3"/>
  <c r="N21" i="3"/>
  <c r="N23" i="3"/>
  <c r="N20" i="3"/>
  <c r="N22" i="3"/>
  <c r="J19" i="3"/>
  <c r="J23" i="3"/>
  <c r="J20" i="3"/>
  <c r="J21" i="3"/>
  <c r="J22" i="3"/>
  <c r="Q15" i="3"/>
  <c r="Q14" i="3"/>
  <c r="M15" i="3"/>
  <c r="M14" i="3"/>
  <c r="T8" i="3"/>
  <c r="O24" i="17" s="1"/>
  <c r="T10" i="3"/>
  <c r="O26" i="17" s="1"/>
  <c r="T7" i="3"/>
  <c r="O23" i="17" s="1"/>
  <c r="T9" i="3"/>
  <c r="O25" i="17" s="1"/>
  <c r="T11" i="3"/>
  <c r="O27" i="17" s="1"/>
  <c r="P8" i="3"/>
  <c r="K24" i="17" s="1"/>
  <c r="P10" i="3"/>
  <c r="K26" i="17" s="1"/>
  <c r="P7" i="3"/>
  <c r="K23" i="17" s="1"/>
  <c r="P9" i="3"/>
  <c r="K25" i="17" s="1"/>
  <c r="P11" i="3"/>
  <c r="K27" i="17" s="1"/>
  <c r="L8" i="3"/>
  <c r="G24" i="17" s="1"/>
  <c r="L10" i="3"/>
  <c r="G26" i="17" s="1"/>
  <c r="L7" i="3"/>
  <c r="G23" i="17" s="1"/>
  <c r="L9" i="3"/>
  <c r="L11" i="3"/>
  <c r="G27" i="17" s="1"/>
  <c r="I10" i="3"/>
  <c r="D26" i="17" s="1"/>
  <c r="I7" i="3"/>
  <c r="I11" i="3"/>
  <c r="D27" i="17" s="1"/>
  <c r="I8" i="3"/>
  <c r="D24" i="17" s="1"/>
  <c r="I9" i="3"/>
  <c r="D25" i="17" s="1"/>
  <c r="T32" i="3"/>
  <c r="T33" i="3"/>
  <c r="P32" i="3"/>
  <c r="P33" i="3"/>
  <c r="L32" i="3"/>
  <c r="L33" i="3"/>
  <c r="R27" i="3"/>
  <c r="R29" i="3"/>
  <c r="R31" i="3"/>
  <c r="R28" i="3"/>
  <c r="R30" i="3"/>
  <c r="N27" i="3"/>
  <c r="N29" i="3"/>
  <c r="N31" i="3"/>
  <c r="N28" i="3"/>
  <c r="N30" i="3"/>
  <c r="J27" i="3"/>
  <c r="J31" i="3"/>
  <c r="J28" i="3"/>
  <c r="J29" i="3"/>
  <c r="J30" i="3"/>
  <c r="Q19" i="3"/>
  <c r="Q21" i="3"/>
  <c r="Q23" i="3"/>
  <c r="Q20" i="3"/>
  <c r="Q22" i="3"/>
  <c r="M19" i="3"/>
  <c r="M21" i="3"/>
  <c r="M23" i="3"/>
  <c r="M20" i="3"/>
  <c r="M22" i="3"/>
  <c r="T14" i="3"/>
  <c r="T15" i="3"/>
  <c r="P14" i="3"/>
  <c r="P15" i="3"/>
  <c r="L14" i="3"/>
  <c r="L15" i="3"/>
  <c r="S8" i="3"/>
  <c r="N24" i="17" s="1"/>
  <c r="S10" i="3"/>
  <c r="N26" i="17" s="1"/>
  <c r="S7" i="3"/>
  <c r="N23" i="17" s="1"/>
  <c r="S9" i="3"/>
  <c r="N25" i="17" s="1"/>
  <c r="S11" i="3"/>
  <c r="N27" i="17" s="1"/>
  <c r="O8" i="3"/>
  <c r="J24" i="17" s="1"/>
  <c r="O10" i="3"/>
  <c r="J26" i="17" s="1"/>
  <c r="O7" i="3"/>
  <c r="J23" i="17" s="1"/>
  <c r="O9" i="3"/>
  <c r="J25" i="17" s="1"/>
  <c r="O11" i="3"/>
  <c r="J27" i="17" s="1"/>
  <c r="K8" i="3"/>
  <c r="F24" i="17" s="1"/>
  <c r="K10" i="3"/>
  <c r="F26" i="17" s="1"/>
  <c r="K7" i="3"/>
  <c r="F23" i="17" s="1"/>
  <c r="K9" i="3"/>
  <c r="F25" i="17" s="1"/>
  <c r="K11" i="3"/>
  <c r="F27" i="17" s="1"/>
  <c r="J35" i="3"/>
  <c r="J38" i="3"/>
  <c r="J36" i="3"/>
  <c r="J37" i="3"/>
  <c r="I37" i="3"/>
  <c r="I38" i="3"/>
  <c r="I35" i="3"/>
  <c r="I36" i="3"/>
  <c r="H26" i="17"/>
  <c r="K36" i="3"/>
  <c r="K35" i="3"/>
  <c r="K38" i="3"/>
  <c r="K37" i="3"/>
  <c r="R157" i="17"/>
  <c r="V157" i="17"/>
  <c r="H158" i="17"/>
  <c r="L158" i="17"/>
  <c r="P158" i="17"/>
  <c r="T158" i="17"/>
  <c r="R159" i="17"/>
  <c r="V159" i="17"/>
  <c r="H160" i="17"/>
  <c r="L160" i="17"/>
  <c r="P160" i="17"/>
  <c r="T160" i="17"/>
  <c r="R161" i="17"/>
  <c r="V161" i="17"/>
  <c r="H162" i="17"/>
  <c r="L162" i="17"/>
  <c r="P162" i="17"/>
  <c r="T162" i="17"/>
  <c r="R163" i="17"/>
  <c r="V163" i="17"/>
  <c r="H164" i="17"/>
  <c r="L164" i="17"/>
  <c r="P164" i="17"/>
  <c r="T164" i="17"/>
  <c r="R165" i="17"/>
  <c r="V165" i="17"/>
  <c r="H166" i="17"/>
  <c r="L166" i="17"/>
  <c r="P166" i="17"/>
  <c r="T166" i="17"/>
  <c r="R167" i="17"/>
  <c r="V167" i="17"/>
  <c r="H168" i="17"/>
  <c r="L168" i="17"/>
  <c r="P168" i="17"/>
  <c r="T168" i="17"/>
  <c r="R169" i="17"/>
  <c r="V169" i="17"/>
  <c r="D161" i="17"/>
  <c r="D165" i="17"/>
  <c r="D169" i="17"/>
  <c r="K163" i="17"/>
  <c r="O163" i="17"/>
  <c r="E164" i="17"/>
  <c r="I164" i="17"/>
  <c r="M164" i="17"/>
  <c r="Q164" i="17"/>
  <c r="G157" i="17"/>
  <c r="K157" i="17"/>
  <c r="O157" i="17"/>
  <c r="E158" i="17"/>
  <c r="I158" i="17"/>
  <c r="M158" i="17"/>
  <c r="Q158" i="17"/>
  <c r="U158" i="17"/>
  <c r="G159" i="17"/>
  <c r="K159" i="17"/>
  <c r="O159" i="17"/>
  <c r="E160" i="17"/>
  <c r="I160" i="17"/>
  <c r="M160" i="17"/>
  <c r="Q160" i="17"/>
  <c r="U160" i="17"/>
  <c r="G161" i="17"/>
  <c r="K161" i="17"/>
  <c r="O161" i="17"/>
  <c r="E162" i="17"/>
  <c r="I162" i="17"/>
  <c r="M162" i="17"/>
  <c r="Q162" i="17"/>
  <c r="U162" i="17"/>
  <c r="G163" i="17"/>
  <c r="U164" i="17"/>
  <c r="G165" i="17"/>
  <c r="K165" i="17"/>
  <c r="H157" i="17"/>
  <c r="L157" i="17"/>
  <c r="P157" i="17"/>
  <c r="T157" i="17"/>
  <c r="R158" i="17"/>
  <c r="V158" i="17"/>
  <c r="H159" i="17"/>
  <c r="L159" i="17"/>
  <c r="P159" i="17"/>
  <c r="T159" i="17"/>
  <c r="R160" i="17"/>
  <c r="V160" i="17"/>
  <c r="H161" i="17"/>
  <c r="L161" i="17"/>
  <c r="P161" i="17"/>
  <c r="T161" i="17"/>
  <c r="R162" i="17"/>
  <c r="V162" i="17"/>
  <c r="H163" i="17"/>
  <c r="L163" i="17"/>
  <c r="P163" i="17"/>
  <c r="T163" i="17"/>
  <c r="R164" i="17"/>
  <c r="V164" i="17"/>
  <c r="H165" i="17"/>
  <c r="L165" i="17"/>
  <c r="P165" i="17"/>
  <c r="T165" i="17"/>
  <c r="R166" i="17"/>
  <c r="V166" i="17"/>
  <c r="H167" i="17"/>
  <c r="L167" i="17"/>
  <c r="P167" i="17"/>
  <c r="T167" i="17"/>
  <c r="R168" i="17"/>
  <c r="V168" i="17"/>
  <c r="H169" i="17"/>
  <c r="L169" i="17"/>
  <c r="P169" i="17"/>
  <c r="T169" i="17"/>
  <c r="D159" i="17"/>
  <c r="D163" i="17"/>
  <c r="D167" i="17"/>
  <c r="E157" i="17"/>
  <c r="I157" i="17"/>
  <c r="M157" i="17"/>
  <c r="Q157" i="17"/>
  <c r="U157" i="17"/>
  <c r="G158" i="17"/>
  <c r="K158" i="17"/>
  <c r="O158" i="17"/>
  <c r="E159" i="17"/>
  <c r="I159" i="17"/>
  <c r="M159" i="17"/>
  <c r="Q159" i="17"/>
  <c r="U159" i="17"/>
  <c r="G160" i="17"/>
  <c r="K160" i="17"/>
  <c r="O160" i="17"/>
  <c r="E161" i="17"/>
  <c r="I161" i="17"/>
  <c r="M161" i="17"/>
  <c r="K162" i="17"/>
  <c r="I163" i="17"/>
  <c r="G164" i="17"/>
  <c r="E165" i="17"/>
  <c r="Q165" i="17"/>
  <c r="G166" i="17"/>
  <c r="O166" i="17"/>
  <c r="E167" i="17"/>
  <c r="M167" i="17"/>
  <c r="U167" i="17"/>
  <c r="K168" i="17"/>
  <c r="I169" i="17"/>
  <c r="Q169" i="17"/>
  <c r="D160" i="17"/>
  <c r="D168" i="17"/>
  <c r="I168" i="17"/>
  <c r="G169" i="17"/>
  <c r="Q161" i="17"/>
  <c r="O162" i="17"/>
  <c r="M163" i="17"/>
  <c r="K164" i="17"/>
  <c r="I165" i="17"/>
  <c r="I166" i="17"/>
  <c r="Q166" i="17"/>
  <c r="G167" i="17"/>
  <c r="O167" i="17"/>
  <c r="E168" i="17"/>
  <c r="M168" i="17"/>
  <c r="U168" i="17"/>
  <c r="K169" i="17"/>
  <c r="D162" i="17"/>
  <c r="D157" i="17"/>
  <c r="D164" i="17"/>
  <c r="E163" i="17"/>
  <c r="E166" i="17"/>
  <c r="U166" i="17"/>
  <c r="O169" i="17"/>
  <c r="U161" i="17"/>
  <c r="Q163" i="17"/>
  <c r="O164" i="17"/>
  <c r="M165" i="17"/>
  <c r="U165" i="17"/>
  <c r="K166" i="17"/>
  <c r="I167" i="17"/>
  <c r="Q167" i="17"/>
  <c r="G168" i="17"/>
  <c r="O168" i="17"/>
  <c r="E169" i="17"/>
  <c r="M169" i="17"/>
  <c r="U169" i="17"/>
  <c r="G162" i="17"/>
  <c r="U163" i="17"/>
  <c r="O165" i="17"/>
  <c r="M166" i="17"/>
  <c r="K167" i="17"/>
  <c r="Q168" i="17"/>
  <c r="D158" i="17"/>
  <c r="D166" i="17"/>
  <c r="AA121" i="17"/>
  <c r="AA137" i="17" s="1"/>
  <c r="K137" i="17"/>
  <c r="K183" i="17" s="1"/>
  <c r="K200" i="17" s="1"/>
  <c r="Z121" i="17"/>
  <c r="Z137" i="17" s="1"/>
  <c r="J137" i="17"/>
  <c r="J183" i="17" s="1"/>
  <c r="J200" i="17" s="1"/>
  <c r="AC121" i="17"/>
  <c r="AC137" i="17" s="1"/>
  <c r="M137" i="17"/>
  <c r="M183" i="17" s="1"/>
  <c r="M200" i="17" s="1"/>
  <c r="W121" i="17"/>
  <c r="W137" i="17" s="1"/>
  <c r="G137" i="17"/>
  <c r="G183" i="17" s="1"/>
  <c r="G200" i="17" s="1"/>
  <c r="Y121" i="17"/>
  <c r="Y137" i="17" s="1"/>
  <c r="I137" i="17"/>
  <c r="I183" i="17" s="1"/>
  <c r="I200" i="17" s="1"/>
  <c r="D137" i="17"/>
  <c r="D183" i="17" s="1"/>
  <c r="T121" i="17"/>
  <c r="T137" i="17" s="1"/>
  <c r="H137" i="17"/>
  <c r="H183" i="17" s="1"/>
  <c r="H200" i="17" s="1"/>
  <c r="X121" i="17"/>
  <c r="X137" i="17" s="1"/>
  <c r="AE121" i="17"/>
  <c r="AE137" i="17" s="1"/>
  <c r="O137" i="17"/>
  <c r="O183" i="17" s="1"/>
  <c r="O200" i="17" s="1"/>
  <c r="L137" i="17"/>
  <c r="L183" i="17" s="1"/>
  <c r="L200" i="17" s="1"/>
  <c r="AB121" i="17"/>
  <c r="AB137" i="17" s="1"/>
  <c r="AD121" i="17"/>
  <c r="AD137" i="17" s="1"/>
  <c r="N137" i="17"/>
  <c r="N183" i="17" s="1"/>
  <c r="N200" i="17" s="1"/>
  <c r="U121" i="17"/>
  <c r="U137" i="17" s="1"/>
  <c r="E137" i="17"/>
  <c r="E183" i="17" s="1"/>
  <c r="E200" i="17" s="1"/>
  <c r="H24" i="17"/>
  <c r="H23" i="17"/>
  <c r="D23" i="17"/>
  <c r="G25" i="17"/>
  <c r="M27" i="17"/>
  <c r="I26" i="17"/>
  <c r="I25" i="17"/>
  <c r="E25" i="17"/>
  <c r="I23" i="17"/>
  <c r="J74" i="3"/>
  <c r="K74" i="3"/>
  <c r="L74" i="3"/>
  <c r="M74" i="3"/>
  <c r="N74" i="3"/>
  <c r="O74" i="3"/>
  <c r="P74" i="3"/>
  <c r="Q74" i="3"/>
  <c r="R74" i="3"/>
  <c r="S74" i="3"/>
  <c r="T74" i="3"/>
  <c r="J75" i="3"/>
  <c r="K75" i="3"/>
  <c r="L75" i="3"/>
  <c r="M75" i="3"/>
  <c r="N75" i="3"/>
  <c r="O75" i="3"/>
  <c r="P75" i="3"/>
  <c r="Q75" i="3"/>
  <c r="R75" i="3"/>
  <c r="S75" i="3"/>
  <c r="T75" i="3"/>
  <c r="J76" i="3"/>
  <c r="K76" i="3"/>
  <c r="L76" i="3"/>
  <c r="M76" i="3"/>
  <c r="N76" i="3"/>
  <c r="O76" i="3"/>
  <c r="P76" i="3"/>
  <c r="Q76" i="3"/>
  <c r="R76" i="3"/>
  <c r="S76" i="3"/>
  <c r="T76" i="3"/>
  <c r="J77" i="3"/>
  <c r="K77" i="3"/>
  <c r="L77" i="3"/>
  <c r="M77" i="3"/>
  <c r="N77" i="3"/>
  <c r="O77" i="3"/>
  <c r="P77" i="3"/>
  <c r="Q77" i="3"/>
  <c r="R77" i="3"/>
  <c r="S77" i="3"/>
  <c r="T77" i="3"/>
  <c r="J258" i="3"/>
  <c r="K258" i="3"/>
  <c r="L258" i="3"/>
  <c r="M258" i="3"/>
  <c r="N258" i="3"/>
  <c r="O258" i="3"/>
  <c r="P258" i="3"/>
  <c r="Q258" i="3"/>
  <c r="R258" i="3"/>
  <c r="S258" i="3"/>
  <c r="T258" i="3"/>
  <c r="J259" i="3"/>
  <c r="K259" i="3"/>
  <c r="L259" i="3"/>
  <c r="M259" i="3"/>
  <c r="N259" i="3"/>
  <c r="O259" i="3"/>
  <c r="P259" i="3"/>
  <c r="Q259" i="3"/>
  <c r="R259" i="3"/>
  <c r="S259" i="3"/>
  <c r="T259" i="3"/>
  <c r="J260" i="3"/>
  <c r="K260" i="3"/>
  <c r="L260" i="3"/>
  <c r="M260" i="3"/>
  <c r="N260" i="3"/>
  <c r="O260" i="3"/>
  <c r="P260" i="3"/>
  <c r="Q260" i="3"/>
  <c r="R260" i="3"/>
  <c r="S260" i="3"/>
  <c r="T260" i="3"/>
  <c r="J261" i="3"/>
  <c r="K261" i="3"/>
  <c r="L261" i="3"/>
  <c r="M261" i="3"/>
  <c r="N261" i="3"/>
  <c r="O261" i="3"/>
  <c r="P261" i="3"/>
  <c r="Q261" i="3"/>
  <c r="R261" i="3"/>
  <c r="S261" i="3"/>
  <c r="T261" i="3"/>
  <c r="I74" i="3"/>
  <c r="I75" i="3"/>
  <c r="I76" i="3"/>
  <c r="I77" i="3"/>
  <c r="I258" i="3"/>
  <c r="I259" i="3"/>
  <c r="I260" i="3"/>
  <c r="I261" i="3"/>
  <c r="H5" i="11"/>
  <c r="I5" i="11"/>
  <c r="J5" i="11"/>
  <c r="K5" i="11"/>
  <c r="L5" i="11"/>
  <c r="M5" i="11"/>
  <c r="N5" i="11"/>
  <c r="O5" i="11"/>
  <c r="P5" i="11"/>
  <c r="Q5" i="11"/>
  <c r="G6" i="11"/>
  <c r="H6" i="11"/>
  <c r="G7" i="11"/>
  <c r="H7" i="11"/>
  <c r="I7" i="11"/>
  <c r="J7" i="11"/>
  <c r="K7" i="11"/>
  <c r="L7" i="11"/>
  <c r="M7" i="11"/>
  <c r="N7" i="11"/>
  <c r="O7" i="11"/>
  <c r="P7" i="11"/>
  <c r="Q7" i="11"/>
  <c r="G8" i="11"/>
  <c r="H8" i="11"/>
  <c r="I8" i="11"/>
  <c r="J8" i="11"/>
  <c r="K8" i="11"/>
  <c r="L8" i="11"/>
  <c r="M8" i="11"/>
  <c r="N8" i="11"/>
  <c r="O8" i="11"/>
  <c r="P8" i="11"/>
  <c r="Q8" i="11"/>
  <c r="G9" i="11"/>
  <c r="I9" i="11"/>
  <c r="J9" i="11"/>
  <c r="K9" i="11"/>
  <c r="L9" i="11"/>
  <c r="M9" i="11"/>
  <c r="N9" i="11"/>
  <c r="O9" i="11"/>
  <c r="P9" i="11"/>
  <c r="Q9" i="11"/>
  <c r="G10" i="11"/>
  <c r="I10" i="11"/>
  <c r="J10" i="11"/>
  <c r="K10" i="11"/>
  <c r="L10" i="11"/>
  <c r="M10" i="11"/>
  <c r="N10" i="11"/>
  <c r="O10" i="11"/>
  <c r="P10" i="11"/>
  <c r="Q10" i="11"/>
  <c r="G11" i="11"/>
  <c r="I11" i="11"/>
  <c r="J11" i="11"/>
  <c r="K11" i="11"/>
  <c r="L11" i="11"/>
  <c r="M11" i="11"/>
  <c r="N11" i="11"/>
  <c r="O11" i="11"/>
  <c r="P11" i="11"/>
  <c r="Q11" i="11"/>
  <c r="H12" i="11"/>
  <c r="I12" i="11"/>
  <c r="J12" i="11"/>
  <c r="K12" i="11"/>
  <c r="L12" i="11"/>
  <c r="M12" i="11"/>
  <c r="N12" i="11"/>
  <c r="O12" i="11"/>
  <c r="P12" i="11"/>
  <c r="Q12" i="11"/>
  <c r="H13" i="11"/>
  <c r="I13" i="11"/>
  <c r="J13" i="11"/>
  <c r="K13" i="11"/>
  <c r="L13" i="11"/>
  <c r="M13" i="11"/>
  <c r="N13" i="11"/>
  <c r="O13" i="11"/>
  <c r="P13" i="11"/>
  <c r="Q13" i="11"/>
  <c r="H14" i="11"/>
  <c r="I14" i="11"/>
  <c r="J14" i="11"/>
  <c r="K14" i="11"/>
  <c r="L14" i="11"/>
  <c r="M14" i="11"/>
  <c r="N14" i="11"/>
  <c r="O14" i="11"/>
  <c r="P14" i="11"/>
  <c r="Q14" i="11"/>
  <c r="H15" i="11"/>
  <c r="I15" i="11"/>
  <c r="J15" i="11"/>
  <c r="K15" i="11"/>
  <c r="L15" i="11"/>
  <c r="M15" i="11"/>
  <c r="N15" i="11"/>
  <c r="O15" i="11"/>
  <c r="P15" i="11"/>
  <c r="Q15" i="11"/>
  <c r="G16" i="11"/>
  <c r="H16" i="11"/>
  <c r="I16" i="11"/>
  <c r="J16" i="11"/>
  <c r="K16" i="11"/>
  <c r="L16" i="11"/>
  <c r="M16" i="11"/>
  <c r="N16" i="11"/>
  <c r="O16" i="11"/>
  <c r="P16" i="11"/>
  <c r="Q16" i="11"/>
  <c r="G17" i="11"/>
  <c r="H17" i="11"/>
  <c r="I17" i="11"/>
  <c r="J17" i="11"/>
  <c r="K17" i="11"/>
  <c r="L17" i="11"/>
  <c r="M17" i="11"/>
  <c r="N17" i="11"/>
  <c r="O17" i="11"/>
  <c r="P17" i="11"/>
  <c r="Q17" i="11"/>
  <c r="G18" i="11"/>
  <c r="H18" i="11"/>
  <c r="I18" i="11"/>
  <c r="J18" i="11"/>
  <c r="K18" i="11"/>
  <c r="L18" i="11"/>
  <c r="M18" i="11"/>
  <c r="N18" i="11"/>
  <c r="O18" i="11"/>
  <c r="P18" i="11"/>
  <c r="Q18" i="11"/>
  <c r="G19" i="11"/>
  <c r="H19" i="11"/>
  <c r="I19" i="11"/>
  <c r="J19" i="11"/>
  <c r="K19" i="11"/>
  <c r="L19" i="11"/>
  <c r="M19" i="11"/>
  <c r="N19" i="11"/>
  <c r="O19" i="11"/>
  <c r="P19" i="11"/>
  <c r="Q19" i="11"/>
  <c r="G20" i="11"/>
  <c r="H20" i="11"/>
  <c r="I20" i="11"/>
  <c r="J20" i="11"/>
  <c r="K20" i="11"/>
  <c r="L20" i="11"/>
  <c r="M20" i="11"/>
  <c r="N20" i="11"/>
  <c r="O20" i="11"/>
  <c r="P20" i="11"/>
  <c r="Q20" i="11"/>
  <c r="G22" i="11"/>
  <c r="H22" i="11"/>
  <c r="I22" i="11"/>
  <c r="J22" i="11"/>
  <c r="K22" i="11"/>
  <c r="L22" i="11"/>
  <c r="M22" i="11"/>
  <c r="N22" i="11"/>
  <c r="O22" i="11"/>
  <c r="P22" i="11"/>
  <c r="Q22" i="11"/>
  <c r="G23" i="11"/>
  <c r="H23" i="11"/>
  <c r="I23" i="11"/>
  <c r="J23" i="11"/>
  <c r="K23" i="11"/>
  <c r="L23" i="11"/>
  <c r="M23" i="11"/>
  <c r="N23" i="11"/>
  <c r="O23" i="11"/>
  <c r="P23" i="11"/>
  <c r="Q23" i="11"/>
  <c r="H24" i="11"/>
  <c r="I24" i="11"/>
  <c r="J24" i="11"/>
  <c r="K24" i="11"/>
  <c r="L24" i="11"/>
  <c r="M24" i="11"/>
  <c r="N24" i="11"/>
  <c r="O24" i="11"/>
  <c r="P24" i="11"/>
  <c r="Q24" i="11"/>
  <c r="G25" i="11"/>
  <c r="H25" i="11"/>
  <c r="I25" i="11"/>
  <c r="J25" i="11"/>
  <c r="K25" i="11"/>
  <c r="L25" i="11"/>
  <c r="M25" i="11"/>
  <c r="N25" i="11"/>
  <c r="O25" i="11"/>
  <c r="P25" i="11"/>
  <c r="Q25" i="11"/>
  <c r="G26" i="11"/>
  <c r="H26" i="11"/>
  <c r="G27" i="11"/>
  <c r="H27" i="11"/>
  <c r="I27" i="11"/>
  <c r="J27" i="11"/>
  <c r="K27" i="11"/>
  <c r="L27" i="11"/>
  <c r="M27" i="11"/>
  <c r="N27" i="11"/>
  <c r="O27" i="11"/>
  <c r="P27" i="11"/>
  <c r="Q27" i="11"/>
  <c r="G28" i="11"/>
  <c r="H28" i="11"/>
  <c r="I28" i="11"/>
  <c r="J28" i="11"/>
  <c r="K28" i="11"/>
  <c r="L28" i="11"/>
  <c r="M28" i="11"/>
  <c r="N28" i="11"/>
  <c r="O28" i="11"/>
  <c r="P28" i="11"/>
  <c r="Q28" i="11"/>
  <c r="G29" i="11"/>
  <c r="H29" i="11"/>
  <c r="I29" i="11"/>
  <c r="J29" i="11"/>
  <c r="K29" i="11"/>
  <c r="L29" i="11"/>
  <c r="M29" i="11"/>
  <c r="N29" i="11"/>
  <c r="O29" i="11"/>
  <c r="P29" i="11"/>
  <c r="Q29" i="11"/>
  <c r="G31" i="11"/>
  <c r="H31" i="11"/>
  <c r="I31" i="11"/>
  <c r="J31" i="11"/>
  <c r="K31" i="11"/>
  <c r="L31" i="11"/>
  <c r="M31" i="11"/>
  <c r="N31" i="11"/>
  <c r="O31" i="11"/>
  <c r="P31" i="11"/>
  <c r="Q31" i="11"/>
  <c r="G33" i="11"/>
  <c r="H33" i="11"/>
  <c r="I33" i="11"/>
  <c r="J33" i="11"/>
  <c r="K33" i="11"/>
  <c r="L33" i="11"/>
  <c r="M33" i="11"/>
  <c r="N33" i="11"/>
  <c r="O33" i="11"/>
  <c r="P33" i="11"/>
  <c r="Q33" i="11"/>
  <c r="G36" i="11"/>
  <c r="H36" i="11"/>
  <c r="I36" i="11"/>
  <c r="J36" i="11"/>
  <c r="K36" i="11"/>
  <c r="L36" i="11"/>
  <c r="M36" i="11"/>
  <c r="N36" i="11"/>
  <c r="O36" i="11"/>
  <c r="P36" i="11"/>
  <c r="Q36" i="11"/>
  <c r="G37" i="11"/>
  <c r="H37" i="11"/>
  <c r="I37" i="11"/>
  <c r="J37" i="11"/>
  <c r="K37" i="11"/>
  <c r="L37" i="11"/>
  <c r="M37" i="11"/>
  <c r="N37" i="11"/>
  <c r="O37" i="11"/>
  <c r="P37" i="11"/>
  <c r="Q37" i="11"/>
  <c r="G38" i="11"/>
  <c r="H38" i="11"/>
  <c r="I38" i="11"/>
  <c r="J38" i="11"/>
  <c r="K38" i="11"/>
  <c r="L38" i="11"/>
  <c r="M38" i="11"/>
  <c r="N38" i="11"/>
  <c r="O38" i="11"/>
  <c r="P38" i="11"/>
  <c r="Q38" i="11"/>
  <c r="G39" i="11"/>
  <c r="H39" i="11"/>
  <c r="I39" i="11"/>
  <c r="J39" i="11"/>
  <c r="K39" i="11"/>
  <c r="L39" i="11"/>
  <c r="M39" i="11"/>
  <c r="N39" i="11"/>
  <c r="O39" i="11"/>
  <c r="P39" i="11"/>
  <c r="Q39" i="11"/>
  <c r="G40" i="11"/>
  <c r="I40" i="11"/>
  <c r="J40" i="11"/>
  <c r="K40" i="11"/>
  <c r="L40" i="11"/>
  <c r="M40" i="11"/>
  <c r="N40" i="11"/>
  <c r="O40" i="11"/>
  <c r="P40" i="11"/>
  <c r="Q40" i="11"/>
  <c r="H41" i="11"/>
  <c r="I41" i="11"/>
  <c r="J41" i="11"/>
  <c r="K41" i="11"/>
  <c r="L41" i="11"/>
  <c r="M41" i="11"/>
  <c r="N41" i="11"/>
  <c r="O41" i="11"/>
  <c r="P41" i="11"/>
  <c r="Q41" i="11"/>
  <c r="G42" i="11"/>
  <c r="H42" i="11"/>
  <c r="I42" i="11"/>
  <c r="J42" i="11"/>
  <c r="K42" i="11"/>
  <c r="L42" i="11"/>
  <c r="M42" i="11"/>
  <c r="N42" i="11"/>
  <c r="O42" i="11"/>
  <c r="P42" i="11"/>
  <c r="Q42" i="11"/>
  <c r="G43" i="11"/>
  <c r="H43" i="11"/>
  <c r="I43" i="11"/>
  <c r="J43" i="11"/>
  <c r="K43" i="11"/>
  <c r="L43" i="11"/>
  <c r="M43" i="11"/>
  <c r="N43" i="11"/>
  <c r="O43" i="11"/>
  <c r="P43" i="11"/>
  <c r="Q43" i="11"/>
  <c r="G44" i="11"/>
  <c r="H44" i="11"/>
  <c r="I44" i="11"/>
  <c r="J44" i="11"/>
  <c r="K44" i="11"/>
  <c r="L44" i="11"/>
  <c r="M44" i="11"/>
  <c r="N44" i="11"/>
  <c r="O44" i="11"/>
  <c r="P44" i="11"/>
  <c r="Q44" i="11"/>
  <c r="G45" i="11"/>
  <c r="H45" i="11"/>
  <c r="I45" i="11"/>
  <c r="J45" i="11"/>
  <c r="K45" i="11"/>
  <c r="L45" i="11"/>
  <c r="M45" i="11"/>
  <c r="N45" i="11"/>
  <c r="O45" i="11"/>
  <c r="P45" i="11"/>
  <c r="Q45" i="11"/>
  <c r="G46" i="11"/>
  <c r="H46" i="11"/>
  <c r="I46" i="11"/>
  <c r="J46" i="11"/>
  <c r="K46" i="11"/>
  <c r="L46" i="11"/>
  <c r="M46" i="11"/>
  <c r="N46" i="11"/>
  <c r="O46" i="11"/>
  <c r="P46" i="11"/>
  <c r="Q46" i="11"/>
  <c r="F26" i="11"/>
  <c r="F28" i="11"/>
  <c r="F31" i="11"/>
  <c r="F33" i="11"/>
  <c r="F36" i="11"/>
  <c r="F37" i="11"/>
  <c r="F38" i="11"/>
  <c r="F39" i="11"/>
  <c r="F40" i="11"/>
  <c r="F42" i="11"/>
  <c r="F43" i="11"/>
  <c r="F44" i="11"/>
  <c r="F45" i="11"/>
  <c r="F46" i="11"/>
  <c r="F6" i="11"/>
  <c r="F10" i="11"/>
  <c r="F17" i="11"/>
  <c r="F18" i="11"/>
  <c r="F19" i="11"/>
  <c r="F20" i="11"/>
  <c r="F22" i="11"/>
  <c r="F23" i="11"/>
  <c r="F24" i="11"/>
  <c r="G372" i="20"/>
  <c r="I1106" i="20"/>
  <c r="I1105" i="20"/>
  <c r="I1104" i="20"/>
  <c r="I1103" i="20"/>
  <c r="I1102" i="20"/>
  <c r="I1101" i="20"/>
  <c r="I1100" i="20"/>
  <c r="I1099" i="20"/>
  <c r="I1098" i="20"/>
  <c r="I1097" i="20"/>
  <c r="I1096" i="20"/>
  <c r="I1095" i="20"/>
  <c r="I1094" i="20"/>
  <c r="I1093" i="20"/>
  <c r="G1090" i="20"/>
  <c r="Q35" i="20" s="1"/>
  <c r="G1089" i="20"/>
  <c r="Q21" i="20" s="1"/>
  <c r="G1088" i="20"/>
  <c r="Q30" i="20" s="1"/>
  <c r="G1087" i="20"/>
  <c r="Q34" i="20" s="1"/>
  <c r="G1086" i="20"/>
  <c r="Q32" i="20" s="1"/>
  <c r="G1085" i="20"/>
  <c r="Q6" i="20" s="1"/>
  <c r="I1084" i="20"/>
  <c r="F1083" i="20"/>
  <c r="F1082" i="20"/>
  <c r="I1072" i="20"/>
  <c r="I1071" i="20"/>
  <c r="I1070" i="20"/>
  <c r="I1069" i="20"/>
  <c r="I1068" i="20"/>
  <c r="I1067" i="20"/>
  <c r="I1066" i="20"/>
  <c r="I1065" i="20"/>
  <c r="I1064" i="20"/>
  <c r="I1063" i="20"/>
  <c r="I1062" i="20"/>
  <c r="I1061" i="20"/>
  <c r="I1060" i="20"/>
  <c r="I1059" i="20"/>
  <c r="G1058" i="20"/>
  <c r="P26" i="20" s="1"/>
  <c r="G1057" i="20"/>
  <c r="P35" i="20" s="1"/>
  <c r="G1056" i="20"/>
  <c r="P21" i="20" s="1"/>
  <c r="G1055" i="20"/>
  <c r="P30" i="20" s="1"/>
  <c r="G1054" i="20"/>
  <c r="P34" i="20" s="1"/>
  <c r="G1053" i="20"/>
  <c r="P32" i="20" s="1"/>
  <c r="G1052" i="20"/>
  <c r="P6" i="20" s="1"/>
  <c r="I1051" i="20"/>
  <c r="F1050" i="20"/>
  <c r="F1049" i="20"/>
  <c r="I1039" i="20"/>
  <c r="I1038" i="20"/>
  <c r="I1037" i="20"/>
  <c r="I1036" i="20"/>
  <c r="I1035" i="20"/>
  <c r="I1034" i="20"/>
  <c r="I1033" i="20"/>
  <c r="I1032" i="20"/>
  <c r="I1031" i="20"/>
  <c r="I1030" i="20"/>
  <c r="I1029" i="20"/>
  <c r="I1028" i="20"/>
  <c r="I1027" i="20"/>
  <c r="I1026" i="20"/>
  <c r="I1025" i="20"/>
  <c r="I1024" i="20"/>
  <c r="I1023" i="20"/>
  <c r="G1022" i="20"/>
  <c r="O26" i="20" s="1"/>
  <c r="G1021" i="20"/>
  <c r="O35" i="20" s="1"/>
  <c r="G1020" i="20"/>
  <c r="O21" i="20" s="1"/>
  <c r="G1019" i="20"/>
  <c r="O30" i="20" s="1"/>
  <c r="G1018" i="20"/>
  <c r="O34" i="20" s="1"/>
  <c r="G1017" i="20"/>
  <c r="O32" i="20" s="1"/>
  <c r="G1016" i="20"/>
  <c r="G1015" i="20"/>
  <c r="G1014" i="20"/>
  <c r="G1013" i="20"/>
  <c r="O6" i="20" s="1"/>
  <c r="I1012" i="20"/>
  <c r="F1011" i="20"/>
  <c r="F1010" i="20"/>
  <c r="I996" i="20"/>
  <c r="I995" i="20"/>
  <c r="I994" i="20"/>
  <c r="I993" i="20"/>
  <c r="I992" i="20"/>
  <c r="I991" i="20"/>
  <c r="I990" i="20"/>
  <c r="I989" i="20"/>
  <c r="I988" i="20"/>
  <c r="I987" i="20"/>
  <c r="I986" i="20"/>
  <c r="I985" i="20"/>
  <c r="I984" i="20"/>
  <c r="I983" i="20"/>
  <c r="I982" i="20"/>
  <c r="I981" i="20"/>
  <c r="I980" i="20"/>
  <c r="I979" i="20"/>
  <c r="I978" i="20"/>
  <c r="I977" i="20"/>
  <c r="G976" i="20"/>
  <c r="N26" i="20" s="1"/>
  <c r="G975" i="20"/>
  <c r="N35" i="20" s="1"/>
  <c r="G974" i="20"/>
  <c r="N21" i="20" s="1"/>
  <c r="G973" i="20"/>
  <c r="N30" i="20" s="1"/>
  <c r="G972" i="20"/>
  <c r="N34" i="20" s="1"/>
  <c r="G971" i="20"/>
  <c r="N32" i="20" s="1"/>
  <c r="G970" i="20"/>
  <c r="G969" i="20"/>
  <c r="G968" i="20"/>
  <c r="G967" i="20"/>
  <c r="N6" i="20" s="1"/>
  <c r="I966" i="20"/>
  <c r="F965" i="20"/>
  <c r="F964" i="20"/>
  <c r="I950" i="20"/>
  <c r="I949" i="20"/>
  <c r="I948" i="20"/>
  <c r="I947" i="20"/>
  <c r="I946" i="20"/>
  <c r="I945" i="20"/>
  <c r="I944" i="20"/>
  <c r="I943" i="20"/>
  <c r="I942" i="20"/>
  <c r="I941" i="20"/>
  <c r="I940" i="20"/>
  <c r="I939" i="20"/>
  <c r="I938" i="20"/>
  <c r="I937" i="20"/>
  <c r="I936" i="20"/>
  <c r="I935" i="20"/>
  <c r="I934" i="20"/>
  <c r="I933" i="20"/>
  <c r="I932" i="20"/>
  <c r="I931" i="20"/>
  <c r="G930" i="20"/>
  <c r="M26" i="20" s="1"/>
  <c r="G929" i="20"/>
  <c r="M35" i="20" s="1"/>
  <c r="G928" i="20"/>
  <c r="M21" i="20" s="1"/>
  <c r="G927" i="20"/>
  <c r="M30" i="20" s="1"/>
  <c r="G926" i="20"/>
  <c r="M34" i="20" s="1"/>
  <c r="G925" i="20"/>
  <c r="M32" i="20" s="1"/>
  <c r="G924" i="20"/>
  <c r="G923" i="20"/>
  <c r="G922" i="20"/>
  <c r="G921" i="20"/>
  <c r="M6" i="20" s="1"/>
  <c r="I920" i="20"/>
  <c r="F919" i="20"/>
  <c r="F918" i="20"/>
  <c r="I903" i="20"/>
  <c r="I902" i="20"/>
  <c r="I901" i="20"/>
  <c r="I900" i="20"/>
  <c r="I899" i="20"/>
  <c r="I898" i="20"/>
  <c r="I897" i="20"/>
  <c r="I896" i="20"/>
  <c r="I895" i="20"/>
  <c r="I894" i="20"/>
  <c r="I893" i="20"/>
  <c r="I892" i="20"/>
  <c r="I891" i="20"/>
  <c r="I890" i="20"/>
  <c r="I889" i="20"/>
  <c r="I888" i="20"/>
  <c r="I887" i="20"/>
  <c r="I886" i="20"/>
  <c r="I885" i="20"/>
  <c r="I884" i="20"/>
  <c r="I883" i="20"/>
  <c r="I882" i="20"/>
  <c r="G881" i="20"/>
  <c r="L26" i="20" s="1"/>
  <c r="G880" i="20"/>
  <c r="L35" i="20" s="1"/>
  <c r="G879" i="20"/>
  <c r="L21" i="20" s="1"/>
  <c r="G878" i="20"/>
  <c r="L30" i="20" s="1"/>
  <c r="G877" i="20"/>
  <c r="L34" i="20" s="1"/>
  <c r="G876" i="20"/>
  <c r="L32" i="20" s="1"/>
  <c r="G875" i="20"/>
  <c r="G874" i="20"/>
  <c r="G873" i="20"/>
  <c r="G872" i="20"/>
  <c r="L6" i="20" s="1"/>
  <c r="I871" i="20"/>
  <c r="F870" i="20"/>
  <c r="F869" i="20"/>
  <c r="I855" i="20"/>
  <c r="I854" i="20"/>
  <c r="I853" i="20"/>
  <c r="I852" i="20"/>
  <c r="I851" i="20"/>
  <c r="I850" i="20"/>
  <c r="I849" i="20"/>
  <c r="I848" i="20"/>
  <c r="I847" i="20"/>
  <c r="I846" i="20"/>
  <c r="I845" i="20"/>
  <c r="I844" i="20"/>
  <c r="I843" i="20"/>
  <c r="I842" i="20"/>
  <c r="I841" i="20"/>
  <c r="I840" i="20"/>
  <c r="I839" i="20"/>
  <c r="I838" i="20"/>
  <c r="I837" i="20"/>
  <c r="I836" i="20"/>
  <c r="G835" i="20"/>
  <c r="K26" i="20" s="1"/>
  <c r="G834" i="20"/>
  <c r="K35" i="20" s="1"/>
  <c r="G833" i="20"/>
  <c r="K21" i="20" s="1"/>
  <c r="G832" i="20"/>
  <c r="K30" i="20" s="1"/>
  <c r="G831" i="20"/>
  <c r="K34" i="20" s="1"/>
  <c r="G830" i="20"/>
  <c r="K32" i="20" s="1"/>
  <c r="G829" i="20"/>
  <c r="G828" i="20"/>
  <c r="G827" i="20"/>
  <c r="G826" i="20"/>
  <c r="G825" i="20"/>
  <c r="K6" i="20" s="1"/>
  <c r="I824" i="20"/>
  <c r="F823" i="20"/>
  <c r="F822" i="20"/>
  <c r="I808" i="20"/>
  <c r="I807" i="20"/>
  <c r="I806" i="20"/>
  <c r="I805" i="20"/>
  <c r="I804" i="20"/>
  <c r="I803" i="20"/>
  <c r="I802" i="20"/>
  <c r="I801" i="20"/>
  <c r="I800" i="20"/>
  <c r="I799" i="20"/>
  <c r="I798" i="20"/>
  <c r="I797" i="20"/>
  <c r="I796" i="20"/>
  <c r="I795" i="20"/>
  <c r="I794" i="20"/>
  <c r="I793" i="20"/>
  <c r="I792" i="20"/>
  <c r="I791" i="20"/>
  <c r="I790" i="20"/>
  <c r="G789" i="20"/>
  <c r="J26" i="20" s="1"/>
  <c r="G788" i="20"/>
  <c r="J35" i="20" s="1"/>
  <c r="G787" i="20"/>
  <c r="J21" i="20" s="1"/>
  <c r="G786" i="20"/>
  <c r="J30" i="20" s="1"/>
  <c r="G785" i="20"/>
  <c r="J34" i="20" s="1"/>
  <c r="G784" i="20"/>
  <c r="J32" i="20" s="1"/>
  <c r="G783" i="20"/>
  <c r="G782" i="20"/>
  <c r="G781" i="20"/>
  <c r="J6" i="20" s="1"/>
  <c r="I780" i="20"/>
  <c r="F779" i="20"/>
  <c r="F778" i="20"/>
  <c r="I763" i="20"/>
  <c r="I762" i="20"/>
  <c r="I761" i="20"/>
  <c r="I760" i="20"/>
  <c r="I759" i="20"/>
  <c r="I758" i="20"/>
  <c r="I757" i="20"/>
  <c r="I756" i="20"/>
  <c r="I755" i="20"/>
  <c r="I754" i="20"/>
  <c r="I753" i="20"/>
  <c r="I752" i="20"/>
  <c r="I751" i="20"/>
  <c r="I750" i="20"/>
  <c r="I749" i="20"/>
  <c r="I748" i="20"/>
  <c r="I747" i="20"/>
  <c r="I746" i="20"/>
  <c r="I745" i="20"/>
  <c r="I744" i="20"/>
  <c r="I743" i="20"/>
  <c r="G742" i="20"/>
  <c r="I26" i="20" s="1"/>
  <c r="G741" i="20"/>
  <c r="I35" i="20" s="1"/>
  <c r="G740" i="20"/>
  <c r="I21" i="20" s="1"/>
  <c r="G739" i="20"/>
  <c r="I30" i="20" s="1"/>
  <c r="G738" i="20"/>
  <c r="I34" i="20" s="1"/>
  <c r="G737" i="20"/>
  <c r="I32" i="20" s="1"/>
  <c r="G736" i="20"/>
  <c r="G732" i="20"/>
  <c r="I6" i="20" s="1"/>
  <c r="I731" i="20"/>
  <c r="F730" i="20"/>
  <c r="F729" i="20"/>
  <c r="I715" i="20"/>
  <c r="I714" i="20"/>
  <c r="I713" i="20"/>
  <c r="I712" i="20"/>
  <c r="I711" i="20"/>
  <c r="I710" i="20"/>
  <c r="I709" i="20"/>
  <c r="I708" i="20"/>
  <c r="I707" i="20"/>
  <c r="I706" i="20"/>
  <c r="I705" i="20"/>
  <c r="I704" i="20"/>
  <c r="I703" i="20"/>
  <c r="I702" i="20"/>
  <c r="I701" i="20"/>
  <c r="I700" i="20"/>
  <c r="I699" i="20"/>
  <c r="I698" i="20"/>
  <c r="I697" i="20"/>
  <c r="I696" i="20"/>
  <c r="I695" i="20"/>
  <c r="I694" i="20"/>
  <c r="I692" i="20"/>
  <c r="I691" i="20"/>
  <c r="G690" i="20"/>
  <c r="H35" i="20" s="1"/>
  <c r="G689" i="20"/>
  <c r="H21" i="20" s="1"/>
  <c r="G688" i="20"/>
  <c r="H30" i="20" s="1"/>
  <c r="G687" i="20"/>
  <c r="H34" i="20" s="1"/>
  <c r="G686" i="20"/>
  <c r="H32" i="20" s="1"/>
  <c r="G677" i="20"/>
  <c r="H11" i="20" s="1"/>
  <c r="H11" i="11" s="1"/>
  <c r="G674" i="20"/>
  <c r="H9" i="20" s="1"/>
  <c r="H9" i="11" s="1"/>
  <c r="G673" i="20"/>
  <c r="H10" i="20" s="1"/>
  <c r="H10" i="11" s="1"/>
  <c r="G672" i="20"/>
  <c r="H40" i="20" s="1"/>
  <c r="H40" i="11" s="1"/>
  <c r="I671" i="20"/>
  <c r="F670" i="20"/>
  <c r="F669" i="20"/>
  <c r="I655" i="20"/>
  <c r="I654" i="20"/>
  <c r="I653" i="20"/>
  <c r="I652" i="20"/>
  <c r="I651" i="20"/>
  <c r="I650" i="20"/>
  <c r="I649" i="20"/>
  <c r="I648" i="20"/>
  <c r="I647" i="20"/>
  <c r="I646" i="20"/>
  <c r="I645" i="20"/>
  <c r="I644" i="20"/>
  <c r="I643" i="20"/>
  <c r="I642" i="20"/>
  <c r="I641" i="20"/>
  <c r="I640" i="20"/>
  <c r="I639" i="20"/>
  <c r="I638" i="20"/>
  <c r="I637" i="20"/>
  <c r="G636" i="20"/>
  <c r="G35" i="20" s="1"/>
  <c r="G635" i="20"/>
  <c r="G21" i="20" s="1"/>
  <c r="G634" i="20"/>
  <c r="G30" i="20" s="1"/>
  <c r="G633" i="20"/>
  <c r="G34" i="20" s="1"/>
  <c r="G632" i="20"/>
  <c r="G32" i="20" s="1"/>
  <c r="G631" i="20"/>
  <c r="G618" i="20"/>
  <c r="G617" i="20"/>
  <c r="G5" i="20" s="1"/>
  <c r="G616" i="20"/>
  <c r="G12" i="20" s="1"/>
  <c r="G615" i="20"/>
  <c r="G614" i="20"/>
  <c r="G613" i="20"/>
  <c r="G612" i="20"/>
  <c r="G611" i="20"/>
  <c r="G610" i="20"/>
  <c r="I609" i="20"/>
  <c r="F608" i="20"/>
  <c r="F607" i="20"/>
  <c r="I592" i="20"/>
  <c r="I591" i="20"/>
  <c r="I590" i="20"/>
  <c r="I589" i="20"/>
  <c r="I588" i="20"/>
  <c r="I587" i="20"/>
  <c r="I585" i="20"/>
  <c r="I584" i="20"/>
  <c r="I583" i="20"/>
  <c r="I582" i="20"/>
  <c r="I581" i="20"/>
  <c r="I580" i="20"/>
  <c r="I579" i="20"/>
  <c r="G532" i="20"/>
  <c r="G524" i="20"/>
  <c r="G523" i="20"/>
  <c r="F35" i="20" s="1"/>
  <c r="G522" i="20"/>
  <c r="F21" i="20" s="1"/>
  <c r="G521" i="20"/>
  <c r="F30" i="20" s="1"/>
  <c r="G520" i="20"/>
  <c r="F34" i="20" s="1"/>
  <c r="G519" i="20"/>
  <c r="G510" i="20"/>
  <c r="F29" i="20" s="1"/>
  <c r="G509" i="20"/>
  <c r="G508" i="20"/>
  <c r="G507" i="20"/>
  <c r="G506" i="20"/>
  <c r="F7" i="20" s="1"/>
  <c r="G505" i="20"/>
  <c r="G504" i="20"/>
  <c r="F9" i="20" s="1"/>
  <c r="G503" i="20"/>
  <c r="F41" i="20" s="1"/>
  <c r="G502" i="20"/>
  <c r="G501" i="20"/>
  <c r="G500" i="20"/>
  <c r="G499" i="20"/>
  <c r="F16" i="20" s="1"/>
  <c r="G498" i="20"/>
  <c r="I497" i="20"/>
  <c r="F496" i="20"/>
  <c r="F495" i="20"/>
  <c r="G41" i="11" l="1"/>
  <c r="G24" i="20"/>
  <c r="G24" i="11" s="1"/>
  <c r="G13" i="20"/>
  <c r="G15" i="20"/>
  <c r="F25" i="20"/>
  <c r="F25" i="11" s="1"/>
  <c r="I524" i="20"/>
  <c r="F32" i="20"/>
  <c r="F27" i="20"/>
  <c r="F27" i="11" s="1"/>
  <c r="I532" i="20"/>
  <c r="F12" i="20"/>
  <c r="F12" i="11" s="1"/>
  <c r="F14" i="20"/>
  <c r="F14" i="11" s="1"/>
  <c r="F15" i="20"/>
  <c r="F15" i="11" s="1"/>
  <c r="F13" i="20"/>
  <c r="F13" i="11" s="1"/>
  <c r="F11" i="20"/>
  <c r="G14" i="20"/>
  <c r="F34" i="11"/>
  <c r="H30" i="11"/>
  <c r="I30" i="11"/>
  <c r="L30" i="11"/>
  <c r="N30" i="11"/>
  <c r="Q30" i="11"/>
  <c r="F30" i="11"/>
  <c r="F8" i="11"/>
  <c r="G5" i="11"/>
  <c r="G30" i="11"/>
  <c r="J30" i="11"/>
  <c r="K30" i="11"/>
  <c r="M30" i="11"/>
  <c r="O30" i="11"/>
  <c r="P30" i="11"/>
  <c r="I6" i="11"/>
  <c r="I21" i="11"/>
  <c r="K6" i="11"/>
  <c r="K21" i="11"/>
  <c r="K26" i="11"/>
  <c r="L6" i="11"/>
  <c r="L21" i="11"/>
  <c r="L26" i="11"/>
  <c r="M6" i="11"/>
  <c r="M21" i="11"/>
  <c r="M26" i="11"/>
  <c r="N6" i="11"/>
  <c r="N21" i="11"/>
  <c r="N26" i="11"/>
  <c r="O6" i="11"/>
  <c r="O21" i="11"/>
  <c r="O26" i="11"/>
  <c r="P6" i="11"/>
  <c r="P21" i="11"/>
  <c r="P26" i="11"/>
  <c r="Q6" i="11"/>
  <c r="Q21" i="11"/>
  <c r="Q26" i="11"/>
  <c r="F29" i="11"/>
  <c r="F21" i="11"/>
  <c r="G21" i="11"/>
  <c r="H21" i="11"/>
  <c r="I26" i="11"/>
  <c r="J6" i="11"/>
  <c r="J21" i="11"/>
  <c r="J26" i="11"/>
  <c r="F16" i="11"/>
  <c r="F41" i="11"/>
  <c r="F35" i="11"/>
  <c r="G32" i="11"/>
  <c r="G35" i="11"/>
  <c r="H32" i="11"/>
  <c r="H35" i="11"/>
  <c r="I32" i="11"/>
  <c r="I35" i="11"/>
  <c r="J32" i="11"/>
  <c r="J35" i="11"/>
  <c r="K32" i="11"/>
  <c r="K35" i="11"/>
  <c r="L32" i="11"/>
  <c r="L35" i="11"/>
  <c r="M32" i="11"/>
  <c r="M35" i="11"/>
  <c r="N32" i="11"/>
  <c r="N35" i="11"/>
  <c r="O32" i="11"/>
  <c r="O35" i="11"/>
  <c r="P32" i="11"/>
  <c r="P35" i="11"/>
  <c r="Q32" i="11"/>
  <c r="Q35" i="11"/>
  <c r="F9" i="11"/>
  <c r="G12" i="11"/>
  <c r="G34" i="11"/>
  <c r="H34" i="11"/>
  <c r="I34" i="11"/>
  <c r="J34" i="11"/>
  <c r="K34" i="11"/>
  <c r="L34" i="11"/>
  <c r="M34" i="11"/>
  <c r="N34" i="11"/>
  <c r="O34" i="11"/>
  <c r="P34" i="11"/>
  <c r="Q34" i="11"/>
  <c r="I1181" i="3"/>
  <c r="I1182" i="3"/>
  <c r="I1183" i="3"/>
  <c r="I1180" i="3"/>
  <c r="I1165" i="3"/>
  <c r="I1162" i="3"/>
  <c r="I1166" i="3"/>
  <c r="I1163" i="3"/>
  <c r="I1167" i="3"/>
  <c r="I1164" i="3"/>
  <c r="I1168" i="3"/>
  <c r="I1145" i="3"/>
  <c r="I1146" i="3"/>
  <c r="I1144" i="3"/>
  <c r="I1121" i="3"/>
  <c r="I1125" i="3"/>
  <c r="I1122" i="3"/>
  <c r="I1126" i="3"/>
  <c r="I1123" i="3"/>
  <c r="I1127" i="3"/>
  <c r="I1120" i="3"/>
  <c r="I1124" i="3"/>
  <c r="I1101" i="3"/>
  <c r="I1098" i="3"/>
  <c r="I1099" i="3"/>
  <c r="I1100" i="3"/>
  <c r="I1081" i="3"/>
  <c r="I1082" i="3"/>
  <c r="I1083" i="3"/>
  <c r="I1080" i="3"/>
  <c r="I1084" i="3"/>
  <c r="I1061" i="3"/>
  <c r="I1062" i="3"/>
  <c r="I1063" i="3"/>
  <c r="I1060" i="3"/>
  <c r="I1064" i="3"/>
  <c r="I1041" i="3"/>
  <c r="I1042" i="3"/>
  <c r="I1043" i="3"/>
  <c r="I1040" i="3"/>
  <c r="I1044" i="3"/>
  <c r="I1021" i="3"/>
  <c r="I1022" i="3"/>
  <c r="I1023" i="3"/>
  <c r="I1020" i="3"/>
  <c r="I1024" i="3"/>
  <c r="I1001" i="3"/>
  <c r="I1002" i="3"/>
  <c r="I1003" i="3"/>
  <c r="I1000" i="3"/>
  <c r="I1004" i="3"/>
  <c r="I981" i="3"/>
  <c r="I982" i="3"/>
  <c r="I983" i="3"/>
  <c r="I980" i="3"/>
  <c r="I984" i="3"/>
  <c r="I965" i="3"/>
  <c r="I966" i="3"/>
  <c r="I964" i="3"/>
  <c r="I933" i="3"/>
  <c r="I937" i="3"/>
  <c r="I934" i="3"/>
  <c r="I935" i="3"/>
  <c r="I936" i="3"/>
  <c r="I921" i="3"/>
  <c r="I922" i="3"/>
  <c r="I923" i="3"/>
  <c r="I909" i="3"/>
  <c r="I906" i="3"/>
  <c r="I910" i="3"/>
  <c r="I907" i="3"/>
  <c r="I908" i="3"/>
  <c r="I889" i="3"/>
  <c r="I886" i="3"/>
  <c r="I890" i="3"/>
  <c r="I887" i="3"/>
  <c r="I888" i="3"/>
  <c r="I869" i="3"/>
  <c r="I866" i="3"/>
  <c r="I870" i="3"/>
  <c r="I867" i="3"/>
  <c r="I868" i="3"/>
  <c r="I853" i="3"/>
  <c r="I854" i="3"/>
  <c r="I851" i="3"/>
  <c r="I855" i="3"/>
  <c r="I852" i="3"/>
  <c r="I837" i="3"/>
  <c r="I838" i="3"/>
  <c r="I839" i="3"/>
  <c r="I821" i="3"/>
  <c r="I822" i="3"/>
  <c r="I819" i="3"/>
  <c r="I823" i="3"/>
  <c r="I820" i="3"/>
  <c r="I805" i="3"/>
  <c r="I803" i="3"/>
  <c r="I804" i="3"/>
  <c r="I789" i="3"/>
  <c r="I790" i="3"/>
  <c r="I787" i="3"/>
  <c r="I791" i="3"/>
  <c r="I788" i="3"/>
  <c r="I769" i="3"/>
  <c r="I770" i="3"/>
  <c r="I767" i="3"/>
  <c r="I771" i="3"/>
  <c r="I768" i="3"/>
  <c r="I749" i="3"/>
  <c r="I750" i="3"/>
  <c r="I747" i="3"/>
  <c r="I751" i="3"/>
  <c r="I748" i="3"/>
  <c r="I725" i="3"/>
  <c r="I729" i="3"/>
  <c r="I726" i="3"/>
  <c r="I730" i="3"/>
  <c r="I723" i="3"/>
  <c r="I727" i="3"/>
  <c r="I731" i="3"/>
  <c r="I724" i="3"/>
  <c r="I728" i="3"/>
  <c r="I705" i="3"/>
  <c r="I706" i="3"/>
  <c r="I703" i="3"/>
  <c r="I707" i="3"/>
  <c r="I704" i="3"/>
  <c r="I685" i="3"/>
  <c r="I686" i="3"/>
  <c r="I683" i="3"/>
  <c r="I687" i="3"/>
  <c r="I684" i="3"/>
  <c r="I661" i="3"/>
  <c r="I662" i="3"/>
  <c r="I663" i="3"/>
  <c r="I660" i="3"/>
  <c r="I641" i="3"/>
  <c r="I642" i="3"/>
  <c r="I643" i="3"/>
  <c r="I640" i="3"/>
  <c r="I644" i="3"/>
  <c r="I621" i="3"/>
  <c r="I625" i="3"/>
  <c r="I622" i="3"/>
  <c r="I623" i="3"/>
  <c r="I624" i="3"/>
  <c r="I605" i="3"/>
  <c r="I602" i="3"/>
  <c r="I603" i="3"/>
  <c r="I604" i="3"/>
  <c r="I581" i="3"/>
  <c r="I585" i="3"/>
  <c r="I582" i="3"/>
  <c r="I583" i="3"/>
  <c r="I584" i="3"/>
  <c r="I565" i="3"/>
  <c r="I562" i="3"/>
  <c r="I566" i="3"/>
  <c r="I563" i="3"/>
  <c r="I564" i="3"/>
  <c r="I545" i="3"/>
  <c r="I546" i="3"/>
  <c r="I543" i="3"/>
  <c r="I544" i="3"/>
  <c r="I533" i="3"/>
  <c r="I534" i="3"/>
  <c r="I532" i="3"/>
  <c r="I521" i="3"/>
  <c r="I522" i="3"/>
  <c r="I520" i="3"/>
  <c r="I509" i="3"/>
  <c r="I510" i="3"/>
  <c r="I508" i="3"/>
  <c r="I494" i="3"/>
  <c r="I495" i="3"/>
  <c r="I496" i="3"/>
  <c r="I483" i="3"/>
  <c r="I484" i="3"/>
  <c r="I475" i="3"/>
  <c r="I476" i="3"/>
  <c r="I467" i="3"/>
  <c r="I468" i="3"/>
  <c r="I459" i="3"/>
  <c r="I460" i="3"/>
  <c r="I451" i="3"/>
  <c r="I452" i="3"/>
  <c r="I443" i="3"/>
  <c r="I444" i="3"/>
  <c r="I435" i="3"/>
  <c r="I436" i="3"/>
  <c r="I427" i="3"/>
  <c r="I428" i="3"/>
  <c r="I419" i="3"/>
  <c r="I420" i="3"/>
  <c r="I411" i="3"/>
  <c r="I412" i="3"/>
  <c r="I403" i="3"/>
  <c r="I404" i="3"/>
  <c r="I395" i="3"/>
  <c r="I396" i="3"/>
  <c r="I385" i="3"/>
  <c r="I386" i="3"/>
  <c r="I383" i="3"/>
  <c r="I384" i="3"/>
  <c r="I369" i="3"/>
  <c r="I370" i="3"/>
  <c r="I367" i="3"/>
  <c r="I368" i="3"/>
  <c r="I353" i="3"/>
  <c r="I354" i="3"/>
  <c r="I351" i="3"/>
  <c r="I352" i="3"/>
  <c r="I337" i="3"/>
  <c r="I338" i="3"/>
  <c r="I335" i="3"/>
  <c r="I336" i="3"/>
  <c r="I321" i="3"/>
  <c r="I322" i="3"/>
  <c r="I319" i="3"/>
  <c r="I320" i="3"/>
  <c r="I305" i="3"/>
  <c r="I302" i="3"/>
  <c r="I306" i="3"/>
  <c r="I303" i="3"/>
  <c r="I304" i="3"/>
  <c r="I285" i="3"/>
  <c r="I286" i="3"/>
  <c r="I287" i="3"/>
  <c r="I284" i="3"/>
  <c r="I269" i="3"/>
  <c r="I266" i="3"/>
  <c r="I267" i="3"/>
  <c r="I268" i="3"/>
  <c r="I241" i="3"/>
  <c r="I245" i="3"/>
  <c r="I242" i="3"/>
  <c r="I243" i="3"/>
  <c r="I240" i="3"/>
  <c r="I244" i="3"/>
  <c r="I217" i="3"/>
  <c r="I221" i="3"/>
  <c r="I218" i="3"/>
  <c r="I219" i="3"/>
  <c r="I216" i="3"/>
  <c r="I220" i="3"/>
  <c r="I193" i="3"/>
  <c r="I197" i="3"/>
  <c r="I194" i="3"/>
  <c r="I195" i="3"/>
  <c r="I192" i="3"/>
  <c r="I196" i="3"/>
  <c r="I177" i="3"/>
  <c r="I178" i="3"/>
  <c r="I179" i="3"/>
  <c r="I176" i="3"/>
  <c r="I157" i="3"/>
  <c r="I161" i="3"/>
  <c r="I158" i="3"/>
  <c r="I159" i="3"/>
  <c r="I160" i="3"/>
  <c r="I133" i="3"/>
  <c r="I137" i="3"/>
  <c r="I134" i="3"/>
  <c r="I138" i="3"/>
  <c r="I135" i="3"/>
  <c r="I139" i="3"/>
  <c r="I136" i="3"/>
  <c r="I109" i="3"/>
  <c r="I110" i="3"/>
  <c r="I111" i="3"/>
  <c r="I108" i="3"/>
  <c r="I97" i="3"/>
  <c r="I98" i="3"/>
  <c r="I96" i="3"/>
  <c r="I61" i="3"/>
  <c r="I62" i="3"/>
  <c r="I63" i="3"/>
  <c r="I49" i="3"/>
  <c r="I50" i="3"/>
  <c r="I47" i="3"/>
  <c r="I48" i="3"/>
  <c r="S1190" i="3"/>
  <c r="S1189" i="3"/>
  <c r="S1188" i="3"/>
  <c r="O1190" i="3"/>
  <c r="O1189" i="3"/>
  <c r="O1188" i="3"/>
  <c r="K1190" i="3"/>
  <c r="K1189" i="3"/>
  <c r="K1188" i="3"/>
  <c r="R1185" i="3"/>
  <c r="R1184" i="3"/>
  <c r="R1187" i="3"/>
  <c r="R1186" i="3"/>
  <c r="N1185" i="3"/>
  <c r="N1184" i="3"/>
  <c r="N1187" i="3"/>
  <c r="N1186" i="3"/>
  <c r="J1185" i="3"/>
  <c r="J1184" i="3"/>
  <c r="J1187" i="3"/>
  <c r="J1186" i="3"/>
  <c r="Q1180" i="3"/>
  <c r="Q1183" i="3"/>
  <c r="Q1182" i="3"/>
  <c r="Q1181" i="3"/>
  <c r="M1180" i="3"/>
  <c r="M1183" i="3"/>
  <c r="M1182" i="3"/>
  <c r="M1181" i="3"/>
  <c r="T1179" i="3"/>
  <c r="T1178" i="3"/>
  <c r="T1177" i="3"/>
  <c r="T1176" i="3"/>
  <c r="P1179" i="3"/>
  <c r="P1178" i="3"/>
  <c r="P1177" i="3"/>
  <c r="P1176" i="3"/>
  <c r="L1179" i="3"/>
  <c r="L1178" i="3"/>
  <c r="L1177" i="3"/>
  <c r="L1176" i="3"/>
  <c r="S1174" i="3"/>
  <c r="S1173" i="3"/>
  <c r="S1175" i="3"/>
  <c r="O1174" i="3"/>
  <c r="O1173" i="3"/>
  <c r="O1175" i="3"/>
  <c r="K1174" i="3"/>
  <c r="K1173" i="3"/>
  <c r="K1175" i="3"/>
  <c r="R1169" i="3"/>
  <c r="R1172" i="3"/>
  <c r="R1171" i="3"/>
  <c r="R1170" i="3"/>
  <c r="N1169" i="3"/>
  <c r="N1172" i="3"/>
  <c r="N1171" i="3"/>
  <c r="N1170" i="3"/>
  <c r="J1169" i="3"/>
  <c r="J1172" i="3"/>
  <c r="J1171" i="3"/>
  <c r="J1170" i="3"/>
  <c r="Q1164" i="3"/>
  <c r="Q1168" i="3"/>
  <c r="Q1163" i="3"/>
  <c r="Q1167" i="3"/>
  <c r="Q1162" i="3"/>
  <c r="Q1166" i="3"/>
  <c r="Q1165" i="3"/>
  <c r="M1164" i="3"/>
  <c r="M1168" i="3"/>
  <c r="M1163" i="3"/>
  <c r="M1167" i="3"/>
  <c r="M1162" i="3"/>
  <c r="M1166" i="3"/>
  <c r="M1165" i="3"/>
  <c r="T1159" i="3"/>
  <c r="T1158" i="3"/>
  <c r="T1161" i="3"/>
  <c r="T1160" i="3"/>
  <c r="P1159" i="3"/>
  <c r="P1158" i="3"/>
  <c r="P1161" i="3"/>
  <c r="P1160" i="3"/>
  <c r="L1159" i="3"/>
  <c r="L1158" i="3"/>
  <c r="L1161" i="3"/>
  <c r="L1160" i="3"/>
  <c r="S1154" i="3"/>
  <c r="S1153" i="3"/>
  <c r="S1157" i="3"/>
  <c r="S1152" i="3"/>
  <c r="S1156" i="3"/>
  <c r="S1151" i="3"/>
  <c r="S1155" i="3"/>
  <c r="O1154" i="3"/>
  <c r="O1153" i="3"/>
  <c r="O1157" i="3"/>
  <c r="O1152" i="3"/>
  <c r="O1156" i="3"/>
  <c r="O1151" i="3"/>
  <c r="O1155" i="3"/>
  <c r="K1154" i="3"/>
  <c r="K1153" i="3"/>
  <c r="K1157" i="3"/>
  <c r="K1152" i="3"/>
  <c r="K1156" i="3"/>
  <c r="K1151" i="3"/>
  <c r="K1155" i="3"/>
  <c r="R1149" i="3"/>
  <c r="R1148" i="3"/>
  <c r="R1147" i="3"/>
  <c r="R1150" i="3"/>
  <c r="N1149" i="3"/>
  <c r="N1148" i="3"/>
  <c r="N1147" i="3"/>
  <c r="N1150" i="3"/>
  <c r="J1149" i="3"/>
  <c r="J1148" i="3"/>
  <c r="J1147" i="3"/>
  <c r="J1150" i="3"/>
  <c r="Q1144" i="3"/>
  <c r="Q1146" i="3"/>
  <c r="Q1145" i="3"/>
  <c r="M1144" i="3"/>
  <c r="M1146" i="3"/>
  <c r="M1145" i="3"/>
  <c r="T1143" i="3"/>
  <c r="T1142" i="3"/>
  <c r="T1141" i="3"/>
  <c r="T1140" i="3"/>
  <c r="P1143" i="3"/>
  <c r="P1142" i="3"/>
  <c r="P1141" i="3"/>
  <c r="P1140" i="3"/>
  <c r="L1143" i="3"/>
  <c r="L1142" i="3"/>
  <c r="L1141" i="3"/>
  <c r="L1140" i="3"/>
  <c r="S1134" i="3"/>
  <c r="S1138" i="3"/>
  <c r="S1133" i="3"/>
  <c r="S1137" i="3"/>
  <c r="S1132" i="3"/>
  <c r="S1136" i="3"/>
  <c r="S1135" i="3"/>
  <c r="S1139" i="3"/>
  <c r="O1134" i="3"/>
  <c r="O1138" i="3"/>
  <c r="O1133" i="3"/>
  <c r="O1137" i="3"/>
  <c r="O1132" i="3"/>
  <c r="O1136" i="3"/>
  <c r="O1135" i="3"/>
  <c r="O1139" i="3"/>
  <c r="K1134" i="3"/>
  <c r="K1138" i="3"/>
  <c r="K1133" i="3"/>
  <c r="K1137" i="3"/>
  <c r="K1132" i="3"/>
  <c r="K1136" i="3"/>
  <c r="K1135" i="3"/>
  <c r="K1139" i="3"/>
  <c r="R1129" i="3"/>
  <c r="R1128" i="3"/>
  <c r="R1131" i="3"/>
  <c r="R1130" i="3"/>
  <c r="N1129" i="3"/>
  <c r="N1128" i="3"/>
  <c r="N1131" i="3"/>
  <c r="N1130" i="3"/>
  <c r="J1129" i="3"/>
  <c r="J1128" i="3"/>
  <c r="J1131" i="3"/>
  <c r="J1130" i="3"/>
  <c r="Q1120" i="3"/>
  <c r="Q1124" i="3"/>
  <c r="Q1123" i="3"/>
  <c r="Q1127" i="3"/>
  <c r="Q1122" i="3"/>
  <c r="Q1126" i="3"/>
  <c r="Q1121" i="3"/>
  <c r="Q1125" i="3"/>
  <c r="M1120" i="3"/>
  <c r="M1124" i="3"/>
  <c r="M1123" i="3"/>
  <c r="M1127" i="3"/>
  <c r="M1122" i="3"/>
  <c r="M1126" i="3"/>
  <c r="M1121" i="3"/>
  <c r="M1125" i="3"/>
  <c r="T1115" i="3"/>
  <c r="T1119" i="3"/>
  <c r="T1114" i="3"/>
  <c r="T1118" i="3"/>
  <c r="T1113" i="3"/>
  <c r="T1117" i="3"/>
  <c r="T1116" i="3"/>
  <c r="P1115" i="3"/>
  <c r="P1119" i="3"/>
  <c r="P1114" i="3"/>
  <c r="P1118" i="3"/>
  <c r="P1113" i="3"/>
  <c r="P1117" i="3"/>
  <c r="P1116" i="3"/>
  <c r="L1115" i="3"/>
  <c r="L1119" i="3"/>
  <c r="L1114" i="3"/>
  <c r="L1118" i="3"/>
  <c r="L1113" i="3"/>
  <c r="L1117" i="3"/>
  <c r="L1116" i="3"/>
  <c r="S1110" i="3"/>
  <c r="S1109" i="3"/>
  <c r="S1112" i="3"/>
  <c r="S1111" i="3"/>
  <c r="O1110" i="3"/>
  <c r="O1109" i="3"/>
  <c r="O1112" i="3"/>
  <c r="O1111" i="3"/>
  <c r="K1110" i="3"/>
  <c r="K1109" i="3"/>
  <c r="K1112" i="3"/>
  <c r="K1111" i="3"/>
  <c r="R1105" i="3"/>
  <c r="R1104" i="3"/>
  <c r="R1108" i="3"/>
  <c r="R1103" i="3"/>
  <c r="R1107" i="3"/>
  <c r="R1102" i="3"/>
  <c r="R1106" i="3"/>
  <c r="N1105" i="3"/>
  <c r="N1104" i="3"/>
  <c r="N1108" i="3"/>
  <c r="N1103" i="3"/>
  <c r="N1107" i="3"/>
  <c r="N1102" i="3"/>
  <c r="N1106" i="3"/>
  <c r="J1105" i="3"/>
  <c r="J1104" i="3"/>
  <c r="J1108" i="3"/>
  <c r="J1103" i="3"/>
  <c r="J1107" i="3"/>
  <c r="J1102" i="3"/>
  <c r="J1106" i="3"/>
  <c r="Q1100" i="3"/>
  <c r="Q1099" i="3"/>
  <c r="Q1098" i="3"/>
  <c r="Q1101" i="3"/>
  <c r="M1100" i="3"/>
  <c r="M1099" i="3"/>
  <c r="M1098" i="3"/>
  <c r="M1101" i="3"/>
  <c r="T1095" i="3"/>
  <c r="T1097" i="3"/>
  <c r="T1096" i="3"/>
  <c r="P1095" i="3"/>
  <c r="P1097" i="3"/>
  <c r="P1096" i="3"/>
  <c r="L1095" i="3"/>
  <c r="L1097" i="3"/>
  <c r="L1096" i="3"/>
  <c r="S1090" i="3"/>
  <c r="S1094" i="3"/>
  <c r="S1093" i="3"/>
  <c r="S1092" i="3"/>
  <c r="S1091" i="3"/>
  <c r="O1090" i="3"/>
  <c r="O1094" i="3"/>
  <c r="O1093" i="3"/>
  <c r="O1092" i="3"/>
  <c r="O1091" i="3"/>
  <c r="K1090" i="3"/>
  <c r="K1094" i="3"/>
  <c r="K1093" i="3"/>
  <c r="K1092" i="3"/>
  <c r="K1091" i="3"/>
  <c r="R1085" i="3"/>
  <c r="R1089" i="3"/>
  <c r="R1088" i="3"/>
  <c r="R1087" i="3"/>
  <c r="R1086" i="3"/>
  <c r="N1085" i="3"/>
  <c r="N1089" i="3"/>
  <c r="N1088" i="3"/>
  <c r="N1087" i="3"/>
  <c r="N1086" i="3"/>
  <c r="J1085" i="3"/>
  <c r="J1089" i="3"/>
  <c r="J1088" i="3"/>
  <c r="J1087" i="3"/>
  <c r="J1086" i="3"/>
  <c r="Q1080" i="3"/>
  <c r="Q1084" i="3"/>
  <c r="Q1083" i="3"/>
  <c r="Q1082" i="3"/>
  <c r="Q1081" i="3"/>
  <c r="M1080" i="3"/>
  <c r="M1084" i="3"/>
  <c r="M1083" i="3"/>
  <c r="M1082" i="3"/>
  <c r="M1081" i="3"/>
  <c r="T1075" i="3"/>
  <c r="T1079" i="3"/>
  <c r="T1078" i="3"/>
  <c r="T1077" i="3"/>
  <c r="T1076" i="3"/>
  <c r="P1075" i="3"/>
  <c r="P1079" i="3"/>
  <c r="P1078" i="3"/>
  <c r="P1077" i="3"/>
  <c r="P1076" i="3"/>
  <c r="L1075" i="3"/>
  <c r="L1079" i="3"/>
  <c r="L1078" i="3"/>
  <c r="L1077" i="3"/>
  <c r="L1076" i="3"/>
  <c r="S1070" i="3"/>
  <c r="S1074" i="3"/>
  <c r="S1073" i="3"/>
  <c r="S1072" i="3"/>
  <c r="S1071" i="3"/>
  <c r="O1070" i="3"/>
  <c r="O1074" i="3"/>
  <c r="O1073" i="3"/>
  <c r="O1072" i="3"/>
  <c r="O1071" i="3"/>
  <c r="K1070" i="3"/>
  <c r="K1074" i="3"/>
  <c r="K1073" i="3"/>
  <c r="K1072" i="3"/>
  <c r="K1071" i="3"/>
  <c r="R1065" i="3"/>
  <c r="R1069" i="3"/>
  <c r="R1068" i="3"/>
  <c r="R1067" i="3"/>
  <c r="R1066" i="3"/>
  <c r="N1065" i="3"/>
  <c r="N1069" i="3"/>
  <c r="N1068" i="3"/>
  <c r="N1067" i="3"/>
  <c r="N1066" i="3"/>
  <c r="J1065" i="3"/>
  <c r="J1069" i="3"/>
  <c r="J1068" i="3"/>
  <c r="J1067" i="3"/>
  <c r="J1066" i="3"/>
  <c r="Q1060" i="3"/>
  <c r="Q1064" i="3"/>
  <c r="Q1063" i="3"/>
  <c r="Q1062" i="3"/>
  <c r="Q1061" i="3"/>
  <c r="M1060" i="3"/>
  <c r="M1064" i="3"/>
  <c r="M1063" i="3"/>
  <c r="M1062" i="3"/>
  <c r="M1061" i="3"/>
  <c r="T1055" i="3"/>
  <c r="T1059" i="3"/>
  <c r="T1058" i="3"/>
  <c r="T1057" i="3"/>
  <c r="T1056" i="3"/>
  <c r="P1055" i="3"/>
  <c r="P1059" i="3"/>
  <c r="P1058" i="3"/>
  <c r="P1057" i="3"/>
  <c r="P1056" i="3"/>
  <c r="L1055" i="3"/>
  <c r="L1059" i="3"/>
  <c r="L1058" i="3"/>
  <c r="L1057" i="3"/>
  <c r="L1056" i="3"/>
  <c r="S1050" i="3"/>
  <c r="S1054" i="3"/>
  <c r="S1053" i="3"/>
  <c r="S1052" i="3"/>
  <c r="S1051" i="3"/>
  <c r="O1050" i="3"/>
  <c r="O1054" i="3"/>
  <c r="O1053" i="3"/>
  <c r="O1052" i="3"/>
  <c r="O1051" i="3"/>
  <c r="K1050" i="3"/>
  <c r="K1054" i="3"/>
  <c r="K1053" i="3"/>
  <c r="K1052" i="3"/>
  <c r="K1051" i="3"/>
  <c r="R1045" i="3"/>
  <c r="R1049" i="3"/>
  <c r="R1048" i="3"/>
  <c r="R1047" i="3"/>
  <c r="R1046" i="3"/>
  <c r="N1045" i="3"/>
  <c r="N1049" i="3"/>
  <c r="N1048" i="3"/>
  <c r="N1047" i="3"/>
  <c r="N1046" i="3"/>
  <c r="J1045" i="3"/>
  <c r="J1049" i="3"/>
  <c r="J1048" i="3"/>
  <c r="J1047" i="3"/>
  <c r="J1046" i="3"/>
  <c r="Q1040" i="3"/>
  <c r="Q1044" i="3"/>
  <c r="Q1043" i="3"/>
  <c r="Q1042" i="3"/>
  <c r="Q1041" i="3"/>
  <c r="M1040" i="3"/>
  <c r="M1044" i="3"/>
  <c r="M1043" i="3"/>
  <c r="M1042" i="3"/>
  <c r="M1041" i="3"/>
  <c r="T1035" i="3"/>
  <c r="T1039" i="3"/>
  <c r="T1038" i="3"/>
  <c r="T1037" i="3"/>
  <c r="T1036" i="3"/>
  <c r="P1035" i="3"/>
  <c r="P1039" i="3"/>
  <c r="P1038" i="3"/>
  <c r="P1037" i="3"/>
  <c r="P1036" i="3"/>
  <c r="L1035" i="3"/>
  <c r="L1039" i="3"/>
  <c r="L1038" i="3"/>
  <c r="L1037" i="3"/>
  <c r="L1036" i="3"/>
  <c r="S1030" i="3"/>
  <c r="S1034" i="3"/>
  <c r="S1033" i="3"/>
  <c r="S1032" i="3"/>
  <c r="S1031" i="3"/>
  <c r="O1030" i="3"/>
  <c r="O1034" i="3"/>
  <c r="O1033" i="3"/>
  <c r="O1032" i="3"/>
  <c r="O1031" i="3"/>
  <c r="K1030" i="3"/>
  <c r="K1034" i="3"/>
  <c r="K1033" i="3"/>
  <c r="K1032" i="3"/>
  <c r="K1031" i="3"/>
  <c r="R1025" i="3"/>
  <c r="R1029" i="3"/>
  <c r="R1028" i="3"/>
  <c r="R1027" i="3"/>
  <c r="R1026" i="3"/>
  <c r="N1025" i="3"/>
  <c r="N1029" i="3"/>
  <c r="N1028" i="3"/>
  <c r="N1027" i="3"/>
  <c r="N1026" i="3"/>
  <c r="J1025" i="3"/>
  <c r="J1029" i="3"/>
  <c r="J1028" i="3"/>
  <c r="J1027" i="3"/>
  <c r="J1026" i="3"/>
  <c r="Q1020" i="3"/>
  <c r="Q1024" i="3"/>
  <c r="Q1023" i="3"/>
  <c r="Q1022" i="3"/>
  <c r="Q1021" i="3"/>
  <c r="M1020" i="3"/>
  <c r="M1024" i="3"/>
  <c r="M1023" i="3"/>
  <c r="M1022" i="3"/>
  <c r="M1021" i="3"/>
  <c r="T1015" i="3"/>
  <c r="T1019" i="3"/>
  <c r="T1018" i="3"/>
  <c r="T1017" i="3"/>
  <c r="T1016" i="3"/>
  <c r="P1015" i="3"/>
  <c r="P1019" i="3"/>
  <c r="P1018" i="3"/>
  <c r="P1017" i="3"/>
  <c r="P1016" i="3"/>
  <c r="L1015" i="3"/>
  <c r="L1019" i="3"/>
  <c r="L1018" i="3"/>
  <c r="L1017" i="3"/>
  <c r="L1016" i="3"/>
  <c r="S1010" i="3"/>
  <c r="S1014" i="3"/>
  <c r="S1013" i="3"/>
  <c r="S1012" i="3"/>
  <c r="S1011" i="3"/>
  <c r="O1010" i="3"/>
  <c r="O1014" i="3"/>
  <c r="O1013" i="3"/>
  <c r="O1012" i="3"/>
  <c r="O1011" i="3"/>
  <c r="K1010" i="3"/>
  <c r="K1014" i="3"/>
  <c r="K1013" i="3"/>
  <c r="K1012" i="3"/>
  <c r="K1011" i="3"/>
  <c r="R1005" i="3"/>
  <c r="R1009" i="3"/>
  <c r="R1008" i="3"/>
  <c r="R1007" i="3"/>
  <c r="R1006" i="3"/>
  <c r="N1005" i="3"/>
  <c r="N1009" i="3"/>
  <c r="N1008" i="3"/>
  <c r="N1007" i="3"/>
  <c r="N1006" i="3"/>
  <c r="J1005" i="3"/>
  <c r="J1009" i="3"/>
  <c r="J1008" i="3"/>
  <c r="J1007" i="3"/>
  <c r="J1006" i="3"/>
  <c r="Q1000" i="3"/>
  <c r="Q1004" i="3"/>
  <c r="Q1003" i="3"/>
  <c r="Q1002" i="3"/>
  <c r="Q1001" i="3"/>
  <c r="M1000" i="3"/>
  <c r="M1004" i="3"/>
  <c r="M1003" i="3"/>
  <c r="M1002" i="3"/>
  <c r="M1001" i="3"/>
  <c r="T995" i="3"/>
  <c r="T999" i="3"/>
  <c r="T998" i="3"/>
  <c r="T997" i="3"/>
  <c r="T996" i="3"/>
  <c r="P995" i="3"/>
  <c r="P999" i="3"/>
  <c r="P998" i="3"/>
  <c r="P997" i="3"/>
  <c r="P996" i="3"/>
  <c r="L995" i="3"/>
  <c r="L999" i="3"/>
  <c r="L998" i="3"/>
  <c r="L997" i="3"/>
  <c r="L996" i="3"/>
  <c r="S990" i="3"/>
  <c r="S994" i="3"/>
  <c r="S993" i="3"/>
  <c r="S992" i="3"/>
  <c r="S991" i="3"/>
  <c r="O990" i="3"/>
  <c r="O994" i="3"/>
  <c r="O993" i="3"/>
  <c r="O992" i="3"/>
  <c r="O991" i="3"/>
  <c r="K990" i="3"/>
  <c r="K994" i="3"/>
  <c r="K993" i="3"/>
  <c r="K992" i="3"/>
  <c r="K991" i="3"/>
  <c r="R985" i="3"/>
  <c r="R989" i="3"/>
  <c r="R988" i="3"/>
  <c r="R987" i="3"/>
  <c r="R986" i="3"/>
  <c r="N985" i="3"/>
  <c r="N989" i="3"/>
  <c r="N988" i="3"/>
  <c r="N987" i="3"/>
  <c r="N986" i="3"/>
  <c r="J985" i="3"/>
  <c r="J989" i="3"/>
  <c r="J988" i="3"/>
  <c r="J987" i="3"/>
  <c r="J986" i="3"/>
  <c r="Q980" i="3"/>
  <c r="Q984" i="3"/>
  <c r="Q983" i="3"/>
  <c r="Q982" i="3"/>
  <c r="Q981" i="3"/>
  <c r="M980" i="3"/>
  <c r="M984" i="3"/>
  <c r="M983" i="3"/>
  <c r="M982" i="3"/>
  <c r="M981" i="3"/>
  <c r="T975" i="3"/>
  <c r="T979" i="3"/>
  <c r="T978" i="3"/>
  <c r="T977" i="3"/>
  <c r="T976" i="3"/>
  <c r="P975" i="3"/>
  <c r="P979" i="3"/>
  <c r="P978" i="3"/>
  <c r="P977" i="3"/>
  <c r="P976" i="3"/>
  <c r="L975" i="3"/>
  <c r="L979" i="3"/>
  <c r="L978" i="3"/>
  <c r="L977" i="3"/>
  <c r="L976" i="3"/>
  <c r="S970" i="3"/>
  <c r="S974" i="3"/>
  <c r="S973" i="3"/>
  <c r="S972" i="3"/>
  <c r="S971" i="3"/>
  <c r="O970" i="3"/>
  <c r="O974" i="3"/>
  <c r="O973" i="3"/>
  <c r="O972" i="3"/>
  <c r="O971" i="3"/>
  <c r="K970" i="3"/>
  <c r="K974" i="3"/>
  <c r="K973" i="3"/>
  <c r="K972" i="3"/>
  <c r="K971" i="3"/>
  <c r="R969" i="3"/>
  <c r="R968" i="3"/>
  <c r="R967" i="3"/>
  <c r="N969" i="3"/>
  <c r="N968" i="3"/>
  <c r="N967" i="3"/>
  <c r="J969" i="3"/>
  <c r="J968" i="3"/>
  <c r="J967" i="3"/>
  <c r="Q964" i="3"/>
  <c r="Q966" i="3"/>
  <c r="Q965" i="3"/>
  <c r="M964" i="3"/>
  <c r="M966" i="3"/>
  <c r="M965" i="3"/>
  <c r="T963" i="3"/>
  <c r="T962" i="3"/>
  <c r="T961" i="3"/>
  <c r="P963" i="3"/>
  <c r="P962" i="3"/>
  <c r="P961" i="3"/>
  <c r="L963" i="3"/>
  <c r="L962" i="3"/>
  <c r="L961" i="3"/>
  <c r="S958" i="3"/>
  <c r="S960" i="3"/>
  <c r="S959" i="3"/>
  <c r="O958" i="3"/>
  <c r="O960" i="3"/>
  <c r="O959" i="3"/>
  <c r="K958" i="3"/>
  <c r="K960" i="3"/>
  <c r="K959" i="3"/>
  <c r="R955" i="3"/>
  <c r="R957" i="3"/>
  <c r="R953" i="3"/>
  <c r="R954" i="3"/>
  <c r="R956" i="3"/>
  <c r="N955" i="3"/>
  <c r="N957" i="3"/>
  <c r="N953" i="3"/>
  <c r="N954" i="3"/>
  <c r="N956" i="3"/>
  <c r="J955" i="3"/>
  <c r="J956" i="3"/>
  <c r="J957" i="3"/>
  <c r="J953" i="3"/>
  <c r="J954" i="3"/>
  <c r="T89" i="3"/>
  <c r="T88" i="3"/>
  <c r="T92" i="3"/>
  <c r="T91" i="3"/>
  <c r="T90" i="3"/>
  <c r="T949" i="3"/>
  <c r="T948" i="3"/>
  <c r="T950" i="3"/>
  <c r="T951" i="3"/>
  <c r="T952" i="3"/>
  <c r="P89" i="3"/>
  <c r="P88" i="3"/>
  <c r="P92" i="3"/>
  <c r="P91" i="3"/>
  <c r="P90" i="3"/>
  <c r="P949" i="3"/>
  <c r="P948" i="3"/>
  <c r="P950" i="3"/>
  <c r="P951" i="3"/>
  <c r="P952" i="3"/>
  <c r="L89" i="3"/>
  <c r="L88" i="3"/>
  <c r="L92" i="3"/>
  <c r="L91" i="3"/>
  <c r="L90" i="3"/>
  <c r="L949" i="3"/>
  <c r="L948" i="3"/>
  <c r="L950" i="3"/>
  <c r="L952" i="3"/>
  <c r="L951" i="3"/>
  <c r="S945" i="3"/>
  <c r="S944" i="3"/>
  <c r="S943" i="3"/>
  <c r="S947" i="3"/>
  <c r="S946" i="3"/>
  <c r="O945" i="3"/>
  <c r="O944" i="3"/>
  <c r="O943" i="3"/>
  <c r="O947" i="3"/>
  <c r="O946" i="3"/>
  <c r="K945" i="3"/>
  <c r="K944" i="3"/>
  <c r="K943" i="3"/>
  <c r="K947" i="3"/>
  <c r="K946" i="3"/>
  <c r="R940" i="3"/>
  <c r="R939" i="3"/>
  <c r="R938" i="3"/>
  <c r="R942" i="3"/>
  <c r="R941" i="3"/>
  <c r="N940" i="3"/>
  <c r="N939" i="3"/>
  <c r="N938" i="3"/>
  <c r="N942" i="3"/>
  <c r="N941" i="3"/>
  <c r="J940" i="3"/>
  <c r="J939" i="3"/>
  <c r="J938" i="3"/>
  <c r="J942" i="3"/>
  <c r="J941" i="3"/>
  <c r="Q935" i="3"/>
  <c r="Q934" i="3"/>
  <c r="Q933" i="3"/>
  <c r="Q937" i="3"/>
  <c r="Q936" i="3"/>
  <c r="M935" i="3"/>
  <c r="M934" i="3"/>
  <c r="M933" i="3"/>
  <c r="M937" i="3"/>
  <c r="M936" i="3"/>
  <c r="T930" i="3"/>
  <c r="T932" i="3"/>
  <c r="T931" i="3"/>
  <c r="P930" i="3"/>
  <c r="P932" i="3"/>
  <c r="P931" i="3"/>
  <c r="L930" i="3"/>
  <c r="L932" i="3"/>
  <c r="L931" i="3"/>
  <c r="S929" i="3"/>
  <c r="S928" i="3"/>
  <c r="S927" i="3"/>
  <c r="O929" i="3"/>
  <c r="O928" i="3"/>
  <c r="O927" i="3"/>
  <c r="K929" i="3"/>
  <c r="K928" i="3"/>
  <c r="K927" i="3"/>
  <c r="R924" i="3"/>
  <c r="R926" i="3"/>
  <c r="R925" i="3"/>
  <c r="N924" i="3"/>
  <c r="N926" i="3"/>
  <c r="N925" i="3"/>
  <c r="J924" i="3"/>
  <c r="J926" i="3"/>
  <c r="J925" i="3"/>
  <c r="Q923" i="3"/>
  <c r="Q922" i="3"/>
  <c r="Q921" i="3"/>
  <c r="M923" i="3"/>
  <c r="M922" i="3"/>
  <c r="M921" i="3"/>
  <c r="T918" i="3"/>
  <c r="T917" i="3"/>
  <c r="T916" i="3"/>
  <c r="T920" i="3"/>
  <c r="T919" i="3"/>
  <c r="P918" i="3"/>
  <c r="P917" i="3"/>
  <c r="P916" i="3"/>
  <c r="P920" i="3"/>
  <c r="P919" i="3"/>
  <c r="L918" i="3"/>
  <c r="L917" i="3"/>
  <c r="L916" i="3"/>
  <c r="L920" i="3"/>
  <c r="L919" i="3"/>
  <c r="S84" i="3"/>
  <c r="S83" i="3"/>
  <c r="S87" i="3"/>
  <c r="S86" i="3"/>
  <c r="S85" i="3"/>
  <c r="O84" i="3"/>
  <c r="O83" i="3"/>
  <c r="O87" i="3"/>
  <c r="O86" i="3"/>
  <c r="O85" i="3"/>
  <c r="K84" i="3"/>
  <c r="K83" i="3"/>
  <c r="K87" i="3"/>
  <c r="K86" i="3"/>
  <c r="K85" i="3"/>
  <c r="R912" i="3"/>
  <c r="R911" i="3"/>
  <c r="R915" i="3"/>
  <c r="R914" i="3"/>
  <c r="R913" i="3"/>
  <c r="N912" i="3"/>
  <c r="N911" i="3"/>
  <c r="N915" i="3"/>
  <c r="N914" i="3"/>
  <c r="N913" i="3"/>
  <c r="J912" i="3"/>
  <c r="J911" i="3"/>
  <c r="J915" i="3"/>
  <c r="J914" i="3"/>
  <c r="J913" i="3"/>
  <c r="Q907" i="3"/>
  <c r="Q906" i="3"/>
  <c r="Q910" i="3"/>
  <c r="Q909" i="3"/>
  <c r="Q908" i="3"/>
  <c r="M907" i="3"/>
  <c r="M906" i="3"/>
  <c r="M910" i="3"/>
  <c r="M909" i="3"/>
  <c r="M908" i="3"/>
  <c r="T902" i="3"/>
  <c r="T901" i="3"/>
  <c r="T905" i="3"/>
  <c r="T904" i="3"/>
  <c r="T903" i="3"/>
  <c r="P902" i="3"/>
  <c r="P901" i="3"/>
  <c r="P905" i="3"/>
  <c r="P904" i="3"/>
  <c r="P903" i="3"/>
  <c r="L902" i="3"/>
  <c r="L901" i="3"/>
  <c r="L905" i="3"/>
  <c r="L904" i="3"/>
  <c r="L903" i="3"/>
  <c r="S897" i="3"/>
  <c r="S896" i="3"/>
  <c r="S900" i="3"/>
  <c r="S899" i="3"/>
  <c r="S898" i="3"/>
  <c r="O897" i="3"/>
  <c r="O896" i="3"/>
  <c r="O900" i="3"/>
  <c r="O899" i="3"/>
  <c r="O898" i="3"/>
  <c r="K897" i="3"/>
  <c r="K896" i="3"/>
  <c r="K900" i="3"/>
  <c r="K899" i="3"/>
  <c r="K898" i="3"/>
  <c r="R892" i="3"/>
  <c r="R891" i="3"/>
  <c r="R895" i="3"/>
  <c r="R894" i="3"/>
  <c r="R893" i="3"/>
  <c r="N892" i="3"/>
  <c r="N891" i="3"/>
  <c r="N895" i="3"/>
  <c r="N894" i="3"/>
  <c r="N893" i="3"/>
  <c r="J892" i="3"/>
  <c r="J891" i="3"/>
  <c r="J895" i="3"/>
  <c r="J894" i="3"/>
  <c r="J893" i="3"/>
  <c r="Q887" i="3"/>
  <c r="Q886" i="3"/>
  <c r="Q890" i="3"/>
  <c r="Q889" i="3"/>
  <c r="Q888" i="3"/>
  <c r="M887" i="3"/>
  <c r="M886" i="3"/>
  <c r="M890" i="3"/>
  <c r="M889" i="3"/>
  <c r="M888" i="3"/>
  <c r="T882" i="3"/>
  <c r="T881" i="3"/>
  <c r="T885" i="3"/>
  <c r="T884" i="3"/>
  <c r="T883" i="3"/>
  <c r="P882" i="3"/>
  <c r="P881" i="3"/>
  <c r="P885" i="3"/>
  <c r="P884" i="3"/>
  <c r="P883" i="3"/>
  <c r="L882" i="3"/>
  <c r="L881" i="3"/>
  <c r="L885" i="3"/>
  <c r="L884" i="3"/>
  <c r="L883" i="3"/>
  <c r="S877" i="3"/>
  <c r="S876" i="3"/>
  <c r="S880" i="3"/>
  <c r="S879" i="3"/>
  <c r="S878" i="3"/>
  <c r="O877" i="3"/>
  <c r="O876" i="3"/>
  <c r="O880" i="3"/>
  <c r="O879" i="3"/>
  <c r="O878" i="3"/>
  <c r="K877" i="3"/>
  <c r="K876" i="3"/>
  <c r="K880" i="3"/>
  <c r="K879" i="3"/>
  <c r="K878" i="3"/>
  <c r="R872" i="3"/>
  <c r="R871" i="3"/>
  <c r="R875" i="3"/>
  <c r="R874" i="3"/>
  <c r="R873" i="3"/>
  <c r="N872" i="3"/>
  <c r="N871" i="3"/>
  <c r="N875" i="3"/>
  <c r="N874" i="3"/>
  <c r="N873" i="3"/>
  <c r="J872" i="3"/>
  <c r="J871" i="3"/>
  <c r="J875" i="3"/>
  <c r="J874" i="3"/>
  <c r="J873" i="3"/>
  <c r="Q867" i="3"/>
  <c r="Q866" i="3"/>
  <c r="Q870" i="3"/>
  <c r="Q869" i="3"/>
  <c r="Q868" i="3"/>
  <c r="M867" i="3"/>
  <c r="M866" i="3"/>
  <c r="M870" i="3"/>
  <c r="M869" i="3"/>
  <c r="M868" i="3"/>
  <c r="S861" i="3"/>
  <c r="S865" i="3"/>
  <c r="S864" i="3"/>
  <c r="S863" i="3"/>
  <c r="S862" i="3"/>
  <c r="O861" i="3"/>
  <c r="O865" i="3"/>
  <c r="O864" i="3"/>
  <c r="O863" i="3"/>
  <c r="O862" i="3"/>
  <c r="K861" i="3"/>
  <c r="K865" i="3"/>
  <c r="K864" i="3"/>
  <c r="K863" i="3"/>
  <c r="K862" i="3"/>
  <c r="R856" i="3"/>
  <c r="R860" i="3"/>
  <c r="R859" i="3"/>
  <c r="R858" i="3"/>
  <c r="R857" i="3"/>
  <c r="N856" i="3"/>
  <c r="N860" i="3"/>
  <c r="N859" i="3"/>
  <c r="N858" i="3"/>
  <c r="N857" i="3"/>
  <c r="J856" i="3"/>
  <c r="J860" i="3"/>
  <c r="J859" i="3"/>
  <c r="J858" i="3"/>
  <c r="J857" i="3"/>
  <c r="Q851" i="3"/>
  <c r="Q855" i="3"/>
  <c r="Q854" i="3"/>
  <c r="Q853" i="3"/>
  <c r="Q852" i="3"/>
  <c r="M851" i="3"/>
  <c r="M855" i="3"/>
  <c r="M854" i="3"/>
  <c r="M853" i="3"/>
  <c r="M852" i="3"/>
  <c r="T846" i="3"/>
  <c r="T850" i="3"/>
  <c r="T849" i="3"/>
  <c r="T848" i="3"/>
  <c r="T847" i="3"/>
  <c r="P846" i="3"/>
  <c r="P850" i="3"/>
  <c r="P849" i="3"/>
  <c r="P848" i="3"/>
  <c r="P847" i="3"/>
  <c r="L846" i="3"/>
  <c r="L850" i="3"/>
  <c r="L849" i="3"/>
  <c r="L848" i="3"/>
  <c r="L847" i="3"/>
  <c r="S845" i="3"/>
  <c r="S844" i="3"/>
  <c r="S843" i="3"/>
  <c r="O845" i="3"/>
  <c r="O844" i="3"/>
  <c r="O843" i="3"/>
  <c r="K845" i="3"/>
  <c r="K844" i="3"/>
  <c r="K843" i="3"/>
  <c r="R840" i="3"/>
  <c r="R842" i="3"/>
  <c r="R841" i="3"/>
  <c r="N840" i="3"/>
  <c r="N842" i="3"/>
  <c r="N841" i="3"/>
  <c r="J840" i="3"/>
  <c r="J842" i="3"/>
  <c r="J841" i="3"/>
  <c r="Q839" i="3"/>
  <c r="Q838" i="3"/>
  <c r="Q837" i="3"/>
  <c r="M839" i="3"/>
  <c r="M838" i="3"/>
  <c r="M837" i="3"/>
  <c r="T834" i="3"/>
  <c r="T836" i="3"/>
  <c r="T835" i="3"/>
  <c r="P834" i="3"/>
  <c r="P836" i="3"/>
  <c r="P835" i="3"/>
  <c r="L834" i="3"/>
  <c r="L836" i="3"/>
  <c r="L835" i="3"/>
  <c r="S829" i="3"/>
  <c r="S833" i="3"/>
  <c r="S832" i="3"/>
  <c r="S831" i="3"/>
  <c r="S830" i="3"/>
  <c r="O829" i="3"/>
  <c r="O833" i="3"/>
  <c r="O832" i="3"/>
  <c r="O831" i="3"/>
  <c r="O830" i="3"/>
  <c r="K829" i="3"/>
  <c r="K833" i="3"/>
  <c r="K832" i="3"/>
  <c r="K831" i="3"/>
  <c r="K830" i="3"/>
  <c r="R824" i="3"/>
  <c r="R828" i="3"/>
  <c r="R827" i="3"/>
  <c r="R826" i="3"/>
  <c r="R825" i="3"/>
  <c r="N824" i="3"/>
  <c r="N828" i="3"/>
  <c r="N827" i="3"/>
  <c r="N826" i="3"/>
  <c r="N825" i="3"/>
  <c r="J824" i="3"/>
  <c r="J828" i="3"/>
  <c r="J827" i="3"/>
  <c r="J826" i="3"/>
  <c r="J825" i="3"/>
  <c r="Q819" i="3"/>
  <c r="Q823" i="3"/>
  <c r="Q822" i="3"/>
  <c r="Q821" i="3"/>
  <c r="Q820" i="3"/>
  <c r="M819" i="3"/>
  <c r="M823" i="3"/>
  <c r="M822" i="3"/>
  <c r="M821" i="3"/>
  <c r="M820" i="3"/>
  <c r="T814" i="3"/>
  <c r="T818" i="3"/>
  <c r="T817" i="3"/>
  <c r="T816" i="3"/>
  <c r="T815" i="3"/>
  <c r="P814" i="3"/>
  <c r="P818" i="3"/>
  <c r="P817" i="3"/>
  <c r="P816" i="3"/>
  <c r="P815" i="3"/>
  <c r="L814" i="3"/>
  <c r="L818" i="3"/>
  <c r="L817" i="3"/>
  <c r="L816" i="3"/>
  <c r="L815" i="3"/>
  <c r="S809" i="3"/>
  <c r="S813" i="3"/>
  <c r="S812" i="3"/>
  <c r="S811" i="3"/>
  <c r="S810" i="3"/>
  <c r="O809" i="3"/>
  <c r="O813" i="3"/>
  <c r="O812" i="3"/>
  <c r="O811" i="3"/>
  <c r="O810" i="3"/>
  <c r="K809" i="3"/>
  <c r="K813" i="3"/>
  <c r="K812" i="3"/>
  <c r="K811" i="3"/>
  <c r="K810" i="3"/>
  <c r="R808" i="3"/>
  <c r="R807" i="3"/>
  <c r="R806" i="3"/>
  <c r="N808" i="3"/>
  <c r="N807" i="3"/>
  <c r="N806" i="3"/>
  <c r="J808" i="3"/>
  <c r="J807" i="3"/>
  <c r="J806" i="3"/>
  <c r="Q803" i="3"/>
  <c r="Q805" i="3"/>
  <c r="Q804" i="3"/>
  <c r="M803" i="3"/>
  <c r="M805" i="3"/>
  <c r="M804" i="3"/>
  <c r="T802" i="3"/>
  <c r="T801" i="3"/>
  <c r="T800" i="3"/>
  <c r="P802" i="3"/>
  <c r="P801" i="3"/>
  <c r="P800" i="3"/>
  <c r="L802" i="3"/>
  <c r="L801" i="3"/>
  <c r="L800" i="3"/>
  <c r="S797" i="3"/>
  <c r="S799" i="3"/>
  <c r="S798" i="3"/>
  <c r="O797" i="3"/>
  <c r="O799" i="3"/>
  <c r="O798" i="3"/>
  <c r="K797" i="3"/>
  <c r="K799" i="3"/>
  <c r="K798" i="3"/>
  <c r="R792" i="3"/>
  <c r="R796" i="3"/>
  <c r="R795" i="3"/>
  <c r="R794" i="3"/>
  <c r="R793" i="3"/>
  <c r="N792" i="3"/>
  <c r="N796" i="3"/>
  <c r="N795" i="3"/>
  <c r="N794" i="3"/>
  <c r="N793" i="3"/>
  <c r="J792" i="3"/>
  <c r="J796" i="3"/>
  <c r="J795" i="3"/>
  <c r="J794" i="3"/>
  <c r="J793" i="3"/>
  <c r="Q787" i="3"/>
  <c r="Q791" i="3"/>
  <c r="Q790" i="3"/>
  <c r="Q789" i="3"/>
  <c r="Q788" i="3"/>
  <c r="M787" i="3"/>
  <c r="M791" i="3"/>
  <c r="M790" i="3"/>
  <c r="M789" i="3"/>
  <c r="M788" i="3"/>
  <c r="T782" i="3"/>
  <c r="T786" i="3"/>
  <c r="T785" i="3"/>
  <c r="T784" i="3"/>
  <c r="T783" i="3"/>
  <c r="P782" i="3"/>
  <c r="P786" i="3"/>
  <c r="P785" i="3"/>
  <c r="P784" i="3"/>
  <c r="P783" i="3"/>
  <c r="L782" i="3"/>
  <c r="L786" i="3"/>
  <c r="L785" i="3"/>
  <c r="L784" i="3"/>
  <c r="L783" i="3"/>
  <c r="S777" i="3"/>
  <c r="S781" i="3"/>
  <c r="S780" i="3"/>
  <c r="S779" i="3"/>
  <c r="S778" i="3"/>
  <c r="O777" i="3"/>
  <c r="O781" i="3"/>
  <c r="O780" i="3"/>
  <c r="O779" i="3"/>
  <c r="O778" i="3"/>
  <c r="K777" i="3"/>
  <c r="K781" i="3"/>
  <c r="K780" i="3"/>
  <c r="K779" i="3"/>
  <c r="K778" i="3"/>
  <c r="R772" i="3"/>
  <c r="R776" i="3"/>
  <c r="R775" i="3"/>
  <c r="R774" i="3"/>
  <c r="R773" i="3"/>
  <c r="N772" i="3"/>
  <c r="N776" i="3"/>
  <c r="N775" i="3"/>
  <c r="N774" i="3"/>
  <c r="N773" i="3"/>
  <c r="J772" i="3"/>
  <c r="J776" i="3"/>
  <c r="J775" i="3"/>
  <c r="J774" i="3"/>
  <c r="J773" i="3"/>
  <c r="Q767" i="3"/>
  <c r="Q771" i="3"/>
  <c r="Q770" i="3"/>
  <c r="Q769" i="3"/>
  <c r="Q768" i="3"/>
  <c r="M767" i="3"/>
  <c r="M771" i="3"/>
  <c r="M770" i="3"/>
  <c r="M769" i="3"/>
  <c r="M768" i="3"/>
  <c r="T762" i="3"/>
  <c r="T766" i="3"/>
  <c r="T765" i="3"/>
  <c r="T764" i="3"/>
  <c r="T763" i="3"/>
  <c r="P762" i="3"/>
  <c r="P766" i="3"/>
  <c r="P765" i="3"/>
  <c r="P764" i="3"/>
  <c r="P763" i="3"/>
  <c r="L762" i="3"/>
  <c r="L766" i="3"/>
  <c r="L765" i="3"/>
  <c r="L764" i="3"/>
  <c r="L763" i="3"/>
  <c r="S757" i="3"/>
  <c r="S761" i="3"/>
  <c r="S760" i="3"/>
  <c r="S759" i="3"/>
  <c r="S758" i="3"/>
  <c r="O757" i="3"/>
  <c r="O761" i="3"/>
  <c r="O760" i="3"/>
  <c r="O759" i="3"/>
  <c r="O758" i="3"/>
  <c r="K757" i="3"/>
  <c r="K761" i="3"/>
  <c r="K760" i="3"/>
  <c r="K759" i="3"/>
  <c r="K758" i="3"/>
  <c r="R752" i="3"/>
  <c r="R756" i="3"/>
  <c r="R755" i="3"/>
  <c r="R754" i="3"/>
  <c r="R753" i="3"/>
  <c r="N752" i="3"/>
  <c r="N756" i="3"/>
  <c r="N755" i="3"/>
  <c r="N754" i="3"/>
  <c r="N753" i="3"/>
  <c r="J752" i="3"/>
  <c r="J756" i="3"/>
  <c r="J755" i="3"/>
  <c r="J754" i="3"/>
  <c r="J753" i="3"/>
  <c r="Q748" i="3"/>
  <c r="Q747" i="3"/>
  <c r="Q751" i="3"/>
  <c r="Q750" i="3"/>
  <c r="Q749" i="3"/>
  <c r="M748" i="3"/>
  <c r="M751" i="3"/>
  <c r="M747" i="3"/>
  <c r="M750" i="3"/>
  <c r="M749" i="3"/>
  <c r="T743" i="3"/>
  <c r="T742" i="3"/>
  <c r="T744" i="3"/>
  <c r="T745" i="3"/>
  <c r="T746" i="3"/>
  <c r="P743" i="3"/>
  <c r="P742" i="3"/>
  <c r="P744" i="3"/>
  <c r="P745" i="3"/>
  <c r="P746" i="3"/>
  <c r="L743" i="3"/>
  <c r="L744" i="3"/>
  <c r="L745" i="3"/>
  <c r="L746" i="3"/>
  <c r="L742" i="3"/>
  <c r="S738" i="3"/>
  <c r="S739" i="3"/>
  <c r="S740" i="3"/>
  <c r="S741" i="3"/>
  <c r="S737" i="3"/>
  <c r="O738" i="3"/>
  <c r="O737" i="3"/>
  <c r="O739" i="3"/>
  <c r="O740" i="3"/>
  <c r="O741" i="3"/>
  <c r="K738" i="3"/>
  <c r="K737" i="3"/>
  <c r="K739" i="3"/>
  <c r="K740" i="3"/>
  <c r="K741" i="3"/>
  <c r="R733" i="3"/>
  <c r="R732" i="3"/>
  <c r="R734" i="3"/>
  <c r="R735" i="3"/>
  <c r="R736" i="3"/>
  <c r="N733" i="3"/>
  <c r="N732" i="3"/>
  <c r="N734" i="3"/>
  <c r="N735" i="3"/>
  <c r="N736" i="3"/>
  <c r="J733" i="3"/>
  <c r="J734" i="3"/>
  <c r="J735" i="3"/>
  <c r="J736" i="3"/>
  <c r="J732" i="3"/>
  <c r="Q724" i="3"/>
  <c r="Q728" i="3"/>
  <c r="Q729" i="3"/>
  <c r="Q730" i="3"/>
  <c r="Q731" i="3"/>
  <c r="Q723" i="3"/>
  <c r="Q725" i="3"/>
  <c r="Q726" i="3"/>
  <c r="Q727" i="3"/>
  <c r="M724" i="3"/>
  <c r="M728" i="3"/>
  <c r="M725" i="3"/>
  <c r="M726" i="3"/>
  <c r="M727" i="3"/>
  <c r="M729" i="3"/>
  <c r="M730" i="3"/>
  <c r="M731" i="3"/>
  <c r="M723" i="3"/>
  <c r="T719" i="3"/>
  <c r="T718" i="3"/>
  <c r="T720" i="3"/>
  <c r="T721" i="3"/>
  <c r="T722" i="3"/>
  <c r="P719" i="3"/>
  <c r="P718" i="3"/>
  <c r="P720" i="3"/>
  <c r="P721" i="3"/>
  <c r="P722" i="3"/>
  <c r="L719" i="3"/>
  <c r="L718" i="3"/>
  <c r="L720" i="3"/>
  <c r="L721" i="3"/>
  <c r="L722" i="3"/>
  <c r="S714" i="3"/>
  <c r="S713" i="3"/>
  <c r="S717" i="3"/>
  <c r="S715" i="3"/>
  <c r="S716" i="3"/>
  <c r="O714" i="3"/>
  <c r="O713" i="3"/>
  <c r="O717" i="3"/>
  <c r="O715" i="3"/>
  <c r="O716" i="3"/>
  <c r="K714" i="3"/>
  <c r="K713" i="3"/>
  <c r="K717" i="3"/>
  <c r="K715" i="3"/>
  <c r="K716" i="3"/>
  <c r="R709" i="3"/>
  <c r="R708" i="3"/>
  <c r="R712" i="3"/>
  <c r="R710" i="3"/>
  <c r="R711" i="3"/>
  <c r="N709" i="3"/>
  <c r="N708" i="3"/>
  <c r="N712" i="3"/>
  <c r="N710" i="3"/>
  <c r="N711" i="3"/>
  <c r="J709" i="3"/>
  <c r="J708" i="3"/>
  <c r="J712" i="3"/>
  <c r="J710" i="3"/>
  <c r="J711" i="3"/>
  <c r="Q704" i="3"/>
  <c r="Q703" i="3"/>
  <c r="Q707" i="3"/>
  <c r="Q705" i="3"/>
  <c r="Q706" i="3"/>
  <c r="M704" i="3"/>
  <c r="M703" i="3"/>
  <c r="M707" i="3"/>
  <c r="M705" i="3"/>
  <c r="M706" i="3"/>
  <c r="T699" i="3"/>
  <c r="T698" i="3"/>
  <c r="T702" i="3"/>
  <c r="T700" i="3"/>
  <c r="T701" i="3"/>
  <c r="P699" i="3"/>
  <c r="P698" i="3"/>
  <c r="P702" i="3"/>
  <c r="P700" i="3"/>
  <c r="P701" i="3"/>
  <c r="L699" i="3"/>
  <c r="L698" i="3"/>
  <c r="L702" i="3"/>
  <c r="L700" i="3"/>
  <c r="L701" i="3"/>
  <c r="S694" i="3"/>
  <c r="S693" i="3"/>
  <c r="S697" i="3"/>
  <c r="S695" i="3"/>
  <c r="S696" i="3"/>
  <c r="O694" i="3"/>
  <c r="O693" i="3"/>
  <c r="O697" i="3"/>
  <c r="O695" i="3"/>
  <c r="O696" i="3"/>
  <c r="K694" i="3"/>
  <c r="K693" i="3"/>
  <c r="K697" i="3"/>
  <c r="K695" i="3"/>
  <c r="K696" i="3"/>
  <c r="R689" i="3"/>
  <c r="R688" i="3"/>
  <c r="R692" i="3"/>
  <c r="R690" i="3"/>
  <c r="R691" i="3"/>
  <c r="N689" i="3"/>
  <c r="N688" i="3"/>
  <c r="N692" i="3"/>
  <c r="N690" i="3"/>
  <c r="N691" i="3"/>
  <c r="J689" i="3"/>
  <c r="J688" i="3"/>
  <c r="J692" i="3"/>
  <c r="J690" i="3"/>
  <c r="J691" i="3"/>
  <c r="Q684" i="3"/>
  <c r="Q683" i="3"/>
  <c r="Q687" i="3"/>
  <c r="Q685" i="3"/>
  <c r="Q686" i="3"/>
  <c r="M684" i="3"/>
  <c r="M683" i="3"/>
  <c r="M687" i="3"/>
  <c r="M685" i="3"/>
  <c r="M686" i="3"/>
  <c r="T679" i="3"/>
  <c r="T678" i="3"/>
  <c r="T682" i="3"/>
  <c r="T680" i="3"/>
  <c r="T681" i="3"/>
  <c r="P679" i="3"/>
  <c r="P678" i="3"/>
  <c r="P682" i="3"/>
  <c r="P680" i="3"/>
  <c r="P681" i="3"/>
  <c r="L679" i="3"/>
  <c r="L678" i="3"/>
  <c r="L682" i="3"/>
  <c r="L681" i="3"/>
  <c r="L680" i="3"/>
  <c r="S670" i="3"/>
  <c r="S674" i="3"/>
  <c r="S669" i="3"/>
  <c r="S673" i="3"/>
  <c r="S677" i="3"/>
  <c r="S672" i="3"/>
  <c r="S676" i="3"/>
  <c r="S671" i="3"/>
  <c r="S675" i="3"/>
  <c r="O670" i="3"/>
  <c r="O674" i="3"/>
  <c r="O669" i="3"/>
  <c r="O673" i="3"/>
  <c r="O677" i="3"/>
  <c r="O672" i="3"/>
  <c r="O676" i="3"/>
  <c r="O671" i="3"/>
  <c r="O675" i="3"/>
  <c r="K670" i="3"/>
  <c r="K674" i="3"/>
  <c r="K669" i="3"/>
  <c r="K673" i="3"/>
  <c r="K677" i="3"/>
  <c r="K672" i="3"/>
  <c r="K676" i="3"/>
  <c r="K671" i="3"/>
  <c r="K675" i="3"/>
  <c r="R665" i="3"/>
  <c r="R664" i="3"/>
  <c r="R668" i="3"/>
  <c r="R667" i="3"/>
  <c r="R666" i="3"/>
  <c r="N665" i="3"/>
  <c r="N664" i="3"/>
  <c r="N668" i="3"/>
  <c r="N667" i="3"/>
  <c r="N666" i="3"/>
  <c r="J665" i="3"/>
  <c r="J664" i="3"/>
  <c r="J668" i="3"/>
  <c r="J667" i="3"/>
  <c r="J666" i="3"/>
  <c r="Q660" i="3"/>
  <c r="Q663" i="3"/>
  <c r="Q662" i="3"/>
  <c r="Q661" i="3"/>
  <c r="M660" i="3"/>
  <c r="M663" i="3"/>
  <c r="M662" i="3"/>
  <c r="M661" i="3"/>
  <c r="T655" i="3"/>
  <c r="T659" i="3"/>
  <c r="T658" i="3"/>
  <c r="T657" i="3"/>
  <c r="T656" i="3"/>
  <c r="P655" i="3"/>
  <c r="P659" i="3"/>
  <c r="P658" i="3"/>
  <c r="P657" i="3"/>
  <c r="P656" i="3"/>
  <c r="L655" i="3"/>
  <c r="L659" i="3"/>
  <c r="L658" i="3"/>
  <c r="L657" i="3"/>
  <c r="L656" i="3"/>
  <c r="S650" i="3"/>
  <c r="S651" i="3"/>
  <c r="S654" i="3"/>
  <c r="S653" i="3"/>
  <c r="S652" i="3"/>
  <c r="O654" i="3"/>
  <c r="O651" i="3"/>
  <c r="O653" i="3"/>
  <c r="O650" i="3"/>
  <c r="O652" i="3"/>
  <c r="K652" i="3"/>
  <c r="K650" i="3"/>
  <c r="K654" i="3"/>
  <c r="K653" i="3"/>
  <c r="K651" i="3"/>
  <c r="R647" i="3"/>
  <c r="R646" i="3"/>
  <c r="R645" i="3"/>
  <c r="R648" i="3"/>
  <c r="R649" i="3"/>
  <c r="N647" i="3"/>
  <c r="N646" i="3"/>
  <c r="N649" i="3"/>
  <c r="N645" i="3"/>
  <c r="N648" i="3"/>
  <c r="J647" i="3"/>
  <c r="J646" i="3"/>
  <c r="J645" i="3"/>
  <c r="J648" i="3"/>
  <c r="J649" i="3"/>
  <c r="Q642" i="3"/>
  <c r="Q641" i="3"/>
  <c r="Q640" i="3"/>
  <c r="Q643" i="3"/>
  <c r="Q644" i="3"/>
  <c r="M642" i="3"/>
  <c r="M641" i="3"/>
  <c r="M644" i="3"/>
  <c r="M640" i="3"/>
  <c r="M643" i="3"/>
  <c r="T637" i="3"/>
  <c r="T636" i="3"/>
  <c r="T639" i="3"/>
  <c r="T635" i="3"/>
  <c r="T638" i="3"/>
  <c r="P637" i="3"/>
  <c r="P636" i="3"/>
  <c r="P635" i="3"/>
  <c r="P638" i="3"/>
  <c r="P639" i="3"/>
  <c r="L637" i="3"/>
  <c r="L636" i="3"/>
  <c r="L639" i="3"/>
  <c r="L635" i="3"/>
  <c r="L638" i="3"/>
  <c r="S632" i="3"/>
  <c r="S631" i="3"/>
  <c r="S634" i="3"/>
  <c r="S633" i="3"/>
  <c r="O632" i="3"/>
  <c r="O631" i="3"/>
  <c r="O633" i="3"/>
  <c r="O634" i="3"/>
  <c r="K632" i="3"/>
  <c r="K631" i="3"/>
  <c r="K634" i="3"/>
  <c r="K633" i="3"/>
  <c r="R627" i="3"/>
  <c r="R626" i="3"/>
  <c r="R630" i="3"/>
  <c r="R629" i="3"/>
  <c r="R628" i="3"/>
  <c r="N627" i="3"/>
  <c r="N626" i="3"/>
  <c r="N630" i="3"/>
  <c r="N628" i="3"/>
  <c r="N629" i="3"/>
  <c r="J627" i="3"/>
  <c r="J626" i="3"/>
  <c r="J630" i="3"/>
  <c r="J629" i="3"/>
  <c r="J628" i="3"/>
  <c r="Q622" i="3"/>
  <c r="Q621" i="3"/>
  <c r="Q625" i="3"/>
  <c r="Q624" i="3"/>
  <c r="Q623" i="3"/>
  <c r="M622" i="3"/>
  <c r="M621" i="3"/>
  <c r="M625" i="3"/>
  <c r="M623" i="3"/>
  <c r="M624" i="3"/>
  <c r="T617" i="3"/>
  <c r="T616" i="3"/>
  <c r="T620" i="3"/>
  <c r="T618" i="3"/>
  <c r="T619" i="3"/>
  <c r="P617" i="3"/>
  <c r="P616" i="3"/>
  <c r="P620" i="3"/>
  <c r="P619" i="3"/>
  <c r="P618" i="3"/>
  <c r="L617" i="3"/>
  <c r="L616" i="3"/>
  <c r="L620" i="3"/>
  <c r="L618" i="3"/>
  <c r="L619" i="3"/>
  <c r="S612" i="3"/>
  <c r="S611" i="3"/>
  <c r="S615" i="3"/>
  <c r="S613" i="3"/>
  <c r="S614" i="3"/>
  <c r="O612" i="3"/>
  <c r="O611" i="3"/>
  <c r="O615" i="3"/>
  <c r="O614" i="3"/>
  <c r="O613" i="3"/>
  <c r="K612" i="3"/>
  <c r="K611" i="3"/>
  <c r="K615" i="3"/>
  <c r="K613" i="3"/>
  <c r="K614" i="3"/>
  <c r="R607" i="3"/>
  <c r="R606" i="3"/>
  <c r="R610" i="3"/>
  <c r="R608" i="3"/>
  <c r="R609" i="3"/>
  <c r="N607" i="3"/>
  <c r="N606" i="3"/>
  <c r="N610" i="3"/>
  <c r="N609" i="3"/>
  <c r="N608" i="3"/>
  <c r="J607" i="3"/>
  <c r="J606" i="3"/>
  <c r="J610" i="3"/>
  <c r="J608" i="3"/>
  <c r="J609" i="3"/>
  <c r="Q602" i="3"/>
  <c r="Q605" i="3"/>
  <c r="Q603" i="3"/>
  <c r="Q604" i="3"/>
  <c r="M602" i="3"/>
  <c r="M605" i="3"/>
  <c r="M604" i="3"/>
  <c r="M603" i="3"/>
  <c r="T598" i="3"/>
  <c r="T597" i="3"/>
  <c r="T601" i="3"/>
  <c r="T600" i="3"/>
  <c r="T599" i="3"/>
  <c r="P598" i="3"/>
  <c r="P597" i="3"/>
  <c r="P601" i="3"/>
  <c r="P600" i="3"/>
  <c r="P599" i="3"/>
  <c r="L598" i="3"/>
  <c r="L597" i="3"/>
  <c r="L601" i="3"/>
  <c r="L600" i="3"/>
  <c r="L599" i="3"/>
  <c r="S593" i="3"/>
  <c r="S592" i="3"/>
  <c r="S596" i="3"/>
  <c r="S595" i="3"/>
  <c r="S594" i="3"/>
  <c r="O593" i="3"/>
  <c r="O592" i="3"/>
  <c r="O596" i="3"/>
  <c r="O595" i="3"/>
  <c r="O594" i="3"/>
  <c r="K593" i="3"/>
  <c r="K592" i="3"/>
  <c r="K596" i="3"/>
  <c r="K595" i="3"/>
  <c r="K594" i="3"/>
  <c r="R588" i="3"/>
  <c r="R587" i="3"/>
  <c r="R591" i="3"/>
  <c r="R586" i="3"/>
  <c r="R590" i="3"/>
  <c r="R589" i="3"/>
  <c r="N588" i="3"/>
  <c r="N587" i="3"/>
  <c r="N591" i="3"/>
  <c r="N586" i="3"/>
  <c r="N590" i="3"/>
  <c r="N589" i="3"/>
  <c r="J588" i="3"/>
  <c r="J587" i="3"/>
  <c r="J591" i="3"/>
  <c r="J586" i="3"/>
  <c r="J590" i="3"/>
  <c r="J589" i="3"/>
  <c r="Q583" i="3"/>
  <c r="Q582" i="3"/>
  <c r="Q581" i="3"/>
  <c r="Q585" i="3"/>
  <c r="Q584" i="3"/>
  <c r="M583" i="3"/>
  <c r="M582" i="3"/>
  <c r="M581" i="3"/>
  <c r="M585" i="3"/>
  <c r="M584" i="3"/>
  <c r="T578" i="3"/>
  <c r="T577" i="3"/>
  <c r="T576" i="3"/>
  <c r="T580" i="3"/>
  <c r="T579" i="3"/>
  <c r="P578" i="3"/>
  <c r="P577" i="3"/>
  <c r="P576" i="3"/>
  <c r="P580" i="3"/>
  <c r="P579" i="3"/>
  <c r="L578" i="3"/>
  <c r="L577" i="3"/>
  <c r="L576" i="3"/>
  <c r="L580" i="3"/>
  <c r="L579" i="3"/>
  <c r="S573" i="3"/>
  <c r="S572" i="3"/>
  <c r="S575" i="3"/>
  <c r="S574" i="3"/>
  <c r="O573" i="3"/>
  <c r="O572" i="3"/>
  <c r="O575" i="3"/>
  <c r="O574" i="3"/>
  <c r="K573" i="3"/>
  <c r="K572" i="3"/>
  <c r="K575" i="3"/>
  <c r="K574" i="3"/>
  <c r="R568" i="3"/>
  <c r="R567" i="3"/>
  <c r="R571" i="3"/>
  <c r="R570" i="3"/>
  <c r="R569" i="3"/>
  <c r="N568" i="3"/>
  <c r="N567" i="3"/>
  <c r="N571" i="3"/>
  <c r="N570" i="3"/>
  <c r="N569" i="3"/>
  <c r="J568" i="3"/>
  <c r="J567" i="3"/>
  <c r="J571" i="3"/>
  <c r="J570" i="3"/>
  <c r="J569" i="3"/>
  <c r="Q563" i="3"/>
  <c r="Q562" i="3"/>
  <c r="Q566" i="3"/>
  <c r="Q565" i="3"/>
  <c r="Q564" i="3"/>
  <c r="M563" i="3"/>
  <c r="M562" i="3"/>
  <c r="M566" i="3"/>
  <c r="M565" i="3"/>
  <c r="M564" i="3"/>
  <c r="T558" i="3"/>
  <c r="T557" i="3"/>
  <c r="T561" i="3"/>
  <c r="T560" i="3"/>
  <c r="T559" i="3"/>
  <c r="P558" i="3"/>
  <c r="P557" i="3"/>
  <c r="P561" i="3"/>
  <c r="P560" i="3"/>
  <c r="P559" i="3"/>
  <c r="L558" i="3"/>
  <c r="L557" i="3"/>
  <c r="L561" i="3"/>
  <c r="L560" i="3"/>
  <c r="L559" i="3"/>
  <c r="S553" i="3"/>
  <c r="S552" i="3"/>
  <c r="S556" i="3"/>
  <c r="S555" i="3"/>
  <c r="S554" i="3"/>
  <c r="O553" i="3"/>
  <c r="O552" i="3"/>
  <c r="O556" i="3"/>
  <c r="O555" i="3"/>
  <c r="O554" i="3"/>
  <c r="K553" i="3"/>
  <c r="K552" i="3"/>
  <c r="K556" i="3"/>
  <c r="K555" i="3"/>
  <c r="K554" i="3"/>
  <c r="R548" i="3"/>
  <c r="R547" i="3"/>
  <c r="R551" i="3"/>
  <c r="R550" i="3"/>
  <c r="R549" i="3"/>
  <c r="N548" i="3"/>
  <c r="N547" i="3"/>
  <c r="N551" i="3"/>
  <c r="N550" i="3"/>
  <c r="N549" i="3"/>
  <c r="J548" i="3"/>
  <c r="J547" i="3"/>
  <c r="J551" i="3"/>
  <c r="J550" i="3"/>
  <c r="J549" i="3"/>
  <c r="Q544" i="3"/>
  <c r="Q543" i="3"/>
  <c r="Q546" i="3"/>
  <c r="Q545" i="3"/>
  <c r="M544" i="3"/>
  <c r="M543" i="3"/>
  <c r="M546" i="3"/>
  <c r="M545" i="3"/>
  <c r="T541" i="3"/>
  <c r="T542" i="3"/>
  <c r="P541" i="3"/>
  <c r="P542" i="3"/>
  <c r="L541" i="3"/>
  <c r="L542" i="3"/>
  <c r="S540" i="3"/>
  <c r="S538" i="3"/>
  <c r="S539" i="3"/>
  <c r="O540" i="3"/>
  <c r="O538" i="3"/>
  <c r="O539" i="3"/>
  <c r="K540" i="3"/>
  <c r="K538" i="3"/>
  <c r="K539" i="3"/>
  <c r="R535" i="3"/>
  <c r="R537" i="3"/>
  <c r="R536" i="3"/>
  <c r="N535" i="3"/>
  <c r="N537" i="3"/>
  <c r="N536" i="3"/>
  <c r="J535" i="3"/>
  <c r="J537" i="3"/>
  <c r="J536" i="3"/>
  <c r="Q534" i="3"/>
  <c r="Q532" i="3"/>
  <c r="Q533" i="3"/>
  <c r="M534" i="3"/>
  <c r="M532" i="3"/>
  <c r="M533" i="3"/>
  <c r="T531" i="3"/>
  <c r="T530" i="3"/>
  <c r="P531" i="3"/>
  <c r="P530" i="3"/>
  <c r="L531" i="3"/>
  <c r="L530" i="3"/>
  <c r="S528" i="3"/>
  <c r="S529" i="3"/>
  <c r="S527" i="3"/>
  <c r="O528" i="3"/>
  <c r="O529" i="3"/>
  <c r="O527" i="3"/>
  <c r="K528" i="3"/>
  <c r="K529" i="3"/>
  <c r="K527" i="3"/>
  <c r="R523" i="3"/>
  <c r="R525" i="3"/>
  <c r="R524" i="3"/>
  <c r="R526" i="3"/>
  <c r="N523" i="3"/>
  <c r="N525" i="3"/>
  <c r="N524" i="3"/>
  <c r="N526" i="3"/>
  <c r="J523" i="3"/>
  <c r="J525" i="3"/>
  <c r="J524" i="3"/>
  <c r="J526" i="3"/>
  <c r="Q522" i="3"/>
  <c r="Q520" i="3"/>
  <c r="Q521" i="3"/>
  <c r="M522" i="3"/>
  <c r="M520" i="3"/>
  <c r="M521" i="3"/>
  <c r="T517" i="3"/>
  <c r="T519" i="3"/>
  <c r="T518" i="3"/>
  <c r="T516" i="3"/>
  <c r="P517" i="3"/>
  <c r="P519" i="3"/>
  <c r="P518" i="3"/>
  <c r="P516" i="3"/>
  <c r="L517" i="3"/>
  <c r="L519" i="3"/>
  <c r="L518" i="3"/>
  <c r="L516" i="3"/>
  <c r="S514" i="3"/>
  <c r="S513" i="3"/>
  <c r="S515" i="3"/>
  <c r="O514" i="3"/>
  <c r="O513" i="3"/>
  <c r="O515" i="3"/>
  <c r="K514" i="3"/>
  <c r="K513" i="3"/>
  <c r="K515" i="3"/>
  <c r="R511" i="3"/>
  <c r="R512" i="3"/>
  <c r="N511" i="3"/>
  <c r="N512" i="3"/>
  <c r="J511" i="3"/>
  <c r="J512" i="3"/>
  <c r="Q510" i="3"/>
  <c r="Q508" i="3"/>
  <c r="Q509" i="3"/>
  <c r="M510" i="3"/>
  <c r="M508" i="3"/>
  <c r="M509" i="3"/>
  <c r="T505" i="3"/>
  <c r="T507" i="3"/>
  <c r="T506" i="3"/>
  <c r="T504" i="3"/>
  <c r="P505" i="3"/>
  <c r="P507" i="3"/>
  <c r="P506" i="3"/>
  <c r="P504" i="3"/>
  <c r="L505" i="3"/>
  <c r="L507" i="3"/>
  <c r="L506" i="3"/>
  <c r="L504" i="3"/>
  <c r="S502" i="3"/>
  <c r="S501" i="3"/>
  <c r="S503" i="3"/>
  <c r="O502" i="3"/>
  <c r="O501" i="3"/>
  <c r="O503" i="3"/>
  <c r="K502" i="3"/>
  <c r="K501" i="3"/>
  <c r="K503" i="3"/>
  <c r="R499" i="3"/>
  <c r="R497" i="3"/>
  <c r="R500" i="3"/>
  <c r="R498" i="3"/>
  <c r="N499" i="3"/>
  <c r="N497" i="3"/>
  <c r="N500" i="3"/>
  <c r="N498" i="3"/>
  <c r="J499" i="3"/>
  <c r="J497" i="3"/>
  <c r="J500" i="3"/>
  <c r="J498" i="3"/>
  <c r="Q494" i="3"/>
  <c r="Q496" i="3"/>
  <c r="Q495" i="3"/>
  <c r="M494" i="3"/>
  <c r="M496" i="3"/>
  <c r="M495" i="3"/>
  <c r="T493" i="3"/>
  <c r="T491" i="3"/>
  <c r="T492" i="3"/>
  <c r="P493" i="3"/>
  <c r="P491" i="3"/>
  <c r="P492" i="3"/>
  <c r="L493" i="3"/>
  <c r="L491" i="3"/>
  <c r="L492" i="3"/>
  <c r="S488" i="3"/>
  <c r="S490" i="3"/>
  <c r="S489" i="3"/>
  <c r="O488" i="3"/>
  <c r="O490" i="3"/>
  <c r="O489" i="3"/>
  <c r="K488" i="3"/>
  <c r="K490" i="3"/>
  <c r="K489" i="3"/>
  <c r="R487" i="3"/>
  <c r="R485" i="3"/>
  <c r="R486" i="3"/>
  <c r="N487" i="3"/>
  <c r="N485" i="3"/>
  <c r="N486" i="3"/>
  <c r="J487" i="3"/>
  <c r="J485" i="3"/>
  <c r="J486" i="3"/>
  <c r="Q484" i="3"/>
  <c r="Q483" i="3"/>
  <c r="M484" i="3"/>
  <c r="M483" i="3"/>
  <c r="T481" i="3"/>
  <c r="T482" i="3"/>
  <c r="P481" i="3"/>
  <c r="P482" i="3"/>
  <c r="L481" i="3"/>
  <c r="L482" i="3"/>
  <c r="S480" i="3"/>
  <c r="S479" i="3"/>
  <c r="O480" i="3"/>
  <c r="O479" i="3"/>
  <c r="K480" i="3"/>
  <c r="K479" i="3"/>
  <c r="R478" i="3"/>
  <c r="R477" i="3"/>
  <c r="N478" i="3"/>
  <c r="N477" i="3"/>
  <c r="J478" i="3"/>
  <c r="J477" i="3"/>
  <c r="Q476" i="3"/>
  <c r="Q475" i="3"/>
  <c r="M476" i="3"/>
  <c r="M475" i="3"/>
  <c r="T473" i="3"/>
  <c r="T474" i="3"/>
  <c r="P473" i="3"/>
  <c r="P474" i="3"/>
  <c r="L473" i="3"/>
  <c r="L474" i="3"/>
  <c r="S472" i="3"/>
  <c r="S471" i="3"/>
  <c r="O472" i="3"/>
  <c r="O471" i="3"/>
  <c r="K472" i="3"/>
  <c r="K471" i="3"/>
  <c r="R470" i="3"/>
  <c r="R469" i="3"/>
  <c r="N470" i="3"/>
  <c r="N469" i="3"/>
  <c r="J470" i="3"/>
  <c r="J469" i="3"/>
  <c r="Q468" i="3"/>
  <c r="Q467" i="3"/>
  <c r="M468" i="3"/>
  <c r="M467" i="3"/>
  <c r="T465" i="3"/>
  <c r="T466" i="3"/>
  <c r="P465" i="3"/>
  <c r="P466" i="3"/>
  <c r="L465" i="3"/>
  <c r="L466" i="3"/>
  <c r="S464" i="3"/>
  <c r="S463" i="3"/>
  <c r="O464" i="3"/>
  <c r="O463" i="3"/>
  <c r="K464" i="3"/>
  <c r="K463" i="3"/>
  <c r="R462" i="3"/>
  <c r="R461" i="3"/>
  <c r="N462" i="3"/>
  <c r="N461" i="3"/>
  <c r="J462" i="3"/>
  <c r="J461" i="3"/>
  <c r="Q460" i="3"/>
  <c r="Q459" i="3"/>
  <c r="M460" i="3"/>
  <c r="M459" i="3"/>
  <c r="T457" i="3"/>
  <c r="T458" i="3"/>
  <c r="P457" i="3"/>
  <c r="P458" i="3"/>
  <c r="L457" i="3"/>
  <c r="L458" i="3"/>
  <c r="S456" i="3"/>
  <c r="S455" i="3"/>
  <c r="O456" i="3"/>
  <c r="O455" i="3"/>
  <c r="K456" i="3"/>
  <c r="K455" i="3"/>
  <c r="R454" i="3"/>
  <c r="R453" i="3"/>
  <c r="N454" i="3"/>
  <c r="N453" i="3"/>
  <c r="J454" i="3"/>
  <c r="J453" i="3"/>
  <c r="Q452" i="3"/>
  <c r="Q451" i="3"/>
  <c r="M452" i="3"/>
  <c r="M451" i="3"/>
  <c r="T449" i="3"/>
  <c r="T450" i="3"/>
  <c r="P449" i="3"/>
  <c r="P450" i="3"/>
  <c r="L449" i="3"/>
  <c r="L450" i="3"/>
  <c r="S447" i="3"/>
  <c r="S448" i="3"/>
  <c r="O447" i="3"/>
  <c r="O448" i="3"/>
  <c r="K447" i="3"/>
  <c r="K448" i="3"/>
  <c r="R445" i="3"/>
  <c r="R446" i="3"/>
  <c r="N445" i="3"/>
  <c r="N446" i="3"/>
  <c r="J445" i="3"/>
  <c r="J446" i="3"/>
  <c r="Q444" i="3"/>
  <c r="Q443" i="3"/>
  <c r="M444" i="3"/>
  <c r="M443" i="3"/>
  <c r="T442" i="3"/>
  <c r="T441" i="3"/>
  <c r="P442" i="3"/>
  <c r="P441" i="3"/>
  <c r="L442" i="3"/>
  <c r="L441" i="3"/>
  <c r="S439" i="3"/>
  <c r="S440" i="3"/>
  <c r="O439" i="3"/>
  <c r="O440" i="3"/>
  <c r="K439" i="3"/>
  <c r="K440" i="3"/>
  <c r="R437" i="3"/>
  <c r="R438" i="3"/>
  <c r="N437" i="3"/>
  <c r="N438" i="3"/>
  <c r="J437" i="3"/>
  <c r="J438" i="3"/>
  <c r="Q436" i="3"/>
  <c r="Q435" i="3"/>
  <c r="M436" i="3"/>
  <c r="M435" i="3"/>
  <c r="T434" i="3"/>
  <c r="T433" i="3"/>
  <c r="P434" i="3"/>
  <c r="P433" i="3"/>
  <c r="L434" i="3"/>
  <c r="L433" i="3"/>
  <c r="S431" i="3"/>
  <c r="S432" i="3"/>
  <c r="O431" i="3"/>
  <c r="O432" i="3"/>
  <c r="K431" i="3"/>
  <c r="K432" i="3"/>
  <c r="R429" i="3"/>
  <c r="R430" i="3"/>
  <c r="N429" i="3"/>
  <c r="N430" i="3"/>
  <c r="J429" i="3"/>
  <c r="J430" i="3"/>
  <c r="Q428" i="3"/>
  <c r="Q427" i="3"/>
  <c r="M428" i="3"/>
  <c r="M427" i="3"/>
  <c r="T426" i="3"/>
  <c r="T425" i="3"/>
  <c r="P426" i="3"/>
  <c r="P425" i="3"/>
  <c r="L426" i="3"/>
  <c r="L425" i="3"/>
  <c r="S423" i="3"/>
  <c r="S424" i="3"/>
  <c r="O423" i="3"/>
  <c r="O424" i="3"/>
  <c r="K423" i="3"/>
  <c r="K424" i="3"/>
  <c r="R421" i="3"/>
  <c r="R422" i="3"/>
  <c r="N421" i="3"/>
  <c r="N422" i="3"/>
  <c r="J421" i="3"/>
  <c r="J422" i="3"/>
  <c r="Q420" i="3"/>
  <c r="Q419" i="3"/>
  <c r="M420" i="3"/>
  <c r="M419" i="3"/>
  <c r="T418" i="3"/>
  <c r="T417" i="3"/>
  <c r="P418" i="3"/>
  <c r="P417" i="3"/>
  <c r="L418" i="3"/>
  <c r="L417" i="3"/>
  <c r="S415" i="3"/>
  <c r="S416" i="3"/>
  <c r="O415" i="3"/>
  <c r="O416" i="3"/>
  <c r="K415" i="3"/>
  <c r="K416" i="3"/>
  <c r="R413" i="3"/>
  <c r="R414" i="3"/>
  <c r="N413" i="3"/>
  <c r="N414" i="3"/>
  <c r="J413" i="3"/>
  <c r="J414" i="3"/>
  <c r="Q412" i="3"/>
  <c r="Q411" i="3"/>
  <c r="M412" i="3"/>
  <c r="M411" i="3"/>
  <c r="T410" i="3"/>
  <c r="T409" i="3"/>
  <c r="P410" i="3"/>
  <c r="P409" i="3"/>
  <c r="L410" i="3"/>
  <c r="L409" i="3"/>
  <c r="S407" i="3"/>
  <c r="S408" i="3"/>
  <c r="O407" i="3"/>
  <c r="O408" i="3"/>
  <c r="K407" i="3"/>
  <c r="K408" i="3"/>
  <c r="R405" i="3"/>
  <c r="R406" i="3"/>
  <c r="N405" i="3"/>
  <c r="N406" i="3"/>
  <c r="J405" i="3"/>
  <c r="J406" i="3"/>
  <c r="Q404" i="3"/>
  <c r="Q403" i="3"/>
  <c r="M404" i="3"/>
  <c r="M403" i="3"/>
  <c r="T402" i="3"/>
  <c r="T401" i="3"/>
  <c r="P402" i="3"/>
  <c r="P401" i="3"/>
  <c r="L402" i="3"/>
  <c r="L401" i="3"/>
  <c r="S399" i="3"/>
  <c r="S400" i="3"/>
  <c r="O399" i="3"/>
  <c r="O400" i="3"/>
  <c r="K399" i="3"/>
  <c r="K400" i="3"/>
  <c r="R397" i="3"/>
  <c r="R398" i="3"/>
  <c r="N397" i="3"/>
  <c r="N398" i="3"/>
  <c r="J397" i="3"/>
  <c r="J398" i="3"/>
  <c r="Q396" i="3"/>
  <c r="Q395" i="3"/>
  <c r="M396" i="3"/>
  <c r="M395" i="3"/>
  <c r="T394" i="3"/>
  <c r="T393" i="3"/>
  <c r="P394" i="3"/>
  <c r="P393" i="3"/>
  <c r="L394" i="3"/>
  <c r="L393" i="3"/>
  <c r="S391" i="3"/>
  <c r="S392" i="3"/>
  <c r="O391" i="3"/>
  <c r="O392" i="3"/>
  <c r="K391" i="3"/>
  <c r="K392" i="3"/>
  <c r="R389" i="3"/>
  <c r="R388" i="3"/>
  <c r="R390" i="3"/>
  <c r="R387" i="3"/>
  <c r="N389" i="3"/>
  <c r="N388" i="3"/>
  <c r="N390" i="3"/>
  <c r="N387" i="3"/>
  <c r="J389" i="3"/>
  <c r="J388" i="3"/>
  <c r="J390" i="3"/>
  <c r="J387" i="3"/>
  <c r="Q384" i="3"/>
  <c r="Q383" i="3"/>
  <c r="Q385" i="3"/>
  <c r="Q386" i="3"/>
  <c r="M384" i="3"/>
  <c r="M383" i="3"/>
  <c r="M385" i="3"/>
  <c r="M386" i="3"/>
  <c r="T379" i="3"/>
  <c r="T382" i="3"/>
  <c r="T380" i="3"/>
  <c r="T381" i="3"/>
  <c r="P379" i="3"/>
  <c r="P382" i="3"/>
  <c r="P380" i="3"/>
  <c r="P381" i="3"/>
  <c r="L379" i="3"/>
  <c r="L382" i="3"/>
  <c r="L380" i="3"/>
  <c r="L381" i="3"/>
  <c r="S378" i="3"/>
  <c r="S377" i="3"/>
  <c r="S375" i="3"/>
  <c r="S376" i="3"/>
  <c r="O378" i="3"/>
  <c r="O377" i="3"/>
  <c r="O375" i="3"/>
  <c r="O376" i="3"/>
  <c r="K378" i="3"/>
  <c r="K377" i="3"/>
  <c r="K375" i="3"/>
  <c r="K376" i="3"/>
  <c r="R373" i="3"/>
  <c r="R372" i="3"/>
  <c r="R374" i="3"/>
  <c r="R371" i="3"/>
  <c r="N373" i="3"/>
  <c r="N372" i="3"/>
  <c r="N374" i="3"/>
  <c r="N371" i="3"/>
  <c r="J373" i="3"/>
  <c r="J372" i="3"/>
  <c r="J374" i="3"/>
  <c r="J371" i="3"/>
  <c r="Q368" i="3"/>
  <c r="Q367" i="3"/>
  <c r="Q369" i="3"/>
  <c r="Q370" i="3"/>
  <c r="M368" i="3"/>
  <c r="M367" i="3"/>
  <c r="M369" i="3"/>
  <c r="M370" i="3"/>
  <c r="T363" i="3"/>
  <c r="T366" i="3"/>
  <c r="T364" i="3"/>
  <c r="T365" i="3"/>
  <c r="P363" i="3"/>
  <c r="P366" i="3"/>
  <c r="P364" i="3"/>
  <c r="P365" i="3"/>
  <c r="L363" i="3"/>
  <c r="L366" i="3"/>
  <c r="L364" i="3"/>
  <c r="L365" i="3"/>
  <c r="S362" i="3"/>
  <c r="S361" i="3"/>
  <c r="S359" i="3"/>
  <c r="S360" i="3"/>
  <c r="O362" i="3"/>
  <c r="O361" i="3"/>
  <c r="O359" i="3"/>
  <c r="O360" i="3"/>
  <c r="K362" i="3"/>
  <c r="K361" i="3"/>
  <c r="K359" i="3"/>
  <c r="K360" i="3"/>
  <c r="R357" i="3"/>
  <c r="R356" i="3"/>
  <c r="R358" i="3"/>
  <c r="R355" i="3"/>
  <c r="N357" i="3"/>
  <c r="N356" i="3"/>
  <c r="N358" i="3"/>
  <c r="N355" i="3"/>
  <c r="J357" i="3"/>
  <c r="J356" i="3"/>
  <c r="J358" i="3"/>
  <c r="J355" i="3"/>
  <c r="Q352" i="3"/>
  <c r="Q351" i="3"/>
  <c r="Q353" i="3"/>
  <c r="Q354" i="3"/>
  <c r="M352" i="3"/>
  <c r="M351" i="3"/>
  <c r="M353" i="3"/>
  <c r="M354" i="3"/>
  <c r="T347" i="3"/>
  <c r="T350" i="3"/>
  <c r="T348" i="3"/>
  <c r="T349" i="3"/>
  <c r="P347" i="3"/>
  <c r="P350" i="3"/>
  <c r="P348" i="3"/>
  <c r="P349" i="3"/>
  <c r="L347" i="3"/>
  <c r="L350" i="3"/>
  <c r="L348" i="3"/>
  <c r="L349" i="3"/>
  <c r="S346" i="3"/>
  <c r="S345" i="3"/>
  <c r="S343" i="3"/>
  <c r="S344" i="3"/>
  <c r="O346" i="3"/>
  <c r="O345" i="3"/>
  <c r="O343" i="3"/>
  <c r="O344" i="3"/>
  <c r="K346" i="3"/>
  <c r="K345" i="3"/>
  <c r="K343" i="3"/>
  <c r="K344" i="3"/>
  <c r="R341" i="3"/>
  <c r="R340" i="3"/>
  <c r="R342" i="3"/>
  <c r="R339" i="3"/>
  <c r="N341" i="3"/>
  <c r="N340" i="3"/>
  <c r="N342" i="3"/>
  <c r="N339" i="3"/>
  <c r="J341" i="3"/>
  <c r="J340" i="3"/>
  <c r="J342" i="3"/>
  <c r="J339" i="3"/>
  <c r="Q336" i="3"/>
  <c r="Q335" i="3"/>
  <c r="Q337" i="3"/>
  <c r="Q338" i="3"/>
  <c r="M335" i="3"/>
  <c r="M336" i="3"/>
  <c r="M337" i="3"/>
  <c r="M338" i="3"/>
  <c r="T334" i="3"/>
  <c r="T333" i="3"/>
  <c r="T331" i="3"/>
  <c r="T332" i="3"/>
  <c r="P334" i="3"/>
  <c r="P333" i="3"/>
  <c r="P331" i="3"/>
  <c r="P332" i="3"/>
  <c r="L334" i="3"/>
  <c r="L333" i="3"/>
  <c r="L331" i="3"/>
  <c r="L332" i="3"/>
  <c r="S329" i="3"/>
  <c r="S328" i="3"/>
  <c r="S327" i="3"/>
  <c r="S330" i="3"/>
  <c r="O329" i="3"/>
  <c r="O328" i="3"/>
  <c r="O330" i="3"/>
  <c r="O327" i="3"/>
  <c r="K329" i="3"/>
  <c r="K328" i="3"/>
  <c r="K327" i="3"/>
  <c r="K330" i="3"/>
  <c r="R325" i="3"/>
  <c r="R324" i="3"/>
  <c r="R323" i="3"/>
  <c r="R326" i="3"/>
  <c r="N325" i="3"/>
  <c r="N324" i="3"/>
  <c r="N323" i="3"/>
  <c r="N326" i="3"/>
  <c r="J325" i="3"/>
  <c r="J324" i="3"/>
  <c r="J323" i="3"/>
  <c r="J326" i="3"/>
  <c r="Q320" i="3"/>
  <c r="Q319" i="3"/>
  <c r="Q322" i="3"/>
  <c r="Q321" i="3"/>
  <c r="M320" i="3"/>
  <c r="M319" i="3"/>
  <c r="M322" i="3"/>
  <c r="M321" i="3"/>
  <c r="T315" i="3"/>
  <c r="T318" i="3"/>
  <c r="T317" i="3"/>
  <c r="T316" i="3"/>
  <c r="P315" i="3"/>
  <c r="P318" i="3"/>
  <c r="P317" i="3"/>
  <c r="P316" i="3"/>
  <c r="L315" i="3"/>
  <c r="L318" i="3"/>
  <c r="L317" i="3"/>
  <c r="L316" i="3"/>
  <c r="S314" i="3"/>
  <c r="S313" i="3"/>
  <c r="S312" i="3"/>
  <c r="S311" i="3"/>
  <c r="O314" i="3"/>
  <c r="O313" i="3"/>
  <c r="O312" i="3"/>
  <c r="O311" i="3"/>
  <c r="K314" i="3"/>
  <c r="K313" i="3"/>
  <c r="K312" i="3"/>
  <c r="K311" i="3"/>
  <c r="R309" i="3"/>
  <c r="R308" i="3"/>
  <c r="R307" i="3"/>
  <c r="R310" i="3"/>
  <c r="N309" i="3"/>
  <c r="N308" i="3"/>
  <c r="N307" i="3"/>
  <c r="N310" i="3"/>
  <c r="J309" i="3"/>
  <c r="J308" i="3"/>
  <c r="J307" i="3"/>
  <c r="J310" i="3"/>
  <c r="Q304" i="3"/>
  <c r="Q303" i="3"/>
  <c r="Q302" i="3"/>
  <c r="Q306" i="3"/>
  <c r="Q305" i="3"/>
  <c r="M304" i="3"/>
  <c r="M303" i="3"/>
  <c r="M302" i="3"/>
  <c r="M306" i="3"/>
  <c r="M305" i="3"/>
  <c r="T299" i="3"/>
  <c r="T298" i="3"/>
  <c r="T301" i="3"/>
  <c r="T300" i="3"/>
  <c r="P299" i="3"/>
  <c r="P298" i="3"/>
  <c r="P301" i="3"/>
  <c r="P300" i="3"/>
  <c r="L299" i="3"/>
  <c r="L298" i="3"/>
  <c r="L301" i="3"/>
  <c r="L300" i="3"/>
  <c r="S294" i="3"/>
  <c r="S293" i="3"/>
  <c r="S297" i="3"/>
  <c r="S296" i="3"/>
  <c r="S295" i="3"/>
  <c r="O294" i="3"/>
  <c r="O293" i="3"/>
  <c r="O297" i="3"/>
  <c r="O296" i="3"/>
  <c r="O295" i="3"/>
  <c r="K294" i="3"/>
  <c r="K293" i="3"/>
  <c r="K297" i="3"/>
  <c r="K296" i="3"/>
  <c r="K295" i="3"/>
  <c r="R289" i="3"/>
  <c r="R288" i="3"/>
  <c r="R292" i="3"/>
  <c r="R291" i="3"/>
  <c r="R290" i="3"/>
  <c r="N289" i="3"/>
  <c r="N288" i="3"/>
  <c r="N292" i="3"/>
  <c r="N291" i="3"/>
  <c r="N290" i="3"/>
  <c r="J289" i="3"/>
  <c r="J288" i="3"/>
  <c r="J292" i="3"/>
  <c r="J291" i="3"/>
  <c r="J290" i="3"/>
  <c r="Q284" i="3"/>
  <c r="Q287" i="3"/>
  <c r="Q286" i="3"/>
  <c r="Q285" i="3"/>
  <c r="M284" i="3"/>
  <c r="M287" i="3"/>
  <c r="M286" i="3"/>
  <c r="M285" i="3"/>
  <c r="T279" i="3"/>
  <c r="T283" i="3"/>
  <c r="T282" i="3"/>
  <c r="T281" i="3"/>
  <c r="T280" i="3"/>
  <c r="P279" i="3"/>
  <c r="P283" i="3"/>
  <c r="P282" i="3"/>
  <c r="P281" i="3"/>
  <c r="P280" i="3"/>
  <c r="L279" i="3"/>
  <c r="L283" i="3"/>
  <c r="L282" i="3"/>
  <c r="L281" i="3"/>
  <c r="L280" i="3"/>
  <c r="S274" i="3"/>
  <c r="S278" i="3"/>
  <c r="S275" i="3"/>
  <c r="S277" i="3"/>
  <c r="S276" i="3"/>
  <c r="O276" i="3"/>
  <c r="O275" i="3"/>
  <c r="O274" i="3"/>
  <c r="O278" i="3"/>
  <c r="O277" i="3"/>
  <c r="K276" i="3"/>
  <c r="K275" i="3"/>
  <c r="K274" i="3"/>
  <c r="K278" i="3"/>
  <c r="K277" i="3"/>
  <c r="R271" i="3"/>
  <c r="R270" i="3"/>
  <c r="R273" i="3"/>
  <c r="R272" i="3"/>
  <c r="N271" i="3"/>
  <c r="N270" i="3"/>
  <c r="N273" i="3"/>
  <c r="N272" i="3"/>
  <c r="J271" i="3"/>
  <c r="J270" i="3"/>
  <c r="J273" i="3"/>
  <c r="J272" i="3"/>
  <c r="Q266" i="3"/>
  <c r="Q269" i="3"/>
  <c r="Q268" i="3"/>
  <c r="Q267" i="3"/>
  <c r="M266" i="3"/>
  <c r="M269" i="3"/>
  <c r="M268" i="3"/>
  <c r="M267" i="3"/>
  <c r="T265" i="3"/>
  <c r="T264" i="3"/>
  <c r="T263" i="3"/>
  <c r="T262" i="3"/>
  <c r="P265" i="3"/>
  <c r="P264" i="3"/>
  <c r="P263" i="3"/>
  <c r="P262" i="3"/>
  <c r="L265" i="3"/>
  <c r="L264" i="3"/>
  <c r="L263" i="3"/>
  <c r="L262" i="3"/>
  <c r="S252" i="3"/>
  <c r="S256" i="3"/>
  <c r="S255" i="3"/>
  <c r="S254" i="3"/>
  <c r="S253" i="3"/>
  <c r="S257" i="3"/>
  <c r="O252" i="3"/>
  <c r="O256" i="3"/>
  <c r="O255" i="3"/>
  <c r="O254" i="3"/>
  <c r="O253" i="3"/>
  <c r="O257" i="3"/>
  <c r="K252" i="3"/>
  <c r="K256" i="3"/>
  <c r="K255" i="3"/>
  <c r="K254" i="3"/>
  <c r="K253" i="3"/>
  <c r="K257" i="3"/>
  <c r="R247" i="3"/>
  <c r="R251" i="3"/>
  <c r="R246" i="3"/>
  <c r="R250" i="3"/>
  <c r="R249" i="3"/>
  <c r="R248" i="3"/>
  <c r="N247" i="3"/>
  <c r="N251" i="3"/>
  <c r="N246" i="3"/>
  <c r="N250" i="3"/>
  <c r="N249" i="3"/>
  <c r="N248" i="3"/>
  <c r="J247" i="3"/>
  <c r="J251" i="3"/>
  <c r="J246" i="3"/>
  <c r="J250" i="3"/>
  <c r="J249" i="3"/>
  <c r="J248" i="3"/>
  <c r="Q242" i="3"/>
  <c r="Q241" i="3"/>
  <c r="Q245" i="3"/>
  <c r="Q240" i="3"/>
  <c r="Q244" i="3"/>
  <c r="Q243" i="3"/>
  <c r="M242" i="3"/>
  <c r="M241" i="3"/>
  <c r="M245" i="3"/>
  <c r="M240" i="3"/>
  <c r="M244" i="3"/>
  <c r="M243" i="3"/>
  <c r="T237" i="3"/>
  <c r="T236" i="3"/>
  <c r="T235" i="3"/>
  <c r="T239" i="3"/>
  <c r="T234" i="3"/>
  <c r="T238" i="3"/>
  <c r="P237" i="3"/>
  <c r="P236" i="3"/>
  <c r="P235" i="3"/>
  <c r="P239" i="3"/>
  <c r="P234" i="3"/>
  <c r="P238" i="3"/>
  <c r="L237" i="3"/>
  <c r="L236" i="3"/>
  <c r="L235" i="3"/>
  <c r="L239" i="3"/>
  <c r="L234" i="3"/>
  <c r="L238" i="3"/>
  <c r="S228" i="3"/>
  <c r="S232" i="3"/>
  <c r="S231" i="3"/>
  <c r="S230" i="3"/>
  <c r="S229" i="3"/>
  <c r="S233" i="3"/>
  <c r="O228" i="3"/>
  <c r="O232" i="3"/>
  <c r="O231" i="3"/>
  <c r="O230" i="3"/>
  <c r="O229" i="3"/>
  <c r="O233" i="3"/>
  <c r="K228" i="3"/>
  <c r="K232" i="3"/>
  <c r="K231" i="3"/>
  <c r="K230" i="3"/>
  <c r="K229" i="3"/>
  <c r="K233" i="3"/>
  <c r="R223" i="3"/>
  <c r="R227" i="3"/>
  <c r="R222" i="3"/>
  <c r="R226" i="3"/>
  <c r="R225" i="3"/>
  <c r="R224" i="3"/>
  <c r="N223" i="3"/>
  <c r="N227" i="3"/>
  <c r="N222" i="3"/>
  <c r="N226" i="3"/>
  <c r="N225" i="3"/>
  <c r="N224" i="3"/>
  <c r="J223" i="3"/>
  <c r="J227" i="3"/>
  <c r="J222" i="3"/>
  <c r="J226" i="3"/>
  <c r="J225" i="3"/>
  <c r="J224" i="3"/>
  <c r="Q218" i="3"/>
  <c r="Q216" i="3"/>
  <c r="Q221" i="3"/>
  <c r="Q217" i="3"/>
  <c r="Q220" i="3"/>
  <c r="Q219" i="3"/>
  <c r="M217" i="3"/>
  <c r="M218" i="3"/>
  <c r="M221" i="3"/>
  <c r="M220" i="3"/>
  <c r="M216" i="3"/>
  <c r="M219" i="3"/>
  <c r="T211" i="3"/>
  <c r="T210" i="3"/>
  <c r="T214" i="3"/>
  <c r="T213" i="3"/>
  <c r="T215" i="3"/>
  <c r="T212" i="3"/>
  <c r="P211" i="3"/>
  <c r="P210" i="3"/>
  <c r="P214" i="3"/>
  <c r="P213" i="3"/>
  <c r="P212" i="3"/>
  <c r="P215" i="3"/>
  <c r="L211" i="3"/>
  <c r="L215" i="3"/>
  <c r="L210" i="3"/>
  <c r="L214" i="3"/>
  <c r="L213" i="3"/>
  <c r="L212" i="3"/>
  <c r="S206" i="3"/>
  <c r="S205" i="3"/>
  <c r="S209" i="3"/>
  <c r="S204" i="3"/>
  <c r="S208" i="3"/>
  <c r="S207" i="3"/>
  <c r="O206" i="3"/>
  <c r="O205" i="3"/>
  <c r="O209" i="3"/>
  <c r="O204" i="3"/>
  <c r="O208" i="3"/>
  <c r="O207" i="3"/>
  <c r="K206" i="3"/>
  <c r="K205" i="3"/>
  <c r="K209" i="3"/>
  <c r="K204" i="3"/>
  <c r="K208" i="3"/>
  <c r="K207" i="3"/>
  <c r="R201" i="3"/>
  <c r="R200" i="3"/>
  <c r="R199" i="3"/>
  <c r="R203" i="3"/>
  <c r="R198" i="3"/>
  <c r="R202" i="3"/>
  <c r="N201" i="3"/>
  <c r="N200" i="3"/>
  <c r="N199" i="3"/>
  <c r="N203" i="3"/>
  <c r="N198" i="3"/>
  <c r="N202" i="3"/>
  <c r="J201" i="3"/>
  <c r="J200" i="3"/>
  <c r="J199" i="3"/>
  <c r="J203" i="3"/>
  <c r="J198" i="3"/>
  <c r="J202" i="3"/>
  <c r="Q192" i="3"/>
  <c r="Q196" i="3"/>
  <c r="Q195" i="3"/>
  <c r="Q194" i="3"/>
  <c r="Q193" i="3"/>
  <c r="Q197" i="3"/>
  <c r="M192" i="3"/>
  <c r="M196" i="3"/>
  <c r="M195" i="3"/>
  <c r="M194" i="3"/>
  <c r="M193" i="3"/>
  <c r="M197" i="3"/>
  <c r="T191" i="3"/>
  <c r="T190" i="3"/>
  <c r="T189" i="3"/>
  <c r="T188" i="3"/>
  <c r="P191" i="3"/>
  <c r="P190" i="3"/>
  <c r="P189" i="3"/>
  <c r="P188" i="3"/>
  <c r="L191" i="3"/>
  <c r="L190" i="3"/>
  <c r="L189" i="3"/>
  <c r="L188" i="3"/>
  <c r="S186" i="3"/>
  <c r="S185" i="3"/>
  <c r="S184" i="3"/>
  <c r="S187" i="3"/>
  <c r="O186" i="3"/>
  <c r="O185" i="3"/>
  <c r="O184" i="3"/>
  <c r="O187" i="3"/>
  <c r="K186" i="3"/>
  <c r="K185" i="3"/>
  <c r="K184" i="3"/>
  <c r="K187" i="3"/>
  <c r="R181" i="3"/>
  <c r="R180" i="3"/>
  <c r="R183" i="3"/>
  <c r="R182" i="3"/>
  <c r="N181" i="3"/>
  <c r="N180" i="3"/>
  <c r="N183" i="3"/>
  <c r="N182" i="3"/>
  <c r="J181" i="3"/>
  <c r="J180" i="3"/>
  <c r="J183" i="3"/>
  <c r="J182" i="3"/>
  <c r="Q176" i="3"/>
  <c r="Q179" i="3"/>
  <c r="Q178" i="3"/>
  <c r="Q177" i="3"/>
  <c r="M176" i="3"/>
  <c r="M179" i="3"/>
  <c r="M178" i="3"/>
  <c r="M177" i="3"/>
  <c r="T175" i="3"/>
  <c r="T174" i="3"/>
  <c r="T173" i="3"/>
  <c r="T172" i="3"/>
  <c r="P175" i="3"/>
  <c r="P174" i="3"/>
  <c r="P173" i="3"/>
  <c r="P172" i="3"/>
  <c r="L175" i="3"/>
  <c r="L174" i="3"/>
  <c r="L173" i="3"/>
  <c r="L172" i="3"/>
  <c r="S170" i="3"/>
  <c r="S169" i="3"/>
  <c r="S168" i="3"/>
  <c r="S167" i="3"/>
  <c r="S171" i="3"/>
  <c r="O170" i="3"/>
  <c r="O169" i="3"/>
  <c r="O168" i="3"/>
  <c r="O167" i="3"/>
  <c r="O171" i="3"/>
  <c r="K170" i="3"/>
  <c r="K169" i="3"/>
  <c r="K168" i="3"/>
  <c r="K167" i="3"/>
  <c r="K171" i="3"/>
  <c r="R165" i="3"/>
  <c r="R164" i="3"/>
  <c r="R163" i="3"/>
  <c r="R162" i="3"/>
  <c r="R166" i="3"/>
  <c r="N165" i="3"/>
  <c r="N164" i="3"/>
  <c r="N163" i="3"/>
  <c r="N162" i="3"/>
  <c r="N166" i="3"/>
  <c r="J165" i="3"/>
  <c r="J164" i="3"/>
  <c r="J163" i="3"/>
  <c r="J162" i="3"/>
  <c r="J166" i="3"/>
  <c r="Q160" i="3"/>
  <c r="Q159" i="3"/>
  <c r="Q158" i="3"/>
  <c r="Q157" i="3"/>
  <c r="Q161" i="3"/>
  <c r="M160" i="3"/>
  <c r="M159" i="3"/>
  <c r="M158" i="3"/>
  <c r="M157" i="3"/>
  <c r="M161" i="3"/>
  <c r="T153" i="3"/>
  <c r="T152" i="3"/>
  <c r="T154" i="3"/>
  <c r="T155" i="3"/>
  <c r="T156" i="3"/>
  <c r="P153" i="3"/>
  <c r="P152" i="3"/>
  <c r="P155" i="3"/>
  <c r="P154" i="3"/>
  <c r="P156" i="3"/>
  <c r="L153" i="3"/>
  <c r="L152" i="3"/>
  <c r="L155" i="3"/>
  <c r="L154" i="3"/>
  <c r="L156" i="3"/>
  <c r="S148" i="3"/>
  <c r="S147" i="3"/>
  <c r="S151" i="3"/>
  <c r="S150" i="3"/>
  <c r="S149" i="3"/>
  <c r="O148" i="3"/>
  <c r="O147" i="3"/>
  <c r="O151" i="3"/>
  <c r="O150" i="3"/>
  <c r="O149" i="3"/>
  <c r="K148" i="3"/>
  <c r="K147" i="3"/>
  <c r="K151" i="3"/>
  <c r="K150" i="3"/>
  <c r="K149" i="3"/>
  <c r="R143" i="3"/>
  <c r="R142" i="3"/>
  <c r="R146" i="3"/>
  <c r="R141" i="3"/>
  <c r="R145" i="3"/>
  <c r="R140" i="3"/>
  <c r="R144" i="3"/>
  <c r="N143" i="3"/>
  <c r="N142" i="3"/>
  <c r="N146" i="3"/>
  <c r="N141" i="3"/>
  <c r="N145" i="3"/>
  <c r="N140" i="3"/>
  <c r="N144" i="3"/>
  <c r="J143" i="3"/>
  <c r="J142" i="3"/>
  <c r="J146" i="3"/>
  <c r="J141" i="3"/>
  <c r="J145" i="3"/>
  <c r="J140" i="3"/>
  <c r="J144" i="3"/>
  <c r="Q134" i="3"/>
  <c r="Q138" i="3"/>
  <c r="Q133" i="3"/>
  <c r="Q137" i="3"/>
  <c r="Q136" i="3"/>
  <c r="Q135" i="3"/>
  <c r="Q139" i="3"/>
  <c r="M134" i="3"/>
  <c r="M138" i="3"/>
  <c r="M133" i="3"/>
  <c r="M137" i="3"/>
  <c r="M136" i="3"/>
  <c r="M135" i="3"/>
  <c r="M139" i="3"/>
  <c r="T129" i="3"/>
  <c r="T128" i="3"/>
  <c r="T132" i="3"/>
  <c r="T127" i="3"/>
  <c r="T131" i="3"/>
  <c r="T126" i="3"/>
  <c r="T130" i="3"/>
  <c r="P129" i="3"/>
  <c r="P128" i="3"/>
  <c r="P132" i="3"/>
  <c r="P127" i="3"/>
  <c r="P131" i="3"/>
  <c r="P126" i="3"/>
  <c r="P130" i="3"/>
  <c r="L129" i="3"/>
  <c r="L128" i="3"/>
  <c r="L132" i="3"/>
  <c r="L127" i="3"/>
  <c r="L131" i="3"/>
  <c r="L126" i="3"/>
  <c r="L130" i="3"/>
  <c r="S120" i="3"/>
  <c r="S124" i="3"/>
  <c r="S119" i="3"/>
  <c r="S123" i="3"/>
  <c r="S122" i="3"/>
  <c r="S121" i="3"/>
  <c r="S125" i="3"/>
  <c r="O120" i="3"/>
  <c r="O124" i="3"/>
  <c r="O119" i="3"/>
  <c r="O123" i="3"/>
  <c r="O122" i="3"/>
  <c r="O121" i="3"/>
  <c r="O125" i="3"/>
  <c r="K120" i="3"/>
  <c r="K124" i="3"/>
  <c r="K119" i="3"/>
  <c r="K123" i="3"/>
  <c r="K122" i="3"/>
  <c r="K121" i="3"/>
  <c r="K125" i="3"/>
  <c r="R115" i="3"/>
  <c r="R114" i="3"/>
  <c r="R118" i="3"/>
  <c r="R113" i="3"/>
  <c r="R117" i="3"/>
  <c r="R112" i="3"/>
  <c r="R116" i="3"/>
  <c r="N115" i="3"/>
  <c r="N114" i="3"/>
  <c r="N118" i="3"/>
  <c r="N113" i="3"/>
  <c r="N117" i="3"/>
  <c r="N112" i="3"/>
  <c r="N116" i="3"/>
  <c r="J115" i="3"/>
  <c r="J114" i="3"/>
  <c r="J118" i="3"/>
  <c r="J113" i="3"/>
  <c r="J117" i="3"/>
  <c r="J112" i="3"/>
  <c r="J116" i="3"/>
  <c r="Q110" i="3"/>
  <c r="Q109" i="3"/>
  <c r="Q108" i="3"/>
  <c r="Q111" i="3"/>
  <c r="M110" i="3"/>
  <c r="M109" i="3"/>
  <c r="M108" i="3"/>
  <c r="M111" i="3"/>
  <c r="T105" i="3"/>
  <c r="T107" i="3"/>
  <c r="T106" i="3"/>
  <c r="P105" i="3"/>
  <c r="P107" i="3"/>
  <c r="P106" i="3"/>
  <c r="L105" i="3"/>
  <c r="L107" i="3"/>
  <c r="L106" i="3"/>
  <c r="S104" i="3"/>
  <c r="S103" i="3"/>
  <c r="S102" i="3"/>
  <c r="O104" i="3"/>
  <c r="O103" i="3"/>
  <c r="O102" i="3"/>
  <c r="K104" i="3"/>
  <c r="K103" i="3"/>
  <c r="K102" i="3"/>
  <c r="R99" i="3"/>
  <c r="R101" i="3"/>
  <c r="R100" i="3"/>
  <c r="N99" i="3"/>
  <c r="N101" i="3"/>
  <c r="N100" i="3"/>
  <c r="J99" i="3"/>
  <c r="J101" i="3"/>
  <c r="J100" i="3"/>
  <c r="Q98" i="3"/>
  <c r="Q97" i="3"/>
  <c r="Q96" i="3"/>
  <c r="M98" i="3"/>
  <c r="M97" i="3"/>
  <c r="M96" i="3"/>
  <c r="T73" i="3"/>
  <c r="T72" i="3"/>
  <c r="T71" i="3"/>
  <c r="P73" i="3"/>
  <c r="P72" i="3"/>
  <c r="P71" i="3"/>
  <c r="L73" i="3"/>
  <c r="L71" i="3"/>
  <c r="L72" i="3"/>
  <c r="R66" i="3"/>
  <c r="R64" i="3"/>
  <c r="R65" i="3"/>
  <c r="N66" i="3"/>
  <c r="N64" i="3"/>
  <c r="N65" i="3"/>
  <c r="J66" i="3"/>
  <c r="J64" i="3"/>
  <c r="J65" i="3"/>
  <c r="Q61" i="3"/>
  <c r="Q63" i="3"/>
  <c r="Q62" i="3"/>
  <c r="M61" i="3"/>
  <c r="M63" i="3"/>
  <c r="M62" i="3"/>
  <c r="T60" i="3"/>
  <c r="T58" i="3"/>
  <c r="T59" i="3"/>
  <c r="P60" i="3"/>
  <c r="P58" i="3"/>
  <c r="P59" i="3"/>
  <c r="L60" i="3"/>
  <c r="L58" i="3"/>
  <c r="L59" i="3"/>
  <c r="S55" i="3"/>
  <c r="S56" i="3"/>
  <c r="S57" i="3"/>
  <c r="O55" i="3"/>
  <c r="O56" i="3"/>
  <c r="O57" i="3"/>
  <c r="K55" i="3"/>
  <c r="K56" i="3"/>
  <c r="K57" i="3"/>
  <c r="R54" i="3"/>
  <c r="R70" i="3"/>
  <c r="R68" i="3"/>
  <c r="R51" i="3"/>
  <c r="R52" i="3"/>
  <c r="R53" i="3"/>
  <c r="R69" i="3"/>
  <c r="R67" i="3"/>
  <c r="N54" i="3"/>
  <c r="N51" i="3"/>
  <c r="N52" i="3"/>
  <c r="N53" i="3"/>
  <c r="N70" i="3"/>
  <c r="N68" i="3"/>
  <c r="N67" i="3"/>
  <c r="N69" i="3"/>
  <c r="J54" i="3"/>
  <c r="J70" i="3"/>
  <c r="J68" i="3"/>
  <c r="J51" i="3"/>
  <c r="J52" i="3"/>
  <c r="J53" i="3"/>
  <c r="J69" i="3"/>
  <c r="J67" i="3"/>
  <c r="Q49" i="3"/>
  <c r="Q50" i="3"/>
  <c r="Q47" i="3"/>
  <c r="Q48" i="3"/>
  <c r="M49" i="3"/>
  <c r="M47" i="3"/>
  <c r="M48" i="3"/>
  <c r="M50" i="3"/>
  <c r="T44" i="3"/>
  <c r="T43" i="3"/>
  <c r="T45" i="3"/>
  <c r="T46" i="3"/>
  <c r="P44" i="3"/>
  <c r="P45" i="3"/>
  <c r="P46" i="3"/>
  <c r="P43" i="3"/>
  <c r="L44" i="3"/>
  <c r="L43" i="3"/>
  <c r="L46" i="3"/>
  <c r="S39" i="3"/>
  <c r="S40" i="3"/>
  <c r="S41" i="3"/>
  <c r="S42" i="3"/>
  <c r="O39" i="3"/>
  <c r="O40" i="3"/>
  <c r="O41" i="3"/>
  <c r="O42" i="3"/>
  <c r="K39" i="3"/>
  <c r="K40" i="3"/>
  <c r="K41" i="3"/>
  <c r="K42" i="3"/>
  <c r="R35" i="3"/>
  <c r="R36" i="3"/>
  <c r="R38" i="3"/>
  <c r="R37" i="3"/>
  <c r="N35" i="3"/>
  <c r="N38" i="3"/>
  <c r="N37" i="3"/>
  <c r="N36" i="3"/>
  <c r="I1177" i="3"/>
  <c r="I1178" i="3"/>
  <c r="I1179" i="3"/>
  <c r="I1176" i="3"/>
  <c r="I1161" i="3"/>
  <c r="I1158" i="3"/>
  <c r="I1159" i="3"/>
  <c r="I1160" i="3"/>
  <c r="I1141" i="3"/>
  <c r="I1142" i="3"/>
  <c r="I1143" i="3"/>
  <c r="I1140" i="3"/>
  <c r="I1113" i="3"/>
  <c r="I1117" i="3"/>
  <c r="I1114" i="3"/>
  <c r="I1118" i="3"/>
  <c r="I1115" i="3"/>
  <c r="I1119" i="3"/>
  <c r="I1116" i="3"/>
  <c r="I1097" i="3"/>
  <c r="I1095" i="3"/>
  <c r="I1096" i="3"/>
  <c r="I1077" i="3"/>
  <c r="I1078" i="3"/>
  <c r="I1075" i="3"/>
  <c r="I1079" i="3"/>
  <c r="I1076" i="3"/>
  <c r="I1057" i="3"/>
  <c r="I1058" i="3"/>
  <c r="I1055" i="3"/>
  <c r="I1059" i="3"/>
  <c r="I1056" i="3"/>
  <c r="I1037" i="3"/>
  <c r="I1038" i="3"/>
  <c r="I1035" i="3"/>
  <c r="I1039" i="3"/>
  <c r="I1036" i="3"/>
  <c r="I1017" i="3"/>
  <c r="I1018" i="3"/>
  <c r="I1015" i="3"/>
  <c r="I1019" i="3"/>
  <c r="I1016" i="3"/>
  <c r="I997" i="3"/>
  <c r="I998" i="3"/>
  <c r="I995" i="3"/>
  <c r="I999" i="3"/>
  <c r="I996" i="3"/>
  <c r="I977" i="3"/>
  <c r="I978" i="3"/>
  <c r="I975" i="3"/>
  <c r="I979" i="3"/>
  <c r="I976" i="3"/>
  <c r="I961" i="3"/>
  <c r="I962" i="3"/>
  <c r="I963" i="3"/>
  <c r="I89" i="3"/>
  <c r="I949" i="3"/>
  <c r="I90" i="3"/>
  <c r="I950" i="3"/>
  <c r="I91" i="3"/>
  <c r="I951" i="3"/>
  <c r="I88" i="3"/>
  <c r="I92" i="3"/>
  <c r="I948" i="3"/>
  <c r="I952" i="3"/>
  <c r="I930" i="3"/>
  <c r="I931" i="3"/>
  <c r="I932" i="3"/>
  <c r="I917" i="3"/>
  <c r="I918" i="3"/>
  <c r="I919" i="3"/>
  <c r="I916" i="3"/>
  <c r="I920" i="3"/>
  <c r="I901" i="3"/>
  <c r="I905" i="3"/>
  <c r="I902" i="3"/>
  <c r="I903" i="3"/>
  <c r="I904" i="3"/>
  <c r="I881" i="3"/>
  <c r="I885" i="3"/>
  <c r="I882" i="3"/>
  <c r="I883" i="3"/>
  <c r="I884" i="3"/>
  <c r="I849" i="3"/>
  <c r="I846" i="3"/>
  <c r="I850" i="3"/>
  <c r="I847" i="3"/>
  <c r="I848" i="3"/>
  <c r="I834" i="3"/>
  <c r="I835" i="3"/>
  <c r="I836" i="3"/>
  <c r="I817" i="3"/>
  <c r="I814" i="3"/>
  <c r="I818" i="3"/>
  <c r="I815" i="3"/>
  <c r="I816" i="3"/>
  <c r="I801" i="3"/>
  <c r="I802" i="3"/>
  <c r="I800" i="3"/>
  <c r="I785" i="3"/>
  <c r="I782" i="3"/>
  <c r="I786" i="3"/>
  <c r="I783" i="3"/>
  <c r="I784" i="3"/>
  <c r="I765" i="3"/>
  <c r="I762" i="3"/>
  <c r="I766" i="3"/>
  <c r="I763" i="3"/>
  <c r="I764" i="3"/>
  <c r="I745" i="3"/>
  <c r="I742" i="3"/>
  <c r="I746" i="3"/>
  <c r="I743" i="3"/>
  <c r="I744" i="3"/>
  <c r="I721" i="3"/>
  <c r="I718" i="3"/>
  <c r="I722" i="3"/>
  <c r="I719" i="3"/>
  <c r="I720" i="3"/>
  <c r="I701" i="3"/>
  <c r="I698" i="3"/>
  <c r="I702" i="3"/>
  <c r="I699" i="3"/>
  <c r="I700" i="3"/>
  <c r="I681" i="3"/>
  <c r="I678" i="3"/>
  <c r="I682" i="3"/>
  <c r="I679" i="3"/>
  <c r="I680" i="3"/>
  <c r="I657" i="3"/>
  <c r="I658" i="3"/>
  <c r="I655" i="3"/>
  <c r="I659" i="3"/>
  <c r="I656" i="3"/>
  <c r="I637" i="3"/>
  <c r="I638" i="3"/>
  <c r="I635" i="3"/>
  <c r="I639" i="3"/>
  <c r="I636" i="3"/>
  <c r="I617" i="3"/>
  <c r="I618" i="3"/>
  <c r="I619" i="3"/>
  <c r="I616" i="3"/>
  <c r="I620" i="3"/>
  <c r="I597" i="3"/>
  <c r="I601" i="3"/>
  <c r="I598" i="3"/>
  <c r="I599" i="3"/>
  <c r="I600" i="3"/>
  <c r="I577" i="3"/>
  <c r="I578" i="3"/>
  <c r="I579" i="3"/>
  <c r="I576" i="3"/>
  <c r="I580" i="3"/>
  <c r="I557" i="3"/>
  <c r="I561" i="3"/>
  <c r="I558" i="3"/>
  <c r="I559" i="3"/>
  <c r="I560" i="3"/>
  <c r="I541" i="3"/>
  <c r="I542" i="3"/>
  <c r="I530" i="3"/>
  <c r="I531" i="3"/>
  <c r="I517" i="3"/>
  <c r="I518" i="3"/>
  <c r="I519" i="3"/>
  <c r="I516" i="3"/>
  <c r="I505" i="3"/>
  <c r="I506" i="3"/>
  <c r="I507" i="3"/>
  <c r="I504" i="3"/>
  <c r="I493" i="3"/>
  <c r="I491" i="3"/>
  <c r="I492" i="3"/>
  <c r="I481" i="3"/>
  <c r="I482" i="3"/>
  <c r="I473" i="3"/>
  <c r="I474" i="3"/>
  <c r="I465" i="3"/>
  <c r="I466" i="3"/>
  <c r="I457" i="3"/>
  <c r="I458" i="3"/>
  <c r="I449" i="3"/>
  <c r="I450" i="3"/>
  <c r="I441" i="3"/>
  <c r="I442" i="3"/>
  <c r="I433" i="3"/>
  <c r="I434" i="3"/>
  <c r="I425" i="3"/>
  <c r="I426" i="3"/>
  <c r="I417" i="3"/>
  <c r="I418" i="3"/>
  <c r="I409" i="3"/>
  <c r="I410" i="3"/>
  <c r="I401" i="3"/>
  <c r="I402" i="3"/>
  <c r="I393" i="3"/>
  <c r="I394" i="3"/>
  <c r="I381" i="3"/>
  <c r="I382" i="3"/>
  <c r="I379" i="3"/>
  <c r="I380" i="3"/>
  <c r="I365" i="3"/>
  <c r="I366" i="3"/>
  <c r="I363" i="3"/>
  <c r="I364" i="3"/>
  <c r="I349" i="3"/>
  <c r="I350" i="3"/>
  <c r="I347" i="3"/>
  <c r="I348" i="3"/>
  <c r="I333" i="3"/>
  <c r="I334" i="3"/>
  <c r="I331" i="3"/>
  <c r="I332" i="3"/>
  <c r="I317" i="3"/>
  <c r="I318" i="3"/>
  <c r="I315" i="3"/>
  <c r="I316" i="3"/>
  <c r="I301" i="3"/>
  <c r="I298" i="3"/>
  <c r="I299" i="3"/>
  <c r="I300" i="3"/>
  <c r="I281" i="3"/>
  <c r="I282" i="3"/>
  <c r="I279" i="3"/>
  <c r="I283" i="3"/>
  <c r="I280" i="3"/>
  <c r="I265" i="3"/>
  <c r="I262" i="3"/>
  <c r="I263" i="3"/>
  <c r="I264" i="3"/>
  <c r="I237" i="3"/>
  <c r="I234" i="3"/>
  <c r="I238" i="3"/>
  <c r="I235" i="3"/>
  <c r="I239" i="3"/>
  <c r="I236" i="3"/>
  <c r="I213" i="3"/>
  <c r="I210" i="3"/>
  <c r="I214" i="3"/>
  <c r="I211" i="3"/>
  <c r="I215" i="3"/>
  <c r="I212" i="3"/>
  <c r="I189" i="3"/>
  <c r="I190" i="3"/>
  <c r="I191" i="3"/>
  <c r="I188" i="3"/>
  <c r="I173" i="3"/>
  <c r="I174" i="3"/>
  <c r="I175" i="3"/>
  <c r="I172" i="3"/>
  <c r="I153" i="3"/>
  <c r="I154" i="3"/>
  <c r="I155" i="3"/>
  <c r="I152" i="3"/>
  <c r="I156" i="3"/>
  <c r="I129" i="3"/>
  <c r="I126" i="3"/>
  <c r="I130" i="3"/>
  <c r="I127" i="3"/>
  <c r="I131" i="3"/>
  <c r="I128" i="3"/>
  <c r="I132" i="3"/>
  <c r="I105" i="3"/>
  <c r="I106" i="3"/>
  <c r="I107" i="3"/>
  <c r="I73" i="3"/>
  <c r="I71" i="3"/>
  <c r="I72" i="3"/>
  <c r="I58" i="3"/>
  <c r="I59" i="3"/>
  <c r="I60" i="3"/>
  <c r="I45" i="3"/>
  <c r="I46" i="3"/>
  <c r="I43" i="3"/>
  <c r="I44" i="3"/>
  <c r="R1189" i="3"/>
  <c r="R1188" i="3"/>
  <c r="R1190" i="3"/>
  <c r="N1189" i="3"/>
  <c r="N1188" i="3"/>
  <c r="N1190" i="3"/>
  <c r="J1189" i="3"/>
  <c r="J1188" i="3"/>
  <c r="J1190" i="3"/>
  <c r="Q1184" i="3"/>
  <c r="Q1187" i="3"/>
  <c r="Q1186" i="3"/>
  <c r="Q1185" i="3"/>
  <c r="M1184" i="3"/>
  <c r="M1187" i="3"/>
  <c r="M1186" i="3"/>
  <c r="M1185" i="3"/>
  <c r="T1183" i="3"/>
  <c r="T1182" i="3"/>
  <c r="T1181" i="3"/>
  <c r="T1180" i="3"/>
  <c r="P1183" i="3"/>
  <c r="P1182" i="3"/>
  <c r="P1181" i="3"/>
  <c r="P1180" i="3"/>
  <c r="L1183" i="3"/>
  <c r="L1182" i="3"/>
  <c r="L1181" i="3"/>
  <c r="L1180" i="3"/>
  <c r="S1178" i="3"/>
  <c r="S1177" i="3"/>
  <c r="S1176" i="3"/>
  <c r="S1179" i="3"/>
  <c r="O1178" i="3"/>
  <c r="O1177" i="3"/>
  <c r="O1176" i="3"/>
  <c r="O1179" i="3"/>
  <c r="K1178" i="3"/>
  <c r="K1177" i="3"/>
  <c r="K1176" i="3"/>
  <c r="K1179" i="3"/>
  <c r="R1173" i="3"/>
  <c r="R1175" i="3"/>
  <c r="R1174" i="3"/>
  <c r="N1173" i="3"/>
  <c r="N1175" i="3"/>
  <c r="N1174" i="3"/>
  <c r="J1173" i="3"/>
  <c r="J1175" i="3"/>
  <c r="J1174" i="3"/>
  <c r="Q1172" i="3"/>
  <c r="Q1171" i="3"/>
  <c r="Q1170" i="3"/>
  <c r="Q1169" i="3"/>
  <c r="M1172" i="3"/>
  <c r="M1171" i="3"/>
  <c r="M1170" i="3"/>
  <c r="M1169" i="3"/>
  <c r="T1163" i="3"/>
  <c r="T1167" i="3"/>
  <c r="T1162" i="3"/>
  <c r="T1166" i="3"/>
  <c r="T1165" i="3"/>
  <c r="T1164" i="3"/>
  <c r="T1168" i="3"/>
  <c r="P1163" i="3"/>
  <c r="P1167" i="3"/>
  <c r="P1162" i="3"/>
  <c r="P1166" i="3"/>
  <c r="P1165" i="3"/>
  <c r="P1164" i="3"/>
  <c r="P1168" i="3"/>
  <c r="L1163" i="3"/>
  <c r="L1167" i="3"/>
  <c r="L1162" i="3"/>
  <c r="L1166" i="3"/>
  <c r="L1165" i="3"/>
  <c r="L1164" i="3"/>
  <c r="L1168" i="3"/>
  <c r="S1158" i="3"/>
  <c r="S1161" i="3"/>
  <c r="S1160" i="3"/>
  <c r="S1159" i="3"/>
  <c r="O1158" i="3"/>
  <c r="O1161" i="3"/>
  <c r="O1160" i="3"/>
  <c r="O1159" i="3"/>
  <c r="K1158" i="3"/>
  <c r="K1161" i="3"/>
  <c r="K1160" i="3"/>
  <c r="K1159" i="3"/>
  <c r="R1153" i="3"/>
  <c r="R1157" i="3"/>
  <c r="R1152" i="3"/>
  <c r="R1156" i="3"/>
  <c r="R1151" i="3"/>
  <c r="R1155" i="3"/>
  <c r="R1154" i="3"/>
  <c r="N1153" i="3"/>
  <c r="N1157" i="3"/>
  <c r="N1152" i="3"/>
  <c r="N1156" i="3"/>
  <c r="N1151" i="3"/>
  <c r="N1155" i="3"/>
  <c r="N1154" i="3"/>
  <c r="J1153" i="3"/>
  <c r="J1157" i="3"/>
  <c r="J1152" i="3"/>
  <c r="J1156" i="3"/>
  <c r="J1151" i="3"/>
  <c r="J1155" i="3"/>
  <c r="J1154" i="3"/>
  <c r="Q1148" i="3"/>
  <c r="Q1147" i="3"/>
  <c r="Q1150" i="3"/>
  <c r="Q1149" i="3"/>
  <c r="M1148" i="3"/>
  <c r="M1147" i="3"/>
  <c r="M1150" i="3"/>
  <c r="M1149" i="3"/>
  <c r="T1146" i="3"/>
  <c r="T1145" i="3"/>
  <c r="T1144" i="3"/>
  <c r="P1146" i="3"/>
  <c r="P1145" i="3"/>
  <c r="P1144" i="3"/>
  <c r="L1146" i="3"/>
  <c r="L1145" i="3"/>
  <c r="L1144" i="3"/>
  <c r="S1142" i="3"/>
  <c r="S1141" i="3"/>
  <c r="S1140" i="3"/>
  <c r="S1143" i="3"/>
  <c r="O1142" i="3"/>
  <c r="O1141" i="3"/>
  <c r="O1140" i="3"/>
  <c r="O1143" i="3"/>
  <c r="K1142" i="3"/>
  <c r="K1141" i="3"/>
  <c r="K1140" i="3"/>
  <c r="K1143" i="3"/>
  <c r="R1133" i="3"/>
  <c r="R1137" i="3"/>
  <c r="R1132" i="3"/>
  <c r="R1136" i="3"/>
  <c r="R1135" i="3"/>
  <c r="R1139" i="3"/>
  <c r="R1134" i="3"/>
  <c r="R1138" i="3"/>
  <c r="N1133" i="3"/>
  <c r="N1137" i="3"/>
  <c r="N1132" i="3"/>
  <c r="N1136" i="3"/>
  <c r="N1135" i="3"/>
  <c r="N1139" i="3"/>
  <c r="N1134" i="3"/>
  <c r="N1138" i="3"/>
  <c r="J1133" i="3"/>
  <c r="J1137" i="3"/>
  <c r="J1132" i="3"/>
  <c r="J1136" i="3"/>
  <c r="J1135" i="3"/>
  <c r="J1139" i="3"/>
  <c r="J1134" i="3"/>
  <c r="J1138" i="3"/>
  <c r="Q1128" i="3"/>
  <c r="Q1131" i="3"/>
  <c r="Q1130" i="3"/>
  <c r="Q1129" i="3"/>
  <c r="M1128" i="3"/>
  <c r="M1131" i="3"/>
  <c r="M1130" i="3"/>
  <c r="M1129" i="3"/>
  <c r="T1123" i="3"/>
  <c r="T1127" i="3"/>
  <c r="T1122" i="3"/>
  <c r="T1126" i="3"/>
  <c r="T1121" i="3"/>
  <c r="T1125" i="3"/>
  <c r="T1120" i="3"/>
  <c r="T1124" i="3"/>
  <c r="P1123" i="3"/>
  <c r="P1127" i="3"/>
  <c r="P1122" i="3"/>
  <c r="P1126" i="3"/>
  <c r="P1121" i="3"/>
  <c r="P1125" i="3"/>
  <c r="P1120" i="3"/>
  <c r="P1124" i="3"/>
  <c r="L1123" i="3"/>
  <c r="L1127" i="3"/>
  <c r="L1122" i="3"/>
  <c r="L1126" i="3"/>
  <c r="L1121" i="3"/>
  <c r="L1125" i="3"/>
  <c r="L1120" i="3"/>
  <c r="L1124" i="3"/>
  <c r="S1114" i="3"/>
  <c r="S1118" i="3"/>
  <c r="S1113" i="3"/>
  <c r="S1117" i="3"/>
  <c r="S1116" i="3"/>
  <c r="S1115" i="3"/>
  <c r="S1119" i="3"/>
  <c r="O1114" i="3"/>
  <c r="O1118" i="3"/>
  <c r="O1113" i="3"/>
  <c r="O1117" i="3"/>
  <c r="O1116" i="3"/>
  <c r="O1115" i="3"/>
  <c r="O1119" i="3"/>
  <c r="K1114" i="3"/>
  <c r="K1118" i="3"/>
  <c r="K1113" i="3"/>
  <c r="K1117" i="3"/>
  <c r="K1116" i="3"/>
  <c r="K1115" i="3"/>
  <c r="K1119" i="3"/>
  <c r="R1109" i="3"/>
  <c r="R1112" i="3"/>
  <c r="R1111" i="3"/>
  <c r="R1110" i="3"/>
  <c r="N1109" i="3"/>
  <c r="N1112" i="3"/>
  <c r="N1111" i="3"/>
  <c r="N1110" i="3"/>
  <c r="J1109" i="3"/>
  <c r="J1112" i="3"/>
  <c r="J1111" i="3"/>
  <c r="J1110" i="3"/>
  <c r="Q1104" i="3"/>
  <c r="Q1108" i="3"/>
  <c r="Q1103" i="3"/>
  <c r="Q1107" i="3"/>
  <c r="Q1102" i="3"/>
  <c r="Q1106" i="3"/>
  <c r="Q1105" i="3"/>
  <c r="M1104" i="3"/>
  <c r="M1108" i="3"/>
  <c r="M1103" i="3"/>
  <c r="M1107" i="3"/>
  <c r="M1102" i="3"/>
  <c r="M1106" i="3"/>
  <c r="M1105" i="3"/>
  <c r="T1099" i="3"/>
  <c r="T1098" i="3"/>
  <c r="T1101" i="3"/>
  <c r="T1100" i="3"/>
  <c r="P1099" i="3"/>
  <c r="P1098" i="3"/>
  <c r="P1101" i="3"/>
  <c r="P1100" i="3"/>
  <c r="L1099" i="3"/>
  <c r="L1098" i="3"/>
  <c r="L1101" i="3"/>
  <c r="L1100" i="3"/>
  <c r="S1097" i="3"/>
  <c r="S1096" i="3"/>
  <c r="S1095" i="3"/>
  <c r="O1097" i="3"/>
  <c r="O1096" i="3"/>
  <c r="O1095" i="3"/>
  <c r="K1097" i="3"/>
  <c r="K1096" i="3"/>
  <c r="K1095" i="3"/>
  <c r="R1093" i="3"/>
  <c r="R1092" i="3"/>
  <c r="R1091" i="3"/>
  <c r="R1090" i="3"/>
  <c r="R1094" i="3"/>
  <c r="N1093" i="3"/>
  <c r="N1092" i="3"/>
  <c r="N1091" i="3"/>
  <c r="N1090" i="3"/>
  <c r="N1094" i="3"/>
  <c r="J1093" i="3"/>
  <c r="J1092" i="3"/>
  <c r="J1091" i="3"/>
  <c r="J1090" i="3"/>
  <c r="J1094" i="3"/>
  <c r="Q1088" i="3"/>
  <c r="Q1087" i="3"/>
  <c r="Q1086" i="3"/>
  <c r="Q1085" i="3"/>
  <c r="Q1089" i="3"/>
  <c r="M1088" i="3"/>
  <c r="M1087" i="3"/>
  <c r="M1086" i="3"/>
  <c r="M1085" i="3"/>
  <c r="M1089" i="3"/>
  <c r="T1083" i="3"/>
  <c r="T1082" i="3"/>
  <c r="T1081" i="3"/>
  <c r="T1080" i="3"/>
  <c r="T1084" i="3"/>
  <c r="P1083" i="3"/>
  <c r="P1082" i="3"/>
  <c r="P1081" i="3"/>
  <c r="P1080" i="3"/>
  <c r="P1084" i="3"/>
  <c r="L1083" i="3"/>
  <c r="L1082" i="3"/>
  <c r="L1081" i="3"/>
  <c r="L1080" i="3"/>
  <c r="L1084" i="3"/>
  <c r="S1078" i="3"/>
  <c r="S1077" i="3"/>
  <c r="S1076" i="3"/>
  <c r="S1075" i="3"/>
  <c r="S1079" i="3"/>
  <c r="O1078" i="3"/>
  <c r="O1077" i="3"/>
  <c r="O1076" i="3"/>
  <c r="O1075" i="3"/>
  <c r="O1079" i="3"/>
  <c r="K1078" i="3"/>
  <c r="K1077" i="3"/>
  <c r="K1076" i="3"/>
  <c r="K1075" i="3"/>
  <c r="K1079" i="3"/>
  <c r="R1073" i="3"/>
  <c r="R1072" i="3"/>
  <c r="R1071" i="3"/>
  <c r="R1070" i="3"/>
  <c r="R1074" i="3"/>
  <c r="N1073" i="3"/>
  <c r="N1072" i="3"/>
  <c r="N1071" i="3"/>
  <c r="N1070" i="3"/>
  <c r="N1074" i="3"/>
  <c r="J1073" i="3"/>
  <c r="J1072" i="3"/>
  <c r="J1071" i="3"/>
  <c r="J1070" i="3"/>
  <c r="J1074" i="3"/>
  <c r="Q1068" i="3"/>
  <c r="Q1067" i="3"/>
  <c r="Q1066" i="3"/>
  <c r="Q1065" i="3"/>
  <c r="Q1069" i="3"/>
  <c r="M1068" i="3"/>
  <c r="M1067" i="3"/>
  <c r="M1066" i="3"/>
  <c r="M1065" i="3"/>
  <c r="M1069" i="3"/>
  <c r="T1063" i="3"/>
  <c r="T1062" i="3"/>
  <c r="T1061" i="3"/>
  <c r="T1060" i="3"/>
  <c r="T1064" i="3"/>
  <c r="P1063" i="3"/>
  <c r="P1062" i="3"/>
  <c r="P1061" i="3"/>
  <c r="P1060" i="3"/>
  <c r="P1064" i="3"/>
  <c r="L1063" i="3"/>
  <c r="L1062" i="3"/>
  <c r="L1061" i="3"/>
  <c r="L1060" i="3"/>
  <c r="L1064" i="3"/>
  <c r="S1058" i="3"/>
  <c r="S1057" i="3"/>
  <c r="S1056" i="3"/>
  <c r="S1055" i="3"/>
  <c r="S1059" i="3"/>
  <c r="O1058" i="3"/>
  <c r="O1057" i="3"/>
  <c r="O1056" i="3"/>
  <c r="O1055" i="3"/>
  <c r="O1059" i="3"/>
  <c r="K1058" i="3"/>
  <c r="K1057" i="3"/>
  <c r="K1056" i="3"/>
  <c r="K1055" i="3"/>
  <c r="K1059" i="3"/>
  <c r="R1053" i="3"/>
  <c r="R1052" i="3"/>
  <c r="R1051" i="3"/>
  <c r="R1050" i="3"/>
  <c r="R1054" i="3"/>
  <c r="N1053" i="3"/>
  <c r="N1052" i="3"/>
  <c r="N1051" i="3"/>
  <c r="N1050" i="3"/>
  <c r="N1054" i="3"/>
  <c r="J1053" i="3"/>
  <c r="J1052" i="3"/>
  <c r="J1051" i="3"/>
  <c r="J1050" i="3"/>
  <c r="J1054" i="3"/>
  <c r="Q1048" i="3"/>
  <c r="Q1047" i="3"/>
  <c r="Q1046" i="3"/>
  <c r="Q1045" i="3"/>
  <c r="Q1049" i="3"/>
  <c r="M1048" i="3"/>
  <c r="M1047" i="3"/>
  <c r="M1046" i="3"/>
  <c r="M1045" i="3"/>
  <c r="M1049" i="3"/>
  <c r="T1043" i="3"/>
  <c r="T1042" i="3"/>
  <c r="T1041" i="3"/>
  <c r="T1040" i="3"/>
  <c r="T1044" i="3"/>
  <c r="P1043" i="3"/>
  <c r="P1042" i="3"/>
  <c r="P1041" i="3"/>
  <c r="P1040" i="3"/>
  <c r="P1044" i="3"/>
  <c r="L1043" i="3"/>
  <c r="L1042" i="3"/>
  <c r="L1041" i="3"/>
  <c r="L1040" i="3"/>
  <c r="L1044" i="3"/>
  <c r="S1038" i="3"/>
  <c r="S1037" i="3"/>
  <c r="S1036" i="3"/>
  <c r="S1035" i="3"/>
  <c r="S1039" i="3"/>
  <c r="O1038" i="3"/>
  <c r="O1037" i="3"/>
  <c r="O1036" i="3"/>
  <c r="O1035" i="3"/>
  <c r="O1039" i="3"/>
  <c r="K1038" i="3"/>
  <c r="K1037" i="3"/>
  <c r="K1036" i="3"/>
  <c r="K1035" i="3"/>
  <c r="K1039" i="3"/>
  <c r="R1033" i="3"/>
  <c r="R1032" i="3"/>
  <c r="R1031" i="3"/>
  <c r="R1030" i="3"/>
  <c r="R1034" i="3"/>
  <c r="N1033" i="3"/>
  <c r="N1032" i="3"/>
  <c r="N1031" i="3"/>
  <c r="N1030" i="3"/>
  <c r="N1034" i="3"/>
  <c r="J1033" i="3"/>
  <c r="J1032" i="3"/>
  <c r="J1031" i="3"/>
  <c r="J1030" i="3"/>
  <c r="J1034" i="3"/>
  <c r="Q1028" i="3"/>
  <c r="Q1027" i="3"/>
  <c r="Q1026" i="3"/>
  <c r="Q1025" i="3"/>
  <c r="Q1029" i="3"/>
  <c r="M1028" i="3"/>
  <c r="M1027" i="3"/>
  <c r="M1026" i="3"/>
  <c r="M1025" i="3"/>
  <c r="M1029" i="3"/>
  <c r="T1023" i="3"/>
  <c r="T1022" i="3"/>
  <c r="T1021" i="3"/>
  <c r="T1020" i="3"/>
  <c r="T1024" i="3"/>
  <c r="P1023" i="3"/>
  <c r="P1022" i="3"/>
  <c r="P1021" i="3"/>
  <c r="P1020" i="3"/>
  <c r="P1024" i="3"/>
  <c r="L1023" i="3"/>
  <c r="L1022" i="3"/>
  <c r="L1021" i="3"/>
  <c r="L1020" i="3"/>
  <c r="L1024" i="3"/>
  <c r="S1018" i="3"/>
  <c r="S1017" i="3"/>
  <c r="S1016" i="3"/>
  <c r="S1015" i="3"/>
  <c r="S1019" i="3"/>
  <c r="O1018" i="3"/>
  <c r="O1017" i="3"/>
  <c r="O1016" i="3"/>
  <c r="O1015" i="3"/>
  <c r="O1019" i="3"/>
  <c r="K1018" i="3"/>
  <c r="K1017" i="3"/>
  <c r="K1016" i="3"/>
  <c r="K1015" i="3"/>
  <c r="K1019" i="3"/>
  <c r="R1013" i="3"/>
  <c r="R1012" i="3"/>
  <c r="R1011" i="3"/>
  <c r="R1010" i="3"/>
  <c r="R1014" i="3"/>
  <c r="N1013" i="3"/>
  <c r="N1012" i="3"/>
  <c r="N1011" i="3"/>
  <c r="N1010" i="3"/>
  <c r="N1014" i="3"/>
  <c r="J1013" i="3"/>
  <c r="J1012" i="3"/>
  <c r="J1011" i="3"/>
  <c r="J1010" i="3"/>
  <c r="J1014" i="3"/>
  <c r="Q1008" i="3"/>
  <c r="Q1007" i="3"/>
  <c r="Q1006" i="3"/>
  <c r="Q1005" i="3"/>
  <c r="Q1009" i="3"/>
  <c r="M1008" i="3"/>
  <c r="M1007" i="3"/>
  <c r="M1006" i="3"/>
  <c r="M1005" i="3"/>
  <c r="M1009" i="3"/>
  <c r="T1003" i="3"/>
  <c r="T1002" i="3"/>
  <c r="T1001" i="3"/>
  <c r="T1000" i="3"/>
  <c r="T1004" i="3"/>
  <c r="P1003" i="3"/>
  <c r="P1002" i="3"/>
  <c r="P1001" i="3"/>
  <c r="P1000" i="3"/>
  <c r="P1004" i="3"/>
  <c r="L1003" i="3"/>
  <c r="L1002" i="3"/>
  <c r="L1001" i="3"/>
  <c r="L1000" i="3"/>
  <c r="L1004" i="3"/>
  <c r="S998" i="3"/>
  <c r="S997" i="3"/>
  <c r="S996" i="3"/>
  <c r="S995" i="3"/>
  <c r="S999" i="3"/>
  <c r="O998" i="3"/>
  <c r="O997" i="3"/>
  <c r="O996" i="3"/>
  <c r="O995" i="3"/>
  <c r="O999" i="3"/>
  <c r="K998" i="3"/>
  <c r="K997" i="3"/>
  <c r="K996" i="3"/>
  <c r="K995" i="3"/>
  <c r="K999" i="3"/>
  <c r="R993" i="3"/>
  <c r="R992" i="3"/>
  <c r="R991" i="3"/>
  <c r="R990" i="3"/>
  <c r="R994" i="3"/>
  <c r="N993" i="3"/>
  <c r="N992" i="3"/>
  <c r="N991" i="3"/>
  <c r="N990" i="3"/>
  <c r="N994" i="3"/>
  <c r="J993" i="3"/>
  <c r="J992" i="3"/>
  <c r="J991" i="3"/>
  <c r="J990" i="3"/>
  <c r="J994" i="3"/>
  <c r="Q988" i="3"/>
  <c r="Q987" i="3"/>
  <c r="Q986" i="3"/>
  <c r="Q985" i="3"/>
  <c r="Q989" i="3"/>
  <c r="M988" i="3"/>
  <c r="M987" i="3"/>
  <c r="M986" i="3"/>
  <c r="M985" i="3"/>
  <c r="M989" i="3"/>
  <c r="T983" i="3"/>
  <c r="T982" i="3"/>
  <c r="T981" i="3"/>
  <c r="T980" i="3"/>
  <c r="T984" i="3"/>
  <c r="P983" i="3"/>
  <c r="P982" i="3"/>
  <c r="P981" i="3"/>
  <c r="P980" i="3"/>
  <c r="P984" i="3"/>
  <c r="L983" i="3"/>
  <c r="L982" i="3"/>
  <c r="L981" i="3"/>
  <c r="L980" i="3"/>
  <c r="L984" i="3"/>
  <c r="S978" i="3"/>
  <c r="S977" i="3"/>
  <c r="S976" i="3"/>
  <c r="S975" i="3"/>
  <c r="S979" i="3"/>
  <c r="O978" i="3"/>
  <c r="O977" i="3"/>
  <c r="O976" i="3"/>
  <c r="O975" i="3"/>
  <c r="O979" i="3"/>
  <c r="K978" i="3"/>
  <c r="K977" i="3"/>
  <c r="K976" i="3"/>
  <c r="K975" i="3"/>
  <c r="K979" i="3"/>
  <c r="R973" i="3"/>
  <c r="R972" i="3"/>
  <c r="R971" i="3"/>
  <c r="R970" i="3"/>
  <c r="R974" i="3"/>
  <c r="N973" i="3"/>
  <c r="N972" i="3"/>
  <c r="N971" i="3"/>
  <c r="N970" i="3"/>
  <c r="N974" i="3"/>
  <c r="J973" i="3"/>
  <c r="J972" i="3"/>
  <c r="J971" i="3"/>
  <c r="J970" i="3"/>
  <c r="J974" i="3"/>
  <c r="Q968" i="3"/>
  <c r="Q967" i="3"/>
  <c r="Q969" i="3"/>
  <c r="M968" i="3"/>
  <c r="M967" i="3"/>
  <c r="M969" i="3"/>
  <c r="T966" i="3"/>
  <c r="T965" i="3"/>
  <c r="T964" i="3"/>
  <c r="P966" i="3"/>
  <c r="P965" i="3"/>
  <c r="P964" i="3"/>
  <c r="L966" i="3"/>
  <c r="L965" i="3"/>
  <c r="L964" i="3"/>
  <c r="S962" i="3"/>
  <c r="S961" i="3"/>
  <c r="S963" i="3"/>
  <c r="O962" i="3"/>
  <c r="O961" i="3"/>
  <c r="O963" i="3"/>
  <c r="K962" i="3"/>
  <c r="K961" i="3"/>
  <c r="K963" i="3"/>
  <c r="R960" i="3"/>
  <c r="R959" i="3"/>
  <c r="R958" i="3"/>
  <c r="N960" i="3"/>
  <c r="N959" i="3"/>
  <c r="N958" i="3"/>
  <c r="J960" i="3"/>
  <c r="J959" i="3"/>
  <c r="J958" i="3"/>
  <c r="Q954" i="3"/>
  <c r="Q953" i="3"/>
  <c r="Q955" i="3"/>
  <c r="Q956" i="3"/>
  <c r="Q957" i="3"/>
  <c r="M954" i="3"/>
  <c r="M953" i="3"/>
  <c r="M955" i="3"/>
  <c r="M956" i="3"/>
  <c r="M957" i="3"/>
  <c r="S88" i="3"/>
  <c r="S91" i="3"/>
  <c r="S90" i="3"/>
  <c r="S89" i="3"/>
  <c r="S92" i="3"/>
  <c r="S948" i="3"/>
  <c r="S952" i="3"/>
  <c r="S951" i="3"/>
  <c r="S949" i="3"/>
  <c r="S950" i="3"/>
  <c r="O88" i="3"/>
  <c r="O91" i="3"/>
  <c r="O90" i="3"/>
  <c r="O89" i="3"/>
  <c r="O92" i="3"/>
  <c r="O948" i="3"/>
  <c r="O952" i="3"/>
  <c r="O951" i="3"/>
  <c r="O949" i="3"/>
  <c r="O950" i="3"/>
  <c r="K88" i="3"/>
  <c r="K91" i="3"/>
  <c r="K90" i="3"/>
  <c r="K89" i="3"/>
  <c r="K92" i="3"/>
  <c r="K948" i="3"/>
  <c r="K952" i="3"/>
  <c r="K951" i="3"/>
  <c r="K949" i="3"/>
  <c r="K950" i="3"/>
  <c r="R944" i="3"/>
  <c r="R943" i="3"/>
  <c r="R947" i="3"/>
  <c r="R946" i="3"/>
  <c r="R945" i="3"/>
  <c r="N944" i="3"/>
  <c r="N943" i="3"/>
  <c r="N947" i="3"/>
  <c r="N946" i="3"/>
  <c r="N945" i="3"/>
  <c r="J944" i="3"/>
  <c r="J943" i="3"/>
  <c r="J947" i="3"/>
  <c r="J946" i="3"/>
  <c r="J945" i="3"/>
  <c r="Q939" i="3"/>
  <c r="Q938" i="3"/>
  <c r="Q942" i="3"/>
  <c r="Q941" i="3"/>
  <c r="Q940" i="3"/>
  <c r="M939" i="3"/>
  <c r="M938" i="3"/>
  <c r="M942" i="3"/>
  <c r="M941" i="3"/>
  <c r="M940" i="3"/>
  <c r="T934" i="3"/>
  <c r="T933" i="3"/>
  <c r="T937" i="3"/>
  <c r="T936" i="3"/>
  <c r="T935" i="3"/>
  <c r="P934" i="3"/>
  <c r="P933" i="3"/>
  <c r="P937" i="3"/>
  <c r="P936" i="3"/>
  <c r="P935" i="3"/>
  <c r="L934" i="3"/>
  <c r="L933" i="3"/>
  <c r="L937" i="3"/>
  <c r="L936" i="3"/>
  <c r="L935" i="3"/>
  <c r="S932" i="3"/>
  <c r="S931" i="3"/>
  <c r="S930" i="3"/>
  <c r="O932" i="3"/>
  <c r="O931" i="3"/>
  <c r="O930" i="3"/>
  <c r="K932" i="3"/>
  <c r="K931" i="3"/>
  <c r="K930" i="3"/>
  <c r="R928" i="3"/>
  <c r="R927" i="3"/>
  <c r="R929" i="3"/>
  <c r="N928" i="3"/>
  <c r="N927" i="3"/>
  <c r="N929" i="3"/>
  <c r="J928" i="3"/>
  <c r="J927" i="3"/>
  <c r="J929" i="3"/>
  <c r="Q926" i="3"/>
  <c r="Q925" i="3"/>
  <c r="Q924" i="3"/>
  <c r="M926" i="3"/>
  <c r="M925" i="3"/>
  <c r="M924" i="3"/>
  <c r="T922" i="3"/>
  <c r="T921" i="3"/>
  <c r="T923" i="3"/>
  <c r="P922" i="3"/>
  <c r="P921" i="3"/>
  <c r="P923" i="3"/>
  <c r="L922" i="3"/>
  <c r="L921" i="3"/>
  <c r="L923" i="3"/>
  <c r="S917" i="3"/>
  <c r="S916" i="3"/>
  <c r="S920" i="3"/>
  <c r="S919" i="3"/>
  <c r="S918" i="3"/>
  <c r="O917" i="3"/>
  <c r="O916" i="3"/>
  <c r="O920" i="3"/>
  <c r="O919" i="3"/>
  <c r="O918" i="3"/>
  <c r="K917" i="3"/>
  <c r="K916" i="3"/>
  <c r="K920" i="3"/>
  <c r="K919" i="3"/>
  <c r="K918" i="3"/>
  <c r="R83" i="3"/>
  <c r="R87" i="3"/>
  <c r="R86" i="3"/>
  <c r="R85" i="3"/>
  <c r="R84" i="3"/>
  <c r="N83" i="3"/>
  <c r="N87" i="3"/>
  <c r="N86" i="3"/>
  <c r="N85" i="3"/>
  <c r="N84" i="3"/>
  <c r="J83" i="3"/>
  <c r="J87" i="3"/>
  <c r="J86" i="3"/>
  <c r="J85" i="3"/>
  <c r="J84" i="3"/>
  <c r="Q911" i="3"/>
  <c r="Q915" i="3"/>
  <c r="Q914" i="3"/>
  <c r="Q913" i="3"/>
  <c r="Q912" i="3"/>
  <c r="M911" i="3"/>
  <c r="M915" i="3"/>
  <c r="M914" i="3"/>
  <c r="M913" i="3"/>
  <c r="M912" i="3"/>
  <c r="T906" i="3"/>
  <c r="T910" i="3"/>
  <c r="T909" i="3"/>
  <c r="T908" i="3"/>
  <c r="T907" i="3"/>
  <c r="P906" i="3"/>
  <c r="P910" i="3"/>
  <c r="P909" i="3"/>
  <c r="P908" i="3"/>
  <c r="P907" i="3"/>
  <c r="L906" i="3"/>
  <c r="L910" i="3"/>
  <c r="L909" i="3"/>
  <c r="L908" i="3"/>
  <c r="L907" i="3"/>
  <c r="S901" i="3"/>
  <c r="S905" i="3"/>
  <c r="S904" i="3"/>
  <c r="S903" i="3"/>
  <c r="S902" i="3"/>
  <c r="O901" i="3"/>
  <c r="O905" i="3"/>
  <c r="O904" i="3"/>
  <c r="O903" i="3"/>
  <c r="O902" i="3"/>
  <c r="K901" i="3"/>
  <c r="K905" i="3"/>
  <c r="K904" i="3"/>
  <c r="K903" i="3"/>
  <c r="K902" i="3"/>
  <c r="R896" i="3"/>
  <c r="R900" i="3"/>
  <c r="R899" i="3"/>
  <c r="R898" i="3"/>
  <c r="R897" i="3"/>
  <c r="N896" i="3"/>
  <c r="N900" i="3"/>
  <c r="N899" i="3"/>
  <c r="N898" i="3"/>
  <c r="N897" i="3"/>
  <c r="J896" i="3"/>
  <c r="J900" i="3"/>
  <c r="J899" i="3"/>
  <c r="J898" i="3"/>
  <c r="J897" i="3"/>
  <c r="Q891" i="3"/>
  <c r="Q895" i="3"/>
  <c r="Q894" i="3"/>
  <c r="Q893" i="3"/>
  <c r="Q892" i="3"/>
  <c r="M891" i="3"/>
  <c r="M895" i="3"/>
  <c r="M894" i="3"/>
  <c r="M893" i="3"/>
  <c r="M892" i="3"/>
  <c r="T886" i="3"/>
  <c r="T890" i="3"/>
  <c r="T889" i="3"/>
  <c r="T888" i="3"/>
  <c r="T887" i="3"/>
  <c r="P886" i="3"/>
  <c r="P890" i="3"/>
  <c r="P889" i="3"/>
  <c r="P888" i="3"/>
  <c r="P887" i="3"/>
  <c r="L886" i="3"/>
  <c r="L890" i="3"/>
  <c r="L889" i="3"/>
  <c r="L888" i="3"/>
  <c r="L887" i="3"/>
  <c r="S881" i="3"/>
  <c r="S885" i="3"/>
  <c r="S884" i="3"/>
  <c r="S883" i="3"/>
  <c r="S882" i="3"/>
  <c r="O881" i="3"/>
  <c r="O885" i="3"/>
  <c r="O884" i="3"/>
  <c r="O883" i="3"/>
  <c r="O882" i="3"/>
  <c r="K881" i="3"/>
  <c r="K885" i="3"/>
  <c r="K884" i="3"/>
  <c r="K883" i="3"/>
  <c r="K882" i="3"/>
  <c r="R876" i="3"/>
  <c r="R880" i="3"/>
  <c r="R879" i="3"/>
  <c r="R878" i="3"/>
  <c r="R877" i="3"/>
  <c r="N876" i="3"/>
  <c r="N880" i="3"/>
  <c r="N879" i="3"/>
  <c r="N878" i="3"/>
  <c r="N877" i="3"/>
  <c r="J876" i="3"/>
  <c r="J880" i="3"/>
  <c r="J879" i="3"/>
  <c r="J878" i="3"/>
  <c r="J877" i="3"/>
  <c r="Q871" i="3"/>
  <c r="Q875" i="3"/>
  <c r="Q874" i="3"/>
  <c r="Q873" i="3"/>
  <c r="Q872" i="3"/>
  <c r="M871" i="3"/>
  <c r="M875" i="3"/>
  <c r="M874" i="3"/>
  <c r="M873" i="3"/>
  <c r="M872" i="3"/>
  <c r="T866" i="3"/>
  <c r="T870" i="3"/>
  <c r="T869" i="3"/>
  <c r="T868" i="3"/>
  <c r="T867" i="3"/>
  <c r="P866" i="3"/>
  <c r="P870" i="3"/>
  <c r="P869" i="3"/>
  <c r="P868" i="3"/>
  <c r="P867" i="3"/>
  <c r="L866" i="3"/>
  <c r="L870" i="3"/>
  <c r="L869" i="3"/>
  <c r="L868" i="3"/>
  <c r="L867" i="3"/>
  <c r="R864" i="3"/>
  <c r="R863" i="3"/>
  <c r="R862" i="3"/>
  <c r="R861" i="3"/>
  <c r="R865" i="3"/>
  <c r="N864" i="3"/>
  <c r="N863" i="3"/>
  <c r="N862" i="3"/>
  <c r="N861" i="3"/>
  <c r="N865" i="3"/>
  <c r="J864" i="3"/>
  <c r="J863" i="3"/>
  <c r="J862" i="3"/>
  <c r="J861" i="3"/>
  <c r="J865" i="3"/>
  <c r="Q859" i="3"/>
  <c r="Q858" i="3"/>
  <c r="Q857" i="3"/>
  <c r="Q856" i="3"/>
  <c r="Q860" i="3"/>
  <c r="M859" i="3"/>
  <c r="M858" i="3"/>
  <c r="M857" i="3"/>
  <c r="M856" i="3"/>
  <c r="M860" i="3"/>
  <c r="T854" i="3"/>
  <c r="T853" i="3"/>
  <c r="T852" i="3"/>
  <c r="T851" i="3"/>
  <c r="T855" i="3"/>
  <c r="P854" i="3"/>
  <c r="P853" i="3"/>
  <c r="P852" i="3"/>
  <c r="P851" i="3"/>
  <c r="P855" i="3"/>
  <c r="L854" i="3"/>
  <c r="L853" i="3"/>
  <c r="L852" i="3"/>
  <c r="L851" i="3"/>
  <c r="L855" i="3"/>
  <c r="S849" i="3"/>
  <c r="S848" i="3"/>
  <c r="S847" i="3"/>
  <c r="S846" i="3"/>
  <c r="S850" i="3"/>
  <c r="O849" i="3"/>
  <c r="O848" i="3"/>
  <c r="O847" i="3"/>
  <c r="O846" i="3"/>
  <c r="O850" i="3"/>
  <c r="K849" i="3"/>
  <c r="K848" i="3"/>
  <c r="K847" i="3"/>
  <c r="K846" i="3"/>
  <c r="K850" i="3"/>
  <c r="R844" i="3"/>
  <c r="R843" i="3"/>
  <c r="R845" i="3"/>
  <c r="N844" i="3"/>
  <c r="N843" i="3"/>
  <c r="N845" i="3"/>
  <c r="J844" i="3"/>
  <c r="J843" i="3"/>
  <c r="J845" i="3"/>
  <c r="Q842" i="3"/>
  <c r="Q841" i="3"/>
  <c r="Q840" i="3"/>
  <c r="M842" i="3"/>
  <c r="M841" i="3"/>
  <c r="M840" i="3"/>
  <c r="T838" i="3"/>
  <c r="T837" i="3"/>
  <c r="T839" i="3"/>
  <c r="P838" i="3"/>
  <c r="P837" i="3"/>
  <c r="P839" i="3"/>
  <c r="L838" i="3"/>
  <c r="L837" i="3"/>
  <c r="L839" i="3"/>
  <c r="S836" i="3"/>
  <c r="S835" i="3"/>
  <c r="S834" i="3"/>
  <c r="O836" i="3"/>
  <c r="O835" i="3"/>
  <c r="O834" i="3"/>
  <c r="K836" i="3"/>
  <c r="K835" i="3"/>
  <c r="K834" i="3"/>
  <c r="R832" i="3"/>
  <c r="R831" i="3"/>
  <c r="R830" i="3"/>
  <c r="R829" i="3"/>
  <c r="R833" i="3"/>
  <c r="N832" i="3"/>
  <c r="N831" i="3"/>
  <c r="N830" i="3"/>
  <c r="N829" i="3"/>
  <c r="N833" i="3"/>
  <c r="J832" i="3"/>
  <c r="J831" i="3"/>
  <c r="J830" i="3"/>
  <c r="J829" i="3"/>
  <c r="J833" i="3"/>
  <c r="Q827" i="3"/>
  <c r="Q826" i="3"/>
  <c r="Q825" i="3"/>
  <c r="Q824" i="3"/>
  <c r="Q828" i="3"/>
  <c r="M827" i="3"/>
  <c r="M826" i="3"/>
  <c r="M825" i="3"/>
  <c r="M824" i="3"/>
  <c r="M828" i="3"/>
  <c r="T822" i="3"/>
  <c r="T821" i="3"/>
  <c r="T820" i="3"/>
  <c r="T819" i="3"/>
  <c r="T823" i="3"/>
  <c r="P822" i="3"/>
  <c r="P821" i="3"/>
  <c r="P820" i="3"/>
  <c r="P819" i="3"/>
  <c r="P823" i="3"/>
  <c r="L822" i="3"/>
  <c r="L821" i="3"/>
  <c r="L820" i="3"/>
  <c r="L819" i="3"/>
  <c r="L823" i="3"/>
  <c r="S817" i="3"/>
  <c r="S816" i="3"/>
  <c r="S815" i="3"/>
  <c r="S814" i="3"/>
  <c r="S818" i="3"/>
  <c r="O817" i="3"/>
  <c r="O816" i="3"/>
  <c r="O815" i="3"/>
  <c r="O814" i="3"/>
  <c r="O818" i="3"/>
  <c r="K817" i="3"/>
  <c r="K816" i="3"/>
  <c r="K815" i="3"/>
  <c r="K814" i="3"/>
  <c r="K818" i="3"/>
  <c r="R812" i="3"/>
  <c r="R811" i="3"/>
  <c r="R810" i="3"/>
  <c r="R809" i="3"/>
  <c r="R813" i="3"/>
  <c r="N812" i="3"/>
  <c r="N811" i="3"/>
  <c r="N810" i="3"/>
  <c r="N809" i="3"/>
  <c r="N813" i="3"/>
  <c r="J812" i="3"/>
  <c r="J811" i="3"/>
  <c r="J810" i="3"/>
  <c r="J809" i="3"/>
  <c r="J813" i="3"/>
  <c r="Q807" i="3"/>
  <c r="Q806" i="3"/>
  <c r="Q808" i="3"/>
  <c r="M807" i="3"/>
  <c r="M806" i="3"/>
  <c r="M808" i="3"/>
  <c r="T805" i="3"/>
  <c r="T804" i="3"/>
  <c r="T803" i="3"/>
  <c r="P805" i="3"/>
  <c r="P804" i="3"/>
  <c r="P803" i="3"/>
  <c r="L805" i="3"/>
  <c r="L804" i="3"/>
  <c r="L803" i="3"/>
  <c r="S801" i="3"/>
  <c r="S800" i="3"/>
  <c r="S802" i="3"/>
  <c r="O801" i="3"/>
  <c r="O800" i="3"/>
  <c r="O802" i="3"/>
  <c r="K801" i="3"/>
  <c r="K800" i="3"/>
  <c r="K802" i="3"/>
  <c r="R799" i="3"/>
  <c r="R798" i="3"/>
  <c r="R797" i="3"/>
  <c r="N799" i="3"/>
  <c r="N798" i="3"/>
  <c r="N797" i="3"/>
  <c r="J799" i="3"/>
  <c r="J798" i="3"/>
  <c r="J797" i="3"/>
  <c r="Q795" i="3"/>
  <c r="Q794" i="3"/>
  <c r="Q793" i="3"/>
  <c r="Q792" i="3"/>
  <c r="Q796" i="3"/>
  <c r="M795" i="3"/>
  <c r="M794" i="3"/>
  <c r="M793" i="3"/>
  <c r="M792" i="3"/>
  <c r="M796" i="3"/>
  <c r="T790" i="3"/>
  <c r="T789" i="3"/>
  <c r="T788" i="3"/>
  <c r="T787" i="3"/>
  <c r="T791" i="3"/>
  <c r="P790" i="3"/>
  <c r="P789" i="3"/>
  <c r="P788" i="3"/>
  <c r="P787" i="3"/>
  <c r="P791" i="3"/>
  <c r="L790" i="3"/>
  <c r="L789" i="3"/>
  <c r="L788" i="3"/>
  <c r="L787" i="3"/>
  <c r="L791" i="3"/>
  <c r="S785" i="3"/>
  <c r="S784" i="3"/>
  <c r="S783" i="3"/>
  <c r="S782" i="3"/>
  <c r="S786" i="3"/>
  <c r="O785" i="3"/>
  <c r="O784" i="3"/>
  <c r="O783" i="3"/>
  <c r="O782" i="3"/>
  <c r="O786" i="3"/>
  <c r="K785" i="3"/>
  <c r="K784" i="3"/>
  <c r="K783" i="3"/>
  <c r="K782" i="3"/>
  <c r="K786" i="3"/>
  <c r="R780" i="3"/>
  <c r="R779" i="3"/>
  <c r="R778" i="3"/>
  <c r="R777" i="3"/>
  <c r="R781" i="3"/>
  <c r="N780" i="3"/>
  <c r="N779" i="3"/>
  <c r="N778" i="3"/>
  <c r="N777" i="3"/>
  <c r="N781" i="3"/>
  <c r="J780" i="3"/>
  <c r="J779" i="3"/>
  <c r="J778" i="3"/>
  <c r="J777" i="3"/>
  <c r="J781" i="3"/>
  <c r="Q775" i="3"/>
  <c r="Q774" i="3"/>
  <c r="Q773" i="3"/>
  <c r="Q772" i="3"/>
  <c r="Q776" i="3"/>
  <c r="M775" i="3"/>
  <c r="M774" i="3"/>
  <c r="M773" i="3"/>
  <c r="M772" i="3"/>
  <c r="M776" i="3"/>
  <c r="T770" i="3"/>
  <c r="T769" i="3"/>
  <c r="T768" i="3"/>
  <c r="T767" i="3"/>
  <c r="T771" i="3"/>
  <c r="P770" i="3"/>
  <c r="P769" i="3"/>
  <c r="P768" i="3"/>
  <c r="P767" i="3"/>
  <c r="P771" i="3"/>
  <c r="L770" i="3"/>
  <c r="L769" i="3"/>
  <c r="L768" i="3"/>
  <c r="L767" i="3"/>
  <c r="L771" i="3"/>
  <c r="S765" i="3"/>
  <c r="S764" i="3"/>
  <c r="S763" i="3"/>
  <c r="S762" i="3"/>
  <c r="S766" i="3"/>
  <c r="O765" i="3"/>
  <c r="O764" i="3"/>
  <c r="O763" i="3"/>
  <c r="O762" i="3"/>
  <c r="O766" i="3"/>
  <c r="K765" i="3"/>
  <c r="K764" i="3"/>
  <c r="K763" i="3"/>
  <c r="K762" i="3"/>
  <c r="K766" i="3"/>
  <c r="R760" i="3"/>
  <c r="R759" i="3"/>
  <c r="R758" i="3"/>
  <c r="R757" i="3"/>
  <c r="R761" i="3"/>
  <c r="N760" i="3"/>
  <c r="N759" i="3"/>
  <c r="N758" i="3"/>
  <c r="N757" i="3"/>
  <c r="N761" i="3"/>
  <c r="J760" i="3"/>
  <c r="J759" i="3"/>
  <c r="J758" i="3"/>
  <c r="J757" i="3"/>
  <c r="J761" i="3"/>
  <c r="Q755" i="3"/>
  <c r="Q754" i="3"/>
  <c r="Q753" i="3"/>
  <c r="Q752" i="3"/>
  <c r="Q756" i="3"/>
  <c r="M755" i="3"/>
  <c r="M754" i="3"/>
  <c r="M753" i="3"/>
  <c r="M752" i="3"/>
  <c r="M756" i="3"/>
  <c r="T747" i="3"/>
  <c r="T750" i="3"/>
  <c r="T749" i="3"/>
  <c r="T748" i="3"/>
  <c r="T751" i="3"/>
  <c r="P747" i="3"/>
  <c r="P748" i="3"/>
  <c r="P750" i="3"/>
  <c r="P749" i="3"/>
  <c r="P751" i="3"/>
  <c r="L747" i="3"/>
  <c r="L750" i="3"/>
  <c r="L748" i="3"/>
  <c r="L749" i="3"/>
  <c r="L751" i="3"/>
  <c r="S742" i="3"/>
  <c r="S746" i="3"/>
  <c r="S743" i="3"/>
  <c r="S744" i="3"/>
  <c r="S745" i="3"/>
  <c r="O742" i="3"/>
  <c r="O746" i="3"/>
  <c r="O743" i="3"/>
  <c r="O744" i="3"/>
  <c r="O745" i="3"/>
  <c r="K742" i="3"/>
  <c r="K746" i="3"/>
  <c r="K743" i="3"/>
  <c r="K744" i="3"/>
  <c r="K745" i="3"/>
  <c r="R737" i="3"/>
  <c r="R741" i="3"/>
  <c r="R738" i="3"/>
  <c r="R739" i="3"/>
  <c r="R740" i="3"/>
  <c r="N737" i="3"/>
  <c r="N741" i="3"/>
  <c r="N738" i="3"/>
  <c r="N739" i="3"/>
  <c r="N740" i="3"/>
  <c r="J737" i="3"/>
  <c r="J741" i="3"/>
  <c r="J738" i="3"/>
  <c r="J739" i="3"/>
  <c r="J740" i="3"/>
  <c r="Q732" i="3"/>
  <c r="Q736" i="3"/>
  <c r="Q733" i="3"/>
  <c r="Q734" i="3"/>
  <c r="Q735" i="3"/>
  <c r="M732" i="3"/>
  <c r="M736" i="3"/>
  <c r="M733" i="3"/>
  <c r="M734" i="3"/>
  <c r="M735" i="3"/>
  <c r="T723" i="3"/>
  <c r="T727" i="3"/>
  <c r="T731" i="3"/>
  <c r="T724" i="3"/>
  <c r="T725" i="3"/>
  <c r="T726" i="3"/>
  <c r="T728" i="3"/>
  <c r="T729" i="3"/>
  <c r="T730" i="3"/>
  <c r="P723" i="3"/>
  <c r="P727" i="3"/>
  <c r="P731" i="3"/>
  <c r="P724" i="3"/>
  <c r="P725" i="3"/>
  <c r="P726" i="3"/>
  <c r="P728" i="3"/>
  <c r="P729" i="3"/>
  <c r="P730" i="3"/>
  <c r="L723" i="3"/>
  <c r="L727" i="3"/>
  <c r="L731" i="3"/>
  <c r="L728" i="3"/>
  <c r="L729" i="3"/>
  <c r="L730" i="3"/>
  <c r="L724" i="3"/>
  <c r="L725" i="3"/>
  <c r="L726" i="3"/>
  <c r="S718" i="3"/>
  <c r="S722" i="3"/>
  <c r="S719" i="3"/>
  <c r="S720" i="3"/>
  <c r="S721" i="3"/>
  <c r="O718" i="3"/>
  <c r="O722" i="3"/>
  <c r="O720" i="3"/>
  <c r="O721" i="3"/>
  <c r="O719" i="3"/>
  <c r="K718" i="3"/>
  <c r="K722" i="3"/>
  <c r="K719" i="3"/>
  <c r="K720" i="3"/>
  <c r="K721" i="3"/>
  <c r="R713" i="3"/>
  <c r="R717" i="3"/>
  <c r="R716" i="3"/>
  <c r="R714" i="3"/>
  <c r="R715" i="3"/>
  <c r="N713" i="3"/>
  <c r="N717" i="3"/>
  <c r="N716" i="3"/>
  <c r="N714" i="3"/>
  <c r="N715" i="3"/>
  <c r="J713" i="3"/>
  <c r="J717" i="3"/>
  <c r="J716" i="3"/>
  <c r="J714" i="3"/>
  <c r="J715" i="3"/>
  <c r="Q708" i="3"/>
  <c r="Q712" i="3"/>
  <c r="Q711" i="3"/>
  <c r="Q709" i="3"/>
  <c r="Q710" i="3"/>
  <c r="M708" i="3"/>
  <c r="M712" i="3"/>
  <c r="M711" i="3"/>
  <c r="M709" i="3"/>
  <c r="M710" i="3"/>
  <c r="T703" i="3"/>
  <c r="T707" i="3"/>
  <c r="T706" i="3"/>
  <c r="T704" i="3"/>
  <c r="T705" i="3"/>
  <c r="P703" i="3"/>
  <c r="P707" i="3"/>
  <c r="P706" i="3"/>
  <c r="P704" i="3"/>
  <c r="P705" i="3"/>
  <c r="L703" i="3"/>
  <c r="L707" i="3"/>
  <c r="L706" i="3"/>
  <c r="L704" i="3"/>
  <c r="L705" i="3"/>
  <c r="S698" i="3"/>
  <c r="S702" i="3"/>
  <c r="S701" i="3"/>
  <c r="S699" i="3"/>
  <c r="S700" i="3"/>
  <c r="O698" i="3"/>
  <c r="O702" i="3"/>
  <c r="O701" i="3"/>
  <c r="O699" i="3"/>
  <c r="O700" i="3"/>
  <c r="K698" i="3"/>
  <c r="K702" i="3"/>
  <c r="K701" i="3"/>
  <c r="K699" i="3"/>
  <c r="K700" i="3"/>
  <c r="R693" i="3"/>
  <c r="R697" i="3"/>
  <c r="R696" i="3"/>
  <c r="R694" i="3"/>
  <c r="R695" i="3"/>
  <c r="N693" i="3"/>
  <c r="N697" i="3"/>
  <c r="N696" i="3"/>
  <c r="N694" i="3"/>
  <c r="N695" i="3"/>
  <c r="J693" i="3"/>
  <c r="J697" i="3"/>
  <c r="J696" i="3"/>
  <c r="J694" i="3"/>
  <c r="J695" i="3"/>
  <c r="Q688" i="3"/>
  <c r="Q692" i="3"/>
  <c r="Q691" i="3"/>
  <c r="Q689" i="3"/>
  <c r="Q690" i="3"/>
  <c r="M688" i="3"/>
  <c r="M692" i="3"/>
  <c r="M691" i="3"/>
  <c r="M689" i="3"/>
  <c r="M690" i="3"/>
  <c r="T683" i="3"/>
  <c r="T687" i="3"/>
  <c r="T686" i="3"/>
  <c r="T684" i="3"/>
  <c r="T685" i="3"/>
  <c r="P683" i="3"/>
  <c r="P687" i="3"/>
  <c r="P686" i="3"/>
  <c r="P684" i="3"/>
  <c r="P685" i="3"/>
  <c r="L683" i="3"/>
  <c r="L687" i="3"/>
  <c r="L686" i="3"/>
  <c r="L684" i="3"/>
  <c r="L685" i="3"/>
  <c r="S678" i="3"/>
  <c r="S682" i="3"/>
  <c r="S681" i="3"/>
  <c r="S680" i="3"/>
  <c r="S679" i="3"/>
  <c r="O678" i="3"/>
  <c r="O682" i="3"/>
  <c r="O681" i="3"/>
  <c r="O680" i="3"/>
  <c r="O679" i="3"/>
  <c r="K678" i="3"/>
  <c r="K682" i="3"/>
  <c r="K681" i="3"/>
  <c r="K680" i="3"/>
  <c r="K679" i="3"/>
  <c r="R669" i="3"/>
  <c r="R673" i="3"/>
  <c r="R677" i="3"/>
  <c r="R672" i="3"/>
  <c r="R676" i="3"/>
  <c r="R671" i="3"/>
  <c r="R675" i="3"/>
  <c r="R670" i="3"/>
  <c r="R674" i="3"/>
  <c r="N669" i="3"/>
  <c r="N673" i="3"/>
  <c r="N677" i="3"/>
  <c r="N672" i="3"/>
  <c r="N676" i="3"/>
  <c r="N671" i="3"/>
  <c r="N675" i="3"/>
  <c r="N670" i="3"/>
  <c r="N674" i="3"/>
  <c r="J669" i="3"/>
  <c r="J673" i="3"/>
  <c r="J677" i="3"/>
  <c r="J672" i="3"/>
  <c r="J676" i="3"/>
  <c r="J671" i="3"/>
  <c r="J675" i="3"/>
  <c r="J670" i="3"/>
  <c r="J674" i="3"/>
  <c r="Q664" i="3"/>
  <c r="Q668" i="3"/>
  <c r="Q667" i="3"/>
  <c r="Q666" i="3"/>
  <c r="Q665" i="3"/>
  <c r="M664" i="3"/>
  <c r="M668" i="3"/>
  <c r="M667" i="3"/>
  <c r="M666" i="3"/>
  <c r="M665" i="3"/>
  <c r="T663" i="3"/>
  <c r="T662" i="3"/>
  <c r="T661" i="3"/>
  <c r="T660" i="3"/>
  <c r="P663" i="3"/>
  <c r="P662" i="3"/>
  <c r="P661" i="3"/>
  <c r="P660" i="3"/>
  <c r="L663" i="3"/>
  <c r="L662" i="3"/>
  <c r="L661" i="3"/>
  <c r="L660" i="3"/>
  <c r="S658" i="3"/>
  <c r="S657" i="3"/>
  <c r="S656" i="3"/>
  <c r="S655" i="3"/>
  <c r="S659" i="3"/>
  <c r="O658" i="3"/>
  <c r="O657" i="3"/>
  <c r="O656" i="3"/>
  <c r="O655" i="3"/>
  <c r="O659" i="3"/>
  <c r="K658" i="3"/>
  <c r="K657" i="3"/>
  <c r="K656" i="3"/>
  <c r="K655" i="3"/>
  <c r="K659" i="3"/>
  <c r="R651" i="3"/>
  <c r="R650" i="3"/>
  <c r="R653" i="3"/>
  <c r="R652" i="3"/>
  <c r="R654" i="3"/>
  <c r="N651" i="3"/>
  <c r="N650" i="3"/>
  <c r="N653" i="3"/>
  <c r="N652" i="3"/>
  <c r="N654" i="3"/>
  <c r="J651" i="3"/>
  <c r="J650" i="3"/>
  <c r="J653" i="3"/>
  <c r="J652" i="3"/>
  <c r="J654" i="3"/>
  <c r="Q646" i="3"/>
  <c r="Q645" i="3"/>
  <c r="Q649" i="3"/>
  <c r="Q648" i="3"/>
  <c r="Q647" i="3"/>
  <c r="M646" i="3"/>
  <c r="M645" i="3"/>
  <c r="M649" i="3"/>
  <c r="M647" i="3"/>
  <c r="M648" i="3"/>
  <c r="T641" i="3"/>
  <c r="T640" i="3"/>
  <c r="T644" i="3"/>
  <c r="T642" i="3"/>
  <c r="T643" i="3"/>
  <c r="P641" i="3"/>
  <c r="P640" i="3"/>
  <c r="P644" i="3"/>
  <c r="P643" i="3"/>
  <c r="P642" i="3"/>
  <c r="L641" i="3"/>
  <c r="L640" i="3"/>
  <c r="L644" i="3"/>
  <c r="L642" i="3"/>
  <c r="L643" i="3"/>
  <c r="S636" i="3"/>
  <c r="S635" i="3"/>
  <c r="S639" i="3"/>
  <c r="S637" i="3"/>
  <c r="S638" i="3"/>
  <c r="O636" i="3"/>
  <c r="O635" i="3"/>
  <c r="O639" i="3"/>
  <c r="O638" i="3"/>
  <c r="O637" i="3"/>
  <c r="K636" i="3"/>
  <c r="K635" i="3"/>
  <c r="K639" i="3"/>
  <c r="K637" i="3"/>
  <c r="K638" i="3"/>
  <c r="R631" i="3"/>
  <c r="R634" i="3"/>
  <c r="R632" i="3"/>
  <c r="R633" i="3"/>
  <c r="N631" i="3"/>
  <c r="N634" i="3"/>
  <c r="N633" i="3"/>
  <c r="N632" i="3"/>
  <c r="J631" i="3"/>
  <c r="J634" i="3"/>
  <c r="J632" i="3"/>
  <c r="J633" i="3"/>
  <c r="Q626" i="3"/>
  <c r="Q630" i="3"/>
  <c r="Q629" i="3"/>
  <c r="Q627" i="3"/>
  <c r="Q628" i="3"/>
  <c r="M626" i="3"/>
  <c r="M630" i="3"/>
  <c r="M629" i="3"/>
  <c r="M628" i="3"/>
  <c r="M627" i="3"/>
  <c r="T621" i="3"/>
  <c r="T625" i="3"/>
  <c r="T624" i="3"/>
  <c r="T623" i="3"/>
  <c r="T622" i="3"/>
  <c r="P621" i="3"/>
  <c r="P625" i="3"/>
  <c r="P624" i="3"/>
  <c r="P622" i="3"/>
  <c r="P623" i="3"/>
  <c r="L621" i="3"/>
  <c r="L625" i="3"/>
  <c r="L624" i="3"/>
  <c r="L623" i="3"/>
  <c r="L622" i="3"/>
  <c r="S616" i="3"/>
  <c r="S620" i="3"/>
  <c r="S619" i="3"/>
  <c r="S618" i="3"/>
  <c r="S617" i="3"/>
  <c r="O616" i="3"/>
  <c r="O620" i="3"/>
  <c r="O619" i="3"/>
  <c r="O617" i="3"/>
  <c r="O618" i="3"/>
  <c r="K616" i="3"/>
  <c r="K620" i="3"/>
  <c r="K619" i="3"/>
  <c r="K618" i="3"/>
  <c r="K617" i="3"/>
  <c r="R611" i="3"/>
  <c r="R615" i="3"/>
  <c r="R614" i="3"/>
  <c r="R613" i="3"/>
  <c r="R612" i="3"/>
  <c r="N611" i="3"/>
  <c r="N615" i="3"/>
  <c r="N614" i="3"/>
  <c r="N612" i="3"/>
  <c r="N613" i="3"/>
  <c r="J611" i="3"/>
  <c r="J615" i="3"/>
  <c r="J614" i="3"/>
  <c r="J613" i="3"/>
  <c r="J612" i="3"/>
  <c r="Q606" i="3"/>
  <c r="Q610" i="3"/>
  <c r="Q609" i="3"/>
  <c r="Q608" i="3"/>
  <c r="Q607" i="3"/>
  <c r="M606" i="3"/>
  <c r="M610" i="3"/>
  <c r="M609" i="3"/>
  <c r="M607" i="3"/>
  <c r="M608" i="3"/>
  <c r="T605" i="3"/>
  <c r="T604" i="3"/>
  <c r="T602" i="3"/>
  <c r="T603" i="3"/>
  <c r="P605" i="3"/>
  <c r="P604" i="3"/>
  <c r="P603" i="3"/>
  <c r="P602" i="3"/>
  <c r="L605" i="3"/>
  <c r="L604" i="3"/>
  <c r="L602" i="3"/>
  <c r="L603" i="3"/>
  <c r="S597" i="3"/>
  <c r="S600" i="3"/>
  <c r="S599" i="3"/>
  <c r="S598" i="3"/>
  <c r="S601" i="3"/>
  <c r="O597" i="3"/>
  <c r="O601" i="3"/>
  <c r="O600" i="3"/>
  <c r="O599" i="3"/>
  <c r="O598" i="3"/>
  <c r="K597" i="3"/>
  <c r="K601" i="3"/>
  <c r="K600" i="3"/>
  <c r="K599" i="3"/>
  <c r="K598" i="3"/>
  <c r="R592" i="3"/>
  <c r="R596" i="3"/>
  <c r="R595" i="3"/>
  <c r="R594" i="3"/>
  <c r="R593" i="3"/>
  <c r="N592" i="3"/>
  <c r="N596" i="3"/>
  <c r="N595" i="3"/>
  <c r="N594" i="3"/>
  <c r="N593" i="3"/>
  <c r="J592" i="3"/>
  <c r="J596" i="3"/>
  <c r="J595" i="3"/>
  <c r="J594" i="3"/>
  <c r="J593" i="3"/>
  <c r="Q587" i="3"/>
  <c r="Q591" i="3"/>
  <c r="Q586" i="3"/>
  <c r="Q590" i="3"/>
  <c r="Q589" i="3"/>
  <c r="Q588" i="3"/>
  <c r="M587" i="3"/>
  <c r="M591" i="3"/>
  <c r="M586" i="3"/>
  <c r="M590" i="3"/>
  <c r="M589" i="3"/>
  <c r="M588" i="3"/>
  <c r="T582" i="3"/>
  <c r="T581" i="3"/>
  <c r="T585" i="3"/>
  <c r="T584" i="3"/>
  <c r="T583" i="3"/>
  <c r="P582" i="3"/>
  <c r="P581" i="3"/>
  <c r="P585" i="3"/>
  <c r="P584" i="3"/>
  <c r="P583" i="3"/>
  <c r="L582" i="3"/>
  <c r="L581" i="3"/>
  <c r="L585" i="3"/>
  <c r="L584" i="3"/>
  <c r="L583" i="3"/>
  <c r="S577" i="3"/>
  <c r="S576" i="3"/>
  <c r="S580" i="3"/>
  <c r="S579" i="3"/>
  <c r="S578" i="3"/>
  <c r="O577" i="3"/>
  <c r="O576" i="3"/>
  <c r="O580" i="3"/>
  <c r="O579" i="3"/>
  <c r="O578" i="3"/>
  <c r="K577" i="3"/>
  <c r="K576" i="3"/>
  <c r="K580" i="3"/>
  <c r="K579" i="3"/>
  <c r="K578" i="3"/>
  <c r="R572" i="3"/>
  <c r="R575" i="3"/>
  <c r="R574" i="3"/>
  <c r="R573" i="3"/>
  <c r="N572" i="3"/>
  <c r="N575" i="3"/>
  <c r="N574" i="3"/>
  <c r="N573" i="3"/>
  <c r="J572" i="3"/>
  <c r="J575" i="3"/>
  <c r="J574" i="3"/>
  <c r="J573" i="3"/>
  <c r="Q567" i="3"/>
  <c r="Q571" i="3"/>
  <c r="Q570" i="3"/>
  <c r="Q569" i="3"/>
  <c r="Q568" i="3"/>
  <c r="M567" i="3"/>
  <c r="M571" i="3"/>
  <c r="M570" i="3"/>
  <c r="M569" i="3"/>
  <c r="M568" i="3"/>
  <c r="T562" i="3"/>
  <c r="T566" i="3"/>
  <c r="T565" i="3"/>
  <c r="T564" i="3"/>
  <c r="T563" i="3"/>
  <c r="P562" i="3"/>
  <c r="P566" i="3"/>
  <c r="P565" i="3"/>
  <c r="P564" i="3"/>
  <c r="P563" i="3"/>
  <c r="L562" i="3"/>
  <c r="L566" i="3"/>
  <c r="L565" i="3"/>
  <c r="L564" i="3"/>
  <c r="L563" i="3"/>
  <c r="S557" i="3"/>
  <c r="S561" i="3"/>
  <c r="S560" i="3"/>
  <c r="S559" i="3"/>
  <c r="S558" i="3"/>
  <c r="O557" i="3"/>
  <c r="O561" i="3"/>
  <c r="O560" i="3"/>
  <c r="O559" i="3"/>
  <c r="O558" i="3"/>
  <c r="K557" i="3"/>
  <c r="K561" i="3"/>
  <c r="K560" i="3"/>
  <c r="K559" i="3"/>
  <c r="K558" i="3"/>
  <c r="R552" i="3"/>
  <c r="R556" i="3"/>
  <c r="R555" i="3"/>
  <c r="R554" i="3"/>
  <c r="R553" i="3"/>
  <c r="N552" i="3"/>
  <c r="N556" i="3"/>
  <c r="N555" i="3"/>
  <c r="N554" i="3"/>
  <c r="N553" i="3"/>
  <c r="J552" i="3"/>
  <c r="J556" i="3"/>
  <c r="J555" i="3"/>
  <c r="J554" i="3"/>
  <c r="J553" i="3"/>
  <c r="Q547" i="3"/>
  <c r="Q551" i="3"/>
  <c r="Q550" i="3"/>
  <c r="Q549" i="3"/>
  <c r="Q548" i="3"/>
  <c r="M547" i="3"/>
  <c r="M551" i="3"/>
  <c r="M550" i="3"/>
  <c r="M549" i="3"/>
  <c r="M548" i="3"/>
  <c r="T543" i="3"/>
  <c r="T546" i="3"/>
  <c r="T545" i="3"/>
  <c r="T544" i="3"/>
  <c r="P543" i="3"/>
  <c r="P546" i="3"/>
  <c r="P545" i="3"/>
  <c r="P544" i="3"/>
  <c r="L543" i="3"/>
  <c r="L546" i="3"/>
  <c r="L544" i="3"/>
  <c r="L545" i="3"/>
  <c r="S542" i="3"/>
  <c r="S541" i="3"/>
  <c r="O542" i="3"/>
  <c r="O541" i="3"/>
  <c r="K542" i="3"/>
  <c r="K541" i="3"/>
  <c r="R539" i="3"/>
  <c r="R540" i="3"/>
  <c r="R538" i="3"/>
  <c r="N539" i="3"/>
  <c r="N540" i="3"/>
  <c r="N538" i="3"/>
  <c r="J539" i="3"/>
  <c r="J540" i="3"/>
  <c r="J538" i="3"/>
  <c r="Q536" i="3"/>
  <c r="Q535" i="3"/>
  <c r="Q537" i="3"/>
  <c r="M536" i="3"/>
  <c r="M535" i="3"/>
  <c r="M537" i="3"/>
  <c r="T533" i="3"/>
  <c r="T534" i="3"/>
  <c r="T532" i="3"/>
  <c r="P533" i="3"/>
  <c r="P534" i="3"/>
  <c r="P532" i="3"/>
  <c r="L533" i="3"/>
  <c r="L534" i="3"/>
  <c r="L532" i="3"/>
  <c r="S530" i="3"/>
  <c r="S531" i="3"/>
  <c r="O530" i="3"/>
  <c r="O531" i="3"/>
  <c r="K530" i="3"/>
  <c r="K531" i="3"/>
  <c r="R527" i="3"/>
  <c r="R529" i="3"/>
  <c r="R528" i="3"/>
  <c r="N527" i="3"/>
  <c r="N529" i="3"/>
  <c r="N528" i="3"/>
  <c r="J527" i="3"/>
  <c r="J529" i="3"/>
  <c r="J528" i="3"/>
  <c r="Q526" i="3"/>
  <c r="Q524" i="3"/>
  <c r="Q523" i="3"/>
  <c r="Q525" i="3"/>
  <c r="M526" i="3"/>
  <c r="M524" i="3"/>
  <c r="M523" i="3"/>
  <c r="M525" i="3"/>
  <c r="T521" i="3"/>
  <c r="T522" i="3"/>
  <c r="T520" i="3"/>
  <c r="P521" i="3"/>
  <c r="P522" i="3"/>
  <c r="P520" i="3"/>
  <c r="L521" i="3"/>
  <c r="L522" i="3"/>
  <c r="L520" i="3"/>
  <c r="S516" i="3"/>
  <c r="S518" i="3"/>
  <c r="S517" i="3"/>
  <c r="S519" i="3"/>
  <c r="O516" i="3"/>
  <c r="O518" i="3"/>
  <c r="O517" i="3"/>
  <c r="O519" i="3"/>
  <c r="K516" i="3"/>
  <c r="K518" i="3"/>
  <c r="K517" i="3"/>
  <c r="K519" i="3"/>
  <c r="R515" i="3"/>
  <c r="R513" i="3"/>
  <c r="R514" i="3"/>
  <c r="N515" i="3"/>
  <c r="N513" i="3"/>
  <c r="N514" i="3"/>
  <c r="J515" i="3"/>
  <c r="J513" i="3"/>
  <c r="J514" i="3"/>
  <c r="Q512" i="3"/>
  <c r="Q511" i="3"/>
  <c r="M512" i="3"/>
  <c r="M511" i="3"/>
  <c r="T509" i="3"/>
  <c r="T510" i="3"/>
  <c r="T508" i="3"/>
  <c r="P509" i="3"/>
  <c r="P510" i="3"/>
  <c r="P508" i="3"/>
  <c r="L509" i="3"/>
  <c r="L510" i="3"/>
  <c r="L508" i="3"/>
  <c r="S504" i="3"/>
  <c r="S506" i="3"/>
  <c r="S505" i="3"/>
  <c r="S507" i="3"/>
  <c r="O504" i="3"/>
  <c r="O506" i="3"/>
  <c r="O505" i="3"/>
  <c r="O507" i="3"/>
  <c r="K504" i="3"/>
  <c r="K506" i="3"/>
  <c r="K505" i="3"/>
  <c r="K507" i="3"/>
  <c r="R503" i="3"/>
  <c r="R501" i="3"/>
  <c r="R502" i="3"/>
  <c r="N503" i="3"/>
  <c r="N501" i="3"/>
  <c r="N502" i="3"/>
  <c r="J503" i="3"/>
  <c r="J501" i="3"/>
  <c r="J502" i="3"/>
  <c r="Q498" i="3"/>
  <c r="Q500" i="3"/>
  <c r="Q499" i="3"/>
  <c r="Q497" i="3"/>
  <c r="M498" i="3"/>
  <c r="M500" i="3"/>
  <c r="M499" i="3"/>
  <c r="M497" i="3"/>
  <c r="T495" i="3"/>
  <c r="T494" i="3"/>
  <c r="T496" i="3"/>
  <c r="P495" i="3"/>
  <c r="P494" i="3"/>
  <c r="P496" i="3"/>
  <c r="L495" i="3"/>
  <c r="L494" i="3"/>
  <c r="L496" i="3"/>
  <c r="S492" i="3"/>
  <c r="S493" i="3"/>
  <c r="S491" i="3"/>
  <c r="O492" i="3"/>
  <c r="O493" i="3"/>
  <c r="O491" i="3"/>
  <c r="K492" i="3"/>
  <c r="K493" i="3"/>
  <c r="K491" i="3"/>
  <c r="R489" i="3"/>
  <c r="R488" i="3"/>
  <c r="R490" i="3"/>
  <c r="N489" i="3"/>
  <c r="N488" i="3"/>
  <c r="N490" i="3"/>
  <c r="J489" i="3"/>
  <c r="J488" i="3"/>
  <c r="J490" i="3"/>
  <c r="Q486" i="3"/>
  <c r="Q487" i="3"/>
  <c r="Q485" i="3"/>
  <c r="M486" i="3"/>
  <c r="M487" i="3"/>
  <c r="M485" i="3"/>
  <c r="T483" i="3"/>
  <c r="T484" i="3"/>
  <c r="P483" i="3"/>
  <c r="P484" i="3"/>
  <c r="L483" i="3"/>
  <c r="L484" i="3"/>
  <c r="S482" i="3"/>
  <c r="S481" i="3"/>
  <c r="O482" i="3"/>
  <c r="O481" i="3"/>
  <c r="K482" i="3"/>
  <c r="K481" i="3"/>
  <c r="R479" i="3"/>
  <c r="R480" i="3"/>
  <c r="N479" i="3"/>
  <c r="N480" i="3"/>
  <c r="J479" i="3"/>
  <c r="J480" i="3"/>
  <c r="Q478" i="3"/>
  <c r="Q477" i="3"/>
  <c r="M478" i="3"/>
  <c r="M477" i="3"/>
  <c r="T476" i="3"/>
  <c r="T475" i="3"/>
  <c r="P476" i="3"/>
  <c r="P475" i="3"/>
  <c r="L476" i="3"/>
  <c r="L475" i="3"/>
  <c r="S474" i="3"/>
  <c r="S473" i="3"/>
  <c r="O474" i="3"/>
  <c r="O473" i="3"/>
  <c r="K474" i="3"/>
  <c r="K473" i="3"/>
  <c r="R471" i="3"/>
  <c r="R472" i="3"/>
  <c r="N471" i="3"/>
  <c r="N472" i="3"/>
  <c r="J471" i="3"/>
  <c r="J472" i="3"/>
  <c r="Q470" i="3"/>
  <c r="Q469" i="3"/>
  <c r="M470" i="3"/>
  <c r="M469" i="3"/>
  <c r="T468" i="3"/>
  <c r="T467" i="3"/>
  <c r="P468" i="3"/>
  <c r="P467" i="3"/>
  <c r="L468" i="3"/>
  <c r="L467" i="3"/>
  <c r="S466" i="3"/>
  <c r="S465" i="3"/>
  <c r="O466" i="3"/>
  <c r="O465" i="3"/>
  <c r="K466" i="3"/>
  <c r="K465" i="3"/>
  <c r="R463" i="3"/>
  <c r="R464" i="3"/>
  <c r="N463" i="3"/>
  <c r="N464" i="3"/>
  <c r="J463" i="3"/>
  <c r="J464" i="3"/>
  <c r="Q462" i="3"/>
  <c r="Q461" i="3"/>
  <c r="M462" i="3"/>
  <c r="M461" i="3"/>
  <c r="T460" i="3"/>
  <c r="T459" i="3"/>
  <c r="P460" i="3"/>
  <c r="P459" i="3"/>
  <c r="L460" i="3"/>
  <c r="L459" i="3"/>
  <c r="S458" i="3"/>
  <c r="S457" i="3"/>
  <c r="O458" i="3"/>
  <c r="O457" i="3"/>
  <c r="K458" i="3"/>
  <c r="K457" i="3"/>
  <c r="R455" i="3"/>
  <c r="R456" i="3"/>
  <c r="N455" i="3"/>
  <c r="N456" i="3"/>
  <c r="J455" i="3"/>
  <c r="J456" i="3"/>
  <c r="Q454" i="3"/>
  <c r="Q453" i="3"/>
  <c r="M454" i="3"/>
  <c r="M453" i="3"/>
  <c r="T452" i="3"/>
  <c r="T451" i="3"/>
  <c r="P452" i="3"/>
  <c r="P451" i="3"/>
  <c r="L452" i="3"/>
  <c r="L451" i="3"/>
  <c r="S449" i="3"/>
  <c r="S450" i="3"/>
  <c r="O449" i="3"/>
  <c r="O450" i="3"/>
  <c r="K449" i="3"/>
  <c r="K450" i="3"/>
  <c r="R447" i="3"/>
  <c r="R448" i="3"/>
  <c r="N447" i="3"/>
  <c r="N448" i="3"/>
  <c r="J448" i="3"/>
  <c r="J447" i="3"/>
  <c r="Q445" i="3"/>
  <c r="Q446" i="3"/>
  <c r="M445" i="3"/>
  <c r="M446" i="3"/>
  <c r="T443" i="3"/>
  <c r="T444" i="3"/>
  <c r="P443" i="3"/>
  <c r="P444" i="3"/>
  <c r="L443" i="3"/>
  <c r="L444" i="3"/>
  <c r="S442" i="3"/>
  <c r="S441" i="3"/>
  <c r="O442" i="3"/>
  <c r="O441" i="3"/>
  <c r="K442" i="3"/>
  <c r="K441" i="3"/>
  <c r="R440" i="3"/>
  <c r="R439" i="3"/>
  <c r="N440" i="3"/>
  <c r="N439" i="3"/>
  <c r="J440" i="3"/>
  <c r="J439" i="3"/>
  <c r="Q437" i="3"/>
  <c r="Q438" i="3"/>
  <c r="M437" i="3"/>
  <c r="M438" i="3"/>
  <c r="T435" i="3"/>
  <c r="T436" i="3"/>
  <c r="P435" i="3"/>
  <c r="P436" i="3"/>
  <c r="L435" i="3"/>
  <c r="L436" i="3"/>
  <c r="S434" i="3"/>
  <c r="S433" i="3"/>
  <c r="O434" i="3"/>
  <c r="O433" i="3"/>
  <c r="K434" i="3"/>
  <c r="K433" i="3"/>
  <c r="R432" i="3"/>
  <c r="R431" i="3"/>
  <c r="N432" i="3"/>
  <c r="N431" i="3"/>
  <c r="J432" i="3"/>
  <c r="J431" i="3"/>
  <c r="Q429" i="3"/>
  <c r="Q430" i="3"/>
  <c r="M429" i="3"/>
  <c r="M430" i="3"/>
  <c r="T427" i="3"/>
  <c r="T428" i="3"/>
  <c r="P427" i="3"/>
  <c r="P428" i="3"/>
  <c r="L427" i="3"/>
  <c r="L428" i="3"/>
  <c r="S426" i="3"/>
  <c r="S425" i="3"/>
  <c r="O426" i="3"/>
  <c r="O425" i="3"/>
  <c r="K426" i="3"/>
  <c r="K425" i="3"/>
  <c r="R424" i="3"/>
  <c r="R423" i="3"/>
  <c r="N424" i="3"/>
  <c r="N423" i="3"/>
  <c r="J424" i="3"/>
  <c r="J423" i="3"/>
  <c r="Q421" i="3"/>
  <c r="Q422" i="3"/>
  <c r="M421" i="3"/>
  <c r="M422" i="3"/>
  <c r="T419" i="3"/>
  <c r="T420" i="3"/>
  <c r="P419" i="3"/>
  <c r="P420" i="3"/>
  <c r="L419" i="3"/>
  <c r="L420" i="3"/>
  <c r="S418" i="3"/>
  <c r="S417" i="3"/>
  <c r="O418" i="3"/>
  <c r="O417" i="3"/>
  <c r="K418" i="3"/>
  <c r="K417" i="3"/>
  <c r="R416" i="3"/>
  <c r="R415" i="3"/>
  <c r="N416" i="3"/>
  <c r="N415" i="3"/>
  <c r="J416" i="3"/>
  <c r="J415" i="3"/>
  <c r="Q413" i="3"/>
  <c r="Q414" i="3"/>
  <c r="M413" i="3"/>
  <c r="M414" i="3"/>
  <c r="T411" i="3"/>
  <c r="T412" i="3"/>
  <c r="P411" i="3"/>
  <c r="P412" i="3"/>
  <c r="L411" i="3"/>
  <c r="L412" i="3"/>
  <c r="S410" i="3"/>
  <c r="S409" i="3"/>
  <c r="O410" i="3"/>
  <c r="O409" i="3"/>
  <c r="K410" i="3"/>
  <c r="K409" i="3"/>
  <c r="R408" i="3"/>
  <c r="R407" i="3"/>
  <c r="N408" i="3"/>
  <c r="N407" i="3"/>
  <c r="J408" i="3"/>
  <c r="J407" i="3"/>
  <c r="Q405" i="3"/>
  <c r="Q406" i="3"/>
  <c r="M405" i="3"/>
  <c r="M406" i="3"/>
  <c r="T403" i="3"/>
  <c r="T404" i="3"/>
  <c r="P403" i="3"/>
  <c r="P404" i="3"/>
  <c r="L403" i="3"/>
  <c r="L404" i="3"/>
  <c r="S402" i="3"/>
  <c r="S401" i="3"/>
  <c r="O402" i="3"/>
  <c r="O401" i="3"/>
  <c r="K402" i="3"/>
  <c r="K401" i="3"/>
  <c r="R400" i="3"/>
  <c r="R399" i="3"/>
  <c r="N400" i="3"/>
  <c r="N399" i="3"/>
  <c r="J400" i="3"/>
  <c r="J399" i="3"/>
  <c r="Q397" i="3"/>
  <c r="Q398" i="3"/>
  <c r="M397" i="3"/>
  <c r="M398" i="3"/>
  <c r="T395" i="3"/>
  <c r="T396" i="3"/>
  <c r="P395" i="3"/>
  <c r="P396" i="3"/>
  <c r="L395" i="3"/>
  <c r="L396" i="3"/>
  <c r="S394" i="3"/>
  <c r="S393" i="3"/>
  <c r="O394" i="3"/>
  <c r="O393" i="3"/>
  <c r="K394" i="3"/>
  <c r="K393" i="3"/>
  <c r="R392" i="3"/>
  <c r="R391" i="3"/>
  <c r="N392" i="3"/>
  <c r="N391" i="3"/>
  <c r="J392" i="3"/>
  <c r="J391" i="3"/>
  <c r="Q388" i="3"/>
  <c r="Q387" i="3"/>
  <c r="Q389" i="3"/>
  <c r="Q390" i="3"/>
  <c r="M388" i="3"/>
  <c r="M387" i="3"/>
  <c r="M389" i="3"/>
  <c r="M390" i="3"/>
  <c r="T383" i="3"/>
  <c r="T386" i="3"/>
  <c r="T384" i="3"/>
  <c r="T385" i="3"/>
  <c r="P383" i="3"/>
  <c r="P386" i="3"/>
  <c r="P384" i="3"/>
  <c r="P385" i="3"/>
  <c r="L383" i="3"/>
  <c r="L386" i="3"/>
  <c r="L384" i="3"/>
  <c r="L385" i="3"/>
  <c r="S382" i="3"/>
  <c r="S381" i="3"/>
  <c r="S379" i="3"/>
  <c r="S380" i="3"/>
  <c r="O382" i="3"/>
  <c r="O381" i="3"/>
  <c r="O379" i="3"/>
  <c r="O380" i="3"/>
  <c r="K382" i="3"/>
  <c r="K381" i="3"/>
  <c r="K379" i="3"/>
  <c r="K380" i="3"/>
  <c r="R377" i="3"/>
  <c r="R376" i="3"/>
  <c r="R378" i="3"/>
  <c r="R375" i="3"/>
  <c r="N377" i="3"/>
  <c r="N376" i="3"/>
  <c r="N378" i="3"/>
  <c r="N375" i="3"/>
  <c r="J377" i="3"/>
  <c r="J376" i="3"/>
  <c r="J378" i="3"/>
  <c r="J375" i="3"/>
  <c r="Q372" i="3"/>
  <c r="Q371" i="3"/>
  <c r="Q373" i="3"/>
  <c r="Q374" i="3"/>
  <c r="M372" i="3"/>
  <c r="M371" i="3"/>
  <c r="M373" i="3"/>
  <c r="M374" i="3"/>
  <c r="T367" i="3"/>
  <c r="T370" i="3"/>
  <c r="T368" i="3"/>
  <c r="T369" i="3"/>
  <c r="P367" i="3"/>
  <c r="P370" i="3"/>
  <c r="P368" i="3"/>
  <c r="P369" i="3"/>
  <c r="L367" i="3"/>
  <c r="L370" i="3"/>
  <c r="L368" i="3"/>
  <c r="L369" i="3"/>
  <c r="S366" i="3"/>
  <c r="S365" i="3"/>
  <c r="S363" i="3"/>
  <c r="S364" i="3"/>
  <c r="O366" i="3"/>
  <c r="O365" i="3"/>
  <c r="O363" i="3"/>
  <c r="O364" i="3"/>
  <c r="K366" i="3"/>
  <c r="K365" i="3"/>
  <c r="K363" i="3"/>
  <c r="K364" i="3"/>
  <c r="R361" i="3"/>
  <c r="R360" i="3"/>
  <c r="R362" i="3"/>
  <c r="R359" i="3"/>
  <c r="N361" i="3"/>
  <c r="N360" i="3"/>
  <c r="N362" i="3"/>
  <c r="N359" i="3"/>
  <c r="J361" i="3"/>
  <c r="J360" i="3"/>
  <c r="J362" i="3"/>
  <c r="J359" i="3"/>
  <c r="Q356" i="3"/>
  <c r="Q355" i="3"/>
  <c r="Q357" i="3"/>
  <c r="Q358" i="3"/>
  <c r="M356" i="3"/>
  <c r="M355" i="3"/>
  <c r="M357" i="3"/>
  <c r="M358" i="3"/>
  <c r="T351" i="3"/>
  <c r="T354" i="3"/>
  <c r="T352" i="3"/>
  <c r="T353" i="3"/>
  <c r="P351" i="3"/>
  <c r="P354" i="3"/>
  <c r="P352" i="3"/>
  <c r="P353" i="3"/>
  <c r="L351" i="3"/>
  <c r="L354" i="3"/>
  <c r="L352" i="3"/>
  <c r="L353" i="3"/>
  <c r="S350" i="3"/>
  <c r="S349" i="3"/>
  <c r="S347" i="3"/>
  <c r="S348" i="3"/>
  <c r="O350" i="3"/>
  <c r="O349" i="3"/>
  <c r="O347" i="3"/>
  <c r="O348" i="3"/>
  <c r="K350" i="3"/>
  <c r="K349" i="3"/>
  <c r="K347" i="3"/>
  <c r="K348" i="3"/>
  <c r="R345" i="3"/>
  <c r="R344" i="3"/>
  <c r="R346" i="3"/>
  <c r="R343" i="3"/>
  <c r="N345" i="3"/>
  <c r="N344" i="3"/>
  <c r="N346" i="3"/>
  <c r="N343" i="3"/>
  <c r="J345" i="3"/>
  <c r="J344" i="3"/>
  <c r="J346" i="3"/>
  <c r="J343" i="3"/>
  <c r="Q340" i="3"/>
  <c r="Q339" i="3"/>
  <c r="Q341" i="3"/>
  <c r="Q342" i="3"/>
  <c r="M340" i="3"/>
  <c r="M339" i="3"/>
  <c r="M341" i="3"/>
  <c r="M342" i="3"/>
  <c r="T335" i="3"/>
  <c r="T338" i="3"/>
  <c r="T336" i="3"/>
  <c r="T337" i="3"/>
  <c r="P335" i="3"/>
  <c r="P338" i="3"/>
  <c r="P336" i="3"/>
  <c r="P337" i="3"/>
  <c r="L335" i="3"/>
  <c r="L338" i="3"/>
  <c r="L336" i="3"/>
  <c r="L337" i="3"/>
  <c r="S333" i="3"/>
  <c r="S332" i="3"/>
  <c r="S334" i="3"/>
  <c r="S331" i="3"/>
  <c r="O333" i="3"/>
  <c r="O332" i="3"/>
  <c r="O331" i="3"/>
  <c r="O334" i="3"/>
  <c r="K333" i="3"/>
  <c r="K332" i="3"/>
  <c r="K334" i="3"/>
  <c r="K331" i="3"/>
  <c r="R328" i="3"/>
  <c r="R327" i="3"/>
  <c r="R329" i="3"/>
  <c r="R330" i="3"/>
  <c r="N328" i="3"/>
  <c r="N327" i="3"/>
  <c r="N329" i="3"/>
  <c r="N330" i="3"/>
  <c r="J328" i="3"/>
  <c r="J327" i="3"/>
  <c r="J329" i="3"/>
  <c r="J330" i="3"/>
  <c r="Q324" i="3"/>
  <c r="Q323" i="3"/>
  <c r="Q326" i="3"/>
  <c r="Q325" i="3"/>
  <c r="M324" i="3"/>
  <c r="M323" i="3"/>
  <c r="M326" i="3"/>
  <c r="M325" i="3"/>
  <c r="T319" i="3"/>
  <c r="T322" i="3"/>
  <c r="T321" i="3"/>
  <c r="T320" i="3"/>
  <c r="P319" i="3"/>
  <c r="P322" i="3"/>
  <c r="P321" i="3"/>
  <c r="P320" i="3"/>
  <c r="L319" i="3"/>
  <c r="L322" i="3"/>
  <c r="L321" i="3"/>
  <c r="L320" i="3"/>
  <c r="S318" i="3"/>
  <c r="S317" i="3"/>
  <c r="S316" i="3"/>
  <c r="S315" i="3"/>
  <c r="O318" i="3"/>
  <c r="O317" i="3"/>
  <c r="O316" i="3"/>
  <c r="O315" i="3"/>
  <c r="K318" i="3"/>
  <c r="K317" i="3"/>
  <c r="K316" i="3"/>
  <c r="K315" i="3"/>
  <c r="R313" i="3"/>
  <c r="R312" i="3"/>
  <c r="R311" i="3"/>
  <c r="R314" i="3"/>
  <c r="N313" i="3"/>
  <c r="N312" i="3"/>
  <c r="N311" i="3"/>
  <c r="N314" i="3"/>
  <c r="J313" i="3"/>
  <c r="J312" i="3"/>
  <c r="J311" i="3"/>
  <c r="J314" i="3"/>
  <c r="Q308" i="3"/>
  <c r="Q307" i="3"/>
  <c r="Q310" i="3"/>
  <c r="Q309" i="3"/>
  <c r="M308" i="3"/>
  <c r="M307" i="3"/>
  <c r="M310" i="3"/>
  <c r="M309" i="3"/>
  <c r="T303" i="3"/>
  <c r="T302" i="3"/>
  <c r="T306" i="3"/>
  <c r="T305" i="3"/>
  <c r="T304" i="3"/>
  <c r="P303" i="3"/>
  <c r="P302" i="3"/>
  <c r="P306" i="3"/>
  <c r="P305" i="3"/>
  <c r="P304" i="3"/>
  <c r="L303" i="3"/>
  <c r="L302" i="3"/>
  <c r="L306" i="3"/>
  <c r="L305" i="3"/>
  <c r="L304" i="3"/>
  <c r="S298" i="3"/>
  <c r="S301" i="3"/>
  <c r="S300" i="3"/>
  <c r="S299" i="3"/>
  <c r="O298" i="3"/>
  <c r="O301" i="3"/>
  <c r="O300" i="3"/>
  <c r="O299" i="3"/>
  <c r="K298" i="3"/>
  <c r="K301" i="3"/>
  <c r="K300" i="3"/>
  <c r="K299" i="3"/>
  <c r="R293" i="3"/>
  <c r="R297" i="3"/>
  <c r="R296" i="3"/>
  <c r="R295" i="3"/>
  <c r="R294" i="3"/>
  <c r="N293" i="3"/>
  <c r="N297" i="3"/>
  <c r="N296" i="3"/>
  <c r="N295" i="3"/>
  <c r="N294" i="3"/>
  <c r="J293" i="3"/>
  <c r="J297" i="3"/>
  <c r="J296" i="3"/>
  <c r="J295" i="3"/>
  <c r="J294" i="3"/>
  <c r="Q288" i="3"/>
  <c r="Q292" i="3"/>
  <c r="Q291" i="3"/>
  <c r="Q290" i="3"/>
  <c r="Q289" i="3"/>
  <c r="M288" i="3"/>
  <c r="M292" i="3"/>
  <c r="M291" i="3"/>
  <c r="M290" i="3"/>
  <c r="M289" i="3"/>
  <c r="T287" i="3"/>
  <c r="T286" i="3"/>
  <c r="T285" i="3"/>
  <c r="T284" i="3"/>
  <c r="P287" i="3"/>
  <c r="P286" i="3"/>
  <c r="P285" i="3"/>
  <c r="P284" i="3"/>
  <c r="L287" i="3"/>
  <c r="L286" i="3"/>
  <c r="L285" i="3"/>
  <c r="L284" i="3"/>
  <c r="S282" i="3"/>
  <c r="S281" i="3"/>
  <c r="S280" i="3"/>
  <c r="S279" i="3"/>
  <c r="S283" i="3"/>
  <c r="O282" i="3"/>
  <c r="O281" i="3"/>
  <c r="O280" i="3"/>
  <c r="O279" i="3"/>
  <c r="O283" i="3"/>
  <c r="K282" i="3"/>
  <c r="K281" i="3"/>
  <c r="K280" i="3"/>
  <c r="K279" i="3"/>
  <c r="K283" i="3"/>
  <c r="R275" i="3"/>
  <c r="R274" i="3"/>
  <c r="R277" i="3"/>
  <c r="R276" i="3"/>
  <c r="R278" i="3"/>
  <c r="N275" i="3"/>
  <c r="N274" i="3"/>
  <c r="N277" i="3"/>
  <c r="N276" i="3"/>
  <c r="N278" i="3"/>
  <c r="J275" i="3"/>
  <c r="J274" i="3"/>
  <c r="J277" i="3"/>
  <c r="J276" i="3"/>
  <c r="J278" i="3"/>
  <c r="Q270" i="3"/>
  <c r="Q273" i="3"/>
  <c r="Q272" i="3"/>
  <c r="Q271" i="3"/>
  <c r="M270" i="3"/>
  <c r="M273" i="3"/>
  <c r="M272" i="3"/>
  <c r="M271" i="3"/>
  <c r="T269" i="3"/>
  <c r="T268" i="3"/>
  <c r="T267" i="3"/>
  <c r="T266" i="3"/>
  <c r="P269" i="3"/>
  <c r="P268" i="3"/>
  <c r="P267" i="3"/>
  <c r="P266" i="3"/>
  <c r="L269" i="3"/>
  <c r="L268" i="3"/>
  <c r="L267" i="3"/>
  <c r="L266" i="3"/>
  <c r="S264" i="3"/>
  <c r="S263" i="3"/>
  <c r="S262" i="3"/>
  <c r="S265" i="3"/>
  <c r="O264" i="3"/>
  <c r="O263" i="3"/>
  <c r="O262" i="3"/>
  <c r="O265" i="3"/>
  <c r="K264" i="3"/>
  <c r="K263" i="3"/>
  <c r="K262" i="3"/>
  <c r="K265" i="3"/>
  <c r="R255" i="3"/>
  <c r="R254" i="3"/>
  <c r="R253" i="3"/>
  <c r="R257" i="3"/>
  <c r="R252" i="3"/>
  <c r="R256" i="3"/>
  <c r="N255" i="3"/>
  <c r="N254" i="3"/>
  <c r="N253" i="3"/>
  <c r="N257" i="3"/>
  <c r="N252" i="3"/>
  <c r="N256" i="3"/>
  <c r="J255" i="3"/>
  <c r="J254" i="3"/>
  <c r="J253" i="3"/>
  <c r="J257" i="3"/>
  <c r="J252" i="3"/>
  <c r="J256" i="3"/>
  <c r="Q246" i="3"/>
  <c r="Q250" i="3"/>
  <c r="Q249" i="3"/>
  <c r="Q248" i="3"/>
  <c r="Q247" i="3"/>
  <c r="Q251" i="3"/>
  <c r="M246" i="3"/>
  <c r="M250" i="3"/>
  <c r="M249" i="3"/>
  <c r="M248" i="3"/>
  <c r="M247" i="3"/>
  <c r="M251" i="3"/>
  <c r="T241" i="3"/>
  <c r="T245" i="3"/>
  <c r="T240" i="3"/>
  <c r="T244" i="3"/>
  <c r="T243" i="3"/>
  <c r="T242" i="3"/>
  <c r="P241" i="3"/>
  <c r="P245" i="3"/>
  <c r="P240" i="3"/>
  <c r="P244" i="3"/>
  <c r="P243" i="3"/>
  <c r="P242" i="3"/>
  <c r="L241" i="3"/>
  <c r="L245" i="3"/>
  <c r="L240" i="3"/>
  <c r="L244" i="3"/>
  <c r="L243" i="3"/>
  <c r="L242" i="3"/>
  <c r="S236" i="3"/>
  <c r="S235" i="3"/>
  <c r="S239" i="3"/>
  <c r="S234" i="3"/>
  <c r="S238" i="3"/>
  <c r="S237" i="3"/>
  <c r="O236" i="3"/>
  <c r="O235" i="3"/>
  <c r="O239" i="3"/>
  <c r="O234" i="3"/>
  <c r="O238" i="3"/>
  <c r="O237" i="3"/>
  <c r="K236" i="3"/>
  <c r="K235" i="3"/>
  <c r="K239" i="3"/>
  <c r="K234" i="3"/>
  <c r="K238" i="3"/>
  <c r="K237" i="3"/>
  <c r="R231" i="3"/>
  <c r="R230" i="3"/>
  <c r="R229" i="3"/>
  <c r="R233" i="3"/>
  <c r="R228" i="3"/>
  <c r="R232" i="3"/>
  <c r="N231" i="3"/>
  <c r="N230" i="3"/>
  <c r="N229" i="3"/>
  <c r="N233" i="3"/>
  <c r="N228" i="3"/>
  <c r="N232" i="3"/>
  <c r="J231" i="3"/>
  <c r="J230" i="3"/>
  <c r="J229" i="3"/>
  <c r="J233" i="3"/>
  <c r="J228" i="3"/>
  <c r="J232" i="3"/>
  <c r="Q222" i="3"/>
  <c r="Q226" i="3"/>
  <c r="Q225" i="3"/>
  <c r="Q224" i="3"/>
  <c r="Q223" i="3"/>
  <c r="Q227" i="3"/>
  <c r="M222" i="3"/>
  <c r="M226" i="3"/>
  <c r="M225" i="3"/>
  <c r="M224" i="3"/>
  <c r="M223" i="3"/>
  <c r="M227" i="3"/>
  <c r="T217" i="3"/>
  <c r="T221" i="3"/>
  <c r="T220" i="3"/>
  <c r="T216" i="3"/>
  <c r="T219" i="3"/>
  <c r="T218" i="3"/>
  <c r="P217" i="3"/>
  <c r="P216" i="3"/>
  <c r="P221" i="3"/>
  <c r="P220" i="3"/>
  <c r="P219" i="3"/>
  <c r="P218" i="3"/>
  <c r="L217" i="3"/>
  <c r="L221" i="3"/>
  <c r="L220" i="3"/>
  <c r="L216" i="3"/>
  <c r="L219" i="3"/>
  <c r="L218" i="3"/>
  <c r="S210" i="3"/>
  <c r="S214" i="3"/>
  <c r="S213" i="3"/>
  <c r="S212" i="3"/>
  <c r="S211" i="3"/>
  <c r="S215" i="3"/>
  <c r="O210" i="3"/>
  <c r="O214" i="3"/>
  <c r="O213" i="3"/>
  <c r="O212" i="3"/>
  <c r="O215" i="3"/>
  <c r="O211" i="3"/>
  <c r="K210" i="3"/>
  <c r="K214" i="3"/>
  <c r="K213" i="3"/>
  <c r="K212" i="3"/>
  <c r="K215" i="3"/>
  <c r="K211" i="3"/>
  <c r="R205" i="3"/>
  <c r="R209" i="3"/>
  <c r="R204" i="3"/>
  <c r="R208" i="3"/>
  <c r="R207" i="3"/>
  <c r="R206" i="3"/>
  <c r="N205" i="3"/>
  <c r="N209" i="3"/>
  <c r="N204" i="3"/>
  <c r="N208" i="3"/>
  <c r="N207" i="3"/>
  <c r="N206" i="3"/>
  <c r="J205" i="3"/>
  <c r="J209" i="3"/>
  <c r="J204" i="3"/>
  <c r="J208" i="3"/>
  <c r="J207" i="3"/>
  <c r="J206" i="3"/>
  <c r="Q200" i="3"/>
  <c r="Q199" i="3"/>
  <c r="Q203" i="3"/>
  <c r="Q198" i="3"/>
  <c r="Q202" i="3"/>
  <c r="Q201" i="3"/>
  <c r="M200" i="3"/>
  <c r="M199" i="3"/>
  <c r="M203" i="3"/>
  <c r="M198" i="3"/>
  <c r="M202" i="3"/>
  <c r="M201" i="3"/>
  <c r="T195" i="3"/>
  <c r="T194" i="3"/>
  <c r="T193" i="3"/>
  <c r="T197" i="3"/>
  <c r="T192" i="3"/>
  <c r="T196" i="3"/>
  <c r="P195" i="3"/>
  <c r="P194" i="3"/>
  <c r="P193" i="3"/>
  <c r="P197" i="3"/>
  <c r="P192" i="3"/>
  <c r="P196" i="3"/>
  <c r="L195" i="3"/>
  <c r="L194" i="3"/>
  <c r="L193" i="3"/>
  <c r="L197" i="3"/>
  <c r="L192" i="3"/>
  <c r="L196" i="3"/>
  <c r="S190" i="3"/>
  <c r="S189" i="3"/>
  <c r="S188" i="3"/>
  <c r="S191" i="3"/>
  <c r="O190" i="3"/>
  <c r="O189" i="3"/>
  <c r="O188" i="3"/>
  <c r="O191" i="3"/>
  <c r="K190" i="3"/>
  <c r="K189" i="3"/>
  <c r="K188" i="3"/>
  <c r="K191" i="3"/>
  <c r="R185" i="3"/>
  <c r="R184" i="3"/>
  <c r="R187" i="3"/>
  <c r="R186" i="3"/>
  <c r="N185" i="3"/>
  <c r="N184" i="3"/>
  <c r="N187" i="3"/>
  <c r="N186" i="3"/>
  <c r="J185" i="3"/>
  <c r="J184" i="3"/>
  <c r="J187" i="3"/>
  <c r="J186" i="3"/>
  <c r="Q180" i="3"/>
  <c r="Q183" i="3"/>
  <c r="Q182" i="3"/>
  <c r="Q181" i="3"/>
  <c r="M180" i="3"/>
  <c r="M183" i="3"/>
  <c r="M182" i="3"/>
  <c r="M181" i="3"/>
  <c r="T179" i="3"/>
  <c r="T178" i="3"/>
  <c r="T177" i="3"/>
  <c r="T176" i="3"/>
  <c r="P179" i="3"/>
  <c r="P178" i="3"/>
  <c r="P177" i="3"/>
  <c r="P176" i="3"/>
  <c r="L179" i="3"/>
  <c r="L178" i="3"/>
  <c r="L177" i="3"/>
  <c r="L176" i="3"/>
  <c r="S174" i="3"/>
  <c r="S173" i="3"/>
  <c r="S172" i="3"/>
  <c r="S175" i="3"/>
  <c r="O174" i="3"/>
  <c r="O173" i="3"/>
  <c r="O172" i="3"/>
  <c r="O175" i="3"/>
  <c r="K174" i="3"/>
  <c r="K173" i="3"/>
  <c r="K172" i="3"/>
  <c r="K175" i="3"/>
  <c r="R169" i="3"/>
  <c r="R168" i="3"/>
  <c r="R167" i="3"/>
  <c r="R171" i="3"/>
  <c r="R170" i="3"/>
  <c r="N169" i="3"/>
  <c r="N168" i="3"/>
  <c r="N167" i="3"/>
  <c r="N171" i="3"/>
  <c r="N170" i="3"/>
  <c r="J169" i="3"/>
  <c r="J168" i="3"/>
  <c r="J167" i="3"/>
  <c r="J171" i="3"/>
  <c r="J170" i="3"/>
  <c r="Q164" i="3"/>
  <c r="Q163" i="3"/>
  <c r="Q162" i="3"/>
  <c r="Q166" i="3"/>
  <c r="Q165" i="3"/>
  <c r="M164" i="3"/>
  <c r="M163" i="3"/>
  <c r="M162" i="3"/>
  <c r="M166" i="3"/>
  <c r="M165" i="3"/>
  <c r="T159" i="3"/>
  <c r="T158" i="3"/>
  <c r="T157" i="3"/>
  <c r="T161" i="3"/>
  <c r="T160" i="3"/>
  <c r="P159" i="3"/>
  <c r="P158" i="3"/>
  <c r="P157" i="3"/>
  <c r="P161" i="3"/>
  <c r="P160" i="3"/>
  <c r="L159" i="3"/>
  <c r="L158" i="3"/>
  <c r="L157" i="3"/>
  <c r="L161" i="3"/>
  <c r="L160" i="3"/>
  <c r="S152" i="3"/>
  <c r="S156" i="3"/>
  <c r="S155" i="3"/>
  <c r="S154" i="3"/>
  <c r="S153" i="3"/>
  <c r="O152" i="3"/>
  <c r="O156" i="3"/>
  <c r="O155" i="3"/>
  <c r="O154" i="3"/>
  <c r="O153" i="3"/>
  <c r="K152" i="3"/>
  <c r="K156" i="3"/>
  <c r="K155" i="3"/>
  <c r="K154" i="3"/>
  <c r="K153" i="3"/>
  <c r="R147" i="3"/>
  <c r="R151" i="3"/>
  <c r="R150" i="3"/>
  <c r="R149" i="3"/>
  <c r="R148" i="3"/>
  <c r="N147" i="3"/>
  <c r="N151" i="3"/>
  <c r="N150" i="3"/>
  <c r="N149" i="3"/>
  <c r="N148" i="3"/>
  <c r="J147" i="3"/>
  <c r="J151" i="3"/>
  <c r="J150" i="3"/>
  <c r="J149" i="3"/>
  <c r="J148" i="3"/>
  <c r="Q142" i="3"/>
  <c r="Q146" i="3"/>
  <c r="Q141" i="3"/>
  <c r="Q145" i="3"/>
  <c r="Q140" i="3"/>
  <c r="Q144" i="3"/>
  <c r="Q143" i="3"/>
  <c r="M142" i="3"/>
  <c r="M146" i="3"/>
  <c r="M141" i="3"/>
  <c r="M145" i="3"/>
  <c r="M140" i="3"/>
  <c r="M144" i="3"/>
  <c r="M143" i="3"/>
  <c r="T133" i="3"/>
  <c r="T137" i="3"/>
  <c r="T136" i="3"/>
  <c r="T135" i="3"/>
  <c r="T139" i="3"/>
  <c r="T134" i="3"/>
  <c r="T138" i="3"/>
  <c r="P133" i="3"/>
  <c r="P137" i="3"/>
  <c r="P136" i="3"/>
  <c r="P135" i="3"/>
  <c r="P139" i="3"/>
  <c r="P134" i="3"/>
  <c r="P138" i="3"/>
  <c r="L133" i="3"/>
  <c r="L137" i="3"/>
  <c r="L136" i="3"/>
  <c r="L135" i="3"/>
  <c r="L139" i="3"/>
  <c r="L134" i="3"/>
  <c r="L138" i="3"/>
  <c r="S128" i="3"/>
  <c r="S132" i="3"/>
  <c r="S127" i="3"/>
  <c r="S131" i="3"/>
  <c r="S126" i="3"/>
  <c r="S130" i="3"/>
  <c r="S129" i="3"/>
  <c r="O128" i="3"/>
  <c r="O132" i="3"/>
  <c r="O127" i="3"/>
  <c r="O131" i="3"/>
  <c r="O126" i="3"/>
  <c r="O130" i="3"/>
  <c r="O129" i="3"/>
  <c r="K128" i="3"/>
  <c r="K132" i="3"/>
  <c r="K127" i="3"/>
  <c r="K131" i="3"/>
  <c r="K126" i="3"/>
  <c r="K130" i="3"/>
  <c r="K129" i="3"/>
  <c r="R119" i="3"/>
  <c r="R123" i="3"/>
  <c r="R122" i="3"/>
  <c r="R121" i="3"/>
  <c r="R125" i="3"/>
  <c r="R120" i="3"/>
  <c r="R124" i="3"/>
  <c r="N119" i="3"/>
  <c r="N123" i="3"/>
  <c r="N122" i="3"/>
  <c r="N121" i="3"/>
  <c r="N125" i="3"/>
  <c r="N120" i="3"/>
  <c r="N124" i="3"/>
  <c r="J119" i="3"/>
  <c r="J123" i="3"/>
  <c r="J122" i="3"/>
  <c r="J121" i="3"/>
  <c r="J125" i="3"/>
  <c r="J120" i="3"/>
  <c r="J124" i="3"/>
  <c r="Q114" i="3"/>
  <c r="Q118" i="3"/>
  <c r="Q113" i="3"/>
  <c r="Q117" i="3"/>
  <c r="Q112" i="3"/>
  <c r="Q116" i="3"/>
  <c r="Q115" i="3"/>
  <c r="M114" i="3"/>
  <c r="M118" i="3"/>
  <c r="M113" i="3"/>
  <c r="M117" i="3"/>
  <c r="M112" i="3"/>
  <c r="M116" i="3"/>
  <c r="M115" i="3"/>
  <c r="T109" i="3"/>
  <c r="T108" i="3"/>
  <c r="T111" i="3"/>
  <c r="T110" i="3"/>
  <c r="P109" i="3"/>
  <c r="P108" i="3"/>
  <c r="P111" i="3"/>
  <c r="P110" i="3"/>
  <c r="L109" i="3"/>
  <c r="L108" i="3"/>
  <c r="L111" i="3"/>
  <c r="L110" i="3"/>
  <c r="S107" i="3"/>
  <c r="S106" i="3"/>
  <c r="S105" i="3"/>
  <c r="O107" i="3"/>
  <c r="O106" i="3"/>
  <c r="O105" i="3"/>
  <c r="K107" i="3"/>
  <c r="K106" i="3"/>
  <c r="K105" i="3"/>
  <c r="R103" i="3"/>
  <c r="R102" i="3"/>
  <c r="R104" i="3"/>
  <c r="N103" i="3"/>
  <c r="N102" i="3"/>
  <c r="N104" i="3"/>
  <c r="J103" i="3"/>
  <c r="J102" i="3"/>
  <c r="J104" i="3"/>
  <c r="Q101" i="3"/>
  <c r="Q100" i="3"/>
  <c r="Q99" i="3"/>
  <c r="M101" i="3"/>
  <c r="M100" i="3"/>
  <c r="M99" i="3"/>
  <c r="T97" i="3"/>
  <c r="T96" i="3"/>
  <c r="T98" i="3"/>
  <c r="P97" i="3"/>
  <c r="P96" i="3"/>
  <c r="P98" i="3"/>
  <c r="L97" i="3"/>
  <c r="L96" i="3"/>
  <c r="L98" i="3"/>
  <c r="S72" i="3"/>
  <c r="S71" i="3"/>
  <c r="S73" i="3"/>
  <c r="O71" i="3"/>
  <c r="O72" i="3"/>
  <c r="O73" i="3"/>
  <c r="K71" i="3"/>
  <c r="K72" i="3"/>
  <c r="K73" i="3"/>
  <c r="Q65" i="3"/>
  <c r="Q66" i="3"/>
  <c r="Q64" i="3"/>
  <c r="M65" i="3"/>
  <c r="M66" i="3"/>
  <c r="M64" i="3"/>
  <c r="T62" i="3"/>
  <c r="T63" i="3"/>
  <c r="T61" i="3"/>
  <c r="P61" i="3"/>
  <c r="P62" i="3"/>
  <c r="P63" i="3"/>
  <c r="L62" i="3"/>
  <c r="L63" i="3"/>
  <c r="L61" i="3"/>
  <c r="S59" i="3"/>
  <c r="S60" i="3"/>
  <c r="S58" i="3"/>
  <c r="O59" i="3"/>
  <c r="O58" i="3"/>
  <c r="O60" i="3"/>
  <c r="K59" i="3"/>
  <c r="K60" i="3"/>
  <c r="K58" i="3"/>
  <c r="R55" i="3"/>
  <c r="R56" i="3"/>
  <c r="R57" i="3"/>
  <c r="N55" i="3"/>
  <c r="N56" i="3"/>
  <c r="N57" i="3"/>
  <c r="J55" i="3"/>
  <c r="J56" i="3"/>
  <c r="J57" i="3"/>
  <c r="Q53" i="3"/>
  <c r="Q69" i="3"/>
  <c r="Q51" i="3"/>
  <c r="Q52" i="3"/>
  <c r="Q67" i="3"/>
  <c r="Q54" i="3"/>
  <c r="Q70" i="3"/>
  <c r="Q68" i="3"/>
  <c r="M53" i="3"/>
  <c r="M54" i="3"/>
  <c r="M69" i="3"/>
  <c r="M67" i="3"/>
  <c r="M70" i="3"/>
  <c r="M68" i="3"/>
  <c r="M51" i="3"/>
  <c r="M52" i="3"/>
  <c r="T48" i="3"/>
  <c r="T49" i="3"/>
  <c r="T50" i="3"/>
  <c r="T47" i="3"/>
  <c r="P48" i="3"/>
  <c r="P47" i="3"/>
  <c r="P49" i="3"/>
  <c r="P50" i="3"/>
  <c r="L48" i="3"/>
  <c r="L49" i="3"/>
  <c r="L50" i="3"/>
  <c r="L47" i="3"/>
  <c r="S43" i="3"/>
  <c r="S44" i="3"/>
  <c r="S45" i="3"/>
  <c r="S46" i="3"/>
  <c r="O43" i="3"/>
  <c r="O44" i="3"/>
  <c r="O45" i="3"/>
  <c r="O46" i="3"/>
  <c r="K43" i="3"/>
  <c r="K44" i="3"/>
  <c r="K45" i="3"/>
  <c r="K46" i="3"/>
  <c r="R42" i="3"/>
  <c r="R39" i="3"/>
  <c r="R40" i="3"/>
  <c r="R41" i="3"/>
  <c r="N42" i="3"/>
  <c r="N39" i="3"/>
  <c r="N40" i="3"/>
  <c r="N41" i="3"/>
  <c r="J42" i="3"/>
  <c r="J39" i="3"/>
  <c r="J40" i="3"/>
  <c r="J41" i="3"/>
  <c r="Q37" i="3"/>
  <c r="Q36" i="3"/>
  <c r="Q35" i="3"/>
  <c r="Q38" i="3"/>
  <c r="M35" i="3"/>
  <c r="M36" i="3"/>
  <c r="M37" i="3"/>
  <c r="M38" i="3"/>
  <c r="I1189" i="3"/>
  <c r="I1190" i="3"/>
  <c r="I1188" i="3"/>
  <c r="I1173" i="3"/>
  <c r="I1174" i="3"/>
  <c r="I1175" i="3"/>
  <c r="I1153" i="3"/>
  <c r="I1157" i="3"/>
  <c r="I1154" i="3"/>
  <c r="I1151" i="3"/>
  <c r="I1155" i="3"/>
  <c r="I1152" i="3"/>
  <c r="I1156" i="3"/>
  <c r="I1133" i="3"/>
  <c r="I1137" i="3"/>
  <c r="I1134" i="3"/>
  <c r="I1138" i="3"/>
  <c r="I1135" i="3"/>
  <c r="I1139" i="3"/>
  <c r="I1132" i="3"/>
  <c r="I1136" i="3"/>
  <c r="I1109" i="3"/>
  <c r="I1110" i="3"/>
  <c r="I1111" i="3"/>
  <c r="I1112" i="3"/>
  <c r="I1093" i="3"/>
  <c r="I1090" i="3"/>
  <c r="I1094" i="3"/>
  <c r="I1091" i="3"/>
  <c r="I1092" i="3"/>
  <c r="I1073" i="3"/>
  <c r="I1070" i="3"/>
  <c r="I1074" i="3"/>
  <c r="I1071" i="3"/>
  <c r="I1072" i="3"/>
  <c r="I1053" i="3"/>
  <c r="I1050" i="3"/>
  <c r="I1054" i="3"/>
  <c r="I1051" i="3"/>
  <c r="I1052" i="3"/>
  <c r="I1033" i="3"/>
  <c r="I1030" i="3"/>
  <c r="I1034" i="3"/>
  <c r="I1031" i="3"/>
  <c r="I1032" i="3"/>
  <c r="I1013" i="3"/>
  <c r="I1010" i="3"/>
  <c r="I1014" i="3"/>
  <c r="I1011" i="3"/>
  <c r="I1012" i="3"/>
  <c r="I993" i="3"/>
  <c r="I990" i="3"/>
  <c r="I994" i="3"/>
  <c r="I991" i="3"/>
  <c r="I992" i="3"/>
  <c r="I973" i="3"/>
  <c r="I970" i="3"/>
  <c r="I974" i="3"/>
  <c r="I971" i="3"/>
  <c r="I972" i="3"/>
  <c r="I958" i="3"/>
  <c r="I959" i="3"/>
  <c r="I960" i="3"/>
  <c r="I945" i="3"/>
  <c r="I946" i="3"/>
  <c r="I943" i="3"/>
  <c r="I947" i="3"/>
  <c r="I944" i="3"/>
  <c r="I929" i="3"/>
  <c r="I927" i="3"/>
  <c r="I928" i="3"/>
  <c r="I85" i="3"/>
  <c r="I86" i="3"/>
  <c r="I83" i="3"/>
  <c r="I87" i="3"/>
  <c r="I84" i="3"/>
  <c r="I897" i="3"/>
  <c r="I898" i="3"/>
  <c r="I899" i="3"/>
  <c r="I896" i="3"/>
  <c r="I900" i="3"/>
  <c r="I877" i="3"/>
  <c r="I878" i="3"/>
  <c r="I879" i="3"/>
  <c r="I876" i="3"/>
  <c r="I880" i="3"/>
  <c r="I861" i="3"/>
  <c r="I865" i="3"/>
  <c r="I862" i="3"/>
  <c r="I863" i="3"/>
  <c r="I864" i="3"/>
  <c r="I845" i="3"/>
  <c r="I843" i="3"/>
  <c r="I844" i="3"/>
  <c r="I829" i="3"/>
  <c r="I833" i="3"/>
  <c r="I830" i="3"/>
  <c r="I831" i="3"/>
  <c r="I832" i="3"/>
  <c r="I809" i="3"/>
  <c r="I813" i="3"/>
  <c r="I810" i="3"/>
  <c r="I811" i="3"/>
  <c r="I812" i="3"/>
  <c r="I797" i="3"/>
  <c r="I798" i="3"/>
  <c r="I799" i="3"/>
  <c r="I777" i="3"/>
  <c r="I781" i="3"/>
  <c r="I778" i="3"/>
  <c r="I779" i="3"/>
  <c r="I780" i="3"/>
  <c r="I757" i="3"/>
  <c r="I761" i="3"/>
  <c r="I758" i="3"/>
  <c r="I759" i="3"/>
  <c r="I760" i="3"/>
  <c r="I737" i="3"/>
  <c r="I741" i="3"/>
  <c r="I738" i="3"/>
  <c r="I739" i="3"/>
  <c r="I740" i="3"/>
  <c r="I713" i="3"/>
  <c r="I717" i="3"/>
  <c r="I714" i="3"/>
  <c r="I715" i="3"/>
  <c r="I716" i="3"/>
  <c r="I693" i="3"/>
  <c r="I697" i="3"/>
  <c r="I694" i="3"/>
  <c r="I695" i="3"/>
  <c r="I696" i="3"/>
  <c r="I669" i="3"/>
  <c r="I673" i="3"/>
  <c r="I677" i="3"/>
  <c r="I670" i="3"/>
  <c r="I674" i="3"/>
  <c r="I671" i="3"/>
  <c r="I675" i="3"/>
  <c r="I672" i="3"/>
  <c r="I676" i="3"/>
  <c r="I653" i="3"/>
  <c r="I650" i="3"/>
  <c r="I654" i="3"/>
  <c r="I651" i="3"/>
  <c r="I652" i="3"/>
  <c r="I633" i="3"/>
  <c r="I634" i="3"/>
  <c r="I631" i="3"/>
  <c r="I632" i="3"/>
  <c r="I613" i="3"/>
  <c r="I614" i="3"/>
  <c r="I611" i="3"/>
  <c r="I615" i="3"/>
  <c r="I612" i="3"/>
  <c r="I593" i="3"/>
  <c r="I594" i="3"/>
  <c r="I595" i="3"/>
  <c r="I592" i="3"/>
  <c r="I596" i="3"/>
  <c r="I573" i="3"/>
  <c r="I574" i="3"/>
  <c r="I575" i="3"/>
  <c r="I572" i="3"/>
  <c r="I553" i="3"/>
  <c r="I554" i="3"/>
  <c r="I555" i="3"/>
  <c r="I552" i="3"/>
  <c r="I556" i="3"/>
  <c r="I538" i="3"/>
  <c r="I539" i="3"/>
  <c r="I540" i="3"/>
  <c r="I529" i="3"/>
  <c r="I527" i="3"/>
  <c r="I528" i="3"/>
  <c r="I513" i="3"/>
  <c r="I514" i="3"/>
  <c r="I515" i="3"/>
  <c r="I501" i="3"/>
  <c r="I502" i="3"/>
  <c r="I503" i="3"/>
  <c r="I489" i="3"/>
  <c r="I490" i="3"/>
  <c r="I488" i="3"/>
  <c r="I479" i="3"/>
  <c r="I480" i="3"/>
  <c r="I471" i="3"/>
  <c r="I472" i="3"/>
  <c r="I463" i="3"/>
  <c r="I464" i="3"/>
  <c r="I455" i="3"/>
  <c r="I456" i="3"/>
  <c r="I447" i="3"/>
  <c r="I448" i="3"/>
  <c r="I439" i="3"/>
  <c r="I440" i="3"/>
  <c r="I431" i="3"/>
  <c r="I432" i="3"/>
  <c r="I423" i="3"/>
  <c r="I424" i="3"/>
  <c r="I415" i="3"/>
  <c r="I416" i="3"/>
  <c r="I407" i="3"/>
  <c r="I408" i="3"/>
  <c r="I399" i="3"/>
  <c r="I400" i="3"/>
  <c r="I391" i="3"/>
  <c r="I392" i="3"/>
  <c r="I377" i="3"/>
  <c r="I378" i="3"/>
  <c r="I375" i="3"/>
  <c r="I376" i="3"/>
  <c r="I361" i="3"/>
  <c r="I362" i="3"/>
  <c r="I359" i="3"/>
  <c r="I360" i="3"/>
  <c r="I345" i="3"/>
  <c r="I346" i="3"/>
  <c r="I343" i="3"/>
  <c r="I344" i="3"/>
  <c r="I329" i="3"/>
  <c r="I330" i="3"/>
  <c r="I327" i="3"/>
  <c r="I328" i="3"/>
  <c r="I313" i="3"/>
  <c r="I314" i="3"/>
  <c r="I311" i="3"/>
  <c r="I312" i="3"/>
  <c r="I293" i="3"/>
  <c r="I297" i="3"/>
  <c r="I294" i="3"/>
  <c r="I295" i="3"/>
  <c r="I296" i="3"/>
  <c r="I277" i="3"/>
  <c r="I274" i="3"/>
  <c r="I278" i="3"/>
  <c r="I275" i="3"/>
  <c r="I276" i="3"/>
  <c r="I253" i="3"/>
  <c r="I257" i="3"/>
  <c r="I254" i="3"/>
  <c r="I255" i="3"/>
  <c r="I252" i="3"/>
  <c r="I256" i="3"/>
  <c r="I229" i="3"/>
  <c r="I233" i="3"/>
  <c r="I230" i="3"/>
  <c r="I231" i="3"/>
  <c r="I228" i="3"/>
  <c r="I232" i="3"/>
  <c r="I205" i="3"/>
  <c r="I209" i="3"/>
  <c r="I206" i="3"/>
  <c r="I207" i="3"/>
  <c r="I204" i="3"/>
  <c r="I208" i="3"/>
  <c r="I185" i="3"/>
  <c r="I186" i="3"/>
  <c r="I187" i="3"/>
  <c r="I184" i="3"/>
  <c r="I169" i="3"/>
  <c r="I170" i="3"/>
  <c r="I167" i="3"/>
  <c r="I171" i="3"/>
  <c r="I168" i="3"/>
  <c r="I149" i="3"/>
  <c r="I150" i="3"/>
  <c r="I147" i="3"/>
  <c r="I151" i="3"/>
  <c r="I148" i="3"/>
  <c r="I121" i="3"/>
  <c r="I125" i="3"/>
  <c r="I122" i="3"/>
  <c r="I119" i="3"/>
  <c r="I123" i="3"/>
  <c r="I120" i="3"/>
  <c r="I124" i="3"/>
  <c r="I102" i="3"/>
  <c r="I103" i="3"/>
  <c r="I104" i="3"/>
  <c r="I57" i="3"/>
  <c r="I55" i="3"/>
  <c r="I56" i="3"/>
  <c r="I41" i="3"/>
  <c r="I42" i="3"/>
  <c r="I39" i="3"/>
  <c r="I40" i="3"/>
  <c r="Q1188" i="3"/>
  <c r="Q1190" i="3"/>
  <c r="Q1189" i="3"/>
  <c r="M1188" i="3"/>
  <c r="M1190" i="3"/>
  <c r="M1189" i="3"/>
  <c r="T1187" i="3"/>
  <c r="T1186" i="3"/>
  <c r="T1185" i="3"/>
  <c r="T1184" i="3"/>
  <c r="P1187" i="3"/>
  <c r="P1186" i="3"/>
  <c r="P1185" i="3"/>
  <c r="P1184" i="3"/>
  <c r="L1187" i="3"/>
  <c r="L1186" i="3"/>
  <c r="L1185" i="3"/>
  <c r="L1184" i="3"/>
  <c r="S1182" i="3"/>
  <c r="S1181" i="3"/>
  <c r="S1180" i="3"/>
  <c r="S1183" i="3"/>
  <c r="O1182" i="3"/>
  <c r="O1181" i="3"/>
  <c r="O1180" i="3"/>
  <c r="O1183" i="3"/>
  <c r="K1182" i="3"/>
  <c r="K1181" i="3"/>
  <c r="K1180" i="3"/>
  <c r="K1183" i="3"/>
  <c r="R1177" i="3"/>
  <c r="R1176" i="3"/>
  <c r="R1179" i="3"/>
  <c r="R1178" i="3"/>
  <c r="N1177" i="3"/>
  <c r="N1176" i="3"/>
  <c r="N1179" i="3"/>
  <c r="N1178" i="3"/>
  <c r="J1177" i="3"/>
  <c r="J1176" i="3"/>
  <c r="J1179" i="3"/>
  <c r="J1178" i="3"/>
  <c r="Q1175" i="3"/>
  <c r="Q1174" i="3"/>
  <c r="Q1173" i="3"/>
  <c r="M1175" i="3"/>
  <c r="M1174" i="3"/>
  <c r="M1173" i="3"/>
  <c r="T1171" i="3"/>
  <c r="T1170" i="3"/>
  <c r="T1169" i="3"/>
  <c r="T1172" i="3"/>
  <c r="P1171" i="3"/>
  <c r="P1170" i="3"/>
  <c r="P1169" i="3"/>
  <c r="P1172" i="3"/>
  <c r="L1171" i="3"/>
  <c r="L1170" i="3"/>
  <c r="L1169" i="3"/>
  <c r="L1172" i="3"/>
  <c r="S1162" i="3"/>
  <c r="S1166" i="3"/>
  <c r="S1165" i="3"/>
  <c r="S1164" i="3"/>
  <c r="S1168" i="3"/>
  <c r="S1163" i="3"/>
  <c r="S1167" i="3"/>
  <c r="O1162" i="3"/>
  <c r="O1166" i="3"/>
  <c r="O1165" i="3"/>
  <c r="O1164" i="3"/>
  <c r="O1168" i="3"/>
  <c r="O1163" i="3"/>
  <c r="O1167" i="3"/>
  <c r="K1162" i="3"/>
  <c r="K1166" i="3"/>
  <c r="K1165" i="3"/>
  <c r="K1164" i="3"/>
  <c r="K1168" i="3"/>
  <c r="K1163" i="3"/>
  <c r="K1167" i="3"/>
  <c r="R1161" i="3"/>
  <c r="R1160" i="3"/>
  <c r="R1159" i="3"/>
  <c r="R1158" i="3"/>
  <c r="N1161" i="3"/>
  <c r="N1160" i="3"/>
  <c r="N1159" i="3"/>
  <c r="N1158" i="3"/>
  <c r="J1161" i="3"/>
  <c r="J1160" i="3"/>
  <c r="J1159" i="3"/>
  <c r="J1158" i="3"/>
  <c r="Q1152" i="3"/>
  <c r="Q1156" i="3"/>
  <c r="Q1151" i="3"/>
  <c r="Q1155" i="3"/>
  <c r="Q1154" i="3"/>
  <c r="Q1153" i="3"/>
  <c r="Q1157" i="3"/>
  <c r="M1152" i="3"/>
  <c r="M1156" i="3"/>
  <c r="M1151" i="3"/>
  <c r="M1155" i="3"/>
  <c r="M1154" i="3"/>
  <c r="M1153" i="3"/>
  <c r="M1157" i="3"/>
  <c r="T1147" i="3"/>
  <c r="T1150" i="3"/>
  <c r="T1149" i="3"/>
  <c r="T1148" i="3"/>
  <c r="P1147" i="3"/>
  <c r="P1150" i="3"/>
  <c r="P1149" i="3"/>
  <c r="P1148" i="3"/>
  <c r="L1147" i="3"/>
  <c r="L1150" i="3"/>
  <c r="L1149" i="3"/>
  <c r="L1148" i="3"/>
  <c r="S1146" i="3"/>
  <c r="S1145" i="3"/>
  <c r="S1144" i="3"/>
  <c r="O1146" i="3"/>
  <c r="O1145" i="3"/>
  <c r="O1144" i="3"/>
  <c r="K1146" i="3"/>
  <c r="K1145" i="3"/>
  <c r="K1144" i="3"/>
  <c r="R1141" i="3"/>
  <c r="R1140" i="3"/>
  <c r="R1143" i="3"/>
  <c r="R1142" i="3"/>
  <c r="N1141" i="3"/>
  <c r="N1140" i="3"/>
  <c r="N1143" i="3"/>
  <c r="N1142" i="3"/>
  <c r="J1141" i="3"/>
  <c r="J1140" i="3"/>
  <c r="J1143" i="3"/>
  <c r="J1142" i="3"/>
  <c r="Q1132" i="3"/>
  <c r="Q1136" i="3"/>
  <c r="Q1135" i="3"/>
  <c r="Q1139" i="3"/>
  <c r="Q1134" i="3"/>
  <c r="Q1138" i="3"/>
  <c r="Q1133" i="3"/>
  <c r="Q1137" i="3"/>
  <c r="M1132" i="3"/>
  <c r="M1136" i="3"/>
  <c r="M1135" i="3"/>
  <c r="M1139" i="3"/>
  <c r="M1134" i="3"/>
  <c r="M1138" i="3"/>
  <c r="M1133" i="3"/>
  <c r="M1137" i="3"/>
  <c r="T1131" i="3"/>
  <c r="T1130" i="3"/>
  <c r="T1129" i="3"/>
  <c r="T1128" i="3"/>
  <c r="P1131" i="3"/>
  <c r="P1130" i="3"/>
  <c r="P1129" i="3"/>
  <c r="P1128" i="3"/>
  <c r="L1131" i="3"/>
  <c r="L1130" i="3"/>
  <c r="L1129" i="3"/>
  <c r="L1128" i="3"/>
  <c r="S1122" i="3"/>
  <c r="S1126" i="3"/>
  <c r="S1121" i="3"/>
  <c r="S1125" i="3"/>
  <c r="S1120" i="3"/>
  <c r="S1124" i="3"/>
  <c r="S1123" i="3"/>
  <c r="S1127" i="3"/>
  <c r="O1122" i="3"/>
  <c r="O1126" i="3"/>
  <c r="O1121" i="3"/>
  <c r="O1125" i="3"/>
  <c r="O1120" i="3"/>
  <c r="O1124" i="3"/>
  <c r="O1123" i="3"/>
  <c r="O1127" i="3"/>
  <c r="K1122" i="3"/>
  <c r="K1126" i="3"/>
  <c r="K1121" i="3"/>
  <c r="K1125" i="3"/>
  <c r="K1120" i="3"/>
  <c r="K1124" i="3"/>
  <c r="K1123" i="3"/>
  <c r="K1127" i="3"/>
  <c r="R1113" i="3"/>
  <c r="R1117" i="3"/>
  <c r="R1116" i="3"/>
  <c r="R1115" i="3"/>
  <c r="R1119" i="3"/>
  <c r="R1114" i="3"/>
  <c r="R1118" i="3"/>
  <c r="N1113" i="3"/>
  <c r="N1117" i="3"/>
  <c r="N1116" i="3"/>
  <c r="N1115" i="3"/>
  <c r="N1119" i="3"/>
  <c r="N1114" i="3"/>
  <c r="N1118" i="3"/>
  <c r="J1113" i="3"/>
  <c r="J1117" i="3"/>
  <c r="J1116" i="3"/>
  <c r="J1115" i="3"/>
  <c r="J1119" i="3"/>
  <c r="J1114" i="3"/>
  <c r="J1118" i="3"/>
  <c r="Q1112" i="3"/>
  <c r="Q1111" i="3"/>
  <c r="Q1110" i="3"/>
  <c r="Q1109" i="3"/>
  <c r="M1112" i="3"/>
  <c r="M1111" i="3"/>
  <c r="M1110" i="3"/>
  <c r="M1109" i="3"/>
  <c r="T1103" i="3"/>
  <c r="T1107" i="3"/>
  <c r="T1102" i="3"/>
  <c r="T1106" i="3"/>
  <c r="T1105" i="3"/>
  <c r="T1104" i="3"/>
  <c r="T1108" i="3"/>
  <c r="P1103" i="3"/>
  <c r="P1107" i="3"/>
  <c r="P1102" i="3"/>
  <c r="P1106" i="3"/>
  <c r="P1105" i="3"/>
  <c r="P1104" i="3"/>
  <c r="P1108" i="3"/>
  <c r="L1103" i="3"/>
  <c r="L1107" i="3"/>
  <c r="L1102" i="3"/>
  <c r="L1106" i="3"/>
  <c r="L1105" i="3"/>
  <c r="L1104" i="3"/>
  <c r="L1108" i="3"/>
  <c r="S1098" i="3"/>
  <c r="S1101" i="3"/>
  <c r="S1100" i="3"/>
  <c r="S1099" i="3"/>
  <c r="O1098" i="3"/>
  <c r="O1101" i="3"/>
  <c r="O1100" i="3"/>
  <c r="O1099" i="3"/>
  <c r="K1098" i="3"/>
  <c r="K1101" i="3"/>
  <c r="K1100" i="3"/>
  <c r="K1099" i="3"/>
  <c r="R1097" i="3"/>
  <c r="R1096" i="3"/>
  <c r="R1095" i="3"/>
  <c r="N1097" i="3"/>
  <c r="N1096" i="3"/>
  <c r="N1095" i="3"/>
  <c r="J1097" i="3"/>
  <c r="J1096" i="3"/>
  <c r="J1095" i="3"/>
  <c r="Q1092" i="3"/>
  <c r="Q1091" i="3"/>
  <c r="Q1090" i="3"/>
  <c r="Q1094" i="3"/>
  <c r="Q1093" i="3"/>
  <c r="M1092" i="3"/>
  <c r="M1091" i="3"/>
  <c r="M1090" i="3"/>
  <c r="M1094" i="3"/>
  <c r="M1093" i="3"/>
  <c r="T1087" i="3"/>
  <c r="T1086" i="3"/>
  <c r="T1085" i="3"/>
  <c r="T1089" i="3"/>
  <c r="T1088" i="3"/>
  <c r="P1087" i="3"/>
  <c r="P1086" i="3"/>
  <c r="P1085" i="3"/>
  <c r="P1089" i="3"/>
  <c r="P1088" i="3"/>
  <c r="L1087" i="3"/>
  <c r="L1086" i="3"/>
  <c r="L1085" i="3"/>
  <c r="L1089" i="3"/>
  <c r="L1088" i="3"/>
  <c r="S1082" i="3"/>
  <c r="S1081" i="3"/>
  <c r="S1080" i="3"/>
  <c r="S1084" i="3"/>
  <c r="S1083" i="3"/>
  <c r="O1082" i="3"/>
  <c r="O1081" i="3"/>
  <c r="O1080" i="3"/>
  <c r="O1084" i="3"/>
  <c r="O1083" i="3"/>
  <c r="K1082" i="3"/>
  <c r="K1081" i="3"/>
  <c r="K1080" i="3"/>
  <c r="K1084" i="3"/>
  <c r="K1083" i="3"/>
  <c r="R1077" i="3"/>
  <c r="R1076" i="3"/>
  <c r="R1075" i="3"/>
  <c r="R1079" i="3"/>
  <c r="R1078" i="3"/>
  <c r="N1077" i="3"/>
  <c r="N1076" i="3"/>
  <c r="N1075" i="3"/>
  <c r="N1079" i="3"/>
  <c r="N1078" i="3"/>
  <c r="J1077" i="3"/>
  <c r="J1076" i="3"/>
  <c r="J1075" i="3"/>
  <c r="J1079" i="3"/>
  <c r="J1078" i="3"/>
  <c r="Q1072" i="3"/>
  <c r="Q1071" i="3"/>
  <c r="Q1070" i="3"/>
  <c r="Q1074" i="3"/>
  <c r="Q1073" i="3"/>
  <c r="M1072" i="3"/>
  <c r="M1071" i="3"/>
  <c r="M1070" i="3"/>
  <c r="M1074" i="3"/>
  <c r="M1073" i="3"/>
  <c r="T1067" i="3"/>
  <c r="T1066" i="3"/>
  <c r="T1065" i="3"/>
  <c r="T1069" i="3"/>
  <c r="T1068" i="3"/>
  <c r="P1067" i="3"/>
  <c r="P1066" i="3"/>
  <c r="P1065" i="3"/>
  <c r="P1069" i="3"/>
  <c r="P1068" i="3"/>
  <c r="L1067" i="3"/>
  <c r="L1066" i="3"/>
  <c r="L1065" i="3"/>
  <c r="L1069" i="3"/>
  <c r="L1068" i="3"/>
  <c r="S1062" i="3"/>
  <c r="S1061" i="3"/>
  <c r="S1060" i="3"/>
  <c r="S1064" i="3"/>
  <c r="S1063" i="3"/>
  <c r="O1062" i="3"/>
  <c r="O1061" i="3"/>
  <c r="O1060" i="3"/>
  <c r="O1064" i="3"/>
  <c r="O1063" i="3"/>
  <c r="K1062" i="3"/>
  <c r="K1061" i="3"/>
  <c r="K1060" i="3"/>
  <c r="K1064" i="3"/>
  <c r="K1063" i="3"/>
  <c r="R1057" i="3"/>
  <c r="R1056" i="3"/>
  <c r="R1055" i="3"/>
  <c r="R1059" i="3"/>
  <c r="R1058" i="3"/>
  <c r="N1057" i="3"/>
  <c r="N1056" i="3"/>
  <c r="N1055" i="3"/>
  <c r="N1059" i="3"/>
  <c r="N1058" i="3"/>
  <c r="J1057" i="3"/>
  <c r="J1056" i="3"/>
  <c r="J1055" i="3"/>
  <c r="J1059" i="3"/>
  <c r="J1058" i="3"/>
  <c r="Q1052" i="3"/>
  <c r="Q1051" i="3"/>
  <c r="Q1050" i="3"/>
  <c r="Q1054" i="3"/>
  <c r="Q1053" i="3"/>
  <c r="M1052" i="3"/>
  <c r="M1051" i="3"/>
  <c r="M1050" i="3"/>
  <c r="M1054" i="3"/>
  <c r="M1053" i="3"/>
  <c r="T1047" i="3"/>
  <c r="T1046" i="3"/>
  <c r="T1045" i="3"/>
  <c r="T1049" i="3"/>
  <c r="T1048" i="3"/>
  <c r="P1047" i="3"/>
  <c r="P1046" i="3"/>
  <c r="P1045" i="3"/>
  <c r="P1049" i="3"/>
  <c r="P1048" i="3"/>
  <c r="L1047" i="3"/>
  <c r="L1046" i="3"/>
  <c r="L1045" i="3"/>
  <c r="L1049" i="3"/>
  <c r="L1048" i="3"/>
  <c r="S1042" i="3"/>
  <c r="S1041" i="3"/>
  <c r="S1040" i="3"/>
  <c r="S1044" i="3"/>
  <c r="S1043" i="3"/>
  <c r="O1042" i="3"/>
  <c r="O1041" i="3"/>
  <c r="O1040" i="3"/>
  <c r="O1044" i="3"/>
  <c r="O1043" i="3"/>
  <c r="K1042" i="3"/>
  <c r="K1041" i="3"/>
  <c r="K1040" i="3"/>
  <c r="K1044" i="3"/>
  <c r="K1043" i="3"/>
  <c r="R1037" i="3"/>
  <c r="R1036" i="3"/>
  <c r="R1035" i="3"/>
  <c r="R1039" i="3"/>
  <c r="R1038" i="3"/>
  <c r="N1037" i="3"/>
  <c r="N1036" i="3"/>
  <c r="N1035" i="3"/>
  <c r="N1039" i="3"/>
  <c r="N1038" i="3"/>
  <c r="J1037" i="3"/>
  <c r="J1036" i="3"/>
  <c r="J1035" i="3"/>
  <c r="J1039" i="3"/>
  <c r="J1038" i="3"/>
  <c r="Q1032" i="3"/>
  <c r="Q1031" i="3"/>
  <c r="Q1030" i="3"/>
  <c r="Q1034" i="3"/>
  <c r="Q1033" i="3"/>
  <c r="M1032" i="3"/>
  <c r="M1031" i="3"/>
  <c r="M1030" i="3"/>
  <c r="M1034" i="3"/>
  <c r="M1033" i="3"/>
  <c r="T1027" i="3"/>
  <c r="T1026" i="3"/>
  <c r="T1025" i="3"/>
  <c r="T1029" i="3"/>
  <c r="T1028" i="3"/>
  <c r="P1027" i="3"/>
  <c r="P1026" i="3"/>
  <c r="P1025" i="3"/>
  <c r="P1029" i="3"/>
  <c r="P1028" i="3"/>
  <c r="L1027" i="3"/>
  <c r="L1026" i="3"/>
  <c r="L1025" i="3"/>
  <c r="L1029" i="3"/>
  <c r="L1028" i="3"/>
  <c r="S1022" i="3"/>
  <c r="S1021" i="3"/>
  <c r="S1020" i="3"/>
  <c r="S1024" i="3"/>
  <c r="S1023" i="3"/>
  <c r="O1022" i="3"/>
  <c r="O1021" i="3"/>
  <c r="O1020" i="3"/>
  <c r="O1024" i="3"/>
  <c r="O1023" i="3"/>
  <c r="K1022" i="3"/>
  <c r="K1021" i="3"/>
  <c r="K1020" i="3"/>
  <c r="K1024" i="3"/>
  <c r="K1023" i="3"/>
  <c r="R1017" i="3"/>
  <c r="R1016" i="3"/>
  <c r="R1015" i="3"/>
  <c r="R1019" i="3"/>
  <c r="R1018" i="3"/>
  <c r="N1017" i="3"/>
  <c r="N1016" i="3"/>
  <c r="N1015" i="3"/>
  <c r="N1019" i="3"/>
  <c r="N1018" i="3"/>
  <c r="J1017" i="3"/>
  <c r="J1016" i="3"/>
  <c r="J1015" i="3"/>
  <c r="J1019" i="3"/>
  <c r="J1018" i="3"/>
  <c r="Q1012" i="3"/>
  <c r="Q1011" i="3"/>
  <c r="Q1010" i="3"/>
  <c r="Q1014" i="3"/>
  <c r="Q1013" i="3"/>
  <c r="M1012" i="3"/>
  <c r="M1011" i="3"/>
  <c r="M1010" i="3"/>
  <c r="M1014" i="3"/>
  <c r="M1013" i="3"/>
  <c r="T1007" i="3"/>
  <c r="T1006" i="3"/>
  <c r="T1005" i="3"/>
  <c r="T1009" i="3"/>
  <c r="T1008" i="3"/>
  <c r="P1007" i="3"/>
  <c r="P1006" i="3"/>
  <c r="P1005" i="3"/>
  <c r="P1009" i="3"/>
  <c r="P1008" i="3"/>
  <c r="L1007" i="3"/>
  <c r="L1006" i="3"/>
  <c r="L1005" i="3"/>
  <c r="L1009" i="3"/>
  <c r="L1008" i="3"/>
  <c r="S1002" i="3"/>
  <c r="S1001" i="3"/>
  <c r="S1000" i="3"/>
  <c r="S1004" i="3"/>
  <c r="S1003" i="3"/>
  <c r="O1002" i="3"/>
  <c r="O1001" i="3"/>
  <c r="O1000" i="3"/>
  <c r="O1004" i="3"/>
  <c r="O1003" i="3"/>
  <c r="K1002" i="3"/>
  <c r="K1001" i="3"/>
  <c r="K1000" i="3"/>
  <c r="K1004" i="3"/>
  <c r="K1003" i="3"/>
  <c r="R997" i="3"/>
  <c r="R996" i="3"/>
  <c r="R995" i="3"/>
  <c r="R999" i="3"/>
  <c r="R998" i="3"/>
  <c r="N997" i="3"/>
  <c r="N996" i="3"/>
  <c r="N995" i="3"/>
  <c r="N999" i="3"/>
  <c r="N998" i="3"/>
  <c r="J997" i="3"/>
  <c r="J996" i="3"/>
  <c r="J995" i="3"/>
  <c r="J999" i="3"/>
  <c r="J998" i="3"/>
  <c r="Q992" i="3"/>
  <c r="Q991" i="3"/>
  <c r="Q990" i="3"/>
  <c r="Q994" i="3"/>
  <c r="Q993" i="3"/>
  <c r="M992" i="3"/>
  <c r="M991" i="3"/>
  <c r="M990" i="3"/>
  <c r="M994" i="3"/>
  <c r="M993" i="3"/>
  <c r="T987" i="3"/>
  <c r="T986" i="3"/>
  <c r="T985" i="3"/>
  <c r="T989" i="3"/>
  <c r="T988" i="3"/>
  <c r="P987" i="3"/>
  <c r="P986" i="3"/>
  <c r="P985" i="3"/>
  <c r="P989" i="3"/>
  <c r="P988" i="3"/>
  <c r="L987" i="3"/>
  <c r="L986" i="3"/>
  <c r="L985" i="3"/>
  <c r="L989" i="3"/>
  <c r="L988" i="3"/>
  <c r="S982" i="3"/>
  <c r="S981" i="3"/>
  <c r="S980" i="3"/>
  <c r="S984" i="3"/>
  <c r="S983" i="3"/>
  <c r="O982" i="3"/>
  <c r="O981" i="3"/>
  <c r="O980" i="3"/>
  <c r="O984" i="3"/>
  <c r="O983" i="3"/>
  <c r="K982" i="3"/>
  <c r="K981" i="3"/>
  <c r="K980" i="3"/>
  <c r="K984" i="3"/>
  <c r="K983" i="3"/>
  <c r="R977" i="3"/>
  <c r="R976" i="3"/>
  <c r="R975" i="3"/>
  <c r="R979" i="3"/>
  <c r="R978" i="3"/>
  <c r="N977" i="3"/>
  <c r="N976" i="3"/>
  <c r="N975" i="3"/>
  <c r="N979" i="3"/>
  <c r="N978" i="3"/>
  <c r="J977" i="3"/>
  <c r="J976" i="3"/>
  <c r="J975" i="3"/>
  <c r="J979" i="3"/>
  <c r="J978" i="3"/>
  <c r="Q972" i="3"/>
  <c r="Q971" i="3"/>
  <c r="Q970" i="3"/>
  <c r="Q974" i="3"/>
  <c r="Q973" i="3"/>
  <c r="M972" i="3"/>
  <c r="M971" i="3"/>
  <c r="M970" i="3"/>
  <c r="M974" i="3"/>
  <c r="M973" i="3"/>
  <c r="T967" i="3"/>
  <c r="T969" i="3"/>
  <c r="T968" i="3"/>
  <c r="P967" i="3"/>
  <c r="P969" i="3"/>
  <c r="P968" i="3"/>
  <c r="L967" i="3"/>
  <c r="L969" i="3"/>
  <c r="L968" i="3"/>
  <c r="S966" i="3"/>
  <c r="S965" i="3"/>
  <c r="S964" i="3"/>
  <c r="O966" i="3"/>
  <c r="O965" i="3"/>
  <c r="O964" i="3"/>
  <c r="K966" i="3"/>
  <c r="K965" i="3"/>
  <c r="K964" i="3"/>
  <c r="R961" i="3"/>
  <c r="R963" i="3"/>
  <c r="R962" i="3"/>
  <c r="N961" i="3"/>
  <c r="N963" i="3"/>
  <c r="N962" i="3"/>
  <c r="J961" i="3"/>
  <c r="J963" i="3"/>
  <c r="J962" i="3"/>
  <c r="Q960" i="3"/>
  <c r="Q959" i="3"/>
  <c r="Q958" i="3"/>
  <c r="M960" i="3"/>
  <c r="M959" i="3"/>
  <c r="M958" i="3"/>
  <c r="T953" i="3"/>
  <c r="T957" i="3"/>
  <c r="T954" i="3"/>
  <c r="T955" i="3"/>
  <c r="T956" i="3"/>
  <c r="P953" i="3"/>
  <c r="P954" i="3"/>
  <c r="P955" i="3"/>
  <c r="P956" i="3"/>
  <c r="P957" i="3"/>
  <c r="L953" i="3"/>
  <c r="L954" i="3"/>
  <c r="L955" i="3"/>
  <c r="L956" i="3"/>
  <c r="L957" i="3"/>
  <c r="R90" i="3"/>
  <c r="R89" i="3"/>
  <c r="R88" i="3"/>
  <c r="R92" i="3"/>
  <c r="R91" i="3"/>
  <c r="R948" i="3"/>
  <c r="R951" i="3"/>
  <c r="R950" i="3"/>
  <c r="R949" i="3"/>
  <c r="R952" i="3"/>
  <c r="N90" i="3"/>
  <c r="N89" i="3"/>
  <c r="N88" i="3"/>
  <c r="N92" i="3"/>
  <c r="N91" i="3"/>
  <c r="N948" i="3"/>
  <c r="N951" i="3"/>
  <c r="N950" i="3"/>
  <c r="N952" i="3"/>
  <c r="N949" i="3"/>
  <c r="J90" i="3"/>
  <c r="J89" i="3"/>
  <c r="J88" i="3"/>
  <c r="J92" i="3"/>
  <c r="J91" i="3"/>
  <c r="J948" i="3"/>
  <c r="J951" i="3"/>
  <c r="J950" i="3"/>
  <c r="J949" i="3"/>
  <c r="J952" i="3"/>
  <c r="Q943" i="3"/>
  <c r="Q947" i="3"/>
  <c r="Q946" i="3"/>
  <c r="Q945" i="3"/>
  <c r="Q944" i="3"/>
  <c r="M943" i="3"/>
  <c r="M947" i="3"/>
  <c r="M946" i="3"/>
  <c r="M945" i="3"/>
  <c r="M944" i="3"/>
  <c r="T938" i="3"/>
  <c r="T942" i="3"/>
  <c r="T941" i="3"/>
  <c r="T940" i="3"/>
  <c r="T939" i="3"/>
  <c r="P938" i="3"/>
  <c r="P942" i="3"/>
  <c r="P941" i="3"/>
  <c r="P940" i="3"/>
  <c r="P939" i="3"/>
  <c r="L938" i="3"/>
  <c r="L942" i="3"/>
  <c r="L941" i="3"/>
  <c r="L940" i="3"/>
  <c r="L939" i="3"/>
  <c r="S933" i="3"/>
  <c r="S937" i="3"/>
  <c r="S936" i="3"/>
  <c r="S935" i="3"/>
  <c r="S934" i="3"/>
  <c r="O933" i="3"/>
  <c r="O937" i="3"/>
  <c r="O936" i="3"/>
  <c r="O935" i="3"/>
  <c r="O934" i="3"/>
  <c r="K933" i="3"/>
  <c r="K937" i="3"/>
  <c r="K936" i="3"/>
  <c r="K935" i="3"/>
  <c r="K934" i="3"/>
  <c r="R932" i="3"/>
  <c r="R931" i="3"/>
  <c r="R930" i="3"/>
  <c r="N932" i="3"/>
  <c r="N931" i="3"/>
  <c r="N930" i="3"/>
  <c r="J932" i="3"/>
  <c r="J931" i="3"/>
  <c r="J930" i="3"/>
  <c r="Q927" i="3"/>
  <c r="Q929" i="3"/>
  <c r="Q928" i="3"/>
  <c r="M927" i="3"/>
  <c r="M929" i="3"/>
  <c r="M928" i="3"/>
  <c r="T926" i="3"/>
  <c r="T925" i="3"/>
  <c r="T924" i="3"/>
  <c r="P926" i="3"/>
  <c r="P925" i="3"/>
  <c r="P924" i="3"/>
  <c r="L926" i="3"/>
  <c r="L925" i="3"/>
  <c r="L924" i="3"/>
  <c r="S921" i="3"/>
  <c r="S923" i="3"/>
  <c r="S922" i="3"/>
  <c r="O921" i="3"/>
  <c r="O923" i="3"/>
  <c r="O922" i="3"/>
  <c r="K921" i="3"/>
  <c r="K923" i="3"/>
  <c r="K922" i="3"/>
  <c r="R916" i="3"/>
  <c r="R920" i="3"/>
  <c r="R919" i="3"/>
  <c r="R918" i="3"/>
  <c r="R917" i="3"/>
  <c r="N916" i="3"/>
  <c r="N920" i="3"/>
  <c r="N919" i="3"/>
  <c r="N918" i="3"/>
  <c r="N917" i="3"/>
  <c r="J916" i="3"/>
  <c r="J920" i="3"/>
  <c r="J919" i="3"/>
  <c r="J918" i="3"/>
  <c r="J917" i="3"/>
  <c r="Q86" i="3"/>
  <c r="Q85" i="3"/>
  <c r="Q84" i="3"/>
  <c r="Q83" i="3"/>
  <c r="Q87" i="3"/>
  <c r="M86" i="3"/>
  <c r="M85" i="3"/>
  <c r="M84" i="3"/>
  <c r="M83" i="3"/>
  <c r="M87" i="3"/>
  <c r="T914" i="3"/>
  <c r="T913" i="3"/>
  <c r="T912" i="3"/>
  <c r="T911" i="3"/>
  <c r="T915" i="3"/>
  <c r="P914" i="3"/>
  <c r="P913" i="3"/>
  <c r="P912" i="3"/>
  <c r="P911" i="3"/>
  <c r="P915" i="3"/>
  <c r="L914" i="3"/>
  <c r="L913" i="3"/>
  <c r="L912" i="3"/>
  <c r="L911" i="3"/>
  <c r="L915" i="3"/>
  <c r="S909" i="3"/>
  <c r="S908" i="3"/>
  <c r="S907" i="3"/>
  <c r="S906" i="3"/>
  <c r="S910" i="3"/>
  <c r="O909" i="3"/>
  <c r="O908" i="3"/>
  <c r="O907" i="3"/>
  <c r="O906" i="3"/>
  <c r="O910" i="3"/>
  <c r="K909" i="3"/>
  <c r="K908" i="3"/>
  <c r="K907" i="3"/>
  <c r="K906" i="3"/>
  <c r="K910" i="3"/>
  <c r="R904" i="3"/>
  <c r="R903" i="3"/>
  <c r="R902" i="3"/>
  <c r="R901" i="3"/>
  <c r="R905" i="3"/>
  <c r="N904" i="3"/>
  <c r="N903" i="3"/>
  <c r="N902" i="3"/>
  <c r="N901" i="3"/>
  <c r="N905" i="3"/>
  <c r="J904" i="3"/>
  <c r="J903" i="3"/>
  <c r="J902" i="3"/>
  <c r="J901" i="3"/>
  <c r="J905" i="3"/>
  <c r="Q899" i="3"/>
  <c r="Q898" i="3"/>
  <c r="Q897" i="3"/>
  <c r="Q896" i="3"/>
  <c r="Q900" i="3"/>
  <c r="M899" i="3"/>
  <c r="M898" i="3"/>
  <c r="M897" i="3"/>
  <c r="M896" i="3"/>
  <c r="M900" i="3"/>
  <c r="T894" i="3"/>
  <c r="T893" i="3"/>
  <c r="T892" i="3"/>
  <c r="T891" i="3"/>
  <c r="T895" i="3"/>
  <c r="P894" i="3"/>
  <c r="P893" i="3"/>
  <c r="P892" i="3"/>
  <c r="P891" i="3"/>
  <c r="P895" i="3"/>
  <c r="L894" i="3"/>
  <c r="L893" i="3"/>
  <c r="L892" i="3"/>
  <c r="L891" i="3"/>
  <c r="L895" i="3"/>
  <c r="S889" i="3"/>
  <c r="S888" i="3"/>
  <c r="S887" i="3"/>
  <c r="S886" i="3"/>
  <c r="S890" i="3"/>
  <c r="O889" i="3"/>
  <c r="O888" i="3"/>
  <c r="O887" i="3"/>
  <c r="O886" i="3"/>
  <c r="O890" i="3"/>
  <c r="K889" i="3"/>
  <c r="K888" i="3"/>
  <c r="K887" i="3"/>
  <c r="K886" i="3"/>
  <c r="K890" i="3"/>
  <c r="R884" i="3"/>
  <c r="R883" i="3"/>
  <c r="R882" i="3"/>
  <c r="R881" i="3"/>
  <c r="R885" i="3"/>
  <c r="N884" i="3"/>
  <c r="N883" i="3"/>
  <c r="N882" i="3"/>
  <c r="N881" i="3"/>
  <c r="N885" i="3"/>
  <c r="J884" i="3"/>
  <c r="J883" i="3"/>
  <c r="J882" i="3"/>
  <c r="J881" i="3"/>
  <c r="J885" i="3"/>
  <c r="Q879" i="3"/>
  <c r="Q878" i="3"/>
  <c r="Q877" i="3"/>
  <c r="Q876" i="3"/>
  <c r="Q880" i="3"/>
  <c r="M879" i="3"/>
  <c r="M878" i="3"/>
  <c r="M877" i="3"/>
  <c r="M876" i="3"/>
  <c r="M880" i="3"/>
  <c r="T874" i="3"/>
  <c r="T873" i="3"/>
  <c r="T872" i="3"/>
  <c r="T871" i="3"/>
  <c r="T875" i="3"/>
  <c r="P874" i="3"/>
  <c r="P873" i="3"/>
  <c r="P872" i="3"/>
  <c r="P871" i="3"/>
  <c r="P875" i="3"/>
  <c r="L874" i="3"/>
  <c r="L873" i="3"/>
  <c r="L872" i="3"/>
  <c r="L871" i="3"/>
  <c r="L875" i="3"/>
  <c r="S869" i="3"/>
  <c r="S868" i="3"/>
  <c r="S867" i="3"/>
  <c r="S866" i="3"/>
  <c r="S870" i="3"/>
  <c r="O869" i="3"/>
  <c r="O868" i="3"/>
  <c r="O867" i="3"/>
  <c r="O866" i="3"/>
  <c r="O870" i="3"/>
  <c r="K869" i="3"/>
  <c r="K868" i="3"/>
  <c r="K867" i="3"/>
  <c r="K866" i="3"/>
  <c r="K870" i="3"/>
  <c r="Q863" i="3"/>
  <c r="Q862" i="3"/>
  <c r="Q861" i="3"/>
  <c r="Q865" i="3"/>
  <c r="Q864" i="3"/>
  <c r="M863" i="3"/>
  <c r="M862" i="3"/>
  <c r="M861" i="3"/>
  <c r="M865" i="3"/>
  <c r="M864" i="3"/>
  <c r="T858" i="3"/>
  <c r="T857" i="3"/>
  <c r="T856" i="3"/>
  <c r="T860" i="3"/>
  <c r="T859" i="3"/>
  <c r="P858" i="3"/>
  <c r="P857" i="3"/>
  <c r="P856" i="3"/>
  <c r="P860" i="3"/>
  <c r="P859" i="3"/>
  <c r="L858" i="3"/>
  <c r="L857" i="3"/>
  <c r="L856" i="3"/>
  <c r="L860" i="3"/>
  <c r="L859" i="3"/>
  <c r="S853" i="3"/>
  <c r="S852" i="3"/>
  <c r="S851" i="3"/>
  <c r="S855" i="3"/>
  <c r="S854" i="3"/>
  <c r="O853" i="3"/>
  <c r="O852" i="3"/>
  <c r="O851" i="3"/>
  <c r="O855" i="3"/>
  <c r="O854" i="3"/>
  <c r="K853" i="3"/>
  <c r="K852" i="3"/>
  <c r="K851" i="3"/>
  <c r="K855" i="3"/>
  <c r="K854" i="3"/>
  <c r="R848" i="3"/>
  <c r="R847" i="3"/>
  <c r="R846" i="3"/>
  <c r="R850" i="3"/>
  <c r="R849" i="3"/>
  <c r="N848" i="3"/>
  <c r="N847" i="3"/>
  <c r="N846" i="3"/>
  <c r="N850" i="3"/>
  <c r="N849" i="3"/>
  <c r="J848" i="3"/>
  <c r="J847" i="3"/>
  <c r="J846" i="3"/>
  <c r="J850" i="3"/>
  <c r="J849" i="3"/>
  <c r="Q843" i="3"/>
  <c r="Q845" i="3"/>
  <c r="Q844" i="3"/>
  <c r="M843" i="3"/>
  <c r="M845" i="3"/>
  <c r="M844" i="3"/>
  <c r="T842" i="3"/>
  <c r="T841" i="3"/>
  <c r="T840" i="3"/>
  <c r="P842" i="3"/>
  <c r="P841" i="3"/>
  <c r="P840" i="3"/>
  <c r="L842" i="3"/>
  <c r="L841" i="3"/>
  <c r="L840" i="3"/>
  <c r="S837" i="3"/>
  <c r="S839" i="3"/>
  <c r="S838" i="3"/>
  <c r="O837" i="3"/>
  <c r="O839" i="3"/>
  <c r="O838" i="3"/>
  <c r="K837" i="3"/>
  <c r="K839" i="3"/>
  <c r="K838" i="3"/>
  <c r="R836" i="3"/>
  <c r="R835" i="3"/>
  <c r="R834" i="3"/>
  <c r="N836" i="3"/>
  <c r="N835" i="3"/>
  <c r="N834" i="3"/>
  <c r="J836" i="3"/>
  <c r="J835" i="3"/>
  <c r="J834" i="3"/>
  <c r="Q831" i="3"/>
  <c r="Q830" i="3"/>
  <c r="Q829" i="3"/>
  <c r="Q833" i="3"/>
  <c r="Q832" i="3"/>
  <c r="M831" i="3"/>
  <c r="M830" i="3"/>
  <c r="M829" i="3"/>
  <c r="M833" i="3"/>
  <c r="M832" i="3"/>
  <c r="T826" i="3"/>
  <c r="T825" i="3"/>
  <c r="T824" i="3"/>
  <c r="T828" i="3"/>
  <c r="T827" i="3"/>
  <c r="P826" i="3"/>
  <c r="P825" i="3"/>
  <c r="P824" i="3"/>
  <c r="P828" i="3"/>
  <c r="P827" i="3"/>
  <c r="L826" i="3"/>
  <c r="L825" i="3"/>
  <c r="L824" i="3"/>
  <c r="L828" i="3"/>
  <c r="L827" i="3"/>
  <c r="S821" i="3"/>
  <c r="S820" i="3"/>
  <c r="S819" i="3"/>
  <c r="S823" i="3"/>
  <c r="S822" i="3"/>
  <c r="O821" i="3"/>
  <c r="O820" i="3"/>
  <c r="O819" i="3"/>
  <c r="O823" i="3"/>
  <c r="O822" i="3"/>
  <c r="K821" i="3"/>
  <c r="K820" i="3"/>
  <c r="K819" i="3"/>
  <c r="K823" i="3"/>
  <c r="K822" i="3"/>
  <c r="R816" i="3"/>
  <c r="R815" i="3"/>
  <c r="R814" i="3"/>
  <c r="R818" i="3"/>
  <c r="R817" i="3"/>
  <c r="N816" i="3"/>
  <c r="N815" i="3"/>
  <c r="N814" i="3"/>
  <c r="N818" i="3"/>
  <c r="N817" i="3"/>
  <c r="J816" i="3"/>
  <c r="J815" i="3"/>
  <c r="J814" i="3"/>
  <c r="J818" i="3"/>
  <c r="J817" i="3"/>
  <c r="Q811" i="3"/>
  <c r="Q810" i="3"/>
  <c r="Q809" i="3"/>
  <c r="Q813" i="3"/>
  <c r="Q812" i="3"/>
  <c r="M811" i="3"/>
  <c r="M810" i="3"/>
  <c r="M809" i="3"/>
  <c r="M813" i="3"/>
  <c r="M812" i="3"/>
  <c r="T806" i="3"/>
  <c r="T808" i="3"/>
  <c r="T807" i="3"/>
  <c r="P806" i="3"/>
  <c r="P808" i="3"/>
  <c r="P807" i="3"/>
  <c r="L806" i="3"/>
  <c r="L808" i="3"/>
  <c r="L807" i="3"/>
  <c r="S805" i="3"/>
  <c r="S804" i="3"/>
  <c r="S803" i="3"/>
  <c r="O805" i="3"/>
  <c r="O804" i="3"/>
  <c r="O803" i="3"/>
  <c r="K805" i="3"/>
  <c r="K804" i="3"/>
  <c r="K803" i="3"/>
  <c r="R800" i="3"/>
  <c r="R802" i="3"/>
  <c r="R801" i="3"/>
  <c r="N800" i="3"/>
  <c r="N802" i="3"/>
  <c r="N801" i="3"/>
  <c r="J800" i="3"/>
  <c r="J802" i="3"/>
  <c r="J801" i="3"/>
  <c r="Q799" i="3"/>
  <c r="Q798" i="3"/>
  <c r="Q797" i="3"/>
  <c r="M799" i="3"/>
  <c r="M798" i="3"/>
  <c r="M797" i="3"/>
  <c r="T794" i="3"/>
  <c r="T793" i="3"/>
  <c r="T792" i="3"/>
  <c r="T796" i="3"/>
  <c r="T795" i="3"/>
  <c r="P794" i="3"/>
  <c r="P793" i="3"/>
  <c r="P792" i="3"/>
  <c r="P796" i="3"/>
  <c r="P795" i="3"/>
  <c r="L794" i="3"/>
  <c r="L793" i="3"/>
  <c r="L792" i="3"/>
  <c r="L796" i="3"/>
  <c r="L795" i="3"/>
  <c r="S789" i="3"/>
  <c r="S788" i="3"/>
  <c r="S787" i="3"/>
  <c r="S791" i="3"/>
  <c r="S790" i="3"/>
  <c r="O789" i="3"/>
  <c r="O788" i="3"/>
  <c r="O787" i="3"/>
  <c r="O791" i="3"/>
  <c r="O790" i="3"/>
  <c r="K789" i="3"/>
  <c r="K788" i="3"/>
  <c r="K787" i="3"/>
  <c r="K791" i="3"/>
  <c r="K790" i="3"/>
  <c r="R784" i="3"/>
  <c r="R783" i="3"/>
  <c r="R782" i="3"/>
  <c r="R786" i="3"/>
  <c r="R785" i="3"/>
  <c r="N784" i="3"/>
  <c r="N783" i="3"/>
  <c r="N782" i="3"/>
  <c r="N786" i="3"/>
  <c r="N785" i="3"/>
  <c r="J784" i="3"/>
  <c r="J783" i="3"/>
  <c r="J782" i="3"/>
  <c r="J786" i="3"/>
  <c r="J785" i="3"/>
  <c r="Q779" i="3"/>
  <c r="Q778" i="3"/>
  <c r="Q777" i="3"/>
  <c r="Q781" i="3"/>
  <c r="Q780" i="3"/>
  <c r="M779" i="3"/>
  <c r="M778" i="3"/>
  <c r="M777" i="3"/>
  <c r="M781" i="3"/>
  <c r="M780" i="3"/>
  <c r="T774" i="3"/>
  <c r="T773" i="3"/>
  <c r="T772" i="3"/>
  <c r="T776" i="3"/>
  <c r="T775" i="3"/>
  <c r="P774" i="3"/>
  <c r="P773" i="3"/>
  <c r="P772" i="3"/>
  <c r="P776" i="3"/>
  <c r="P775" i="3"/>
  <c r="L774" i="3"/>
  <c r="L773" i="3"/>
  <c r="L772" i="3"/>
  <c r="L776" i="3"/>
  <c r="L775" i="3"/>
  <c r="S769" i="3"/>
  <c r="S768" i="3"/>
  <c r="S767" i="3"/>
  <c r="S771" i="3"/>
  <c r="S770" i="3"/>
  <c r="O769" i="3"/>
  <c r="O768" i="3"/>
  <c r="O767" i="3"/>
  <c r="O771" i="3"/>
  <c r="O770" i="3"/>
  <c r="K769" i="3"/>
  <c r="K768" i="3"/>
  <c r="K767" i="3"/>
  <c r="K771" i="3"/>
  <c r="K770" i="3"/>
  <c r="R764" i="3"/>
  <c r="R763" i="3"/>
  <c r="R762" i="3"/>
  <c r="R766" i="3"/>
  <c r="R765" i="3"/>
  <c r="N764" i="3"/>
  <c r="N763" i="3"/>
  <c r="N762" i="3"/>
  <c r="N766" i="3"/>
  <c r="N765" i="3"/>
  <c r="J764" i="3"/>
  <c r="J763" i="3"/>
  <c r="J762" i="3"/>
  <c r="J766" i="3"/>
  <c r="J765" i="3"/>
  <c r="Q759" i="3"/>
  <c r="Q758" i="3"/>
  <c r="Q757" i="3"/>
  <c r="Q761" i="3"/>
  <c r="Q760" i="3"/>
  <c r="M759" i="3"/>
  <c r="M758" i="3"/>
  <c r="M757" i="3"/>
  <c r="M761" i="3"/>
  <c r="M760" i="3"/>
  <c r="T754" i="3"/>
  <c r="T753" i="3"/>
  <c r="T752" i="3"/>
  <c r="T756" i="3"/>
  <c r="T755" i="3"/>
  <c r="P754" i="3"/>
  <c r="P753" i="3"/>
  <c r="P752" i="3"/>
  <c r="P756" i="3"/>
  <c r="P755" i="3"/>
  <c r="L754" i="3"/>
  <c r="L753" i="3"/>
  <c r="L752" i="3"/>
  <c r="L756" i="3"/>
  <c r="L755" i="3"/>
  <c r="S749" i="3"/>
  <c r="S747" i="3"/>
  <c r="S748" i="3"/>
  <c r="S751" i="3"/>
  <c r="S750" i="3"/>
  <c r="O749" i="3"/>
  <c r="O751" i="3"/>
  <c r="O747" i="3"/>
  <c r="O748" i="3"/>
  <c r="O750" i="3"/>
  <c r="K747" i="3"/>
  <c r="K748" i="3"/>
  <c r="K749" i="3"/>
  <c r="K751" i="3"/>
  <c r="K750" i="3"/>
  <c r="R745" i="3"/>
  <c r="R742" i="3"/>
  <c r="R743" i="3"/>
  <c r="R744" i="3"/>
  <c r="R746" i="3"/>
  <c r="N745" i="3"/>
  <c r="N742" i="3"/>
  <c r="N743" i="3"/>
  <c r="N744" i="3"/>
  <c r="N746" i="3"/>
  <c r="J745" i="3"/>
  <c r="J742" i="3"/>
  <c r="J743" i="3"/>
  <c r="J744" i="3"/>
  <c r="J746" i="3"/>
  <c r="Q740" i="3"/>
  <c r="Q737" i="3"/>
  <c r="Q738" i="3"/>
  <c r="Q739" i="3"/>
  <c r="Q741" i="3"/>
  <c r="M740" i="3"/>
  <c r="M741" i="3"/>
  <c r="M737" i="3"/>
  <c r="M738" i="3"/>
  <c r="M739" i="3"/>
  <c r="T735" i="3"/>
  <c r="T736" i="3"/>
  <c r="T732" i="3"/>
  <c r="T733" i="3"/>
  <c r="T734" i="3"/>
  <c r="P735" i="3"/>
  <c r="P732" i="3"/>
  <c r="P733" i="3"/>
  <c r="P734" i="3"/>
  <c r="P736" i="3"/>
  <c r="L735" i="3"/>
  <c r="L732" i="3"/>
  <c r="L733" i="3"/>
  <c r="L734" i="3"/>
  <c r="L736" i="3"/>
  <c r="S726" i="3"/>
  <c r="S730" i="3"/>
  <c r="S723" i="3"/>
  <c r="S724" i="3"/>
  <c r="S725" i="3"/>
  <c r="S727" i="3"/>
  <c r="S728" i="3"/>
  <c r="S729" i="3"/>
  <c r="S731" i="3"/>
  <c r="O726" i="3"/>
  <c r="O730" i="3"/>
  <c r="O723" i="3"/>
  <c r="O724" i="3"/>
  <c r="O725" i="3"/>
  <c r="O727" i="3"/>
  <c r="O728" i="3"/>
  <c r="O729" i="3"/>
  <c r="O731" i="3"/>
  <c r="K726" i="3"/>
  <c r="K730" i="3"/>
  <c r="K731" i="3"/>
  <c r="K723" i="3"/>
  <c r="K724" i="3"/>
  <c r="K725" i="3"/>
  <c r="K727" i="3"/>
  <c r="K728" i="3"/>
  <c r="K729" i="3"/>
  <c r="R721" i="3"/>
  <c r="R718" i="3"/>
  <c r="R720" i="3"/>
  <c r="R719" i="3"/>
  <c r="R722" i="3"/>
  <c r="N721" i="3"/>
  <c r="N718" i="3"/>
  <c r="N722" i="3"/>
  <c r="N719" i="3"/>
  <c r="N720" i="3"/>
  <c r="J721" i="3"/>
  <c r="J720" i="3"/>
  <c r="J722" i="3"/>
  <c r="J718" i="3"/>
  <c r="J719" i="3"/>
  <c r="Q716" i="3"/>
  <c r="Q715" i="3"/>
  <c r="Q717" i="3"/>
  <c r="Q713" i="3"/>
  <c r="Q714" i="3"/>
  <c r="M716" i="3"/>
  <c r="M715" i="3"/>
  <c r="M713" i="3"/>
  <c r="M714" i="3"/>
  <c r="M717" i="3"/>
  <c r="T711" i="3"/>
  <c r="T710" i="3"/>
  <c r="T708" i="3"/>
  <c r="T709" i="3"/>
  <c r="T712" i="3"/>
  <c r="P711" i="3"/>
  <c r="P710" i="3"/>
  <c r="P712" i="3"/>
  <c r="P708" i="3"/>
  <c r="P709" i="3"/>
  <c r="L711" i="3"/>
  <c r="L710" i="3"/>
  <c r="L708" i="3"/>
  <c r="L709" i="3"/>
  <c r="L712" i="3"/>
  <c r="S706" i="3"/>
  <c r="S705" i="3"/>
  <c r="S703" i="3"/>
  <c r="S704" i="3"/>
  <c r="S707" i="3"/>
  <c r="O706" i="3"/>
  <c r="O705" i="3"/>
  <c r="O707" i="3"/>
  <c r="O703" i="3"/>
  <c r="O704" i="3"/>
  <c r="K706" i="3"/>
  <c r="K705" i="3"/>
  <c r="K703" i="3"/>
  <c r="K704" i="3"/>
  <c r="K707" i="3"/>
  <c r="R701" i="3"/>
  <c r="R700" i="3"/>
  <c r="R698" i="3"/>
  <c r="R699" i="3"/>
  <c r="R702" i="3"/>
  <c r="N701" i="3"/>
  <c r="N700" i="3"/>
  <c r="N702" i="3"/>
  <c r="N698" i="3"/>
  <c r="N699" i="3"/>
  <c r="J701" i="3"/>
  <c r="J700" i="3"/>
  <c r="J698" i="3"/>
  <c r="J699" i="3"/>
  <c r="J702" i="3"/>
  <c r="Q696" i="3"/>
  <c r="Q695" i="3"/>
  <c r="Q693" i="3"/>
  <c r="Q694" i="3"/>
  <c r="Q697" i="3"/>
  <c r="M696" i="3"/>
  <c r="M695" i="3"/>
  <c r="M697" i="3"/>
  <c r="M693" i="3"/>
  <c r="M694" i="3"/>
  <c r="T691" i="3"/>
  <c r="T690" i="3"/>
  <c r="T692" i="3"/>
  <c r="T688" i="3"/>
  <c r="T689" i="3"/>
  <c r="P691" i="3"/>
  <c r="P690" i="3"/>
  <c r="P688" i="3"/>
  <c r="P689" i="3"/>
  <c r="P692" i="3"/>
  <c r="L691" i="3"/>
  <c r="L690" i="3"/>
  <c r="L692" i="3"/>
  <c r="L688" i="3"/>
  <c r="L689" i="3"/>
  <c r="S686" i="3"/>
  <c r="S685" i="3"/>
  <c r="S683" i="3"/>
  <c r="S687" i="3"/>
  <c r="S684" i="3"/>
  <c r="O686" i="3"/>
  <c r="O685" i="3"/>
  <c r="O683" i="3"/>
  <c r="O684" i="3"/>
  <c r="O687" i="3"/>
  <c r="K686" i="3"/>
  <c r="K685" i="3"/>
  <c r="K683" i="3"/>
  <c r="K687" i="3"/>
  <c r="K684" i="3"/>
  <c r="R681" i="3"/>
  <c r="R680" i="3"/>
  <c r="R679" i="3"/>
  <c r="R678" i="3"/>
  <c r="R682" i="3"/>
  <c r="N681" i="3"/>
  <c r="N680" i="3"/>
  <c r="N679" i="3"/>
  <c r="N678" i="3"/>
  <c r="N682" i="3"/>
  <c r="J681" i="3"/>
  <c r="J680" i="3"/>
  <c r="J679" i="3"/>
  <c r="J678" i="3"/>
  <c r="J682" i="3"/>
  <c r="Q672" i="3"/>
  <c r="Q676" i="3"/>
  <c r="Q671" i="3"/>
  <c r="Q675" i="3"/>
  <c r="Q670" i="3"/>
  <c r="Q674" i="3"/>
  <c r="Q669" i="3"/>
  <c r="Q673" i="3"/>
  <c r="Q677" i="3"/>
  <c r="M672" i="3"/>
  <c r="M676" i="3"/>
  <c r="M671" i="3"/>
  <c r="M675" i="3"/>
  <c r="M670" i="3"/>
  <c r="M674" i="3"/>
  <c r="M669" i="3"/>
  <c r="M673" i="3"/>
  <c r="M677" i="3"/>
  <c r="T667" i="3"/>
  <c r="T666" i="3"/>
  <c r="T665" i="3"/>
  <c r="T664" i="3"/>
  <c r="T668" i="3"/>
  <c r="P667" i="3"/>
  <c r="P666" i="3"/>
  <c r="P665" i="3"/>
  <c r="P664" i="3"/>
  <c r="P668" i="3"/>
  <c r="L667" i="3"/>
  <c r="L666" i="3"/>
  <c r="L665" i="3"/>
  <c r="L664" i="3"/>
  <c r="L668" i="3"/>
  <c r="S662" i="3"/>
  <c r="S661" i="3"/>
  <c r="S660" i="3"/>
  <c r="S663" i="3"/>
  <c r="O662" i="3"/>
  <c r="O661" i="3"/>
  <c r="O660" i="3"/>
  <c r="O663" i="3"/>
  <c r="K662" i="3"/>
  <c r="K661" i="3"/>
  <c r="K660" i="3"/>
  <c r="K663" i="3"/>
  <c r="R657" i="3"/>
  <c r="R656" i="3"/>
  <c r="R655" i="3"/>
  <c r="R659" i="3"/>
  <c r="R658" i="3"/>
  <c r="N657" i="3"/>
  <c r="N656" i="3"/>
  <c r="N655" i="3"/>
  <c r="N659" i="3"/>
  <c r="N658" i="3"/>
  <c r="J657" i="3"/>
  <c r="J656" i="3"/>
  <c r="J655" i="3"/>
  <c r="J659" i="3"/>
  <c r="J658" i="3"/>
  <c r="Q650" i="3"/>
  <c r="Q652" i="3"/>
  <c r="Q654" i="3"/>
  <c r="Q651" i="3"/>
  <c r="Q653" i="3"/>
  <c r="M650" i="3"/>
  <c r="M651" i="3"/>
  <c r="M652" i="3"/>
  <c r="M654" i="3"/>
  <c r="M653" i="3"/>
  <c r="T645" i="3"/>
  <c r="T649" i="3"/>
  <c r="T648" i="3"/>
  <c r="T647" i="3"/>
  <c r="T646" i="3"/>
  <c r="P645" i="3"/>
  <c r="P649" i="3"/>
  <c r="P648" i="3"/>
  <c r="P646" i="3"/>
  <c r="P647" i="3"/>
  <c r="L645" i="3"/>
  <c r="L649" i="3"/>
  <c r="L648" i="3"/>
  <c r="L647" i="3"/>
  <c r="L646" i="3"/>
  <c r="S640" i="3"/>
  <c r="S644" i="3"/>
  <c r="S643" i="3"/>
  <c r="S642" i="3"/>
  <c r="S641" i="3"/>
  <c r="O640" i="3"/>
  <c r="O644" i="3"/>
  <c r="O643" i="3"/>
  <c r="O641" i="3"/>
  <c r="O642" i="3"/>
  <c r="K640" i="3"/>
  <c r="K644" i="3"/>
  <c r="K643" i="3"/>
  <c r="K642" i="3"/>
  <c r="K641" i="3"/>
  <c r="R635" i="3"/>
  <c r="R639" i="3"/>
  <c r="R638" i="3"/>
  <c r="R637" i="3"/>
  <c r="R636" i="3"/>
  <c r="N635" i="3"/>
  <c r="N639" i="3"/>
  <c r="N638" i="3"/>
  <c r="N636" i="3"/>
  <c r="N637" i="3"/>
  <c r="J635" i="3"/>
  <c r="J639" i="3"/>
  <c r="J638" i="3"/>
  <c r="J637" i="3"/>
  <c r="J636" i="3"/>
  <c r="Q634" i="3"/>
  <c r="Q633" i="3"/>
  <c r="Q632" i="3"/>
  <c r="Q631" i="3"/>
  <c r="M634" i="3"/>
  <c r="M633" i="3"/>
  <c r="M631" i="3"/>
  <c r="M632" i="3"/>
  <c r="T629" i="3"/>
  <c r="T628" i="3"/>
  <c r="T626" i="3"/>
  <c r="T627" i="3"/>
  <c r="T630" i="3"/>
  <c r="P629" i="3"/>
  <c r="P628" i="3"/>
  <c r="P627" i="3"/>
  <c r="P630" i="3"/>
  <c r="P626" i="3"/>
  <c r="L629" i="3"/>
  <c r="L628" i="3"/>
  <c r="L626" i="3"/>
  <c r="L627" i="3"/>
  <c r="L630" i="3"/>
  <c r="S624" i="3"/>
  <c r="S623" i="3"/>
  <c r="S621" i="3"/>
  <c r="S622" i="3"/>
  <c r="S625" i="3"/>
  <c r="O624" i="3"/>
  <c r="O623" i="3"/>
  <c r="O622" i="3"/>
  <c r="O625" i="3"/>
  <c r="O621" i="3"/>
  <c r="K624" i="3"/>
  <c r="K623" i="3"/>
  <c r="K621" i="3"/>
  <c r="K622" i="3"/>
  <c r="K625" i="3"/>
  <c r="R619" i="3"/>
  <c r="R618" i="3"/>
  <c r="R616" i="3"/>
  <c r="R617" i="3"/>
  <c r="R620" i="3"/>
  <c r="N619" i="3"/>
  <c r="N618" i="3"/>
  <c r="N617" i="3"/>
  <c r="N620" i="3"/>
  <c r="N616" i="3"/>
  <c r="J619" i="3"/>
  <c r="J618" i="3"/>
  <c r="J616" i="3"/>
  <c r="J617" i="3"/>
  <c r="J620" i="3"/>
  <c r="Q614" i="3"/>
  <c r="Q613" i="3"/>
  <c r="Q611" i="3"/>
  <c r="Q612" i="3"/>
  <c r="Q615" i="3"/>
  <c r="M614" i="3"/>
  <c r="M613" i="3"/>
  <c r="M612" i="3"/>
  <c r="M615" i="3"/>
  <c r="M611" i="3"/>
  <c r="T609" i="3"/>
  <c r="T608" i="3"/>
  <c r="T607" i="3"/>
  <c r="T610" i="3"/>
  <c r="T606" i="3"/>
  <c r="P609" i="3"/>
  <c r="P608" i="3"/>
  <c r="P606" i="3"/>
  <c r="P607" i="3"/>
  <c r="P610" i="3"/>
  <c r="L609" i="3"/>
  <c r="L608" i="3"/>
  <c r="L607" i="3"/>
  <c r="L610" i="3"/>
  <c r="L606" i="3"/>
  <c r="S604" i="3"/>
  <c r="S603" i="3"/>
  <c r="S602" i="3"/>
  <c r="S605" i="3"/>
  <c r="O604" i="3"/>
  <c r="O603" i="3"/>
  <c r="O602" i="3"/>
  <c r="O605" i="3"/>
  <c r="K604" i="3"/>
  <c r="K603" i="3"/>
  <c r="K602" i="3"/>
  <c r="K605" i="3"/>
  <c r="R600" i="3"/>
  <c r="R599" i="3"/>
  <c r="R598" i="3"/>
  <c r="R601" i="3"/>
  <c r="R597" i="3"/>
  <c r="N600" i="3"/>
  <c r="N599" i="3"/>
  <c r="N598" i="3"/>
  <c r="N601" i="3"/>
  <c r="N597" i="3"/>
  <c r="J600" i="3"/>
  <c r="J599" i="3"/>
  <c r="J598" i="3"/>
  <c r="J601" i="3"/>
  <c r="J597" i="3"/>
  <c r="Q595" i="3"/>
  <c r="Q594" i="3"/>
  <c r="Q593" i="3"/>
  <c r="Q592" i="3"/>
  <c r="Q596" i="3"/>
  <c r="M595" i="3"/>
  <c r="M594" i="3"/>
  <c r="M593" i="3"/>
  <c r="M592" i="3"/>
  <c r="M596" i="3"/>
  <c r="T586" i="3"/>
  <c r="T590" i="3"/>
  <c r="T589" i="3"/>
  <c r="T588" i="3"/>
  <c r="T587" i="3"/>
  <c r="T591" i="3"/>
  <c r="P586" i="3"/>
  <c r="P590" i="3"/>
  <c r="P589" i="3"/>
  <c r="P588" i="3"/>
  <c r="P587" i="3"/>
  <c r="P591" i="3"/>
  <c r="L586" i="3"/>
  <c r="L590" i="3"/>
  <c r="L589" i="3"/>
  <c r="L588" i="3"/>
  <c r="L587" i="3"/>
  <c r="L591" i="3"/>
  <c r="S581" i="3"/>
  <c r="S585" i="3"/>
  <c r="S584" i="3"/>
  <c r="S583" i="3"/>
  <c r="S582" i="3"/>
  <c r="O581" i="3"/>
  <c r="O585" i="3"/>
  <c r="O584" i="3"/>
  <c r="O583" i="3"/>
  <c r="O582" i="3"/>
  <c r="K581" i="3"/>
  <c r="K585" i="3"/>
  <c r="K584" i="3"/>
  <c r="K583" i="3"/>
  <c r="K582" i="3"/>
  <c r="R576" i="3"/>
  <c r="R580" i="3"/>
  <c r="R579" i="3"/>
  <c r="R578" i="3"/>
  <c r="R577" i="3"/>
  <c r="N576" i="3"/>
  <c r="N580" i="3"/>
  <c r="N579" i="3"/>
  <c r="N578" i="3"/>
  <c r="N577" i="3"/>
  <c r="J576" i="3"/>
  <c r="J580" i="3"/>
  <c r="J579" i="3"/>
  <c r="J578" i="3"/>
  <c r="J577" i="3"/>
  <c r="Q575" i="3"/>
  <c r="Q574" i="3"/>
  <c r="Q573" i="3"/>
  <c r="Q572" i="3"/>
  <c r="M575" i="3"/>
  <c r="M574" i="3"/>
  <c r="M573" i="3"/>
  <c r="M572" i="3"/>
  <c r="T570" i="3"/>
  <c r="T569" i="3"/>
  <c r="T568" i="3"/>
  <c r="T567" i="3"/>
  <c r="T571" i="3"/>
  <c r="P570" i="3"/>
  <c r="P569" i="3"/>
  <c r="P568" i="3"/>
  <c r="P567" i="3"/>
  <c r="P571" i="3"/>
  <c r="L570" i="3"/>
  <c r="L569" i="3"/>
  <c r="L568" i="3"/>
  <c r="L567" i="3"/>
  <c r="L571" i="3"/>
  <c r="S565" i="3"/>
  <c r="S564" i="3"/>
  <c r="S563" i="3"/>
  <c r="S562" i="3"/>
  <c r="S566" i="3"/>
  <c r="O565" i="3"/>
  <c r="O564" i="3"/>
  <c r="O563" i="3"/>
  <c r="O562" i="3"/>
  <c r="O566" i="3"/>
  <c r="K565" i="3"/>
  <c r="K564" i="3"/>
  <c r="K563" i="3"/>
  <c r="K562" i="3"/>
  <c r="K566" i="3"/>
  <c r="R560" i="3"/>
  <c r="R559" i="3"/>
  <c r="R558" i="3"/>
  <c r="R557" i="3"/>
  <c r="R561" i="3"/>
  <c r="N560" i="3"/>
  <c r="N559" i="3"/>
  <c r="N558" i="3"/>
  <c r="N557" i="3"/>
  <c r="N561" i="3"/>
  <c r="J560" i="3"/>
  <c r="J559" i="3"/>
  <c r="J558" i="3"/>
  <c r="J557" i="3"/>
  <c r="J561" i="3"/>
  <c r="Q555" i="3"/>
  <c r="Q554" i="3"/>
  <c r="Q553" i="3"/>
  <c r="Q552" i="3"/>
  <c r="Q556" i="3"/>
  <c r="M555" i="3"/>
  <c r="M554" i="3"/>
  <c r="M553" i="3"/>
  <c r="M552" i="3"/>
  <c r="M556" i="3"/>
  <c r="T550" i="3"/>
  <c r="T549" i="3"/>
  <c r="T548" i="3"/>
  <c r="T547" i="3"/>
  <c r="T551" i="3"/>
  <c r="P550" i="3"/>
  <c r="P549" i="3"/>
  <c r="P548" i="3"/>
  <c r="P547" i="3"/>
  <c r="P551" i="3"/>
  <c r="L550" i="3"/>
  <c r="L549" i="3"/>
  <c r="L548" i="3"/>
  <c r="L547" i="3"/>
  <c r="L551" i="3"/>
  <c r="S545" i="3"/>
  <c r="S544" i="3"/>
  <c r="S543" i="3"/>
  <c r="S546" i="3"/>
  <c r="O545" i="3"/>
  <c r="O543" i="3"/>
  <c r="O544" i="3"/>
  <c r="O546" i="3"/>
  <c r="K544" i="3"/>
  <c r="K545" i="3"/>
  <c r="K543" i="3"/>
  <c r="K546" i="3"/>
  <c r="R541" i="3"/>
  <c r="R542" i="3"/>
  <c r="N541" i="3"/>
  <c r="N542" i="3"/>
  <c r="J541" i="3"/>
  <c r="J542" i="3"/>
  <c r="Q538" i="3"/>
  <c r="Q540" i="3"/>
  <c r="Q539" i="3"/>
  <c r="M538" i="3"/>
  <c r="M540" i="3"/>
  <c r="M539" i="3"/>
  <c r="T537" i="3"/>
  <c r="T535" i="3"/>
  <c r="T536" i="3"/>
  <c r="P537" i="3"/>
  <c r="P535" i="3"/>
  <c r="P536" i="3"/>
  <c r="L537" i="3"/>
  <c r="L535" i="3"/>
  <c r="L536" i="3"/>
  <c r="S532" i="3"/>
  <c r="S534" i="3"/>
  <c r="S533" i="3"/>
  <c r="O532" i="3"/>
  <c r="O534" i="3"/>
  <c r="O533" i="3"/>
  <c r="K532" i="3"/>
  <c r="K534" i="3"/>
  <c r="K533" i="3"/>
  <c r="R531" i="3"/>
  <c r="R530" i="3"/>
  <c r="N531" i="3"/>
  <c r="N530" i="3"/>
  <c r="J531" i="3"/>
  <c r="J530" i="3"/>
  <c r="Q528" i="3"/>
  <c r="Q527" i="3"/>
  <c r="Q529" i="3"/>
  <c r="M528" i="3"/>
  <c r="M527" i="3"/>
  <c r="M529" i="3"/>
  <c r="T525" i="3"/>
  <c r="T523" i="3"/>
  <c r="T526" i="3"/>
  <c r="T524" i="3"/>
  <c r="P525" i="3"/>
  <c r="P523" i="3"/>
  <c r="P526" i="3"/>
  <c r="P524" i="3"/>
  <c r="L525" i="3"/>
  <c r="L523" i="3"/>
  <c r="L526" i="3"/>
  <c r="L524" i="3"/>
  <c r="S520" i="3"/>
  <c r="S522" i="3"/>
  <c r="S521" i="3"/>
  <c r="O520" i="3"/>
  <c r="O522" i="3"/>
  <c r="O521" i="3"/>
  <c r="K520" i="3"/>
  <c r="K522" i="3"/>
  <c r="K521" i="3"/>
  <c r="R519" i="3"/>
  <c r="R517" i="3"/>
  <c r="R516" i="3"/>
  <c r="R518" i="3"/>
  <c r="N519" i="3"/>
  <c r="N517" i="3"/>
  <c r="N516" i="3"/>
  <c r="N518" i="3"/>
  <c r="J519" i="3"/>
  <c r="J517" i="3"/>
  <c r="J516" i="3"/>
  <c r="J518" i="3"/>
  <c r="Q514" i="3"/>
  <c r="Q515" i="3"/>
  <c r="Q513" i="3"/>
  <c r="M514" i="3"/>
  <c r="M515" i="3"/>
  <c r="M513" i="3"/>
  <c r="T511" i="3"/>
  <c r="T512" i="3"/>
  <c r="P511" i="3"/>
  <c r="P512" i="3"/>
  <c r="L511" i="3"/>
  <c r="L512" i="3"/>
  <c r="S508" i="3"/>
  <c r="S510" i="3"/>
  <c r="S509" i="3"/>
  <c r="O508" i="3"/>
  <c r="O510" i="3"/>
  <c r="O509" i="3"/>
  <c r="K508" i="3"/>
  <c r="K510" i="3"/>
  <c r="K509" i="3"/>
  <c r="R507" i="3"/>
  <c r="R505" i="3"/>
  <c r="R504" i="3"/>
  <c r="R506" i="3"/>
  <c r="N507" i="3"/>
  <c r="N505" i="3"/>
  <c r="N504" i="3"/>
  <c r="N506" i="3"/>
  <c r="J507" i="3"/>
  <c r="J505" i="3"/>
  <c r="J504" i="3"/>
  <c r="J506" i="3"/>
  <c r="Q502" i="3"/>
  <c r="Q503" i="3"/>
  <c r="Q501" i="3"/>
  <c r="M502" i="3"/>
  <c r="M503" i="3"/>
  <c r="M501" i="3"/>
  <c r="T497" i="3"/>
  <c r="T499" i="3"/>
  <c r="T498" i="3"/>
  <c r="T500" i="3"/>
  <c r="P497" i="3"/>
  <c r="P499" i="3"/>
  <c r="P498" i="3"/>
  <c r="P500" i="3"/>
  <c r="L497" i="3"/>
  <c r="L499" i="3"/>
  <c r="L498" i="3"/>
  <c r="L500" i="3"/>
  <c r="S496" i="3"/>
  <c r="S494" i="3"/>
  <c r="S495" i="3"/>
  <c r="O496" i="3"/>
  <c r="O494" i="3"/>
  <c r="O495" i="3"/>
  <c r="K496" i="3"/>
  <c r="K494" i="3"/>
  <c r="K495" i="3"/>
  <c r="R491" i="3"/>
  <c r="R493" i="3"/>
  <c r="R492" i="3"/>
  <c r="N491" i="3"/>
  <c r="N493" i="3"/>
  <c r="N492" i="3"/>
  <c r="J491" i="3"/>
  <c r="J493" i="3"/>
  <c r="J492" i="3"/>
  <c r="Q490" i="3"/>
  <c r="Q488" i="3"/>
  <c r="Q489" i="3"/>
  <c r="M490" i="3"/>
  <c r="M488" i="3"/>
  <c r="M489" i="3"/>
  <c r="T485" i="3"/>
  <c r="T487" i="3"/>
  <c r="T486" i="3"/>
  <c r="P485" i="3"/>
  <c r="P487" i="3"/>
  <c r="P486" i="3"/>
  <c r="L485" i="3"/>
  <c r="L487" i="3"/>
  <c r="L486" i="3"/>
  <c r="S484" i="3"/>
  <c r="S483" i="3"/>
  <c r="O484" i="3"/>
  <c r="O483" i="3"/>
  <c r="K484" i="3"/>
  <c r="K483" i="3"/>
  <c r="R481" i="3"/>
  <c r="R482" i="3"/>
  <c r="N481" i="3"/>
  <c r="N482" i="3"/>
  <c r="J481" i="3"/>
  <c r="J482" i="3"/>
  <c r="Q480" i="3"/>
  <c r="Q479" i="3"/>
  <c r="M480" i="3"/>
  <c r="M479" i="3"/>
  <c r="T477" i="3"/>
  <c r="T478" i="3"/>
  <c r="P477" i="3"/>
  <c r="P478" i="3"/>
  <c r="L477" i="3"/>
  <c r="L478" i="3"/>
  <c r="S476" i="3"/>
  <c r="S475" i="3"/>
  <c r="O476" i="3"/>
  <c r="O475" i="3"/>
  <c r="K476" i="3"/>
  <c r="K475" i="3"/>
  <c r="R474" i="3"/>
  <c r="R473" i="3"/>
  <c r="N474" i="3"/>
  <c r="N473" i="3"/>
  <c r="J474" i="3"/>
  <c r="J473" i="3"/>
  <c r="Q472" i="3"/>
  <c r="Q471" i="3"/>
  <c r="M472" i="3"/>
  <c r="M471" i="3"/>
  <c r="T469" i="3"/>
  <c r="T470" i="3"/>
  <c r="P469" i="3"/>
  <c r="P470" i="3"/>
  <c r="L469" i="3"/>
  <c r="L470" i="3"/>
  <c r="S468" i="3"/>
  <c r="S467" i="3"/>
  <c r="O468" i="3"/>
  <c r="O467" i="3"/>
  <c r="K468" i="3"/>
  <c r="K467" i="3"/>
  <c r="R466" i="3"/>
  <c r="R465" i="3"/>
  <c r="N466" i="3"/>
  <c r="N465" i="3"/>
  <c r="J466" i="3"/>
  <c r="J465" i="3"/>
  <c r="Q464" i="3"/>
  <c r="Q463" i="3"/>
  <c r="M464" i="3"/>
  <c r="M463" i="3"/>
  <c r="T461" i="3"/>
  <c r="T462" i="3"/>
  <c r="P461" i="3"/>
  <c r="P462" i="3"/>
  <c r="L461" i="3"/>
  <c r="L462" i="3"/>
  <c r="S460" i="3"/>
  <c r="S459" i="3"/>
  <c r="O460" i="3"/>
  <c r="O459" i="3"/>
  <c r="K460" i="3"/>
  <c r="K459" i="3"/>
  <c r="R458" i="3"/>
  <c r="R457" i="3"/>
  <c r="N458" i="3"/>
  <c r="N457" i="3"/>
  <c r="J458" i="3"/>
  <c r="J457" i="3"/>
  <c r="Q456" i="3"/>
  <c r="Q455" i="3"/>
  <c r="M456" i="3"/>
  <c r="M455" i="3"/>
  <c r="T453" i="3"/>
  <c r="T454" i="3"/>
  <c r="P453" i="3"/>
  <c r="P454" i="3"/>
  <c r="L453" i="3"/>
  <c r="L454" i="3"/>
  <c r="S452" i="3"/>
  <c r="S451" i="3"/>
  <c r="O452" i="3"/>
  <c r="O451" i="3"/>
  <c r="K452" i="3"/>
  <c r="K451" i="3"/>
  <c r="R449" i="3"/>
  <c r="R450" i="3"/>
  <c r="N449" i="3"/>
  <c r="N450" i="3"/>
  <c r="J449" i="3"/>
  <c r="J450" i="3"/>
  <c r="Q448" i="3"/>
  <c r="Q447" i="3"/>
  <c r="M448" i="3"/>
  <c r="M447" i="3"/>
  <c r="T446" i="3"/>
  <c r="T445" i="3"/>
  <c r="P446" i="3"/>
  <c r="P445" i="3"/>
  <c r="L446" i="3"/>
  <c r="L445" i="3"/>
  <c r="S443" i="3"/>
  <c r="S444" i="3"/>
  <c r="O443" i="3"/>
  <c r="O444" i="3"/>
  <c r="K443" i="3"/>
  <c r="K444" i="3"/>
  <c r="R441" i="3"/>
  <c r="R442" i="3"/>
  <c r="N441" i="3"/>
  <c r="N442" i="3"/>
  <c r="J441" i="3"/>
  <c r="J442" i="3"/>
  <c r="Q440" i="3"/>
  <c r="Q439" i="3"/>
  <c r="M440" i="3"/>
  <c r="M439" i="3"/>
  <c r="T438" i="3"/>
  <c r="T437" i="3"/>
  <c r="P438" i="3"/>
  <c r="P437" i="3"/>
  <c r="L438" i="3"/>
  <c r="L437" i="3"/>
  <c r="S435" i="3"/>
  <c r="S436" i="3"/>
  <c r="O435" i="3"/>
  <c r="O436" i="3"/>
  <c r="K435" i="3"/>
  <c r="K436" i="3"/>
  <c r="R433" i="3"/>
  <c r="R434" i="3"/>
  <c r="N433" i="3"/>
  <c r="N434" i="3"/>
  <c r="J433" i="3"/>
  <c r="J434" i="3"/>
  <c r="Q432" i="3"/>
  <c r="Q431" i="3"/>
  <c r="M432" i="3"/>
  <c r="M431" i="3"/>
  <c r="T430" i="3"/>
  <c r="T429" i="3"/>
  <c r="P430" i="3"/>
  <c r="P429" i="3"/>
  <c r="L430" i="3"/>
  <c r="L429" i="3"/>
  <c r="S427" i="3"/>
  <c r="S428" i="3"/>
  <c r="O427" i="3"/>
  <c r="O428" i="3"/>
  <c r="K427" i="3"/>
  <c r="K428" i="3"/>
  <c r="R425" i="3"/>
  <c r="R426" i="3"/>
  <c r="N425" i="3"/>
  <c r="N426" i="3"/>
  <c r="J425" i="3"/>
  <c r="J426" i="3"/>
  <c r="Q424" i="3"/>
  <c r="Q423" i="3"/>
  <c r="M424" i="3"/>
  <c r="M423" i="3"/>
  <c r="T422" i="3"/>
  <c r="T421" i="3"/>
  <c r="P422" i="3"/>
  <c r="P421" i="3"/>
  <c r="L422" i="3"/>
  <c r="L421" i="3"/>
  <c r="S419" i="3"/>
  <c r="S420" i="3"/>
  <c r="O419" i="3"/>
  <c r="O420" i="3"/>
  <c r="K419" i="3"/>
  <c r="K420" i="3"/>
  <c r="R417" i="3"/>
  <c r="R418" i="3"/>
  <c r="N417" i="3"/>
  <c r="N418" i="3"/>
  <c r="J417" i="3"/>
  <c r="J418" i="3"/>
  <c r="Q416" i="3"/>
  <c r="Q415" i="3"/>
  <c r="M416" i="3"/>
  <c r="M415" i="3"/>
  <c r="T414" i="3"/>
  <c r="T413" i="3"/>
  <c r="P414" i="3"/>
  <c r="P413" i="3"/>
  <c r="L414" i="3"/>
  <c r="L413" i="3"/>
  <c r="S411" i="3"/>
  <c r="S412" i="3"/>
  <c r="O411" i="3"/>
  <c r="O412" i="3"/>
  <c r="K411" i="3"/>
  <c r="K412" i="3"/>
  <c r="R409" i="3"/>
  <c r="R410" i="3"/>
  <c r="N409" i="3"/>
  <c r="N410" i="3"/>
  <c r="J409" i="3"/>
  <c r="J410" i="3"/>
  <c r="Q408" i="3"/>
  <c r="Q407" i="3"/>
  <c r="M408" i="3"/>
  <c r="M407" i="3"/>
  <c r="T406" i="3"/>
  <c r="T405" i="3"/>
  <c r="P406" i="3"/>
  <c r="P405" i="3"/>
  <c r="L406" i="3"/>
  <c r="L405" i="3"/>
  <c r="S403" i="3"/>
  <c r="S404" i="3"/>
  <c r="O403" i="3"/>
  <c r="O404" i="3"/>
  <c r="K403" i="3"/>
  <c r="K404" i="3"/>
  <c r="R401" i="3"/>
  <c r="R402" i="3"/>
  <c r="N401" i="3"/>
  <c r="N402" i="3"/>
  <c r="J401" i="3"/>
  <c r="J402" i="3"/>
  <c r="Q400" i="3"/>
  <c r="Q399" i="3"/>
  <c r="M400" i="3"/>
  <c r="M399" i="3"/>
  <c r="T398" i="3"/>
  <c r="T397" i="3"/>
  <c r="P398" i="3"/>
  <c r="P397" i="3"/>
  <c r="L398" i="3"/>
  <c r="L397" i="3"/>
  <c r="S395" i="3"/>
  <c r="S396" i="3"/>
  <c r="O395" i="3"/>
  <c r="O396" i="3"/>
  <c r="K395" i="3"/>
  <c r="K396" i="3"/>
  <c r="R393" i="3"/>
  <c r="R394" i="3"/>
  <c r="N393" i="3"/>
  <c r="N394" i="3"/>
  <c r="J393" i="3"/>
  <c r="J394" i="3"/>
  <c r="Q392" i="3"/>
  <c r="Q391" i="3"/>
  <c r="M392" i="3"/>
  <c r="M391" i="3"/>
  <c r="T387" i="3"/>
  <c r="T390" i="3"/>
  <c r="T388" i="3"/>
  <c r="T389" i="3"/>
  <c r="P387" i="3"/>
  <c r="P390" i="3"/>
  <c r="P388" i="3"/>
  <c r="P389" i="3"/>
  <c r="L387" i="3"/>
  <c r="L390" i="3"/>
  <c r="L388" i="3"/>
  <c r="L389" i="3"/>
  <c r="S386" i="3"/>
  <c r="S385" i="3"/>
  <c r="S383" i="3"/>
  <c r="S384" i="3"/>
  <c r="O386" i="3"/>
  <c r="O385" i="3"/>
  <c r="O383" i="3"/>
  <c r="O384" i="3"/>
  <c r="K386" i="3"/>
  <c r="K385" i="3"/>
  <c r="K383" i="3"/>
  <c r="K384" i="3"/>
  <c r="R381" i="3"/>
  <c r="R380" i="3"/>
  <c r="R382" i="3"/>
  <c r="R379" i="3"/>
  <c r="N381" i="3"/>
  <c r="N380" i="3"/>
  <c r="N382" i="3"/>
  <c r="N379" i="3"/>
  <c r="J381" i="3"/>
  <c r="J380" i="3"/>
  <c r="J382" i="3"/>
  <c r="J379" i="3"/>
  <c r="Q376" i="3"/>
  <c r="Q375" i="3"/>
  <c r="Q377" i="3"/>
  <c r="Q378" i="3"/>
  <c r="M376" i="3"/>
  <c r="M375" i="3"/>
  <c r="M377" i="3"/>
  <c r="M378" i="3"/>
  <c r="T371" i="3"/>
  <c r="T374" i="3"/>
  <c r="T372" i="3"/>
  <c r="T373" i="3"/>
  <c r="P371" i="3"/>
  <c r="P374" i="3"/>
  <c r="P372" i="3"/>
  <c r="P373" i="3"/>
  <c r="L371" i="3"/>
  <c r="L374" i="3"/>
  <c r="L372" i="3"/>
  <c r="L373" i="3"/>
  <c r="S370" i="3"/>
  <c r="S369" i="3"/>
  <c r="S367" i="3"/>
  <c r="S368" i="3"/>
  <c r="O370" i="3"/>
  <c r="O369" i="3"/>
  <c r="O367" i="3"/>
  <c r="O368" i="3"/>
  <c r="K370" i="3"/>
  <c r="K369" i="3"/>
  <c r="K367" i="3"/>
  <c r="K368" i="3"/>
  <c r="R365" i="3"/>
  <c r="R364" i="3"/>
  <c r="R366" i="3"/>
  <c r="R363" i="3"/>
  <c r="N365" i="3"/>
  <c r="N364" i="3"/>
  <c r="N366" i="3"/>
  <c r="N363" i="3"/>
  <c r="J365" i="3"/>
  <c r="J364" i="3"/>
  <c r="J366" i="3"/>
  <c r="J363" i="3"/>
  <c r="Q360" i="3"/>
  <c r="Q359" i="3"/>
  <c r="Q361" i="3"/>
  <c r="Q362" i="3"/>
  <c r="M360" i="3"/>
  <c r="M359" i="3"/>
  <c r="M361" i="3"/>
  <c r="M362" i="3"/>
  <c r="T355" i="3"/>
  <c r="T358" i="3"/>
  <c r="T356" i="3"/>
  <c r="T357" i="3"/>
  <c r="P355" i="3"/>
  <c r="P358" i="3"/>
  <c r="P356" i="3"/>
  <c r="P357" i="3"/>
  <c r="L355" i="3"/>
  <c r="L358" i="3"/>
  <c r="L356" i="3"/>
  <c r="L357" i="3"/>
  <c r="S354" i="3"/>
  <c r="S353" i="3"/>
  <c r="S351" i="3"/>
  <c r="S352" i="3"/>
  <c r="O354" i="3"/>
  <c r="O353" i="3"/>
  <c r="O351" i="3"/>
  <c r="O352" i="3"/>
  <c r="K354" i="3"/>
  <c r="K353" i="3"/>
  <c r="K351" i="3"/>
  <c r="K352" i="3"/>
  <c r="R349" i="3"/>
  <c r="R348" i="3"/>
  <c r="R350" i="3"/>
  <c r="R347" i="3"/>
  <c r="N349" i="3"/>
  <c r="N348" i="3"/>
  <c r="N350" i="3"/>
  <c r="N347" i="3"/>
  <c r="J349" i="3"/>
  <c r="J348" i="3"/>
  <c r="J350" i="3"/>
  <c r="J347" i="3"/>
  <c r="Q344" i="3"/>
  <c r="Q343" i="3"/>
  <c r="Q345" i="3"/>
  <c r="Q346" i="3"/>
  <c r="M344" i="3"/>
  <c r="M343" i="3"/>
  <c r="M345" i="3"/>
  <c r="M346" i="3"/>
  <c r="T339" i="3"/>
  <c r="T342" i="3"/>
  <c r="T340" i="3"/>
  <c r="T341" i="3"/>
  <c r="P339" i="3"/>
  <c r="P342" i="3"/>
  <c r="P340" i="3"/>
  <c r="P341" i="3"/>
  <c r="L339" i="3"/>
  <c r="L342" i="3"/>
  <c r="L340" i="3"/>
  <c r="L341" i="3"/>
  <c r="S338" i="3"/>
  <c r="S337" i="3"/>
  <c r="S335" i="3"/>
  <c r="S336" i="3"/>
  <c r="O338" i="3"/>
  <c r="O337" i="3"/>
  <c r="O335" i="3"/>
  <c r="O336" i="3"/>
  <c r="K335" i="3"/>
  <c r="K338" i="3"/>
  <c r="K337" i="3"/>
  <c r="K336" i="3"/>
  <c r="R332" i="3"/>
  <c r="R331" i="3"/>
  <c r="R334" i="3"/>
  <c r="R333" i="3"/>
  <c r="N332" i="3"/>
  <c r="N331" i="3"/>
  <c r="N333" i="3"/>
  <c r="N334" i="3"/>
  <c r="J332" i="3"/>
  <c r="J331" i="3"/>
  <c r="J333" i="3"/>
  <c r="J334" i="3"/>
  <c r="Q327" i="3"/>
  <c r="Q330" i="3"/>
  <c r="Q328" i="3"/>
  <c r="Q329" i="3"/>
  <c r="M327" i="3"/>
  <c r="M330" i="3"/>
  <c r="M328" i="3"/>
  <c r="M329" i="3"/>
  <c r="T323" i="3"/>
  <c r="T326" i="3"/>
  <c r="T325" i="3"/>
  <c r="T324" i="3"/>
  <c r="P323" i="3"/>
  <c r="P326" i="3"/>
  <c r="P325" i="3"/>
  <c r="P324" i="3"/>
  <c r="L323" i="3"/>
  <c r="L326" i="3"/>
  <c r="L325" i="3"/>
  <c r="L324" i="3"/>
  <c r="S322" i="3"/>
  <c r="S321" i="3"/>
  <c r="S320" i="3"/>
  <c r="S319" i="3"/>
  <c r="O322" i="3"/>
  <c r="O321" i="3"/>
  <c r="O320" i="3"/>
  <c r="O319" i="3"/>
  <c r="K322" i="3"/>
  <c r="K321" i="3"/>
  <c r="K320" i="3"/>
  <c r="K319" i="3"/>
  <c r="R317" i="3"/>
  <c r="R316" i="3"/>
  <c r="R315" i="3"/>
  <c r="R318" i="3"/>
  <c r="N317" i="3"/>
  <c r="N316" i="3"/>
  <c r="N315" i="3"/>
  <c r="N318" i="3"/>
  <c r="J317" i="3"/>
  <c r="J316" i="3"/>
  <c r="J315" i="3"/>
  <c r="J318" i="3"/>
  <c r="Q312" i="3"/>
  <c r="Q311" i="3"/>
  <c r="Q314" i="3"/>
  <c r="Q313" i="3"/>
  <c r="M312" i="3"/>
  <c r="M311" i="3"/>
  <c r="M314" i="3"/>
  <c r="M313" i="3"/>
  <c r="T307" i="3"/>
  <c r="T310" i="3"/>
  <c r="T309" i="3"/>
  <c r="T308" i="3"/>
  <c r="P307" i="3"/>
  <c r="P310" i="3"/>
  <c r="P309" i="3"/>
  <c r="P308" i="3"/>
  <c r="L307" i="3"/>
  <c r="L310" i="3"/>
  <c r="L309" i="3"/>
  <c r="L308" i="3"/>
  <c r="S302" i="3"/>
  <c r="S306" i="3"/>
  <c r="S305" i="3"/>
  <c r="S304" i="3"/>
  <c r="S303" i="3"/>
  <c r="O302" i="3"/>
  <c r="O306" i="3"/>
  <c r="O305" i="3"/>
  <c r="O304" i="3"/>
  <c r="O303" i="3"/>
  <c r="K302" i="3"/>
  <c r="K306" i="3"/>
  <c r="K305" i="3"/>
  <c r="K304" i="3"/>
  <c r="K303" i="3"/>
  <c r="R301" i="3"/>
  <c r="R300" i="3"/>
  <c r="R299" i="3"/>
  <c r="R298" i="3"/>
  <c r="N301" i="3"/>
  <c r="N300" i="3"/>
  <c r="N299" i="3"/>
  <c r="N298" i="3"/>
  <c r="J301" i="3"/>
  <c r="J300" i="3"/>
  <c r="J299" i="3"/>
  <c r="J298" i="3"/>
  <c r="Q296" i="3"/>
  <c r="Q295" i="3"/>
  <c r="Q294" i="3"/>
  <c r="Q293" i="3"/>
  <c r="Q297" i="3"/>
  <c r="M296" i="3"/>
  <c r="M295" i="3"/>
  <c r="M294" i="3"/>
  <c r="M293" i="3"/>
  <c r="M297" i="3"/>
  <c r="T291" i="3"/>
  <c r="T290" i="3"/>
  <c r="T289" i="3"/>
  <c r="T288" i="3"/>
  <c r="T292" i="3"/>
  <c r="P291" i="3"/>
  <c r="P290" i="3"/>
  <c r="P289" i="3"/>
  <c r="P288" i="3"/>
  <c r="P292" i="3"/>
  <c r="L291" i="3"/>
  <c r="L290" i="3"/>
  <c r="L289" i="3"/>
  <c r="L288" i="3"/>
  <c r="L292" i="3"/>
  <c r="S286" i="3"/>
  <c r="S285" i="3"/>
  <c r="S284" i="3"/>
  <c r="S287" i="3"/>
  <c r="O286" i="3"/>
  <c r="O285" i="3"/>
  <c r="O284" i="3"/>
  <c r="O287" i="3"/>
  <c r="K286" i="3"/>
  <c r="K285" i="3"/>
  <c r="K284" i="3"/>
  <c r="K287" i="3"/>
  <c r="R281" i="3"/>
  <c r="R280" i="3"/>
  <c r="R279" i="3"/>
  <c r="R283" i="3"/>
  <c r="R282" i="3"/>
  <c r="N281" i="3"/>
  <c r="N280" i="3"/>
  <c r="N279" i="3"/>
  <c r="N283" i="3"/>
  <c r="N282" i="3"/>
  <c r="J281" i="3"/>
  <c r="J280" i="3"/>
  <c r="J279" i="3"/>
  <c r="J283" i="3"/>
  <c r="J282" i="3"/>
  <c r="Q274" i="3"/>
  <c r="Q275" i="3"/>
  <c r="Q276" i="3"/>
  <c r="Q278" i="3"/>
  <c r="Q277" i="3"/>
  <c r="M274" i="3"/>
  <c r="M276" i="3"/>
  <c r="M275" i="3"/>
  <c r="M278" i="3"/>
  <c r="M277" i="3"/>
  <c r="T273" i="3"/>
  <c r="T272" i="3"/>
  <c r="T271" i="3"/>
  <c r="T270" i="3"/>
  <c r="P273" i="3"/>
  <c r="P272" i="3"/>
  <c r="P271" i="3"/>
  <c r="P270" i="3"/>
  <c r="L273" i="3"/>
  <c r="L272" i="3"/>
  <c r="L271" i="3"/>
  <c r="L270" i="3"/>
  <c r="S268" i="3"/>
  <c r="S267" i="3"/>
  <c r="S266" i="3"/>
  <c r="S269" i="3"/>
  <c r="O268" i="3"/>
  <c r="O267" i="3"/>
  <c r="O266" i="3"/>
  <c r="O269" i="3"/>
  <c r="K268" i="3"/>
  <c r="K267" i="3"/>
  <c r="K266" i="3"/>
  <c r="K269" i="3"/>
  <c r="R263" i="3"/>
  <c r="R262" i="3"/>
  <c r="R265" i="3"/>
  <c r="R264" i="3"/>
  <c r="N263" i="3"/>
  <c r="N262" i="3"/>
  <c r="N265" i="3"/>
  <c r="N264" i="3"/>
  <c r="J263" i="3"/>
  <c r="J262" i="3"/>
  <c r="J265" i="3"/>
  <c r="J264" i="3"/>
  <c r="Q254" i="3"/>
  <c r="Q253" i="3"/>
  <c r="Q257" i="3"/>
  <c r="Q252" i="3"/>
  <c r="Q256" i="3"/>
  <c r="Q255" i="3"/>
  <c r="M254" i="3"/>
  <c r="M253" i="3"/>
  <c r="M257" i="3"/>
  <c r="M252" i="3"/>
  <c r="M256" i="3"/>
  <c r="M255" i="3"/>
  <c r="T249" i="3"/>
  <c r="T248" i="3"/>
  <c r="T247" i="3"/>
  <c r="T251" i="3"/>
  <c r="T246" i="3"/>
  <c r="T250" i="3"/>
  <c r="P249" i="3"/>
  <c r="P248" i="3"/>
  <c r="P247" i="3"/>
  <c r="P251" i="3"/>
  <c r="P246" i="3"/>
  <c r="P250" i="3"/>
  <c r="L249" i="3"/>
  <c r="L248" i="3"/>
  <c r="L247" i="3"/>
  <c r="L251" i="3"/>
  <c r="L246" i="3"/>
  <c r="L250" i="3"/>
  <c r="S240" i="3"/>
  <c r="S244" i="3"/>
  <c r="S243" i="3"/>
  <c r="S242" i="3"/>
  <c r="S241" i="3"/>
  <c r="S245" i="3"/>
  <c r="O240" i="3"/>
  <c r="O244" i="3"/>
  <c r="O243" i="3"/>
  <c r="O242" i="3"/>
  <c r="O241" i="3"/>
  <c r="O245" i="3"/>
  <c r="K240" i="3"/>
  <c r="K244" i="3"/>
  <c r="K243" i="3"/>
  <c r="K242" i="3"/>
  <c r="K241" i="3"/>
  <c r="K245" i="3"/>
  <c r="R235" i="3"/>
  <c r="R239" i="3"/>
  <c r="R234" i="3"/>
  <c r="R238" i="3"/>
  <c r="R237" i="3"/>
  <c r="R236" i="3"/>
  <c r="N235" i="3"/>
  <c r="N239" i="3"/>
  <c r="N234" i="3"/>
  <c r="N238" i="3"/>
  <c r="N237" i="3"/>
  <c r="N236" i="3"/>
  <c r="J235" i="3"/>
  <c r="J239" i="3"/>
  <c r="J234" i="3"/>
  <c r="J238" i="3"/>
  <c r="J237" i="3"/>
  <c r="J236" i="3"/>
  <c r="Q230" i="3"/>
  <c r="Q229" i="3"/>
  <c r="Q233" i="3"/>
  <c r="Q228" i="3"/>
  <c r="Q232" i="3"/>
  <c r="Q231" i="3"/>
  <c r="M230" i="3"/>
  <c r="M229" i="3"/>
  <c r="M233" i="3"/>
  <c r="M228" i="3"/>
  <c r="M232" i="3"/>
  <c r="M231" i="3"/>
  <c r="T225" i="3"/>
  <c r="T224" i="3"/>
  <c r="T223" i="3"/>
  <c r="T227" i="3"/>
  <c r="T222" i="3"/>
  <c r="T226" i="3"/>
  <c r="P225" i="3"/>
  <c r="P224" i="3"/>
  <c r="P223" i="3"/>
  <c r="P227" i="3"/>
  <c r="P222" i="3"/>
  <c r="P226" i="3"/>
  <c r="L225" i="3"/>
  <c r="L224" i="3"/>
  <c r="L223" i="3"/>
  <c r="L227" i="3"/>
  <c r="L222" i="3"/>
  <c r="L226" i="3"/>
  <c r="S216" i="3"/>
  <c r="S217" i="3"/>
  <c r="S220" i="3"/>
  <c r="S219" i="3"/>
  <c r="S218" i="3"/>
  <c r="S221" i="3"/>
  <c r="O217" i="3"/>
  <c r="O216" i="3"/>
  <c r="O220" i="3"/>
  <c r="O219" i="3"/>
  <c r="O218" i="3"/>
  <c r="O221" i="3"/>
  <c r="K217" i="3"/>
  <c r="K216" i="3"/>
  <c r="K220" i="3"/>
  <c r="K219" i="3"/>
  <c r="K218" i="3"/>
  <c r="K221" i="3"/>
  <c r="R213" i="3"/>
  <c r="R212" i="3"/>
  <c r="R211" i="3"/>
  <c r="R215" i="3"/>
  <c r="R214" i="3"/>
  <c r="R210" i="3"/>
  <c r="N213" i="3"/>
  <c r="N212" i="3"/>
  <c r="N211" i="3"/>
  <c r="N215" i="3"/>
  <c r="N210" i="3"/>
  <c r="N214" i="3"/>
  <c r="J213" i="3"/>
  <c r="J212" i="3"/>
  <c r="J211" i="3"/>
  <c r="J215" i="3"/>
  <c r="J214" i="3"/>
  <c r="J210" i="3"/>
  <c r="Q204" i="3"/>
  <c r="Q208" i="3"/>
  <c r="Q207" i="3"/>
  <c r="Q206" i="3"/>
  <c r="Q205" i="3"/>
  <c r="Q209" i="3"/>
  <c r="M204" i="3"/>
  <c r="M208" i="3"/>
  <c r="M207" i="3"/>
  <c r="M206" i="3"/>
  <c r="M205" i="3"/>
  <c r="M209" i="3"/>
  <c r="T199" i="3"/>
  <c r="T203" i="3"/>
  <c r="T198" i="3"/>
  <c r="T202" i="3"/>
  <c r="T201" i="3"/>
  <c r="T200" i="3"/>
  <c r="P199" i="3"/>
  <c r="P203" i="3"/>
  <c r="P198" i="3"/>
  <c r="P202" i="3"/>
  <c r="P201" i="3"/>
  <c r="P200" i="3"/>
  <c r="L199" i="3"/>
  <c r="L203" i="3"/>
  <c r="L198" i="3"/>
  <c r="L202" i="3"/>
  <c r="L201" i="3"/>
  <c r="L200" i="3"/>
  <c r="S194" i="3"/>
  <c r="S193" i="3"/>
  <c r="S197" i="3"/>
  <c r="S192" i="3"/>
  <c r="S196" i="3"/>
  <c r="S195" i="3"/>
  <c r="O194" i="3"/>
  <c r="O193" i="3"/>
  <c r="O197" i="3"/>
  <c r="O192" i="3"/>
  <c r="O196" i="3"/>
  <c r="O195" i="3"/>
  <c r="K194" i="3"/>
  <c r="K193" i="3"/>
  <c r="K197" i="3"/>
  <c r="K192" i="3"/>
  <c r="K196" i="3"/>
  <c r="K195" i="3"/>
  <c r="R189" i="3"/>
  <c r="R188" i="3"/>
  <c r="R191" i="3"/>
  <c r="R190" i="3"/>
  <c r="N189" i="3"/>
  <c r="N188" i="3"/>
  <c r="N191" i="3"/>
  <c r="N190" i="3"/>
  <c r="J189" i="3"/>
  <c r="J188" i="3"/>
  <c r="J191" i="3"/>
  <c r="J190" i="3"/>
  <c r="Q184" i="3"/>
  <c r="Q187" i="3"/>
  <c r="Q186" i="3"/>
  <c r="Q185" i="3"/>
  <c r="M184" i="3"/>
  <c r="M187" i="3"/>
  <c r="M186" i="3"/>
  <c r="M185" i="3"/>
  <c r="T183" i="3"/>
  <c r="T182" i="3"/>
  <c r="T181" i="3"/>
  <c r="T180" i="3"/>
  <c r="P183" i="3"/>
  <c r="P182" i="3"/>
  <c r="P181" i="3"/>
  <c r="P180" i="3"/>
  <c r="L183" i="3"/>
  <c r="L182" i="3"/>
  <c r="L181" i="3"/>
  <c r="L180" i="3"/>
  <c r="S178" i="3"/>
  <c r="S177" i="3"/>
  <c r="S176" i="3"/>
  <c r="S179" i="3"/>
  <c r="O178" i="3"/>
  <c r="O177" i="3"/>
  <c r="O176" i="3"/>
  <c r="O179" i="3"/>
  <c r="K178" i="3"/>
  <c r="K177" i="3"/>
  <c r="K176" i="3"/>
  <c r="K179" i="3"/>
  <c r="R173" i="3"/>
  <c r="R172" i="3"/>
  <c r="R175" i="3"/>
  <c r="R174" i="3"/>
  <c r="N173" i="3"/>
  <c r="N172" i="3"/>
  <c r="N175" i="3"/>
  <c r="N174" i="3"/>
  <c r="J173" i="3"/>
  <c r="J172" i="3"/>
  <c r="J175" i="3"/>
  <c r="J174" i="3"/>
  <c r="Q168" i="3"/>
  <c r="Q167" i="3"/>
  <c r="Q171" i="3"/>
  <c r="Q170" i="3"/>
  <c r="Q169" i="3"/>
  <c r="M168" i="3"/>
  <c r="M167" i="3"/>
  <c r="M171" i="3"/>
  <c r="M170" i="3"/>
  <c r="M169" i="3"/>
  <c r="T163" i="3"/>
  <c r="T162" i="3"/>
  <c r="T166" i="3"/>
  <c r="T165" i="3"/>
  <c r="T164" i="3"/>
  <c r="P163" i="3"/>
  <c r="P162" i="3"/>
  <c r="P166" i="3"/>
  <c r="P165" i="3"/>
  <c r="P164" i="3"/>
  <c r="L163" i="3"/>
  <c r="L162" i="3"/>
  <c r="L166" i="3"/>
  <c r="L165" i="3"/>
  <c r="L164" i="3"/>
  <c r="S158" i="3"/>
  <c r="S157" i="3"/>
  <c r="S161" i="3"/>
  <c r="S160" i="3"/>
  <c r="S159" i="3"/>
  <c r="O158" i="3"/>
  <c r="O157" i="3"/>
  <c r="O161" i="3"/>
  <c r="O160" i="3"/>
  <c r="O159" i="3"/>
  <c r="K158" i="3"/>
  <c r="K157" i="3"/>
  <c r="K161" i="3"/>
  <c r="K160" i="3"/>
  <c r="K159" i="3"/>
  <c r="R155" i="3"/>
  <c r="R154" i="3"/>
  <c r="R153" i="3"/>
  <c r="R152" i="3"/>
  <c r="R156" i="3"/>
  <c r="N155" i="3"/>
  <c r="N154" i="3"/>
  <c r="N153" i="3"/>
  <c r="N152" i="3"/>
  <c r="N156" i="3"/>
  <c r="J155" i="3"/>
  <c r="J154" i="3"/>
  <c r="J153" i="3"/>
  <c r="J152" i="3"/>
  <c r="J156" i="3"/>
  <c r="Q150" i="3"/>
  <c r="Q149" i="3"/>
  <c r="Q148" i="3"/>
  <c r="Q147" i="3"/>
  <c r="Q151" i="3"/>
  <c r="M150" i="3"/>
  <c r="M149" i="3"/>
  <c r="M148" i="3"/>
  <c r="M147" i="3"/>
  <c r="M151" i="3"/>
  <c r="T141" i="3"/>
  <c r="T145" i="3"/>
  <c r="T140" i="3"/>
  <c r="T144" i="3"/>
  <c r="T143" i="3"/>
  <c r="T142" i="3"/>
  <c r="T146" i="3"/>
  <c r="P141" i="3"/>
  <c r="P145" i="3"/>
  <c r="P140" i="3"/>
  <c r="P144" i="3"/>
  <c r="P143" i="3"/>
  <c r="P142" i="3"/>
  <c r="P146" i="3"/>
  <c r="L141" i="3"/>
  <c r="L145" i="3"/>
  <c r="L140" i="3"/>
  <c r="L144" i="3"/>
  <c r="L143" i="3"/>
  <c r="L142" i="3"/>
  <c r="L146" i="3"/>
  <c r="S136" i="3"/>
  <c r="S135" i="3"/>
  <c r="S139" i="3"/>
  <c r="S134" i="3"/>
  <c r="S138" i="3"/>
  <c r="S133" i="3"/>
  <c r="S137" i="3"/>
  <c r="O136" i="3"/>
  <c r="O135" i="3"/>
  <c r="O139" i="3"/>
  <c r="O134" i="3"/>
  <c r="O138" i="3"/>
  <c r="O133" i="3"/>
  <c r="O137" i="3"/>
  <c r="K136" i="3"/>
  <c r="K135" i="3"/>
  <c r="K139" i="3"/>
  <c r="K134" i="3"/>
  <c r="K138" i="3"/>
  <c r="K133" i="3"/>
  <c r="K137" i="3"/>
  <c r="R127" i="3"/>
  <c r="R131" i="3"/>
  <c r="R126" i="3"/>
  <c r="R130" i="3"/>
  <c r="R129" i="3"/>
  <c r="R128" i="3"/>
  <c r="R132" i="3"/>
  <c r="N127" i="3"/>
  <c r="N131" i="3"/>
  <c r="N126" i="3"/>
  <c r="N130" i="3"/>
  <c r="N129" i="3"/>
  <c r="N128" i="3"/>
  <c r="N132" i="3"/>
  <c r="J127" i="3"/>
  <c r="J131" i="3"/>
  <c r="J126" i="3"/>
  <c r="J130" i="3"/>
  <c r="J129" i="3"/>
  <c r="J128" i="3"/>
  <c r="J132" i="3"/>
  <c r="Q122" i="3"/>
  <c r="Q121" i="3"/>
  <c r="Q125" i="3"/>
  <c r="Q120" i="3"/>
  <c r="Q124" i="3"/>
  <c r="Q119" i="3"/>
  <c r="Q123" i="3"/>
  <c r="M122" i="3"/>
  <c r="M121" i="3"/>
  <c r="M125" i="3"/>
  <c r="M120" i="3"/>
  <c r="M124" i="3"/>
  <c r="M119" i="3"/>
  <c r="M123" i="3"/>
  <c r="T113" i="3"/>
  <c r="T117" i="3"/>
  <c r="T112" i="3"/>
  <c r="T116" i="3"/>
  <c r="T115" i="3"/>
  <c r="T114" i="3"/>
  <c r="T118" i="3"/>
  <c r="P113" i="3"/>
  <c r="P117" i="3"/>
  <c r="P112" i="3"/>
  <c r="P116" i="3"/>
  <c r="P115" i="3"/>
  <c r="P114" i="3"/>
  <c r="P118" i="3"/>
  <c r="L113" i="3"/>
  <c r="L117" i="3"/>
  <c r="L112" i="3"/>
  <c r="L116" i="3"/>
  <c r="L115" i="3"/>
  <c r="L114" i="3"/>
  <c r="L118" i="3"/>
  <c r="S108" i="3"/>
  <c r="S111" i="3"/>
  <c r="S110" i="3"/>
  <c r="S109" i="3"/>
  <c r="O108" i="3"/>
  <c r="O111" i="3"/>
  <c r="O110" i="3"/>
  <c r="O109" i="3"/>
  <c r="K108" i="3"/>
  <c r="K111" i="3"/>
  <c r="K110" i="3"/>
  <c r="K109" i="3"/>
  <c r="R107" i="3"/>
  <c r="R106" i="3"/>
  <c r="R105" i="3"/>
  <c r="N107" i="3"/>
  <c r="N106" i="3"/>
  <c r="N105" i="3"/>
  <c r="J107" i="3"/>
  <c r="J106" i="3"/>
  <c r="J105" i="3"/>
  <c r="Q102" i="3"/>
  <c r="Q104" i="3"/>
  <c r="Q103" i="3"/>
  <c r="M102" i="3"/>
  <c r="M104" i="3"/>
  <c r="M103" i="3"/>
  <c r="T101" i="3"/>
  <c r="T100" i="3"/>
  <c r="T99" i="3"/>
  <c r="P101" i="3"/>
  <c r="P100" i="3"/>
  <c r="P99" i="3"/>
  <c r="L101" i="3"/>
  <c r="L100" i="3"/>
  <c r="L99" i="3"/>
  <c r="S96" i="3"/>
  <c r="S98" i="3"/>
  <c r="S97" i="3"/>
  <c r="O96" i="3"/>
  <c r="O98" i="3"/>
  <c r="O97" i="3"/>
  <c r="K96" i="3"/>
  <c r="K98" i="3"/>
  <c r="K97" i="3"/>
  <c r="R71" i="3"/>
  <c r="R73" i="3"/>
  <c r="R72" i="3"/>
  <c r="N71" i="3"/>
  <c r="N73" i="3"/>
  <c r="N72" i="3"/>
  <c r="J71" i="3"/>
  <c r="J73" i="3"/>
  <c r="J72" i="3"/>
  <c r="T64" i="3"/>
  <c r="T66" i="3"/>
  <c r="T65" i="3"/>
  <c r="P64" i="3"/>
  <c r="P66" i="3"/>
  <c r="P65" i="3"/>
  <c r="L64" i="3"/>
  <c r="L66" i="3"/>
  <c r="L65" i="3"/>
  <c r="S63" i="3"/>
  <c r="S61" i="3"/>
  <c r="S62" i="3"/>
  <c r="O63" i="3"/>
  <c r="O61" i="3"/>
  <c r="O62" i="3"/>
  <c r="K61" i="3"/>
  <c r="K63" i="3"/>
  <c r="K62" i="3"/>
  <c r="R58" i="3"/>
  <c r="R59" i="3"/>
  <c r="R60" i="3"/>
  <c r="N58" i="3"/>
  <c r="N59" i="3"/>
  <c r="N60" i="3"/>
  <c r="J58" i="3"/>
  <c r="J59" i="3"/>
  <c r="J60" i="3"/>
  <c r="Q57" i="3"/>
  <c r="Q55" i="3"/>
  <c r="Q56" i="3"/>
  <c r="M57" i="3"/>
  <c r="M55" i="3"/>
  <c r="M56" i="3"/>
  <c r="T52" i="3"/>
  <c r="T51" i="3"/>
  <c r="T68" i="3"/>
  <c r="T70" i="3"/>
  <c r="T53" i="3"/>
  <c r="T54" i="3"/>
  <c r="T69" i="3"/>
  <c r="T67" i="3"/>
  <c r="P52" i="3"/>
  <c r="P68" i="3"/>
  <c r="P53" i="3"/>
  <c r="P54" i="3"/>
  <c r="P70" i="3"/>
  <c r="P69" i="3"/>
  <c r="P67" i="3"/>
  <c r="P51" i="3"/>
  <c r="L52" i="3"/>
  <c r="L68" i="3"/>
  <c r="L51" i="3"/>
  <c r="L70" i="3"/>
  <c r="L53" i="3"/>
  <c r="L54" i="3"/>
  <c r="L69" i="3"/>
  <c r="L67" i="3"/>
  <c r="S47" i="3"/>
  <c r="S48" i="3"/>
  <c r="S49" i="3"/>
  <c r="S50" i="3"/>
  <c r="O47" i="3"/>
  <c r="O48" i="3"/>
  <c r="O49" i="3"/>
  <c r="O50" i="3"/>
  <c r="K47" i="3"/>
  <c r="K48" i="3"/>
  <c r="K49" i="3"/>
  <c r="K50" i="3"/>
  <c r="R46" i="3"/>
  <c r="R43" i="3"/>
  <c r="R44" i="3"/>
  <c r="R45" i="3"/>
  <c r="N46" i="3"/>
  <c r="N43" i="3"/>
  <c r="N44" i="3"/>
  <c r="N45" i="3"/>
  <c r="J46" i="3"/>
  <c r="J43" i="3"/>
  <c r="J44" i="3"/>
  <c r="J45" i="3"/>
  <c r="Q41" i="3"/>
  <c r="Q42" i="3"/>
  <c r="Q39" i="3"/>
  <c r="Q40" i="3"/>
  <c r="M41" i="3"/>
  <c r="M39" i="3"/>
  <c r="M40" i="3"/>
  <c r="M42" i="3"/>
  <c r="T35" i="3"/>
  <c r="T36" i="3"/>
  <c r="T37" i="3"/>
  <c r="T38" i="3"/>
  <c r="P37" i="3"/>
  <c r="P38" i="3"/>
  <c r="P36" i="3"/>
  <c r="P35" i="3"/>
  <c r="L37" i="3"/>
  <c r="L38" i="3"/>
  <c r="L36" i="3"/>
  <c r="L35" i="3"/>
  <c r="D184" i="17"/>
  <c r="D200" i="17"/>
  <c r="I1185" i="3"/>
  <c r="I1186" i="3"/>
  <c r="I1187" i="3"/>
  <c r="I1184" i="3"/>
  <c r="I1169" i="3"/>
  <c r="I1170" i="3"/>
  <c r="I1171" i="3"/>
  <c r="I1172" i="3"/>
  <c r="I1149" i="3"/>
  <c r="I1150" i="3"/>
  <c r="I1147" i="3"/>
  <c r="I1148" i="3"/>
  <c r="I1129" i="3"/>
  <c r="I1130" i="3"/>
  <c r="I1131" i="3"/>
  <c r="I1128" i="3"/>
  <c r="I1105" i="3"/>
  <c r="I1102" i="3"/>
  <c r="I1106" i="3"/>
  <c r="I1103" i="3"/>
  <c r="I1107" i="3"/>
  <c r="I1104" i="3"/>
  <c r="I1108" i="3"/>
  <c r="I1085" i="3"/>
  <c r="I1089" i="3"/>
  <c r="I1086" i="3"/>
  <c r="I1087" i="3"/>
  <c r="I1088" i="3"/>
  <c r="I1065" i="3"/>
  <c r="I1069" i="3"/>
  <c r="I1066" i="3"/>
  <c r="I1067" i="3"/>
  <c r="I1068" i="3"/>
  <c r="I1045" i="3"/>
  <c r="I1049" i="3"/>
  <c r="I1046" i="3"/>
  <c r="I1047" i="3"/>
  <c r="I1048" i="3"/>
  <c r="I1025" i="3"/>
  <c r="I1029" i="3"/>
  <c r="I1026" i="3"/>
  <c r="I1027" i="3"/>
  <c r="I1028" i="3"/>
  <c r="I1005" i="3"/>
  <c r="I1009" i="3"/>
  <c r="I1006" i="3"/>
  <c r="I1007" i="3"/>
  <c r="I1008" i="3"/>
  <c r="I985" i="3"/>
  <c r="I989" i="3"/>
  <c r="I986" i="3"/>
  <c r="I987" i="3"/>
  <c r="I988" i="3"/>
  <c r="I969" i="3"/>
  <c r="I967" i="3"/>
  <c r="I968" i="3"/>
  <c r="I953" i="3"/>
  <c r="I957" i="3"/>
  <c r="I954" i="3"/>
  <c r="I955" i="3"/>
  <c r="I956" i="3"/>
  <c r="I941" i="3"/>
  <c r="I938" i="3"/>
  <c r="I942" i="3"/>
  <c r="I939" i="3"/>
  <c r="I940" i="3"/>
  <c r="I925" i="3"/>
  <c r="I926" i="3"/>
  <c r="I924" i="3"/>
  <c r="I913" i="3"/>
  <c r="I914" i="3"/>
  <c r="I911" i="3"/>
  <c r="I915" i="3"/>
  <c r="I912" i="3"/>
  <c r="I893" i="3"/>
  <c r="I894" i="3"/>
  <c r="I891" i="3"/>
  <c r="I895" i="3"/>
  <c r="I892" i="3"/>
  <c r="I873" i="3"/>
  <c r="I874" i="3"/>
  <c r="I871" i="3"/>
  <c r="I875" i="3"/>
  <c r="I872" i="3"/>
  <c r="I857" i="3"/>
  <c r="I858" i="3"/>
  <c r="I859" i="3"/>
  <c r="I856" i="3"/>
  <c r="I860" i="3"/>
  <c r="I841" i="3"/>
  <c r="I842" i="3"/>
  <c r="I840" i="3"/>
  <c r="I825" i="3"/>
  <c r="I826" i="3"/>
  <c r="I827" i="3"/>
  <c r="I824" i="3"/>
  <c r="I828" i="3"/>
  <c r="I806" i="3"/>
  <c r="I807" i="3"/>
  <c r="I808" i="3"/>
  <c r="I793" i="3"/>
  <c r="I794" i="3"/>
  <c r="I795" i="3"/>
  <c r="I792" i="3"/>
  <c r="I796" i="3"/>
  <c r="I773" i="3"/>
  <c r="I774" i="3"/>
  <c r="I775" i="3"/>
  <c r="I772" i="3"/>
  <c r="I776" i="3"/>
  <c r="I753" i="3"/>
  <c r="I754" i="3"/>
  <c r="I755" i="3"/>
  <c r="I752" i="3"/>
  <c r="I756" i="3"/>
  <c r="I733" i="3"/>
  <c r="I734" i="3"/>
  <c r="I735" i="3"/>
  <c r="I732" i="3"/>
  <c r="I736" i="3"/>
  <c r="I709" i="3"/>
  <c r="I710" i="3"/>
  <c r="I711" i="3"/>
  <c r="I708" i="3"/>
  <c r="I712" i="3"/>
  <c r="I689" i="3"/>
  <c r="I690" i="3"/>
  <c r="I691" i="3"/>
  <c r="I688" i="3"/>
  <c r="I692" i="3"/>
  <c r="I665" i="3"/>
  <c r="I666" i="3"/>
  <c r="I667" i="3"/>
  <c r="I664" i="3"/>
  <c r="I668" i="3"/>
  <c r="I645" i="3"/>
  <c r="I649" i="3"/>
  <c r="I646" i="3"/>
  <c r="I647" i="3"/>
  <c r="I648" i="3"/>
  <c r="I629" i="3"/>
  <c r="I626" i="3"/>
  <c r="I630" i="3"/>
  <c r="I627" i="3"/>
  <c r="I628" i="3"/>
  <c r="I609" i="3"/>
  <c r="I606" i="3"/>
  <c r="I610" i="3"/>
  <c r="I607" i="3"/>
  <c r="I608" i="3"/>
  <c r="I589" i="3"/>
  <c r="I586" i="3"/>
  <c r="I590" i="3"/>
  <c r="I587" i="3"/>
  <c r="I591" i="3"/>
  <c r="I588" i="3"/>
  <c r="I569" i="3"/>
  <c r="I570" i="3"/>
  <c r="I567" i="3"/>
  <c r="I571" i="3"/>
  <c r="I568" i="3"/>
  <c r="I549" i="3"/>
  <c r="I550" i="3"/>
  <c r="I547" i="3"/>
  <c r="I551" i="3"/>
  <c r="I548" i="3"/>
  <c r="I537" i="3"/>
  <c r="I535" i="3"/>
  <c r="I536" i="3"/>
  <c r="I525" i="3"/>
  <c r="I526" i="3"/>
  <c r="I523" i="3"/>
  <c r="I524" i="3"/>
  <c r="I511" i="3"/>
  <c r="I512" i="3"/>
  <c r="I497" i="3"/>
  <c r="I498" i="3"/>
  <c r="I499" i="3"/>
  <c r="I500" i="3"/>
  <c r="I485" i="3"/>
  <c r="I486" i="3"/>
  <c r="I487" i="3"/>
  <c r="I477" i="3"/>
  <c r="I478" i="3"/>
  <c r="I469" i="3"/>
  <c r="I470" i="3"/>
  <c r="I461" i="3"/>
  <c r="I462" i="3"/>
  <c r="I453" i="3"/>
  <c r="I454" i="3"/>
  <c r="I445" i="3"/>
  <c r="I446" i="3"/>
  <c r="I437" i="3"/>
  <c r="I438" i="3"/>
  <c r="I429" i="3"/>
  <c r="I430" i="3"/>
  <c r="I421" i="3"/>
  <c r="I422" i="3"/>
  <c r="I413" i="3"/>
  <c r="I414" i="3"/>
  <c r="I405" i="3"/>
  <c r="I406" i="3"/>
  <c r="I397" i="3"/>
  <c r="I398" i="3"/>
  <c r="I389" i="3"/>
  <c r="I390" i="3"/>
  <c r="I387" i="3"/>
  <c r="I388" i="3"/>
  <c r="I373" i="3"/>
  <c r="I374" i="3"/>
  <c r="I371" i="3"/>
  <c r="I372" i="3"/>
  <c r="I357" i="3"/>
  <c r="I358" i="3"/>
  <c r="I355" i="3"/>
  <c r="I356" i="3"/>
  <c r="I341" i="3"/>
  <c r="I342" i="3"/>
  <c r="I339" i="3"/>
  <c r="I340" i="3"/>
  <c r="I325" i="3"/>
  <c r="I326" i="3"/>
  <c r="I323" i="3"/>
  <c r="I324" i="3"/>
  <c r="I309" i="3"/>
  <c r="I310" i="3"/>
  <c r="I307" i="3"/>
  <c r="I308" i="3"/>
  <c r="I289" i="3"/>
  <c r="I290" i="3"/>
  <c r="I291" i="3"/>
  <c r="I288" i="3"/>
  <c r="I292" i="3"/>
  <c r="I273" i="3"/>
  <c r="I270" i="3"/>
  <c r="I271" i="3"/>
  <c r="I272" i="3"/>
  <c r="I249" i="3"/>
  <c r="I246" i="3"/>
  <c r="I250" i="3"/>
  <c r="I247" i="3"/>
  <c r="I251" i="3"/>
  <c r="I248" i="3"/>
  <c r="I225" i="3"/>
  <c r="I222" i="3"/>
  <c r="I226" i="3"/>
  <c r="I223" i="3"/>
  <c r="I227" i="3"/>
  <c r="I224" i="3"/>
  <c r="I201" i="3"/>
  <c r="I198" i="3"/>
  <c r="I202" i="3"/>
  <c r="I199" i="3"/>
  <c r="I203" i="3"/>
  <c r="I200" i="3"/>
  <c r="I181" i="3"/>
  <c r="I182" i="3"/>
  <c r="I183" i="3"/>
  <c r="I180" i="3"/>
  <c r="I165" i="3"/>
  <c r="I162" i="3"/>
  <c r="I166" i="3"/>
  <c r="I163" i="3"/>
  <c r="I164" i="3"/>
  <c r="I141" i="3"/>
  <c r="I145" i="3"/>
  <c r="I142" i="3"/>
  <c r="I146" i="3"/>
  <c r="I143" i="3"/>
  <c r="I140" i="3"/>
  <c r="I144" i="3"/>
  <c r="I113" i="3"/>
  <c r="I117" i="3"/>
  <c r="I114" i="3"/>
  <c r="I118" i="3"/>
  <c r="I115" i="3"/>
  <c r="I112" i="3"/>
  <c r="I116" i="3"/>
  <c r="I101" i="3"/>
  <c r="I99" i="3"/>
  <c r="I100" i="3"/>
  <c r="I65" i="3"/>
  <c r="I66" i="3"/>
  <c r="I64" i="3"/>
  <c r="I53" i="3"/>
  <c r="I69" i="3"/>
  <c r="I54" i="3"/>
  <c r="I70" i="3"/>
  <c r="I51" i="3"/>
  <c r="I67" i="3"/>
  <c r="I52" i="3"/>
  <c r="I68" i="3"/>
  <c r="T1190" i="3"/>
  <c r="T1189" i="3"/>
  <c r="T1188" i="3"/>
  <c r="P1190" i="3"/>
  <c r="P1189" i="3"/>
  <c r="P1188" i="3"/>
  <c r="L1190" i="3"/>
  <c r="L1189" i="3"/>
  <c r="L1188" i="3"/>
  <c r="S1186" i="3"/>
  <c r="S1185" i="3"/>
  <c r="S1184" i="3"/>
  <c r="S1187" i="3"/>
  <c r="O1186" i="3"/>
  <c r="O1185" i="3"/>
  <c r="O1184" i="3"/>
  <c r="O1187" i="3"/>
  <c r="K1186" i="3"/>
  <c r="K1185" i="3"/>
  <c r="K1184" i="3"/>
  <c r="K1187" i="3"/>
  <c r="R1181" i="3"/>
  <c r="R1180" i="3"/>
  <c r="R1183" i="3"/>
  <c r="R1182" i="3"/>
  <c r="N1181" i="3"/>
  <c r="N1180" i="3"/>
  <c r="N1183" i="3"/>
  <c r="N1182" i="3"/>
  <c r="J1181" i="3"/>
  <c r="J1180" i="3"/>
  <c r="J1183" i="3"/>
  <c r="J1182" i="3"/>
  <c r="Q1176" i="3"/>
  <c r="Q1179" i="3"/>
  <c r="Q1178" i="3"/>
  <c r="Q1177" i="3"/>
  <c r="M1176" i="3"/>
  <c r="M1179" i="3"/>
  <c r="M1178" i="3"/>
  <c r="M1177" i="3"/>
  <c r="T1175" i="3"/>
  <c r="T1174" i="3"/>
  <c r="T1173" i="3"/>
  <c r="P1175" i="3"/>
  <c r="P1174" i="3"/>
  <c r="P1173" i="3"/>
  <c r="L1175" i="3"/>
  <c r="L1174" i="3"/>
  <c r="L1173" i="3"/>
  <c r="S1170" i="3"/>
  <c r="S1169" i="3"/>
  <c r="S1172" i="3"/>
  <c r="S1171" i="3"/>
  <c r="O1170" i="3"/>
  <c r="O1169" i="3"/>
  <c r="O1172" i="3"/>
  <c r="O1171" i="3"/>
  <c r="K1170" i="3"/>
  <c r="K1169" i="3"/>
  <c r="K1172" i="3"/>
  <c r="K1171" i="3"/>
  <c r="R1165" i="3"/>
  <c r="R1164" i="3"/>
  <c r="R1168" i="3"/>
  <c r="R1163" i="3"/>
  <c r="R1167" i="3"/>
  <c r="R1162" i="3"/>
  <c r="R1166" i="3"/>
  <c r="N1165" i="3"/>
  <c r="N1164" i="3"/>
  <c r="N1168" i="3"/>
  <c r="N1163" i="3"/>
  <c r="N1167" i="3"/>
  <c r="N1162" i="3"/>
  <c r="N1166" i="3"/>
  <c r="J1165" i="3"/>
  <c r="J1164" i="3"/>
  <c r="J1168" i="3"/>
  <c r="J1163" i="3"/>
  <c r="J1167" i="3"/>
  <c r="J1162" i="3"/>
  <c r="J1166" i="3"/>
  <c r="Q1160" i="3"/>
  <c r="Q1159" i="3"/>
  <c r="Q1158" i="3"/>
  <c r="Q1161" i="3"/>
  <c r="M1160" i="3"/>
  <c r="M1159" i="3"/>
  <c r="M1158" i="3"/>
  <c r="M1161" i="3"/>
  <c r="T1151" i="3"/>
  <c r="T1155" i="3"/>
  <c r="T1154" i="3"/>
  <c r="T1153" i="3"/>
  <c r="T1157" i="3"/>
  <c r="T1152" i="3"/>
  <c r="T1156" i="3"/>
  <c r="P1151" i="3"/>
  <c r="P1155" i="3"/>
  <c r="P1154" i="3"/>
  <c r="P1153" i="3"/>
  <c r="P1157" i="3"/>
  <c r="P1152" i="3"/>
  <c r="P1156" i="3"/>
  <c r="L1151" i="3"/>
  <c r="L1155" i="3"/>
  <c r="L1154" i="3"/>
  <c r="L1153" i="3"/>
  <c r="L1157" i="3"/>
  <c r="L1152" i="3"/>
  <c r="L1156" i="3"/>
  <c r="S1150" i="3"/>
  <c r="S1149" i="3"/>
  <c r="S1148" i="3"/>
  <c r="S1147" i="3"/>
  <c r="O1150" i="3"/>
  <c r="O1149" i="3"/>
  <c r="O1148" i="3"/>
  <c r="O1147" i="3"/>
  <c r="K1150" i="3"/>
  <c r="K1149" i="3"/>
  <c r="K1148" i="3"/>
  <c r="K1147" i="3"/>
  <c r="R1145" i="3"/>
  <c r="R1144" i="3"/>
  <c r="R1146" i="3"/>
  <c r="N1145" i="3"/>
  <c r="N1144" i="3"/>
  <c r="N1146" i="3"/>
  <c r="J1145" i="3"/>
  <c r="J1144" i="3"/>
  <c r="J1146" i="3"/>
  <c r="Q1140" i="3"/>
  <c r="Q1143" i="3"/>
  <c r="Q1142" i="3"/>
  <c r="Q1141" i="3"/>
  <c r="M1140" i="3"/>
  <c r="M1143" i="3"/>
  <c r="M1142" i="3"/>
  <c r="M1141" i="3"/>
  <c r="T1135" i="3"/>
  <c r="T1139" i="3"/>
  <c r="T1134" i="3"/>
  <c r="T1138" i="3"/>
  <c r="T1133" i="3"/>
  <c r="T1137" i="3"/>
  <c r="T1132" i="3"/>
  <c r="T1136" i="3"/>
  <c r="P1135" i="3"/>
  <c r="P1139" i="3"/>
  <c r="P1134" i="3"/>
  <c r="P1138" i="3"/>
  <c r="P1133" i="3"/>
  <c r="P1137" i="3"/>
  <c r="P1132" i="3"/>
  <c r="P1136" i="3"/>
  <c r="L1135" i="3"/>
  <c r="L1139" i="3"/>
  <c r="L1134" i="3"/>
  <c r="L1138" i="3"/>
  <c r="L1133" i="3"/>
  <c r="L1137" i="3"/>
  <c r="L1132" i="3"/>
  <c r="L1136" i="3"/>
  <c r="S1130" i="3"/>
  <c r="S1129" i="3"/>
  <c r="S1128" i="3"/>
  <c r="S1131" i="3"/>
  <c r="O1130" i="3"/>
  <c r="O1129" i="3"/>
  <c r="O1128" i="3"/>
  <c r="O1131" i="3"/>
  <c r="K1130" i="3"/>
  <c r="K1129" i="3"/>
  <c r="K1128" i="3"/>
  <c r="K1131" i="3"/>
  <c r="R1121" i="3"/>
  <c r="R1125" i="3"/>
  <c r="R1120" i="3"/>
  <c r="R1124" i="3"/>
  <c r="R1123" i="3"/>
  <c r="R1127" i="3"/>
  <c r="R1122" i="3"/>
  <c r="R1126" i="3"/>
  <c r="N1121" i="3"/>
  <c r="N1125" i="3"/>
  <c r="N1120" i="3"/>
  <c r="N1124" i="3"/>
  <c r="N1123" i="3"/>
  <c r="N1127" i="3"/>
  <c r="N1122" i="3"/>
  <c r="N1126" i="3"/>
  <c r="J1121" i="3"/>
  <c r="J1125" i="3"/>
  <c r="J1120" i="3"/>
  <c r="J1124" i="3"/>
  <c r="J1123" i="3"/>
  <c r="J1127" i="3"/>
  <c r="J1122" i="3"/>
  <c r="J1126" i="3"/>
  <c r="Q1116" i="3"/>
  <c r="Q1115" i="3"/>
  <c r="Q1119" i="3"/>
  <c r="Q1114" i="3"/>
  <c r="Q1118" i="3"/>
  <c r="Q1113" i="3"/>
  <c r="Q1117" i="3"/>
  <c r="M1116" i="3"/>
  <c r="M1115" i="3"/>
  <c r="M1119" i="3"/>
  <c r="M1114" i="3"/>
  <c r="M1118" i="3"/>
  <c r="M1113" i="3"/>
  <c r="M1117" i="3"/>
  <c r="T1111" i="3"/>
  <c r="T1110" i="3"/>
  <c r="T1109" i="3"/>
  <c r="T1112" i="3"/>
  <c r="P1111" i="3"/>
  <c r="P1110" i="3"/>
  <c r="P1109" i="3"/>
  <c r="P1112" i="3"/>
  <c r="L1111" i="3"/>
  <c r="L1110" i="3"/>
  <c r="L1109" i="3"/>
  <c r="L1112" i="3"/>
  <c r="S1102" i="3"/>
  <c r="S1106" i="3"/>
  <c r="S1105" i="3"/>
  <c r="S1104" i="3"/>
  <c r="S1108" i="3"/>
  <c r="S1103" i="3"/>
  <c r="S1107" i="3"/>
  <c r="O1102" i="3"/>
  <c r="O1106" i="3"/>
  <c r="O1105" i="3"/>
  <c r="O1104" i="3"/>
  <c r="O1108" i="3"/>
  <c r="O1103" i="3"/>
  <c r="O1107" i="3"/>
  <c r="K1102" i="3"/>
  <c r="K1106" i="3"/>
  <c r="K1105" i="3"/>
  <c r="K1104" i="3"/>
  <c r="K1108" i="3"/>
  <c r="K1103" i="3"/>
  <c r="K1107" i="3"/>
  <c r="R1101" i="3"/>
  <c r="R1100" i="3"/>
  <c r="R1099" i="3"/>
  <c r="R1098" i="3"/>
  <c r="N1101" i="3"/>
  <c r="N1100" i="3"/>
  <c r="N1099" i="3"/>
  <c r="N1098" i="3"/>
  <c r="J1101" i="3"/>
  <c r="J1100" i="3"/>
  <c r="J1099" i="3"/>
  <c r="J1098" i="3"/>
  <c r="Q1096" i="3"/>
  <c r="Q1095" i="3"/>
  <c r="Q1097" i="3"/>
  <c r="M1096" i="3"/>
  <c r="M1095" i="3"/>
  <c r="M1097" i="3"/>
  <c r="T1091" i="3"/>
  <c r="T1090" i="3"/>
  <c r="T1094" i="3"/>
  <c r="T1093" i="3"/>
  <c r="T1092" i="3"/>
  <c r="P1091" i="3"/>
  <c r="P1090" i="3"/>
  <c r="P1094" i="3"/>
  <c r="P1093" i="3"/>
  <c r="P1092" i="3"/>
  <c r="L1091" i="3"/>
  <c r="L1090" i="3"/>
  <c r="L1094" i="3"/>
  <c r="L1093" i="3"/>
  <c r="L1092" i="3"/>
  <c r="S1086" i="3"/>
  <c r="S1085" i="3"/>
  <c r="S1089" i="3"/>
  <c r="S1088" i="3"/>
  <c r="S1087" i="3"/>
  <c r="O1086" i="3"/>
  <c r="O1085" i="3"/>
  <c r="O1089" i="3"/>
  <c r="O1088" i="3"/>
  <c r="O1087" i="3"/>
  <c r="K1086" i="3"/>
  <c r="K1085" i="3"/>
  <c r="K1089" i="3"/>
  <c r="K1088" i="3"/>
  <c r="K1087" i="3"/>
  <c r="R1081" i="3"/>
  <c r="R1080" i="3"/>
  <c r="R1084" i="3"/>
  <c r="R1083" i="3"/>
  <c r="R1082" i="3"/>
  <c r="N1081" i="3"/>
  <c r="N1080" i="3"/>
  <c r="N1084" i="3"/>
  <c r="N1083" i="3"/>
  <c r="N1082" i="3"/>
  <c r="J1081" i="3"/>
  <c r="J1080" i="3"/>
  <c r="J1084" i="3"/>
  <c r="J1083" i="3"/>
  <c r="J1082" i="3"/>
  <c r="Q1076" i="3"/>
  <c r="Q1075" i="3"/>
  <c r="Q1079" i="3"/>
  <c r="Q1078" i="3"/>
  <c r="Q1077" i="3"/>
  <c r="M1076" i="3"/>
  <c r="M1075" i="3"/>
  <c r="M1079" i="3"/>
  <c r="M1078" i="3"/>
  <c r="M1077" i="3"/>
  <c r="T1071" i="3"/>
  <c r="T1070" i="3"/>
  <c r="T1074" i="3"/>
  <c r="T1073" i="3"/>
  <c r="T1072" i="3"/>
  <c r="P1071" i="3"/>
  <c r="P1070" i="3"/>
  <c r="P1074" i="3"/>
  <c r="P1073" i="3"/>
  <c r="P1072" i="3"/>
  <c r="L1071" i="3"/>
  <c r="L1070" i="3"/>
  <c r="L1074" i="3"/>
  <c r="L1073" i="3"/>
  <c r="L1072" i="3"/>
  <c r="S1066" i="3"/>
  <c r="S1065" i="3"/>
  <c r="S1069" i="3"/>
  <c r="S1068" i="3"/>
  <c r="S1067" i="3"/>
  <c r="O1066" i="3"/>
  <c r="O1065" i="3"/>
  <c r="O1069" i="3"/>
  <c r="O1068" i="3"/>
  <c r="O1067" i="3"/>
  <c r="K1066" i="3"/>
  <c r="K1065" i="3"/>
  <c r="K1069" i="3"/>
  <c r="K1068" i="3"/>
  <c r="K1067" i="3"/>
  <c r="R1061" i="3"/>
  <c r="R1060" i="3"/>
  <c r="R1064" i="3"/>
  <c r="R1063" i="3"/>
  <c r="R1062" i="3"/>
  <c r="N1061" i="3"/>
  <c r="N1060" i="3"/>
  <c r="N1064" i="3"/>
  <c r="N1063" i="3"/>
  <c r="N1062" i="3"/>
  <c r="J1061" i="3"/>
  <c r="J1060" i="3"/>
  <c r="J1064" i="3"/>
  <c r="J1063" i="3"/>
  <c r="J1062" i="3"/>
  <c r="Q1056" i="3"/>
  <c r="Q1055" i="3"/>
  <c r="Q1059" i="3"/>
  <c r="Q1058" i="3"/>
  <c r="Q1057" i="3"/>
  <c r="M1056" i="3"/>
  <c r="M1055" i="3"/>
  <c r="M1059" i="3"/>
  <c r="M1058" i="3"/>
  <c r="M1057" i="3"/>
  <c r="T1051" i="3"/>
  <c r="T1050" i="3"/>
  <c r="T1054" i="3"/>
  <c r="T1053" i="3"/>
  <c r="T1052" i="3"/>
  <c r="P1051" i="3"/>
  <c r="P1050" i="3"/>
  <c r="P1054" i="3"/>
  <c r="P1053" i="3"/>
  <c r="P1052" i="3"/>
  <c r="L1051" i="3"/>
  <c r="L1050" i="3"/>
  <c r="L1054" i="3"/>
  <c r="L1053" i="3"/>
  <c r="L1052" i="3"/>
  <c r="S1046" i="3"/>
  <c r="S1045" i="3"/>
  <c r="S1049" i="3"/>
  <c r="S1048" i="3"/>
  <c r="S1047" i="3"/>
  <c r="O1046" i="3"/>
  <c r="O1045" i="3"/>
  <c r="O1049" i="3"/>
  <c r="O1048" i="3"/>
  <c r="O1047" i="3"/>
  <c r="K1046" i="3"/>
  <c r="K1045" i="3"/>
  <c r="K1049" i="3"/>
  <c r="K1048" i="3"/>
  <c r="K1047" i="3"/>
  <c r="R1041" i="3"/>
  <c r="R1040" i="3"/>
  <c r="R1044" i="3"/>
  <c r="R1043" i="3"/>
  <c r="R1042" i="3"/>
  <c r="N1041" i="3"/>
  <c r="N1040" i="3"/>
  <c r="N1044" i="3"/>
  <c r="N1043" i="3"/>
  <c r="N1042" i="3"/>
  <c r="J1041" i="3"/>
  <c r="J1040" i="3"/>
  <c r="J1044" i="3"/>
  <c r="J1043" i="3"/>
  <c r="J1042" i="3"/>
  <c r="Q1036" i="3"/>
  <c r="Q1035" i="3"/>
  <c r="Q1039" i="3"/>
  <c r="Q1038" i="3"/>
  <c r="Q1037" i="3"/>
  <c r="M1036" i="3"/>
  <c r="M1035" i="3"/>
  <c r="M1039" i="3"/>
  <c r="M1038" i="3"/>
  <c r="M1037" i="3"/>
  <c r="T1031" i="3"/>
  <c r="T1030" i="3"/>
  <c r="T1034" i="3"/>
  <c r="T1033" i="3"/>
  <c r="T1032" i="3"/>
  <c r="P1031" i="3"/>
  <c r="P1030" i="3"/>
  <c r="P1034" i="3"/>
  <c r="P1033" i="3"/>
  <c r="P1032" i="3"/>
  <c r="L1031" i="3"/>
  <c r="L1030" i="3"/>
  <c r="L1034" i="3"/>
  <c r="L1033" i="3"/>
  <c r="L1032" i="3"/>
  <c r="S1026" i="3"/>
  <c r="S1025" i="3"/>
  <c r="S1029" i="3"/>
  <c r="S1028" i="3"/>
  <c r="S1027" i="3"/>
  <c r="O1026" i="3"/>
  <c r="O1025" i="3"/>
  <c r="O1029" i="3"/>
  <c r="O1028" i="3"/>
  <c r="O1027" i="3"/>
  <c r="K1026" i="3"/>
  <c r="K1025" i="3"/>
  <c r="K1029" i="3"/>
  <c r="K1028" i="3"/>
  <c r="K1027" i="3"/>
  <c r="R1021" i="3"/>
  <c r="R1020" i="3"/>
  <c r="R1024" i="3"/>
  <c r="R1023" i="3"/>
  <c r="R1022" i="3"/>
  <c r="N1021" i="3"/>
  <c r="N1020" i="3"/>
  <c r="N1024" i="3"/>
  <c r="N1023" i="3"/>
  <c r="N1022" i="3"/>
  <c r="J1021" i="3"/>
  <c r="J1020" i="3"/>
  <c r="J1024" i="3"/>
  <c r="J1023" i="3"/>
  <c r="J1022" i="3"/>
  <c r="Q1016" i="3"/>
  <c r="Q1015" i="3"/>
  <c r="Q1019" i="3"/>
  <c r="Q1018" i="3"/>
  <c r="Q1017" i="3"/>
  <c r="M1016" i="3"/>
  <c r="M1015" i="3"/>
  <c r="M1019" i="3"/>
  <c r="M1018" i="3"/>
  <c r="M1017" i="3"/>
  <c r="T1011" i="3"/>
  <c r="T1010" i="3"/>
  <c r="T1014" i="3"/>
  <c r="T1013" i="3"/>
  <c r="T1012" i="3"/>
  <c r="P1011" i="3"/>
  <c r="P1010" i="3"/>
  <c r="P1014" i="3"/>
  <c r="P1013" i="3"/>
  <c r="P1012" i="3"/>
  <c r="L1011" i="3"/>
  <c r="L1010" i="3"/>
  <c r="L1014" i="3"/>
  <c r="L1013" i="3"/>
  <c r="L1012" i="3"/>
  <c r="S1006" i="3"/>
  <c r="S1005" i="3"/>
  <c r="S1009" i="3"/>
  <c r="S1008" i="3"/>
  <c r="S1007" i="3"/>
  <c r="O1006" i="3"/>
  <c r="O1005" i="3"/>
  <c r="O1009" i="3"/>
  <c r="O1008" i="3"/>
  <c r="O1007" i="3"/>
  <c r="K1006" i="3"/>
  <c r="K1005" i="3"/>
  <c r="K1009" i="3"/>
  <c r="K1008" i="3"/>
  <c r="K1007" i="3"/>
  <c r="R1001" i="3"/>
  <c r="R1000" i="3"/>
  <c r="R1004" i="3"/>
  <c r="R1003" i="3"/>
  <c r="R1002" i="3"/>
  <c r="N1001" i="3"/>
  <c r="N1000" i="3"/>
  <c r="N1004" i="3"/>
  <c r="N1003" i="3"/>
  <c r="N1002" i="3"/>
  <c r="J1001" i="3"/>
  <c r="J1000" i="3"/>
  <c r="J1004" i="3"/>
  <c r="J1003" i="3"/>
  <c r="J1002" i="3"/>
  <c r="Q996" i="3"/>
  <c r="Q995" i="3"/>
  <c r="Q999" i="3"/>
  <c r="Q998" i="3"/>
  <c r="Q997" i="3"/>
  <c r="M996" i="3"/>
  <c r="M995" i="3"/>
  <c r="M999" i="3"/>
  <c r="M998" i="3"/>
  <c r="M997" i="3"/>
  <c r="T991" i="3"/>
  <c r="T990" i="3"/>
  <c r="T994" i="3"/>
  <c r="T993" i="3"/>
  <c r="T992" i="3"/>
  <c r="P991" i="3"/>
  <c r="P990" i="3"/>
  <c r="P994" i="3"/>
  <c r="P993" i="3"/>
  <c r="P992" i="3"/>
  <c r="L991" i="3"/>
  <c r="L990" i="3"/>
  <c r="L994" i="3"/>
  <c r="L993" i="3"/>
  <c r="L992" i="3"/>
  <c r="S986" i="3"/>
  <c r="S985" i="3"/>
  <c r="S989" i="3"/>
  <c r="S988" i="3"/>
  <c r="S987" i="3"/>
  <c r="O986" i="3"/>
  <c r="O985" i="3"/>
  <c r="O989" i="3"/>
  <c r="O988" i="3"/>
  <c r="O987" i="3"/>
  <c r="K986" i="3"/>
  <c r="K985" i="3"/>
  <c r="K989" i="3"/>
  <c r="K988" i="3"/>
  <c r="K987" i="3"/>
  <c r="R981" i="3"/>
  <c r="R980" i="3"/>
  <c r="R984" i="3"/>
  <c r="R983" i="3"/>
  <c r="R982" i="3"/>
  <c r="N981" i="3"/>
  <c r="N980" i="3"/>
  <c r="N984" i="3"/>
  <c r="N983" i="3"/>
  <c r="N982" i="3"/>
  <c r="J981" i="3"/>
  <c r="J980" i="3"/>
  <c r="J984" i="3"/>
  <c r="J983" i="3"/>
  <c r="J982" i="3"/>
  <c r="Q976" i="3"/>
  <c r="Q975" i="3"/>
  <c r="Q979" i="3"/>
  <c r="Q978" i="3"/>
  <c r="Q977" i="3"/>
  <c r="M976" i="3"/>
  <c r="M975" i="3"/>
  <c r="M979" i="3"/>
  <c r="M978" i="3"/>
  <c r="M977" i="3"/>
  <c r="T971" i="3"/>
  <c r="T970" i="3"/>
  <c r="T974" i="3"/>
  <c r="T973" i="3"/>
  <c r="T972" i="3"/>
  <c r="P971" i="3"/>
  <c r="P970" i="3"/>
  <c r="P974" i="3"/>
  <c r="P973" i="3"/>
  <c r="P972" i="3"/>
  <c r="L971" i="3"/>
  <c r="L970" i="3"/>
  <c r="L974" i="3"/>
  <c r="L973" i="3"/>
  <c r="L972" i="3"/>
  <c r="S969" i="3"/>
  <c r="S968" i="3"/>
  <c r="S967" i="3"/>
  <c r="O969" i="3"/>
  <c r="O968" i="3"/>
  <c r="O967" i="3"/>
  <c r="K969" i="3"/>
  <c r="K968" i="3"/>
  <c r="K967" i="3"/>
  <c r="R965" i="3"/>
  <c r="R964" i="3"/>
  <c r="R966" i="3"/>
  <c r="N965" i="3"/>
  <c r="N964" i="3"/>
  <c r="N966" i="3"/>
  <c r="J965" i="3"/>
  <c r="J964" i="3"/>
  <c r="J966" i="3"/>
  <c r="Q963" i="3"/>
  <c r="Q962" i="3"/>
  <c r="Q961" i="3"/>
  <c r="M963" i="3"/>
  <c r="M962" i="3"/>
  <c r="M961" i="3"/>
  <c r="T959" i="3"/>
  <c r="T958" i="3"/>
  <c r="T960" i="3"/>
  <c r="P959" i="3"/>
  <c r="P958" i="3"/>
  <c r="P960" i="3"/>
  <c r="L959" i="3"/>
  <c r="L958" i="3"/>
  <c r="L960" i="3"/>
  <c r="S956" i="3"/>
  <c r="S957" i="3"/>
  <c r="S953" i="3"/>
  <c r="S954" i="3"/>
  <c r="S955" i="3"/>
  <c r="O956" i="3"/>
  <c r="O957" i="3"/>
  <c r="O953" i="3"/>
  <c r="O954" i="3"/>
  <c r="O955" i="3"/>
  <c r="K956" i="3"/>
  <c r="K953" i="3"/>
  <c r="K954" i="3"/>
  <c r="K955" i="3"/>
  <c r="K957" i="3"/>
  <c r="Q89" i="3"/>
  <c r="Q88" i="3"/>
  <c r="Q91" i="3"/>
  <c r="Q92" i="3"/>
  <c r="Q90" i="3"/>
  <c r="Q950" i="3"/>
  <c r="Q949" i="3"/>
  <c r="Q948" i="3"/>
  <c r="Q951" i="3"/>
  <c r="Q952" i="3"/>
  <c r="M89" i="3"/>
  <c r="M88" i="3"/>
  <c r="M92" i="3"/>
  <c r="M91" i="3"/>
  <c r="M90" i="3"/>
  <c r="M950" i="3"/>
  <c r="M949" i="3"/>
  <c r="M952" i="3"/>
  <c r="M951" i="3"/>
  <c r="M948" i="3"/>
  <c r="T946" i="3"/>
  <c r="T945" i="3"/>
  <c r="T944" i="3"/>
  <c r="T947" i="3"/>
  <c r="T943" i="3"/>
  <c r="P946" i="3"/>
  <c r="P945" i="3"/>
  <c r="P944" i="3"/>
  <c r="P947" i="3"/>
  <c r="P943" i="3"/>
  <c r="L946" i="3"/>
  <c r="L945" i="3"/>
  <c r="L944" i="3"/>
  <c r="L947" i="3"/>
  <c r="L943" i="3"/>
  <c r="S941" i="3"/>
  <c r="S940" i="3"/>
  <c r="S939" i="3"/>
  <c r="S938" i="3"/>
  <c r="S942" i="3"/>
  <c r="O941" i="3"/>
  <c r="O940" i="3"/>
  <c r="O939" i="3"/>
  <c r="O938" i="3"/>
  <c r="O942" i="3"/>
  <c r="K941" i="3"/>
  <c r="K940" i="3"/>
  <c r="K939" i="3"/>
  <c r="K938" i="3"/>
  <c r="K942" i="3"/>
  <c r="R936" i="3"/>
  <c r="R935" i="3"/>
  <c r="R934" i="3"/>
  <c r="R933" i="3"/>
  <c r="R937" i="3"/>
  <c r="N936" i="3"/>
  <c r="N935" i="3"/>
  <c r="N934" i="3"/>
  <c r="N933" i="3"/>
  <c r="N937" i="3"/>
  <c r="J936" i="3"/>
  <c r="J935" i="3"/>
  <c r="J934" i="3"/>
  <c r="J933" i="3"/>
  <c r="J937" i="3"/>
  <c r="Q931" i="3"/>
  <c r="Q930" i="3"/>
  <c r="Q932" i="3"/>
  <c r="M931" i="3"/>
  <c r="M930" i="3"/>
  <c r="M932" i="3"/>
  <c r="T929" i="3"/>
  <c r="T928" i="3"/>
  <c r="T927" i="3"/>
  <c r="P929" i="3"/>
  <c r="P928" i="3"/>
  <c r="P927" i="3"/>
  <c r="L929" i="3"/>
  <c r="L928" i="3"/>
  <c r="L927" i="3"/>
  <c r="S925" i="3"/>
  <c r="S924" i="3"/>
  <c r="S926" i="3"/>
  <c r="O925" i="3"/>
  <c r="O924" i="3"/>
  <c r="O926" i="3"/>
  <c r="K925" i="3"/>
  <c r="K924" i="3"/>
  <c r="K926" i="3"/>
  <c r="R923" i="3"/>
  <c r="R922" i="3"/>
  <c r="R921" i="3"/>
  <c r="N923" i="3"/>
  <c r="N922" i="3"/>
  <c r="N921" i="3"/>
  <c r="J923" i="3"/>
  <c r="J922" i="3"/>
  <c r="J921" i="3"/>
  <c r="Q919" i="3"/>
  <c r="Q918" i="3"/>
  <c r="Q917" i="3"/>
  <c r="Q916" i="3"/>
  <c r="Q920" i="3"/>
  <c r="M919" i="3"/>
  <c r="M918" i="3"/>
  <c r="M917" i="3"/>
  <c r="M916" i="3"/>
  <c r="M920" i="3"/>
  <c r="T85" i="3"/>
  <c r="T84" i="3"/>
  <c r="T83" i="3"/>
  <c r="T87" i="3"/>
  <c r="T86" i="3"/>
  <c r="P85" i="3"/>
  <c r="P84" i="3"/>
  <c r="P83" i="3"/>
  <c r="P87" i="3"/>
  <c r="P86" i="3"/>
  <c r="L85" i="3"/>
  <c r="L84" i="3"/>
  <c r="L83" i="3"/>
  <c r="L87" i="3"/>
  <c r="L86" i="3"/>
  <c r="S913" i="3"/>
  <c r="S912" i="3"/>
  <c r="S911" i="3"/>
  <c r="S915" i="3"/>
  <c r="S914" i="3"/>
  <c r="O913" i="3"/>
  <c r="O912" i="3"/>
  <c r="O911" i="3"/>
  <c r="O915" i="3"/>
  <c r="O914" i="3"/>
  <c r="K913" i="3"/>
  <c r="K912" i="3"/>
  <c r="K911" i="3"/>
  <c r="K915" i="3"/>
  <c r="K914" i="3"/>
  <c r="R908" i="3"/>
  <c r="R907" i="3"/>
  <c r="R906" i="3"/>
  <c r="R910" i="3"/>
  <c r="R909" i="3"/>
  <c r="N908" i="3"/>
  <c r="N907" i="3"/>
  <c r="N906" i="3"/>
  <c r="N910" i="3"/>
  <c r="N909" i="3"/>
  <c r="J908" i="3"/>
  <c r="J907" i="3"/>
  <c r="J906" i="3"/>
  <c r="J910" i="3"/>
  <c r="J909" i="3"/>
  <c r="Q903" i="3"/>
  <c r="Q902" i="3"/>
  <c r="Q901" i="3"/>
  <c r="Q905" i="3"/>
  <c r="Q904" i="3"/>
  <c r="M903" i="3"/>
  <c r="M902" i="3"/>
  <c r="M901" i="3"/>
  <c r="M905" i="3"/>
  <c r="M904" i="3"/>
  <c r="T898" i="3"/>
  <c r="T897" i="3"/>
  <c r="T896" i="3"/>
  <c r="T900" i="3"/>
  <c r="T899" i="3"/>
  <c r="P898" i="3"/>
  <c r="P897" i="3"/>
  <c r="P896" i="3"/>
  <c r="P900" i="3"/>
  <c r="P899" i="3"/>
  <c r="L898" i="3"/>
  <c r="L897" i="3"/>
  <c r="L896" i="3"/>
  <c r="L900" i="3"/>
  <c r="L899" i="3"/>
  <c r="S893" i="3"/>
  <c r="S892" i="3"/>
  <c r="S891" i="3"/>
  <c r="S895" i="3"/>
  <c r="S894" i="3"/>
  <c r="O893" i="3"/>
  <c r="O892" i="3"/>
  <c r="O891" i="3"/>
  <c r="O895" i="3"/>
  <c r="O894" i="3"/>
  <c r="K893" i="3"/>
  <c r="K892" i="3"/>
  <c r="K891" i="3"/>
  <c r="K895" i="3"/>
  <c r="K894" i="3"/>
  <c r="R888" i="3"/>
  <c r="R887" i="3"/>
  <c r="R886" i="3"/>
  <c r="R890" i="3"/>
  <c r="R889" i="3"/>
  <c r="N888" i="3"/>
  <c r="N887" i="3"/>
  <c r="N886" i="3"/>
  <c r="N890" i="3"/>
  <c r="N889" i="3"/>
  <c r="J888" i="3"/>
  <c r="J887" i="3"/>
  <c r="J886" i="3"/>
  <c r="J890" i="3"/>
  <c r="J889" i="3"/>
  <c r="Q883" i="3"/>
  <c r="Q882" i="3"/>
  <c r="Q881" i="3"/>
  <c r="Q885" i="3"/>
  <c r="Q884" i="3"/>
  <c r="M883" i="3"/>
  <c r="M882" i="3"/>
  <c r="M881" i="3"/>
  <c r="M885" i="3"/>
  <c r="M884" i="3"/>
  <c r="T878" i="3"/>
  <c r="T877" i="3"/>
  <c r="T876" i="3"/>
  <c r="T880" i="3"/>
  <c r="T879" i="3"/>
  <c r="P878" i="3"/>
  <c r="P877" i="3"/>
  <c r="P876" i="3"/>
  <c r="P880" i="3"/>
  <c r="P879" i="3"/>
  <c r="L878" i="3"/>
  <c r="L877" i="3"/>
  <c r="L876" i="3"/>
  <c r="L880" i="3"/>
  <c r="L879" i="3"/>
  <c r="S873" i="3"/>
  <c r="S872" i="3"/>
  <c r="S871" i="3"/>
  <c r="S875" i="3"/>
  <c r="S874" i="3"/>
  <c r="O873" i="3"/>
  <c r="O872" i="3"/>
  <c r="O871" i="3"/>
  <c r="O875" i="3"/>
  <c r="O874" i="3"/>
  <c r="K873" i="3"/>
  <c r="K872" i="3"/>
  <c r="K871" i="3"/>
  <c r="K875" i="3"/>
  <c r="K874" i="3"/>
  <c r="R868" i="3"/>
  <c r="R867" i="3"/>
  <c r="R866" i="3"/>
  <c r="R870" i="3"/>
  <c r="R869" i="3"/>
  <c r="N868" i="3"/>
  <c r="N867" i="3"/>
  <c r="N866" i="3"/>
  <c r="N870" i="3"/>
  <c r="N869" i="3"/>
  <c r="J868" i="3"/>
  <c r="J867" i="3"/>
  <c r="J866" i="3"/>
  <c r="J870" i="3"/>
  <c r="J869" i="3"/>
  <c r="T862" i="3"/>
  <c r="T861" i="3"/>
  <c r="T865" i="3"/>
  <c r="T864" i="3"/>
  <c r="T863" i="3"/>
  <c r="P862" i="3"/>
  <c r="P861" i="3"/>
  <c r="P865" i="3"/>
  <c r="P864" i="3"/>
  <c r="P863" i="3"/>
  <c r="L862" i="3"/>
  <c r="L861" i="3"/>
  <c r="L865" i="3"/>
  <c r="L864" i="3"/>
  <c r="L863" i="3"/>
  <c r="S857" i="3"/>
  <c r="S856" i="3"/>
  <c r="S860" i="3"/>
  <c r="S859" i="3"/>
  <c r="S858" i="3"/>
  <c r="O857" i="3"/>
  <c r="O856" i="3"/>
  <c r="O860" i="3"/>
  <c r="O859" i="3"/>
  <c r="O858" i="3"/>
  <c r="K857" i="3"/>
  <c r="K856" i="3"/>
  <c r="K860" i="3"/>
  <c r="K859" i="3"/>
  <c r="K858" i="3"/>
  <c r="R852" i="3"/>
  <c r="R851" i="3"/>
  <c r="R855" i="3"/>
  <c r="R854" i="3"/>
  <c r="R853" i="3"/>
  <c r="N852" i="3"/>
  <c r="N851" i="3"/>
  <c r="N855" i="3"/>
  <c r="N854" i="3"/>
  <c r="N853" i="3"/>
  <c r="J852" i="3"/>
  <c r="J851" i="3"/>
  <c r="J855" i="3"/>
  <c r="J854" i="3"/>
  <c r="J853" i="3"/>
  <c r="Q847" i="3"/>
  <c r="Q846" i="3"/>
  <c r="Q850" i="3"/>
  <c r="Q849" i="3"/>
  <c r="Q848" i="3"/>
  <c r="M847" i="3"/>
  <c r="M846" i="3"/>
  <c r="M850" i="3"/>
  <c r="M849" i="3"/>
  <c r="M848" i="3"/>
  <c r="T845" i="3"/>
  <c r="T844" i="3"/>
  <c r="T843" i="3"/>
  <c r="P845" i="3"/>
  <c r="P844" i="3"/>
  <c r="P843" i="3"/>
  <c r="L845" i="3"/>
  <c r="L844" i="3"/>
  <c r="L843" i="3"/>
  <c r="S841" i="3"/>
  <c r="S840" i="3"/>
  <c r="S842" i="3"/>
  <c r="O841" i="3"/>
  <c r="O840" i="3"/>
  <c r="O842" i="3"/>
  <c r="K841" i="3"/>
  <c r="K840" i="3"/>
  <c r="K842" i="3"/>
  <c r="R839" i="3"/>
  <c r="R838" i="3"/>
  <c r="R837" i="3"/>
  <c r="N839" i="3"/>
  <c r="N838" i="3"/>
  <c r="N837" i="3"/>
  <c r="J839" i="3"/>
  <c r="J838" i="3"/>
  <c r="J837" i="3"/>
  <c r="Q835" i="3"/>
  <c r="Q834" i="3"/>
  <c r="Q836" i="3"/>
  <c r="M835" i="3"/>
  <c r="M834" i="3"/>
  <c r="M836" i="3"/>
  <c r="T830" i="3"/>
  <c r="T829" i="3"/>
  <c r="T833" i="3"/>
  <c r="T832" i="3"/>
  <c r="T831" i="3"/>
  <c r="P830" i="3"/>
  <c r="P829" i="3"/>
  <c r="P833" i="3"/>
  <c r="P832" i="3"/>
  <c r="P831" i="3"/>
  <c r="L830" i="3"/>
  <c r="L829" i="3"/>
  <c r="L833" i="3"/>
  <c r="L832" i="3"/>
  <c r="L831" i="3"/>
  <c r="S825" i="3"/>
  <c r="S824" i="3"/>
  <c r="S828" i="3"/>
  <c r="S827" i="3"/>
  <c r="S826" i="3"/>
  <c r="O825" i="3"/>
  <c r="O824" i="3"/>
  <c r="O828" i="3"/>
  <c r="O827" i="3"/>
  <c r="O826" i="3"/>
  <c r="K825" i="3"/>
  <c r="K824" i="3"/>
  <c r="K828" i="3"/>
  <c r="K827" i="3"/>
  <c r="K826" i="3"/>
  <c r="R820" i="3"/>
  <c r="R819" i="3"/>
  <c r="R823" i="3"/>
  <c r="R822" i="3"/>
  <c r="R821" i="3"/>
  <c r="N820" i="3"/>
  <c r="N819" i="3"/>
  <c r="N823" i="3"/>
  <c r="N822" i="3"/>
  <c r="N821" i="3"/>
  <c r="J820" i="3"/>
  <c r="J819" i="3"/>
  <c r="J823" i="3"/>
  <c r="J822" i="3"/>
  <c r="J821" i="3"/>
  <c r="Q815" i="3"/>
  <c r="Q814" i="3"/>
  <c r="Q818" i="3"/>
  <c r="Q817" i="3"/>
  <c r="Q816" i="3"/>
  <c r="M815" i="3"/>
  <c r="M814" i="3"/>
  <c r="M818" i="3"/>
  <c r="M817" i="3"/>
  <c r="M816" i="3"/>
  <c r="T810" i="3"/>
  <c r="T809" i="3"/>
  <c r="T813" i="3"/>
  <c r="T812" i="3"/>
  <c r="T811" i="3"/>
  <c r="P810" i="3"/>
  <c r="P809" i="3"/>
  <c r="P813" i="3"/>
  <c r="P812" i="3"/>
  <c r="P811" i="3"/>
  <c r="L810" i="3"/>
  <c r="L809" i="3"/>
  <c r="L813" i="3"/>
  <c r="L812" i="3"/>
  <c r="L811" i="3"/>
  <c r="S808" i="3"/>
  <c r="S807" i="3"/>
  <c r="S806" i="3"/>
  <c r="O808" i="3"/>
  <c r="O807" i="3"/>
  <c r="O806" i="3"/>
  <c r="K808" i="3"/>
  <c r="K807" i="3"/>
  <c r="K806" i="3"/>
  <c r="R804" i="3"/>
  <c r="R803" i="3"/>
  <c r="R805" i="3"/>
  <c r="N804" i="3"/>
  <c r="N803" i="3"/>
  <c r="N805" i="3"/>
  <c r="J804" i="3"/>
  <c r="J803" i="3"/>
  <c r="J805" i="3"/>
  <c r="Q802" i="3"/>
  <c r="Q801" i="3"/>
  <c r="Q800" i="3"/>
  <c r="M802" i="3"/>
  <c r="M801" i="3"/>
  <c r="M800" i="3"/>
  <c r="T798" i="3"/>
  <c r="T797" i="3"/>
  <c r="T799" i="3"/>
  <c r="P798" i="3"/>
  <c r="P797" i="3"/>
  <c r="P799" i="3"/>
  <c r="L798" i="3"/>
  <c r="L797" i="3"/>
  <c r="L799" i="3"/>
  <c r="S793" i="3"/>
  <c r="S792" i="3"/>
  <c r="S796" i="3"/>
  <c r="S795" i="3"/>
  <c r="S794" i="3"/>
  <c r="O793" i="3"/>
  <c r="O792" i="3"/>
  <c r="O796" i="3"/>
  <c r="O795" i="3"/>
  <c r="O794" i="3"/>
  <c r="K793" i="3"/>
  <c r="K792" i="3"/>
  <c r="K796" i="3"/>
  <c r="K795" i="3"/>
  <c r="K794" i="3"/>
  <c r="R788" i="3"/>
  <c r="R787" i="3"/>
  <c r="R791" i="3"/>
  <c r="R790" i="3"/>
  <c r="R789" i="3"/>
  <c r="N788" i="3"/>
  <c r="N787" i="3"/>
  <c r="N791" i="3"/>
  <c r="N790" i="3"/>
  <c r="N789" i="3"/>
  <c r="J788" i="3"/>
  <c r="J787" i="3"/>
  <c r="J791" i="3"/>
  <c r="J790" i="3"/>
  <c r="J789" i="3"/>
  <c r="Q783" i="3"/>
  <c r="Q782" i="3"/>
  <c r="Q786" i="3"/>
  <c r="Q785" i="3"/>
  <c r="Q784" i="3"/>
  <c r="M783" i="3"/>
  <c r="M782" i="3"/>
  <c r="M786" i="3"/>
  <c r="M785" i="3"/>
  <c r="M784" i="3"/>
  <c r="T778" i="3"/>
  <c r="T777" i="3"/>
  <c r="T781" i="3"/>
  <c r="T780" i="3"/>
  <c r="T779" i="3"/>
  <c r="P778" i="3"/>
  <c r="P777" i="3"/>
  <c r="P781" i="3"/>
  <c r="P780" i="3"/>
  <c r="P779" i="3"/>
  <c r="L778" i="3"/>
  <c r="L777" i="3"/>
  <c r="L781" i="3"/>
  <c r="L780" i="3"/>
  <c r="L779" i="3"/>
  <c r="S773" i="3"/>
  <c r="S772" i="3"/>
  <c r="S776" i="3"/>
  <c r="S775" i="3"/>
  <c r="S774" i="3"/>
  <c r="O773" i="3"/>
  <c r="O772" i="3"/>
  <c r="O776" i="3"/>
  <c r="O775" i="3"/>
  <c r="O774" i="3"/>
  <c r="K773" i="3"/>
  <c r="K772" i="3"/>
  <c r="K776" i="3"/>
  <c r="K775" i="3"/>
  <c r="K774" i="3"/>
  <c r="R768" i="3"/>
  <c r="R767" i="3"/>
  <c r="R771" i="3"/>
  <c r="R770" i="3"/>
  <c r="R769" i="3"/>
  <c r="N768" i="3"/>
  <c r="N767" i="3"/>
  <c r="N771" i="3"/>
  <c r="N770" i="3"/>
  <c r="N769" i="3"/>
  <c r="J768" i="3"/>
  <c r="J767" i="3"/>
  <c r="J771" i="3"/>
  <c r="J770" i="3"/>
  <c r="J769" i="3"/>
  <c r="Q763" i="3"/>
  <c r="Q762" i="3"/>
  <c r="Q766" i="3"/>
  <c r="Q765" i="3"/>
  <c r="Q764" i="3"/>
  <c r="M763" i="3"/>
  <c r="M762" i="3"/>
  <c r="M766" i="3"/>
  <c r="M765" i="3"/>
  <c r="M764" i="3"/>
  <c r="T758" i="3"/>
  <c r="T757" i="3"/>
  <c r="T761" i="3"/>
  <c r="T760" i="3"/>
  <c r="T759" i="3"/>
  <c r="P758" i="3"/>
  <c r="P757" i="3"/>
  <c r="P761" i="3"/>
  <c r="P760" i="3"/>
  <c r="P759" i="3"/>
  <c r="L758" i="3"/>
  <c r="L757" i="3"/>
  <c r="L761" i="3"/>
  <c r="L760" i="3"/>
  <c r="L759" i="3"/>
  <c r="S753" i="3"/>
  <c r="S752" i="3"/>
  <c r="S756" i="3"/>
  <c r="S755" i="3"/>
  <c r="S754" i="3"/>
  <c r="O753" i="3"/>
  <c r="O752" i="3"/>
  <c r="O756" i="3"/>
  <c r="O755" i="3"/>
  <c r="O754" i="3"/>
  <c r="K753" i="3"/>
  <c r="K752" i="3"/>
  <c r="K756" i="3"/>
  <c r="K755" i="3"/>
  <c r="K754" i="3"/>
  <c r="R747" i="3"/>
  <c r="R748" i="3"/>
  <c r="R751" i="3"/>
  <c r="R750" i="3"/>
  <c r="R749" i="3"/>
  <c r="N751" i="3"/>
  <c r="N747" i="3"/>
  <c r="N748" i="3"/>
  <c r="N750" i="3"/>
  <c r="N749" i="3"/>
  <c r="J749" i="3"/>
  <c r="J751" i="3"/>
  <c r="J750" i="3"/>
  <c r="J747" i="3"/>
  <c r="J748" i="3"/>
  <c r="Q744" i="3"/>
  <c r="Q745" i="3"/>
  <c r="Q746" i="3"/>
  <c r="Q742" i="3"/>
  <c r="Q743" i="3"/>
  <c r="M744" i="3"/>
  <c r="M742" i="3"/>
  <c r="M743" i="3"/>
  <c r="M745" i="3"/>
  <c r="M746" i="3"/>
  <c r="T739" i="3"/>
  <c r="T737" i="3"/>
  <c r="T738" i="3"/>
  <c r="T740" i="3"/>
  <c r="T741" i="3"/>
  <c r="P739" i="3"/>
  <c r="P737" i="3"/>
  <c r="P738" i="3"/>
  <c r="P740" i="3"/>
  <c r="P741" i="3"/>
  <c r="L739" i="3"/>
  <c r="L737" i="3"/>
  <c r="L738" i="3"/>
  <c r="L740" i="3"/>
  <c r="L741" i="3"/>
  <c r="S734" i="3"/>
  <c r="S732" i="3"/>
  <c r="S733" i="3"/>
  <c r="S735" i="3"/>
  <c r="S736" i="3"/>
  <c r="O734" i="3"/>
  <c r="O735" i="3"/>
  <c r="O736" i="3"/>
  <c r="O732" i="3"/>
  <c r="O733" i="3"/>
  <c r="K734" i="3"/>
  <c r="K732" i="3"/>
  <c r="K733" i="3"/>
  <c r="K735" i="3"/>
  <c r="K736" i="3"/>
  <c r="R725" i="3"/>
  <c r="R729" i="3"/>
  <c r="R726" i="3"/>
  <c r="R727" i="3"/>
  <c r="R728" i="3"/>
  <c r="R730" i="3"/>
  <c r="R731" i="3"/>
  <c r="R723" i="3"/>
  <c r="R724" i="3"/>
  <c r="N725" i="3"/>
  <c r="N729" i="3"/>
  <c r="N723" i="3"/>
  <c r="N724" i="3"/>
  <c r="N726" i="3"/>
  <c r="N727" i="3"/>
  <c r="N728" i="3"/>
  <c r="N730" i="3"/>
  <c r="N731" i="3"/>
  <c r="J725" i="3"/>
  <c r="J729" i="3"/>
  <c r="J723" i="3"/>
  <c r="J724" i="3"/>
  <c r="J726" i="3"/>
  <c r="J727" i="3"/>
  <c r="J728" i="3"/>
  <c r="J730" i="3"/>
  <c r="J731" i="3"/>
  <c r="Q720" i="3"/>
  <c r="Q719" i="3"/>
  <c r="Q718" i="3"/>
  <c r="Q721" i="3"/>
  <c r="Q722" i="3"/>
  <c r="M720" i="3"/>
  <c r="M719" i="3"/>
  <c r="M718" i="3"/>
  <c r="M721" i="3"/>
  <c r="M722" i="3"/>
  <c r="T715" i="3"/>
  <c r="T714" i="3"/>
  <c r="T716" i="3"/>
  <c r="T717" i="3"/>
  <c r="T713" i="3"/>
  <c r="P715" i="3"/>
  <c r="P714" i="3"/>
  <c r="P713" i="3"/>
  <c r="P716" i="3"/>
  <c r="P717" i="3"/>
  <c r="L715" i="3"/>
  <c r="L714" i="3"/>
  <c r="L716" i="3"/>
  <c r="L717" i="3"/>
  <c r="L713" i="3"/>
  <c r="S710" i="3"/>
  <c r="S709" i="3"/>
  <c r="S711" i="3"/>
  <c r="S712" i="3"/>
  <c r="S708" i="3"/>
  <c r="O710" i="3"/>
  <c r="O709" i="3"/>
  <c r="O708" i="3"/>
  <c r="O711" i="3"/>
  <c r="O712" i="3"/>
  <c r="K710" i="3"/>
  <c r="K709" i="3"/>
  <c r="K711" i="3"/>
  <c r="K712" i="3"/>
  <c r="K708" i="3"/>
  <c r="R705" i="3"/>
  <c r="R704" i="3"/>
  <c r="R706" i="3"/>
  <c r="R707" i="3"/>
  <c r="R703" i="3"/>
  <c r="N705" i="3"/>
  <c r="N704" i="3"/>
  <c r="N703" i="3"/>
  <c r="N706" i="3"/>
  <c r="N707" i="3"/>
  <c r="J705" i="3"/>
  <c r="J704" i="3"/>
  <c r="J706" i="3"/>
  <c r="J707" i="3"/>
  <c r="J703" i="3"/>
  <c r="Q700" i="3"/>
  <c r="Q699" i="3"/>
  <c r="Q701" i="3"/>
  <c r="Q702" i="3"/>
  <c r="Q698" i="3"/>
  <c r="M700" i="3"/>
  <c r="M699" i="3"/>
  <c r="M698" i="3"/>
  <c r="M701" i="3"/>
  <c r="M702" i="3"/>
  <c r="T695" i="3"/>
  <c r="T694" i="3"/>
  <c r="T693" i="3"/>
  <c r="T696" i="3"/>
  <c r="T697" i="3"/>
  <c r="P695" i="3"/>
  <c r="P694" i="3"/>
  <c r="P696" i="3"/>
  <c r="P697" i="3"/>
  <c r="P693" i="3"/>
  <c r="L695" i="3"/>
  <c r="L694" i="3"/>
  <c r="L693" i="3"/>
  <c r="L696" i="3"/>
  <c r="L697" i="3"/>
  <c r="S690" i="3"/>
  <c r="S689" i="3"/>
  <c r="S688" i="3"/>
  <c r="S691" i="3"/>
  <c r="S692" i="3"/>
  <c r="O690" i="3"/>
  <c r="O689" i="3"/>
  <c r="O691" i="3"/>
  <c r="O692" i="3"/>
  <c r="O688" i="3"/>
  <c r="K690" i="3"/>
  <c r="K689" i="3"/>
  <c r="K688" i="3"/>
  <c r="K691" i="3"/>
  <c r="K692" i="3"/>
  <c r="R685" i="3"/>
  <c r="R684" i="3"/>
  <c r="R683" i="3"/>
  <c r="R686" i="3"/>
  <c r="R687" i="3"/>
  <c r="N685" i="3"/>
  <c r="N684" i="3"/>
  <c r="N686" i="3"/>
  <c r="N687" i="3"/>
  <c r="N683" i="3"/>
  <c r="J685" i="3"/>
  <c r="J684" i="3"/>
  <c r="J683" i="3"/>
  <c r="J686" i="3"/>
  <c r="J687" i="3"/>
  <c r="Q680" i="3"/>
  <c r="Q679" i="3"/>
  <c r="Q678" i="3"/>
  <c r="Q681" i="3"/>
  <c r="Q682" i="3"/>
  <c r="M680" i="3"/>
  <c r="M679" i="3"/>
  <c r="M678" i="3"/>
  <c r="M681" i="3"/>
  <c r="M682" i="3"/>
  <c r="T671" i="3"/>
  <c r="T675" i="3"/>
  <c r="T670" i="3"/>
  <c r="T674" i="3"/>
  <c r="T669" i="3"/>
  <c r="T673" i="3"/>
  <c r="T677" i="3"/>
  <c r="T672" i="3"/>
  <c r="T676" i="3"/>
  <c r="P671" i="3"/>
  <c r="P675" i="3"/>
  <c r="P670" i="3"/>
  <c r="P674" i="3"/>
  <c r="P669" i="3"/>
  <c r="P673" i="3"/>
  <c r="P677" i="3"/>
  <c r="P672" i="3"/>
  <c r="P676" i="3"/>
  <c r="L671" i="3"/>
  <c r="L675" i="3"/>
  <c r="L670" i="3"/>
  <c r="L674" i="3"/>
  <c r="L669" i="3"/>
  <c r="L673" i="3"/>
  <c r="L677" i="3"/>
  <c r="L672" i="3"/>
  <c r="L676" i="3"/>
  <c r="S666" i="3"/>
  <c r="S665" i="3"/>
  <c r="S664" i="3"/>
  <c r="S668" i="3"/>
  <c r="S667" i="3"/>
  <c r="O666" i="3"/>
  <c r="O665" i="3"/>
  <c r="O664" i="3"/>
  <c r="O668" i="3"/>
  <c r="O667" i="3"/>
  <c r="K666" i="3"/>
  <c r="K665" i="3"/>
  <c r="K664" i="3"/>
  <c r="K668" i="3"/>
  <c r="K667" i="3"/>
  <c r="R661" i="3"/>
  <c r="R660" i="3"/>
  <c r="R663" i="3"/>
  <c r="R662" i="3"/>
  <c r="N661" i="3"/>
  <c r="N660" i="3"/>
  <c r="N663" i="3"/>
  <c r="N662" i="3"/>
  <c r="J661" i="3"/>
  <c r="J660" i="3"/>
  <c r="J663" i="3"/>
  <c r="J662" i="3"/>
  <c r="Q656" i="3"/>
  <c r="Q655" i="3"/>
  <c r="Q659" i="3"/>
  <c r="Q658" i="3"/>
  <c r="Q657" i="3"/>
  <c r="M656" i="3"/>
  <c r="M655" i="3"/>
  <c r="M659" i="3"/>
  <c r="M658" i="3"/>
  <c r="M657" i="3"/>
  <c r="T650" i="3"/>
  <c r="T651" i="3"/>
  <c r="T654" i="3"/>
  <c r="T653" i="3"/>
  <c r="T652" i="3"/>
  <c r="P654" i="3"/>
  <c r="P651" i="3"/>
  <c r="P653" i="3"/>
  <c r="P650" i="3"/>
  <c r="P652" i="3"/>
  <c r="L650" i="3"/>
  <c r="L654" i="3"/>
  <c r="L653" i="3"/>
  <c r="L651" i="3"/>
  <c r="L652" i="3"/>
  <c r="S648" i="3"/>
  <c r="S647" i="3"/>
  <c r="S645" i="3"/>
  <c r="S646" i="3"/>
  <c r="S649" i="3"/>
  <c r="O648" i="3"/>
  <c r="O647" i="3"/>
  <c r="O646" i="3"/>
  <c r="O649" i="3"/>
  <c r="O645" i="3"/>
  <c r="K648" i="3"/>
  <c r="K647" i="3"/>
  <c r="K645" i="3"/>
  <c r="K646" i="3"/>
  <c r="K649" i="3"/>
  <c r="R643" i="3"/>
  <c r="R642" i="3"/>
  <c r="R640" i="3"/>
  <c r="R641" i="3"/>
  <c r="R644" i="3"/>
  <c r="N643" i="3"/>
  <c r="N642" i="3"/>
  <c r="N641" i="3"/>
  <c r="N644" i="3"/>
  <c r="N640" i="3"/>
  <c r="J643" i="3"/>
  <c r="J642" i="3"/>
  <c r="J640" i="3"/>
  <c r="J641" i="3"/>
  <c r="J644" i="3"/>
  <c r="Q638" i="3"/>
  <c r="Q637" i="3"/>
  <c r="Q635" i="3"/>
  <c r="Q636" i="3"/>
  <c r="Q639" i="3"/>
  <c r="M638" i="3"/>
  <c r="M637" i="3"/>
  <c r="M636" i="3"/>
  <c r="M639" i="3"/>
  <c r="M635" i="3"/>
  <c r="T633" i="3"/>
  <c r="T632" i="3"/>
  <c r="T631" i="3"/>
  <c r="T634" i="3"/>
  <c r="P633" i="3"/>
  <c r="P632" i="3"/>
  <c r="P631" i="3"/>
  <c r="P634" i="3"/>
  <c r="L633" i="3"/>
  <c r="L632" i="3"/>
  <c r="L631" i="3"/>
  <c r="L634" i="3"/>
  <c r="S628" i="3"/>
  <c r="S627" i="3"/>
  <c r="S626" i="3"/>
  <c r="S629" i="3"/>
  <c r="S630" i="3"/>
  <c r="O628" i="3"/>
  <c r="O627" i="3"/>
  <c r="O630" i="3"/>
  <c r="O626" i="3"/>
  <c r="O629" i="3"/>
  <c r="K628" i="3"/>
  <c r="K627" i="3"/>
  <c r="K626" i="3"/>
  <c r="K629" i="3"/>
  <c r="K630" i="3"/>
  <c r="R623" i="3"/>
  <c r="R622" i="3"/>
  <c r="R621" i="3"/>
  <c r="R624" i="3"/>
  <c r="R625" i="3"/>
  <c r="N623" i="3"/>
  <c r="N622" i="3"/>
  <c r="N625" i="3"/>
  <c r="N621" i="3"/>
  <c r="N624" i="3"/>
  <c r="J623" i="3"/>
  <c r="J622" i="3"/>
  <c r="J621" i="3"/>
  <c r="J624" i="3"/>
  <c r="J625" i="3"/>
  <c r="Q618" i="3"/>
  <c r="Q617" i="3"/>
  <c r="Q616" i="3"/>
  <c r="Q619" i="3"/>
  <c r="Q620" i="3"/>
  <c r="M618" i="3"/>
  <c r="M617" i="3"/>
  <c r="M620" i="3"/>
  <c r="M616" i="3"/>
  <c r="M619" i="3"/>
  <c r="T613" i="3"/>
  <c r="T612" i="3"/>
  <c r="T615" i="3"/>
  <c r="T611" i="3"/>
  <c r="T614" i="3"/>
  <c r="P613" i="3"/>
  <c r="P612" i="3"/>
  <c r="P611" i="3"/>
  <c r="P614" i="3"/>
  <c r="P615" i="3"/>
  <c r="L613" i="3"/>
  <c r="L612" i="3"/>
  <c r="L615" i="3"/>
  <c r="L611" i="3"/>
  <c r="L614" i="3"/>
  <c r="S608" i="3"/>
  <c r="S607" i="3"/>
  <c r="S610" i="3"/>
  <c r="S606" i="3"/>
  <c r="S609" i="3"/>
  <c r="O608" i="3"/>
  <c r="O607" i="3"/>
  <c r="O606" i="3"/>
  <c r="O609" i="3"/>
  <c r="O610" i="3"/>
  <c r="K608" i="3"/>
  <c r="K607" i="3"/>
  <c r="K610" i="3"/>
  <c r="K606" i="3"/>
  <c r="K609" i="3"/>
  <c r="R603" i="3"/>
  <c r="R602" i="3"/>
  <c r="R605" i="3"/>
  <c r="R604" i="3"/>
  <c r="N603" i="3"/>
  <c r="N602" i="3"/>
  <c r="N604" i="3"/>
  <c r="N605" i="3"/>
  <c r="J603" i="3"/>
  <c r="J602" i="3"/>
  <c r="J605" i="3"/>
  <c r="J604" i="3"/>
  <c r="Q599" i="3"/>
  <c r="Q598" i="3"/>
  <c r="Q597" i="3"/>
  <c r="Q601" i="3"/>
  <c r="Q600" i="3"/>
  <c r="M599" i="3"/>
  <c r="M598" i="3"/>
  <c r="M597" i="3"/>
  <c r="M601" i="3"/>
  <c r="M600" i="3"/>
  <c r="T594" i="3"/>
  <c r="T593" i="3"/>
  <c r="T592" i="3"/>
  <c r="T596" i="3"/>
  <c r="T595" i="3"/>
  <c r="P594" i="3"/>
  <c r="P593" i="3"/>
  <c r="P592" i="3"/>
  <c r="P596" i="3"/>
  <c r="P595" i="3"/>
  <c r="L594" i="3"/>
  <c r="L593" i="3"/>
  <c r="L592" i="3"/>
  <c r="L596" i="3"/>
  <c r="L595" i="3"/>
  <c r="S589" i="3"/>
  <c r="S588" i="3"/>
  <c r="S587" i="3"/>
  <c r="S591" i="3"/>
  <c r="S586" i="3"/>
  <c r="S590" i="3"/>
  <c r="O589" i="3"/>
  <c r="O588" i="3"/>
  <c r="O587" i="3"/>
  <c r="O591" i="3"/>
  <c r="O586" i="3"/>
  <c r="O590" i="3"/>
  <c r="K589" i="3"/>
  <c r="K588" i="3"/>
  <c r="K587" i="3"/>
  <c r="K591" i="3"/>
  <c r="K586" i="3"/>
  <c r="K590" i="3"/>
  <c r="R584" i="3"/>
  <c r="R583" i="3"/>
  <c r="R582" i="3"/>
  <c r="R581" i="3"/>
  <c r="R585" i="3"/>
  <c r="N584" i="3"/>
  <c r="N583" i="3"/>
  <c r="N582" i="3"/>
  <c r="N581" i="3"/>
  <c r="N585" i="3"/>
  <c r="J584" i="3"/>
  <c r="J583" i="3"/>
  <c r="J582" i="3"/>
  <c r="J581" i="3"/>
  <c r="J585" i="3"/>
  <c r="Q579" i="3"/>
  <c r="Q578" i="3"/>
  <c r="Q577" i="3"/>
  <c r="Q576" i="3"/>
  <c r="Q580" i="3"/>
  <c r="M579" i="3"/>
  <c r="M578" i="3"/>
  <c r="M577" i="3"/>
  <c r="M576" i="3"/>
  <c r="M580" i="3"/>
  <c r="T574" i="3"/>
  <c r="T573" i="3"/>
  <c r="T572" i="3"/>
  <c r="T575" i="3"/>
  <c r="P574" i="3"/>
  <c r="P573" i="3"/>
  <c r="P572" i="3"/>
  <c r="P575" i="3"/>
  <c r="L574" i="3"/>
  <c r="L573" i="3"/>
  <c r="L572" i="3"/>
  <c r="L575" i="3"/>
  <c r="S569" i="3"/>
  <c r="S568" i="3"/>
  <c r="S567" i="3"/>
  <c r="S571" i="3"/>
  <c r="S570" i="3"/>
  <c r="O569" i="3"/>
  <c r="O568" i="3"/>
  <c r="O567" i="3"/>
  <c r="O571" i="3"/>
  <c r="O570" i="3"/>
  <c r="K569" i="3"/>
  <c r="K568" i="3"/>
  <c r="K567" i="3"/>
  <c r="K571" i="3"/>
  <c r="K570" i="3"/>
  <c r="R564" i="3"/>
  <c r="R563" i="3"/>
  <c r="R562" i="3"/>
  <c r="R566" i="3"/>
  <c r="R565" i="3"/>
  <c r="N564" i="3"/>
  <c r="N563" i="3"/>
  <c r="N562" i="3"/>
  <c r="N566" i="3"/>
  <c r="N565" i="3"/>
  <c r="J564" i="3"/>
  <c r="J563" i="3"/>
  <c r="J562" i="3"/>
  <c r="J566" i="3"/>
  <c r="J565" i="3"/>
  <c r="Q559" i="3"/>
  <c r="Q558" i="3"/>
  <c r="Q557" i="3"/>
  <c r="Q561" i="3"/>
  <c r="Q560" i="3"/>
  <c r="M559" i="3"/>
  <c r="M558" i="3"/>
  <c r="M557" i="3"/>
  <c r="M561" i="3"/>
  <c r="M560" i="3"/>
  <c r="T554" i="3"/>
  <c r="T553" i="3"/>
  <c r="T552" i="3"/>
  <c r="T556" i="3"/>
  <c r="T555" i="3"/>
  <c r="P554" i="3"/>
  <c r="P553" i="3"/>
  <c r="P552" i="3"/>
  <c r="P556" i="3"/>
  <c r="P555" i="3"/>
  <c r="L554" i="3"/>
  <c r="L553" i="3"/>
  <c r="L552" i="3"/>
  <c r="L556" i="3"/>
  <c r="L555" i="3"/>
  <c r="S549" i="3"/>
  <c r="S548" i="3"/>
  <c r="S547" i="3"/>
  <c r="S551" i="3"/>
  <c r="S550" i="3"/>
  <c r="O549" i="3"/>
  <c r="O548" i="3"/>
  <c r="O547" i="3"/>
  <c r="O551" i="3"/>
  <c r="O550" i="3"/>
  <c r="K549" i="3"/>
  <c r="K548" i="3"/>
  <c r="K547" i="3"/>
  <c r="K551" i="3"/>
  <c r="K550" i="3"/>
  <c r="R544" i="3"/>
  <c r="R543" i="3"/>
  <c r="R546" i="3"/>
  <c r="R545" i="3"/>
  <c r="N544" i="3"/>
  <c r="N543" i="3"/>
  <c r="N546" i="3"/>
  <c r="N545" i="3"/>
  <c r="J544" i="3"/>
  <c r="J543" i="3"/>
  <c r="J546" i="3"/>
  <c r="J545" i="3"/>
  <c r="Q542" i="3"/>
  <c r="Q541" i="3"/>
  <c r="M542" i="3"/>
  <c r="M541" i="3"/>
  <c r="T539" i="3"/>
  <c r="T538" i="3"/>
  <c r="T540" i="3"/>
  <c r="P539" i="3"/>
  <c r="P538" i="3"/>
  <c r="P540" i="3"/>
  <c r="L539" i="3"/>
  <c r="L538" i="3"/>
  <c r="L540" i="3"/>
  <c r="S536" i="3"/>
  <c r="S537" i="3"/>
  <c r="S535" i="3"/>
  <c r="O536" i="3"/>
  <c r="O537" i="3"/>
  <c r="O535" i="3"/>
  <c r="K536" i="3"/>
  <c r="K537" i="3"/>
  <c r="K535" i="3"/>
  <c r="R533" i="3"/>
  <c r="R532" i="3"/>
  <c r="R534" i="3"/>
  <c r="N533" i="3"/>
  <c r="N532" i="3"/>
  <c r="N534" i="3"/>
  <c r="J533" i="3"/>
  <c r="J532" i="3"/>
  <c r="J534" i="3"/>
  <c r="Q530" i="3"/>
  <c r="Q531" i="3"/>
  <c r="M530" i="3"/>
  <c r="M531" i="3"/>
  <c r="T529" i="3"/>
  <c r="T527" i="3"/>
  <c r="T528" i="3"/>
  <c r="P529" i="3"/>
  <c r="P527" i="3"/>
  <c r="P528" i="3"/>
  <c r="L529" i="3"/>
  <c r="L527" i="3"/>
  <c r="L528" i="3"/>
  <c r="S524" i="3"/>
  <c r="S526" i="3"/>
  <c r="S525" i="3"/>
  <c r="S523" i="3"/>
  <c r="O524" i="3"/>
  <c r="O526" i="3"/>
  <c r="O525" i="3"/>
  <c r="O523" i="3"/>
  <c r="K524" i="3"/>
  <c r="K526" i="3"/>
  <c r="K525" i="3"/>
  <c r="K523" i="3"/>
  <c r="R521" i="3"/>
  <c r="R520" i="3"/>
  <c r="R522" i="3"/>
  <c r="N521" i="3"/>
  <c r="N520" i="3"/>
  <c r="N522" i="3"/>
  <c r="J521" i="3"/>
  <c r="J520" i="3"/>
  <c r="J522" i="3"/>
  <c r="Q518" i="3"/>
  <c r="Q516" i="3"/>
  <c r="Q519" i="3"/>
  <c r="Q517" i="3"/>
  <c r="M518" i="3"/>
  <c r="M516" i="3"/>
  <c r="M519" i="3"/>
  <c r="M517" i="3"/>
  <c r="T513" i="3"/>
  <c r="T515" i="3"/>
  <c r="T514" i="3"/>
  <c r="P513" i="3"/>
  <c r="P515" i="3"/>
  <c r="P514" i="3"/>
  <c r="L513" i="3"/>
  <c r="L515" i="3"/>
  <c r="L514" i="3"/>
  <c r="S512" i="3"/>
  <c r="S511" i="3"/>
  <c r="O512" i="3"/>
  <c r="O511" i="3"/>
  <c r="K512" i="3"/>
  <c r="K511" i="3"/>
  <c r="R509" i="3"/>
  <c r="R508" i="3"/>
  <c r="R510" i="3"/>
  <c r="N509" i="3"/>
  <c r="N508" i="3"/>
  <c r="N510" i="3"/>
  <c r="J509" i="3"/>
  <c r="J508" i="3"/>
  <c r="J510" i="3"/>
  <c r="Q506" i="3"/>
  <c r="Q504" i="3"/>
  <c r="Q507" i="3"/>
  <c r="Q505" i="3"/>
  <c r="M506" i="3"/>
  <c r="M504" i="3"/>
  <c r="M507" i="3"/>
  <c r="M505" i="3"/>
  <c r="T501" i="3"/>
  <c r="T503" i="3"/>
  <c r="T502" i="3"/>
  <c r="P501" i="3"/>
  <c r="P503" i="3"/>
  <c r="P502" i="3"/>
  <c r="L501" i="3"/>
  <c r="L503" i="3"/>
  <c r="L502" i="3"/>
  <c r="S500" i="3"/>
  <c r="S498" i="3"/>
  <c r="S497" i="3"/>
  <c r="S499" i="3"/>
  <c r="O500" i="3"/>
  <c r="O498" i="3"/>
  <c r="O497" i="3"/>
  <c r="O499" i="3"/>
  <c r="K500" i="3"/>
  <c r="K498" i="3"/>
  <c r="K497" i="3"/>
  <c r="K499" i="3"/>
  <c r="R495" i="3"/>
  <c r="R496" i="3"/>
  <c r="R494" i="3"/>
  <c r="N495" i="3"/>
  <c r="N496" i="3"/>
  <c r="N494" i="3"/>
  <c r="J495" i="3"/>
  <c r="J496" i="3"/>
  <c r="J494" i="3"/>
  <c r="Q492" i="3"/>
  <c r="Q491" i="3"/>
  <c r="Q493" i="3"/>
  <c r="M492" i="3"/>
  <c r="M491" i="3"/>
  <c r="M493" i="3"/>
  <c r="T489" i="3"/>
  <c r="T490" i="3"/>
  <c r="T488" i="3"/>
  <c r="P489" i="3"/>
  <c r="P490" i="3"/>
  <c r="P488" i="3"/>
  <c r="L489" i="3"/>
  <c r="L490" i="3"/>
  <c r="L488" i="3"/>
  <c r="S486" i="3"/>
  <c r="S485" i="3"/>
  <c r="S487" i="3"/>
  <c r="O486" i="3"/>
  <c r="O485" i="3"/>
  <c r="O487" i="3"/>
  <c r="K486" i="3"/>
  <c r="K485" i="3"/>
  <c r="K487" i="3"/>
  <c r="R483" i="3"/>
  <c r="R484" i="3"/>
  <c r="N483" i="3"/>
  <c r="N484" i="3"/>
  <c r="J483" i="3"/>
  <c r="J484" i="3"/>
  <c r="Q482" i="3"/>
  <c r="Q481" i="3"/>
  <c r="M482" i="3"/>
  <c r="M481" i="3"/>
  <c r="T479" i="3"/>
  <c r="T480" i="3"/>
  <c r="P479" i="3"/>
  <c r="P480" i="3"/>
  <c r="L480" i="3"/>
  <c r="L479" i="3"/>
  <c r="S478" i="3"/>
  <c r="S477" i="3"/>
  <c r="O478" i="3"/>
  <c r="O477" i="3"/>
  <c r="K478" i="3"/>
  <c r="K477" i="3"/>
  <c r="R475" i="3"/>
  <c r="R476" i="3"/>
  <c r="N475" i="3"/>
  <c r="N476" i="3"/>
  <c r="J475" i="3"/>
  <c r="J476" i="3"/>
  <c r="Q474" i="3"/>
  <c r="Q473" i="3"/>
  <c r="M474" i="3"/>
  <c r="M473" i="3"/>
  <c r="T472" i="3"/>
  <c r="T471" i="3"/>
  <c r="P472" i="3"/>
  <c r="P471" i="3"/>
  <c r="L472" i="3"/>
  <c r="L471" i="3"/>
  <c r="S470" i="3"/>
  <c r="S469" i="3"/>
  <c r="O470" i="3"/>
  <c r="O469" i="3"/>
  <c r="K470" i="3"/>
  <c r="K469" i="3"/>
  <c r="R467" i="3"/>
  <c r="R468" i="3"/>
  <c r="N467" i="3"/>
  <c r="N468" i="3"/>
  <c r="J467" i="3"/>
  <c r="J468" i="3"/>
  <c r="Q466" i="3"/>
  <c r="Q465" i="3"/>
  <c r="M466" i="3"/>
  <c r="M465" i="3"/>
  <c r="T464" i="3"/>
  <c r="T463" i="3"/>
  <c r="P464" i="3"/>
  <c r="P463" i="3"/>
  <c r="L464" i="3"/>
  <c r="L463" i="3"/>
  <c r="S462" i="3"/>
  <c r="S461" i="3"/>
  <c r="O462" i="3"/>
  <c r="O461" i="3"/>
  <c r="K462" i="3"/>
  <c r="K461" i="3"/>
  <c r="R459" i="3"/>
  <c r="R460" i="3"/>
  <c r="N459" i="3"/>
  <c r="N460" i="3"/>
  <c r="J459" i="3"/>
  <c r="J460" i="3"/>
  <c r="Q458" i="3"/>
  <c r="Q457" i="3"/>
  <c r="M458" i="3"/>
  <c r="M457" i="3"/>
  <c r="T456" i="3"/>
  <c r="T455" i="3"/>
  <c r="P456" i="3"/>
  <c r="P455" i="3"/>
  <c r="L456" i="3"/>
  <c r="L455" i="3"/>
  <c r="S454" i="3"/>
  <c r="S453" i="3"/>
  <c r="O454" i="3"/>
  <c r="O453" i="3"/>
  <c r="K454" i="3"/>
  <c r="K453" i="3"/>
  <c r="R451" i="3"/>
  <c r="R452" i="3"/>
  <c r="N451" i="3"/>
  <c r="N452" i="3"/>
  <c r="J451" i="3"/>
  <c r="J452" i="3"/>
  <c r="Q449" i="3"/>
  <c r="Q450" i="3"/>
  <c r="M449" i="3"/>
  <c r="M450" i="3"/>
  <c r="T447" i="3"/>
  <c r="T448" i="3"/>
  <c r="P447" i="3"/>
  <c r="P448" i="3"/>
  <c r="L447" i="3"/>
  <c r="L448" i="3"/>
  <c r="S446" i="3"/>
  <c r="S445" i="3"/>
  <c r="O446" i="3"/>
  <c r="O445" i="3"/>
  <c r="K446" i="3"/>
  <c r="K445" i="3"/>
  <c r="R444" i="3"/>
  <c r="R443" i="3"/>
  <c r="N444" i="3"/>
  <c r="N443" i="3"/>
  <c r="J444" i="3"/>
  <c r="J443" i="3"/>
  <c r="Q441" i="3"/>
  <c r="Q442" i="3"/>
  <c r="M441" i="3"/>
  <c r="M442" i="3"/>
  <c r="T439" i="3"/>
  <c r="T440" i="3"/>
  <c r="P439" i="3"/>
  <c r="P440" i="3"/>
  <c r="L439" i="3"/>
  <c r="L440" i="3"/>
  <c r="S438" i="3"/>
  <c r="S437" i="3"/>
  <c r="O438" i="3"/>
  <c r="O437" i="3"/>
  <c r="K438" i="3"/>
  <c r="K437" i="3"/>
  <c r="R436" i="3"/>
  <c r="R435" i="3"/>
  <c r="N436" i="3"/>
  <c r="N435" i="3"/>
  <c r="J436" i="3"/>
  <c r="J435" i="3"/>
  <c r="Q433" i="3"/>
  <c r="Q434" i="3"/>
  <c r="M433" i="3"/>
  <c r="M434" i="3"/>
  <c r="T431" i="3"/>
  <c r="T432" i="3"/>
  <c r="P431" i="3"/>
  <c r="P432" i="3"/>
  <c r="L431" i="3"/>
  <c r="L432" i="3"/>
  <c r="S430" i="3"/>
  <c r="S429" i="3"/>
  <c r="O430" i="3"/>
  <c r="O429" i="3"/>
  <c r="K430" i="3"/>
  <c r="K429" i="3"/>
  <c r="R428" i="3"/>
  <c r="R427" i="3"/>
  <c r="N428" i="3"/>
  <c r="N427" i="3"/>
  <c r="J428" i="3"/>
  <c r="J427" i="3"/>
  <c r="Q425" i="3"/>
  <c r="Q426" i="3"/>
  <c r="M425" i="3"/>
  <c r="M426" i="3"/>
  <c r="T423" i="3"/>
  <c r="T424" i="3"/>
  <c r="P423" i="3"/>
  <c r="P424" i="3"/>
  <c r="L423" i="3"/>
  <c r="L424" i="3"/>
  <c r="S422" i="3"/>
  <c r="S421" i="3"/>
  <c r="O422" i="3"/>
  <c r="O421" i="3"/>
  <c r="K422" i="3"/>
  <c r="K421" i="3"/>
  <c r="R420" i="3"/>
  <c r="R419" i="3"/>
  <c r="N420" i="3"/>
  <c r="N419" i="3"/>
  <c r="J420" i="3"/>
  <c r="J419" i="3"/>
  <c r="Q417" i="3"/>
  <c r="Q418" i="3"/>
  <c r="M417" i="3"/>
  <c r="M418" i="3"/>
  <c r="T415" i="3"/>
  <c r="T416" i="3"/>
  <c r="P415" i="3"/>
  <c r="P416" i="3"/>
  <c r="L415" i="3"/>
  <c r="L416" i="3"/>
  <c r="S414" i="3"/>
  <c r="S413" i="3"/>
  <c r="O414" i="3"/>
  <c r="O413" i="3"/>
  <c r="K414" i="3"/>
  <c r="K413" i="3"/>
  <c r="R412" i="3"/>
  <c r="R411" i="3"/>
  <c r="N412" i="3"/>
  <c r="N411" i="3"/>
  <c r="J412" i="3"/>
  <c r="J411" i="3"/>
  <c r="Q409" i="3"/>
  <c r="Q410" i="3"/>
  <c r="M409" i="3"/>
  <c r="M410" i="3"/>
  <c r="T407" i="3"/>
  <c r="T408" i="3"/>
  <c r="P407" i="3"/>
  <c r="P408" i="3"/>
  <c r="L407" i="3"/>
  <c r="L408" i="3"/>
  <c r="S406" i="3"/>
  <c r="S405" i="3"/>
  <c r="O406" i="3"/>
  <c r="O405" i="3"/>
  <c r="K406" i="3"/>
  <c r="K405" i="3"/>
  <c r="R404" i="3"/>
  <c r="R403" i="3"/>
  <c r="N404" i="3"/>
  <c r="N403" i="3"/>
  <c r="J404" i="3"/>
  <c r="J403" i="3"/>
  <c r="Q401" i="3"/>
  <c r="Q402" i="3"/>
  <c r="M401" i="3"/>
  <c r="M402" i="3"/>
  <c r="T399" i="3"/>
  <c r="T400" i="3"/>
  <c r="P399" i="3"/>
  <c r="P400" i="3"/>
  <c r="L399" i="3"/>
  <c r="L400" i="3"/>
  <c r="S398" i="3"/>
  <c r="S397" i="3"/>
  <c r="O398" i="3"/>
  <c r="O397" i="3"/>
  <c r="K398" i="3"/>
  <c r="K397" i="3"/>
  <c r="R396" i="3"/>
  <c r="R395" i="3"/>
  <c r="N396" i="3"/>
  <c r="N395" i="3"/>
  <c r="J396" i="3"/>
  <c r="J395" i="3"/>
  <c r="Q393" i="3"/>
  <c r="Q394" i="3"/>
  <c r="M393" i="3"/>
  <c r="M394" i="3"/>
  <c r="T391" i="3"/>
  <c r="T392" i="3"/>
  <c r="P391" i="3"/>
  <c r="P392" i="3"/>
  <c r="L391" i="3"/>
  <c r="L392" i="3"/>
  <c r="S390" i="3"/>
  <c r="S389" i="3"/>
  <c r="S387" i="3"/>
  <c r="S388" i="3"/>
  <c r="O390" i="3"/>
  <c r="O389" i="3"/>
  <c r="O387" i="3"/>
  <c r="O388" i="3"/>
  <c r="K390" i="3"/>
  <c r="K389" i="3"/>
  <c r="K387" i="3"/>
  <c r="K388" i="3"/>
  <c r="R385" i="3"/>
  <c r="R384" i="3"/>
  <c r="R386" i="3"/>
  <c r="R383" i="3"/>
  <c r="N385" i="3"/>
  <c r="N384" i="3"/>
  <c r="N386" i="3"/>
  <c r="N383" i="3"/>
  <c r="J385" i="3"/>
  <c r="J384" i="3"/>
  <c r="J386" i="3"/>
  <c r="J383" i="3"/>
  <c r="Q380" i="3"/>
  <c r="Q379" i="3"/>
  <c r="Q381" i="3"/>
  <c r="Q382" i="3"/>
  <c r="M380" i="3"/>
  <c r="M379" i="3"/>
  <c r="M381" i="3"/>
  <c r="M382" i="3"/>
  <c r="T375" i="3"/>
  <c r="T378" i="3"/>
  <c r="T376" i="3"/>
  <c r="T377" i="3"/>
  <c r="P375" i="3"/>
  <c r="P378" i="3"/>
  <c r="P376" i="3"/>
  <c r="P377" i="3"/>
  <c r="L375" i="3"/>
  <c r="L378" i="3"/>
  <c r="L376" i="3"/>
  <c r="L377" i="3"/>
  <c r="S374" i="3"/>
  <c r="S373" i="3"/>
  <c r="S371" i="3"/>
  <c r="S372" i="3"/>
  <c r="O374" i="3"/>
  <c r="O373" i="3"/>
  <c r="O371" i="3"/>
  <c r="O372" i="3"/>
  <c r="K374" i="3"/>
  <c r="K373" i="3"/>
  <c r="K371" i="3"/>
  <c r="K372" i="3"/>
  <c r="R369" i="3"/>
  <c r="R368" i="3"/>
  <c r="R370" i="3"/>
  <c r="R367" i="3"/>
  <c r="N369" i="3"/>
  <c r="N368" i="3"/>
  <c r="N370" i="3"/>
  <c r="N367" i="3"/>
  <c r="J369" i="3"/>
  <c r="J368" i="3"/>
  <c r="J370" i="3"/>
  <c r="J367" i="3"/>
  <c r="Q364" i="3"/>
  <c r="Q363" i="3"/>
  <c r="Q365" i="3"/>
  <c r="Q366" i="3"/>
  <c r="M364" i="3"/>
  <c r="M363" i="3"/>
  <c r="M365" i="3"/>
  <c r="M366" i="3"/>
  <c r="T359" i="3"/>
  <c r="T362" i="3"/>
  <c r="T360" i="3"/>
  <c r="T361" i="3"/>
  <c r="P359" i="3"/>
  <c r="P362" i="3"/>
  <c r="P360" i="3"/>
  <c r="P361" i="3"/>
  <c r="L359" i="3"/>
  <c r="L362" i="3"/>
  <c r="L360" i="3"/>
  <c r="L361" i="3"/>
  <c r="S358" i="3"/>
  <c r="S357" i="3"/>
  <c r="S355" i="3"/>
  <c r="S356" i="3"/>
  <c r="O358" i="3"/>
  <c r="O357" i="3"/>
  <c r="O355" i="3"/>
  <c r="O356" i="3"/>
  <c r="K358" i="3"/>
  <c r="K357" i="3"/>
  <c r="K355" i="3"/>
  <c r="K356" i="3"/>
  <c r="R353" i="3"/>
  <c r="R352" i="3"/>
  <c r="R354" i="3"/>
  <c r="R351" i="3"/>
  <c r="N353" i="3"/>
  <c r="N352" i="3"/>
  <c r="N354" i="3"/>
  <c r="N351" i="3"/>
  <c r="J353" i="3"/>
  <c r="J352" i="3"/>
  <c r="J354" i="3"/>
  <c r="J351" i="3"/>
  <c r="Q348" i="3"/>
  <c r="Q347" i="3"/>
  <c r="Q349" i="3"/>
  <c r="Q350" i="3"/>
  <c r="M348" i="3"/>
  <c r="M347" i="3"/>
  <c r="M349" i="3"/>
  <c r="M350" i="3"/>
  <c r="T343" i="3"/>
  <c r="T346" i="3"/>
  <c r="T344" i="3"/>
  <c r="T345" i="3"/>
  <c r="P343" i="3"/>
  <c r="P346" i="3"/>
  <c r="P344" i="3"/>
  <c r="P345" i="3"/>
  <c r="L343" i="3"/>
  <c r="L346" i="3"/>
  <c r="L344" i="3"/>
  <c r="L345" i="3"/>
  <c r="S342" i="3"/>
  <c r="S341" i="3"/>
  <c r="S339" i="3"/>
  <c r="S340" i="3"/>
  <c r="O342" i="3"/>
  <c r="O341" i="3"/>
  <c r="O339" i="3"/>
  <c r="O340" i="3"/>
  <c r="K342" i="3"/>
  <c r="K341" i="3"/>
  <c r="K339" i="3"/>
  <c r="K340" i="3"/>
  <c r="R337" i="3"/>
  <c r="R336" i="3"/>
  <c r="R335" i="3"/>
  <c r="R338" i="3"/>
  <c r="N337" i="3"/>
  <c r="N336" i="3"/>
  <c r="N335" i="3"/>
  <c r="N338" i="3"/>
  <c r="J337" i="3"/>
  <c r="J336" i="3"/>
  <c r="J335" i="3"/>
  <c r="J338" i="3"/>
  <c r="Q331" i="3"/>
  <c r="Q332" i="3"/>
  <c r="Q334" i="3"/>
  <c r="Q333" i="3"/>
  <c r="M331" i="3"/>
  <c r="M334" i="3"/>
  <c r="M332" i="3"/>
  <c r="M333" i="3"/>
  <c r="T330" i="3"/>
  <c r="T329" i="3"/>
  <c r="T327" i="3"/>
  <c r="T328" i="3"/>
  <c r="P330" i="3"/>
  <c r="P329" i="3"/>
  <c r="P327" i="3"/>
  <c r="P328" i="3"/>
  <c r="L330" i="3"/>
  <c r="L329" i="3"/>
  <c r="L327" i="3"/>
  <c r="L328" i="3"/>
  <c r="S325" i="3"/>
  <c r="S324" i="3"/>
  <c r="S326" i="3"/>
  <c r="S323" i="3"/>
  <c r="O325" i="3"/>
  <c r="O324" i="3"/>
  <c r="O323" i="3"/>
  <c r="O326" i="3"/>
  <c r="K325" i="3"/>
  <c r="K324" i="3"/>
  <c r="K326" i="3"/>
  <c r="K323" i="3"/>
  <c r="R321" i="3"/>
  <c r="R320" i="3"/>
  <c r="R319" i="3"/>
  <c r="R322" i="3"/>
  <c r="N321" i="3"/>
  <c r="N320" i="3"/>
  <c r="N319" i="3"/>
  <c r="N322" i="3"/>
  <c r="J321" i="3"/>
  <c r="J320" i="3"/>
  <c r="J319" i="3"/>
  <c r="J322" i="3"/>
  <c r="Q316" i="3"/>
  <c r="Q315" i="3"/>
  <c r="Q318" i="3"/>
  <c r="Q317" i="3"/>
  <c r="M316" i="3"/>
  <c r="M315" i="3"/>
  <c r="M318" i="3"/>
  <c r="M317" i="3"/>
  <c r="T311" i="3"/>
  <c r="T314" i="3"/>
  <c r="T313" i="3"/>
  <c r="T312" i="3"/>
  <c r="P311" i="3"/>
  <c r="P314" i="3"/>
  <c r="P313" i="3"/>
  <c r="P312" i="3"/>
  <c r="L311" i="3"/>
  <c r="L314" i="3"/>
  <c r="L313" i="3"/>
  <c r="L312" i="3"/>
  <c r="S310" i="3"/>
  <c r="S309" i="3"/>
  <c r="S308" i="3"/>
  <c r="S307" i="3"/>
  <c r="O310" i="3"/>
  <c r="O309" i="3"/>
  <c r="O308" i="3"/>
  <c r="O307" i="3"/>
  <c r="K310" i="3"/>
  <c r="K309" i="3"/>
  <c r="K308" i="3"/>
  <c r="K307" i="3"/>
  <c r="R305" i="3"/>
  <c r="R304" i="3"/>
  <c r="R303" i="3"/>
  <c r="R302" i="3"/>
  <c r="R306" i="3"/>
  <c r="N305" i="3"/>
  <c r="N304" i="3"/>
  <c r="N303" i="3"/>
  <c r="N302" i="3"/>
  <c r="N306" i="3"/>
  <c r="J305" i="3"/>
  <c r="J304" i="3"/>
  <c r="J303" i="3"/>
  <c r="J302" i="3"/>
  <c r="J306" i="3"/>
  <c r="Q300" i="3"/>
  <c r="Q299" i="3"/>
  <c r="Q298" i="3"/>
  <c r="Q301" i="3"/>
  <c r="M300" i="3"/>
  <c r="M299" i="3"/>
  <c r="M298" i="3"/>
  <c r="M301" i="3"/>
  <c r="T295" i="3"/>
  <c r="T294" i="3"/>
  <c r="T293" i="3"/>
  <c r="T297" i="3"/>
  <c r="T296" i="3"/>
  <c r="P295" i="3"/>
  <c r="P294" i="3"/>
  <c r="P293" i="3"/>
  <c r="P297" i="3"/>
  <c r="P296" i="3"/>
  <c r="L295" i="3"/>
  <c r="L294" i="3"/>
  <c r="L293" i="3"/>
  <c r="L297" i="3"/>
  <c r="L296" i="3"/>
  <c r="S290" i="3"/>
  <c r="S289" i="3"/>
  <c r="S288" i="3"/>
  <c r="S292" i="3"/>
  <c r="S291" i="3"/>
  <c r="O290" i="3"/>
  <c r="O289" i="3"/>
  <c r="O288" i="3"/>
  <c r="O292" i="3"/>
  <c r="O291" i="3"/>
  <c r="K290" i="3"/>
  <c r="K289" i="3"/>
  <c r="K288" i="3"/>
  <c r="K292" i="3"/>
  <c r="K291" i="3"/>
  <c r="R285" i="3"/>
  <c r="R284" i="3"/>
  <c r="R287" i="3"/>
  <c r="R286" i="3"/>
  <c r="N285" i="3"/>
  <c r="N284" i="3"/>
  <c r="N287" i="3"/>
  <c r="N286" i="3"/>
  <c r="J285" i="3"/>
  <c r="J284" i="3"/>
  <c r="J287" i="3"/>
  <c r="J286" i="3"/>
  <c r="Q280" i="3"/>
  <c r="Q279" i="3"/>
  <c r="Q283" i="3"/>
  <c r="Q282" i="3"/>
  <c r="Q281" i="3"/>
  <c r="M280" i="3"/>
  <c r="M279" i="3"/>
  <c r="M283" i="3"/>
  <c r="M282" i="3"/>
  <c r="M281" i="3"/>
  <c r="T274" i="3"/>
  <c r="T278" i="3"/>
  <c r="T275" i="3"/>
  <c r="T277" i="3"/>
  <c r="T276" i="3"/>
  <c r="P274" i="3"/>
  <c r="P278" i="3"/>
  <c r="P277" i="3"/>
  <c r="P275" i="3"/>
  <c r="P276" i="3"/>
  <c r="L275" i="3"/>
  <c r="L276" i="3"/>
  <c r="L278" i="3"/>
  <c r="L277" i="3"/>
  <c r="L274" i="3"/>
  <c r="S272" i="3"/>
  <c r="S271" i="3"/>
  <c r="S270" i="3"/>
  <c r="S273" i="3"/>
  <c r="O272" i="3"/>
  <c r="O271" i="3"/>
  <c r="O270" i="3"/>
  <c r="O273" i="3"/>
  <c r="K272" i="3"/>
  <c r="K271" i="3"/>
  <c r="K270" i="3"/>
  <c r="K273" i="3"/>
  <c r="R267" i="3"/>
  <c r="R266" i="3"/>
  <c r="R269" i="3"/>
  <c r="R268" i="3"/>
  <c r="N267" i="3"/>
  <c r="N266" i="3"/>
  <c r="N269" i="3"/>
  <c r="N268" i="3"/>
  <c r="J267" i="3"/>
  <c r="J266" i="3"/>
  <c r="J269" i="3"/>
  <c r="J268" i="3"/>
  <c r="Q262" i="3"/>
  <c r="Q265" i="3"/>
  <c r="Q264" i="3"/>
  <c r="Q263" i="3"/>
  <c r="M262" i="3"/>
  <c r="M265" i="3"/>
  <c r="M264" i="3"/>
  <c r="M263" i="3"/>
  <c r="T253" i="3"/>
  <c r="T257" i="3"/>
  <c r="T252" i="3"/>
  <c r="T256" i="3"/>
  <c r="T255" i="3"/>
  <c r="T254" i="3"/>
  <c r="P253" i="3"/>
  <c r="P257" i="3"/>
  <c r="P252" i="3"/>
  <c r="P256" i="3"/>
  <c r="P255" i="3"/>
  <c r="P254" i="3"/>
  <c r="L253" i="3"/>
  <c r="L257" i="3"/>
  <c r="L252" i="3"/>
  <c r="L256" i="3"/>
  <c r="L255" i="3"/>
  <c r="L254" i="3"/>
  <c r="S248" i="3"/>
  <c r="S247" i="3"/>
  <c r="S251" i="3"/>
  <c r="S246" i="3"/>
  <c r="S250" i="3"/>
  <c r="S249" i="3"/>
  <c r="O248" i="3"/>
  <c r="O247" i="3"/>
  <c r="O251" i="3"/>
  <c r="O246" i="3"/>
  <c r="O250" i="3"/>
  <c r="O249" i="3"/>
  <c r="K248" i="3"/>
  <c r="K247" i="3"/>
  <c r="K251" i="3"/>
  <c r="K246" i="3"/>
  <c r="K250" i="3"/>
  <c r="K249" i="3"/>
  <c r="R243" i="3"/>
  <c r="R242" i="3"/>
  <c r="R241" i="3"/>
  <c r="R245" i="3"/>
  <c r="R240" i="3"/>
  <c r="R244" i="3"/>
  <c r="N243" i="3"/>
  <c r="N242" i="3"/>
  <c r="N241" i="3"/>
  <c r="N245" i="3"/>
  <c r="N240" i="3"/>
  <c r="N244" i="3"/>
  <c r="J243" i="3"/>
  <c r="J242" i="3"/>
  <c r="J241" i="3"/>
  <c r="J245" i="3"/>
  <c r="J240" i="3"/>
  <c r="J244" i="3"/>
  <c r="Q234" i="3"/>
  <c r="Q238" i="3"/>
  <c r="Q237" i="3"/>
  <c r="Q236" i="3"/>
  <c r="Q235" i="3"/>
  <c r="Q239" i="3"/>
  <c r="M234" i="3"/>
  <c r="M238" i="3"/>
  <c r="M237" i="3"/>
  <c r="M236" i="3"/>
  <c r="M235" i="3"/>
  <c r="M239" i="3"/>
  <c r="T229" i="3"/>
  <c r="T233" i="3"/>
  <c r="T228" i="3"/>
  <c r="T232" i="3"/>
  <c r="T231" i="3"/>
  <c r="T230" i="3"/>
  <c r="P229" i="3"/>
  <c r="P233" i="3"/>
  <c r="P228" i="3"/>
  <c r="P232" i="3"/>
  <c r="P231" i="3"/>
  <c r="P230" i="3"/>
  <c r="L229" i="3"/>
  <c r="L233" i="3"/>
  <c r="L228" i="3"/>
  <c r="L232" i="3"/>
  <c r="L231" i="3"/>
  <c r="L230" i="3"/>
  <c r="S224" i="3"/>
  <c r="S223" i="3"/>
  <c r="S227" i="3"/>
  <c r="S222" i="3"/>
  <c r="S226" i="3"/>
  <c r="S225" i="3"/>
  <c r="O224" i="3"/>
  <c r="O223" i="3"/>
  <c r="O227" i="3"/>
  <c r="O222" i="3"/>
  <c r="O226" i="3"/>
  <c r="O225" i="3"/>
  <c r="K224" i="3"/>
  <c r="K223" i="3"/>
  <c r="K227" i="3"/>
  <c r="K222" i="3"/>
  <c r="K226" i="3"/>
  <c r="K225" i="3"/>
  <c r="R216" i="3"/>
  <c r="R219" i="3"/>
  <c r="R218" i="3"/>
  <c r="R221" i="3"/>
  <c r="R217" i="3"/>
  <c r="R220" i="3"/>
  <c r="N216" i="3"/>
  <c r="N219" i="3"/>
  <c r="N217" i="3"/>
  <c r="N218" i="3"/>
  <c r="N221" i="3"/>
  <c r="N220" i="3"/>
  <c r="J216" i="3"/>
  <c r="J219" i="3"/>
  <c r="J218" i="3"/>
  <c r="J221" i="3"/>
  <c r="J217" i="3"/>
  <c r="J220" i="3"/>
  <c r="Q212" i="3"/>
  <c r="Q211" i="3"/>
  <c r="Q215" i="3"/>
  <c r="Q210" i="3"/>
  <c r="Q214" i="3"/>
  <c r="Q213" i="3"/>
  <c r="M212" i="3"/>
  <c r="M211" i="3"/>
  <c r="M215" i="3"/>
  <c r="M210" i="3"/>
  <c r="M214" i="3"/>
  <c r="M213" i="3"/>
  <c r="T207" i="3"/>
  <c r="T206" i="3"/>
  <c r="T205" i="3"/>
  <c r="T209" i="3"/>
  <c r="T204" i="3"/>
  <c r="T208" i="3"/>
  <c r="P207" i="3"/>
  <c r="P206" i="3"/>
  <c r="P205" i="3"/>
  <c r="P209" i="3"/>
  <c r="P204" i="3"/>
  <c r="P208" i="3"/>
  <c r="L207" i="3"/>
  <c r="L206" i="3"/>
  <c r="L205" i="3"/>
  <c r="L209" i="3"/>
  <c r="L204" i="3"/>
  <c r="L208" i="3"/>
  <c r="S198" i="3"/>
  <c r="S202" i="3"/>
  <c r="S201" i="3"/>
  <c r="S200" i="3"/>
  <c r="S199" i="3"/>
  <c r="S203" i="3"/>
  <c r="O198" i="3"/>
  <c r="O202" i="3"/>
  <c r="O201" i="3"/>
  <c r="O200" i="3"/>
  <c r="O199" i="3"/>
  <c r="O203" i="3"/>
  <c r="K198" i="3"/>
  <c r="K202" i="3"/>
  <c r="K201" i="3"/>
  <c r="K200" i="3"/>
  <c r="K199" i="3"/>
  <c r="K203" i="3"/>
  <c r="R193" i="3"/>
  <c r="R197" i="3"/>
  <c r="R192" i="3"/>
  <c r="R196" i="3"/>
  <c r="R195" i="3"/>
  <c r="R194" i="3"/>
  <c r="N193" i="3"/>
  <c r="N197" i="3"/>
  <c r="N192" i="3"/>
  <c r="N196" i="3"/>
  <c r="N195" i="3"/>
  <c r="N194" i="3"/>
  <c r="J193" i="3"/>
  <c r="J197" i="3"/>
  <c r="J192" i="3"/>
  <c r="J196" i="3"/>
  <c r="J195" i="3"/>
  <c r="J194" i="3"/>
  <c r="Q188" i="3"/>
  <c r="Q191" i="3"/>
  <c r="Q190" i="3"/>
  <c r="Q189" i="3"/>
  <c r="M188" i="3"/>
  <c r="M191" i="3"/>
  <c r="M190" i="3"/>
  <c r="M189" i="3"/>
  <c r="T187" i="3"/>
  <c r="T186" i="3"/>
  <c r="T185" i="3"/>
  <c r="T184" i="3"/>
  <c r="P187" i="3"/>
  <c r="P186" i="3"/>
  <c r="P185" i="3"/>
  <c r="P184" i="3"/>
  <c r="L187" i="3"/>
  <c r="L186" i="3"/>
  <c r="L185" i="3"/>
  <c r="L184" i="3"/>
  <c r="S182" i="3"/>
  <c r="S181" i="3"/>
  <c r="S180" i="3"/>
  <c r="S183" i="3"/>
  <c r="O182" i="3"/>
  <c r="O181" i="3"/>
  <c r="O180" i="3"/>
  <c r="O183" i="3"/>
  <c r="K182" i="3"/>
  <c r="K181" i="3"/>
  <c r="K180" i="3"/>
  <c r="K183" i="3"/>
  <c r="R177" i="3"/>
  <c r="R176" i="3"/>
  <c r="R179" i="3"/>
  <c r="R178" i="3"/>
  <c r="N177" i="3"/>
  <c r="N176" i="3"/>
  <c r="N179" i="3"/>
  <c r="N178" i="3"/>
  <c r="J177" i="3"/>
  <c r="J176" i="3"/>
  <c r="J179" i="3"/>
  <c r="J178" i="3"/>
  <c r="Q172" i="3"/>
  <c r="Q175" i="3"/>
  <c r="Q174" i="3"/>
  <c r="Q173" i="3"/>
  <c r="M172" i="3"/>
  <c r="M175" i="3"/>
  <c r="M174" i="3"/>
  <c r="M173" i="3"/>
  <c r="T167" i="3"/>
  <c r="T171" i="3"/>
  <c r="T170" i="3"/>
  <c r="T169" i="3"/>
  <c r="T168" i="3"/>
  <c r="P167" i="3"/>
  <c r="P171" i="3"/>
  <c r="P170" i="3"/>
  <c r="P169" i="3"/>
  <c r="P168" i="3"/>
  <c r="L167" i="3"/>
  <c r="L171" i="3"/>
  <c r="L170" i="3"/>
  <c r="L169" i="3"/>
  <c r="L168" i="3"/>
  <c r="S162" i="3"/>
  <c r="S166" i="3"/>
  <c r="S165" i="3"/>
  <c r="S164" i="3"/>
  <c r="S163" i="3"/>
  <c r="O162" i="3"/>
  <c r="O166" i="3"/>
  <c r="O165" i="3"/>
  <c r="O164" i="3"/>
  <c r="O163" i="3"/>
  <c r="K162" i="3"/>
  <c r="K166" i="3"/>
  <c r="K165" i="3"/>
  <c r="K164" i="3"/>
  <c r="K163" i="3"/>
  <c r="R157" i="3"/>
  <c r="R161" i="3"/>
  <c r="R160" i="3"/>
  <c r="R159" i="3"/>
  <c r="R158" i="3"/>
  <c r="N157" i="3"/>
  <c r="N161" i="3"/>
  <c r="N160" i="3"/>
  <c r="N159" i="3"/>
  <c r="N158" i="3"/>
  <c r="J157" i="3"/>
  <c r="J161" i="3"/>
  <c r="J160" i="3"/>
  <c r="J159" i="3"/>
  <c r="J158" i="3"/>
  <c r="Q154" i="3"/>
  <c r="Q153" i="3"/>
  <c r="Q152" i="3"/>
  <c r="Q155" i="3"/>
  <c r="Q156" i="3"/>
  <c r="M154" i="3"/>
  <c r="M153" i="3"/>
  <c r="M152" i="3"/>
  <c r="M155" i="3"/>
  <c r="M156" i="3"/>
  <c r="T149" i="3"/>
  <c r="T148" i="3"/>
  <c r="T147" i="3"/>
  <c r="T151" i="3"/>
  <c r="T150" i="3"/>
  <c r="P149" i="3"/>
  <c r="P148" i="3"/>
  <c r="P147" i="3"/>
  <c r="P151" i="3"/>
  <c r="P150" i="3"/>
  <c r="L149" i="3"/>
  <c r="L148" i="3"/>
  <c r="L147" i="3"/>
  <c r="L151" i="3"/>
  <c r="L150" i="3"/>
  <c r="S140" i="3"/>
  <c r="S144" i="3"/>
  <c r="S143" i="3"/>
  <c r="S142" i="3"/>
  <c r="S146" i="3"/>
  <c r="S141" i="3"/>
  <c r="S145" i="3"/>
  <c r="O140" i="3"/>
  <c r="O144" i="3"/>
  <c r="O143" i="3"/>
  <c r="O142" i="3"/>
  <c r="O146" i="3"/>
  <c r="O141" i="3"/>
  <c r="O145" i="3"/>
  <c r="K140" i="3"/>
  <c r="K144" i="3"/>
  <c r="K143" i="3"/>
  <c r="K142" i="3"/>
  <c r="K146" i="3"/>
  <c r="K141" i="3"/>
  <c r="K145" i="3"/>
  <c r="R135" i="3"/>
  <c r="R139" i="3"/>
  <c r="R134" i="3"/>
  <c r="R138" i="3"/>
  <c r="R133" i="3"/>
  <c r="R137" i="3"/>
  <c r="R136" i="3"/>
  <c r="N135" i="3"/>
  <c r="N139" i="3"/>
  <c r="N134" i="3"/>
  <c r="N138" i="3"/>
  <c r="N133" i="3"/>
  <c r="N137" i="3"/>
  <c r="N136" i="3"/>
  <c r="J135" i="3"/>
  <c r="J139" i="3"/>
  <c r="J134" i="3"/>
  <c r="J138" i="3"/>
  <c r="J133" i="3"/>
  <c r="J137" i="3"/>
  <c r="J136" i="3"/>
  <c r="Q126" i="3"/>
  <c r="Q130" i="3"/>
  <c r="Q129" i="3"/>
  <c r="Q128" i="3"/>
  <c r="Q132" i="3"/>
  <c r="Q127" i="3"/>
  <c r="Q131" i="3"/>
  <c r="M126" i="3"/>
  <c r="M130" i="3"/>
  <c r="M129" i="3"/>
  <c r="M128" i="3"/>
  <c r="M132" i="3"/>
  <c r="M127" i="3"/>
  <c r="M131" i="3"/>
  <c r="T121" i="3"/>
  <c r="T125" i="3"/>
  <c r="T120" i="3"/>
  <c r="T124" i="3"/>
  <c r="T119" i="3"/>
  <c r="T123" i="3"/>
  <c r="T122" i="3"/>
  <c r="P121" i="3"/>
  <c r="P125" i="3"/>
  <c r="P120" i="3"/>
  <c r="P124" i="3"/>
  <c r="P119" i="3"/>
  <c r="P123" i="3"/>
  <c r="P122" i="3"/>
  <c r="L121" i="3"/>
  <c r="L125" i="3"/>
  <c r="L120" i="3"/>
  <c r="L124" i="3"/>
  <c r="L119" i="3"/>
  <c r="L123" i="3"/>
  <c r="L122" i="3"/>
  <c r="S112" i="3"/>
  <c r="S116" i="3"/>
  <c r="S115" i="3"/>
  <c r="S114" i="3"/>
  <c r="S118" i="3"/>
  <c r="S113" i="3"/>
  <c r="S117" i="3"/>
  <c r="O112" i="3"/>
  <c r="O116" i="3"/>
  <c r="O115" i="3"/>
  <c r="O114" i="3"/>
  <c r="O118" i="3"/>
  <c r="O113" i="3"/>
  <c r="O117" i="3"/>
  <c r="K112" i="3"/>
  <c r="K116" i="3"/>
  <c r="K115" i="3"/>
  <c r="K114" i="3"/>
  <c r="K118" i="3"/>
  <c r="K113" i="3"/>
  <c r="K117" i="3"/>
  <c r="R111" i="3"/>
  <c r="R110" i="3"/>
  <c r="R109" i="3"/>
  <c r="R108" i="3"/>
  <c r="N111" i="3"/>
  <c r="N110" i="3"/>
  <c r="N109" i="3"/>
  <c r="N108" i="3"/>
  <c r="J111" i="3"/>
  <c r="J110" i="3"/>
  <c r="J109" i="3"/>
  <c r="J108" i="3"/>
  <c r="Q106" i="3"/>
  <c r="Q105" i="3"/>
  <c r="Q107" i="3"/>
  <c r="M106" i="3"/>
  <c r="M105" i="3"/>
  <c r="M107" i="3"/>
  <c r="T104" i="3"/>
  <c r="T103" i="3"/>
  <c r="T102" i="3"/>
  <c r="P104" i="3"/>
  <c r="P103" i="3"/>
  <c r="P102" i="3"/>
  <c r="L104" i="3"/>
  <c r="L103" i="3"/>
  <c r="L102" i="3"/>
  <c r="S100" i="3"/>
  <c r="S99" i="3"/>
  <c r="S101" i="3"/>
  <c r="O100" i="3"/>
  <c r="O99" i="3"/>
  <c r="O101" i="3"/>
  <c r="K100" i="3"/>
  <c r="K99" i="3"/>
  <c r="K101" i="3"/>
  <c r="R98" i="3"/>
  <c r="R97" i="3"/>
  <c r="R96" i="3"/>
  <c r="N98" i="3"/>
  <c r="N97" i="3"/>
  <c r="N96" i="3"/>
  <c r="J98" i="3"/>
  <c r="J97" i="3"/>
  <c r="J96" i="3"/>
  <c r="Q71" i="3"/>
  <c r="Q73" i="3"/>
  <c r="Q72" i="3"/>
  <c r="M71" i="3"/>
  <c r="M73" i="3"/>
  <c r="M72" i="3"/>
  <c r="S65" i="3"/>
  <c r="S66" i="3"/>
  <c r="S64" i="3"/>
  <c r="O65" i="3"/>
  <c r="O64" i="3"/>
  <c r="O66" i="3"/>
  <c r="K65" i="3"/>
  <c r="K66" i="3"/>
  <c r="K64" i="3"/>
  <c r="R62" i="3"/>
  <c r="R63" i="3"/>
  <c r="R61" i="3"/>
  <c r="N62" i="3"/>
  <c r="N61" i="3"/>
  <c r="N63" i="3"/>
  <c r="J62" i="3"/>
  <c r="J63" i="3"/>
  <c r="J61" i="3"/>
  <c r="Q58" i="3"/>
  <c r="Q59" i="3"/>
  <c r="Q60" i="3"/>
  <c r="M58" i="3"/>
  <c r="M59" i="3"/>
  <c r="M60" i="3"/>
  <c r="T56" i="3"/>
  <c r="T57" i="3"/>
  <c r="T55" i="3"/>
  <c r="P56" i="3"/>
  <c r="P55" i="3"/>
  <c r="P57" i="3"/>
  <c r="L56" i="3"/>
  <c r="L57" i="3"/>
  <c r="L55" i="3"/>
  <c r="S51" i="3"/>
  <c r="S52" i="3"/>
  <c r="S53" i="3"/>
  <c r="S54" i="3"/>
  <c r="S67" i="3"/>
  <c r="S69" i="3"/>
  <c r="S68" i="3"/>
  <c r="S70" i="3"/>
  <c r="O51" i="3"/>
  <c r="O67" i="3"/>
  <c r="O69" i="3"/>
  <c r="O70" i="3"/>
  <c r="O68" i="3"/>
  <c r="O52" i="3"/>
  <c r="O53" i="3"/>
  <c r="O54" i="3"/>
  <c r="K51" i="3"/>
  <c r="K67" i="3"/>
  <c r="K52" i="3"/>
  <c r="K53" i="3"/>
  <c r="K54" i="3"/>
  <c r="K69" i="3"/>
  <c r="K68" i="3"/>
  <c r="K70" i="3"/>
  <c r="R50" i="3"/>
  <c r="R47" i="3"/>
  <c r="R48" i="3"/>
  <c r="R49" i="3"/>
  <c r="N50" i="3"/>
  <c r="N47" i="3"/>
  <c r="N48" i="3"/>
  <c r="N49" i="3"/>
  <c r="J50" i="3"/>
  <c r="J47" i="3"/>
  <c r="J48" i="3"/>
  <c r="J49" i="3"/>
  <c r="Q45" i="3"/>
  <c r="Q43" i="3"/>
  <c r="Q44" i="3"/>
  <c r="Q46" i="3"/>
  <c r="M45" i="3"/>
  <c r="M46" i="3"/>
  <c r="M43" i="3"/>
  <c r="M44" i="3"/>
  <c r="T40" i="3"/>
  <c r="T41" i="3"/>
  <c r="T42" i="3"/>
  <c r="T39" i="3"/>
  <c r="P40" i="3"/>
  <c r="P39" i="3"/>
  <c r="P41" i="3"/>
  <c r="P42" i="3"/>
  <c r="L40" i="3"/>
  <c r="L41" i="3"/>
  <c r="L42" i="3"/>
  <c r="L39" i="3"/>
  <c r="S36" i="3"/>
  <c r="S35" i="3"/>
  <c r="S37" i="3"/>
  <c r="S38" i="3"/>
  <c r="O36" i="3"/>
  <c r="O35" i="3"/>
  <c r="O37" i="3"/>
  <c r="O38" i="3"/>
  <c r="F32" i="11"/>
  <c r="E186" i="17"/>
  <c r="E191" i="17"/>
  <c r="E187" i="17"/>
  <c r="E193" i="17"/>
  <c r="E184" i="17"/>
  <c r="E189" i="17"/>
  <c r="E194" i="17"/>
  <c r="E185" i="17"/>
  <c r="E190" i="17"/>
  <c r="E195" i="17"/>
  <c r="E192" i="17"/>
  <c r="E188" i="17"/>
  <c r="N193" i="17"/>
  <c r="N195" i="17"/>
  <c r="N189" i="17"/>
  <c r="N190" i="17"/>
  <c r="N184" i="17"/>
  <c r="N185" i="17"/>
  <c r="N186" i="17"/>
  <c r="N191" i="17"/>
  <c r="N194" i="17"/>
  <c r="N187" i="17"/>
  <c r="N188" i="17"/>
  <c r="N192" i="17"/>
  <c r="L184" i="17"/>
  <c r="L186" i="17"/>
  <c r="L189" i="17"/>
  <c r="L191" i="17"/>
  <c r="L194" i="17"/>
  <c r="L185" i="17"/>
  <c r="L187" i="17"/>
  <c r="L192" i="17"/>
  <c r="L188" i="17"/>
  <c r="L195" i="17"/>
  <c r="L190" i="17"/>
  <c r="L193" i="17"/>
  <c r="O187" i="17"/>
  <c r="O193" i="17"/>
  <c r="O195" i="17"/>
  <c r="O189" i="17"/>
  <c r="O184" i="17"/>
  <c r="O185" i="17"/>
  <c r="O191" i="17"/>
  <c r="O194" i="17"/>
  <c r="O190" i="17"/>
  <c r="O192" i="17"/>
  <c r="O186" i="17"/>
  <c r="O188" i="17"/>
  <c r="H184" i="17"/>
  <c r="H190" i="17"/>
  <c r="H191" i="17"/>
  <c r="H192" i="17"/>
  <c r="H193" i="17"/>
  <c r="H194" i="17"/>
  <c r="H186" i="17"/>
  <c r="H187" i="17"/>
  <c r="H188" i="17"/>
  <c r="H189" i="17"/>
  <c r="H185" i="17"/>
  <c r="H195" i="17"/>
  <c r="I184" i="17"/>
  <c r="I190" i="17"/>
  <c r="I191" i="17"/>
  <c r="I194" i="17"/>
  <c r="I186" i="17"/>
  <c r="I187" i="17"/>
  <c r="I195" i="17"/>
  <c r="I189" i="17"/>
  <c r="I185" i="17"/>
  <c r="I192" i="17"/>
  <c r="I193" i="17"/>
  <c r="I188" i="17"/>
  <c r="G187" i="17"/>
  <c r="G189" i="17"/>
  <c r="G185" i="17"/>
  <c r="G195" i="17"/>
  <c r="G191" i="17"/>
  <c r="G193" i="17"/>
  <c r="G194" i="17"/>
  <c r="G188" i="17"/>
  <c r="G190" i="17"/>
  <c r="G186" i="17"/>
  <c r="G192" i="17"/>
  <c r="G184" i="17"/>
  <c r="M190" i="17"/>
  <c r="M184" i="17"/>
  <c r="M186" i="17"/>
  <c r="M191" i="17"/>
  <c r="M194" i="17"/>
  <c r="M187" i="17"/>
  <c r="M195" i="17"/>
  <c r="M193" i="17"/>
  <c r="M185" i="17"/>
  <c r="M192" i="17"/>
  <c r="M189" i="17"/>
  <c r="M188" i="17"/>
  <c r="J195" i="17"/>
  <c r="J193" i="17"/>
  <c r="J184" i="17"/>
  <c r="J189" i="17"/>
  <c r="J190" i="17"/>
  <c r="J191" i="17"/>
  <c r="J194" i="17"/>
  <c r="J185" i="17"/>
  <c r="J186" i="17"/>
  <c r="J187" i="17"/>
  <c r="J192" i="17"/>
  <c r="J188" i="17"/>
  <c r="K185" i="17"/>
  <c r="K187" i="17"/>
  <c r="K195" i="17"/>
  <c r="K193" i="17"/>
  <c r="K184" i="17"/>
  <c r="K189" i="17"/>
  <c r="K191" i="17"/>
  <c r="K194" i="17"/>
  <c r="K188" i="17"/>
  <c r="K190" i="17"/>
  <c r="K192" i="17"/>
  <c r="K186" i="17"/>
  <c r="D185" i="17"/>
  <c r="D190" i="17"/>
  <c r="D195" i="17"/>
  <c r="D186" i="17"/>
  <c r="D191" i="17"/>
  <c r="D187" i="17"/>
  <c r="D193" i="17"/>
  <c r="D189" i="17"/>
  <c r="D194" i="17"/>
  <c r="D192" i="17"/>
  <c r="D188" i="17"/>
  <c r="L28" i="17"/>
  <c r="D30" i="17"/>
  <c r="H31" i="17"/>
  <c r="E29" i="17"/>
  <c r="I30" i="17"/>
  <c r="M31" i="17"/>
  <c r="J28" i="17"/>
  <c r="N29" i="17"/>
  <c r="F31" i="17"/>
  <c r="G29" i="17"/>
  <c r="K30" i="17"/>
  <c r="O31" i="17"/>
  <c r="M28" i="17"/>
  <c r="E30" i="17"/>
  <c r="I31" i="17"/>
  <c r="F28" i="17"/>
  <c r="J32" i="17"/>
  <c r="J29" i="17"/>
  <c r="N30" i="17"/>
  <c r="O28" i="17"/>
  <c r="G30" i="17"/>
  <c r="K31" i="17"/>
  <c r="K28" i="17"/>
  <c r="O32" i="17"/>
  <c r="O29" i="17"/>
  <c r="H28" i="17"/>
  <c r="L32" i="17"/>
  <c r="L29" i="17"/>
  <c r="D31" i="17"/>
  <c r="D28" i="17"/>
  <c r="H32" i="17"/>
  <c r="H29" i="17"/>
  <c r="L30" i="17"/>
  <c r="I28" i="17"/>
  <c r="M32" i="17"/>
  <c r="M29" i="17"/>
  <c r="E31" i="17"/>
  <c r="F32" i="17"/>
  <c r="F29" i="17"/>
  <c r="J30" i="17"/>
  <c r="N31" i="17"/>
  <c r="G31" i="17"/>
  <c r="E32" i="17"/>
  <c r="N32" i="17"/>
  <c r="G32" i="17"/>
  <c r="D32" i="17"/>
  <c r="D29" i="17"/>
  <c r="H30" i="17"/>
  <c r="L31" i="17"/>
  <c r="E28" i="17"/>
  <c r="I32" i="17"/>
  <c r="I29" i="17"/>
  <c r="M30" i="17"/>
  <c r="N28" i="17"/>
  <c r="F30" i="17"/>
  <c r="J31" i="17"/>
  <c r="G28" i="17"/>
  <c r="K32" i="17"/>
  <c r="K29" i="17"/>
  <c r="O30" i="17"/>
  <c r="F7" i="11"/>
  <c r="F11" i="11"/>
  <c r="G13" i="11"/>
  <c r="G14" i="11"/>
  <c r="G15" i="11"/>
  <c r="I1052" i="20"/>
  <c r="I1089" i="20"/>
  <c r="I1058" i="20"/>
  <c r="I738" i="20"/>
  <c r="I740" i="20"/>
  <c r="I826" i="20"/>
  <c r="I834" i="20"/>
  <c r="I1086" i="20"/>
  <c r="I1090" i="20"/>
  <c r="I876" i="20"/>
  <c r="I878" i="20"/>
  <c r="I1015" i="20"/>
  <c r="I1053" i="20"/>
  <c r="I1055" i="20"/>
  <c r="I1022" i="20"/>
  <c r="I1087" i="20"/>
  <c r="I1014" i="20"/>
  <c r="I1017" i="20"/>
  <c r="I1016" i="20"/>
  <c r="I1056" i="20"/>
  <c r="I1085" i="20"/>
  <c r="I1088" i="20"/>
  <c r="I1057" i="20"/>
  <c r="I829" i="20"/>
  <c r="I923" i="20"/>
  <c r="I926" i="20"/>
  <c r="I1021" i="20"/>
  <c r="G1048" i="20"/>
  <c r="G1081" i="20"/>
  <c r="I1082" i="20"/>
  <c r="I1049" i="20"/>
  <c r="I1019" i="20"/>
  <c r="I1018" i="20"/>
  <c r="I1020" i="20"/>
  <c r="I1013" i="20"/>
  <c r="I927" i="20"/>
  <c r="I929" i="20"/>
  <c r="I879" i="20"/>
  <c r="I1054" i="20"/>
  <c r="I1010" i="20"/>
  <c r="G1009" i="20"/>
  <c r="I968" i="20"/>
  <c r="I975" i="20"/>
  <c r="I828" i="20"/>
  <c r="I830" i="20"/>
  <c r="I831" i="20"/>
  <c r="I875" i="20"/>
  <c r="I967" i="20"/>
  <c r="I924" i="20"/>
  <c r="I970" i="20"/>
  <c r="I972" i="20"/>
  <c r="I974" i="20"/>
  <c r="I971" i="20"/>
  <c r="G821" i="20"/>
  <c r="I872" i="20"/>
  <c r="I874" i="20"/>
  <c r="I825" i="20"/>
  <c r="I827" i="20"/>
  <c r="I833" i="20"/>
  <c r="I822" i="20"/>
  <c r="I873" i="20"/>
  <c r="I880" i="20"/>
  <c r="I881" i="20"/>
  <c r="I687" i="20"/>
  <c r="I832" i="20"/>
  <c r="G868" i="20"/>
  <c r="I877" i="20"/>
  <c r="G917" i="20"/>
  <c r="I925" i="20"/>
  <c r="I930" i="20"/>
  <c r="I918" i="20"/>
  <c r="I969" i="20"/>
  <c r="I973" i="20"/>
  <c r="I964" i="20"/>
  <c r="I922" i="20"/>
  <c r="I928" i="20"/>
  <c r="I976" i="20"/>
  <c r="G963" i="20"/>
  <c r="I921" i="20"/>
  <c r="I869" i="20"/>
  <c r="I835" i="20"/>
  <c r="I737" i="20"/>
  <c r="I613" i="20"/>
  <c r="I672" i="20"/>
  <c r="I788" i="20"/>
  <c r="I783" i="20"/>
  <c r="I781" i="20"/>
  <c r="I785" i="20"/>
  <c r="I789" i="20"/>
  <c r="I782" i="20"/>
  <c r="I787" i="20"/>
  <c r="G777" i="20"/>
  <c r="I784" i="20"/>
  <c r="I786" i="20"/>
  <c r="I778" i="20"/>
  <c r="I741" i="20"/>
  <c r="I732" i="20"/>
  <c r="I736" i="20"/>
  <c r="I739" i="20"/>
  <c r="I742" i="20"/>
  <c r="I729" i="20"/>
  <c r="G728" i="20"/>
  <c r="G668" i="20"/>
  <c r="I674" i="20"/>
  <c r="I686" i="20"/>
  <c r="I689" i="20"/>
  <c r="I688" i="20"/>
  <c r="I673" i="20"/>
  <c r="I677" i="20"/>
  <c r="I690" i="20"/>
  <c r="I669" i="20"/>
  <c r="I632" i="20"/>
  <c r="I499" i="20"/>
  <c r="I614" i="20"/>
  <c r="I633" i="20"/>
  <c r="I635" i="20"/>
  <c r="I617" i="20"/>
  <c r="I610" i="20"/>
  <c r="G606" i="20"/>
  <c r="I616" i="20"/>
  <c r="I618" i="20"/>
  <c r="I634" i="20"/>
  <c r="I615" i="20"/>
  <c r="I611" i="20"/>
  <c r="I631" i="20"/>
  <c r="I636" i="20"/>
  <c r="I612" i="20"/>
  <c r="I503" i="20"/>
  <c r="I519" i="20"/>
  <c r="I521" i="20"/>
  <c r="I508" i="20"/>
  <c r="I523" i="20"/>
  <c r="I607" i="20"/>
  <c r="I501" i="20"/>
  <c r="I509" i="20"/>
  <c r="I498" i="20"/>
  <c r="I495" i="20"/>
  <c r="I507" i="20"/>
  <c r="I510" i="20"/>
  <c r="I520" i="20"/>
  <c r="G494" i="20"/>
  <c r="I522" i="20"/>
  <c r="I500" i="20"/>
  <c r="I502" i="20"/>
  <c r="I504" i="20"/>
  <c r="I506" i="20"/>
  <c r="I505" i="20"/>
  <c r="R5" i="11" l="1"/>
  <c r="I475" i="20"/>
  <c r="I474" i="20"/>
  <c r="I473" i="20"/>
  <c r="I472" i="20"/>
  <c r="I471" i="20"/>
  <c r="I470" i="20"/>
  <c r="I469" i="20"/>
  <c r="I468" i="20"/>
  <c r="I467" i="20"/>
  <c r="I466" i="20"/>
  <c r="I465" i="20"/>
  <c r="I464" i="20"/>
  <c r="I463" i="20"/>
  <c r="I462" i="20"/>
  <c r="I461" i="20"/>
  <c r="I460" i="20"/>
  <c r="I459" i="20"/>
  <c r="I458" i="20"/>
  <c r="I457" i="20"/>
  <c r="I456" i="20"/>
  <c r="I455" i="20"/>
  <c r="I454" i="20"/>
  <c r="I453" i="20"/>
  <c r="I452" i="20"/>
  <c r="I451" i="20"/>
  <c r="I450" i="20"/>
  <c r="I449" i="20"/>
  <c r="I448" i="20"/>
  <c r="I447" i="20"/>
  <c r="I446" i="20"/>
  <c r="I445" i="20"/>
  <c r="I444" i="20"/>
  <c r="I443" i="20"/>
  <c r="I442" i="20"/>
  <c r="I441" i="20"/>
  <c r="I440" i="20"/>
  <c r="I439" i="20"/>
  <c r="I438" i="20"/>
  <c r="I437" i="20"/>
  <c r="I436" i="20"/>
  <c r="I435" i="20"/>
  <c r="I434" i="20"/>
  <c r="I433" i="20"/>
  <c r="I432" i="20"/>
  <c r="I431" i="20"/>
  <c r="I430" i="20"/>
  <c r="I429" i="20"/>
  <c r="I428" i="20"/>
  <c r="I427" i="20"/>
  <c r="I426" i="20"/>
  <c r="I425" i="20"/>
  <c r="I424" i="20"/>
  <c r="I423" i="20"/>
  <c r="I422" i="20"/>
  <c r="I421" i="20"/>
  <c r="I420" i="20"/>
  <c r="I419" i="20"/>
  <c r="I418" i="20"/>
  <c r="I417" i="20"/>
  <c r="I416" i="20"/>
  <c r="I415" i="20"/>
  <c r="I414" i="20"/>
  <c r="I413" i="20"/>
  <c r="I412" i="20"/>
  <c r="I411" i="20"/>
  <c r="I410" i="20"/>
  <c r="I409" i="20"/>
  <c r="I408" i="20"/>
  <c r="I407" i="20"/>
  <c r="I406" i="20"/>
  <c r="I405" i="20"/>
  <c r="I404" i="20"/>
  <c r="I403" i="20"/>
  <c r="I402" i="20"/>
  <c r="I401" i="20"/>
  <c r="G400" i="20"/>
  <c r="G399" i="20"/>
  <c r="G398" i="20"/>
  <c r="G397" i="20"/>
  <c r="G396" i="20"/>
  <c r="G395" i="20"/>
  <c r="G394" i="20"/>
  <c r="G393" i="20"/>
  <c r="G392" i="20"/>
  <c r="G391" i="20"/>
  <c r="G390" i="20"/>
  <c r="G389" i="20"/>
  <c r="G388" i="20"/>
  <c r="G387" i="20"/>
  <c r="G386" i="20"/>
  <c r="G385" i="20"/>
  <c r="G384" i="20"/>
  <c r="G383" i="20"/>
  <c r="G382" i="20"/>
  <c r="G381" i="20"/>
  <c r="G380" i="20"/>
  <c r="G379" i="20"/>
  <c r="I379" i="20" s="1"/>
  <c r="G378" i="20"/>
  <c r="G377" i="20"/>
  <c r="G376" i="20"/>
  <c r="G375" i="20"/>
  <c r="G374" i="20"/>
  <c r="G373" i="20"/>
  <c r="I371" i="20"/>
  <c r="F370" i="20"/>
  <c r="F369" i="20"/>
  <c r="I377" i="20" l="1"/>
  <c r="I385" i="20"/>
  <c r="I391" i="20"/>
  <c r="I395" i="20"/>
  <c r="I375" i="20"/>
  <c r="I383" i="20"/>
  <c r="I389" i="20"/>
  <c r="I399" i="20"/>
  <c r="I373" i="20"/>
  <c r="I381" i="20"/>
  <c r="I387" i="20"/>
  <c r="I393" i="20"/>
  <c r="I397" i="20"/>
  <c r="G368" i="20"/>
  <c r="I372" i="20"/>
  <c r="I376" i="20"/>
  <c r="I378" i="20"/>
  <c r="I382" i="20"/>
  <c r="I386" i="20"/>
  <c r="I390" i="20"/>
  <c r="I398" i="20"/>
  <c r="I374" i="20"/>
  <c r="I380" i="20"/>
  <c r="I384" i="20"/>
  <c r="I388" i="20"/>
  <c r="I392" i="20"/>
  <c r="I394" i="20"/>
  <c r="I396" i="20"/>
  <c r="I400" i="20"/>
  <c r="I369" i="20"/>
  <c r="AR5" i="11" l="1" a="1"/>
  <c r="AR5" i="11" s="1"/>
  <c r="AS5" i="11" a="1"/>
  <c r="AS5" i="11" s="1"/>
  <c r="AT5" i="11" a="1"/>
  <c r="AT5" i="11" s="1"/>
  <c r="AU5" i="11" a="1"/>
  <c r="AU5" i="11" s="1"/>
  <c r="AV5" i="11" a="1"/>
  <c r="AV5" i="11" s="1"/>
  <c r="AW5" i="11" a="1"/>
  <c r="AW5" i="11" s="1"/>
  <c r="AX5" i="11" a="1"/>
  <c r="AX5" i="11" s="1"/>
  <c r="AY5" i="11" a="1"/>
  <c r="AY5" i="11" s="1"/>
  <c r="AZ5" i="11" a="1"/>
  <c r="AZ5" i="11" s="1"/>
  <c r="BA5" i="11" a="1"/>
  <c r="BA5" i="11" s="1"/>
  <c r="AQ8" i="11" a="1"/>
  <c r="AQ8" i="11" s="1"/>
  <c r="AR8" i="11" a="1"/>
  <c r="AR8" i="11" s="1"/>
  <c r="AS8" i="11" a="1"/>
  <c r="AS8" i="11" s="1"/>
  <c r="AT8" i="11" a="1"/>
  <c r="AT8" i="11" s="1"/>
  <c r="AU8" i="11" a="1"/>
  <c r="AU8" i="11" s="1"/>
  <c r="AV8" i="11" a="1"/>
  <c r="AV8" i="11" s="1"/>
  <c r="AW8" i="11" a="1"/>
  <c r="AW8" i="11" s="1"/>
  <c r="AX8" i="11" a="1"/>
  <c r="AX8" i="11" s="1"/>
  <c r="AY8" i="11" a="1"/>
  <c r="AY8" i="11" s="1"/>
  <c r="AZ8" i="11" a="1"/>
  <c r="AZ8" i="11" s="1"/>
  <c r="BA8" i="11" a="1"/>
  <c r="BA8" i="11" s="1"/>
  <c r="AQ9" i="11" a="1"/>
  <c r="AQ9" i="11" s="1"/>
  <c r="AR9" i="11" a="1"/>
  <c r="AR9" i="11" s="1"/>
  <c r="AS9" i="11" a="1"/>
  <c r="AS9" i="11" s="1"/>
  <c r="AT9" i="11" a="1"/>
  <c r="AT9" i="11" s="1"/>
  <c r="AU9" i="11" a="1"/>
  <c r="AU9" i="11" s="1"/>
  <c r="AV9" i="11" a="1"/>
  <c r="AV9" i="11" s="1"/>
  <c r="AW9" i="11" a="1"/>
  <c r="AW9" i="11" s="1"/>
  <c r="AX9" i="11" a="1"/>
  <c r="AX9" i="11" s="1"/>
  <c r="AY9" i="11" a="1"/>
  <c r="AY9" i="11" s="1"/>
  <c r="AZ9" i="11" a="1"/>
  <c r="AZ9" i="11" s="1"/>
  <c r="BA9" i="11" a="1"/>
  <c r="BA9" i="11" s="1"/>
  <c r="AQ10" i="11" a="1"/>
  <c r="AQ10" i="11" s="1"/>
  <c r="AR10" i="11" a="1"/>
  <c r="AR10" i="11" s="1"/>
  <c r="AS10" i="11" a="1"/>
  <c r="AS10" i="11" s="1"/>
  <c r="AT10" i="11" a="1"/>
  <c r="AT10" i="11" s="1"/>
  <c r="AU10" i="11" a="1"/>
  <c r="AU10" i="11" s="1"/>
  <c r="AV10" i="11" a="1"/>
  <c r="AV10" i="11" s="1"/>
  <c r="AW10" i="11" a="1"/>
  <c r="AW10" i="11" s="1"/>
  <c r="AX10" i="11" a="1"/>
  <c r="AX10" i="11" s="1"/>
  <c r="AY10" i="11" a="1"/>
  <c r="AY10" i="11" s="1"/>
  <c r="AZ10" i="11" a="1"/>
  <c r="AZ10" i="11" s="1"/>
  <c r="BA10" i="11" a="1"/>
  <c r="BA10" i="11" s="1"/>
  <c r="AQ11" i="11" a="1"/>
  <c r="AQ11" i="11" s="1"/>
  <c r="AR11" i="11" a="1"/>
  <c r="AR11" i="11" s="1"/>
  <c r="AS11" i="11" a="1"/>
  <c r="AS11" i="11" s="1"/>
  <c r="AT11" i="11" a="1"/>
  <c r="AT11" i="11" s="1"/>
  <c r="AU11" i="11" a="1"/>
  <c r="AU11" i="11" s="1"/>
  <c r="AV11" i="11" a="1"/>
  <c r="AV11" i="11" s="1"/>
  <c r="AW11" i="11" a="1"/>
  <c r="AW11" i="11" s="1"/>
  <c r="AX11" i="11" a="1"/>
  <c r="AX11" i="11" s="1"/>
  <c r="AY11" i="11" a="1"/>
  <c r="AY11" i="11" s="1"/>
  <c r="AZ11" i="11" a="1"/>
  <c r="AZ11" i="11" s="1"/>
  <c r="BA11" i="11" a="1"/>
  <c r="BA11" i="11" s="1"/>
  <c r="AQ12" i="11" a="1"/>
  <c r="AQ12" i="11" s="1"/>
  <c r="AR12" i="11" a="1"/>
  <c r="AR12" i="11" s="1"/>
  <c r="AS12" i="11" a="1"/>
  <c r="AS12" i="11" s="1"/>
  <c r="AT12" i="11" a="1"/>
  <c r="AT12" i="11" s="1"/>
  <c r="AU12" i="11" a="1"/>
  <c r="AU12" i="11" s="1"/>
  <c r="AV12" i="11" a="1"/>
  <c r="AV12" i="11" s="1"/>
  <c r="AW12" i="11" a="1"/>
  <c r="AW12" i="11" s="1"/>
  <c r="AX12" i="11" a="1"/>
  <c r="AX12" i="11" s="1"/>
  <c r="AY12" i="11" a="1"/>
  <c r="AY12" i="11" s="1"/>
  <c r="AZ12" i="11" a="1"/>
  <c r="AZ12" i="11" s="1"/>
  <c r="BA12" i="11" a="1"/>
  <c r="BA12" i="11" s="1"/>
  <c r="AQ13" i="11" a="1"/>
  <c r="AQ13" i="11" s="1"/>
  <c r="AR13" i="11" a="1"/>
  <c r="AR13" i="11" s="1"/>
  <c r="AS13" i="11" a="1"/>
  <c r="AS13" i="11" s="1"/>
  <c r="AT13" i="11" a="1"/>
  <c r="AT13" i="11" s="1"/>
  <c r="AU13" i="11" a="1"/>
  <c r="AU13" i="11" s="1"/>
  <c r="AV13" i="11" a="1"/>
  <c r="AV13" i="11" s="1"/>
  <c r="AW13" i="11" a="1"/>
  <c r="AW13" i="11" s="1"/>
  <c r="AX13" i="11" a="1"/>
  <c r="AX13" i="11" s="1"/>
  <c r="AY13" i="11" a="1"/>
  <c r="AY13" i="11" s="1"/>
  <c r="AZ13" i="11" a="1"/>
  <c r="AZ13" i="11" s="1"/>
  <c r="BA13" i="11" a="1"/>
  <c r="BA13" i="11" s="1"/>
  <c r="AQ14" i="11" a="1"/>
  <c r="AQ14" i="11" s="1"/>
  <c r="AR14" i="11" a="1"/>
  <c r="AR14" i="11" s="1"/>
  <c r="AS14" i="11" a="1"/>
  <c r="AS14" i="11" s="1"/>
  <c r="AT14" i="11" a="1"/>
  <c r="AT14" i="11" s="1"/>
  <c r="AU14" i="11" a="1"/>
  <c r="AU14" i="11" s="1"/>
  <c r="AV14" i="11" a="1"/>
  <c r="AV14" i="11" s="1"/>
  <c r="AW14" i="11" a="1"/>
  <c r="AW14" i="11" s="1"/>
  <c r="AX14" i="11" a="1"/>
  <c r="AX14" i="11" s="1"/>
  <c r="AY14" i="11" a="1"/>
  <c r="AY14" i="11" s="1"/>
  <c r="AZ14" i="11" a="1"/>
  <c r="AZ14" i="11" s="1"/>
  <c r="BA14" i="11" a="1"/>
  <c r="BA14" i="11" s="1"/>
  <c r="AQ15" i="11" a="1"/>
  <c r="AQ15" i="11" s="1"/>
  <c r="AR15" i="11" a="1"/>
  <c r="AR15" i="11" s="1"/>
  <c r="AS15" i="11" a="1"/>
  <c r="AS15" i="11" s="1"/>
  <c r="AT15" i="11" a="1"/>
  <c r="AT15" i="11" s="1"/>
  <c r="AU15" i="11" a="1"/>
  <c r="AU15" i="11" s="1"/>
  <c r="AV15" i="11" a="1"/>
  <c r="AV15" i="11" s="1"/>
  <c r="AW15" i="11" a="1"/>
  <c r="AW15" i="11" s="1"/>
  <c r="AX15" i="11" a="1"/>
  <c r="AX15" i="11" s="1"/>
  <c r="AY15" i="11" a="1"/>
  <c r="AY15" i="11" s="1"/>
  <c r="AZ15" i="11" a="1"/>
  <c r="AZ15" i="11" s="1"/>
  <c r="BA15" i="11" a="1"/>
  <c r="BA15" i="11" s="1"/>
  <c r="AQ16" i="11" a="1"/>
  <c r="AQ16" i="11" s="1"/>
  <c r="AR16" i="11" a="1"/>
  <c r="AR16" i="11" s="1"/>
  <c r="AS16" i="11" a="1"/>
  <c r="AS16" i="11" s="1"/>
  <c r="AT16" i="11" a="1"/>
  <c r="AT16" i="11" s="1"/>
  <c r="AU16" i="11" a="1"/>
  <c r="AU16" i="11" s="1"/>
  <c r="AV16" i="11" a="1"/>
  <c r="AV16" i="11" s="1"/>
  <c r="AW16" i="11" a="1"/>
  <c r="AW16" i="11" s="1"/>
  <c r="AX16" i="11" a="1"/>
  <c r="AX16" i="11" s="1"/>
  <c r="AY16" i="11" a="1"/>
  <c r="AY16" i="11" s="1"/>
  <c r="AZ16" i="11" a="1"/>
  <c r="AZ16" i="11" s="1"/>
  <c r="BA16" i="11" a="1"/>
  <c r="BA16" i="11" s="1"/>
  <c r="AQ19" i="11" a="1"/>
  <c r="AQ19" i="11" s="1"/>
  <c r="AR19" i="11" a="1"/>
  <c r="AR19" i="11" s="1"/>
  <c r="AS19" i="11" a="1"/>
  <c r="AS19" i="11" s="1"/>
  <c r="AT19" i="11" a="1"/>
  <c r="AT19" i="11" s="1"/>
  <c r="AU19" i="11" a="1"/>
  <c r="AU19" i="11" s="1"/>
  <c r="AV19" i="11" a="1"/>
  <c r="AV19" i="11" s="1"/>
  <c r="AW19" i="11" a="1"/>
  <c r="AW19" i="11" s="1"/>
  <c r="AX19" i="11" a="1"/>
  <c r="AX19" i="11" s="1"/>
  <c r="AY19" i="11" a="1"/>
  <c r="AY19" i="11" s="1"/>
  <c r="AZ19" i="11" a="1"/>
  <c r="AZ19" i="11" s="1"/>
  <c r="BA19" i="11" a="1"/>
  <c r="BA19" i="11" s="1"/>
  <c r="AQ20" i="11" a="1"/>
  <c r="AQ20" i="11" s="1"/>
  <c r="AR20" i="11" a="1"/>
  <c r="AR20" i="11" s="1"/>
  <c r="AS20" i="11" a="1"/>
  <c r="AS20" i="11" s="1"/>
  <c r="AT20" i="11" a="1"/>
  <c r="AT20" i="11" s="1"/>
  <c r="AU20" i="11" a="1"/>
  <c r="AU20" i="11" s="1"/>
  <c r="AV20" i="11" a="1"/>
  <c r="AV20" i="11" s="1"/>
  <c r="AW20" i="11" a="1"/>
  <c r="AW20" i="11" s="1"/>
  <c r="AX20" i="11" a="1"/>
  <c r="AX20" i="11" s="1"/>
  <c r="AY20" i="11" a="1"/>
  <c r="AY20" i="11" s="1"/>
  <c r="AZ20" i="11" a="1"/>
  <c r="AZ20" i="11" s="1"/>
  <c r="BA20" i="11" a="1"/>
  <c r="BA20" i="11" s="1"/>
  <c r="AQ21" i="11" a="1"/>
  <c r="AQ21" i="11" s="1"/>
  <c r="AR21" i="11" a="1"/>
  <c r="AR21" i="11" s="1"/>
  <c r="AS21" i="11" a="1"/>
  <c r="AS21" i="11" s="1"/>
  <c r="AT21" i="11" a="1"/>
  <c r="AT21" i="11" s="1"/>
  <c r="AU21" i="11" a="1"/>
  <c r="AU21" i="11" s="1"/>
  <c r="AV21" i="11" a="1"/>
  <c r="AV21" i="11" s="1"/>
  <c r="AW21" i="11" a="1"/>
  <c r="AW21" i="11" s="1"/>
  <c r="AX21" i="11" a="1"/>
  <c r="AX21" i="11" s="1"/>
  <c r="AY21" i="11" a="1"/>
  <c r="AY21" i="11" s="1"/>
  <c r="AZ21" i="11" a="1"/>
  <c r="AZ21" i="11" s="1"/>
  <c r="BA21" i="11" a="1"/>
  <c r="BA21" i="11" s="1"/>
  <c r="AQ22" i="11" a="1"/>
  <c r="AQ22" i="11" s="1"/>
  <c r="AR22" i="11" a="1"/>
  <c r="AR22" i="11" s="1"/>
  <c r="AS22" i="11" a="1"/>
  <c r="AS22" i="11" s="1"/>
  <c r="AT22" i="11" a="1"/>
  <c r="AT22" i="11" s="1"/>
  <c r="AU22" i="11" a="1"/>
  <c r="AU22" i="11" s="1"/>
  <c r="AV22" i="11" a="1"/>
  <c r="AV22" i="11" s="1"/>
  <c r="AW22" i="11" a="1"/>
  <c r="AW22" i="11" s="1"/>
  <c r="AX22" i="11" a="1"/>
  <c r="AX22" i="11" s="1"/>
  <c r="AY22" i="11" a="1"/>
  <c r="AY22" i="11" s="1"/>
  <c r="AZ22" i="11" a="1"/>
  <c r="AZ22" i="11" s="1"/>
  <c r="BA22" i="11" a="1"/>
  <c r="BA22" i="11" s="1"/>
  <c r="AQ23" i="11" a="1"/>
  <c r="AQ23" i="11" s="1"/>
  <c r="AR23" i="11" a="1"/>
  <c r="AR23" i="11" s="1"/>
  <c r="AS23" i="11" a="1"/>
  <c r="AS23" i="11" s="1"/>
  <c r="AT23" i="11" a="1"/>
  <c r="AT23" i="11" s="1"/>
  <c r="AU23" i="11" a="1"/>
  <c r="AU23" i="11" s="1"/>
  <c r="AV23" i="11" a="1"/>
  <c r="AV23" i="11" s="1"/>
  <c r="AW23" i="11" a="1"/>
  <c r="AW23" i="11" s="1"/>
  <c r="AX23" i="11" a="1"/>
  <c r="AX23" i="11" s="1"/>
  <c r="AY23" i="11" a="1"/>
  <c r="AY23" i="11" s="1"/>
  <c r="AZ23" i="11" a="1"/>
  <c r="AZ23" i="11" s="1"/>
  <c r="BA23" i="11" a="1"/>
  <c r="BA23" i="11" s="1"/>
  <c r="AQ24" i="11" a="1"/>
  <c r="AQ24" i="11" s="1"/>
  <c r="AR24" i="11" a="1"/>
  <c r="AR24" i="11" s="1"/>
  <c r="AS24" i="11" a="1"/>
  <c r="AS24" i="11" s="1"/>
  <c r="AT24" i="11" a="1"/>
  <c r="AT24" i="11" s="1"/>
  <c r="AU24" i="11" a="1"/>
  <c r="AU24" i="11" s="1"/>
  <c r="AV24" i="11" a="1"/>
  <c r="AV24" i="11" s="1"/>
  <c r="AW24" i="11" a="1"/>
  <c r="AW24" i="11" s="1"/>
  <c r="AX24" i="11" a="1"/>
  <c r="AX24" i="11" s="1"/>
  <c r="AY24" i="11" a="1"/>
  <c r="AY24" i="11" s="1"/>
  <c r="AZ24" i="11" a="1"/>
  <c r="AZ24" i="11" s="1"/>
  <c r="BA24" i="11" a="1"/>
  <c r="BA24" i="11" s="1"/>
  <c r="AQ26" i="11" a="1"/>
  <c r="AQ26" i="11" s="1"/>
  <c r="AR26" i="11" a="1"/>
  <c r="AR26" i="11" s="1"/>
  <c r="AS26" i="11" a="1"/>
  <c r="AS26" i="11" s="1"/>
  <c r="AT26" i="11" a="1"/>
  <c r="AT26" i="11" s="1"/>
  <c r="AU26" i="11" a="1"/>
  <c r="AU26" i="11" s="1"/>
  <c r="AV26" i="11" a="1"/>
  <c r="AV26" i="11" s="1"/>
  <c r="AW26" i="11" a="1"/>
  <c r="AW26" i="11" s="1"/>
  <c r="AX26" i="11" a="1"/>
  <c r="AX26" i="11" s="1"/>
  <c r="AY26" i="11" a="1"/>
  <c r="AY26" i="11" s="1"/>
  <c r="AZ26" i="11" a="1"/>
  <c r="AZ26" i="11" s="1"/>
  <c r="BA26" i="11" a="1"/>
  <c r="BA26" i="11" s="1"/>
  <c r="AQ27" i="11" a="1"/>
  <c r="AQ27" i="11" s="1"/>
  <c r="AR27" i="11" a="1"/>
  <c r="AR27" i="11" s="1"/>
  <c r="AS27" i="11" a="1"/>
  <c r="AS27" i="11" s="1"/>
  <c r="AT27" i="11" a="1"/>
  <c r="AT27" i="11" s="1"/>
  <c r="AU27" i="11" a="1"/>
  <c r="AU27" i="11" s="1"/>
  <c r="AV27" i="11" a="1"/>
  <c r="AV27" i="11" s="1"/>
  <c r="AW27" i="11" a="1"/>
  <c r="AW27" i="11" s="1"/>
  <c r="AX27" i="11" a="1"/>
  <c r="AX27" i="11" s="1"/>
  <c r="AY27" i="11" a="1"/>
  <c r="AY27" i="11" s="1"/>
  <c r="AZ27" i="11" a="1"/>
  <c r="AZ27" i="11" s="1"/>
  <c r="BA27" i="11" a="1"/>
  <c r="BA27" i="11" s="1"/>
  <c r="AQ30" i="11" a="1"/>
  <c r="AQ30" i="11" s="1"/>
  <c r="AR30" i="11" a="1"/>
  <c r="AR30" i="11" s="1"/>
  <c r="AS30" i="11" a="1"/>
  <c r="AS30" i="11" s="1"/>
  <c r="AT30" i="11" a="1"/>
  <c r="AT30" i="11" s="1"/>
  <c r="AU30" i="11" a="1"/>
  <c r="AU30" i="11" s="1"/>
  <c r="AV30" i="11" a="1"/>
  <c r="AV30" i="11" s="1"/>
  <c r="AW30" i="11" a="1"/>
  <c r="AW30" i="11" s="1"/>
  <c r="AX30" i="11" a="1"/>
  <c r="AX30" i="11" s="1"/>
  <c r="AY30" i="11" a="1"/>
  <c r="AY30" i="11" s="1"/>
  <c r="AZ30" i="11" a="1"/>
  <c r="AZ30" i="11" s="1"/>
  <c r="BA30" i="11" a="1"/>
  <c r="BA30" i="11" s="1"/>
  <c r="AQ31" i="11" a="1"/>
  <c r="AQ31" i="11" s="1"/>
  <c r="AR31" i="11" a="1"/>
  <c r="AR31" i="11" s="1"/>
  <c r="AS31" i="11" a="1"/>
  <c r="AS31" i="11" s="1"/>
  <c r="AT31" i="11" a="1"/>
  <c r="AT31" i="11" s="1"/>
  <c r="AU31" i="11" a="1"/>
  <c r="AU31" i="11" s="1"/>
  <c r="AV31" i="11" a="1"/>
  <c r="AV31" i="11" s="1"/>
  <c r="AW31" i="11" a="1"/>
  <c r="AW31" i="11" s="1"/>
  <c r="AX31" i="11" a="1"/>
  <c r="AX31" i="11" s="1"/>
  <c r="AY31" i="11" a="1"/>
  <c r="AY31" i="11" s="1"/>
  <c r="AZ31" i="11" a="1"/>
  <c r="AZ31" i="11" s="1"/>
  <c r="BA31" i="11" a="1"/>
  <c r="BA31" i="11" s="1"/>
  <c r="AQ32" i="11" a="1"/>
  <c r="AQ32" i="11" s="1"/>
  <c r="AR32" i="11" a="1"/>
  <c r="AR32" i="11" s="1"/>
  <c r="AS32" i="11" a="1"/>
  <c r="AS32" i="11" s="1"/>
  <c r="AT32" i="11" a="1"/>
  <c r="AT32" i="11" s="1"/>
  <c r="AU32" i="11" a="1"/>
  <c r="AU32" i="11" s="1"/>
  <c r="AV32" i="11" a="1"/>
  <c r="AV32" i="11" s="1"/>
  <c r="AW32" i="11" a="1"/>
  <c r="AW32" i="11" s="1"/>
  <c r="AX32" i="11" a="1"/>
  <c r="AX32" i="11" s="1"/>
  <c r="AY32" i="11" a="1"/>
  <c r="AY32" i="11" s="1"/>
  <c r="AZ32" i="11" a="1"/>
  <c r="AZ32" i="11" s="1"/>
  <c r="BA32" i="11" a="1"/>
  <c r="BA32" i="11" s="1"/>
  <c r="AQ34" i="11" a="1"/>
  <c r="AQ34" i="11" s="1"/>
  <c r="AR34" i="11" a="1"/>
  <c r="AR34" i="11" s="1"/>
  <c r="AS34" i="11" a="1"/>
  <c r="AS34" i="11" s="1"/>
  <c r="AT34" i="11" a="1"/>
  <c r="AT34" i="11" s="1"/>
  <c r="AU34" i="11" a="1"/>
  <c r="AU34" i="11" s="1"/>
  <c r="AV34" i="11" a="1"/>
  <c r="AV34" i="11" s="1"/>
  <c r="AW34" i="11" a="1"/>
  <c r="AW34" i="11" s="1"/>
  <c r="AX34" i="11" a="1"/>
  <c r="AX34" i="11" s="1"/>
  <c r="AY34" i="11" a="1"/>
  <c r="AY34" i="11" s="1"/>
  <c r="AZ34" i="11" a="1"/>
  <c r="AZ34" i="11" s="1"/>
  <c r="BA34" i="11" a="1"/>
  <c r="BA34" i="11" s="1"/>
  <c r="AQ35" i="11" a="1"/>
  <c r="AQ35" i="11" s="1"/>
  <c r="AR35" i="11" a="1"/>
  <c r="AR35" i="11" s="1"/>
  <c r="AS35" i="11" a="1"/>
  <c r="AS35" i="11" s="1"/>
  <c r="AT35" i="11" a="1"/>
  <c r="AT35" i="11" s="1"/>
  <c r="AU35" i="11" a="1"/>
  <c r="AU35" i="11" s="1"/>
  <c r="AV35" i="11" a="1"/>
  <c r="AV35" i="11" s="1"/>
  <c r="AW35" i="11" a="1"/>
  <c r="AW35" i="11" s="1"/>
  <c r="AX35" i="11" a="1"/>
  <c r="AX35" i="11" s="1"/>
  <c r="AY35" i="11" a="1"/>
  <c r="AY35" i="11" s="1"/>
  <c r="AZ35" i="11" a="1"/>
  <c r="AZ35" i="11" s="1"/>
  <c r="BA35" i="11" a="1"/>
  <c r="BA35" i="11" s="1"/>
  <c r="AQ36" i="11" a="1"/>
  <c r="AQ36" i="11" s="1"/>
  <c r="AR36" i="11" a="1"/>
  <c r="AR36" i="11" s="1"/>
  <c r="AS36" i="11" a="1"/>
  <c r="AS36" i="11" s="1"/>
  <c r="AT36" i="11" a="1"/>
  <c r="AT36" i="11" s="1"/>
  <c r="AU36" i="11" a="1"/>
  <c r="AU36" i="11" s="1"/>
  <c r="AV36" i="11" a="1"/>
  <c r="AV36" i="11" s="1"/>
  <c r="AW36" i="11" a="1"/>
  <c r="AW36" i="11" s="1"/>
  <c r="AX36" i="11" a="1"/>
  <c r="AX36" i="11" s="1"/>
  <c r="AY36" i="11" a="1"/>
  <c r="AY36" i="11" s="1"/>
  <c r="AZ36" i="11" a="1"/>
  <c r="AZ36" i="11" s="1"/>
  <c r="BA36" i="11" a="1"/>
  <c r="BA36" i="11" s="1"/>
  <c r="AQ37" i="11" a="1"/>
  <c r="AQ37" i="11" s="1"/>
  <c r="AR37" i="11" a="1"/>
  <c r="AR37" i="11" s="1"/>
  <c r="AS37" i="11" a="1"/>
  <c r="AS37" i="11" s="1"/>
  <c r="AT37" i="11" a="1"/>
  <c r="AT37" i="11" s="1"/>
  <c r="AU37" i="11" a="1"/>
  <c r="AU37" i="11" s="1"/>
  <c r="AV37" i="11" a="1"/>
  <c r="AV37" i="11" s="1"/>
  <c r="AW37" i="11" a="1"/>
  <c r="AW37" i="11" s="1"/>
  <c r="AX37" i="11" a="1"/>
  <c r="AX37" i="11" s="1"/>
  <c r="AY37" i="11" a="1"/>
  <c r="AY37" i="11" s="1"/>
  <c r="AZ37" i="11" a="1"/>
  <c r="AZ37" i="11" s="1"/>
  <c r="BA37" i="11" a="1"/>
  <c r="BA37" i="11" s="1"/>
  <c r="AQ38" i="11" a="1"/>
  <c r="AQ38" i="11" s="1"/>
  <c r="AR38" i="11" a="1"/>
  <c r="AR38" i="11" s="1"/>
  <c r="AS38" i="11" a="1"/>
  <c r="AS38" i="11" s="1"/>
  <c r="AT38" i="11" a="1"/>
  <c r="AT38" i="11" s="1"/>
  <c r="AU38" i="11" a="1"/>
  <c r="AU38" i="11" s="1"/>
  <c r="AV38" i="11" a="1"/>
  <c r="AV38" i="11" s="1"/>
  <c r="AW38" i="11" a="1"/>
  <c r="AW38" i="11" s="1"/>
  <c r="AX38" i="11" a="1"/>
  <c r="AX38" i="11" s="1"/>
  <c r="AY38" i="11" a="1"/>
  <c r="AY38" i="11" s="1"/>
  <c r="AZ38" i="11" a="1"/>
  <c r="AZ38" i="11" s="1"/>
  <c r="BA38" i="11" a="1"/>
  <c r="BA38" i="11" s="1"/>
  <c r="AQ46" i="11" a="1"/>
  <c r="AQ46" i="11" s="1"/>
  <c r="AR46" i="11" a="1"/>
  <c r="AR46" i="11" s="1"/>
  <c r="AS46" i="11" a="1"/>
  <c r="AS46" i="11" s="1"/>
  <c r="AT46" i="11" a="1"/>
  <c r="AT46" i="11" s="1"/>
  <c r="AU46" i="11" a="1"/>
  <c r="AU46" i="11" s="1"/>
  <c r="AV46" i="11" a="1"/>
  <c r="AV46" i="11" s="1"/>
  <c r="AW46" i="11" a="1"/>
  <c r="AW46" i="11" s="1"/>
  <c r="AX46" i="11" a="1"/>
  <c r="AX46" i="11" s="1"/>
  <c r="AY46" i="11" a="1"/>
  <c r="AY46" i="11" s="1"/>
  <c r="AZ46" i="11" a="1"/>
  <c r="AZ46" i="11" s="1"/>
  <c r="BA46" i="11" a="1"/>
  <c r="BA46" i="11" s="1"/>
  <c r="AP11" i="11" a="1"/>
  <c r="AP11" i="11" s="1"/>
  <c r="AP12" i="11" a="1"/>
  <c r="AP12" i="11" s="1"/>
  <c r="AP13" i="11" a="1"/>
  <c r="AP13" i="11" s="1"/>
  <c r="AP14" i="11" a="1"/>
  <c r="AP14" i="11" s="1"/>
  <c r="AP15" i="11" a="1"/>
  <c r="AP15" i="11" s="1"/>
  <c r="AP16" i="11" a="1"/>
  <c r="AP16" i="11" s="1"/>
  <c r="AP19" i="11" a="1"/>
  <c r="AP19" i="11" s="1"/>
  <c r="AP20" i="11" a="1"/>
  <c r="AP20" i="11" s="1"/>
  <c r="AP21" i="11" a="1"/>
  <c r="AP21" i="11" s="1"/>
  <c r="AP22" i="11" a="1"/>
  <c r="AP22" i="11" s="1"/>
  <c r="AP23" i="11" a="1"/>
  <c r="AP23" i="11" s="1"/>
  <c r="AP24" i="11" a="1"/>
  <c r="AP24" i="11" s="1"/>
  <c r="AP26" i="11" a="1"/>
  <c r="AP26" i="11" s="1"/>
  <c r="AP27" i="11" a="1"/>
  <c r="AP27" i="11" s="1"/>
  <c r="AP30" i="11" a="1"/>
  <c r="AP30" i="11" s="1"/>
  <c r="AP31" i="11" a="1"/>
  <c r="AP31" i="11" s="1"/>
  <c r="AP32" i="11" a="1"/>
  <c r="AP32" i="11" s="1"/>
  <c r="AP34" i="11" a="1"/>
  <c r="AP34" i="11" s="1"/>
  <c r="AP35" i="11" a="1"/>
  <c r="AP35" i="11" s="1"/>
  <c r="AP36" i="11" a="1"/>
  <c r="AP36" i="11" s="1"/>
  <c r="AP37" i="11" a="1"/>
  <c r="AP37" i="11" s="1"/>
  <c r="AP38" i="11" a="1"/>
  <c r="AP38" i="11" s="1"/>
  <c r="AP46" i="11" a="1"/>
  <c r="AP46" i="11" s="1"/>
  <c r="AP8" i="11" a="1"/>
  <c r="AP8" i="11" s="1"/>
  <c r="AP9" i="11" a="1"/>
  <c r="AP9" i="11" s="1"/>
  <c r="AP10" i="11" a="1"/>
  <c r="AP10" i="11" s="1"/>
  <c r="AP5" i="11" a="1"/>
  <c r="AP5" i="11" s="1"/>
  <c r="R6" i="11" a="1"/>
  <c r="R6" i="11" s="1"/>
  <c r="S6" i="11" a="1"/>
  <c r="S6" i="11" s="1"/>
  <c r="T6" i="11" a="1"/>
  <c r="T6" i="11" s="1"/>
  <c r="U6" i="11" a="1"/>
  <c r="U6" i="11" s="1"/>
  <c r="V6" i="11" a="1"/>
  <c r="V6" i="11" s="1"/>
  <c r="W6" i="11" a="1"/>
  <c r="W6" i="11" s="1"/>
  <c r="X6" i="11" a="1"/>
  <c r="X6" i="11" s="1"/>
  <c r="Y6" i="11" a="1"/>
  <c r="Y6" i="11" s="1"/>
  <c r="Z6" i="11" a="1"/>
  <c r="Z6" i="11" s="1"/>
  <c r="AA6" i="11" a="1"/>
  <c r="AA6" i="11" s="1"/>
  <c r="AB6" i="11" a="1"/>
  <c r="AB6" i="11" s="1"/>
  <c r="AC6" i="11" a="1"/>
  <c r="AC6" i="11" s="1"/>
  <c r="R7" i="11" a="1"/>
  <c r="R7" i="11" s="1"/>
  <c r="S7" i="11" a="1"/>
  <c r="S7" i="11" s="1"/>
  <c r="T7" i="11" a="1"/>
  <c r="T7" i="11" s="1"/>
  <c r="U7" i="11" a="1"/>
  <c r="U7" i="11" s="1"/>
  <c r="V7" i="11" a="1"/>
  <c r="V7" i="11" s="1"/>
  <c r="W7" i="11" a="1"/>
  <c r="W7" i="11" s="1"/>
  <c r="X7" i="11" a="1"/>
  <c r="X7" i="11" s="1"/>
  <c r="Y7" i="11" a="1"/>
  <c r="Y7" i="11" s="1"/>
  <c r="Z7" i="11" a="1"/>
  <c r="Z7" i="11" s="1"/>
  <c r="AA7" i="11" a="1"/>
  <c r="AA7" i="11" s="1"/>
  <c r="AB7" i="11" a="1"/>
  <c r="AB7" i="11" s="1"/>
  <c r="AC7" i="11" a="1"/>
  <c r="AC7" i="11" s="1"/>
  <c r="R8" i="11" a="1"/>
  <c r="S8" i="11" a="1"/>
  <c r="T8" i="11" a="1"/>
  <c r="U8" i="11" a="1"/>
  <c r="V8" i="11" a="1"/>
  <c r="W8" i="11" a="1"/>
  <c r="X8" i="11" a="1"/>
  <c r="Y8" i="11" a="1"/>
  <c r="Z8" i="11" a="1"/>
  <c r="AA8" i="11" a="1"/>
  <c r="AB8" i="11" a="1"/>
  <c r="AC8" i="11" a="1"/>
  <c r="R9" i="11" a="1"/>
  <c r="S9" i="11" a="1"/>
  <c r="T9" i="11" a="1"/>
  <c r="U9" i="11" a="1"/>
  <c r="V9" i="11" a="1"/>
  <c r="W9" i="11" a="1"/>
  <c r="X9" i="11" a="1"/>
  <c r="Y9" i="11" a="1"/>
  <c r="Z9" i="11" a="1"/>
  <c r="AA9" i="11" a="1"/>
  <c r="AB9" i="11" a="1"/>
  <c r="AC9" i="11" a="1"/>
  <c r="R10" i="11" a="1"/>
  <c r="S10" i="11" a="1"/>
  <c r="T10" i="11" a="1"/>
  <c r="U10" i="11" a="1"/>
  <c r="V10" i="11" a="1"/>
  <c r="W10" i="11" a="1"/>
  <c r="X10" i="11" a="1"/>
  <c r="Y10" i="11" a="1"/>
  <c r="Z10" i="11" a="1"/>
  <c r="AA10" i="11" a="1"/>
  <c r="AB10" i="11" a="1"/>
  <c r="AC10" i="11" a="1"/>
  <c r="R11" i="11" a="1"/>
  <c r="S11" i="11" a="1"/>
  <c r="T11" i="11" a="1"/>
  <c r="U11" i="11" a="1"/>
  <c r="V11" i="11" a="1"/>
  <c r="W11" i="11" a="1"/>
  <c r="X11" i="11" a="1"/>
  <c r="Y11" i="11" a="1"/>
  <c r="Z11" i="11" a="1"/>
  <c r="AA11" i="11" a="1"/>
  <c r="AB11" i="11" a="1"/>
  <c r="AC11" i="11" a="1"/>
  <c r="R12" i="11" a="1"/>
  <c r="S12" i="11" a="1"/>
  <c r="T12" i="11" a="1"/>
  <c r="U12" i="11" a="1"/>
  <c r="V12" i="11" a="1"/>
  <c r="W12" i="11" a="1"/>
  <c r="X12" i="11" a="1"/>
  <c r="Y12" i="11" a="1"/>
  <c r="Z12" i="11" a="1"/>
  <c r="AA12" i="11" a="1"/>
  <c r="AB12" i="11" a="1"/>
  <c r="AC12" i="11" a="1"/>
  <c r="R13" i="11" a="1"/>
  <c r="S13" i="11" a="1"/>
  <c r="T13" i="11" a="1"/>
  <c r="U13" i="11" a="1"/>
  <c r="V13" i="11" a="1"/>
  <c r="W13" i="11" a="1"/>
  <c r="X13" i="11" a="1"/>
  <c r="Y13" i="11" a="1"/>
  <c r="Z13" i="11" a="1"/>
  <c r="AA13" i="11" a="1"/>
  <c r="AB13" i="11" a="1"/>
  <c r="AC13" i="11" a="1"/>
  <c r="R14" i="11" a="1"/>
  <c r="S14" i="11" a="1"/>
  <c r="T14" i="11" a="1"/>
  <c r="U14" i="11" a="1"/>
  <c r="V14" i="11" a="1"/>
  <c r="W14" i="11" a="1"/>
  <c r="X14" i="11" a="1"/>
  <c r="Y14" i="11" a="1"/>
  <c r="Z14" i="11" a="1"/>
  <c r="AA14" i="11" a="1"/>
  <c r="AB14" i="11" a="1"/>
  <c r="AC14" i="11" a="1"/>
  <c r="R15" i="11" a="1"/>
  <c r="S15" i="11" a="1"/>
  <c r="T15" i="11" a="1"/>
  <c r="U15" i="11" a="1"/>
  <c r="V15" i="11" a="1"/>
  <c r="W15" i="11" a="1"/>
  <c r="X15" i="11" a="1"/>
  <c r="Y15" i="11" a="1"/>
  <c r="Z15" i="11" a="1"/>
  <c r="AA15" i="11" a="1"/>
  <c r="AB15" i="11" a="1"/>
  <c r="AC15" i="11" a="1"/>
  <c r="R16" i="11" a="1"/>
  <c r="S16" i="11" a="1"/>
  <c r="T16" i="11" a="1"/>
  <c r="U16" i="11" a="1"/>
  <c r="V16" i="11" a="1"/>
  <c r="W16" i="11" a="1"/>
  <c r="X16" i="11" a="1"/>
  <c r="Y16" i="11" a="1"/>
  <c r="Z16" i="11" a="1"/>
  <c r="AA16" i="11" a="1"/>
  <c r="AB16" i="11" a="1"/>
  <c r="AC16" i="11" a="1"/>
  <c r="R17" i="11" a="1"/>
  <c r="R17" i="11" s="1"/>
  <c r="S17" i="11" a="1"/>
  <c r="S17" i="11" s="1"/>
  <c r="T17" i="11" a="1"/>
  <c r="T17" i="11" s="1"/>
  <c r="U17" i="11" a="1"/>
  <c r="U17" i="11" s="1"/>
  <c r="V17" i="11" a="1"/>
  <c r="V17" i="11" s="1"/>
  <c r="W17" i="11" a="1"/>
  <c r="W17" i="11" s="1"/>
  <c r="X17" i="11" a="1"/>
  <c r="X17" i="11" s="1"/>
  <c r="Y17" i="11" a="1"/>
  <c r="Y17" i="11" s="1"/>
  <c r="Z17" i="11" a="1"/>
  <c r="Z17" i="11" s="1"/>
  <c r="AA17" i="11" a="1"/>
  <c r="AA17" i="11" s="1"/>
  <c r="AB17" i="11" a="1"/>
  <c r="AB17" i="11" s="1"/>
  <c r="AC17" i="11" a="1"/>
  <c r="AC17" i="11" s="1"/>
  <c r="R18" i="11" a="1"/>
  <c r="R18" i="11" s="1"/>
  <c r="S18" i="11" a="1"/>
  <c r="S18" i="11" s="1"/>
  <c r="T18" i="11" a="1"/>
  <c r="T18" i="11" s="1"/>
  <c r="U18" i="11" a="1"/>
  <c r="U18" i="11" s="1"/>
  <c r="V18" i="11" a="1"/>
  <c r="V18" i="11" s="1"/>
  <c r="W18" i="11" a="1"/>
  <c r="W18" i="11" s="1"/>
  <c r="X18" i="11" a="1"/>
  <c r="X18" i="11" s="1"/>
  <c r="Y18" i="11" a="1"/>
  <c r="Y18" i="11" s="1"/>
  <c r="Z18" i="11" a="1"/>
  <c r="Z18" i="11" s="1"/>
  <c r="AA18" i="11" a="1"/>
  <c r="AA18" i="11" s="1"/>
  <c r="AB18" i="11" a="1"/>
  <c r="AB18" i="11" s="1"/>
  <c r="AC18" i="11" a="1"/>
  <c r="AC18" i="11" s="1"/>
  <c r="R19" i="11" a="1"/>
  <c r="R19" i="11" s="1"/>
  <c r="S19" i="11" a="1"/>
  <c r="S19" i="11" s="1"/>
  <c r="T19" i="11" a="1"/>
  <c r="T19" i="11" s="1"/>
  <c r="U19" i="11" a="1"/>
  <c r="U19" i="11" s="1"/>
  <c r="V19" i="11" a="1"/>
  <c r="V19" i="11" s="1"/>
  <c r="W19" i="11" a="1"/>
  <c r="W19" i="11" s="1"/>
  <c r="X19" i="11" a="1"/>
  <c r="X19" i="11" s="1"/>
  <c r="Y19" i="11" a="1"/>
  <c r="Y19" i="11" s="1"/>
  <c r="Z19" i="11" a="1"/>
  <c r="Z19" i="11" s="1"/>
  <c r="AA19" i="11" a="1"/>
  <c r="AA19" i="11" s="1"/>
  <c r="AB19" i="11" a="1"/>
  <c r="AB19" i="11" s="1"/>
  <c r="AC19" i="11" a="1"/>
  <c r="AC19" i="11" s="1"/>
  <c r="R20" i="11" a="1"/>
  <c r="S20" i="11" a="1"/>
  <c r="T20" i="11" a="1"/>
  <c r="U20" i="11" a="1"/>
  <c r="V20" i="11" a="1"/>
  <c r="W20" i="11" a="1"/>
  <c r="X20" i="11" a="1"/>
  <c r="Y20" i="11" a="1"/>
  <c r="Z20" i="11" a="1"/>
  <c r="AA20" i="11" a="1"/>
  <c r="AB20" i="11" a="1"/>
  <c r="AC20" i="11" a="1"/>
  <c r="R21" i="11" a="1"/>
  <c r="R21" i="11" s="1"/>
  <c r="S21" i="11" a="1"/>
  <c r="S21" i="11" s="1"/>
  <c r="T21" i="11" a="1"/>
  <c r="T21" i="11" s="1"/>
  <c r="U21" i="11" a="1"/>
  <c r="U21" i="11" s="1"/>
  <c r="V21" i="11" a="1"/>
  <c r="V21" i="11" s="1"/>
  <c r="W21" i="11" a="1"/>
  <c r="W21" i="11" s="1"/>
  <c r="X21" i="11" a="1"/>
  <c r="X21" i="11" s="1"/>
  <c r="Y21" i="11" a="1"/>
  <c r="Y21" i="11" s="1"/>
  <c r="Z21" i="11" a="1"/>
  <c r="Z21" i="11" s="1"/>
  <c r="AA21" i="11" a="1"/>
  <c r="AA21" i="11" s="1"/>
  <c r="AB21" i="11" a="1"/>
  <c r="AB21" i="11" s="1"/>
  <c r="AC21" i="11" a="1"/>
  <c r="AC21" i="11" s="1"/>
  <c r="R22" i="11" a="1"/>
  <c r="R22" i="11" s="1"/>
  <c r="S22" i="11" a="1"/>
  <c r="S22" i="11" s="1"/>
  <c r="T22" i="11" a="1"/>
  <c r="T22" i="11" s="1"/>
  <c r="U22" i="11" a="1"/>
  <c r="U22" i="11" s="1"/>
  <c r="V22" i="11" a="1"/>
  <c r="V22" i="11" s="1"/>
  <c r="W22" i="11" a="1"/>
  <c r="W22" i="11" s="1"/>
  <c r="X22" i="11" a="1"/>
  <c r="X22" i="11" s="1"/>
  <c r="Y22" i="11" a="1"/>
  <c r="Y22" i="11" s="1"/>
  <c r="Z22" i="11" a="1"/>
  <c r="Z22" i="11" s="1"/>
  <c r="AA22" i="11" a="1"/>
  <c r="AA22" i="11" s="1"/>
  <c r="AB22" i="11" a="1"/>
  <c r="AB22" i="11" s="1"/>
  <c r="AC22" i="11" a="1"/>
  <c r="AC22" i="11" s="1"/>
  <c r="R23" i="11" a="1"/>
  <c r="R23" i="11" s="1"/>
  <c r="S23" i="11" a="1"/>
  <c r="S23" i="11" s="1"/>
  <c r="T23" i="11" a="1"/>
  <c r="T23" i="11" s="1"/>
  <c r="U23" i="11" a="1"/>
  <c r="U23" i="11" s="1"/>
  <c r="V23" i="11" a="1"/>
  <c r="V23" i="11" s="1"/>
  <c r="W23" i="11" a="1"/>
  <c r="W23" i="11" s="1"/>
  <c r="X23" i="11" a="1"/>
  <c r="X23" i="11" s="1"/>
  <c r="Y23" i="11" a="1"/>
  <c r="Y23" i="11" s="1"/>
  <c r="Z23" i="11" a="1"/>
  <c r="Z23" i="11" s="1"/>
  <c r="AA23" i="11" a="1"/>
  <c r="AA23" i="11" s="1"/>
  <c r="AB23" i="11" a="1"/>
  <c r="AB23" i="11" s="1"/>
  <c r="AC23" i="11" a="1"/>
  <c r="AC23" i="11" s="1"/>
  <c r="R24" i="11" a="1"/>
  <c r="R24" i="11" s="1"/>
  <c r="S24" i="11" a="1"/>
  <c r="S24" i="11" s="1"/>
  <c r="T24" i="11" a="1"/>
  <c r="T24" i="11" s="1"/>
  <c r="U24" i="11" a="1"/>
  <c r="U24" i="11" s="1"/>
  <c r="V24" i="11" a="1"/>
  <c r="V24" i="11" s="1"/>
  <c r="W24" i="11" a="1"/>
  <c r="W24" i="11" s="1"/>
  <c r="X24" i="11" a="1"/>
  <c r="X24" i="11" s="1"/>
  <c r="Y24" i="11" a="1"/>
  <c r="Y24" i="11" s="1"/>
  <c r="Z24" i="11" a="1"/>
  <c r="Z24" i="11" s="1"/>
  <c r="AA24" i="11" a="1"/>
  <c r="AA24" i="11" s="1"/>
  <c r="AB24" i="11" a="1"/>
  <c r="AB24" i="11" s="1"/>
  <c r="AC24" i="11" a="1"/>
  <c r="AC24" i="11" s="1"/>
  <c r="R25" i="11" a="1"/>
  <c r="R25" i="11" s="1"/>
  <c r="S25" i="11" a="1"/>
  <c r="S25" i="11" s="1"/>
  <c r="T25" i="11" a="1"/>
  <c r="T25" i="11" s="1"/>
  <c r="U25" i="11" a="1"/>
  <c r="U25" i="11" s="1"/>
  <c r="V25" i="11" a="1"/>
  <c r="V25" i="11" s="1"/>
  <c r="W25" i="11" a="1"/>
  <c r="W25" i="11" s="1"/>
  <c r="X25" i="11" a="1"/>
  <c r="X25" i="11" s="1"/>
  <c r="Y25" i="11" a="1"/>
  <c r="Y25" i="11" s="1"/>
  <c r="Z25" i="11" a="1"/>
  <c r="Z25" i="11" s="1"/>
  <c r="AA25" i="11" a="1"/>
  <c r="AA25" i="11" s="1"/>
  <c r="AB25" i="11" a="1"/>
  <c r="AB25" i="11" s="1"/>
  <c r="AC25" i="11" a="1"/>
  <c r="AC25" i="11" s="1"/>
  <c r="R26" i="11" a="1"/>
  <c r="R26" i="11" s="1"/>
  <c r="S26" i="11" a="1"/>
  <c r="S26" i="11" s="1"/>
  <c r="T26" i="11" a="1"/>
  <c r="T26" i="11" s="1"/>
  <c r="U26" i="11" a="1"/>
  <c r="U26" i="11" s="1"/>
  <c r="V26" i="11" a="1"/>
  <c r="V26" i="11" s="1"/>
  <c r="W26" i="11" a="1"/>
  <c r="W26" i="11" s="1"/>
  <c r="X26" i="11" a="1"/>
  <c r="X26" i="11" s="1"/>
  <c r="Y26" i="11" a="1"/>
  <c r="Y26" i="11" s="1"/>
  <c r="Z26" i="11" a="1"/>
  <c r="Z26" i="11" s="1"/>
  <c r="AA26" i="11" a="1"/>
  <c r="AA26" i="11" s="1"/>
  <c r="AB26" i="11" a="1"/>
  <c r="AB26" i="11" s="1"/>
  <c r="AC26" i="11" a="1"/>
  <c r="AC26" i="11" s="1"/>
  <c r="R27" i="11" a="1"/>
  <c r="R27" i="11" s="1"/>
  <c r="S27" i="11" a="1"/>
  <c r="S27" i="11" s="1"/>
  <c r="T27" i="11" a="1"/>
  <c r="T27" i="11" s="1"/>
  <c r="U27" i="11" a="1"/>
  <c r="U27" i="11" s="1"/>
  <c r="V27" i="11" a="1"/>
  <c r="V27" i="11" s="1"/>
  <c r="W27" i="11" a="1"/>
  <c r="W27" i="11" s="1"/>
  <c r="X27" i="11" a="1"/>
  <c r="X27" i="11" s="1"/>
  <c r="Y27" i="11" a="1"/>
  <c r="Y27" i="11" s="1"/>
  <c r="Z27" i="11" a="1"/>
  <c r="Z27" i="11" s="1"/>
  <c r="AA27" i="11" a="1"/>
  <c r="AA27" i="11" s="1"/>
  <c r="AB27" i="11" a="1"/>
  <c r="AB27" i="11" s="1"/>
  <c r="AC27" i="11" a="1"/>
  <c r="AC27" i="11" s="1"/>
  <c r="R28" i="11" a="1"/>
  <c r="R28" i="11" s="1"/>
  <c r="S28" i="11" a="1"/>
  <c r="S28" i="11" s="1"/>
  <c r="T28" i="11" a="1"/>
  <c r="T28" i="11" s="1"/>
  <c r="U28" i="11" a="1"/>
  <c r="U28" i="11" s="1"/>
  <c r="V28" i="11" a="1"/>
  <c r="V28" i="11" s="1"/>
  <c r="W28" i="11" a="1"/>
  <c r="W28" i="11" s="1"/>
  <c r="X28" i="11" a="1"/>
  <c r="X28" i="11" s="1"/>
  <c r="Y28" i="11" a="1"/>
  <c r="Y28" i="11" s="1"/>
  <c r="Z28" i="11" a="1"/>
  <c r="Z28" i="11" s="1"/>
  <c r="AA28" i="11" a="1"/>
  <c r="AA28" i="11" s="1"/>
  <c r="AB28" i="11" a="1"/>
  <c r="AB28" i="11" s="1"/>
  <c r="AC28" i="11" a="1"/>
  <c r="AC28" i="11" s="1"/>
  <c r="R29" i="11" a="1"/>
  <c r="R29" i="11" s="1"/>
  <c r="S29" i="11" a="1"/>
  <c r="S29" i="11" s="1"/>
  <c r="T29" i="11" a="1"/>
  <c r="T29" i="11" s="1"/>
  <c r="U29" i="11" a="1"/>
  <c r="U29" i="11" s="1"/>
  <c r="V29" i="11" a="1"/>
  <c r="V29" i="11" s="1"/>
  <c r="W29" i="11" a="1"/>
  <c r="W29" i="11" s="1"/>
  <c r="X29" i="11" a="1"/>
  <c r="X29" i="11" s="1"/>
  <c r="Y29" i="11" a="1"/>
  <c r="Y29" i="11" s="1"/>
  <c r="Z29" i="11" a="1"/>
  <c r="Z29" i="11" s="1"/>
  <c r="AA29" i="11" a="1"/>
  <c r="AA29" i="11" s="1"/>
  <c r="AB29" i="11" a="1"/>
  <c r="AB29" i="11" s="1"/>
  <c r="AC29" i="11" a="1"/>
  <c r="AC29" i="11" s="1"/>
  <c r="R30" i="11" a="1"/>
  <c r="R30" i="11" s="1"/>
  <c r="S30" i="11" a="1"/>
  <c r="S30" i="11" s="1"/>
  <c r="T30" i="11" a="1"/>
  <c r="T30" i="11" s="1"/>
  <c r="U30" i="11" a="1"/>
  <c r="U30" i="11" s="1"/>
  <c r="V30" i="11" a="1"/>
  <c r="V30" i="11" s="1"/>
  <c r="W30" i="11" a="1"/>
  <c r="W30" i="11" s="1"/>
  <c r="X30" i="11" a="1"/>
  <c r="X30" i="11" s="1"/>
  <c r="Y30" i="11" a="1"/>
  <c r="Y30" i="11" s="1"/>
  <c r="Z30" i="11" a="1"/>
  <c r="Z30" i="11" s="1"/>
  <c r="AA30" i="11" a="1"/>
  <c r="AA30" i="11" s="1"/>
  <c r="AB30" i="11" a="1"/>
  <c r="AB30" i="11" s="1"/>
  <c r="AC30" i="11" a="1"/>
  <c r="AC30" i="11" s="1"/>
  <c r="R31" i="11" a="1"/>
  <c r="R31" i="11" s="1"/>
  <c r="S31" i="11" a="1"/>
  <c r="S31" i="11" s="1"/>
  <c r="T31" i="11" a="1"/>
  <c r="T31" i="11" s="1"/>
  <c r="U31" i="11" a="1"/>
  <c r="U31" i="11" s="1"/>
  <c r="V31" i="11" a="1"/>
  <c r="V31" i="11" s="1"/>
  <c r="W31" i="11" a="1"/>
  <c r="W31" i="11" s="1"/>
  <c r="X31" i="11" a="1"/>
  <c r="X31" i="11" s="1"/>
  <c r="Y31" i="11" a="1"/>
  <c r="Y31" i="11" s="1"/>
  <c r="Z31" i="11" a="1"/>
  <c r="Z31" i="11" s="1"/>
  <c r="AA31" i="11" a="1"/>
  <c r="AA31" i="11" s="1"/>
  <c r="AB31" i="11" a="1"/>
  <c r="AB31" i="11" s="1"/>
  <c r="AC31" i="11" a="1"/>
  <c r="AC31" i="11" s="1"/>
  <c r="R32" i="11" a="1"/>
  <c r="S32" i="11" a="1"/>
  <c r="T32" i="11" a="1"/>
  <c r="U32" i="11" a="1"/>
  <c r="V32" i="11" a="1"/>
  <c r="W32" i="11" a="1"/>
  <c r="X32" i="11" a="1"/>
  <c r="Y32" i="11" a="1"/>
  <c r="Z32" i="11" a="1"/>
  <c r="AA32" i="11" a="1"/>
  <c r="AB32" i="11" a="1"/>
  <c r="AC32" i="11" a="1"/>
  <c r="R33" i="11" a="1"/>
  <c r="R33" i="11" s="1"/>
  <c r="S33" i="11" a="1"/>
  <c r="S33" i="11" s="1"/>
  <c r="T33" i="11" a="1"/>
  <c r="T33" i="11" s="1"/>
  <c r="U33" i="11" a="1"/>
  <c r="U33" i="11" s="1"/>
  <c r="V33" i="11" a="1"/>
  <c r="V33" i="11" s="1"/>
  <c r="W33" i="11" a="1"/>
  <c r="W33" i="11" s="1"/>
  <c r="X33" i="11" a="1"/>
  <c r="X33" i="11" s="1"/>
  <c r="Y33" i="11" a="1"/>
  <c r="Y33" i="11" s="1"/>
  <c r="Z33" i="11" a="1"/>
  <c r="Z33" i="11" s="1"/>
  <c r="AA33" i="11" a="1"/>
  <c r="AA33" i="11" s="1"/>
  <c r="AB33" i="11" a="1"/>
  <c r="AB33" i="11" s="1"/>
  <c r="AC33" i="11" a="1"/>
  <c r="AC33" i="11" s="1"/>
  <c r="R34" i="11" a="1"/>
  <c r="S34" i="11" a="1"/>
  <c r="T34" i="11" a="1"/>
  <c r="U34" i="11" a="1"/>
  <c r="V34" i="11" a="1"/>
  <c r="W34" i="11" a="1"/>
  <c r="X34" i="11" a="1"/>
  <c r="Y34" i="11" a="1"/>
  <c r="Z34" i="11" a="1"/>
  <c r="AA34" i="11" a="1"/>
  <c r="AB34" i="11" a="1"/>
  <c r="AC34" i="11" a="1"/>
  <c r="R35" i="11" a="1"/>
  <c r="S35" i="11" a="1"/>
  <c r="T35" i="11" a="1"/>
  <c r="U35" i="11" a="1"/>
  <c r="V35" i="11" a="1"/>
  <c r="W35" i="11" a="1"/>
  <c r="X35" i="11" a="1"/>
  <c r="Y35" i="11" a="1"/>
  <c r="Z35" i="11" a="1"/>
  <c r="AA35" i="11" a="1"/>
  <c r="AB35" i="11" a="1"/>
  <c r="AC35" i="11" a="1"/>
  <c r="R36" i="11" a="1"/>
  <c r="R36" i="11" s="1"/>
  <c r="S36" i="11" a="1"/>
  <c r="S36" i="11" s="1"/>
  <c r="T36" i="11" a="1"/>
  <c r="T36" i="11" s="1"/>
  <c r="U36" i="11" a="1"/>
  <c r="U36" i="11" s="1"/>
  <c r="V36" i="11" a="1"/>
  <c r="V36" i="11" s="1"/>
  <c r="W36" i="11" a="1"/>
  <c r="W36" i="11" s="1"/>
  <c r="X36" i="11" a="1"/>
  <c r="X36" i="11" s="1"/>
  <c r="Y36" i="11" a="1"/>
  <c r="Y36" i="11" s="1"/>
  <c r="Z36" i="11" a="1"/>
  <c r="Z36" i="11" s="1"/>
  <c r="AA36" i="11" a="1"/>
  <c r="AA36" i="11" s="1"/>
  <c r="AB36" i="11" a="1"/>
  <c r="AB36" i="11" s="1"/>
  <c r="AC36" i="11" a="1"/>
  <c r="AC36" i="11" s="1"/>
  <c r="R37" i="11" a="1"/>
  <c r="S37" i="11" a="1"/>
  <c r="T37" i="11" a="1"/>
  <c r="U37" i="11" a="1"/>
  <c r="V37" i="11" a="1"/>
  <c r="W37" i="11" a="1"/>
  <c r="X37" i="11" a="1"/>
  <c r="Y37" i="11" a="1"/>
  <c r="Z37" i="11" a="1"/>
  <c r="AA37" i="11" a="1"/>
  <c r="AB37" i="11" a="1"/>
  <c r="AC37" i="11" a="1"/>
  <c r="R38" i="11" a="1"/>
  <c r="R38" i="11" s="1"/>
  <c r="S38" i="11" a="1"/>
  <c r="S38" i="11" s="1"/>
  <c r="T38" i="11" a="1"/>
  <c r="T38" i="11" s="1"/>
  <c r="U38" i="11" a="1"/>
  <c r="U38" i="11" s="1"/>
  <c r="V38" i="11" a="1"/>
  <c r="V38" i="11" s="1"/>
  <c r="W38" i="11" a="1"/>
  <c r="W38" i="11" s="1"/>
  <c r="X38" i="11" a="1"/>
  <c r="X38" i="11" s="1"/>
  <c r="Y38" i="11" a="1"/>
  <c r="Y38" i="11" s="1"/>
  <c r="Z38" i="11" a="1"/>
  <c r="Z38" i="11" s="1"/>
  <c r="AA38" i="11" a="1"/>
  <c r="AA38" i="11" s="1"/>
  <c r="AB38" i="11" a="1"/>
  <c r="AB38" i="11" s="1"/>
  <c r="AC38" i="11" a="1"/>
  <c r="AC38" i="11" s="1"/>
  <c r="R39" i="11" a="1"/>
  <c r="R39" i="11" s="1"/>
  <c r="S39" i="11" a="1"/>
  <c r="S39" i="11" s="1"/>
  <c r="T39" i="11" a="1"/>
  <c r="T39" i="11" s="1"/>
  <c r="U39" i="11" a="1"/>
  <c r="U39" i="11" s="1"/>
  <c r="V39" i="11" a="1"/>
  <c r="V39" i="11" s="1"/>
  <c r="W39" i="11" a="1"/>
  <c r="W39" i="11" s="1"/>
  <c r="X39" i="11" a="1"/>
  <c r="X39" i="11" s="1"/>
  <c r="Y39" i="11" a="1"/>
  <c r="Y39" i="11" s="1"/>
  <c r="Z39" i="11" a="1"/>
  <c r="Z39" i="11" s="1"/>
  <c r="AA39" i="11" a="1"/>
  <c r="AA39" i="11" s="1"/>
  <c r="AB39" i="11" a="1"/>
  <c r="AB39" i="11" s="1"/>
  <c r="AC39" i="11" a="1"/>
  <c r="AC39" i="11" s="1"/>
  <c r="R40" i="11" a="1"/>
  <c r="S40" i="11" a="1"/>
  <c r="T40" i="11" a="1"/>
  <c r="U40" i="11" a="1"/>
  <c r="V40" i="11" a="1"/>
  <c r="W40" i="11" a="1"/>
  <c r="X40" i="11" a="1"/>
  <c r="Y40" i="11" a="1"/>
  <c r="Z40" i="11" a="1"/>
  <c r="AA40" i="11" a="1"/>
  <c r="AB40" i="11" a="1"/>
  <c r="AC40" i="11" a="1"/>
  <c r="R41" i="11" a="1"/>
  <c r="S41" i="11" a="1"/>
  <c r="T41" i="11" a="1"/>
  <c r="U41" i="11" a="1"/>
  <c r="V41" i="11" a="1"/>
  <c r="W41" i="11" a="1"/>
  <c r="X41" i="11" a="1"/>
  <c r="Y41" i="11" a="1"/>
  <c r="Z41" i="11" a="1"/>
  <c r="AA41" i="11" a="1"/>
  <c r="AB41" i="11" a="1"/>
  <c r="AC41" i="11" a="1"/>
  <c r="R42" i="11" a="1"/>
  <c r="S42" i="11" a="1"/>
  <c r="T42" i="11" a="1"/>
  <c r="U42" i="11" a="1"/>
  <c r="V42" i="11" a="1"/>
  <c r="W42" i="11" a="1"/>
  <c r="X42" i="11" a="1"/>
  <c r="Y42" i="11" a="1"/>
  <c r="Z42" i="11" a="1"/>
  <c r="AA42" i="11" a="1"/>
  <c r="AB42" i="11" a="1"/>
  <c r="AC42" i="11" a="1"/>
  <c r="R43" i="11" a="1"/>
  <c r="S43" i="11" a="1"/>
  <c r="T43" i="11" a="1"/>
  <c r="U43" i="11" a="1"/>
  <c r="V43" i="11" a="1"/>
  <c r="W43" i="11" a="1"/>
  <c r="X43" i="11" a="1"/>
  <c r="Y43" i="11" a="1"/>
  <c r="Z43" i="11" a="1"/>
  <c r="AA43" i="11" a="1"/>
  <c r="AB43" i="11" a="1"/>
  <c r="AC43" i="11" a="1"/>
  <c r="R44" i="11" a="1"/>
  <c r="R44" i="11" s="1"/>
  <c r="S44" i="11" a="1"/>
  <c r="S44" i="11" s="1"/>
  <c r="T44" i="11" a="1"/>
  <c r="T44" i="11" s="1"/>
  <c r="U44" i="11" a="1"/>
  <c r="U44" i="11" s="1"/>
  <c r="V44" i="11" a="1"/>
  <c r="V44" i="11" s="1"/>
  <c r="W44" i="11" a="1"/>
  <c r="W44" i="11" s="1"/>
  <c r="X44" i="11" a="1"/>
  <c r="X44" i="11" s="1"/>
  <c r="Y44" i="11" a="1"/>
  <c r="Y44" i="11" s="1"/>
  <c r="Z44" i="11" a="1"/>
  <c r="Z44" i="11" s="1"/>
  <c r="AA44" i="11" a="1"/>
  <c r="AA44" i="11" s="1"/>
  <c r="AB44" i="11" a="1"/>
  <c r="AB44" i="11" s="1"/>
  <c r="AC44" i="11" a="1"/>
  <c r="AC44" i="11" s="1"/>
  <c r="R45" i="11" a="1"/>
  <c r="R45" i="11" s="1"/>
  <c r="S45" i="11" a="1"/>
  <c r="S45" i="11" s="1"/>
  <c r="T45" i="11" a="1"/>
  <c r="T45" i="11" s="1"/>
  <c r="U45" i="11" a="1"/>
  <c r="U45" i="11" s="1"/>
  <c r="V45" i="11" a="1"/>
  <c r="V45" i="11" s="1"/>
  <c r="W45" i="11" a="1"/>
  <c r="W45" i="11" s="1"/>
  <c r="X45" i="11" a="1"/>
  <c r="X45" i="11" s="1"/>
  <c r="Y45" i="11" a="1"/>
  <c r="Y45" i="11" s="1"/>
  <c r="Z45" i="11" a="1"/>
  <c r="Z45" i="11" s="1"/>
  <c r="AA45" i="11" a="1"/>
  <c r="AA45" i="11" s="1"/>
  <c r="AB45" i="11" a="1"/>
  <c r="AB45" i="11" s="1"/>
  <c r="AC45" i="11" a="1"/>
  <c r="AC45" i="11" s="1"/>
  <c r="R46" i="11" a="1"/>
  <c r="S46" i="11" a="1"/>
  <c r="T46" i="11" a="1"/>
  <c r="U46" i="11" a="1"/>
  <c r="V46" i="11" a="1"/>
  <c r="W46" i="11" a="1"/>
  <c r="X46" i="11" a="1"/>
  <c r="Y46" i="11" a="1"/>
  <c r="Z46" i="11" a="1"/>
  <c r="AA46" i="11" a="1"/>
  <c r="AB46" i="11" a="1"/>
  <c r="AC46" i="11" a="1"/>
  <c r="U5" i="11" a="1"/>
  <c r="V5" i="11" a="1"/>
  <c r="W5" i="11" a="1"/>
  <c r="X5" i="11" a="1"/>
  <c r="Y5" i="11" a="1"/>
  <c r="Z5" i="11" a="1"/>
  <c r="AA5" i="11" a="1"/>
  <c r="AB5" i="11" a="1"/>
  <c r="AC5" i="11" a="1"/>
  <c r="S5" i="11" a="1"/>
  <c r="D1239" i="3"/>
  <c r="D1240" i="3"/>
  <c r="D1241" i="3"/>
  <c r="D1242" i="3"/>
  <c r="D1243" i="3"/>
  <c r="D1244" i="3"/>
  <c r="D1245" i="3"/>
  <c r="D1246" i="3"/>
  <c r="D1247" i="3"/>
  <c r="D1238" i="3"/>
  <c r="D1221" i="3"/>
  <c r="D1222" i="3"/>
  <c r="D1223" i="3"/>
  <c r="D1224" i="3"/>
  <c r="D1225" i="3"/>
  <c r="D1226" i="3"/>
  <c r="D1227" i="3"/>
  <c r="D1228" i="3"/>
  <c r="D1229" i="3"/>
  <c r="D1220" i="3"/>
  <c r="D1213" i="3"/>
  <c r="D1214" i="3"/>
  <c r="D1215" i="3"/>
  <c r="D1216" i="3"/>
  <c r="D1217" i="3"/>
  <c r="D1218" i="3"/>
  <c r="D1219" i="3"/>
  <c r="D1212" i="3"/>
  <c r="F1252" i="3"/>
  <c r="F1251" i="3"/>
  <c r="F1249" i="3"/>
  <c r="F1234" i="3"/>
  <c r="F1233" i="3"/>
  <c r="F1231" i="3"/>
  <c r="F1208" i="3"/>
  <c r="F1207" i="3"/>
  <c r="F1205" i="3"/>
  <c r="F1203" i="3"/>
  <c r="D1193" i="3" s="1"/>
  <c r="H1190" i="3"/>
  <c r="H1189" i="3"/>
  <c r="F1188" i="3"/>
  <c r="H1188" i="3" s="1"/>
  <c r="H1187" i="3"/>
  <c r="H1186" i="3"/>
  <c r="F1185" i="3"/>
  <c r="H1185" i="3" s="1"/>
  <c r="F1184" i="3"/>
  <c r="H1184" i="3" s="1"/>
  <c r="H1183" i="3"/>
  <c r="H1182" i="3"/>
  <c r="F1181" i="3"/>
  <c r="H1181" i="3" s="1"/>
  <c r="F1180" i="3"/>
  <c r="H1180" i="3" s="1"/>
  <c r="H1179" i="3"/>
  <c r="H1178" i="3"/>
  <c r="F1177" i="3"/>
  <c r="H1177" i="3" s="1"/>
  <c r="F1176" i="3"/>
  <c r="H1176" i="3" s="1"/>
  <c r="H1175" i="3"/>
  <c r="H1174" i="3"/>
  <c r="F1173" i="3"/>
  <c r="H1173" i="3" s="1"/>
  <c r="H1172" i="3"/>
  <c r="H1171" i="3"/>
  <c r="F1170" i="3"/>
  <c r="H1170" i="3" s="1"/>
  <c r="F1169" i="3"/>
  <c r="H1169" i="3" s="1"/>
  <c r="H1168" i="3"/>
  <c r="H1167" i="3"/>
  <c r="H1166" i="3"/>
  <c r="H1165" i="3"/>
  <c r="F1164" i="3"/>
  <c r="H1164" i="3" s="1"/>
  <c r="F1163" i="3"/>
  <c r="H1163" i="3" s="1"/>
  <c r="F1162" i="3"/>
  <c r="H1162" i="3" s="1"/>
  <c r="H1161" i="3"/>
  <c r="H1160" i="3"/>
  <c r="F1159" i="3"/>
  <c r="H1159" i="3" s="1"/>
  <c r="F1158" i="3"/>
  <c r="H1158" i="3" s="1"/>
  <c r="H1157" i="3"/>
  <c r="H1156" i="3"/>
  <c r="H1155" i="3"/>
  <c r="H1154" i="3"/>
  <c r="F1153" i="3"/>
  <c r="H1153" i="3" s="1"/>
  <c r="F1152" i="3"/>
  <c r="H1152" i="3" s="1"/>
  <c r="F1151" i="3"/>
  <c r="H1151" i="3" s="1"/>
  <c r="H1150" i="3"/>
  <c r="H1149" i="3"/>
  <c r="F1148" i="3"/>
  <c r="H1148" i="3" s="1"/>
  <c r="F1147" i="3"/>
  <c r="H1147" i="3" s="1"/>
  <c r="H1146" i="3"/>
  <c r="H1145" i="3"/>
  <c r="F1144" i="3"/>
  <c r="H1144" i="3" s="1"/>
  <c r="H1143" i="3"/>
  <c r="H1142" i="3"/>
  <c r="F1141" i="3"/>
  <c r="H1141" i="3" s="1"/>
  <c r="F1140" i="3"/>
  <c r="H1140" i="3" s="1"/>
  <c r="H1139" i="3"/>
  <c r="H1138" i="3"/>
  <c r="H1137" i="3"/>
  <c r="H1136" i="3"/>
  <c r="F1135" i="3"/>
  <c r="H1135" i="3" s="1"/>
  <c r="F1134" i="3"/>
  <c r="H1134" i="3" s="1"/>
  <c r="F1133" i="3"/>
  <c r="H1133" i="3" s="1"/>
  <c r="F1132" i="3"/>
  <c r="H1132" i="3" s="1"/>
  <c r="H1131" i="3"/>
  <c r="H1130" i="3"/>
  <c r="F1129" i="3"/>
  <c r="H1129" i="3" s="1"/>
  <c r="F1128" i="3"/>
  <c r="H1128" i="3" s="1"/>
  <c r="H1127" i="3"/>
  <c r="H1126" i="3"/>
  <c r="H1125" i="3"/>
  <c r="H1124" i="3"/>
  <c r="F1123" i="3"/>
  <c r="H1123" i="3" s="1"/>
  <c r="F1122" i="3"/>
  <c r="H1122" i="3" s="1"/>
  <c r="F1121" i="3"/>
  <c r="H1121" i="3" s="1"/>
  <c r="F1120" i="3"/>
  <c r="H1120" i="3" s="1"/>
  <c r="H1119" i="3"/>
  <c r="H1118" i="3"/>
  <c r="H1117" i="3"/>
  <c r="H1116" i="3"/>
  <c r="F1115" i="3"/>
  <c r="H1115" i="3" s="1"/>
  <c r="F1114" i="3"/>
  <c r="H1114" i="3" s="1"/>
  <c r="F1113" i="3"/>
  <c r="H1113" i="3" s="1"/>
  <c r="H1112" i="3"/>
  <c r="H1111" i="3"/>
  <c r="F1110" i="3"/>
  <c r="H1110" i="3" s="1"/>
  <c r="F1109" i="3"/>
  <c r="H1109" i="3" s="1"/>
  <c r="H1108" i="3"/>
  <c r="H1107" i="3"/>
  <c r="H1106" i="3"/>
  <c r="H1105" i="3"/>
  <c r="F1104" i="3"/>
  <c r="H1104" i="3" s="1"/>
  <c r="F1103" i="3"/>
  <c r="H1103" i="3" s="1"/>
  <c r="F1102" i="3"/>
  <c r="H1102" i="3" s="1"/>
  <c r="H1101" i="3"/>
  <c r="H1100" i="3"/>
  <c r="F1099" i="3"/>
  <c r="H1099" i="3" s="1"/>
  <c r="F1098" i="3"/>
  <c r="H1098" i="3" s="1"/>
  <c r="H1097" i="3"/>
  <c r="H1096" i="3"/>
  <c r="F1095" i="3"/>
  <c r="H1095" i="3" s="1"/>
  <c r="H1094" i="3"/>
  <c r="H1093" i="3"/>
  <c r="H1092" i="3"/>
  <c r="F1091" i="3"/>
  <c r="H1091" i="3" s="1"/>
  <c r="F1090" i="3"/>
  <c r="H1090" i="3" s="1"/>
  <c r="H1089" i="3"/>
  <c r="H1088" i="3"/>
  <c r="H1087" i="3"/>
  <c r="F1086" i="3"/>
  <c r="H1086" i="3" s="1"/>
  <c r="F1085" i="3"/>
  <c r="H1085" i="3" s="1"/>
  <c r="H1084" i="3"/>
  <c r="H1083" i="3"/>
  <c r="H1082" i="3"/>
  <c r="F1081" i="3"/>
  <c r="H1081" i="3" s="1"/>
  <c r="F1080" i="3"/>
  <c r="H1080" i="3" s="1"/>
  <c r="H1079" i="3"/>
  <c r="H1078" i="3"/>
  <c r="H1077" i="3"/>
  <c r="F1076" i="3"/>
  <c r="H1076" i="3" s="1"/>
  <c r="F1075" i="3"/>
  <c r="H1075" i="3" s="1"/>
  <c r="H1074" i="3"/>
  <c r="H1073" i="3"/>
  <c r="H1072" i="3"/>
  <c r="F1071" i="3"/>
  <c r="H1071" i="3" s="1"/>
  <c r="F1070" i="3"/>
  <c r="H1070" i="3" s="1"/>
  <c r="H1069" i="3"/>
  <c r="H1068" i="3"/>
  <c r="H1067" i="3"/>
  <c r="F1066" i="3"/>
  <c r="H1066" i="3" s="1"/>
  <c r="F1065" i="3"/>
  <c r="H1065" i="3" s="1"/>
  <c r="H1064" i="3"/>
  <c r="H1063" i="3"/>
  <c r="H1062" i="3"/>
  <c r="F1061" i="3"/>
  <c r="H1061" i="3" s="1"/>
  <c r="F1060" i="3"/>
  <c r="H1060" i="3" s="1"/>
  <c r="H1059" i="3"/>
  <c r="H1058" i="3"/>
  <c r="H1057" i="3"/>
  <c r="F1056" i="3"/>
  <c r="H1056" i="3" s="1"/>
  <c r="F1055" i="3"/>
  <c r="H1055" i="3" s="1"/>
  <c r="H1054" i="3"/>
  <c r="H1053" i="3"/>
  <c r="H1052" i="3"/>
  <c r="F1051" i="3"/>
  <c r="H1051" i="3" s="1"/>
  <c r="F1050" i="3"/>
  <c r="H1050" i="3" s="1"/>
  <c r="H1049" i="3"/>
  <c r="H1048" i="3"/>
  <c r="H1047" i="3"/>
  <c r="F1046" i="3"/>
  <c r="H1046" i="3" s="1"/>
  <c r="F1045" i="3"/>
  <c r="H1045" i="3" s="1"/>
  <c r="H1044" i="3"/>
  <c r="H1043" i="3"/>
  <c r="H1042" i="3"/>
  <c r="F1041" i="3"/>
  <c r="H1041" i="3" s="1"/>
  <c r="F1040" i="3"/>
  <c r="H1040" i="3" s="1"/>
  <c r="H1039" i="3"/>
  <c r="H1038" i="3"/>
  <c r="H1037" i="3"/>
  <c r="F1036" i="3"/>
  <c r="H1036" i="3" s="1"/>
  <c r="F1035" i="3"/>
  <c r="H1035" i="3" s="1"/>
  <c r="H1034" i="3"/>
  <c r="H1033" i="3"/>
  <c r="H1032" i="3"/>
  <c r="F1031" i="3"/>
  <c r="H1031" i="3" s="1"/>
  <c r="F1030" i="3"/>
  <c r="H1030" i="3" s="1"/>
  <c r="H1029" i="3"/>
  <c r="H1028" i="3"/>
  <c r="H1027" i="3"/>
  <c r="F1026" i="3"/>
  <c r="H1026" i="3" s="1"/>
  <c r="F1025" i="3"/>
  <c r="H1025" i="3" s="1"/>
  <c r="H1024" i="3"/>
  <c r="H1023" i="3"/>
  <c r="H1022" i="3"/>
  <c r="F1021" i="3"/>
  <c r="H1021" i="3" s="1"/>
  <c r="F1020" i="3"/>
  <c r="H1020" i="3" s="1"/>
  <c r="H1019" i="3"/>
  <c r="H1018" i="3"/>
  <c r="H1017" i="3"/>
  <c r="F1016" i="3"/>
  <c r="H1016" i="3" s="1"/>
  <c r="F1015" i="3"/>
  <c r="H1015" i="3" s="1"/>
  <c r="H1014" i="3"/>
  <c r="H1013" i="3"/>
  <c r="H1012" i="3"/>
  <c r="F1011" i="3"/>
  <c r="H1011" i="3" s="1"/>
  <c r="F1010" i="3"/>
  <c r="H1010" i="3" s="1"/>
  <c r="H1009" i="3"/>
  <c r="H1008" i="3"/>
  <c r="H1007" i="3"/>
  <c r="F1006" i="3"/>
  <c r="H1006" i="3" s="1"/>
  <c r="F1005" i="3"/>
  <c r="H1005" i="3" s="1"/>
  <c r="H1004" i="3"/>
  <c r="H1003" i="3"/>
  <c r="H1002" i="3"/>
  <c r="F1001" i="3"/>
  <c r="H1001" i="3" s="1"/>
  <c r="F1000" i="3"/>
  <c r="H1000" i="3" s="1"/>
  <c r="H999" i="3"/>
  <c r="H998" i="3"/>
  <c r="H997" i="3"/>
  <c r="F996" i="3"/>
  <c r="H996" i="3" s="1"/>
  <c r="F995" i="3"/>
  <c r="H995" i="3" s="1"/>
  <c r="H994" i="3"/>
  <c r="H993" i="3"/>
  <c r="H992" i="3"/>
  <c r="F991" i="3"/>
  <c r="H991" i="3" s="1"/>
  <c r="F990" i="3"/>
  <c r="H990" i="3" s="1"/>
  <c r="H989" i="3"/>
  <c r="H988" i="3"/>
  <c r="H987" i="3"/>
  <c r="F986" i="3"/>
  <c r="H986" i="3" s="1"/>
  <c r="F985" i="3"/>
  <c r="H985" i="3" s="1"/>
  <c r="H984" i="3"/>
  <c r="H983" i="3"/>
  <c r="H982" i="3"/>
  <c r="F981" i="3"/>
  <c r="H981" i="3" s="1"/>
  <c r="F980" i="3"/>
  <c r="H980" i="3" s="1"/>
  <c r="H979" i="3"/>
  <c r="H978" i="3"/>
  <c r="H977" i="3"/>
  <c r="F976" i="3"/>
  <c r="H976" i="3" s="1"/>
  <c r="F975" i="3"/>
  <c r="H975" i="3" s="1"/>
  <c r="H974" i="3"/>
  <c r="H973" i="3"/>
  <c r="H972" i="3"/>
  <c r="F971" i="3"/>
  <c r="H971" i="3" s="1"/>
  <c r="F970" i="3"/>
  <c r="H970" i="3" s="1"/>
  <c r="H969" i="3"/>
  <c r="H968" i="3"/>
  <c r="F967" i="3"/>
  <c r="H967" i="3" s="1"/>
  <c r="H966" i="3"/>
  <c r="H965" i="3"/>
  <c r="F964" i="3"/>
  <c r="H964" i="3" s="1"/>
  <c r="H963" i="3"/>
  <c r="H962" i="3"/>
  <c r="F961" i="3"/>
  <c r="H961" i="3" s="1"/>
  <c r="H960" i="3"/>
  <c r="H959" i="3"/>
  <c r="F958" i="3"/>
  <c r="H958" i="3" s="1"/>
  <c r="H957" i="3"/>
  <c r="H956" i="3"/>
  <c r="H955" i="3"/>
  <c r="F954" i="3"/>
  <c r="H954" i="3" s="1"/>
  <c r="F953" i="3"/>
  <c r="H953" i="3" s="1"/>
  <c r="H952" i="3"/>
  <c r="H951" i="3"/>
  <c r="H950" i="3"/>
  <c r="F949" i="3"/>
  <c r="H949" i="3" s="1"/>
  <c r="F948" i="3"/>
  <c r="H948" i="3" s="1"/>
  <c r="H947" i="3"/>
  <c r="H946" i="3"/>
  <c r="H945" i="3"/>
  <c r="F944" i="3"/>
  <c r="H944" i="3" s="1"/>
  <c r="F943" i="3"/>
  <c r="H943" i="3" s="1"/>
  <c r="H942" i="3"/>
  <c r="H941" i="3"/>
  <c r="H940" i="3"/>
  <c r="F939" i="3"/>
  <c r="H939" i="3" s="1"/>
  <c r="F938" i="3"/>
  <c r="H938" i="3" s="1"/>
  <c r="H937" i="3"/>
  <c r="H936" i="3"/>
  <c r="H935" i="3"/>
  <c r="F934" i="3"/>
  <c r="H934" i="3" s="1"/>
  <c r="F933" i="3"/>
  <c r="H933" i="3" s="1"/>
  <c r="H932" i="3"/>
  <c r="H931" i="3"/>
  <c r="F930" i="3"/>
  <c r="H930" i="3" s="1"/>
  <c r="H929" i="3"/>
  <c r="H928" i="3"/>
  <c r="F927" i="3"/>
  <c r="H927" i="3" s="1"/>
  <c r="H926" i="3"/>
  <c r="H925" i="3"/>
  <c r="F924" i="3"/>
  <c r="H924" i="3" s="1"/>
  <c r="H923" i="3"/>
  <c r="H922" i="3"/>
  <c r="F921" i="3"/>
  <c r="H921" i="3" s="1"/>
  <c r="H920" i="3"/>
  <c r="H919" i="3"/>
  <c r="H918" i="3"/>
  <c r="F917" i="3"/>
  <c r="H917" i="3" s="1"/>
  <c r="F916" i="3"/>
  <c r="H916" i="3" s="1"/>
  <c r="H915" i="3"/>
  <c r="H914" i="3"/>
  <c r="H913" i="3"/>
  <c r="F912" i="3"/>
  <c r="H912" i="3" s="1"/>
  <c r="F911" i="3"/>
  <c r="H911" i="3" s="1"/>
  <c r="H910" i="3"/>
  <c r="H909" i="3"/>
  <c r="H908" i="3"/>
  <c r="F907" i="3"/>
  <c r="H907" i="3" s="1"/>
  <c r="F906" i="3"/>
  <c r="H906" i="3" s="1"/>
  <c r="H905" i="3"/>
  <c r="H904" i="3"/>
  <c r="H903" i="3"/>
  <c r="F902" i="3"/>
  <c r="H902" i="3" s="1"/>
  <c r="F901" i="3"/>
  <c r="H901" i="3" s="1"/>
  <c r="H900" i="3"/>
  <c r="H899" i="3"/>
  <c r="H898" i="3"/>
  <c r="F897" i="3"/>
  <c r="H897" i="3" s="1"/>
  <c r="F896" i="3"/>
  <c r="H896" i="3" s="1"/>
  <c r="H895" i="3"/>
  <c r="H894" i="3"/>
  <c r="H893" i="3"/>
  <c r="F892" i="3"/>
  <c r="H892" i="3" s="1"/>
  <c r="F891" i="3"/>
  <c r="H891" i="3" s="1"/>
  <c r="H890" i="3"/>
  <c r="H889" i="3"/>
  <c r="H888" i="3"/>
  <c r="F887" i="3"/>
  <c r="H887" i="3" s="1"/>
  <c r="F886" i="3"/>
  <c r="H886" i="3" s="1"/>
  <c r="H885" i="3"/>
  <c r="H884" i="3"/>
  <c r="H883" i="3"/>
  <c r="F882" i="3"/>
  <c r="H882" i="3" s="1"/>
  <c r="F881" i="3"/>
  <c r="H881" i="3" s="1"/>
  <c r="H880" i="3"/>
  <c r="H879" i="3"/>
  <c r="H878" i="3"/>
  <c r="F877" i="3"/>
  <c r="H877" i="3" s="1"/>
  <c r="F876" i="3"/>
  <c r="H876" i="3" s="1"/>
  <c r="H875" i="3"/>
  <c r="H874" i="3"/>
  <c r="H873" i="3"/>
  <c r="F872" i="3"/>
  <c r="H872" i="3" s="1"/>
  <c r="F871" i="3"/>
  <c r="H871" i="3" s="1"/>
  <c r="H870" i="3"/>
  <c r="H869" i="3"/>
  <c r="H868" i="3"/>
  <c r="F867" i="3"/>
  <c r="H867" i="3" s="1"/>
  <c r="F866" i="3"/>
  <c r="H866" i="3" s="1"/>
  <c r="H865" i="3"/>
  <c r="H864" i="3"/>
  <c r="H863" i="3"/>
  <c r="F862" i="3"/>
  <c r="H862" i="3" s="1"/>
  <c r="F861" i="3"/>
  <c r="H861" i="3" s="1"/>
  <c r="H860" i="3"/>
  <c r="H859" i="3"/>
  <c r="H858" i="3"/>
  <c r="F857" i="3"/>
  <c r="H857" i="3" s="1"/>
  <c r="F856" i="3"/>
  <c r="H856" i="3" s="1"/>
  <c r="H855" i="3"/>
  <c r="H854" i="3"/>
  <c r="H853" i="3"/>
  <c r="F852" i="3"/>
  <c r="H852" i="3" s="1"/>
  <c r="F851" i="3"/>
  <c r="H851" i="3" s="1"/>
  <c r="H850" i="3"/>
  <c r="H849" i="3"/>
  <c r="H848" i="3"/>
  <c r="F847" i="3"/>
  <c r="H847" i="3" s="1"/>
  <c r="F846" i="3"/>
  <c r="H846" i="3" s="1"/>
  <c r="H845" i="3"/>
  <c r="H844" i="3"/>
  <c r="F843" i="3"/>
  <c r="H843" i="3" s="1"/>
  <c r="H842" i="3"/>
  <c r="H841" i="3"/>
  <c r="F840" i="3"/>
  <c r="H840" i="3" s="1"/>
  <c r="H839" i="3"/>
  <c r="H838" i="3"/>
  <c r="F837" i="3"/>
  <c r="H837" i="3" s="1"/>
  <c r="H836" i="3"/>
  <c r="H835" i="3"/>
  <c r="F834" i="3"/>
  <c r="H834" i="3" s="1"/>
  <c r="H833" i="3"/>
  <c r="H832" i="3"/>
  <c r="H831" i="3"/>
  <c r="F830" i="3"/>
  <c r="H830" i="3" s="1"/>
  <c r="F829" i="3"/>
  <c r="H829" i="3" s="1"/>
  <c r="H828" i="3"/>
  <c r="H827" i="3"/>
  <c r="H826" i="3"/>
  <c r="F825" i="3"/>
  <c r="H825" i="3" s="1"/>
  <c r="F824" i="3"/>
  <c r="H824" i="3" s="1"/>
  <c r="H823" i="3"/>
  <c r="H822" i="3"/>
  <c r="H821" i="3"/>
  <c r="F820" i="3"/>
  <c r="H820" i="3" s="1"/>
  <c r="F819" i="3"/>
  <c r="H819" i="3" s="1"/>
  <c r="H818" i="3"/>
  <c r="H817" i="3"/>
  <c r="H816" i="3"/>
  <c r="F815" i="3"/>
  <c r="H815" i="3" s="1"/>
  <c r="F814" i="3"/>
  <c r="H814" i="3" s="1"/>
  <c r="H813" i="3"/>
  <c r="H812" i="3"/>
  <c r="H811" i="3"/>
  <c r="F810" i="3"/>
  <c r="H810" i="3" s="1"/>
  <c r="F809" i="3"/>
  <c r="H809" i="3" s="1"/>
  <c r="H808" i="3"/>
  <c r="H807" i="3"/>
  <c r="F806" i="3"/>
  <c r="H806" i="3" s="1"/>
  <c r="H805" i="3"/>
  <c r="H804" i="3"/>
  <c r="F803" i="3"/>
  <c r="H803" i="3" s="1"/>
  <c r="H802" i="3"/>
  <c r="H801" i="3"/>
  <c r="F800" i="3"/>
  <c r="H800" i="3" s="1"/>
  <c r="H799" i="3"/>
  <c r="H798" i="3"/>
  <c r="F797" i="3"/>
  <c r="H797" i="3" s="1"/>
  <c r="H796" i="3"/>
  <c r="H795" i="3"/>
  <c r="H794" i="3"/>
  <c r="F793" i="3"/>
  <c r="H793" i="3" s="1"/>
  <c r="F792" i="3"/>
  <c r="H792" i="3" s="1"/>
  <c r="H791" i="3"/>
  <c r="H790" i="3"/>
  <c r="H789" i="3"/>
  <c r="F788" i="3"/>
  <c r="H788" i="3" s="1"/>
  <c r="F787" i="3"/>
  <c r="H787" i="3" s="1"/>
  <c r="H786" i="3"/>
  <c r="H785" i="3"/>
  <c r="H784" i="3"/>
  <c r="F783" i="3"/>
  <c r="H783" i="3" s="1"/>
  <c r="F782" i="3"/>
  <c r="H782" i="3" s="1"/>
  <c r="H781" i="3"/>
  <c r="H780" i="3"/>
  <c r="H779" i="3"/>
  <c r="F778" i="3"/>
  <c r="H778" i="3" s="1"/>
  <c r="F777" i="3"/>
  <c r="H777" i="3" s="1"/>
  <c r="H776" i="3"/>
  <c r="H775" i="3"/>
  <c r="H774" i="3"/>
  <c r="F773" i="3"/>
  <c r="H773" i="3" s="1"/>
  <c r="F772" i="3"/>
  <c r="H772" i="3" s="1"/>
  <c r="F771" i="3"/>
  <c r="H771" i="3" s="1"/>
  <c r="F770" i="3"/>
  <c r="H770" i="3" s="1"/>
  <c r="F769" i="3"/>
  <c r="H769" i="3" s="1"/>
  <c r="F768" i="3"/>
  <c r="H768" i="3" s="1"/>
  <c r="F767" i="3"/>
  <c r="H767" i="3" s="1"/>
  <c r="F766" i="3"/>
  <c r="H766" i="3" s="1"/>
  <c r="F765" i="3"/>
  <c r="H765" i="3" s="1"/>
  <c r="F764" i="3"/>
  <c r="H764" i="3" s="1"/>
  <c r="F763" i="3"/>
  <c r="H763" i="3" s="1"/>
  <c r="F762" i="3"/>
  <c r="H762" i="3" s="1"/>
  <c r="F761" i="3"/>
  <c r="H761" i="3" s="1"/>
  <c r="F760" i="3"/>
  <c r="H760" i="3" s="1"/>
  <c r="F759" i="3"/>
  <c r="H759" i="3" s="1"/>
  <c r="F758" i="3"/>
  <c r="H758" i="3" s="1"/>
  <c r="F757" i="3"/>
  <c r="H757" i="3" s="1"/>
  <c r="F756" i="3"/>
  <c r="H756" i="3" s="1"/>
  <c r="F755" i="3"/>
  <c r="H755" i="3" s="1"/>
  <c r="F754" i="3"/>
  <c r="H754" i="3" s="1"/>
  <c r="F753" i="3"/>
  <c r="H753" i="3" s="1"/>
  <c r="F752" i="3"/>
  <c r="H752" i="3" s="1"/>
  <c r="F751" i="3"/>
  <c r="H751" i="3" s="1"/>
  <c r="F750" i="3"/>
  <c r="H750" i="3" s="1"/>
  <c r="F749" i="3"/>
  <c r="H749" i="3" s="1"/>
  <c r="F748" i="3"/>
  <c r="H748" i="3" s="1"/>
  <c r="F747" i="3"/>
  <c r="H747" i="3" s="1"/>
  <c r="F746" i="3"/>
  <c r="H746" i="3" s="1"/>
  <c r="F745" i="3"/>
  <c r="H745" i="3" s="1"/>
  <c r="F744" i="3"/>
  <c r="H744" i="3" s="1"/>
  <c r="F743" i="3"/>
  <c r="H743" i="3" s="1"/>
  <c r="F742" i="3"/>
  <c r="H742" i="3" s="1"/>
  <c r="F741" i="3"/>
  <c r="H741" i="3" s="1"/>
  <c r="F740" i="3"/>
  <c r="H740" i="3" s="1"/>
  <c r="F739" i="3"/>
  <c r="H739" i="3" s="1"/>
  <c r="F738" i="3"/>
  <c r="H738" i="3" s="1"/>
  <c r="F737" i="3"/>
  <c r="H737" i="3" s="1"/>
  <c r="F736" i="3"/>
  <c r="H736" i="3" s="1"/>
  <c r="F735" i="3"/>
  <c r="H735" i="3" s="1"/>
  <c r="F734" i="3"/>
  <c r="H734" i="3" s="1"/>
  <c r="F733" i="3"/>
  <c r="H733" i="3" s="1"/>
  <c r="F732" i="3"/>
  <c r="H732" i="3" s="1"/>
  <c r="H731" i="3"/>
  <c r="H730" i="3"/>
  <c r="H729" i="3"/>
  <c r="G728" i="3"/>
  <c r="H728" i="3" s="1"/>
  <c r="G727" i="3"/>
  <c r="H727" i="3" s="1"/>
  <c r="G726" i="3"/>
  <c r="H726" i="3" s="1"/>
  <c r="G725" i="3"/>
  <c r="H725" i="3" s="1"/>
  <c r="G724" i="3"/>
  <c r="H724" i="3" s="1"/>
  <c r="G723" i="3"/>
  <c r="H723" i="3" s="1"/>
  <c r="F722" i="3"/>
  <c r="H722" i="3" s="1"/>
  <c r="F721" i="3"/>
  <c r="H721" i="3" s="1"/>
  <c r="F720" i="3"/>
  <c r="H720" i="3" s="1"/>
  <c r="F719" i="3"/>
  <c r="H719" i="3" s="1"/>
  <c r="F718" i="3"/>
  <c r="H718" i="3" s="1"/>
  <c r="F717" i="3"/>
  <c r="H717" i="3" s="1"/>
  <c r="F716" i="3"/>
  <c r="H716" i="3" s="1"/>
  <c r="F715" i="3"/>
  <c r="H715" i="3" s="1"/>
  <c r="F714" i="3"/>
  <c r="H714" i="3" s="1"/>
  <c r="F713" i="3"/>
  <c r="H713" i="3" s="1"/>
  <c r="F712" i="3"/>
  <c r="H712" i="3" s="1"/>
  <c r="F711" i="3"/>
  <c r="H711" i="3" s="1"/>
  <c r="F710" i="3"/>
  <c r="H710" i="3" s="1"/>
  <c r="F709" i="3"/>
  <c r="H709" i="3" s="1"/>
  <c r="F708" i="3"/>
  <c r="H708" i="3" s="1"/>
  <c r="F707" i="3"/>
  <c r="H707" i="3" s="1"/>
  <c r="F706" i="3"/>
  <c r="H706" i="3" s="1"/>
  <c r="F705" i="3"/>
  <c r="H705" i="3" s="1"/>
  <c r="F704" i="3"/>
  <c r="H704" i="3" s="1"/>
  <c r="F703" i="3"/>
  <c r="H703" i="3" s="1"/>
  <c r="F702" i="3"/>
  <c r="H702" i="3" s="1"/>
  <c r="F701" i="3"/>
  <c r="H701" i="3" s="1"/>
  <c r="F700" i="3"/>
  <c r="H700" i="3" s="1"/>
  <c r="F699" i="3"/>
  <c r="H699" i="3" s="1"/>
  <c r="F698" i="3"/>
  <c r="H698" i="3" s="1"/>
  <c r="F697" i="3"/>
  <c r="H697" i="3" s="1"/>
  <c r="F696" i="3"/>
  <c r="H696" i="3" s="1"/>
  <c r="F695" i="3"/>
  <c r="H695" i="3" s="1"/>
  <c r="F694" i="3"/>
  <c r="H694" i="3" s="1"/>
  <c r="F693" i="3"/>
  <c r="H693" i="3" s="1"/>
  <c r="F692" i="3"/>
  <c r="H692" i="3" s="1"/>
  <c r="F691" i="3"/>
  <c r="H691" i="3" s="1"/>
  <c r="F690" i="3"/>
  <c r="H690" i="3" s="1"/>
  <c r="F689" i="3"/>
  <c r="H689" i="3" s="1"/>
  <c r="F688" i="3"/>
  <c r="H688" i="3" s="1"/>
  <c r="F687" i="3"/>
  <c r="H687" i="3" s="1"/>
  <c r="F686" i="3"/>
  <c r="H686" i="3" s="1"/>
  <c r="F685" i="3"/>
  <c r="H685" i="3" s="1"/>
  <c r="F684" i="3"/>
  <c r="H684" i="3" s="1"/>
  <c r="F683" i="3"/>
  <c r="H683" i="3" s="1"/>
  <c r="F682" i="3"/>
  <c r="H682" i="3" s="1"/>
  <c r="F681" i="3"/>
  <c r="H681" i="3" s="1"/>
  <c r="F680" i="3"/>
  <c r="H680" i="3" s="1"/>
  <c r="F679" i="3"/>
  <c r="H679" i="3" s="1"/>
  <c r="F678" i="3"/>
  <c r="H678" i="3" s="1"/>
  <c r="H677" i="3"/>
  <c r="H676" i="3"/>
  <c r="H675" i="3"/>
  <c r="G674" i="3"/>
  <c r="H674" i="3" s="1"/>
  <c r="G673" i="3"/>
  <c r="H673" i="3" s="1"/>
  <c r="G672" i="3"/>
  <c r="H672" i="3" s="1"/>
  <c r="G671" i="3"/>
  <c r="H671" i="3" s="1"/>
  <c r="G670" i="3"/>
  <c r="H670" i="3" s="1"/>
  <c r="G669" i="3"/>
  <c r="H669" i="3" s="1"/>
  <c r="F668" i="3"/>
  <c r="H668" i="3" s="1"/>
  <c r="F667" i="3"/>
  <c r="H667" i="3" s="1"/>
  <c r="F666" i="3"/>
  <c r="H666" i="3" s="1"/>
  <c r="F665" i="3"/>
  <c r="H665" i="3" s="1"/>
  <c r="F664" i="3"/>
  <c r="H664" i="3" s="1"/>
  <c r="H663" i="3"/>
  <c r="H662" i="3"/>
  <c r="F661" i="3"/>
  <c r="H661" i="3" s="1"/>
  <c r="F660" i="3"/>
  <c r="H660" i="3" s="1"/>
  <c r="H659" i="3"/>
  <c r="H658" i="3"/>
  <c r="F657" i="3"/>
  <c r="H657" i="3" s="1"/>
  <c r="F656" i="3"/>
  <c r="H656" i="3" s="1"/>
  <c r="F655" i="3"/>
  <c r="H655" i="3" s="1"/>
  <c r="H654" i="3"/>
  <c r="H653" i="3"/>
  <c r="F652" i="3"/>
  <c r="H652" i="3" s="1"/>
  <c r="F651" i="3"/>
  <c r="H651" i="3" s="1"/>
  <c r="F650" i="3"/>
  <c r="H650" i="3" s="1"/>
  <c r="H649" i="3"/>
  <c r="H648" i="3"/>
  <c r="F647" i="3"/>
  <c r="H647" i="3" s="1"/>
  <c r="F646" i="3"/>
  <c r="H646" i="3" s="1"/>
  <c r="F645" i="3"/>
  <c r="H645" i="3" s="1"/>
  <c r="H644" i="3"/>
  <c r="H643" i="3"/>
  <c r="F642" i="3"/>
  <c r="H642" i="3" s="1"/>
  <c r="F641" i="3"/>
  <c r="H641" i="3" s="1"/>
  <c r="F640" i="3"/>
  <c r="H640" i="3" s="1"/>
  <c r="H639" i="3"/>
  <c r="H638" i="3"/>
  <c r="F637" i="3"/>
  <c r="H637" i="3" s="1"/>
  <c r="F636" i="3"/>
  <c r="H636" i="3" s="1"/>
  <c r="F635" i="3"/>
  <c r="H635" i="3" s="1"/>
  <c r="H634" i="3"/>
  <c r="H633" i="3"/>
  <c r="F632" i="3"/>
  <c r="H632" i="3" s="1"/>
  <c r="F631" i="3"/>
  <c r="H631" i="3" s="1"/>
  <c r="H630" i="3"/>
  <c r="H629" i="3"/>
  <c r="F628" i="3"/>
  <c r="H628" i="3" s="1"/>
  <c r="F627" i="3"/>
  <c r="H627" i="3" s="1"/>
  <c r="F626" i="3"/>
  <c r="H626" i="3" s="1"/>
  <c r="H625" i="3"/>
  <c r="H624" i="3"/>
  <c r="F623" i="3"/>
  <c r="H623" i="3" s="1"/>
  <c r="F622" i="3"/>
  <c r="H622" i="3" s="1"/>
  <c r="F621" i="3"/>
  <c r="H621" i="3" s="1"/>
  <c r="H620" i="3"/>
  <c r="H619" i="3"/>
  <c r="F618" i="3"/>
  <c r="H618" i="3" s="1"/>
  <c r="F617" i="3"/>
  <c r="H617" i="3" s="1"/>
  <c r="F616" i="3"/>
  <c r="H616" i="3" s="1"/>
  <c r="H615" i="3"/>
  <c r="H614" i="3"/>
  <c r="F613" i="3"/>
  <c r="H613" i="3" s="1"/>
  <c r="F612" i="3"/>
  <c r="H612" i="3" s="1"/>
  <c r="F611" i="3"/>
  <c r="H611" i="3" s="1"/>
  <c r="H610" i="3"/>
  <c r="H609" i="3"/>
  <c r="F608" i="3"/>
  <c r="H608" i="3" s="1"/>
  <c r="F607" i="3"/>
  <c r="H607" i="3" s="1"/>
  <c r="F606" i="3"/>
  <c r="H606" i="3" s="1"/>
  <c r="H605" i="3"/>
  <c r="H604" i="3"/>
  <c r="F603" i="3"/>
  <c r="H603" i="3" s="1"/>
  <c r="F602" i="3"/>
  <c r="H602" i="3" s="1"/>
  <c r="H601" i="3"/>
  <c r="H600" i="3"/>
  <c r="F599" i="3"/>
  <c r="H599" i="3" s="1"/>
  <c r="F598" i="3"/>
  <c r="H598" i="3" s="1"/>
  <c r="F597" i="3"/>
  <c r="H597" i="3" s="1"/>
  <c r="H596" i="3"/>
  <c r="H595" i="3"/>
  <c r="F594" i="3"/>
  <c r="H594" i="3" s="1"/>
  <c r="F593" i="3"/>
  <c r="H593" i="3" s="1"/>
  <c r="F592" i="3"/>
  <c r="H592" i="3" s="1"/>
  <c r="H591" i="3"/>
  <c r="H590" i="3"/>
  <c r="G589" i="3"/>
  <c r="H589" i="3" s="1"/>
  <c r="G588" i="3"/>
  <c r="H588" i="3" s="1"/>
  <c r="G587" i="3"/>
  <c r="H587" i="3" s="1"/>
  <c r="H586" i="3"/>
  <c r="H585" i="3"/>
  <c r="H584" i="3"/>
  <c r="F583" i="3"/>
  <c r="H583" i="3" s="1"/>
  <c r="F582" i="3"/>
  <c r="H582" i="3" s="1"/>
  <c r="F581" i="3"/>
  <c r="H581" i="3" s="1"/>
  <c r="H580" i="3"/>
  <c r="H579" i="3"/>
  <c r="F578" i="3"/>
  <c r="H578" i="3" s="1"/>
  <c r="F577" i="3"/>
  <c r="H577" i="3" s="1"/>
  <c r="F576" i="3"/>
  <c r="H576" i="3" s="1"/>
  <c r="H575" i="3"/>
  <c r="H574" i="3"/>
  <c r="F573" i="3"/>
  <c r="H573" i="3" s="1"/>
  <c r="F572" i="3"/>
  <c r="H572" i="3" s="1"/>
  <c r="H571" i="3"/>
  <c r="H570" i="3"/>
  <c r="F569" i="3"/>
  <c r="H569" i="3" s="1"/>
  <c r="F568" i="3"/>
  <c r="H568" i="3" s="1"/>
  <c r="F567" i="3"/>
  <c r="H567" i="3" s="1"/>
  <c r="H566" i="3"/>
  <c r="H565" i="3"/>
  <c r="F564" i="3"/>
  <c r="H564" i="3" s="1"/>
  <c r="F563" i="3"/>
  <c r="H563" i="3" s="1"/>
  <c r="F562" i="3"/>
  <c r="H562" i="3" s="1"/>
  <c r="H561" i="3"/>
  <c r="H560" i="3"/>
  <c r="F559" i="3"/>
  <c r="H559" i="3" s="1"/>
  <c r="F558" i="3"/>
  <c r="H558" i="3" s="1"/>
  <c r="F557" i="3"/>
  <c r="H557" i="3" s="1"/>
  <c r="H556" i="3"/>
  <c r="H555" i="3"/>
  <c r="F554" i="3"/>
  <c r="H554" i="3" s="1"/>
  <c r="F553" i="3"/>
  <c r="H553" i="3" s="1"/>
  <c r="F552" i="3"/>
  <c r="H552" i="3" s="1"/>
  <c r="H551" i="3"/>
  <c r="H550" i="3"/>
  <c r="F549" i="3"/>
  <c r="H549" i="3" s="1"/>
  <c r="F548" i="3"/>
  <c r="H548" i="3" s="1"/>
  <c r="F547" i="3"/>
  <c r="H547" i="3" s="1"/>
  <c r="H546" i="3"/>
  <c r="H545" i="3"/>
  <c r="F544" i="3"/>
  <c r="H544" i="3" s="1"/>
  <c r="F543" i="3"/>
  <c r="H543" i="3" s="1"/>
  <c r="H542" i="3"/>
  <c r="F541" i="3"/>
  <c r="H541" i="3" s="1"/>
  <c r="H540" i="3"/>
  <c r="F539" i="3"/>
  <c r="H539" i="3" s="1"/>
  <c r="F538" i="3"/>
  <c r="H538" i="3" s="1"/>
  <c r="H537" i="3"/>
  <c r="F536" i="3"/>
  <c r="H536" i="3" s="1"/>
  <c r="F535" i="3"/>
  <c r="H535" i="3" s="1"/>
  <c r="H534" i="3"/>
  <c r="F533" i="3"/>
  <c r="H533" i="3" s="1"/>
  <c r="F532" i="3"/>
  <c r="H532" i="3" s="1"/>
  <c r="H531" i="3"/>
  <c r="F530" i="3"/>
  <c r="H530" i="3" s="1"/>
  <c r="H529" i="3"/>
  <c r="F528" i="3"/>
  <c r="H528" i="3" s="1"/>
  <c r="F527" i="3"/>
  <c r="H527" i="3" s="1"/>
  <c r="H526" i="3"/>
  <c r="F525" i="3"/>
  <c r="H525" i="3" s="1"/>
  <c r="F524" i="3"/>
  <c r="H524" i="3" s="1"/>
  <c r="F523" i="3"/>
  <c r="H523" i="3" s="1"/>
  <c r="H522" i="3"/>
  <c r="F521" i="3"/>
  <c r="H521" i="3" s="1"/>
  <c r="F520" i="3"/>
  <c r="H520" i="3" s="1"/>
  <c r="H519" i="3"/>
  <c r="F518" i="3"/>
  <c r="H518" i="3" s="1"/>
  <c r="F517" i="3"/>
  <c r="H517" i="3" s="1"/>
  <c r="F516" i="3"/>
  <c r="H516" i="3" s="1"/>
  <c r="H515" i="3"/>
  <c r="F514" i="3"/>
  <c r="H514" i="3" s="1"/>
  <c r="F513" i="3"/>
  <c r="H513" i="3" s="1"/>
  <c r="H512" i="3"/>
  <c r="F511" i="3"/>
  <c r="H511" i="3" s="1"/>
  <c r="H510" i="3"/>
  <c r="F509" i="3"/>
  <c r="H509" i="3" s="1"/>
  <c r="F508" i="3"/>
  <c r="H508" i="3" s="1"/>
  <c r="H507" i="3"/>
  <c r="F506" i="3"/>
  <c r="H506" i="3" s="1"/>
  <c r="F505" i="3"/>
  <c r="H505" i="3" s="1"/>
  <c r="F504" i="3"/>
  <c r="H504" i="3" s="1"/>
  <c r="H503" i="3"/>
  <c r="F502" i="3"/>
  <c r="H502" i="3" s="1"/>
  <c r="F501" i="3"/>
  <c r="H501" i="3" s="1"/>
  <c r="H500" i="3"/>
  <c r="F499" i="3"/>
  <c r="H499" i="3" s="1"/>
  <c r="F498" i="3"/>
  <c r="H498" i="3" s="1"/>
  <c r="F497" i="3"/>
  <c r="H497" i="3" s="1"/>
  <c r="H496" i="3"/>
  <c r="F495" i="3"/>
  <c r="H495" i="3" s="1"/>
  <c r="F494" i="3"/>
  <c r="H494" i="3" s="1"/>
  <c r="H493" i="3"/>
  <c r="F492" i="3"/>
  <c r="H492" i="3" s="1"/>
  <c r="F491" i="3"/>
  <c r="H491" i="3" s="1"/>
  <c r="H490" i="3"/>
  <c r="F489" i="3"/>
  <c r="H489" i="3" s="1"/>
  <c r="F488" i="3"/>
  <c r="H488" i="3" s="1"/>
  <c r="H487" i="3"/>
  <c r="F486" i="3"/>
  <c r="H486" i="3" s="1"/>
  <c r="F485" i="3"/>
  <c r="H485" i="3" s="1"/>
  <c r="H484" i="3"/>
  <c r="F483" i="3"/>
  <c r="H483" i="3" s="1"/>
  <c r="H482" i="3"/>
  <c r="F481" i="3"/>
  <c r="H481" i="3" s="1"/>
  <c r="H480" i="3"/>
  <c r="F479" i="3"/>
  <c r="H479" i="3" s="1"/>
  <c r="H478" i="3"/>
  <c r="F477" i="3"/>
  <c r="H477" i="3" s="1"/>
  <c r="H476" i="3"/>
  <c r="F475" i="3"/>
  <c r="H475" i="3" s="1"/>
  <c r="H474" i="3"/>
  <c r="F473" i="3"/>
  <c r="H473" i="3" s="1"/>
  <c r="H472" i="3"/>
  <c r="F471" i="3"/>
  <c r="H471" i="3" s="1"/>
  <c r="H470" i="3"/>
  <c r="F469" i="3"/>
  <c r="H469" i="3" s="1"/>
  <c r="H468" i="3"/>
  <c r="F467" i="3"/>
  <c r="H467" i="3" s="1"/>
  <c r="H466" i="3"/>
  <c r="F465" i="3"/>
  <c r="H465" i="3" s="1"/>
  <c r="H464" i="3"/>
  <c r="F463" i="3"/>
  <c r="H463" i="3" s="1"/>
  <c r="H462" i="3"/>
  <c r="F461" i="3"/>
  <c r="H461" i="3" s="1"/>
  <c r="H460" i="3"/>
  <c r="F459" i="3"/>
  <c r="H459" i="3" s="1"/>
  <c r="H458" i="3"/>
  <c r="F457" i="3"/>
  <c r="H457" i="3" s="1"/>
  <c r="H456" i="3"/>
  <c r="F455" i="3"/>
  <c r="H455" i="3" s="1"/>
  <c r="H454" i="3"/>
  <c r="F453" i="3"/>
  <c r="H453" i="3" s="1"/>
  <c r="H452" i="3"/>
  <c r="F451" i="3"/>
  <c r="H451" i="3" s="1"/>
  <c r="H450" i="3"/>
  <c r="F449" i="3"/>
  <c r="H449" i="3" s="1"/>
  <c r="H448" i="3"/>
  <c r="F447" i="3"/>
  <c r="H447" i="3" s="1"/>
  <c r="H446" i="3"/>
  <c r="F445" i="3"/>
  <c r="H445" i="3" s="1"/>
  <c r="H444" i="3"/>
  <c r="F443" i="3"/>
  <c r="H443" i="3" s="1"/>
  <c r="H442" i="3"/>
  <c r="F441" i="3"/>
  <c r="H441" i="3" s="1"/>
  <c r="H440" i="3"/>
  <c r="F439" i="3"/>
  <c r="H439" i="3" s="1"/>
  <c r="H438" i="3"/>
  <c r="F437" i="3"/>
  <c r="H437" i="3" s="1"/>
  <c r="H436" i="3"/>
  <c r="F435" i="3"/>
  <c r="H435" i="3" s="1"/>
  <c r="H434" i="3"/>
  <c r="F433" i="3"/>
  <c r="H433" i="3" s="1"/>
  <c r="H432" i="3"/>
  <c r="F431" i="3"/>
  <c r="H431" i="3" s="1"/>
  <c r="H430" i="3"/>
  <c r="F429" i="3"/>
  <c r="H429" i="3" s="1"/>
  <c r="H428" i="3"/>
  <c r="F427" i="3"/>
  <c r="H427" i="3" s="1"/>
  <c r="H426" i="3"/>
  <c r="F425" i="3"/>
  <c r="H425" i="3" s="1"/>
  <c r="H424" i="3"/>
  <c r="F423" i="3"/>
  <c r="H423" i="3" s="1"/>
  <c r="H422" i="3"/>
  <c r="F421" i="3"/>
  <c r="H421" i="3" s="1"/>
  <c r="H420" i="3"/>
  <c r="F419" i="3"/>
  <c r="H419" i="3" s="1"/>
  <c r="H418" i="3"/>
  <c r="F417" i="3"/>
  <c r="H417" i="3" s="1"/>
  <c r="H416" i="3"/>
  <c r="F415" i="3"/>
  <c r="H415" i="3" s="1"/>
  <c r="H414" i="3"/>
  <c r="F413" i="3"/>
  <c r="H413" i="3" s="1"/>
  <c r="H412" i="3"/>
  <c r="F411" i="3"/>
  <c r="H411" i="3" s="1"/>
  <c r="H410" i="3"/>
  <c r="F409" i="3"/>
  <c r="H409" i="3" s="1"/>
  <c r="H408" i="3"/>
  <c r="F407" i="3"/>
  <c r="H407" i="3" s="1"/>
  <c r="H406" i="3"/>
  <c r="F405" i="3"/>
  <c r="H405" i="3" s="1"/>
  <c r="H404" i="3"/>
  <c r="F403" i="3"/>
  <c r="H403" i="3" s="1"/>
  <c r="H402" i="3"/>
  <c r="F401" i="3"/>
  <c r="H401" i="3" s="1"/>
  <c r="H400" i="3"/>
  <c r="F399" i="3"/>
  <c r="H399" i="3" s="1"/>
  <c r="H398" i="3"/>
  <c r="F397" i="3"/>
  <c r="H397" i="3" s="1"/>
  <c r="H396" i="3"/>
  <c r="F395" i="3"/>
  <c r="H395" i="3" s="1"/>
  <c r="H394" i="3"/>
  <c r="F393" i="3"/>
  <c r="H393" i="3" s="1"/>
  <c r="H392" i="3"/>
  <c r="F391" i="3"/>
  <c r="H391" i="3" s="1"/>
  <c r="H390" i="3"/>
  <c r="H389" i="3"/>
  <c r="F388" i="3"/>
  <c r="H388" i="3" s="1"/>
  <c r="F387" i="3"/>
  <c r="H387" i="3" s="1"/>
  <c r="H386" i="3"/>
  <c r="H385" i="3"/>
  <c r="F384" i="3"/>
  <c r="H384" i="3" s="1"/>
  <c r="F383" i="3"/>
  <c r="H383" i="3" s="1"/>
  <c r="H382" i="3"/>
  <c r="H381" i="3"/>
  <c r="F380" i="3"/>
  <c r="H380" i="3" s="1"/>
  <c r="F379" i="3"/>
  <c r="H379" i="3" s="1"/>
  <c r="H378" i="3"/>
  <c r="H377" i="3"/>
  <c r="F376" i="3"/>
  <c r="H376" i="3" s="1"/>
  <c r="F375" i="3"/>
  <c r="H375" i="3" s="1"/>
  <c r="H374" i="3"/>
  <c r="H373" i="3"/>
  <c r="F372" i="3"/>
  <c r="H372" i="3" s="1"/>
  <c r="F371" i="3"/>
  <c r="H371" i="3" s="1"/>
  <c r="H370" i="3"/>
  <c r="H369" i="3"/>
  <c r="F368" i="3"/>
  <c r="H368" i="3" s="1"/>
  <c r="F367" i="3"/>
  <c r="H367" i="3" s="1"/>
  <c r="H366" i="3"/>
  <c r="H365" i="3"/>
  <c r="F364" i="3"/>
  <c r="H364" i="3" s="1"/>
  <c r="F363" i="3"/>
  <c r="H363" i="3" s="1"/>
  <c r="H362" i="3"/>
  <c r="H361" i="3"/>
  <c r="F360" i="3"/>
  <c r="H360" i="3" s="1"/>
  <c r="F359" i="3"/>
  <c r="H359" i="3" s="1"/>
  <c r="H358" i="3"/>
  <c r="H357" i="3"/>
  <c r="F356" i="3"/>
  <c r="H356" i="3" s="1"/>
  <c r="F355" i="3"/>
  <c r="H355" i="3" s="1"/>
  <c r="H354" i="3"/>
  <c r="H353" i="3"/>
  <c r="F352" i="3"/>
  <c r="H352" i="3" s="1"/>
  <c r="F351" i="3"/>
  <c r="H351" i="3" s="1"/>
  <c r="H350" i="3"/>
  <c r="H349" i="3"/>
  <c r="F348" i="3"/>
  <c r="H348" i="3" s="1"/>
  <c r="F347" i="3"/>
  <c r="H347" i="3" s="1"/>
  <c r="H346" i="3"/>
  <c r="H345" i="3"/>
  <c r="F344" i="3"/>
  <c r="H344" i="3" s="1"/>
  <c r="F343" i="3"/>
  <c r="H343" i="3" s="1"/>
  <c r="H342" i="3"/>
  <c r="H341" i="3"/>
  <c r="F340" i="3"/>
  <c r="H340" i="3" s="1"/>
  <c r="F339" i="3"/>
  <c r="H339" i="3" s="1"/>
  <c r="H338" i="3"/>
  <c r="H337" i="3"/>
  <c r="F336" i="3"/>
  <c r="H336" i="3" s="1"/>
  <c r="F335" i="3"/>
  <c r="H335" i="3" s="1"/>
  <c r="H334" i="3"/>
  <c r="H333" i="3"/>
  <c r="F332" i="3"/>
  <c r="H332" i="3" s="1"/>
  <c r="F331" i="3"/>
  <c r="H331" i="3" s="1"/>
  <c r="H330" i="3"/>
  <c r="H329" i="3"/>
  <c r="F328" i="3"/>
  <c r="H328" i="3" s="1"/>
  <c r="F327" i="3"/>
  <c r="H327" i="3" s="1"/>
  <c r="H326" i="3"/>
  <c r="H325" i="3"/>
  <c r="F324" i="3"/>
  <c r="H324" i="3" s="1"/>
  <c r="F323" i="3"/>
  <c r="H323" i="3" s="1"/>
  <c r="H322" i="3"/>
  <c r="H321" i="3"/>
  <c r="F320" i="3"/>
  <c r="H320" i="3" s="1"/>
  <c r="F319" i="3"/>
  <c r="H319" i="3" s="1"/>
  <c r="H318" i="3"/>
  <c r="H317" i="3"/>
  <c r="F316" i="3"/>
  <c r="H316" i="3" s="1"/>
  <c r="F315" i="3"/>
  <c r="H315" i="3" s="1"/>
  <c r="H314" i="3"/>
  <c r="H313" i="3"/>
  <c r="F312" i="3"/>
  <c r="H312" i="3" s="1"/>
  <c r="F311" i="3"/>
  <c r="H311" i="3" s="1"/>
  <c r="H310" i="3"/>
  <c r="H309" i="3"/>
  <c r="F308" i="3"/>
  <c r="H308" i="3" s="1"/>
  <c r="F307" i="3"/>
  <c r="H307" i="3" s="1"/>
  <c r="H306" i="3"/>
  <c r="H305" i="3"/>
  <c r="F304" i="3"/>
  <c r="H304" i="3" s="1"/>
  <c r="F303" i="3"/>
  <c r="H303" i="3" s="1"/>
  <c r="F302" i="3"/>
  <c r="H302" i="3" s="1"/>
  <c r="H301" i="3"/>
  <c r="H300" i="3"/>
  <c r="F299" i="3"/>
  <c r="H299" i="3" s="1"/>
  <c r="F298" i="3"/>
  <c r="H298" i="3" s="1"/>
  <c r="H297" i="3"/>
  <c r="H296" i="3"/>
  <c r="F295" i="3"/>
  <c r="H295" i="3" s="1"/>
  <c r="F294" i="3"/>
  <c r="H294" i="3" s="1"/>
  <c r="F293" i="3"/>
  <c r="H293" i="3" s="1"/>
  <c r="H292" i="3"/>
  <c r="H291" i="3"/>
  <c r="F290" i="3"/>
  <c r="H290" i="3" s="1"/>
  <c r="F289" i="3"/>
  <c r="H289" i="3" s="1"/>
  <c r="F288" i="3"/>
  <c r="H288" i="3" s="1"/>
  <c r="H287" i="3"/>
  <c r="H286" i="3"/>
  <c r="F285" i="3"/>
  <c r="H285" i="3" s="1"/>
  <c r="F284" i="3"/>
  <c r="H284" i="3" s="1"/>
  <c r="H283" i="3"/>
  <c r="H282" i="3"/>
  <c r="F281" i="3"/>
  <c r="H281" i="3" s="1"/>
  <c r="F280" i="3"/>
  <c r="H280" i="3" s="1"/>
  <c r="F279" i="3"/>
  <c r="H279" i="3" s="1"/>
  <c r="H278" i="3"/>
  <c r="H277" i="3"/>
  <c r="F276" i="3"/>
  <c r="H276" i="3" s="1"/>
  <c r="F275" i="3"/>
  <c r="H275" i="3" s="1"/>
  <c r="F274" i="3"/>
  <c r="H274" i="3" s="1"/>
  <c r="H273" i="3"/>
  <c r="H272" i="3"/>
  <c r="F271" i="3"/>
  <c r="H271" i="3" s="1"/>
  <c r="F270" i="3"/>
  <c r="H270" i="3" s="1"/>
  <c r="H269" i="3"/>
  <c r="H268" i="3"/>
  <c r="F267" i="3"/>
  <c r="H267" i="3" s="1"/>
  <c r="F266" i="3"/>
  <c r="H266" i="3" s="1"/>
  <c r="H265" i="3"/>
  <c r="H264" i="3"/>
  <c r="F263" i="3"/>
  <c r="H263" i="3" s="1"/>
  <c r="F262" i="3"/>
  <c r="H262" i="3" s="1"/>
  <c r="F261" i="3"/>
  <c r="H261" i="3" s="1"/>
  <c r="F260" i="3"/>
  <c r="H260" i="3" s="1"/>
  <c r="F259" i="3"/>
  <c r="H259" i="3" s="1"/>
  <c r="F258" i="3"/>
  <c r="H258" i="3" s="1"/>
  <c r="F257" i="3"/>
  <c r="H257" i="3" s="1"/>
  <c r="F256" i="3"/>
  <c r="H256" i="3" s="1"/>
  <c r="H255" i="3"/>
  <c r="H254" i="3"/>
  <c r="F253" i="3"/>
  <c r="H253" i="3" s="1"/>
  <c r="F252" i="3"/>
  <c r="H252" i="3" s="1"/>
  <c r="F251" i="3"/>
  <c r="H251" i="3" s="1"/>
  <c r="F250" i="3"/>
  <c r="H250" i="3" s="1"/>
  <c r="H249" i="3"/>
  <c r="H248" i="3"/>
  <c r="F247" i="3"/>
  <c r="H247" i="3" s="1"/>
  <c r="F246" i="3"/>
  <c r="H246" i="3" s="1"/>
  <c r="F245" i="3"/>
  <c r="H245" i="3" s="1"/>
  <c r="F244" i="3"/>
  <c r="H244" i="3" s="1"/>
  <c r="H243" i="3"/>
  <c r="H242" i="3"/>
  <c r="F241" i="3"/>
  <c r="H241" i="3" s="1"/>
  <c r="F240" i="3"/>
  <c r="H240" i="3" s="1"/>
  <c r="F239" i="3"/>
  <c r="H239" i="3" s="1"/>
  <c r="F238" i="3"/>
  <c r="H238" i="3" s="1"/>
  <c r="H237" i="3"/>
  <c r="H236" i="3"/>
  <c r="F235" i="3"/>
  <c r="H235" i="3" s="1"/>
  <c r="F234" i="3"/>
  <c r="H234" i="3" s="1"/>
  <c r="F233" i="3"/>
  <c r="H233" i="3" s="1"/>
  <c r="F232" i="3"/>
  <c r="H232" i="3" s="1"/>
  <c r="H231" i="3"/>
  <c r="H230" i="3"/>
  <c r="F229" i="3"/>
  <c r="H229" i="3" s="1"/>
  <c r="F228" i="3"/>
  <c r="H228" i="3" s="1"/>
  <c r="F227" i="3"/>
  <c r="H227" i="3" s="1"/>
  <c r="F226" i="3"/>
  <c r="H226" i="3" s="1"/>
  <c r="H225" i="3"/>
  <c r="H224" i="3"/>
  <c r="F223" i="3"/>
  <c r="H223" i="3" s="1"/>
  <c r="F222" i="3"/>
  <c r="H222" i="3" s="1"/>
  <c r="F221" i="3"/>
  <c r="H221" i="3" s="1"/>
  <c r="F220" i="3"/>
  <c r="H220" i="3" s="1"/>
  <c r="H219" i="3"/>
  <c r="H218" i="3"/>
  <c r="F217" i="3"/>
  <c r="H217" i="3" s="1"/>
  <c r="F216" i="3"/>
  <c r="H216" i="3" s="1"/>
  <c r="F215" i="3"/>
  <c r="H215" i="3" s="1"/>
  <c r="F214" i="3"/>
  <c r="H214" i="3" s="1"/>
  <c r="H213" i="3"/>
  <c r="H212" i="3"/>
  <c r="F211" i="3"/>
  <c r="H211" i="3" s="1"/>
  <c r="F210" i="3"/>
  <c r="H210" i="3" s="1"/>
  <c r="F209" i="3"/>
  <c r="H209" i="3" s="1"/>
  <c r="F208" i="3"/>
  <c r="H208" i="3" s="1"/>
  <c r="H207" i="3"/>
  <c r="H206" i="3"/>
  <c r="F205" i="3"/>
  <c r="H205" i="3" s="1"/>
  <c r="F204" i="3"/>
  <c r="H204" i="3" s="1"/>
  <c r="F203" i="3"/>
  <c r="H203" i="3" s="1"/>
  <c r="F202" i="3"/>
  <c r="H202" i="3" s="1"/>
  <c r="H201" i="3"/>
  <c r="H200" i="3"/>
  <c r="F199" i="3"/>
  <c r="H199" i="3" s="1"/>
  <c r="F198" i="3"/>
  <c r="H198" i="3" s="1"/>
  <c r="F197" i="3"/>
  <c r="H197" i="3" s="1"/>
  <c r="F196" i="3"/>
  <c r="H196" i="3" s="1"/>
  <c r="H195" i="3"/>
  <c r="H194" i="3"/>
  <c r="F193" i="3"/>
  <c r="H193" i="3" s="1"/>
  <c r="F192" i="3"/>
  <c r="H192" i="3" s="1"/>
  <c r="H191" i="3"/>
  <c r="F190" i="3"/>
  <c r="H190" i="3" s="1"/>
  <c r="F189" i="3"/>
  <c r="H189" i="3" s="1"/>
  <c r="F188" i="3"/>
  <c r="H188" i="3" s="1"/>
  <c r="H187" i="3"/>
  <c r="F186" i="3"/>
  <c r="H186" i="3" s="1"/>
  <c r="F185" i="3"/>
  <c r="H185" i="3" s="1"/>
  <c r="F184" i="3"/>
  <c r="H184" i="3" s="1"/>
  <c r="H183" i="3"/>
  <c r="F182" i="3"/>
  <c r="H182" i="3" s="1"/>
  <c r="F181" i="3"/>
  <c r="H181" i="3" s="1"/>
  <c r="F180" i="3"/>
  <c r="H180" i="3" s="1"/>
  <c r="H179" i="3"/>
  <c r="F178" i="3"/>
  <c r="H178" i="3" s="1"/>
  <c r="F177" i="3"/>
  <c r="H177" i="3" s="1"/>
  <c r="F176" i="3"/>
  <c r="H176" i="3" s="1"/>
  <c r="H175" i="3"/>
  <c r="F174" i="3"/>
  <c r="H174" i="3" s="1"/>
  <c r="F173" i="3"/>
  <c r="H173" i="3" s="1"/>
  <c r="F172" i="3"/>
  <c r="H172" i="3" s="1"/>
  <c r="H171" i="3"/>
  <c r="H170" i="3"/>
  <c r="H169" i="3"/>
  <c r="H168" i="3"/>
  <c r="F167" i="3"/>
  <c r="H167" i="3" s="1"/>
  <c r="H166" i="3"/>
  <c r="H165" i="3"/>
  <c r="H164" i="3"/>
  <c r="H163" i="3"/>
  <c r="F162" i="3"/>
  <c r="H162" i="3" s="1"/>
  <c r="H161" i="3"/>
  <c r="H160" i="3"/>
  <c r="H159" i="3"/>
  <c r="H158" i="3"/>
  <c r="F157" i="3"/>
  <c r="H157" i="3" s="1"/>
  <c r="H156" i="3"/>
  <c r="H155" i="3"/>
  <c r="H154" i="3"/>
  <c r="H153" i="3"/>
  <c r="F152" i="3"/>
  <c r="H152" i="3" s="1"/>
  <c r="H151" i="3"/>
  <c r="H150" i="3"/>
  <c r="H149" i="3"/>
  <c r="H148" i="3"/>
  <c r="F147" i="3"/>
  <c r="H147" i="3" s="1"/>
  <c r="H146" i="3"/>
  <c r="H145" i="3"/>
  <c r="H144" i="3"/>
  <c r="H143" i="3"/>
  <c r="H142" i="3"/>
  <c r="F141" i="3"/>
  <c r="H141" i="3" s="1"/>
  <c r="F140" i="3"/>
  <c r="H140" i="3" s="1"/>
  <c r="H139" i="3"/>
  <c r="H138" i="3"/>
  <c r="H137" i="3"/>
  <c r="H136" i="3"/>
  <c r="H135" i="3"/>
  <c r="F134" i="3"/>
  <c r="H134" i="3" s="1"/>
  <c r="F133" i="3"/>
  <c r="H133" i="3" s="1"/>
  <c r="H132" i="3"/>
  <c r="H131" i="3"/>
  <c r="H130" i="3"/>
  <c r="H129" i="3"/>
  <c r="H128" i="3"/>
  <c r="F127" i="3"/>
  <c r="H127" i="3" s="1"/>
  <c r="F126" i="3"/>
  <c r="H126" i="3" s="1"/>
  <c r="H125" i="3"/>
  <c r="H124" i="3"/>
  <c r="H123" i="3"/>
  <c r="H122" i="3"/>
  <c r="H121" i="3"/>
  <c r="F120" i="3"/>
  <c r="H120" i="3" s="1"/>
  <c r="F119" i="3"/>
  <c r="H119" i="3" s="1"/>
  <c r="H118" i="3"/>
  <c r="H117" i="3"/>
  <c r="H116" i="3"/>
  <c r="H115" i="3"/>
  <c r="H114" i="3"/>
  <c r="F113" i="3"/>
  <c r="H113" i="3" s="1"/>
  <c r="F112" i="3"/>
  <c r="H112" i="3" s="1"/>
  <c r="H111" i="3"/>
  <c r="F110" i="3"/>
  <c r="H110" i="3" s="1"/>
  <c r="F109" i="3"/>
  <c r="H109" i="3" s="1"/>
  <c r="F108" i="3"/>
  <c r="H108" i="3" s="1"/>
  <c r="H107" i="3"/>
  <c r="F106" i="3"/>
  <c r="H106" i="3" s="1"/>
  <c r="F105" i="3"/>
  <c r="H105" i="3" s="1"/>
  <c r="H104" i="3"/>
  <c r="F103" i="3"/>
  <c r="H103" i="3" s="1"/>
  <c r="F102" i="3"/>
  <c r="H102" i="3" s="1"/>
  <c r="H101" i="3"/>
  <c r="F100" i="3"/>
  <c r="H100" i="3" s="1"/>
  <c r="F99" i="3"/>
  <c r="H99" i="3" s="1"/>
  <c r="H98" i="3"/>
  <c r="F97" i="3"/>
  <c r="H97" i="3" s="1"/>
  <c r="F96" i="3"/>
  <c r="H96" i="3" s="1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3" i="3"/>
  <c r="F72" i="3"/>
  <c r="H72" i="3" s="1"/>
  <c r="F71" i="3"/>
  <c r="H71" i="3" s="1"/>
  <c r="H70" i="3"/>
  <c r="H69" i="3"/>
  <c r="G68" i="3"/>
  <c r="H68" i="3" s="1"/>
  <c r="G67" i="3"/>
  <c r="H67" i="3" s="1"/>
  <c r="H66" i="3"/>
  <c r="F65" i="3"/>
  <c r="H65" i="3" s="1"/>
  <c r="F64" i="3"/>
  <c r="H64" i="3" s="1"/>
  <c r="H63" i="3"/>
  <c r="F62" i="3"/>
  <c r="H62" i="3" s="1"/>
  <c r="F61" i="3"/>
  <c r="H61" i="3" s="1"/>
  <c r="H60" i="3"/>
  <c r="F59" i="3"/>
  <c r="H59" i="3" s="1"/>
  <c r="F58" i="3"/>
  <c r="H58" i="3" s="1"/>
  <c r="H57" i="3"/>
  <c r="F56" i="3"/>
  <c r="H56" i="3" s="1"/>
  <c r="F55" i="3"/>
  <c r="H55" i="3" s="1"/>
  <c r="H54" i="3"/>
  <c r="H53" i="3"/>
  <c r="G52" i="3"/>
  <c r="H52" i="3" s="1"/>
  <c r="G51" i="3"/>
  <c r="H51" i="3" s="1"/>
  <c r="H50" i="3"/>
  <c r="H49" i="3"/>
  <c r="G48" i="3"/>
  <c r="H48" i="3" s="1"/>
  <c r="G47" i="3"/>
  <c r="H47" i="3" s="1"/>
  <c r="H46" i="3"/>
  <c r="H45" i="3"/>
  <c r="G44" i="3"/>
  <c r="H44" i="3" s="1"/>
  <c r="G43" i="3"/>
  <c r="H43" i="3" s="1"/>
  <c r="H42" i="3"/>
  <c r="H41" i="3"/>
  <c r="G40" i="3"/>
  <c r="H40" i="3" s="1"/>
  <c r="G39" i="3"/>
  <c r="H39" i="3" s="1"/>
  <c r="H38" i="3"/>
  <c r="H37" i="3"/>
  <c r="G36" i="3"/>
  <c r="H36" i="3" s="1"/>
  <c r="G35" i="3"/>
  <c r="H35" i="3" s="1"/>
  <c r="D1255" i="3" l="1"/>
  <c r="D1205" i="3"/>
  <c r="R1193" i="3"/>
  <c r="N1193" i="3"/>
  <c r="J1193" i="3"/>
  <c r="Q1193" i="3"/>
  <c r="M1193" i="3"/>
  <c r="I1193" i="3"/>
  <c r="T1193" i="3"/>
  <c r="P1193" i="3"/>
  <c r="K1193" i="3"/>
  <c r="L1193" i="3"/>
  <c r="S1193" i="3"/>
  <c r="O1193" i="3"/>
  <c r="S1205" i="3"/>
  <c r="O1205" i="3"/>
  <c r="K1205" i="3"/>
  <c r="I1205" i="3"/>
  <c r="R1205" i="3"/>
  <c r="N1205" i="3"/>
  <c r="J1205" i="3"/>
  <c r="Q1205" i="3"/>
  <c r="M1205" i="3"/>
  <c r="T1205" i="3"/>
  <c r="P1205" i="3"/>
  <c r="L1205" i="3"/>
  <c r="T1212" i="3"/>
  <c r="BA6" i="11" s="1" a="1"/>
  <c r="P1212" i="3"/>
  <c r="AW6" i="11" s="1" a="1"/>
  <c r="L1212" i="3"/>
  <c r="AS6" i="11" s="1" a="1"/>
  <c r="S1212" i="3"/>
  <c r="AZ6" i="11" s="1" a="1"/>
  <c r="K1212" i="3"/>
  <c r="AR6" i="11" s="1" a="1"/>
  <c r="O1212" i="3"/>
  <c r="AV6" i="11" s="1" a="1"/>
  <c r="R1212" i="3"/>
  <c r="AY6" i="11" s="1" a="1"/>
  <c r="N1212" i="3"/>
  <c r="AU6" i="11" s="1" a="1"/>
  <c r="J1212" i="3"/>
  <c r="AQ6" i="11" s="1" a="1"/>
  <c r="I1212" i="3"/>
  <c r="AP6" i="11" s="1" a="1"/>
  <c r="Q1212" i="3"/>
  <c r="AX6" i="11" s="1" a="1"/>
  <c r="M1212" i="3"/>
  <c r="AT6" i="11" s="1" a="1"/>
  <c r="T1219" i="3"/>
  <c r="P1219" i="3"/>
  <c r="S1219" i="3"/>
  <c r="K1219" i="3"/>
  <c r="R1219" i="3"/>
  <c r="N1219" i="3"/>
  <c r="J1219" i="3"/>
  <c r="L1219" i="3"/>
  <c r="O1219" i="3"/>
  <c r="I1219" i="3"/>
  <c r="Q1219" i="3"/>
  <c r="M1219" i="3"/>
  <c r="S1218" i="3"/>
  <c r="T1218" i="3"/>
  <c r="L1218" i="3"/>
  <c r="O1218" i="3"/>
  <c r="K1218" i="3"/>
  <c r="P1218" i="3"/>
  <c r="R1218" i="3"/>
  <c r="N1218" i="3"/>
  <c r="J1218" i="3"/>
  <c r="I1218" i="3"/>
  <c r="Q1218" i="3"/>
  <c r="M1218" i="3"/>
  <c r="T1217" i="3"/>
  <c r="BA40" i="11" s="1" a="1"/>
  <c r="P1217" i="3"/>
  <c r="AW40" i="11" s="1" a="1"/>
  <c r="L1217" i="3"/>
  <c r="AS40" i="11" s="1" a="1"/>
  <c r="O1217" i="3"/>
  <c r="AV40" i="11" s="1" a="1"/>
  <c r="K1217" i="3"/>
  <c r="AR40" i="11" s="1" a="1"/>
  <c r="S1217" i="3"/>
  <c r="AZ40" i="11" s="1" a="1"/>
  <c r="R1217" i="3"/>
  <c r="AY40" i="11" s="1" a="1"/>
  <c r="N1217" i="3"/>
  <c r="AU40" i="11" s="1" a="1"/>
  <c r="J1217" i="3"/>
  <c r="AQ40" i="11" s="1" a="1"/>
  <c r="I1217" i="3"/>
  <c r="AP40" i="11" s="1" a="1"/>
  <c r="Q1217" i="3"/>
  <c r="AX40" i="11" s="1" a="1"/>
  <c r="M1217" i="3"/>
  <c r="AT40" i="11" s="1" a="1"/>
  <c r="T1216" i="3"/>
  <c r="P1216" i="3"/>
  <c r="L1216" i="3"/>
  <c r="S1216" i="3"/>
  <c r="R1216" i="3"/>
  <c r="N1216" i="3"/>
  <c r="J1216" i="3"/>
  <c r="O1216" i="3"/>
  <c r="K1216" i="3"/>
  <c r="I1216" i="3"/>
  <c r="Q1216" i="3"/>
  <c r="M1216" i="3"/>
  <c r="O1215" i="3"/>
  <c r="AV29" i="11" s="1" a="1"/>
  <c r="T1215" i="3"/>
  <c r="BA29" i="11" s="1" a="1"/>
  <c r="P1215" i="3"/>
  <c r="AW29" i="11" s="1" a="1"/>
  <c r="L1215" i="3"/>
  <c r="AS29" i="11" s="1" a="1"/>
  <c r="R1215" i="3"/>
  <c r="AY29" i="11" s="1" a="1"/>
  <c r="N1215" i="3"/>
  <c r="AU29" i="11" s="1" a="1"/>
  <c r="J1215" i="3"/>
  <c r="AQ29" i="11" s="1" a="1"/>
  <c r="S1215" i="3"/>
  <c r="AZ29" i="11" s="1" a="1"/>
  <c r="K1215" i="3"/>
  <c r="AR29" i="11" s="1" a="1"/>
  <c r="I1215" i="3"/>
  <c r="AP29" i="11" s="1" a="1"/>
  <c r="Q1215" i="3"/>
  <c r="AX29" i="11" s="1" a="1"/>
  <c r="M1215" i="3"/>
  <c r="AT29" i="11" s="1" a="1"/>
  <c r="S1214" i="3"/>
  <c r="T1214" i="3"/>
  <c r="L1214" i="3"/>
  <c r="O1214" i="3"/>
  <c r="K1214" i="3"/>
  <c r="P1214" i="3"/>
  <c r="R1214" i="3"/>
  <c r="N1214" i="3"/>
  <c r="J1214" i="3"/>
  <c r="I1214" i="3"/>
  <c r="Q1214" i="3"/>
  <c r="M1214" i="3"/>
  <c r="O1213" i="3"/>
  <c r="T1213" i="3"/>
  <c r="P1213" i="3"/>
  <c r="L1213" i="3"/>
  <c r="S1213" i="3"/>
  <c r="R1213" i="3"/>
  <c r="N1213" i="3"/>
  <c r="J1213" i="3"/>
  <c r="K1213" i="3"/>
  <c r="I1213" i="3"/>
  <c r="Q1213" i="3"/>
  <c r="M1213" i="3"/>
  <c r="Q1220" i="3"/>
  <c r="P1220" i="3"/>
  <c r="M1220" i="3"/>
  <c r="T1220" i="3"/>
  <c r="I1220" i="3"/>
  <c r="S1220" i="3"/>
  <c r="O1220" i="3"/>
  <c r="L1220" i="3"/>
  <c r="K1220" i="3"/>
  <c r="R1220" i="3"/>
  <c r="J1220" i="3"/>
  <c r="N1220" i="3"/>
  <c r="M1229" i="3"/>
  <c r="Q1229" i="3"/>
  <c r="P1229" i="3"/>
  <c r="L1229" i="3"/>
  <c r="S1229" i="3"/>
  <c r="K1229" i="3"/>
  <c r="O1229" i="3"/>
  <c r="T1229" i="3"/>
  <c r="I1229" i="3"/>
  <c r="N1229" i="3"/>
  <c r="R1229" i="3"/>
  <c r="J1229" i="3"/>
  <c r="P1228" i="3"/>
  <c r="M1228" i="3"/>
  <c r="Q1228" i="3"/>
  <c r="S1228" i="3"/>
  <c r="T1228" i="3"/>
  <c r="O1228" i="3"/>
  <c r="L1228" i="3"/>
  <c r="I1228" i="3"/>
  <c r="K1228" i="3"/>
  <c r="R1228" i="3"/>
  <c r="J1228" i="3"/>
  <c r="N1228" i="3"/>
  <c r="Q1227" i="3"/>
  <c r="T1227" i="3"/>
  <c r="L1227" i="3"/>
  <c r="M1227" i="3"/>
  <c r="S1227" i="3"/>
  <c r="O1227" i="3"/>
  <c r="I1227" i="3"/>
  <c r="P1227" i="3"/>
  <c r="K1227" i="3"/>
  <c r="R1227" i="3"/>
  <c r="J1227" i="3"/>
  <c r="N1227" i="3"/>
  <c r="T1226" i="3"/>
  <c r="L1226" i="3"/>
  <c r="Q1226" i="3"/>
  <c r="P1226" i="3"/>
  <c r="O1226" i="3"/>
  <c r="I1226" i="3"/>
  <c r="K1226" i="3"/>
  <c r="M1226" i="3"/>
  <c r="S1226" i="3"/>
  <c r="N1226" i="3"/>
  <c r="R1226" i="3"/>
  <c r="J1226" i="3"/>
  <c r="P1225" i="3"/>
  <c r="Q1225" i="3"/>
  <c r="T1225" i="3"/>
  <c r="I1225" i="3"/>
  <c r="M1225" i="3"/>
  <c r="L1225" i="3"/>
  <c r="K1225" i="3"/>
  <c r="S1225" i="3"/>
  <c r="O1225" i="3"/>
  <c r="N1225" i="3"/>
  <c r="R1225" i="3"/>
  <c r="J1225" i="3"/>
  <c r="Q1224" i="3"/>
  <c r="P1224" i="3"/>
  <c r="M1224" i="3"/>
  <c r="O1224" i="3"/>
  <c r="L1224" i="3"/>
  <c r="I1224" i="3"/>
  <c r="K1224" i="3"/>
  <c r="S1224" i="3"/>
  <c r="T1224" i="3"/>
  <c r="R1224" i="3"/>
  <c r="J1224" i="3"/>
  <c r="N1224" i="3"/>
  <c r="M1223" i="3"/>
  <c r="T1223" i="3"/>
  <c r="L1223" i="3"/>
  <c r="Q1223" i="3"/>
  <c r="P1223" i="3"/>
  <c r="I1223" i="3"/>
  <c r="K1223" i="3"/>
  <c r="S1223" i="3"/>
  <c r="O1223" i="3"/>
  <c r="R1223" i="3"/>
  <c r="J1223" i="3"/>
  <c r="N1223" i="3"/>
  <c r="M1222" i="3"/>
  <c r="T1222" i="3"/>
  <c r="L1222" i="3"/>
  <c r="Q1222" i="3"/>
  <c r="K1222" i="3"/>
  <c r="P1222" i="3"/>
  <c r="I1222" i="3"/>
  <c r="S1222" i="3"/>
  <c r="O1222" i="3"/>
  <c r="N1222" i="3"/>
  <c r="R1222" i="3"/>
  <c r="J1222" i="3"/>
  <c r="Q1221" i="3"/>
  <c r="P1221" i="3"/>
  <c r="M1221" i="3"/>
  <c r="L1221" i="3"/>
  <c r="S1221" i="3"/>
  <c r="O1221" i="3"/>
  <c r="K1221" i="3"/>
  <c r="T1221" i="3"/>
  <c r="I1221" i="3"/>
  <c r="N1221" i="3"/>
  <c r="R1221" i="3"/>
  <c r="J1221" i="3"/>
  <c r="I1238" i="3"/>
  <c r="O1238" i="3"/>
  <c r="R1238" i="3"/>
  <c r="J1238" i="3"/>
  <c r="S1238" i="3"/>
  <c r="K1238" i="3"/>
  <c r="M1238" i="3"/>
  <c r="N1238" i="3"/>
  <c r="Q1238" i="3"/>
  <c r="P1238" i="3"/>
  <c r="T1238" i="3"/>
  <c r="L1238" i="3"/>
  <c r="R1247" i="3"/>
  <c r="I1247" i="3"/>
  <c r="O1247" i="3"/>
  <c r="J1247" i="3"/>
  <c r="S1247" i="3"/>
  <c r="K1247" i="3"/>
  <c r="Q1247" i="3"/>
  <c r="M1247" i="3"/>
  <c r="N1247" i="3"/>
  <c r="T1247" i="3"/>
  <c r="L1247" i="3"/>
  <c r="P1247" i="3"/>
  <c r="I1246" i="3"/>
  <c r="O1246" i="3"/>
  <c r="J1246" i="3"/>
  <c r="R1246" i="3"/>
  <c r="S1246" i="3"/>
  <c r="K1246" i="3"/>
  <c r="N1246" i="3"/>
  <c r="M1246" i="3"/>
  <c r="Q1246" i="3"/>
  <c r="P1246" i="3"/>
  <c r="T1246" i="3"/>
  <c r="L1246" i="3"/>
  <c r="S1245" i="3"/>
  <c r="K1245" i="3"/>
  <c r="N1245" i="3"/>
  <c r="I1245" i="3"/>
  <c r="O1245" i="3"/>
  <c r="J1245" i="3"/>
  <c r="M1245" i="3"/>
  <c r="R1245" i="3"/>
  <c r="Q1245" i="3"/>
  <c r="P1245" i="3"/>
  <c r="T1245" i="3"/>
  <c r="L1245" i="3"/>
  <c r="S1244" i="3"/>
  <c r="K1244" i="3"/>
  <c r="N1244" i="3"/>
  <c r="I1244" i="3"/>
  <c r="O1244" i="3"/>
  <c r="R1244" i="3"/>
  <c r="Q1244" i="3"/>
  <c r="J1244" i="3"/>
  <c r="M1244" i="3"/>
  <c r="T1244" i="3"/>
  <c r="L1244" i="3"/>
  <c r="P1244" i="3"/>
  <c r="I1243" i="3"/>
  <c r="O1243" i="3"/>
  <c r="R1243" i="3"/>
  <c r="J1243" i="3"/>
  <c r="S1243" i="3"/>
  <c r="K1243" i="3"/>
  <c r="Q1243" i="3"/>
  <c r="N1243" i="3"/>
  <c r="M1243" i="3"/>
  <c r="T1243" i="3"/>
  <c r="L1243" i="3"/>
  <c r="P1243" i="3"/>
  <c r="I1242" i="3"/>
  <c r="O1242" i="3"/>
  <c r="R1242" i="3"/>
  <c r="J1242" i="3"/>
  <c r="S1242" i="3"/>
  <c r="K1242" i="3"/>
  <c r="N1242" i="3"/>
  <c r="M1242" i="3"/>
  <c r="Q1242" i="3"/>
  <c r="P1242" i="3"/>
  <c r="T1242" i="3"/>
  <c r="L1242" i="3"/>
  <c r="S1241" i="3"/>
  <c r="K1241" i="3"/>
  <c r="N1241" i="3"/>
  <c r="I1241" i="3"/>
  <c r="O1241" i="3"/>
  <c r="R1241" i="3"/>
  <c r="M1241" i="3"/>
  <c r="J1241" i="3"/>
  <c r="Q1241" i="3"/>
  <c r="P1241" i="3"/>
  <c r="T1241" i="3"/>
  <c r="L1241" i="3"/>
  <c r="S1240" i="3"/>
  <c r="K1240" i="3"/>
  <c r="N1240" i="3"/>
  <c r="I1240" i="3"/>
  <c r="O1240" i="3"/>
  <c r="J1240" i="3"/>
  <c r="Q1240" i="3"/>
  <c r="R1240" i="3"/>
  <c r="M1240" i="3"/>
  <c r="T1240" i="3"/>
  <c r="L1240" i="3"/>
  <c r="P1240" i="3"/>
  <c r="I1239" i="3"/>
  <c r="O1239" i="3"/>
  <c r="R1239" i="3"/>
  <c r="J1239" i="3"/>
  <c r="S1239" i="3"/>
  <c r="K1239" i="3"/>
  <c r="N1239" i="3"/>
  <c r="Q1239" i="3"/>
  <c r="M1239" i="3"/>
  <c r="T1239" i="3"/>
  <c r="L1239" i="3"/>
  <c r="P1239" i="3"/>
  <c r="F219" i="17"/>
  <c r="J219" i="17"/>
  <c r="N219" i="17"/>
  <c r="I219" i="17"/>
  <c r="M219" i="17"/>
  <c r="E219" i="17"/>
  <c r="H219" i="17"/>
  <c r="L219" i="17"/>
  <c r="D219" i="17"/>
  <c r="O219" i="17"/>
  <c r="K219" i="17"/>
  <c r="G219" i="17"/>
  <c r="H1193" i="3"/>
  <c r="V32" i="11"/>
  <c r="Z32" i="11"/>
  <c r="U32" i="11"/>
  <c r="T32" i="11"/>
  <c r="X32" i="11"/>
  <c r="N207" i="17"/>
  <c r="J207" i="17"/>
  <c r="F207" i="17"/>
  <c r="M207" i="17"/>
  <c r="E207" i="17"/>
  <c r="I207" i="17"/>
  <c r="H207" i="17"/>
  <c r="L207" i="17"/>
  <c r="D207" i="17"/>
  <c r="O207" i="17"/>
  <c r="K207" i="17"/>
  <c r="G207" i="17"/>
  <c r="D215" i="17"/>
  <c r="I215" i="17"/>
  <c r="E215" i="17"/>
  <c r="L215" i="17"/>
  <c r="H215" i="17"/>
  <c r="O215" i="17"/>
  <c r="K215" i="17"/>
  <c r="G215" i="17"/>
  <c r="J215" i="17"/>
  <c r="F215" i="17"/>
  <c r="AX6" i="11"/>
  <c r="AP6" i="11"/>
  <c r="D1233" i="3"/>
  <c r="D1251" i="3"/>
  <c r="D1208" i="3"/>
  <c r="D1204" i="3"/>
  <c r="D1237" i="3"/>
  <c r="AY6" i="11"/>
  <c r="D1200" i="3"/>
  <c r="D1195" i="3"/>
  <c r="AU6" i="11"/>
  <c r="D1199" i="3"/>
  <c r="D1194" i="3"/>
  <c r="D1192" i="3"/>
  <c r="D1198" i="3"/>
  <c r="D1202" i="3"/>
  <c r="D1196" i="3"/>
  <c r="D1236" i="3"/>
  <c r="D1232" i="3"/>
  <c r="D1248" i="3"/>
  <c r="D1252" i="3"/>
  <c r="AQ6" i="11"/>
  <c r="D1211" i="3"/>
  <c r="D1207" i="3"/>
  <c r="D1235" i="3"/>
  <c r="D1231" i="3"/>
  <c r="AS6" i="11"/>
  <c r="D1210" i="3"/>
  <c r="D1206" i="3"/>
  <c r="D1230" i="3"/>
  <c r="D1234" i="3"/>
  <c r="D1254" i="3"/>
  <c r="D1250" i="3"/>
  <c r="AZ6" i="11"/>
  <c r="AT6" i="11"/>
  <c r="D1201" i="3"/>
  <c r="D1197" i="3"/>
  <c r="D1209" i="3"/>
  <c r="D1253" i="3"/>
  <c r="D1249" i="3"/>
  <c r="AY40" i="11"/>
  <c r="AV40" i="11"/>
  <c r="AQ40" i="11"/>
  <c r="BA40" i="11"/>
  <c r="AX40" i="11"/>
  <c r="AS40" i="11"/>
  <c r="AZ40" i="11"/>
  <c r="AU40" i="11"/>
  <c r="AR40" i="11"/>
  <c r="AT40" i="11"/>
  <c r="AQ29" i="11"/>
  <c r="AV29" i="11"/>
  <c r="AY29" i="11"/>
  <c r="BA6" i="11"/>
  <c r="AT29" i="11"/>
  <c r="AW29" i="11"/>
  <c r="AR29" i="11"/>
  <c r="AU29" i="11"/>
  <c r="AZ29" i="11"/>
  <c r="AR6" i="11"/>
  <c r="AP29" i="11"/>
  <c r="AS29" i="11"/>
  <c r="AX29" i="11"/>
  <c r="AC37" i="11"/>
  <c r="AC34" i="11"/>
  <c r="AA34" i="11"/>
  <c r="Y34" i="11"/>
  <c r="W34" i="11"/>
  <c r="U34" i="11"/>
  <c r="R34" i="11"/>
  <c r="S34" i="11"/>
  <c r="AB34" i="11"/>
  <c r="Z34" i="11"/>
  <c r="X34" i="11"/>
  <c r="V34" i="11"/>
  <c r="T34" i="11"/>
  <c r="W32" i="11"/>
  <c r="R46" i="11"/>
  <c r="AB46" i="11"/>
  <c r="W46" i="11"/>
  <c r="AA46" i="11"/>
  <c r="U42" i="11"/>
  <c r="W42" i="11"/>
  <c r="Y42" i="11"/>
  <c r="AC42" i="11"/>
  <c r="T37" i="11"/>
  <c r="T8" i="11"/>
  <c r="AB8" i="11"/>
  <c r="J1255" i="3" l="1"/>
  <c r="I1255" i="3"/>
  <c r="AW6" i="11"/>
  <c r="AW40" i="11"/>
  <c r="AV6" i="11"/>
  <c r="BA29" i="11"/>
  <c r="AP40" i="11"/>
  <c r="AV41" i="11" a="1"/>
  <c r="AW41" i="11" a="1"/>
  <c r="AX41" i="11" a="1"/>
  <c r="AZ41" i="11" a="1"/>
  <c r="BA41" i="11" a="1"/>
  <c r="AQ41" i="11" a="1"/>
  <c r="AS41" i="11" a="1"/>
  <c r="AP41" i="11" a="1"/>
  <c r="AU41" i="11" a="1"/>
  <c r="AR41" i="11" a="1"/>
  <c r="AT41" i="11" a="1"/>
  <c r="AY41" i="11" a="1"/>
  <c r="S1249" i="3"/>
  <c r="O1249" i="3"/>
  <c r="K1249" i="3"/>
  <c r="T1249" i="3"/>
  <c r="P1249" i="3"/>
  <c r="L1249" i="3"/>
  <c r="R1249" i="3"/>
  <c r="N1249" i="3"/>
  <c r="J1249" i="3"/>
  <c r="I1249" i="3"/>
  <c r="Q1249" i="3"/>
  <c r="M1249" i="3"/>
  <c r="S1253" i="3"/>
  <c r="O1253" i="3"/>
  <c r="K1253" i="3"/>
  <c r="T1253" i="3"/>
  <c r="P1253" i="3"/>
  <c r="L1253" i="3"/>
  <c r="N1253" i="3"/>
  <c r="J1253" i="3"/>
  <c r="R1253" i="3"/>
  <c r="I1253" i="3"/>
  <c r="Q1253" i="3"/>
  <c r="M1253" i="3"/>
  <c r="S1209" i="3"/>
  <c r="O1209" i="3"/>
  <c r="K1209" i="3"/>
  <c r="I1209" i="3"/>
  <c r="R1209" i="3"/>
  <c r="N1209" i="3"/>
  <c r="J1209" i="3"/>
  <c r="Q1209" i="3"/>
  <c r="M1209" i="3"/>
  <c r="T1209" i="3"/>
  <c r="P1209" i="3"/>
  <c r="L1209" i="3"/>
  <c r="I1197" i="3"/>
  <c r="J1197" i="3"/>
  <c r="T1197" i="3"/>
  <c r="P1197" i="3"/>
  <c r="N1197" i="3"/>
  <c r="R1197" i="3"/>
  <c r="Q1197" i="3"/>
  <c r="M1197" i="3"/>
  <c r="S1197" i="3"/>
  <c r="O1197" i="3"/>
  <c r="K1197" i="3"/>
  <c r="L1197" i="3"/>
  <c r="J1201" i="3"/>
  <c r="R1201" i="3"/>
  <c r="Q1201" i="3"/>
  <c r="M1201" i="3"/>
  <c r="I1201" i="3"/>
  <c r="T1201" i="3"/>
  <c r="P1201" i="3"/>
  <c r="N1201" i="3"/>
  <c r="S1201" i="3"/>
  <c r="O1201" i="3"/>
  <c r="K1201" i="3"/>
  <c r="L1201" i="3"/>
  <c r="T1250" i="3"/>
  <c r="L1250" i="3"/>
  <c r="P1250" i="3"/>
  <c r="R1250" i="3"/>
  <c r="J1250" i="3"/>
  <c r="S1250" i="3"/>
  <c r="O1250" i="3"/>
  <c r="K1250" i="3"/>
  <c r="N1250" i="3"/>
  <c r="M1250" i="3"/>
  <c r="Q1250" i="3"/>
  <c r="I1250" i="3"/>
  <c r="L1254" i="3"/>
  <c r="T1254" i="3"/>
  <c r="P1254" i="3"/>
  <c r="S1254" i="3"/>
  <c r="O1254" i="3"/>
  <c r="K1254" i="3"/>
  <c r="N1254" i="3"/>
  <c r="J1254" i="3"/>
  <c r="R1254" i="3"/>
  <c r="I1254" i="3"/>
  <c r="Q1254" i="3"/>
  <c r="M1254" i="3"/>
  <c r="R1234" i="3"/>
  <c r="N1234" i="3"/>
  <c r="J1234" i="3"/>
  <c r="I1234" i="3"/>
  <c r="T1234" i="3"/>
  <c r="P1234" i="3"/>
  <c r="Q1234" i="3"/>
  <c r="M1234" i="3"/>
  <c r="L1234" i="3"/>
  <c r="S1234" i="3"/>
  <c r="O1234" i="3"/>
  <c r="K1234" i="3"/>
  <c r="R1230" i="3"/>
  <c r="N1230" i="3"/>
  <c r="J1230" i="3"/>
  <c r="I1230" i="3"/>
  <c r="Q1230" i="3"/>
  <c r="M1230" i="3"/>
  <c r="T1230" i="3"/>
  <c r="P1230" i="3"/>
  <c r="L1230" i="3"/>
  <c r="S1230" i="3"/>
  <c r="O1230" i="3"/>
  <c r="K1230" i="3"/>
  <c r="I1206" i="3"/>
  <c r="S1206" i="3"/>
  <c r="O1206" i="3"/>
  <c r="K1206" i="3"/>
  <c r="R1206" i="3"/>
  <c r="N1206" i="3"/>
  <c r="J1206" i="3"/>
  <c r="Q1206" i="3"/>
  <c r="M1206" i="3"/>
  <c r="T1206" i="3"/>
  <c r="P1206" i="3"/>
  <c r="L1206" i="3"/>
  <c r="I1210" i="3"/>
  <c r="S1210" i="3"/>
  <c r="O1210" i="3"/>
  <c r="K1210" i="3"/>
  <c r="R1210" i="3"/>
  <c r="N1210" i="3"/>
  <c r="J1210" i="3"/>
  <c r="Q1210" i="3"/>
  <c r="M1210" i="3"/>
  <c r="T1210" i="3"/>
  <c r="P1210" i="3"/>
  <c r="L1210" i="3"/>
  <c r="T1255" i="3"/>
  <c r="P1255" i="3"/>
  <c r="L1255" i="3"/>
  <c r="S1255" i="3"/>
  <c r="O1255" i="3"/>
  <c r="K1255" i="3"/>
  <c r="N1255" i="3"/>
  <c r="R1255" i="3"/>
  <c r="Q1255" i="3"/>
  <c r="M1255" i="3"/>
  <c r="R1231" i="3"/>
  <c r="N1231" i="3"/>
  <c r="J1231" i="3"/>
  <c r="L1231" i="3"/>
  <c r="I1231" i="3"/>
  <c r="Q1231" i="3"/>
  <c r="M1231" i="3"/>
  <c r="T1231" i="3"/>
  <c r="P1231" i="3"/>
  <c r="S1231" i="3"/>
  <c r="O1231" i="3"/>
  <c r="K1231" i="3"/>
  <c r="I1235" i="3"/>
  <c r="R1235" i="3"/>
  <c r="N1235" i="3"/>
  <c r="J1235" i="3"/>
  <c r="Q1235" i="3"/>
  <c r="M1235" i="3"/>
  <c r="L1235" i="3"/>
  <c r="T1235" i="3"/>
  <c r="P1235" i="3"/>
  <c r="S1235" i="3"/>
  <c r="O1235" i="3"/>
  <c r="K1235" i="3"/>
  <c r="I1207" i="3"/>
  <c r="S1207" i="3"/>
  <c r="O1207" i="3"/>
  <c r="K1207" i="3"/>
  <c r="R1207" i="3"/>
  <c r="N1207" i="3"/>
  <c r="J1207" i="3"/>
  <c r="Q1207" i="3"/>
  <c r="M1207" i="3"/>
  <c r="T1207" i="3"/>
  <c r="P1207" i="3"/>
  <c r="L1207" i="3"/>
  <c r="I1211" i="3"/>
  <c r="R1211" i="3"/>
  <c r="N1211" i="3"/>
  <c r="J1211" i="3"/>
  <c r="Q1211" i="3"/>
  <c r="M1211" i="3"/>
  <c r="S1211" i="3"/>
  <c r="O1211" i="3"/>
  <c r="K1211" i="3"/>
  <c r="T1211" i="3"/>
  <c r="P1211" i="3"/>
  <c r="L1211" i="3"/>
  <c r="S1252" i="3"/>
  <c r="O1252" i="3"/>
  <c r="K1252" i="3"/>
  <c r="T1252" i="3"/>
  <c r="P1252" i="3"/>
  <c r="L1252" i="3"/>
  <c r="R1252" i="3"/>
  <c r="J1252" i="3"/>
  <c r="N1252" i="3"/>
  <c r="I1252" i="3"/>
  <c r="Q1252" i="3"/>
  <c r="M1252" i="3"/>
  <c r="S1248" i="3"/>
  <c r="O1248" i="3"/>
  <c r="K1248" i="3"/>
  <c r="T1248" i="3"/>
  <c r="P1248" i="3"/>
  <c r="L1248" i="3"/>
  <c r="N1248" i="3"/>
  <c r="J1248" i="3"/>
  <c r="R1248" i="3"/>
  <c r="I1248" i="3"/>
  <c r="Q1248" i="3"/>
  <c r="M1248" i="3"/>
  <c r="Q1232" i="3"/>
  <c r="M1232" i="3"/>
  <c r="I1232" i="3"/>
  <c r="R1232" i="3"/>
  <c r="N1232" i="3"/>
  <c r="J1232" i="3"/>
  <c r="T1232" i="3"/>
  <c r="P1232" i="3"/>
  <c r="L1232" i="3"/>
  <c r="S1232" i="3"/>
  <c r="O1232" i="3"/>
  <c r="K1232" i="3"/>
  <c r="Q1236" i="3"/>
  <c r="M1236" i="3"/>
  <c r="I1236" i="3"/>
  <c r="R1236" i="3"/>
  <c r="N1236" i="3"/>
  <c r="J1236" i="3"/>
  <c r="T1236" i="3"/>
  <c r="P1236" i="3"/>
  <c r="L1236" i="3"/>
  <c r="S1236" i="3"/>
  <c r="O1236" i="3"/>
  <c r="K1236" i="3"/>
  <c r="J1196" i="3"/>
  <c r="Q1196" i="3"/>
  <c r="M1196" i="3"/>
  <c r="N1196" i="3"/>
  <c r="I1196" i="3"/>
  <c r="T1196" i="3"/>
  <c r="P1196" i="3"/>
  <c r="R1196" i="3"/>
  <c r="S1196" i="3"/>
  <c r="O1196" i="3"/>
  <c r="K1196" i="3"/>
  <c r="L1196" i="3"/>
  <c r="I1202" i="3"/>
  <c r="J1202" i="3"/>
  <c r="Q1202" i="3"/>
  <c r="M1202" i="3"/>
  <c r="T1202" i="3"/>
  <c r="P1202" i="3"/>
  <c r="R1202" i="3"/>
  <c r="N1202" i="3"/>
  <c r="S1202" i="3"/>
  <c r="O1202" i="3"/>
  <c r="K1202" i="3"/>
  <c r="L1202" i="3"/>
  <c r="R1198" i="3"/>
  <c r="AY33" i="11" s="1" a="1"/>
  <c r="N1198" i="3"/>
  <c r="AU33" i="11" s="1" a="1"/>
  <c r="J1198" i="3"/>
  <c r="AQ33" i="11" s="1" a="1"/>
  <c r="I1198" i="3"/>
  <c r="AP33" i="11" s="1" a="1"/>
  <c r="Q1198" i="3"/>
  <c r="AX33" i="11" s="1" a="1"/>
  <c r="M1198" i="3"/>
  <c r="AT33" i="11" s="1" a="1"/>
  <c r="T1198" i="3"/>
  <c r="BA33" i="11" s="1" a="1"/>
  <c r="K1198" i="3"/>
  <c r="AR33" i="11" s="1" a="1"/>
  <c r="L1198" i="3"/>
  <c r="AS33" i="11" s="1" a="1"/>
  <c r="P1198" i="3"/>
  <c r="AW33" i="11" s="1" a="1"/>
  <c r="S1198" i="3"/>
  <c r="AZ33" i="11" s="1" a="1"/>
  <c r="O1198" i="3"/>
  <c r="AV33" i="11" s="1" a="1"/>
  <c r="R1192" i="3"/>
  <c r="AY7" i="11" s="1" a="1"/>
  <c r="N1192" i="3"/>
  <c r="AU7" i="11" s="1" a="1"/>
  <c r="T1192" i="3"/>
  <c r="BA7" i="11" s="1" a="1"/>
  <c r="P1192" i="3"/>
  <c r="AW7" i="11" s="1" a="1"/>
  <c r="J1192" i="3"/>
  <c r="AQ7" i="11" s="1" a="1"/>
  <c r="I1192" i="3"/>
  <c r="AP7" i="11" s="1" a="1"/>
  <c r="Q1192" i="3"/>
  <c r="AX7" i="11" s="1" a="1"/>
  <c r="M1192" i="3"/>
  <c r="AT7" i="11" s="1" a="1"/>
  <c r="S1192" i="3"/>
  <c r="AZ7" i="11" s="1" a="1"/>
  <c r="O1192" i="3"/>
  <c r="AV7" i="11" s="1" a="1"/>
  <c r="K1192" i="3"/>
  <c r="AR7" i="11" s="1" a="1"/>
  <c r="L1192" i="3"/>
  <c r="AS7" i="11" s="1" a="1"/>
  <c r="R1194" i="3"/>
  <c r="AY44" i="11" s="1" a="1"/>
  <c r="N1194" i="3"/>
  <c r="AU44" i="11" s="1" a="1"/>
  <c r="I1194" i="3"/>
  <c r="AP44" i="11" s="1" a="1"/>
  <c r="J1194" i="3"/>
  <c r="AQ44" i="11" s="1" a="1"/>
  <c r="Q1194" i="3"/>
  <c r="AX44" i="11" s="1" a="1"/>
  <c r="M1194" i="3"/>
  <c r="AT44" i="11" s="1" a="1"/>
  <c r="L1194" i="3"/>
  <c r="AS44" i="11" s="1" a="1"/>
  <c r="P1194" i="3"/>
  <c r="AW44" i="11" s="1" a="1"/>
  <c r="S1194" i="3"/>
  <c r="AZ44" i="11" s="1" a="1"/>
  <c r="O1194" i="3"/>
  <c r="AV44" i="11" s="1" a="1"/>
  <c r="T1194" i="3"/>
  <c r="BA44" i="11" s="1" a="1"/>
  <c r="K1194" i="3"/>
  <c r="AR44" i="11" s="1" a="1"/>
  <c r="R1199" i="3"/>
  <c r="AY28" i="11" s="1" a="1"/>
  <c r="N1199" i="3"/>
  <c r="AU28" i="11" s="1" a="1"/>
  <c r="J1199" i="3"/>
  <c r="AQ28" i="11" s="1" a="1"/>
  <c r="I1199" i="3"/>
  <c r="AP28" i="11" s="1" a="1"/>
  <c r="Q1199" i="3"/>
  <c r="AX28" i="11" s="1" a="1"/>
  <c r="M1199" i="3"/>
  <c r="AT28" i="11" s="1" a="1"/>
  <c r="T1199" i="3"/>
  <c r="BA28" i="11" s="1" a="1"/>
  <c r="P1199" i="3"/>
  <c r="AW28" i="11" s="1" a="1"/>
  <c r="L1199" i="3"/>
  <c r="AS28" i="11" s="1" a="1"/>
  <c r="S1199" i="3"/>
  <c r="AZ28" i="11" s="1" a="1"/>
  <c r="O1199" i="3"/>
  <c r="AV28" i="11" s="1" a="1"/>
  <c r="K1199" i="3"/>
  <c r="AR28" i="11" s="1" a="1"/>
  <c r="N1195" i="3"/>
  <c r="AU43" i="11" s="1" a="1"/>
  <c r="I1195" i="3"/>
  <c r="AP43" i="11" s="1" a="1"/>
  <c r="Q1195" i="3"/>
  <c r="AX43" i="11" s="1" a="1"/>
  <c r="M1195" i="3"/>
  <c r="AT43" i="11" s="1" a="1"/>
  <c r="R1195" i="3"/>
  <c r="AY43" i="11" s="1" a="1"/>
  <c r="J1195" i="3"/>
  <c r="AQ43" i="11" s="1" a="1"/>
  <c r="P1195" i="3"/>
  <c r="AW43" i="11" s="1" a="1"/>
  <c r="L1195" i="3"/>
  <c r="AS43" i="11" s="1" a="1"/>
  <c r="T1195" i="3"/>
  <c r="BA43" i="11" s="1" a="1"/>
  <c r="S1195" i="3"/>
  <c r="AZ43" i="11" s="1" a="1"/>
  <c r="O1195" i="3"/>
  <c r="AV43" i="11" s="1" a="1"/>
  <c r="K1195" i="3"/>
  <c r="AR43" i="11" s="1" a="1"/>
  <c r="I1200" i="3"/>
  <c r="AP17" i="11" s="1" a="1"/>
  <c r="R1200" i="3"/>
  <c r="AY17" i="11" s="1" a="1"/>
  <c r="Q1200" i="3"/>
  <c r="AX17" i="11" s="1" a="1"/>
  <c r="M1200" i="3"/>
  <c r="AT17" i="11" s="1" a="1"/>
  <c r="N1200" i="3"/>
  <c r="AU17" i="11" s="1" a="1"/>
  <c r="J1200" i="3"/>
  <c r="AQ17" i="11" s="1" a="1"/>
  <c r="L1200" i="3"/>
  <c r="P1200" i="3"/>
  <c r="AW17" i="11" s="1" a="1"/>
  <c r="T1200" i="3"/>
  <c r="BA17" i="11" s="1" a="1"/>
  <c r="S1200" i="3"/>
  <c r="AZ17" i="11" s="1" a="1"/>
  <c r="O1200" i="3"/>
  <c r="AV17" i="11" s="1" a="1"/>
  <c r="K1200" i="3"/>
  <c r="AR17" i="11" s="1" a="1"/>
  <c r="Q1237" i="3"/>
  <c r="M1237" i="3"/>
  <c r="R1237" i="3"/>
  <c r="N1237" i="3"/>
  <c r="J1237" i="3"/>
  <c r="I1237" i="3"/>
  <c r="T1237" i="3"/>
  <c r="P1237" i="3"/>
  <c r="L1237" i="3"/>
  <c r="S1237" i="3"/>
  <c r="O1237" i="3"/>
  <c r="K1237" i="3"/>
  <c r="S1204" i="3"/>
  <c r="O1204" i="3"/>
  <c r="K1204" i="3"/>
  <c r="I1204" i="3"/>
  <c r="R1204" i="3"/>
  <c r="N1204" i="3"/>
  <c r="J1204" i="3"/>
  <c r="Q1204" i="3"/>
  <c r="M1204" i="3"/>
  <c r="T1204" i="3"/>
  <c r="P1204" i="3"/>
  <c r="L1204" i="3"/>
  <c r="S1208" i="3"/>
  <c r="AZ42" i="11" s="1" a="1"/>
  <c r="O1208" i="3"/>
  <c r="AV42" i="11" s="1" a="1"/>
  <c r="K1208" i="3"/>
  <c r="AR42" i="11" s="1" a="1"/>
  <c r="I1208" i="3"/>
  <c r="AP42" i="11" s="1" a="1"/>
  <c r="R1208" i="3"/>
  <c r="AY42" i="11" s="1" a="1"/>
  <c r="N1208" i="3"/>
  <c r="AU42" i="11" s="1" a="1"/>
  <c r="J1208" i="3"/>
  <c r="AQ42" i="11" s="1" a="1"/>
  <c r="Q1208" i="3"/>
  <c r="AX42" i="11" s="1" a="1"/>
  <c r="M1208" i="3"/>
  <c r="AT42" i="11" s="1" a="1"/>
  <c r="T1208" i="3"/>
  <c r="BA42" i="11" s="1" a="1"/>
  <c r="P1208" i="3"/>
  <c r="AW42" i="11" s="1" a="1"/>
  <c r="L1208" i="3"/>
  <c r="AS42" i="11" s="1" a="1"/>
  <c r="P1251" i="3"/>
  <c r="T1251" i="3"/>
  <c r="L1251" i="3"/>
  <c r="S1251" i="3"/>
  <c r="O1251" i="3"/>
  <c r="K1251" i="3"/>
  <c r="R1251" i="3"/>
  <c r="N1251" i="3"/>
  <c r="J1251" i="3"/>
  <c r="Q1251" i="3"/>
  <c r="M1251" i="3"/>
  <c r="I1251" i="3"/>
  <c r="Q1233" i="3"/>
  <c r="M1233" i="3"/>
  <c r="R1233" i="3"/>
  <c r="N1233" i="3"/>
  <c r="J1233" i="3"/>
  <c r="T1233" i="3"/>
  <c r="P1233" i="3"/>
  <c r="L1233" i="3"/>
  <c r="I1233" i="3"/>
  <c r="S1233" i="3"/>
  <c r="O1233" i="3"/>
  <c r="K1233" i="3"/>
  <c r="N215" i="17"/>
  <c r="M215" i="17"/>
  <c r="M214" i="17"/>
  <c r="H210" i="17"/>
  <c r="M210" i="17"/>
  <c r="F210" i="17"/>
  <c r="H208" i="17"/>
  <c r="E208" i="17"/>
  <c r="J208" i="17"/>
  <c r="L210" i="17"/>
  <c r="J210" i="17"/>
  <c r="O210" i="17"/>
  <c r="L208" i="17"/>
  <c r="D208" i="17"/>
  <c r="G208" i="17"/>
  <c r="E210" i="17"/>
  <c r="D210" i="17"/>
  <c r="G210" i="17"/>
  <c r="M208" i="17"/>
  <c r="N208" i="17"/>
  <c r="K208" i="17"/>
  <c r="I210" i="17"/>
  <c r="N210" i="17"/>
  <c r="K210" i="17"/>
  <c r="I208" i="17"/>
  <c r="F208" i="17"/>
  <c r="O208" i="17"/>
  <c r="J214" i="17"/>
  <c r="G214" i="17"/>
  <c r="E214" i="17"/>
  <c r="K206" i="17"/>
  <c r="L206" i="17"/>
  <c r="E206" i="17"/>
  <c r="F218" i="17"/>
  <c r="K218" i="17"/>
  <c r="E218" i="17"/>
  <c r="J213" i="17"/>
  <c r="O213" i="17"/>
  <c r="E213" i="17"/>
  <c r="E211" i="17"/>
  <c r="J211" i="17"/>
  <c r="K211" i="17"/>
  <c r="G205" i="17"/>
  <c r="D205" i="17"/>
  <c r="E205" i="17"/>
  <c r="O204" i="17"/>
  <c r="D204" i="17"/>
  <c r="E204" i="17"/>
  <c r="L203" i="17"/>
  <c r="E203" i="17"/>
  <c r="J203" i="17"/>
  <c r="G201" i="17"/>
  <c r="H201" i="17"/>
  <c r="M201" i="17"/>
  <c r="L209" i="17"/>
  <c r="I209" i="17"/>
  <c r="N209" i="17"/>
  <c r="L217" i="17"/>
  <c r="K217" i="17"/>
  <c r="F217" i="17"/>
  <c r="J216" i="17"/>
  <c r="G216" i="17"/>
  <c r="I216" i="17"/>
  <c r="M212" i="17"/>
  <c r="N212" i="17"/>
  <c r="O212" i="17"/>
  <c r="F214" i="17"/>
  <c r="O214" i="17"/>
  <c r="O206" i="17"/>
  <c r="H206" i="17"/>
  <c r="N206" i="17"/>
  <c r="J218" i="17"/>
  <c r="O218" i="17"/>
  <c r="I218" i="17"/>
  <c r="F213" i="17"/>
  <c r="K213" i="17"/>
  <c r="M213" i="17"/>
  <c r="I211" i="17"/>
  <c r="N211" i="17"/>
  <c r="D211" i="17"/>
  <c r="K205" i="17"/>
  <c r="L205" i="17"/>
  <c r="F205" i="17"/>
  <c r="K204" i="17"/>
  <c r="H204" i="17"/>
  <c r="J204" i="17"/>
  <c r="H203" i="17"/>
  <c r="F203" i="17"/>
  <c r="O203" i="17"/>
  <c r="K201" i="17"/>
  <c r="L201" i="17"/>
  <c r="F201" i="17"/>
  <c r="H209" i="17"/>
  <c r="D209" i="17"/>
  <c r="K209" i="17"/>
  <c r="H217" i="17"/>
  <c r="G217" i="17"/>
  <c r="M217" i="17"/>
  <c r="F216" i="17"/>
  <c r="O216" i="17"/>
  <c r="E216" i="17"/>
  <c r="I212" i="17"/>
  <c r="F212" i="17"/>
  <c r="H212" i="17"/>
  <c r="N214" i="17"/>
  <c r="H214" i="17"/>
  <c r="I214" i="17"/>
  <c r="G206" i="17"/>
  <c r="M206" i="17"/>
  <c r="F206" i="17"/>
  <c r="N218" i="17"/>
  <c r="H218" i="17"/>
  <c r="M218" i="17"/>
  <c r="N213" i="17"/>
  <c r="H213" i="17"/>
  <c r="I213" i="17"/>
  <c r="M211" i="17"/>
  <c r="O211" i="17"/>
  <c r="H211" i="17"/>
  <c r="O205" i="17"/>
  <c r="M205" i="17"/>
  <c r="J205" i="17"/>
  <c r="G204" i="17"/>
  <c r="M204" i="17"/>
  <c r="F204" i="17"/>
  <c r="M203" i="17"/>
  <c r="D203" i="17"/>
  <c r="K203" i="17"/>
  <c r="O201" i="17"/>
  <c r="E201" i="17"/>
  <c r="J201" i="17"/>
  <c r="M209" i="17"/>
  <c r="F209" i="17"/>
  <c r="O209" i="17"/>
  <c r="D217" i="17"/>
  <c r="N217" i="17"/>
  <c r="I217" i="17"/>
  <c r="N216" i="17"/>
  <c r="H216" i="17"/>
  <c r="M216" i="17"/>
  <c r="E212" i="17"/>
  <c r="G212" i="17"/>
  <c r="L212" i="17"/>
  <c r="K214" i="17"/>
  <c r="L214" i="17"/>
  <c r="D214" i="17"/>
  <c r="D206" i="17"/>
  <c r="I206" i="17"/>
  <c r="J206" i="17"/>
  <c r="G218" i="17"/>
  <c r="L218" i="17"/>
  <c r="D218" i="17"/>
  <c r="G213" i="17"/>
  <c r="L213" i="17"/>
  <c r="D213" i="17"/>
  <c r="F211" i="17"/>
  <c r="G211" i="17"/>
  <c r="L211" i="17"/>
  <c r="H205" i="17"/>
  <c r="I205" i="17"/>
  <c r="N205" i="17"/>
  <c r="L204" i="17"/>
  <c r="I204" i="17"/>
  <c r="N204" i="17"/>
  <c r="I203" i="17"/>
  <c r="N203" i="17"/>
  <c r="G203" i="17"/>
  <c r="D201" i="17"/>
  <c r="I201" i="17"/>
  <c r="N201" i="17"/>
  <c r="E209" i="17"/>
  <c r="J209" i="17"/>
  <c r="G209" i="17"/>
  <c r="O217" i="17"/>
  <c r="J217" i="17"/>
  <c r="E217" i="17"/>
  <c r="K216" i="17"/>
  <c r="L216" i="17"/>
  <c r="D216" i="17"/>
  <c r="J212" i="17"/>
  <c r="K212" i="17"/>
  <c r="D212" i="17"/>
  <c r="AC5" i="11"/>
  <c r="N12" i="17"/>
  <c r="I12" i="17"/>
  <c r="L12" i="17"/>
  <c r="K11" i="17"/>
  <c r="L11" i="17"/>
  <c r="E11" i="17"/>
  <c r="J4" i="17"/>
  <c r="O4" i="17"/>
  <c r="M4" i="17"/>
  <c r="E18" i="17"/>
  <c r="J18" i="17"/>
  <c r="O18" i="17"/>
  <c r="H12" i="17"/>
  <c r="M12" i="17"/>
  <c r="J12" i="17"/>
  <c r="G10" i="17"/>
  <c r="D10" i="17"/>
  <c r="E10" i="17"/>
  <c r="L20" i="17"/>
  <c r="K20" i="17"/>
  <c r="F20" i="17"/>
  <c r="E21" i="17"/>
  <c r="J21" i="17"/>
  <c r="G21" i="17"/>
  <c r="J7" i="17"/>
  <c r="G7" i="17"/>
  <c r="M7" i="17"/>
  <c r="J5" i="17"/>
  <c r="O5" i="17"/>
  <c r="M5" i="17"/>
  <c r="K22" i="17"/>
  <c r="L22" i="17"/>
  <c r="E22" i="17"/>
  <c r="E19" i="17"/>
  <c r="N19" i="17"/>
  <c r="O19" i="17"/>
  <c r="F17" i="17"/>
  <c r="O17" i="17"/>
  <c r="I17" i="17"/>
  <c r="H15" i="17"/>
  <c r="M15" i="17"/>
  <c r="F15" i="17"/>
  <c r="K9" i="17"/>
  <c r="L9" i="17"/>
  <c r="I9" i="17"/>
  <c r="F16" i="17"/>
  <c r="G16" i="17"/>
  <c r="I16" i="17"/>
  <c r="L14" i="17"/>
  <c r="I14" i="17"/>
  <c r="N14" i="17"/>
  <c r="O8" i="17"/>
  <c r="L8" i="17"/>
  <c r="M8" i="17"/>
  <c r="L13" i="17"/>
  <c r="E13" i="17"/>
  <c r="N13" i="17"/>
  <c r="O6" i="17"/>
  <c r="D6" i="17"/>
  <c r="E6" i="17"/>
  <c r="O11" i="17"/>
  <c r="H11" i="17"/>
  <c r="N11" i="17"/>
  <c r="N4" i="17"/>
  <c r="H4" i="17"/>
  <c r="F4" i="17"/>
  <c r="I18" i="17"/>
  <c r="N18" i="17"/>
  <c r="D18" i="17"/>
  <c r="D12" i="17"/>
  <c r="G12" i="17"/>
  <c r="K10" i="17"/>
  <c r="L10" i="17"/>
  <c r="F10" i="17"/>
  <c r="H20" i="17"/>
  <c r="G20" i="17"/>
  <c r="M20" i="17"/>
  <c r="M21" i="17"/>
  <c r="F21" i="17"/>
  <c r="D21" i="17"/>
  <c r="F7" i="17"/>
  <c r="O7" i="17"/>
  <c r="I7" i="17"/>
  <c r="N5" i="17"/>
  <c r="H5" i="17"/>
  <c r="F5" i="17"/>
  <c r="O22" i="17"/>
  <c r="H22" i="17"/>
  <c r="F22" i="17"/>
  <c r="M19" i="17"/>
  <c r="J19" i="17"/>
  <c r="D19" i="17"/>
  <c r="N17" i="17"/>
  <c r="K17" i="17"/>
  <c r="E17" i="17"/>
  <c r="L15" i="17"/>
  <c r="J15" i="17"/>
  <c r="O15" i="17"/>
  <c r="O9" i="17"/>
  <c r="H9" i="17"/>
  <c r="J9" i="17"/>
  <c r="N16" i="17"/>
  <c r="O16" i="17"/>
  <c r="E16" i="17"/>
  <c r="H14" i="17"/>
  <c r="D14" i="17"/>
  <c r="K14" i="17"/>
  <c r="G8" i="17"/>
  <c r="H8" i="17"/>
  <c r="F8" i="17"/>
  <c r="H13" i="17"/>
  <c r="D13" i="17"/>
  <c r="G13" i="17"/>
  <c r="K6" i="17"/>
  <c r="H6" i="17"/>
  <c r="F6" i="17"/>
  <c r="G11" i="17"/>
  <c r="M11" i="17"/>
  <c r="F11" i="17"/>
  <c r="G4" i="17"/>
  <c r="L4" i="17"/>
  <c r="D4" i="17"/>
  <c r="M18" i="17"/>
  <c r="G18" i="17"/>
  <c r="H18" i="17"/>
  <c r="E12" i="17"/>
  <c r="K12" i="17"/>
  <c r="O10" i="17"/>
  <c r="M10" i="17"/>
  <c r="J10" i="17"/>
  <c r="D20" i="17"/>
  <c r="N20" i="17"/>
  <c r="I20" i="17"/>
  <c r="I21" i="17"/>
  <c r="O21" i="17"/>
  <c r="H21" i="17"/>
  <c r="N7" i="17"/>
  <c r="H7" i="17"/>
  <c r="E7" i="17"/>
  <c r="G5" i="17"/>
  <c r="L5" i="17"/>
  <c r="D5" i="17"/>
  <c r="G22" i="17"/>
  <c r="M22" i="17"/>
  <c r="N22" i="17"/>
  <c r="I19" i="17"/>
  <c r="K19" i="17"/>
  <c r="L19" i="17"/>
  <c r="J17" i="17"/>
  <c r="L17" i="17"/>
  <c r="M17" i="17"/>
  <c r="E15" i="17"/>
  <c r="D15" i="17"/>
  <c r="G15" i="17"/>
  <c r="G9" i="17"/>
  <c r="E9" i="17"/>
  <c r="N9" i="17"/>
  <c r="J16" i="17"/>
  <c r="L16" i="17"/>
  <c r="M16" i="17"/>
  <c r="M14" i="17"/>
  <c r="F14" i="17"/>
  <c r="O14" i="17"/>
  <c r="K8" i="17"/>
  <c r="I8" i="17"/>
  <c r="N8" i="17"/>
  <c r="I13" i="17"/>
  <c r="F13" i="17"/>
  <c r="K13" i="17"/>
  <c r="G6" i="17"/>
  <c r="M6" i="17"/>
  <c r="N6" i="17"/>
  <c r="D11" i="17"/>
  <c r="I11" i="17"/>
  <c r="J11" i="17"/>
  <c r="K4" i="17"/>
  <c r="I4" i="17"/>
  <c r="E4" i="17"/>
  <c r="F18" i="17"/>
  <c r="K18" i="17"/>
  <c r="L18" i="17"/>
  <c r="F12" i="17"/>
  <c r="O12" i="17"/>
  <c r="H10" i="17"/>
  <c r="I10" i="17"/>
  <c r="N10" i="17"/>
  <c r="O20" i="17"/>
  <c r="J20" i="17"/>
  <c r="E20" i="17"/>
  <c r="N21" i="17"/>
  <c r="K21" i="17"/>
  <c r="L21" i="17"/>
  <c r="K7" i="17"/>
  <c r="L7" i="17"/>
  <c r="D7" i="17"/>
  <c r="K5" i="17"/>
  <c r="I5" i="17"/>
  <c r="E5" i="17"/>
  <c r="D22" i="17"/>
  <c r="I22" i="17"/>
  <c r="J22" i="17"/>
  <c r="F19" i="17"/>
  <c r="G19" i="17"/>
  <c r="H19" i="17"/>
  <c r="G17" i="17"/>
  <c r="H17" i="17"/>
  <c r="D17" i="17"/>
  <c r="I15" i="17"/>
  <c r="N15" i="17"/>
  <c r="K15" i="17"/>
  <c r="D9" i="17"/>
  <c r="M9" i="17"/>
  <c r="F9" i="17"/>
  <c r="K16" i="17"/>
  <c r="H16" i="17"/>
  <c r="D16" i="17"/>
  <c r="E14" i="17"/>
  <c r="J14" i="17"/>
  <c r="G14" i="17"/>
  <c r="D8" i="17"/>
  <c r="E8" i="17"/>
  <c r="J8" i="17"/>
  <c r="M13" i="17"/>
  <c r="J13" i="17"/>
  <c r="O13" i="17"/>
  <c r="L6" i="17"/>
  <c r="I6" i="17"/>
  <c r="J6" i="17"/>
  <c r="T5" i="11"/>
  <c r="H1197" i="3"/>
  <c r="H1201" i="3"/>
  <c r="H1196" i="3"/>
  <c r="H1202" i="3"/>
  <c r="M33" i="17"/>
  <c r="I33" i="17"/>
  <c r="E33" i="17"/>
  <c r="H33" i="17"/>
  <c r="G33" i="17"/>
  <c r="D33" i="17"/>
  <c r="O33" i="17"/>
  <c r="L33" i="17"/>
  <c r="K33" i="17"/>
  <c r="F33" i="17"/>
  <c r="N33" i="17"/>
  <c r="J33" i="17"/>
  <c r="H1198" i="3"/>
  <c r="H1192" i="3"/>
  <c r="I202" i="17"/>
  <c r="J202" i="17"/>
  <c r="E202" i="17"/>
  <c r="O202" i="17"/>
  <c r="F202" i="17"/>
  <c r="L202" i="17"/>
  <c r="K202" i="17"/>
  <c r="M202" i="17"/>
  <c r="D202" i="17"/>
  <c r="H202" i="17"/>
  <c r="G202" i="17"/>
  <c r="N202" i="17"/>
  <c r="H1194" i="3"/>
  <c r="H1199" i="3"/>
  <c r="H1195" i="3"/>
  <c r="H1200" i="3"/>
  <c r="AY42" i="11"/>
  <c r="AQ42" i="11"/>
  <c r="T11" i="11"/>
  <c r="AB10" i="11"/>
  <c r="U10" i="11"/>
  <c r="T10" i="11"/>
  <c r="X40" i="11"/>
  <c r="Y40" i="11"/>
  <c r="R14" i="11"/>
  <c r="S16" i="11"/>
  <c r="AB12" i="11"/>
  <c r="AB37" i="11"/>
  <c r="S46" i="11"/>
  <c r="S15" i="11"/>
  <c r="AB14" i="11"/>
  <c r="R13" i="11"/>
  <c r="W12" i="11"/>
  <c r="W37" i="11"/>
  <c r="AA41" i="11"/>
  <c r="S41" i="11"/>
  <c r="V12" i="11"/>
  <c r="V37" i="11"/>
  <c r="Z42" i="11"/>
  <c r="R42" i="11"/>
  <c r="W43" i="11"/>
  <c r="S43" i="11"/>
  <c r="Z43" i="11"/>
  <c r="W35" i="11"/>
  <c r="S35" i="11"/>
  <c r="Z35" i="11"/>
  <c r="T16" i="11"/>
  <c r="U12" i="11"/>
  <c r="X13" i="11"/>
  <c r="V41" i="11"/>
  <c r="T41" i="11"/>
  <c r="Y11" i="11"/>
  <c r="S14" i="11"/>
  <c r="Z16" i="11"/>
  <c r="AA13" i="11"/>
  <c r="X12" i="11"/>
  <c r="X37" i="11"/>
  <c r="R15" i="11"/>
  <c r="X14" i="11"/>
  <c r="Z13" i="11"/>
  <c r="Y46" i="11"/>
  <c r="Y41" i="11"/>
  <c r="AA14" i="11"/>
  <c r="S12" i="11"/>
  <c r="S37" i="11"/>
  <c r="X42" i="11"/>
  <c r="Y43" i="11"/>
  <c r="T43" i="11"/>
  <c r="AB43" i="11"/>
  <c r="Y35" i="11"/>
  <c r="T35" i="11"/>
  <c r="AB35" i="11"/>
  <c r="AB15" i="11"/>
  <c r="AA16" i="11"/>
  <c r="AC14" i="11"/>
  <c r="R32" i="11"/>
  <c r="T46" i="11"/>
  <c r="X41" i="11"/>
  <c r="AB41" i="11"/>
  <c r="W16" i="11"/>
  <c r="Z14" i="11"/>
  <c r="V16" i="11"/>
  <c r="AA15" i="11"/>
  <c r="W13" i="11"/>
  <c r="T12" i="11"/>
  <c r="X15" i="11"/>
  <c r="Z15" i="11"/>
  <c r="T14" i="11"/>
  <c r="V13" i="11"/>
  <c r="W41" i="11"/>
  <c r="W14" i="11"/>
  <c r="R12" i="11"/>
  <c r="R37" i="11"/>
  <c r="V42" i="11"/>
  <c r="AA43" i="11"/>
  <c r="V43" i="11"/>
  <c r="R43" i="11"/>
  <c r="AA35" i="11"/>
  <c r="V35" i="11"/>
  <c r="R35" i="11"/>
  <c r="AB13" i="11"/>
  <c r="AB32" i="11"/>
  <c r="V46" i="11"/>
  <c r="R41" i="11"/>
  <c r="AC41" i="11"/>
  <c r="Y37" i="11"/>
  <c r="V14" i="11"/>
  <c r="R16" i="11"/>
  <c r="W15" i="11"/>
  <c r="AA42" i="11"/>
  <c r="S42" i="11"/>
  <c r="V15" i="11"/>
  <c r="S13" i="11"/>
  <c r="AA12" i="11"/>
  <c r="AA37" i="11"/>
  <c r="AC46" i="11"/>
  <c r="U46" i="11"/>
  <c r="U41" i="11"/>
  <c r="Z12" i="11"/>
  <c r="Z37" i="11"/>
  <c r="AB42" i="11"/>
  <c r="T42" i="11"/>
  <c r="Z46" i="11"/>
  <c r="U43" i="11"/>
  <c r="AC43" i="11"/>
  <c r="X43" i="11"/>
  <c r="U35" i="11"/>
  <c r="AC35" i="11"/>
  <c r="X35" i="11"/>
  <c r="AB16" i="11"/>
  <c r="T13" i="11"/>
  <c r="X46" i="11"/>
  <c r="Z41" i="11"/>
  <c r="T15" i="11"/>
  <c r="X16" i="11"/>
  <c r="U37" i="11"/>
  <c r="AA10" i="11"/>
  <c r="Z8" i="11"/>
  <c r="Y8" i="11"/>
  <c r="R40" i="11"/>
  <c r="AB40" i="11"/>
  <c r="S11" i="11"/>
  <c r="R9" i="11"/>
  <c r="AB11" i="11"/>
  <c r="T40" i="11"/>
  <c r="Z10" i="11"/>
  <c r="Y10" i="11"/>
  <c r="S10" i="11"/>
  <c r="X9" i="11"/>
  <c r="U40" i="11"/>
  <c r="AC40" i="11"/>
  <c r="W10" i="11"/>
  <c r="AA9" i="11"/>
  <c r="Y14" i="11"/>
  <c r="AC32" i="11"/>
  <c r="U15" i="11"/>
  <c r="Y13" i="11"/>
  <c r="AC15" i="11"/>
  <c r="AA40" i="11"/>
  <c r="AC9" i="11"/>
  <c r="AA11" i="11"/>
  <c r="AC11" i="11"/>
  <c r="T9" i="11"/>
  <c r="V9" i="11"/>
  <c r="AC8" i="11"/>
  <c r="R8" i="11"/>
  <c r="AC10" i="11"/>
  <c r="Y9" i="11"/>
  <c r="AA8" i="11"/>
  <c r="V8" i="11"/>
  <c r="S8" i="11"/>
  <c r="W9" i="11"/>
  <c r="Z40" i="11"/>
  <c r="S40" i="11"/>
  <c r="W40" i="11"/>
  <c r="X20" i="11"/>
  <c r="X5" i="11"/>
  <c r="Z20" i="11"/>
  <c r="Z5" i="11"/>
  <c r="U20" i="11"/>
  <c r="R20" i="11"/>
  <c r="AB20" i="11"/>
  <c r="AB5" i="11"/>
  <c r="AC20" i="11"/>
  <c r="U14" i="11"/>
  <c r="S32" i="11"/>
  <c r="AA32" i="11"/>
  <c r="AC16" i="11"/>
  <c r="U13" i="11"/>
  <c r="U16" i="11"/>
  <c r="Y12" i="11"/>
  <c r="R11" i="11"/>
  <c r="U11" i="11"/>
  <c r="V40" i="11"/>
  <c r="U9" i="11"/>
  <c r="Z11" i="11"/>
  <c r="X11" i="11"/>
  <c r="W11" i="11"/>
  <c r="AB9" i="11"/>
  <c r="R10" i="11"/>
  <c r="U8" i="11"/>
  <c r="X8" i="11"/>
  <c r="S9" i="11"/>
  <c r="Y16" i="11"/>
  <c r="Y32" i="11"/>
  <c r="AC13" i="11"/>
  <c r="V11" i="11"/>
  <c r="V10" i="11"/>
  <c r="Z9" i="11"/>
  <c r="X10" i="11"/>
  <c r="W8" i="11"/>
  <c r="S5" i="11"/>
  <c r="T20" i="11"/>
  <c r="V20" i="11"/>
  <c r="V5" i="11"/>
  <c r="W20" i="11"/>
  <c r="AC12" i="11"/>
  <c r="Y15" i="11"/>
  <c r="U5" i="11"/>
  <c r="W5" i="11"/>
  <c r="S20" i="11"/>
  <c r="Y20" i="11"/>
  <c r="Y5" i="11"/>
  <c r="AA20" i="11"/>
  <c r="AA5" i="11"/>
  <c r="D1203" i="3"/>
  <c r="AX42" i="11"/>
  <c r="AP42" i="11"/>
  <c r="AV42" i="11"/>
  <c r="AT42" i="11"/>
  <c r="AZ42" i="11"/>
  <c r="AR42" i="11"/>
  <c r="BA42" i="11"/>
  <c r="AS42" i="11"/>
  <c r="AS17" i="11" l="1" a="1"/>
  <c r="AS45" i="11" a="1"/>
  <c r="AY45" i="11" a="1"/>
  <c r="AU45" i="11" a="1"/>
  <c r="AS25" i="11" a="1"/>
  <c r="AV25" i="11" a="1"/>
  <c r="AV25" i="11" s="1"/>
  <c r="AQ25" i="11" a="1"/>
  <c r="AQ25" i="11" s="1"/>
  <c r="AS39" i="11" a="1"/>
  <c r="AX39" i="11" a="1"/>
  <c r="AX39" i="11" s="1"/>
  <c r="AR39" i="11" a="1"/>
  <c r="AR39" i="11" s="1"/>
  <c r="AS18" i="11" a="1"/>
  <c r="AU18" i="11" a="1"/>
  <c r="AT18" i="11" a="1"/>
  <c r="AR45" i="11" a="1"/>
  <c r="AW45" i="11" a="1"/>
  <c r="AT45" i="11" a="1"/>
  <c r="AW25" i="11" a="1"/>
  <c r="AW25" i="11" s="1"/>
  <c r="AZ25" i="11" a="1"/>
  <c r="AU25" i="11" a="1"/>
  <c r="AW39" i="11" a="1"/>
  <c r="AW39" i="11" s="1"/>
  <c r="AQ39" i="11" a="1"/>
  <c r="AQ39" i="11" s="1"/>
  <c r="AV39" i="11" a="1"/>
  <c r="AV39" i="11" s="1"/>
  <c r="AR18" i="11" a="1"/>
  <c r="AW18" i="11" a="1"/>
  <c r="AX18" i="11" a="1"/>
  <c r="AV45" i="11" a="1"/>
  <c r="BA45" i="11" a="1"/>
  <c r="AX45" i="11" a="1"/>
  <c r="BA25" i="11" a="1"/>
  <c r="AT25" i="11" a="1"/>
  <c r="AY25" i="11" a="1"/>
  <c r="AY25" i="11" s="1"/>
  <c r="BA39" i="11" a="1"/>
  <c r="BA39" i="11" s="1"/>
  <c r="AU39" i="11" a="1"/>
  <c r="AU39" i="11" s="1"/>
  <c r="AZ39" i="11" a="1"/>
  <c r="AZ39" i="11" s="1"/>
  <c r="AV18" i="11" a="1"/>
  <c r="BA18" i="11" a="1"/>
  <c r="AY18" i="11" a="1"/>
  <c r="AZ45" i="11" a="1"/>
  <c r="AP45" i="11" a="1"/>
  <c r="AQ45" i="11" a="1"/>
  <c r="AR25" i="11" a="1"/>
  <c r="AX25" i="11" a="1"/>
  <c r="AP25" i="11" a="1"/>
  <c r="AT39" i="11" a="1"/>
  <c r="AT39" i="11" s="1"/>
  <c r="AY39" i="11" a="1"/>
  <c r="AY39" i="11" s="1"/>
  <c r="AP39" i="11" a="1"/>
  <c r="AP39" i="11" s="1"/>
  <c r="AZ18" i="11" a="1"/>
  <c r="AP18" i="11" a="1"/>
  <c r="AQ18" i="11" a="1"/>
  <c r="R1203" i="3"/>
  <c r="N1203" i="3"/>
  <c r="J1203" i="3"/>
  <c r="I1203" i="3"/>
  <c r="Q1203" i="3"/>
  <c r="M1203" i="3"/>
  <c r="T1203" i="3"/>
  <c r="P1203" i="3"/>
  <c r="L1203" i="3"/>
  <c r="S1203" i="3"/>
  <c r="O1203" i="3"/>
  <c r="K1203" i="3"/>
  <c r="AW42" i="11"/>
  <c r="AS39" i="11"/>
  <c r="AU42" i="11"/>
  <c r="F41" i="17"/>
  <c r="H41" i="17"/>
  <c r="D41" i="17"/>
  <c r="N40" i="17"/>
  <c r="K40" i="17"/>
  <c r="M40" i="17"/>
  <c r="J41" i="17"/>
  <c r="K41" i="17"/>
  <c r="M41" i="17"/>
  <c r="D40" i="17"/>
  <c r="L40" i="17"/>
  <c r="E40" i="17"/>
  <c r="N41" i="17"/>
  <c r="L41" i="17"/>
  <c r="E41" i="17"/>
  <c r="F40" i="17"/>
  <c r="G40" i="17"/>
  <c r="O40" i="17"/>
  <c r="G41" i="17"/>
  <c r="O41" i="17"/>
  <c r="I41" i="17"/>
  <c r="J40" i="17"/>
  <c r="H40" i="17"/>
  <c r="I40" i="17"/>
  <c r="AS25" i="11"/>
  <c r="AX25" i="11"/>
  <c r="AT25" i="11"/>
  <c r="AS43" i="11"/>
  <c r="AZ25" i="11"/>
  <c r="BA25" i="11"/>
  <c r="AR25" i="11"/>
  <c r="AP25" i="11"/>
  <c r="AU25" i="11"/>
  <c r="U58" i="17" l="1"/>
  <c r="I551" i="1" l="1" a="1"/>
  <c r="I551" i="1" s="1"/>
  <c r="J551" i="1" a="1"/>
  <c r="J551" i="1" s="1"/>
  <c r="K551" i="1" a="1"/>
  <c r="K551" i="1" s="1"/>
  <c r="L551" i="1" a="1"/>
  <c r="L551" i="1" s="1"/>
  <c r="M551" i="1" a="1"/>
  <c r="M551" i="1" s="1"/>
  <c r="N551" i="1" a="1"/>
  <c r="N551" i="1" s="1"/>
  <c r="O551" i="1" a="1"/>
  <c r="O551" i="1" s="1"/>
  <c r="P551" i="1" a="1"/>
  <c r="P551" i="1" s="1"/>
  <c r="Q551" i="1" a="1"/>
  <c r="Q551" i="1" s="1"/>
  <c r="R551" i="1" a="1"/>
  <c r="R551" i="1" s="1"/>
  <c r="S551" i="1" a="1"/>
  <c r="S551" i="1" s="1"/>
  <c r="T551" i="1" a="1"/>
  <c r="T551" i="1" s="1"/>
  <c r="I552" i="1" a="1"/>
  <c r="I552" i="1" s="1"/>
  <c r="J552" i="1" a="1"/>
  <c r="J552" i="1" s="1"/>
  <c r="K552" i="1" a="1"/>
  <c r="K552" i="1" s="1"/>
  <c r="L552" i="1" a="1"/>
  <c r="L552" i="1" s="1"/>
  <c r="M552" i="1" a="1"/>
  <c r="M552" i="1" s="1"/>
  <c r="N552" i="1" a="1"/>
  <c r="N552" i="1" s="1"/>
  <c r="O552" i="1" a="1"/>
  <c r="O552" i="1" s="1"/>
  <c r="P552" i="1" a="1"/>
  <c r="P552" i="1" s="1"/>
  <c r="Q552" i="1" a="1"/>
  <c r="Q552" i="1" s="1"/>
  <c r="R552" i="1" a="1"/>
  <c r="R552" i="1" s="1"/>
  <c r="S552" i="1" a="1"/>
  <c r="S552" i="1" s="1"/>
  <c r="T552" i="1" a="1"/>
  <c r="T552" i="1" s="1"/>
  <c r="F105" i="14" a="1"/>
  <c r="F105" i="14" s="1"/>
  <c r="G105" i="14" a="1"/>
  <c r="G105" i="14" s="1"/>
  <c r="H105" i="14" a="1"/>
  <c r="H105" i="14" s="1"/>
  <c r="I105" i="14" a="1"/>
  <c r="I105" i="14" s="1"/>
  <c r="J105" i="14" a="1"/>
  <c r="J105" i="14" s="1"/>
  <c r="K105" i="14" a="1"/>
  <c r="K105" i="14" s="1"/>
  <c r="L105" i="14" a="1"/>
  <c r="L105" i="14" s="1"/>
  <c r="M105" i="14" a="1"/>
  <c r="M105" i="14" s="1"/>
  <c r="N105" i="14" a="1"/>
  <c r="N105" i="14" s="1"/>
  <c r="O105" i="14" a="1"/>
  <c r="O105" i="14" s="1"/>
  <c r="P105" i="14" a="1"/>
  <c r="P105" i="14" s="1"/>
  <c r="Q105" i="14" a="1"/>
  <c r="Q105" i="14" s="1"/>
  <c r="F106" i="14" a="1"/>
  <c r="F106" i="14" s="1"/>
  <c r="G106" i="14" a="1"/>
  <c r="G106" i="14" s="1"/>
  <c r="H106" i="14" a="1"/>
  <c r="H106" i="14" s="1"/>
  <c r="I106" i="14" a="1"/>
  <c r="I106" i="14" s="1"/>
  <c r="J106" i="14" a="1"/>
  <c r="J106" i="14" s="1"/>
  <c r="K106" i="14" a="1"/>
  <c r="K106" i="14" s="1"/>
  <c r="L106" i="14" a="1"/>
  <c r="L106" i="14" s="1"/>
  <c r="M106" i="14" a="1"/>
  <c r="M106" i="14" s="1"/>
  <c r="N106" i="14" a="1"/>
  <c r="N106" i="14" s="1"/>
  <c r="O106" i="14" a="1"/>
  <c r="O106" i="14" s="1"/>
  <c r="P106" i="14" a="1"/>
  <c r="P106" i="14" s="1"/>
  <c r="Q106" i="14" a="1"/>
  <c r="Q106" i="14" s="1"/>
  <c r="F107" i="14" a="1"/>
  <c r="F107" i="14" s="1"/>
  <c r="G107" i="14" a="1"/>
  <c r="G107" i="14" s="1"/>
  <c r="H107" i="14" a="1"/>
  <c r="H107" i="14" s="1"/>
  <c r="I107" i="14" a="1"/>
  <c r="I107" i="14" s="1"/>
  <c r="J107" i="14" a="1"/>
  <c r="J107" i="14" s="1"/>
  <c r="K107" i="14" a="1"/>
  <c r="K107" i="14" s="1"/>
  <c r="L107" i="14" a="1"/>
  <c r="L107" i="14" s="1"/>
  <c r="M107" i="14" a="1"/>
  <c r="M107" i="14" s="1"/>
  <c r="N107" i="14" a="1"/>
  <c r="N107" i="14" s="1"/>
  <c r="O107" i="14" a="1"/>
  <c r="O107" i="14" s="1"/>
  <c r="P107" i="14" a="1"/>
  <c r="P107" i="14" s="1"/>
  <c r="Q107" i="14" a="1"/>
  <c r="Q107" i="14" s="1"/>
  <c r="F108" i="14" a="1"/>
  <c r="F108" i="14" s="1"/>
  <c r="G108" i="14" a="1"/>
  <c r="G108" i="14" s="1"/>
  <c r="H108" i="14" a="1"/>
  <c r="H108" i="14" s="1"/>
  <c r="I108" i="14" a="1"/>
  <c r="I108" i="14" s="1"/>
  <c r="J108" i="14" a="1"/>
  <c r="J108" i="14" s="1"/>
  <c r="K108" i="14" a="1"/>
  <c r="K108" i="14" s="1"/>
  <c r="L108" i="14" a="1"/>
  <c r="L108" i="14" s="1"/>
  <c r="M108" i="14" a="1"/>
  <c r="M108" i="14" s="1"/>
  <c r="N108" i="14" a="1"/>
  <c r="N108" i="14" s="1"/>
  <c r="O108" i="14" a="1"/>
  <c r="O108" i="14" s="1"/>
  <c r="P108" i="14" a="1"/>
  <c r="P108" i="14" s="1"/>
  <c r="Q108" i="14" a="1"/>
  <c r="Q108" i="14" s="1"/>
  <c r="F109" i="14" a="1"/>
  <c r="F109" i="14" s="1"/>
  <c r="G109" i="14" a="1"/>
  <c r="G109" i="14" s="1"/>
  <c r="H109" i="14" a="1"/>
  <c r="H109" i="14" s="1"/>
  <c r="I109" i="14" a="1"/>
  <c r="I109" i="14" s="1"/>
  <c r="J109" i="14" a="1"/>
  <c r="J109" i="14" s="1"/>
  <c r="K109" i="14" a="1"/>
  <c r="K109" i="14" s="1"/>
  <c r="L109" i="14" a="1"/>
  <c r="L109" i="14" s="1"/>
  <c r="M109" i="14" a="1"/>
  <c r="M109" i="14" s="1"/>
  <c r="N109" i="14" a="1"/>
  <c r="N109" i="14" s="1"/>
  <c r="O109" i="14" a="1"/>
  <c r="O109" i="14" s="1"/>
  <c r="P109" i="14" a="1"/>
  <c r="P109" i="14" s="1"/>
  <c r="Q109" i="14" a="1"/>
  <c r="Q109" i="14" s="1"/>
  <c r="F110" i="14" a="1"/>
  <c r="F110" i="14" s="1"/>
  <c r="G110" i="14" a="1"/>
  <c r="G110" i="14" s="1"/>
  <c r="H110" i="14" a="1"/>
  <c r="H110" i="14" s="1"/>
  <c r="I110" i="14" a="1"/>
  <c r="I110" i="14" s="1"/>
  <c r="J110" i="14" a="1"/>
  <c r="J110" i="14" s="1"/>
  <c r="K110" i="14" a="1"/>
  <c r="K110" i="14" s="1"/>
  <c r="L110" i="14" a="1"/>
  <c r="L110" i="14" s="1"/>
  <c r="M110" i="14" a="1"/>
  <c r="M110" i="14" s="1"/>
  <c r="N110" i="14" a="1"/>
  <c r="N110" i="14" s="1"/>
  <c r="O110" i="14" a="1"/>
  <c r="O110" i="14" s="1"/>
  <c r="P110" i="14" a="1"/>
  <c r="P110" i="14" s="1"/>
  <c r="Q110" i="14" a="1"/>
  <c r="Q110" i="14" s="1"/>
  <c r="F111" i="14" a="1"/>
  <c r="F111" i="14" s="1"/>
  <c r="G111" i="14" a="1"/>
  <c r="G111" i="14" s="1"/>
  <c r="H111" i="14" a="1"/>
  <c r="H111" i="14" s="1"/>
  <c r="I111" i="14" a="1"/>
  <c r="I111" i="14" s="1"/>
  <c r="J111" i="14" a="1"/>
  <c r="J111" i="14" s="1"/>
  <c r="K111" i="14" a="1"/>
  <c r="K111" i="14" s="1"/>
  <c r="L111" i="14" a="1"/>
  <c r="L111" i="14" s="1"/>
  <c r="M111" i="14" a="1"/>
  <c r="M111" i="14" s="1"/>
  <c r="N111" i="14" a="1"/>
  <c r="N111" i="14" s="1"/>
  <c r="O111" i="14" a="1"/>
  <c r="O111" i="14" s="1"/>
  <c r="P111" i="14" a="1"/>
  <c r="P111" i="14" s="1"/>
  <c r="Q111" i="14" a="1"/>
  <c r="Q111" i="14" s="1"/>
  <c r="F112" i="14" a="1"/>
  <c r="F112" i="14" s="1"/>
  <c r="G112" i="14" a="1"/>
  <c r="G112" i="14" s="1"/>
  <c r="H112" i="14" a="1"/>
  <c r="H112" i="14" s="1"/>
  <c r="I112" i="14" a="1"/>
  <c r="I112" i="14" s="1"/>
  <c r="J112" i="14" a="1"/>
  <c r="J112" i="14" s="1"/>
  <c r="K112" i="14" a="1"/>
  <c r="K112" i="14" s="1"/>
  <c r="L112" i="14" a="1"/>
  <c r="L112" i="14" s="1"/>
  <c r="M112" i="14" a="1"/>
  <c r="M112" i="14" s="1"/>
  <c r="N112" i="14" a="1"/>
  <c r="N112" i="14" s="1"/>
  <c r="O112" i="14" a="1"/>
  <c r="O112" i="14" s="1"/>
  <c r="P112" i="14" a="1"/>
  <c r="P112" i="14" s="1"/>
  <c r="Q112" i="14" a="1"/>
  <c r="Q112" i="14" s="1"/>
  <c r="F113" i="14" a="1"/>
  <c r="F113" i="14" s="1"/>
  <c r="G113" i="14" a="1"/>
  <c r="G113" i="14" s="1"/>
  <c r="H113" i="14" a="1"/>
  <c r="H113" i="14" s="1"/>
  <c r="I113" i="14" a="1"/>
  <c r="I113" i="14" s="1"/>
  <c r="J113" i="14" a="1"/>
  <c r="J113" i="14" s="1"/>
  <c r="K113" i="14" a="1"/>
  <c r="K113" i="14" s="1"/>
  <c r="L113" i="14" a="1"/>
  <c r="L113" i="14" s="1"/>
  <c r="M113" i="14" a="1"/>
  <c r="M113" i="14" s="1"/>
  <c r="N113" i="14" a="1"/>
  <c r="N113" i="14" s="1"/>
  <c r="O113" i="14" a="1"/>
  <c r="O113" i="14" s="1"/>
  <c r="P113" i="14" a="1"/>
  <c r="P113" i="14" s="1"/>
  <c r="Q113" i="14" a="1"/>
  <c r="Q113" i="14" s="1"/>
  <c r="F114" i="14" a="1"/>
  <c r="F114" i="14" s="1"/>
  <c r="G114" i="14" a="1"/>
  <c r="G114" i="14" s="1"/>
  <c r="H114" i="14" a="1"/>
  <c r="H114" i="14" s="1"/>
  <c r="I114" i="14" a="1"/>
  <c r="I114" i="14" s="1"/>
  <c r="J114" i="14" a="1"/>
  <c r="J114" i="14" s="1"/>
  <c r="K114" i="14" a="1"/>
  <c r="K114" i="14" s="1"/>
  <c r="L114" i="14" a="1"/>
  <c r="L114" i="14" s="1"/>
  <c r="M114" i="14" a="1"/>
  <c r="M114" i="14" s="1"/>
  <c r="N114" i="14" a="1"/>
  <c r="N114" i="14" s="1"/>
  <c r="O114" i="14" a="1"/>
  <c r="O114" i="14" s="1"/>
  <c r="P114" i="14" a="1"/>
  <c r="P114" i="14" s="1"/>
  <c r="Q114" i="14" a="1"/>
  <c r="Q114" i="14" s="1"/>
  <c r="F115" i="14" a="1"/>
  <c r="F115" i="14" s="1"/>
  <c r="G115" i="14" a="1"/>
  <c r="G115" i="14" s="1"/>
  <c r="H115" i="14" a="1"/>
  <c r="H115" i="14" s="1"/>
  <c r="I115" i="14" a="1"/>
  <c r="I115" i="14" s="1"/>
  <c r="J115" i="14" a="1"/>
  <c r="J115" i="14" s="1"/>
  <c r="K115" i="14" a="1"/>
  <c r="K115" i="14" s="1"/>
  <c r="L115" i="14" a="1"/>
  <c r="L115" i="14" s="1"/>
  <c r="M115" i="14" a="1"/>
  <c r="M115" i="14" s="1"/>
  <c r="N115" i="14" a="1"/>
  <c r="N115" i="14" s="1"/>
  <c r="O115" i="14" a="1"/>
  <c r="O115" i="14" s="1"/>
  <c r="P115" i="14" a="1"/>
  <c r="P115" i="14" s="1"/>
  <c r="Q115" i="14" a="1"/>
  <c r="Q115" i="14" s="1"/>
  <c r="F116" i="14" a="1"/>
  <c r="F116" i="14" s="1"/>
  <c r="G116" i="14" a="1"/>
  <c r="G116" i="14" s="1"/>
  <c r="H116" i="14" a="1"/>
  <c r="H116" i="14" s="1"/>
  <c r="I116" i="14" a="1"/>
  <c r="I116" i="14" s="1"/>
  <c r="J116" i="14" a="1"/>
  <c r="J116" i="14" s="1"/>
  <c r="K116" i="14" a="1"/>
  <c r="K116" i="14" s="1"/>
  <c r="L116" i="14" a="1"/>
  <c r="L116" i="14" s="1"/>
  <c r="M116" i="14" a="1"/>
  <c r="M116" i="14" s="1"/>
  <c r="N116" i="14" a="1"/>
  <c r="N116" i="14" s="1"/>
  <c r="O116" i="14" a="1"/>
  <c r="O116" i="14" s="1"/>
  <c r="P116" i="14" a="1"/>
  <c r="P116" i="14" s="1"/>
  <c r="Q116" i="14" a="1"/>
  <c r="Q116" i="14" s="1"/>
  <c r="F117" i="14" a="1"/>
  <c r="F117" i="14" s="1"/>
  <c r="G117" i="14" a="1"/>
  <c r="G117" i="14" s="1"/>
  <c r="H117" i="14" a="1"/>
  <c r="H117" i="14" s="1"/>
  <c r="I117" i="14" a="1"/>
  <c r="I117" i="14" s="1"/>
  <c r="J117" i="14" a="1"/>
  <c r="J117" i="14" s="1"/>
  <c r="K117" i="14" a="1"/>
  <c r="K117" i="14" s="1"/>
  <c r="L117" i="14" a="1"/>
  <c r="L117" i="14" s="1"/>
  <c r="M117" i="14" a="1"/>
  <c r="M117" i="14" s="1"/>
  <c r="N117" i="14" a="1"/>
  <c r="N117" i="14" s="1"/>
  <c r="O117" i="14" a="1"/>
  <c r="O117" i="14" s="1"/>
  <c r="P117" i="14" a="1"/>
  <c r="P117" i="14" s="1"/>
  <c r="Q117" i="14" a="1"/>
  <c r="Q117" i="14" s="1"/>
  <c r="F118" i="14" a="1"/>
  <c r="F118" i="14" s="1"/>
  <c r="G118" i="14" a="1"/>
  <c r="G118" i="14" s="1"/>
  <c r="H118" i="14" a="1"/>
  <c r="H118" i="14" s="1"/>
  <c r="I118" i="14" a="1"/>
  <c r="I118" i="14" s="1"/>
  <c r="J118" i="14" a="1"/>
  <c r="J118" i="14" s="1"/>
  <c r="K118" i="14" a="1"/>
  <c r="K118" i="14" s="1"/>
  <c r="L118" i="14" a="1"/>
  <c r="L118" i="14" s="1"/>
  <c r="M118" i="14" a="1"/>
  <c r="M118" i="14" s="1"/>
  <c r="N118" i="14" a="1"/>
  <c r="N118" i="14" s="1"/>
  <c r="O118" i="14" a="1"/>
  <c r="O118" i="14" s="1"/>
  <c r="P118" i="14" a="1"/>
  <c r="P118" i="14" s="1"/>
  <c r="Q118" i="14" a="1"/>
  <c r="Q118" i="14" s="1"/>
  <c r="F119" i="14" a="1"/>
  <c r="F119" i="14" s="1"/>
  <c r="G119" i="14" a="1"/>
  <c r="G119" i="14" s="1"/>
  <c r="H119" i="14" a="1"/>
  <c r="H119" i="14" s="1"/>
  <c r="I119" i="14" a="1"/>
  <c r="I119" i="14" s="1"/>
  <c r="J119" i="14" a="1"/>
  <c r="J119" i="14" s="1"/>
  <c r="K119" i="14" a="1"/>
  <c r="K119" i="14" s="1"/>
  <c r="L119" i="14" a="1"/>
  <c r="L119" i="14" s="1"/>
  <c r="M119" i="14" a="1"/>
  <c r="M119" i="14" s="1"/>
  <c r="N119" i="14" a="1"/>
  <c r="N119" i="14" s="1"/>
  <c r="O119" i="14" a="1"/>
  <c r="O119" i="14" s="1"/>
  <c r="P119" i="14" a="1"/>
  <c r="P119" i="14" s="1"/>
  <c r="Q119" i="14" a="1"/>
  <c r="Q119" i="14" s="1"/>
  <c r="F120" i="14" a="1"/>
  <c r="F120" i="14" s="1"/>
  <c r="G120" i="14" a="1"/>
  <c r="G120" i="14" s="1"/>
  <c r="H120" i="14" a="1"/>
  <c r="H120" i="14" s="1"/>
  <c r="I120" i="14" a="1"/>
  <c r="I120" i="14" s="1"/>
  <c r="J120" i="14" a="1"/>
  <c r="J120" i="14" s="1"/>
  <c r="K120" i="14" a="1"/>
  <c r="K120" i="14" s="1"/>
  <c r="L120" i="14" a="1"/>
  <c r="L120" i="14" s="1"/>
  <c r="M120" i="14" a="1"/>
  <c r="M120" i="14" s="1"/>
  <c r="N120" i="14" a="1"/>
  <c r="N120" i="14" s="1"/>
  <c r="O120" i="14" a="1"/>
  <c r="O120" i="14" s="1"/>
  <c r="P120" i="14" a="1"/>
  <c r="P120" i="14" s="1"/>
  <c r="Q120" i="14" a="1"/>
  <c r="Q120" i="14" s="1"/>
  <c r="F121" i="14" a="1"/>
  <c r="F121" i="14" s="1"/>
  <c r="G121" i="14" a="1"/>
  <c r="G121" i="14" s="1"/>
  <c r="H121" i="14" a="1"/>
  <c r="H121" i="14" s="1"/>
  <c r="I121" i="14" a="1"/>
  <c r="I121" i="14" s="1"/>
  <c r="J121" i="14" a="1"/>
  <c r="J121" i="14" s="1"/>
  <c r="K121" i="14" a="1"/>
  <c r="K121" i="14" s="1"/>
  <c r="L121" i="14" a="1"/>
  <c r="L121" i="14" s="1"/>
  <c r="M121" i="14" a="1"/>
  <c r="M121" i="14" s="1"/>
  <c r="N121" i="14" a="1"/>
  <c r="N121" i="14" s="1"/>
  <c r="O121" i="14" a="1"/>
  <c r="O121" i="14" s="1"/>
  <c r="P121" i="14" a="1"/>
  <c r="P121" i="14" s="1"/>
  <c r="Q121" i="14" a="1"/>
  <c r="Q121" i="14" s="1"/>
  <c r="F122" i="14" a="1"/>
  <c r="F122" i="14" s="1"/>
  <c r="G122" i="14" a="1"/>
  <c r="G122" i="14" s="1"/>
  <c r="H122" i="14" a="1"/>
  <c r="H122" i="14" s="1"/>
  <c r="I122" i="14" a="1"/>
  <c r="I122" i="14" s="1"/>
  <c r="J122" i="14" a="1"/>
  <c r="J122" i="14" s="1"/>
  <c r="K122" i="14" a="1"/>
  <c r="K122" i="14" s="1"/>
  <c r="L122" i="14" a="1"/>
  <c r="L122" i="14" s="1"/>
  <c r="M122" i="14" a="1"/>
  <c r="M122" i="14" s="1"/>
  <c r="N122" i="14" a="1"/>
  <c r="N122" i="14" s="1"/>
  <c r="O122" i="14" a="1"/>
  <c r="O122" i="14" s="1"/>
  <c r="P122" i="14" a="1"/>
  <c r="P122" i="14" s="1"/>
  <c r="Q122" i="14" a="1"/>
  <c r="Q122" i="14" s="1"/>
  <c r="F123" i="14" a="1"/>
  <c r="F123" i="14" s="1"/>
  <c r="G123" i="14" a="1"/>
  <c r="G123" i="14" s="1"/>
  <c r="H123" i="14" a="1"/>
  <c r="H123" i="14" s="1"/>
  <c r="I123" i="14" a="1"/>
  <c r="I123" i="14" s="1"/>
  <c r="J123" i="14" a="1"/>
  <c r="J123" i="14" s="1"/>
  <c r="K123" i="14" a="1"/>
  <c r="K123" i="14" s="1"/>
  <c r="L123" i="14" a="1"/>
  <c r="L123" i="14" s="1"/>
  <c r="M123" i="14" a="1"/>
  <c r="M123" i="14" s="1"/>
  <c r="N123" i="14" a="1"/>
  <c r="N123" i="14" s="1"/>
  <c r="O123" i="14" a="1"/>
  <c r="O123" i="14" s="1"/>
  <c r="P123" i="14" a="1"/>
  <c r="P123" i="14" s="1"/>
  <c r="Q123" i="14" a="1"/>
  <c r="Q123" i="14" s="1"/>
  <c r="F124" i="14" a="1"/>
  <c r="F124" i="14" s="1"/>
  <c r="G124" i="14" a="1"/>
  <c r="G124" i="14" s="1"/>
  <c r="H124" i="14" a="1"/>
  <c r="H124" i="14" s="1"/>
  <c r="I124" i="14" a="1"/>
  <c r="I124" i="14" s="1"/>
  <c r="J124" i="14" a="1"/>
  <c r="J124" i="14" s="1"/>
  <c r="K124" i="14" a="1"/>
  <c r="K124" i="14" s="1"/>
  <c r="L124" i="14" a="1"/>
  <c r="L124" i="14" s="1"/>
  <c r="M124" i="14" a="1"/>
  <c r="M124" i="14" s="1"/>
  <c r="N124" i="14" a="1"/>
  <c r="N124" i="14" s="1"/>
  <c r="O124" i="14" a="1"/>
  <c r="O124" i="14" s="1"/>
  <c r="P124" i="14" a="1"/>
  <c r="P124" i="14" s="1"/>
  <c r="Q124" i="14" a="1"/>
  <c r="Q124" i="14" s="1"/>
  <c r="F125" i="14" a="1"/>
  <c r="F125" i="14" s="1"/>
  <c r="G125" i="14" a="1"/>
  <c r="G125" i="14" s="1"/>
  <c r="H125" i="14" a="1"/>
  <c r="H125" i="14" s="1"/>
  <c r="I125" i="14" a="1"/>
  <c r="I125" i="14" s="1"/>
  <c r="J125" i="14" a="1"/>
  <c r="J125" i="14" s="1"/>
  <c r="K125" i="14" a="1"/>
  <c r="K125" i="14" s="1"/>
  <c r="L125" i="14" a="1"/>
  <c r="L125" i="14" s="1"/>
  <c r="M125" i="14" a="1"/>
  <c r="M125" i="14" s="1"/>
  <c r="N125" i="14" a="1"/>
  <c r="N125" i="14" s="1"/>
  <c r="O125" i="14" a="1"/>
  <c r="O125" i="14" s="1"/>
  <c r="P125" i="14" a="1"/>
  <c r="P125" i="14" s="1"/>
  <c r="Q125" i="14" a="1"/>
  <c r="Q125" i="14" s="1"/>
  <c r="F126" i="14" a="1"/>
  <c r="F126" i="14" s="1"/>
  <c r="G126" i="14" a="1"/>
  <c r="G126" i="14" s="1"/>
  <c r="H126" i="14" a="1"/>
  <c r="H126" i="14" s="1"/>
  <c r="I126" i="14" a="1"/>
  <c r="I126" i="14" s="1"/>
  <c r="J126" i="14" a="1"/>
  <c r="J126" i="14" s="1"/>
  <c r="K126" i="14" a="1"/>
  <c r="K126" i="14" s="1"/>
  <c r="L126" i="14" a="1"/>
  <c r="L126" i="14" s="1"/>
  <c r="M126" i="14" a="1"/>
  <c r="M126" i="14" s="1"/>
  <c r="N126" i="14" a="1"/>
  <c r="N126" i="14" s="1"/>
  <c r="O126" i="14" a="1"/>
  <c r="O126" i="14" s="1"/>
  <c r="P126" i="14" a="1"/>
  <c r="P126" i="14" s="1"/>
  <c r="Q126" i="14" a="1"/>
  <c r="Q126" i="14" s="1"/>
  <c r="F127" i="14" a="1"/>
  <c r="F127" i="14" s="1"/>
  <c r="G127" i="14" a="1"/>
  <c r="G127" i="14" s="1"/>
  <c r="H127" i="14" a="1"/>
  <c r="H127" i="14" s="1"/>
  <c r="I127" i="14" a="1"/>
  <c r="I127" i="14" s="1"/>
  <c r="J127" i="14" a="1"/>
  <c r="J127" i="14" s="1"/>
  <c r="K127" i="14" a="1"/>
  <c r="K127" i="14" s="1"/>
  <c r="L127" i="14" a="1"/>
  <c r="L127" i="14" s="1"/>
  <c r="M127" i="14" a="1"/>
  <c r="M127" i="14" s="1"/>
  <c r="N127" i="14" a="1"/>
  <c r="N127" i="14" s="1"/>
  <c r="O127" i="14" a="1"/>
  <c r="O127" i="14" s="1"/>
  <c r="P127" i="14" a="1"/>
  <c r="P127" i="14" s="1"/>
  <c r="Q127" i="14" a="1"/>
  <c r="Q127" i="14" s="1"/>
  <c r="F128" i="14" a="1"/>
  <c r="F128" i="14" s="1"/>
  <c r="G128" i="14" a="1"/>
  <c r="G128" i="14" s="1"/>
  <c r="H128" i="14" a="1"/>
  <c r="H128" i="14" s="1"/>
  <c r="I128" i="14" a="1"/>
  <c r="I128" i="14" s="1"/>
  <c r="J128" i="14" a="1"/>
  <c r="J128" i="14" s="1"/>
  <c r="K128" i="14" a="1"/>
  <c r="K128" i="14" s="1"/>
  <c r="L128" i="14" a="1"/>
  <c r="L128" i="14" s="1"/>
  <c r="M128" i="14" a="1"/>
  <c r="M128" i="14" s="1"/>
  <c r="N128" i="14" a="1"/>
  <c r="N128" i="14" s="1"/>
  <c r="O128" i="14" a="1"/>
  <c r="O128" i="14" s="1"/>
  <c r="P128" i="14" a="1"/>
  <c r="P128" i="14" s="1"/>
  <c r="Q128" i="14" a="1"/>
  <c r="Q128" i="14" s="1"/>
  <c r="F129" i="14" a="1"/>
  <c r="F129" i="14" s="1"/>
  <c r="G129" i="14" a="1"/>
  <c r="G129" i="14" s="1"/>
  <c r="H129" i="14" a="1"/>
  <c r="H129" i="14" s="1"/>
  <c r="I129" i="14" a="1"/>
  <c r="I129" i="14" s="1"/>
  <c r="J129" i="14" a="1"/>
  <c r="J129" i="14" s="1"/>
  <c r="K129" i="14" a="1"/>
  <c r="K129" i="14" s="1"/>
  <c r="L129" i="14" a="1"/>
  <c r="L129" i="14" s="1"/>
  <c r="M129" i="14" a="1"/>
  <c r="M129" i="14" s="1"/>
  <c r="N129" i="14" a="1"/>
  <c r="N129" i="14" s="1"/>
  <c r="O129" i="14" a="1"/>
  <c r="O129" i="14" s="1"/>
  <c r="P129" i="14" a="1"/>
  <c r="P129" i="14" s="1"/>
  <c r="Q129" i="14" a="1"/>
  <c r="Q129" i="14" s="1"/>
  <c r="F130" i="14" a="1"/>
  <c r="F130" i="14" s="1"/>
  <c r="G130" i="14" a="1"/>
  <c r="G130" i="14" s="1"/>
  <c r="H130" i="14" a="1"/>
  <c r="H130" i="14" s="1"/>
  <c r="I130" i="14" a="1"/>
  <c r="I130" i="14" s="1"/>
  <c r="J130" i="14" a="1"/>
  <c r="J130" i="14" s="1"/>
  <c r="K130" i="14" a="1"/>
  <c r="K130" i="14" s="1"/>
  <c r="L130" i="14" a="1"/>
  <c r="L130" i="14" s="1"/>
  <c r="M130" i="14" a="1"/>
  <c r="M130" i="14" s="1"/>
  <c r="N130" i="14" a="1"/>
  <c r="N130" i="14" s="1"/>
  <c r="O130" i="14" a="1"/>
  <c r="O130" i="14" s="1"/>
  <c r="P130" i="14" a="1"/>
  <c r="P130" i="14" s="1"/>
  <c r="Q130" i="14" a="1"/>
  <c r="Q130" i="14" s="1"/>
  <c r="F131" i="14" a="1"/>
  <c r="F131" i="14" s="1"/>
  <c r="G131" i="14" a="1"/>
  <c r="G131" i="14" s="1"/>
  <c r="H131" i="14" a="1"/>
  <c r="H131" i="14" s="1"/>
  <c r="I131" i="14" a="1"/>
  <c r="I131" i="14" s="1"/>
  <c r="J131" i="14" a="1"/>
  <c r="J131" i="14" s="1"/>
  <c r="K131" i="14" a="1"/>
  <c r="K131" i="14" s="1"/>
  <c r="L131" i="14" a="1"/>
  <c r="L131" i="14" s="1"/>
  <c r="M131" i="14" a="1"/>
  <c r="M131" i="14" s="1"/>
  <c r="N131" i="14" a="1"/>
  <c r="N131" i="14" s="1"/>
  <c r="O131" i="14" a="1"/>
  <c r="O131" i="14" s="1"/>
  <c r="P131" i="14" a="1"/>
  <c r="P131" i="14" s="1"/>
  <c r="Q131" i="14" a="1"/>
  <c r="Q131" i="14" s="1"/>
  <c r="F132" i="14" a="1"/>
  <c r="F132" i="14" s="1"/>
  <c r="G132" i="14" a="1"/>
  <c r="G132" i="14" s="1"/>
  <c r="H132" i="14" a="1"/>
  <c r="H132" i="14" s="1"/>
  <c r="I132" i="14" a="1"/>
  <c r="I132" i="14" s="1"/>
  <c r="J132" i="14" a="1"/>
  <c r="J132" i="14" s="1"/>
  <c r="K132" i="14" a="1"/>
  <c r="K132" i="14" s="1"/>
  <c r="L132" i="14" a="1"/>
  <c r="L132" i="14" s="1"/>
  <c r="M132" i="14" a="1"/>
  <c r="M132" i="14" s="1"/>
  <c r="N132" i="14" a="1"/>
  <c r="N132" i="14" s="1"/>
  <c r="O132" i="14" a="1"/>
  <c r="O132" i="14" s="1"/>
  <c r="P132" i="14" a="1"/>
  <c r="P132" i="14" s="1"/>
  <c r="Q132" i="14" a="1"/>
  <c r="Q132" i="14" s="1"/>
  <c r="F133" i="14" a="1"/>
  <c r="F133" i="14" s="1"/>
  <c r="G133" i="14" a="1"/>
  <c r="G133" i="14" s="1"/>
  <c r="H133" i="14" a="1"/>
  <c r="H133" i="14" s="1"/>
  <c r="I133" i="14" a="1"/>
  <c r="I133" i="14" s="1"/>
  <c r="J133" i="14" a="1"/>
  <c r="J133" i="14" s="1"/>
  <c r="K133" i="14" a="1"/>
  <c r="K133" i="14" s="1"/>
  <c r="L133" i="14" a="1"/>
  <c r="L133" i="14" s="1"/>
  <c r="M133" i="14" a="1"/>
  <c r="M133" i="14" s="1"/>
  <c r="N133" i="14" a="1"/>
  <c r="N133" i="14" s="1"/>
  <c r="O133" i="14" a="1"/>
  <c r="O133" i="14" s="1"/>
  <c r="P133" i="14" a="1"/>
  <c r="P133" i="14" s="1"/>
  <c r="Q133" i="14" a="1"/>
  <c r="Q133" i="14" s="1"/>
  <c r="F134" i="14" a="1"/>
  <c r="F134" i="14" s="1"/>
  <c r="G134" i="14" a="1"/>
  <c r="G134" i="14" s="1"/>
  <c r="H134" i="14" a="1"/>
  <c r="H134" i="14" s="1"/>
  <c r="I134" i="14" a="1"/>
  <c r="I134" i="14" s="1"/>
  <c r="J134" i="14" a="1"/>
  <c r="J134" i="14" s="1"/>
  <c r="K134" i="14" a="1"/>
  <c r="K134" i="14" s="1"/>
  <c r="L134" i="14" a="1"/>
  <c r="L134" i="14" s="1"/>
  <c r="M134" i="14" a="1"/>
  <c r="M134" i="14" s="1"/>
  <c r="N134" i="14" a="1"/>
  <c r="N134" i="14" s="1"/>
  <c r="O134" i="14" a="1"/>
  <c r="O134" i="14" s="1"/>
  <c r="P134" i="14" a="1"/>
  <c r="P134" i="14" s="1"/>
  <c r="Q134" i="14" a="1"/>
  <c r="Q134" i="14" s="1"/>
  <c r="F135" i="14" a="1"/>
  <c r="F135" i="14" s="1"/>
  <c r="G135" i="14" a="1"/>
  <c r="G135" i="14" s="1"/>
  <c r="H135" i="14" a="1"/>
  <c r="H135" i="14" s="1"/>
  <c r="I135" i="14" a="1"/>
  <c r="I135" i="14" s="1"/>
  <c r="J135" i="14" a="1"/>
  <c r="J135" i="14" s="1"/>
  <c r="K135" i="14" a="1"/>
  <c r="K135" i="14" s="1"/>
  <c r="L135" i="14" a="1"/>
  <c r="L135" i="14" s="1"/>
  <c r="M135" i="14" a="1"/>
  <c r="M135" i="14" s="1"/>
  <c r="N135" i="14" a="1"/>
  <c r="N135" i="14" s="1"/>
  <c r="O135" i="14" a="1"/>
  <c r="O135" i="14" s="1"/>
  <c r="P135" i="14" a="1"/>
  <c r="P135" i="14" s="1"/>
  <c r="Q135" i="14" a="1"/>
  <c r="Q135" i="14" s="1"/>
  <c r="F136" i="14" a="1"/>
  <c r="F136" i="14" s="1"/>
  <c r="G136" i="14" a="1"/>
  <c r="G136" i="14" s="1"/>
  <c r="H136" i="14" a="1"/>
  <c r="H136" i="14" s="1"/>
  <c r="I136" i="14" a="1"/>
  <c r="I136" i="14" s="1"/>
  <c r="J136" i="14" a="1"/>
  <c r="J136" i="14" s="1"/>
  <c r="K136" i="14" a="1"/>
  <c r="K136" i="14" s="1"/>
  <c r="L136" i="14" a="1"/>
  <c r="L136" i="14" s="1"/>
  <c r="M136" i="14" a="1"/>
  <c r="M136" i="14" s="1"/>
  <c r="N136" i="14" a="1"/>
  <c r="N136" i="14" s="1"/>
  <c r="O136" i="14" a="1"/>
  <c r="O136" i="14" s="1"/>
  <c r="P136" i="14" a="1"/>
  <c r="P136" i="14" s="1"/>
  <c r="Q136" i="14" a="1"/>
  <c r="Q136" i="14" s="1"/>
  <c r="F137" i="14" a="1"/>
  <c r="F137" i="14" s="1"/>
  <c r="G137" i="14" a="1"/>
  <c r="G137" i="14" s="1"/>
  <c r="H137" i="14" a="1"/>
  <c r="H137" i="14" s="1"/>
  <c r="I137" i="14" a="1"/>
  <c r="I137" i="14" s="1"/>
  <c r="J137" i="14" a="1"/>
  <c r="J137" i="14" s="1"/>
  <c r="K137" i="14" a="1"/>
  <c r="K137" i="14" s="1"/>
  <c r="L137" i="14" a="1"/>
  <c r="L137" i="14" s="1"/>
  <c r="M137" i="14" a="1"/>
  <c r="M137" i="14" s="1"/>
  <c r="N137" i="14" a="1"/>
  <c r="N137" i="14" s="1"/>
  <c r="O137" i="14" a="1"/>
  <c r="O137" i="14" s="1"/>
  <c r="P137" i="14" a="1"/>
  <c r="P137" i="14" s="1"/>
  <c r="Q137" i="14" a="1"/>
  <c r="Q137" i="14" s="1"/>
  <c r="F138" i="14" a="1"/>
  <c r="F138" i="14" s="1"/>
  <c r="G138" i="14" a="1"/>
  <c r="G138" i="14" s="1"/>
  <c r="H138" i="14" a="1"/>
  <c r="H138" i="14" s="1"/>
  <c r="I138" i="14" a="1"/>
  <c r="I138" i="14" s="1"/>
  <c r="J138" i="14" a="1"/>
  <c r="J138" i="14" s="1"/>
  <c r="K138" i="14" a="1"/>
  <c r="K138" i="14" s="1"/>
  <c r="L138" i="14" a="1"/>
  <c r="L138" i="14" s="1"/>
  <c r="M138" i="14" a="1"/>
  <c r="M138" i="14" s="1"/>
  <c r="N138" i="14" a="1"/>
  <c r="N138" i="14" s="1"/>
  <c r="O138" i="14" a="1"/>
  <c r="O138" i="14" s="1"/>
  <c r="P138" i="14" a="1"/>
  <c r="P138" i="14" s="1"/>
  <c r="Q138" i="14" a="1"/>
  <c r="Q138" i="14" s="1"/>
  <c r="F139" i="14" a="1"/>
  <c r="F139" i="14" s="1"/>
  <c r="G139" i="14" a="1"/>
  <c r="G139" i="14" s="1"/>
  <c r="H139" i="14" a="1"/>
  <c r="H139" i="14" s="1"/>
  <c r="I139" i="14" a="1"/>
  <c r="I139" i="14" s="1"/>
  <c r="J139" i="14" a="1"/>
  <c r="J139" i="14" s="1"/>
  <c r="K139" i="14" a="1"/>
  <c r="K139" i="14" s="1"/>
  <c r="L139" i="14" a="1"/>
  <c r="L139" i="14" s="1"/>
  <c r="M139" i="14" a="1"/>
  <c r="M139" i="14" s="1"/>
  <c r="N139" i="14" a="1"/>
  <c r="N139" i="14" s="1"/>
  <c r="O139" i="14" a="1"/>
  <c r="O139" i="14" s="1"/>
  <c r="P139" i="14" a="1"/>
  <c r="P139" i="14" s="1"/>
  <c r="Q139" i="14" a="1"/>
  <c r="Q139" i="14" s="1"/>
  <c r="F140" i="14" a="1"/>
  <c r="F140" i="14" s="1"/>
  <c r="G140" i="14" a="1"/>
  <c r="G140" i="14" s="1"/>
  <c r="H140" i="14" a="1"/>
  <c r="H140" i="14" s="1"/>
  <c r="I140" i="14" a="1"/>
  <c r="I140" i="14" s="1"/>
  <c r="J140" i="14" a="1"/>
  <c r="J140" i="14" s="1"/>
  <c r="K140" i="14" a="1"/>
  <c r="K140" i="14" s="1"/>
  <c r="L140" i="14" a="1"/>
  <c r="L140" i="14" s="1"/>
  <c r="M140" i="14" a="1"/>
  <c r="M140" i="14" s="1"/>
  <c r="N140" i="14" a="1"/>
  <c r="N140" i="14" s="1"/>
  <c r="O140" i="14" a="1"/>
  <c r="O140" i="14" s="1"/>
  <c r="P140" i="14" a="1"/>
  <c r="P140" i="14" s="1"/>
  <c r="Q140" i="14" a="1"/>
  <c r="Q140" i="14" s="1"/>
  <c r="F141" i="14" a="1"/>
  <c r="F141" i="14" s="1"/>
  <c r="G141" i="14" a="1"/>
  <c r="G141" i="14" s="1"/>
  <c r="H141" i="14" a="1"/>
  <c r="H141" i="14" s="1"/>
  <c r="I141" i="14" a="1"/>
  <c r="I141" i="14" s="1"/>
  <c r="J141" i="14" a="1"/>
  <c r="J141" i="14" s="1"/>
  <c r="K141" i="14" a="1"/>
  <c r="K141" i="14" s="1"/>
  <c r="L141" i="14" a="1"/>
  <c r="L141" i="14" s="1"/>
  <c r="M141" i="14" a="1"/>
  <c r="M141" i="14" s="1"/>
  <c r="N141" i="14" a="1"/>
  <c r="N141" i="14" s="1"/>
  <c r="O141" i="14" a="1"/>
  <c r="O141" i="14" s="1"/>
  <c r="P141" i="14" a="1"/>
  <c r="P141" i="14" s="1"/>
  <c r="Q141" i="14" a="1"/>
  <c r="Q141" i="14" s="1"/>
  <c r="F142" i="14" a="1"/>
  <c r="F142" i="14" s="1"/>
  <c r="I511" i="1" s="1" a="1"/>
  <c r="I511" i="1" s="1"/>
  <c r="G142" i="14" a="1"/>
  <c r="G142" i="14" s="1"/>
  <c r="H142" i="14" a="1"/>
  <c r="H142" i="14" s="1"/>
  <c r="I142" i="14" a="1"/>
  <c r="I142" i="14" s="1"/>
  <c r="J142" i="14" a="1"/>
  <c r="J142" i="14" s="1"/>
  <c r="K142" i="14" a="1"/>
  <c r="K142" i="14" s="1"/>
  <c r="N511" i="1" s="1" a="1"/>
  <c r="N511" i="1" s="1"/>
  <c r="L142" i="14" a="1"/>
  <c r="L142" i="14" s="1"/>
  <c r="M142" i="14" a="1"/>
  <c r="M142" i="14" s="1"/>
  <c r="N142" i="14" a="1"/>
  <c r="N142" i="14" s="1"/>
  <c r="Q511" i="1" s="1" a="1"/>
  <c r="Q511" i="1" s="1"/>
  <c r="O142" i="14" a="1"/>
  <c r="O142" i="14" s="1"/>
  <c r="P142" i="14" a="1"/>
  <c r="P142" i="14" s="1"/>
  <c r="S511" i="1" s="1" a="1"/>
  <c r="S511" i="1" s="1"/>
  <c r="Q142" i="14" a="1"/>
  <c r="Q142" i="14" s="1"/>
  <c r="F143" i="14" a="1"/>
  <c r="F143" i="14" s="1"/>
  <c r="G143" i="14" a="1"/>
  <c r="G143" i="14" s="1"/>
  <c r="H143" i="14" a="1"/>
  <c r="H143" i="14" s="1"/>
  <c r="K516" i="1" s="1" a="1"/>
  <c r="K516" i="1" s="1"/>
  <c r="I143" i="14" a="1"/>
  <c r="I143" i="14" s="1"/>
  <c r="J143" i="14" a="1"/>
  <c r="J143" i="14" s="1"/>
  <c r="M516" i="1" s="1" a="1"/>
  <c r="M516" i="1" s="1"/>
  <c r="K143" i="14" a="1"/>
  <c r="K143" i="14" s="1"/>
  <c r="L143" i="14" a="1"/>
  <c r="L143" i="14" s="1"/>
  <c r="O513" i="1" s="1" a="1"/>
  <c r="O513" i="1" s="1"/>
  <c r="M143" i="14" a="1"/>
  <c r="M143" i="14" s="1"/>
  <c r="P514" i="1" s="1" a="1"/>
  <c r="P514" i="1" s="1"/>
  <c r="N143" i="14" a="1"/>
  <c r="N143" i="14" s="1"/>
  <c r="O143" i="14" a="1"/>
  <c r="O143" i="14" s="1"/>
  <c r="R514" i="1" s="1" a="1"/>
  <c r="R514" i="1" s="1"/>
  <c r="P143" i="14" a="1"/>
  <c r="P143" i="14" s="1"/>
  <c r="S513" i="1" s="1" a="1"/>
  <c r="S513" i="1" s="1"/>
  <c r="Q143" i="14" a="1"/>
  <c r="Q143" i="14" s="1"/>
  <c r="F144" i="14" a="1"/>
  <c r="F144" i="14" s="1"/>
  <c r="I526" i="1" s="1" a="1"/>
  <c r="I526" i="1" s="1"/>
  <c r="G144" i="14" a="1"/>
  <c r="G144" i="14" s="1"/>
  <c r="H144" i="14" a="1"/>
  <c r="H144" i="14" s="1"/>
  <c r="I144" i="14" a="1"/>
  <c r="I144" i="14" s="1"/>
  <c r="L526" i="1" s="1" a="1"/>
  <c r="L526" i="1" s="1"/>
  <c r="J144" i="14" a="1"/>
  <c r="J144" i="14" s="1"/>
  <c r="K144" i="14" a="1"/>
  <c r="K144" i="14" s="1"/>
  <c r="L144" i="14" a="1"/>
  <c r="L144" i="14" s="1"/>
  <c r="O526" i="1" s="1" a="1"/>
  <c r="O526" i="1" s="1"/>
  <c r="M144" i="14" a="1"/>
  <c r="M144" i="14" s="1"/>
  <c r="N144" i="14" a="1"/>
  <c r="N144" i="14" s="1"/>
  <c r="Q526" i="1" s="1" a="1"/>
  <c r="Q526" i="1" s="1"/>
  <c r="O144" i="14" a="1"/>
  <c r="O144" i="14" s="1"/>
  <c r="P144" i="14" a="1"/>
  <c r="P144" i="14" s="1"/>
  <c r="Q144" i="14" a="1"/>
  <c r="Q144" i="14" s="1"/>
  <c r="T526" i="1" s="1" a="1"/>
  <c r="T526" i="1" s="1"/>
  <c r="F145" i="14" a="1"/>
  <c r="F145" i="14" s="1"/>
  <c r="I538" i="1" s="1" a="1"/>
  <c r="I538" i="1" s="1"/>
  <c r="G145" i="14" a="1"/>
  <c r="G145" i="14" s="1"/>
  <c r="J538" i="1" s="1" a="1"/>
  <c r="J538" i="1" s="1"/>
  <c r="H145" i="14" a="1"/>
  <c r="H145" i="14" s="1"/>
  <c r="K539" i="1" s="1" a="1"/>
  <c r="K539" i="1" s="1"/>
  <c r="I145" i="14" a="1"/>
  <c r="I145" i="14" s="1"/>
  <c r="J145" i="14" a="1"/>
  <c r="J145" i="14" s="1"/>
  <c r="M539" i="1" s="1" a="1"/>
  <c r="M539" i="1" s="1"/>
  <c r="K145" i="14" a="1"/>
  <c r="K145" i="14" s="1"/>
  <c r="L145" i="14" a="1"/>
  <c r="L145" i="14" s="1"/>
  <c r="O538" i="1" s="1" a="1"/>
  <c r="O538" i="1" s="1"/>
  <c r="M145" i="14" a="1"/>
  <c r="M145" i="14" s="1"/>
  <c r="P539" i="1" s="1" a="1"/>
  <c r="P539" i="1" s="1"/>
  <c r="N145" i="14" a="1"/>
  <c r="N145" i="14" s="1"/>
  <c r="Q538" i="1" s="1" a="1"/>
  <c r="Q538" i="1" s="1"/>
  <c r="O145" i="14" a="1"/>
  <c r="O145" i="14" s="1"/>
  <c r="R538" i="1" s="1" a="1"/>
  <c r="R538" i="1" s="1"/>
  <c r="P145" i="14" a="1"/>
  <c r="P145" i="14" s="1"/>
  <c r="S539" i="1" s="1" a="1"/>
  <c r="S539" i="1" s="1"/>
  <c r="Q145" i="14" a="1"/>
  <c r="Q145" i="14" s="1"/>
  <c r="G104" i="14" a="1"/>
  <c r="G104" i="14" s="1"/>
  <c r="H104" i="14" a="1"/>
  <c r="H104" i="14" s="1"/>
  <c r="I104" i="14" a="1"/>
  <c r="I104" i="14" s="1"/>
  <c r="J104" i="14" a="1"/>
  <c r="J104" i="14" s="1"/>
  <c r="K104" i="14" a="1"/>
  <c r="K104" i="14" s="1"/>
  <c r="L104" i="14" a="1"/>
  <c r="L104" i="14" s="1"/>
  <c r="O5" i="1" s="1" a="1"/>
  <c r="O5" i="1" s="1"/>
  <c r="M104" i="14" a="1"/>
  <c r="M104" i="14" s="1"/>
  <c r="P5" i="1" s="1" a="1"/>
  <c r="P5" i="1" s="1"/>
  <c r="N104" i="14" a="1"/>
  <c r="N104" i="14" s="1"/>
  <c r="O104" i="14" a="1"/>
  <c r="O104" i="14" s="1"/>
  <c r="R5" i="1" s="1" a="1"/>
  <c r="R5" i="1" s="1"/>
  <c r="P104" i="14" a="1"/>
  <c r="P104" i="14" s="1"/>
  <c r="Q104" i="14" a="1"/>
  <c r="Q104" i="14" s="1"/>
  <c r="F104" i="14" a="1"/>
  <c r="F104" i="14" s="1"/>
  <c r="S14" i="1" l="1" a="1"/>
  <c r="S14" i="1" s="1"/>
  <c r="S6" i="1" a="1"/>
  <c r="S6" i="1" s="1"/>
  <c r="S9" i="1" a="1"/>
  <c r="S9" i="1" s="1"/>
  <c r="S10" i="1" a="1"/>
  <c r="S10" i="1" s="1"/>
  <c r="S13" i="1" a="1"/>
  <c r="S13" i="1" s="1"/>
  <c r="S17" i="1" a="1"/>
  <c r="S17" i="1" s="1"/>
  <c r="S12" i="1" a="1"/>
  <c r="S12" i="1" s="1"/>
  <c r="S16" i="1" a="1"/>
  <c r="S16" i="1" s="1"/>
  <c r="S7" i="1" a="1"/>
  <c r="S7" i="1" s="1"/>
  <c r="S8" i="1" a="1"/>
  <c r="S8" i="1" s="1"/>
  <c r="S11" i="1" a="1"/>
  <c r="S11" i="1" s="1"/>
  <c r="S15" i="1" a="1"/>
  <c r="S15" i="1" s="1"/>
  <c r="S5" i="1" a="1"/>
  <c r="S5" i="1" s="1"/>
  <c r="J526" i="1" a="1"/>
  <c r="J526" i="1" s="1"/>
  <c r="J528" i="1" a="1"/>
  <c r="J528" i="1" s="1"/>
  <c r="J530" i="1" a="1"/>
  <c r="J530" i="1" s="1"/>
  <c r="J532" i="1" a="1"/>
  <c r="J532" i="1" s="1"/>
  <c r="J534" i="1" a="1"/>
  <c r="J534" i="1" s="1"/>
  <c r="J536" i="1" a="1"/>
  <c r="J536" i="1" s="1"/>
  <c r="J527" i="1" a="1"/>
  <c r="J527" i="1" s="1"/>
  <c r="J529" i="1" a="1"/>
  <c r="J529" i="1" s="1"/>
  <c r="J531" i="1" a="1"/>
  <c r="J531" i="1" s="1"/>
  <c r="J533" i="1" a="1"/>
  <c r="J533" i="1" s="1"/>
  <c r="J535" i="1" a="1"/>
  <c r="J535" i="1" s="1"/>
  <c r="J537" i="1" a="1"/>
  <c r="J537" i="1" s="1"/>
  <c r="L500" i="1" a="1"/>
  <c r="L500" i="1" s="1"/>
  <c r="L502" i="1" a="1"/>
  <c r="L502" i="1" s="1"/>
  <c r="L504" i="1" a="1"/>
  <c r="L504" i="1" s="1"/>
  <c r="L506" i="1" a="1"/>
  <c r="L506" i="1" s="1"/>
  <c r="L508" i="1" a="1"/>
  <c r="L508" i="1" s="1"/>
  <c r="L510" i="1" a="1"/>
  <c r="L510" i="1" s="1"/>
  <c r="L501" i="1" a="1"/>
  <c r="L501" i="1" s="1"/>
  <c r="L503" i="1" a="1"/>
  <c r="L503" i="1" s="1"/>
  <c r="L505" i="1" a="1"/>
  <c r="L505" i="1" s="1"/>
  <c r="L507" i="1" a="1"/>
  <c r="L507" i="1" s="1"/>
  <c r="L509" i="1" a="1"/>
  <c r="L509" i="1" s="1"/>
  <c r="L511" i="1" a="1"/>
  <c r="L511" i="1" s="1"/>
  <c r="T486" i="1" a="1"/>
  <c r="T486" i="1" s="1"/>
  <c r="T488" i="1" a="1"/>
  <c r="T488" i="1" s="1"/>
  <c r="T490" i="1" a="1"/>
  <c r="T490" i="1" s="1"/>
  <c r="T492" i="1" a="1"/>
  <c r="T492" i="1" s="1"/>
  <c r="T494" i="1" a="1"/>
  <c r="T494" i="1" s="1"/>
  <c r="T496" i="1" a="1"/>
  <c r="T496" i="1" s="1"/>
  <c r="T498" i="1" a="1"/>
  <c r="T498" i="1" s="1"/>
  <c r="T487" i="1" a="1"/>
  <c r="T487" i="1" s="1"/>
  <c r="T489" i="1" a="1"/>
  <c r="T489" i="1" s="1"/>
  <c r="T491" i="1" a="1"/>
  <c r="T491" i="1" s="1"/>
  <c r="T493" i="1" a="1"/>
  <c r="T493" i="1" s="1"/>
  <c r="T495" i="1" a="1"/>
  <c r="T495" i="1" s="1"/>
  <c r="T497" i="1" a="1"/>
  <c r="T497" i="1" s="1"/>
  <c r="P475" i="1" a="1"/>
  <c r="P475" i="1" s="1"/>
  <c r="P477" i="1" a="1"/>
  <c r="P477" i="1" s="1"/>
  <c r="P479" i="1" a="1"/>
  <c r="P479" i="1" s="1"/>
  <c r="P481" i="1" a="1"/>
  <c r="P481" i="1" s="1"/>
  <c r="P483" i="1" a="1"/>
  <c r="P483" i="1" s="1"/>
  <c r="P485" i="1" a="1"/>
  <c r="P485" i="1" s="1"/>
  <c r="P474" i="1" a="1"/>
  <c r="P474" i="1" s="1"/>
  <c r="P476" i="1" a="1"/>
  <c r="P476" i="1" s="1"/>
  <c r="P478" i="1" a="1"/>
  <c r="P478" i="1" s="1"/>
  <c r="P480" i="1" a="1"/>
  <c r="P480" i="1" s="1"/>
  <c r="P482" i="1" a="1"/>
  <c r="P482" i="1" s="1"/>
  <c r="P484" i="1" a="1"/>
  <c r="P484" i="1" s="1"/>
  <c r="N460" i="1" a="1"/>
  <c r="N460" i="1" s="1"/>
  <c r="N462" i="1" a="1"/>
  <c r="N462" i="1" s="1"/>
  <c r="N464" i="1" a="1"/>
  <c r="N464" i="1" s="1"/>
  <c r="N466" i="1" a="1"/>
  <c r="N466" i="1" s="1"/>
  <c r="N468" i="1" a="1"/>
  <c r="N468" i="1" s="1"/>
  <c r="N470" i="1" a="1"/>
  <c r="N470" i="1" s="1"/>
  <c r="N472" i="1" a="1"/>
  <c r="N472" i="1" s="1"/>
  <c r="N461" i="1" a="1"/>
  <c r="N461" i="1" s="1"/>
  <c r="N463" i="1" a="1"/>
  <c r="N463" i="1" s="1"/>
  <c r="N465" i="1" a="1"/>
  <c r="N465" i="1" s="1"/>
  <c r="N467" i="1" a="1"/>
  <c r="N467" i="1" s="1"/>
  <c r="N469" i="1" a="1"/>
  <c r="N469" i="1" s="1"/>
  <c r="N471" i="1" a="1"/>
  <c r="N471" i="1" s="1"/>
  <c r="L448" i="1" a="1"/>
  <c r="L448" i="1" s="1"/>
  <c r="L450" i="1" a="1"/>
  <c r="L450" i="1" s="1"/>
  <c r="L452" i="1" a="1"/>
  <c r="L452" i="1" s="1"/>
  <c r="L454" i="1" a="1"/>
  <c r="L454" i="1" s="1"/>
  <c r="L456" i="1" a="1"/>
  <c r="L456" i="1" s="1"/>
  <c r="L458" i="1" a="1"/>
  <c r="L458" i="1" s="1"/>
  <c r="L447" i="1" a="1"/>
  <c r="L447" i="1" s="1"/>
  <c r="L449" i="1" a="1"/>
  <c r="L449" i="1" s="1"/>
  <c r="L451" i="1" a="1"/>
  <c r="L451" i="1" s="1"/>
  <c r="L453" i="1" a="1"/>
  <c r="L453" i="1" s="1"/>
  <c r="L455" i="1" a="1"/>
  <c r="L455" i="1" s="1"/>
  <c r="L457" i="1" a="1"/>
  <c r="L457" i="1" s="1"/>
  <c r="L459" i="1" a="1"/>
  <c r="L459" i="1" s="1"/>
  <c r="T436" i="1" a="1"/>
  <c r="T436" i="1" s="1"/>
  <c r="T439" i="1" a="1"/>
  <c r="T439" i="1" s="1"/>
  <c r="T442" i="1" a="1"/>
  <c r="T442" i="1" s="1"/>
  <c r="T444" i="1" a="1"/>
  <c r="T444" i="1" s="1"/>
  <c r="T434" i="1" a="1"/>
  <c r="T434" i="1" s="1"/>
  <c r="T437" i="1" a="1"/>
  <c r="T437" i="1" s="1"/>
  <c r="T435" i="1" a="1"/>
  <c r="T435" i="1" s="1"/>
  <c r="T440" i="1" a="1"/>
  <c r="T440" i="1" s="1"/>
  <c r="T443" i="1" a="1"/>
  <c r="T443" i="1" s="1"/>
  <c r="T446" i="1" a="1"/>
  <c r="T446" i="1" s="1"/>
  <c r="T441" i="1" a="1"/>
  <c r="T441" i="1" s="1"/>
  <c r="T438" i="1" a="1"/>
  <c r="T438" i="1" s="1"/>
  <c r="T445" i="1" a="1"/>
  <c r="T445" i="1" s="1"/>
  <c r="L421" i="1" a="1"/>
  <c r="L421" i="1" s="1"/>
  <c r="L426" i="1" a="1"/>
  <c r="L426" i="1" s="1"/>
  <c r="L429" i="1" a="1"/>
  <c r="L429" i="1" s="1"/>
  <c r="L424" i="1" a="1"/>
  <c r="L424" i="1" s="1"/>
  <c r="L427" i="1" a="1"/>
  <c r="L427" i="1" s="1"/>
  <c r="L432" i="1" a="1"/>
  <c r="L432" i="1" s="1"/>
  <c r="L422" i="1" a="1"/>
  <c r="L422" i="1" s="1"/>
  <c r="L425" i="1" a="1"/>
  <c r="L425" i="1" s="1"/>
  <c r="L430" i="1" a="1"/>
  <c r="L430" i="1" s="1"/>
  <c r="L433" i="1" a="1"/>
  <c r="L433" i="1" s="1"/>
  <c r="L423" i="1" a="1"/>
  <c r="L423" i="1" s="1"/>
  <c r="L428" i="1" a="1"/>
  <c r="L428" i="1" s="1"/>
  <c r="L431" i="1" a="1"/>
  <c r="L431" i="1" s="1"/>
  <c r="N410" i="1" a="1"/>
  <c r="N410" i="1" s="1"/>
  <c r="N414" i="1" a="1"/>
  <c r="N414" i="1" s="1"/>
  <c r="N418" i="1" a="1"/>
  <c r="N418" i="1" s="1"/>
  <c r="N409" i="1" a="1"/>
  <c r="N409" i="1" s="1"/>
  <c r="N413" i="1" a="1"/>
  <c r="N413" i="1" s="1"/>
  <c r="N417" i="1" a="1"/>
  <c r="N417" i="1" s="1"/>
  <c r="N420" i="1" a="1"/>
  <c r="N420" i="1" s="1"/>
  <c r="N408" i="1" a="1"/>
  <c r="N408" i="1" s="1"/>
  <c r="N412" i="1" a="1"/>
  <c r="N412" i="1" s="1"/>
  <c r="N416" i="1" a="1"/>
  <c r="N416" i="1" s="1"/>
  <c r="N411" i="1" a="1"/>
  <c r="N411" i="1" s="1"/>
  <c r="N415" i="1" a="1"/>
  <c r="N415" i="1" s="1"/>
  <c r="N419" i="1" a="1"/>
  <c r="N419" i="1" s="1"/>
  <c r="P396" i="1" a="1"/>
  <c r="P396" i="1" s="1"/>
  <c r="P400" i="1" a="1"/>
  <c r="P400" i="1" s="1"/>
  <c r="P404" i="1" a="1"/>
  <c r="P404" i="1" s="1"/>
  <c r="P399" i="1" a="1"/>
  <c r="P399" i="1" s="1"/>
  <c r="P403" i="1" a="1"/>
  <c r="P403" i="1" s="1"/>
  <c r="P407" i="1" a="1"/>
  <c r="P407" i="1" s="1"/>
  <c r="P398" i="1" a="1"/>
  <c r="P398" i="1" s="1"/>
  <c r="P402" i="1" a="1"/>
  <c r="P402" i="1" s="1"/>
  <c r="P406" i="1" a="1"/>
  <c r="P406" i="1" s="1"/>
  <c r="P397" i="1" a="1"/>
  <c r="P397" i="1" s="1"/>
  <c r="P401" i="1" a="1"/>
  <c r="P401" i="1" s="1"/>
  <c r="P405" i="1" a="1"/>
  <c r="P405" i="1" s="1"/>
  <c r="T373" i="1" a="1"/>
  <c r="T373" i="1" s="1"/>
  <c r="T377" i="1" a="1"/>
  <c r="T377" i="1" s="1"/>
  <c r="T381" i="1" a="1"/>
  <c r="T381" i="1" s="1"/>
  <c r="T372" i="1" a="1"/>
  <c r="T372" i="1" s="1"/>
  <c r="T376" i="1" a="1"/>
  <c r="T376" i="1" s="1"/>
  <c r="T380" i="1" a="1"/>
  <c r="T380" i="1" s="1"/>
  <c r="T371" i="1" a="1"/>
  <c r="T371" i="1" s="1"/>
  <c r="T375" i="1" a="1"/>
  <c r="T375" i="1" s="1"/>
  <c r="T379" i="1" a="1"/>
  <c r="T379" i="1" s="1"/>
  <c r="T370" i="1" a="1"/>
  <c r="T370" i="1" s="1"/>
  <c r="T374" i="1" a="1"/>
  <c r="T374" i="1" s="1"/>
  <c r="T378" i="1" a="1"/>
  <c r="T378" i="1" s="1"/>
  <c r="P372" i="1" a="1"/>
  <c r="P372" i="1" s="1"/>
  <c r="P376" i="1" a="1"/>
  <c r="P376" i="1" s="1"/>
  <c r="P380" i="1" a="1"/>
  <c r="P380" i="1" s="1"/>
  <c r="P371" i="1" a="1"/>
  <c r="P371" i="1" s="1"/>
  <c r="P375" i="1" a="1"/>
  <c r="P375" i="1" s="1"/>
  <c r="P379" i="1" a="1"/>
  <c r="P379" i="1" s="1"/>
  <c r="P370" i="1" a="1"/>
  <c r="P370" i="1" s="1"/>
  <c r="P374" i="1" a="1"/>
  <c r="P374" i="1" s="1"/>
  <c r="P378" i="1" a="1"/>
  <c r="P378" i="1" s="1"/>
  <c r="P373" i="1" a="1"/>
  <c r="P373" i="1" s="1"/>
  <c r="P377" i="1" a="1"/>
  <c r="P377" i="1" s="1"/>
  <c r="P381" i="1" a="1"/>
  <c r="P381" i="1" s="1"/>
  <c r="T343" i="1" a="1"/>
  <c r="T343" i="1" s="1"/>
  <c r="T346" i="1" a="1"/>
  <c r="T346" i="1" s="1"/>
  <c r="T350" i="1" a="1"/>
  <c r="T350" i="1" s="1"/>
  <c r="T345" i="1" a="1"/>
  <c r="T345" i="1" s="1"/>
  <c r="T349" i="1" a="1"/>
  <c r="T349" i="1" s="1"/>
  <c r="T353" i="1" a="1"/>
  <c r="T353" i="1" s="1"/>
  <c r="T344" i="1" a="1"/>
  <c r="T344" i="1" s="1"/>
  <c r="T348" i="1" a="1"/>
  <c r="T348" i="1" s="1"/>
  <c r="T352" i="1" a="1"/>
  <c r="T352" i="1" s="1"/>
  <c r="T351" i="1" a="1"/>
  <c r="T351" i="1" s="1"/>
  <c r="T354" i="1" a="1"/>
  <c r="T354" i="1" s="1"/>
  <c r="T347" i="1" a="1"/>
  <c r="T347" i="1" s="1"/>
  <c r="T355" i="1" a="1"/>
  <c r="T355" i="1" s="1"/>
  <c r="T319" i="1" a="1"/>
  <c r="T319" i="1" s="1"/>
  <c r="T323" i="1" a="1"/>
  <c r="T323" i="1" s="1"/>
  <c r="T327" i="1" a="1"/>
  <c r="T327" i="1" s="1"/>
  <c r="T318" i="1" a="1"/>
  <c r="T318" i="1" s="1"/>
  <c r="T322" i="1" a="1"/>
  <c r="T322" i="1" s="1"/>
  <c r="T325" i="1" a="1"/>
  <c r="T325" i="1" s="1"/>
  <c r="T326" i="1" a="1"/>
  <c r="T326" i="1" s="1"/>
  <c r="T329" i="1" a="1"/>
  <c r="T329" i="1" s="1"/>
  <c r="T317" i="1" a="1"/>
  <c r="T317" i="1" s="1"/>
  <c r="T321" i="1" a="1"/>
  <c r="T321" i="1" s="1"/>
  <c r="T320" i="1" a="1"/>
  <c r="T320" i="1" s="1"/>
  <c r="T324" i="1" a="1"/>
  <c r="T324" i="1" s="1"/>
  <c r="T328" i="1" a="1"/>
  <c r="T328" i="1" s="1"/>
  <c r="L293" i="1" a="1"/>
  <c r="L293" i="1" s="1"/>
  <c r="L297" i="1" a="1"/>
  <c r="L297" i="1" s="1"/>
  <c r="L301" i="1" a="1"/>
  <c r="L301" i="1" s="1"/>
  <c r="L292" i="1" a="1"/>
  <c r="L292" i="1" s="1"/>
  <c r="L296" i="1" a="1"/>
  <c r="L296" i="1" s="1"/>
  <c r="L300" i="1" a="1"/>
  <c r="L300" i="1" s="1"/>
  <c r="L291" i="1" a="1"/>
  <c r="L291" i="1" s="1"/>
  <c r="L295" i="1" a="1"/>
  <c r="L295" i="1" s="1"/>
  <c r="L299" i="1" a="1"/>
  <c r="L299" i="1" s="1"/>
  <c r="L303" i="1" a="1"/>
  <c r="L303" i="1" s="1"/>
  <c r="L294" i="1" a="1"/>
  <c r="L294" i="1" s="1"/>
  <c r="L298" i="1" a="1"/>
  <c r="L298" i="1" s="1"/>
  <c r="L302" i="1" a="1"/>
  <c r="L302" i="1" s="1"/>
  <c r="P255" i="1" a="1"/>
  <c r="P255" i="1" s="1"/>
  <c r="P259" i="1" a="1"/>
  <c r="P259" i="1" s="1"/>
  <c r="P263" i="1" a="1"/>
  <c r="P263" i="1" s="1"/>
  <c r="P254" i="1" a="1"/>
  <c r="P254" i="1" s="1"/>
  <c r="P258" i="1" a="1"/>
  <c r="P258" i="1" s="1"/>
  <c r="P262" i="1" a="1"/>
  <c r="P262" i="1" s="1"/>
  <c r="P253" i="1" a="1"/>
  <c r="P253" i="1" s="1"/>
  <c r="P257" i="1" a="1"/>
  <c r="P257" i="1" s="1"/>
  <c r="P261" i="1" a="1"/>
  <c r="P261" i="1" s="1"/>
  <c r="P252" i="1" a="1"/>
  <c r="P252" i="1" s="1"/>
  <c r="P256" i="1" a="1"/>
  <c r="P256" i="1" s="1"/>
  <c r="P260" i="1" a="1"/>
  <c r="P260" i="1" s="1"/>
  <c r="P264" i="1" a="1"/>
  <c r="P264" i="1" s="1"/>
  <c r="P227" i="1" a="1"/>
  <c r="P227" i="1" s="1"/>
  <c r="P229" i="1" a="1"/>
  <c r="P229" i="1" s="1"/>
  <c r="P231" i="1" a="1"/>
  <c r="P231" i="1" s="1"/>
  <c r="P235" i="1" a="1"/>
  <c r="P235" i="1" s="1"/>
  <c r="P230" i="1" a="1"/>
  <c r="P230" i="1" s="1"/>
  <c r="P234" i="1" a="1"/>
  <c r="P234" i="1" s="1"/>
  <c r="P238" i="1" a="1"/>
  <c r="P238" i="1" s="1"/>
  <c r="P226" i="1" a="1"/>
  <c r="P226" i="1" s="1"/>
  <c r="P228" i="1" a="1"/>
  <c r="P228" i="1" s="1"/>
  <c r="P233" i="1" a="1"/>
  <c r="P233" i="1" s="1"/>
  <c r="P237" i="1" a="1"/>
  <c r="P237" i="1" s="1"/>
  <c r="P232" i="1" a="1"/>
  <c r="P232" i="1" s="1"/>
  <c r="P236" i="1" a="1"/>
  <c r="P236" i="1" s="1"/>
  <c r="L215" i="1" a="1"/>
  <c r="L215" i="1" s="1"/>
  <c r="L218" i="1" a="1"/>
  <c r="L218" i="1" s="1"/>
  <c r="L223" i="1" a="1"/>
  <c r="L223" i="1" s="1"/>
  <c r="L216" i="1" a="1"/>
  <c r="L216" i="1" s="1"/>
  <c r="L221" i="1" a="1"/>
  <c r="L221" i="1" s="1"/>
  <c r="L224" i="1" a="1"/>
  <c r="L224" i="1" s="1"/>
  <c r="L217" i="1" a="1"/>
  <c r="L217" i="1" s="1"/>
  <c r="L220" i="1" a="1"/>
  <c r="L220" i="1" s="1"/>
  <c r="L219" i="1" a="1"/>
  <c r="L219" i="1" s="1"/>
  <c r="L222" i="1" a="1"/>
  <c r="L222" i="1" s="1"/>
  <c r="L214" i="1" a="1"/>
  <c r="L214" i="1" s="1"/>
  <c r="L225" i="1" a="1"/>
  <c r="L225" i="1" s="1"/>
  <c r="T190" i="1" a="1"/>
  <c r="T190" i="1" s="1"/>
  <c r="T192" i="1" a="1"/>
  <c r="T192" i="1" s="1"/>
  <c r="T197" i="1" a="1"/>
  <c r="T197" i="1" s="1"/>
  <c r="T199" i="1" a="1"/>
  <c r="T199" i="1" s="1"/>
  <c r="T187" i="1" a="1"/>
  <c r="T187" i="1" s="1"/>
  <c r="T194" i="1" a="1"/>
  <c r="T194" i="1" s="1"/>
  <c r="T196" i="1" a="1"/>
  <c r="T196" i="1" s="1"/>
  <c r="T189" i="1" a="1"/>
  <c r="T189" i="1" s="1"/>
  <c r="T191" i="1" a="1"/>
  <c r="T191" i="1" s="1"/>
  <c r="T198" i="1" a="1"/>
  <c r="T198" i="1" s="1"/>
  <c r="T188" i="1" a="1"/>
  <c r="T188" i="1" s="1"/>
  <c r="T193" i="1" a="1"/>
  <c r="T193" i="1" s="1"/>
  <c r="T195" i="1" a="1"/>
  <c r="T195" i="1" s="1"/>
  <c r="J177" i="1" a="1"/>
  <c r="J177" i="1" s="1"/>
  <c r="J175" i="1" a="1"/>
  <c r="J175" i="1" s="1"/>
  <c r="J176" i="1" a="1"/>
  <c r="J176" i="1" s="1"/>
  <c r="J178" i="1" a="1"/>
  <c r="J178" i="1" s="1"/>
  <c r="J183" i="1" a="1"/>
  <c r="J183" i="1" s="1"/>
  <c r="J186" i="1" a="1"/>
  <c r="J186" i="1" s="1"/>
  <c r="J181" i="1" a="1"/>
  <c r="J181" i="1" s="1"/>
  <c r="J184" i="1" a="1"/>
  <c r="J184" i="1" s="1"/>
  <c r="J179" i="1" a="1"/>
  <c r="J179" i="1" s="1"/>
  <c r="J182" i="1" a="1"/>
  <c r="J182" i="1" s="1"/>
  <c r="J180" i="1" a="1"/>
  <c r="J180" i="1" s="1"/>
  <c r="J185" i="1" a="1"/>
  <c r="J185" i="1" s="1"/>
  <c r="T151" i="1" a="1"/>
  <c r="T151" i="1" s="1"/>
  <c r="T155" i="1" a="1"/>
  <c r="T155" i="1" s="1"/>
  <c r="T159" i="1" a="1"/>
  <c r="T159" i="1" s="1"/>
  <c r="T150" i="1" a="1"/>
  <c r="T150" i="1" s="1"/>
  <c r="T154" i="1" a="1"/>
  <c r="T154" i="1" s="1"/>
  <c r="T158" i="1" a="1"/>
  <c r="T158" i="1" s="1"/>
  <c r="T149" i="1" a="1"/>
  <c r="T149" i="1" s="1"/>
  <c r="T153" i="1" a="1"/>
  <c r="T153" i="1" s="1"/>
  <c r="T157" i="1" a="1"/>
  <c r="T157" i="1" s="1"/>
  <c r="T148" i="1" a="1"/>
  <c r="T148" i="1" s="1"/>
  <c r="T152" i="1" a="1"/>
  <c r="T152" i="1" s="1"/>
  <c r="T156" i="1" a="1"/>
  <c r="T156" i="1" s="1"/>
  <c r="T160" i="1" a="1"/>
  <c r="T160" i="1" s="1"/>
  <c r="P110" i="1" a="1"/>
  <c r="P110" i="1" s="1"/>
  <c r="P112" i="1" a="1"/>
  <c r="P112" i="1" s="1"/>
  <c r="P113" i="1" a="1"/>
  <c r="P113" i="1" s="1"/>
  <c r="P117" i="1" a="1"/>
  <c r="P117" i="1" s="1"/>
  <c r="P121" i="1" a="1"/>
  <c r="P121" i="1" s="1"/>
  <c r="P109" i="1" a="1"/>
  <c r="P109" i="1" s="1"/>
  <c r="P115" i="1" a="1"/>
  <c r="P115" i="1" s="1"/>
  <c r="P120" i="1" a="1"/>
  <c r="P120" i="1" s="1"/>
  <c r="P119" i="1" a="1"/>
  <c r="P119" i="1" s="1"/>
  <c r="P111" i="1" a="1"/>
  <c r="P111" i="1" s="1"/>
  <c r="P114" i="1" a="1"/>
  <c r="P114" i="1" s="1"/>
  <c r="P116" i="1" a="1"/>
  <c r="P116" i="1" s="1"/>
  <c r="P118" i="1" a="1"/>
  <c r="P118" i="1" s="1"/>
  <c r="L109" i="1" a="1"/>
  <c r="L109" i="1" s="1"/>
  <c r="L112" i="1" a="1"/>
  <c r="L112" i="1" s="1"/>
  <c r="L113" i="1" a="1"/>
  <c r="L113" i="1" s="1"/>
  <c r="L120" i="1" a="1"/>
  <c r="L120" i="1" s="1"/>
  <c r="L114" i="1" a="1"/>
  <c r="L114" i="1" s="1"/>
  <c r="L116" i="1" a="1"/>
  <c r="L116" i="1" s="1"/>
  <c r="L119" i="1" a="1"/>
  <c r="L119" i="1" s="1"/>
  <c r="L111" i="1" a="1"/>
  <c r="L111" i="1" s="1"/>
  <c r="L118" i="1" a="1"/>
  <c r="L118" i="1" s="1"/>
  <c r="L110" i="1" a="1"/>
  <c r="L110" i="1" s="1"/>
  <c r="L115" i="1" a="1"/>
  <c r="L115" i="1" s="1"/>
  <c r="L117" i="1" a="1"/>
  <c r="L117" i="1" s="1"/>
  <c r="L121" i="1" a="1"/>
  <c r="L121" i="1" s="1"/>
  <c r="T99" i="1" a="1"/>
  <c r="T99" i="1" s="1"/>
  <c r="T103" i="1" a="1"/>
  <c r="T103" i="1" s="1"/>
  <c r="T107" i="1" a="1"/>
  <c r="T107" i="1" s="1"/>
  <c r="T98" i="1" a="1"/>
  <c r="T98" i="1" s="1"/>
  <c r="T102" i="1" a="1"/>
  <c r="T102" i="1" s="1"/>
  <c r="T106" i="1" a="1"/>
  <c r="T106" i="1" s="1"/>
  <c r="T97" i="1" a="1"/>
  <c r="T97" i="1" s="1"/>
  <c r="T101" i="1" a="1"/>
  <c r="T101" i="1" s="1"/>
  <c r="T105" i="1" a="1"/>
  <c r="T105" i="1" s="1"/>
  <c r="T96" i="1" a="1"/>
  <c r="T96" i="1" s="1"/>
  <c r="T100" i="1" a="1"/>
  <c r="T100" i="1" s="1"/>
  <c r="T104" i="1" a="1"/>
  <c r="T104" i="1" s="1"/>
  <c r="T108" i="1" a="1"/>
  <c r="T108" i="1" s="1"/>
  <c r="N83" i="1" a="1"/>
  <c r="N83" i="1" s="1"/>
  <c r="N87" i="1" a="1"/>
  <c r="N87" i="1" s="1"/>
  <c r="N86" i="1" a="1"/>
  <c r="N86" i="1" s="1"/>
  <c r="N85" i="1" a="1"/>
  <c r="N85" i="1" s="1"/>
  <c r="N89" i="1" a="1"/>
  <c r="N89" i="1" s="1"/>
  <c r="N84" i="1" a="1"/>
  <c r="N84" i="1" s="1"/>
  <c r="N88" i="1" a="1"/>
  <c r="N88" i="1" s="1"/>
  <c r="N90" i="1" a="1"/>
  <c r="N90" i="1" s="1"/>
  <c r="N92" i="1" a="1"/>
  <c r="N92" i="1" s="1"/>
  <c r="N91" i="1" a="1"/>
  <c r="N91" i="1" s="1"/>
  <c r="N95" i="1" a="1"/>
  <c r="N95" i="1" s="1"/>
  <c r="N94" i="1" a="1"/>
  <c r="N94" i="1" s="1"/>
  <c r="N93" i="1" a="1"/>
  <c r="N93" i="1" s="1"/>
  <c r="T58" i="1" a="1"/>
  <c r="T58" i="1" s="1"/>
  <c r="T64" i="1" a="1"/>
  <c r="T64" i="1" s="1"/>
  <c r="T57" i="1" a="1"/>
  <c r="T57" i="1" s="1"/>
  <c r="T59" i="1" a="1"/>
  <c r="T59" i="1" s="1"/>
  <c r="T63" i="1" a="1"/>
  <c r="T63" i="1" s="1"/>
  <c r="T67" i="1" a="1"/>
  <c r="T67" i="1" s="1"/>
  <c r="T62" i="1" a="1"/>
  <c r="T62" i="1" s="1"/>
  <c r="T66" i="1" a="1"/>
  <c r="T66" i="1" s="1"/>
  <c r="T60" i="1" a="1"/>
  <c r="T60" i="1" s="1"/>
  <c r="T61" i="1" a="1"/>
  <c r="T61" i="1" s="1"/>
  <c r="T65" i="1" a="1"/>
  <c r="T65" i="1" s="1"/>
  <c r="T69" i="1" a="1"/>
  <c r="T69" i="1" s="1"/>
  <c r="T68" i="1" a="1"/>
  <c r="T68" i="1" s="1"/>
  <c r="P57" i="1" a="1"/>
  <c r="P57" i="1" s="1"/>
  <c r="P63" i="1" a="1"/>
  <c r="P63" i="1" s="1"/>
  <c r="P67" i="1" a="1"/>
  <c r="P67" i="1" s="1"/>
  <c r="P59" i="1" a="1"/>
  <c r="P59" i="1" s="1"/>
  <c r="P60" i="1" a="1"/>
  <c r="P60" i="1" s="1"/>
  <c r="P62" i="1" a="1"/>
  <c r="P62" i="1" s="1"/>
  <c r="P66" i="1" a="1"/>
  <c r="P66" i="1" s="1"/>
  <c r="P61" i="1" a="1"/>
  <c r="P61" i="1" s="1"/>
  <c r="P65" i="1" a="1"/>
  <c r="P65" i="1" s="1"/>
  <c r="P58" i="1" a="1"/>
  <c r="P58" i="1" s="1"/>
  <c r="P64" i="1" a="1"/>
  <c r="P64" i="1" s="1"/>
  <c r="P69" i="1" a="1"/>
  <c r="P69" i="1" s="1"/>
  <c r="P68" i="1" a="1"/>
  <c r="P68" i="1" s="1"/>
  <c r="T46" i="1" a="1"/>
  <c r="T46" i="1" s="1"/>
  <c r="T49" i="1" a="1"/>
  <c r="T49" i="1" s="1"/>
  <c r="T53" i="1" a="1"/>
  <c r="T53" i="1" s="1"/>
  <c r="T44" i="1" a="1"/>
  <c r="T44" i="1" s="1"/>
  <c r="T47" i="1" a="1"/>
  <c r="T47" i="1" s="1"/>
  <c r="T48" i="1" a="1"/>
  <c r="T48" i="1" s="1"/>
  <c r="T50" i="1" a="1"/>
  <c r="T50" i="1" s="1"/>
  <c r="T54" i="1" a="1"/>
  <c r="T54" i="1" s="1"/>
  <c r="T52" i="1" a="1"/>
  <c r="T52" i="1" s="1"/>
  <c r="T56" i="1" a="1"/>
  <c r="T56" i="1" s="1"/>
  <c r="T45" i="1" a="1"/>
  <c r="T45" i="1" s="1"/>
  <c r="T51" i="1" a="1"/>
  <c r="T51" i="1" s="1"/>
  <c r="T55" i="1" a="1"/>
  <c r="T55" i="1" s="1"/>
  <c r="R32" i="1" a="1"/>
  <c r="R32" i="1" s="1"/>
  <c r="R33" i="1" a="1"/>
  <c r="R33" i="1" s="1"/>
  <c r="R36" i="1" a="1"/>
  <c r="R36" i="1" s="1"/>
  <c r="R37" i="1" a="1"/>
  <c r="R37" i="1" s="1"/>
  <c r="R40" i="1" a="1"/>
  <c r="R40" i="1" s="1"/>
  <c r="R41" i="1" a="1"/>
  <c r="R41" i="1" s="1"/>
  <c r="R34" i="1" a="1"/>
  <c r="R34" i="1" s="1"/>
  <c r="R35" i="1" a="1"/>
  <c r="R35" i="1" s="1"/>
  <c r="R38" i="1" a="1"/>
  <c r="R38" i="1" s="1"/>
  <c r="R39" i="1" a="1"/>
  <c r="R39" i="1" s="1"/>
  <c r="R42" i="1" a="1"/>
  <c r="R42" i="1" s="1"/>
  <c r="R43" i="1" a="1"/>
  <c r="R43" i="1" s="1"/>
  <c r="N32" i="1" a="1"/>
  <c r="N32" i="1" s="1"/>
  <c r="N35" i="1" a="1"/>
  <c r="N35" i="1" s="1"/>
  <c r="N36" i="1" a="1"/>
  <c r="N36" i="1" s="1"/>
  <c r="N39" i="1" a="1"/>
  <c r="N39" i="1" s="1"/>
  <c r="N40" i="1" a="1"/>
  <c r="N40" i="1" s="1"/>
  <c r="N43" i="1" a="1"/>
  <c r="N43" i="1" s="1"/>
  <c r="N33" i="1" a="1"/>
  <c r="N33" i="1" s="1"/>
  <c r="N34" i="1" a="1"/>
  <c r="N34" i="1" s="1"/>
  <c r="N37" i="1" a="1"/>
  <c r="N37" i="1" s="1"/>
  <c r="N38" i="1" a="1"/>
  <c r="N38" i="1" s="1"/>
  <c r="N41" i="1" a="1"/>
  <c r="N41" i="1" s="1"/>
  <c r="N42" i="1" a="1"/>
  <c r="N42" i="1" s="1"/>
  <c r="L19" i="1" a="1"/>
  <c r="L19" i="1" s="1"/>
  <c r="L20" i="1" a="1"/>
  <c r="L20" i="1" s="1"/>
  <c r="L21" i="1" a="1"/>
  <c r="L21" i="1" s="1"/>
  <c r="L22" i="1" a="1"/>
  <c r="L22" i="1" s="1"/>
  <c r="L23" i="1" a="1"/>
  <c r="L23" i="1" s="1"/>
  <c r="L24" i="1" a="1"/>
  <c r="L24" i="1" s="1"/>
  <c r="L25" i="1" a="1"/>
  <c r="L25" i="1" s="1"/>
  <c r="L26" i="1" a="1"/>
  <c r="L26" i="1" s="1"/>
  <c r="L27" i="1" a="1"/>
  <c r="L27" i="1" s="1"/>
  <c r="L28" i="1" a="1"/>
  <c r="L28" i="1" s="1"/>
  <c r="L29" i="1" a="1"/>
  <c r="L29" i="1" s="1"/>
  <c r="L30" i="1" a="1"/>
  <c r="L30" i="1" s="1"/>
  <c r="K12" i="1" a="1"/>
  <c r="K12" i="1" s="1"/>
  <c r="K16" i="1" a="1"/>
  <c r="K16" i="1" s="1"/>
  <c r="K7" i="1" a="1"/>
  <c r="K7" i="1" s="1"/>
  <c r="K8" i="1" a="1"/>
  <c r="K8" i="1" s="1"/>
  <c r="K11" i="1" a="1"/>
  <c r="K11" i="1" s="1"/>
  <c r="K15" i="1" a="1"/>
  <c r="K15" i="1" s="1"/>
  <c r="K14" i="1" a="1"/>
  <c r="K14" i="1" s="1"/>
  <c r="K6" i="1" a="1"/>
  <c r="K6" i="1" s="1"/>
  <c r="K9" i="1" a="1"/>
  <c r="K9" i="1" s="1"/>
  <c r="K10" i="1" a="1"/>
  <c r="K10" i="1" s="1"/>
  <c r="K13" i="1" a="1"/>
  <c r="K13" i="1" s="1"/>
  <c r="K17" i="1" a="1"/>
  <c r="K17" i="1" s="1"/>
  <c r="L538" i="1" a="1"/>
  <c r="L538" i="1" s="1"/>
  <c r="L540" i="1" a="1"/>
  <c r="L540" i="1" s="1"/>
  <c r="L542" i="1" a="1"/>
  <c r="L542" i="1" s="1"/>
  <c r="L544" i="1" a="1"/>
  <c r="L544" i="1" s="1"/>
  <c r="L546" i="1" a="1"/>
  <c r="L546" i="1" s="1"/>
  <c r="L548" i="1" a="1"/>
  <c r="L548" i="1" s="1"/>
  <c r="L550" i="1" a="1"/>
  <c r="L550" i="1" s="1"/>
  <c r="L539" i="1" a="1"/>
  <c r="L539" i="1" s="1"/>
  <c r="L541" i="1" a="1"/>
  <c r="L541" i="1" s="1"/>
  <c r="L543" i="1" a="1"/>
  <c r="L543" i="1" s="1"/>
  <c r="L545" i="1" a="1"/>
  <c r="L545" i="1" s="1"/>
  <c r="L547" i="1" a="1"/>
  <c r="L547" i="1" s="1"/>
  <c r="L549" i="1" a="1"/>
  <c r="L549" i="1" s="1"/>
  <c r="R526" i="1" a="1"/>
  <c r="R526" i="1" s="1"/>
  <c r="R528" i="1" a="1"/>
  <c r="R528" i="1" s="1"/>
  <c r="R530" i="1" a="1"/>
  <c r="R530" i="1" s="1"/>
  <c r="R532" i="1" a="1"/>
  <c r="R532" i="1" s="1"/>
  <c r="R534" i="1" a="1"/>
  <c r="R534" i="1" s="1"/>
  <c r="R536" i="1" a="1"/>
  <c r="R536" i="1" s="1"/>
  <c r="R527" i="1" a="1"/>
  <c r="R527" i="1" s="1"/>
  <c r="R529" i="1" a="1"/>
  <c r="R529" i="1" s="1"/>
  <c r="R531" i="1" a="1"/>
  <c r="R531" i="1" s="1"/>
  <c r="R533" i="1" a="1"/>
  <c r="R533" i="1" s="1"/>
  <c r="R535" i="1" a="1"/>
  <c r="R535" i="1" s="1"/>
  <c r="R537" i="1" a="1"/>
  <c r="R537" i="1" s="1"/>
  <c r="P487" i="1" a="1"/>
  <c r="P487" i="1" s="1"/>
  <c r="P489" i="1" a="1"/>
  <c r="P489" i="1" s="1"/>
  <c r="P491" i="1" a="1"/>
  <c r="P491" i="1" s="1"/>
  <c r="P493" i="1" a="1"/>
  <c r="P493" i="1" s="1"/>
  <c r="P495" i="1" a="1"/>
  <c r="P495" i="1" s="1"/>
  <c r="P497" i="1" a="1"/>
  <c r="P497" i="1" s="1"/>
  <c r="P486" i="1" a="1"/>
  <c r="P486" i="1" s="1"/>
  <c r="P488" i="1" a="1"/>
  <c r="P488" i="1" s="1"/>
  <c r="P490" i="1" a="1"/>
  <c r="P490" i="1" s="1"/>
  <c r="P492" i="1" a="1"/>
  <c r="P492" i="1" s="1"/>
  <c r="P494" i="1" a="1"/>
  <c r="P494" i="1" s="1"/>
  <c r="P496" i="1" a="1"/>
  <c r="P496" i="1" s="1"/>
  <c r="P498" i="1" a="1"/>
  <c r="P498" i="1" s="1"/>
  <c r="L474" i="1" a="1"/>
  <c r="L474" i="1" s="1"/>
  <c r="L476" i="1" a="1"/>
  <c r="L476" i="1" s="1"/>
  <c r="L478" i="1" a="1"/>
  <c r="L478" i="1" s="1"/>
  <c r="L480" i="1" a="1"/>
  <c r="L480" i="1" s="1"/>
  <c r="L482" i="1" a="1"/>
  <c r="L482" i="1" s="1"/>
  <c r="L484" i="1" a="1"/>
  <c r="L484" i="1" s="1"/>
  <c r="L475" i="1" a="1"/>
  <c r="L475" i="1" s="1"/>
  <c r="L477" i="1" a="1"/>
  <c r="L477" i="1" s="1"/>
  <c r="L479" i="1" a="1"/>
  <c r="L479" i="1" s="1"/>
  <c r="L481" i="1" a="1"/>
  <c r="L481" i="1" s="1"/>
  <c r="L483" i="1" a="1"/>
  <c r="L483" i="1" s="1"/>
  <c r="L485" i="1" a="1"/>
  <c r="L485" i="1" s="1"/>
  <c r="T460" i="1" a="1"/>
  <c r="T460" i="1" s="1"/>
  <c r="T462" i="1" a="1"/>
  <c r="T462" i="1" s="1"/>
  <c r="T464" i="1" a="1"/>
  <c r="T464" i="1" s="1"/>
  <c r="T466" i="1" a="1"/>
  <c r="T466" i="1" s="1"/>
  <c r="T468" i="1" a="1"/>
  <c r="T468" i="1" s="1"/>
  <c r="T470" i="1" a="1"/>
  <c r="T470" i="1" s="1"/>
  <c r="T472" i="1" a="1"/>
  <c r="T472" i="1" s="1"/>
  <c r="T461" i="1" a="1"/>
  <c r="T461" i="1" s="1"/>
  <c r="T463" i="1" a="1"/>
  <c r="T463" i="1" s="1"/>
  <c r="T465" i="1" a="1"/>
  <c r="T465" i="1" s="1"/>
  <c r="T467" i="1" a="1"/>
  <c r="T467" i="1" s="1"/>
  <c r="T469" i="1" a="1"/>
  <c r="T469" i="1" s="1"/>
  <c r="T471" i="1" a="1"/>
  <c r="T471" i="1" s="1"/>
  <c r="R447" i="1" a="1"/>
  <c r="R447" i="1" s="1"/>
  <c r="R449" i="1" a="1"/>
  <c r="R449" i="1" s="1"/>
  <c r="R451" i="1" a="1"/>
  <c r="R451" i="1" s="1"/>
  <c r="R453" i="1" a="1"/>
  <c r="R453" i="1" s="1"/>
  <c r="R455" i="1" a="1"/>
  <c r="R455" i="1" s="1"/>
  <c r="R457" i="1" a="1"/>
  <c r="R457" i="1" s="1"/>
  <c r="R459" i="1" a="1"/>
  <c r="R459" i="1" s="1"/>
  <c r="R448" i="1" a="1"/>
  <c r="R448" i="1" s="1"/>
  <c r="R450" i="1" a="1"/>
  <c r="R450" i="1" s="1"/>
  <c r="R452" i="1" a="1"/>
  <c r="R452" i="1" s="1"/>
  <c r="R454" i="1" a="1"/>
  <c r="R454" i="1" s="1"/>
  <c r="R456" i="1" a="1"/>
  <c r="R456" i="1" s="1"/>
  <c r="R458" i="1" a="1"/>
  <c r="R458" i="1" s="1"/>
  <c r="P434" i="1" a="1"/>
  <c r="P434" i="1" s="1"/>
  <c r="P439" i="1" a="1"/>
  <c r="P439" i="1" s="1"/>
  <c r="P441" i="1" a="1"/>
  <c r="P441" i="1" s="1"/>
  <c r="P443" i="1" a="1"/>
  <c r="P443" i="1" s="1"/>
  <c r="P437" i="1" a="1"/>
  <c r="P437" i="1" s="1"/>
  <c r="P440" i="1" a="1"/>
  <c r="P440" i="1" s="1"/>
  <c r="P435" i="1" a="1"/>
  <c r="P435" i="1" s="1"/>
  <c r="P438" i="1" a="1"/>
  <c r="P438" i="1" s="1"/>
  <c r="P445" i="1" a="1"/>
  <c r="P445" i="1" s="1"/>
  <c r="P444" i="1" a="1"/>
  <c r="P444" i="1" s="1"/>
  <c r="P436" i="1" a="1"/>
  <c r="P436" i="1" s="1"/>
  <c r="P442" i="1" a="1"/>
  <c r="P442" i="1" s="1"/>
  <c r="P446" i="1" a="1"/>
  <c r="P446" i="1" s="1"/>
  <c r="L434" i="1" a="1"/>
  <c r="L434" i="1" s="1"/>
  <c r="L437" i="1" a="1"/>
  <c r="L437" i="1" s="1"/>
  <c r="L442" i="1" a="1"/>
  <c r="L442" i="1" s="1"/>
  <c r="L444" i="1" a="1"/>
  <c r="L444" i="1" s="1"/>
  <c r="L435" i="1" a="1"/>
  <c r="L435" i="1" s="1"/>
  <c r="L440" i="1" a="1"/>
  <c r="L440" i="1" s="1"/>
  <c r="L438" i="1" a="1"/>
  <c r="L438" i="1" s="1"/>
  <c r="L441" i="1" a="1"/>
  <c r="L441" i="1" s="1"/>
  <c r="L439" i="1" a="1"/>
  <c r="L439" i="1" s="1"/>
  <c r="L443" i="1" a="1"/>
  <c r="L443" i="1" s="1"/>
  <c r="L446" i="1" a="1"/>
  <c r="L446" i="1" s="1"/>
  <c r="L436" i="1" a="1"/>
  <c r="L436" i="1" s="1"/>
  <c r="L445" i="1" a="1"/>
  <c r="L445" i="1" s="1"/>
  <c r="T409" i="1" a="1"/>
  <c r="T409" i="1" s="1"/>
  <c r="T413" i="1" a="1"/>
  <c r="T413" i="1" s="1"/>
  <c r="T417" i="1" a="1"/>
  <c r="T417" i="1" s="1"/>
  <c r="T420" i="1" a="1"/>
  <c r="T420" i="1" s="1"/>
  <c r="T408" i="1" a="1"/>
  <c r="T408" i="1" s="1"/>
  <c r="T412" i="1" a="1"/>
  <c r="T412" i="1" s="1"/>
  <c r="T416" i="1" a="1"/>
  <c r="T416" i="1" s="1"/>
  <c r="T411" i="1" a="1"/>
  <c r="T411" i="1" s="1"/>
  <c r="T415" i="1" a="1"/>
  <c r="T415" i="1" s="1"/>
  <c r="T419" i="1" a="1"/>
  <c r="T419" i="1" s="1"/>
  <c r="T410" i="1" a="1"/>
  <c r="T410" i="1" s="1"/>
  <c r="T414" i="1" a="1"/>
  <c r="T414" i="1" s="1"/>
  <c r="T418" i="1" a="1"/>
  <c r="T418" i="1" s="1"/>
  <c r="L399" i="1" a="1"/>
  <c r="L399" i="1" s="1"/>
  <c r="L403" i="1" a="1"/>
  <c r="L403" i="1" s="1"/>
  <c r="L407" i="1" a="1"/>
  <c r="L407" i="1" s="1"/>
  <c r="L398" i="1" a="1"/>
  <c r="L398" i="1" s="1"/>
  <c r="L402" i="1" a="1"/>
  <c r="L402" i="1" s="1"/>
  <c r="L406" i="1" a="1"/>
  <c r="L406" i="1" s="1"/>
  <c r="L397" i="1" a="1"/>
  <c r="L397" i="1" s="1"/>
  <c r="L401" i="1" a="1"/>
  <c r="L401" i="1" s="1"/>
  <c r="L405" i="1" a="1"/>
  <c r="L405" i="1" s="1"/>
  <c r="L396" i="1" a="1"/>
  <c r="L396" i="1" s="1"/>
  <c r="L400" i="1" a="1"/>
  <c r="L400" i="1" s="1"/>
  <c r="L404" i="1" a="1"/>
  <c r="L404" i="1" s="1"/>
  <c r="T393" i="1" a="1"/>
  <c r="T393" i="1" s="1"/>
  <c r="T384" i="1" a="1"/>
  <c r="T384" i="1" s="1"/>
  <c r="T388" i="1" a="1"/>
  <c r="T388" i="1" s="1"/>
  <c r="T392" i="1" a="1"/>
  <c r="T392" i="1" s="1"/>
  <c r="T383" i="1" a="1"/>
  <c r="T383" i="1" s="1"/>
  <c r="T387" i="1" a="1"/>
  <c r="T387" i="1" s="1"/>
  <c r="T391" i="1" a="1"/>
  <c r="T391" i="1" s="1"/>
  <c r="T385" i="1" a="1"/>
  <c r="T385" i="1" s="1"/>
  <c r="T386" i="1" a="1"/>
  <c r="T386" i="1" s="1"/>
  <c r="T389" i="1" a="1"/>
  <c r="T389" i="1" s="1"/>
  <c r="T390" i="1" a="1"/>
  <c r="T390" i="1" s="1"/>
  <c r="T394" i="1" a="1"/>
  <c r="T394" i="1" s="1"/>
  <c r="L371" i="1" a="1"/>
  <c r="L371" i="1" s="1"/>
  <c r="L375" i="1" a="1"/>
  <c r="L375" i="1" s="1"/>
  <c r="L379" i="1" a="1"/>
  <c r="L379" i="1" s="1"/>
  <c r="L370" i="1" a="1"/>
  <c r="L370" i="1" s="1"/>
  <c r="L374" i="1" a="1"/>
  <c r="L374" i="1" s="1"/>
  <c r="L378" i="1" a="1"/>
  <c r="L378" i="1" s="1"/>
  <c r="L373" i="1" a="1"/>
  <c r="L373" i="1" s="1"/>
  <c r="L377" i="1" a="1"/>
  <c r="L377" i="1" s="1"/>
  <c r="L381" i="1" a="1"/>
  <c r="L381" i="1" s="1"/>
  <c r="L372" i="1" a="1"/>
  <c r="L372" i="1" s="1"/>
  <c r="L376" i="1" a="1"/>
  <c r="L376" i="1" s="1"/>
  <c r="L380" i="1" a="1"/>
  <c r="L380" i="1" s="1"/>
  <c r="T357" i="1" a="1"/>
  <c r="T357" i="1" s="1"/>
  <c r="T361" i="1" a="1"/>
  <c r="T361" i="1" s="1"/>
  <c r="T365" i="1" a="1"/>
  <c r="T365" i="1" s="1"/>
  <c r="T360" i="1" a="1"/>
  <c r="T360" i="1" s="1"/>
  <c r="T364" i="1" a="1"/>
  <c r="T364" i="1" s="1"/>
  <c r="T368" i="1" a="1"/>
  <c r="T368" i="1" s="1"/>
  <c r="T359" i="1" a="1"/>
  <c r="T359" i="1" s="1"/>
  <c r="T363" i="1" a="1"/>
  <c r="T363" i="1" s="1"/>
  <c r="T367" i="1" a="1"/>
  <c r="T367" i="1" s="1"/>
  <c r="T358" i="1" a="1"/>
  <c r="T358" i="1" s="1"/>
  <c r="T362" i="1" a="1"/>
  <c r="T362" i="1" s="1"/>
  <c r="T366" i="1" a="1"/>
  <c r="T366" i="1" s="1"/>
  <c r="P345" i="1" a="1"/>
  <c r="P345" i="1" s="1"/>
  <c r="P349" i="1" a="1"/>
  <c r="P349" i="1" s="1"/>
  <c r="P353" i="1" a="1"/>
  <c r="P353" i="1" s="1"/>
  <c r="P344" i="1" a="1"/>
  <c r="P344" i="1" s="1"/>
  <c r="P348" i="1" a="1"/>
  <c r="P348" i="1" s="1"/>
  <c r="P352" i="1" a="1"/>
  <c r="P352" i="1" s="1"/>
  <c r="P343" i="1" a="1"/>
  <c r="P343" i="1" s="1"/>
  <c r="P347" i="1" a="1"/>
  <c r="P347" i="1" s="1"/>
  <c r="P351" i="1" a="1"/>
  <c r="P351" i="1" s="1"/>
  <c r="P346" i="1" a="1"/>
  <c r="P346" i="1" s="1"/>
  <c r="P354" i="1" a="1"/>
  <c r="P354" i="1" s="1"/>
  <c r="P355" i="1" a="1"/>
  <c r="P355" i="1" s="1"/>
  <c r="P350" i="1" a="1"/>
  <c r="P350" i="1" s="1"/>
  <c r="L317" i="1" a="1"/>
  <c r="L317" i="1" s="1"/>
  <c r="L321" i="1" a="1"/>
  <c r="L321" i="1" s="1"/>
  <c r="L325" i="1" a="1"/>
  <c r="L325" i="1" s="1"/>
  <c r="L329" i="1" a="1"/>
  <c r="L329" i="1" s="1"/>
  <c r="L320" i="1" a="1"/>
  <c r="L320" i="1" s="1"/>
  <c r="L324" i="1" a="1"/>
  <c r="L324" i="1" s="1"/>
  <c r="L327" i="1" a="1"/>
  <c r="L327" i="1" s="1"/>
  <c r="L328" i="1" a="1"/>
  <c r="L328" i="1" s="1"/>
  <c r="L319" i="1" a="1"/>
  <c r="L319" i="1" s="1"/>
  <c r="L323" i="1" a="1"/>
  <c r="L323" i="1" s="1"/>
  <c r="L318" i="1" a="1"/>
  <c r="L318" i="1" s="1"/>
  <c r="L322" i="1" a="1"/>
  <c r="L322" i="1" s="1"/>
  <c r="L326" i="1" a="1"/>
  <c r="L326" i="1" s="1"/>
  <c r="P282" i="1" a="1"/>
  <c r="P282" i="1" s="1"/>
  <c r="P286" i="1" a="1"/>
  <c r="P286" i="1" s="1"/>
  <c r="P290" i="1" a="1"/>
  <c r="P290" i="1" s="1"/>
  <c r="P281" i="1" a="1"/>
  <c r="P281" i="1" s="1"/>
  <c r="P285" i="1" a="1"/>
  <c r="P285" i="1" s="1"/>
  <c r="P289" i="1" a="1"/>
  <c r="P289" i="1" s="1"/>
  <c r="P280" i="1" a="1"/>
  <c r="P280" i="1" s="1"/>
  <c r="P284" i="1" a="1"/>
  <c r="P284" i="1" s="1"/>
  <c r="P288" i="1" a="1"/>
  <c r="P288" i="1" s="1"/>
  <c r="P279" i="1" a="1"/>
  <c r="P279" i="1" s="1"/>
  <c r="P283" i="1" a="1"/>
  <c r="P283" i="1" s="1"/>
  <c r="P287" i="1" a="1"/>
  <c r="P287" i="1" s="1"/>
  <c r="T240" i="1" a="1"/>
  <c r="T240" i="1" s="1"/>
  <c r="T244" i="1" a="1"/>
  <c r="T244" i="1" s="1"/>
  <c r="T248" i="1" a="1"/>
  <c r="T248" i="1" s="1"/>
  <c r="T239" i="1" a="1"/>
  <c r="T239" i="1" s="1"/>
  <c r="T243" i="1" a="1"/>
  <c r="T243" i="1" s="1"/>
  <c r="T247" i="1" a="1"/>
  <c r="T247" i="1" s="1"/>
  <c r="T251" i="1" a="1"/>
  <c r="T251" i="1" s="1"/>
  <c r="T242" i="1" a="1"/>
  <c r="T242" i="1" s="1"/>
  <c r="T246" i="1" a="1"/>
  <c r="T246" i="1" s="1"/>
  <c r="T250" i="1" a="1"/>
  <c r="T250" i="1" s="1"/>
  <c r="T241" i="1" a="1"/>
  <c r="T241" i="1" s="1"/>
  <c r="T245" i="1" a="1"/>
  <c r="T245" i="1" s="1"/>
  <c r="T249" i="1" a="1"/>
  <c r="T249" i="1" s="1"/>
  <c r="L226" i="1" a="1"/>
  <c r="L226" i="1" s="1"/>
  <c r="L228" i="1" a="1"/>
  <c r="L228" i="1" s="1"/>
  <c r="L230" i="1" a="1"/>
  <c r="L230" i="1" s="1"/>
  <c r="L234" i="1" a="1"/>
  <c r="L234" i="1" s="1"/>
  <c r="L238" i="1" a="1"/>
  <c r="L238" i="1" s="1"/>
  <c r="L233" i="1" a="1"/>
  <c r="L233" i="1" s="1"/>
  <c r="L237" i="1" a="1"/>
  <c r="L237" i="1" s="1"/>
  <c r="L229" i="1" a="1"/>
  <c r="L229" i="1" s="1"/>
  <c r="L232" i="1" a="1"/>
  <c r="L232" i="1" s="1"/>
  <c r="L236" i="1" a="1"/>
  <c r="L236" i="1" s="1"/>
  <c r="L227" i="1" a="1"/>
  <c r="L227" i="1" s="1"/>
  <c r="L231" i="1" a="1"/>
  <c r="L231" i="1" s="1"/>
  <c r="L235" i="1" a="1"/>
  <c r="L235" i="1" s="1"/>
  <c r="T206" i="1" a="1"/>
  <c r="T206" i="1" s="1"/>
  <c r="T208" i="1" a="1"/>
  <c r="T208" i="1" s="1"/>
  <c r="T212" i="1" a="1"/>
  <c r="T212" i="1" s="1"/>
  <c r="T201" i="1" a="1"/>
  <c r="T201" i="1" s="1"/>
  <c r="T203" i="1" a="1"/>
  <c r="T203" i="1" s="1"/>
  <c r="T210" i="1" a="1"/>
  <c r="T210" i="1" s="1"/>
  <c r="T200" i="1" a="1"/>
  <c r="T200" i="1" s="1"/>
  <c r="T205" i="1" a="1"/>
  <c r="T205" i="1" s="1"/>
  <c r="T207" i="1" a="1"/>
  <c r="T207" i="1" s="1"/>
  <c r="T202" i="1" a="1"/>
  <c r="T202" i="1" s="1"/>
  <c r="T204" i="1" a="1"/>
  <c r="T204" i="1" s="1"/>
  <c r="T209" i="1" a="1"/>
  <c r="T209" i="1" s="1"/>
  <c r="T211" i="1" a="1"/>
  <c r="T211" i="1" s="1"/>
  <c r="T175" i="1" a="1"/>
  <c r="T175" i="1" s="1"/>
  <c r="T176" i="1" a="1"/>
  <c r="T176" i="1" s="1"/>
  <c r="T181" i="1" a="1"/>
  <c r="T181" i="1" s="1"/>
  <c r="T184" i="1" a="1"/>
  <c r="T184" i="1" s="1"/>
  <c r="T179" i="1" a="1"/>
  <c r="T179" i="1" s="1"/>
  <c r="T182" i="1" a="1"/>
  <c r="T182" i="1" s="1"/>
  <c r="T177" i="1" a="1"/>
  <c r="T177" i="1" s="1"/>
  <c r="T180" i="1" a="1"/>
  <c r="T180" i="1" s="1"/>
  <c r="T185" i="1" a="1"/>
  <c r="T185" i="1" s="1"/>
  <c r="T178" i="1" a="1"/>
  <c r="T178" i="1" s="1"/>
  <c r="T183" i="1" a="1"/>
  <c r="T183" i="1" s="1"/>
  <c r="T186" i="1" a="1"/>
  <c r="T186" i="1" s="1"/>
  <c r="L149" i="1" a="1"/>
  <c r="L149" i="1" s="1"/>
  <c r="L153" i="1" a="1"/>
  <c r="L153" i="1" s="1"/>
  <c r="L157" i="1" a="1"/>
  <c r="L157" i="1" s="1"/>
  <c r="L148" i="1" a="1"/>
  <c r="L148" i="1" s="1"/>
  <c r="L152" i="1" a="1"/>
  <c r="L152" i="1" s="1"/>
  <c r="L156" i="1" a="1"/>
  <c r="L156" i="1" s="1"/>
  <c r="L160" i="1" a="1"/>
  <c r="L160" i="1" s="1"/>
  <c r="L151" i="1" a="1"/>
  <c r="L151" i="1" s="1"/>
  <c r="L155" i="1" a="1"/>
  <c r="L155" i="1" s="1"/>
  <c r="L159" i="1" a="1"/>
  <c r="L159" i="1" s="1"/>
  <c r="L150" i="1" a="1"/>
  <c r="L150" i="1" s="1"/>
  <c r="L154" i="1" a="1"/>
  <c r="L154" i="1" s="1"/>
  <c r="L158" i="1" a="1"/>
  <c r="L158" i="1" s="1"/>
  <c r="N136" i="1" a="1"/>
  <c r="N136" i="1" s="1"/>
  <c r="N140" i="1" a="1"/>
  <c r="N140" i="1" s="1"/>
  <c r="N144" i="1" a="1"/>
  <c r="N144" i="1" s="1"/>
  <c r="N135" i="1" a="1"/>
  <c r="N135" i="1" s="1"/>
  <c r="N139" i="1" a="1"/>
  <c r="N139" i="1" s="1"/>
  <c r="N143" i="1" a="1"/>
  <c r="N143" i="1" s="1"/>
  <c r="N147" i="1" a="1"/>
  <c r="N147" i="1" s="1"/>
  <c r="N138" i="1" a="1"/>
  <c r="N138" i="1" s="1"/>
  <c r="N142" i="1" a="1"/>
  <c r="N142" i="1" s="1"/>
  <c r="N146" i="1" a="1"/>
  <c r="N146" i="1" s="1"/>
  <c r="N137" i="1" a="1"/>
  <c r="N137" i="1" s="1"/>
  <c r="N141" i="1" a="1"/>
  <c r="N141" i="1" s="1"/>
  <c r="N145" i="1" a="1"/>
  <c r="N145" i="1" s="1"/>
  <c r="R124" i="1" a="1"/>
  <c r="R124" i="1" s="1"/>
  <c r="R128" i="1" a="1"/>
  <c r="R128" i="1" s="1"/>
  <c r="R123" i="1" a="1"/>
  <c r="R123" i="1" s="1"/>
  <c r="R127" i="1" a="1"/>
  <c r="R127" i="1" s="1"/>
  <c r="R131" i="1" a="1"/>
  <c r="R131" i="1" s="1"/>
  <c r="R122" i="1" a="1"/>
  <c r="R122" i="1" s="1"/>
  <c r="R126" i="1" a="1"/>
  <c r="R126" i="1" s="1"/>
  <c r="R125" i="1" a="1"/>
  <c r="R125" i="1" s="1"/>
  <c r="R129" i="1" a="1"/>
  <c r="R129" i="1" s="1"/>
  <c r="R133" i="1" a="1"/>
  <c r="R133" i="1" s="1"/>
  <c r="R130" i="1" a="1"/>
  <c r="R130" i="1" s="1"/>
  <c r="R132" i="1" a="1"/>
  <c r="R132" i="1" s="1"/>
  <c r="R134" i="1" a="1"/>
  <c r="R134" i="1" s="1"/>
  <c r="L97" i="1" a="1"/>
  <c r="L97" i="1" s="1"/>
  <c r="L101" i="1" a="1"/>
  <c r="L101" i="1" s="1"/>
  <c r="L105" i="1" a="1"/>
  <c r="L105" i="1" s="1"/>
  <c r="L96" i="1" a="1"/>
  <c r="L96" i="1" s="1"/>
  <c r="L100" i="1" a="1"/>
  <c r="L100" i="1" s="1"/>
  <c r="L104" i="1" a="1"/>
  <c r="L104" i="1" s="1"/>
  <c r="L108" i="1" a="1"/>
  <c r="L108" i="1" s="1"/>
  <c r="L99" i="1" a="1"/>
  <c r="L99" i="1" s="1"/>
  <c r="L103" i="1" a="1"/>
  <c r="L103" i="1" s="1"/>
  <c r="L107" i="1" a="1"/>
  <c r="L107" i="1" s="1"/>
  <c r="L98" i="1" a="1"/>
  <c r="L98" i="1" s="1"/>
  <c r="L102" i="1" a="1"/>
  <c r="L102" i="1" s="1"/>
  <c r="L106" i="1" a="1"/>
  <c r="L106" i="1" s="1"/>
  <c r="J34" i="1" a="1"/>
  <c r="J34" i="1" s="1"/>
  <c r="J35" i="1" a="1"/>
  <c r="J35" i="1" s="1"/>
  <c r="J38" i="1" a="1"/>
  <c r="J38" i="1" s="1"/>
  <c r="J39" i="1" a="1"/>
  <c r="J39" i="1" s="1"/>
  <c r="J42" i="1" a="1"/>
  <c r="J42" i="1" s="1"/>
  <c r="J43" i="1" a="1"/>
  <c r="J43" i="1" s="1"/>
  <c r="J32" i="1" a="1"/>
  <c r="J32" i="1" s="1"/>
  <c r="J33" i="1" a="1"/>
  <c r="J33" i="1" s="1"/>
  <c r="J36" i="1" a="1"/>
  <c r="J36" i="1" s="1"/>
  <c r="J37" i="1" a="1"/>
  <c r="J37" i="1" s="1"/>
  <c r="J40" i="1" a="1"/>
  <c r="J40" i="1" s="1"/>
  <c r="J41" i="1" a="1"/>
  <c r="J41" i="1" s="1"/>
  <c r="R19" i="1" a="1"/>
  <c r="R19" i="1" s="1"/>
  <c r="R20" i="1" a="1"/>
  <c r="R20" i="1" s="1"/>
  <c r="R21" i="1" a="1"/>
  <c r="R21" i="1" s="1"/>
  <c r="R22" i="1" a="1"/>
  <c r="R22" i="1" s="1"/>
  <c r="R23" i="1" a="1"/>
  <c r="R23" i="1" s="1"/>
  <c r="R24" i="1" a="1"/>
  <c r="R24" i="1" s="1"/>
  <c r="R25" i="1" a="1"/>
  <c r="R25" i="1" s="1"/>
  <c r="R26" i="1" a="1"/>
  <c r="R26" i="1" s="1"/>
  <c r="R27" i="1" a="1"/>
  <c r="R27" i="1" s="1"/>
  <c r="R28" i="1" a="1"/>
  <c r="R28" i="1" s="1"/>
  <c r="R29" i="1" a="1"/>
  <c r="R29" i="1" s="1"/>
  <c r="R30" i="1" a="1"/>
  <c r="R30" i="1" s="1"/>
  <c r="T500" i="1" a="1"/>
  <c r="T500" i="1" s="1"/>
  <c r="T502" i="1" a="1"/>
  <c r="T502" i="1" s="1"/>
  <c r="T504" i="1" a="1"/>
  <c r="T504" i="1" s="1"/>
  <c r="T506" i="1" a="1"/>
  <c r="T506" i="1" s="1"/>
  <c r="T508" i="1" a="1"/>
  <c r="T508" i="1" s="1"/>
  <c r="T510" i="1" a="1"/>
  <c r="T510" i="1" s="1"/>
  <c r="T501" i="1" a="1"/>
  <c r="T501" i="1" s="1"/>
  <c r="T503" i="1" a="1"/>
  <c r="T503" i="1" s="1"/>
  <c r="T505" i="1" a="1"/>
  <c r="T505" i="1" s="1"/>
  <c r="T507" i="1" a="1"/>
  <c r="T507" i="1" s="1"/>
  <c r="T509" i="1" a="1"/>
  <c r="T509" i="1" s="1"/>
  <c r="T511" i="1" a="1"/>
  <c r="T511" i="1" s="1"/>
  <c r="J501" i="1" a="1"/>
  <c r="J501" i="1" s="1"/>
  <c r="J503" i="1" a="1"/>
  <c r="J503" i="1" s="1"/>
  <c r="J505" i="1" a="1"/>
  <c r="J505" i="1" s="1"/>
  <c r="J507" i="1" a="1"/>
  <c r="J507" i="1" s="1"/>
  <c r="J509" i="1" a="1"/>
  <c r="J509" i="1" s="1"/>
  <c r="J500" i="1" a="1"/>
  <c r="J500" i="1" s="1"/>
  <c r="J502" i="1" a="1"/>
  <c r="J502" i="1" s="1"/>
  <c r="J504" i="1" a="1"/>
  <c r="J504" i="1" s="1"/>
  <c r="J506" i="1" a="1"/>
  <c r="J506" i="1" s="1"/>
  <c r="J508" i="1" a="1"/>
  <c r="J508" i="1" s="1"/>
  <c r="J510" i="1" a="1"/>
  <c r="J510" i="1" s="1"/>
  <c r="J511" i="1" a="1"/>
  <c r="J511" i="1" s="1"/>
  <c r="L486" i="1" a="1"/>
  <c r="L486" i="1" s="1"/>
  <c r="L488" i="1" a="1"/>
  <c r="L488" i="1" s="1"/>
  <c r="L490" i="1" a="1"/>
  <c r="L490" i="1" s="1"/>
  <c r="L492" i="1" a="1"/>
  <c r="L492" i="1" s="1"/>
  <c r="L494" i="1" a="1"/>
  <c r="L494" i="1" s="1"/>
  <c r="L496" i="1" a="1"/>
  <c r="L496" i="1" s="1"/>
  <c r="L498" i="1" a="1"/>
  <c r="L498" i="1" s="1"/>
  <c r="L487" i="1" a="1"/>
  <c r="L487" i="1" s="1"/>
  <c r="L489" i="1" a="1"/>
  <c r="L489" i="1" s="1"/>
  <c r="L491" i="1" a="1"/>
  <c r="L491" i="1" s="1"/>
  <c r="L493" i="1" a="1"/>
  <c r="L493" i="1" s="1"/>
  <c r="L495" i="1" a="1"/>
  <c r="L495" i="1" s="1"/>
  <c r="L497" i="1" a="1"/>
  <c r="L497" i="1" s="1"/>
  <c r="P461" i="1" a="1"/>
  <c r="P461" i="1" s="1"/>
  <c r="P463" i="1" a="1"/>
  <c r="P463" i="1" s="1"/>
  <c r="P465" i="1" a="1"/>
  <c r="P465" i="1" s="1"/>
  <c r="P467" i="1" a="1"/>
  <c r="P467" i="1" s="1"/>
  <c r="P469" i="1" a="1"/>
  <c r="P469" i="1" s="1"/>
  <c r="P471" i="1" a="1"/>
  <c r="P471" i="1" s="1"/>
  <c r="P460" i="1" a="1"/>
  <c r="P460" i="1" s="1"/>
  <c r="P462" i="1" a="1"/>
  <c r="P462" i="1" s="1"/>
  <c r="P464" i="1" a="1"/>
  <c r="P464" i="1" s="1"/>
  <c r="P466" i="1" a="1"/>
  <c r="P466" i="1" s="1"/>
  <c r="P468" i="1" a="1"/>
  <c r="P468" i="1" s="1"/>
  <c r="P470" i="1" a="1"/>
  <c r="P470" i="1" s="1"/>
  <c r="P472" i="1" a="1"/>
  <c r="P472" i="1" s="1"/>
  <c r="L460" i="1" a="1"/>
  <c r="L460" i="1" s="1"/>
  <c r="L462" i="1" a="1"/>
  <c r="L462" i="1" s="1"/>
  <c r="L464" i="1" a="1"/>
  <c r="L464" i="1" s="1"/>
  <c r="L466" i="1" a="1"/>
  <c r="L466" i="1" s="1"/>
  <c r="L468" i="1" a="1"/>
  <c r="L468" i="1" s="1"/>
  <c r="L470" i="1" a="1"/>
  <c r="L470" i="1" s="1"/>
  <c r="L472" i="1" a="1"/>
  <c r="L472" i="1" s="1"/>
  <c r="L461" i="1" a="1"/>
  <c r="L461" i="1" s="1"/>
  <c r="L463" i="1" a="1"/>
  <c r="L463" i="1" s="1"/>
  <c r="L465" i="1" a="1"/>
  <c r="L465" i="1" s="1"/>
  <c r="L467" i="1" a="1"/>
  <c r="L467" i="1" s="1"/>
  <c r="L469" i="1" a="1"/>
  <c r="L469" i="1" s="1"/>
  <c r="L471" i="1" a="1"/>
  <c r="L471" i="1" s="1"/>
  <c r="J447" i="1" a="1"/>
  <c r="J447" i="1" s="1"/>
  <c r="J449" i="1" a="1"/>
  <c r="J449" i="1" s="1"/>
  <c r="J451" i="1" a="1"/>
  <c r="J451" i="1" s="1"/>
  <c r="J453" i="1" a="1"/>
  <c r="J453" i="1" s="1"/>
  <c r="J455" i="1" a="1"/>
  <c r="J455" i="1" s="1"/>
  <c r="J457" i="1" a="1"/>
  <c r="J457" i="1" s="1"/>
  <c r="J459" i="1" a="1"/>
  <c r="J459" i="1" s="1"/>
  <c r="J448" i="1" a="1"/>
  <c r="J448" i="1" s="1"/>
  <c r="J450" i="1" a="1"/>
  <c r="J450" i="1" s="1"/>
  <c r="J452" i="1" a="1"/>
  <c r="J452" i="1" s="1"/>
  <c r="J454" i="1" a="1"/>
  <c r="J454" i="1" s="1"/>
  <c r="J456" i="1" a="1"/>
  <c r="J456" i="1" s="1"/>
  <c r="J458" i="1" a="1"/>
  <c r="J458" i="1" s="1"/>
  <c r="T423" i="1" a="1"/>
  <c r="T423" i="1" s="1"/>
  <c r="T428" i="1" a="1"/>
  <c r="T428" i="1" s="1"/>
  <c r="T431" i="1" a="1"/>
  <c r="T431" i="1" s="1"/>
  <c r="T421" i="1" a="1"/>
  <c r="T421" i="1" s="1"/>
  <c r="T426" i="1" a="1"/>
  <c r="T426" i="1" s="1"/>
  <c r="T429" i="1" a="1"/>
  <c r="T429" i="1" s="1"/>
  <c r="T424" i="1" a="1"/>
  <c r="T424" i="1" s="1"/>
  <c r="T427" i="1" a="1"/>
  <c r="T427" i="1" s="1"/>
  <c r="T432" i="1" a="1"/>
  <c r="T432" i="1" s="1"/>
  <c r="T422" i="1" a="1"/>
  <c r="T422" i="1" s="1"/>
  <c r="T425" i="1" a="1"/>
  <c r="T425" i="1" s="1"/>
  <c r="T430" i="1" a="1"/>
  <c r="T430" i="1" s="1"/>
  <c r="T433" i="1" a="1"/>
  <c r="T433" i="1" s="1"/>
  <c r="P408" i="1" a="1"/>
  <c r="P408" i="1" s="1"/>
  <c r="P412" i="1" a="1"/>
  <c r="P412" i="1" s="1"/>
  <c r="P416" i="1" a="1"/>
  <c r="P416" i="1" s="1"/>
  <c r="P411" i="1" a="1"/>
  <c r="P411" i="1" s="1"/>
  <c r="P415" i="1" a="1"/>
  <c r="P415" i="1" s="1"/>
  <c r="P419" i="1" a="1"/>
  <c r="P419" i="1" s="1"/>
  <c r="P410" i="1" a="1"/>
  <c r="P410" i="1" s="1"/>
  <c r="P414" i="1" a="1"/>
  <c r="P414" i="1" s="1"/>
  <c r="P418" i="1" a="1"/>
  <c r="P418" i="1" s="1"/>
  <c r="P409" i="1" a="1"/>
  <c r="P409" i="1" s="1"/>
  <c r="P413" i="1" a="1"/>
  <c r="P413" i="1" s="1"/>
  <c r="P417" i="1" a="1"/>
  <c r="P417" i="1" s="1"/>
  <c r="P420" i="1" a="1"/>
  <c r="P420" i="1" s="1"/>
  <c r="L411" i="1" a="1"/>
  <c r="L411" i="1" s="1"/>
  <c r="L415" i="1" a="1"/>
  <c r="L415" i="1" s="1"/>
  <c r="L419" i="1" a="1"/>
  <c r="L419" i="1" s="1"/>
  <c r="L410" i="1" a="1"/>
  <c r="L410" i="1" s="1"/>
  <c r="L414" i="1" a="1"/>
  <c r="L414" i="1" s="1"/>
  <c r="L418" i="1" a="1"/>
  <c r="L418" i="1" s="1"/>
  <c r="L409" i="1" a="1"/>
  <c r="L409" i="1" s="1"/>
  <c r="L413" i="1" a="1"/>
  <c r="L413" i="1" s="1"/>
  <c r="L417" i="1" a="1"/>
  <c r="L417" i="1" s="1"/>
  <c r="L412" i="1" a="1"/>
  <c r="L412" i="1" s="1"/>
  <c r="L416" i="1" a="1"/>
  <c r="L416" i="1" s="1"/>
  <c r="L420" i="1" a="1"/>
  <c r="L420" i="1" s="1"/>
  <c r="P392" i="1" a="1"/>
  <c r="P392" i="1" s="1"/>
  <c r="P383" i="1" a="1"/>
  <c r="P383" i="1" s="1"/>
  <c r="P387" i="1" a="1"/>
  <c r="P387" i="1" s="1"/>
  <c r="P391" i="1" a="1"/>
  <c r="P391" i="1" s="1"/>
  <c r="P386" i="1" a="1"/>
  <c r="P386" i="1" s="1"/>
  <c r="P390" i="1" a="1"/>
  <c r="P390" i="1" s="1"/>
  <c r="P394" i="1" a="1"/>
  <c r="P394" i="1" s="1"/>
  <c r="P384" i="1" a="1"/>
  <c r="P384" i="1" s="1"/>
  <c r="P385" i="1" a="1"/>
  <c r="P385" i="1" s="1"/>
  <c r="P388" i="1" a="1"/>
  <c r="P388" i="1" s="1"/>
  <c r="P389" i="1" a="1"/>
  <c r="P389" i="1" s="1"/>
  <c r="P393" i="1" a="1"/>
  <c r="P393" i="1" s="1"/>
  <c r="R370" i="1" a="1"/>
  <c r="R370" i="1" s="1"/>
  <c r="R374" i="1" a="1"/>
  <c r="R374" i="1" s="1"/>
  <c r="R378" i="1" a="1"/>
  <c r="R378" i="1" s="1"/>
  <c r="R373" i="1" a="1"/>
  <c r="R373" i="1" s="1"/>
  <c r="R377" i="1" a="1"/>
  <c r="R377" i="1" s="1"/>
  <c r="R381" i="1" a="1"/>
  <c r="R381" i="1" s="1"/>
  <c r="R372" i="1" a="1"/>
  <c r="R372" i="1" s="1"/>
  <c r="R376" i="1" a="1"/>
  <c r="R376" i="1" s="1"/>
  <c r="R380" i="1" a="1"/>
  <c r="R380" i="1" s="1"/>
  <c r="R371" i="1" a="1"/>
  <c r="R371" i="1" s="1"/>
  <c r="R375" i="1" a="1"/>
  <c r="R375" i="1" s="1"/>
  <c r="R379" i="1" a="1"/>
  <c r="R379" i="1" s="1"/>
  <c r="P360" i="1" a="1"/>
  <c r="P360" i="1" s="1"/>
  <c r="P364" i="1" a="1"/>
  <c r="P364" i="1" s="1"/>
  <c r="P368" i="1" a="1"/>
  <c r="P368" i="1" s="1"/>
  <c r="P357" i="1" a="1"/>
  <c r="P357" i="1" s="1"/>
  <c r="P359" i="1" a="1"/>
  <c r="P359" i="1" s="1"/>
  <c r="P363" i="1" a="1"/>
  <c r="P363" i="1" s="1"/>
  <c r="P367" i="1" a="1"/>
  <c r="P367" i="1" s="1"/>
  <c r="P358" i="1" a="1"/>
  <c r="P358" i="1" s="1"/>
  <c r="P362" i="1" a="1"/>
  <c r="P362" i="1" s="1"/>
  <c r="P366" i="1" a="1"/>
  <c r="P366" i="1" s="1"/>
  <c r="P361" i="1" a="1"/>
  <c r="P361" i="1" s="1"/>
  <c r="P365" i="1" a="1"/>
  <c r="P365" i="1" s="1"/>
  <c r="L345" i="1" a="1"/>
  <c r="L345" i="1" s="1"/>
  <c r="L344" i="1" a="1"/>
  <c r="L344" i="1" s="1"/>
  <c r="L348" i="1" a="1"/>
  <c r="L348" i="1" s="1"/>
  <c r="L352" i="1" a="1"/>
  <c r="L352" i="1" s="1"/>
  <c r="L343" i="1" a="1"/>
  <c r="L343" i="1" s="1"/>
  <c r="L347" i="1" a="1"/>
  <c r="L347" i="1" s="1"/>
  <c r="L351" i="1" a="1"/>
  <c r="L351" i="1" s="1"/>
  <c r="L355" i="1" a="1"/>
  <c r="L355" i="1" s="1"/>
  <c r="L346" i="1" a="1"/>
  <c r="L346" i="1" s="1"/>
  <c r="L350" i="1" a="1"/>
  <c r="L350" i="1" s="1"/>
  <c r="L354" i="1" a="1"/>
  <c r="L354" i="1" s="1"/>
  <c r="L353" i="1" a="1"/>
  <c r="L353" i="1" s="1"/>
  <c r="L349" i="1" a="1"/>
  <c r="L349" i="1" s="1"/>
  <c r="P306" i="1" a="1"/>
  <c r="P306" i="1" s="1"/>
  <c r="P310" i="1" a="1"/>
  <c r="P310" i="1" s="1"/>
  <c r="P314" i="1" a="1"/>
  <c r="P314" i="1" s="1"/>
  <c r="P305" i="1" a="1"/>
  <c r="P305" i="1" s="1"/>
  <c r="P309" i="1" a="1"/>
  <c r="P309" i="1" s="1"/>
  <c r="P313" i="1" a="1"/>
  <c r="P313" i="1" s="1"/>
  <c r="P308" i="1" a="1"/>
  <c r="P308" i="1" s="1"/>
  <c r="P312" i="1" a="1"/>
  <c r="P312" i="1" s="1"/>
  <c r="P316" i="1" a="1"/>
  <c r="P316" i="1" s="1"/>
  <c r="P307" i="1" a="1"/>
  <c r="P307" i="1" s="1"/>
  <c r="P311" i="1" a="1"/>
  <c r="P311" i="1" s="1"/>
  <c r="P315" i="1" a="1"/>
  <c r="P315" i="1" s="1"/>
  <c r="T268" i="1" a="1"/>
  <c r="T268" i="1" s="1"/>
  <c r="T267" i="1" a="1"/>
  <c r="T267" i="1" s="1"/>
  <c r="T271" i="1" a="1"/>
  <c r="T271" i="1" s="1"/>
  <c r="T275" i="1" a="1"/>
  <c r="T275" i="1" s="1"/>
  <c r="T266" i="1" a="1"/>
  <c r="T266" i="1" s="1"/>
  <c r="T270" i="1" a="1"/>
  <c r="T270" i="1" s="1"/>
  <c r="T274" i="1" a="1"/>
  <c r="T274" i="1" s="1"/>
  <c r="T265" i="1" a="1"/>
  <c r="T265" i="1" s="1"/>
  <c r="T273" i="1" a="1"/>
  <c r="T273" i="1" s="1"/>
  <c r="T277" i="1" a="1"/>
  <c r="T277" i="1" s="1"/>
  <c r="T269" i="1" a="1"/>
  <c r="T269" i="1" s="1"/>
  <c r="T272" i="1" a="1"/>
  <c r="T272" i="1" s="1"/>
  <c r="T276" i="1" a="1"/>
  <c r="T276" i="1" s="1"/>
  <c r="L242" i="1" a="1"/>
  <c r="L242" i="1" s="1"/>
  <c r="L246" i="1" a="1"/>
  <c r="L246" i="1" s="1"/>
  <c r="L250" i="1" a="1"/>
  <c r="L250" i="1" s="1"/>
  <c r="L241" i="1" a="1"/>
  <c r="L241" i="1" s="1"/>
  <c r="L245" i="1" a="1"/>
  <c r="L245" i="1" s="1"/>
  <c r="L249" i="1" a="1"/>
  <c r="L249" i="1" s="1"/>
  <c r="L240" i="1" a="1"/>
  <c r="L240" i="1" s="1"/>
  <c r="L244" i="1" a="1"/>
  <c r="L244" i="1" s="1"/>
  <c r="L248" i="1" a="1"/>
  <c r="L248" i="1" s="1"/>
  <c r="L239" i="1" a="1"/>
  <c r="L239" i="1" s="1"/>
  <c r="L243" i="1" a="1"/>
  <c r="L243" i="1" s="1"/>
  <c r="L247" i="1" a="1"/>
  <c r="L247" i="1" s="1"/>
  <c r="L251" i="1" a="1"/>
  <c r="L251" i="1" s="1"/>
  <c r="T217" i="1" a="1"/>
  <c r="T217" i="1" s="1"/>
  <c r="T220" i="1" a="1"/>
  <c r="T220" i="1" s="1"/>
  <c r="T225" i="1" a="1"/>
  <c r="T225" i="1" s="1"/>
  <c r="T215" i="1" a="1"/>
  <c r="T215" i="1" s="1"/>
  <c r="T218" i="1" a="1"/>
  <c r="T218" i="1" s="1"/>
  <c r="T223" i="1" a="1"/>
  <c r="T223" i="1" s="1"/>
  <c r="T214" i="1" a="1"/>
  <c r="T214" i="1" s="1"/>
  <c r="T216" i="1" a="1"/>
  <c r="T216" i="1" s="1"/>
  <c r="T221" i="1" a="1"/>
  <c r="T221" i="1" s="1"/>
  <c r="T224" i="1" a="1"/>
  <c r="T224" i="1" s="1"/>
  <c r="T219" i="1" a="1"/>
  <c r="T219" i="1" s="1"/>
  <c r="T222" i="1" a="1"/>
  <c r="T222" i="1" s="1"/>
  <c r="P201" i="1" a="1"/>
  <c r="P201" i="1" s="1"/>
  <c r="P203" i="1" a="1"/>
  <c r="P203" i="1" s="1"/>
  <c r="P208" i="1" a="1"/>
  <c r="P208" i="1" s="1"/>
  <c r="P210" i="1" a="1"/>
  <c r="P210" i="1" s="1"/>
  <c r="P212" i="1" a="1"/>
  <c r="P212" i="1" s="1"/>
  <c r="P205" i="1" a="1"/>
  <c r="P205" i="1" s="1"/>
  <c r="P207" i="1" a="1"/>
  <c r="P207" i="1" s="1"/>
  <c r="P200" i="1" a="1"/>
  <c r="P200" i="1" s="1"/>
  <c r="P202" i="1" a="1"/>
  <c r="P202" i="1" s="1"/>
  <c r="P209" i="1" a="1"/>
  <c r="P209" i="1" s="1"/>
  <c r="P204" i="1" a="1"/>
  <c r="P204" i="1" s="1"/>
  <c r="P206" i="1" a="1"/>
  <c r="P206" i="1" s="1"/>
  <c r="P211" i="1" a="1"/>
  <c r="P211" i="1" s="1"/>
  <c r="T135" i="1" a="1"/>
  <c r="T135" i="1" s="1"/>
  <c r="T139" i="1" a="1"/>
  <c r="T139" i="1" s="1"/>
  <c r="T143" i="1" a="1"/>
  <c r="T143" i="1" s="1"/>
  <c r="T147" i="1" a="1"/>
  <c r="T147" i="1" s="1"/>
  <c r="T138" i="1" a="1"/>
  <c r="T138" i="1" s="1"/>
  <c r="T142" i="1" a="1"/>
  <c r="T142" i="1" s="1"/>
  <c r="T146" i="1" a="1"/>
  <c r="T146" i="1" s="1"/>
  <c r="T137" i="1" a="1"/>
  <c r="T137" i="1" s="1"/>
  <c r="T141" i="1" a="1"/>
  <c r="T141" i="1" s="1"/>
  <c r="T145" i="1" a="1"/>
  <c r="T145" i="1" s="1"/>
  <c r="T136" i="1" a="1"/>
  <c r="T136" i="1" s="1"/>
  <c r="T140" i="1" a="1"/>
  <c r="T140" i="1" s="1"/>
  <c r="T144" i="1" a="1"/>
  <c r="T144" i="1" s="1"/>
  <c r="N112" i="1" a="1"/>
  <c r="N112" i="1" s="1"/>
  <c r="N113" i="1" a="1"/>
  <c r="N113" i="1" s="1"/>
  <c r="N114" i="1" a="1"/>
  <c r="N114" i="1" s="1"/>
  <c r="N116" i="1" a="1"/>
  <c r="N116" i="1" s="1"/>
  <c r="N119" i="1" a="1"/>
  <c r="N119" i="1" s="1"/>
  <c r="N111" i="1" a="1"/>
  <c r="N111" i="1" s="1"/>
  <c r="N118" i="1" a="1"/>
  <c r="N118" i="1" s="1"/>
  <c r="N110" i="1" a="1"/>
  <c r="N110" i="1" s="1"/>
  <c r="N115" i="1" a="1"/>
  <c r="N115" i="1" s="1"/>
  <c r="N117" i="1" a="1"/>
  <c r="N117" i="1" s="1"/>
  <c r="N121" i="1" a="1"/>
  <c r="N121" i="1" s="1"/>
  <c r="N109" i="1" a="1"/>
  <c r="N109" i="1" s="1"/>
  <c r="N120" i="1" a="1"/>
  <c r="N120" i="1" s="1"/>
  <c r="R97" i="1" a="1"/>
  <c r="R97" i="1" s="1"/>
  <c r="R101" i="1" a="1"/>
  <c r="R101" i="1" s="1"/>
  <c r="R105" i="1" a="1"/>
  <c r="R105" i="1" s="1"/>
  <c r="R96" i="1" a="1"/>
  <c r="R96" i="1" s="1"/>
  <c r="R100" i="1" a="1"/>
  <c r="R100" i="1" s="1"/>
  <c r="R104" i="1" a="1"/>
  <c r="R104" i="1" s="1"/>
  <c r="R108" i="1" a="1"/>
  <c r="R108" i="1" s="1"/>
  <c r="R99" i="1" a="1"/>
  <c r="R99" i="1" s="1"/>
  <c r="R103" i="1" a="1"/>
  <c r="R103" i="1" s="1"/>
  <c r="R107" i="1" a="1"/>
  <c r="R107" i="1" s="1"/>
  <c r="R98" i="1" a="1"/>
  <c r="R98" i="1" s="1"/>
  <c r="R102" i="1" a="1"/>
  <c r="R102" i="1" s="1"/>
  <c r="R106" i="1" a="1"/>
  <c r="R106" i="1" s="1"/>
  <c r="P85" i="1" a="1"/>
  <c r="P85" i="1" s="1"/>
  <c r="P89" i="1" a="1"/>
  <c r="P89" i="1" s="1"/>
  <c r="P84" i="1" a="1"/>
  <c r="P84" i="1" s="1"/>
  <c r="P88" i="1" a="1"/>
  <c r="P88" i="1" s="1"/>
  <c r="P83" i="1" a="1"/>
  <c r="P83" i="1" s="1"/>
  <c r="P87" i="1" a="1"/>
  <c r="P87" i="1" s="1"/>
  <c r="P86" i="1" a="1"/>
  <c r="P86" i="1" s="1"/>
  <c r="P90" i="1" a="1"/>
  <c r="P90" i="1" s="1"/>
  <c r="P94" i="1" a="1"/>
  <c r="P94" i="1" s="1"/>
  <c r="P93" i="1" a="1"/>
  <c r="P93" i="1" s="1"/>
  <c r="P92" i="1" a="1"/>
  <c r="P92" i="1" s="1"/>
  <c r="P91" i="1" a="1"/>
  <c r="P91" i="1" s="1"/>
  <c r="P95" i="1" a="1"/>
  <c r="P95" i="1" s="1"/>
  <c r="T70" i="1" a="1"/>
  <c r="T70" i="1" s="1"/>
  <c r="T74" i="1" a="1"/>
  <c r="T74" i="1" s="1"/>
  <c r="T78" i="1" a="1"/>
  <c r="T78" i="1" s="1"/>
  <c r="T82" i="1" a="1"/>
  <c r="T82" i="1" s="1"/>
  <c r="T73" i="1" a="1"/>
  <c r="T73" i="1" s="1"/>
  <c r="T77" i="1" a="1"/>
  <c r="T77" i="1" s="1"/>
  <c r="T81" i="1" a="1"/>
  <c r="T81" i="1" s="1"/>
  <c r="T72" i="1" a="1"/>
  <c r="T72" i="1" s="1"/>
  <c r="T76" i="1" a="1"/>
  <c r="T76" i="1" s="1"/>
  <c r="T80" i="1" a="1"/>
  <c r="T80" i="1" s="1"/>
  <c r="T71" i="1" a="1"/>
  <c r="T71" i="1" s="1"/>
  <c r="T75" i="1" a="1"/>
  <c r="T75" i="1" s="1"/>
  <c r="T79" i="1" a="1"/>
  <c r="T79" i="1" s="1"/>
  <c r="J70" i="1" a="1"/>
  <c r="J70" i="1" s="1"/>
  <c r="J74" i="1" a="1"/>
  <c r="J74" i="1" s="1"/>
  <c r="J78" i="1" a="1"/>
  <c r="J78" i="1" s="1"/>
  <c r="J82" i="1" a="1"/>
  <c r="J82" i="1" s="1"/>
  <c r="J73" i="1" a="1"/>
  <c r="J73" i="1" s="1"/>
  <c r="J77" i="1" a="1"/>
  <c r="J77" i="1" s="1"/>
  <c r="J81" i="1" a="1"/>
  <c r="J81" i="1" s="1"/>
  <c r="J72" i="1" a="1"/>
  <c r="J72" i="1" s="1"/>
  <c r="J76" i="1" a="1"/>
  <c r="J76" i="1" s="1"/>
  <c r="J80" i="1" a="1"/>
  <c r="J80" i="1" s="1"/>
  <c r="J71" i="1" a="1"/>
  <c r="J71" i="1" s="1"/>
  <c r="J75" i="1" a="1"/>
  <c r="J75" i="1" s="1"/>
  <c r="J79" i="1" a="1"/>
  <c r="J79" i="1" s="1"/>
  <c r="N58" i="1" a="1"/>
  <c r="N58" i="1" s="1"/>
  <c r="N61" i="1" a="1"/>
  <c r="N61" i="1" s="1"/>
  <c r="N65" i="1" a="1"/>
  <c r="N65" i="1" s="1"/>
  <c r="N57" i="1" a="1"/>
  <c r="N57" i="1" s="1"/>
  <c r="N59" i="1" a="1"/>
  <c r="N59" i="1" s="1"/>
  <c r="N64" i="1" a="1"/>
  <c r="N64" i="1" s="1"/>
  <c r="N60" i="1" a="1"/>
  <c r="N60" i="1" s="1"/>
  <c r="N63" i="1" a="1"/>
  <c r="N63" i="1" s="1"/>
  <c r="N67" i="1" a="1"/>
  <c r="N67" i="1" s="1"/>
  <c r="N62" i="1" a="1"/>
  <c r="N62" i="1" s="1"/>
  <c r="N66" i="1" a="1"/>
  <c r="N66" i="1" s="1"/>
  <c r="N68" i="1" a="1"/>
  <c r="N68" i="1" s="1"/>
  <c r="N69" i="1" a="1"/>
  <c r="N69" i="1" s="1"/>
  <c r="P34" i="1" a="1"/>
  <c r="P34" i="1" s="1"/>
  <c r="P38" i="1" a="1"/>
  <c r="P38" i="1" s="1"/>
  <c r="P42" i="1" a="1"/>
  <c r="P42" i="1" s="1"/>
  <c r="P33" i="1" a="1"/>
  <c r="P33" i="1" s="1"/>
  <c r="P37" i="1" a="1"/>
  <c r="P37" i="1" s="1"/>
  <c r="P41" i="1" a="1"/>
  <c r="P41" i="1" s="1"/>
  <c r="P32" i="1" a="1"/>
  <c r="P32" i="1" s="1"/>
  <c r="P36" i="1" a="1"/>
  <c r="P36" i="1" s="1"/>
  <c r="P40" i="1" a="1"/>
  <c r="P40" i="1" s="1"/>
  <c r="P35" i="1" a="1"/>
  <c r="P35" i="1" s="1"/>
  <c r="P39" i="1" a="1"/>
  <c r="P39" i="1" s="1"/>
  <c r="P43" i="1" a="1"/>
  <c r="P43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19" i="1" a="1"/>
  <c r="N19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19" i="1" a="1"/>
  <c r="J19" i="1" s="1"/>
  <c r="T538" i="1" a="1"/>
  <c r="T538" i="1" s="1"/>
  <c r="T540" i="1" a="1"/>
  <c r="T540" i="1" s="1"/>
  <c r="T542" i="1" a="1"/>
  <c r="T542" i="1" s="1"/>
  <c r="T544" i="1" a="1"/>
  <c r="T544" i="1" s="1"/>
  <c r="T546" i="1" a="1"/>
  <c r="T546" i="1" s="1"/>
  <c r="T548" i="1" a="1"/>
  <c r="T548" i="1" s="1"/>
  <c r="T550" i="1" a="1"/>
  <c r="T550" i="1" s="1"/>
  <c r="T539" i="1" a="1"/>
  <c r="T539" i="1" s="1"/>
  <c r="T541" i="1" a="1"/>
  <c r="T541" i="1" s="1"/>
  <c r="T543" i="1" a="1"/>
  <c r="T543" i="1" s="1"/>
  <c r="T545" i="1" a="1"/>
  <c r="T545" i="1" s="1"/>
  <c r="T547" i="1" a="1"/>
  <c r="T547" i="1" s="1"/>
  <c r="T549" i="1" a="1"/>
  <c r="T549" i="1" s="1"/>
  <c r="N539" i="1" a="1"/>
  <c r="N539" i="1" s="1"/>
  <c r="N541" i="1" a="1"/>
  <c r="N541" i="1" s="1"/>
  <c r="N543" i="1" a="1"/>
  <c r="N543" i="1" s="1"/>
  <c r="N545" i="1" a="1"/>
  <c r="N545" i="1" s="1"/>
  <c r="N547" i="1" a="1"/>
  <c r="N547" i="1" s="1"/>
  <c r="N549" i="1" a="1"/>
  <c r="N549" i="1" s="1"/>
  <c r="N538" i="1" a="1"/>
  <c r="N538" i="1" s="1"/>
  <c r="N540" i="1" a="1"/>
  <c r="N540" i="1" s="1"/>
  <c r="N542" i="1" a="1"/>
  <c r="N542" i="1" s="1"/>
  <c r="N544" i="1" a="1"/>
  <c r="N544" i="1" s="1"/>
  <c r="N546" i="1" a="1"/>
  <c r="N546" i="1" s="1"/>
  <c r="N548" i="1" a="1"/>
  <c r="N548" i="1" s="1"/>
  <c r="N550" i="1" a="1"/>
  <c r="N550" i="1" s="1"/>
  <c r="N514" i="1" a="1"/>
  <c r="N514" i="1" s="1"/>
  <c r="N515" i="1" a="1"/>
  <c r="N515" i="1" s="1"/>
  <c r="N517" i="1" a="1"/>
  <c r="N517" i="1" s="1"/>
  <c r="N519" i="1" a="1"/>
  <c r="N519" i="1" s="1"/>
  <c r="N521" i="1" a="1"/>
  <c r="N521" i="1" s="1"/>
  <c r="N523" i="1" a="1"/>
  <c r="N523" i="1" s="1"/>
  <c r="N513" i="1" a="1"/>
  <c r="N513" i="1" s="1"/>
  <c r="N516" i="1" a="1"/>
  <c r="N516" i="1" s="1"/>
  <c r="N518" i="1" a="1"/>
  <c r="N518" i="1" s="1"/>
  <c r="N520" i="1" a="1"/>
  <c r="N520" i="1" s="1"/>
  <c r="N522" i="1" a="1"/>
  <c r="N522" i="1" s="1"/>
  <c r="N524" i="1" a="1"/>
  <c r="N524" i="1" s="1"/>
  <c r="P501" i="1" a="1"/>
  <c r="P501" i="1" s="1"/>
  <c r="P503" i="1" a="1"/>
  <c r="P503" i="1" s="1"/>
  <c r="P505" i="1" a="1"/>
  <c r="P505" i="1" s="1"/>
  <c r="P507" i="1" a="1"/>
  <c r="P507" i="1" s="1"/>
  <c r="P509" i="1" a="1"/>
  <c r="P509" i="1" s="1"/>
  <c r="P511" i="1" a="1"/>
  <c r="P511" i="1" s="1"/>
  <c r="P500" i="1" a="1"/>
  <c r="P500" i="1" s="1"/>
  <c r="P502" i="1" a="1"/>
  <c r="P502" i="1" s="1"/>
  <c r="P504" i="1" a="1"/>
  <c r="P504" i="1" s="1"/>
  <c r="P506" i="1" a="1"/>
  <c r="P506" i="1" s="1"/>
  <c r="P508" i="1" a="1"/>
  <c r="P508" i="1" s="1"/>
  <c r="P510" i="1" a="1"/>
  <c r="P510" i="1" s="1"/>
  <c r="T474" i="1" a="1"/>
  <c r="T474" i="1" s="1"/>
  <c r="T476" i="1" a="1"/>
  <c r="T476" i="1" s="1"/>
  <c r="T478" i="1" a="1"/>
  <c r="T478" i="1" s="1"/>
  <c r="T480" i="1" a="1"/>
  <c r="T480" i="1" s="1"/>
  <c r="T482" i="1" a="1"/>
  <c r="T482" i="1" s="1"/>
  <c r="T484" i="1" a="1"/>
  <c r="T484" i="1" s="1"/>
  <c r="T475" i="1" a="1"/>
  <c r="T475" i="1" s="1"/>
  <c r="T477" i="1" a="1"/>
  <c r="T477" i="1" s="1"/>
  <c r="T479" i="1" a="1"/>
  <c r="T479" i="1" s="1"/>
  <c r="T481" i="1" a="1"/>
  <c r="T481" i="1" s="1"/>
  <c r="T483" i="1" a="1"/>
  <c r="T483" i="1" s="1"/>
  <c r="T485" i="1" a="1"/>
  <c r="T485" i="1" s="1"/>
  <c r="J475" i="1" a="1"/>
  <c r="J475" i="1" s="1"/>
  <c r="J477" i="1" a="1"/>
  <c r="J477" i="1" s="1"/>
  <c r="J479" i="1" a="1"/>
  <c r="J479" i="1" s="1"/>
  <c r="J481" i="1" a="1"/>
  <c r="J481" i="1" s="1"/>
  <c r="J483" i="1" a="1"/>
  <c r="J483" i="1" s="1"/>
  <c r="J485" i="1" a="1"/>
  <c r="J485" i="1" s="1"/>
  <c r="J474" i="1" a="1"/>
  <c r="J474" i="1" s="1"/>
  <c r="J476" i="1" a="1"/>
  <c r="J476" i="1" s="1"/>
  <c r="J478" i="1" a="1"/>
  <c r="J478" i="1" s="1"/>
  <c r="J480" i="1" a="1"/>
  <c r="J480" i="1" s="1"/>
  <c r="J482" i="1" a="1"/>
  <c r="J482" i="1" s="1"/>
  <c r="J484" i="1" a="1"/>
  <c r="J484" i="1" s="1"/>
  <c r="T448" i="1" a="1"/>
  <c r="T448" i="1" s="1"/>
  <c r="T450" i="1" a="1"/>
  <c r="T450" i="1" s="1"/>
  <c r="T452" i="1" a="1"/>
  <c r="T452" i="1" s="1"/>
  <c r="T454" i="1" a="1"/>
  <c r="T454" i="1" s="1"/>
  <c r="T456" i="1" a="1"/>
  <c r="T456" i="1" s="1"/>
  <c r="T458" i="1" a="1"/>
  <c r="T458" i="1" s="1"/>
  <c r="T447" i="1" a="1"/>
  <c r="T447" i="1" s="1"/>
  <c r="T449" i="1" a="1"/>
  <c r="T449" i="1" s="1"/>
  <c r="T451" i="1" a="1"/>
  <c r="T451" i="1" s="1"/>
  <c r="T453" i="1" a="1"/>
  <c r="T453" i="1" s="1"/>
  <c r="T455" i="1" a="1"/>
  <c r="T455" i="1" s="1"/>
  <c r="T457" i="1" a="1"/>
  <c r="T457" i="1" s="1"/>
  <c r="T459" i="1" a="1"/>
  <c r="T459" i="1" s="1"/>
  <c r="P447" i="1" a="1"/>
  <c r="P447" i="1" s="1"/>
  <c r="P449" i="1" a="1"/>
  <c r="P449" i="1" s="1"/>
  <c r="P451" i="1" a="1"/>
  <c r="P451" i="1" s="1"/>
  <c r="P453" i="1" a="1"/>
  <c r="P453" i="1" s="1"/>
  <c r="P455" i="1" a="1"/>
  <c r="P455" i="1" s="1"/>
  <c r="P457" i="1" a="1"/>
  <c r="P457" i="1" s="1"/>
  <c r="P459" i="1" a="1"/>
  <c r="P459" i="1" s="1"/>
  <c r="P448" i="1" a="1"/>
  <c r="P448" i="1" s="1"/>
  <c r="P450" i="1" a="1"/>
  <c r="P450" i="1" s="1"/>
  <c r="P452" i="1" a="1"/>
  <c r="P452" i="1" s="1"/>
  <c r="P454" i="1" a="1"/>
  <c r="P454" i="1" s="1"/>
  <c r="P456" i="1" a="1"/>
  <c r="P456" i="1" s="1"/>
  <c r="P458" i="1" a="1"/>
  <c r="P458" i="1" s="1"/>
  <c r="N435" i="1" a="1"/>
  <c r="N435" i="1" s="1"/>
  <c r="N438" i="1" a="1"/>
  <c r="N438" i="1" s="1"/>
  <c r="N436" i="1" a="1"/>
  <c r="N436" i="1" s="1"/>
  <c r="N441" i="1" a="1"/>
  <c r="N441" i="1" s="1"/>
  <c r="N434" i="1" a="1"/>
  <c r="N434" i="1" s="1"/>
  <c r="N439" i="1" a="1"/>
  <c r="N439" i="1" s="1"/>
  <c r="N440" i="1" a="1"/>
  <c r="N440" i="1" s="1"/>
  <c r="N444" i="1" a="1"/>
  <c r="N444" i="1" s="1"/>
  <c r="N446" i="1" a="1"/>
  <c r="N446" i="1" s="1"/>
  <c r="N442" i="1" a="1"/>
  <c r="N442" i="1" s="1"/>
  <c r="N437" i="1" a="1"/>
  <c r="N437" i="1" s="1"/>
  <c r="N443" i="1" a="1"/>
  <c r="N443" i="1" s="1"/>
  <c r="N445" i="1" a="1"/>
  <c r="N445" i="1" s="1"/>
  <c r="P423" i="1" a="1"/>
  <c r="P423" i="1" s="1"/>
  <c r="P426" i="1" a="1"/>
  <c r="P426" i="1" s="1"/>
  <c r="P431" i="1" a="1"/>
  <c r="P431" i="1" s="1"/>
  <c r="P421" i="1" a="1"/>
  <c r="P421" i="1" s="1"/>
  <c r="P424" i="1" a="1"/>
  <c r="P424" i="1" s="1"/>
  <c r="P429" i="1" a="1"/>
  <c r="P429" i="1" s="1"/>
  <c r="P432" i="1" a="1"/>
  <c r="P432" i="1" s="1"/>
  <c r="P422" i="1" a="1"/>
  <c r="P422" i="1" s="1"/>
  <c r="P427" i="1" a="1"/>
  <c r="P427" i="1" s="1"/>
  <c r="P430" i="1" a="1"/>
  <c r="P430" i="1" s="1"/>
  <c r="P425" i="1" a="1"/>
  <c r="P425" i="1" s="1"/>
  <c r="P428" i="1" a="1"/>
  <c r="P428" i="1" s="1"/>
  <c r="P433" i="1" a="1"/>
  <c r="P433" i="1" s="1"/>
  <c r="T397" i="1" a="1"/>
  <c r="T397" i="1" s="1"/>
  <c r="T401" i="1" a="1"/>
  <c r="T401" i="1" s="1"/>
  <c r="T405" i="1" a="1"/>
  <c r="T405" i="1" s="1"/>
  <c r="T396" i="1" a="1"/>
  <c r="T396" i="1" s="1"/>
  <c r="T400" i="1" a="1"/>
  <c r="T400" i="1" s="1"/>
  <c r="T404" i="1" a="1"/>
  <c r="T404" i="1" s="1"/>
  <c r="T399" i="1" a="1"/>
  <c r="T399" i="1" s="1"/>
  <c r="T403" i="1" a="1"/>
  <c r="T403" i="1" s="1"/>
  <c r="T407" i="1" a="1"/>
  <c r="T407" i="1" s="1"/>
  <c r="T398" i="1" a="1"/>
  <c r="T398" i="1" s="1"/>
  <c r="T402" i="1" a="1"/>
  <c r="T402" i="1" s="1"/>
  <c r="T406" i="1" a="1"/>
  <c r="T406" i="1" s="1"/>
  <c r="J397" i="1" a="1"/>
  <c r="J397" i="1" s="1"/>
  <c r="J401" i="1" a="1"/>
  <c r="J401" i="1" s="1"/>
  <c r="J405" i="1" a="1"/>
  <c r="J405" i="1" s="1"/>
  <c r="J396" i="1" a="1"/>
  <c r="J396" i="1" s="1"/>
  <c r="J400" i="1" a="1"/>
  <c r="J400" i="1" s="1"/>
  <c r="J404" i="1" a="1"/>
  <c r="J404" i="1" s="1"/>
  <c r="J399" i="1" a="1"/>
  <c r="J399" i="1" s="1"/>
  <c r="J403" i="1" a="1"/>
  <c r="J403" i="1" s="1"/>
  <c r="J407" i="1" a="1"/>
  <c r="J407" i="1" s="1"/>
  <c r="J398" i="1" a="1"/>
  <c r="J398" i="1" s="1"/>
  <c r="J402" i="1" a="1"/>
  <c r="J402" i="1" s="1"/>
  <c r="J406" i="1" a="1"/>
  <c r="J406" i="1" s="1"/>
  <c r="L383" i="1" a="1"/>
  <c r="L383" i="1" s="1"/>
  <c r="L391" i="1" a="1"/>
  <c r="L391" i="1" s="1"/>
  <c r="L386" i="1" a="1"/>
  <c r="L386" i="1" s="1"/>
  <c r="L390" i="1" a="1"/>
  <c r="L390" i="1" s="1"/>
  <c r="L394" i="1" a="1"/>
  <c r="L394" i="1" s="1"/>
  <c r="L385" i="1" a="1"/>
  <c r="L385" i="1" s="1"/>
  <c r="L389" i="1" a="1"/>
  <c r="L389" i="1" s="1"/>
  <c r="L393" i="1" a="1"/>
  <c r="L393" i="1" s="1"/>
  <c r="L384" i="1" a="1"/>
  <c r="L384" i="1" s="1"/>
  <c r="L387" i="1" a="1"/>
  <c r="L387" i="1" s="1"/>
  <c r="L388" i="1" a="1"/>
  <c r="L388" i="1" s="1"/>
  <c r="L392" i="1" a="1"/>
  <c r="L392" i="1" s="1"/>
  <c r="J372" i="1" a="1"/>
  <c r="J372" i="1" s="1"/>
  <c r="J376" i="1" a="1"/>
  <c r="J376" i="1" s="1"/>
  <c r="J380" i="1" a="1"/>
  <c r="J380" i="1" s="1"/>
  <c r="J371" i="1" a="1"/>
  <c r="J371" i="1" s="1"/>
  <c r="J375" i="1" a="1"/>
  <c r="J375" i="1" s="1"/>
  <c r="J379" i="1" a="1"/>
  <c r="J379" i="1" s="1"/>
  <c r="J370" i="1" a="1"/>
  <c r="J370" i="1" s="1"/>
  <c r="J374" i="1" a="1"/>
  <c r="J374" i="1" s="1"/>
  <c r="J378" i="1" a="1"/>
  <c r="J378" i="1" s="1"/>
  <c r="J373" i="1" a="1"/>
  <c r="J373" i="1" s="1"/>
  <c r="J377" i="1" a="1"/>
  <c r="J377" i="1" s="1"/>
  <c r="J381" i="1" a="1"/>
  <c r="J381" i="1" s="1"/>
  <c r="L359" i="1" a="1"/>
  <c r="L359" i="1" s="1"/>
  <c r="L363" i="1" a="1"/>
  <c r="L363" i="1" s="1"/>
  <c r="L367" i="1" a="1"/>
  <c r="L367" i="1" s="1"/>
  <c r="L357" i="1" a="1"/>
  <c r="L357" i="1" s="1"/>
  <c r="L358" i="1" a="1"/>
  <c r="L358" i="1" s="1"/>
  <c r="L362" i="1" a="1"/>
  <c r="L362" i="1" s="1"/>
  <c r="L366" i="1" a="1"/>
  <c r="L366" i="1" s="1"/>
  <c r="L361" i="1" a="1"/>
  <c r="L361" i="1" s="1"/>
  <c r="L365" i="1" a="1"/>
  <c r="L365" i="1" s="1"/>
  <c r="L360" i="1" a="1"/>
  <c r="L360" i="1" s="1"/>
  <c r="L364" i="1" a="1"/>
  <c r="L364" i="1" s="1"/>
  <c r="L368" i="1" a="1"/>
  <c r="L368" i="1" s="1"/>
  <c r="P334" i="1" a="1"/>
  <c r="P334" i="1" s="1"/>
  <c r="P338" i="1" a="1"/>
  <c r="P338" i="1" s="1"/>
  <c r="P342" i="1" a="1"/>
  <c r="P342" i="1" s="1"/>
  <c r="P333" i="1" a="1"/>
  <c r="P333" i="1" s="1"/>
  <c r="P337" i="1" a="1"/>
  <c r="P337" i="1" s="1"/>
  <c r="P341" i="1" a="1"/>
  <c r="P341" i="1" s="1"/>
  <c r="P332" i="1" a="1"/>
  <c r="P332" i="1" s="1"/>
  <c r="P336" i="1" a="1"/>
  <c r="P336" i="1" s="1"/>
  <c r="P340" i="1" a="1"/>
  <c r="P340" i="1" s="1"/>
  <c r="P331" i="1" a="1"/>
  <c r="P331" i="1" s="1"/>
  <c r="P335" i="1" a="1"/>
  <c r="P335" i="1" s="1"/>
  <c r="P339" i="1" a="1"/>
  <c r="P339" i="1" s="1"/>
  <c r="T291" i="1" a="1"/>
  <c r="T291" i="1" s="1"/>
  <c r="T295" i="1" a="1"/>
  <c r="T295" i="1" s="1"/>
  <c r="T299" i="1" a="1"/>
  <c r="T299" i="1" s="1"/>
  <c r="T303" i="1" a="1"/>
  <c r="T303" i="1" s="1"/>
  <c r="T294" i="1" a="1"/>
  <c r="T294" i="1" s="1"/>
  <c r="T298" i="1" a="1"/>
  <c r="T298" i="1" s="1"/>
  <c r="T302" i="1" a="1"/>
  <c r="T302" i="1" s="1"/>
  <c r="T293" i="1" a="1"/>
  <c r="T293" i="1" s="1"/>
  <c r="T297" i="1" a="1"/>
  <c r="T297" i="1" s="1"/>
  <c r="T301" i="1" a="1"/>
  <c r="T301" i="1" s="1"/>
  <c r="T292" i="1" a="1"/>
  <c r="T292" i="1" s="1"/>
  <c r="T296" i="1" a="1"/>
  <c r="T296" i="1" s="1"/>
  <c r="T300" i="1" a="1"/>
  <c r="T300" i="1" s="1"/>
  <c r="L266" i="1" a="1"/>
  <c r="L266" i="1" s="1"/>
  <c r="L265" i="1" a="1"/>
  <c r="L265" i="1" s="1"/>
  <c r="L267" i="1" a="1"/>
  <c r="L267" i="1" s="1"/>
  <c r="L273" i="1" a="1"/>
  <c r="L273" i="1" s="1"/>
  <c r="L277" i="1" a="1"/>
  <c r="L277" i="1" s="1"/>
  <c r="L272" i="1" a="1"/>
  <c r="L272" i="1" s="1"/>
  <c r="L276" i="1" a="1"/>
  <c r="L276" i="1" s="1"/>
  <c r="L271" i="1" a="1"/>
  <c r="L271" i="1" s="1"/>
  <c r="L275" i="1" a="1"/>
  <c r="L275" i="1" s="1"/>
  <c r="L268" i="1" a="1"/>
  <c r="L268" i="1" s="1"/>
  <c r="L269" i="1" a="1"/>
  <c r="L269" i="1" s="1"/>
  <c r="L270" i="1" a="1"/>
  <c r="L270" i="1" s="1"/>
  <c r="L274" i="1" a="1"/>
  <c r="L274" i="1" s="1"/>
  <c r="T228" i="1" a="1"/>
  <c r="T228" i="1" s="1"/>
  <c r="T232" i="1" a="1"/>
  <c r="T232" i="1" s="1"/>
  <c r="T236" i="1" a="1"/>
  <c r="T236" i="1" s="1"/>
  <c r="T231" i="1" a="1"/>
  <c r="T231" i="1" s="1"/>
  <c r="T235" i="1" a="1"/>
  <c r="T235" i="1" s="1"/>
  <c r="T226" i="1" a="1"/>
  <c r="T226" i="1" s="1"/>
  <c r="T227" i="1" a="1"/>
  <c r="T227" i="1" s="1"/>
  <c r="T229" i="1" a="1"/>
  <c r="T229" i="1" s="1"/>
  <c r="T230" i="1" a="1"/>
  <c r="T230" i="1" s="1"/>
  <c r="T234" i="1" a="1"/>
  <c r="T234" i="1" s="1"/>
  <c r="T238" i="1" a="1"/>
  <c r="T238" i="1" s="1"/>
  <c r="T233" i="1" a="1"/>
  <c r="T233" i="1" s="1"/>
  <c r="T237" i="1" a="1"/>
  <c r="T237" i="1" s="1"/>
  <c r="P215" i="1" a="1"/>
  <c r="P215" i="1" s="1"/>
  <c r="P220" i="1" a="1"/>
  <c r="P220" i="1" s="1"/>
  <c r="P223" i="1" a="1"/>
  <c r="P223" i="1" s="1"/>
  <c r="P218" i="1" a="1"/>
  <c r="P218" i="1" s="1"/>
  <c r="P221" i="1" a="1"/>
  <c r="P221" i="1" s="1"/>
  <c r="P214" i="1" a="1"/>
  <c r="P214" i="1" s="1"/>
  <c r="P219" i="1" a="1"/>
  <c r="P219" i="1" s="1"/>
  <c r="P222" i="1" a="1"/>
  <c r="P222" i="1" s="1"/>
  <c r="P225" i="1" a="1"/>
  <c r="P225" i="1" s="1"/>
  <c r="P224" i="1" a="1"/>
  <c r="P224" i="1" s="1"/>
  <c r="P216" i="1" a="1"/>
  <c r="P216" i="1" s="1"/>
  <c r="P217" i="1" a="1"/>
  <c r="P217" i="1" s="1"/>
  <c r="L203" i="1" a="1"/>
  <c r="L203" i="1" s="1"/>
  <c r="L205" i="1" a="1"/>
  <c r="L205" i="1" s="1"/>
  <c r="L202" i="1" a="1"/>
  <c r="L202" i="1" s="1"/>
  <c r="L207" i="1" a="1"/>
  <c r="L207" i="1" s="1"/>
  <c r="L209" i="1" a="1"/>
  <c r="L209" i="1" s="1"/>
  <c r="L204" i="1" a="1"/>
  <c r="L204" i="1" s="1"/>
  <c r="L206" i="1" a="1"/>
  <c r="L206" i="1" s="1"/>
  <c r="L201" i="1" a="1"/>
  <c r="L201" i="1" s="1"/>
  <c r="L208" i="1" a="1"/>
  <c r="L208" i="1" s="1"/>
  <c r="L210" i="1" a="1"/>
  <c r="L210" i="1" s="1"/>
  <c r="L212" i="1" a="1"/>
  <c r="L212" i="1" s="1"/>
  <c r="L211" i="1" a="1"/>
  <c r="L211" i="1" s="1"/>
  <c r="P162" i="1" a="1"/>
  <c r="P162" i="1" s="1"/>
  <c r="P166" i="1" a="1"/>
  <c r="P166" i="1" s="1"/>
  <c r="P170" i="1" a="1"/>
  <c r="P170" i="1" s="1"/>
  <c r="P173" i="1" a="1"/>
  <c r="P173" i="1" s="1"/>
  <c r="P165" i="1" a="1"/>
  <c r="P165" i="1" s="1"/>
  <c r="P169" i="1" a="1"/>
  <c r="P169" i="1" s="1"/>
  <c r="P164" i="1" a="1"/>
  <c r="P164" i="1" s="1"/>
  <c r="P168" i="1" a="1"/>
  <c r="P168" i="1" s="1"/>
  <c r="P172" i="1" a="1"/>
  <c r="P172" i="1" s="1"/>
  <c r="P163" i="1" a="1"/>
  <c r="P163" i="1" s="1"/>
  <c r="P167" i="1" a="1"/>
  <c r="P167" i="1" s="1"/>
  <c r="P171" i="1" a="1"/>
  <c r="P171" i="1" s="1"/>
  <c r="L137" i="1" a="1"/>
  <c r="L137" i="1" s="1"/>
  <c r="L141" i="1" a="1"/>
  <c r="L141" i="1" s="1"/>
  <c r="L145" i="1" a="1"/>
  <c r="L145" i="1" s="1"/>
  <c r="L136" i="1" a="1"/>
  <c r="L136" i="1" s="1"/>
  <c r="L140" i="1" a="1"/>
  <c r="L140" i="1" s="1"/>
  <c r="L144" i="1" a="1"/>
  <c r="L144" i="1" s="1"/>
  <c r="L135" i="1" a="1"/>
  <c r="L135" i="1" s="1"/>
  <c r="L139" i="1" a="1"/>
  <c r="L139" i="1" s="1"/>
  <c r="L143" i="1" a="1"/>
  <c r="L143" i="1" s="1"/>
  <c r="L147" i="1" a="1"/>
  <c r="L147" i="1" s="1"/>
  <c r="L138" i="1" a="1"/>
  <c r="L138" i="1" s="1"/>
  <c r="L142" i="1" a="1"/>
  <c r="L142" i="1" s="1"/>
  <c r="L146" i="1" a="1"/>
  <c r="L146" i="1" s="1"/>
  <c r="T122" i="1" a="1"/>
  <c r="T122" i="1" s="1"/>
  <c r="T126" i="1" a="1"/>
  <c r="T126" i="1" s="1"/>
  <c r="T125" i="1" a="1"/>
  <c r="T125" i="1" s="1"/>
  <c r="T129" i="1" a="1"/>
  <c r="T129" i="1" s="1"/>
  <c r="T133" i="1" a="1"/>
  <c r="T133" i="1" s="1"/>
  <c r="T124" i="1" a="1"/>
  <c r="T124" i="1" s="1"/>
  <c r="T128" i="1" a="1"/>
  <c r="T128" i="1" s="1"/>
  <c r="T123" i="1" a="1"/>
  <c r="T123" i="1" s="1"/>
  <c r="T127" i="1" a="1"/>
  <c r="T127" i="1" s="1"/>
  <c r="T131" i="1" a="1"/>
  <c r="T131" i="1" s="1"/>
  <c r="T132" i="1" a="1"/>
  <c r="T132" i="1" s="1"/>
  <c r="T130" i="1" a="1"/>
  <c r="T130" i="1" s="1"/>
  <c r="T134" i="1" a="1"/>
  <c r="T134" i="1" s="1"/>
  <c r="L124" i="1" a="1"/>
  <c r="L124" i="1" s="1"/>
  <c r="L128" i="1" a="1"/>
  <c r="L128" i="1" s="1"/>
  <c r="L123" i="1" a="1"/>
  <c r="L123" i="1" s="1"/>
  <c r="L127" i="1" a="1"/>
  <c r="L127" i="1" s="1"/>
  <c r="L131" i="1" a="1"/>
  <c r="L131" i="1" s="1"/>
  <c r="L122" i="1" a="1"/>
  <c r="L122" i="1" s="1"/>
  <c r="L126" i="1" a="1"/>
  <c r="L126" i="1" s="1"/>
  <c r="L125" i="1" a="1"/>
  <c r="L125" i="1" s="1"/>
  <c r="L129" i="1" a="1"/>
  <c r="L129" i="1" s="1"/>
  <c r="L133" i="1" a="1"/>
  <c r="L133" i="1" s="1"/>
  <c r="L130" i="1" a="1"/>
  <c r="L130" i="1" s="1"/>
  <c r="L132" i="1" a="1"/>
  <c r="L132" i="1" s="1"/>
  <c r="L134" i="1" a="1"/>
  <c r="L134" i="1" s="1"/>
  <c r="P73" i="1" a="1"/>
  <c r="P73" i="1" s="1"/>
  <c r="P77" i="1" a="1"/>
  <c r="P77" i="1" s="1"/>
  <c r="P81" i="1" a="1"/>
  <c r="P81" i="1" s="1"/>
  <c r="P72" i="1" a="1"/>
  <c r="P72" i="1" s="1"/>
  <c r="P76" i="1" a="1"/>
  <c r="P76" i="1" s="1"/>
  <c r="P80" i="1" a="1"/>
  <c r="P80" i="1" s="1"/>
  <c r="P71" i="1" a="1"/>
  <c r="P71" i="1" s="1"/>
  <c r="P75" i="1" a="1"/>
  <c r="P75" i="1" s="1"/>
  <c r="P79" i="1" a="1"/>
  <c r="P79" i="1" s="1"/>
  <c r="P70" i="1" a="1"/>
  <c r="P70" i="1" s="1"/>
  <c r="P74" i="1" a="1"/>
  <c r="P74" i="1" s="1"/>
  <c r="P78" i="1" a="1"/>
  <c r="P78" i="1" s="1"/>
  <c r="P82" i="1" a="1"/>
  <c r="P82" i="1" s="1"/>
  <c r="J45" i="1" a="1"/>
  <c r="J45" i="1" s="1"/>
  <c r="J46" i="1" a="1"/>
  <c r="J46" i="1" s="1"/>
  <c r="J52" i="1" a="1"/>
  <c r="J52" i="1" s="1"/>
  <c r="J49" i="1" a="1"/>
  <c r="J49" i="1" s="1"/>
  <c r="J53" i="1" a="1"/>
  <c r="J53" i="1" s="1"/>
  <c r="J51" i="1" a="1"/>
  <c r="J51" i="1" s="1"/>
  <c r="J56" i="1" a="1"/>
  <c r="J56" i="1" s="1"/>
  <c r="J48" i="1" a="1"/>
  <c r="J48" i="1" s="1"/>
  <c r="J50" i="1" a="1"/>
  <c r="J50" i="1" s="1"/>
  <c r="J55" i="1" a="1"/>
  <c r="J55" i="1" s="1"/>
  <c r="J47" i="1" a="1"/>
  <c r="J47" i="1" s="1"/>
  <c r="J54" i="1" a="1"/>
  <c r="J54" i="1" s="1"/>
  <c r="T19" i="1" a="1"/>
  <c r="T19" i="1" s="1"/>
  <c r="T20" i="1" a="1"/>
  <c r="T20" i="1" s="1"/>
  <c r="T21" i="1" a="1"/>
  <c r="T21" i="1" s="1"/>
  <c r="T22" i="1" a="1"/>
  <c r="T22" i="1" s="1"/>
  <c r="T23" i="1" a="1"/>
  <c r="T23" i="1" s="1"/>
  <c r="T24" i="1" a="1"/>
  <c r="T24" i="1" s="1"/>
  <c r="T25" i="1" a="1"/>
  <c r="T25" i="1" s="1"/>
  <c r="T26" i="1" a="1"/>
  <c r="T26" i="1" s="1"/>
  <c r="T27" i="1" a="1"/>
  <c r="T27" i="1" s="1"/>
  <c r="T28" i="1" a="1"/>
  <c r="T28" i="1" s="1"/>
  <c r="T29" i="1" a="1"/>
  <c r="T29" i="1" s="1"/>
  <c r="T30" i="1" a="1"/>
  <c r="T30" i="1" s="1"/>
  <c r="T7" i="1" a="1"/>
  <c r="T7" i="1" s="1"/>
  <c r="T8" i="1" a="1"/>
  <c r="T8" i="1" s="1"/>
  <c r="T11" i="1" a="1"/>
  <c r="T11" i="1" s="1"/>
  <c r="T15" i="1" a="1"/>
  <c r="T15" i="1" s="1"/>
  <c r="T14" i="1" a="1"/>
  <c r="T14" i="1" s="1"/>
  <c r="T6" i="1" a="1"/>
  <c r="T6" i="1" s="1"/>
  <c r="T9" i="1" a="1"/>
  <c r="T9" i="1" s="1"/>
  <c r="T10" i="1" a="1"/>
  <c r="T10" i="1" s="1"/>
  <c r="T13" i="1" a="1"/>
  <c r="T13" i="1" s="1"/>
  <c r="T17" i="1" a="1"/>
  <c r="T17" i="1" s="1"/>
  <c r="T12" i="1" a="1"/>
  <c r="T12" i="1" s="1"/>
  <c r="T16" i="1" a="1"/>
  <c r="T16" i="1" s="1"/>
  <c r="Q8" i="1" a="1"/>
  <c r="Q8" i="1" s="1"/>
  <c r="Q12" i="1" a="1"/>
  <c r="Q12" i="1" s="1"/>
  <c r="Q16" i="1" a="1"/>
  <c r="Q16" i="1" s="1"/>
  <c r="Q7" i="1" a="1"/>
  <c r="Q7" i="1" s="1"/>
  <c r="Q11" i="1" a="1"/>
  <c r="Q11" i="1" s="1"/>
  <c r="Q15" i="1" a="1"/>
  <c r="Q15" i="1" s="1"/>
  <c r="Q6" i="1" a="1"/>
  <c r="Q6" i="1" s="1"/>
  <c r="Q10" i="1" a="1"/>
  <c r="Q10" i="1" s="1"/>
  <c r="Q14" i="1" a="1"/>
  <c r="Q14" i="1" s="1"/>
  <c r="Q9" i="1" a="1"/>
  <c r="Q9" i="1" s="1"/>
  <c r="Q13" i="1" a="1"/>
  <c r="Q13" i="1" s="1"/>
  <c r="Q17" i="1" a="1"/>
  <c r="Q17" i="1" s="1"/>
  <c r="L6" i="1" a="1"/>
  <c r="L6" i="1" s="1"/>
  <c r="L9" i="1" a="1"/>
  <c r="L9" i="1" s="1"/>
  <c r="L10" i="1" a="1"/>
  <c r="L10" i="1" s="1"/>
  <c r="L13" i="1" a="1"/>
  <c r="L13" i="1" s="1"/>
  <c r="L17" i="1" a="1"/>
  <c r="L17" i="1" s="1"/>
  <c r="L12" i="1" a="1"/>
  <c r="L12" i="1" s="1"/>
  <c r="L16" i="1" a="1"/>
  <c r="L16" i="1" s="1"/>
  <c r="L7" i="1" a="1"/>
  <c r="L7" i="1" s="1"/>
  <c r="L8" i="1" a="1"/>
  <c r="L8" i="1" s="1"/>
  <c r="L11" i="1" a="1"/>
  <c r="L11" i="1" s="1"/>
  <c r="L15" i="1" a="1"/>
  <c r="L15" i="1" s="1"/>
  <c r="L14" i="1" a="1"/>
  <c r="L14" i="1" s="1"/>
  <c r="T514" i="1" a="1"/>
  <c r="T514" i="1" s="1"/>
  <c r="T516" i="1" a="1"/>
  <c r="T516" i="1" s="1"/>
  <c r="L514" i="1" a="1"/>
  <c r="L514" i="1" s="1"/>
  <c r="L516" i="1" a="1"/>
  <c r="L516" i="1" s="1"/>
  <c r="I514" i="1" a="1"/>
  <c r="I514" i="1" s="1"/>
  <c r="I516" i="1" a="1"/>
  <c r="I516" i="1" s="1"/>
  <c r="R501" i="1" a="1"/>
  <c r="R501" i="1" s="1"/>
  <c r="R503" i="1" a="1"/>
  <c r="R503" i="1" s="1"/>
  <c r="R505" i="1" a="1"/>
  <c r="R505" i="1" s="1"/>
  <c r="R507" i="1" a="1"/>
  <c r="R507" i="1" s="1"/>
  <c r="R509" i="1" a="1"/>
  <c r="R509" i="1" s="1"/>
  <c r="R500" i="1" a="1"/>
  <c r="R500" i="1" s="1"/>
  <c r="R502" i="1" a="1"/>
  <c r="R502" i="1" s="1"/>
  <c r="R504" i="1" a="1"/>
  <c r="R504" i="1" s="1"/>
  <c r="R506" i="1" a="1"/>
  <c r="R506" i="1" s="1"/>
  <c r="M501" i="1" a="1"/>
  <c r="M501" i="1" s="1"/>
  <c r="M503" i="1" a="1"/>
  <c r="M503" i="1" s="1"/>
  <c r="M505" i="1" a="1"/>
  <c r="M505" i="1" s="1"/>
  <c r="M507" i="1" a="1"/>
  <c r="M507" i="1" s="1"/>
  <c r="M509" i="1" a="1"/>
  <c r="M509" i="1" s="1"/>
  <c r="M511" i="1" a="1"/>
  <c r="M511" i="1" s="1"/>
  <c r="M500" i="1" a="1"/>
  <c r="M500" i="1" s="1"/>
  <c r="M502" i="1" a="1"/>
  <c r="M502" i="1" s="1"/>
  <c r="M504" i="1" a="1"/>
  <c r="M504" i="1" s="1"/>
  <c r="M506" i="1" a="1"/>
  <c r="M506" i="1" s="1"/>
  <c r="M508" i="1" a="1"/>
  <c r="M508" i="1" s="1"/>
  <c r="M510" i="1" a="1"/>
  <c r="M510" i="1" s="1"/>
  <c r="Q486" i="1" a="1"/>
  <c r="Q486" i="1" s="1"/>
  <c r="Q488" i="1" a="1"/>
  <c r="Q488" i="1" s="1"/>
  <c r="Q490" i="1" a="1"/>
  <c r="Q490" i="1" s="1"/>
  <c r="Q492" i="1" a="1"/>
  <c r="Q492" i="1" s="1"/>
  <c r="Q494" i="1" a="1"/>
  <c r="Q494" i="1" s="1"/>
  <c r="Q496" i="1" a="1"/>
  <c r="Q496" i="1" s="1"/>
  <c r="Q498" i="1" a="1"/>
  <c r="Q498" i="1" s="1"/>
  <c r="Q487" i="1" a="1"/>
  <c r="Q487" i="1" s="1"/>
  <c r="Q489" i="1" a="1"/>
  <c r="Q489" i="1" s="1"/>
  <c r="Q491" i="1" a="1"/>
  <c r="Q491" i="1" s="1"/>
  <c r="Q493" i="1" a="1"/>
  <c r="Q493" i="1" s="1"/>
  <c r="Q495" i="1" a="1"/>
  <c r="Q495" i="1" s="1"/>
  <c r="Q497" i="1" a="1"/>
  <c r="Q497" i="1" s="1"/>
  <c r="N486" i="1" a="1"/>
  <c r="N486" i="1" s="1"/>
  <c r="N488" i="1" a="1"/>
  <c r="N488" i="1" s="1"/>
  <c r="N490" i="1" a="1"/>
  <c r="N490" i="1" s="1"/>
  <c r="N492" i="1" a="1"/>
  <c r="N492" i="1" s="1"/>
  <c r="N494" i="1" a="1"/>
  <c r="N494" i="1" s="1"/>
  <c r="N496" i="1" a="1"/>
  <c r="N496" i="1" s="1"/>
  <c r="N498" i="1" a="1"/>
  <c r="N498" i="1" s="1"/>
  <c r="N487" i="1" a="1"/>
  <c r="N487" i="1" s="1"/>
  <c r="N489" i="1" a="1"/>
  <c r="N489" i="1" s="1"/>
  <c r="N491" i="1" a="1"/>
  <c r="N491" i="1" s="1"/>
  <c r="N493" i="1" a="1"/>
  <c r="N493" i="1" s="1"/>
  <c r="N495" i="1" a="1"/>
  <c r="N495" i="1" s="1"/>
  <c r="N497" i="1" a="1"/>
  <c r="N497" i="1" s="1"/>
  <c r="I488" i="1" a="1"/>
  <c r="I488" i="1" s="1"/>
  <c r="I490" i="1" a="1"/>
  <c r="I490" i="1" s="1"/>
  <c r="I492" i="1" a="1"/>
  <c r="I492" i="1" s="1"/>
  <c r="I494" i="1" a="1"/>
  <c r="I494" i="1" s="1"/>
  <c r="I496" i="1" a="1"/>
  <c r="I496" i="1" s="1"/>
  <c r="I498" i="1" a="1"/>
  <c r="I498" i="1" s="1"/>
  <c r="I487" i="1" a="1"/>
  <c r="I487" i="1" s="1"/>
  <c r="I489" i="1" a="1"/>
  <c r="I489" i="1" s="1"/>
  <c r="I491" i="1" a="1"/>
  <c r="I491" i="1" s="1"/>
  <c r="I493" i="1" a="1"/>
  <c r="I493" i="1" s="1"/>
  <c r="I495" i="1" a="1"/>
  <c r="I495" i="1" s="1"/>
  <c r="I497" i="1" a="1"/>
  <c r="I497" i="1" s="1"/>
  <c r="R475" i="1" a="1"/>
  <c r="R475" i="1" s="1"/>
  <c r="R477" i="1" a="1"/>
  <c r="R477" i="1" s="1"/>
  <c r="R479" i="1" a="1"/>
  <c r="R479" i="1" s="1"/>
  <c r="R481" i="1" a="1"/>
  <c r="R481" i="1" s="1"/>
  <c r="R483" i="1" a="1"/>
  <c r="R483" i="1" s="1"/>
  <c r="R485" i="1" a="1"/>
  <c r="R485" i="1" s="1"/>
  <c r="R474" i="1" a="1"/>
  <c r="R474" i="1" s="1"/>
  <c r="R476" i="1" a="1"/>
  <c r="R476" i="1" s="1"/>
  <c r="R478" i="1" a="1"/>
  <c r="R478" i="1" s="1"/>
  <c r="R480" i="1" a="1"/>
  <c r="R480" i="1" s="1"/>
  <c r="R482" i="1" a="1"/>
  <c r="R482" i="1" s="1"/>
  <c r="R484" i="1" a="1"/>
  <c r="R484" i="1" s="1"/>
  <c r="M475" i="1" a="1"/>
  <c r="M475" i="1" s="1"/>
  <c r="M477" i="1" a="1"/>
  <c r="M477" i="1" s="1"/>
  <c r="M479" i="1" a="1"/>
  <c r="M479" i="1" s="1"/>
  <c r="M481" i="1" a="1"/>
  <c r="M481" i="1" s="1"/>
  <c r="M483" i="1" a="1"/>
  <c r="M483" i="1" s="1"/>
  <c r="M485" i="1" a="1"/>
  <c r="M485" i="1" s="1"/>
  <c r="M474" i="1" a="1"/>
  <c r="M474" i="1" s="1"/>
  <c r="M476" i="1" a="1"/>
  <c r="M476" i="1" s="1"/>
  <c r="M478" i="1" a="1"/>
  <c r="M478" i="1" s="1"/>
  <c r="M480" i="1" a="1"/>
  <c r="M480" i="1" s="1"/>
  <c r="M482" i="1" a="1"/>
  <c r="M482" i="1" s="1"/>
  <c r="M484" i="1" a="1"/>
  <c r="M484" i="1" s="1"/>
  <c r="Q460" i="1" a="1"/>
  <c r="Q460" i="1" s="1"/>
  <c r="Q462" i="1" a="1"/>
  <c r="Q462" i="1" s="1"/>
  <c r="Q464" i="1" a="1"/>
  <c r="Q464" i="1" s="1"/>
  <c r="Q466" i="1" a="1"/>
  <c r="Q466" i="1" s="1"/>
  <c r="Q468" i="1" a="1"/>
  <c r="Q468" i="1" s="1"/>
  <c r="Q470" i="1" a="1"/>
  <c r="Q470" i="1" s="1"/>
  <c r="Q472" i="1" a="1"/>
  <c r="Q472" i="1" s="1"/>
  <c r="Q461" i="1" a="1"/>
  <c r="Q461" i="1" s="1"/>
  <c r="Q463" i="1" a="1"/>
  <c r="Q463" i="1" s="1"/>
  <c r="Q465" i="1" a="1"/>
  <c r="Q465" i="1" s="1"/>
  <c r="Q467" i="1" a="1"/>
  <c r="Q467" i="1" s="1"/>
  <c r="Q469" i="1" a="1"/>
  <c r="Q469" i="1" s="1"/>
  <c r="Q471" i="1" a="1"/>
  <c r="Q471" i="1" s="1"/>
  <c r="I462" i="1" a="1"/>
  <c r="I462" i="1" s="1"/>
  <c r="I464" i="1" a="1"/>
  <c r="I464" i="1" s="1"/>
  <c r="I466" i="1" a="1"/>
  <c r="I466" i="1" s="1"/>
  <c r="I468" i="1" a="1"/>
  <c r="I468" i="1" s="1"/>
  <c r="I470" i="1" a="1"/>
  <c r="I470" i="1" s="1"/>
  <c r="I472" i="1" a="1"/>
  <c r="I472" i="1" s="1"/>
  <c r="I461" i="1" a="1"/>
  <c r="I461" i="1" s="1"/>
  <c r="I463" i="1" a="1"/>
  <c r="I463" i="1" s="1"/>
  <c r="I465" i="1" a="1"/>
  <c r="I465" i="1" s="1"/>
  <c r="I467" i="1" a="1"/>
  <c r="I467" i="1" s="1"/>
  <c r="I469" i="1" a="1"/>
  <c r="I469" i="1" s="1"/>
  <c r="I471" i="1" a="1"/>
  <c r="I471" i="1" s="1"/>
  <c r="M447" i="1" a="1"/>
  <c r="M447" i="1" s="1"/>
  <c r="M449" i="1" a="1"/>
  <c r="M449" i="1" s="1"/>
  <c r="M451" i="1" a="1"/>
  <c r="M451" i="1" s="1"/>
  <c r="M453" i="1" a="1"/>
  <c r="M453" i="1" s="1"/>
  <c r="M455" i="1" a="1"/>
  <c r="M455" i="1" s="1"/>
  <c r="M457" i="1" a="1"/>
  <c r="M457" i="1" s="1"/>
  <c r="M459" i="1" a="1"/>
  <c r="M459" i="1" s="1"/>
  <c r="M448" i="1" a="1"/>
  <c r="M448" i="1" s="1"/>
  <c r="M450" i="1" a="1"/>
  <c r="M450" i="1" s="1"/>
  <c r="M452" i="1" a="1"/>
  <c r="M452" i="1" s="1"/>
  <c r="M454" i="1" a="1"/>
  <c r="M454" i="1" s="1"/>
  <c r="M456" i="1" a="1"/>
  <c r="M456" i="1" s="1"/>
  <c r="M458" i="1" a="1"/>
  <c r="M458" i="1" s="1"/>
  <c r="Q438" i="1" a="1"/>
  <c r="Q438" i="1" s="1"/>
  <c r="Q442" i="1" a="1"/>
  <c r="Q442" i="1" s="1"/>
  <c r="Q444" i="1" a="1"/>
  <c r="Q444" i="1" s="1"/>
  <c r="Q436" i="1" a="1"/>
  <c r="Q436" i="1" s="1"/>
  <c r="Q439" i="1" a="1"/>
  <c r="Q439" i="1" s="1"/>
  <c r="Q434" i="1" a="1"/>
  <c r="Q434" i="1" s="1"/>
  <c r="Q437" i="1" a="1"/>
  <c r="Q437" i="1" s="1"/>
  <c r="Q441" i="1" a="1"/>
  <c r="Q441" i="1" s="1"/>
  <c r="Q435" i="1" a="1"/>
  <c r="Q435" i="1" s="1"/>
  <c r="Q440" i="1" a="1"/>
  <c r="Q440" i="1" s="1"/>
  <c r="Q446" i="1" a="1"/>
  <c r="Q446" i="1" s="1"/>
  <c r="Q443" i="1" a="1"/>
  <c r="Q443" i="1" s="1"/>
  <c r="Q445" i="1" a="1"/>
  <c r="Q445" i="1" s="1"/>
  <c r="I436" i="1" a="1"/>
  <c r="I436" i="1" s="1"/>
  <c r="I439" i="1" a="1"/>
  <c r="I439" i="1" s="1"/>
  <c r="I442" i="1" a="1"/>
  <c r="I442" i="1" s="1"/>
  <c r="I444" i="1" a="1"/>
  <c r="I444" i="1" s="1"/>
  <c r="I434" i="1" a="1"/>
  <c r="I434" i="1" s="1"/>
  <c r="I437" i="1" a="1"/>
  <c r="I437" i="1" s="1"/>
  <c r="I435" i="1" a="1"/>
  <c r="I435" i="1" s="1"/>
  <c r="I440" i="1" a="1"/>
  <c r="I440" i="1" s="1"/>
  <c r="I438" i="1" a="1"/>
  <c r="I438" i="1" s="1"/>
  <c r="I445" i="1" a="1"/>
  <c r="I445" i="1" s="1"/>
  <c r="I443" i="1" a="1"/>
  <c r="I443" i="1" s="1"/>
  <c r="I446" i="1" a="1"/>
  <c r="I446" i="1" s="1"/>
  <c r="I441" i="1" a="1"/>
  <c r="I441" i="1" s="1"/>
  <c r="R424" i="1" a="1"/>
  <c r="R424" i="1" s="1"/>
  <c r="R427" i="1" a="1"/>
  <c r="R427" i="1" s="1"/>
  <c r="R432" i="1" a="1"/>
  <c r="R432" i="1" s="1"/>
  <c r="R422" i="1" a="1"/>
  <c r="R422" i="1" s="1"/>
  <c r="R425" i="1" a="1"/>
  <c r="R425" i="1" s="1"/>
  <c r="R430" i="1" a="1"/>
  <c r="R430" i="1" s="1"/>
  <c r="R433" i="1" a="1"/>
  <c r="R433" i="1" s="1"/>
  <c r="R423" i="1" a="1"/>
  <c r="R423" i="1" s="1"/>
  <c r="R428" i="1" a="1"/>
  <c r="R428" i="1" s="1"/>
  <c r="R431" i="1" a="1"/>
  <c r="R431" i="1" s="1"/>
  <c r="R421" i="1" a="1"/>
  <c r="R421" i="1" s="1"/>
  <c r="R426" i="1" a="1"/>
  <c r="R426" i="1" s="1"/>
  <c r="R429" i="1" a="1"/>
  <c r="R429" i="1" s="1"/>
  <c r="M425" i="1" a="1"/>
  <c r="M425" i="1" s="1"/>
  <c r="M428" i="1" a="1"/>
  <c r="M428" i="1" s="1"/>
  <c r="M433" i="1" a="1"/>
  <c r="M433" i="1" s="1"/>
  <c r="M423" i="1" a="1"/>
  <c r="M423" i="1" s="1"/>
  <c r="M426" i="1" a="1"/>
  <c r="M426" i="1" s="1"/>
  <c r="M431" i="1" a="1"/>
  <c r="M431" i="1" s="1"/>
  <c r="M421" i="1" a="1"/>
  <c r="M421" i="1" s="1"/>
  <c r="M424" i="1" a="1"/>
  <c r="M424" i="1" s="1"/>
  <c r="M429" i="1" a="1"/>
  <c r="M429" i="1" s="1"/>
  <c r="M432" i="1" a="1"/>
  <c r="M432" i="1" s="1"/>
  <c r="M422" i="1" a="1"/>
  <c r="M422" i="1" s="1"/>
  <c r="M427" i="1" a="1"/>
  <c r="M427" i="1" s="1"/>
  <c r="M430" i="1" a="1"/>
  <c r="M430" i="1" s="1"/>
  <c r="J422" i="1" a="1"/>
  <c r="J422" i="1" s="1"/>
  <c r="J425" i="1" a="1"/>
  <c r="J425" i="1" s="1"/>
  <c r="J430" i="1" a="1"/>
  <c r="J430" i="1" s="1"/>
  <c r="J433" i="1" a="1"/>
  <c r="J433" i="1" s="1"/>
  <c r="J423" i="1" a="1"/>
  <c r="J423" i="1" s="1"/>
  <c r="J428" i="1" a="1"/>
  <c r="J428" i="1" s="1"/>
  <c r="J431" i="1" a="1"/>
  <c r="J431" i="1" s="1"/>
  <c r="J421" i="1" a="1"/>
  <c r="J421" i="1" s="1"/>
  <c r="J426" i="1" a="1"/>
  <c r="J426" i="1" s="1"/>
  <c r="J429" i="1" a="1"/>
  <c r="J429" i="1" s="1"/>
  <c r="J424" i="1" a="1"/>
  <c r="J424" i="1" s="1"/>
  <c r="J427" i="1" a="1"/>
  <c r="J427" i="1" s="1"/>
  <c r="J432" i="1" a="1"/>
  <c r="J432" i="1" s="1"/>
  <c r="Q410" i="1" a="1"/>
  <c r="Q410" i="1" s="1"/>
  <c r="Q414" i="1" a="1"/>
  <c r="Q414" i="1" s="1"/>
  <c r="Q418" i="1" a="1"/>
  <c r="Q418" i="1" s="1"/>
  <c r="Q409" i="1" a="1"/>
  <c r="Q409" i="1" s="1"/>
  <c r="Q413" i="1" a="1"/>
  <c r="Q413" i="1" s="1"/>
  <c r="Q417" i="1" a="1"/>
  <c r="Q417" i="1" s="1"/>
  <c r="Q420" i="1" a="1"/>
  <c r="Q420" i="1" s="1"/>
  <c r="Q408" i="1" a="1"/>
  <c r="Q408" i="1" s="1"/>
  <c r="Q412" i="1" a="1"/>
  <c r="Q412" i="1" s="1"/>
  <c r="Q416" i="1" a="1"/>
  <c r="Q416" i="1" s="1"/>
  <c r="Q411" i="1" a="1"/>
  <c r="Q411" i="1" s="1"/>
  <c r="Q415" i="1" a="1"/>
  <c r="Q415" i="1" s="1"/>
  <c r="Q419" i="1" a="1"/>
  <c r="Q419" i="1" s="1"/>
  <c r="I412" i="1" a="1"/>
  <c r="I412" i="1" s="1"/>
  <c r="I416" i="1" a="1"/>
  <c r="I416" i="1" s="1"/>
  <c r="I420" i="1" a="1"/>
  <c r="I420" i="1" s="1"/>
  <c r="I411" i="1" a="1"/>
  <c r="I411" i="1" s="1"/>
  <c r="I415" i="1" a="1"/>
  <c r="I415" i="1" s="1"/>
  <c r="I419" i="1" a="1"/>
  <c r="I419" i="1" s="1"/>
  <c r="I410" i="1" a="1"/>
  <c r="I410" i="1" s="1"/>
  <c r="I414" i="1" a="1"/>
  <c r="I414" i="1" s="1"/>
  <c r="I418" i="1" a="1"/>
  <c r="I418" i="1" s="1"/>
  <c r="I409" i="1" a="1"/>
  <c r="I409" i="1" s="1"/>
  <c r="I413" i="1" a="1"/>
  <c r="I413" i="1" s="1"/>
  <c r="I417" i="1" a="1"/>
  <c r="I417" i="1" s="1"/>
  <c r="R399" i="1" a="1"/>
  <c r="R399" i="1" s="1"/>
  <c r="R403" i="1" a="1"/>
  <c r="R403" i="1" s="1"/>
  <c r="R407" i="1" a="1"/>
  <c r="R407" i="1" s="1"/>
  <c r="R398" i="1" a="1"/>
  <c r="R398" i="1" s="1"/>
  <c r="R402" i="1" a="1"/>
  <c r="R402" i="1" s="1"/>
  <c r="R406" i="1" a="1"/>
  <c r="R406" i="1" s="1"/>
  <c r="R397" i="1" a="1"/>
  <c r="R397" i="1" s="1"/>
  <c r="R401" i="1" a="1"/>
  <c r="R401" i="1" s="1"/>
  <c r="R405" i="1" a="1"/>
  <c r="R405" i="1" s="1"/>
  <c r="R396" i="1" a="1"/>
  <c r="R396" i="1" s="1"/>
  <c r="R400" i="1" a="1"/>
  <c r="R400" i="1" s="1"/>
  <c r="R404" i="1" a="1"/>
  <c r="R404" i="1" s="1"/>
  <c r="M397" i="1" a="1"/>
  <c r="M397" i="1" s="1"/>
  <c r="M401" i="1" a="1"/>
  <c r="M401" i="1" s="1"/>
  <c r="M405" i="1" a="1"/>
  <c r="M405" i="1" s="1"/>
  <c r="M396" i="1" a="1"/>
  <c r="M396" i="1" s="1"/>
  <c r="M400" i="1" a="1"/>
  <c r="M400" i="1" s="1"/>
  <c r="M404" i="1" a="1"/>
  <c r="M404" i="1" s="1"/>
  <c r="M399" i="1" a="1"/>
  <c r="M399" i="1" s="1"/>
  <c r="M403" i="1" a="1"/>
  <c r="M403" i="1" s="1"/>
  <c r="M407" i="1" a="1"/>
  <c r="M407" i="1" s="1"/>
  <c r="M398" i="1" a="1"/>
  <c r="M398" i="1" s="1"/>
  <c r="M402" i="1" a="1"/>
  <c r="M402" i="1" s="1"/>
  <c r="M406" i="1" a="1"/>
  <c r="M406" i="1" s="1"/>
  <c r="Q385" i="1" a="1"/>
  <c r="Q385" i="1" s="1"/>
  <c r="Q389" i="1" a="1"/>
  <c r="Q389" i="1" s="1"/>
  <c r="Q390" i="1" a="1"/>
  <c r="Q390" i="1" s="1"/>
  <c r="Q394" i="1" a="1"/>
  <c r="Q394" i="1" s="1"/>
  <c r="Q384" i="1" a="1"/>
  <c r="Q384" i="1" s="1"/>
  <c r="Q388" i="1" a="1"/>
  <c r="Q388" i="1" s="1"/>
  <c r="Q393" i="1" a="1"/>
  <c r="Q393" i="1" s="1"/>
  <c r="Q383" i="1" a="1"/>
  <c r="Q383" i="1" s="1"/>
  <c r="Q387" i="1" a="1"/>
  <c r="Q387" i="1" s="1"/>
  <c r="Q392" i="1" a="1"/>
  <c r="Q392" i="1" s="1"/>
  <c r="Q386" i="1" a="1"/>
  <c r="Q386" i="1" s="1"/>
  <c r="Q391" i="1" a="1"/>
  <c r="Q391" i="1" s="1"/>
  <c r="N385" i="1" a="1"/>
  <c r="N385" i="1" s="1"/>
  <c r="N389" i="1" a="1"/>
  <c r="N389" i="1" s="1"/>
  <c r="N390" i="1" a="1"/>
  <c r="N390" i="1" s="1"/>
  <c r="N394" i="1" a="1"/>
  <c r="N394" i="1" s="1"/>
  <c r="N384" i="1" a="1"/>
  <c r="N384" i="1" s="1"/>
  <c r="N388" i="1" a="1"/>
  <c r="N388" i="1" s="1"/>
  <c r="N393" i="1" a="1"/>
  <c r="N393" i="1" s="1"/>
  <c r="N383" i="1" a="1"/>
  <c r="N383" i="1" s="1"/>
  <c r="N387" i="1" a="1"/>
  <c r="N387" i="1" s="1"/>
  <c r="N392" i="1" a="1"/>
  <c r="N392" i="1" s="1"/>
  <c r="N386" i="1" a="1"/>
  <c r="N386" i="1" s="1"/>
  <c r="N391" i="1" a="1"/>
  <c r="N391" i="1" s="1"/>
  <c r="I383" i="1" a="1"/>
  <c r="I383" i="1" s="1"/>
  <c r="I387" i="1" a="1"/>
  <c r="I387" i="1" s="1"/>
  <c r="I392" i="1" a="1"/>
  <c r="I392" i="1" s="1"/>
  <c r="I386" i="1" a="1"/>
  <c r="I386" i="1" s="1"/>
  <c r="I390" i="1" a="1"/>
  <c r="I390" i="1" s="1"/>
  <c r="I391" i="1" a="1"/>
  <c r="I391" i="1" s="1"/>
  <c r="I385" i="1" a="1"/>
  <c r="I385" i="1" s="1"/>
  <c r="I389" i="1" a="1"/>
  <c r="I389" i="1" s="1"/>
  <c r="I394" i="1" a="1"/>
  <c r="I394" i="1" s="1"/>
  <c r="I384" i="1" a="1"/>
  <c r="I384" i="1" s="1"/>
  <c r="I388" i="1" a="1"/>
  <c r="I388" i="1" s="1"/>
  <c r="I393" i="1" a="1"/>
  <c r="I393" i="1" s="1"/>
  <c r="M372" i="1" a="1"/>
  <c r="M372" i="1" s="1"/>
  <c r="M376" i="1" a="1"/>
  <c r="M376" i="1" s="1"/>
  <c r="M380" i="1" a="1"/>
  <c r="M380" i="1" s="1"/>
  <c r="M371" i="1" a="1"/>
  <c r="M371" i="1" s="1"/>
  <c r="M375" i="1" a="1"/>
  <c r="M375" i="1" s="1"/>
  <c r="M379" i="1" a="1"/>
  <c r="M379" i="1" s="1"/>
  <c r="M370" i="1" a="1"/>
  <c r="M370" i="1" s="1"/>
  <c r="M374" i="1" a="1"/>
  <c r="M374" i="1" s="1"/>
  <c r="M378" i="1" a="1"/>
  <c r="M378" i="1" s="1"/>
  <c r="M373" i="1" a="1"/>
  <c r="M373" i="1" s="1"/>
  <c r="M377" i="1" a="1"/>
  <c r="M377" i="1" s="1"/>
  <c r="M381" i="1" a="1"/>
  <c r="M381" i="1" s="1"/>
  <c r="Q357" i="1" a="1"/>
  <c r="Q357" i="1" s="1"/>
  <c r="Q361" i="1" a="1"/>
  <c r="Q361" i="1" s="1"/>
  <c r="Q365" i="1" a="1"/>
  <c r="Q365" i="1" s="1"/>
  <c r="Q360" i="1" a="1"/>
  <c r="Q360" i="1" s="1"/>
  <c r="Q364" i="1" a="1"/>
  <c r="Q364" i="1" s="1"/>
  <c r="Q368" i="1" a="1"/>
  <c r="Q368" i="1" s="1"/>
  <c r="Q359" i="1" a="1"/>
  <c r="Q359" i="1" s="1"/>
  <c r="Q363" i="1" a="1"/>
  <c r="Q363" i="1" s="1"/>
  <c r="Q367" i="1" a="1"/>
  <c r="Q367" i="1" s="1"/>
  <c r="Q358" i="1" a="1"/>
  <c r="Q358" i="1" s="1"/>
  <c r="Q362" i="1" a="1"/>
  <c r="Q362" i="1" s="1"/>
  <c r="Q366" i="1" a="1"/>
  <c r="Q366" i="1" s="1"/>
  <c r="N357" i="1" a="1"/>
  <c r="N357" i="1" s="1"/>
  <c r="N361" i="1" a="1"/>
  <c r="N361" i="1" s="1"/>
  <c r="N365" i="1" a="1"/>
  <c r="N365" i="1" s="1"/>
  <c r="N360" i="1" a="1"/>
  <c r="N360" i="1" s="1"/>
  <c r="N364" i="1" a="1"/>
  <c r="N364" i="1" s="1"/>
  <c r="N368" i="1" a="1"/>
  <c r="N368" i="1" s="1"/>
  <c r="N359" i="1" a="1"/>
  <c r="N359" i="1" s="1"/>
  <c r="N363" i="1" a="1"/>
  <c r="N363" i="1" s="1"/>
  <c r="N367" i="1" a="1"/>
  <c r="N367" i="1" s="1"/>
  <c r="N358" i="1" a="1"/>
  <c r="N358" i="1" s="1"/>
  <c r="N362" i="1" a="1"/>
  <c r="N362" i="1" s="1"/>
  <c r="N366" i="1" a="1"/>
  <c r="N366" i="1" s="1"/>
  <c r="I359" i="1" a="1"/>
  <c r="I359" i="1" s="1"/>
  <c r="I363" i="1" a="1"/>
  <c r="I363" i="1" s="1"/>
  <c r="I367" i="1" a="1"/>
  <c r="I367" i="1" s="1"/>
  <c r="I358" i="1" a="1"/>
  <c r="I358" i="1" s="1"/>
  <c r="I362" i="1" a="1"/>
  <c r="I362" i="1" s="1"/>
  <c r="I366" i="1" a="1"/>
  <c r="I366" i="1" s="1"/>
  <c r="I357" i="1" a="1"/>
  <c r="I357" i="1" s="1"/>
  <c r="I361" i="1" a="1"/>
  <c r="I361" i="1" s="1"/>
  <c r="I365" i="1" a="1"/>
  <c r="I365" i="1" s="1"/>
  <c r="I360" i="1" a="1"/>
  <c r="I360" i="1" s="1"/>
  <c r="I364" i="1" a="1"/>
  <c r="I364" i="1" s="1"/>
  <c r="I368" i="1" a="1"/>
  <c r="I368" i="1" s="1"/>
  <c r="R344" i="1" a="1"/>
  <c r="R344" i="1" s="1"/>
  <c r="R343" i="1" a="1"/>
  <c r="R343" i="1" s="1"/>
  <c r="R347" i="1" a="1"/>
  <c r="R347" i="1" s="1"/>
  <c r="R351" i="1" a="1"/>
  <c r="R351" i="1" s="1"/>
  <c r="R346" i="1" a="1"/>
  <c r="R346" i="1" s="1"/>
  <c r="R350" i="1" a="1"/>
  <c r="R350" i="1" s="1"/>
  <c r="R354" i="1" a="1"/>
  <c r="R354" i="1" s="1"/>
  <c r="R345" i="1" a="1"/>
  <c r="R345" i="1" s="1"/>
  <c r="R349" i="1" a="1"/>
  <c r="R349" i="1" s="1"/>
  <c r="R353" i="1" a="1"/>
  <c r="R353" i="1" s="1"/>
  <c r="R348" i="1" a="1"/>
  <c r="R348" i="1" s="1"/>
  <c r="R355" i="1" a="1"/>
  <c r="R355" i="1" s="1"/>
  <c r="R352" i="1" a="1"/>
  <c r="R352" i="1" s="1"/>
  <c r="M345" i="1" a="1"/>
  <c r="M345" i="1" s="1"/>
  <c r="M349" i="1" a="1"/>
  <c r="M349" i="1" s="1"/>
  <c r="M353" i="1" a="1"/>
  <c r="M353" i="1" s="1"/>
  <c r="M344" i="1" a="1"/>
  <c r="M344" i="1" s="1"/>
  <c r="M348" i="1" a="1"/>
  <c r="M348" i="1" s="1"/>
  <c r="M352" i="1" a="1"/>
  <c r="M352" i="1" s="1"/>
  <c r="M343" i="1" a="1"/>
  <c r="M343" i="1" s="1"/>
  <c r="M347" i="1" a="1"/>
  <c r="M347" i="1" s="1"/>
  <c r="M351" i="1" a="1"/>
  <c r="M351" i="1" s="1"/>
  <c r="M350" i="1" a="1"/>
  <c r="M350" i="1" s="1"/>
  <c r="M346" i="1" a="1"/>
  <c r="M346" i="1" s="1"/>
  <c r="M354" i="1" a="1"/>
  <c r="M354" i="1" s="1"/>
  <c r="M355" i="1" a="1"/>
  <c r="M355" i="1" s="1"/>
  <c r="J345" i="1" a="1"/>
  <c r="J345" i="1" s="1"/>
  <c r="J349" i="1" a="1"/>
  <c r="J349" i="1" s="1"/>
  <c r="J353" i="1" a="1"/>
  <c r="J353" i="1" s="1"/>
  <c r="J344" i="1" a="1"/>
  <c r="J344" i="1" s="1"/>
  <c r="J348" i="1" a="1"/>
  <c r="J348" i="1" s="1"/>
  <c r="J352" i="1" a="1"/>
  <c r="J352" i="1" s="1"/>
  <c r="J343" i="1" a="1"/>
  <c r="J343" i="1" s="1"/>
  <c r="J347" i="1" a="1"/>
  <c r="J347" i="1" s="1"/>
  <c r="J351" i="1" a="1"/>
  <c r="J351" i="1" s="1"/>
  <c r="J355" i="1" a="1"/>
  <c r="J355" i="1" s="1"/>
  <c r="J350" i="1" a="1"/>
  <c r="J350" i="1" s="1"/>
  <c r="J354" i="1" a="1"/>
  <c r="J354" i="1" s="1"/>
  <c r="J346" i="1" a="1"/>
  <c r="J346" i="1" s="1"/>
  <c r="S334" i="1" a="1"/>
  <c r="S334" i="1" s="1"/>
  <c r="S338" i="1" a="1"/>
  <c r="S338" i="1" s="1"/>
  <c r="S342" i="1" a="1"/>
  <c r="S342" i="1" s="1"/>
  <c r="S333" i="1" a="1"/>
  <c r="S333" i="1" s="1"/>
  <c r="S337" i="1" a="1"/>
  <c r="S337" i="1" s="1"/>
  <c r="S341" i="1" a="1"/>
  <c r="S341" i="1" s="1"/>
  <c r="S332" i="1" a="1"/>
  <c r="S332" i="1" s="1"/>
  <c r="S336" i="1" a="1"/>
  <c r="S336" i="1" s="1"/>
  <c r="S340" i="1" a="1"/>
  <c r="S340" i="1" s="1"/>
  <c r="S331" i="1" a="1"/>
  <c r="S331" i="1" s="1"/>
  <c r="S335" i="1" a="1"/>
  <c r="S335" i="1" s="1"/>
  <c r="S339" i="1" a="1"/>
  <c r="S339" i="1" s="1"/>
  <c r="M334" i="1" a="1"/>
  <c r="M334" i="1" s="1"/>
  <c r="M338" i="1" a="1"/>
  <c r="M338" i="1" s="1"/>
  <c r="M342" i="1" a="1"/>
  <c r="M342" i="1" s="1"/>
  <c r="M333" i="1" a="1"/>
  <c r="M333" i="1" s="1"/>
  <c r="M337" i="1" a="1"/>
  <c r="M337" i="1" s="1"/>
  <c r="M341" i="1" a="1"/>
  <c r="M341" i="1" s="1"/>
  <c r="M332" i="1" a="1"/>
  <c r="M332" i="1" s="1"/>
  <c r="M336" i="1" a="1"/>
  <c r="M336" i="1" s="1"/>
  <c r="M340" i="1" a="1"/>
  <c r="M340" i="1" s="1"/>
  <c r="M331" i="1" a="1"/>
  <c r="M331" i="1" s="1"/>
  <c r="M335" i="1" a="1"/>
  <c r="M335" i="1" s="1"/>
  <c r="M339" i="1" a="1"/>
  <c r="M339" i="1" s="1"/>
  <c r="I333" i="1" a="1"/>
  <c r="I333" i="1" s="1"/>
  <c r="I337" i="1" a="1"/>
  <c r="I337" i="1" s="1"/>
  <c r="I341" i="1" a="1"/>
  <c r="I341" i="1" s="1"/>
  <c r="I332" i="1" a="1"/>
  <c r="I332" i="1" s="1"/>
  <c r="I336" i="1" a="1"/>
  <c r="I336" i="1" s="1"/>
  <c r="I340" i="1" a="1"/>
  <c r="I340" i="1" s="1"/>
  <c r="I331" i="1" a="1"/>
  <c r="I331" i="1" s="1"/>
  <c r="I335" i="1" a="1"/>
  <c r="I335" i="1" s="1"/>
  <c r="I339" i="1" a="1"/>
  <c r="I339" i="1" s="1"/>
  <c r="I334" i="1" a="1"/>
  <c r="I334" i="1" s="1"/>
  <c r="I338" i="1" a="1"/>
  <c r="I338" i="1" s="1"/>
  <c r="I342" i="1" a="1"/>
  <c r="I342" i="1" s="1"/>
  <c r="R320" i="1" a="1"/>
  <c r="R320" i="1" s="1"/>
  <c r="R324" i="1" a="1"/>
  <c r="R324" i="1" s="1"/>
  <c r="R328" i="1" a="1"/>
  <c r="R328" i="1" s="1"/>
  <c r="R319" i="1" a="1"/>
  <c r="R319" i="1" s="1"/>
  <c r="R323" i="1" a="1"/>
  <c r="R323" i="1" s="1"/>
  <c r="R327" i="1" a="1"/>
  <c r="R327" i="1" s="1"/>
  <c r="R318" i="1" a="1"/>
  <c r="R318" i="1" s="1"/>
  <c r="R322" i="1" a="1"/>
  <c r="R322" i="1" s="1"/>
  <c r="R326" i="1" a="1"/>
  <c r="R326" i="1" s="1"/>
  <c r="R317" i="1" a="1"/>
  <c r="R317" i="1" s="1"/>
  <c r="R321" i="1" a="1"/>
  <c r="R321" i="1" s="1"/>
  <c r="R325" i="1" a="1"/>
  <c r="R325" i="1" s="1"/>
  <c r="R329" i="1" a="1"/>
  <c r="R329" i="1" s="1"/>
  <c r="O317" i="1" a="1"/>
  <c r="O317" i="1" s="1"/>
  <c r="O321" i="1" a="1"/>
  <c r="O321" i="1" s="1"/>
  <c r="O324" i="1" a="1"/>
  <c r="O324" i="1" s="1"/>
  <c r="O325" i="1" a="1"/>
  <c r="O325" i="1" s="1"/>
  <c r="O328" i="1" a="1"/>
  <c r="O328" i="1" s="1"/>
  <c r="O329" i="1" a="1"/>
  <c r="O329" i="1" s="1"/>
  <c r="O320" i="1" a="1"/>
  <c r="O320" i="1" s="1"/>
  <c r="O319" i="1" a="1"/>
  <c r="O319" i="1" s="1"/>
  <c r="O323" i="1" a="1"/>
  <c r="O323" i="1" s="1"/>
  <c r="O327" i="1" a="1"/>
  <c r="O327" i="1" s="1"/>
  <c r="O318" i="1" a="1"/>
  <c r="O318" i="1" s="1"/>
  <c r="O322" i="1" a="1"/>
  <c r="O322" i="1" s="1"/>
  <c r="O326" i="1" a="1"/>
  <c r="O326" i="1" s="1"/>
  <c r="I321" i="1" a="1"/>
  <c r="I321" i="1" s="1"/>
  <c r="I325" i="1" a="1"/>
  <c r="I325" i="1" s="1"/>
  <c r="I329" i="1" a="1"/>
  <c r="I329" i="1" s="1"/>
  <c r="I320" i="1" a="1"/>
  <c r="I320" i="1" s="1"/>
  <c r="I324" i="1" a="1"/>
  <c r="I324" i="1" s="1"/>
  <c r="I328" i="1" a="1"/>
  <c r="I328" i="1" s="1"/>
  <c r="I319" i="1" a="1"/>
  <c r="I319" i="1" s="1"/>
  <c r="I323" i="1" a="1"/>
  <c r="I323" i="1" s="1"/>
  <c r="I327" i="1" a="1"/>
  <c r="I327" i="1" s="1"/>
  <c r="I318" i="1" a="1"/>
  <c r="I318" i="1" s="1"/>
  <c r="I322" i="1" a="1"/>
  <c r="I322" i="1" s="1"/>
  <c r="I326" i="1" a="1"/>
  <c r="I326" i="1" s="1"/>
  <c r="Q307" i="1" a="1"/>
  <c r="Q307" i="1" s="1"/>
  <c r="Q311" i="1" a="1"/>
  <c r="Q311" i="1" s="1"/>
  <c r="Q315" i="1" a="1"/>
  <c r="Q315" i="1" s="1"/>
  <c r="Q306" i="1" a="1"/>
  <c r="Q306" i="1" s="1"/>
  <c r="Q310" i="1" a="1"/>
  <c r="Q310" i="1" s="1"/>
  <c r="Q314" i="1" a="1"/>
  <c r="Q314" i="1" s="1"/>
  <c r="Q305" i="1" a="1"/>
  <c r="Q305" i="1" s="1"/>
  <c r="Q309" i="1" a="1"/>
  <c r="Q309" i="1" s="1"/>
  <c r="Q313" i="1" a="1"/>
  <c r="Q313" i="1" s="1"/>
  <c r="Q308" i="1" a="1"/>
  <c r="Q308" i="1" s="1"/>
  <c r="Q312" i="1" a="1"/>
  <c r="Q312" i="1" s="1"/>
  <c r="Q316" i="1" a="1"/>
  <c r="Q316" i="1" s="1"/>
  <c r="N307" i="1" a="1"/>
  <c r="N307" i="1" s="1"/>
  <c r="N311" i="1" a="1"/>
  <c r="N311" i="1" s="1"/>
  <c r="N315" i="1" a="1"/>
  <c r="N315" i="1" s="1"/>
  <c r="N306" i="1" a="1"/>
  <c r="N306" i="1" s="1"/>
  <c r="N310" i="1" a="1"/>
  <c r="N310" i="1" s="1"/>
  <c r="N314" i="1" a="1"/>
  <c r="N314" i="1" s="1"/>
  <c r="N305" i="1" a="1"/>
  <c r="N305" i="1" s="1"/>
  <c r="N309" i="1" a="1"/>
  <c r="N309" i="1" s="1"/>
  <c r="N313" i="1" a="1"/>
  <c r="N313" i="1" s="1"/>
  <c r="N308" i="1" a="1"/>
  <c r="N308" i="1" s="1"/>
  <c r="N312" i="1" a="1"/>
  <c r="N312" i="1" s="1"/>
  <c r="N316" i="1" a="1"/>
  <c r="N316" i="1" s="1"/>
  <c r="K308" i="1" a="1"/>
  <c r="K308" i="1" s="1"/>
  <c r="K312" i="1" a="1"/>
  <c r="K312" i="1" s="1"/>
  <c r="K316" i="1" a="1"/>
  <c r="K316" i="1" s="1"/>
  <c r="K307" i="1" a="1"/>
  <c r="K307" i="1" s="1"/>
  <c r="K311" i="1" a="1"/>
  <c r="K311" i="1" s="1"/>
  <c r="K315" i="1" a="1"/>
  <c r="K315" i="1" s="1"/>
  <c r="K306" i="1" a="1"/>
  <c r="K306" i="1" s="1"/>
  <c r="K310" i="1" a="1"/>
  <c r="K310" i="1" s="1"/>
  <c r="K314" i="1" a="1"/>
  <c r="K314" i="1" s="1"/>
  <c r="K305" i="1" a="1"/>
  <c r="K305" i="1" s="1"/>
  <c r="K309" i="1" a="1"/>
  <c r="K309" i="1" s="1"/>
  <c r="K313" i="1" a="1"/>
  <c r="K313" i="1" s="1"/>
  <c r="Q291" i="1" a="1"/>
  <c r="Q291" i="1" s="1"/>
  <c r="Q295" i="1" a="1"/>
  <c r="Q295" i="1" s="1"/>
  <c r="Q299" i="1" a="1"/>
  <c r="Q299" i="1" s="1"/>
  <c r="Q303" i="1" a="1"/>
  <c r="Q303" i="1" s="1"/>
  <c r="Q294" i="1" a="1"/>
  <c r="Q294" i="1" s="1"/>
  <c r="Q298" i="1" a="1"/>
  <c r="Q298" i="1" s="1"/>
  <c r="Q302" i="1" a="1"/>
  <c r="Q302" i="1" s="1"/>
  <c r="Q293" i="1" a="1"/>
  <c r="Q293" i="1" s="1"/>
  <c r="Q297" i="1" a="1"/>
  <c r="Q297" i="1" s="1"/>
  <c r="Q301" i="1" a="1"/>
  <c r="Q301" i="1" s="1"/>
  <c r="Q292" i="1" a="1"/>
  <c r="Q292" i="1" s="1"/>
  <c r="Q296" i="1" a="1"/>
  <c r="Q296" i="1" s="1"/>
  <c r="Q300" i="1" a="1"/>
  <c r="Q300" i="1" s="1"/>
  <c r="M294" i="1" a="1"/>
  <c r="M294" i="1" s="1"/>
  <c r="M298" i="1" a="1"/>
  <c r="M298" i="1" s="1"/>
  <c r="M302" i="1" a="1"/>
  <c r="M302" i="1" s="1"/>
  <c r="M293" i="1" a="1"/>
  <c r="M293" i="1" s="1"/>
  <c r="M297" i="1" a="1"/>
  <c r="M297" i="1" s="1"/>
  <c r="M301" i="1" a="1"/>
  <c r="M301" i="1" s="1"/>
  <c r="M292" i="1" a="1"/>
  <c r="M292" i="1" s="1"/>
  <c r="M296" i="1" a="1"/>
  <c r="M296" i="1" s="1"/>
  <c r="M300" i="1" a="1"/>
  <c r="M300" i="1" s="1"/>
  <c r="M291" i="1" a="1"/>
  <c r="M291" i="1" s="1"/>
  <c r="M295" i="1" a="1"/>
  <c r="M295" i="1" s="1"/>
  <c r="M299" i="1" a="1"/>
  <c r="M299" i="1" s="1"/>
  <c r="M303" i="1" a="1"/>
  <c r="M303" i="1" s="1"/>
  <c r="J294" i="1" a="1"/>
  <c r="J294" i="1" s="1"/>
  <c r="J298" i="1" a="1"/>
  <c r="J298" i="1" s="1"/>
  <c r="J302" i="1" a="1"/>
  <c r="J302" i="1" s="1"/>
  <c r="J293" i="1" a="1"/>
  <c r="J293" i="1" s="1"/>
  <c r="J297" i="1" a="1"/>
  <c r="J297" i="1" s="1"/>
  <c r="J301" i="1" a="1"/>
  <c r="J301" i="1" s="1"/>
  <c r="J292" i="1" a="1"/>
  <c r="J292" i="1" s="1"/>
  <c r="J296" i="1" a="1"/>
  <c r="J296" i="1" s="1"/>
  <c r="J300" i="1" a="1"/>
  <c r="J300" i="1" s="1"/>
  <c r="J291" i="1" a="1"/>
  <c r="J291" i="1" s="1"/>
  <c r="J295" i="1" a="1"/>
  <c r="J295" i="1" s="1"/>
  <c r="J299" i="1" a="1"/>
  <c r="J299" i="1" s="1"/>
  <c r="J303" i="1" a="1"/>
  <c r="J303" i="1" s="1"/>
  <c r="S282" i="1" a="1"/>
  <c r="S282" i="1" s="1"/>
  <c r="S286" i="1" a="1"/>
  <c r="S286" i="1" s="1"/>
  <c r="S290" i="1" a="1"/>
  <c r="S290" i="1" s="1"/>
  <c r="S281" i="1" a="1"/>
  <c r="S281" i="1" s="1"/>
  <c r="S285" i="1" a="1"/>
  <c r="S285" i="1" s="1"/>
  <c r="S289" i="1" a="1"/>
  <c r="S289" i="1" s="1"/>
  <c r="S280" i="1" a="1"/>
  <c r="S280" i="1" s="1"/>
  <c r="S284" i="1" a="1"/>
  <c r="S284" i="1" s="1"/>
  <c r="S288" i="1" a="1"/>
  <c r="S288" i="1" s="1"/>
  <c r="S279" i="1" a="1"/>
  <c r="S279" i="1" s="1"/>
  <c r="S283" i="1" a="1"/>
  <c r="S283" i="1" s="1"/>
  <c r="S287" i="1" a="1"/>
  <c r="S287" i="1" s="1"/>
  <c r="M282" i="1" a="1"/>
  <c r="M282" i="1" s="1"/>
  <c r="M286" i="1" a="1"/>
  <c r="M286" i="1" s="1"/>
  <c r="M290" i="1" a="1"/>
  <c r="M290" i="1" s="1"/>
  <c r="M281" i="1" a="1"/>
  <c r="M281" i="1" s="1"/>
  <c r="M285" i="1" a="1"/>
  <c r="M285" i="1" s="1"/>
  <c r="M289" i="1" a="1"/>
  <c r="M289" i="1" s="1"/>
  <c r="M280" i="1" a="1"/>
  <c r="M280" i="1" s="1"/>
  <c r="M284" i="1" a="1"/>
  <c r="M284" i="1" s="1"/>
  <c r="M288" i="1" a="1"/>
  <c r="M288" i="1" s="1"/>
  <c r="M279" i="1" a="1"/>
  <c r="M279" i="1" s="1"/>
  <c r="M283" i="1" a="1"/>
  <c r="M283" i="1" s="1"/>
  <c r="M287" i="1" a="1"/>
  <c r="M287" i="1" s="1"/>
  <c r="I281" i="1" a="1"/>
  <c r="I281" i="1" s="1"/>
  <c r="I285" i="1" a="1"/>
  <c r="I285" i="1" s="1"/>
  <c r="I289" i="1" a="1"/>
  <c r="I289" i="1" s="1"/>
  <c r="I280" i="1" a="1"/>
  <c r="I280" i="1" s="1"/>
  <c r="I284" i="1" a="1"/>
  <c r="I284" i="1" s="1"/>
  <c r="I288" i="1" a="1"/>
  <c r="I288" i="1" s="1"/>
  <c r="I279" i="1" a="1"/>
  <c r="I279" i="1" s="1"/>
  <c r="I283" i="1" a="1"/>
  <c r="I283" i="1" s="1"/>
  <c r="I287" i="1" a="1"/>
  <c r="I287" i="1" s="1"/>
  <c r="I278" i="1" a="1"/>
  <c r="I278" i="1" s="1"/>
  <c r="I282" i="1" a="1"/>
  <c r="I282" i="1" s="1"/>
  <c r="I286" i="1" a="1"/>
  <c r="I286" i="1" s="1"/>
  <c r="I290" i="1" a="1"/>
  <c r="I290" i="1" s="1"/>
  <c r="R265" i="1" a="1"/>
  <c r="R265" i="1" s="1"/>
  <c r="R269" i="1" a="1"/>
  <c r="R269" i="1" s="1"/>
  <c r="R268" i="1" a="1"/>
  <c r="R268" i="1" s="1"/>
  <c r="R266" i="1" a="1"/>
  <c r="R266" i="1" s="1"/>
  <c r="R272" i="1" a="1"/>
  <c r="R272" i="1" s="1"/>
  <c r="R276" i="1" a="1"/>
  <c r="R276" i="1" s="1"/>
  <c r="R271" i="1" a="1"/>
  <c r="R271" i="1" s="1"/>
  <c r="R275" i="1" a="1"/>
  <c r="R275" i="1" s="1"/>
  <c r="R270" i="1" a="1"/>
  <c r="R270" i="1" s="1"/>
  <c r="R274" i="1" a="1"/>
  <c r="R274" i="1" s="1"/>
  <c r="R267" i="1" a="1"/>
  <c r="R267" i="1" s="1"/>
  <c r="R273" i="1" a="1"/>
  <c r="R273" i="1" s="1"/>
  <c r="R277" i="1" a="1"/>
  <c r="R277" i="1" s="1"/>
  <c r="O266" i="1" a="1"/>
  <c r="O266" i="1" s="1"/>
  <c r="O265" i="1" a="1"/>
  <c r="O265" i="1" s="1"/>
  <c r="O273" i="1" a="1"/>
  <c r="O273" i="1" s="1"/>
  <c r="O277" i="1" a="1"/>
  <c r="O277" i="1" s="1"/>
  <c r="O268" i="1" a="1"/>
  <c r="O268" i="1" s="1"/>
  <c r="O272" i="1" a="1"/>
  <c r="O272" i="1" s="1"/>
  <c r="O276" i="1" a="1"/>
  <c r="O276" i="1" s="1"/>
  <c r="O267" i="1" a="1"/>
  <c r="O267" i="1" s="1"/>
  <c r="O269" i="1" a="1"/>
  <c r="O269" i="1" s="1"/>
  <c r="O271" i="1" a="1"/>
  <c r="O271" i="1" s="1"/>
  <c r="O275" i="1" a="1"/>
  <c r="O275" i="1" s="1"/>
  <c r="O270" i="1" a="1"/>
  <c r="O270" i="1" s="1"/>
  <c r="O274" i="1" a="1"/>
  <c r="O274" i="1" s="1"/>
  <c r="I266" i="1" a="1"/>
  <c r="I266" i="1" s="1"/>
  <c r="I270" i="1" a="1"/>
  <c r="I270" i="1" s="1"/>
  <c r="I269" i="1" a="1"/>
  <c r="I269" i="1" s="1"/>
  <c r="I273" i="1" a="1"/>
  <c r="I273" i="1" s="1"/>
  <c r="I277" i="1" a="1"/>
  <c r="I277" i="1" s="1"/>
  <c r="I268" i="1" a="1"/>
  <c r="I268" i="1" s="1"/>
  <c r="I272" i="1" a="1"/>
  <c r="I272" i="1" s="1"/>
  <c r="I276" i="1" a="1"/>
  <c r="I276" i="1" s="1"/>
  <c r="I267" i="1" a="1"/>
  <c r="I267" i="1" s="1"/>
  <c r="I271" i="1" a="1"/>
  <c r="I271" i="1" s="1"/>
  <c r="I275" i="1" a="1"/>
  <c r="I275" i="1" s="1"/>
  <c r="I274" i="1" a="1"/>
  <c r="I274" i="1" s="1"/>
  <c r="Q252" i="1" a="1"/>
  <c r="Q252" i="1" s="1"/>
  <c r="Q256" i="1" a="1"/>
  <c r="Q256" i="1" s="1"/>
  <c r="Q260" i="1" a="1"/>
  <c r="Q260" i="1" s="1"/>
  <c r="Q264" i="1" a="1"/>
  <c r="Q264" i="1" s="1"/>
  <c r="Q255" i="1" a="1"/>
  <c r="Q255" i="1" s="1"/>
  <c r="Q259" i="1" a="1"/>
  <c r="Q259" i="1" s="1"/>
  <c r="Q263" i="1" a="1"/>
  <c r="Q263" i="1" s="1"/>
  <c r="Q254" i="1" a="1"/>
  <c r="Q254" i="1" s="1"/>
  <c r="Q258" i="1" a="1"/>
  <c r="Q258" i="1" s="1"/>
  <c r="Q262" i="1" a="1"/>
  <c r="Q262" i="1" s="1"/>
  <c r="Q253" i="1" a="1"/>
  <c r="Q253" i="1" s="1"/>
  <c r="Q257" i="1" a="1"/>
  <c r="Q257" i="1" s="1"/>
  <c r="Q261" i="1" a="1"/>
  <c r="Q261" i="1" s="1"/>
  <c r="N252" i="1" a="1"/>
  <c r="N252" i="1" s="1"/>
  <c r="N256" i="1" a="1"/>
  <c r="N256" i="1" s="1"/>
  <c r="N260" i="1" a="1"/>
  <c r="N260" i="1" s="1"/>
  <c r="N264" i="1" a="1"/>
  <c r="N264" i="1" s="1"/>
  <c r="N255" i="1" a="1"/>
  <c r="N255" i="1" s="1"/>
  <c r="N259" i="1" a="1"/>
  <c r="N259" i="1" s="1"/>
  <c r="N263" i="1" a="1"/>
  <c r="N263" i="1" s="1"/>
  <c r="N254" i="1" a="1"/>
  <c r="N254" i="1" s="1"/>
  <c r="N258" i="1" a="1"/>
  <c r="N258" i="1" s="1"/>
  <c r="N262" i="1" a="1"/>
  <c r="N262" i="1" s="1"/>
  <c r="N253" i="1" a="1"/>
  <c r="N253" i="1" s="1"/>
  <c r="N257" i="1" a="1"/>
  <c r="N257" i="1" s="1"/>
  <c r="N261" i="1" a="1"/>
  <c r="N261" i="1" s="1"/>
  <c r="K253" i="1" a="1"/>
  <c r="K253" i="1" s="1"/>
  <c r="K257" i="1" a="1"/>
  <c r="K257" i="1" s="1"/>
  <c r="K261" i="1" a="1"/>
  <c r="K261" i="1" s="1"/>
  <c r="K252" i="1" a="1"/>
  <c r="K252" i="1" s="1"/>
  <c r="K256" i="1" a="1"/>
  <c r="K256" i="1" s="1"/>
  <c r="K260" i="1" a="1"/>
  <c r="K260" i="1" s="1"/>
  <c r="K264" i="1" a="1"/>
  <c r="K264" i="1" s="1"/>
  <c r="K255" i="1" a="1"/>
  <c r="K255" i="1" s="1"/>
  <c r="K259" i="1" a="1"/>
  <c r="K259" i="1" s="1"/>
  <c r="K263" i="1" a="1"/>
  <c r="K263" i="1" s="1"/>
  <c r="K254" i="1" a="1"/>
  <c r="K254" i="1" s="1"/>
  <c r="K258" i="1" a="1"/>
  <c r="K258" i="1" s="1"/>
  <c r="K262" i="1" a="1"/>
  <c r="K262" i="1" s="1"/>
  <c r="Q240" i="1" a="1"/>
  <c r="Q240" i="1" s="1"/>
  <c r="Q244" i="1" a="1"/>
  <c r="Q244" i="1" s="1"/>
  <c r="Q248" i="1" a="1"/>
  <c r="Q248" i="1" s="1"/>
  <c r="Q239" i="1" a="1"/>
  <c r="Q239" i="1" s="1"/>
  <c r="Q243" i="1" a="1"/>
  <c r="Q243" i="1" s="1"/>
  <c r="Q247" i="1" a="1"/>
  <c r="Q247" i="1" s="1"/>
  <c r="Q251" i="1" a="1"/>
  <c r="Q251" i="1" s="1"/>
  <c r="Q242" i="1" a="1"/>
  <c r="Q242" i="1" s="1"/>
  <c r="Q246" i="1" a="1"/>
  <c r="Q246" i="1" s="1"/>
  <c r="Q250" i="1" a="1"/>
  <c r="Q250" i="1" s="1"/>
  <c r="Q241" i="1" a="1"/>
  <c r="Q241" i="1" s="1"/>
  <c r="Q245" i="1" a="1"/>
  <c r="Q245" i="1" s="1"/>
  <c r="Q249" i="1" a="1"/>
  <c r="Q249" i="1" s="1"/>
  <c r="M239" i="1" a="1"/>
  <c r="M239" i="1" s="1"/>
  <c r="M243" i="1" a="1"/>
  <c r="M243" i="1" s="1"/>
  <c r="M247" i="1" a="1"/>
  <c r="M247" i="1" s="1"/>
  <c r="M251" i="1" a="1"/>
  <c r="M251" i="1" s="1"/>
  <c r="M242" i="1" a="1"/>
  <c r="M242" i="1" s="1"/>
  <c r="M246" i="1" a="1"/>
  <c r="M246" i="1" s="1"/>
  <c r="M250" i="1" a="1"/>
  <c r="M250" i="1" s="1"/>
  <c r="M241" i="1" a="1"/>
  <c r="M241" i="1" s="1"/>
  <c r="M245" i="1" a="1"/>
  <c r="M245" i="1" s="1"/>
  <c r="M249" i="1" a="1"/>
  <c r="M249" i="1" s="1"/>
  <c r="M240" i="1" a="1"/>
  <c r="M240" i="1" s="1"/>
  <c r="M244" i="1" a="1"/>
  <c r="M244" i="1" s="1"/>
  <c r="M248" i="1" a="1"/>
  <c r="M248" i="1" s="1"/>
  <c r="J239" i="1" a="1"/>
  <c r="J239" i="1" s="1"/>
  <c r="J243" i="1" a="1"/>
  <c r="J243" i="1" s="1"/>
  <c r="J247" i="1" a="1"/>
  <c r="J247" i="1" s="1"/>
  <c r="J251" i="1" a="1"/>
  <c r="J251" i="1" s="1"/>
  <c r="J242" i="1" a="1"/>
  <c r="J242" i="1" s="1"/>
  <c r="J246" i="1" a="1"/>
  <c r="J246" i="1" s="1"/>
  <c r="J250" i="1" a="1"/>
  <c r="J250" i="1" s="1"/>
  <c r="J241" i="1" a="1"/>
  <c r="J241" i="1" s="1"/>
  <c r="J245" i="1" a="1"/>
  <c r="J245" i="1" s="1"/>
  <c r="J249" i="1" a="1"/>
  <c r="J249" i="1" s="1"/>
  <c r="J240" i="1" a="1"/>
  <c r="J240" i="1" s="1"/>
  <c r="J244" i="1" a="1"/>
  <c r="J244" i="1" s="1"/>
  <c r="J248" i="1" a="1"/>
  <c r="J248" i="1" s="1"/>
  <c r="Q228" i="1" a="1"/>
  <c r="Q228" i="1" s="1"/>
  <c r="Q232" i="1" a="1"/>
  <c r="Q232" i="1" s="1"/>
  <c r="Q236" i="1" a="1"/>
  <c r="Q236" i="1" s="1"/>
  <c r="Q231" i="1" a="1"/>
  <c r="Q231" i="1" s="1"/>
  <c r="Q235" i="1" a="1"/>
  <c r="Q235" i="1" s="1"/>
  <c r="Q227" i="1" a="1"/>
  <c r="Q227" i="1" s="1"/>
  <c r="Q229" i="1" a="1"/>
  <c r="Q229" i="1" s="1"/>
  <c r="Q230" i="1" a="1"/>
  <c r="Q230" i="1" s="1"/>
  <c r="Q234" i="1" a="1"/>
  <c r="Q234" i="1" s="1"/>
  <c r="Q238" i="1" a="1"/>
  <c r="Q238" i="1" s="1"/>
  <c r="Q226" i="1" a="1"/>
  <c r="Q226" i="1" s="1"/>
  <c r="Q233" i="1" a="1"/>
  <c r="Q233" i="1" s="1"/>
  <c r="Q237" i="1" a="1"/>
  <c r="Q237" i="1" s="1"/>
  <c r="N226" i="1" a="1"/>
  <c r="N226" i="1" s="1"/>
  <c r="N232" i="1" a="1"/>
  <c r="N232" i="1" s="1"/>
  <c r="N236" i="1" a="1"/>
  <c r="N236" i="1" s="1"/>
  <c r="N227" i="1" a="1"/>
  <c r="N227" i="1" s="1"/>
  <c r="N229" i="1" a="1"/>
  <c r="N229" i="1" s="1"/>
  <c r="N231" i="1" a="1"/>
  <c r="N231" i="1" s="1"/>
  <c r="N235" i="1" a="1"/>
  <c r="N235" i="1" s="1"/>
  <c r="N230" i="1" a="1"/>
  <c r="N230" i="1" s="1"/>
  <c r="N234" i="1" a="1"/>
  <c r="N234" i="1" s="1"/>
  <c r="N238" i="1" a="1"/>
  <c r="N238" i="1" s="1"/>
  <c r="N228" i="1" a="1"/>
  <c r="N228" i="1" s="1"/>
  <c r="N233" i="1" a="1"/>
  <c r="N233" i="1" s="1"/>
  <c r="N237" i="1" a="1"/>
  <c r="N237" i="1" s="1"/>
  <c r="I226" i="1" a="1"/>
  <c r="I226" i="1" s="1"/>
  <c r="I228" i="1" a="1"/>
  <c r="I228" i="1" s="1"/>
  <c r="I230" i="1" a="1"/>
  <c r="I230" i="1" s="1"/>
  <c r="I234" i="1" a="1"/>
  <c r="I234" i="1" s="1"/>
  <c r="I238" i="1" a="1"/>
  <c r="I238" i="1" s="1"/>
  <c r="I233" i="1" a="1"/>
  <c r="I233" i="1" s="1"/>
  <c r="I237" i="1" a="1"/>
  <c r="I237" i="1" s="1"/>
  <c r="I229" i="1" a="1"/>
  <c r="I229" i="1" s="1"/>
  <c r="I232" i="1" a="1"/>
  <c r="I232" i="1" s="1"/>
  <c r="I236" i="1" a="1"/>
  <c r="I236" i="1" s="1"/>
  <c r="I227" i="1" a="1"/>
  <c r="I227" i="1" s="1"/>
  <c r="I231" i="1" a="1"/>
  <c r="I231" i="1" s="1"/>
  <c r="I235" i="1" a="1"/>
  <c r="I235" i="1" s="1"/>
  <c r="R216" i="1" a="1"/>
  <c r="R216" i="1" s="1"/>
  <c r="R221" i="1" a="1"/>
  <c r="R221" i="1" s="1"/>
  <c r="R224" i="1" a="1"/>
  <c r="R224" i="1" s="1"/>
  <c r="R214" i="1" a="1"/>
  <c r="R214" i="1" s="1"/>
  <c r="R219" i="1" a="1"/>
  <c r="R219" i="1" s="1"/>
  <c r="R222" i="1" a="1"/>
  <c r="R222" i="1" s="1"/>
  <c r="R215" i="1" a="1"/>
  <c r="R215" i="1" s="1"/>
  <c r="R217" i="1" a="1"/>
  <c r="R217" i="1" s="1"/>
  <c r="R220" i="1" a="1"/>
  <c r="R220" i="1" s="1"/>
  <c r="R223" i="1" a="1"/>
  <c r="R223" i="1" s="1"/>
  <c r="R225" i="1" a="1"/>
  <c r="R225" i="1" s="1"/>
  <c r="R218" i="1" a="1"/>
  <c r="R218" i="1" s="1"/>
  <c r="M217" i="1" a="1"/>
  <c r="M217" i="1" s="1"/>
  <c r="M220" i="1" a="1"/>
  <c r="M220" i="1" s="1"/>
  <c r="M225" i="1" a="1"/>
  <c r="M225" i="1" s="1"/>
  <c r="M215" i="1" a="1"/>
  <c r="M215" i="1" s="1"/>
  <c r="M218" i="1" a="1"/>
  <c r="M218" i="1" s="1"/>
  <c r="M223" i="1" a="1"/>
  <c r="M223" i="1" s="1"/>
  <c r="M214" i="1" a="1"/>
  <c r="M214" i="1" s="1"/>
  <c r="M221" i="1" a="1"/>
  <c r="M221" i="1" s="1"/>
  <c r="M224" i="1" a="1"/>
  <c r="M224" i="1" s="1"/>
  <c r="M216" i="1" a="1"/>
  <c r="M216" i="1" s="1"/>
  <c r="M219" i="1" a="1"/>
  <c r="M219" i="1" s="1"/>
  <c r="M222" i="1" a="1"/>
  <c r="M222" i="1" s="1"/>
  <c r="J214" i="1" a="1"/>
  <c r="J214" i="1" s="1"/>
  <c r="J219" i="1" a="1"/>
  <c r="J219" i="1" s="1"/>
  <c r="J222" i="1" a="1"/>
  <c r="J222" i="1" s="1"/>
  <c r="J217" i="1" a="1"/>
  <c r="J217" i="1" s="1"/>
  <c r="J220" i="1" a="1"/>
  <c r="J220" i="1" s="1"/>
  <c r="J225" i="1" a="1"/>
  <c r="J225" i="1" s="1"/>
  <c r="J216" i="1" a="1"/>
  <c r="J216" i="1" s="1"/>
  <c r="J223" i="1" a="1"/>
  <c r="J223" i="1" s="1"/>
  <c r="J215" i="1" a="1"/>
  <c r="J215" i="1" s="1"/>
  <c r="J218" i="1" a="1"/>
  <c r="J218" i="1" s="1"/>
  <c r="J221" i="1" a="1"/>
  <c r="J221" i="1" s="1"/>
  <c r="J224" i="1" a="1"/>
  <c r="J224" i="1" s="1"/>
  <c r="Q204" i="1" a="1"/>
  <c r="Q204" i="1" s="1"/>
  <c r="Q206" i="1" a="1"/>
  <c r="Q206" i="1" s="1"/>
  <c r="Q201" i="1" a="1"/>
  <c r="Q201" i="1" s="1"/>
  <c r="Q203" i="1" a="1"/>
  <c r="Q203" i="1" s="1"/>
  <c r="Q208" i="1" a="1"/>
  <c r="Q208" i="1" s="1"/>
  <c r="Q210" i="1" a="1"/>
  <c r="Q210" i="1" s="1"/>
  <c r="Q212" i="1" a="1"/>
  <c r="Q212" i="1" s="1"/>
  <c r="Q205" i="1" a="1"/>
  <c r="Q205" i="1" s="1"/>
  <c r="Q207" i="1" a="1"/>
  <c r="Q207" i="1" s="1"/>
  <c r="Q200" i="1" a="1"/>
  <c r="Q200" i="1" s="1"/>
  <c r="Q202" i="1" a="1"/>
  <c r="Q202" i="1" s="1"/>
  <c r="Q209" i="1" a="1"/>
  <c r="Q209" i="1" s="1"/>
  <c r="Q211" i="1" a="1"/>
  <c r="Q211" i="1" s="1"/>
  <c r="N200" i="1" a="1"/>
  <c r="N200" i="1" s="1"/>
  <c r="N202" i="1" a="1"/>
  <c r="N202" i="1" s="1"/>
  <c r="N211" i="1" a="1"/>
  <c r="N211" i="1" s="1"/>
  <c r="N201" i="1" a="1"/>
  <c r="N201" i="1" s="1"/>
  <c r="N204" i="1" a="1"/>
  <c r="N204" i="1" s="1"/>
  <c r="N206" i="1" a="1"/>
  <c r="N206" i="1" s="1"/>
  <c r="N203" i="1" a="1"/>
  <c r="N203" i="1" s="1"/>
  <c r="N205" i="1" a="1"/>
  <c r="N205" i="1" s="1"/>
  <c r="N208" i="1" a="1"/>
  <c r="N208" i="1" s="1"/>
  <c r="N207" i="1" a="1"/>
  <c r="N207" i="1" s="1"/>
  <c r="N209" i="1" a="1"/>
  <c r="N209" i="1" s="1"/>
  <c r="N212" i="1" a="1"/>
  <c r="N212" i="1" s="1"/>
  <c r="N210" i="1" a="1"/>
  <c r="N210" i="1" s="1"/>
  <c r="I203" i="1" a="1"/>
  <c r="I203" i="1" s="1"/>
  <c r="I205" i="1" a="1"/>
  <c r="I205" i="1" s="1"/>
  <c r="I210" i="1" a="1"/>
  <c r="I210" i="1" s="1"/>
  <c r="I212" i="1" a="1"/>
  <c r="I212" i="1" s="1"/>
  <c r="I207" i="1" a="1"/>
  <c r="I207" i="1" s="1"/>
  <c r="I209" i="1" a="1"/>
  <c r="I209" i="1" s="1"/>
  <c r="I202" i="1" a="1"/>
  <c r="I202" i="1" s="1"/>
  <c r="I204" i="1" a="1"/>
  <c r="I204" i="1" s="1"/>
  <c r="I201" i="1" a="1"/>
  <c r="I201" i="1" s="1"/>
  <c r="I206" i="1" a="1"/>
  <c r="I206" i="1" s="1"/>
  <c r="I208" i="1" a="1"/>
  <c r="I208" i="1" s="1"/>
  <c r="I211" i="1" a="1"/>
  <c r="I211" i="1" s="1"/>
  <c r="R189" i="1" a="1"/>
  <c r="R189" i="1" s="1"/>
  <c r="R191" i="1" a="1"/>
  <c r="R191" i="1" s="1"/>
  <c r="R188" i="1" a="1"/>
  <c r="R188" i="1" s="1"/>
  <c r="R190" i="1" a="1"/>
  <c r="R190" i="1" s="1"/>
  <c r="R193" i="1" a="1"/>
  <c r="R193" i="1" s="1"/>
  <c r="R195" i="1" a="1"/>
  <c r="R195" i="1" s="1"/>
  <c r="R192" i="1" a="1"/>
  <c r="R192" i="1" s="1"/>
  <c r="R194" i="1" a="1"/>
  <c r="R194" i="1" s="1"/>
  <c r="R197" i="1" a="1"/>
  <c r="R197" i="1" s="1"/>
  <c r="R199" i="1" a="1"/>
  <c r="R199" i="1" s="1"/>
  <c r="R187" i="1" a="1"/>
  <c r="R187" i="1" s="1"/>
  <c r="R196" i="1" a="1"/>
  <c r="R196" i="1" s="1"/>
  <c r="R198" i="1" a="1"/>
  <c r="R198" i="1" s="1"/>
  <c r="N195" i="1" a="1"/>
  <c r="N195" i="1" s="1"/>
  <c r="N197" i="1" a="1"/>
  <c r="N197" i="1" s="1"/>
  <c r="N188" i="1" a="1"/>
  <c r="N188" i="1" s="1"/>
  <c r="N190" i="1" a="1"/>
  <c r="N190" i="1" s="1"/>
  <c r="N199" i="1" a="1"/>
  <c r="N199" i="1" s="1"/>
  <c r="N187" i="1" a="1"/>
  <c r="N187" i="1" s="1"/>
  <c r="N189" i="1" a="1"/>
  <c r="N189" i="1" s="1"/>
  <c r="N192" i="1" a="1"/>
  <c r="N192" i="1" s="1"/>
  <c r="N194" i="1" a="1"/>
  <c r="N194" i="1" s="1"/>
  <c r="N191" i="1" a="1"/>
  <c r="N191" i="1" s="1"/>
  <c r="N193" i="1" a="1"/>
  <c r="N193" i="1" s="1"/>
  <c r="N196" i="1" a="1"/>
  <c r="N196" i="1" s="1"/>
  <c r="N198" i="1" a="1"/>
  <c r="N198" i="1" s="1"/>
  <c r="K188" i="1" a="1"/>
  <c r="K188" i="1" s="1"/>
  <c r="K191" i="1" a="1"/>
  <c r="K191" i="1" s="1"/>
  <c r="K193" i="1" a="1"/>
  <c r="K193" i="1" s="1"/>
  <c r="K190" i="1" a="1"/>
  <c r="K190" i="1" s="1"/>
  <c r="K192" i="1" a="1"/>
  <c r="K192" i="1" s="1"/>
  <c r="K195" i="1" a="1"/>
  <c r="K195" i="1" s="1"/>
  <c r="K197" i="1" a="1"/>
  <c r="K197" i="1" s="1"/>
  <c r="K194" i="1" a="1"/>
  <c r="K194" i="1" s="1"/>
  <c r="K196" i="1" a="1"/>
  <c r="K196" i="1" s="1"/>
  <c r="K199" i="1" a="1"/>
  <c r="K199" i="1" s="1"/>
  <c r="K187" i="1" a="1"/>
  <c r="K187" i="1" s="1"/>
  <c r="K189" i="1" a="1"/>
  <c r="K189" i="1" s="1"/>
  <c r="K198" i="1" a="1"/>
  <c r="K198" i="1" s="1"/>
  <c r="Q175" i="1" a="1"/>
  <c r="Q175" i="1" s="1"/>
  <c r="Q178" i="1" a="1"/>
  <c r="Q178" i="1" s="1"/>
  <c r="Q181" i="1" a="1"/>
  <c r="Q181" i="1" s="1"/>
  <c r="Q186" i="1" a="1"/>
  <c r="Q186" i="1" s="1"/>
  <c r="Q179" i="1" a="1"/>
  <c r="Q179" i="1" s="1"/>
  <c r="Q184" i="1" a="1"/>
  <c r="Q184" i="1" s="1"/>
  <c r="Q176" i="1" a="1"/>
  <c r="Q176" i="1" s="1"/>
  <c r="Q182" i="1" a="1"/>
  <c r="Q182" i="1" s="1"/>
  <c r="Q185" i="1" a="1"/>
  <c r="Q185" i="1" s="1"/>
  <c r="Q177" i="1" a="1"/>
  <c r="Q177" i="1" s="1"/>
  <c r="Q180" i="1" a="1"/>
  <c r="Q180" i="1" s="1"/>
  <c r="Q183" i="1" a="1"/>
  <c r="Q183" i="1" s="1"/>
  <c r="M175" i="1" a="1"/>
  <c r="M175" i="1" s="1"/>
  <c r="M176" i="1" a="1"/>
  <c r="M176" i="1" s="1"/>
  <c r="M177" i="1" a="1"/>
  <c r="M177" i="1" s="1"/>
  <c r="M181" i="1" a="1"/>
  <c r="M181" i="1" s="1"/>
  <c r="M184" i="1" a="1"/>
  <c r="M184" i="1" s="1"/>
  <c r="M179" i="1" a="1"/>
  <c r="M179" i="1" s="1"/>
  <c r="M182" i="1" a="1"/>
  <c r="M182" i="1" s="1"/>
  <c r="M180" i="1" a="1"/>
  <c r="M180" i="1" s="1"/>
  <c r="M185" i="1" a="1"/>
  <c r="M185" i="1" s="1"/>
  <c r="M178" i="1" a="1"/>
  <c r="M178" i="1" s="1"/>
  <c r="M183" i="1" a="1"/>
  <c r="M183" i="1" s="1"/>
  <c r="M186" i="1" a="1"/>
  <c r="M186" i="1" s="1"/>
  <c r="S162" i="1" a="1"/>
  <c r="S162" i="1" s="1"/>
  <c r="S166" i="1" a="1"/>
  <c r="S166" i="1" s="1"/>
  <c r="S170" i="1" a="1"/>
  <c r="S170" i="1" s="1"/>
  <c r="S173" i="1" a="1"/>
  <c r="S173" i="1" s="1"/>
  <c r="S165" i="1" a="1"/>
  <c r="S165" i="1" s="1"/>
  <c r="S169" i="1" a="1"/>
  <c r="S169" i="1" s="1"/>
  <c r="S164" i="1" a="1"/>
  <c r="S164" i="1" s="1"/>
  <c r="S168" i="1" a="1"/>
  <c r="S168" i="1" s="1"/>
  <c r="S172" i="1" a="1"/>
  <c r="S172" i="1" s="1"/>
  <c r="S163" i="1" a="1"/>
  <c r="S163" i="1" s="1"/>
  <c r="S167" i="1" a="1"/>
  <c r="S167" i="1" s="1"/>
  <c r="S171" i="1" a="1"/>
  <c r="S171" i="1" s="1"/>
  <c r="M162" i="1" a="1"/>
  <c r="M162" i="1" s="1"/>
  <c r="M166" i="1" a="1"/>
  <c r="M166" i="1" s="1"/>
  <c r="M170" i="1" a="1"/>
  <c r="M170" i="1" s="1"/>
  <c r="M165" i="1" a="1"/>
  <c r="M165" i="1" s="1"/>
  <c r="M169" i="1" a="1"/>
  <c r="M169" i="1" s="1"/>
  <c r="M173" i="1" a="1"/>
  <c r="M173" i="1" s="1"/>
  <c r="M164" i="1" a="1"/>
  <c r="M164" i="1" s="1"/>
  <c r="M168" i="1" a="1"/>
  <c r="M168" i="1" s="1"/>
  <c r="M172" i="1" a="1"/>
  <c r="M172" i="1" s="1"/>
  <c r="M163" i="1" a="1"/>
  <c r="M163" i="1" s="1"/>
  <c r="M167" i="1" a="1"/>
  <c r="M167" i="1" s="1"/>
  <c r="M171" i="1" a="1"/>
  <c r="M171" i="1" s="1"/>
  <c r="I165" i="1" a="1"/>
  <c r="I165" i="1" s="1"/>
  <c r="I169" i="1" a="1"/>
  <c r="I169" i="1" s="1"/>
  <c r="I173" i="1" a="1"/>
  <c r="I173" i="1" s="1"/>
  <c r="I164" i="1" a="1"/>
  <c r="I164" i="1" s="1"/>
  <c r="I168" i="1" a="1"/>
  <c r="I168" i="1" s="1"/>
  <c r="I172" i="1" a="1"/>
  <c r="I172" i="1" s="1"/>
  <c r="I163" i="1" a="1"/>
  <c r="I163" i="1" s="1"/>
  <c r="I167" i="1" a="1"/>
  <c r="I167" i="1" s="1"/>
  <c r="I171" i="1" a="1"/>
  <c r="I171" i="1" s="1"/>
  <c r="I162" i="1" a="1"/>
  <c r="I162" i="1" s="1"/>
  <c r="I166" i="1" a="1"/>
  <c r="I166" i="1" s="1"/>
  <c r="I170" i="1" a="1"/>
  <c r="I170" i="1" s="1"/>
  <c r="R149" i="1" a="1"/>
  <c r="R149" i="1" s="1"/>
  <c r="R153" i="1" a="1"/>
  <c r="R153" i="1" s="1"/>
  <c r="R157" i="1" a="1"/>
  <c r="R157" i="1" s="1"/>
  <c r="R148" i="1" a="1"/>
  <c r="R148" i="1" s="1"/>
  <c r="R152" i="1" a="1"/>
  <c r="R152" i="1" s="1"/>
  <c r="R156" i="1" a="1"/>
  <c r="R156" i="1" s="1"/>
  <c r="R160" i="1" a="1"/>
  <c r="R160" i="1" s="1"/>
  <c r="R151" i="1" a="1"/>
  <c r="R151" i="1" s="1"/>
  <c r="R155" i="1" a="1"/>
  <c r="R155" i="1" s="1"/>
  <c r="R159" i="1" a="1"/>
  <c r="R159" i="1" s="1"/>
  <c r="R150" i="1" a="1"/>
  <c r="R150" i="1" s="1"/>
  <c r="R154" i="1" a="1"/>
  <c r="R154" i="1" s="1"/>
  <c r="R158" i="1" a="1"/>
  <c r="R158" i="1" s="1"/>
  <c r="O149" i="1" a="1"/>
  <c r="O149" i="1" s="1"/>
  <c r="O153" i="1" a="1"/>
  <c r="O153" i="1" s="1"/>
  <c r="O157" i="1" a="1"/>
  <c r="O157" i="1" s="1"/>
  <c r="O148" i="1" a="1"/>
  <c r="O148" i="1" s="1"/>
  <c r="O152" i="1" a="1"/>
  <c r="O152" i="1" s="1"/>
  <c r="O156" i="1" a="1"/>
  <c r="O156" i="1" s="1"/>
  <c r="O160" i="1" a="1"/>
  <c r="O160" i="1" s="1"/>
  <c r="O151" i="1" a="1"/>
  <c r="O151" i="1" s="1"/>
  <c r="O155" i="1" a="1"/>
  <c r="O155" i="1" s="1"/>
  <c r="O159" i="1" a="1"/>
  <c r="O159" i="1" s="1"/>
  <c r="O150" i="1" a="1"/>
  <c r="O150" i="1" s="1"/>
  <c r="O154" i="1" a="1"/>
  <c r="O154" i="1" s="1"/>
  <c r="O158" i="1" a="1"/>
  <c r="O158" i="1" s="1"/>
  <c r="I149" i="1" a="1"/>
  <c r="I149" i="1" s="1"/>
  <c r="I153" i="1" a="1"/>
  <c r="I153" i="1" s="1"/>
  <c r="I157" i="1" a="1"/>
  <c r="I157" i="1" s="1"/>
  <c r="I152" i="1" a="1"/>
  <c r="I152" i="1" s="1"/>
  <c r="I156" i="1" a="1"/>
  <c r="I156" i="1" s="1"/>
  <c r="I160" i="1" a="1"/>
  <c r="I160" i="1" s="1"/>
  <c r="I151" i="1" a="1"/>
  <c r="I151" i="1" s="1"/>
  <c r="I155" i="1" a="1"/>
  <c r="I155" i="1" s="1"/>
  <c r="I159" i="1" a="1"/>
  <c r="I159" i="1" s="1"/>
  <c r="I150" i="1" a="1"/>
  <c r="I150" i="1" s="1"/>
  <c r="I154" i="1" a="1"/>
  <c r="I154" i="1" s="1"/>
  <c r="I158" i="1" a="1"/>
  <c r="I158" i="1" s="1"/>
  <c r="R137" i="1" a="1"/>
  <c r="R137" i="1" s="1"/>
  <c r="R141" i="1" a="1"/>
  <c r="R141" i="1" s="1"/>
  <c r="R145" i="1" a="1"/>
  <c r="R145" i="1" s="1"/>
  <c r="R136" i="1" a="1"/>
  <c r="R136" i="1" s="1"/>
  <c r="R140" i="1" a="1"/>
  <c r="R140" i="1" s="1"/>
  <c r="R144" i="1" a="1"/>
  <c r="R144" i="1" s="1"/>
  <c r="R135" i="1" a="1"/>
  <c r="R135" i="1" s="1"/>
  <c r="R139" i="1" a="1"/>
  <c r="R139" i="1" s="1"/>
  <c r="R143" i="1" a="1"/>
  <c r="R143" i="1" s="1"/>
  <c r="R147" i="1" a="1"/>
  <c r="R147" i="1" s="1"/>
  <c r="R138" i="1" a="1"/>
  <c r="R138" i="1" s="1"/>
  <c r="R142" i="1" a="1"/>
  <c r="R142" i="1" s="1"/>
  <c r="R146" i="1" a="1"/>
  <c r="R146" i="1" s="1"/>
  <c r="O137" i="1" a="1"/>
  <c r="O137" i="1" s="1"/>
  <c r="O141" i="1" a="1"/>
  <c r="O141" i="1" s="1"/>
  <c r="O145" i="1" a="1"/>
  <c r="O145" i="1" s="1"/>
  <c r="O136" i="1" a="1"/>
  <c r="O136" i="1" s="1"/>
  <c r="O140" i="1" a="1"/>
  <c r="O140" i="1" s="1"/>
  <c r="O144" i="1" a="1"/>
  <c r="O144" i="1" s="1"/>
  <c r="O135" i="1" a="1"/>
  <c r="O135" i="1" s="1"/>
  <c r="O139" i="1" a="1"/>
  <c r="O139" i="1" s="1"/>
  <c r="O143" i="1" a="1"/>
  <c r="O143" i="1" s="1"/>
  <c r="O147" i="1" a="1"/>
  <c r="O147" i="1" s="1"/>
  <c r="O138" i="1" a="1"/>
  <c r="O138" i="1" s="1"/>
  <c r="O142" i="1" a="1"/>
  <c r="O142" i="1" s="1"/>
  <c r="O146" i="1" a="1"/>
  <c r="O146" i="1" s="1"/>
  <c r="I137" i="1" a="1"/>
  <c r="I137" i="1" s="1"/>
  <c r="I141" i="1" a="1"/>
  <c r="I141" i="1" s="1"/>
  <c r="I145" i="1" a="1"/>
  <c r="I145" i="1" s="1"/>
  <c r="I136" i="1" a="1"/>
  <c r="I136" i="1" s="1"/>
  <c r="I140" i="1" a="1"/>
  <c r="I140" i="1" s="1"/>
  <c r="I144" i="1" a="1"/>
  <c r="I144" i="1" s="1"/>
  <c r="I139" i="1" a="1"/>
  <c r="I139" i="1" s="1"/>
  <c r="I143" i="1" a="1"/>
  <c r="I143" i="1" s="1"/>
  <c r="I147" i="1" a="1"/>
  <c r="I147" i="1" s="1"/>
  <c r="I138" i="1" a="1"/>
  <c r="I138" i="1" s="1"/>
  <c r="I142" i="1" a="1"/>
  <c r="I142" i="1" s="1"/>
  <c r="I146" i="1" a="1"/>
  <c r="I146" i="1" s="1"/>
  <c r="O124" i="1" a="1"/>
  <c r="O124" i="1" s="1"/>
  <c r="O128" i="1" a="1"/>
  <c r="O128" i="1" s="1"/>
  <c r="O123" i="1" a="1"/>
  <c r="O123" i="1" s="1"/>
  <c r="O127" i="1" a="1"/>
  <c r="O127" i="1" s="1"/>
  <c r="O131" i="1" a="1"/>
  <c r="O131" i="1" s="1"/>
  <c r="O122" i="1" a="1"/>
  <c r="O122" i="1" s="1"/>
  <c r="O126" i="1" a="1"/>
  <c r="O126" i="1" s="1"/>
  <c r="O125" i="1" a="1"/>
  <c r="O125" i="1" s="1"/>
  <c r="O129" i="1" a="1"/>
  <c r="O129" i="1" s="1"/>
  <c r="O133" i="1" a="1"/>
  <c r="O133" i="1" s="1"/>
  <c r="O132" i="1" a="1"/>
  <c r="O132" i="1" s="1"/>
  <c r="O130" i="1" a="1"/>
  <c r="O130" i="1" s="1"/>
  <c r="O134" i="1" a="1"/>
  <c r="O134" i="1" s="1"/>
  <c r="I124" i="1" a="1"/>
  <c r="I124" i="1" s="1"/>
  <c r="I128" i="1" a="1"/>
  <c r="I128" i="1" s="1"/>
  <c r="I123" i="1" a="1"/>
  <c r="I123" i="1" s="1"/>
  <c r="I127" i="1" a="1"/>
  <c r="I127" i="1" s="1"/>
  <c r="I131" i="1" a="1"/>
  <c r="I131" i="1" s="1"/>
  <c r="I126" i="1" a="1"/>
  <c r="I126" i="1" s="1"/>
  <c r="I125" i="1" a="1"/>
  <c r="I125" i="1" s="1"/>
  <c r="I129" i="1" a="1"/>
  <c r="I129" i="1" s="1"/>
  <c r="I133" i="1" a="1"/>
  <c r="I133" i="1" s="1"/>
  <c r="I134" i="1" a="1"/>
  <c r="I134" i="1" s="1"/>
  <c r="I130" i="1" a="1"/>
  <c r="I130" i="1" s="1"/>
  <c r="I132" i="1" a="1"/>
  <c r="I132" i="1" s="1"/>
  <c r="Q114" i="1" a="1"/>
  <c r="Q114" i="1" s="1"/>
  <c r="Q116" i="1" a="1"/>
  <c r="Q116" i="1" s="1"/>
  <c r="Q118" i="1" a="1"/>
  <c r="Q118" i="1" s="1"/>
  <c r="Q111" i="1" a="1"/>
  <c r="Q111" i="1" s="1"/>
  <c r="Q117" i="1" a="1"/>
  <c r="Q117" i="1" s="1"/>
  <c r="Q121" i="1" a="1"/>
  <c r="Q121" i="1" s="1"/>
  <c r="Q110" i="1" a="1"/>
  <c r="Q110" i="1" s="1"/>
  <c r="Q112" i="1" a="1"/>
  <c r="Q112" i="1" s="1"/>
  <c r="Q113" i="1" a="1"/>
  <c r="Q113" i="1" s="1"/>
  <c r="Q115" i="1" a="1"/>
  <c r="Q115" i="1" s="1"/>
  <c r="Q120" i="1" a="1"/>
  <c r="Q120" i="1" s="1"/>
  <c r="Q109" i="1" a="1"/>
  <c r="Q109" i="1" s="1"/>
  <c r="Q119" i="1" a="1"/>
  <c r="Q119" i="1" s="1"/>
  <c r="O97" i="1" a="1"/>
  <c r="O97" i="1" s="1"/>
  <c r="O101" i="1" a="1"/>
  <c r="O101" i="1" s="1"/>
  <c r="O105" i="1" a="1"/>
  <c r="O105" i="1" s="1"/>
  <c r="O96" i="1" a="1"/>
  <c r="O96" i="1" s="1"/>
  <c r="O100" i="1" a="1"/>
  <c r="O100" i="1" s="1"/>
  <c r="O104" i="1" a="1"/>
  <c r="O104" i="1" s="1"/>
  <c r="O108" i="1" a="1"/>
  <c r="O108" i="1" s="1"/>
  <c r="O99" i="1" a="1"/>
  <c r="O99" i="1" s="1"/>
  <c r="O103" i="1" a="1"/>
  <c r="O103" i="1" s="1"/>
  <c r="O107" i="1" a="1"/>
  <c r="O107" i="1" s="1"/>
  <c r="O98" i="1" a="1"/>
  <c r="O98" i="1" s="1"/>
  <c r="O102" i="1" a="1"/>
  <c r="O102" i="1" s="1"/>
  <c r="O106" i="1" a="1"/>
  <c r="O106" i="1" s="1"/>
  <c r="I98" i="1" a="1"/>
  <c r="I98" i="1" s="1"/>
  <c r="I102" i="1" a="1"/>
  <c r="I102" i="1" s="1"/>
  <c r="I106" i="1" a="1"/>
  <c r="I106" i="1" s="1"/>
  <c r="I97" i="1" a="1"/>
  <c r="I97" i="1" s="1"/>
  <c r="I101" i="1" a="1"/>
  <c r="I101" i="1" s="1"/>
  <c r="I105" i="1" a="1"/>
  <c r="I105" i="1" s="1"/>
  <c r="I100" i="1" a="1"/>
  <c r="I100" i="1" s="1"/>
  <c r="I104" i="1" a="1"/>
  <c r="I104" i="1" s="1"/>
  <c r="I108" i="1" a="1"/>
  <c r="I108" i="1" s="1"/>
  <c r="I99" i="1" a="1"/>
  <c r="I99" i="1" s="1"/>
  <c r="I103" i="1" a="1"/>
  <c r="I103" i="1" s="1"/>
  <c r="I107" i="1" a="1"/>
  <c r="I107" i="1" s="1"/>
  <c r="Q83" i="1" a="1"/>
  <c r="Q83" i="1" s="1"/>
  <c r="Q87" i="1" a="1"/>
  <c r="Q87" i="1" s="1"/>
  <c r="Q86" i="1" a="1"/>
  <c r="Q86" i="1" s="1"/>
  <c r="Q85" i="1" a="1"/>
  <c r="Q85" i="1" s="1"/>
  <c r="Q89" i="1" a="1"/>
  <c r="Q89" i="1" s="1"/>
  <c r="Q84" i="1" a="1"/>
  <c r="Q84" i="1" s="1"/>
  <c r="Q88" i="1" a="1"/>
  <c r="Q88" i="1" s="1"/>
  <c r="Q92" i="1" a="1"/>
  <c r="Q92" i="1" s="1"/>
  <c r="Q91" i="1" a="1"/>
  <c r="Q91" i="1" s="1"/>
  <c r="Q95" i="1" a="1"/>
  <c r="Q95" i="1" s="1"/>
  <c r="Q94" i="1" a="1"/>
  <c r="Q94" i="1" s="1"/>
  <c r="Q90" i="1" a="1"/>
  <c r="Q90" i="1" s="1"/>
  <c r="Q93" i="1" a="1"/>
  <c r="Q93" i="1" s="1"/>
  <c r="K87" i="1" a="1"/>
  <c r="K87" i="1" s="1"/>
  <c r="K86" i="1" a="1"/>
  <c r="K86" i="1" s="1"/>
  <c r="K90" i="1" a="1"/>
  <c r="K90" i="1" s="1"/>
  <c r="K85" i="1" a="1"/>
  <c r="K85" i="1" s="1"/>
  <c r="K89" i="1" a="1"/>
  <c r="K89" i="1" s="1"/>
  <c r="K84" i="1" a="1"/>
  <c r="K84" i="1" s="1"/>
  <c r="K88" i="1" a="1"/>
  <c r="K88" i="1" s="1"/>
  <c r="K92" i="1" a="1"/>
  <c r="K92" i="1" s="1"/>
  <c r="K91" i="1" a="1"/>
  <c r="K91" i="1" s="1"/>
  <c r="K95" i="1" a="1"/>
  <c r="K95" i="1" s="1"/>
  <c r="K94" i="1" a="1"/>
  <c r="K94" i="1" s="1"/>
  <c r="K93" i="1" a="1"/>
  <c r="K93" i="1" s="1"/>
  <c r="Q71" i="1" a="1"/>
  <c r="Q71" i="1" s="1"/>
  <c r="Q75" i="1" a="1"/>
  <c r="Q75" i="1" s="1"/>
  <c r="Q79" i="1" a="1"/>
  <c r="Q79" i="1" s="1"/>
  <c r="Q70" i="1" a="1"/>
  <c r="Q70" i="1" s="1"/>
  <c r="Q74" i="1" a="1"/>
  <c r="Q74" i="1" s="1"/>
  <c r="Q78" i="1" a="1"/>
  <c r="Q78" i="1" s="1"/>
  <c r="Q82" i="1" a="1"/>
  <c r="Q82" i="1" s="1"/>
  <c r="Q73" i="1" a="1"/>
  <c r="Q73" i="1" s="1"/>
  <c r="Q77" i="1" a="1"/>
  <c r="Q77" i="1" s="1"/>
  <c r="Q81" i="1" a="1"/>
  <c r="Q81" i="1" s="1"/>
  <c r="Q72" i="1" a="1"/>
  <c r="Q72" i="1" s="1"/>
  <c r="Q76" i="1" a="1"/>
  <c r="Q76" i="1" s="1"/>
  <c r="Q80" i="1" a="1"/>
  <c r="Q80" i="1" s="1"/>
  <c r="N71" i="1" a="1"/>
  <c r="N71" i="1" s="1"/>
  <c r="N75" i="1" a="1"/>
  <c r="N75" i="1" s="1"/>
  <c r="N79" i="1" a="1"/>
  <c r="N79" i="1" s="1"/>
  <c r="N70" i="1" a="1"/>
  <c r="N70" i="1" s="1"/>
  <c r="N74" i="1" a="1"/>
  <c r="N74" i="1" s="1"/>
  <c r="N78" i="1" a="1"/>
  <c r="N78" i="1" s="1"/>
  <c r="N82" i="1" a="1"/>
  <c r="N82" i="1" s="1"/>
  <c r="N73" i="1" a="1"/>
  <c r="N73" i="1" s="1"/>
  <c r="N77" i="1" a="1"/>
  <c r="N77" i="1" s="1"/>
  <c r="N81" i="1" a="1"/>
  <c r="N81" i="1" s="1"/>
  <c r="N72" i="1" a="1"/>
  <c r="N72" i="1" s="1"/>
  <c r="N76" i="1" a="1"/>
  <c r="N76" i="1" s="1"/>
  <c r="N80" i="1" a="1"/>
  <c r="N80" i="1" s="1"/>
  <c r="K71" i="1" a="1"/>
  <c r="K71" i="1" s="1"/>
  <c r="K75" i="1" a="1"/>
  <c r="K75" i="1" s="1"/>
  <c r="K79" i="1" a="1"/>
  <c r="K79" i="1" s="1"/>
  <c r="K70" i="1" a="1"/>
  <c r="K70" i="1" s="1"/>
  <c r="K74" i="1" a="1"/>
  <c r="K74" i="1" s="1"/>
  <c r="K78" i="1" a="1"/>
  <c r="K78" i="1" s="1"/>
  <c r="K82" i="1" a="1"/>
  <c r="K82" i="1" s="1"/>
  <c r="K73" i="1" a="1"/>
  <c r="K73" i="1" s="1"/>
  <c r="K77" i="1" a="1"/>
  <c r="K77" i="1" s="1"/>
  <c r="K81" i="1" a="1"/>
  <c r="K81" i="1" s="1"/>
  <c r="K72" i="1" a="1"/>
  <c r="K72" i="1" s="1"/>
  <c r="K76" i="1" a="1"/>
  <c r="K76" i="1" s="1"/>
  <c r="K80" i="1" a="1"/>
  <c r="K80" i="1" s="1"/>
  <c r="Q58" i="1" a="1"/>
  <c r="Q58" i="1" s="1"/>
  <c r="Q61" i="1" a="1"/>
  <c r="Q61" i="1" s="1"/>
  <c r="Q65" i="1" a="1"/>
  <c r="Q65" i="1" s="1"/>
  <c r="Q57" i="1" a="1"/>
  <c r="Q57" i="1" s="1"/>
  <c r="Q64" i="1" a="1"/>
  <c r="Q64" i="1" s="1"/>
  <c r="Q63" i="1" a="1"/>
  <c r="Q63" i="1" s="1"/>
  <c r="Q67" i="1" a="1"/>
  <c r="Q67" i="1" s="1"/>
  <c r="Q59" i="1" a="1"/>
  <c r="Q59" i="1" s="1"/>
  <c r="Q60" i="1" a="1"/>
  <c r="Q60" i="1" s="1"/>
  <c r="Q62" i="1" a="1"/>
  <c r="Q62" i="1" s="1"/>
  <c r="Q66" i="1" a="1"/>
  <c r="Q66" i="1" s="1"/>
  <c r="Q68" i="1" a="1"/>
  <c r="Q68" i="1" s="1"/>
  <c r="Q69" i="1" a="1"/>
  <c r="Q69" i="1" s="1"/>
  <c r="K58" i="1" a="1"/>
  <c r="K58" i="1" s="1"/>
  <c r="K61" i="1" a="1"/>
  <c r="K61" i="1" s="1"/>
  <c r="K65" i="1" a="1"/>
  <c r="K65" i="1" s="1"/>
  <c r="K57" i="1" a="1"/>
  <c r="K57" i="1" s="1"/>
  <c r="K64" i="1" a="1"/>
  <c r="K64" i="1" s="1"/>
  <c r="K60" i="1" a="1"/>
  <c r="K60" i="1" s="1"/>
  <c r="K63" i="1" a="1"/>
  <c r="K63" i="1" s="1"/>
  <c r="K67" i="1" a="1"/>
  <c r="K67" i="1" s="1"/>
  <c r="K59" i="1" a="1"/>
  <c r="K59" i="1" s="1"/>
  <c r="K62" i="1" a="1"/>
  <c r="K62" i="1" s="1"/>
  <c r="K66" i="1" a="1"/>
  <c r="K66" i="1" s="1"/>
  <c r="K68" i="1" a="1"/>
  <c r="K68" i="1" s="1"/>
  <c r="K69" i="1" a="1"/>
  <c r="K69" i="1" s="1"/>
  <c r="Q45" i="1" a="1"/>
  <c r="Q45" i="1" s="1"/>
  <c r="Q46" i="1" a="1"/>
  <c r="Q46" i="1" s="1"/>
  <c r="Q53" i="1" a="1"/>
  <c r="Q53" i="1" s="1"/>
  <c r="Q44" i="1" a="1"/>
  <c r="Q44" i="1" s="1"/>
  <c r="Q51" i="1" a="1"/>
  <c r="Q51" i="1" s="1"/>
  <c r="Q54" i="1" a="1"/>
  <c r="Q54" i="1" s="1"/>
  <c r="Q50" i="1" a="1"/>
  <c r="Q50" i="1" s="1"/>
  <c r="Q48" i="1" a="1"/>
  <c r="Q48" i="1" s="1"/>
  <c r="Q49" i="1" a="1"/>
  <c r="Q49" i="1" s="1"/>
  <c r="Q56" i="1" a="1"/>
  <c r="Q56" i="1" s="1"/>
  <c r="Q47" i="1" a="1"/>
  <c r="Q47" i="1" s="1"/>
  <c r="Q52" i="1" a="1"/>
  <c r="Q52" i="1" s="1"/>
  <c r="Q55" i="1" a="1"/>
  <c r="Q55" i="1" s="1"/>
  <c r="M46" i="1" a="1"/>
  <c r="M46" i="1" s="1"/>
  <c r="M49" i="1" a="1"/>
  <c r="M49" i="1" s="1"/>
  <c r="M52" i="1" a="1"/>
  <c r="M52" i="1" s="1"/>
  <c r="M44" i="1" a="1"/>
  <c r="M44" i="1" s="1"/>
  <c r="M47" i="1" a="1"/>
  <c r="M47" i="1" s="1"/>
  <c r="M48" i="1" a="1"/>
  <c r="M48" i="1" s="1"/>
  <c r="M51" i="1" a="1"/>
  <c r="M51" i="1" s="1"/>
  <c r="M45" i="1" a="1"/>
  <c r="M45" i="1" s="1"/>
  <c r="M50" i="1" a="1"/>
  <c r="M50" i="1" s="1"/>
  <c r="M56" i="1" a="1"/>
  <c r="M56" i="1" s="1"/>
  <c r="M55" i="1" a="1"/>
  <c r="M55" i="1" s="1"/>
  <c r="M53" i="1" a="1"/>
  <c r="M53" i="1" s="1"/>
  <c r="M54" i="1" a="1"/>
  <c r="M54" i="1" s="1"/>
  <c r="S32" i="1" a="1"/>
  <c r="S32" i="1" s="1"/>
  <c r="S33" i="1" a="1"/>
  <c r="S33" i="1" s="1"/>
  <c r="S36" i="1" a="1"/>
  <c r="S36" i="1" s="1"/>
  <c r="S37" i="1" a="1"/>
  <c r="S37" i="1" s="1"/>
  <c r="S40" i="1" a="1"/>
  <c r="S40" i="1" s="1"/>
  <c r="S41" i="1" a="1"/>
  <c r="S41" i="1" s="1"/>
  <c r="S34" i="1" a="1"/>
  <c r="S34" i="1" s="1"/>
  <c r="S35" i="1" a="1"/>
  <c r="S35" i="1" s="1"/>
  <c r="S42" i="1" a="1"/>
  <c r="S42" i="1" s="1"/>
  <c r="S43" i="1" a="1"/>
  <c r="S43" i="1" s="1"/>
  <c r="S38" i="1" a="1"/>
  <c r="S38" i="1" s="1"/>
  <c r="S39" i="1" a="1"/>
  <c r="S39" i="1" s="1"/>
  <c r="K34" i="1" a="1"/>
  <c r="K34" i="1" s="1"/>
  <c r="K35" i="1" a="1"/>
  <c r="K35" i="1" s="1"/>
  <c r="K38" i="1" a="1"/>
  <c r="K38" i="1" s="1"/>
  <c r="K39" i="1" a="1"/>
  <c r="K39" i="1" s="1"/>
  <c r="K42" i="1" a="1"/>
  <c r="K42" i="1" s="1"/>
  <c r="K43" i="1" a="1"/>
  <c r="K43" i="1" s="1"/>
  <c r="K32" i="1" a="1"/>
  <c r="K32" i="1" s="1"/>
  <c r="K33" i="1" a="1"/>
  <c r="K33" i="1" s="1"/>
  <c r="K36" i="1" a="1"/>
  <c r="K36" i="1" s="1"/>
  <c r="K37" i="1" a="1"/>
  <c r="K37" i="1" s="1"/>
  <c r="K40" i="1" a="1"/>
  <c r="K40" i="1" s="1"/>
  <c r="K41" i="1" a="1"/>
  <c r="K41" i="1" s="1"/>
  <c r="O19" i="1" a="1"/>
  <c r="O19" i="1" s="1"/>
  <c r="O20" i="1" a="1"/>
  <c r="O20" i="1" s="1"/>
  <c r="O21" i="1" a="1"/>
  <c r="O21" i="1" s="1"/>
  <c r="O22" i="1" a="1"/>
  <c r="O22" i="1" s="1"/>
  <c r="O23" i="1" a="1"/>
  <c r="O23" i="1" s="1"/>
  <c r="O24" i="1" a="1"/>
  <c r="O24" i="1" s="1"/>
  <c r="O25" i="1" a="1"/>
  <c r="O25" i="1" s="1"/>
  <c r="O26" i="1" a="1"/>
  <c r="O26" i="1" s="1"/>
  <c r="O27" i="1" a="1"/>
  <c r="O27" i="1" s="1"/>
  <c r="O28" i="1" a="1"/>
  <c r="O28" i="1" s="1"/>
  <c r="O29" i="1" a="1"/>
  <c r="O29" i="1" s="1"/>
  <c r="O30" i="1" a="1"/>
  <c r="O30" i="1" s="1"/>
  <c r="S550" i="1" a="1"/>
  <c r="S550" i="1" s="1"/>
  <c r="K550" i="1" a="1"/>
  <c r="K550" i="1" s="1"/>
  <c r="R549" i="1" a="1"/>
  <c r="R549" i="1" s="1"/>
  <c r="O549" i="1" a="1"/>
  <c r="O549" i="1" s="1"/>
  <c r="J549" i="1" a="1"/>
  <c r="J549" i="1" s="1"/>
  <c r="S548" i="1" a="1"/>
  <c r="S548" i="1" s="1"/>
  <c r="K548" i="1" a="1"/>
  <c r="K548" i="1" s="1"/>
  <c r="R547" i="1" a="1"/>
  <c r="R547" i="1" s="1"/>
  <c r="O547" i="1" a="1"/>
  <c r="O547" i="1" s="1"/>
  <c r="J547" i="1" a="1"/>
  <c r="J547" i="1" s="1"/>
  <c r="S546" i="1" a="1"/>
  <c r="S546" i="1" s="1"/>
  <c r="K546" i="1" a="1"/>
  <c r="K546" i="1" s="1"/>
  <c r="R545" i="1" a="1"/>
  <c r="R545" i="1" s="1"/>
  <c r="O545" i="1" a="1"/>
  <c r="O545" i="1" s="1"/>
  <c r="J545" i="1" a="1"/>
  <c r="J545" i="1" s="1"/>
  <c r="S544" i="1" a="1"/>
  <c r="S544" i="1" s="1"/>
  <c r="K544" i="1" a="1"/>
  <c r="K544" i="1" s="1"/>
  <c r="R543" i="1" a="1"/>
  <c r="R543" i="1" s="1"/>
  <c r="O543" i="1" a="1"/>
  <c r="O543" i="1" s="1"/>
  <c r="J543" i="1" a="1"/>
  <c r="J543" i="1" s="1"/>
  <c r="S542" i="1" a="1"/>
  <c r="S542" i="1" s="1"/>
  <c r="K542" i="1" a="1"/>
  <c r="K542" i="1" s="1"/>
  <c r="R541" i="1" a="1"/>
  <c r="R541" i="1" s="1"/>
  <c r="O541" i="1" a="1"/>
  <c r="O541" i="1" s="1"/>
  <c r="J541" i="1" a="1"/>
  <c r="J541" i="1" s="1"/>
  <c r="S540" i="1" a="1"/>
  <c r="S540" i="1" s="1"/>
  <c r="K540" i="1" a="1"/>
  <c r="K540" i="1" s="1"/>
  <c r="R539" i="1" a="1"/>
  <c r="R539" i="1" s="1"/>
  <c r="O539" i="1" a="1"/>
  <c r="O539" i="1" s="1"/>
  <c r="J539" i="1" a="1"/>
  <c r="J539" i="1" s="1"/>
  <c r="S538" i="1" a="1"/>
  <c r="S538" i="1" s="1"/>
  <c r="K538" i="1" a="1"/>
  <c r="K538" i="1" s="1"/>
  <c r="O537" i="1" a="1"/>
  <c r="O537" i="1" s="1"/>
  <c r="S536" i="1" a="1"/>
  <c r="S536" i="1" s="1"/>
  <c r="N536" i="1" a="1"/>
  <c r="N536" i="1" s="1"/>
  <c r="K536" i="1" a="1"/>
  <c r="K536" i="1" s="1"/>
  <c r="O535" i="1" a="1"/>
  <c r="O535" i="1" s="1"/>
  <c r="S534" i="1" a="1"/>
  <c r="S534" i="1" s="1"/>
  <c r="N534" i="1" a="1"/>
  <c r="N534" i="1" s="1"/>
  <c r="K534" i="1" a="1"/>
  <c r="K534" i="1" s="1"/>
  <c r="O533" i="1" a="1"/>
  <c r="O533" i="1" s="1"/>
  <c r="S532" i="1" a="1"/>
  <c r="S532" i="1" s="1"/>
  <c r="N532" i="1" a="1"/>
  <c r="N532" i="1" s="1"/>
  <c r="K532" i="1" a="1"/>
  <c r="K532" i="1" s="1"/>
  <c r="O531" i="1" a="1"/>
  <c r="O531" i="1" s="1"/>
  <c r="S530" i="1" a="1"/>
  <c r="S530" i="1" s="1"/>
  <c r="N530" i="1" a="1"/>
  <c r="N530" i="1" s="1"/>
  <c r="K530" i="1" a="1"/>
  <c r="K530" i="1" s="1"/>
  <c r="O529" i="1" a="1"/>
  <c r="O529" i="1" s="1"/>
  <c r="S528" i="1" a="1"/>
  <c r="S528" i="1" s="1"/>
  <c r="N528" i="1" a="1"/>
  <c r="N528" i="1" s="1"/>
  <c r="K528" i="1" a="1"/>
  <c r="K528" i="1" s="1"/>
  <c r="O527" i="1" a="1"/>
  <c r="O527" i="1" s="1"/>
  <c r="S526" i="1" a="1"/>
  <c r="S526" i="1" s="1"/>
  <c r="N526" i="1" a="1"/>
  <c r="N526" i="1" s="1"/>
  <c r="K526" i="1" a="1"/>
  <c r="K526" i="1" s="1"/>
  <c r="S524" i="1" a="1"/>
  <c r="S524" i="1" s="1"/>
  <c r="K524" i="1" a="1"/>
  <c r="K524" i="1" s="1"/>
  <c r="R523" i="1" a="1"/>
  <c r="R523" i="1" s="1"/>
  <c r="O523" i="1" a="1"/>
  <c r="O523" i="1" s="1"/>
  <c r="J523" i="1" a="1"/>
  <c r="J523" i="1" s="1"/>
  <c r="S522" i="1" a="1"/>
  <c r="S522" i="1" s="1"/>
  <c r="K522" i="1" a="1"/>
  <c r="K522" i="1" s="1"/>
  <c r="R521" i="1" a="1"/>
  <c r="R521" i="1" s="1"/>
  <c r="O521" i="1" a="1"/>
  <c r="O521" i="1" s="1"/>
  <c r="J521" i="1" a="1"/>
  <c r="J521" i="1" s="1"/>
  <c r="S520" i="1" a="1"/>
  <c r="S520" i="1" s="1"/>
  <c r="K520" i="1" a="1"/>
  <c r="K520" i="1" s="1"/>
  <c r="R519" i="1" a="1"/>
  <c r="R519" i="1" s="1"/>
  <c r="O519" i="1" a="1"/>
  <c r="O519" i="1" s="1"/>
  <c r="J519" i="1" a="1"/>
  <c r="J519" i="1" s="1"/>
  <c r="S518" i="1" a="1"/>
  <c r="S518" i="1" s="1"/>
  <c r="K518" i="1" a="1"/>
  <c r="K518" i="1" s="1"/>
  <c r="R517" i="1" a="1"/>
  <c r="R517" i="1" s="1"/>
  <c r="O517" i="1" a="1"/>
  <c r="O517" i="1" s="1"/>
  <c r="I517" i="1" a="1"/>
  <c r="I517" i="1" s="1"/>
  <c r="R516" i="1" a="1"/>
  <c r="R516" i="1" s="1"/>
  <c r="S515" i="1" a="1"/>
  <c r="S515" i="1" s="1"/>
  <c r="O515" i="1" a="1"/>
  <c r="O515" i="1" s="1"/>
  <c r="L515" i="1" a="1"/>
  <c r="L515" i="1" s="1"/>
  <c r="M514" i="1" a="1"/>
  <c r="M514" i="1" s="1"/>
  <c r="J514" i="1" a="1"/>
  <c r="J514" i="1" s="1"/>
  <c r="R513" i="1" a="1"/>
  <c r="R513" i="1" s="1"/>
  <c r="K513" i="1" a="1"/>
  <c r="K513" i="1" s="1"/>
  <c r="R510" i="1" a="1"/>
  <c r="R510" i="1" s="1"/>
  <c r="S509" i="1" a="1"/>
  <c r="S509" i="1" s="1"/>
  <c r="I6" i="1" a="1"/>
  <c r="I6" i="1" s="1"/>
  <c r="I10" i="1" a="1"/>
  <c r="I10" i="1" s="1"/>
  <c r="I14" i="1" a="1"/>
  <c r="I14" i="1" s="1"/>
  <c r="I9" i="1" a="1"/>
  <c r="I9" i="1" s="1"/>
  <c r="I13" i="1" a="1"/>
  <c r="I13" i="1" s="1"/>
  <c r="I17" i="1" a="1"/>
  <c r="I17" i="1" s="1"/>
  <c r="I8" i="1" a="1"/>
  <c r="I8" i="1" s="1"/>
  <c r="I12" i="1" a="1"/>
  <c r="I12" i="1" s="1"/>
  <c r="I16" i="1" a="1"/>
  <c r="I16" i="1" s="1"/>
  <c r="I7" i="1" a="1"/>
  <c r="I7" i="1" s="1"/>
  <c r="I11" i="1" a="1"/>
  <c r="I11" i="1" s="1"/>
  <c r="I15" i="1" a="1"/>
  <c r="I15" i="1" s="1"/>
  <c r="N8" i="1" a="1"/>
  <c r="N8" i="1" s="1"/>
  <c r="N12" i="1" a="1"/>
  <c r="N12" i="1" s="1"/>
  <c r="N16" i="1" a="1"/>
  <c r="N16" i="1" s="1"/>
  <c r="N7" i="1" a="1"/>
  <c r="N7" i="1" s="1"/>
  <c r="N11" i="1" a="1"/>
  <c r="N11" i="1" s="1"/>
  <c r="N15" i="1" a="1"/>
  <c r="N15" i="1" s="1"/>
  <c r="N6" i="1" a="1"/>
  <c r="N6" i="1" s="1"/>
  <c r="N10" i="1" a="1"/>
  <c r="N10" i="1" s="1"/>
  <c r="N14" i="1" a="1"/>
  <c r="N14" i="1" s="1"/>
  <c r="N9" i="1" a="1"/>
  <c r="N9" i="1" s="1"/>
  <c r="N13" i="1" a="1"/>
  <c r="N13" i="1" s="1"/>
  <c r="N17" i="1" a="1"/>
  <c r="N17" i="1" s="1"/>
  <c r="Q514" i="1" a="1"/>
  <c r="Q514" i="1" s="1"/>
  <c r="Q516" i="1" a="1"/>
  <c r="Q516" i="1" s="1"/>
  <c r="O501" i="1" a="1"/>
  <c r="O501" i="1" s="1"/>
  <c r="O503" i="1" a="1"/>
  <c r="O503" i="1" s="1"/>
  <c r="O505" i="1" a="1"/>
  <c r="O505" i="1" s="1"/>
  <c r="O507" i="1" a="1"/>
  <c r="O507" i="1" s="1"/>
  <c r="O509" i="1" a="1"/>
  <c r="O509" i="1" s="1"/>
  <c r="O500" i="1" a="1"/>
  <c r="O500" i="1" s="1"/>
  <c r="O502" i="1" a="1"/>
  <c r="O502" i="1" s="1"/>
  <c r="O504" i="1" a="1"/>
  <c r="O504" i="1" s="1"/>
  <c r="O506" i="1" a="1"/>
  <c r="O506" i="1" s="1"/>
  <c r="S486" i="1" a="1"/>
  <c r="S486" i="1" s="1"/>
  <c r="S488" i="1" a="1"/>
  <c r="S488" i="1" s="1"/>
  <c r="S490" i="1" a="1"/>
  <c r="S490" i="1" s="1"/>
  <c r="S492" i="1" a="1"/>
  <c r="S492" i="1" s="1"/>
  <c r="S494" i="1" a="1"/>
  <c r="S494" i="1" s="1"/>
  <c r="S496" i="1" a="1"/>
  <c r="S496" i="1" s="1"/>
  <c r="S498" i="1" a="1"/>
  <c r="S498" i="1" s="1"/>
  <c r="S487" i="1" a="1"/>
  <c r="S487" i="1" s="1"/>
  <c r="S489" i="1" a="1"/>
  <c r="S489" i="1" s="1"/>
  <c r="S491" i="1" a="1"/>
  <c r="S491" i="1" s="1"/>
  <c r="S493" i="1" a="1"/>
  <c r="S493" i="1" s="1"/>
  <c r="S495" i="1" a="1"/>
  <c r="S495" i="1" s="1"/>
  <c r="S497" i="1" a="1"/>
  <c r="S497" i="1" s="1"/>
  <c r="K486" i="1" a="1"/>
  <c r="K486" i="1" s="1"/>
  <c r="K488" i="1" a="1"/>
  <c r="K488" i="1" s="1"/>
  <c r="K490" i="1" a="1"/>
  <c r="K490" i="1" s="1"/>
  <c r="K492" i="1" a="1"/>
  <c r="K492" i="1" s="1"/>
  <c r="K494" i="1" a="1"/>
  <c r="K494" i="1" s="1"/>
  <c r="K496" i="1" a="1"/>
  <c r="K496" i="1" s="1"/>
  <c r="K498" i="1" a="1"/>
  <c r="K498" i="1" s="1"/>
  <c r="K487" i="1" a="1"/>
  <c r="K487" i="1" s="1"/>
  <c r="K489" i="1" a="1"/>
  <c r="K489" i="1" s="1"/>
  <c r="K491" i="1" a="1"/>
  <c r="K491" i="1" s="1"/>
  <c r="K493" i="1" a="1"/>
  <c r="K493" i="1" s="1"/>
  <c r="K495" i="1" a="1"/>
  <c r="K495" i="1" s="1"/>
  <c r="K497" i="1" a="1"/>
  <c r="K497" i="1" s="1"/>
  <c r="O475" i="1" a="1"/>
  <c r="O475" i="1" s="1"/>
  <c r="O477" i="1" a="1"/>
  <c r="O477" i="1" s="1"/>
  <c r="O479" i="1" a="1"/>
  <c r="O479" i="1" s="1"/>
  <c r="O481" i="1" a="1"/>
  <c r="O481" i="1" s="1"/>
  <c r="O483" i="1" a="1"/>
  <c r="O483" i="1" s="1"/>
  <c r="O485" i="1" a="1"/>
  <c r="O485" i="1" s="1"/>
  <c r="O474" i="1" a="1"/>
  <c r="O474" i="1" s="1"/>
  <c r="O476" i="1" a="1"/>
  <c r="O476" i="1" s="1"/>
  <c r="O478" i="1" a="1"/>
  <c r="O478" i="1" s="1"/>
  <c r="O480" i="1" a="1"/>
  <c r="O480" i="1" s="1"/>
  <c r="O482" i="1" a="1"/>
  <c r="O482" i="1" s="1"/>
  <c r="O484" i="1" a="1"/>
  <c r="O484" i="1" s="1"/>
  <c r="S460" i="1" a="1"/>
  <c r="S460" i="1" s="1"/>
  <c r="S462" i="1" a="1"/>
  <c r="S462" i="1" s="1"/>
  <c r="S464" i="1" a="1"/>
  <c r="S464" i="1" s="1"/>
  <c r="S466" i="1" a="1"/>
  <c r="S466" i="1" s="1"/>
  <c r="S468" i="1" a="1"/>
  <c r="S468" i="1" s="1"/>
  <c r="S470" i="1" a="1"/>
  <c r="S470" i="1" s="1"/>
  <c r="S472" i="1" a="1"/>
  <c r="S472" i="1" s="1"/>
  <c r="S461" i="1" a="1"/>
  <c r="S461" i="1" s="1"/>
  <c r="S463" i="1" a="1"/>
  <c r="S463" i="1" s="1"/>
  <c r="S465" i="1" a="1"/>
  <c r="S465" i="1" s="1"/>
  <c r="S467" i="1" a="1"/>
  <c r="S467" i="1" s="1"/>
  <c r="S469" i="1" a="1"/>
  <c r="S469" i="1" s="1"/>
  <c r="S471" i="1" a="1"/>
  <c r="S471" i="1" s="1"/>
  <c r="K460" i="1" a="1"/>
  <c r="K460" i="1" s="1"/>
  <c r="K462" i="1" a="1"/>
  <c r="K462" i="1" s="1"/>
  <c r="K464" i="1" a="1"/>
  <c r="K464" i="1" s="1"/>
  <c r="K466" i="1" a="1"/>
  <c r="K466" i="1" s="1"/>
  <c r="K468" i="1" a="1"/>
  <c r="K468" i="1" s="1"/>
  <c r="K470" i="1" a="1"/>
  <c r="K470" i="1" s="1"/>
  <c r="K472" i="1" a="1"/>
  <c r="K472" i="1" s="1"/>
  <c r="K461" i="1" a="1"/>
  <c r="K461" i="1" s="1"/>
  <c r="K463" i="1" a="1"/>
  <c r="K463" i="1" s="1"/>
  <c r="K465" i="1" a="1"/>
  <c r="K465" i="1" s="1"/>
  <c r="K467" i="1" a="1"/>
  <c r="K467" i="1" s="1"/>
  <c r="K469" i="1" a="1"/>
  <c r="K469" i="1" s="1"/>
  <c r="K471" i="1" a="1"/>
  <c r="K471" i="1" s="1"/>
  <c r="O447" i="1" a="1"/>
  <c r="O447" i="1" s="1"/>
  <c r="O449" i="1" a="1"/>
  <c r="O449" i="1" s="1"/>
  <c r="O451" i="1" a="1"/>
  <c r="O451" i="1" s="1"/>
  <c r="O453" i="1" a="1"/>
  <c r="O453" i="1" s="1"/>
  <c r="O455" i="1" a="1"/>
  <c r="O455" i="1" s="1"/>
  <c r="O457" i="1" a="1"/>
  <c r="O457" i="1" s="1"/>
  <c r="O459" i="1" a="1"/>
  <c r="O459" i="1" s="1"/>
  <c r="O448" i="1" a="1"/>
  <c r="O448" i="1" s="1"/>
  <c r="O450" i="1" a="1"/>
  <c r="O450" i="1" s="1"/>
  <c r="O452" i="1" a="1"/>
  <c r="O452" i="1" s="1"/>
  <c r="O454" i="1" a="1"/>
  <c r="O454" i="1" s="1"/>
  <c r="O456" i="1" a="1"/>
  <c r="O456" i="1" s="1"/>
  <c r="O458" i="1" a="1"/>
  <c r="O458" i="1" s="1"/>
  <c r="S434" i="1" a="1"/>
  <c r="S434" i="1" s="1"/>
  <c r="S437" i="1" a="1"/>
  <c r="S437" i="1" s="1"/>
  <c r="S435" i="1" a="1"/>
  <c r="S435" i="1" s="1"/>
  <c r="S440" i="1" a="1"/>
  <c r="S440" i="1" s="1"/>
  <c r="S441" i="1" a="1"/>
  <c r="S441" i="1" s="1"/>
  <c r="S438" i="1" a="1"/>
  <c r="S438" i="1" s="1"/>
  <c r="S436" i="1" a="1"/>
  <c r="S436" i="1" s="1"/>
  <c r="S443" i="1" a="1"/>
  <c r="S443" i="1" s="1"/>
  <c r="S446" i="1" a="1"/>
  <c r="S446" i="1" s="1"/>
  <c r="S439" i="1" a="1"/>
  <c r="S439" i="1" s="1"/>
  <c r="S444" i="1" a="1"/>
  <c r="S444" i="1" s="1"/>
  <c r="S445" i="1" a="1"/>
  <c r="S445" i="1" s="1"/>
  <c r="S442" i="1" a="1"/>
  <c r="S442" i="1" s="1"/>
  <c r="K435" i="1" a="1"/>
  <c r="K435" i="1" s="1"/>
  <c r="K440" i="1" a="1"/>
  <c r="K440" i="1" s="1"/>
  <c r="K438" i="1" a="1"/>
  <c r="K438" i="1" s="1"/>
  <c r="K441" i="1" a="1"/>
  <c r="K441" i="1" s="1"/>
  <c r="K436" i="1" a="1"/>
  <c r="K436" i="1" s="1"/>
  <c r="K439" i="1" a="1"/>
  <c r="K439" i="1" s="1"/>
  <c r="K434" i="1" a="1"/>
  <c r="K434" i="1" s="1"/>
  <c r="K446" i="1" a="1"/>
  <c r="K446" i="1" s="1"/>
  <c r="K437" i="1" a="1"/>
  <c r="K437" i="1" s="1"/>
  <c r="K444" i="1" a="1"/>
  <c r="K444" i="1" s="1"/>
  <c r="K442" i="1" a="1"/>
  <c r="K442" i="1" s="1"/>
  <c r="K445" i="1" a="1"/>
  <c r="K445" i="1" s="1"/>
  <c r="K443" i="1" a="1"/>
  <c r="K443" i="1" s="1"/>
  <c r="O421" i="1" a="1"/>
  <c r="O421" i="1" s="1"/>
  <c r="O424" i="1" a="1"/>
  <c r="O424" i="1" s="1"/>
  <c r="O429" i="1" a="1"/>
  <c r="O429" i="1" s="1"/>
  <c r="O432" i="1" a="1"/>
  <c r="O432" i="1" s="1"/>
  <c r="O422" i="1" a="1"/>
  <c r="O422" i="1" s="1"/>
  <c r="O427" i="1" a="1"/>
  <c r="O427" i="1" s="1"/>
  <c r="O430" i="1" a="1"/>
  <c r="O430" i="1" s="1"/>
  <c r="O425" i="1" a="1"/>
  <c r="O425" i="1" s="1"/>
  <c r="O428" i="1" a="1"/>
  <c r="O428" i="1" s="1"/>
  <c r="O433" i="1" a="1"/>
  <c r="O433" i="1" s="1"/>
  <c r="O423" i="1" a="1"/>
  <c r="O423" i="1" s="1"/>
  <c r="O426" i="1" a="1"/>
  <c r="O426" i="1" s="1"/>
  <c r="O431" i="1" a="1"/>
  <c r="O431" i="1" s="1"/>
  <c r="S408" i="1" a="1"/>
  <c r="S408" i="1" s="1"/>
  <c r="S412" i="1" a="1"/>
  <c r="S412" i="1" s="1"/>
  <c r="S416" i="1" a="1"/>
  <c r="S416" i="1" s="1"/>
  <c r="S411" i="1" a="1"/>
  <c r="S411" i="1" s="1"/>
  <c r="S415" i="1" a="1"/>
  <c r="S415" i="1" s="1"/>
  <c r="S419" i="1" a="1"/>
  <c r="S419" i="1" s="1"/>
  <c r="S410" i="1" a="1"/>
  <c r="S410" i="1" s="1"/>
  <c r="S414" i="1" a="1"/>
  <c r="S414" i="1" s="1"/>
  <c r="S418" i="1" a="1"/>
  <c r="S418" i="1" s="1"/>
  <c r="S409" i="1" a="1"/>
  <c r="S409" i="1" s="1"/>
  <c r="S413" i="1" a="1"/>
  <c r="S413" i="1" s="1"/>
  <c r="S417" i="1" a="1"/>
  <c r="S417" i="1" s="1"/>
  <c r="S420" i="1" a="1"/>
  <c r="S420" i="1" s="1"/>
  <c r="K410" i="1" a="1"/>
  <c r="K410" i="1" s="1"/>
  <c r="K414" i="1" a="1"/>
  <c r="K414" i="1" s="1"/>
  <c r="K418" i="1" a="1"/>
  <c r="K418" i="1" s="1"/>
  <c r="K409" i="1" a="1"/>
  <c r="K409" i="1" s="1"/>
  <c r="K413" i="1" a="1"/>
  <c r="K413" i="1" s="1"/>
  <c r="K417" i="1" a="1"/>
  <c r="K417" i="1" s="1"/>
  <c r="K412" i="1" a="1"/>
  <c r="K412" i="1" s="1"/>
  <c r="K416" i="1" a="1"/>
  <c r="K416" i="1" s="1"/>
  <c r="K420" i="1" a="1"/>
  <c r="K420" i="1" s="1"/>
  <c r="K411" i="1" a="1"/>
  <c r="K411" i="1" s="1"/>
  <c r="K415" i="1" a="1"/>
  <c r="K415" i="1" s="1"/>
  <c r="K419" i="1" a="1"/>
  <c r="K419" i="1" s="1"/>
  <c r="O399" i="1" a="1"/>
  <c r="O399" i="1" s="1"/>
  <c r="O403" i="1" a="1"/>
  <c r="O403" i="1" s="1"/>
  <c r="O407" i="1" a="1"/>
  <c r="O407" i="1" s="1"/>
  <c r="O398" i="1" a="1"/>
  <c r="O398" i="1" s="1"/>
  <c r="O402" i="1" a="1"/>
  <c r="O402" i="1" s="1"/>
  <c r="O406" i="1" a="1"/>
  <c r="O406" i="1" s="1"/>
  <c r="O397" i="1" a="1"/>
  <c r="O397" i="1" s="1"/>
  <c r="O401" i="1" a="1"/>
  <c r="O401" i="1" s="1"/>
  <c r="O405" i="1" a="1"/>
  <c r="O405" i="1" s="1"/>
  <c r="O396" i="1" a="1"/>
  <c r="O396" i="1" s="1"/>
  <c r="O400" i="1" a="1"/>
  <c r="O400" i="1" s="1"/>
  <c r="O404" i="1" a="1"/>
  <c r="O404" i="1" s="1"/>
  <c r="S384" i="1" a="1"/>
  <c r="S384" i="1" s="1"/>
  <c r="S388" i="1" a="1"/>
  <c r="S388" i="1" s="1"/>
  <c r="S392" i="1" a="1"/>
  <c r="S392" i="1" s="1"/>
  <c r="S383" i="1" a="1"/>
  <c r="S383" i="1" s="1"/>
  <c r="S387" i="1" a="1"/>
  <c r="S387" i="1" s="1"/>
  <c r="S391" i="1" a="1"/>
  <c r="S391" i="1" s="1"/>
  <c r="S385" i="1" a="1"/>
  <c r="S385" i="1" s="1"/>
  <c r="S386" i="1" a="1"/>
  <c r="S386" i="1" s="1"/>
  <c r="S389" i="1" a="1"/>
  <c r="S389" i="1" s="1"/>
  <c r="S390" i="1" a="1"/>
  <c r="S390" i="1" s="1"/>
  <c r="S394" i="1" a="1"/>
  <c r="S394" i="1" s="1"/>
  <c r="S393" i="1" a="1"/>
  <c r="S393" i="1" s="1"/>
  <c r="K386" i="1" a="1"/>
  <c r="K386" i="1" s="1"/>
  <c r="K390" i="1" a="1"/>
  <c r="K390" i="1" s="1"/>
  <c r="K394" i="1" a="1"/>
  <c r="K394" i="1" s="1"/>
  <c r="K385" i="1" a="1"/>
  <c r="K385" i="1" s="1"/>
  <c r="K389" i="1" a="1"/>
  <c r="K389" i="1" s="1"/>
  <c r="K393" i="1" a="1"/>
  <c r="K393" i="1" s="1"/>
  <c r="K384" i="1" a="1"/>
  <c r="K384" i="1" s="1"/>
  <c r="K387" i="1" a="1"/>
  <c r="K387" i="1" s="1"/>
  <c r="K388" i="1" a="1"/>
  <c r="K388" i="1" s="1"/>
  <c r="K392" i="1" a="1"/>
  <c r="K392" i="1" s="1"/>
  <c r="K383" i="1" a="1"/>
  <c r="K383" i="1" s="1"/>
  <c r="K391" i="1" a="1"/>
  <c r="K391" i="1" s="1"/>
  <c r="O371" i="1" a="1"/>
  <c r="O371" i="1" s="1"/>
  <c r="O375" i="1" a="1"/>
  <c r="O375" i="1" s="1"/>
  <c r="O379" i="1" a="1"/>
  <c r="O379" i="1" s="1"/>
  <c r="O370" i="1" a="1"/>
  <c r="O370" i="1" s="1"/>
  <c r="O374" i="1" a="1"/>
  <c r="O374" i="1" s="1"/>
  <c r="O378" i="1" a="1"/>
  <c r="O378" i="1" s="1"/>
  <c r="O373" i="1" a="1"/>
  <c r="O373" i="1" s="1"/>
  <c r="O377" i="1" a="1"/>
  <c r="O377" i="1" s="1"/>
  <c r="O381" i="1" a="1"/>
  <c r="O381" i="1" s="1"/>
  <c r="O372" i="1" a="1"/>
  <c r="O372" i="1" s="1"/>
  <c r="O376" i="1" a="1"/>
  <c r="O376" i="1" s="1"/>
  <c r="O380" i="1" a="1"/>
  <c r="O380" i="1" s="1"/>
  <c r="S357" i="1" a="1"/>
  <c r="S357" i="1" s="1"/>
  <c r="S360" i="1" a="1"/>
  <c r="S360" i="1" s="1"/>
  <c r="S364" i="1" a="1"/>
  <c r="S364" i="1" s="1"/>
  <c r="S368" i="1" a="1"/>
  <c r="S368" i="1" s="1"/>
  <c r="S359" i="1" a="1"/>
  <c r="S359" i="1" s="1"/>
  <c r="S363" i="1" a="1"/>
  <c r="S363" i="1" s="1"/>
  <c r="S367" i="1" a="1"/>
  <c r="S367" i="1" s="1"/>
  <c r="S358" i="1" a="1"/>
  <c r="S358" i="1" s="1"/>
  <c r="S362" i="1" a="1"/>
  <c r="S362" i="1" s="1"/>
  <c r="S366" i="1" a="1"/>
  <c r="S366" i="1" s="1"/>
  <c r="S361" i="1" a="1"/>
  <c r="S361" i="1" s="1"/>
  <c r="S365" i="1" a="1"/>
  <c r="S365" i="1" s="1"/>
  <c r="K357" i="1" a="1"/>
  <c r="K357" i="1" s="1"/>
  <c r="K358" i="1" a="1"/>
  <c r="K358" i="1" s="1"/>
  <c r="K362" i="1" a="1"/>
  <c r="K362" i="1" s="1"/>
  <c r="K366" i="1" a="1"/>
  <c r="K366" i="1" s="1"/>
  <c r="K361" i="1" a="1"/>
  <c r="K361" i="1" s="1"/>
  <c r="K365" i="1" a="1"/>
  <c r="K365" i="1" s="1"/>
  <c r="K360" i="1" a="1"/>
  <c r="K360" i="1" s="1"/>
  <c r="K364" i="1" a="1"/>
  <c r="K364" i="1" s="1"/>
  <c r="K368" i="1" a="1"/>
  <c r="K368" i="1" s="1"/>
  <c r="K359" i="1" a="1"/>
  <c r="K359" i="1" s="1"/>
  <c r="K363" i="1" a="1"/>
  <c r="K363" i="1" s="1"/>
  <c r="K367" i="1" a="1"/>
  <c r="K367" i="1" s="1"/>
  <c r="O344" i="1" a="1"/>
  <c r="O344" i="1" s="1"/>
  <c r="O348" i="1" a="1"/>
  <c r="O348" i="1" s="1"/>
  <c r="O352" i="1" a="1"/>
  <c r="O352" i="1" s="1"/>
  <c r="O343" i="1" a="1"/>
  <c r="O343" i="1" s="1"/>
  <c r="O347" i="1" a="1"/>
  <c r="O347" i="1" s="1"/>
  <c r="O351" i="1" a="1"/>
  <c r="O351" i="1" s="1"/>
  <c r="O355" i="1" a="1"/>
  <c r="O355" i="1" s="1"/>
  <c r="O346" i="1" a="1"/>
  <c r="O346" i="1" s="1"/>
  <c r="O350" i="1" a="1"/>
  <c r="O350" i="1" s="1"/>
  <c r="O354" i="1" a="1"/>
  <c r="O354" i="1" s="1"/>
  <c r="O345" i="1" a="1"/>
  <c r="O345" i="1" s="1"/>
  <c r="O353" i="1" a="1"/>
  <c r="O353" i="1" s="1"/>
  <c r="O349" i="1" a="1"/>
  <c r="O349" i="1" s="1"/>
  <c r="R332" i="1" a="1"/>
  <c r="R332" i="1" s="1"/>
  <c r="R336" i="1" a="1"/>
  <c r="R336" i="1" s="1"/>
  <c r="R340" i="1" a="1"/>
  <c r="R340" i="1" s="1"/>
  <c r="R331" i="1" a="1"/>
  <c r="R331" i="1" s="1"/>
  <c r="R335" i="1" a="1"/>
  <c r="R335" i="1" s="1"/>
  <c r="R339" i="1" a="1"/>
  <c r="R339" i="1" s="1"/>
  <c r="R334" i="1" a="1"/>
  <c r="R334" i="1" s="1"/>
  <c r="R338" i="1" a="1"/>
  <c r="R338" i="1" s="1"/>
  <c r="R342" i="1" a="1"/>
  <c r="R342" i="1" s="1"/>
  <c r="R333" i="1" a="1"/>
  <c r="R333" i="1" s="1"/>
  <c r="R337" i="1" a="1"/>
  <c r="R337" i="1" s="1"/>
  <c r="R341" i="1" a="1"/>
  <c r="R341" i="1" s="1"/>
  <c r="O333" i="1" a="1"/>
  <c r="O333" i="1" s="1"/>
  <c r="O337" i="1" a="1"/>
  <c r="O337" i="1" s="1"/>
  <c r="O341" i="1" a="1"/>
  <c r="O341" i="1" s="1"/>
  <c r="O332" i="1" a="1"/>
  <c r="O332" i="1" s="1"/>
  <c r="O336" i="1" a="1"/>
  <c r="O336" i="1" s="1"/>
  <c r="O340" i="1" a="1"/>
  <c r="O340" i="1" s="1"/>
  <c r="O331" i="1" a="1"/>
  <c r="O331" i="1" s="1"/>
  <c r="O335" i="1" a="1"/>
  <c r="O335" i="1" s="1"/>
  <c r="O339" i="1" a="1"/>
  <c r="O339" i="1" s="1"/>
  <c r="O334" i="1" a="1"/>
  <c r="O334" i="1" s="1"/>
  <c r="O338" i="1" a="1"/>
  <c r="O338" i="1" s="1"/>
  <c r="O342" i="1" a="1"/>
  <c r="O342" i="1" s="1"/>
  <c r="L333" i="1" a="1"/>
  <c r="L333" i="1" s="1"/>
  <c r="L337" i="1" a="1"/>
  <c r="L337" i="1" s="1"/>
  <c r="L341" i="1" a="1"/>
  <c r="L341" i="1" s="1"/>
  <c r="L332" i="1" a="1"/>
  <c r="L332" i="1" s="1"/>
  <c r="L336" i="1" a="1"/>
  <c r="L336" i="1" s="1"/>
  <c r="L340" i="1" a="1"/>
  <c r="L340" i="1" s="1"/>
  <c r="L331" i="1" a="1"/>
  <c r="L331" i="1" s="1"/>
  <c r="L335" i="1" a="1"/>
  <c r="L335" i="1" s="1"/>
  <c r="L339" i="1" a="1"/>
  <c r="L339" i="1" s="1"/>
  <c r="L334" i="1" a="1"/>
  <c r="L334" i="1" s="1"/>
  <c r="L338" i="1" a="1"/>
  <c r="L338" i="1" s="1"/>
  <c r="L342" i="1" a="1"/>
  <c r="L342" i="1" s="1"/>
  <c r="N319" i="1" a="1"/>
  <c r="N319" i="1" s="1"/>
  <c r="N323" i="1" a="1"/>
  <c r="N323" i="1" s="1"/>
  <c r="N327" i="1" a="1"/>
  <c r="N327" i="1" s="1"/>
  <c r="N318" i="1" a="1"/>
  <c r="N318" i="1" s="1"/>
  <c r="N322" i="1" a="1"/>
  <c r="N322" i="1" s="1"/>
  <c r="N326" i="1" a="1"/>
  <c r="N326" i="1" s="1"/>
  <c r="N317" i="1" a="1"/>
  <c r="N317" i="1" s="1"/>
  <c r="N321" i="1" a="1"/>
  <c r="N321" i="1" s="1"/>
  <c r="N325" i="1" a="1"/>
  <c r="N325" i="1" s="1"/>
  <c r="N329" i="1" a="1"/>
  <c r="N329" i="1" s="1"/>
  <c r="N320" i="1" a="1"/>
  <c r="N320" i="1" s="1"/>
  <c r="N324" i="1" a="1"/>
  <c r="N324" i="1" s="1"/>
  <c r="N328" i="1" a="1"/>
  <c r="N328" i="1" s="1"/>
  <c r="K320" i="1" a="1"/>
  <c r="K320" i="1" s="1"/>
  <c r="K324" i="1" a="1"/>
  <c r="K324" i="1" s="1"/>
  <c r="K327" i="1" a="1"/>
  <c r="K327" i="1" s="1"/>
  <c r="K328" i="1" a="1"/>
  <c r="K328" i="1" s="1"/>
  <c r="K319" i="1" a="1"/>
  <c r="K319" i="1" s="1"/>
  <c r="K323" i="1" a="1"/>
  <c r="K323" i="1" s="1"/>
  <c r="K318" i="1" a="1"/>
  <c r="K318" i="1" s="1"/>
  <c r="K322" i="1" a="1"/>
  <c r="K322" i="1" s="1"/>
  <c r="K326" i="1" a="1"/>
  <c r="K326" i="1" s="1"/>
  <c r="K317" i="1" a="1"/>
  <c r="K317" i="1" s="1"/>
  <c r="K321" i="1" a="1"/>
  <c r="K321" i="1" s="1"/>
  <c r="K325" i="1" a="1"/>
  <c r="K325" i="1" s="1"/>
  <c r="K329" i="1" a="1"/>
  <c r="K329" i="1" s="1"/>
  <c r="T307" i="1" a="1"/>
  <c r="T307" i="1" s="1"/>
  <c r="T311" i="1" a="1"/>
  <c r="T311" i="1" s="1"/>
  <c r="T315" i="1" a="1"/>
  <c r="T315" i="1" s="1"/>
  <c r="T306" i="1" a="1"/>
  <c r="T306" i="1" s="1"/>
  <c r="T310" i="1" a="1"/>
  <c r="T310" i="1" s="1"/>
  <c r="T314" i="1" a="1"/>
  <c r="T314" i="1" s="1"/>
  <c r="T305" i="1" a="1"/>
  <c r="T305" i="1" s="1"/>
  <c r="T309" i="1" a="1"/>
  <c r="T309" i="1" s="1"/>
  <c r="T313" i="1" a="1"/>
  <c r="T313" i="1" s="1"/>
  <c r="T308" i="1" a="1"/>
  <c r="T308" i="1" s="1"/>
  <c r="T312" i="1" a="1"/>
  <c r="T312" i="1" s="1"/>
  <c r="T316" i="1" a="1"/>
  <c r="T316" i="1" s="1"/>
  <c r="J306" i="1" a="1"/>
  <c r="J306" i="1" s="1"/>
  <c r="J310" i="1" a="1"/>
  <c r="J310" i="1" s="1"/>
  <c r="J314" i="1" a="1"/>
  <c r="J314" i="1" s="1"/>
  <c r="J305" i="1" a="1"/>
  <c r="J305" i="1" s="1"/>
  <c r="J309" i="1" a="1"/>
  <c r="J309" i="1" s="1"/>
  <c r="J313" i="1" a="1"/>
  <c r="J313" i="1" s="1"/>
  <c r="J308" i="1" a="1"/>
  <c r="J308" i="1" s="1"/>
  <c r="J312" i="1" a="1"/>
  <c r="J312" i="1" s="1"/>
  <c r="J316" i="1" a="1"/>
  <c r="J316" i="1" s="1"/>
  <c r="J307" i="1" a="1"/>
  <c r="J307" i="1" s="1"/>
  <c r="J311" i="1" a="1"/>
  <c r="J311" i="1" s="1"/>
  <c r="J315" i="1" a="1"/>
  <c r="J315" i="1" s="1"/>
  <c r="S294" i="1" a="1"/>
  <c r="S294" i="1" s="1"/>
  <c r="S298" i="1" a="1"/>
  <c r="S298" i="1" s="1"/>
  <c r="S302" i="1" a="1"/>
  <c r="S302" i="1" s="1"/>
  <c r="S293" i="1" a="1"/>
  <c r="S293" i="1" s="1"/>
  <c r="S297" i="1" a="1"/>
  <c r="S297" i="1" s="1"/>
  <c r="S301" i="1" a="1"/>
  <c r="S301" i="1" s="1"/>
  <c r="S292" i="1" a="1"/>
  <c r="S292" i="1" s="1"/>
  <c r="S296" i="1" a="1"/>
  <c r="S296" i="1" s="1"/>
  <c r="S300" i="1" a="1"/>
  <c r="S300" i="1" s="1"/>
  <c r="S291" i="1" a="1"/>
  <c r="S291" i="1" s="1"/>
  <c r="S295" i="1" a="1"/>
  <c r="S295" i="1" s="1"/>
  <c r="S299" i="1" a="1"/>
  <c r="S299" i="1" s="1"/>
  <c r="S303" i="1" a="1"/>
  <c r="S303" i="1" s="1"/>
  <c r="P294" i="1" a="1"/>
  <c r="P294" i="1" s="1"/>
  <c r="P298" i="1" a="1"/>
  <c r="P298" i="1" s="1"/>
  <c r="P302" i="1" a="1"/>
  <c r="P302" i="1" s="1"/>
  <c r="P293" i="1" a="1"/>
  <c r="P293" i="1" s="1"/>
  <c r="P297" i="1" a="1"/>
  <c r="P297" i="1" s="1"/>
  <c r="P301" i="1" a="1"/>
  <c r="P301" i="1" s="1"/>
  <c r="P292" i="1" a="1"/>
  <c r="P292" i="1" s="1"/>
  <c r="P296" i="1" a="1"/>
  <c r="P296" i="1" s="1"/>
  <c r="P300" i="1" a="1"/>
  <c r="P300" i="1" s="1"/>
  <c r="P291" i="1" a="1"/>
  <c r="P291" i="1" s="1"/>
  <c r="P295" i="1" a="1"/>
  <c r="P295" i="1" s="1"/>
  <c r="P299" i="1" a="1"/>
  <c r="P299" i="1" s="1"/>
  <c r="P303" i="1" a="1"/>
  <c r="P303" i="1" s="1"/>
  <c r="R280" i="1" a="1"/>
  <c r="R280" i="1" s="1"/>
  <c r="R284" i="1" a="1"/>
  <c r="R284" i="1" s="1"/>
  <c r="R288" i="1" a="1"/>
  <c r="R288" i="1" s="1"/>
  <c r="R279" i="1" a="1"/>
  <c r="R279" i="1" s="1"/>
  <c r="R283" i="1" a="1"/>
  <c r="R283" i="1" s="1"/>
  <c r="R287" i="1" a="1"/>
  <c r="R287" i="1" s="1"/>
  <c r="R282" i="1" a="1"/>
  <c r="R282" i="1" s="1"/>
  <c r="R286" i="1" a="1"/>
  <c r="R286" i="1" s="1"/>
  <c r="R290" i="1" a="1"/>
  <c r="R290" i="1" s="1"/>
  <c r="R281" i="1" a="1"/>
  <c r="R281" i="1" s="1"/>
  <c r="R285" i="1" a="1"/>
  <c r="R285" i="1" s="1"/>
  <c r="R289" i="1" a="1"/>
  <c r="R289" i="1" s="1"/>
  <c r="O281" i="1" a="1"/>
  <c r="O281" i="1" s="1"/>
  <c r="O285" i="1" a="1"/>
  <c r="O285" i="1" s="1"/>
  <c r="O289" i="1" a="1"/>
  <c r="O289" i="1" s="1"/>
  <c r="O280" i="1" a="1"/>
  <c r="O280" i="1" s="1"/>
  <c r="O284" i="1" a="1"/>
  <c r="O284" i="1" s="1"/>
  <c r="O288" i="1" a="1"/>
  <c r="O288" i="1" s="1"/>
  <c r="O279" i="1" a="1"/>
  <c r="O279" i="1" s="1"/>
  <c r="O283" i="1" a="1"/>
  <c r="O283" i="1" s="1"/>
  <c r="O287" i="1" a="1"/>
  <c r="O287" i="1" s="1"/>
  <c r="O282" i="1" a="1"/>
  <c r="O282" i="1" s="1"/>
  <c r="O286" i="1" a="1"/>
  <c r="O286" i="1" s="1"/>
  <c r="O290" i="1" a="1"/>
  <c r="O290" i="1" s="1"/>
  <c r="L281" i="1" a="1"/>
  <c r="L281" i="1" s="1"/>
  <c r="L285" i="1" a="1"/>
  <c r="L285" i="1" s="1"/>
  <c r="L289" i="1" a="1"/>
  <c r="L289" i="1" s="1"/>
  <c r="L280" i="1" a="1"/>
  <c r="L280" i="1" s="1"/>
  <c r="L284" i="1" a="1"/>
  <c r="L284" i="1" s="1"/>
  <c r="L288" i="1" a="1"/>
  <c r="L288" i="1" s="1"/>
  <c r="L279" i="1" a="1"/>
  <c r="L279" i="1" s="1"/>
  <c r="L283" i="1" a="1"/>
  <c r="L283" i="1" s="1"/>
  <c r="L287" i="1" a="1"/>
  <c r="L287" i="1" s="1"/>
  <c r="L282" i="1" a="1"/>
  <c r="L282" i="1" s="1"/>
  <c r="L286" i="1" a="1"/>
  <c r="L286" i="1" s="1"/>
  <c r="L290" i="1" a="1"/>
  <c r="L290" i="1" s="1"/>
  <c r="N268" i="1" a="1"/>
  <c r="N268" i="1" s="1"/>
  <c r="N267" i="1" a="1"/>
  <c r="N267" i="1" s="1"/>
  <c r="N271" i="1" a="1"/>
  <c r="N271" i="1" s="1"/>
  <c r="N275" i="1" a="1"/>
  <c r="N275" i="1" s="1"/>
  <c r="N266" i="1" a="1"/>
  <c r="N266" i="1" s="1"/>
  <c r="N269" i="1" a="1"/>
  <c r="N269" i="1" s="1"/>
  <c r="N270" i="1" a="1"/>
  <c r="N270" i="1" s="1"/>
  <c r="N274" i="1" a="1"/>
  <c r="N274" i="1" s="1"/>
  <c r="N265" i="1" a="1"/>
  <c r="N265" i="1" s="1"/>
  <c r="N273" i="1" a="1"/>
  <c r="N273" i="1" s="1"/>
  <c r="N277" i="1" a="1"/>
  <c r="N277" i="1" s="1"/>
  <c r="N272" i="1" a="1"/>
  <c r="N272" i="1" s="1"/>
  <c r="N276" i="1" a="1"/>
  <c r="N276" i="1" s="1"/>
  <c r="K265" i="1" a="1"/>
  <c r="K265" i="1" s="1"/>
  <c r="K269" i="1" a="1"/>
  <c r="K269" i="1" s="1"/>
  <c r="K268" i="1" a="1"/>
  <c r="K268" i="1" s="1"/>
  <c r="K266" i="1" a="1"/>
  <c r="K266" i="1" s="1"/>
  <c r="K272" i="1" a="1"/>
  <c r="K272" i="1" s="1"/>
  <c r="K276" i="1" a="1"/>
  <c r="K276" i="1" s="1"/>
  <c r="K271" i="1" a="1"/>
  <c r="K271" i="1" s="1"/>
  <c r="K275" i="1" a="1"/>
  <c r="K275" i="1" s="1"/>
  <c r="K270" i="1" a="1"/>
  <c r="K270" i="1" s="1"/>
  <c r="K274" i="1" a="1"/>
  <c r="K274" i="1" s="1"/>
  <c r="K267" i="1" a="1"/>
  <c r="K267" i="1" s="1"/>
  <c r="K273" i="1" a="1"/>
  <c r="K273" i="1" s="1"/>
  <c r="K277" i="1" a="1"/>
  <c r="K277" i="1" s="1"/>
  <c r="T252" i="1" a="1"/>
  <c r="T252" i="1" s="1"/>
  <c r="T256" i="1" a="1"/>
  <c r="T256" i="1" s="1"/>
  <c r="T260" i="1" a="1"/>
  <c r="T260" i="1" s="1"/>
  <c r="T264" i="1" a="1"/>
  <c r="T264" i="1" s="1"/>
  <c r="T255" i="1" a="1"/>
  <c r="T255" i="1" s="1"/>
  <c r="T259" i="1" a="1"/>
  <c r="T259" i="1" s="1"/>
  <c r="T263" i="1" a="1"/>
  <c r="T263" i="1" s="1"/>
  <c r="T254" i="1" a="1"/>
  <c r="T254" i="1" s="1"/>
  <c r="T258" i="1" a="1"/>
  <c r="T258" i="1" s="1"/>
  <c r="T262" i="1" a="1"/>
  <c r="T262" i="1" s="1"/>
  <c r="T253" i="1" a="1"/>
  <c r="T253" i="1" s="1"/>
  <c r="T257" i="1" a="1"/>
  <c r="T257" i="1" s="1"/>
  <c r="T261" i="1" a="1"/>
  <c r="T261" i="1" s="1"/>
  <c r="J255" i="1" a="1"/>
  <c r="J255" i="1" s="1"/>
  <c r="J259" i="1" a="1"/>
  <c r="J259" i="1" s="1"/>
  <c r="J263" i="1" a="1"/>
  <c r="J263" i="1" s="1"/>
  <c r="J254" i="1" a="1"/>
  <c r="J254" i="1" s="1"/>
  <c r="J258" i="1" a="1"/>
  <c r="J258" i="1" s="1"/>
  <c r="J262" i="1" a="1"/>
  <c r="J262" i="1" s="1"/>
  <c r="J253" i="1" a="1"/>
  <c r="J253" i="1" s="1"/>
  <c r="J257" i="1" a="1"/>
  <c r="J257" i="1" s="1"/>
  <c r="J261" i="1" a="1"/>
  <c r="J261" i="1" s="1"/>
  <c r="J252" i="1" a="1"/>
  <c r="J252" i="1" s="1"/>
  <c r="J256" i="1" a="1"/>
  <c r="J256" i="1" s="1"/>
  <c r="J260" i="1" a="1"/>
  <c r="J260" i="1" s="1"/>
  <c r="J264" i="1" a="1"/>
  <c r="J264" i="1" s="1"/>
  <c r="S239" i="1" a="1"/>
  <c r="S239" i="1" s="1"/>
  <c r="S243" i="1" a="1"/>
  <c r="S243" i="1" s="1"/>
  <c r="S247" i="1" a="1"/>
  <c r="S247" i="1" s="1"/>
  <c r="S251" i="1" a="1"/>
  <c r="S251" i="1" s="1"/>
  <c r="S242" i="1" a="1"/>
  <c r="S242" i="1" s="1"/>
  <c r="S246" i="1" a="1"/>
  <c r="S246" i="1" s="1"/>
  <c r="S250" i="1" a="1"/>
  <c r="S250" i="1" s="1"/>
  <c r="S241" i="1" a="1"/>
  <c r="S241" i="1" s="1"/>
  <c r="S245" i="1" a="1"/>
  <c r="S245" i="1" s="1"/>
  <c r="S249" i="1" a="1"/>
  <c r="S249" i="1" s="1"/>
  <c r="S240" i="1" a="1"/>
  <c r="S240" i="1" s="1"/>
  <c r="S244" i="1" a="1"/>
  <c r="S244" i="1" s="1"/>
  <c r="S248" i="1" a="1"/>
  <c r="S248" i="1" s="1"/>
  <c r="P239" i="1" a="1"/>
  <c r="P239" i="1" s="1"/>
  <c r="P243" i="1" a="1"/>
  <c r="P243" i="1" s="1"/>
  <c r="P247" i="1" a="1"/>
  <c r="P247" i="1" s="1"/>
  <c r="P251" i="1" a="1"/>
  <c r="P251" i="1" s="1"/>
  <c r="P242" i="1" a="1"/>
  <c r="P242" i="1" s="1"/>
  <c r="P246" i="1" a="1"/>
  <c r="P246" i="1" s="1"/>
  <c r="P250" i="1" a="1"/>
  <c r="P250" i="1" s="1"/>
  <c r="P241" i="1" a="1"/>
  <c r="P241" i="1" s="1"/>
  <c r="P245" i="1" a="1"/>
  <c r="P245" i="1" s="1"/>
  <c r="P249" i="1" a="1"/>
  <c r="P249" i="1" s="1"/>
  <c r="P240" i="1" a="1"/>
  <c r="P240" i="1" s="1"/>
  <c r="P244" i="1" a="1"/>
  <c r="P244" i="1" s="1"/>
  <c r="P248" i="1" a="1"/>
  <c r="P248" i="1" s="1"/>
  <c r="S231" i="1" a="1"/>
  <c r="S231" i="1" s="1"/>
  <c r="S235" i="1" a="1"/>
  <c r="S235" i="1" s="1"/>
  <c r="S226" i="1" a="1"/>
  <c r="S226" i="1" s="1"/>
  <c r="S227" i="1" a="1"/>
  <c r="S227" i="1" s="1"/>
  <c r="S229" i="1" a="1"/>
  <c r="S229" i="1" s="1"/>
  <c r="S230" i="1" a="1"/>
  <c r="S230" i="1" s="1"/>
  <c r="S234" i="1" a="1"/>
  <c r="S234" i="1" s="1"/>
  <c r="S238" i="1" a="1"/>
  <c r="S238" i="1" s="1"/>
  <c r="S233" i="1" a="1"/>
  <c r="S233" i="1" s="1"/>
  <c r="S237" i="1" a="1"/>
  <c r="S237" i="1" s="1"/>
  <c r="S228" i="1" a="1"/>
  <c r="S228" i="1" s="1"/>
  <c r="S232" i="1" a="1"/>
  <c r="S232" i="1" s="1"/>
  <c r="S236" i="1" a="1"/>
  <c r="S236" i="1" s="1"/>
  <c r="K233" i="1" a="1"/>
  <c r="K233" i="1" s="1"/>
  <c r="K237" i="1" a="1"/>
  <c r="K237" i="1" s="1"/>
  <c r="K226" i="1" a="1"/>
  <c r="K226" i="1" s="1"/>
  <c r="K229" i="1" a="1"/>
  <c r="K229" i="1" s="1"/>
  <c r="K232" i="1" a="1"/>
  <c r="K232" i="1" s="1"/>
  <c r="K236" i="1" a="1"/>
  <c r="K236" i="1" s="1"/>
  <c r="K227" i="1" a="1"/>
  <c r="K227" i="1" s="1"/>
  <c r="K231" i="1" a="1"/>
  <c r="K231" i="1" s="1"/>
  <c r="K235" i="1" a="1"/>
  <c r="K235" i="1" s="1"/>
  <c r="K228" i="1" a="1"/>
  <c r="K228" i="1" s="1"/>
  <c r="K230" i="1" a="1"/>
  <c r="K230" i="1" s="1"/>
  <c r="K234" i="1" a="1"/>
  <c r="K234" i="1" s="1"/>
  <c r="K238" i="1" a="1"/>
  <c r="K238" i="1" s="1"/>
  <c r="O218" i="1" a="1"/>
  <c r="O218" i="1" s="1"/>
  <c r="O221" i="1" a="1"/>
  <c r="O221" i="1" s="1"/>
  <c r="O216" i="1" a="1"/>
  <c r="O216" i="1" s="1"/>
  <c r="O219" i="1" a="1"/>
  <c r="O219" i="1" s="1"/>
  <c r="O224" i="1" a="1"/>
  <c r="O224" i="1" s="1"/>
  <c r="O215" i="1" a="1"/>
  <c r="O215" i="1" s="1"/>
  <c r="O214" i="1" a="1"/>
  <c r="O214" i="1" s="1"/>
  <c r="O222" i="1" a="1"/>
  <c r="O222" i="1" s="1"/>
  <c r="O225" i="1" a="1"/>
  <c r="O225" i="1" s="1"/>
  <c r="O217" i="1" a="1"/>
  <c r="O217" i="1" s="1"/>
  <c r="O220" i="1" a="1"/>
  <c r="O220" i="1" s="1"/>
  <c r="O223" i="1" a="1"/>
  <c r="O223" i="1" s="1"/>
  <c r="S201" i="1" a="1"/>
  <c r="S201" i="1" s="1"/>
  <c r="S203" i="1" a="1"/>
  <c r="S203" i="1" s="1"/>
  <c r="S200" i="1" a="1"/>
  <c r="S200" i="1" s="1"/>
  <c r="S202" i="1" a="1"/>
  <c r="S202" i="1" s="1"/>
  <c r="S205" i="1" a="1"/>
  <c r="S205" i="1" s="1"/>
  <c r="S207" i="1" a="1"/>
  <c r="S207" i="1" s="1"/>
  <c r="S204" i="1" a="1"/>
  <c r="S204" i="1" s="1"/>
  <c r="S206" i="1" a="1"/>
  <c r="S206" i="1" s="1"/>
  <c r="S208" i="1" a="1"/>
  <c r="S208" i="1" s="1"/>
  <c r="S210" i="1" a="1"/>
  <c r="S210" i="1" s="1"/>
  <c r="S212" i="1" a="1"/>
  <c r="S212" i="1" s="1"/>
  <c r="S209" i="1" a="1"/>
  <c r="S209" i="1" s="1"/>
  <c r="S211" i="1" a="1"/>
  <c r="S211" i="1" s="1"/>
  <c r="K202" i="1" a="1"/>
  <c r="K202" i="1" s="1"/>
  <c r="K204" i="1" a="1"/>
  <c r="K204" i="1" s="1"/>
  <c r="K207" i="1" a="1"/>
  <c r="K207" i="1" s="1"/>
  <c r="K209" i="1" a="1"/>
  <c r="K209" i="1" s="1"/>
  <c r="K206" i="1" a="1"/>
  <c r="K206" i="1" s="1"/>
  <c r="K208" i="1" a="1"/>
  <c r="K208" i="1" s="1"/>
  <c r="K211" i="1" a="1"/>
  <c r="K211" i="1" s="1"/>
  <c r="K201" i="1" a="1"/>
  <c r="K201" i="1" s="1"/>
  <c r="K203" i="1" a="1"/>
  <c r="K203" i="1" s="1"/>
  <c r="K205" i="1" a="1"/>
  <c r="K205" i="1" s="1"/>
  <c r="K212" i="1" a="1"/>
  <c r="K212" i="1" s="1"/>
  <c r="K210" i="1" a="1"/>
  <c r="K210" i="1" s="1"/>
  <c r="Q188" i="1" a="1"/>
  <c r="Q188" i="1" s="1"/>
  <c r="Q190" i="1" a="1"/>
  <c r="Q190" i="1" s="1"/>
  <c r="Q197" i="1" a="1"/>
  <c r="Q197" i="1" s="1"/>
  <c r="Q199" i="1" a="1"/>
  <c r="Q199" i="1" s="1"/>
  <c r="Q187" i="1" a="1"/>
  <c r="Q187" i="1" s="1"/>
  <c r="Q192" i="1" a="1"/>
  <c r="Q192" i="1" s="1"/>
  <c r="Q194" i="1" a="1"/>
  <c r="Q194" i="1" s="1"/>
  <c r="Q189" i="1" a="1"/>
  <c r="Q189" i="1" s="1"/>
  <c r="Q191" i="1" a="1"/>
  <c r="Q191" i="1" s="1"/>
  <c r="Q196" i="1" a="1"/>
  <c r="Q196" i="1" s="1"/>
  <c r="Q198" i="1" a="1"/>
  <c r="Q198" i="1" s="1"/>
  <c r="Q193" i="1" a="1"/>
  <c r="Q193" i="1" s="1"/>
  <c r="Q195" i="1" a="1"/>
  <c r="Q195" i="1" s="1"/>
  <c r="J190" i="1" a="1"/>
  <c r="J190" i="1" s="1"/>
  <c r="J192" i="1" a="1"/>
  <c r="J192" i="1" s="1"/>
  <c r="J195" i="1" a="1"/>
  <c r="J195" i="1" s="1"/>
  <c r="J197" i="1" a="1"/>
  <c r="J197" i="1" s="1"/>
  <c r="J194" i="1" a="1"/>
  <c r="J194" i="1" s="1"/>
  <c r="J196" i="1" a="1"/>
  <c r="J196" i="1" s="1"/>
  <c r="J199" i="1" a="1"/>
  <c r="J199" i="1" s="1"/>
  <c r="J187" i="1" a="1"/>
  <c r="J187" i="1" s="1"/>
  <c r="J189" i="1" a="1"/>
  <c r="J189" i="1" s="1"/>
  <c r="J198" i="1" a="1"/>
  <c r="J198" i="1" s="1"/>
  <c r="J188" i="1" a="1"/>
  <c r="J188" i="1" s="1"/>
  <c r="J191" i="1" a="1"/>
  <c r="J191" i="1" s="1"/>
  <c r="J193" i="1" a="1"/>
  <c r="J193" i="1" s="1"/>
  <c r="S176" i="1" a="1"/>
  <c r="S176" i="1" s="1"/>
  <c r="S175" i="1" a="1"/>
  <c r="S175" i="1" s="1"/>
  <c r="S179" i="1" a="1"/>
  <c r="S179" i="1" s="1"/>
  <c r="S182" i="1" a="1"/>
  <c r="S182" i="1" s="1"/>
  <c r="S177" i="1" a="1"/>
  <c r="S177" i="1" s="1"/>
  <c r="S180" i="1" a="1"/>
  <c r="S180" i="1" s="1"/>
  <c r="S185" i="1" a="1"/>
  <c r="S185" i="1" s="1"/>
  <c r="S178" i="1" a="1"/>
  <c r="S178" i="1" s="1"/>
  <c r="S183" i="1" a="1"/>
  <c r="S183" i="1" s="1"/>
  <c r="S186" i="1" a="1"/>
  <c r="S186" i="1" s="1"/>
  <c r="S181" i="1" a="1"/>
  <c r="S181" i="1" s="1"/>
  <c r="S184" i="1" a="1"/>
  <c r="S184" i="1" s="1"/>
  <c r="P176" i="1" a="1"/>
  <c r="P176" i="1" s="1"/>
  <c r="P175" i="1" a="1"/>
  <c r="P175" i="1" s="1"/>
  <c r="P179" i="1" a="1"/>
  <c r="P179" i="1" s="1"/>
  <c r="P184" i="1" a="1"/>
  <c r="P184" i="1" s="1"/>
  <c r="P182" i="1" a="1"/>
  <c r="P182" i="1" s="1"/>
  <c r="P185" i="1" a="1"/>
  <c r="P185" i="1" s="1"/>
  <c r="P177" i="1" a="1"/>
  <c r="P177" i="1" s="1"/>
  <c r="P180" i="1" a="1"/>
  <c r="P180" i="1" s="1"/>
  <c r="P183" i="1" a="1"/>
  <c r="P183" i="1" s="1"/>
  <c r="P178" i="1" a="1"/>
  <c r="P178" i="1" s="1"/>
  <c r="P181" i="1" a="1"/>
  <c r="P181" i="1" s="1"/>
  <c r="P186" i="1" a="1"/>
  <c r="P186" i="1" s="1"/>
  <c r="L176" i="1" a="1"/>
  <c r="L176" i="1" s="1"/>
  <c r="L175" i="1" a="1"/>
  <c r="L175" i="1" s="1"/>
  <c r="L177" i="1" a="1"/>
  <c r="L177" i="1" s="1"/>
  <c r="L179" i="1" a="1"/>
  <c r="L179" i="1" s="1"/>
  <c r="L182" i="1" a="1"/>
  <c r="L182" i="1" s="1"/>
  <c r="L180" i="1" a="1"/>
  <c r="L180" i="1" s="1"/>
  <c r="L185" i="1" a="1"/>
  <c r="L185" i="1" s="1"/>
  <c r="L178" i="1" a="1"/>
  <c r="L178" i="1" s="1"/>
  <c r="L183" i="1" a="1"/>
  <c r="L183" i="1" s="1"/>
  <c r="L186" i="1" a="1"/>
  <c r="L186" i="1" s="1"/>
  <c r="L181" i="1" a="1"/>
  <c r="L181" i="1" s="1"/>
  <c r="L184" i="1" a="1"/>
  <c r="L184" i="1" s="1"/>
  <c r="I176" i="1" a="1"/>
  <c r="I176" i="1" s="1"/>
  <c r="I175" i="1" a="1"/>
  <c r="I175" i="1" s="1"/>
  <c r="I179" i="1" a="1"/>
  <c r="I179" i="1" s="1"/>
  <c r="I184" i="1" a="1"/>
  <c r="I184" i="1" s="1"/>
  <c r="I182" i="1" a="1"/>
  <c r="I182" i="1" s="1"/>
  <c r="I185" i="1" a="1"/>
  <c r="I185" i="1" s="1"/>
  <c r="I180" i="1" a="1"/>
  <c r="I180" i="1" s="1"/>
  <c r="I183" i="1" a="1"/>
  <c r="I183" i="1" s="1"/>
  <c r="I177" i="1" a="1"/>
  <c r="I177" i="1" s="1"/>
  <c r="I178" i="1" a="1"/>
  <c r="I178" i="1" s="1"/>
  <c r="I181" i="1" a="1"/>
  <c r="I181" i="1" s="1"/>
  <c r="I186" i="1" a="1"/>
  <c r="I186" i="1" s="1"/>
  <c r="R165" i="1" a="1"/>
  <c r="R165" i="1" s="1"/>
  <c r="R169" i="1" a="1"/>
  <c r="R169" i="1" s="1"/>
  <c r="R164" i="1" a="1"/>
  <c r="R164" i="1" s="1"/>
  <c r="R168" i="1" a="1"/>
  <c r="R168" i="1" s="1"/>
  <c r="R172" i="1" a="1"/>
  <c r="R172" i="1" s="1"/>
  <c r="R163" i="1" a="1"/>
  <c r="R163" i="1" s="1"/>
  <c r="R167" i="1" a="1"/>
  <c r="R167" i="1" s="1"/>
  <c r="R171" i="1" a="1"/>
  <c r="R171" i="1" s="1"/>
  <c r="R162" i="1" a="1"/>
  <c r="R162" i="1" s="1"/>
  <c r="R166" i="1" a="1"/>
  <c r="R166" i="1" s="1"/>
  <c r="R170" i="1" a="1"/>
  <c r="R170" i="1" s="1"/>
  <c r="R173" i="1" a="1"/>
  <c r="R173" i="1" s="1"/>
  <c r="O165" i="1" a="1"/>
  <c r="O165" i="1" s="1"/>
  <c r="O169" i="1" a="1"/>
  <c r="O169" i="1" s="1"/>
  <c r="O164" i="1" a="1"/>
  <c r="O164" i="1" s="1"/>
  <c r="O168" i="1" a="1"/>
  <c r="O168" i="1" s="1"/>
  <c r="O172" i="1" a="1"/>
  <c r="O172" i="1" s="1"/>
  <c r="O163" i="1" a="1"/>
  <c r="O163" i="1" s="1"/>
  <c r="O167" i="1" a="1"/>
  <c r="O167" i="1" s="1"/>
  <c r="O171" i="1" a="1"/>
  <c r="O171" i="1" s="1"/>
  <c r="O162" i="1" a="1"/>
  <c r="O162" i="1" s="1"/>
  <c r="O166" i="1" a="1"/>
  <c r="O166" i="1" s="1"/>
  <c r="O170" i="1" a="1"/>
  <c r="O170" i="1" s="1"/>
  <c r="O173" i="1" a="1"/>
  <c r="O173" i="1" s="1"/>
  <c r="L165" i="1" a="1"/>
  <c r="L165" i="1" s="1"/>
  <c r="L169" i="1" a="1"/>
  <c r="L169" i="1" s="1"/>
  <c r="L173" i="1" a="1"/>
  <c r="L173" i="1" s="1"/>
  <c r="L164" i="1" a="1"/>
  <c r="L164" i="1" s="1"/>
  <c r="L168" i="1" a="1"/>
  <c r="L168" i="1" s="1"/>
  <c r="L172" i="1" a="1"/>
  <c r="L172" i="1" s="1"/>
  <c r="L163" i="1" a="1"/>
  <c r="L163" i="1" s="1"/>
  <c r="L167" i="1" a="1"/>
  <c r="L167" i="1" s="1"/>
  <c r="L171" i="1" a="1"/>
  <c r="L171" i="1" s="1"/>
  <c r="L162" i="1" a="1"/>
  <c r="L162" i="1" s="1"/>
  <c r="L166" i="1" a="1"/>
  <c r="L166" i="1" s="1"/>
  <c r="L170" i="1" a="1"/>
  <c r="L170" i="1" s="1"/>
  <c r="N148" i="1" a="1"/>
  <c r="N148" i="1" s="1"/>
  <c r="N152" i="1" a="1"/>
  <c r="N152" i="1" s="1"/>
  <c r="N156" i="1" a="1"/>
  <c r="N156" i="1" s="1"/>
  <c r="N160" i="1" a="1"/>
  <c r="N160" i="1" s="1"/>
  <c r="N151" i="1" a="1"/>
  <c r="N151" i="1" s="1"/>
  <c r="N155" i="1" a="1"/>
  <c r="N155" i="1" s="1"/>
  <c r="N159" i="1" a="1"/>
  <c r="N159" i="1" s="1"/>
  <c r="N150" i="1" a="1"/>
  <c r="N150" i="1" s="1"/>
  <c r="N154" i="1" a="1"/>
  <c r="N154" i="1" s="1"/>
  <c r="N158" i="1" a="1"/>
  <c r="N158" i="1" s="1"/>
  <c r="N149" i="1" a="1"/>
  <c r="N149" i="1" s="1"/>
  <c r="N153" i="1" a="1"/>
  <c r="N153" i="1" s="1"/>
  <c r="N157" i="1" a="1"/>
  <c r="N157" i="1" s="1"/>
  <c r="K148" i="1" a="1"/>
  <c r="K148" i="1" s="1"/>
  <c r="K152" i="1" a="1"/>
  <c r="K152" i="1" s="1"/>
  <c r="K156" i="1" a="1"/>
  <c r="K156" i="1" s="1"/>
  <c r="K160" i="1" a="1"/>
  <c r="K160" i="1" s="1"/>
  <c r="K151" i="1" a="1"/>
  <c r="K151" i="1" s="1"/>
  <c r="K155" i="1" a="1"/>
  <c r="K155" i="1" s="1"/>
  <c r="K159" i="1" a="1"/>
  <c r="K159" i="1" s="1"/>
  <c r="K150" i="1" a="1"/>
  <c r="K150" i="1" s="1"/>
  <c r="K154" i="1" a="1"/>
  <c r="K154" i="1" s="1"/>
  <c r="K158" i="1" a="1"/>
  <c r="K158" i="1" s="1"/>
  <c r="K149" i="1" a="1"/>
  <c r="K149" i="1" s="1"/>
  <c r="K153" i="1" a="1"/>
  <c r="K153" i="1" s="1"/>
  <c r="K157" i="1" a="1"/>
  <c r="K157" i="1" s="1"/>
  <c r="Q135" i="1" a="1"/>
  <c r="Q135" i="1" s="1"/>
  <c r="Q139" i="1" a="1"/>
  <c r="Q139" i="1" s="1"/>
  <c r="Q143" i="1" a="1"/>
  <c r="Q143" i="1" s="1"/>
  <c r="Q147" i="1" a="1"/>
  <c r="Q147" i="1" s="1"/>
  <c r="Q138" i="1" a="1"/>
  <c r="Q138" i="1" s="1"/>
  <c r="Q142" i="1" a="1"/>
  <c r="Q142" i="1" s="1"/>
  <c r="Q146" i="1" a="1"/>
  <c r="Q146" i="1" s="1"/>
  <c r="Q137" i="1" a="1"/>
  <c r="Q137" i="1" s="1"/>
  <c r="Q141" i="1" a="1"/>
  <c r="Q141" i="1" s="1"/>
  <c r="Q145" i="1" a="1"/>
  <c r="Q145" i="1" s="1"/>
  <c r="Q136" i="1" a="1"/>
  <c r="Q136" i="1" s="1"/>
  <c r="Q140" i="1" a="1"/>
  <c r="Q140" i="1" s="1"/>
  <c r="Q144" i="1" a="1"/>
  <c r="Q144" i="1" s="1"/>
  <c r="N123" i="1" a="1"/>
  <c r="N123" i="1" s="1"/>
  <c r="N127" i="1" a="1"/>
  <c r="N127" i="1" s="1"/>
  <c r="N122" i="1" a="1"/>
  <c r="N122" i="1" s="1"/>
  <c r="N126" i="1" a="1"/>
  <c r="N126" i="1" s="1"/>
  <c r="N130" i="1" a="1"/>
  <c r="N130" i="1" s="1"/>
  <c r="N125" i="1" a="1"/>
  <c r="N125" i="1" s="1"/>
  <c r="N129" i="1" a="1"/>
  <c r="N129" i="1" s="1"/>
  <c r="N124" i="1" a="1"/>
  <c r="N124" i="1" s="1"/>
  <c r="N128" i="1" a="1"/>
  <c r="N128" i="1" s="1"/>
  <c r="N132" i="1" a="1"/>
  <c r="N132" i="1" s="1"/>
  <c r="N133" i="1" a="1"/>
  <c r="N133" i="1" s="1"/>
  <c r="N131" i="1" a="1"/>
  <c r="N131" i="1" s="1"/>
  <c r="N134" i="1" a="1"/>
  <c r="N134" i="1" s="1"/>
  <c r="K123" i="1" a="1"/>
  <c r="K123" i="1" s="1"/>
  <c r="K127" i="1" a="1"/>
  <c r="K127" i="1" s="1"/>
  <c r="K126" i="1" a="1"/>
  <c r="K126" i="1" s="1"/>
  <c r="K130" i="1" a="1"/>
  <c r="K130" i="1" s="1"/>
  <c r="K125" i="1" a="1"/>
  <c r="K125" i="1" s="1"/>
  <c r="K129" i="1" a="1"/>
  <c r="K129" i="1" s="1"/>
  <c r="K124" i="1" a="1"/>
  <c r="K124" i="1" s="1"/>
  <c r="K128" i="1" a="1"/>
  <c r="K128" i="1" s="1"/>
  <c r="K132" i="1" a="1"/>
  <c r="K132" i="1" s="1"/>
  <c r="K133" i="1" a="1"/>
  <c r="K133" i="1" s="1"/>
  <c r="K134" i="1" a="1"/>
  <c r="K134" i="1" s="1"/>
  <c r="K131" i="1" a="1"/>
  <c r="K131" i="1" s="1"/>
  <c r="T111" i="1" a="1"/>
  <c r="T111" i="1" s="1"/>
  <c r="T112" i="1" a="1"/>
  <c r="T112" i="1" s="1"/>
  <c r="T118" i="1" a="1"/>
  <c r="T118" i="1" s="1"/>
  <c r="T110" i="1" a="1"/>
  <c r="T110" i="1" s="1"/>
  <c r="T114" i="1" a="1"/>
  <c r="T114" i="1" s="1"/>
  <c r="T116" i="1" a="1"/>
  <c r="T116" i="1" s="1"/>
  <c r="T117" i="1" a="1"/>
  <c r="T117" i="1" s="1"/>
  <c r="T121" i="1" a="1"/>
  <c r="T121" i="1" s="1"/>
  <c r="T109" i="1" a="1"/>
  <c r="T109" i="1" s="1"/>
  <c r="T120" i="1" a="1"/>
  <c r="T120" i="1" s="1"/>
  <c r="T113" i="1" a="1"/>
  <c r="T113" i="1" s="1"/>
  <c r="T115" i="1" a="1"/>
  <c r="T115" i="1" s="1"/>
  <c r="T119" i="1" a="1"/>
  <c r="T119" i="1" s="1"/>
  <c r="K119" i="1" a="1"/>
  <c r="K119" i="1" s="1"/>
  <c r="K111" i="1" a="1"/>
  <c r="K111" i="1" s="1"/>
  <c r="K115" i="1" a="1"/>
  <c r="K115" i="1" s="1"/>
  <c r="K117" i="1" a="1"/>
  <c r="K117" i="1" s="1"/>
  <c r="K118" i="1" a="1"/>
  <c r="K118" i="1" s="1"/>
  <c r="K110" i="1" a="1"/>
  <c r="K110" i="1" s="1"/>
  <c r="K112" i="1" a="1"/>
  <c r="K112" i="1" s="1"/>
  <c r="K113" i="1" a="1"/>
  <c r="K113" i="1" s="1"/>
  <c r="K121" i="1" a="1"/>
  <c r="K121" i="1" s="1"/>
  <c r="K114" i="1" a="1"/>
  <c r="K114" i="1" s="1"/>
  <c r="K116" i="1" a="1"/>
  <c r="K116" i="1" s="1"/>
  <c r="K120" i="1" a="1"/>
  <c r="K120" i="1" s="1"/>
  <c r="Q96" i="1" a="1"/>
  <c r="Q96" i="1" s="1"/>
  <c r="Q100" i="1" a="1"/>
  <c r="Q100" i="1" s="1"/>
  <c r="Q104" i="1" a="1"/>
  <c r="Q104" i="1" s="1"/>
  <c r="Q108" i="1" a="1"/>
  <c r="Q108" i="1" s="1"/>
  <c r="Q99" i="1" a="1"/>
  <c r="Q99" i="1" s="1"/>
  <c r="Q103" i="1" a="1"/>
  <c r="Q103" i="1" s="1"/>
  <c r="Q107" i="1" a="1"/>
  <c r="Q107" i="1" s="1"/>
  <c r="Q98" i="1" a="1"/>
  <c r="Q98" i="1" s="1"/>
  <c r="Q102" i="1" a="1"/>
  <c r="Q102" i="1" s="1"/>
  <c r="Q106" i="1" a="1"/>
  <c r="Q106" i="1" s="1"/>
  <c r="Q97" i="1" a="1"/>
  <c r="Q97" i="1" s="1"/>
  <c r="Q101" i="1" a="1"/>
  <c r="Q101" i="1" s="1"/>
  <c r="Q105" i="1" a="1"/>
  <c r="Q105" i="1" s="1"/>
  <c r="N96" i="1" a="1"/>
  <c r="N96" i="1" s="1"/>
  <c r="N100" i="1" a="1"/>
  <c r="N100" i="1" s="1"/>
  <c r="N104" i="1" a="1"/>
  <c r="N104" i="1" s="1"/>
  <c r="N108" i="1" a="1"/>
  <c r="N108" i="1" s="1"/>
  <c r="N99" i="1" a="1"/>
  <c r="N99" i="1" s="1"/>
  <c r="N103" i="1" a="1"/>
  <c r="N103" i="1" s="1"/>
  <c r="N107" i="1" a="1"/>
  <c r="N107" i="1" s="1"/>
  <c r="N98" i="1" a="1"/>
  <c r="N98" i="1" s="1"/>
  <c r="N102" i="1" a="1"/>
  <c r="N102" i="1" s="1"/>
  <c r="N106" i="1" a="1"/>
  <c r="N106" i="1" s="1"/>
  <c r="N97" i="1" a="1"/>
  <c r="N97" i="1" s="1"/>
  <c r="N101" i="1" a="1"/>
  <c r="N101" i="1" s="1"/>
  <c r="N105" i="1" a="1"/>
  <c r="N105" i="1" s="1"/>
  <c r="K100" i="1" a="1"/>
  <c r="K100" i="1" s="1"/>
  <c r="K104" i="1" a="1"/>
  <c r="K104" i="1" s="1"/>
  <c r="K108" i="1" a="1"/>
  <c r="K108" i="1" s="1"/>
  <c r="K99" i="1" a="1"/>
  <c r="K99" i="1" s="1"/>
  <c r="K103" i="1" a="1"/>
  <c r="K103" i="1" s="1"/>
  <c r="K107" i="1" a="1"/>
  <c r="K107" i="1" s="1"/>
  <c r="K98" i="1" a="1"/>
  <c r="K98" i="1" s="1"/>
  <c r="K102" i="1" a="1"/>
  <c r="K102" i="1" s="1"/>
  <c r="K106" i="1" a="1"/>
  <c r="K106" i="1" s="1"/>
  <c r="K97" i="1" a="1"/>
  <c r="K97" i="1" s="1"/>
  <c r="K101" i="1" a="1"/>
  <c r="K101" i="1" s="1"/>
  <c r="K105" i="1" a="1"/>
  <c r="K105" i="1" s="1"/>
  <c r="T86" i="1" a="1"/>
  <c r="T86" i="1" s="1"/>
  <c r="T85" i="1" a="1"/>
  <c r="T85" i="1" s="1"/>
  <c r="T89" i="1" a="1"/>
  <c r="T89" i="1" s="1"/>
  <c r="T84" i="1" a="1"/>
  <c r="T84" i="1" s="1"/>
  <c r="T88" i="1" a="1"/>
  <c r="T88" i="1" s="1"/>
  <c r="T83" i="1" a="1"/>
  <c r="T83" i="1" s="1"/>
  <c r="T87" i="1" a="1"/>
  <c r="T87" i="1" s="1"/>
  <c r="T91" i="1" a="1"/>
  <c r="T91" i="1" s="1"/>
  <c r="T95" i="1" a="1"/>
  <c r="T95" i="1" s="1"/>
  <c r="T90" i="1" a="1"/>
  <c r="T90" i="1" s="1"/>
  <c r="T94" i="1" a="1"/>
  <c r="T94" i="1" s="1"/>
  <c r="T93" i="1" a="1"/>
  <c r="T93" i="1" s="1"/>
  <c r="T92" i="1" a="1"/>
  <c r="T92" i="1" s="1"/>
  <c r="J86" i="1" a="1"/>
  <c r="J86" i="1" s="1"/>
  <c r="J90" i="1" a="1"/>
  <c r="J90" i="1" s="1"/>
  <c r="J85" i="1" a="1"/>
  <c r="J85" i="1" s="1"/>
  <c r="J89" i="1" a="1"/>
  <c r="J89" i="1" s="1"/>
  <c r="J84" i="1" a="1"/>
  <c r="J84" i="1" s="1"/>
  <c r="J88" i="1" a="1"/>
  <c r="J88" i="1" s="1"/>
  <c r="J87" i="1" a="1"/>
  <c r="J87" i="1" s="1"/>
  <c r="J91" i="1" a="1"/>
  <c r="J91" i="1" s="1"/>
  <c r="J95" i="1" a="1"/>
  <c r="J95" i="1" s="1"/>
  <c r="J94" i="1" a="1"/>
  <c r="J94" i="1" s="1"/>
  <c r="J93" i="1" a="1"/>
  <c r="J93" i="1" s="1"/>
  <c r="J92" i="1" a="1"/>
  <c r="J92" i="1" s="1"/>
  <c r="S73" i="1" a="1"/>
  <c r="S73" i="1" s="1"/>
  <c r="S77" i="1" a="1"/>
  <c r="S77" i="1" s="1"/>
  <c r="S81" i="1" a="1"/>
  <c r="S81" i="1" s="1"/>
  <c r="S72" i="1" a="1"/>
  <c r="S72" i="1" s="1"/>
  <c r="S76" i="1" a="1"/>
  <c r="S76" i="1" s="1"/>
  <c r="S80" i="1" a="1"/>
  <c r="S80" i="1" s="1"/>
  <c r="S71" i="1" a="1"/>
  <c r="S71" i="1" s="1"/>
  <c r="S75" i="1" a="1"/>
  <c r="S75" i="1" s="1"/>
  <c r="S79" i="1" a="1"/>
  <c r="S79" i="1" s="1"/>
  <c r="S70" i="1" a="1"/>
  <c r="S70" i="1" s="1"/>
  <c r="S74" i="1" a="1"/>
  <c r="S74" i="1" s="1"/>
  <c r="S78" i="1" a="1"/>
  <c r="S78" i="1" s="1"/>
  <c r="S82" i="1" a="1"/>
  <c r="S82" i="1" s="1"/>
  <c r="M70" i="1" a="1"/>
  <c r="M70" i="1" s="1"/>
  <c r="M74" i="1" a="1"/>
  <c r="M74" i="1" s="1"/>
  <c r="M78" i="1" a="1"/>
  <c r="M78" i="1" s="1"/>
  <c r="M82" i="1" a="1"/>
  <c r="M82" i="1" s="1"/>
  <c r="M73" i="1" a="1"/>
  <c r="M73" i="1" s="1"/>
  <c r="M77" i="1" a="1"/>
  <c r="M77" i="1" s="1"/>
  <c r="M81" i="1" a="1"/>
  <c r="M81" i="1" s="1"/>
  <c r="M72" i="1" a="1"/>
  <c r="M72" i="1" s="1"/>
  <c r="M76" i="1" a="1"/>
  <c r="M76" i="1" s="1"/>
  <c r="M80" i="1" a="1"/>
  <c r="M80" i="1" s="1"/>
  <c r="M71" i="1" a="1"/>
  <c r="M71" i="1" s="1"/>
  <c r="M75" i="1" a="1"/>
  <c r="M75" i="1" s="1"/>
  <c r="M79" i="1" a="1"/>
  <c r="M79" i="1" s="1"/>
  <c r="J57" i="1" a="1"/>
  <c r="J57" i="1" s="1"/>
  <c r="J60" i="1" a="1"/>
  <c r="J60" i="1" s="1"/>
  <c r="J64" i="1" a="1"/>
  <c r="J64" i="1" s="1"/>
  <c r="J63" i="1" a="1"/>
  <c r="J63" i="1" s="1"/>
  <c r="J67" i="1" a="1"/>
  <c r="J67" i="1" s="1"/>
  <c r="J59" i="1" a="1"/>
  <c r="J59" i="1" s="1"/>
  <c r="J61" i="1" a="1"/>
  <c r="J61" i="1" s="1"/>
  <c r="J62" i="1" a="1"/>
  <c r="J62" i="1" s="1"/>
  <c r="J66" i="1" a="1"/>
  <c r="J66" i="1" s="1"/>
  <c r="J58" i="1" a="1"/>
  <c r="J58" i="1" s="1"/>
  <c r="J65" i="1" a="1"/>
  <c r="J65" i="1" s="1"/>
  <c r="J68" i="1" a="1"/>
  <c r="J68" i="1" s="1"/>
  <c r="J69" i="1" a="1"/>
  <c r="J69" i="1" s="1"/>
  <c r="S44" i="1" a="1"/>
  <c r="S44" i="1" s="1"/>
  <c r="S47" i="1" a="1"/>
  <c r="S47" i="1" s="1"/>
  <c r="S51" i="1" a="1"/>
  <c r="S51" i="1" s="1"/>
  <c r="S45" i="1" a="1"/>
  <c r="S45" i="1" s="1"/>
  <c r="S48" i="1" a="1"/>
  <c r="S48" i="1" s="1"/>
  <c r="S49" i="1" a="1"/>
  <c r="S49" i="1" s="1"/>
  <c r="S53" i="1" a="1"/>
  <c r="S53" i="1" s="1"/>
  <c r="S56" i="1" a="1"/>
  <c r="S56" i="1" s="1"/>
  <c r="S46" i="1" a="1"/>
  <c r="S46" i="1" s="1"/>
  <c r="S52" i="1" a="1"/>
  <c r="S52" i="1" s="1"/>
  <c r="S55" i="1" a="1"/>
  <c r="S55" i="1" s="1"/>
  <c r="S50" i="1" a="1"/>
  <c r="S50" i="1" s="1"/>
  <c r="S54" i="1" a="1"/>
  <c r="S54" i="1" s="1"/>
  <c r="P44" i="1" a="1"/>
  <c r="P44" i="1" s="1"/>
  <c r="P49" i="1" a="1"/>
  <c r="P49" i="1" s="1"/>
  <c r="P52" i="1" a="1"/>
  <c r="P52" i="1" s="1"/>
  <c r="P47" i="1" a="1"/>
  <c r="P47" i="1" s="1"/>
  <c r="P46" i="1" a="1"/>
  <c r="P46" i="1" s="1"/>
  <c r="P50" i="1" a="1"/>
  <c r="P50" i="1" s="1"/>
  <c r="P48" i="1" a="1"/>
  <c r="P48" i="1" s="1"/>
  <c r="P56" i="1" a="1"/>
  <c r="P56" i="1" s="1"/>
  <c r="P45" i="1" a="1"/>
  <c r="P45" i="1" s="1"/>
  <c r="P53" i="1" a="1"/>
  <c r="P53" i="1" s="1"/>
  <c r="P55" i="1" a="1"/>
  <c r="P55" i="1" s="1"/>
  <c r="P51" i="1" a="1"/>
  <c r="P51" i="1" s="1"/>
  <c r="P54" i="1" a="1"/>
  <c r="P54" i="1" s="1"/>
  <c r="L44" i="1" a="1"/>
  <c r="L44" i="1" s="1"/>
  <c r="L47" i="1" a="1"/>
  <c r="L47" i="1" s="1"/>
  <c r="L51" i="1" a="1"/>
  <c r="L51" i="1" s="1"/>
  <c r="L45" i="1" a="1"/>
  <c r="L45" i="1" s="1"/>
  <c r="L50" i="1" a="1"/>
  <c r="L50" i="1" s="1"/>
  <c r="L56" i="1" a="1"/>
  <c r="L56" i="1" s="1"/>
  <c r="L55" i="1" a="1"/>
  <c r="L55" i="1" s="1"/>
  <c r="L46" i="1" a="1"/>
  <c r="L46" i="1" s="1"/>
  <c r="L49" i="1" a="1"/>
  <c r="L49" i="1" s="1"/>
  <c r="L53" i="1" a="1"/>
  <c r="L53" i="1" s="1"/>
  <c r="L54" i="1" a="1"/>
  <c r="L54" i="1" s="1"/>
  <c r="L48" i="1" a="1"/>
  <c r="L48" i="1" s="1"/>
  <c r="L52" i="1" a="1"/>
  <c r="L52" i="1" s="1"/>
  <c r="I49" i="1" a="1"/>
  <c r="I49" i="1" s="1"/>
  <c r="I51" i="1" a="1"/>
  <c r="I51" i="1" s="1"/>
  <c r="I47" i="1" a="1"/>
  <c r="I47" i="1" s="1"/>
  <c r="I45" i="1" a="1"/>
  <c r="I45" i="1" s="1"/>
  <c r="I46" i="1" a="1"/>
  <c r="I46" i="1" s="1"/>
  <c r="I52" i="1" a="1"/>
  <c r="I52" i="1" s="1"/>
  <c r="I56" i="1" a="1"/>
  <c r="I56" i="1" s="1"/>
  <c r="I48" i="1" a="1"/>
  <c r="I48" i="1" s="1"/>
  <c r="I50" i="1" a="1"/>
  <c r="I50" i="1" s="1"/>
  <c r="I55" i="1" a="1"/>
  <c r="I55" i="1" s="1"/>
  <c r="I54" i="1" a="1"/>
  <c r="I54" i="1" s="1"/>
  <c r="I53" i="1" a="1"/>
  <c r="I53" i="1" s="1"/>
  <c r="M34" i="1" a="1"/>
  <c r="M34" i="1" s="1"/>
  <c r="M38" i="1" a="1"/>
  <c r="M38" i="1" s="1"/>
  <c r="M42" i="1" a="1"/>
  <c r="M42" i="1" s="1"/>
  <c r="M33" i="1" a="1"/>
  <c r="M33" i="1" s="1"/>
  <c r="M37" i="1" a="1"/>
  <c r="M37" i="1" s="1"/>
  <c r="M41" i="1" a="1"/>
  <c r="M41" i="1" s="1"/>
  <c r="M32" i="1" a="1"/>
  <c r="M32" i="1" s="1"/>
  <c r="M36" i="1" a="1"/>
  <c r="M36" i="1" s="1"/>
  <c r="M40" i="1" a="1"/>
  <c r="M40" i="1" s="1"/>
  <c r="M35" i="1" a="1"/>
  <c r="M35" i="1" s="1"/>
  <c r="M43" i="1" a="1"/>
  <c r="M43" i="1" s="1"/>
  <c r="M39" i="1" a="1"/>
  <c r="M3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19" i="1" a="1"/>
  <c r="Q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19" i="1" a="1"/>
  <c r="I19" i="1" s="1"/>
  <c r="P550" i="1" a="1"/>
  <c r="P550" i="1" s="1"/>
  <c r="M550" i="1" a="1"/>
  <c r="M550" i="1" s="1"/>
  <c r="Q549" i="1" a="1"/>
  <c r="Q549" i="1" s="1"/>
  <c r="I549" i="1" a="1"/>
  <c r="I549" i="1" s="1"/>
  <c r="P548" i="1" a="1"/>
  <c r="P548" i="1" s="1"/>
  <c r="M548" i="1" a="1"/>
  <c r="M548" i="1" s="1"/>
  <c r="Q547" i="1" a="1"/>
  <c r="Q547" i="1" s="1"/>
  <c r="I547" i="1" a="1"/>
  <c r="I547" i="1" s="1"/>
  <c r="P546" i="1" a="1"/>
  <c r="P546" i="1" s="1"/>
  <c r="M546" i="1" a="1"/>
  <c r="M546" i="1" s="1"/>
  <c r="Q545" i="1" a="1"/>
  <c r="Q545" i="1" s="1"/>
  <c r="I545" i="1" a="1"/>
  <c r="I545" i="1" s="1"/>
  <c r="P544" i="1" a="1"/>
  <c r="P544" i="1" s="1"/>
  <c r="M544" i="1" a="1"/>
  <c r="M544" i="1" s="1"/>
  <c r="Q543" i="1" a="1"/>
  <c r="Q543" i="1" s="1"/>
  <c r="I543" i="1" a="1"/>
  <c r="I543" i="1" s="1"/>
  <c r="P542" i="1" a="1"/>
  <c r="P542" i="1" s="1"/>
  <c r="M542" i="1" a="1"/>
  <c r="M542" i="1" s="1"/>
  <c r="Q541" i="1" a="1"/>
  <c r="Q541" i="1" s="1"/>
  <c r="I541" i="1" a="1"/>
  <c r="I541" i="1" s="1"/>
  <c r="P540" i="1" a="1"/>
  <c r="P540" i="1" s="1"/>
  <c r="M540" i="1" a="1"/>
  <c r="M540" i="1" s="1"/>
  <c r="Q539" i="1" a="1"/>
  <c r="Q539" i="1" s="1"/>
  <c r="I539" i="1" a="1"/>
  <c r="I539" i="1" s="1"/>
  <c r="P538" i="1" a="1"/>
  <c r="P538" i="1" s="1"/>
  <c r="M538" i="1" a="1"/>
  <c r="M538" i="1" s="1"/>
  <c r="T537" i="1" a="1"/>
  <c r="T537" i="1" s="1"/>
  <c r="Q537" i="1" a="1"/>
  <c r="Q537" i="1" s="1"/>
  <c r="L537" i="1" a="1"/>
  <c r="L537" i="1" s="1"/>
  <c r="I537" i="1" a="1"/>
  <c r="I537" i="1" s="1"/>
  <c r="P536" i="1" a="1"/>
  <c r="P536" i="1" s="1"/>
  <c r="M536" i="1" a="1"/>
  <c r="M536" i="1" s="1"/>
  <c r="T535" i="1" a="1"/>
  <c r="T535" i="1" s="1"/>
  <c r="Q535" i="1" a="1"/>
  <c r="Q535" i="1" s="1"/>
  <c r="L535" i="1" a="1"/>
  <c r="L535" i="1" s="1"/>
  <c r="I535" i="1" a="1"/>
  <c r="I535" i="1" s="1"/>
  <c r="P534" i="1" a="1"/>
  <c r="P534" i="1" s="1"/>
  <c r="M534" i="1" a="1"/>
  <c r="M534" i="1" s="1"/>
  <c r="T533" i="1" a="1"/>
  <c r="T533" i="1" s="1"/>
  <c r="Q533" i="1" a="1"/>
  <c r="Q533" i="1" s="1"/>
  <c r="L533" i="1" a="1"/>
  <c r="L533" i="1" s="1"/>
  <c r="I533" i="1" a="1"/>
  <c r="I533" i="1" s="1"/>
  <c r="P532" i="1" a="1"/>
  <c r="P532" i="1" s="1"/>
  <c r="M532" i="1" a="1"/>
  <c r="M532" i="1" s="1"/>
  <c r="T531" i="1" a="1"/>
  <c r="T531" i="1" s="1"/>
  <c r="Q531" i="1" a="1"/>
  <c r="Q531" i="1" s="1"/>
  <c r="L531" i="1" a="1"/>
  <c r="L531" i="1" s="1"/>
  <c r="I531" i="1" a="1"/>
  <c r="I531" i="1" s="1"/>
  <c r="P530" i="1" a="1"/>
  <c r="P530" i="1" s="1"/>
  <c r="M530" i="1" a="1"/>
  <c r="M530" i="1" s="1"/>
  <c r="T529" i="1" a="1"/>
  <c r="T529" i="1" s="1"/>
  <c r="Q529" i="1" a="1"/>
  <c r="Q529" i="1" s="1"/>
  <c r="L529" i="1" a="1"/>
  <c r="L529" i="1" s="1"/>
  <c r="I529" i="1" a="1"/>
  <c r="I529" i="1" s="1"/>
  <c r="P528" i="1" a="1"/>
  <c r="P528" i="1" s="1"/>
  <c r="M528" i="1" a="1"/>
  <c r="M528" i="1" s="1"/>
  <c r="T527" i="1" a="1"/>
  <c r="T527" i="1" s="1"/>
  <c r="Q527" i="1" a="1"/>
  <c r="Q527" i="1" s="1"/>
  <c r="L527" i="1" a="1"/>
  <c r="L527" i="1" s="1"/>
  <c r="I527" i="1" a="1"/>
  <c r="I527" i="1" s="1"/>
  <c r="P526" i="1" a="1"/>
  <c r="P526" i="1" s="1"/>
  <c r="M526" i="1" a="1"/>
  <c r="M526" i="1" s="1"/>
  <c r="P524" i="1" a="1"/>
  <c r="P524" i="1" s="1"/>
  <c r="M524" i="1" a="1"/>
  <c r="M524" i="1" s="1"/>
  <c r="T523" i="1" a="1"/>
  <c r="T523" i="1" s="1"/>
  <c r="Q523" i="1" a="1"/>
  <c r="Q523" i="1" s="1"/>
  <c r="L523" i="1" a="1"/>
  <c r="L523" i="1" s="1"/>
  <c r="I523" i="1" a="1"/>
  <c r="I523" i="1" s="1"/>
  <c r="P522" i="1" a="1"/>
  <c r="P522" i="1" s="1"/>
  <c r="M522" i="1" a="1"/>
  <c r="M522" i="1" s="1"/>
  <c r="T521" i="1" a="1"/>
  <c r="T521" i="1" s="1"/>
  <c r="Q521" i="1" a="1"/>
  <c r="Q521" i="1" s="1"/>
  <c r="L521" i="1" a="1"/>
  <c r="L521" i="1" s="1"/>
  <c r="I521" i="1" a="1"/>
  <c r="I521" i="1" s="1"/>
  <c r="P520" i="1" a="1"/>
  <c r="P520" i="1" s="1"/>
  <c r="M520" i="1" a="1"/>
  <c r="M520" i="1" s="1"/>
  <c r="T519" i="1" a="1"/>
  <c r="T519" i="1" s="1"/>
  <c r="Q519" i="1" a="1"/>
  <c r="Q519" i="1" s="1"/>
  <c r="L519" i="1" a="1"/>
  <c r="L519" i="1" s="1"/>
  <c r="I519" i="1" a="1"/>
  <c r="I519" i="1" s="1"/>
  <c r="P518" i="1" a="1"/>
  <c r="P518" i="1" s="1"/>
  <c r="M518" i="1" a="1"/>
  <c r="M518" i="1" s="1"/>
  <c r="T517" i="1" a="1"/>
  <c r="T517" i="1" s="1"/>
  <c r="Q517" i="1" a="1"/>
  <c r="Q517" i="1" s="1"/>
  <c r="L517" i="1" a="1"/>
  <c r="L517" i="1" s="1"/>
  <c r="J516" i="1" a="1"/>
  <c r="J516" i="1" s="1"/>
  <c r="R515" i="1" a="1"/>
  <c r="R515" i="1" s="1"/>
  <c r="K515" i="1" a="1"/>
  <c r="K515" i="1" s="1"/>
  <c r="S514" i="1" a="1"/>
  <c r="S514" i="1" s="1"/>
  <c r="Q513" i="1" a="1"/>
  <c r="Q513" i="1" s="1"/>
  <c r="J513" i="1" a="1"/>
  <c r="J513" i="1" s="1"/>
  <c r="O510" i="1" a="1"/>
  <c r="O510" i="1" s="1"/>
  <c r="R508" i="1" a="1"/>
  <c r="R508" i="1" s="1"/>
  <c r="P6" i="1" a="1"/>
  <c r="P6" i="1" s="1"/>
  <c r="P7" i="1" a="1"/>
  <c r="P7" i="1" s="1"/>
  <c r="P10" i="1" a="1"/>
  <c r="P10" i="1" s="1"/>
  <c r="P14" i="1" a="1"/>
  <c r="P14" i="1" s="1"/>
  <c r="P13" i="1" a="1"/>
  <c r="P13" i="1" s="1"/>
  <c r="P17" i="1" a="1"/>
  <c r="P17" i="1" s="1"/>
  <c r="P8" i="1" a="1"/>
  <c r="P8" i="1" s="1"/>
  <c r="P9" i="1" a="1"/>
  <c r="P9" i="1" s="1"/>
  <c r="P12" i="1" a="1"/>
  <c r="P12" i="1" s="1"/>
  <c r="P16" i="1" a="1"/>
  <c r="P16" i="1" s="1"/>
  <c r="P11" i="1" a="1"/>
  <c r="P11" i="1" s="1"/>
  <c r="P15" i="1" a="1"/>
  <c r="P15" i="1" s="1"/>
  <c r="M7" i="1" a="1"/>
  <c r="M7" i="1" s="1"/>
  <c r="M11" i="1" a="1"/>
  <c r="M11" i="1" s="1"/>
  <c r="M15" i="1" a="1"/>
  <c r="M15" i="1" s="1"/>
  <c r="M6" i="1" a="1"/>
  <c r="M6" i="1" s="1"/>
  <c r="M10" i="1" a="1"/>
  <c r="M10" i="1" s="1"/>
  <c r="M14" i="1" a="1"/>
  <c r="M14" i="1" s="1"/>
  <c r="M9" i="1" a="1"/>
  <c r="M9" i="1" s="1"/>
  <c r="M13" i="1" a="1"/>
  <c r="M13" i="1" s="1"/>
  <c r="M17" i="1" a="1"/>
  <c r="M17" i="1" s="1"/>
  <c r="M8" i="1" a="1"/>
  <c r="M8" i="1" s="1"/>
  <c r="M12" i="1" a="1"/>
  <c r="M12" i="1" s="1"/>
  <c r="M16" i="1" a="1"/>
  <c r="M16" i="1" s="1"/>
  <c r="P513" i="1" a="1"/>
  <c r="P513" i="1" s="1"/>
  <c r="P515" i="1" a="1"/>
  <c r="P515" i="1" s="1"/>
  <c r="Q500" i="1" a="1"/>
  <c r="Q500" i="1" s="1"/>
  <c r="Q502" i="1" a="1"/>
  <c r="Q502" i="1" s="1"/>
  <c r="Q504" i="1" a="1"/>
  <c r="Q504" i="1" s="1"/>
  <c r="Q506" i="1" a="1"/>
  <c r="Q506" i="1" s="1"/>
  <c r="Q508" i="1" a="1"/>
  <c r="Q508" i="1" s="1"/>
  <c r="Q510" i="1" a="1"/>
  <c r="Q510" i="1" s="1"/>
  <c r="Q501" i="1" a="1"/>
  <c r="Q501" i="1" s="1"/>
  <c r="Q503" i="1" a="1"/>
  <c r="Q503" i="1" s="1"/>
  <c r="Q505" i="1" a="1"/>
  <c r="Q505" i="1" s="1"/>
  <c r="Q507" i="1" a="1"/>
  <c r="Q507" i="1" s="1"/>
  <c r="Q509" i="1" a="1"/>
  <c r="Q509" i="1" s="1"/>
  <c r="N500" i="1" a="1"/>
  <c r="N500" i="1" s="1"/>
  <c r="N502" i="1" a="1"/>
  <c r="N502" i="1" s="1"/>
  <c r="N504" i="1" a="1"/>
  <c r="N504" i="1" s="1"/>
  <c r="N506" i="1" a="1"/>
  <c r="N506" i="1" s="1"/>
  <c r="N508" i="1" a="1"/>
  <c r="N508" i="1" s="1"/>
  <c r="N510" i="1" a="1"/>
  <c r="N510" i="1" s="1"/>
  <c r="N501" i="1" a="1"/>
  <c r="N501" i="1" s="1"/>
  <c r="N503" i="1" a="1"/>
  <c r="N503" i="1" s="1"/>
  <c r="N505" i="1" a="1"/>
  <c r="N505" i="1" s="1"/>
  <c r="N507" i="1" a="1"/>
  <c r="N507" i="1" s="1"/>
  <c r="I500" i="1" a="1"/>
  <c r="I500" i="1" s="1"/>
  <c r="I502" i="1" a="1"/>
  <c r="I502" i="1" s="1"/>
  <c r="I504" i="1" a="1"/>
  <c r="I504" i="1" s="1"/>
  <c r="I506" i="1" a="1"/>
  <c r="I506" i="1" s="1"/>
  <c r="I508" i="1" a="1"/>
  <c r="I508" i="1" s="1"/>
  <c r="I510" i="1" a="1"/>
  <c r="I510" i="1" s="1"/>
  <c r="I501" i="1" a="1"/>
  <c r="I501" i="1" s="1"/>
  <c r="I503" i="1" a="1"/>
  <c r="I503" i="1" s="1"/>
  <c r="I505" i="1" a="1"/>
  <c r="I505" i="1" s="1"/>
  <c r="I507" i="1" a="1"/>
  <c r="I507" i="1" s="1"/>
  <c r="I509" i="1" a="1"/>
  <c r="I509" i="1" s="1"/>
  <c r="R487" i="1" a="1"/>
  <c r="R487" i="1" s="1"/>
  <c r="R489" i="1" a="1"/>
  <c r="R489" i="1" s="1"/>
  <c r="R491" i="1" a="1"/>
  <c r="R491" i="1" s="1"/>
  <c r="R493" i="1" a="1"/>
  <c r="R493" i="1" s="1"/>
  <c r="R495" i="1" a="1"/>
  <c r="R495" i="1" s="1"/>
  <c r="R497" i="1" a="1"/>
  <c r="R497" i="1" s="1"/>
  <c r="R486" i="1" a="1"/>
  <c r="R486" i="1" s="1"/>
  <c r="R488" i="1" a="1"/>
  <c r="R488" i="1" s="1"/>
  <c r="R490" i="1" a="1"/>
  <c r="R490" i="1" s="1"/>
  <c r="R492" i="1" a="1"/>
  <c r="R492" i="1" s="1"/>
  <c r="R494" i="1" a="1"/>
  <c r="R494" i="1" s="1"/>
  <c r="R496" i="1" a="1"/>
  <c r="R496" i="1" s="1"/>
  <c r="R498" i="1" a="1"/>
  <c r="R498" i="1" s="1"/>
  <c r="M487" i="1" a="1"/>
  <c r="M487" i="1" s="1"/>
  <c r="M489" i="1" a="1"/>
  <c r="M489" i="1" s="1"/>
  <c r="M491" i="1" a="1"/>
  <c r="M491" i="1" s="1"/>
  <c r="M493" i="1" a="1"/>
  <c r="M493" i="1" s="1"/>
  <c r="M495" i="1" a="1"/>
  <c r="M495" i="1" s="1"/>
  <c r="M497" i="1" a="1"/>
  <c r="M497" i="1" s="1"/>
  <c r="M486" i="1" a="1"/>
  <c r="M486" i="1" s="1"/>
  <c r="M488" i="1" a="1"/>
  <c r="M488" i="1" s="1"/>
  <c r="M490" i="1" a="1"/>
  <c r="M490" i="1" s="1"/>
  <c r="M492" i="1" a="1"/>
  <c r="M492" i="1" s="1"/>
  <c r="M494" i="1" a="1"/>
  <c r="M494" i="1" s="1"/>
  <c r="M496" i="1" a="1"/>
  <c r="M496" i="1" s="1"/>
  <c r="M498" i="1" a="1"/>
  <c r="M498" i="1" s="1"/>
  <c r="J487" i="1" a="1"/>
  <c r="J487" i="1" s="1"/>
  <c r="J489" i="1" a="1"/>
  <c r="J489" i="1" s="1"/>
  <c r="J491" i="1" a="1"/>
  <c r="J491" i="1" s="1"/>
  <c r="J493" i="1" a="1"/>
  <c r="J493" i="1" s="1"/>
  <c r="J495" i="1" a="1"/>
  <c r="J495" i="1" s="1"/>
  <c r="J497" i="1" a="1"/>
  <c r="J497" i="1" s="1"/>
  <c r="J488" i="1" a="1"/>
  <c r="J488" i="1" s="1"/>
  <c r="J490" i="1" a="1"/>
  <c r="J490" i="1" s="1"/>
  <c r="J492" i="1" a="1"/>
  <c r="J492" i="1" s="1"/>
  <c r="J494" i="1" a="1"/>
  <c r="J494" i="1" s="1"/>
  <c r="J496" i="1" a="1"/>
  <c r="J496" i="1" s="1"/>
  <c r="J498" i="1" a="1"/>
  <c r="J498" i="1" s="1"/>
  <c r="Q474" i="1" a="1"/>
  <c r="Q474" i="1" s="1"/>
  <c r="Q476" i="1" a="1"/>
  <c r="Q476" i="1" s="1"/>
  <c r="Q478" i="1" a="1"/>
  <c r="Q478" i="1" s="1"/>
  <c r="Q480" i="1" a="1"/>
  <c r="Q480" i="1" s="1"/>
  <c r="Q482" i="1" a="1"/>
  <c r="Q482" i="1" s="1"/>
  <c r="Q484" i="1" a="1"/>
  <c r="Q484" i="1" s="1"/>
  <c r="Q475" i="1" a="1"/>
  <c r="Q475" i="1" s="1"/>
  <c r="Q477" i="1" a="1"/>
  <c r="Q477" i="1" s="1"/>
  <c r="Q479" i="1" a="1"/>
  <c r="Q479" i="1" s="1"/>
  <c r="Q481" i="1" a="1"/>
  <c r="Q481" i="1" s="1"/>
  <c r="Q483" i="1" a="1"/>
  <c r="Q483" i="1" s="1"/>
  <c r="Q485" i="1" a="1"/>
  <c r="Q485" i="1" s="1"/>
  <c r="N474" i="1" a="1"/>
  <c r="N474" i="1" s="1"/>
  <c r="N476" i="1" a="1"/>
  <c r="N476" i="1" s="1"/>
  <c r="N478" i="1" a="1"/>
  <c r="N478" i="1" s="1"/>
  <c r="N480" i="1" a="1"/>
  <c r="N480" i="1" s="1"/>
  <c r="N482" i="1" a="1"/>
  <c r="N482" i="1" s="1"/>
  <c r="N484" i="1" a="1"/>
  <c r="N484" i="1" s="1"/>
  <c r="N475" i="1" a="1"/>
  <c r="N475" i="1" s="1"/>
  <c r="N477" i="1" a="1"/>
  <c r="N477" i="1" s="1"/>
  <c r="N479" i="1" a="1"/>
  <c r="N479" i="1" s="1"/>
  <c r="N481" i="1" a="1"/>
  <c r="N481" i="1" s="1"/>
  <c r="N483" i="1" a="1"/>
  <c r="N483" i="1" s="1"/>
  <c r="N485" i="1" a="1"/>
  <c r="N485" i="1" s="1"/>
  <c r="I474" i="1" a="1"/>
  <c r="I474" i="1" s="1"/>
  <c r="I476" i="1" a="1"/>
  <c r="I476" i="1" s="1"/>
  <c r="I478" i="1" a="1"/>
  <c r="I478" i="1" s="1"/>
  <c r="I480" i="1" a="1"/>
  <c r="I480" i="1" s="1"/>
  <c r="I482" i="1" a="1"/>
  <c r="I482" i="1" s="1"/>
  <c r="I484" i="1" a="1"/>
  <c r="I484" i="1" s="1"/>
  <c r="I475" i="1" a="1"/>
  <c r="I475" i="1" s="1"/>
  <c r="I477" i="1" a="1"/>
  <c r="I477" i="1" s="1"/>
  <c r="I479" i="1" a="1"/>
  <c r="I479" i="1" s="1"/>
  <c r="I481" i="1" a="1"/>
  <c r="I481" i="1" s="1"/>
  <c r="I483" i="1" a="1"/>
  <c r="I483" i="1" s="1"/>
  <c r="I485" i="1" a="1"/>
  <c r="I485" i="1" s="1"/>
  <c r="R461" i="1" a="1"/>
  <c r="R461" i="1" s="1"/>
  <c r="R463" i="1" a="1"/>
  <c r="R463" i="1" s="1"/>
  <c r="R465" i="1" a="1"/>
  <c r="R465" i="1" s="1"/>
  <c r="R467" i="1" a="1"/>
  <c r="R467" i="1" s="1"/>
  <c r="R469" i="1" a="1"/>
  <c r="R469" i="1" s="1"/>
  <c r="R471" i="1" a="1"/>
  <c r="R471" i="1" s="1"/>
  <c r="R460" i="1" a="1"/>
  <c r="R460" i="1" s="1"/>
  <c r="R462" i="1" a="1"/>
  <c r="R462" i="1" s="1"/>
  <c r="R464" i="1" a="1"/>
  <c r="R464" i="1" s="1"/>
  <c r="R466" i="1" a="1"/>
  <c r="R466" i="1" s="1"/>
  <c r="R468" i="1" a="1"/>
  <c r="R468" i="1" s="1"/>
  <c r="R470" i="1" a="1"/>
  <c r="R470" i="1" s="1"/>
  <c r="R472" i="1" a="1"/>
  <c r="R472" i="1" s="1"/>
  <c r="M461" i="1" a="1"/>
  <c r="M461" i="1" s="1"/>
  <c r="M463" i="1" a="1"/>
  <c r="M463" i="1" s="1"/>
  <c r="M465" i="1" a="1"/>
  <c r="M465" i="1" s="1"/>
  <c r="M467" i="1" a="1"/>
  <c r="M467" i="1" s="1"/>
  <c r="M469" i="1" a="1"/>
  <c r="M469" i="1" s="1"/>
  <c r="M471" i="1" a="1"/>
  <c r="M471" i="1" s="1"/>
  <c r="M460" i="1" a="1"/>
  <c r="M460" i="1" s="1"/>
  <c r="M462" i="1" a="1"/>
  <c r="M462" i="1" s="1"/>
  <c r="M464" i="1" a="1"/>
  <c r="M464" i="1" s="1"/>
  <c r="M466" i="1" a="1"/>
  <c r="M466" i="1" s="1"/>
  <c r="M468" i="1" a="1"/>
  <c r="M468" i="1" s="1"/>
  <c r="M470" i="1" a="1"/>
  <c r="M470" i="1" s="1"/>
  <c r="M472" i="1" a="1"/>
  <c r="M472" i="1" s="1"/>
  <c r="J461" i="1" a="1"/>
  <c r="J461" i="1" s="1"/>
  <c r="J463" i="1" a="1"/>
  <c r="J463" i="1" s="1"/>
  <c r="J465" i="1" a="1"/>
  <c r="J465" i="1" s="1"/>
  <c r="J467" i="1" a="1"/>
  <c r="J467" i="1" s="1"/>
  <c r="J469" i="1" a="1"/>
  <c r="J469" i="1" s="1"/>
  <c r="J471" i="1" a="1"/>
  <c r="J471" i="1" s="1"/>
  <c r="J460" i="1" a="1"/>
  <c r="J460" i="1" s="1"/>
  <c r="J462" i="1" a="1"/>
  <c r="J462" i="1" s="1"/>
  <c r="J464" i="1" a="1"/>
  <c r="J464" i="1" s="1"/>
  <c r="J466" i="1" a="1"/>
  <c r="J466" i="1" s="1"/>
  <c r="J468" i="1" a="1"/>
  <c r="J468" i="1" s="1"/>
  <c r="J470" i="1" a="1"/>
  <c r="J470" i="1" s="1"/>
  <c r="J472" i="1" a="1"/>
  <c r="J472" i="1" s="1"/>
  <c r="Q448" i="1" a="1"/>
  <c r="Q448" i="1" s="1"/>
  <c r="Q450" i="1" a="1"/>
  <c r="Q450" i="1" s="1"/>
  <c r="Q452" i="1" a="1"/>
  <c r="Q452" i="1" s="1"/>
  <c r="Q454" i="1" a="1"/>
  <c r="Q454" i="1" s="1"/>
  <c r="Q456" i="1" a="1"/>
  <c r="Q456" i="1" s="1"/>
  <c r="Q458" i="1" a="1"/>
  <c r="Q458" i="1" s="1"/>
  <c r="Q447" i="1" a="1"/>
  <c r="Q447" i="1" s="1"/>
  <c r="Q449" i="1" a="1"/>
  <c r="Q449" i="1" s="1"/>
  <c r="Q451" i="1" a="1"/>
  <c r="Q451" i="1" s="1"/>
  <c r="Q453" i="1" a="1"/>
  <c r="Q453" i="1" s="1"/>
  <c r="Q455" i="1" a="1"/>
  <c r="Q455" i="1" s="1"/>
  <c r="Q457" i="1" a="1"/>
  <c r="Q457" i="1" s="1"/>
  <c r="Q459" i="1" a="1"/>
  <c r="Q459" i="1" s="1"/>
  <c r="N448" i="1" a="1"/>
  <c r="N448" i="1" s="1"/>
  <c r="N450" i="1" a="1"/>
  <c r="N450" i="1" s="1"/>
  <c r="N452" i="1" a="1"/>
  <c r="N452" i="1" s="1"/>
  <c r="N454" i="1" a="1"/>
  <c r="N454" i="1" s="1"/>
  <c r="N456" i="1" a="1"/>
  <c r="N456" i="1" s="1"/>
  <c r="N458" i="1" a="1"/>
  <c r="N458" i="1" s="1"/>
  <c r="N447" i="1" a="1"/>
  <c r="N447" i="1" s="1"/>
  <c r="N449" i="1" a="1"/>
  <c r="N449" i="1" s="1"/>
  <c r="N451" i="1" a="1"/>
  <c r="N451" i="1" s="1"/>
  <c r="N453" i="1" a="1"/>
  <c r="N453" i="1" s="1"/>
  <c r="N455" i="1" a="1"/>
  <c r="N455" i="1" s="1"/>
  <c r="N457" i="1" a="1"/>
  <c r="N457" i="1" s="1"/>
  <c r="N459" i="1" a="1"/>
  <c r="N459" i="1" s="1"/>
  <c r="I448" i="1" a="1"/>
  <c r="I448" i="1" s="1"/>
  <c r="I450" i="1" a="1"/>
  <c r="I450" i="1" s="1"/>
  <c r="I452" i="1" a="1"/>
  <c r="I452" i="1" s="1"/>
  <c r="I454" i="1" a="1"/>
  <c r="I454" i="1" s="1"/>
  <c r="I456" i="1" a="1"/>
  <c r="I456" i="1" s="1"/>
  <c r="I458" i="1" a="1"/>
  <c r="I458" i="1" s="1"/>
  <c r="I449" i="1" a="1"/>
  <c r="I449" i="1" s="1"/>
  <c r="I451" i="1" a="1"/>
  <c r="I451" i="1" s="1"/>
  <c r="I453" i="1" a="1"/>
  <c r="I453" i="1" s="1"/>
  <c r="I455" i="1" a="1"/>
  <c r="I455" i="1" s="1"/>
  <c r="I457" i="1" a="1"/>
  <c r="I457" i="1" s="1"/>
  <c r="I459" i="1" a="1"/>
  <c r="I459" i="1" s="1"/>
  <c r="R435" i="1" a="1"/>
  <c r="R435" i="1" s="1"/>
  <c r="R440" i="1" a="1"/>
  <c r="R440" i="1" s="1"/>
  <c r="R438" i="1" a="1"/>
  <c r="R438" i="1" s="1"/>
  <c r="R436" i="1" a="1"/>
  <c r="R436" i="1" s="1"/>
  <c r="R439" i="1" a="1"/>
  <c r="R439" i="1" s="1"/>
  <c r="R434" i="1" a="1"/>
  <c r="R434" i="1" s="1"/>
  <c r="R444" i="1" a="1"/>
  <c r="R444" i="1" s="1"/>
  <c r="R445" i="1" a="1"/>
  <c r="R445" i="1" s="1"/>
  <c r="R441" i="1" a="1"/>
  <c r="R441" i="1" s="1"/>
  <c r="R442" i="1" a="1"/>
  <c r="R442" i="1" s="1"/>
  <c r="R446" i="1" a="1"/>
  <c r="R446" i="1" s="1"/>
  <c r="R437" i="1" a="1"/>
  <c r="R437" i="1" s="1"/>
  <c r="R443" i="1" a="1"/>
  <c r="R443" i="1" s="1"/>
  <c r="M436" i="1" a="1"/>
  <c r="M436" i="1" s="1"/>
  <c r="M441" i="1" a="1"/>
  <c r="M441" i="1" s="1"/>
  <c r="M443" i="1" a="1"/>
  <c r="M443" i="1" s="1"/>
  <c r="M434" i="1" a="1"/>
  <c r="M434" i="1" s="1"/>
  <c r="M439" i="1" a="1"/>
  <c r="M439" i="1" s="1"/>
  <c r="M437" i="1" a="1"/>
  <c r="M437" i="1" s="1"/>
  <c r="M440" i="1" a="1"/>
  <c r="M440" i="1" s="1"/>
  <c r="M435" i="1" a="1"/>
  <c r="M435" i="1" s="1"/>
  <c r="M442" i="1" a="1"/>
  <c r="M442" i="1" s="1"/>
  <c r="M438" i="1" a="1"/>
  <c r="M438" i="1" s="1"/>
  <c r="M445" i="1" a="1"/>
  <c r="M445" i="1" s="1"/>
  <c r="M444" i="1" a="1"/>
  <c r="M444" i="1" s="1"/>
  <c r="M446" i="1" a="1"/>
  <c r="M446" i="1" s="1"/>
  <c r="J438" i="1" a="1"/>
  <c r="J438" i="1" s="1"/>
  <c r="J441" i="1" a="1"/>
  <c r="J441" i="1" s="1"/>
  <c r="J436" i="1" a="1"/>
  <c r="J436" i="1" s="1"/>
  <c r="J439" i="1" a="1"/>
  <c r="J439" i="1" s="1"/>
  <c r="J434" i="1" a="1"/>
  <c r="J434" i="1" s="1"/>
  <c r="J437" i="1" a="1"/>
  <c r="J437" i="1" s="1"/>
  <c r="J435" i="1" a="1"/>
  <c r="J435" i="1" s="1"/>
  <c r="J442" i="1" a="1"/>
  <c r="J442" i="1" s="1"/>
  <c r="J445" i="1" a="1"/>
  <c r="J445" i="1" s="1"/>
  <c r="J443" i="1" a="1"/>
  <c r="J443" i="1" s="1"/>
  <c r="J446" i="1" a="1"/>
  <c r="J446" i="1" s="1"/>
  <c r="J440" i="1" a="1"/>
  <c r="J440" i="1" s="1"/>
  <c r="J444" i="1" a="1"/>
  <c r="J444" i="1" s="1"/>
  <c r="Q422" i="1" a="1"/>
  <c r="Q422" i="1" s="1"/>
  <c r="Q425" i="1" a="1"/>
  <c r="Q425" i="1" s="1"/>
  <c r="Q430" i="1" a="1"/>
  <c r="Q430" i="1" s="1"/>
  <c r="Q433" i="1" a="1"/>
  <c r="Q433" i="1" s="1"/>
  <c r="Q423" i="1" a="1"/>
  <c r="Q423" i="1" s="1"/>
  <c r="Q428" i="1" a="1"/>
  <c r="Q428" i="1" s="1"/>
  <c r="Q431" i="1" a="1"/>
  <c r="Q431" i="1" s="1"/>
  <c r="Q421" i="1" a="1"/>
  <c r="Q421" i="1" s="1"/>
  <c r="Q426" i="1" a="1"/>
  <c r="Q426" i="1" s="1"/>
  <c r="Q429" i="1" a="1"/>
  <c r="Q429" i="1" s="1"/>
  <c r="Q424" i="1" a="1"/>
  <c r="Q424" i="1" s="1"/>
  <c r="Q427" i="1" a="1"/>
  <c r="Q427" i="1" s="1"/>
  <c r="Q432" i="1" a="1"/>
  <c r="Q432" i="1" s="1"/>
  <c r="N422" i="1" a="1"/>
  <c r="N422" i="1" s="1"/>
  <c r="N427" i="1" a="1"/>
  <c r="N427" i="1" s="1"/>
  <c r="N430" i="1" a="1"/>
  <c r="N430" i="1" s="1"/>
  <c r="N425" i="1" a="1"/>
  <c r="N425" i="1" s="1"/>
  <c r="N428" i="1" a="1"/>
  <c r="N428" i="1" s="1"/>
  <c r="N433" i="1" a="1"/>
  <c r="N433" i="1" s="1"/>
  <c r="N423" i="1" a="1"/>
  <c r="N423" i="1" s="1"/>
  <c r="N426" i="1" a="1"/>
  <c r="N426" i="1" s="1"/>
  <c r="N431" i="1" a="1"/>
  <c r="N431" i="1" s="1"/>
  <c r="N421" i="1" a="1"/>
  <c r="N421" i="1" s="1"/>
  <c r="N424" i="1" a="1"/>
  <c r="N424" i="1" s="1"/>
  <c r="N429" i="1" a="1"/>
  <c r="N429" i="1" s="1"/>
  <c r="N432" i="1" a="1"/>
  <c r="N432" i="1" s="1"/>
  <c r="I423" i="1" a="1"/>
  <c r="I423" i="1" s="1"/>
  <c r="I428" i="1" a="1"/>
  <c r="I428" i="1" s="1"/>
  <c r="I431" i="1" a="1"/>
  <c r="I431" i="1" s="1"/>
  <c r="I421" i="1" a="1"/>
  <c r="I421" i="1" s="1"/>
  <c r="I426" i="1" a="1"/>
  <c r="I426" i="1" s="1"/>
  <c r="I429" i="1" a="1"/>
  <c r="I429" i="1" s="1"/>
  <c r="I424" i="1" a="1"/>
  <c r="I424" i="1" s="1"/>
  <c r="I427" i="1" a="1"/>
  <c r="I427" i="1" s="1"/>
  <c r="I432" i="1" a="1"/>
  <c r="I432" i="1" s="1"/>
  <c r="I422" i="1" a="1"/>
  <c r="I422" i="1" s="1"/>
  <c r="I425" i="1" a="1"/>
  <c r="I425" i="1" s="1"/>
  <c r="I430" i="1" a="1"/>
  <c r="I430" i="1" s="1"/>
  <c r="I433" i="1" a="1"/>
  <c r="I433" i="1" s="1"/>
  <c r="R411" i="1" a="1"/>
  <c r="R411" i="1" s="1"/>
  <c r="R415" i="1" a="1"/>
  <c r="R415" i="1" s="1"/>
  <c r="R419" i="1" a="1"/>
  <c r="R419" i="1" s="1"/>
  <c r="R410" i="1" a="1"/>
  <c r="R410" i="1" s="1"/>
  <c r="R414" i="1" a="1"/>
  <c r="R414" i="1" s="1"/>
  <c r="R418" i="1" a="1"/>
  <c r="R418" i="1" s="1"/>
  <c r="R409" i="1" a="1"/>
  <c r="R409" i="1" s="1"/>
  <c r="R413" i="1" a="1"/>
  <c r="R413" i="1" s="1"/>
  <c r="R417" i="1" a="1"/>
  <c r="R417" i="1" s="1"/>
  <c r="R420" i="1" a="1"/>
  <c r="R420" i="1" s="1"/>
  <c r="R408" i="1" a="1"/>
  <c r="R408" i="1" s="1"/>
  <c r="R412" i="1" a="1"/>
  <c r="R412" i="1" s="1"/>
  <c r="R416" i="1" a="1"/>
  <c r="R416" i="1" s="1"/>
  <c r="M409" i="1" a="1"/>
  <c r="M409" i="1" s="1"/>
  <c r="M413" i="1" a="1"/>
  <c r="M413" i="1" s="1"/>
  <c r="M417" i="1" a="1"/>
  <c r="M417" i="1" s="1"/>
  <c r="M420" i="1" a="1"/>
  <c r="M420" i="1" s="1"/>
  <c r="M412" i="1" a="1"/>
  <c r="M412" i="1" s="1"/>
  <c r="M416" i="1" a="1"/>
  <c r="M416" i="1" s="1"/>
  <c r="M411" i="1" a="1"/>
  <c r="M411" i="1" s="1"/>
  <c r="M415" i="1" a="1"/>
  <c r="M415" i="1" s="1"/>
  <c r="M419" i="1" a="1"/>
  <c r="M419" i="1" s="1"/>
  <c r="M410" i="1" a="1"/>
  <c r="M410" i="1" s="1"/>
  <c r="M414" i="1" a="1"/>
  <c r="M414" i="1" s="1"/>
  <c r="M418" i="1" a="1"/>
  <c r="M418" i="1" s="1"/>
  <c r="J409" i="1" a="1"/>
  <c r="J409" i="1" s="1"/>
  <c r="J413" i="1" a="1"/>
  <c r="J413" i="1" s="1"/>
  <c r="J417" i="1" a="1"/>
  <c r="J417" i="1" s="1"/>
  <c r="J412" i="1" a="1"/>
  <c r="J412" i="1" s="1"/>
  <c r="J416" i="1" a="1"/>
  <c r="J416" i="1" s="1"/>
  <c r="J420" i="1" a="1"/>
  <c r="J420" i="1" s="1"/>
  <c r="J411" i="1" a="1"/>
  <c r="J411" i="1" s="1"/>
  <c r="J415" i="1" a="1"/>
  <c r="J415" i="1" s="1"/>
  <c r="J419" i="1" a="1"/>
  <c r="J419" i="1" s="1"/>
  <c r="J410" i="1" a="1"/>
  <c r="J410" i="1" s="1"/>
  <c r="J414" i="1" a="1"/>
  <c r="J414" i="1" s="1"/>
  <c r="J418" i="1" a="1"/>
  <c r="J418" i="1" s="1"/>
  <c r="Q398" i="1" a="1"/>
  <c r="Q398" i="1" s="1"/>
  <c r="Q402" i="1" a="1"/>
  <c r="Q402" i="1" s="1"/>
  <c r="Q406" i="1" a="1"/>
  <c r="Q406" i="1" s="1"/>
  <c r="Q397" i="1" a="1"/>
  <c r="Q397" i="1" s="1"/>
  <c r="Q401" i="1" a="1"/>
  <c r="Q401" i="1" s="1"/>
  <c r="Q405" i="1" a="1"/>
  <c r="Q405" i="1" s="1"/>
  <c r="Q396" i="1" a="1"/>
  <c r="Q396" i="1" s="1"/>
  <c r="Q400" i="1" a="1"/>
  <c r="Q400" i="1" s="1"/>
  <c r="Q404" i="1" a="1"/>
  <c r="Q404" i="1" s="1"/>
  <c r="Q399" i="1" a="1"/>
  <c r="Q399" i="1" s="1"/>
  <c r="Q403" i="1" a="1"/>
  <c r="Q403" i="1" s="1"/>
  <c r="Q407" i="1" a="1"/>
  <c r="Q407" i="1" s="1"/>
  <c r="N398" i="1" a="1"/>
  <c r="N398" i="1" s="1"/>
  <c r="N402" i="1" a="1"/>
  <c r="N402" i="1" s="1"/>
  <c r="N406" i="1" a="1"/>
  <c r="N406" i="1" s="1"/>
  <c r="N397" i="1" a="1"/>
  <c r="N397" i="1" s="1"/>
  <c r="N401" i="1" a="1"/>
  <c r="N401" i="1" s="1"/>
  <c r="N405" i="1" a="1"/>
  <c r="N405" i="1" s="1"/>
  <c r="N396" i="1" a="1"/>
  <c r="N396" i="1" s="1"/>
  <c r="N400" i="1" a="1"/>
  <c r="N400" i="1" s="1"/>
  <c r="N404" i="1" a="1"/>
  <c r="N404" i="1" s="1"/>
  <c r="N399" i="1" a="1"/>
  <c r="N399" i="1" s="1"/>
  <c r="N403" i="1" a="1"/>
  <c r="N403" i="1" s="1"/>
  <c r="N407" i="1" a="1"/>
  <c r="N407" i="1" s="1"/>
  <c r="I396" i="1" a="1"/>
  <c r="I396" i="1" s="1"/>
  <c r="I400" i="1" a="1"/>
  <c r="I400" i="1" s="1"/>
  <c r="I404" i="1" a="1"/>
  <c r="I404" i="1" s="1"/>
  <c r="I399" i="1" a="1"/>
  <c r="I399" i="1" s="1"/>
  <c r="I403" i="1" a="1"/>
  <c r="I403" i="1" s="1"/>
  <c r="I407" i="1" a="1"/>
  <c r="I407" i="1" s="1"/>
  <c r="I398" i="1" a="1"/>
  <c r="I398" i="1" s="1"/>
  <c r="I402" i="1" a="1"/>
  <c r="I402" i="1" s="1"/>
  <c r="I406" i="1" a="1"/>
  <c r="I406" i="1" s="1"/>
  <c r="I397" i="1" a="1"/>
  <c r="I397" i="1" s="1"/>
  <c r="I401" i="1" a="1"/>
  <c r="I401" i="1" s="1"/>
  <c r="I405" i="1" a="1"/>
  <c r="I405" i="1" s="1"/>
  <c r="R386" i="1" a="1"/>
  <c r="R386" i="1" s="1"/>
  <c r="R391" i="1" a="1"/>
  <c r="R391" i="1" s="1"/>
  <c r="R385" i="1" a="1"/>
  <c r="R385" i="1" s="1"/>
  <c r="R389" i="1" a="1"/>
  <c r="R389" i="1" s="1"/>
  <c r="R390" i="1" a="1"/>
  <c r="R390" i="1" s="1"/>
  <c r="R394" i="1" a="1"/>
  <c r="R394" i="1" s="1"/>
  <c r="R384" i="1" a="1"/>
  <c r="R384" i="1" s="1"/>
  <c r="R388" i="1" a="1"/>
  <c r="R388" i="1" s="1"/>
  <c r="R393" i="1" a="1"/>
  <c r="R393" i="1" s="1"/>
  <c r="R383" i="1" a="1"/>
  <c r="R383" i="1" s="1"/>
  <c r="R387" i="1" a="1"/>
  <c r="R387" i="1" s="1"/>
  <c r="R392" i="1" a="1"/>
  <c r="R392" i="1" s="1"/>
  <c r="M384" i="1" a="1"/>
  <c r="M384" i="1" s="1"/>
  <c r="M388" i="1" a="1"/>
  <c r="M388" i="1" s="1"/>
  <c r="M393" i="1" a="1"/>
  <c r="M393" i="1" s="1"/>
  <c r="M383" i="1" a="1"/>
  <c r="M383" i="1" s="1"/>
  <c r="M387" i="1" a="1"/>
  <c r="M387" i="1" s="1"/>
  <c r="M392" i="1" a="1"/>
  <c r="M392" i="1" s="1"/>
  <c r="M386" i="1" a="1"/>
  <c r="M386" i="1" s="1"/>
  <c r="M391" i="1" a="1"/>
  <c r="M391" i="1" s="1"/>
  <c r="M385" i="1" a="1"/>
  <c r="M385" i="1" s="1"/>
  <c r="M389" i="1" a="1"/>
  <c r="M389" i="1" s="1"/>
  <c r="M390" i="1" a="1"/>
  <c r="M390" i="1" s="1"/>
  <c r="M394" i="1" a="1"/>
  <c r="M394" i="1" s="1"/>
  <c r="J384" i="1" a="1"/>
  <c r="J384" i="1" s="1"/>
  <c r="J388" i="1" a="1"/>
  <c r="J388" i="1" s="1"/>
  <c r="J393" i="1" a="1"/>
  <c r="J393" i="1" s="1"/>
  <c r="J383" i="1" a="1"/>
  <c r="J383" i="1" s="1"/>
  <c r="J387" i="1" a="1"/>
  <c r="J387" i="1" s="1"/>
  <c r="J392" i="1" a="1"/>
  <c r="J392" i="1" s="1"/>
  <c r="J386" i="1" a="1"/>
  <c r="J386" i="1" s="1"/>
  <c r="J390" i="1" a="1"/>
  <c r="J390" i="1" s="1"/>
  <c r="J391" i="1" a="1"/>
  <c r="J391" i="1" s="1"/>
  <c r="J385" i="1" a="1"/>
  <c r="J385" i="1" s="1"/>
  <c r="J389" i="1" a="1"/>
  <c r="J389" i="1" s="1"/>
  <c r="J394" i="1" a="1"/>
  <c r="J394" i="1" s="1"/>
  <c r="Q373" i="1" a="1"/>
  <c r="Q373" i="1" s="1"/>
  <c r="Q377" i="1" a="1"/>
  <c r="Q377" i="1" s="1"/>
  <c r="Q381" i="1" a="1"/>
  <c r="Q381" i="1" s="1"/>
  <c r="Q372" i="1" a="1"/>
  <c r="Q372" i="1" s="1"/>
  <c r="Q376" i="1" a="1"/>
  <c r="Q376" i="1" s="1"/>
  <c r="Q380" i="1" a="1"/>
  <c r="Q380" i="1" s="1"/>
  <c r="Q371" i="1" a="1"/>
  <c r="Q371" i="1" s="1"/>
  <c r="Q375" i="1" a="1"/>
  <c r="Q375" i="1" s="1"/>
  <c r="Q379" i="1" a="1"/>
  <c r="Q379" i="1" s="1"/>
  <c r="Q370" i="1" a="1"/>
  <c r="Q370" i="1" s="1"/>
  <c r="Q374" i="1" a="1"/>
  <c r="Q374" i="1" s="1"/>
  <c r="Q378" i="1" a="1"/>
  <c r="Q378" i="1" s="1"/>
  <c r="N373" i="1" a="1"/>
  <c r="N373" i="1" s="1"/>
  <c r="N377" i="1" a="1"/>
  <c r="N377" i="1" s="1"/>
  <c r="N381" i="1" a="1"/>
  <c r="N381" i="1" s="1"/>
  <c r="N372" i="1" a="1"/>
  <c r="N372" i="1" s="1"/>
  <c r="N376" i="1" a="1"/>
  <c r="N376" i="1" s="1"/>
  <c r="N380" i="1" a="1"/>
  <c r="N380" i="1" s="1"/>
  <c r="N371" i="1" a="1"/>
  <c r="N371" i="1" s="1"/>
  <c r="N375" i="1" a="1"/>
  <c r="N375" i="1" s="1"/>
  <c r="N379" i="1" a="1"/>
  <c r="N379" i="1" s="1"/>
  <c r="N370" i="1" a="1"/>
  <c r="N370" i="1" s="1"/>
  <c r="N374" i="1" a="1"/>
  <c r="N374" i="1" s="1"/>
  <c r="N378" i="1" a="1"/>
  <c r="N378" i="1" s="1"/>
  <c r="I371" i="1" a="1"/>
  <c r="I371" i="1" s="1"/>
  <c r="I375" i="1" a="1"/>
  <c r="I375" i="1" s="1"/>
  <c r="I379" i="1" a="1"/>
  <c r="I379" i="1" s="1"/>
  <c r="I370" i="1" a="1"/>
  <c r="I370" i="1" s="1"/>
  <c r="I374" i="1" a="1"/>
  <c r="I374" i="1" s="1"/>
  <c r="I378" i="1" a="1"/>
  <c r="I378" i="1" s="1"/>
  <c r="I373" i="1" a="1"/>
  <c r="I373" i="1" s="1"/>
  <c r="I377" i="1" a="1"/>
  <c r="I377" i="1" s="1"/>
  <c r="I381" i="1" a="1"/>
  <c r="I381" i="1" s="1"/>
  <c r="I372" i="1" a="1"/>
  <c r="I372" i="1" s="1"/>
  <c r="I376" i="1" a="1"/>
  <c r="I376" i="1" s="1"/>
  <c r="I380" i="1" a="1"/>
  <c r="I380" i="1" s="1"/>
  <c r="R358" i="1" a="1"/>
  <c r="R358" i="1" s="1"/>
  <c r="R362" i="1" a="1"/>
  <c r="R362" i="1" s="1"/>
  <c r="R366" i="1" a="1"/>
  <c r="R366" i="1" s="1"/>
  <c r="R361" i="1" a="1"/>
  <c r="R361" i="1" s="1"/>
  <c r="R365" i="1" a="1"/>
  <c r="R365" i="1" s="1"/>
  <c r="R357" i="1" a="1"/>
  <c r="R357" i="1" s="1"/>
  <c r="R360" i="1" a="1"/>
  <c r="R360" i="1" s="1"/>
  <c r="R364" i="1" a="1"/>
  <c r="R364" i="1" s="1"/>
  <c r="R368" i="1" a="1"/>
  <c r="R368" i="1" s="1"/>
  <c r="R359" i="1" a="1"/>
  <c r="R359" i="1" s="1"/>
  <c r="R363" i="1" a="1"/>
  <c r="R363" i="1" s="1"/>
  <c r="R367" i="1" a="1"/>
  <c r="R367" i="1" s="1"/>
  <c r="M360" i="1" a="1"/>
  <c r="M360" i="1" s="1"/>
  <c r="M364" i="1" a="1"/>
  <c r="M364" i="1" s="1"/>
  <c r="M368" i="1" a="1"/>
  <c r="M368" i="1" s="1"/>
  <c r="M359" i="1" a="1"/>
  <c r="M359" i="1" s="1"/>
  <c r="M363" i="1" a="1"/>
  <c r="M363" i="1" s="1"/>
  <c r="M367" i="1" a="1"/>
  <c r="M367" i="1" s="1"/>
  <c r="M357" i="1" a="1"/>
  <c r="M357" i="1" s="1"/>
  <c r="M358" i="1" a="1"/>
  <c r="M358" i="1" s="1"/>
  <c r="M362" i="1" a="1"/>
  <c r="M362" i="1" s="1"/>
  <c r="M366" i="1" a="1"/>
  <c r="M366" i="1" s="1"/>
  <c r="M361" i="1" a="1"/>
  <c r="M361" i="1" s="1"/>
  <c r="M365" i="1" a="1"/>
  <c r="M365" i="1" s="1"/>
  <c r="J360" i="1" a="1"/>
  <c r="J360" i="1" s="1"/>
  <c r="J364" i="1" a="1"/>
  <c r="J364" i="1" s="1"/>
  <c r="J368" i="1" a="1"/>
  <c r="J368" i="1" s="1"/>
  <c r="J359" i="1" a="1"/>
  <c r="J359" i="1" s="1"/>
  <c r="J363" i="1" a="1"/>
  <c r="J363" i="1" s="1"/>
  <c r="J367" i="1" a="1"/>
  <c r="J367" i="1" s="1"/>
  <c r="J358" i="1" a="1"/>
  <c r="J358" i="1" s="1"/>
  <c r="J362" i="1" a="1"/>
  <c r="J362" i="1" s="1"/>
  <c r="J366" i="1" a="1"/>
  <c r="J366" i="1" s="1"/>
  <c r="J357" i="1" a="1"/>
  <c r="J357" i="1" s="1"/>
  <c r="J361" i="1" a="1"/>
  <c r="J361" i="1" s="1"/>
  <c r="J365" i="1" a="1"/>
  <c r="J365" i="1" s="1"/>
  <c r="Q343" i="1" a="1"/>
  <c r="Q343" i="1" s="1"/>
  <c r="Q346" i="1" a="1"/>
  <c r="Q346" i="1" s="1"/>
  <c r="Q350" i="1" a="1"/>
  <c r="Q350" i="1" s="1"/>
  <c r="Q345" i="1" a="1"/>
  <c r="Q345" i="1" s="1"/>
  <c r="Q349" i="1" a="1"/>
  <c r="Q349" i="1" s="1"/>
  <c r="Q353" i="1" a="1"/>
  <c r="Q353" i="1" s="1"/>
  <c r="Q344" i="1" a="1"/>
  <c r="Q344" i="1" s="1"/>
  <c r="Q348" i="1" a="1"/>
  <c r="Q348" i="1" s="1"/>
  <c r="Q352" i="1" a="1"/>
  <c r="Q352" i="1" s="1"/>
  <c r="Q347" i="1" a="1"/>
  <c r="Q347" i="1" s="1"/>
  <c r="Q354" i="1" a="1"/>
  <c r="Q354" i="1" s="1"/>
  <c r="Q351" i="1" a="1"/>
  <c r="Q351" i="1" s="1"/>
  <c r="Q355" i="1" a="1"/>
  <c r="Q355" i="1" s="1"/>
  <c r="N343" i="1" a="1"/>
  <c r="N343" i="1" s="1"/>
  <c r="N346" i="1" a="1"/>
  <c r="N346" i="1" s="1"/>
  <c r="N350" i="1" a="1"/>
  <c r="N350" i="1" s="1"/>
  <c r="N345" i="1" a="1"/>
  <c r="N345" i="1" s="1"/>
  <c r="N349" i="1" a="1"/>
  <c r="N349" i="1" s="1"/>
  <c r="N353" i="1" a="1"/>
  <c r="N353" i="1" s="1"/>
  <c r="N344" i="1" a="1"/>
  <c r="N344" i="1" s="1"/>
  <c r="N348" i="1" a="1"/>
  <c r="N348" i="1" s="1"/>
  <c r="N352" i="1" a="1"/>
  <c r="N352" i="1" s="1"/>
  <c r="N354" i="1" a="1"/>
  <c r="N354" i="1" s="1"/>
  <c r="N355" i="1" a="1"/>
  <c r="N355" i="1" s="1"/>
  <c r="N351" i="1" a="1"/>
  <c r="N351" i="1" s="1"/>
  <c r="N347" i="1" a="1"/>
  <c r="N347" i="1" s="1"/>
  <c r="I345" i="1" a="1"/>
  <c r="I345" i="1" s="1"/>
  <c r="I344" i="1" a="1"/>
  <c r="I344" i="1" s="1"/>
  <c r="I348" i="1" a="1"/>
  <c r="I348" i="1" s="1"/>
  <c r="I352" i="1" a="1"/>
  <c r="I352" i="1" s="1"/>
  <c r="I343" i="1" a="1"/>
  <c r="I343" i="1" s="1"/>
  <c r="I347" i="1" a="1"/>
  <c r="I347" i="1" s="1"/>
  <c r="I351" i="1" a="1"/>
  <c r="I351" i="1" s="1"/>
  <c r="I355" i="1" a="1"/>
  <c r="I355" i="1" s="1"/>
  <c r="I346" i="1" a="1"/>
  <c r="I346" i="1" s="1"/>
  <c r="I350" i="1" a="1"/>
  <c r="I350" i="1" s="1"/>
  <c r="I354" i="1" a="1"/>
  <c r="I354" i="1" s="1"/>
  <c r="I353" i="1" a="1"/>
  <c r="I353" i="1" s="1"/>
  <c r="I349" i="1" a="1"/>
  <c r="I349" i="1" s="1"/>
  <c r="Q331" i="1" a="1"/>
  <c r="Q331" i="1" s="1"/>
  <c r="Q335" i="1" a="1"/>
  <c r="Q335" i="1" s="1"/>
  <c r="Q339" i="1" a="1"/>
  <c r="Q339" i="1" s="1"/>
  <c r="Q334" i="1" a="1"/>
  <c r="Q334" i="1" s="1"/>
  <c r="Q338" i="1" a="1"/>
  <c r="Q338" i="1" s="1"/>
  <c r="Q342" i="1" a="1"/>
  <c r="Q342" i="1" s="1"/>
  <c r="Q333" i="1" a="1"/>
  <c r="Q333" i="1" s="1"/>
  <c r="Q337" i="1" a="1"/>
  <c r="Q337" i="1" s="1"/>
  <c r="Q341" i="1" a="1"/>
  <c r="Q341" i="1" s="1"/>
  <c r="Q332" i="1" a="1"/>
  <c r="Q332" i="1" s="1"/>
  <c r="Q336" i="1" a="1"/>
  <c r="Q336" i="1" s="1"/>
  <c r="Q340" i="1" a="1"/>
  <c r="Q340" i="1" s="1"/>
  <c r="N331" i="1" a="1"/>
  <c r="N331" i="1" s="1"/>
  <c r="N335" i="1" a="1"/>
  <c r="N335" i="1" s="1"/>
  <c r="N339" i="1" a="1"/>
  <c r="N339" i="1" s="1"/>
  <c r="N334" i="1" a="1"/>
  <c r="N334" i="1" s="1"/>
  <c r="N338" i="1" a="1"/>
  <c r="N338" i="1" s="1"/>
  <c r="N342" i="1" a="1"/>
  <c r="N342" i="1" s="1"/>
  <c r="N333" i="1" a="1"/>
  <c r="N333" i="1" s="1"/>
  <c r="N337" i="1" a="1"/>
  <c r="N337" i="1" s="1"/>
  <c r="N341" i="1" a="1"/>
  <c r="N341" i="1" s="1"/>
  <c r="N332" i="1" a="1"/>
  <c r="N332" i="1" s="1"/>
  <c r="N336" i="1" a="1"/>
  <c r="N336" i="1" s="1"/>
  <c r="N340" i="1" a="1"/>
  <c r="N340" i="1" s="1"/>
  <c r="K332" i="1" a="1"/>
  <c r="K332" i="1" s="1"/>
  <c r="K336" i="1" a="1"/>
  <c r="K336" i="1" s="1"/>
  <c r="K340" i="1" a="1"/>
  <c r="K340" i="1" s="1"/>
  <c r="K331" i="1" a="1"/>
  <c r="K331" i="1" s="1"/>
  <c r="K335" i="1" a="1"/>
  <c r="K335" i="1" s="1"/>
  <c r="K339" i="1" a="1"/>
  <c r="K339" i="1" s="1"/>
  <c r="K334" i="1" a="1"/>
  <c r="K334" i="1" s="1"/>
  <c r="K338" i="1" a="1"/>
  <c r="K338" i="1" s="1"/>
  <c r="K342" i="1" a="1"/>
  <c r="K342" i="1" s="1"/>
  <c r="K333" i="1" a="1"/>
  <c r="K333" i="1" s="1"/>
  <c r="K337" i="1" a="1"/>
  <c r="K337" i="1" s="1"/>
  <c r="K341" i="1" a="1"/>
  <c r="K341" i="1" s="1"/>
  <c r="Q319" i="1" a="1"/>
  <c r="Q319" i="1" s="1"/>
  <c r="Q323" i="1" a="1"/>
  <c r="Q323" i="1" s="1"/>
  <c r="Q327" i="1" a="1"/>
  <c r="Q327" i="1" s="1"/>
  <c r="Q318" i="1" a="1"/>
  <c r="Q318" i="1" s="1"/>
  <c r="Q322" i="1" a="1"/>
  <c r="Q322" i="1" s="1"/>
  <c r="Q326" i="1" a="1"/>
  <c r="Q326" i="1" s="1"/>
  <c r="Q317" i="1" a="1"/>
  <c r="Q317" i="1" s="1"/>
  <c r="Q321" i="1" a="1"/>
  <c r="Q321" i="1" s="1"/>
  <c r="Q325" i="1" a="1"/>
  <c r="Q325" i="1" s="1"/>
  <c r="Q329" i="1" a="1"/>
  <c r="Q329" i="1" s="1"/>
  <c r="Q320" i="1" a="1"/>
  <c r="Q320" i="1" s="1"/>
  <c r="Q324" i="1" a="1"/>
  <c r="Q324" i="1" s="1"/>
  <c r="Q328" i="1" a="1"/>
  <c r="Q328" i="1" s="1"/>
  <c r="M318" i="1" a="1"/>
  <c r="M318" i="1" s="1"/>
  <c r="M322" i="1" a="1"/>
  <c r="M322" i="1" s="1"/>
  <c r="M326" i="1" a="1"/>
  <c r="M326" i="1" s="1"/>
  <c r="M317" i="1" a="1"/>
  <c r="M317" i="1" s="1"/>
  <c r="M321" i="1" a="1"/>
  <c r="M321" i="1" s="1"/>
  <c r="M325" i="1" a="1"/>
  <c r="M325" i="1" s="1"/>
  <c r="M329" i="1" a="1"/>
  <c r="M329" i="1" s="1"/>
  <c r="M320" i="1" a="1"/>
  <c r="M320" i="1" s="1"/>
  <c r="M324" i="1" a="1"/>
  <c r="M324" i="1" s="1"/>
  <c r="M328" i="1" a="1"/>
  <c r="M328" i="1" s="1"/>
  <c r="M319" i="1" a="1"/>
  <c r="M319" i="1" s="1"/>
  <c r="M323" i="1" a="1"/>
  <c r="M323" i="1" s="1"/>
  <c r="M327" i="1" a="1"/>
  <c r="M327" i="1" s="1"/>
  <c r="J318" i="1" a="1"/>
  <c r="J318" i="1" s="1"/>
  <c r="J322" i="1" a="1"/>
  <c r="J322" i="1" s="1"/>
  <c r="J326" i="1" a="1"/>
  <c r="J326" i="1" s="1"/>
  <c r="J317" i="1" a="1"/>
  <c r="J317" i="1" s="1"/>
  <c r="J321" i="1" a="1"/>
  <c r="J321" i="1" s="1"/>
  <c r="J325" i="1" a="1"/>
  <c r="J325" i="1" s="1"/>
  <c r="J329" i="1" a="1"/>
  <c r="J329" i="1" s="1"/>
  <c r="J320" i="1" a="1"/>
  <c r="J320" i="1" s="1"/>
  <c r="J324" i="1" a="1"/>
  <c r="J324" i="1" s="1"/>
  <c r="J328" i="1" a="1"/>
  <c r="J328" i="1" s="1"/>
  <c r="J319" i="1" a="1"/>
  <c r="J319" i="1" s="1"/>
  <c r="J323" i="1" a="1"/>
  <c r="J323" i="1" s="1"/>
  <c r="J327" i="1" a="1"/>
  <c r="J327" i="1" s="1"/>
  <c r="S306" i="1" a="1"/>
  <c r="S306" i="1" s="1"/>
  <c r="S310" i="1" a="1"/>
  <c r="S310" i="1" s="1"/>
  <c r="S314" i="1" a="1"/>
  <c r="S314" i="1" s="1"/>
  <c r="S305" i="1" a="1"/>
  <c r="S305" i="1" s="1"/>
  <c r="S309" i="1" a="1"/>
  <c r="S309" i="1" s="1"/>
  <c r="S313" i="1" a="1"/>
  <c r="S313" i="1" s="1"/>
  <c r="S308" i="1" a="1"/>
  <c r="S308" i="1" s="1"/>
  <c r="S312" i="1" a="1"/>
  <c r="S312" i="1" s="1"/>
  <c r="S316" i="1" a="1"/>
  <c r="S316" i="1" s="1"/>
  <c r="S307" i="1" a="1"/>
  <c r="S307" i="1" s="1"/>
  <c r="S311" i="1" a="1"/>
  <c r="S311" i="1" s="1"/>
  <c r="S315" i="1" a="1"/>
  <c r="S315" i="1" s="1"/>
  <c r="M306" i="1" a="1"/>
  <c r="M306" i="1" s="1"/>
  <c r="M310" i="1" a="1"/>
  <c r="M310" i="1" s="1"/>
  <c r="M314" i="1" a="1"/>
  <c r="M314" i="1" s="1"/>
  <c r="M305" i="1" a="1"/>
  <c r="M305" i="1" s="1"/>
  <c r="M309" i="1" a="1"/>
  <c r="M309" i="1" s="1"/>
  <c r="M313" i="1" a="1"/>
  <c r="M313" i="1" s="1"/>
  <c r="M308" i="1" a="1"/>
  <c r="M308" i="1" s="1"/>
  <c r="M312" i="1" a="1"/>
  <c r="M312" i="1" s="1"/>
  <c r="M316" i="1" a="1"/>
  <c r="M316" i="1" s="1"/>
  <c r="M307" i="1" a="1"/>
  <c r="M307" i="1" s="1"/>
  <c r="M311" i="1" a="1"/>
  <c r="M311" i="1" s="1"/>
  <c r="M315" i="1" a="1"/>
  <c r="M315" i="1" s="1"/>
  <c r="I305" i="1" a="1"/>
  <c r="I305" i="1" s="1"/>
  <c r="I309" i="1" a="1"/>
  <c r="I309" i="1" s="1"/>
  <c r="I313" i="1" a="1"/>
  <c r="I313" i="1" s="1"/>
  <c r="I308" i="1" a="1"/>
  <c r="I308" i="1" s="1"/>
  <c r="I312" i="1" a="1"/>
  <c r="I312" i="1" s="1"/>
  <c r="I316" i="1" a="1"/>
  <c r="I316" i="1" s="1"/>
  <c r="I307" i="1" a="1"/>
  <c r="I307" i="1" s="1"/>
  <c r="I311" i="1" a="1"/>
  <c r="I311" i="1" s="1"/>
  <c r="I315" i="1" a="1"/>
  <c r="I315" i="1" s="1"/>
  <c r="I306" i="1" a="1"/>
  <c r="I306" i="1" s="1"/>
  <c r="I310" i="1" a="1"/>
  <c r="I310" i="1" s="1"/>
  <c r="I314" i="1" a="1"/>
  <c r="I314" i="1" s="1"/>
  <c r="R292" i="1" a="1"/>
  <c r="R292" i="1" s="1"/>
  <c r="R296" i="1" a="1"/>
  <c r="R296" i="1" s="1"/>
  <c r="R300" i="1" a="1"/>
  <c r="R300" i="1" s="1"/>
  <c r="R291" i="1" a="1"/>
  <c r="R291" i="1" s="1"/>
  <c r="R295" i="1" a="1"/>
  <c r="R295" i="1" s="1"/>
  <c r="R299" i="1" a="1"/>
  <c r="R299" i="1" s="1"/>
  <c r="R303" i="1" a="1"/>
  <c r="R303" i="1" s="1"/>
  <c r="R294" i="1" a="1"/>
  <c r="R294" i="1" s="1"/>
  <c r="R298" i="1" a="1"/>
  <c r="R298" i="1" s="1"/>
  <c r="R302" i="1" a="1"/>
  <c r="R302" i="1" s="1"/>
  <c r="R293" i="1" a="1"/>
  <c r="R293" i="1" s="1"/>
  <c r="R297" i="1" a="1"/>
  <c r="R297" i="1" s="1"/>
  <c r="R301" i="1" a="1"/>
  <c r="R301" i="1" s="1"/>
  <c r="O293" i="1" a="1"/>
  <c r="O293" i="1" s="1"/>
  <c r="O297" i="1" a="1"/>
  <c r="O297" i="1" s="1"/>
  <c r="O301" i="1" a="1"/>
  <c r="O301" i="1" s="1"/>
  <c r="O292" i="1" a="1"/>
  <c r="O292" i="1" s="1"/>
  <c r="O296" i="1" a="1"/>
  <c r="O296" i="1" s="1"/>
  <c r="O300" i="1" a="1"/>
  <c r="O300" i="1" s="1"/>
  <c r="O291" i="1" a="1"/>
  <c r="O291" i="1" s="1"/>
  <c r="O295" i="1" a="1"/>
  <c r="O295" i="1" s="1"/>
  <c r="O299" i="1" a="1"/>
  <c r="O299" i="1" s="1"/>
  <c r="O303" i="1" a="1"/>
  <c r="O303" i="1" s="1"/>
  <c r="O294" i="1" a="1"/>
  <c r="O294" i="1" s="1"/>
  <c r="O298" i="1" a="1"/>
  <c r="O298" i="1" s="1"/>
  <c r="O302" i="1" a="1"/>
  <c r="O302" i="1" s="1"/>
  <c r="I293" i="1" a="1"/>
  <c r="I293" i="1" s="1"/>
  <c r="I297" i="1" a="1"/>
  <c r="I297" i="1" s="1"/>
  <c r="I301" i="1" a="1"/>
  <c r="I301" i="1" s="1"/>
  <c r="I292" i="1" a="1"/>
  <c r="I292" i="1" s="1"/>
  <c r="I296" i="1" a="1"/>
  <c r="I296" i="1" s="1"/>
  <c r="I300" i="1" a="1"/>
  <c r="I300" i="1" s="1"/>
  <c r="I295" i="1" a="1"/>
  <c r="I295" i="1" s="1"/>
  <c r="I299" i="1" a="1"/>
  <c r="I299" i="1" s="1"/>
  <c r="I303" i="1" a="1"/>
  <c r="I303" i="1" s="1"/>
  <c r="I294" i="1" a="1"/>
  <c r="I294" i="1" s="1"/>
  <c r="I298" i="1" a="1"/>
  <c r="I298" i="1" s="1"/>
  <c r="I302" i="1" a="1"/>
  <c r="I302" i="1" s="1"/>
  <c r="Q279" i="1" a="1"/>
  <c r="Q279" i="1" s="1"/>
  <c r="Q283" i="1" a="1"/>
  <c r="Q283" i="1" s="1"/>
  <c r="Q287" i="1" a="1"/>
  <c r="Q287" i="1" s="1"/>
  <c r="Q282" i="1" a="1"/>
  <c r="Q282" i="1" s="1"/>
  <c r="Q286" i="1" a="1"/>
  <c r="Q286" i="1" s="1"/>
  <c r="Q290" i="1" a="1"/>
  <c r="Q290" i="1" s="1"/>
  <c r="Q281" i="1" a="1"/>
  <c r="Q281" i="1" s="1"/>
  <c r="Q285" i="1" a="1"/>
  <c r="Q285" i="1" s="1"/>
  <c r="Q289" i="1" a="1"/>
  <c r="Q289" i="1" s="1"/>
  <c r="Q280" i="1" a="1"/>
  <c r="Q280" i="1" s="1"/>
  <c r="Q284" i="1" a="1"/>
  <c r="Q284" i="1" s="1"/>
  <c r="Q288" i="1" a="1"/>
  <c r="Q288" i="1" s="1"/>
  <c r="N279" i="1" a="1"/>
  <c r="N279" i="1" s="1"/>
  <c r="N283" i="1" a="1"/>
  <c r="N283" i="1" s="1"/>
  <c r="N287" i="1" a="1"/>
  <c r="N287" i="1" s="1"/>
  <c r="N282" i="1" a="1"/>
  <c r="N282" i="1" s="1"/>
  <c r="N286" i="1" a="1"/>
  <c r="N286" i="1" s="1"/>
  <c r="N290" i="1" a="1"/>
  <c r="N290" i="1" s="1"/>
  <c r="N281" i="1" a="1"/>
  <c r="N281" i="1" s="1"/>
  <c r="N285" i="1" a="1"/>
  <c r="N285" i="1" s="1"/>
  <c r="N289" i="1" a="1"/>
  <c r="N289" i="1" s="1"/>
  <c r="N280" i="1" a="1"/>
  <c r="N280" i="1" s="1"/>
  <c r="N284" i="1" a="1"/>
  <c r="N284" i="1" s="1"/>
  <c r="N288" i="1" a="1"/>
  <c r="N288" i="1" s="1"/>
  <c r="K280" i="1" a="1"/>
  <c r="K280" i="1" s="1"/>
  <c r="K284" i="1" a="1"/>
  <c r="K284" i="1" s="1"/>
  <c r="K288" i="1" a="1"/>
  <c r="K288" i="1" s="1"/>
  <c r="K279" i="1" a="1"/>
  <c r="K279" i="1" s="1"/>
  <c r="K283" i="1" a="1"/>
  <c r="K283" i="1" s="1"/>
  <c r="K287" i="1" a="1"/>
  <c r="K287" i="1" s="1"/>
  <c r="K278" i="1" a="1"/>
  <c r="K278" i="1" s="1"/>
  <c r="K282" i="1" a="1"/>
  <c r="K282" i="1" s="1"/>
  <c r="K286" i="1" a="1"/>
  <c r="K286" i="1" s="1"/>
  <c r="K290" i="1" a="1"/>
  <c r="K290" i="1" s="1"/>
  <c r="K281" i="1" a="1"/>
  <c r="K281" i="1" s="1"/>
  <c r="K285" i="1" a="1"/>
  <c r="K285" i="1" s="1"/>
  <c r="K289" i="1" a="1"/>
  <c r="K289" i="1" s="1"/>
  <c r="Q268" i="1" a="1"/>
  <c r="Q268" i="1" s="1"/>
  <c r="Q267" i="1" a="1"/>
  <c r="Q267" i="1" s="1"/>
  <c r="Q265" i="1" a="1"/>
  <c r="Q265" i="1" s="1"/>
  <c r="Q269" i="1" a="1"/>
  <c r="Q269" i="1" s="1"/>
  <c r="Q271" i="1" a="1"/>
  <c r="Q271" i="1" s="1"/>
  <c r="Q275" i="1" a="1"/>
  <c r="Q275" i="1" s="1"/>
  <c r="Q270" i="1" a="1"/>
  <c r="Q270" i="1" s="1"/>
  <c r="Q274" i="1" a="1"/>
  <c r="Q274" i="1" s="1"/>
  <c r="Q273" i="1" a="1"/>
  <c r="Q273" i="1" s="1"/>
  <c r="Q277" i="1" a="1"/>
  <c r="Q277" i="1" s="1"/>
  <c r="Q266" i="1" a="1"/>
  <c r="Q266" i="1" s="1"/>
  <c r="Q272" i="1" a="1"/>
  <c r="Q272" i="1" s="1"/>
  <c r="Q276" i="1" a="1"/>
  <c r="Q276" i="1" s="1"/>
  <c r="M267" i="1" a="1"/>
  <c r="M267" i="1" s="1"/>
  <c r="M266" i="1" a="1"/>
  <c r="M266" i="1" s="1"/>
  <c r="M265" i="1" a="1"/>
  <c r="M265" i="1" s="1"/>
  <c r="M268" i="1" a="1"/>
  <c r="M268" i="1" s="1"/>
  <c r="M269" i="1" a="1"/>
  <c r="M269" i="1" s="1"/>
  <c r="M270" i="1" a="1"/>
  <c r="M270" i="1" s="1"/>
  <c r="M274" i="1" a="1"/>
  <c r="M274" i="1" s="1"/>
  <c r="M273" i="1" a="1"/>
  <c r="M273" i="1" s="1"/>
  <c r="M277" i="1" a="1"/>
  <c r="M277" i="1" s="1"/>
  <c r="M272" i="1" a="1"/>
  <c r="M272" i="1" s="1"/>
  <c r="M276" i="1" a="1"/>
  <c r="M276" i="1" s="1"/>
  <c r="M271" i="1" a="1"/>
  <c r="M271" i="1" s="1"/>
  <c r="M275" i="1" a="1"/>
  <c r="M275" i="1" s="1"/>
  <c r="J267" i="1" a="1"/>
  <c r="J267" i="1" s="1"/>
  <c r="J266" i="1" a="1"/>
  <c r="J266" i="1" s="1"/>
  <c r="J265" i="1" a="1"/>
  <c r="J265" i="1" s="1"/>
  <c r="J270" i="1" a="1"/>
  <c r="J270" i="1" s="1"/>
  <c r="J274" i="1" a="1"/>
  <c r="J274" i="1" s="1"/>
  <c r="J269" i="1" a="1"/>
  <c r="J269" i="1" s="1"/>
  <c r="J273" i="1" a="1"/>
  <c r="J273" i="1" s="1"/>
  <c r="J277" i="1" a="1"/>
  <c r="J277" i="1" s="1"/>
  <c r="J268" i="1" a="1"/>
  <c r="J268" i="1" s="1"/>
  <c r="J272" i="1" a="1"/>
  <c r="J272" i="1" s="1"/>
  <c r="J276" i="1" a="1"/>
  <c r="J276" i="1" s="1"/>
  <c r="J271" i="1" a="1"/>
  <c r="J271" i="1" s="1"/>
  <c r="J275" i="1" a="1"/>
  <c r="J275" i="1" s="1"/>
  <c r="S255" i="1" a="1"/>
  <c r="S255" i="1" s="1"/>
  <c r="S259" i="1" a="1"/>
  <c r="S259" i="1" s="1"/>
  <c r="S263" i="1" a="1"/>
  <c r="S263" i="1" s="1"/>
  <c r="S254" i="1" a="1"/>
  <c r="S254" i="1" s="1"/>
  <c r="S258" i="1" a="1"/>
  <c r="S258" i="1" s="1"/>
  <c r="S262" i="1" a="1"/>
  <c r="S262" i="1" s="1"/>
  <c r="S253" i="1" a="1"/>
  <c r="S253" i="1" s="1"/>
  <c r="S257" i="1" a="1"/>
  <c r="S257" i="1" s="1"/>
  <c r="S261" i="1" a="1"/>
  <c r="S261" i="1" s="1"/>
  <c r="S252" i="1" a="1"/>
  <c r="S252" i="1" s="1"/>
  <c r="S256" i="1" a="1"/>
  <c r="S256" i="1" s="1"/>
  <c r="S260" i="1" a="1"/>
  <c r="S260" i="1" s="1"/>
  <c r="S264" i="1" a="1"/>
  <c r="S264" i="1" s="1"/>
  <c r="M255" i="1" a="1"/>
  <c r="M255" i="1" s="1"/>
  <c r="M259" i="1" a="1"/>
  <c r="M259" i="1" s="1"/>
  <c r="M263" i="1" a="1"/>
  <c r="M263" i="1" s="1"/>
  <c r="M254" i="1" a="1"/>
  <c r="M254" i="1" s="1"/>
  <c r="M258" i="1" a="1"/>
  <c r="M258" i="1" s="1"/>
  <c r="M262" i="1" a="1"/>
  <c r="M262" i="1" s="1"/>
  <c r="M253" i="1" a="1"/>
  <c r="M253" i="1" s="1"/>
  <c r="M257" i="1" a="1"/>
  <c r="M257" i="1" s="1"/>
  <c r="M261" i="1" a="1"/>
  <c r="M261" i="1" s="1"/>
  <c r="M252" i="1" a="1"/>
  <c r="M252" i="1" s="1"/>
  <c r="M256" i="1" a="1"/>
  <c r="M256" i="1" s="1"/>
  <c r="M260" i="1" a="1"/>
  <c r="M260" i="1" s="1"/>
  <c r="M264" i="1" a="1"/>
  <c r="M264" i="1" s="1"/>
  <c r="I254" i="1" a="1"/>
  <c r="I254" i="1" s="1"/>
  <c r="I258" i="1" a="1"/>
  <c r="I258" i="1" s="1"/>
  <c r="I262" i="1" a="1"/>
  <c r="I262" i="1" s="1"/>
  <c r="I253" i="1" a="1"/>
  <c r="I253" i="1" s="1"/>
  <c r="I257" i="1" a="1"/>
  <c r="I257" i="1" s="1"/>
  <c r="I261" i="1" a="1"/>
  <c r="I261" i="1" s="1"/>
  <c r="I256" i="1" a="1"/>
  <c r="I256" i="1" s="1"/>
  <c r="I260" i="1" a="1"/>
  <c r="I260" i="1" s="1"/>
  <c r="I264" i="1" a="1"/>
  <c r="I264" i="1" s="1"/>
  <c r="I255" i="1" a="1"/>
  <c r="I255" i="1" s="1"/>
  <c r="I259" i="1" a="1"/>
  <c r="I259" i="1" s="1"/>
  <c r="I263" i="1" a="1"/>
  <c r="I263" i="1" s="1"/>
  <c r="R241" i="1" a="1"/>
  <c r="R241" i="1" s="1"/>
  <c r="R245" i="1" a="1"/>
  <c r="R245" i="1" s="1"/>
  <c r="R249" i="1" a="1"/>
  <c r="R249" i="1" s="1"/>
  <c r="R240" i="1" a="1"/>
  <c r="R240" i="1" s="1"/>
  <c r="R244" i="1" a="1"/>
  <c r="R244" i="1" s="1"/>
  <c r="R248" i="1" a="1"/>
  <c r="R248" i="1" s="1"/>
  <c r="R239" i="1" a="1"/>
  <c r="R239" i="1" s="1"/>
  <c r="R243" i="1" a="1"/>
  <c r="R243" i="1" s="1"/>
  <c r="R247" i="1" a="1"/>
  <c r="R247" i="1" s="1"/>
  <c r="R251" i="1" a="1"/>
  <c r="R251" i="1" s="1"/>
  <c r="R242" i="1" a="1"/>
  <c r="R242" i="1" s="1"/>
  <c r="R246" i="1" a="1"/>
  <c r="R246" i="1" s="1"/>
  <c r="R250" i="1" a="1"/>
  <c r="R250" i="1" s="1"/>
  <c r="O242" i="1" a="1"/>
  <c r="O242" i="1" s="1"/>
  <c r="O246" i="1" a="1"/>
  <c r="O246" i="1" s="1"/>
  <c r="O250" i="1" a="1"/>
  <c r="O250" i="1" s="1"/>
  <c r="O241" i="1" a="1"/>
  <c r="O241" i="1" s="1"/>
  <c r="O245" i="1" a="1"/>
  <c r="O245" i="1" s="1"/>
  <c r="O249" i="1" a="1"/>
  <c r="O249" i="1" s="1"/>
  <c r="O240" i="1" a="1"/>
  <c r="O240" i="1" s="1"/>
  <c r="O244" i="1" a="1"/>
  <c r="O244" i="1" s="1"/>
  <c r="O248" i="1" a="1"/>
  <c r="O248" i="1" s="1"/>
  <c r="O239" i="1" a="1"/>
  <c r="O239" i="1" s="1"/>
  <c r="O243" i="1" a="1"/>
  <c r="O243" i="1" s="1"/>
  <c r="O247" i="1" a="1"/>
  <c r="O247" i="1" s="1"/>
  <c r="O251" i="1" a="1"/>
  <c r="O251" i="1" s="1"/>
  <c r="I242" i="1" a="1"/>
  <c r="I242" i="1" s="1"/>
  <c r="I246" i="1" a="1"/>
  <c r="I246" i="1" s="1"/>
  <c r="I250" i="1" a="1"/>
  <c r="I250" i="1" s="1"/>
  <c r="I241" i="1" a="1"/>
  <c r="I241" i="1" s="1"/>
  <c r="I245" i="1" a="1"/>
  <c r="I245" i="1" s="1"/>
  <c r="I249" i="1" a="1"/>
  <c r="I249" i="1" s="1"/>
  <c r="I240" i="1" a="1"/>
  <c r="I240" i="1" s="1"/>
  <c r="I244" i="1" a="1"/>
  <c r="I244" i="1" s="1"/>
  <c r="I248" i="1" a="1"/>
  <c r="I248" i="1" s="1"/>
  <c r="I239" i="1" a="1"/>
  <c r="I239" i="1" s="1"/>
  <c r="I243" i="1" a="1"/>
  <c r="I243" i="1" s="1"/>
  <c r="I247" i="1" a="1"/>
  <c r="I247" i="1" s="1"/>
  <c r="I251" i="1" a="1"/>
  <c r="I251" i="1" s="1"/>
  <c r="R226" i="1" a="1"/>
  <c r="R226" i="1" s="1"/>
  <c r="R233" i="1" a="1"/>
  <c r="R233" i="1" s="1"/>
  <c r="R237" i="1" a="1"/>
  <c r="R237" i="1" s="1"/>
  <c r="R228" i="1" a="1"/>
  <c r="R228" i="1" s="1"/>
  <c r="R232" i="1" a="1"/>
  <c r="R232" i="1" s="1"/>
  <c r="R236" i="1" a="1"/>
  <c r="R236" i="1" s="1"/>
  <c r="R231" i="1" a="1"/>
  <c r="R231" i="1" s="1"/>
  <c r="R235" i="1" a="1"/>
  <c r="R235" i="1" s="1"/>
  <c r="R227" i="1" a="1"/>
  <c r="R227" i="1" s="1"/>
  <c r="R229" i="1" a="1"/>
  <c r="R229" i="1" s="1"/>
  <c r="R230" i="1" a="1"/>
  <c r="R230" i="1" s="1"/>
  <c r="R234" i="1" a="1"/>
  <c r="R234" i="1" s="1"/>
  <c r="R238" i="1" a="1"/>
  <c r="R238" i="1" s="1"/>
  <c r="M227" i="1" a="1"/>
  <c r="M227" i="1" s="1"/>
  <c r="M229" i="1" a="1"/>
  <c r="M229" i="1" s="1"/>
  <c r="M231" i="1" a="1"/>
  <c r="M231" i="1" s="1"/>
  <c r="M235" i="1" a="1"/>
  <c r="M235" i="1" s="1"/>
  <c r="M230" i="1" a="1"/>
  <c r="M230" i="1" s="1"/>
  <c r="M234" i="1" a="1"/>
  <c r="M234" i="1" s="1"/>
  <c r="M238" i="1" a="1"/>
  <c r="M238" i="1" s="1"/>
  <c r="M226" i="1" a="1"/>
  <c r="M226" i="1" s="1"/>
  <c r="M228" i="1" a="1"/>
  <c r="M228" i="1" s="1"/>
  <c r="M233" i="1" a="1"/>
  <c r="M233" i="1" s="1"/>
  <c r="M237" i="1" a="1"/>
  <c r="M237" i="1" s="1"/>
  <c r="M232" i="1" a="1"/>
  <c r="M232" i="1" s="1"/>
  <c r="M236" i="1" a="1"/>
  <c r="M236" i="1" s="1"/>
  <c r="J226" i="1" a="1"/>
  <c r="J226" i="1" s="1"/>
  <c r="J231" i="1" a="1"/>
  <c r="J231" i="1" s="1"/>
  <c r="J235" i="1" a="1"/>
  <c r="J235" i="1" s="1"/>
  <c r="J227" i="1" a="1"/>
  <c r="J227" i="1" s="1"/>
  <c r="J228" i="1" a="1"/>
  <c r="J228" i="1" s="1"/>
  <c r="J230" i="1" a="1"/>
  <c r="J230" i="1" s="1"/>
  <c r="J234" i="1" a="1"/>
  <c r="J234" i="1" s="1"/>
  <c r="J238" i="1" a="1"/>
  <c r="J238" i="1" s="1"/>
  <c r="J233" i="1" a="1"/>
  <c r="J233" i="1" s="1"/>
  <c r="J237" i="1" a="1"/>
  <c r="J237" i="1" s="1"/>
  <c r="J229" i="1" a="1"/>
  <c r="J229" i="1" s="1"/>
  <c r="J232" i="1" a="1"/>
  <c r="J232" i="1" s="1"/>
  <c r="J236" i="1" a="1"/>
  <c r="J236" i="1" s="1"/>
  <c r="Q214" i="1" a="1"/>
  <c r="Q214" i="1" s="1"/>
  <c r="Q217" i="1" a="1"/>
  <c r="Q217" i="1" s="1"/>
  <c r="Q222" i="1" a="1"/>
  <c r="Q222" i="1" s="1"/>
  <c r="Q225" i="1" a="1"/>
  <c r="Q225" i="1" s="1"/>
  <c r="Q215" i="1" a="1"/>
  <c r="Q215" i="1" s="1"/>
  <c r="Q220" i="1" a="1"/>
  <c r="Q220" i="1" s="1"/>
  <c r="Q223" i="1" a="1"/>
  <c r="Q223" i="1" s="1"/>
  <c r="Q216" i="1" a="1"/>
  <c r="Q216" i="1" s="1"/>
  <c r="Q219" i="1" a="1"/>
  <c r="Q219" i="1" s="1"/>
  <c r="Q218" i="1" a="1"/>
  <c r="Q218" i="1" s="1"/>
  <c r="Q221" i="1" a="1"/>
  <c r="Q221" i="1" s="1"/>
  <c r="Q224" i="1" a="1"/>
  <c r="Q224" i="1" s="1"/>
  <c r="N216" i="1" a="1"/>
  <c r="N216" i="1" s="1"/>
  <c r="N219" i="1" a="1"/>
  <c r="N219" i="1" s="1"/>
  <c r="N224" i="1" a="1"/>
  <c r="N224" i="1" s="1"/>
  <c r="N214" i="1" a="1"/>
  <c r="N214" i="1" s="1"/>
  <c r="N217" i="1" a="1"/>
  <c r="N217" i="1" s="1"/>
  <c r="N222" i="1" a="1"/>
  <c r="N222" i="1" s="1"/>
  <c r="N225" i="1" a="1"/>
  <c r="N225" i="1" s="1"/>
  <c r="N218" i="1" a="1"/>
  <c r="N218" i="1" s="1"/>
  <c r="N221" i="1" a="1"/>
  <c r="N221" i="1" s="1"/>
  <c r="N220" i="1" a="1"/>
  <c r="N220" i="1" s="1"/>
  <c r="N223" i="1" a="1"/>
  <c r="N223" i="1" s="1"/>
  <c r="N215" i="1" a="1"/>
  <c r="N215" i="1" s="1"/>
  <c r="I215" i="1" a="1"/>
  <c r="I215" i="1" s="1"/>
  <c r="I220" i="1" a="1"/>
  <c r="I220" i="1" s="1"/>
  <c r="I223" i="1" a="1"/>
  <c r="I223" i="1" s="1"/>
  <c r="I218" i="1" a="1"/>
  <c r="I218" i="1" s="1"/>
  <c r="I221" i="1" a="1"/>
  <c r="I221" i="1" s="1"/>
  <c r="I214" i="1" a="1"/>
  <c r="I214" i="1" s="1"/>
  <c r="I217" i="1" a="1"/>
  <c r="I217" i="1" s="1"/>
  <c r="I219" i="1" a="1"/>
  <c r="I219" i="1" s="1"/>
  <c r="I216" i="1" a="1"/>
  <c r="I216" i="1" s="1"/>
  <c r="I222" i="1" a="1"/>
  <c r="I222" i="1" s="1"/>
  <c r="I225" i="1" a="1"/>
  <c r="I225" i="1" s="1"/>
  <c r="I224" i="1" a="1"/>
  <c r="I224" i="1" s="1"/>
  <c r="R200" i="1" a="1"/>
  <c r="R200" i="1" s="1"/>
  <c r="R202" i="1" a="1"/>
  <c r="R202" i="1" s="1"/>
  <c r="R205" i="1" a="1"/>
  <c r="R205" i="1" s="1"/>
  <c r="R207" i="1" a="1"/>
  <c r="R207" i="1" s="1"/>
  <c r="R204" i="1" a="1"/>
  <c r="R204" i="1" s="1"/>
  <c r="R206" i="1" a="1"/>
  <c r="R206" i="1" s="1"/>
  <c r="R209" i="1" a="1"/>
  <c r="R209" i="1" s="1"/>
  <c r="R211" i="1" a="1"/>
  <c r="R211" i="1" s="1"/>
  <c r="R208" i="1" a="1"/>
  <c r="R208" i="1" s="1"/>
  <c r="R201" i="1" a="1"/>
  <c r="R201" i="1" s="1"/>
  <c r="R203" i="1" a="1"/>
  <c r="R203" i="1" s="1"/>
  <c r="R212" i="1" a="1"/>
  <c r="R212" i="1" s="1"/>
  <c r="R210" i="1" a="1"/>
  <c r="R210" i="1" s="1"/>
  <c r="M201" i="1" a="1"/>
  <c r="M201" i="1" s="1"/>
  <c r="M208" i="1" a="1"/>
  <c r="M208" i="1" s="1"/>
  <c r="M210" i="1" a="1"/>
  <c r="M210" i="1" s="1"/>
  <c r="M212" i="1" a="1"/>
  <c r="M212" i="1" s="1"/>
  <c r="M203" i="1" a="1"/>
  <c r="M203" i="1" s="1"/>
  <c r="M205" i="1" a="1"/>
  <c r="M205" i="1" s="1"/>
  <c r="M202" i="1" a="1"/>
  <c r="M202" i="1" s="1"/>
  <c r="M207" i="1" a="1"/>
  <c r="M207" i="1" s="1"/>
  <c r="M209" i="1" a="1"/>
  <c r="M209" i="1" s="1"/>
  <c r="M204" i="1" a="1"/>
  <c r="M204" i="1" s="1"/>
  <c r="M206" i="1" a="1"/>
  <c r="M206" i="1" s="1"/>
  <c r="M211" i="1" a="1"/>
  <c r="M211" i="1" s="1"/>
  <c r="J206" i="1" a="1"/>
  <c r="J206" i="1" s="1"/>
  <c r="J208" i="1" a="1"/>
  <c r="J208" i="1" s="1"/>
  <c r="J211" i="1" a="1"/>
  <c r="J211" i="1" s="1"/>
  <c r="J201" i="1" a="1"/>
  <c r="J201" i="1" s="1"/>
  <c r="J210" i="1" a="1"/>
  <c r="J210" i="1" s="1"/>
  <c r="J212" i="1" a="1"/>
  <c r="J212" i="1" s="1"/>
  <c r="J203" i="1" a="1"/>
  <c r="J203" i="1" s="1"/>
  <c r="J205" i="1" a="1"/>
  <c r="J205" i="1" s="1"/>
  <c r="J202" i="1" a="1"/>
  <c r="J202" i="1" s="1"/>
  <c r="J204" i="1" a="1"/>
  <c r="J204" i="1" s="1"/>
  <c r="J207" i="1" a="1"/>
  <c r="J207" i="1" s="1"/>
  <c r="J209" i="1" a="1"/>
  <c r="J209" i="1" s="1"/>
  <c r="P187" i="1" a="1"/>
  <c r="P187" i="1" s="1"/>
  <c r="P192" i="1" a="1"/>
  <c r="P192" i="1" s="1"/>
  <c r="P194" i="1" a="1"/>
  <c r="P194" i="1" s="1"/>
  <c r="P189" i="1" a="1"/>
  <c r="P189" i="1" s="1"/>
  <c r="P191" i="1" a="1"/>
  <c r="P191" i="1" s="1"/>
  <c r="P196" i="1" a="1"/>
  <c r="P196" i="1" s="1"/>
  <c r="P198" i="1" a="1"/>
  <c r="P198" i="1" s="1"/>
  <c r="P193" i="1" a="1"/>
  <c r="P193" i="1" s="1"/>
  <c r="P195" i="1" a="1"/>
  <c r="P195" i="1" s="1"/>
  <c r="P188" i="1" a="1"/>
  <c r="P188" i="1" s="1"/>
  <c r="P190" i="1" a="1"/>
  <c r="P190" i="1" s="1"/>
  <c r="P197" i="1" a="1"/>
  <c r="P197" i="1" s="1"/>
  <c r="P199" i="1" a="1"/>
  <c r="P199" i="1" s="1"/>
  <c r="M192" i="1" a="1"/>
  <c r="M192" i="1" s="1"/>
  <c r="M194" i="1" a="1"/>
  <c r="M194" i="1" s="1"/>
  <c r="M199" i="1" a="1"/>
  <c r="M199" i="1" s="1"/>
  <c r="M187" i="1" a="1"/>
  <c r="M187" i="1" s="1"/>
  <c r="M189" i="1" a="1"/>
  <c r="M189" i="1" s="1"/>
  <c r="M196" i="1" a="1"/>
  <c r="M196" i="1" s="1"/>
  <c r="M198" i="1" a="1"/>
  <c r="M198" i="1" s="1"/>
  <c r="M191" i="1" a="1"/>
  <c r="M191" i="1" s="1"/>
  <c r="M193" i="1" a="1"/>
  <c r="M193" i="1" s="1"/>
  <c r="M188" i="1" a="1"/>
  <c r="M188" i="1" s="1"/>
  <c r="M190" i="1" a="1"/>
  <c r="M190" i="1" s="1"/>
  <c r="M195" i="1" a="1"/>
  <c r="M195" i="1" s="1"/>
  <c r="M197" i="1" a="1"/>
  <c r="M197" i="1" s="1"/>
  <c r="I189" i="1" a="1"/>
  <c r="I189" i="1" s="1"/>
  <c r="I194" i="1" a="1"/>
  <c r="I194" i="1" s="1"/>
  <c r="I196" i="1" a="1"/>
  <c r="I196" i="1" s="1"/>
  <c r="I191" i="1" a="1"/>
  <c r="I191" i="1" s="1"/>
  <c r="I193" i="1" a="1"/>
  <c r="I193" i="1" s="1"/>
  <c r="I198" i="1" a="1"/>
  <c r="I198" i="1" s="1"/>
  <c r="I188" i="1" a="1"/>
  <c r="I188" i="1" s="1"/>
  <c r="I195" i="1" a="1"/>
  <c r="I195" i="1" s="1"/>
  <c r="I197" i="1" a="1"/>
  <c r="I197" i="1" s="1"/>
  <c r="I190" i="1" a="1"/>
  <c r="I190" i="1" s="1"/>
  <c r="I192" i="1" a="1"/>
  <c r="I192" i="1" s="1"/>
  <c r="I199" i="1" a="1"/>
  <c r="I199" i="1" s="1"/>
  <c r="R175" i="1" a="1"/>
  <c r="R175" i="1" s="1"/>
  <c r="R176" i="1" a="1"/>
  <c r="R176" i="1" s="1"/>
  <c r="R177" i="1" a="1"/>
  <c r="R177" i="1" s="1"/>
  <c r="R180" i="1" a="1"/>
  <c r="R180" i="1" s="1"/>
  <c r="R185" i="1" a="1"/>
  <c r="R185" i="1" s="1"/>
  <c r="R178" i="1" a="1"/>
  <c r="R178" i="1" s="1"/>
  <c r="R183" i="1" a="1"/>
  <c r="R183" i="1" s="1"/>
  <c r="R186" i="1" a="1"/>
  <c r="R186" i="1" s="1"/>
  <c r="R181" i="1" a="1"/>
  <c r="R181" i="1" s="1"/>
  <c r="R184" i="1" a="1"/>
  <c r="R184" i="1" s="1"/>
  <c r="R179" i="1" a="1"/>
  <c r="R179" i="1" s="1"/>
  <c r="R182" i="1" a="1"/>
  <c r="R182" i="1" s="1"/>
  <c r="O176" i="1" a="1"/>
  <c r="O176" i="1" s="1"/>
  <c r="O175" i="1" a="1"/>
  <c r="O175" i="1" s="1"/>
  <c r="O182" i="1" a="1"/>
  <c r="O182" i="1" s="1"/>
  <c r="O185" i="1" a="1"/>
  <c r="O185" i="1" s="1"/>
  <c r="O177" i="1" a="1"/>
  <c r="O177" i="1" s="1"/>
  <c r="O180" i="1" a="1"/>
  <c r="O180" i="1" s="1"/>
  <c r="O183" i="1" a="1"/>
  <c r="O183" i="1" s="1"/>
  <c r="O178" i="1" a="1"/>
  <c r="O178" i="1" s="1"/>
  <c r="O181" i="1" a="1"/>
  <c r="O181" i="1" s="1"/>
  <c r="O186" i="1" a="1"/>
  <c r="O186" i="1" s="1"/>
  <c r="O179" i="1" a="1"/>
  <c r="O179" i="1" s="1"/>
  <c r="O184" i="1" a="1"/>
  <c r="O184" i="1" s="1"/>
  <c r="K177" i="1" a="1"/>
  <c r="K177" i="1" s="1"/>
  <c r="K175" i="1" a="1"/>
  <c r="K175" i="1" s="1"/>
  <c r="K176" i="1" a="1"/>
  <c r="K176" i="1" s="1"/>
  <c r="K180" i="1" a="1"/>
  <c r="K180" i="1" s="1"/>
  <c r="K185" i="1" a="1"/>
  <c r="K185" i="1" s="1"/>
  <c r="K178" i="1" a="1"/>
  <c r="K178" i="1" s="1"/>
  <c r="K183" i="1" a="1"/>
  <c r="K183" i="1" s="1"/>
  <c r="K186" i="1" a="1"/>
  <c r="K186" i="1" s="1"/>
  <c r="K181" i="1" a="1"/>
  <c r="K181" i="1" s="1"/>
  <c r="K184" i="1" a="1"/>
  <c r="K184" i="1" s="1"/>
  <c r="K179" i="1" a="1"/>
  <c r="K179" i="1" s="1"/>
  <c r="K182" i="1" a="1"/>
  <c r="K182" i="1" s="1"/>
  <c r="T163" i="1" a="1"/>
  <c r="T163" i="1" s="1"/>
  <c r="T167" i="1" a="1"/>
  <c r="T167" i="1" s="1"/>
  <c r="T171" i="1" a="1"/>
  <c r="T171" i="1" s="1"/>
  <c r="T162" i="1" a="1"/>
  <c r="T162" i="1" s="1"/>
  <c r="T166" i="1" a="1"/>
  <c r="T166" i="1" s="1"/>
  <c r="T170" i="1" a="1"/>
  <c r="T170" i="1" s="1"/>
  <c r="T173" i="1" a="1"/>
  <c r="T173" i="1" s="1"/>
  <c r="T165" i="1" a="1"/>
  <c r="T165" i="1" s="1"/>
  <c r="T169" i="1" a="1"/>
  <c r="T169" i="1" s="1"/>
  <c r="T164" i="1" a="1"/>
  <c r="T164" i="1" s="1"/>
  <c r="T168" i="1" a="1"/>
  <c r="T168" i="1" s="1"/>
  <c r="T172" i="1" a="1"/>
  <c r="T172" i="1" s="1"/>
  <c r="Q163" i="1" a="1"/>
  <c r="Q163" i="1" s="1"/>
  <c r="Q167" i="1" a="1"/>
  <c r="Q167" i="1" s="1"/>
  <c r="Q171" i="1" a="1"/>
  <c r="Q171" i="1" s="1"/>
  <c r="Q162" i="1" a="1"/>
  <c r="Q162" i="1" s="1"/>
  <c r="Q166" i="1" a="1"/>
  <c r="Q166" i="1" s="1"/>
  <c r="Q170" i="1" a="1"/>
  <c r="Q170" i="1" s="1"/>
  <c r="Q173" i="1" a="1"/>
  <c r="Q173" i="1" s="1"/>
  <c r="Q165" i="1" a="1"/>
  <c r="Q165" i="1" s="1"/>
  <c r="Q169" i="1" a="1"/>
  <c r="Q169" i="1" s="1"/>
  <c r="Q164" i="1" a="1"/>
  <c r="Q164" i="1" s="1"/>
  <c r="Q168" i="1" a="1"/>
  <c r="Q168" i="1" s="1"/>
  <c r="Q172" i="1" a="1"/>
  <c r="Q172" i="1" s="1"/>
  <c r="N164" i="1" a="1"/>
  <c r="N164" i="1" s="1"/>
  <c r="N168" i="1" a="1"/>
  <c r="N168" i="1" s="1"/>
  <c r="N172" i="1" a="1"/>
  <c r="N172" i="1" s="1"/>
  <c r="N163" i="1" a="1"/>
  <c r="N163" i="1" s="1"/>
  <c r="N167" i="1" a="1"/>
  <c r="N167" i="1" s="1"/>
  <c r="N171" i="1" a="1"/>
  <c r="N171" i="1" s="1"/>
  <c r="N162" i="1" a="1"/>
  <c r="N162" i="1" s="1"/>
  <c r="N166" i="1" a="1"/>
  <c r="N166" i="1" s="1"/>
  <c r="N170" i="1" a="1"/>
  <c r="N170" i="1" s="1"/>
  <c r="N173" i="1" a="1"/>
  <c r="N173" i="1" s="1"/>
  <c r="N165" i="1" a="1"/>
  <c r="N165" i="1" s="1"/>
  <c r="N169" i="1" a="1"/>
  <c r="N169" i="1" s="1"/>
  <c r="K164" i="1" a="1"/>
  <c r="K164" i="1" s="1"/>
  <c r="K168" i="1" a="1"/>
  <c r="K168" i="1" s="1"/>
  <c r="K172" i="1" a="1"/>
  <c r="K172" i="1" s="1"/>
  <c r="K163" i="1" a="1"/>
  <c r="K163" i="1" s="1"/>
  <c r="K167" i="1" a="1"/>
  <c r="K167" i="1" s="1"/>
  <c r="K171" i="1" a="1"/>
  <c r="K171" i="1" s="1"/>
  <c r="K162" i="1" a="1"/>
  <c r="K162" i="1" s="1"/>
  <c r="K166" i="1" a="1"/>
  <c r="K166" i="1" s="1"/>
  <c r="K170" i="1" a="1"/>
  <c r="K170" i="1" s="1"/>
  <c r="K165" i="1" a="1"/>
  <c r="K165" i="1" s="1"/>
  <c r="K169" i="1" a="1"/>
  <c r="K169" i="1" s="1"/>
  <c r="K173" i="1" a="1"/>
  <c r="K173" i="1" s="1"/>
  <c r="Q151" i="1" a="1"/>
  <c r="Q151" i="1" s="1"/>
  <c r="Q155" i="1" a="1"/>
  <c r="Q155" i="1" s="1"/>
  <c r="Q159" i="1" a="1"/>
  <c r="Q159" i="1" s="1"/>
  <c r="Q150" i="1" a="1"/>
  <c r="Q150" i="1" s="1"/>
  <c r="Q154" i="1" a="1"/>
  <c r="Q154" i="1" s="1"/>
  <c r="Q158" i="1" a="1"/>
  <c r="Q158" i="1" s="1"/>
  <c r="Q149" i="1" a="1"/>
  <c r="Q149" i="1" s="1"/>
  <c r="Q153" i="1" a="1"/>
  <c r="Q153" i="1" s="1"/>
  <c r="Q157" i="1" a="1"/>
  <c r="Q157" i="1" s="1"/>
  <c r="Q148" i="1" a="1"/>
  <c r="Q148" i="1" s="1"/>
  <c r="Q152" i="1" a="1"/>
  <c r="Q152" i="1" s="1"/>
  <c r="Q156" i="1" a="1"/>
  <c r="Q156" i="1" s="1"/>
  <c r="Q160" i="1" a="1"/>
  <c r="Q160" i="1" s="1"/>
  <c r="M150" i="1" a="1"/>
  <c r="M150" i="1" s="1"/>
  <c r="M154" i="1" a="1"/>
  <c r="M154" i="1" s="1"/>
  <c r="M158" i="1" a="1"/>
  <c r="M158" i="1" s="1"/>
  <c r="M149" i="1" a="1"/>
  <c r="M149" i="1" s="1"/>
  <c r="M153" i="1" a="1"/>
  <c r="M153" i="1" s="1"/>
  <c r="M157" i="1" a="1"/>
  <c r="M157" i="1" s="1"/>
  <c r="M148" i="1" a="1"/>
  <c r="M148" i="1" s="1"/>
  <c r="M152" i="1" a="1"/>
  <c r="M152" i="1" s="1"/>
  <c r="M156" i="1" a="1"/>
  <c r="M156" i="1" s="1"/>
  <c r="M160" i="1" a="1"/>
  <c r="M160" i="1" s="1"/>
  <c r="M151" i="1" a="1"/>
  <c r="M151" i="1" s="1"/>
  <c r="M155" i="1" a="1"/>
  <c r="M155" i="1" s="1"/>
  <c r="M159" i="1" a="1"/>
  <c r="M159" i="1" s="1"/>
  <c r="J151" i="1" a="1"/>
  <c r="J151" i="1" s="1"/>
  <c r="J155" i="1" a="1"/>
  <c r="J155" i="1" s="1"/>
  <c r="J159" i="1" a="1"/>
  <c r="J159" i="1" s="1"/>
  <c r="J150" i="1" a="1"/>
  <c r="J150" i="1" s="1"/>
  <c r="J154" i="1" a="1"/>
  <c r="J154" i="1" s="1"/>
  <c r="J158" i="1" a="1"/>
  <c r="J158" i="1" s="1"/>
  <c r="J149" i="1" a="1"/>
  <c r="J149" i="1" s="1"/>
  <c r="J153" i="1" a="1"/>
  <c r="J153" i="1" s="1"/>
  <c r="J157" i="1" a="1"/>
  <c r="J157" i="1" s="1"/>
  <c r="J152" i="1" a="1"/>
  <c r="J152" i="1" s="1"/>
  <c r="J156" i="1" a="1"/>
  <c r="J156" i="1" s="1"/>
  <c r="J160" i="1" a="1"/>
  <c r="J160" i="1" s="1"/>
  <c r="P138" i="1" a="1"/>
  <c r="P138" i="1" s="1"/>
  <c r="P142" i="1" a="1"/>
  <c r="P142" i="1" s="1"/>
  <c r="P146" i="1" a="1"/>
  <c r="P146" i="1" s="1"/>
  <c r="P137" i="1" a="1"/>
  <c r="P137" i="1" s="1"/>
  <c r="P141" i="1" a="1"/>
  <c r="P141" i="1" s="1"/>
  <c r="P145" i="1" a="1"/>
  <c r="P145" i="1" s="1"/>
  <c r="P136" i="1" a="1"/>
  <c r="P136" i="1" s="1"/>
  <c r="P140" i="1" a="1"/>
  <c r="P140" i="1" s="1"/>
  <c r="P144" i="1" a="1"/>
  <c r="P144" i="1" s="1"/>
  <c r="P135" i="1" a="1"/>
  <c r="P135" i="1" s="1"/>
  <c r="P139" i="1" a="1"/>
  <c r="P139" i="1" s="1"/>
  <c r="P143" i="1" a="1"/>
  <c r="P143" i="1" s="1"/>
  <c r="P147" i="1" a="1"/>
  <c r="P147" i="1" s="1"/>
  <c r="K136" i="1" a="1"/>
  <c r="K136" i="1" s="1"/>
  <c r="K140" i="1" a="1"/>
  <c r="K140" i="1" s="1"/>
  <c r="K144" i="1" a="1"/>
  <c r="K144" i="1" s="1"/>
  <c r="K139" i="1" a="1"/>
  <c r="K139" i="1" s="1"/>
  <c r="K143" i="1" a="1"/>
  <c r="K143" i="1" s="1"/>
  <c r="K147" i="1" a="1"/>
  <c r="K147" i="1" s="1"/>
  <c r="K138" i="1" a="1"/>
  <c r="K138" i="1" s="1"/>
  <c r="K142" i="1" a="1"/>
  <c r="K142" i="1" s="1"/>
  <c r="K146" i="1" a="1"/>
  <c r="K146" i="1" s="1"/>
  <c r="K137" i="1" a="1"/>
  <c r="K137" i="1" s="1"/>
  <c r="K141" i="1" a="1"/>
  <c r="K141" i="1" s="1"/>
  <c r="K145" i="1" a="1"/>
  <c r="K145" i="1" s="1"/>
  <c r="Q122" i="1" a="1"/>
  <c r="Q122" i="1" s="1"/>
  <c r="Q126" i="1" a="1"/>
  <c r="Q126" i="1" s="1"/>
  <c r="Q130" i="1" a="1"/>
  <c r="Q130" i="1" s="1"/>
  <c r="Q125" i="1" a="1"/>
  <c r="Q125" i="1" s="1"/>
  <c r="Q129" i="1" a="1"/>
  <c r="Q129" i="1" s="1"/>
  <c r="Q133" i="1" a="1"/>
  <c r="Q133" i="1" s="1"/>
  <c r="Q124" i="1" a="1"/>
  <c r="Q124" i="1" s="1"/>
  <c r="Q128" i="1" a="1"/>
  <c r="Q128" i="1" s="1"/>
  <c r="Q123" i="1" a="1"/>
  <c r="Q123" i="1" s="1"/>
  <c r="Q127" i="1" a="1"/>
  <c r="Q127" i="1" s="1"/>
  <c r="Q131" i="1" a="1"/>
  <c r="Q131" i="1" s="1"/>
  <c r="Q134" i="1" a="1"/>
  <c r="Q134" i="1" s="1"/>
  <c r="Q132" i="1" a="1"/>
  <c r="Q132" i="1" s="1"/>
  <c r="M125" i="1" a="1"/>
  <c r="M125" i="1" s="1"/>
  <c r="M129" i="1" a="1"/>
  <c r="M129" i="1" s="1"/>
  <c r="M124" i="1" a="1"/>
  <c r="M124" i="1" s="1"/>
  <c r="M128" i="1" a="1"/>
  <c r="M128" i="1" s="1"/>
  <c r="M132" i="1" a="1"/>
  <c r="M132" i="1" s="1"/>
  <c r="M123" i="1" a="1"/>
  <c r="M123" i="1" s="1"/>
  <c r="M127" i="1" a="1"/>
  <c r="M127" i="1" s="1"/>
  <c r="M122" i="1" a="1"/>
  <c r="M122" i="1" s="1"/>
  <c r="M126" i="1" a="1"/>
  <c r="M126" i="1" s="1"/>
  <c r="M130" i="1" a="1"/>
  <c r="M130" i="1" s="1"/>
  <c r="M131" i="1" a="1"/>
  <c r="M131" i="1" s="1"/>
  <c r="M134" i="1" a="1"/>
  <c r="M134" i="1" s="1"/>
  <c r="M133" i="1" a="1"/>
  <c r="M133" i="1" s="1"/>
  <c r="J126" i="1" a="1"/>
  <c r="J126" i="1" s="1"/>
  <c r="J130" i="1" a="1"/>
  <c r="J130" i="1" s="1"/>
  <c r="J125" i="1" a="1"/>
  <c r="J125" i="1" s="1"/>
  <c r="J129" i="1" a="1"/>
  <c r="J129" i="1" s="1"/>
  <c r="J133" i="1" a="1"/>
  <c r="J133" i="1" s="1"/>
  <c r="J124" i="1" a="1"/>
  <c r="J124" i="1" s="1"/>
  <c r="J128" i="1" a="1"/>
  <c r="J128" i="1" s="1"/>
  <c r="J123" i="1" a="1"/>
  <c r="J123" i="1" s="1"/>
  <c r="J127" i="1" a="1"/>
  <c r="J127" i="1" s="1"/>
  <c r="J131" i="1" a="1"/>
  <c r="J131" i="1" s="1"/>
  <c r="J134" i="1" a="1"/>
  <c r="J134" i="1" s="1"/>
  <c r="J132" i="1" a="1"/>
  <c r="J132" i="1" s="1"/>
  <c r="S110" i="1" a="1"/>
  <c r="S110" i="1" s="1"/>
  <c r="S117" i="1" a="1"/>
  <c r="S117" i="1" s="1"/>
  <c r="S121" i="1" a="1"/>
  <c r="S121" i="1" s="1"/>
  <c r="S109" i="1" a="1"/>
  <c r="S109" i="1" s="1"/>
  <c r="S113" i="1" a="1"/>
  <c r="S113" i="1" s="1"/>
  <c r="S115" i="1" a="1"/>
  <c r="S115" i="1" s="1"/>
  <c r="S120" i="1" a="1"/>
  <c r="S120" i="1" s="1"/>
  <c r="S112" i="1" a="1"/>
  <c r="S112" i="1" s="1"/>
  <c r="S119" i="1" a="1"/>
  <c r="S119" i="1" s="1"/>
  <c r="S111" i="1" a="1"/>
  <c r="S111" i="1" s="1"/>
  <c r="S114" i="1" a="1"/>
  <c r="S114" i="1" s="1"/>
  <c r="S116" i="1" a="1"/>
  <c r="S116" i="1" s="1"/>
  <c r="S118" i="1" a="1"/>
  <c r="S118" i="1" s="1"/>
  <c r="M111" i="1" a="1"/>
  <c r="M111" i="1" s="1"/>
  <c r="M115" i="1" a="1"/>
  <c r="M115" i="1" s="1"/>
  <c r="M117" i="1" a="1"/>
  <c r="M117" i="1" s="1"/>
  <c r="M121" i="1" a="1"/>
  <c r="M121" i="1" s="1"/>
  <c r="M110" i="1" a="1"/>
  <c r="M110" i="1" s="1"/>
  <c r="M120" i="1" a="1"/>
  <c r="M120" i="1" s="1"/>
  <c r="M109" i="1" a="1"/>
  <c r="M109" i="1" s="1"/>
  <c r="M112" i="1" a="1"/>
  <c r="M112" i="1" s="1"/>
  <c r="M113" i="1" a="1"/>
  <c r="M113" i="1" s="1"/>
  <c r="M114" i="1" a="1"/>
  <c r="M114" i="1" s="1"/>
  <c r="M116" i="1" a="1"/>
  <c r="M116" i="1" s="1"/>
  <c r="M119" i="1" a="1"/>
  <c r="M119" i="1" s="1"/>
  <c r="M118" i="1" a="1"/>
  <c r="M118" i="1" s="1"/>
  <c r="J111" i="1" a="1"/>
  <c r="J111" i="1" s="1"/>
  <c r="J112" i="1" a="1"/>
  <c r="J112" i="1" s="1"/>
  <c r="J113" i="1" a="1"/>
  <c r="J113" i="1" s="1"/>
  <c r="J115" i="1" a="1"/>
  <c r="J115" i="1" s="1"/>
  <c r="J117" i="1" a="1"/>
  <c r="J117" i="1" s="1"/>
  <c r="J118" i="1" a="1"/>
  <c r="J118" i="1" s="1"/>
  <c r="J110" i="1" a="1"/>
  <c r="J110" i="1" s="1"/>
  <c r="J121" i="1" a="1"/>
  <c r="J121" i="1" s="1"/>
  <c r="J114" i="1" a="1"/>
  <c r="J114" i="1" s="1"/>
  <c r="J116" i="1" a="1"/>
  <c r="J116" i="1" s="1"/>
  <c r="J120" i="1" a="1"/>
  <c r="J120" i="1" s="1"/>
  <c r="J119" i="1" a="1"/>
  <c r="J119" i="1" s="1"/>
  <c r="S98" i="1" a="1"/>
  <c r="S98" i="1" s="1"/>
  <c r="S102" i="1" a="1"/>
  <c r="S102" i="1" s="1"/>
  <c r="S106" i="1" a="1"/>
  <c r="S106" i="1" s="1"/>
  <c r="S97" i="1" a="1"/>
  <c r="S97" i="1" s="1"/>
  <c r="S101" i="1" a="1"/>
  <c r="S101" i="1" s="1"/>
  <c r="S105" i="1" a="1"/>
  <c r="S105" i="1" s="1"/>
  <c r="S96" i="1" a="1"/>
  <c r="S96" i="1" s="1"/>
  <c r="S100" i="1" a="1"/>
  <c r="S100" i="1" s="1"/>
  <c r="S104" i="1" a="1"/>
  <c r="S104" i="1" s="1"/>
  <c r="S108" i="1" a="1"/>
  <c r="S108" i="1" s="1"/>
  <c r="S99" i="1" a="1"/>
  <c r="S99" i="1" s="1"/>
  <c r="S103" i="1" a="1"/>
  <c r="S103" i="1" s="1"/>
  <c r="S107" i="1" a="1"/>
  <c r="S107" i="1" s="1"/>
  <c r="P98" i="1" a="1"/>
  <c r="P98" i="1" s="1"/>
  <c r="P102" i="1" a="1"/>
  <c r="P102" i="1" s="1"/>
  <c r="P106" i="1" a="1"/>
  <c r="P106" i="1" s="1"/>
  <c r="P97" i="1" a="1"/>
  <c r="P97" i="1" s="1"/>
  <c r="P101" i="1" a="1"/>
  <c r="P101" i="1" s="1"/>
  <c r="P105" i="1" a="1"/>
  <c r="P105" i="1" s="1"/>
  <c r="P96" i="1" a="1"/>
  <c r="P96" i="1" s="1"/>
  <c r="P100" i="1" a="1"/>
  <c r="P100" i="1" s="1"/>
  <c r="P104" i="1" a="1"/>
  <c r="P104" i="1" s="1"/>
  <c r="P108" i="1" a="1"/>
  <c r="P108" i="1" s="1"/>
  <c r="P99" i="1" a="1"/>
  <c r="P99" i="1" s="1"/>
  <c r="P103" i="1" a="1"/>
  <c r="P103" i="1" s="1"/>
  <c r="P107" i="1" a="1"/>
  <c r="P107" i="1" s="1"/>
  <c r="M99" i="1" a="1"/>
  <c r="M99" i="1" s="1"/>
  <c r="M103" i="1" a="1"/>
  <c r="M103" i="1" s="1"/>
  <c r="M107" i="1" a="1"/>
  <c r="M107" i="1" s="1"/>
  <c r="M98" i="1" a="1"/>
  <c r="M98" i="1" s="1"/>
  <c r="M102" i="1" a="1"/>
  <c r="M102" i="1" s="1"/>
  <c r="M106" i="1" a="1"/>
  <c r="M106" i="1" s="1"/>
  <c r="M97" i="1" a="1"/>
  <c r="M97" i="1" s="1"/>
  <c r="M101" i="1" a="1"/>
  <c r="M101" i="1" s="1"/>
  <c r="M105" i="1" a="1"/>
  <c r="M105" i="1" s="1"/>
  <c r="M96" i="1" a="1"/>
  <c r="M96" i="1" s="1"/>
  <c r="M100" i="1" a="1"/>
  <c r="M100" i="1" s="1"/>
  <c r="M104" i="1" a="1"/>
  <c r="M104" i="1" s="1"/>
  <c r="M108" i="1" a="1"/>
  <c r="M108" i="1" s="1"/>
  <c r="J99" i="1" a="1"/>
  <c r="J99" i="1" s="1"/>
  <c r="J103" i="1" a="1"/>
  <c r="J103" i="1" s="1"/>
  <c r="J107" i="1" a="1"/>
  <c r="J107" i="1" s="1"/>
  <c r="J98" i="1" a="1"/>
  <c r="J98" i="1" s="1"/>
  <c r="J102" i="1" a="1"/>
  <c r="J102" i="1" s="1"/>
  <c r="J106" i="1" a="1"/>
  <c r="J106" i="1" s="1"/>
  <c r="J97" i="1" a="1"/>
  <c r="J97" i="1" s="1"/>
  <c r="J101" i="1" a="1"/>
  <c r="J101" i="1" s="1"/>
  <c r="J105" i="1" a="1"/>
  <c r="J105" i="1" s="1"/>
  <c r="J100" i="1" a="1"/>
  <c r="J100" i="1" s="1"/>
  <c r="J104" i="1" a="1"/>
  <c r="J104" i="1" s="1"/>
  <c r="J108" i="1" a="1"/>
  <c r="J108" i="1" s="1"/>
  <c r="S85" i="1" a="1"/>
  <c r="S85" i="1" s="1"/>
  <c r="S89" i="1" a="1"/>
  <c r="S89" i="1" s="1"/>
  <c r="S84" i="1" a="1"/>
  <c r="S84" i="1" s="1"/>
  <c r="S88" i="1" a="1"/>
  <c r="S88" i="1" s="1"/>
  <c r="S83" i="1" a="1"/>
  <c r="S83" i="1" s="1"/>
  <c r="S87" i="1" a="1"/>
  <c r="S87" i="1" s="1"/>
  <c r="S86" i="1" a="1"/>
  <c r="S86" i="1" s="1"/>
  <c r="S90" i="1" a="1"/>
  <c r="S90" i="1" s="1"/>
  <c r="S94" i="1" a="1"/>
  <c r="S94" i="1" s="1"/>
  <c r="S93" i="1" a="1"/>
  <c r="S93" i="1" s="1"/>
  <c r="S92" i="1" a="1"/>
  <c r="S92" i="1" s="1"/>
  <c r="S91" i="1" a="1"/>
  <c r="S91" i="1" s="1"/>
  <c r="S95" i="1" a="1"/>
  <c r="S95" i="1" s="1"/>
  <c r="M86" i="1" a="1"/>
  <c r="M86" i="1" s="1"/>
  <c r="M90" i="1" a="1"/>
  <c r="M90" i="1" s="1"/>
  <c r="M85" i="1" a="1"/>
  <c r="M85" i="1" s="1"/>
  <c r="M89" i="1" a="1"/>
  <c r="M89" i="1" s="1"/>
  <c r="M84" i="1" a="1"/>
  <c r="M84" i="1" s="1"/>
  <c r="M88" i="1" a="1"/>
  <c r="M88" i="1" s="1"/>
  <c r="M83" i="1" a="1"/>
  <c r="M83" i="1" s="1"/>
  <c r="M87" i="1" a="1"/>
  <c r="M87" i="1" s="1"/>
  <c r="M91" i="1" a="1"/>
  <c r="M91" i="1" s="1"/>
  <c r="M95" i="1" a="1"/>
  <c r="M95" i="1" s="1"/>
  <c r="M94" i="1" a="1"/>
  <c r="M94" i="1" s="1"/>
  <c r="M93" i="1" a="1"/>
  <c r="M93" i="1" s="1"/>
  <c r="M92" i="1" a="1"/>
  <c r="M92" i="1" s="1"/>
  <c r="I85" i="1" a="1"/>
  <c r="I85" i="1" s="1"/>
  <c r="I89" i="1" a="1"/>
  <c r="I89" i="1" s="1"/>
  <c r="I84" i="1" a="1"/>
  <c r="I84" i="1" s="1"/>
  <c r="I88" i="1" a="1"/>
  <c r="I88" i="1" s="1"/>
  <c r="I83" i="1" a="1"/>
  <c r="I83" i="1" s="1"/>
  <c r="I87" i="1" a="1"/>
  <c r="I87" i="1" s="1"/>
  <c r="I86" i="1" a="1"/>
  <c r="I86" i="1" s="1"/>
  <c r="I90" i="1" a="1"/>
  <c r="I90" i="1" s="1"/>
  <c r="I94" i="1" a="1"/>
  <c r="I94" i="1" s="1"/>
  <c r="I93" i="1" a="1"/>
  <c r="I93" i="1" s="1"/>
  <c r="I92" i="1" a="1"/>
  <c r="I92" i="1" s="1"/>
  <c r="I91" i="1" a="1"/>
  <c r="I91" i="1" s="1"/>
  <c r="I95" i="1" a="1"/>
  <c r="I95" i="1" s="1"/>
  <c r="R72" i="1" a="1"/>
  <c r="R72" i="1" s="1"/>
  <c r="R76" i="1" a="1"/>
  <c r="R76" i="1" s="1"/>
  <c r="R80" i="1" a="1"/>
  <c r="R80" i="1" s="1"/>
  <c r="R71" i="1" a="1"/>
  <c r="R71" i="1" s="1"/>
  <c r="R75" i="1" a="1"/>
  <c r="R75" i="1" s="1"/>
  <c r="R79" i="1" a="1"/>
  <c r="R79" i="1" s="1"/>
  <c r="R70" i="1" a="1"/>
  <c r="R70" i="1" s="1"/>
  <c r="R74" i="1" a="1"/>
  <c r="R74" i="1" s="1"/>
  <c r="R78" i="1" a="1"/>
  <c r="R78" i="1" s="1"/>
  <c r="R82" i="1" a="1"/>
  <c r="R82" i="1" s="1"/>
  <c r="R73" i="1" a="1"/>
  <c r="R73" i="1" s="1"/>
  <c r="R77" i="1" a="1"/>
  <c r="R77" i="1" s="1"/>
  <c r="R81" i="1" a="1"/>
  <c r="R81" i="1" s="1"/>
  <c r="L72" i="1" a="1"/>
  <c r="L72" i="1" s="1"/>
  <c r="L76" i="1" a="1"/>
  <c r="L76" i="1" s="1"/>
  <c r="L80" i="1" a="1"/>
  <c r="L80" i="1" s="1"/>
  <c r="L71" i="1" a="1"/>
  <c r="L71" i="1" s="1"/>
  <c r="L75" i="1" a="1"/>
  <c r="L75" i="1" s="1"/>
  <c r="L79" i="1" a="1"/>
  <c r="L79" i="1" s="1"/>
  <c r="L70" i="1" a="1"/>
  <c r="L70" i="1" s="1"/>
  <c r="L74" i="1" a="1"/>
  <c r="L74" i="1" s="1"/>
  <c r="L78" i="1" a="1"/>
  <c r="L78" i="1" s="1"/>
  <c r="L82" i="1" a="1"/>
  <c r="L82" i="1" s="1"/>
  <c r="L73" i="1" a="1"/>
  <c r="L73" i="1" s="1"/>
  <c r="L77" i="1" a="1"/>
  <c r="L77" i="1" s="1"/>
  <c r="L81" i="1" a="1"/>
  <c r="L81" i="1" s="1"/>
  <c r="S63" i="1" a="1"/>
  <c r="S63" i="1" s="1"/>
  <c r="S67" i="1" a="1"/>
  <c r="S67" i="1" s="1"/>
  <c r="S62" i="1" a="1"/>
  <c r="S62" i="1" s="1"/>
  <c r="S66" i="1" a="1"/>
  <c r="S66" i="1" s="1"/>
  <c r="S58" i="1" a="1"/>
  <c r="S58" i="1" s="1"/>
  <c r="S60" i="1" a="1"/>
  <c r="S60" i="1" s="1"/>
  <c r="S61" i="1" a="1"/>
  <c r="S61" i="1" s="1"/>
  <c r="S65" i="1" a="1"/>
  <c r="S65" i="1" s="1"/>
  <c r="S57" i="1" a="1"/>
  <c r="S57" i="1" s="1"/>
  <c r="S59" i="1" a="1"/>
  <c r="S59" i="1" s="1"/>
  <c r="S64" i="1" a="1"/>
  <c r="S64" i="1" s="1"/>
  <c r="S69" i="1" a="1"/>
  <c r="S69" i="1" s="1"/>
  <c r="S68" i="1" a="1"/>
  <c r="S68" i="1" s="1"/>
  <c r="M57" i="1" a="1"/>
  <c r="M57" i="1" s="1"/>
  <c r="M64" i="1" a="1"/>
  <c r="M64" i="1" s="1"/>
  <c r="M60" i="1" a="1"/>
  <c r="M60" i="1" s="1"/>
  <c r="M63" i="1" a="1"/>
  <c r="M63" i="1" s="1"/>
  <c r="M67" i="1" a="1"/>
  <c r="M67" i="1" s="1"/>
  <c r="M62" i="1" a="1"/>
  <c r="M62" i="1" s="1"/>
  <c r="M66" i="1" a="1"/>
  <c r="M66" i="1" s="1"/>
  <c r="M58" i="1" a="1"/>
  <c r="M58" i="1" s="1"/>
  <c r="M59" i="1" a="1"/>
  <c r="M59" i="1" s="1"/>
  <c r="M61" i="1" a="1"/>
  <c r="M61" i="1" s="1"/>
  <c r="M65" i="1" a="1"/>
  <c r="M65" i="1" s="1"/>
  <c r="M68" i="1" a="1"/>
  <c r="M68" i="1" s="1"/>
  <c r="M69" i="1" a="1"/>
  <c r="M69" i="1" s="1"/>
  <c r="I63" i="1" a="1"/>
  <c r="I63" i="1" s="1"/>
  <c r="I67" i="1" a="1"/>
  <c r="I67" i="1" s="1"/>
  <c r="I59" i="1" a="1"/>
  <c r="I59" i="1" s="1"/>
  <c r="I61" i="1" a="1"/>
  <c r="I61" i="1" s="1"/>
  <c r="I62" i="1" a="1"/>
  <c r="I62" i="1" s="1"/>
  <c r="I66" i="1" a="1"/>
  <c r="I66" i="1" s="1"/>
  <c r="I58" i="1" a="1"/>
  <c r="I58" i="1" s="1"/>
  <c r="I65" i="1" a="1"/>
  <c r="I65" i="1" s="1"/>
  <c r="I60" i="1" a="1"/>
  <c r="I60" i="1" s="1"/>
  <c r="I64" i="1" a="1"/>
  <c r="I64" i="1" s="1"/>
  <c r="I68" i="1" a="1"/>
  <c r="I68" i="1" s="1"/>
  <c r="I69" i="1" a="1"/>
  <c r="I69" i="1" s="1"/>
  <c r="R45" i="1" a="1"/>
  <c r="R45" i="1" s="1"/>
  <c r="R48" i="1" a="1"/>
  <c r="R48" i="1" s="1"/>
  <c r="R50" i="1" a="1"/>
  <c r="R50" i="1" s="1"/>
  <c r="R46" i="1" a="1"/>
  <c r="R46" i="1" s="1"/>
  <c r="R47" i="1" a="1"/>
  <c r="R47" i="1" s="1"/>
  <c r="R52" i="1" a="1"/>
  <c r="R52" i="1" s="1"/>
  <c r="R55" i="1" a="1"/>
  <c r="R55" i="1" s="1"/>
  <c r="R51" i="1" a="1"/>
  <c r="R51" i="1" s="1"/>
  <c r="R54" i="1" a="1"/>
  <c r="R54" i="1" s="1"/>
  <c r="R44" i="1" a="1"/>
  <c r="R44" i="1" s="1"/>
  <c r="R49" i="1" a="1"/>
  <c r="R49" i="1" s="1"/>
  <c r="R53" i="1" a="1"/>
  <c r="R53" i="1" s="1"/>
  <c r="R56" i="1" a="1"/>
  <c r="R56" i="1" s="1"/>
  <c r="O44" i="1" a="1"/>
  <c r="O44" i="1" s="1"/>
  <c r="O45" i="1" a="1"/>
  <c r="O45" i="1" s="1"/>
  <c r="O50" i="1" a="1"/>
  <c r="O50" i="1" s="1"/>
  <c r="O48" i="1" a="1"/>
  <c r="O48" i="1" s="1"/>
  <c r="O49" i="1" a="1"/>
  <c r="O49" i="1" s="1"/>
  <c r="O53" i="1" a="1"/>
  <c r="O53" i="1" s="1"/>
  <c r="O55" i="1" a="1"/>
  <c r="O55" i="1" s="1"/>
  <c r="O52" i="1" a="1"/>
  <c r="O52" i="1" s="1"/>
  <c r="O54" i="1" a="1"/>
  <c r="O54" i="1" s="1"/>
  <c r="O47" i="1" a="1"/>
  <c r="O47" i="1" s="1"/>
  <c r="O51" i="1" a="1"/>
  <c r="O51" i="1" s="1"/>
  <c r="O46" i="1" a="1"/>
  <c r="O46" i="1" s="1"/>
  <c r="O56" i="1" a="1"/>
  <c r="O56" i="1" s="1"/>
  <c r="K45" i="1" a="1"/>
  <c r="K45" i="1" s="1"/>
  <c r="K48" i="1" a="1"/>
  <c r="K48" i="1" s="1"/>
  <c r="K53" i="1" a="1"/>
  <c r="K53" i="1" s="1"/>
  <c r="K46" i="1" a="1"/>
  <c r="K46" i="1" s="1"/>
  <c r="K47" i="1" a="1"/>
  <c r="K47" i="1" s="1"/>
  <c r="K54" i="1" a="1"/>
  <c r="K54" i="1" s="1"/>
  <c r="K44" i="1" a="1"/>
  <c r="K44" i="1" s="1"/>
  <c r="K49" i="1" a="1"/>
  <c r="K49" i="1" s="1"/>
  <c r="K52" i="1" a="1"/>
  <c r="K52" i="1" s="1"/>
  <c r="K51" i="1" a="1"/>
  <c r="K51" i="1" s="1"/>
  <c r="K56" i="1" a="1"/>
  <c r="K56" i="1" s="1"/>
  <c r="K50" i="1" a="1"/>
  <c r="K50" i="1" s="1"/>
  <c r="K55" i="1" a="1"/>
  <c r="K55" i="1" s="1"/>
  <c r="T35" i="1" a="1"/>
  <c r="T35" i="1" s="1"/>
  <c r="T39" i="1" a="1"/>
  <c r="T39" i="1" s="1"/>
  <c r="T43" i="1" a="1"/>
  <c r="T43" i="1" s="1"/>
  <c r="T34" i="1" a="1"/>
  <c r="T34" i="1" s="1"/>
  <c r="T38" i="1" a="1"/>
  <c r="T38" i="1" s="1"/>
  <c r="T42" i="1" a="1"/>
  <c r="T42" i="1" s="1"/>
  <c r="T33" i="1" a="1"/>
  <c r="T33" i="1" s="1"/>
  <c r="T37" i="1" a="1"/>
  <c r="T37" i="1" s="1"/>
  <c r="T41" i="1" a="1"/>
  <c r="T41" i="1" s="1"/>
  <c r="T32" i="1" a="1"/>
  <c r="T32" i="1" s="1"/>
  <c r="T36" i="1" a="1"/>
  <c r="T36" i="1" s="1"/>
  <c r="T40" i="1" a="1"/>
  <c r="T40" i="1" s="1"/>
  <c r="O32" i="1" a="1"/>
  <c r="O32" i="1" s="1"/>
  <c r="O35" i="1" a="1"/>
  <c r="O35" i="1" s="1"/>
  <c r="O36" i="1" a="1"/>
  <c r="O36" i="1" s="1"/>
  <c r="O39" i="1" a="1"/>
  <c r="O39" i="1" s="1"/>
  <c r="O40" i="1" a="1"/>
  <c r="O40" i="1" s="1"/>
  <c r="O43" i="1" a="1"/>
  <c r="O43" i="1" s="1"/>
  <c r="O33" i="1" a="1"/>
  <c r="O33" i="1" s="1"/>
  <c r="O34" i="1" a="1"/>
  <c r="O34" i="1" s="1"/>
  <c r="O37" i="1" a="1"/>
  <c r="O37" i="1" s="1"/>
  <c r="O38" i="1" a="1"/>
  <c r="O38" i="1" s="1"/>
  <c r="O41" i="1" a="1"/>
  <c r="O41" i="1" s="1"/>
  <c r="O42" i="1" a="1"/>
  <c r="O42" i="1" s="1"/>
  <c r="L33" i="1" a="1"/>
  <c r="L33" i="1" s="1"/>
  <c r="L37" i="1" a="1"/>
  <c r="L37" i="1" s="1"/>
  <c r="L41" i="1" a="1"/>
  <c r="L41" i="1" s="1"/>
  <c r="L32" i="1" a="1"/>
  <c r="L32" i="1" s="1"/>
  <c r="L36" i="1" a="1"/>
  <c r="L36" i="1" s="1"/>
  <c r="L40" i="1" a="1"/>
  <c r="L40" i="1" s="1"/>
  <c r="L35" i="1" a="1"/>
  <c r="L35" i="1" s="1"/>
  <c r="L39" i="1" a="1"/>
  <c r="L39" i="1" s="1"/>
  <c r="L43" i="1" a="1"/>
  <c r="L43" i="1" s="1"/>
  <c r="L34" i="1" a="1"/>
  <c r="L34" i="1" s="1"/>
  <c r="L42" i="1" a="1"/>
  <c r="L42" i="1" s="1"/>
  <c r="L38" i="1" a="1"/>
  <c r="L3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K20" i="1" a="1"/>
  <c r="K20" i="1" s="1"/>
  <c r="K21" i="1" a="1"/>
  <c r="K21" i="1" s="1"/>
  <c r="K22" i="1" a="1"/>
  <c r="K22" i="1" s="1"/>
  <c r="K23" i="1" a="1"/>
  <c r="K23" i="1" s="1"/>
  <c r="K24" i="1" a="1"/>
  <c r="K24" i="1" s="1"/>
  <c r="K25" i="1" a="1"/>
  <c r="K25" i="1" s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19" i="1" a="1"/>
  <c r="K19" i="1" s="1"/>
  <c r="R550" i="1" a="1"/>
  <c r="R550" i="1" s="1"/>
  <c r="O550" i="1" a="1"/>
  <c r="O550" i="1" s="1"/>
  <c r="J550" i="1" a="1"/>
  <c r="J550" i="1" s="1"/>
  <c r="S549" i="1" a="1"/>
  <c r="S549" i="1" s="1"/>
  <c r="K549" i="1" a="1"/>
  <c r="K549" i="1" s="1"/>
  <c r="R548" i="1" a="1"/>
  <c r="R548" i="1" s="1"/>
  <c r="O548" i="1" a="1"/>
  <c r="O548" i="1" s="1"/>
  <c r="J548" i="1" a="1"/>
  <c r="J548" i="1" s="1"/>
  <c r="S547" i="1" a="1"/>
  <c r="S547" i="1" s="1"/>
  <c r="K547" i="1" a="1"/>
  <c r="K547" i="1" s="1"/>
  <c r="R546" i="1" a="1"/>
  <c r="R546" i="1" s="1"/>
  <c r="O546" i="1" a="1"/>
  <c r="O546" i="1" s="1"/>
  <c r="J546" i="1" a="1"/>
  <c r="J546" i="1" s="1"/>
  <c r="S545" i="1" a="1"/>
  <c r="S545" i="1" s="1"/>
  <c r="K545" i="1" a="1"/>
  <c r="K545" i="1" s="1"/>
  <c r="R544" i="1" a="1"/>
  <c r="R544" i="1" s="1"/>
  <c r="O544" i="1" a="1"/>
  <c r="O544" i="1" s="1"/>
  <c r="J544" i="1" a="1"/>
  <c r="J544" i="1" s="1"/>
  <c r="S543" i="1" a="1"/>
  <c r="S543" i="1" s="1"/>
  <c r="K543" i="1" a="1"/>
  <c r="K543" i="1" s="1"/>
  <c r="R542" i="1" a="1"/>
  <c r="R542" i="1" s="1"/>
  <c r="O542" i="1" a="1"/>
  <c r="O542" i="1" s="1"/>
  <c r="J542" i="1" a="1"/>
  <c r="J542" i="1" s="1"/>
  <c r="S541" i="1" a="1"/>
  <c r="S541" i="1" s="1"/>
  <c r="K541" i="1" a="1"/>
  <c r="K541" i="1" s="1"/>
  <c r="R540" i="1" a="1"/>
  <c r="R540" i="1" s="1"/>
  <c r="O540" i="1" a="1"/>
  <c r="O540" i="1" s="1"/>
  <c r="J540" i="1" a="1"/>
  <c r="J540" i="1" s="1"/>
  <c r="S537" i="1" a="1"/>
  <c r="S537" i="1" s="1"/>
  <c r="N537" i="1" a="1"/>
  <c r="N537" i="1" s="1"/>
  <c r="K537" i="1" a="1"/>
  <c r="K537" i="1" s="1"/>
  <c r="O536" i="1" a="1"/>
  <c r="O536" i="1" s="1"/>
  <c r="S535" i="1" a="1"/>
  <c r="S535" i="1" s="1"/>
  <c r="N535" i="1" a="1"/>
  <c r="N535" i="1" s="1"/>
  <c r="K535" i="1" a="1"/>
  <c r="K535" i="1" s="1"/>
  <c r="O534" i="1" a="1"/>
  <c r="O534" i="1" s="1"/>
  <c r="S533" i="1" a="1"/>
  <c r="S533" i="1" s="1"/>
  <c r="N533" i="1" a="1"/>
  <c r="N533" i="1" s="1"/>
  <c r="K533" i="1" a="1"/>
  <c r="K533" i="1" s="1"/>
  <c r="O532" i="1" a="1"/>
  <c r="O532" i="1" s="1"/>
  <c r="S531" i="1" a="1"/>
  <c r="S531" i="1" s="1"/>
  <c r="N531" i="1" a="1"/>
  <c r="N531" i="1" s="1"/>
  <c r="K531" i="1" a="1"/>
  <c r="K531" i="1" s="1"/>
  <c r="O530" i="1" a="1"/>
  <c r="O530" i="1" s="1"/>
  <c r="S529" i="1" a="1"/>
  <c r="S529" i="1" s="1"/>
  <c r="N529" i="1" a="1"/>
  <c r="N529" i="1" s="1"/>
  <c r="K529" i="1" a="1"/>
  <c r="K529" i="1" s="1"/>
  <c r="O528" i="1" a="1"/>
  <c r="O528" i="1" s="1"/>
  <c r="S527" i="1" a="1"/>
  <c r="S527" i="1" s="1"/>
  <c r="N527" i="1" a="1"/>
  <c r="N527" i="1" s="1"/>
  <c r="K527" i="1" a="1"/>
  <c r="K527" i="1" s="1"/>
  <c r="R524" i="1" a="1"/>
  <c r="R524" i="1" s="1"/>
  <c r="O524" i="1" a="1"/>
  <c r="O524" i="1" s="1"/>
  <c r="J524" i="1" a="1"/>
  <c r="J524" i="1" s="1"/>
  <c r="S523" i="1" a="1"/>
  <c r="S523" i="1" s="1"/>
  <c r="K523" i="1" a="1"/>
  <c r="K523" i="1" s="1"/>
  <c r="R522" i="1" a="1"/>
  <c r="R522" i="1" s="1"/>
  <c r="O522" i="1" a="1"/>
  <c r="O522" i="1" s="1"/>
  <c r="J522" i="1" a="1"/>
  <c r="J522" i="1" s="1"/>
  <c r="S521" i="1" a="1"/>
  <c r="S521" i="1" s="1"/>
  <c r="K521" i="1" a="1"/>
  <c r="K521" i="1" s="1"/>
  <c r="R520" i="1" a="1"/>
  <c r="R520" i="1" s="1"/>
  <c r="O520" i="1" a="1"/>
  <c r="O520" i="1" s="1"/>
  <c r="J520" i="1" a="1"/>
  <c r="J520" i="1" s="1"/>
  <c r="S519" i="1" a="1"/>
  <c r="S519" i="1" s="1"/>
  <c r="K519" i="1" a="1"/>
  <c r="K519" i="1" s="1"/>
  <c r="R518" i="1" a="1"/>
  <c r="R518" i="1" s="1"/>
  <c r="O518" i="1" a="1"/>
  <c r="O518" i="1" s="1"/>
  <c r="J518" i="1" a="1"/>
  <c r="J518" i="1" s="1"/>
  <c r="S517" i="1" a="1"/>
  <c r="S517" i="1" s="1"/>
  <c r="K517" i="1" a="1"/>
  <c r="K517" i="1" s="1"/>
  <c r="S516" i="1" a="1"/>
  <c r="S516" i="1" s="1"/>
  <c r="P516" i="1" a="1"/>
  <c r="P516" i="1" s="1"/>
  <c r="Q515" i="1" a="1"/>
  <c r="Q515" i="1" s="1"/>
  <c r="J515" i="1" a="1"/>
  <c r="J515" i="1" s="1"/>
  <c r="O514" i="1" a="1"/>
  <c r="O514" i="1" s="1"/>
  <c r="K514" i="1" a="1"/>
  <c r="K514" i="1" s="1"/>
  <c r="T513" i="1" a="1"/>
  <c r="T513" i="1" s="1"/>
  <c r="I513" i="1" a="1"/>
  <c r="I513" i="1" s="1"/>
  <c r="O511" i="1" a="1"/>
  <c r="O511" i="1" s="1"/>
  <c r="N509" i="1" a="1"/>
  <c r="N509" i="1" s="1"/>
  <c r="O508" i="1" a="1"/>
  <c r="O508" i="1" s="1"/>
  <c r="R9" i="1" a="1"/>
  <c r="R9" i="1" s="1"/>
  <c r="R13" i="1" a="1"/>
  <c r="R13" i="1" s="1"/>
  <c r="R17" i="1" a="1"/>
  <c r="R17" i="1" s="1"/>
  <c r="R8" i="1" a="1"/>
  <c r="R8" i="1" s="1"/>
  <c r="R12" i="1" a="1"/>
  <c r="R12" i="1" s="1"/>
  <c r="R16" i="1" a="1"/>
  <c r="R16" i="1" s="1"/>
  <c r="R7" i="1" a="1"/>
  <c r="R7" i="1" s="1"/>
  <c r="R11" i="1" a="1"/>
  <c r="R11" i="1" s="1"/>
  <c r="R15" i="1" a="1"/>
  <c r="R15" i="1" s="1"/>
  <c r="R6" i="1" a="1"/>
  <c r="R6" i="1" s="1"/>
  <c r="R10" i="1" a="1"/>
  <c r="R10" i="1" s="1"/>
  <c r="R14" i="1" a="1"/>
  <c r="R14" i="1" s="1"/>
  <c r="O13" i="1" a="1"/>
  <c r="O13" i="1" s="1"/>
  <c r="O17" i="1" a="1"/>
  <c r="O17" i="1" s="1"/>
  <c r="O8" i="1" a="1"/>
  <c r="O8" i="1" s="1"/>
  <c r="O9" i="1" a="1"/>
  <c r="O9" i="1" s="1"/>
  <c r="O12" i="1" a="1"/>
  <c r="O12" i="1" s="1"/>
  <c r="O16" i="1" a="1"/>
  <c r="O16" i="1" s="1"/>
  <c r="O11" i="1" a="1"/>
  <c r="O11" i="1" s="1"/>
  <c r="O15" i="1" a="1"/>
  <c r="O15" i="1" s="1"/>
  <c r="O6" i="1" a="1"/>
  <c r="O6" i="1" s="1"/>
  <c r="O7" i="1" a="1"/>
  <c r="O7" i="1" s="1"/>
  <c r="O10" i="1" a="1"/>
  <c r="O10" i="1" s="1"/>
  <c r="O14" i="1" a="1"/>
  <c r="O14" i="1" s="1"/>
  <c r="J7" i="1" a="1"/>
  <c r="J7" i="1" s="1"/>
  <c r="J11" i="1" a="1"/>
  <c r="J11" i="1" s="1"/>
  <c r="J15" i="1" a="1"/>
  <c r="J15" i="1" s="1"/>
  <c r="J6" i="1" a="1"/>
  <c r="J6" i="1" s="1"/>
  <c r="J10" i="1" a="1"/>
  <c r="J10" i="1" s="1"/>
  <c r="J14" i="1" a="1"/>
  <c r="J14" i="1" s="1"/>
  <c r="J9" i="1" a="1"/>
  <c r="J9" i="1" s="1"/>
  <c r="J13" i="1" a="1"/>
  <c r="J13" i="1" s="1"/>
  <c r="J17" i="1" a="1"/>
  <c r="J17" i="1" s="1"/>
  <c r="J8" i="1" a="1"/>
  <c r="J8" i="1" s="1"/>
  <c r="J12" i="1" a="1"/>
  <c r="J12" i="1" s="1"/>
  <c r="J16" i="1" a="1"/>
  <c r="J16" i="1" s="1"/>
  <c r="M513" i="1" a="1"/>
  <c r="M513" i="1" s="1"/>
  <c r="M515" i="1" a="1"/>
  <c r="M515" i="1" s="1"/>
  <c r="S500" i="1" a="1"/>
  <c r="S500" i="1" s="1"/>
  <c r="S502" i="1" a="1"/>
  <c r="S502" i="1" s="1"/>
  <c r="S504" i="1" a="1"/>
  <c r="S504" i="1" s="1"/>
  <c r="S506" i="1" a="1"/>
  <c r="S506" i="1" s="1"/>
  <c r="S508" i="1" a="1"/>
  <c r="S508" i="1" s="1"/>
  <c r="S510" i="1" a="1"/>
  <c r="S510" i="1" s="1"/>
  <c r="S501" i="1" a="1"/>
  <c r="S501" i="1" s="1"/>
  <c r="S503" i="1" a="1"/>
  <c r="S503" i="1" s="1"/>
  <c r="S505" i="1" a="1"/>
  <c r="S505" i="1" s="1"/>
  <c r="S507" i="1" a="1"/>
  <c r="S507" i="1" s="1"/>
  <c r="K500" i="1" a="1"/>
  <c r="K500" i="1" s="1"/>
  <c r="K502" i="1" a="1"/>
  <c r="K502" i="1" s="1"/>
  <c r="K504" i="1" a="1"/>
  <c r="K504" i="1" s="1"/>
  <c r="K506" i="1" a="1"/>
  <c r="K506" i="1" s="1"/>
  <c r="K508" i="1" a="1"/>
  <c r="K508" i="1" s="1"/>
  <c r="K510" i="1" a="1"/>
  <c r="K510" i="1" s="1"/>
  <c r="K501" i="1" a="1"/>
  <c r="K501" i="1" s="1"/>
  <c r="K503" i="1" a="1"/>
  <c r="K503" i="1" s="1"/>
  <c r="K505" i="1" a="1"/>
  <c r="K505" i="1" s="1"/>
  <c r="K507" i="1" a="1"/>
  <c r="K507" i="1" s="1"/>
  <c r="O487" i="1" a="1"/>
  <c r="O487" i="1" s="1"/>
  <c r="O489" i="1" a="1"/>
  <c r="O489" i="1" s="1"/>
  <c r="O491" i="1" a="1"/>
  <c r="O491" i="1" s="1"/>
  <c r="O493" i="1" a="1"/>
  <c r="O493" i="1" s="1"/>
  <c r="O495" i="1" a="1"/>
  <c r="O495" i="1" s="1"/>
  <c r="O497" i="1" a="1"/>
  <c r="O497" i="1" s="1"/>
  <c r="O486" i="1" a="1"/>
  <c r="O486" i="1" s="1"/>
  <c r="O488" i="1" a="1"/>
  <c r="O488" i="1" s="1"/>
  <c r="O490" i="1" a="1"/>
  <c r="O490" i="1" s="1"/>
  <c r="O492" i="1" a="1"/>
  <c r="O492" i="1" s="1"/>
  <c r="O494" i="1" a="1"/>
  <c r="O494" i="1" s="1"/>
  <c r="O496" i="1" a="1"/>
  <c r="O496" i="1" s="1"/>
  <c r="O498" i="1" a="1"/>
  <c r="O498" i="1" s="1"/>
  <c r="S474" i="1" a="1"/>
  <c r="S474" i="1" s="1"/>
  <c r="S476" i="1" a="1"/>
  <c r="S476" i="1" s="1"/>
  <c r="S478" i="1" a="1"/>
  <c r="S478" i="1" s="1"/>
  <c r="S480" i="1" a="1"/>
  <c r="S480" i="1" s="1"/>
  <c r="S482" i="1" a="1"/>
  <c r="S482" i="1" s="1"/>
  <c r="S484" i="1" a="1"/>
  <c r="S484" i="1" s="1"/>
  <c r="S475" i="1" a="1"/>
  <c r="S475" i="1" s="1"/>
  <c r="S477" i="1" a="1"/>
  <c r="S477" i="1" s="1"/>
  <c r="S479" i="1" a="1"/>
  <c r="S479" i="1" s="1"/>
  <c r="S481" i="1" a="1"/>
  <c r="S481" i="1" s="1"/>
  <c r="S483" i="1" a="1"/>
  <c r="S483" i="1" s="1"/>
  <c r="S485" i="1" a="1"/>
  <c r="S485" i="1" s="1"/>
  <c r="K474" i="1" a="1"/>
  <c r="K474" i="1" s="1"/>
  <c r="K476" i="1" a="1"/>
  <c r="K476" i="1" s="1"/>
  <c r="K478" i="1" a="1"/>
  <c r="K478" i="1" s="1"/>
  <c r="K480" i="1" a="1"/>
  <c r="K480" i="1" s="1"/>
  <c r="K482" i="1" a="1"/>
  <c r="K482" i="1" s="1"/>
  <c r="K484" i="1" a="1"/>
  <c r="K484" i="1" s="1"/>
  <c r="K475" i="1" a="1"/>
  <c r="K475" i="1" s="1"/>
  <c r="K477" i="1" a="1"/>
  <c r="K477" i="1" s="1"/>
  <c r="K479" i="1" a="1"/>
  <c r="K479" i="1" s="1"/>
  <c r="K481" i="1" a="1"/>
  <c r="K481" i="1" s="1"/>
  <c r="K483" i="1" a="1"/>
  <c r="K483" i="1" s="1"/>
  <c r="K485" i="1" a="1"/>
  <c r="K485" i="1" s="1"/>
  <c r="O461" i="1" a="1"/>
  <c r="O461" i="1" s="1"/>
  <c r="O463" i="1" a="1"/>
  <c r="O463" i="1" s="1"/>
  <c r="O465" i="1" a="1"/>
  <c r="O465" i="1" s="1"/>
  <c r="O467" i="1" a="1"/>
  <c r="O467" i="1" s="1"/>
  <c r="O469" i="1" a="1"/>
  <c r="O469" i="1" s="1"/>
  <c r="O471" i="1" a="1"/>
  <c r="O471" i="1" s="1"/>
  <c r="O460" i="1" a="1"/>
  <c r="O460" i="1" s="1"/>
  <c r="O462" i="1" a="1"/>
  <c r="O462" i="1" s="1"/>
  <c r="O464" i="1" a="1"/>
  <c r="O464" i="1" s="1"/>
  <c r="O466" i="1" a="1"/>
  <c r="O466" i="1" s="1"/>
  <c r="O468" i="1" a="1"/>
  <c r="O468" i="1" s="1"/>
  <c r="O470" i="1" a="1"/>
  <c r="O470" i="1" s="1"/>
  <c r="O472" i="1" a="1"/>
  <c r="O472" i="1" s="1"/>
  <c r="S448" i="1" a="1"/>
  <c r="S448" i="1" s="1"/>
  <c r="S450" i="1" a="1"/>
  <c r="S450" i="1" s="1"/>
  <c r="S452" i="1" a="1"/>
  <c r="S452" i="1" s="1"/>
  <c r="S454" i="1" a="1"/>
  <c r="S454" i="1" s="1"/>
  <c r="S456" i="1" a="1"/>
  <c r="S456" i="1" s="1"/>
  <c r="S458" i="1" a="1"/>
  <c r="S458" i="1" s="1"/>
  <c r="S447" i="1" a="1"/>
  <c r="S447" i="1" s="1"/>
  <c r="S449" i="1" a="1"/>
  <c r="S449" i="1" s="1"/>
  <c r="S451" i="1" a="1"/>
  <c r="S451" i="1" s="1"/>
  <c r="S453" i="1" a="1"/>
  <c r="S453" i="1" s="1"/>
  <c r="S455" i="1" a="1"/>
  <c r="S455" i="1" s="1"/>
  <c r="S457" i="1" a="1"/>
  <c r="S457" i="1" s="1"/>
  <c r="S459" i="1" a="1"/>
  <c r="S459" i="1" s="1"/>
  <c r="K448" i="1" a="1"/>
  <c r="K448" i="1" s="1"/>
  <c r="K450" i="1" a="1"/>
  <c r="K450" i="1" s="1"/>
  <c r="K452" i="1" a="1"/>
  <c r="K452" i="1" s="1"/>
  <c r="K454" i="1" a="1"/>
  <c r="K454" i="1" s="1"/>
  <c r="K456" i="1" a="1"/>
  <c r="K456" i="1" s="1"/>
  <c r="K458" i="1" a="1"/>
  <c r="K458" i="1" s="1"/>
  <c r="K447" i="1" a="1"/>
  <c r="K447" i="1" s="1"/>
  <c r="K449" i="1" a="1"/>
  <c r="K449" i="1" s="1"/>
  <c r="K451" i="1" a="1"/>
  <c r="K451" i="1" s="1"/>
  <c r="K453" i="1" a="1"/>
  <c r="K453" i="1" s="1"/>
  <c r="K455" i="1" a="1"/>
  <c r="K455" i="1" s="1"/>
  <c r="K457" i="1" a="1"/>
  <c r="K457" i="1" s="1"/>
  <c r="K459" i="1" a="1"/>
  <c r="K459" i="1" s="1"/>
  <c r="O437" i="1" a="1"/>
  <c r="O437" i="1" s="1"/>
  <c r="O440" i="1" a="1"/>
  <c r="O440" i="1" s="1"/>
  <c r="O435" i="1" a="1"/>
  <c r="O435" i="1" s="1"/>
  <c r="O438" i="1" a="1"/>
  <c r="O438" i="1" s="1"/>
  <c r="O436" i="1" a="1"/>
  <c r="O436" i="1" s="1"/>
  <c r="O434" i="1" a="1"/>
  <c r="O434" i="1" s="1"/>
  <c r="O441" i="1" a="1"/>
  <c r="O441" i="1" s="1"/>
  <c r="O443" i="1" a="1"/>
  <c r="O443" i="1" s="1"/>
  <c r="O445" i="1" a="1"/>
  <c r="O445" i="1" s="1"/>
  <c r="O439" i="1" a="1"/>
  <c r="O439" i="1" s="1"/>
  <c r="O444" i="1" a="1"/>
  <c r="O444" i="1" s="1"/>
  <c r="O442" i="1" a="1"/>
  <c r="O442" i="1" s="1"/>
  <c r="O446" i="1" a="1"/>
  <c r="O446" i="1" s="1"/>
  <c r="S421" i="1" a="1"/>
  <c r="S421" i="1" s="1"/>
  <c r="S426" i="1" a="1"/>
  <c r="S426" i="1" s="1"/>
  <c r="S429" i="1" a="1"/>
  <c r="S429" i="1" s="1"/>
  <c r="S424" i="1" a="1"/>
  <c r="S424" i="1" s="1"/>
  <c r="S427" i="1" a="1"/>
  <c r="S427" i="1" s="1"/>
  <c r="S432" i="1" a="1"/>
  <c r="S432" i="1" s="1"/>
  <c r="S422" i="1" a="1"/>
  <c r="S422" i="1" s="1"/>
  <c r="S425" i="1" a="1"/>
  <c r="S425" i="1" s="1"/>
  <c r="S430" i="1" a="1"/>
  <c r="S430" i="1" s="1"/>
  <c r="S433" i="1" a="1"/>
  <c r="S433" i="1" s="1"/>
  <c r="S423" i="1" a="1"/>
  <c r="S423" i="1" s="1"/>
  <c r="S428" i="1" a="1"/>
  <c r="S428" i="1" s="1"/>
  <c r="S431" i="1" a="1"/>
  <c r="S431" i="1" s="1"/>
  <c r="K424" i="1" a="1"/>
  <c r="K424" i="1" s="1"/>
  <c r="K427" i="1" a="1"/>
  <c r="K427" i="1" s="1"/>
  <c r="K432" i="1" a="1"/>
  <c r="K432" i="1" s="1"/>
  <c r="K422" i="1" a="1"/>
  <c r="K422" i="1" s="1"/>
  <c r="K425" i="1" a="1"/>
  <c r="K425" i="1" s="1"/>
  <c r="K430" i="1" a="1"/>
  <c r="K430" i="1" s="1"/>
  <c r="K433" i="1" a="1"/>
  <c r="K433" i="1" s="1"/>
  <c r="K423" i="1" a="1"/>
  <c r="K423" i="1" s="1"/>
  <c r="K428" i="1" a="1"/>
  <c r="K428" i="1" s="1"/>
  <c r="K431" i="1" a="1"/>
  <c r="K431" i="1" s="1"/>
  <c r="K421" i="1" a="1"/>
  <c r="K421" i="1" s="1"/>
  <c r="K426" i="1" a="1"/>
  <c r="K426" i="1" s="1"/>
  <c r="K429" i="1" a="1"/>
  <c r="K429" i="1" s="1"/>
  <c r="O411" i="1" a="1"/>
  <c r="O411" i="1" s="1"/>
  <c r="O415" i="1" a="1"/>
  <c r="O415" i="1" s="1"/>
  <c r="O419" i="1" a="1"/>
  <c r="O419" i="1" s="1"/>
  <c r="O410" i="1" a="1"/>
  <c r="O410" i="1" s="1"/>
  <c r="O414" i="1" a="1"/>
  <c r="O414" i="1" s="1"/>
  <c r="O418" i="1" a="1"/>
  <c r="O418" i="1" s="1"/>
  <c r="O409" i="1" a="1"/>
  <c r="O409" i="1" s="1"/>
  <c r="O413" i="1" a="1"/>
  <c r="O413" i="1" s="1"/>
  <c r="O417" i="1" a="1"/>
  <c r="O417" i="1" s="1"/>
  <c r="O420" i="1" a="1"/>
  <c r="O420" i="1" s="1"/>
  <c r="O408" i="1" a="1"/>
  <c r="O408" i="1" s="1"/>
  <c r="O412" i="1" a="1"/>
  <c r="O412" i="1" s="1"/>
  <c r="O416" i="1" a="1"/>
  <c r="O416" i="1" s="1"/>
  <c r="S396" i="1" a="1"/>
  <c r="S396" i="1" s="1"/>
  <c r="S400" i="1" a="1"/>
  <c r="S400" i="1" s="1"/>
  <c r="S404" i="1" a="1"/>
  <c r="S404" i="1" s="1"/>
  <c r="S399" i="1" a="1"/>
  <c r="S399" i="1" s="1"/>
  <c r="S403" i="1" a="1"/>
  <c r="S403" i="1" s="1"/>
  <c r="S407" i="1" a="1"/>
  <c r="S407" i="1" s="1"/>
  <c r="S398" i="1" a="1"/>
  <c r="S398" i="1" s="1"/>
  <c r="S402" i="1" a="1"/>
  <c r="S402" i="1" s="1"/>
  <c r="S406" i="1" a="1"/>
  <c r="S406" i="1" s="1"/>
  <c r="S397" i="1" a="1"/>
  <c r="S397" i="1" s="1"/>
  <c r="S401" i="1" a="1"/>
  <c r="S401" i="1" s="1"/>
  <c r="S405" i="1" a="1"/>
  <c r="S405" i="1" s="1"/>
  <c r="K398" i="1" a="1"/>
  <c r="K398" i="1" s="1"/>
  <c r="K402" i="1" a="1"/>
  <c r="K402" i="1" s="1"/>
  <c r="K406" i="1" a="1"/>
  <c r="K406" i="1" s="1"/>
  <c r="K397" i="1" a="1"/>
  <c r="K397" i="1" s="1"/>
  <c r="K401" i="1" a="1"/>
  <c r="K401" i="1" s="1"/>
  <c r="K405" i="1" a="1"/>
  <c r="K405" i="1" s="1"/>
  <c r="K396" i="1" a="1"/>
  <c r="K396" i="1" s="1"/>
  <c r="K400" i="1" a="1"/>
  <c r="K400" i="1" s="1"/>
  <c r="K404" i="1" a="1"/>
  <c r="K404" i="1" s="1"/>
  <c r="K399" i="1" a="1"/>
  <c r="K399" i="1" s="1"/>
  <c r="K403" i="1" a="1"/>
  <c r="K403" i="1" s="1"/>
  <c r="K407" i="1" a="1"/>
  <c r="K407" i="1" s="1"/>
  <c r="O383" i="1" a="1"/>
  <c r="O383" i="1" s="1"/>
  <c r="O387" i="1" a="1"/>
  <c r="O387" i="1" s="1"/>
  <c r="O391" i="1" a="1"/>
  <c r="O391" i="1" s="1"/>
  <c r="O386" i="1" a="1"/>
  <c r="O386" i="1" s="1"/>
  <c r="O390" i="1" a="1"/>
  <c r="O390" i="1" s="1"/>
  <c r="O394" i="1" a="1"/>
  <c r="O394" i="1" s="1"/>
  <c r="O384" i="1" a="1"/>
  <c r="O384" i="1" s="1"/>
  <c r="O385" i="1" a="1"/>
  <c r="O385" i="1" s="1"/>
  <c r="O388" i="1" a="1"/>
  <c r="O388" i="1" s="1"/>
  <c r="O389" i="1" a="1"/>
  <c r="O389" i="1" s="1"/>
  <c r="O393" i="1" a="1"/>
  <c r="O393" i="1" s="1"/>
  <c r="O392" i="1" a="1"/>
  <c r="O392" i="1" s="1"/>
  <c r="S372" i="1" a="1"/>
  <c r="S372" i="1" s="1"/>
  <c r="S376" i="1" a="1"/>
  <c r="S376" i="1" s="1"/>
  <c r="S380" i="1" a="1"/>
  <c r="S380" i="1" s="1"/>
  <c r="S371" i="1" a="1"/>
  <c r="S371" i="1" s="1"/>
  <c r="S375" i="1" a="1"/>
  <c r="S375" i="1" s="1"/>
  <c r="S379" i="1" a="1"/>
  <c r="S379" i="1" s="1"/>
  <c r="S370" i="1" a="1"/>
  <c r="S370" i="1" s="1"/>
  <c r="S374" i="1" a="1"/>
  <c r="S374" i="1" s="1"/>
  <c r="S378" i="1" a="1"/>
  <c r="S378" i="1" s="1"/>
  <c r="S373" i="1" a="1"/>
  <c r="S373" i="1" s="1"/>
  <c r="S377" i="1" a="1"/>
  <c r="S377" i="1" s="1"/>
  <c r="S381" i="1" a="1"/>
  <c r="S381" i="1" s="1"/>
  <c r="K370" i="1" a="1"/>
  <c r="K370" i="1" s="1"/>
  <c r="K374" i="1" a="1"/>
  <c r="K374" i="1" s="1"/>
  <c r="K378" i="1" a="1"/>
  <c r="K378" i="1" s="1"/>
  <c r="K373" i="1" a="1"/>
  <c r="K373" i="1" s="1"/>
  <c r="K377" i="1" a="1"/>
  <c r="K377" i="1" s="1"/>
  <c r="K381" i="1" a="1"/>
  <c r="K381" i="1" s="1"/>
  <c r="K372" i="1" a="1"/>
  <c r="K372" i="1" s="1"/>
  <c r="K376" i="1" a="1"/>
  <c r="K376" i="1" s="1"/>
  <c r="K380" i="1" a="1"/>
  <c r="K380" i="1" s="1"/>
  <c r="K371" i="1" a="1"/>
  <c r="K371" i="1" s="1"/>
  <c r="K375" i="1" a="1"/>
  <c r="K375" i="1" s="1"/>
  <c r="K379" i="1" a="1"/>
  <c r="K379" i="1" s="1"/>
  <c r="O357" i="1" a="1"/>
  <c r="O357" i="1" s="1"/>
  <c r="O359" i="1" a="1"/>
  <c r="O359" i="1" s="1"/>
  <c r="O363" i="1" a="1"/>
  <c r="O363" i="1" s="1"/>
  <c r="O367" i="1" a="1"/>
  <c r="O367" i="1" s="1"/>
  <c r="O358" i="1" a="1"/>
  <c r="O358" i="1" s="1"/>
  <c r="O362" i="1" a="1"/>
  <c r="O362" i="1" s="1"/>
  <c r="O366" i="1" a="1"/>
  <c r="O366" i="1" s="1"/>
  <c r="O361" i="1" a="1"/>
  <c r="O361" i="1" s="1"/>
  <c r="O365" i="1" a="1"/>
  <c r="O365" i="1" s="1"/>
  <c r="O360" i="1" a="1"/>
  <c r="O360" i="1" s="1"/>
  <c r="O364" i="1" a="1"/>
  <c r="O364" i="1" s="1"/>
  <c r="O368" i="1" a="1"/>
  <c r="O368" i="1" s="1"/>
  <c r="S345" i="1" a="1"/>
  <c r="S345" i="1" s="1"/>
  <c r="S349" i="1" a="1"/>
  <c r="S349" i="1" s="1"/>
  <c r="S344" i="1" a="1"/>
  <c r="S344" i="1" s="1"/>
  <c r="S348" i="1" a="1"/>
  <c r="S348" i="1" s="1"/>
  <c r="S352" i="1" a="1"/>
  <c r="S352" i="1" s="1"/>
  <c r="S343" i="1" a="1"/>
  <c r="S343" i="1" s="1"/>
  <c r="S347" i="1" a="1"/>
  <c r="S347" i="1" s="1"/>
  <c r="S351" i="1" a="1"/>
  <c r="S351" i="1" s="1"/>
  <c r="S350" i="1" a="1"/>
  <c r="S350" i="1" s="1"/>
  <c r="S353" i="1" a="1"/>
  <c r="S353" i="1" s="1"/>
  <c r="S346" i="1" a="1"/>
  <c r="S346" i="1" s="1"/>
  <c r="S355" i="1" a="1"/>
  <c r="S355" i="1" s="1"/>
  <c r="S354" i="1" a="1"/>
  <c r="S354" i="1" s="1"/>
  <c r="K344" i="1" a="1"/>
  <c r="K344" i="1" s="1"/>
  <c r="K343" i="1" a="1"/>
  <c r="K343" i="1" s="1"/>
  <c r="K347" i="1" a="1"/>
  <c r="K347" i="1" s="1"/>
  <c r="K351" i="1" a="1"/>
  <c r="K351" i="1" s="1"/>
  <c r="K346" i="1" a="1"/>
  <c r="K346" i="1" s="1"/>
  <c r="K350" i="1" a="1"/>
  <c r="K350" i="1" s="1"/>
  <c r="K354" i="1" a="1"/>
  <c r="K354" i="1" s="1"/>
  <c r="K345" i="1" a="1"/>
  <c r="K345" i="1" s="1"/>
  <c r="K349" i="1" a="1"/>
  <c r="K349" i="1" s="1"/>
  <c r="K353" i="1" a="1"/>
  <c r="K353" i="1" s="1"/>
  <c r="K352" i="1" a="1"/>
  <c r="K352" i="1" s="1"/>
  <c r="K348" i="1" a="1"/>
  <c r="K348" i="1" s="1"/>
  <c r="K355" i="1" a="1"/>
  <c r="K355" i="1" s="1"/>
  <c r="T331" i="1" a="1"/>
  <c r="T331" i="1" s="1"/>
  <c r="T335" i="1" a="1"/>
  <c r="T335" i="1" s="1"/>
  <c r="T339" i="1" a="1"/>
  <c r="T339" i="1" s="1"/>
  <c r="T334" i="1" a="1"/>
  <c r="T334" i="1" s="1"/>
  <c r="T338" i="1" a="1"/>
  <c r="T338" i="1" s="1"/>
  <c r="T342" i="1" a="1"/>
  <c r="T342" i="1" s="1"/>
  <c r="T333" i="1" a="1"/>
  <c r="T333" i="1" s="1"/>
  <c r="T337" i="1" a="1"/>
  <c r="T337" i="1" s="1"/>
  <c r="T341" i="1" a="1"/>
  <c r="T341" i="1" s="1"/>
  <c r="T332" i="1" a="1"/>
  <c r="T332" i="1" s="1"/>
  <c r="T336" i="1" a="1"/>
  <c r="T336" i="1" s="1"/>
  <c r="T340" i="1" a="1"/>
  <c r="T340" i="1" s="1"/>
  <c r="J334" i="1" a="1"/>
  <c r="J334" i="1" s="1"/>
  <c r="J338" i="1" a="1"/>
  <c r="J338" i="1" s="1"/>
  <c r="J342" i="1" a="1"/>
  <c r="J342" i="1" s="1"/>
  <c r="J333" i="1" a="1"/>
  <c r="J333" i="1" s="1"/>
  <c r="J337" i="1" a="1"/>
  <c r="J337" i="1" s="1"/>
  <c r="J341" i="1" a="1"/>
  <c r="J341" i="1" s="1"/>
  <c r="J332" i="1" a="1"/>
  <c r="J332" i="1" s="1"/>
  <c r="J336" i="1" a="1"/>
  <c r="J336" i="1" s="1"/>
  <c r="J340" i="1" a="1"/>
  <c r="J340" i="1" s="1"/>
  <c r="J331" i="1" a="1"/>
  <c r="J331" i="1" s="1"/>
  <c r="J335" i="1" a="1"/>
  <c r="J335" i="1" s="1"/>
  <c r="J339" i="1" a="1"/>
  <c r="J339" i="1" s="1"/>
  <c r="S318" i="1" a="1"/>
  <c r="S318" i="1" s="1"/>
  <c r="S322" i="1" a="1"/>
  <c r="S322" i="1" s="1"/>
  <c r="S325" i="1" a="1"/>
  <c r="S325" i="1" s="1"/>
  <c r="S326" i="1" a="1"/>
  <c r="S326" i="1" s="1"/>
  <c r="S329" i="1" a="1"/>
  <c r="S329" i="1" s="1"/>
  <c r="S317" i="1" a="1"/>
  <c r="S317" i="1" s="1"/>
  <c r="S321" i="1" a="1"/>
  <c r="S321" i="1" s="1"/>
  <c r="S320" i="1" a="1"/>
  <c r="S320" i="1" s="1"/>
  <c r="S324" i="1" a="1"/>
  <c r="S324" i="1" s="1"/>
  <c r="S328" i="1" a="1"/>
  <c r="S328" i="1" s="1"/>
  <c r="S319" i="1" a="1"/>
  <c r="S319" i="1" s="1"/>
  <c r="S323" i="1" a="1"/>
  <c r="S323" i="1" s="1"/>
  <c r="S327" i="1" a="1"/>
  <c r="S327" i="1" s="1"/>
  <c r="P318" i="1" a="1"/>
  <c r="P318" i="1" s="1"/>
  <c r="P322" i="1" a="1"/>
  <c r="P322" i="1" s="1"/>
  <c r="P326" i="1" a="1"/>
  <c r="P326" i="1" s="1"/>
  <c r="P317" i="1" a="1"/>
  <c r="P317" i="1" s="1"/>
  <c r="P321" i="1" a="1"/>
  <c r="P321" i="1" s="1"/>
  <c r="P324" i="1" a="1"/>
  <c r="P324" i="1" s="1"/>
  <c r="P325" i="1" a="1"/>
  <c r="P325" i="1" s="1"/>
  <c r="P328" i="1" a="1"/>
  <c r="P328" i="1" s="1"/>
  <c r="P329" i="1" a="1"/>
  <c r="P329" i="1" s="1"/>
  <c r="P320" i="1" a="1"/>
  <c r="P320" i="1" s="1"/>
  <c r="P319" i="1" a="1"/>
  <c r="P319" i="1" s="1"/>
  <c r="P323" i="1" a="1"/>
  <c r="P323" i="1" s="1"/>
  <c r="P327" i="1" a="1"/>
  <c r="P327" i="1" s="1"/>
  <c r="R308" i="1" a="1"/>
  <c r="R308" i="1" s="1"/>
  <c r="R312" i="1" a="1"/>
  <c r="R312" i="1" s="1"/>
  <c r="R316" i="1" a="1"/>
  <c r="R316" i="1" s="1"/>
  <c r="R307" i="1" a="1"/>
  <c r="R307" i="1" s="1"/>
  <c r="R311" i="1" a="1"/>
  <c r="R311" i="1" s="1"/>
  <c r="R315" i="1" a="1"/>
  <c r="R315" i="1" s="1"/>
  <c r="R306" i="1" a="1"/>
  <c r="R306" i="1" s="1"/>
  <c r="R310" i="1" a="1"/>
  <c r="R310" i="1" s="1"/>
  <c r="R314" i="1" a="1"/>
  <c r="R314" i="1" s="1"/>
  <c r="R305" i="1" a="1"/>
  <c r="R305" i="1" s="1"/>
  <c r="R309" i="1" a="1"/>
  <c r="R309" i="1" s="1"/>
  <c r="R313" i="1" a="1"/>
  <c r="R313" i="1" s="1"/>
  <c r="O305" i="1" a="1"/>
  <c r="O305" i="1" s="1"/>
  <c r="O309" i="1" a="1"/>
  <c r="O309" i="1" s="1"/>
  <c r="O313" i="1" a="1"/>
  <c r="O313" i="1" s="1"/>
  <c r="O308" i="1" a="1"/>
  <c r="O308" i="1" s="1"/>
  <c r="O312" i="1" a="1"/>
  <c r="O312" i="1" s="1"/>
  <c r="O316" i="1" a="1"/>
  <c r="O316" i="1" s="1"/>
  <c r="O307" i="1" a="1"/>
  <c r="O307" i="1" s="1"/>
  <c r="O311" i="1" a="1"/>
  <c r="O311" i="1" s="1"/>
  <c r="O315" i="1" a="1"/>
  <c r="O315" i="1" s="1"/>
  <c r="O306" i="1" a="1"/>
  <c r="O306" i="1" s="1"/>
  <c r="O310" i="1" a="1"/>
  <c r="O310" i="1" s="1"/>
  <c r="O314" i="1" a="1"/>
  <c r="O314" i="1" s="1"/>
  <c r="L305" i="1" a="1"/>
  <c r="L305" i="1" s="1"/>
  <c r="L309" i="1" a="1"/>
  <c r="L309" i="1" s="1"/>
  <c r="L313" i="1" a="1"/>
  <c r="L313" i="1" s="1"/>
  <c r="L308" i="1" a="1"/>
  <c r="L308" i="1" s="1"/>
  <c r="L312" i="1" a="1"/>
  <c r="L312" i="1" s="1"/>
  <c r="L316" i="1" a="1"/>
  <c r="L316" i="1" s="1"/>
  <c r="L307" i="1" a="1"/>
  <c r="L307" i="1" s="1"/>
  <c r="L311" i="1" a="1"/>
  <c r="L311" i="1" s="1"/>
  <c r="L315" i="1" a="1"/>
  <c r="L315" i="1" s="1"/>
  <c r="L306" i="1" a="1"/>
  <c r="L306" i="1" s="1"/>
  <c r="L310" i="1" a="1"/>
  <c r="L310" i="1" s="1"/>
  <c r="L314" i="1" a="1"/>
  <c r="L314" i="1" s="1"/>
  <c r="N291" i="1" a="1"/>
  <c r="N291" i="1" s="1"/>
  <c r="N295" i="1" a="1"/>
  <c r="N295" i="1" s="1"/>
  <c r="N299" i="1" a="1"/>
  <c r="N299" i="1" s="1"/>
  <c r="N303" i="1" a="1"/>
  <c r="N303" i="1" s="1"/>
  <c r="N294" i="1" a="1"/>
  <c r="N294" i="1" s="1"/>
  <c r="N298" i="1" a="1"/>
  <c r="N298" i="1" s="1"/>
  <c r="N302" i="1" a="1"/>
  <c r="N302" i="1" s="1"/>
  <c r="N293" i="1" a="1"/>
  <c r="N293" i="1" s="1"/>
  <c r="N297" i="1" a="1"/>
  <c r="N297" i="1" s="1"/>
  <c r="N301" i="1" a="1"/>
  <c r="N301" i="1" s="1"/>
  <c r="N292" i="1" a="1"/>
  <c r="N292" i="1" s="1"/>
  <c r="N296" i="1" a="1"/>
  <c r="N296" i="1" s="1"/>
  <c r="N300" i="1" a="1"/>
  <c r="N300" i="1" s="1"/>
  <c r="K292" i="1" a="1"/>
  <c r="K292" i="1" s="1"/>
  <c r="K296" i="1" a="1"/>
  <c r="K296" i="1" s="1"/>
  <c r="K300" i="1" a="1"/>
  <c r="K300" i="1" s="1"/>
  <c r="K291" i="1" a="1"/>
  <c r="K291" i="1" s="1"/>
  <c r="K295" i="1" a="1"/>
  <c r="K295" i="1" s="1"/>
  <c r="K299" i="1" a="1"/>
  <c r="K299" i="1" s="1"/>
  <c r="K303" i="1" a="1"/>
  <c r="K303" i="1" s="1"/>
  <c r="K294" i="1" a="1"/>
  <c r="K294" i="1" s="1"/>
  <c r="K298" i="1" a="1"/>
  <c r="K298" i="1" s="1"/>
  <c r="K302" i="1" a="1"/>
  <c r="K302" i="1" s="1"/>
  <c r="K293" i="1" a="1"/>
  <c r="K293" i="1" s="1"/>
  <c r="K297" i="1" a="1"/>
  <c r="K297" i="1" s="1"/>
  <c r="K301" i="1" a="1"/>
  <c r="K301" i="1" s="1"/>
  <c r="T279" i="1" a="1"/>
  <c r="T279" i="1" s="1"/>
  <c r="T283" i="1" a="1"/>
  <c r="T283" i="1" s="1"/>
  <c r="T287" i="1" a="1"/>
  <c r="T287" i="1" s="1"/>
  <c r="T282" i="1" a="1"/>
  <c r="T282" i="1" s="1"/>
  <c r="T286" i="1" a="1"/>
  <c r="T286" i="1" s="1"/>
  <c r="T290" i="1" a="1"/>
  <c r="T290" i="1" s="1"/>
  <c r="T281" i="1" a="1"/>
  <c r="T281" i="1" s="1"/>
  <c r="T285" i="1" a="1"/>
  <c r="T285" i="1" s="1"/>
  <c r="T289" i="1" a="1"/>
  <c r="T289" i="1" s="1"/>
  <c r="T280" i="1" a="1"/>
  <c r="T280" i="1" s="1"/>
  <c r="T284" i="1" a="1"/>
  <c r="T284" i="1" s="1"/>
  <c r="T288" i="1" a="1"/>
  <c r="T288" i="1" s="1"/>
  <c r="J278" i="1" a="1"/>
  <c r="J278" i="1" s="1"/>
  <c r="J282" i="1" a="1"/>
  <c r="J282" i="1" s="1"/>
  <c r="J286" i="1" a="1"/>
  <c r="J286" i="1" s="1"/>
  <c r="J290" i="1" a="1"/>
  <c r="J290" i="1" s="1"/>
  <c r="J281" i="1" a="1"/>
  <c r="J281" i="1" s="1"/>
  <c r="J285" i="1" a="1"/>
  <c r="J285" i="1" s="1"/>
  <c r="J289" i="1" a="1"/>
  <c r="J289" i="1" s="1"/>
  <c r="J280" i="1" a="1"/>
  <c r="J280" i="1" s="1"/>
  <c r="J284" i="1" a="1"/>
  <c r="J284" i="1" s="1"/>
  <c r="J288" i="1" a="1"/>
  <c r="J288" i="1" s="1"/>
  <c r="J279" i="1" a="1"/>
  <c r="J279" i="1" s="1"/>
  <c r="J283" i="1" a="1"/>
  <c r="J283" i="1" s="1"/>
  <c r="J287" i="1" a="1"/>
  <c r="J287" i="1" s="1"/>
  <c r="S267" i="1" a="1"/>
  <c r="S267" i="1" s="1"/>
  <c r="S266" i="1" a="1"/>
  <c r="S266" i="1" s="1"/>
  <c r="S268" i="1" a="1"/>
  <c r="S268" i="1" s="1"/>
  <c r="S270" i="1" a="1"/>
  <c r="S270" i="1" s="1"/>
  <c r="S274" i="1" a="1"/>
  <c r="S274" i="1" s="1"/>
  <c r="S265" i="1" a="1"/>
  <c r="S265" i="1" s="1"/>
  <c r="S273" i="1" a="1"/>
  <c r="S273" i="1" s="1"/>
  <c r="S277" i="1" a="1"/>
  <c r="S277" i="1" s="1"/>
  <c r="S269" i="1" a="1"/>
  <c r="S269" i="1" s="1"/>
  <c r="S272" i="1" a="1"/>
  <c r="S272" i="1" s="1"/>
  <c r="S276" i="1" a="1"/>
  <c r="S276" i="1" s="1"/>
  <c r="S271" i="1" a="1"/>
  <c r="S271" i="1" s="1"/>
  <c r="S275" i="1" a="1"/>
  <c r="S275" i="1" s="1"/>
  <c r="P267" i="1" a="1"/>
  <c r="P267" i="1" s="1"/>
  <c r="P266" i="1" a="1"/>
  <c r="P266" i="1" s="1"/>
  <c r="P270" i="1" a="1"/>
  <c r="P270" i="1" s="1"/>
  <c r="P274" i="1" a="1"/>
  <c r="P274" i="1" s="1"/>
  <c r="P273" i="1" a="1"/>
  <c r="P273" i="1" s="1"/>
  <c r="P277" i="1" a="1"/>
  <c r="P277" i="1" s="1"/>
  <c r="P268" i="1" a="1"/>
  <c r="P268" i="1" s="1"/>
  <c r="P272" i="1" a="1"/>
  <c r="P272" i="1" s="1"/>
  <c r="P276" i="1" a="1"/>
  <c r="P276" i="1" s="1"/>
  <c r="P265" i="1" a="1"/>
  <c r="P265" i="1" s="1"/>
  <c r="P269" i="1" a="1"/>
  <c r="P269" i="1" s="1"/>
  <c r="P271" i="1" a="1"/>
  <c r="P271" i="1" s="1"/>
  <c r="P275" i="1" a="1"/>
  <c r="P275" i="1" s="1"/>
  <c r="R253" i="1" a="1"/>
  <c r="R253" i="1" s="1"/>
  <c r="R257" i="1" a="1"/>
  <c r="R257" i="1" s="1"/>
  <c r="R261" i="1" a="1"/>
  <c r="R261" i="1" s="1"/>
  <c r="R252" i="1" a="1"/>
  <c r="R252" i="1" s="1"/>
  <c r="R256" i="1" a="1"/>
  <c r="R256" i="1" s="1"/>
  <c r="R260" i="1" a="1"/>
  <c r="R260" i="1" s="1"/>
  <c r="R264" i="1" a="1"/>
  <c r="R264" i="1" s="1"/>
  <c r="R255" i="1" a="1"/>
  <c r="R255" i="1" s="1"/>
  <c r="R259" i="1" a="1"/>
  <c r="R259" i="1" s="1"/>
  <c r="R263" i="1" a="1"/>
  <c r="R263" i="1" s="1"/>
  <c r="R254" i="1" a="1"/>
  <c r="R254" i="1" s="1"/>
  <c r="R258" i="1" a="1"/>
  <c r="R258" i="1" s="1"/>
  <c r="R262" i="1" a="1"/>
  <c r="R262" i="1" s="1"/>
  <c r="O254" i="1" a="1"/>
  <c r="O254" i="1" s="1"/>
  <c r="O258" i="1" a="1"/>
  <c r="O258" i="1" s="1"/>
  <c r="O262" i="1" a="1"/>
  <c r="O262" i="1" s="1"/>
  <c r="O253" i="1" a="1"/>
  <c r="O253" i="1" s="1"/>
  <c r="O257" i="1" a="1"/>
  <c r="O257" i="1" s="1"/>
  <c r="O261" i="1" a="1"/>
  <c r="O261" i="1" s="1"/>
  <c r="O252" i="1" a="1"/>
  <c r="O252" i="1" s="1"/>
  <c r="O256" i="1" a="1"/>
  <c r="O256" i="1" s="1"/>
  <c r="O260" i="1" a="1"/>
  <c r="O260" i="1" s="1"/>
  <c r="O264" i="1" a="1"/>
  <c r="O264" i="1" s="1"/>
  <c r="O255" i="1" a="1"/>
  <c r="O255" i="1" s="1"/>
  <c r="O259" i="1" a="1"/>
  <c r="O259" i="1" s="1"/>
  <c r="O263" i="1" a="1"/>
  <c r="O263" i="1" s="1"/>
  <c r="L254" i="1" a="1"/>
  <c r="L254" i="1" s="1"/>
  <c r="L258" i="1" a="1"/>
  <c r="L258" i="1" s="1"/>
  <c r="L262" i="1" a="1"/>
  <c r="L262" i="1" s="1"/>
  <c r="L253" i="1" a="1"/>
  <c r="L253" i="1" s="1"/>
  <c r="L257" i="1" a="1"/>
  <c r="L257" i="1" s="1"/>
  <c r="L261" i="1" a="1"/>
  <c r="L261" i="1" s="1"/>
  <c r="L252" i="1" a="1"/>
  <c r="L252" i="1" s="1"/>
  <c r="L256" i="1" a="1"/>
  <c r="L256" i="1" s="1"/>
  <c r="L260" i="1" a="1"/>
  <c r="L260" i="1" s="1"/>
  <c r="L264" i="1" a="1"/>
  <c r="L264" i="1" s="1"/>
  <c r="L255" i="1" a="1"/>
  <c r="L255" i="1" s="1"/>
  <c r="L259" i="1" a="1"/>
  <c r="L259" i="1" s="1"/>
  <c r="L263" i="1" a="1"/>
  <c r="L263" i="1" s="1"/>
  <c r="N240" i="1" a="1"/>
  <c r="N240" i="1" s="1"/>
  <c r="N244" i="1" a="1"/>
  <c r="N244" i="1" s="1"/>
  <c r="N248" i="1" a="1"/>
  <c r="N248" i="1" s="1"/>
  <c r="N239" i="1" a="1"/>
  <c r="N239" i="1" s="1"/>
  <c r="N243" i="1" a="1"/>
  <c r="N243" i="1" s="1"/>
  <c r="N247" i="1" a="1"/>
  <c r="N247" i="1" s="1"/>
  <c r="N251" i="1" a="1"/>
  <c r="N251" i="1" s="1"/>
  <c r="N242" i="1" a="1"/>
  <c r="N242" i="1" s="1"/>
  <c r="N246" i="1" a="1"/>
  <c r="N246" i="1" s="1"/>
  <c r="N250" i="1" a="1"/>
  <c r="N250" i="1" s="1"/>
  <c r="N241" i="1" a="1"/>
  <c r="N241" i="1" s="1"/>
  <c r="N245" i="1" a="1"/>
  <c r="N245" i="1" s="1"/>
  <c r="N249" i="1" a="1"/>
  <c r="N249" i="1" s="1"/>
  <c r="K241" i="1" a="1"/>
  <c r="K241" i="1" s="1"/>
  <c r="K245" i="1" a="1"/>
  <c r="K245" i="1" s="1"/>
  <c r="K249" i="1" a="1"/>
  <c r="K249" i="1" s="1"/>
  <c r="K240" i="1" a="1"/>
  <c r="K240" i="1" s="1"/>
  <c r="K244" i="1" a="1"/>
  <c r="K244" i="1" s="1"/>
  <c r="K248" i="1" a="1"/>
  <c r="K248" i="1" s="1"/>
  <c r="K239" i="1" a="1"/>
  <c r="K239" i="1" s="1"/>
  <c r="K243" i="1" a="1"/>
  <c r="K243" i="1" s="1"/>
  <c r="K247" i="1" a="1"/>
  <c r="K247" i="1" s="1"/>
  <c r="K251" i="1" a="1"/>
  <c r="K251" i="1" s="1"/>
  <c r="K242" i="1" a="1"/>
  <c r="K242" i="1" s="1"/>
  <c r="K246" i="1" a="1"/>
  <c r="K246" i="1" s="1"/>
  <c r="K250" i="1" a="1"/>
  <c r="K250" i="1" s="1"/>
  <c r="O230" i="1" a="1"/>
  <c r="O230" i="1" s="1"/>
  <c r="O234" i="1" a="1"/>
  <c r="O234" i="1" s="1"/>
  <c r="O238" i="1" a="1"/>
  <c r="O238" i="1" s="1"/>
  <c r="O226" i="1" a="1"/>
  <c r="O226" i="1" s="1"/>
  <c r="O228" i="1" a="1"/>
  <c r="O228" i="1" s="1"/>
  <c r="O233" i="1" a="1"/>
  <c r="O233" i="1" s="1"/>
  <c r="O237" i="1" a="1"/>
  <c r="O237" i="1" s="1"/>
  <c r="O232" i="1" a="1"/>
  <c r="O232" i="1" s="1"/>
  <c r="O236" i="1" a="1"/>
  <c r="O236" i="1" s="1"/>
  <c r="O227" i="1" a="1"/>
  <c r="O227" i="1" s="1"/>
  <c r="O229" i="1" a="1"/>
  <c r="O229" i="1" s="1"/>
  <c r="O231" i="1" a="1"/>
  <c r="O231" i="1" s="1"/>
  <c r="O235" i="1" a="1"/>
  <c r="O235" i="1" s="1"/>
  <c r="S215" i="1" a="1"/>
  <c r="S215" i="1" s="1"/>
  <c r="S218" i="1" a="1"/>
  <c r="S218" i="1" s="1"/>
  <c r="S223" i="1" a="1"/>
  <c r="S223" i="1" s="1"/>
  <c r="S216" i="1" a="1"/>
  <c r="S216" i="1" s="1"/>
  <c r="S221" i="1" a="1"/>
  <c r="S221" i="1" s="1"/>
  <c r="S224" i="1" a="1"/>
  <c r="S224" i="1" s="1"/>
  <c r="S214" i="1" a="1"/>
  <c r="S214" i="1" s="1"/>
  <c r="S217" i="1" a="1"/>
  <c r="S217" i="1" s="1"/>
  <c r="S220" i="1" a="1"/>
  <c r="S220" i="1" s="1"/>
  <c r="S219" i="1" a="1"/>
  <c r="S219" i="1" s="1"/>
  <c r="S222" i="1" a="1"/>
  <c r="S222" i="1" s="1"/>
  <c r="S225" i="1" a="1"/>
  <c r="S225" i="1" s="1"/>
  <c r="K216" i="1" a="1"/>
  <c r="K216" i="1" s="1"/>
  <c r="K221" i="1" a="1"/>
  <c r="K221" i="1" s="1"/>
  <c r="K224" i="1" a="1"/>
  <c r="K224" i="1" s="1"/>
  <c r="K214" i="1" a="1"/>
  <c r="K214" i="1" s="1"/>
  <c r="K219" i="1" a="1"/>
  <c r="K219" i="1" s="1"/>
  <c r="K222" i="1" a="1"/>
  <c r="K222" i="1" s="1"/>
  <c r="K215" i="1" a="1"/>
  <c r="K215" i="1" s="1"/>
  <c r="K220" i="1" a="1"/>
  <c r="K220" i="1" s="1"/>
  <c r="K217" i="1" a="1"/>
  <c r="K217" i="1" s="1"/>
  <c r="K223" i="1" a="1"/>
  <c r="K223" i="1" s="1"/>
  <c r="K225" i="1" a="1"/>
  <c r="K225" i="1" s="1"/>
  <c r="K218" i="1" a="1"/>
  <c r="K218" i="1" s="1"/>
  <c r="O207" i="1" a="1"/>
  <c r="O207" i="1" s="1"/>
  <c r="O209" i="1" a="1"/>
  <c r="O209" i="1" s="1"/>
  <c r="O200" i="1" a="1"/>
  <c r="O200" i="1" s="1"/>
  <c r="O202" i="1" a="1"/>
  <c r="O202" i="1" s="1"/>
  <c r="O211" i="1" a="1"/>
  <c r="O211" i="1" s="1"/>
  <c r="O201" i="1" a="1"/>
  <c r="O201" i="1" s="1"/>
  <c r="O204" i="1" a="1"/>
  <c r="O204" i="1" s="1"/>
  <c r="O206" i="1" a="1"/>
  <c r="O206" i="1" s="1"/>
  <c r="O203" i="1" a="1"/>
  <c r="O203" i="1" s="1"/>
  <c r="O205" i="1" a="1"/>
  <c r="O205" i="1" s="1"/>
  <c r="O208" i="1" a="1"/>
  <c r="O208" i="1" s="1"/>
  <c r="O210" i="1" a="1"/>
  <c r="O210" i="1" s="1"/>
  <c r="O212" i="1" a="1"/>
  <c r="O212" i="1" s="1"/>
  <c r="S187" i="1" a="1"/>
  <c r="S187" i="1" s="1"/>
  <c r="S196" i="1" a="1"/>
  <c r="S196" i="1" s="1"/>
  <c r="S198" i="1" a="1"/>
  <c r="S198" i="1" s="1"/>
  <c r="S189" i="1" a="1"/>
  <c r="S189" i="1" s="1"/>
  <c r="S191" i="1" a="1"/>
  <c r="S191" i="1" s="1"/>
  <c r="S188" i="1" a="1"/>
  <c r="S188" i="1" s="1"/>
  <c r="S190" i="1" a="1"/>
  <c r="S190" i="1" s="1"/>
  <c r="S193" i="1" a="1"/>
  <c r="S193" i="1" s="1"/>
  <c r="S195" i="1" a="1"/>
  <c r="S195" i="1" s="1"/>
  <c r="S192" i="1" a="1"/>
  <c r="S192" i="1" s="1"/>
  <c r="S194" i="1" a="1"/>
  <c r="S194" i="1" s="1"/>
  <c r="S197" i="1" a="1"/>
  <c r="S197" i="1" s="1"/>
  <c r="S199" i="1" a="1"/>
  <c r="S199" i="1" s="1"/>
  <c r="O191" i="1" a="1"/>
  <c r="O191" i="1" s="1"/>
  <c r="O193" i="1" a="1"/>
  <c r="O193" i="1" s="1"/>
  <c r="O196" i="1" a="1"/>
  <c r="O196" i="1" s="1"/>
  <c r="O198" i="1" a="1"/>
  <c r="O198" i="1" s="1"/>
  <c r="O195" i="1" a="1"/>
  <c r="O195" i="1" s="1"/>
  <c r="O197" i="1" a="1"/>
  <c r="O197" i="1" s="1"/>
  <c r="O188" i="1" a="1"/>
  <c r="O188" i="1" s="1"/>
  <c r="O190" i="1" a="1"/>
  <c r="O190" i="1" s="1"/>
  <c r="O199" i="1" a="1"/>
  <c r="O199" i="1" s="1"/>
  <c r="O187" i="1" a="1"/>
  <c r="O187" i="1" s="1"/>
  <c r="O189" i="1" a="1"/>
  <c r="O189" i="1" s="1"/>
  <c r="O192" i="1" a="1"/>
  <c r="O192" i="1" s="1"/>
  <c r="O194" i="1" a="1"/>
  <c r="O194" i="1" s="1"/>
  <c r="L187" i="1" a="1"/>
  <c r="L187" i="1" s="1"/>
  <c r="L189" i="1" a="1"/>
  <c r="L189" i="1" s="1"/>
  <c r="L196" i="1" a="1"/>
  <c r="L196" i="1" s="1"/>
  <c r="L198" i="1" a="1"/>
  <c r="L198" i="1" s="1"/>
  <c r="L191" i="1" a="1"/>
  <c r="L191" i="1" s="1"/>
  <c r="L193" i="1" a="1"/>
  <c r="L193" i="1" s="1"/>
  <c r="L188" i="1" a="1"/>
  <c r="L188" i="1" s="1"/>
  <c r="L190" i="1" a="1"/>
  <c r="L190" i="1" s="1"/>
  <c r="L195" i="1" a="1"/>
  <c r="L195" i="1" s="1"/>
  <c r="L197" i="1" a="1"/>
  <c r="L197" i="1" s="1"/>
  <c r="L192" i="1" a="1"/>
  <c r="L192" i="1" s="1"/>
  <c r="L194" i="1" a="1"/>
  <c r="L194" i="1" s="1"/>
  <c r="L199" i="1" a="1"/>
  <c r="L199" i="1" s="1"/>
  <c r="N177" i="1" a="1"/>
  <c r="N177" i="1" s="1"/>
  <c r="N175" i="1" a="1"/>
  <c r="N175" i="1" s="1"/>
  <c r="N176" i="1" a="1"/>
  <c r="N176" i="1" s="1"/>
  <c r="N180" i="1" a="1"/>
  <c r="N180" i="1" s="1"/>
  <c r="N183" i="1" a="1"/>
  <c r="N183" i="1" s="1"/>
  <c r="N178" i="1" a="1"/>
  <c r="N178" i="1" s="1"/>
  <c r="N181" i="1" a="1"/>
  <c r="N181" i="1" s="1"/>
  <c r="N186" i="1" a="1"/>
  <c r="N186" i="1" s="1"/>
  <c r="N179" i="1" a="1"/>
  <c r="N179" i="1" s="1"/>
  <c r="N184" i="1" a="1"/>
  <c r="N184" i="1" s="1"/>
  <c r="N182" i="1" a="1"/>
  <c r="N182" i="1" s="1"/>
  <c r="N185" i="1" a="1"/>
  <c r="N185" i="1" s="1"/>
  <c r="J163" i="1" a="1"/>
  <c r="J163" i="1" s="1"/>
  <c r="J167" i="1" a="1"/>
  <c r="J167" i="1" s="1"/>
  <c r="J171" i="1" a="1"/>
  <c r="J171" i="1" s="1"/>
  <c r="J162" i="1" a="1"/>
  <c r="J162" i="1" s="1"/>
  <c r="J166" i="1" a="1"/>
  <c r="J166" i="1" s="1"/>
  <c r="J170" i="1" a="1"/>
  <c r="J170" i="1" s="1"/>
  <c r="J165" i="1" a="1"/>
  <c r="J165" i="1" s="1"/>
  <c r="J169" i="1" a="1"/>
  <c r="J169" i="1" s="1"/>
  <c r="J173" i="1" a="1"/>
  <c r="J173" i="1" s="1"/>
  <c r="J164" i="1" a="1"/>
  <c r="J164" i="1" s="1"/>
  <c r="J168" i="1" a="1"/>
  <c r="J168" i="1" s="1"/>
  <c r="J172" i="1" a="1"/>
  <c r="J172" i="1" s="1"/>
  <c r="S150" i="1" a="1"/>
  <c r="S150" i="1" s="1"/>
  <c r="S154" i="1" a="1"/>
  <c r="S154" i="1" s="1"/>
  <c r="S158" i="1" a="1"/>
  <c r="S158" i="1" s="1"/>
  <c r="S149" i="1" a="1"/>
  <c r="S149" i="1" s="1"/>
  <c r="S153" i="1" a="1"/>
  <c r="S153" i="1" s="1"/>
  <c r="S157" i="1" a="1"/>
  <c r="S157" i="1" s="1"/>
  <c r="S148" i="1" a="1"/>
  <c r="S148" i="1" s="1"/>
  <c r="S152" i="1" a="1"/>
  <c r="S152" i="1" s="1"/>
  <c r="S156" i="1" a="1"/>
  <c r="S156" i="1" s="1"/>
  <c r="S160" i="1" a="1"/>
  <c r="S160" i="1" s="1"/>
  <c r="S151" i="1" a="1"/>
  <c r="S151" i="1" s="1"/>
  <c r="S155" i="1" a="1"/>
  <c r="S155" i="1" s="1"/>
  <c r="S159" i="1" a="1"/>
  <c r="S159" i="1" s="1"/>
  <c r="P150" i="1" a="1"/>
  <c r="P150" i="1" s="1"/>
  <c r="P154" i="1" a="1"/>
  <c r="P154" i="1" s="1"/>
  <c r="P158" i="1" a="1"/>
  <c r="P158" i="1" s="1"/>
  <c r="P149" i="1" a="1"/>
  <c r="P149" i="1" s="1"/>
  <c r="P153" i="1" a="1"/>
  <c r="P153" i="1" s="1"/>
  <c r="P157" i="1" a="1"/>
  <c r="P157" i="1" s="1"/>
  <c r="P148" i="1" a="1"/>
  <c r="P148" i="1" s="1"/>
  <c r="P152" i="1" a="1"/>
  <c r="P152" i="1" s="1"/>
  <c r="P156" i="1" a="1"/>
  <c r="P156" i="1" s="1"/>
  <c r="P160" i="1" a="1"/>
  <c r="P160" i="1" s="1"/>
  <c r="P151" i="1" a="1"/>
  <c r="P151" i="1" s="1"/>
  <c r="P155" i="1" a="1"/>
  <c r="P155" i="1" s="1"/>
  <c r="P159" i="1" a="1"/>
  <c r="P159" i="1" s="1"/>
  <c r="S138" i="1" a="1"/>
  <c r="S138" i="1" s="1"/>
  <c r="S142" i="1" a="1"/>
  <c r="S142" i="1" s="1"/>
  <c r="S146" i="1" a="1"/>
  <c r="S146" i="1" s="1"/>
  <c r="S137" i="1" a="1"/>
  <c r="S137" i="1" s="1"/>
  <c r="S141" i="1" a="1"/>
  <c r="S141" i="1" s="1"/>
  <c r="S145" i="1" a="1"/>
  <c r="S145" i="1" s="1"/>
  <c r="S136" i="1" a="1"/>
  <c r="S136" i="1" s="1"/>
  <c r="S140" i="1" a="1"/>
  <c r="S140" i="1" s="1"/>
  <c r="S144" i="1" a="1"/>
  <c r="S144" i="1" s="1"/>
  <c r="S135" i="1" a="1"/>
  <c r="S135" i="1" s="1"/>
  <c r="S139" i="1" a="1"/>
  <c r="S139" i="1" s="1"/>
  <c r="S143" i="1" a="1"/>
  <c r="S143" i="1" s="1"/>
  <c r="S147" i="1" a="1"/>
  <c r="S147" i="1" s="1"/>
  <c r="M138" i="1" a="1"/>
  <c r="M138" i="1" s="1"/>
  <c r="M142" i="1" a="1"/>
  <c r="M142" i="1" s="1"/>
  <c r="M146" i="1" a="1"/>
  <c r="M146" i="1" s="1"/>
  <c r="M137" i="1" a="1"/>
  <c r="M137" i="1" s="1"/>
  <c r="M141" i="1" a="1"/>
  <c r="M141" i="1" s="1"/>
  <c r="M145" i="1" a="1"/>
  <c r="M145" i="1" s="1"/>
  <c r="M136" i="1" a="1"/>
  <c r="M136" i="1" s="1"/>
  <c r="M140" i="1" a="1"/>
  <c r="M140" i="1" s="1"/>
  <c r="M144" i="1" a="1"/>
  <c r="M144" i="1" s="1"/>
  <c r="M135" i="1" a="1"/>
  <c r="M135" i="1" s="1"/>
  <c r="M139" i="1" a="1"/>
  <c r="M139" i="1" s="1"/>
  <c r="M143" i="1" a="1"/>
  <c r="M143" i="1" s="1"/>
  <c r="M147" i="1" a="1"/>
  <c r="M147" i="1" s="1"/>
  <c r="J139" i="1" a="1"/>
  <c r="J139" i="1" s="1"/>
  <c r="J143" i="1" a="1"/>
  <c r="J143" i="1" s="1"/>
  <c r="J147" i="1" a="1"/>
  <c r="J147" i="1" s="1"/>
  <c r="J138" i="1" a="1"/>
  <c r="J138" i="1" s="1"/>
  <c r="J142" i="1" a="1"/>
  <c r="J142" i="1" s="1"/>
  <c r="J146" i="1" a="1"/>
  <c r="J146" i="1" s="1"/>
  <c r="J137" i="1" a="1"/>
  <c r="J137" i="1" s="1"/>
  <c r="J141" i="1" a="1"/>
  <c r="J141" i="1" s="1"/>
  <c r="J145" i="1" a="1"/>
  <c r="J145" i="1" s="1"/>
  <c r="J136" i="1" a="1"/>
  <c r="J136" i="1" s="1"/>
  <c r="J140" i="1" a="1"/>
  <c r="J140" i="1" s="1"/>
  <c r="J144" i="1" a="1"/>
  <c r="J144" i="1" s="1"/>
  <c r="S125" i="1" a="1"/>
  <c r="S125" i="1" s="1"/>
  <c r="S129" i="1" a="1"/>
  <c r="S129" i="1" s="1"/>
  <c r="S124" i="1" a="1"/>
  <c r="S124" i="1" s="1"/>
  <c r="S128" i="1" a="1"/>
  <c r="S128" i="1" s="1"/>
  <c r="S132" i="1" a="1"/>
  <c r="S132" i="1" s="1"/>
  <c r="S123" i="1" a="1"/>
  <c r="S123" i="1" s="1"/>
  <c r="S127" i="1" a="1"/>
  <c r="S127" i="1" s="1"/>
  <c r="S122" i="1" a="1"/>
  <c r="S122" i="1" s="1"/>
  <c r="S126" i="1" a="1"/>
  <c r="S126" i="1" s="1"/>
  <c r="S130" i="1" a="1"/>
  <c r="S130" i="1" s="1"/>
  <c r="S131" i="1" a="1"/>
  <c r="S131" i="1" s="1"/>
  <c r="S134" i="1" a="1"/>
  <c r="S134" i="1" s="1"/>
  <c r="S133" i="1" a="1"/>
  <c r="S133" i="1" s="1"/>
  <c r="P125" i="1" a="1"/>
  <c r="P125" i="1" s="1"/>
  <c r="P129" i="1" a="1"/>
  <c r="P129" i="1" s="1"/>
  <c r="P124" i="1" a="1"/>
  <c r="P124" i="1" s="1"/>
  <c r="P128" i="1" a="1"/>
  <c r="P128" i="1" s="1"/>
  <c r="P132" i="1" a="1"/>
  <c r="P132" i="1" s="1"/>
  <c r="P123" i="1" a="1"/>
  <c r="P123" i="1" s="1"/>
  <c r="P127" i="1" a="1"/>
  <c r="P127" i="1" s="1"/>
  <c r="P122" i="1" a="1"/>
  <c r="P122" i="1" s="1"/>
  <c r="P126" i="1" a="1"/>
  <c r="P126" i="1" s="1"/>
  <c r="P130" i="1" a="1"/>
  <c r="P130" i="1" s="1"/>
  <c r="P134" i="1" a="1"/>
  <c r="P134" i="1" s="1"/>
  <c r="P133" i="1" a="1"/>
  <c r="P133" i="1" s="1"/>
  <c r="P131" i="1" a="1"/>
  <c r="P131" i="1" s="1"/>
  <c r="R109" i="1" a="1"/>
  <c r="R109" i="1" s="1"/>
  <c r="R112" i="1" a="1"/>
  <c r="R112" i="1" s="1"/>
  <c r="R113" i="1" a="1"/>
  <c r="R113" i="1" s="1"/>
  <c r="R115" i="1" a="1"/>
  <c r="R115" i="1" s="1"/>
  <c r="R120" i="1" a="1"/>
  <c r="R120" i="1" s="1"/>
  <c r="R119" i="1" a="1"/>
  <c r="R119" i="1" s="1"/>
  <c r="R111" i="1" a="1"/>
  <c r="R111" i="1" s="1"/>
  <c r="R114" i="1" a="1"/>
  <c r="R114" i="1" s="1"/>
  <c r="R116" i="1" a="1"/>
  <c r="R116" i="1" s="1"/>
  <c r="R118" i="1" a="1"/>
  <c r="R118" i="1" s="1"/>
  <c r="R110" i="1" a="1"/>
  <c r="R110" i="1" s="1"/>
  <c r="R117" i="1" a="1"/>
  <c r="R117" i="1" s="1"/>
  <c r="R121" i="1" a="1"/>
  <c r="R121" i="1" s="1"/>
  <c r="O109" i="1" a="1"/>
  <c r="O109" i="1" s="1"/>
  <c r="O120" i="1" a="1"/>
  <c r="O120" i="1" s="1"/>
  <c r="O114" i="1" a="1"/>
  <c r="O114" i="1" s="1"/>
  <c r="O116" i="1" a="1"/>
  <c r="O116" i="1" s="1"/>
  <c r="O119" i="1" a="1"/>
  <c r="O119" i="1" s="1"/>
  <c r="O111" i="1" a="1"/>
  <c r="O111" i="1" s="1"/>
  <c r="O112" i="1" a="1"/>
  <c r="O112" i="1" s="1"/>
  <c r="O113" i="1" a="1"/>
  <c r="O113" i="1" s="1"/>
  <c r="O118" i="1" a="1"/>
  <c r="O118" i="1" s="1"/>
  <c r="O110" i="1" a="1"/>
  <c r="O110" i="1" s="1"/>
  <c r="O115" i="1" a="1"/>
  <c r="O115" i="1" s="1"/>
  <c r="O117" i="1" a="1"/>
  <c r="O117" i="1" s="1"/>
  <c r="O121" i="1" a="1"/>
  <c r="O121" i="1" s="1"/>
  <c r="I110" i="1" a="1"/>
  <c r="I110" i="1" s="1"/>
  <c r="I114" i="1" a="1"/>
  <c r="I114" i="1" s="1"/>
  <c r="I116" i="1" a="1"/>
  <c r="I116" i="1" s="1"/>
  <c r="I120" i="1" a="1"/>
  <c r="I120" i="1" s="1"/>
  <c r="I119" i="1" a="1"/>
  <c r="I119" i="1" s="1"/>
  <c r="I112" i="1" a="1"/>
  <c r="I112" i="1" s="1"/>
  <c r="I113" i="1" a="1"/>
  <c r="I113" i="1" s="1"/>
  <c r="I115" i="1" a="1"/>
  <c r="I115" i="1" s="1"/>
  <c r="I117" i="1" a="1"/>
  <c r="I117" i="1" s="1"/>
  <c r="I118" i="1" a="1"/>
  <c r="I118" i="1" s="1"/>
  <c r="I111" i="1" a="1"/>
  <c r="I111" i="1" s="1"/>
  <c r="I121" i="1" a="1"/>
  <c r="I121" i="1" s="1"/>
  <c r="R84" i="1" a="1"/>
  <c r="R84" i="1" s="1"/>
  <c r="R88" i="1" a="1"/>
  <c r="R88" i="1" s="1"/>
  <c r="R83" i="1" a="1"/>
  <c r="R83" i="1" s="1"/>
  <c r="R87" i="1" a="1"/>
  <c r="R87" i="1" s="1"/>
  <c r="R86" i="1" a="1"/>
  <c r="R86" i="1" s="1"/>
  <c r="R85" i="1" a="1"/>
  <c r="R85" i="1" s="1"/>
  <c r="R89" i="1" a="1"/>
  <c r="R89" i="1" s="1"/>
  <c r="R90" i="1" a="1"/>
  <c r="R90" i="1" s="1"/>
  <c r="R93" i="1" a="1"/>
  <c r="R93" i="1" s="1"/>
  <c r="R92" i="1" a="1"/>
  <c r="R92" i="1" s="1"/>
  <c r="R91" i="1" a="1"/>
  <c r="R91" i="1" s="1"/>
  <c r="R95" i="1" a="1"/>
  <c r="R95" i="1" s="1"/>
  <c r="R94" i="1" a="1"/>
  <c r="R94" i="1" s="1"/>
  <c r="O84" i="1" a="1"/>
  <c r="O84" i="1" s="1"/>
  <c r="O88" i="1" a="1"/>
  <c r="O88" i="1" s="1"/>
  <c r="O83" i="1" a="1"/>
  <c r="O83" i="1" s="1"/>
  <c r="O87" i="1" a="1"/>
  <c r="O87" i="1" s="1"/>
  <c r="O86" i="1" a="1"/>
  <c r="O86" i="1" s="1"/>
  <c r="O85" i="1" a="1"/>
  <c r="O85" i="1" s="1"/>
  <c r="O89" i="1" a="1"/>
  <c r="O89" i="1" s="1"/>
  <c r="O93" i="1" a="1"/>
  <c r="O93" i="1" s="1"/>
  <c r="O90" i="1" a="1"/>
  <c r="O90" i="1" s="1"/>
  <c r="O92" i="1" a="1"/>
  <c r="O92" i="1" s="1"/>
  <c r="O91" i="1" a="1"/>
  <c r="O91" i="1" s="1"/>
  <c r="O95" i="1" a="1"/>
  <c r="O95" i="1" s="1"/>
  <c r="O94" i="1" a="1"/>
  <c r="O94" i="1" s="1"/>
  <c r="L84" i="1" a="1"/>
  <c r="L84" i="1" s="1"/>
  <c r="L88" i="1" a="1"/>
  <c r="L88" i="1" s="1"/>
  <c r="L87" i="1" a="1"/>
  <c r="L87" i="1" s="1"/>
  <c r="L86" i="1" a="1"/>
  <c r="L86" i="1" s="1"/>
  <c r="L90" i="1" a="1"/>
  <c r="L90" i="1" s="1"/>
  <c r="L85" i="1" a="1"/>
  <c r="L85" i="1" s="1"/>
  <c r="L89" i="1" a="1"/>
  <c r="L89" i="1" s="1"/>
  <c r="L93" i="1" a="1"/>
  <c r="L93" i="1" s="1"/>
  <c r="L92" i="1" a="1"/>
  <c r="L92" i="1" s="1"/>
  <c r="L91" i="1" a="1"/>
  <c r="L91" i="1" s="1"/>
  <c r="L95" i="1" a="1"/>
  <c r="L95" i="1" s="1"/>
  <c r="L94" i="1" a="1"/>
  <c r="L94" i="1" s="1"/>
  <c r="O72" i="1" a="1"/>
  <c r="O72" i="1" s="1"/>
  <c r="O76" i="1" a="1"/>
  <c r="O76" i="1" s="1"/>
  <c r="O80" i="1" a="1"/>
  <c r="O80" i="1" s="1"/>
  <c r="O71" i="1" a="1"/>
  <c r="O71" i="1" s="1"/>
  <c r="O75" i="1" a="1"/>
  <c r="O75" i="1" s="1"/>
  <c r="O79" i="1" a="1"/>
  <c r="O79" i="1" s="1"/>
  <c r="O70" i="1" a="1"/>
  <c r="O70" i="1" s="1"/>
  <c r="O74" i="1" a="1"/>
  <c r="O74" i="1" s="1"/>
  <c r="O78" i="1" a="1"/>
  <c r="O78" i="1" s="1"/>
  <c r="O82" i="1" a="1"/>
  <c r="O82" i="1" s="1"/>
  <c r="O73" i="1" a="1"/>
  <c r="O73" i="1" s="1"/>
  <c r="O77" i="1" a="1"/>
  <c r="O77" i="1" s="1"/>
  <c r="O81" i="1" a="1"/>
  <c r="O81" i="1" s="1"/>
  <c r="I73" i="1" a="1"/>
  <c r="I73" i="1" s="1"/>
  <c r="I77" i="1" a="1"/>
  <c r="I77" i="1" s="1"/>
  <c r="I81" i="1" a="1"/>
  <c r="I81" i="1" s="1"/>
  <c r="I72" i="1" a="1"/>
  <c r="I72" i="1" s="1"/>
  <c r="I76" i="1" a="1"/>
  <c r="I76" i="1" s="1"/>
  <c r="I80" i="1" a="1"/>
  <c r="I80" i="1" s="1"/>
  <c r="I71" i="1" a="1"/>
  <c r="I71" i="1" s="1"/>
  <c r="I75" i="1" a="1"/>
  <c r="I75" i="1" s="1"/>
  <c r="I79" i="1" a="1"/>
  <c r="I79" i="1" s="1"/>
  <c r="I70" i="1" a="1"/>
  <c r="I70" i="1" s="1"/>
  <c r="I74" i="1" a="1"/>
  <c r="I74" i="1" s="1"/>
  <c r="I78" i="1" a="1"/>
  <c r="I78" i="1" s="1"/>
  <c r="I82" i="1" a="1"/>
  <c r="I82" i="1" s="1"/>
  <c r="R60" i="1" a="1"/>
  <c r="R60" i="1" s="1"/>
  <c r="R62" i="1" a="1"/>
  <c r="R62" i="1" s="1"/>
  <c r="R66" i="1" a="1"/>
  <c r="R66" i="1" s="1"/>
  <c r="R58" i="1" a="1"/>
  <c r="R58" i="1" s="1"/>
  <c r="R59" i="1" a="1"/>
  <c r="R59" i="1" s="1"/>
  <c r="R61" i="1" a="1"/>
  <c r="R61" i="1" s="1"/>
  <c r="R65" i="1" a="1"/>
  <c r="R65" i="1" s="1"/>
  <c r="R57" i="1" a="1"/>
  <c r="R57" i="1" s="1"/>
  <c r="R64" i="1" a="1"/>
  <c r="R64" i="1" s="1"/>
  <c r="R68" i="1" a="1"/>
  <c r="R68" i="1" s="1"/>
  <c r="R63" i="1" a="1"/>
  <c r="R63" i="1" s="1"/>
  <c r="R67" i="1" a="1"/>
  <c r="R67" i="1" s="1"/>
  <c r="R69" i="1" a="1"/>
  <c r="R69" i="1" s="1"/>
  <c r="O60" i="1" a="1"/>
  <c r="O60" i="1" s="1"/>
  <c r="O62" i="1" a="1"/>
  <c r="O62" i="1" s="1"/>
  <c r="O66" i="1" a="1"/>
  <c r="O66" i="1" s="1"/>
  <c r="O58" i="1" a="1"/>
  <c r="O58" i="1" s="1"/>
  <c r="O61" i="1" a="1"/>
  <c r="O61" i="1" s="1"/>
  <c r="O65" i="1" a="1"/>
  <c r="O65" i="1" s="1"/>
  <c r="O57" i="1" a="1"/>
  <c r="O57" i="1" s="1"/>
  <c r="O64" i="1" a="1"/>
  <c r="O64" i="1" s="1"/>
  <c r="O68" i="1" a="1"/>
  <c r="O68" i="1" s="1"/>
  <c r="O59" i="1" a="1"/>
  <c r="O59" i="1" s="1"/>
  <c r="O63" i="1" a="1"/>
  <c r="O63" i="1" s="1"/>
  <c r="O67" i="1" a="1"/>
  <c r="O67" i="1" s="1"/>
  <c r="O69" i="1" a="1"/>
  <c r="O69" i="1" s="1"/>
  <c r="L62" i="1" a="1"/>
  <c r="L62" i="1" s="1"/>
  <c r="L66" i="1" a="1"/>
  <c r="L66" i="1" s="1"/>
  <c r="L59" i="1" a="1"/>
  <c r="L59" i="1" s="1"/>
  <c r="L61" i="1" a="1"/>
  <c r="L61" i="1" s="1"/>
  <c r="L65" i="1" a="1"/>
  <c r="L65" i="1" s="1"/>
  <c r="L58" i="1" a="1"/>
  <c r="L58" i="1" s="1"/>
  <c r="L64" i="1" a="1"/>
  <c r="L64" i="1" s="1"/>
  <c r="L68" i="1" a="1"/>
  <c r="L68" i="1" s="1"/>
  <c r="L57" i="1" a="1"/>
  <c r="L57" i="1" s="1"/>
  <c r="L60" i="1" a="1"/>
  <c r="L60" i="1" s="1"/>
  <c r="L63" i="1" a="1"/>
  <c r="L63" i="1" s="1"/>
  <c r="L67" i="1" a="1"/>
  <c r="L67" i="1" s="1"/>
  <c r="L69" i="1" a="1"/>
  <c r="L69" i="1" s="1"/>
  <c r="N45" i="1" a="1"/>
  <c r="N45" i="1" s="1"/>
  <c r="N48" i="1" a="1"/>
  <c r="N48" i="1" s="1"/>
  <c r="N53" i="1" a="1"/>
  <c r="N53" i="1" s="1"/>
  <c r="N46" i="1" a="1"/>
  <c r="N46" i="1" s="1"/>
  <c r="N52" i="1" a="1"/>
  <c r="N52" i="1" s="1"/>
  <c r="N54" i="1" a="1"/>
  <c r="N54" i="1" s="1"/>
  <c r="N47" i="1" a="1"/>
  <c r="N47" i="1" s="1"/>
  <c r="N51" i="1" a="1"/>
  <c r="N51" i="1" s="1"/>
  <c r="N44" i="1" a="1"/>
  <c r="N44" i="1" s="1"/>
  <c r="N50" i="1" a="1"/>
  <c r="N50" i="1" s="1"/>
  <c r="N56" i="1" a="1"/>
  <c r="N56" i="1" s="1"/>
  <c r="N49" i="1" a="1"/>
  <c r="N49" i="1" s="1"/>
  <c r="N55" i="1" a="1"/>
  <c r="N55" i="1" s="1"/>
  <c r="Q35" i="1" a="1"/>
  <c r="Q35" i="1" s="1"/>
  <c r="Q39" i="1" a="1"/>
  <c r="Q39" i="1" s="1"/>
  <c r="Q43" i="1" a="1"/>
  <c r="Q43" i="1" s="1"/>
  <c r="Q34" i="1" a="1"/>
  <c r="Q34" i="1" s="1"/>
  <c r="Q38" i="1" a="1"/>
  <c r="Q38" i="1" s="1"/>
  <c r="Q42" i="1" a="1"/>
  <c r="Q42" i="1" s="1"/>
  <c r="Q33" i="1" a="1"/>
  <c r="Q33" i="1" s="1"/>
  <c r="Q37" i="1" a="1"/>
  <c r="Q37" i="1" s="1"/>
  <c r="Q41" i="1" a="1"/>
  <c r="Q41" i="1" s="1"/>
  <c r="Q32" i="1" a="1"/>
  <c r="Q32" i="1" s="1"/>
  <c r="Q36" i="1" a="1"/>
  <c r="Q36" i="1" s="1"/>
  <c r="Q40" i="1" a="1"/>
  <c r="Q40" i="1" s="1"/>
  <c r="I33" i="1" a="1"/>
  <c r="I33" i="1" s="1"/>
  <c r="I37" i="1" a="1"/>
  <c r="I37" i="1" s="1"/>
  <c r="I41" i="1" a="1"/>
  <c r="I41" i="1" s="1"/>
  <c r="I32" i="1" a="1"/>
  <c r="I32" i="1" s="1"/>
  <c r="I36" i="1" a="1"/>
  <c r="I36" i="1" s="1"/>
  <c r="I40" i="1" a="1"/>
  <c r="I40" i="1" s="1"/>
  <c r="I35" i="1" a="1"/>
  <c r="I35" i="1" s="1"/>
  <c r="I39" i="1" a="1"/>
  <c r="I39" i="1" s="1"/>
  <c r="I43" i="1" a="1"/>
  <c r="I43" i="1" s="1"/>
  <c r="I34" i="1" a="1"/>
  <c r="I34" i="1" s="1"/>
  <c r="I42" i="1" a="1"/>
  <c r="I42" i="1" s="1"/>
  <c r="I38" i="1" a="1"/>
  <c r="I38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19" i="1" a="1"/>
  <c r="M19" i="1" s="1"/>
  <c r="T5" i="1" a="1"/>
  <c r="T5" i="1" s="1"/>
  <c r="Q5" i="1" a="1"/>
  <c r="Q5" i="1" s="1"/>
  <c r="N5" i="1" a="1"/>
  <c r="N5" i="1" s="1"/>
  <c r="Q550" i="1" a="1"/>
  <c r="Q550" i="1" s="1"/>
  <c r="I550" i="1" a="1"/>
  <c r="I550" i="1" s="1"/>
  <c r="P549" i="1" a="1"/>
  <c r="P549" i="1" s="1"/>
  <c r="M549" i="1" a="1"/>
  <c r="M549" i="1" s="1"/>
  <c r="Q548" i="1" a="1"/>
  <c r="Q548" i="1" s="1"/>
  <c r="I548" i="1" a="1"/>
  <c r="I548" i="1" s="1"/>
  <c r="P547" i="1" a="1"/>
  <c r="P547" i="1" s="1"/>
  <c r="M547" i="1" a="1"/>
  <c r="M547" i="1" s="1"/>
  <c r="Q546" i="1" a="1"/>
  <c r="Q546" i="1" s="1"/>
  <c r="I546" i="1" a="1"/>
  <c r="I546" i="1" s="1"/>
  <c r="P545" i="1" a="1"/>
  <c r="P545" i="1" s="1"/>
  <c r="M545" i="1" a="1"/>
  <c r="M545" i="1" s="1"/>
  <c r="Q544" i="1" a="1"/>
  <c r="Q544" i="1" s="1"/>
  <c r="I544" i="1" a="1"/>
  <c r="I544" i="1" s="1"/>
  <c r="P543" i="1" a="1"/>
  <c r="P543" i="1" s="1"/>
  <c r="M543" i="1" a="1"/>
  <c r="M543" i="1" s="1"/>
  <c r="Q542" i="1" a="1"/>
  <c r="Q542" i="1" s="1"/>
  <c r="I542" i="1" a="1"/>
  <c r="I542" i="1" s="1"/>
  <c r="P541" i="1" a="1"/>
  <c r="P541" i="1" s="1"/>
  <c r="M541" i="1" a="1"/>
  <c r="M541" i="1" s="1"/>
  <c r="Q540" i="1" a="1"/>
  <c r="Q540" i="1" s="1"/>
  <c r="I540" i="1" a="1"/>
  <c r="I540" i="1" s="1"/>
  <c r="P537" i="1" a="1"/>
  <c r="P537" i="1" s="1"/>
  <c r="M537" i="1" a="1"/>
  <c r="M537" i="1" s="1"/>
  <c r="T536" i="1" a="1"/>
  <c r="T536" i="1" s="1"/>
  <c r="Q536" i="1" a="1"/>
  <c r="Q536" i="1" s="1"/>
  <c r="L536" i="1" a="1"/>
  <c r="L536" i="1" s="1"/>
  <c r="I536" i="1" a="1"/>
  <c r="I536" i="1" s="1"/>
  <c r="P535" i="1" a="1"/>
  <c r="P535" i="1" s="1"/>
  <c r="M535" i="1" a="1"/>
  <c r="M535" i="1" s="1"/>
  <c r="T534" i="1" a="1"/>
  <c r="T534" i="1" s="1"/>
  <c r="Q534" i="1" a="1"/>
  <c r="Q534" i="1" s="1"/>
  <c r="L534" i="1" a="1"/>
  <c r="L534" i="1" s="1"/>
  <c r="I534" i="1" a="1"/>
  <c r="I534" i="1" s="1"/>
  <c r="P533" i="1" a="1"/>
  <c r="P533" i="1" s="1"/>
  <c r="M533" i="1" a="1"/>
  <c r="M533" i="1" s="1"/>
  <c r="T532" i="1" a="1"/>
  <c r="T532" i="1" s="1"/>
  <c r="Q532" i="1" a="1"/>
  <c r="Q532" i="1" s="1"/>
  <c r="L532" i="1" a="1"/>
  <c r="L532" i="1" s="1"/>
  <c r="I532" i="1" a="1"/>
  <c r="I532" i="1" s="1"/>
  <c r="P531" i="1" a="1"/>
  <c r="P531" i="1" s="1"/>
  <c r="M531" i="1" a="1"/>
  <c r="M531" i="1" s="1"/>
  <c r="T530" i="1" a="1"/>
  <c r="T530" i="1" s="1"/>
  <c r="Q530" i="1" a="1"/>
  <c r="Q530" i="1" s="1"/>
  <c r="L530" i="1" a="1"/>
  <c r="L530" i="1" s="1"/>
  <c r="I530" i="1" a="1"/>
  <c r="I530" i="1" s="1"/>
  <c r="P529" i="1" a="1"/>
  <c r="P529" i="1" s="1"/>
  <c r="M529" i="1" a="1"/>
  <c r="M529" i="1" s="1"/>
  <c r="T528" i="1" a="1"/>
  <c r="T528" i="1" s="1"/>
  <c r="Q528" i="1" a="1"/>
  <c r="Q528" i="1" s="1"/>
  <c r="L528" i="1" a="1"/>
  <c r="L528" i="1" s="1"/>
  <c r="I528" i="1" a="1"/>
  <c r="I528" i="1" s="1"/>
  <c r="P527" i="1" a="1"/>
  <c r="P527" i="1" s="1"/>
  <c r="M527" i="1" a="1"/>
  <c r="M527" i="1" s="1"/>
  <c r="T524" i="1" a="1"/>
  <c r="T524" i="1" s="1"/>
  <c r="Q524" i="1" a="1"/>
  <c r="Q524" i="1" s="1"/>
  <c r="L524" i="1" a="1"/>
  <c r="L524" i="1" s="1"/>
  <c r="I524" i="1" a="1"/>
  <c r="I524" i="1" s="1"/>
  <c r="P523" i="1" a="1"/>
  <c r="P523" i="1" s="1"/>
  <c r="M523" i="1" a="1"/>
  <c r="M523" i="1" s="1"/>
  <c r="T522" i="1" a="1"/>
  <c r="T522" i="1" s="1"/>
  <c r="Q522" i="1" a="1"/>
  <c r="Q522" i="1" s="1"/>
  <c r="L522" i="1" a="1"/>
  <c r="L522" i="1" s="1"/>
  <c r="I522" i="1" a="1"/>
  <c r="I522" i="1" s="1"/>
  <c r="P521" i="1" a="1"/>
  <c r="P521" i="1" s="1"/>
  <c r="M521" i="1" a="1"/>
  <c r="M521" i="1" s="1"/>
  <c r="T520" i="1" a="1"/>
  <c r="T520" i="1" s="1"/>
  <c r="Q520" i="1" a="1"/>
  <c r="Q520" i="1" s="1"/>
  <c r="L520" i="1" a="1"/>
  <c r="L520" i="1" s="1"/>
  <c r="I520" i="1" a="1"/>
  <c r="I520" i="1" s="1"/>
  <c r="P519" i="1" a="1"/>
  <c r="P519" i="1" s="1"/>
  <c r="M519" i="1" a="1"/>
  <c r="M519" i="1" s="1"/>
  <c r="T518" i="1" a="1"/>
  <c r="T518" i="1" s="1"/>
  <c r="Q518" i="1" a="1"/>
  <c r="Q518" i="1" s="1"/>
  <c r="L518" i="1" a="1"/>
  <c r="L518" i="1" s="1"/>
  <c r="I518" i="1" a="1"/>
  <c r="I518" i="1" s="1"/>
  <c r="P517" i="1" a="1"/>
  <c r="P517" i="1" s="1"/>
  <c r="M517" i="1" a="1"/>
  <c r="M517" i="1" s="1"/>
  <c r="J517" i="1" a="1"/>
  <c r="J517" i="1" s="1"/>
  <c r="O516" i="1" a="1"/>
  <c r="O516" i="1" s="1"/>
  <c r="T515" i="1" a="1"/>
  <c r="T515" i="1" s="1"/>
  <c r="I515" i="1" a="1"/>
  <c r="I515" i="1" s="1"/>
  <c r="L513" i="1" a="1"/>
  <c r="L513" i="1" s="1"/>
  <c r="R511" i="1" a="1"/>
  <c r="R511" i="1" s="1"/>
  <c r="K511" i="1" a="1"/>
  <c r="K511" i="1" s="1"/>
  <c r="K509" i="1" a="1"/>
  <c r="K509" i="1" s="1"/>
  <c r="E48" i="17" l="1"/>
  <c r="X48" i="17" s="1"/>
  <c r="E54" i="17"/>
  <c r="E51" i="17"/>
  <c r="X51" i="17" s="1"/>
  <c r="J47" i="17"/>
  <c r="J56" i="17"/>
  <c r="J57" i="17"/>
  <c r="M46" i="17"/>
  <c r="M56" i="17"/>
  <c r="M53" i="17"/>
  <c r="H52" i="17"/>
  <c r="H49" i="17"/>
  <c r="H55" i="17"/>
  <c r="K51" i="17"/>
  <c r="K48" i="17"/>
  <c r="K50" i="17"/>
  <c r="I53" i="17"/>
  <c r="I46" i="17"/>
  <c r="I56" i="17"/>
  <c r="D51" i="17"/>
  <c r="T79" i="17" s="1"/>
  <c r="D48" i="17"/>
  <c r="T76" i="17" s="1"/>
  <c r="D54" i="17"/>
  <c r="G54" i="17"/>
  <c r="G47" i="17"/>
  <c r="G53" i="17"/>
  <c r="L57" i="17"/>
  <c r="L50" i="17"/>
  <c r="L47" i="17"/>
  <c r="O56" i="17"/>
  <c r="O50" i="17"/>
  <c r="O55" i="17"/>
  <c r="F57" i="17"/>
  <c r="F46" i="17"/>
  <c r="F48" i="17"/>
  <c r="N55" i="17"/>
  <c r="N56" i="17"/>
  <c r="N50" i="17"/>
  <c r="E50" i="17"/>
  <c r="X50" i="17" s="1"/>
  <c r="J52" i="17"/>
  <c r="M52" i="17"/>
  <c r="H48" i="17"/>
  <c r="H54" i="17"/>
  <c r="H51" i="17"/>
  <c r="K56" i="17"/>
  <c r="K57" i="17"/>
  <c r="K47" i="17"/>
  <c r="I49" i="17"/>
  <c r="I55" i="17"/>
  <c r="I52" i="17"/>
  <c r="D47" i="17"/>
  <c r="T75" i="17" s="1"/>
  <c r="D57" i="17"/>
  <c r="D50" i="17"/>
  <c r="T78" i="17" s="1"/>
  <c r="G55" i="17"/>
  <c r="G56" i="17"/>
  <c r="G50" i="17"/>
  <c r="L53" i="17"/>
  <c r="L46" i="17"/>
  <c r="L56" i="17"/>
  <c r="O52" i="17"/>
  <c r="O49" i="17"/>
  <c r="O51" i="17"/>
  <c r="F53" i="17"/>
  <c r="F54" i="17"/>
  <c r="F47" i="17"/>
  <c r="N51" i="17"/>
  <c r="N52" i="17"/>
  <c r="N49" i="17"/>
  <c r="E47" i="17"/>
  <c r="X47" i="17" s="1"/>
  <c r="J53" i="17"/>
  <c r="M49" i="17"/>
  <c r="E56" i="17"/>
  <c r="E53" i="17"/>
  <c r="X53" i="17" s="1"/>
  <c r="E46" i="17"/>
  <c r="X46" i="17" s="1"/>
  <c r="J54" i="17"/>
  <c r="J55" i="17"/>
  <c r="J49" i="17"/>
  <c r="M54" i="17"/>
  <c r="M51" i="17"/>
  <c r="M48" i="17"/>
  <c r="H57" i="17"/>
  <c r="H50" i="17"/>
  <c r="H47" i="17"/>
  <c r="K52" i="17"/>
  <c r="K53" i="17"/>
  <c r="K46" i="17"/>
  <c r="I54" i="17"/>
  <c r="I51" i="17"/>
  <c r="I48" i="17"/>
  <c r="D56" i="17"/>
  <c r="D53" i="17"/>
  <c r="T81" i="17" s="1"/>
  <c r="D46" i="17"/>
  <c r="T74" i="17" s="1"/>
  <c r="G51" i="17"/>
  <c r="G52" i="17"/>
  <c r="G49" i="17"/>
  <c r="L49" i="17"/>
  <c r="L55" i="17"/>
  <c r="L52" i="17"/>
  <c r="O57" i="17"/>
  <c r="O46" i="17"/>
  <c r="O48" i="17"/>
  <c r="F50" i="17"/>
  <c r="F55" i="17"/>
  <c r="F56" i="17"/>
  <c r="N48" i="17"/>
  <c r="N57" i="17"/>
  <c r="N46" i="17"/>
  <c r="E57" i="17"/>
  <c r="J46" i="17"/>
  <c r="M55" i="17"/>
  <c r="E52" i="17"/>
  <c r="X52" i="17" s="1"/>
  <c r="E49" i="17"/>
  <c r="X49" i="17" s="1"/>
  <c r="E55" i="17"/>
  <c r="J50" i="17"/>
  <c r="J51" i="17"/>
  <c r="J48" i="17"/>
  <c r="M50" i="17"/>
  <c r="M47" i="17"/>
  <c r="M57" i="17"/>
  <c r="H56" i="17"/>
  <c r="H53" i="17"/>
  <c r="H46" i="17"/>
  <c r="K55" i="17"/>
  <c r="K49" i="17"/>
  <c r="K54" i="17"/>
  <c r="I57" i="17"/>
  <c r="I50" i="17"/>
  <c r="I47" i="17"/>
  <c r="D55" i="17"/>
  <c r="D52" i="17"/>
  <c r="T80" i="17" s="1"/>
  <c r="D49" i="17"/>
  <c r="T77" i="17" s="1"/>
  <c r="G48" i="17"/>
  <c r="G57" i="17"/>
  <c r="G46" i="17"/>
  <c r="L54" i="17"/>
  <c r="L51" i="17"/>
  <c r="L48" i="17"/>
  <c r="O53" i="17"/>
  <c r="O54" i="17"/>
  <c r="O47" i="17"/>
  <c r="F49" i="17"/>
  <c r="F51" i="17"/>
  <c r="F52" i="17"/>
  <c r="N47" i="17"/>
  <c r="N53" i="17"/>
  <c r="N54" i="17"/>
  <c r="X55" i="17" l="1"/>
  <c r="T62" i="17"/>
  <c r="T83" i="17"/>
  <c r="T84" i="17"/>
  <c r="X56" i="17"/>
  <c r="T63" i="17"/>
  <c r="T90" i="17"/>
  <c r="T85" i="17"/>
  <c r="T64" i="17"/>
  <c r="X57" i="17"/>
  <c r="T61" i="17"/>
  <c r="T82" i="17"/>
  <c r="X54" i="17"/>
  <c r="N58" i="17"/>
  <c r="O58" i="17"/>
  <c r="K58" i="17"/>
  <c r="P52" i="17"/>
  <c r="P46" i="17"/>
  <c r="P56" i="17"/>
  <c r="M58" i="17"/>
  <c r="F58" i="17"/>
  <c r="P57" i="17"/>
  <c r="P48" i="17"/>
  <c r="E58" i="17"/>
  <c r="P49" i="17"/>
  <c r="P55" i="17"/>
  <c r="P53" i="17"/>
  <c r="I58" i="17"/>
  <c r="H58" i="17"/>
  <c r="J58" i="17"/>
  <c r="G58" i="17"/>
  <c r="P50" i="17"/>
  <c r="P47" i="17"/>
  <c r="L58" i="17"/>
  <c r="D58" i="17"/>
  <c r="P54" i="17"/>
  <c r="P51" i="17"/>
  <c r="F150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G150" i="14"/>
  <c r="H150" i="14"/>
  <c r="I150" i="14"/>
  <c r="J150" i="14"/>
  <c r="K150" i="14"/>
  <c r="L150" i="14"/>
  <c r="M150" i="14"/>
  <c r="N150" i="14"/>
  <c r="O150" i="14"/>
  <c r="P150" i="14"/>
  <c r="Q150" i="14"/>
  <c r="X58" i="17" l="1"/>
  <c r="T70" i="17"/>
  <c r="D64" i="17" s="1"/>
  <c r="T68" i="17"/>
  <c r="D62" i="17" s="1"/>
  <c r="T67" i="17"/>
  <c r="D61" i="17" s="1"/>
  <c r="T69" i="17"/>
  <c r="D63" i="17" s="1"/>
  <c r="P58" i="17"/>
  <c r="C55" i="17" s="1"/>
  <c r="T91" i="17"/>
  <c r="D75" i="17" s="1"/>
  <c r="D106" i="17" s="1"/>
  <c r="F158" i="17" s="1"/>
  <c r="T97" i="17"/>
  <c r="D81" i="17" s="1"/>
  <c r="D112" i="17" s="1"/>
  <c r="F164" i="17" s="1"/>
  <c r="T93" i="17"/>
  <c r="D77" i="17" s="1"/>
  <c r="D108" i="17" s="1"/>
  <c r="F160" i="17" s="1"/>
  <c r="T92" i="17"/>
  <c r="D76" i="17" s="1"/>
  <c r="D107" i="17" s="1"/>
  <c r="F159" i="17" s="1"/>
  <c r="D74" i="17"/>
  <c r="D122" i="17" s="1"/>
  <c r="T122" i="17" s="1"/>
  <c r="T95" i="17"/>
  <c r="D79" i="17" s="1"/>
  <c r="D110" i="17" s="1"/>
  <c r="F162" i="17" s="1"/>
  <c r="T94" i="17"/>
  <c r="D78" i="17" s="1"/>
  <c r="D109" i="17" s="1"/>
  <c r="F161" i="17" s="1"/>
  <c r="T96" i="17"/>
  <c r="D80" i="17" s="1"/>
  <c r="D111" i="17" s="1"/>
  <c r="F163" i="17" s="1"/>
  <c r="Q5" i="14"/>
  <c r="P5" i="14"/>
  <c r="O5" i="14"/>
  <c r="N5" i="14"/>
  <c r="M5" i="14"/>
  <c r="L5" i="14"/>
  <c r="K5" i="14"/>
  <c r="J5" i="14"/>
  <c r="I5" i="14"/>
  <c r="H5" i="14"/>
  <c r="G5" i="14"/>
  <c r="F5" i="14"/>
  <c r="AD6" i="11" a="1"/>
  <c r="AD6" i="11" s="1"/>
  <c r="AE6" i="11" a="1"/>
  <c r="AE6" i="11" s="1"/>
  <c r="AF6" i="11" a="1"/>
  <c r="AF6" i="11" s="1"/>
  <c r="AG6" i="11" a="1"/>
  <c r="AG6" i="11" s="1"/>
  <c r="AH6" i="11" a="1"/>
  <c r="AH6" i="11" s="1"/>
  <c r="AI6" i="11" a="1"/>
  <c r="AI6" i="11" s="1"/>
  <c r="AJ6" i="11" a="1"/>
  <c r="AJ6" i="11" s="1"/>
  <c r="AK6" i="11" a="1"/>
  <c r="AK6" i="11" s="1"/>
  <c r="AL6" i="11" a="1"/>
  <c r="AL6" i="11" s="1"/>
  <c r="AM6" i="11" a="1"/>
  <c r="AM6" i="11" s="1"/>
  <c r="AN6" i="11" a="1"/>
  <c r="AN6" i="11" s="1"/>
  <c r="AO6" i="11" a="1"/>
  <c r="AO6" i="11" s="1"/>
  <c r="AD7" i="11" a="1"/>
  <c r="AD7" i="11" s="1"/>
  <c r="AE7" i="11" a="1"/>
  <c r="AE7" i="11" s="1"/>
  <c r="AF7" i="11" a="1"/>
  <c r="AF7" i="11" s="1"/>
  <c r="AG7" i="11" a="1"/>
  <c r="AG7" i="11" s="1"/>
  <c r="AH7" i="11" a="1"/>
  <c r="AH7" i="11" s="1"/>
  <c r="AI7" i="11" a="1"/>
  <c r="AI7" i="11" s="1"/>
  <c r="AJ7" i="11" a="1"/>
  <c r="AJ7" i="11" s="1"/>
  <c r="AK7" i="11" a="1"/>
  <c r="AK7" i="11" s="1"/>
  <c r="AL7" i="11" a="1"/>
  <c r="AL7" i="11" s="1"/>
  <c r="AM7" i="11" a="1"/>
  <c r="AM7" i="11" s="1"/>
  <c r="AN7" i="11" a="1"/>
  <c r="AN7" i="11" s="1"/>
  <c r="AO7" i="11" a="1"/>
  <c r="AO7" i="11" s="1"/>
  <c r="AD8" i="11" a="1"/>
  <c r="AD8" i="11" s="1"/>
  <c r="AE8" i="11" a="1"/>
  <c r="AE8" i="11" s="1"/>
  <c r="AF8" i="11" a="1"/>
  <c r="AF8" i="11" s="1"/>
  <c r="AG8" i="11" a="1"/>
  <c r="AG8" i="11" s="1"/>
  <c r="AH8" i="11" a="1"/>
  <c r="AH8" i="11" s="1"/>
  <c r="AI8" i="11" a="1"/>
  <c r="AI8" i="11" s="1"/>
  <c r="AJ8" i="11" a="1"/>
  <c r="AJ8" i="11" s="1"/>
  <c r="AK8" i="11" a="1"/>
  <c r="AK8" i="11" s="1"/>
  <c r="AL8" i="11" a="1"/>
  <c r="AL8" i="11" s="1"/>
  <c r="AM8" i="11" a="1"/>
  <c r="AM8" i="11" s="1"/>
  <c r="AN8" i="11" a="1"/>
  <c r="AN8" i="11" s="1"/>
  <c r="AO8" i="11" a="1"/>
  <c r="AO8" i="11" s="1"/>
  <c r="AD9" i="11" a="1"/>
  <c r="AD9" i="11" s="1"/>
  <c r="AE9" i="11" a="1"/>
  <c r="AE9" i="11" s="1"/>
  <c r="AF9" i="11" a="1"/>
  <c r="AF9" i="11" s="1"/>
  <c r="AG9" i="11" a="1"/>
  <c r="AG9" i="11" s="1"/>
  <c r="AH9" i="11" a="1"/>
  <c r="AH9" i="11" s="1"/>
  <c r="AI9" i="11" a="1"/>
  <c r="AI9" i="11" s="1"/>
  <c r="AJ9" i="11" a="1"/>
  <c r="AJ9" i="11" s="1"/>
  <c r="AK9" i="11" a="1"/>
  <c r="AK9" i="11" s="1"/>
  <c r="AL9" i="11" a="1"/>
  <c r="AL9" i="11" s="1"/>
  <c r="AM9" i="11" a="1"/>
  <c r="AM9" i="11" s="1"/>
  <c r="AN9" i="11" a="1"/>
  <c r="AN9" i="11" s="1"/>
  <c r="AO9" i="11" a="1"/>
  <c r="AO9" i="11" s="1"/>
  <c r="AD10" i="11" a="1"/>
  <c r="AD10" i="11" s="1"/>
  <c r="AE10" i="11" a="1"/>
  <c r="AE10" i="11" s="1"/>
  <c r="AF10" i="11" a="1"/>
  <c r="AF10" i="11" s="1"/>
  <c r="AG10" i="11" a="1"/>
  <c r="AG10" i="11" s="1"/>
  <c r="AH10" i="11" a="1"/>
  <c r="AH10" i="11" s="1"/>
  <c r="AI10" i="11" a="1"/>
  <c r="AI10" i="11" s="1"/>
  <c r="AJ10" i="11" a="1"/>
  <c r="AJ10" i="11" s="1"/>
  <c r="AK10" i="11" a="1"/>
  <c r="AK10" i="11" s="1"/>
  <c r="AL10" i="11" a="1"/>
  <c r="AL10" i="11" s="1"/>
  <c r="AM10" i="11" a="1"/>
  <c r="AM10" i="11" s="1"/>
  <c r="AN10" i="11" a="1"/>
  <c r="AN10" i="11" s="1"/>
  <c r="AO10" i="11" a="1"/>
  <c r="AO10" i="11" s="1"/>
  <c r="AD11" i="11" a="1"/>
  <c r="AD11" i="11" s="1"/>
  <c r="AE11" i="11" a="1"/>
  <c r="AE11" i="11" s="1"/>
  <c r="AF11" i="11" a="1"/>
  <c r="AF11" i="11" s="1"/>
  <c r="AG11" i="11" a="1"/>
  <c r="AG11" i="11" s="1"/>
  <c r="AH11" i="11" a="1"/>
  <c r="AH11" i="11" s="1"/>
  <c r="AI11" i="11" a="1"/>
  <c r="AI11" i="11" s="1"/>
  <c r="AJ11" i="11" a="1"/>
  <c r="AJ11" i="11" s="1"/>
  <c r="AK11" i="11" a="1"/>
  <c r="AK11" i="11" s="1"/>
  <c r="AL11" i="11" a="1"/>
  <c r="AL11" i="11" s="1"/>
  <c r="AM11" i="11" a="1"/>
  <c r="AM11" i="11" s="1"/>
  <c r="AN11" i="11" a="1"/>
  <c r="AN11" i="11" s="1"/>
  <c r="AO11" i="11" a="1"/>
  <c r="AO11" i="11" s="1"/>
  <c r="AD12" i="11" a="1"/>
  <c r="AD12" i="11" s="1"/>
  <c r="AE12" i="11" a="1"/>
  <c r="AE12" i="11" s="1"/>
  <c r="AF12" i="11" a="1"/>
  <c r="AF12" i="11" s="1"/>
  <c r="AG12" i="11" a="1"/>
  <c r="AG12" i="11" s="1"/>
  <c r="AH12" i="11" a="1"/>
  <c r="AH12" i="11" s="1"/>
  <c r="AI12" i="11" a="1"/>
  <c r="AI12" i="11" s="1"/>
  <c r="AJ12" i="11" a="1"/>
  <c r="AJ12" i="11" s="1"/>
  <c r="AK12" i="11" a="1"/>
  <c r="AK12" i="11" s="1"/>
  <c r="AL12" i="11" a="1"/>
  <c r="AL12" i="11" s="1"/>
  <c r="AM12" i="11" a="1"/>
  <c r="AM12" i="11" s="1"/>
  <c r="AN12" i="11" a="1"/>
  <c r="AN12" i="11" s="1"/>
  <c r="AO12" i="11" a="1"/>
  <c r="AO12" i="11" s="1"/>
  <c r="AD13" i="11" a="1"/>
  <c r="AD13" i="11" s="1"/>
  <c r="AE13" i="11" a="1"/>
  <c r="AE13" i="11" s="1"/>
  <c r="AF13" i="11" a="1"/>
  <c r="AF13" i="11" s="1"/>
  <c r="AG13" i="11" a="1"/>
  <c r="AG13" i="11" s="1"/>
  <c r="AH13" i="11" a="1"/>
  <c r="AH13" i="11" s="1"/>
  <c r="AI13" i="11" a="1"/>
  <c r="AI13" i="11" s="1"/>
  <c r="AJ13" i="11" a="1"/>
  <c r="AJ13" i="11" s="1"/>
  <c r="AK13" i="11" a="1"/>
  <c r="AK13" i="11" s="1"/>
  <c r="AL13" i="11" a="1"/>
  <c r="AL13" i="11" s="1"/>
  <c r="AM13" i="11" a="1"/>
  <c r="AM13" i="11" s="1"/>
  <c r="AN13" i="11" a="1"/>
  <c r="AN13" i="11" s="1"/>
  <c r="AO13" i="11" a="1"/>
  <c r="AO13" i="11" s="1"/>
  <c r="AD14" i="11" a="1"/>
  <c r="AD14" i="11" s="1"/>
  <c r="AE14" i="11" a="1"/>
  <c r="AE14" i="11" s="1"/>
  <c r="AF14" i="11" a="1"/>
  <c r="AF14" i="11" s="1"/>
  <c r="AG14" i="11" a="1"/>
  <c r="AG14" i="11" s="1"/>
  <c r="AH14" i="11" a="1"/>
  <c r="AH14" i="11" s="1"/>
  <c r="AI14" i="11" a="1"/>
  <c r="AI14" i="11" s="1"/>
  <c r="AJ14" i="11" a="1"/>
  <c r="AJ14" i="11" s="1"/>
  <c r="AK14" i="11" a="1"/>
  <c r="AK14" i="11" s="1"/>
  <c r="AL14" i="11" a="1"/>
  <c r="AL14" i="11" s="1"/>
  <c r="AM14" i="11" a="1"/>
  <c r="AM14" i="11" s="1"/>
  <c r="AN14" i="11" a="1"/>
  <c r="AN14" i="11" s="1"/>
  <c r="AO14" i="11" a="1"/>
  <c r="AO14" i="11" s="1"/>
  <c r="AD15" i="11" a="1"/>
  <c r="AD15" i="11" s="1"/>
  <c r="AE15" i="11" a="1"/>
  <c r="AE15" i="11" s="1"/>
  <c r="AF15" i="11" a="1"/>
  <c r="AF15" i="11" s="1"/>
  <c r="AG15" i="11" a="1"/>
  <c r="AG15" i="11" s="1"/>
  <c r="AH15" i="11" a="1"/>
  <c r="AH15" i="11" s="1"/>
  <c r="AI15" i="11" a="1"/>
  <c r="AI15" i="11" s="1"/>
  <c r="AJ15" i="11" a="1"/>
  <c r="AJ15" i="11" s="1"/>
  <c r="AK15" i="11" a="1"/>
  <c r="AK15" i="11" s="1"/>
  <c r="AL15" i="11" a="1"/>
  <c r="AL15" i="11" s="1"/>
  <c r="AM15" i="11" a="1"/>
  <c r="AM15" i="11" s="1"/>
  <c r="AN15" i="11" a="1"/>
  <c r="AN15" i="11" s="1"/>
  <c r="AO15" i="11" a="1"/>
  <c r="AO15" i="11" s="1"/>
  <c r="AD16" i="11" a="1"/>
  <c r="AD16" i="11" s="1"/>
  <c r="AE16" i="11" a="1"/>
  <c r="AE16" i="11" s="1"/>
  <c r="AF16" i="11" a="1"/>
  <c r="AF16" i="11" s="1"/>
  <c r="AG16" i="11" a="1"/>
  <c r="AG16" i="11" s="1"/>
  <c r="AH16" i="11" a="1"/>
  <c r="AH16" i="11" s="1"/>
  <c r="AI16" i="11" a="1"/>
  <c r="AI16" i="11" s="1"/>
  <c r="AJ16" i="11" a="1"/>
  <c r="AJ16" i="11" s="1"/>
  <c r="AK16" i="11" a="1"/>
  <c r="AK16" i="11" s="1"/>
  <c r="AL16" i="11" a="1"/>
  <c r="AL16" i="11" s="1"/>
  <c r="AM16" i="11" a="1"/>
  <c r="AM16" i="11" s="1"/>
  <c r="AN16" i="11" a="1"/>
  <c r="AN16" i="11" s="1"/>
  <c r="AO16" i="11" a="1"/>
  <c r="AO16" i="11" s="1"/>
  <c r="AD17" i="11" a="1"/>
  <c r="AD17" i="11" s="1"/>
  <c r="AE17" i="11" a="1"/>
  <c r="AE17" i="11" s="1"/>
  <c r="AF17" i="11" a="1"/>
  <c r="AF17" i="11" s="1"/>
  <c r="AG17" i="11" a="1"/>
  <c r="AG17" i="11" s="1"/>
  <c r="AH17" i="11" a="1"/>
  <c r="AH17" i="11" s="1"/>
  <c r="AI17" i="11" a="1"/>
  <c r="AI17" i="11" s="1"/>
  <c r="AJ17" i="11" a="1"/>
  <c r="AJ17" i="11" s="1"/>
  <c r="AK17" i="11" a="1"/>
  <c r="AK17" i="11" s="1"/>
  <c r="AL17" i="11" a="1"/>
  <c r="AL17" i="11" s="1"/>
  <c r="AM17" i="11" a="1"/>
  <c r="AM17" i="11" s="1"/>
  <c r="AN17" i="11" a="1"/>
  <c r="AN17" i="11" s="1"/>
  <c r="AO17" i="11" a="1"/>
  <c r="AO17" i="11" s="1"/>
  <c r="AD18" i="11" a="1"/>
  <c r="AD18" i="11" s="1"/>
  <c r="AE18" i="11" a="1"/>
  <c r="AE18" i="11" s="1"/>
  <c r="AF18" i="11" a="1"/>
  <c r="AF18" i="11" s="1"/>
  <c r="AG18" i="11" a="1"/>
  <c r="AG18" i="11" s="1"/>
  <c r="AH18" i="11" a="1"/>
  <c r="AH18" i="11" s="1"/>
  <c r="AI18" i="11" a="1"/>
  <c r="AI18" i="11" s="1"/>
  <c r="AJ18" i="11" a="1"/>
  <c r="AJ18" i="11" s="1"/>
  <c r="AK18" i="11" a="1"/>
  <c r="AK18" i="11" s="1"/>
  <c r="AL18" i="11" a="1"/>
  <c r="AL18" i="11" s="1"/>
  <c r="AM18" i="11" a="1"/>
  <c r="AM18" i="11" s="1"/>
  <c r="AN18" i="11" a="1"/>
  <c r="AN18" i="11" s="1"/>
  <c r="AO18" i="11" a="1"/>
  <c r="AO18" i="11" s="1"/>
  <c r="AD19" i="11" a="1"/>
  <c r="AD19" i="11" s="1"/>
  <c r="AE19" i="11" a="1"/>
  <c r="AE19" i="11" s="1"/>
  <c r="AF19" i="11" a="1"/>
  <c r="AF19" i="11" s="1"/>
  <c r="AG19" i="11" a="1"/>
  <c r="AG19" i="11" s="1"/>
  <c r="AH19" i="11" a="1"/>
  <c r="AH19" i="11" s="1"/>
  <c r="AI19" i="11" a="1"/>
  <c r="AI19" i="11" s="1"/>
  <c r="AJ19" i="11" a="1"/>
  <c r="AJ19" i="11" s="1"/>
  <c r="AK19" i="11" a="1"/>
  <c r="AK19" i="11" s="1"/>
  <c r="AL19" i="11" a="1"/>
  <c r="AL19" i="11" s="1"/>
  <c r="AM19" i="11" a="1"/>
  <c r="AM19" i="11" s="1"/>
  <c r="AN19" i="11" a="1"/>
  <c r="AN19" i="11" s="1"/>
  <c r="AO19" i="11" a="1"/>
  <c r="AO19" i="11" s="1"/>
  <c r="AD20" i="11" a="1"/>
  <c r="AD20" i="11" s="1"/>
  <c r="AE20" i="11" a="1"/>
  <c r="AE20" i="11" s="1"/>
  <c r="AF20" i="11" a="1"/>
  <c r="AF20" i="11" s="1"/>
  <c r="AG20" i="11" a="1"/>
  <c r="AG20" i="11" s="1"/>
  <c r="AH20" i="11" a="1"/>
  <c r="AH20" i="11" s="1"/>
  <c r="AI20" i="11" a="1"/>
  <c r="AI20" i="11" s="1"/>
  <c r="AJ20" i="11" a="1"/>
  <c r="AJ20" i="11" s="1"/>
  <c r="AK20" i="11" a="1"/>
  <c r="AK20" i="11" s="1"/>
  <c r="AL20" i="11" a="1"/>
  <c r="AL20" i="11" s="1"/>
  <c r="AM20" i="11" a="1"/>
  <c r="AM20" i="11" s="1"/>
  <c r="AN20" i="11" a="1"/>
  <c r="AN20" i="11" s="1"/>
  <c r="AO20" i="11" a="1"/>
  <c r="AO20" i="11" s="1"/>
  <c r="AD21" i="11" a="1"/>
  <c r="AD21" i="11" s="1"/>
  <c r="AE21" i="11" a="1"/>
  <c r="AE21" i="11" s="1"/>
  <c r="AF21" i="11" a="1"/>
  <c r="AF21" i="11" s="1"/>
  <c r="AG21" i="11" a="1"/>
  <c r="AG21" i="11" s="1"/>
  <c r="AH21" i="11" a="1"/>
  <c r="AH21" i="11" s="1"/>
  <c r="AI21" i="11" a="1"/>
  <c r="AI21" i="11" s="1"/>
  <c r="AJ21" i="11" a="1"/>
  <c r="AJ21" i="11" s="1"/>
  <c r="AK21" i="11" a="1"/>
  <c r="AK21" i="11" s="1"/>
  <c r="AL21" i="11" a="1"/>
  <c r="AL21" i="11" s="1"/>
  <c r="AM21" i="11" a="1"/>
  <c r="AM21" i="11" s="1"/>
  <c r="AN21" i="11" a="1"/>
  <c r="AN21" i="11" s="1"/>
  <c r="AO21" i="11" a="1"/>
  <c r="AO21" i="11" s="1"/>
  <c r="AD22" i="11" a="1"/>
  <c r="AD22" i="11" s="1"/>
  <c r="AE22" i="11" a="1"/>
  <c r="AE22" i="11" s="1"/>
  <c r="AF22" i="11" a="1"/>
  <c r="AF22" i="11" s="1"/>
  <c r="AG22" i="11" a="1"/>
  <c r="AG22" i="11" s="1"/>
  <c r="AH22" i="11" a="1"/>
  <c r="AH22" i="11" s="1"/>
  <c r="AI22" i="11" a="1"/>
  <c r="AI22" i="11" s="1"/>
  <c r="AJ22" i="11" a="1"/>
  <c r="AJ22" i="11" s="1"/>
  <c r="AK22" i="11" a="1"/>
  <c r="AK22" i="11" s="1"/>
  <c r="AL22" i="11" a="1"/>
  <c r="AL22" i="11" s="1"/>
  <c r="AM22" i="11" a="1"/>
  <c r="AM22" i="11" s="1"/>
  <c r="AN22" i="11" a="1"/>
  <c r="AN22" i="11" s="1"/>
  <c r="AO22" i="11" a="1"/>
  <c r="AO22" i="11" s="1"/>
  <c r="AD23" i="11" a="1"/>
  <c r="AD23" i="11" s="1"/>
  <c r="AE23" i="11" a="1"/>
  <c r="AE23" i="11" s="1"/>
  <c r="AF23" i="11" a="1"/>
  <c r="AF23" i="11" s="1"/>
  <c r="AG23" i="11" a="1"/>
  <c r="AG23" i="11" s="1"/>
  <c r="AH23" i="11" a="1"/>
  <c r="AH23" i="11" s="1"/>
  <c r="AI23" i="11" a="1"/>
  <c r="AI23" i="11" s="1"/>
  <c r="AJ23" i="11" a="1"/>
  <c r="AJ23" i="11" s="1"/>
  <c r="AK23" i="11" a="1"/>
  <c r="AK23" i="11" s="1"/>
  <c r="AL23" i="11" a="1"/>
  <c r="AL23" i="11" s="1"/>
  <c r="AM23" i="11" a="1"/>
  <c r="AM23" i="11" s="1"/>
  <c r="AN23" i="11" a="1"/>
  <c r="AN23" i="11" s="1"/>
  <c r="AO23" i="11" a="1"/>
  <c r="AO23" i="11" s="1"/>
  <c r="AD24" i="11" a="1"/>
  <c r="AD24" i="11" s="1"/>
  <c r="AE24" i="11" a="1"/>
  <c r="AE24" i="11" s="1"/>
  <c r="AF24" i="11" a="1"/>
  <c r="AF24" i="11" s="1"/>
  <c r="AG24" i="11" a="1"/>
  <c r="AG24" i="11" s="1"/>
  <c r="AH24" i="11" a="1"/>
  <c r="AH24" i="11" s="1"/>
  <c r="AI24" i="11" a="1"/>
  <c r="AI24" i="11" s="1"/>
  <c r="AJ24" i="11" a="1"/>
  <c r="AJ24" i="11" s="1"/>
  <c r="AK24" i="11" a="1"/>
  <c r="AK24" i="11" s="1"/>
  <c r="AL24" i="11" a="1"/>
  <c r="AL24" i="11" s="1"/>
  <c r="AM24" i="11" a="1"/>
  <c r="AM24" i="11" s="1"/>
  <c r="AN24" i="11" a="1"/>
  <c r="AN24" i="11" s="1"/>
  <c r="AO24" i="11" a="1"/>
  <c r="AO24" i="11" s="1"/>
  <c r="AD25" i="11" a="1"/>
  <c r="AD25" i="11" s="1"/>
  <c r="AE25" i="11" a="1"/>
  <c r="AE25" i="11" s="1"/>
  <c r="AF25" i="11" a="1"/>
  <c r="AF25" i="11" s="1"/>
  <c r="AG25" i="11" a="1"/>
  <c r="AG25" i="11" s="1"/>
  <c r="AH25" i="11" a="1"/>
  <c r="AH25" i="11" s="1"/>
  <c r="AI25" i="11" a="1"/>
  <c r="AI25" i="11" s="1"/>
  <c r="AJ25" i="11" a="1"/>
  <c r="AJ25" i="11" s="1"/>
  <c r="AK25" i="11" a="1"/>
  <c r="AK25" i="11" s="1"/>
  <c r="AL25" i="11" a="1"/>
  <c r="AL25" i="11" s="1"/>
  <c r="AM25" i="11" a="1"/>
  <c r="AM25" i="11" s="1"/>
  <c r="AN25" i="11" a="1"/>
  <c r="AN25" i="11" s="1"/>
  <c r="AO25" i="11" a="1"/>
  <c r="AO25" i="11" s="1"/>
  <c r="AD26" i="11" a="1"/>
  <c r="AD26" i="11" s="1"/>
  <c r="AE26" i="11" a="1"/>
  <c r="AE26" i="11" s="1"/>
  <c r="AF26" i="11" a="1"/>
  <c r="AF26" i="11" s="1"/>
  <c r="AG26" i="11" a="1"/>
  <c r="AG26" i="11" s="1"/>
  <c r="AH26" i="11" a="1"/>
  <c r="AH26" i="11" s="1"/>
  <c r="AI26" i="11" a="1"/>
  <c r="AI26" i="11" s="1"/>
  <c r="AJ26" i="11" a="1"/>
  <c r="AJ26" i="11" s="1"/>
  <c r="AK26" i="11" a="1"/>
  <c r="AK26" i="11" s="1"/>
  <c r="AL26" i="11" a="1"/>
  <c r="AL26" i="11" s="1"/>
  <c r="AM26" i="11" a="1"/>
  <c r="AM26" i="11" s="1"/>
  <c r="AN26" i="11" a="1"/>
  <c r="AN26" i="11" s="1"/>
  <c r="AO26" i="11" a="1"/>
  <c r="AO26" i="11" s="1"/>
  <c r="AD27" i="11" a="1"/>
  <c r="AD27" i="11" s="1"/>
  <c r="AE27" i="11" a="1"/>
  <c r="AE27" i="11" s="1"/>
  <c r="AF27" i="11" a="1"/>
  <c r="AF27" i="11" s="1"/>
  <c r="AG27" i="11" a="1"/>
  <c r="AG27" i="11" s="1"/>
  <c r="AH27" i="11" a="1"/>
  <c r="AH27" i="11" s="1"/>
  <c r="AI27" i="11" a="1"/>
  <c r="AI27" i="11" s="1"/>
  <c r="AJ27" i="11" a="1"/>
  <c r="AJ27" i="11" s="1"/>
  <c r="AK27" i="11" a="1"/>
  <c r="AK27" i="11" s="1"/>
  <c r="AL27" i="11" a="1"/>
  <c r="AL27" i="11" s="1"/>
  <c r="AM27" i="11" a="1"/>
  <c r="AM27" i="11" s="1"/>
  <c r="AN27" i="11" a="1"/>
  <c r="AN27" i="11" s="1"/>
  <c r="AO27" i="11" a="1"/>
  <c r="AO27" i="11" s="1"/>
  <c r="AD28" i="11" a="1"/>
  <c r="AD28" i="11" s="1"/>
  <c r="AE28" i="11" a="1"/>
  <c r="AE28" i="11" s="1"/>
  <c r="AF28" i="11" a="1"/>
  <c r="AF28" i="11" s="1"/>
  <c r="AG28" i="11" a="1"/>
  <c r="AG28" i="11" s="1"/>
  <c r="AH28" i="11" a="1"/>
  <c r="AH28" i="11" s="1"/>
  <c r="AI28" i="11" a="1"/>
  <c r="AI28" i="11" s="1"/>
  <c r="AJ28" i="11" a="1"/>
  <c r="AJ28" i="11" s="1"/>
  <c r="AK28" i="11" a="1"/>
  <c r="AK28" i="11" s="1"/>
  <c r="AL28" i="11" a="1"/>
  <c r="AL28" i="11" s="1"/>
  <c r="AM28" i="11" a="1"/>
  <c r="AM28" i="11" s="1"/>
  <c r="AN28" i="11" a="1"/>
  <c r="AN28" i="11" s="1"/>
  <c r="AO28" i="11" a="1"/>
  <c r="AO28" i="11" s="1"/>
  <c r="AD29" i="11" a="1"/>
  <c r="AD29" i="11" s="1"/>
  <c r="AE29" i="11" a="1"/>
  <c r="AE29" i="11" s="1"/>
  <c r="AF29" i="11" a="1"/>
  <c r="AF29" i="11" s="1"/>
  <c r="AG29" i="11" a="1"/>
  <c r="AG29" i="11" s="1"/>
  <c r="AH29" i="11" a="1"/>
  <c r="AH29" i="11" s="1"/>
  <c r="AI29" i="11" a="1"/>
  <c r="AI29" i="11" s="1"/>
  <c r="AJ29" i="11" a="1"/>
  <c r="AJ29" i="11" s="1"/>
  <c r="AK29" i="11" a="1"/>
  <c r="AK29" i="11" s="1"/>
  <c r="AL29" i="11" a="1"/>
  <c r="AL29" i="11" s="1"/>
  <c r="AM29" i="11" a="1"/>
  <c r="AM29" i="11" s="1"/>
  <c r="AN29" i="11" a="1"/>
  <c r="AN29" i="11" s="1"/>
  <c r="AO29" i="11" a="1"/>
  <c r="AO29" i="11" s="1"/>
  <c r="AD30" i="11" a="1"/>
  <c r="AD30" i="11" s="1"/>
  <c r="AE30" i="11" a="1"/>
  <c r="AE30" i="11" s="1"/>
  <c r="AF30" i="11" a="1"/>
  <c r="AF30" i="11" s="1"/>
  <c r="AG30" i="11" a="1"/>
  <c r="AG30" i="11" s="1"/>
  <c r="AH30" i="11" a="1"/>
  <c r="AH30" i="11" s="1"/>
  <c r="AI30" i="11" a="1"/>
  <c r="AI30" i="11" s="1"/>
  <c r="AJ30" i="11" a="1"/>
  <c r="AJ30" i="11" s="1"/>
  <c r="AK30" i="11" a="1"/>
  <c r="AK30" i="11" s="1"/>
  <c r="AL30" i="11" a="1"/>
  <c r="AL30" i="11" s="1"/>
  <c r="AM30" i="11" a="1"/>
  <c r="AM30" i="11" s="1"/>
  <c r="AN30" i="11" a="1"/>
  <c r="AN30" i="11" s="1"/>
  <c r="AO30" i="11" a="1"/>
  <c r="AO30" i="11" s="1"/>
  <c r="AD31" i="11" a="1"/>
  <c r="AD31" i="11" s="1"/>
  <c r="AE31" i="11" a="1"/>
  <c r="AE31" i="11" s="1"/>
  <c r="AF31" i="11" a="1"/>
  <c r="AF31" i="11" s="1"/>
  <c r="AG31" i="11" a="1"/>
  <c r="AG31" i="11" s="1"/>
  <c r="AH31" i="11" a="1"/>
  <c r="AH31" i="11" s="1"/>
  <c r="AI31" i="11" a="1"/>
  <c r="AI31" i="11" s="1"/>
  <c r="AJ31" i="11" a="1"/>
  <c r="AJ31" i="11" s="1"/>
  <c r="AK31" i="11" a="1"/>
  <c r="AK31" i="11" s="1"/>
  <c r="AL31" i="11" a="1"/>
  <c r="AL31" i="11" s="1"/>
  <c r="AM31" i="11" a="1"/>
  <c r="AM31" i="11" s="1"/>
  <c r="AN31" i="11" a="1"/>
  <c r="AN31" i="11" s="1"/>
  <c r="AO31" i="11" a="1"/>
  <c r="AO31" i="11" s="1"/>
  <c r="AI32" i="11" a="1"/>
  <c r="AI32" i="11" s="1"/>
  <c r="AJ32" i="11" a="1"/>
  <c r="AJ32" i="11" s="1"/>
  <c r="AK32" i="11" a="1"/>
  <c r="AK32" i="11" s="1"/>
  <c r="AL32" i="11" a="1"/>
  <c r="AL32" i="11" s="1"/>
  <c r="AM32" i="11" a="1"/>
  <c r="AM32" i="11" s="1"/>
  <c r="AN32" i="11" a="1"/>
  <c r="AN32" i="11" s="1"/>
  <c r="AO32" i="11" a="1"/>
  <c r="AO32" i="11" s="1"/>
  <c r="AD34" i="11" a="1"/>
  <c r="AD34" i="11" s="1"/>
  <c r="AE34" i="11" a="1"/>
  <c r="AE34" i="11" s="1"/>
  <c r="AF34" i="11" a="1"/>
  <c r="AF34" i="11" s="1"/>
  <c r="AG34" i="11" a="1"/>
  <c r="AG34" i="11" s="1"/>
  <c r="AH34" i="11" a="1"/>
  <c r="AH34" i="11" s="1"/>
  <c r="AI34" i="11" a="1"/>
  <c r="AI34" i="11" s="1"/>
  <c r="AJ34" i="11" a="1"/>
  <c r="AJ34" i="11" s="1"/>
  <c r="AK34" i="11" a="1"/>
  <c r="AK34" i="11" s="1"/>
  <c r="AL34" i="11" a="1"/>
  <c r="AL34" i="11" s="1"/>
  <c r="AM34" i="11" a="1"/>
  <c r="AM34" i="11" s="1"/>
  <c r="AN34" i="11" a="1"/>
  <c r="AN34" i="11" s="1"/>
  <c r="AO34" i="11" a="1"/>
  <c r="AO34" i="11" s="1"/>
  <c r="AD35" i="11" a="1"/>
  <c r="AD35" i="11" s="1"/>
  <c r="AE35" i="11" a="1"/>
  <c r="AE35" i="11" s="1"/>
  <c r="AF35" i="11" a="1"/>
  <c r="AF35" i="11" s="1"/>
  <c r="AG35" i="11" a="1"/>
  <c r="AG35" i="11" s="1"/>
  <c r="AH35" i="11" a="1"/>
  <c r="AH35" i="11" s="1"/>
  <c r="AI35" i="11" a="1"/>
  <c r="AI35" i="11" s="1"/>
  <c r="AJ35" i="11" a="1"/>
  <c r="AJ35" i="11" s="1"/>
  <c r="AK35" i="11" a="1"/>
  <c r="AK35" i="11" s="1"/>
  <c r="AL35" i="11" a="1"/>
  <c r="AL35" i="11" s="1"/>
  <c r="AM35" i="11" a="1"/>
  <c r="AM35" i="11" s="1"/>
  <c r="AN35" i="11" a="1"/>
  <c r="AN35" i="11" s="1"/>
  <c r="AO35" i="11" a="1"/>
  <c r="AO35" i="11" s="1"/>
  <c r="AD37" i="11" a="1"/>
  <c r="AD37" i="11" s="1"/>
  <c r="AE37" i="11" a="1"/>
  <c r="AE37" i="11" s="1"/>
  <c r="AF37" i="11" a="1"/>
  <c r="AF37" i="11" s="1"/>
  <c r="AG37" i="11" a="1"/>
  <c r="AG37" i="11" s="1"/>
  <c r="AH37" i="11" a="1"/>
  <c r="AH37" i="11" s="1"/>
  <c r="AI37" i="11" a="1"/>
  <c r="AI37" i="11" s="1"/>
  <c r="AJ37" i="11" a="1"/>
  <c r="AJ37" i="11" s="1"/>
  <c r="AK37" i="11" a="1"/>
  <c r="AK37" i="11" s="1"/>
  <c r="AL37" i="11" a="1"/>
  <c r="AL37" i="11" s="1"/>
  <c r="AM37" i="11" a="1"/>
  <c r="AM37" i="11" s="1"/>
  <c r="AN37" i="11" a="1"/>
  <c r="AN37" i="11" s="1"/>
  <c r="AO37" i="11" a="1"/>
  <c r="AO37" i="11" s="1"/>
  <c r="AD38" i="11" a="1"/>
  <c r="AD38" i="11" s="1"/>
  <c r="AE38" i="11" a="1"/>
  <c r="AE38" i="11" s="1"/>
  <c r="AF38" i="11" a="1"/>
  <c r="AF38" i="11" s="1"/>
  <c r="AG38" i="11" a="1"/>
  <c r="AG38" i="11" s="1"/>
  <c r="AH38" i="11" a="1"/>
  <c r="AH38" i="11" s="1"/>
  <c r="AI38" i="11" a="1"/>
  <c r="AI38" i="11" s="1"/>
  <c r="AJ38" i="11" a="1"/>
  <c r="AJ38" i="11" s="1"/>
  <c r="AK38" i="11" a="1"/>
  <c r="AK38" i="11" s="1"/>
  <c r="AL38" i="11" a="1"/>
  <c r="AL38" i="11" s="1"/>
  <c r="AM38" i="11" a="1"/>
  <c r="AM38" i="11" s="1"/>
  <c r="AN38" i="11" a="1"/>
  <c r="AN38" i="11" s="1"/>
  <c r="AO38" i="11" a="1"/>
  <c r="AO38" i="11" s="1"/>
  <c r="AD39" i="11" a="1"/>
  <c r="AD39" i="11" s="1"/>
  <c r="AE39" i="11" a="1"/>
  <c r="AE39" i="11" s="1"/>
  <c r="AF39" i="11" a="1"/>
  <c r="AF39" i="11" s="1"/>
  <c r="AG39" i="11" a="1"/>
  <c r="AG39" i="11" s="1"/>
  <c r="AH39" i="11" a="1"/>
  <c r="AH39" i="11" s="1"/>
  <c r="AI39" i="11" a="1"/>
  <c r="AI39" i="11" s="1"/>
  <c r="AJ39" i="11" a="1"/>
  <c r="AJ39" i="11" s="1"/>
  <c r="AK39" i="11" a="1"/>
  <c r="AK39" i="11" s="1"/>
  <c r="AL39" i="11" a="1"/>
  <c r="AL39" i="11" s="1"/>
  <c r="AM39" i="11" a="1"/>
  <c r="AM39" i="11" s="1"/>
  <c r="AN39" i="11" a="1"/>
  <c r="AN39" i="11" s="1"/>
  <c r="AO39" i="11" a="1"/>
  <c r="AO39" i="11" s="1"/>
  <c r="AD40" i="11" a="1"/>
  <c r="AD40" i="11" s="1"/>
  <c r="AE40" i="11" a="1"/>
  <c r="AE40" i="11" s="1"/>
  <c r="AF40" i="11" a="1"/>
  <c r="AF40" i="11" s="1"/>
  <c r="AG40" i="11" a="1"/>
  <c r="AG40" i="11" s="1"/>
  <c r="AH40" i="11" a="1"/>
  <c r="AH40" i="11" s="1"/>
  <c r="AI40" i="11" a="1"/>
  <c r="AI40" i="11" s="1"/>
  <c r="AJ40" i="11" a="1"/>
  <c r="AJ40" i="11" s="1"/>
  <c r="AK40" i="11" a="1"/>
  <c r="AK40" i="11" s="1"/>
  <c r="AL40" i="11" a="1"/>
  <c r="AL40" i="11" s="1"/>
  <c r="AM40" i="11" a="1"/>
  <c r="AM40" i="11" s="1"/>
  <c r="AN40" i="11" a="1"/>
  <c r="AN40" i="11" s="1"/>
  <c r="AO40" i="11" a="1"/>
  <c r="AO40" i="11" s="1"/>
  <c r="AD41" i="11" a="1"/>
  <c r="AD41" i="11" s="1"/>
  <c r="AE41" i="11" a="1"/>
  <c r="AE41" i="11" s="1"/>
  <c r="AF41" i="11" a="1"/>
  <c r="AF41" i="11" s="1"/>
  <c r="AG41" i="11" a="1"/>
  <c r="AG41" i="11" s="1"/>
  <c r="AH41" i="11" a="1"/>
  <c r="AH41" i="11" s="1"/>
  <c r="AI41" i="11" a="1"/>
  <c r="AI41" i="11" s="1"/>
  <c r="AJ41" i="11" a="1"/>
  <c r="AJ41" i="11" s="1"/>
  <c r="AK41" i="11" a="1"/>
  <c r="AK41" i="11" s="1"/>
  <c r="AL41" i="11" a="1"/>
  <c r="AL41" i="11" s="1"/>
  <c r="AM41" i="11" a="1"/>
  <c r="AM41" i="11" s="1"/>
  <c r="AN41" i="11" a="1"/>
  <c r="AN41" i="11" s="1"/>
  <c r="AO41" i="11" a="1"/>
  <c r="AO41" i="11" s="1"/>
  <c r="AD42" i="11" a="1"/>
  <c r="AD42" i="11" s="1"/>
  <c r="AE42" i="11" a="1"/>
  <c r="AE42" i="11" s="1"/>
  <c r="AF42" i="11" a="1"/>
  <c r="AF42" i="11" s="1"/>
  <c r="AG42" i="11" a="1"/>
  <c r="AG42" i="11" s="1"/>
  <c r="AH42" i="11" a="1"/>
  <c r="AH42" i="11" s="1"/>
  <c r="AI42" i="11" a="1"/>
  <c r="AI42" i="11" s="1"/>
  <c r="AJ42" i="11" a="1"/>
  <c r="AJ42" i="11" s="1"/>
  <c r="AK42" i="11" a="1"/>
  <c r="AK42" i="11" s="1"/>
  <c r="AL42" i="11" a="1"/>
  <c r="AL42" i="11" s="1"/>
  <c r="AM42" i="11" a="1"/>
  <c r="AM42" i="11" s="1"/>
  <c r="AN42" i="11" a="1"/>
  <c r="AN42" i="11" s="1"/>
  <c r="AO42" i="11" a="1"/>
  <c r="AO42" i="11" s="1"/>
  <c r="AD44" i="11" a="1"/>
  <c r="AD44" i="11" s="1"/>
  <c r="AE44" i="11" a="1"/>
  <c r="AE44" i="11" s="1"/>
  <c r="AF44" i="11" a="1"/>
  <c r="AF44" i="11" s="1"/>
  <c r="AG44" i="11" a="1"/>
  <c r="AG44" i="11" s="1"/>
  <c r="AH44" i="11" a="1"/>
  <c r="AH44" i="11" s="1"/>
  <c r="AI44" i="11" a="1"/>
  <c r="AI44" i="11" s="1"/>
  <c r="AJ44" i="11" a="1"/>
  <c r="AJ44" i="11" s="1"/>
  <c r="AK44" i="11" a="1"/>
  <c r="AK44" i="11" s="1"/>
  <c r="AL44" i="11" a="1"/>
  <c r="AL44" i="11" s="1"/>
  <c r="AM44" i="11" a="1"/>
  <c r="AM44" i="11" s="1"/>
  <c r="AN44" i="11" a="1"/>
  <c r="AN44" i="11" s="1"/>
  <c r="AO44" i="11" a="1"/>
  <c r="AO44" i="11" s="1"/>
  <c r="AD45" i="11" a="1"/>
  <c r="AD45" i="11" s="1"/>
  <c r="AE45" i="11" a="1"/>
  <c r="AE45" i="11" s="1"/>
  <c r="AF45" i="11" a="1"/>
  <c r="AF45" i="11" s="1"/>
  <c r="AG45" i="11" a="1"/>
  <c r="AG45" i="11" s="1"/>
  <c r="AH45" i="11" a="1"/>
  <c r="AH45" i="11" s="1"/>
  <c r="AI45" i="11" a="1"/>
  <c r="AI45" i="11" s="1"/>
  <c r="AJ45" i="11" a="1"/>
  <c r="AJ45" i="11" s="1"/>
  <c r="AK45" i="11" a="1"/>
  <c r="AK45" i="11" s="1"/>
  <c r="AL45" i="11" a="1"/>
  <c r="AL45" i="11" s="1"/>
  <c r="AM45" i="11" a="1"/>
  <c r="AM45" i="11" s="1"/>
  <c r="AN45" i="11" a="1"/>
  <c r="AN45" i="11" s="1"/>
  <c r="AO45" i="11" a="1"/>
  <c r="AO45" i="11" s="1"/>
  <c r="AD46" i="11" a="1"/>
  <c r="AD46" i="11" s="1"/>
  <c r="AE46" i="11" a="1"/>
  <c r="AE46" i="11" s="1"/>
  <c r="AF46" i="11" a="1"/>
  <c r="AF46" i="11" s="1"/>
  <c r="AG46" i="11" a="1"/>
  <c r="AG46" i="11" s="1"/>
  <c r="AH46" i="11" a="1"/>
  <c r="AH46" i="11" s="1"/>
  <c r="AI46" i="11" a="1"/>
  <c r="AI46" i="11" s="1"/>
  <c r="AJ46" i="11" a="1"/>
  <c r="AJ46" i="11" s="1"/>
  <c r="AK46" i="11" a="1"/>
  <c r="AK46" i="11" s="1"/>
  <c r="AL46" i="11" a="1"/>
  <c r="AL46" i="11" s="1"/>
  <c r="AM46" i="11" a="1"/>
  <c r="AM46" i="11" s="1"/>
  <c r="AN46" i="11" a="1"/>
  <c r="AN46" i="11" s="1"/>
  <c r="AO46" i="11" a="1"/>
  <c r="AO46" i="11" s="1"/>
  <c r="AE5" i="11" a="1"/>
  <c r="AE5" i="11" s="1"/>
  <c r="AF5" i="11" a="1"/>
  <c r="AF5" i="11" s="1"/>
  <c r="AG5" i="11" a="1"/>
  <c r="AG5" i="11" s="1"/>
  <c r="AH5" i="11" a="1"/>
  <c r="AH5" i="11" s="1"/>
  <c r="AI5" i="11" a="1"/>
  <c r="AI5" i="11" s="1"/>
  <c r="AJ5" i="11" a="1"/>
  <c r="AJ5" i="11" s="1"/>
  <c r="AK5" i="11" a="1"/>
  <c r="AK5" i="11" s="1"/>
  <c r="AL5" i="11" a="1"/>
  <c r="AL5" i="11" s="1"/>
  <c r="AM5" i="11" a="1"/>
  <c r="AM5" i="11" s="1"/>
  <c r="AN5" i="11" a="1"/>
  <c r="AN5" i="11" s="1"/>
  <c r="AO5" i="11" a="1"/>
  <c r="AO5" i="11" s="1"/>
  <c r="AD5" i="11" a="1"/>
  <c r="AD5" i="11" s="1"/>
  <c r="B6" i="11" a="1"/>
  <c r="B6" i="11" s="1"/>
  <c r="BW6" i="11" l="1"/>
  <c r="CI6" i="11" s="1"/>
  <c r="O10" i="14" s="1" a="1"/>
  <c r="O10" i="14" s="1"/>
  <c r="BK6" i="11"/>
  <c r="BS6" i="11"/>
  <c r="BG6" i="11"/>
  <c r="BO6" i="11"/>
  <c r="BC6" i="11"/>
  <c r="BV6" i="11"/>
  <c r="BJ6" i="11"/>
  <c r="BR6" i="11"/>
  <c r="BF6" i="11"/>
  <c r="BN6" i="11"/>
  <c r="BB6" i="11"/>
  <c r="BU6" i="11"/>
  <c r="BI6" i="11"/>
  <c r="BQ6" i="11"/>
  <c r="BE6" i="11"/>
  <c r="BL6" i="11"/>
  <c r="BX6" i="11"/>
  <c r="BT6" i="11"/>
  <c r="BH6" i="11"/>
  <c r="BP6" i="11"/>
  <c r="BD6" i="11"/>
  <c r="D138" i="17"/>
  <c r="D105" i="17"/>
  <c r="F157" i="17" s="1"/>
  <c r="U74" i="17"/>
  <c r="D123" i="17"/>
  <c r="U75" i="17"/>
  <c r="U91" i="17" s="1"/>
  <c r="E75" i="17" s="1"/>
  <c r="D124" i="17"/>
  <c r="U76" i="17"/>
  <c r="U92" i="17" s="1"/>
  <c r="E76" i="17" s="1"/>
  <c r="D126" i="17"/>
  <c r="U78" i="17"/>
  <c r="D125" i="17"/>
  <c r="U77" i="17"/>
  <c r="U93" i="17" s="1"/>
  <c r="E77" i="17" s="1"/>
  <c r="D128" i="17"/>
  <c r="U80" i="17"/>
  <c r="U96" i="17" s="1"/>
  <c r="E80" i="17" s="1"/>
  <c r="D127" i="17"/>
  <c r="U79" i="17"/>
  <c r="U95" i="17" s="1"/>
  <c r="E79" i="17" s="1"/>
  <c r="D129" i="17"/>
  <c r="U81" i="17"/>
  <c r="U97" i="17" s="1"/>
  <c r="E81" i="17" s="1"/>
  <c r="C56" i="17"/>
  <c r="C57" i="17"/>
  <c r="C54" i="17"/>
  <c r="D142" i="17"/>
  <c r="D65" i="17"/>
  <c r="D66" i="17" s="1"/>
  <c r="D145" i="17"/>
  <c r="D144" i="17"/>
  <c r="D143" i="17"/>
  <c r="D140" i="17"/>
  <c r="D141" i="17"/>
  <c r="D139" i="17"/>
  <c r="R5" i="14"/>
  <c r="F56" i="14"/>
  <c r="F58" i="14" s="1"/>
  <c r="J56" i="14"/>
  <c r="J58" i="14" s="1"/>
  <c r="N56" i="14"/>
  <c r="N58" i="14" s="1"/>
  <c r="G56" i="14"/>
  <c r="G58" i="14" s="1"/>
  <c r="K56" i="14"/>
  <c r="K58" i="14" s="1"/>
  <c r="O56" i="14"/>
  <c r="O58" i="14" s="1"/>
  <c r="H56" i="14"/>
  <c r="H58" i="14" s="1"/>
  <c r="L56" i="14"/>
  <c r="L58" i="14" s="1"/>
  <c r="P56" i="14"/>
  <c r="P58" i="14" s="1"/>
  <c r="I56" i="14"/>
  <c r="I58" i="14" s="1"/>
  <c r="M56" i="14"/>
  <c r="M58" i="14" s="1"/>
  <c r="Q56" i="14"/>
  <c r="Q58" i="14" s="1"/>
  <c r="BY6" i="11"/>
  <c r="CK6" i="11" s="1"/>
  <c r="Q10" i="14" s="1" a="1"/>
  <c r="Q10" i="14" s="1"/>
  <c r="CG6" i="11"/>
  <c r="M10" i="14" s="1" a="1"/>
  <c r="M10" i="14" s="1"/>
  <c r="CJ6" i="11"/>
  <c r="P10" i="14" s="1" a="1"/>
  <c r="P10" i="14" s="1"/>
  <c r="CF6" i="11"/>
  <c r="L10" i="14" s="1" a="1"/>
  <c r="L10" i="14" s="1"/>
  <c r="CE6" i="11"/>
  <c r="K10" i="14" s="1" a="1"/>
  <c r="K10" i="14" s="1"/>
  <c r="CH6" i="11"/>
  <c r="N10" i="14" s="1" a="1"/>
  <c r="N10" i="14" s="1"/>
  <c r="BM6" i="11"/>
  <c r="E143" i="17" l="1"/>
  <c r="E110" i="17"/>
  <c r="J162" i="17" s="1"/>
  <c r="E141" i="17"/>
  <c r="E108" i="17"/>
  <c r="J160" i="17" s="1"/>
  <c r="E140" i="17"/>
  <c r="E107" i="17"/>
  <c r="J159" i="17" s="1"/>
  <c r="E145" i="17"/>
  <c r="E112" i="17"/>
  <c r="J164" i="17" s="1"/>
  <c r="E144" i="17"/>
  <c r="E111" i="17"/>
  <c r="J163" i="17" s="1"/>
  <c r="E139" i="17"/>
  <c r="E106" i="17"/>
  <c r="J158" i="17" s="1"/>
  <c r="T129" i="17"/>
  <c r="T145" i="17"/>
  <c r="T128" i="17"/>
  <c r="T144" i="17"/>
  <c r="T126" i="17"/>
  <c r="T142" i="17"/>
  <c r="T123" i="17"/>
  <c r="T139" i="17"/>
  <c r="T127" i="17"/>
  <c r="T143" i="17"/>
  <c r="T125" i="17"/>
  <c r="T141" i="17"/>
  <c r="T124" i="17"/>
  <c r="T140" i="17"/>
  <c r="T138" i="17"/>
  <c r="E128" i="17"/>
  <c r="E129" i="17"/>
  <c r="E123" i="17"/>
  <c r="E127" i="17"/>
  <c r="E125" i="17"/>
  <c r="E124" i="17"/>
  <c r="D69" i="17"/>
  <c r="D68" i="17"/>
  <c r="D70" i="17"/>
  <c r="D67" i="17"/>
  <c r="V81" i="17"/>
  <c r="V97" i="17" s="1"/>
  <c r="F81" i="17" s="1"/>
  <c r="F112" i="17" s="1"/>
  <c r="N164" i="17" s="1"/>
  <c r="V80" i="17"/>
  <c r="V96" i="17" s="1"/>
  <c r="F80" i="17" s="1"/>
  <c r="F111" i="17" s="1"/>
  <c r="N163" i="17" s="1"/>
  <c r="V75" i="17"/>
  <c r="V91" i="17" s="1"/>
  <c r="F75" i="17" s="1"/>
  <c r="F106" i="17" s="1"/>
  <c r="N158" i="17" s="1"/>
  <c r="V79" i="17"/>
  <c r="V95" i="17" s="1"/>
  <c r="F79" i="17" s="1"/>
  <c r="F110" i="17" s="1"/>
  <c r="N162" i="17" s="1"/>
  <c r="V77" i="17"/>
  <c r="V93" i="17" s="1"/>
  <c r="F77" i="17" s="1"/>
  <c r="F108" i="17" s="1"/>
  <c r="N160" i="17" s="1"/>
  <c r="V76" i="17"/>
  <c r="V92" i="17" s="1"/>
  <c r="F76" i="17" s="1"/>
  <c r="F107" i="17" s="1"/>
  <c r="N159" i="17" s="1"/>
  <c r="T86" i="17"/>
  <c r="U94" i="17"/>
  <c r="E78" i="17" s="1"/>
  <c r="E109" i="17" s="1"/>
  <c r="J161" i="17" s="1"/>
  <c r="E58" i="14"/>
  <c r="D83" i="17" l="1"/>
  <c r="D82" i="17"/>
  <c r="W81" i="17"/>
  <c r="W97" i="17" s="1"/>
  <c r="G81" i="17" s="1"/>
  <c r="G112" i="17" s="1"/>
  <c r="S164" i="17" s="1"/>
  <c r="F145" i="17"/>
  <c r="V78" i="17"/>
  <c r="V94" i="17" s="1"/>
  <c r="F78" i="17" s="1"/>
  <c r="F109" i="17" s="1"/>
  <c r="N161" i="17" s="1"/>
  <c r="E142" i="17"/>
  <c r="U125" i="17"/>
  <c r="U141" i="17"/>
  <c r="U128" i="17"/>
  <c r="U144" i="17"/>
  <c r="W76" i="17"/>
  <c r="W92" i="17" s="1"/>
  <c r="G76" i="17" s="1"/>
  <c r="G107" i="17" s="1"/>
  <c r="S159" i="17" s="1"/>
  <c r="F140" i="17"/>
  <c r="W80" i="17"/>
  <c r="F144" i="17"/>
  <c r="U127" i="17"/>
  <c r="U143" i="17"/>
  <c r="U123" i="17"/>
  <c r="U139" i="17"/>
  <c r="W77" i="17"/>
  <c r="W93" i="17" s="1"/>
  <c r="G77" i="17" s="1"/>
  <c r="G108" i="17" s="1"/>
  <c r="S160" i="17" s="1"/>
  <c r="F141" i="17"/>
  <c r="W79" i="17"/>
  <c r="W95" i="17" s="1"/>
  <c r="G79" i="17" s="1"/>
  <c r="F143" i="17"/>
  <c r="U124" i="17"/>
  <c r="U140" i="17"/>
  <c r="U129" i="17"/>
  <c r="U145" i="17"/>
  <c r="W75" i="17"/>
  <c r="F139" i="17"/>
  <c r="D113" i="17"/>
  <c r="F165" i="17" s="1"/>
  <c r="F123" i="17"/>
  <c r="D85" i="17"/>
  <c r="D116" i="17" s="1"/>
  <c r="F168" i="17" s="1"/>
  <c r="F124" i="17"/>
  <c r="E126" i="17"/>
  <c r="D114" i="17"/>
  <c r="F166" i="17" s="1"/>
  <c r="F125" i="17"/>
  <c r="F128" i="17"/>
  <c r="D84" i="17"/>
  <c r="D115" i="17" s="1"/>
  <c r="F167" i="17" s="1"/>
  <c r="F127" i="17"/>
  <c r="F129" i="17"/>
  <c r="G143" i="17" l="1"/>
  <c r="G110" i="17"/>
  <c r="S162" i="17" s="1"/>
  <c r="X76" i="17"/>
  <c r="G140" i="17"/>
  <c r="X81" i="17"/>
  <c r="G145" i="17"/>
  <c r="W78" i="17"/>
  <c r="F142" i="17"/>
  <c r="X77" i="17"/>
  <c r="X93" i="17" s="1"/>
  <c r="H77" i="17" s="1"/>
  <c r="H108" i="17" s="1"/>
  <c r="G141" i="17"/>
  <c r="V125" i="17"/>
  <c r="V141" i="17"/>
  <c r="U85" i="17"/>
  <c r="D149" i="17"/>
  <c r="V127" i="17"/>
  <c r="V143" i="17"/>
  <c r="U83" i="17"/>
  <c r="D147" i="17"/>
  <c r="V123" i="17"/>
  <c r="V139" i="17"/>
  <c r="V129" i="17"/>
  <c r="V145" i="17"/>
  <c r="D132" i="17"/>
  <c r="D148" i="17"/>
  <c r="U126" i="17"/>
  <c r="U142" i="17"/>
  <c r="U61" i="17"/>
  <c r="U67" i="17" s="1"/>
  <c r="E61" i="17" s="1"/>
  <c r="D146" i="17"/>
  <c r="V128" i="17"/>
  <c r="V144" i="17"/>
  <c r="V124" i="17"/>
  <c r="V140" i="17"/>
  <c r="U62" i="17"/>
  <c r="U68" i="17" s="1"/>
  <c r="E62" i="17" s="1"/>
  <c r="D133" i="17"/>
  <c r="U64" i="17"/>
  <c r="U70" i="17" s="1"/>
  <c r="E64" i="17" s="1"/>
  <c r="D131" i="17"/>
  <c r="U82" i="17"/>
  <c r="D130" i="17"/>
  <c r="T146" i="17" s="1"/>
  <c r="U63" i="17"/>
  <c r="U69" i="17" s="1"/>
  <c r="E63" i="17" s="1"/>
  <c r="G124" i="17"/>
  <c r="F126" i="17"/>
  <c r="U84" i="17"/>
  <c r="G129" i="17"/>
  <c r="G125" i="17"/>
  <c r="G127" i="17"/>
  <c r="X79" i="17"/>
  <c r="X95" i="17" s="1"/>
  <c r="H79" i="17" s="1"/>
  <c r="D86" i="17"/>
  <c r="D117" i="17" s="1"/>
  <c r="F169" i="17" s="1"/>
  <c r="W96" i="17"/>
  <c r="G80" i="17" s="1"/>
  <c r="G111" i="17" s="1"/>
  <c r="S163" i="17" s="1"/>
  <c r="W91" i="17"/>
  <c r="G75" i="17" s="1"/>
  <c r="G106" i="17" s="1"/>
  <c r="S158" i="17" s="1"/>
  <c r="B7" i="11" a="1"/>
  <c r="B7" i="11" s="1"/>
  <c r="B8" i="11" a="1"/>
  <c r="B8" i="11" s="1"/>
  <c r="B9" i="11" a="1"/>
  <c r="B9" i="11" s="1"/>
  <c r="B10" i="11" a="1"/>
  <c r="B10" i="11" s="1"/>
  <c r="B11" i="11" a="1"/>
  <c r="B11" i="11" s="1"/>
  <c r="B12" i="11" a="1"/>
  <c r="B12" i="11" s="1"/>
  <c r="B13" i="11" a="1"/>
  <c r="B13" i="11" s="1"/>
  <c r="B14" i="11" a="1"/>
  <c r="B14" i="11" s="1"/>
  <c r="B15" i="11" a="1"/>
  <c r="B15" i="11" s="1"/>
  <c r="B16" i="11" a="1"/>
  <c r="B16" i="11" s="1"/>
  <c r="B17" i="11" a="1"/>
  <c r="B17" i="11" s="1"/>
  <c r="B18" i="11" a="1"/>
  <c r="B18" i="11" s="1"/>
  <c r="B19" i="11" a="1"/>
  <c r="B19" i="11" s="1"/>
  <c r="B20" i="11" a="1"/>
  <c r="B20" i="11" s="1"/>
  <c r="B21" i="11" a="1"/>
  <c r="B21" i="11" s="1"/>
  <c r="B22" i="11" a="1"/>
  <c r="B22" i="11" s="1"/>
  <c r="B23" i="11" a="1"/>
  <c r="B23" i="11" s="1"/>
  <c r="B24" i="11" a="1"/>
  <c r="B24" i="11" s="1"/>
  <c r="B25" i="11" a="1"/>
  <c r="B25" i="11" s="1"/>
  <c r="B26" i="11" a="1"/>
  <c r="B26" i="11" s="1"/>
  <c r="B27" i="11" a="1"/>
  <c r="B27" i="11" s="1"/>
  <c r="B28" i="11" a="1"/>
  <c r="B28" i="11" s="1"/>
  <c r="B29" i="11" a="1"/>
  <c r="B29" i="11" s="1"/>
  <c r="B30" i="11" a="1"/>
  <c r="B30" i="11" s="1"/>
  <c r="B31" i="11" a="1"/>
  <c r="B31" i="11" s="1"/>
  <c r="B32" i="11" a="1"/>
  <c r="B32" i="11" s="1"/>
  <c r="B33" i="11" a="1"/>
  <c r="B33" i="11" s="1"/>
  <c r="B34" i="11" a="1"/>
  <c r="B34" i="11" s="1"/>
  <c r="B35" i="11" a="1"/>
  <c r="B35" i="11" s="1"/>
  <c r="B36" i="11" a="1"/>
  <c r="B36" i="11" s="1"/>
  <c r="B37" i="11" a="1"/>
  <c r="B37" i="11" s="1"/>
  <c r="B38" i="11" a="1"/>
  <c r="B38" i="11" s="1"/>
  <c r="B39" i="11" a="1"/>
  <c r="B39" i="11" s="1"/>
  <c r="B40" i="11" a="1"/>
  <c r="B40" i="11" s="1"/>
  <c r="B41" i="11" a="1"/>
  <c r="B41" i="11" s="1"/>
  <c r="B42" i="11" a="1"/>
  <c r="B42" i="11" s="1"/>
  <c r="B43" i="11" a="1"/>
  <c r="B43" i="11" s="1"/>
  <c r="B44" i="11" a="1"/>
  <c r="B44" i="11" s="1"/>
  <c r="B45" i="11" a="1"/>
  <c r="B45" i="11" s="1"/>
  <c r="B46" i="11" a="1"/>
  <c r="B46" i="11" s="1"/>
  <c r="B5" i="11" a="1"/>
  <c r="B5" i="11" s="1"/>
  <c r="BX37" i="11" l="1"/>
  <c r="BP37" i="11"/>
  <c r="BS37" i="11"/>
  <c r="BL37" i="11"/>
  <c r="BD37" i="11"/>
  <c r="BG37" i="11"/>
  <c r="BT37" i="11"/>
  <c r="BW37" i="11"/>
  <c r="BO37" i="11"/>
  <c r="BH37" i="11"/>
  <c r="BK37" i="11"/>
  <c r="BC37" i="11"/>
  <c r="BV37" i="11"/>
  <c r="BN37" i="11"/>
  <c r="BQ37" i="11"/>
  <c r="BJ37" i="11"/>
  <c r="BB37" i="11"/>
  <c r="BE37" i="11"/>
  <c r="BR37" i="11"/>
  <c r="BU37" i="11"/>
  <c r="BF37" i="11"/>
  <c r="BI37" i="11"/>
  <c r="BS29" i="11"/>
  <c r="BV29" i="11"/>
  <c r="BB29" i="11"/>
  <c r="BG29" i="11"/>
  <c r="BJ29" i="11"/>
  <c r="BN29" i="11"/>
  <c r="BW29" i="11"/>
  <c r="BO29" i="11"/>
  <c r="BR29" i="11"/>
  <c r="BK29" i="11"/>
  <c r="BC29" i="11"/>
  <c r="BF29" i="11"/>
  <c r="BU29" i="11"/>
  <c r="BX29" i="11"/>
  <c r="BP29" i="11"/>
  <c r="BI29" i="11"/>
  <c r="BL29" i="11"/>
  <c r="BD29" i="11"/>
  <c r="BQ29" i="11"/>
  <c r="BT29" i="11"/>
  <c r="BE29" i="11"/>
  <c r="BH29" i="11"/>
  <c r="BW25" i="11"/>
  <c r="BO25" i="11"/>
  <c r="BR25" i="11"/>
  <c r="BK25" i="11"/>
  <c r="BC25" i="11"/>
  <c r="BF25" i="11"/>
  <c r="BS25" i="11"/>
  <c r="BV25" i="11"/>
  <c r="BN25" i="11"/>
  <c r="BG25" i="11"/>
  <c r="BJ25" i="11"/>
  <c r="BB25" i="11"/>
  <c r="BU25" i="11"/>
  <c r="BT25" i="11"/>
  <c r="BI25" i="11"/>
  <c r="BH25" i="11"/>
  <c r="BQ25" i="11"/>
  <c r="BX25" i="11"/>
  <c r="BP25" i="11"/>
  <c r="BE25" i="11"/>
  <c r="BL25" i="11"/>
  <c r="BD25" i="11"/>
  <c r="BW21" i="11"/>
  <c r="BO21" i="11"/>
  <c r="BR21" i="11"/>
  <c r="BK21" i="11"/>
  <c r="BC21" i="11"/>
  <c r="BF21" i="11"/>
  <c r="BS21" i="11"/>
  <c r="BV21" i="11"/>
  <c r="BN21" i="11"/>
  <c r="BG21" i="11"/>
  <c r="BJ21" i="11"/>
  <c r="BB21" i="11"/>
  <c r="BU21" i="11"/>
  <c r="BT21" i="11"/>
  <c r="BI21" i="11"/>
  <c r="BH21" i="11"/>
  <c r="BQ21" i="11"/>
  <c r="BX21" i="11"/>
  <c r="BP21" i="11"/>
  <c r="BE21" i="11"/>
  <c r="BL21" i="11"/>
  <c r="BD21" i="11"/>
  <c r="BW13" i="11"/>
  <c r="BO13" i="11"/>
  <c r="BK13" i="11"/>
  <c r="BC13" i="11"/>
  <c r="BR13" i="11"/>
  <c r="BS13" i="11"/>
  <c r="BV13" i="11"/>
  <c r="BB13" i="11"/>
  <c r="BG13" i="11"/>
  <c r="BJ13" i="11"/>
  <c r="BN13" i="11"/>
  <c r="BI13" i="11"/>
  <c r="BF13" i="11"/>
  <c r="BU13" i="11"/>
  <c r="BH13" i="11"/>
  <c r="BQ13" i="11"/>
  <c r="BE13" i="11"/>
  <c r="BL13" i="11"/>
  <c r="BD13" i="11"/>
  <c r="BX13" i="11"/>
  <c r="BT13" i="11"/>
  <c r="BP13" i="11"/>
  <c r="BW9" i="11"/>
  <c r="BO9" i="11"/>
  <c r="BK9" i="11"/>
  <c r="BC9" i="11"/>
  <c r="BS9" i="11"/>
  <c r="BG9" i="11"/>
  <c r="BV9" i="11"/>
  <c r="BN9" i="11"/>
  <c r="BI9" i="11"/>
  <c r="BJ9" i="11"/>
  <c r="BB9" i="11"/>
  <c r="BU9" i="11"/>
  <c r="BH9" i="11"/>
  <c r="BF9" i="11"/>
  <c r="BQ9" i="11"/>
  <c r="BR9" i="11"/>
  <c r="BE9" i="11"/>
  <c r="BL9" i="11"/>
  <c r="BD9" i="11"/>
  <c r="BX9" i="11"/>
  <c r="BT9" i="11"/>
  <c r="BP9" i="11"/>
  <c r="BT40" i="11"/>
  <c r="BW40" i="11"/>
  <c r="BO40" i="11"/>
  <c r="BH40" i="11"/>
  <c r="BK40" i="11"/>
  <c r="BC40" i="11"/>
  <c r="BX40" i="11"/>
  <c r="BP40" i="11"/>
  <c r="BS40" i="11"/>
  <c r="BL40" i="11"/>
  <c r="BD40" i="11"/>
  <c r="BG40" i="11"/>
  <c r="BR40" i="11"/>
  <c r="BQ40" i="11"/>
  <c r="BF40" i="11"/>
  <c r="BE40" i="11"/>
  <c r="BV40" i="11"/>
  <c r="BN40" i="11"/>
  <c r="BU40" i="11"/>
  <c r="BJ40" i="11"/>
  <c r="BB40" i="11"/>
  <c r="BI40" i="11"/>
  <c r="BT32" i="11"/>
  <c r="BW32" i="11"/>
  <c r="BH32" i="11"/>
  <c r="BK32" i="11"/>
  <c r="BX32" i="11"/>
  <c r="BS32" i="11"/>
  <c r="BL32" i="11"/>
  <c r="BG32" i="11"/>
  <c r="BV32" i="11"/>
  <c r="BU32" i="11"/>
  <c r="BJ32" i="11"/>
  <c r="BI32" i="11"/>
  <c r="BS24" i="11"/>
  <c r="BV24" i="11"/>
  <c r="BN24" i="11"/>
  <c r="BG24" i="11"/>
  <c r="BJ24" i="11"/>
  <c r="BB24" i="11"/>
  <c r="BW24" i="11"/>
  <c r="BO24" i="11"/>
  <c r="BR24" i="11"/>
  <c r="BK24" i="11"/>
  <c r="BC24" i="11"/>
  <c r="BF24" i="11"/>
  <c r="BU24" i="11"/>
  <c r="BX24" i="11"/>
  <c r="BP24" i="11"/>
  <c r="BI24" i="11"/>
  <c r="BL24" i="11"/>
  <c r="BD24" i="11"/>
  <c r="BQ24" i="11"/>
  <c r="BT24" i="11"/>
  <c r="BE24" i="11"/>
  <c r="BH24" i="11"/>
  <c r="BS20" i="11"/>
  <c r="BV20" i="11"/>
  <c r="BN20" i="11"/>
  <c r="BG20" i="11"/>
  <c r="BJ20" i="11"/>
  <c r="BB20" i="11"/>
  <c r="BW20" i="11"/>
  <c r="BC20" i="11"/>
  <c r="BR20" i="11"/>
  <c r="BK20" i="11"/>
  <c r="BO20" i="11"/>
  <c r="BF20" i="11"/>
  <c r="BU20" i="11"/>
  <c r="BX20" i="11"/>
  <c r="BP20" i="11"/>
  <c r="BI20" i="11"/>
  <c r="BL20" i="11"/>
  <c r="BD20" i="11"/>
  <c r="BQ20" i="11"/>
  <c r="BT20" i="11"/>
  <c r="BE20" i="11"/>
  <c r="BH20" i="11"/>
  <c r="BG16" i="11"/>
  <c r="BV16" i="11"/>
  <c r="BN16" i="11"/>
  <c r="BZ16" i="11" s="1"/>
  <c r="BS16" i="11"/>
  <c r="BJ16" i="11"/>
  <c r="BB16" i="11"/>
  <c r="BW16" i="11"/>
  <c r="BC16" i="11"/>
  <c r="BR16" i="11"/>
  <c r="BK16" i="11"/>
  <c r="BO16" i="11"/>
  <c r="BF16" i="11"/>
  <c r="BU16" i="11"/>
  <c r="BX16" i="11"/>
  <c r="BP16" i="11"/>
  <c r="BI16" i="11"/>
  <c r="BL16" i="11"/>
  <c r="BD16" i="11"/>
  <c r="BQ16" i="11"/>
  <c r="BT16" i="11"/>
  <c r="BE16" i="11"/>
  <c r="BH16" i="11"/>
  <c r="BG12" i="11"/>
  <c r="BS12" i="11"/>
  <c r="BW12" i="11"/>
  <c r="BC12" i="11"/>
  <c r="BR12" i="11"/>
  <c r="BK12" i="11"/>
  <c r="BO12" i="11"/>
  <c r="BF12" i="11"/>
  <c r="BN12" i="11"/>
  <c r="BU12" i="11"/>
  <c r="BB12" i="11"/>
  <c r="BI12" i="11"/>
  <c r="BL12" i="11"/>
  <c r="BD12" i="11"/>
  <c r="BV12" i="11"/>
  <c r="BQ12" i="11"/>
  <c r="BJ12" i="11"/>
  <c r="BE12" i="11"/>
  <c r="BH12" i="11"/>
  <c r="BX12" i="11"/>
  <c r="BT12" i="11"/>
  <c r="BP12" i="11"/>
  <c r="BG8" i="11"/>
  <c r="BS8" i="11"/>
  <c r="BW8" i="11"/>
  <c r="BO8" i="11"/>
  <c r="BK8" i="11"/>
  <c r="BC8" i="11"/>
  <c r="BR8" i="11"/>
  <c r="BU8" i="11"/>
  <c r="BF8" i="11"/>
  <c r="BI8" i="11"/>
  <c r="BL8" i="11"/>
  <c r="BD8" i="11"/>
  <c r="BV8" i="11"/>
  <c r="BN8" i="11"/>
  <c r="BQ8" i="11"/>
  <c r="BJ8" i="11"/>
  <c r="BB8" i="11"/>
  <c r="BE8" i="11"/>
  <c r="BH8" i="11"/>
  <c r="BX8" i="11"/>
  <c r="BT8" i="11"/>
  <c r="BP8" i="11"/>
  <c r="BQ5" i="11"/>
  <c r="BE5" i="11"/>
  <c r="BU5" i="11"/>
  <c r="BT5" i="11"/>
  <c r="BI5" i="11"/>
  <c r="BH5" i="11"/>
  <c r="BW5" i="11"/>
  <c r="BO5" i="11"/>
  <c r="CA5" i="11" s="1"/>
  <c r="BX5" i="11"/>
  <c r="BN5" i="11"/>
  <c r="BZ5" i="11" s="1"/>
  <c r="F9" i="14" s="1"/>
  <c r="BR5" i="11"/>
  <c r="BK5" i="11"/>
  <c r="BC5" i="11"/>
  <c r="BL5" i="11"/>
  <c r="BB5" i="11"/>
  <c r="BF5" i="11"/>
  <c r="BP5" i="11"/>
  <c r="BS5" i="11"/>
  <c r="BV5" i="11"/>
  <c r="BD5" i="11"/>
  <c r="BG5" i="11"/>
  <c r="BJ5" i="11"/>
  <c r="BX39" i="11"/>
  <c r="BP39" i="11"/>
  <c r="BS39" i="11"/>
  <c r="BL39" i="11"/>
  <c r="BD39" i="11"/>
  <c r="BG39" i="11"/>
  <c r="BT39" i="11"/>
  <c r="BW39" i="11"/>
  <c r="BO39" i="11"/>
  <c r="BH39" i="11"/>
  <c r="BK39" i="11"/>
  <c r="BC39" i="11"/>
  <c r="BV39" i="11"/>
  <c r="BN39" i="11"/>
  <c r="BQ39" i="11"/>
  <c r="BJ39" i="11"/>
  <c r="BB39" i="11"/>
  <c r="BE39" i="11"/>
  <c r="BR39" i="11"/>
  <c r="BU39" i="11"/>
  <c r="BF39" i="11"/>
  <c r="BI39" i="11"/>
  <c r="BT35" i="11"/>
  <c r="BW35" i="11"/>
  <c r="BO35" i="11"/>
  <c r="BH35" i="11"/>
  <c r="BK35" i="11"/>
  <c r="BC35" i="11"/>
  <c r="BX35" i="11"/>
  <c r="BP35" i="11"/>
  <c r="BS35" i="11"/>
  <c r="BL35" i="11"/>
  <c r="BD35" i="11"/>
  <c r="BG35" i="11"/>
  <c r="BF35" i="11"/>
  <c r="BQ35" i="11"/>
  <c r="BR35" i="11"/>
  <c r="BE35" i="11"/>
  <c r="BV35" i="11"/>
  <c r="BN35" i="11"/>
  <c r="BU35" i="11"/>
  <c r="BJ35" i="11"/>
  <c r="BB35" i="11"/>
  <c r="BI35" i="11"/>
  <c r="BS31" i="11"/>
  <c r="BV31" i="11"/>
  <c r="BN31" i="11"/>
  <c r="BG31" i="11"/>
  <c r="BJ31" i="11"/>
  <c r="BB31" i="11"/>
  <c r="BW31" i="11"/>
  <c r="BO31" i="11"/>
  <c r="BF31" i="11"/>
  <c r="BK31" i="11"/>
  <c r="BC31" i="11"/>
  <c r="BR31" i="11"/>
  <c r="BU31" i="11"/>
  <c r="BX31" i="11"/>
  <c r="BP31" i="11"/>
  <c r="BI31" i="11"/>
  <c r="BL31" i="11"/>
  <c r="BD31" i="11"/>
  <c r="BQ31" i="11"/>
  <c r="BT31" i="11"/>
  <c r="BE31" i="11"/>
  <c r="BH31" i="11"/>
  <c r="BW27" i="11"/>
  <c r="BO27" i="11"/>
  <c r="BR27" i="11"/>
  <c r="BK27" i="11"/>
  <c r="BC27" i="11"/>
  <c r="BF27" i="11"/>
  <c r="BS27" i="11"/>
  <c r="BV27" i="11"/>
  <c r="BN27" i="11"/>
  <c r="BG27" i="11"/>
  <c r="BJ27" i="11"/>
  <c r="BB27" i="11"/>
  <c r="BU27" i="11"/>
  <c r="BT27" i="11"/>
  <c r="BI27" i="11"/>
  <c r="BH27" i="11"/>
  <c r="BQ27" i="11"/>
  <c r="BX27" i="11"/>
  <c r="BP27" i="11"/>
  <c r="BE27" i="11"/>
  <c r="BL27" i="11"/>
  <c r="BD27" i="11"/>
  <c r="BW23" i="11"/>
  <c r="BO23" i="11"/>
  <c r="BR23" i="11"/>
  <c r="BK23" i="11"/>
  <c r="BC23" i="11"/>
  <c r="BF23" i="11"/>
  <c r="BS23" i="11"/>
  <c r="BV23" i="11"/>
  <c r="BN23" i="11"/>
  <c r="BG23" i="11"/>
  <c r="BJ23" i="11"/>
  <c r="BB23" i="11"/>
  <c r="BU23" i="11"/>
  <c r="BT23" i="11"/>
  <c r="BI23" i="11"/>
  <c r="BH23" i="11"/>
  <c r="BQ23" i="11"/>
  <c r="BX23" i="11"/>
  <c r="BP23" i="11"/>
  <c r="BE23" i="11"/>
  <c r="BL23" i="11"/>
  <c r="BD23" i="11"/>
  <c r="BW19" i="11"/>
  <c r="BO19" i="11"/>
  <c r="BF19" i="11"/>
  <c r="BK19" i="11"/>
  <c r="BC19" i="11"/>
  <c r="BR19" i="11"/>
  <c r="BS19" i="11"/>
  <c r="BJ19" i="11"/>
  <c r="BN19" i="11"/>
  <c r="BG19" i="11"/>
  <c r="BV19" i="11"/>
  <c r="BB19" i="11"/>
  <c r="BU19" i="11"/>
  <c r="BT19" i="11"/>
  <c r="BI19" i="11"/>
  <c r="BH19" i="11"/>
  <c r="BQ19" i="11"/>
  <c r="BX19" i="11"/>
  <c r="BP19" i="11"/>
  <c r="BE19" i="11"/>
  <c r="BL19" i="11"/>
  <c r="BD19" i="11"/>
  <c r="BW15" i="11"/>
  <c r="BO15" i="11"/>
  <c r="BK15" i="11"/>
  <c r="BC15" i="11"/>
  <c r="BF15" i="11"/>
  <c r="BS15" i="11"/>
  <c r="BV15" i="11"/>
  <c r="BN15" i="11"/>
  <c r="BZ15" i="11" s="1"/>
  <c r="BG15" i="11"/>
  <c r="BJ15" i="11"/>
  <c r="BB15" i="11"/>
  <c r="BU15" i="11"/>
  <c r="BT15" i="11"/>
  <c r="BI15" i="11"/>
  <c r="BH15" i="11"/>
  <c r="BR15" i="11"/>
  <c r="BQ15" i="11"/>
  <c r="BX15" i="11"/>
  <c r="BP15" i="11"/>
  <c r="BE15" i="11"/>
  <c r="BL15" i="11"/>
  <c r="BD15" i="11"/>
  <c r="BW11" i="11"/>
  <c r="BO11" i="11"/>
  <c r="BK11" i="11"/>
  <c r="BC11" i="11"/>
  <c r="BS11" i="11"/>
  <c r="BV11" i="11"/>
  <c r="BG11" i="11"/>
  <c r="BJ11" i="11"/>
  <c r="BN11" i="11"/>
  <c r="BU11" i="11"/>
  <c r="BB11" i="11"/>
  <c r="BI11" i="11"/>
  <c r="BH11" i="11"/>
  <c r="BR11" i="11"/>
  <c r="BQ11" i="11"/>
  <c r="BF11" i="11"/>
  <c r="BE11" i="11"/>
  <c r="BL11" i="11"/>
  <c r="BD11" i="11"/>
  <c r="BT11" i="11"/>
  <c r="BP11" i="11"/>
  <c r="BX11" i="11"/>
  <c r="BW46" i="11"/>
  <c r="BT46" i="11"/>
  <c r="BO46" i="11"/>
  <c r="BK46" i="11"/>
  <c r="BH46" i="11"/>
  <c r="BC46" i="11"/>
  <c r="BX46" i="11"/>
  <c r="BP46" i="11"/>
  <c r="BL46" i="11"/>
  <c r="BD46" i="11"/>
  <c r="BR46" i="11"/>
  <c r="BQ46" i="11"/>
  <c r="BF46" i="11"/>
  <c r="BE46" i="11"/>
  <c r="BV46" i="11"/>
  <c r="BN46" i="11"/>
  <c r="BG46" i="11"/>
  <c r="BU46" i="11"/>
  <c r="BJ46" i="11"/>
  <c r="BB46" i="11"/>
  <c r="BS46" i="11"/>
  <c r="BI46" i="11"/>
  <c r="BL42" i="11"/>
  <c r="BP42" i="11"/>
  <c r="BS42" i="11"/>
  <c r="BX42" i="11"/>
  <c r="BD42" i="11"/>
  <c r="BG42" i="11"/>
  <c r="BT42" i="11"/>
  <c r="BW42" i="11"/>
  <c r="BC42" i="11"/>
  <c r="BH42" i="11"/>
  <c r="BK42" i="11"/>
  <c r="BO42" i="11"/>
  <c r="BV42" i="11"/>
  <c r="BN42" i="11"/>
  <c r="BQ42" i="11"/>
  <c r="BJ42" i="11"/>
  <c r="BB42" i="11"/>
  <c r="BE42" i="11"/>
  <c r="BR42" i="11"/>
  <c r="BU42" i="11"/>
  <c r="BF42" i="11"/>
  <c r="BI42" i="11"/>
  <c r="BT38" i="11"/>
  <c r="BW38" i="11"/>
  <c r="BC38" i="11"/>
  <c r="BH38" i="11"/>
  <c r="BK38" i="11"/>
  <c r="BO38" i="11"/>
  <c r="BX38" i="11"/>
  <c r="BP38" i="11"/>
  <c r="BG38" i="11"/>
  <c r="BL38" i="11"/>
  <c r="BD38" i="11"/>
  <c r="BS38" i="11"/>
  <c r="BR38" i="11"/>
  <c r="BQ38" i="11"/>
  <c r="BF38" i="11"/>
  <c r="BE38" i="11"/>
  <c r="BV38" i="11"/>
  <c r="BN38" i="11"/>
  <c r="BU38" i="11"/>
  <c r="BJ38" i="11"/>
  <c r="BB38" i="11"/>
  <c r="BI38" i="11"/>
  <c r="BX34" i="11"/>
  <c r="BP34" i="11"/>
  <c r="BG34" i="11"/>
  <c r="BL34" i="11"/>
  <c r="BD34" i="11"/>
  <c r="BS34" i="11"/>
  <c r="BT34" i="11"/>
  <c r="BW34" i="11"/>
  <c r="BC34" i="11"/>
  <c r="BH34" i="11"/>
  <c r="BK34" i="11"/>
  <c r="BO34" i="11"/>
  <c r="BV34" i="11"/>
  <c r="BN34" i="11"/>
  <c r="BQ34" i="11"/>
  <c r="BJ34" i="11"/>
  <c r="BB34" i="11"/>
  <c r="BE34" i="11"/>
  <c r="BR34" i="11"/>
  <c r="BU34" i="11"/>
  <c r="BF34" i="11"/>
  <c r="BI34" i="11"/>
  <c r="BW30" i="11"/>
  <c r="BO30" i="11"/>
  <c r="BR30" i="11"/>
  <c r="BK30" i="11"/>
  <c r="BC30" i="11"/>
  <c r="BF30" i="11"/>
  <c r="BG30" i="11"/>
  <c r="BV30" i="11"/>
  <c r="BN30" i="11"/>
  <c r="BS30" i="11"/>
  <c r="BJ30" i="11"/>
  <c r="BB30" i="11"/>
  <c r="BU30" i="11"/>
  <c r="BH30" i="11"/>
  <c r="BI30" i="11"/>
  <c r="BT30" i="11"/>
  <c r="BQ30" i="11"/>
  <c r="BX30" i="11"/>
  <c r="BP30" i="11"/>
  <c r="BE30" i="11"/>
  <c r="BL30" i="11"/>
  <c r="BD30" i="11"/>
  <c r="BS26" i="11"/>
  <c r="BV26" i="11"/>
  <c r="BN26" i="11"/>
  <c r="BG26" i="11"/>
  <c r="BJ26" i="11"/>
  <c r="BB26" i="11"/>
  <c r="BW26" i="11"/>
  <c r="BO26" i="11"/>
  <c r="BR26" i="11"/>
  <c r="BK26" i="11"/>
  <c r="BC26" i="11"/>
  <c r="BF26" i="11"/>
  <c r="BU26" i="11"/>
  <c r="BL26" i="11"/>
  <c r="BP26" i="11"/>
  <c r="BI26" i="11"/>
  <c r="BX26" i="11"/>
  <c r="BD26" i="11"/>
  <c r="BE26" i="11"/>
  <c r="BT26" i="11"/>
  <c r="BQ26" i="11"/>
  <c r="BH26" i="11"/>
  <c r="BS22" i="11"/>
  <c r="BV22" i="11"/>
  <c r="BN22" i="11"/>
  <c r="BG22" i="11"/>
  <c r="BJ22" i="11"/>
  <c r="BB22" i="11"/>
  <c r="BW22" i="11"/>
  <c r="BO22" i="11"/>
  <c r="BR22" i="11"/>
  <c r="BK22" i="11"/>
  <c r="BC22" i="11"/>
  <c r="BF22" i="11"/>
  <c r="BU22" i="11"/>
  <c r="BX22" i="11"/>
  <c r="BP22" i="11"/>
  <c r="BI22" i="11"/>
  <c r="BL22" i="11"/>
  <c r="BD22" i="11"/>
  <c r="BQ22" i="11"/>
  <c r="BT22" i="11"/>
  <c r="BE22" i="11"/>
  <c r="BH22" i="11"/>
  <c r="BS14" i="11"/>
  <c r="BG14" i="11"/>
  <c r="BJ14" i="11"/>
  <c r="BB14" i="11"/>
  <c r="BW14" i="11"/>
  <c r="BO14" i="11"/>
  <c r="BR14" i="11"/>
  <c r="BK14" i="11"/>
  <c r="BC14" i="11"/>
  <c r="BF14" i="11"/>
  <c r="BN14" i="11"/>
  <c r="BU14" i="11"/>
  <c r="BX14" i="11"/>
  <c r="BI14" i="11"/>
  <c r="BL14" i="11"/>
  <c r="BD14" i="11"/>
  <c r="BQ14" i="11"/>
  <c r="BT14" i="11"/>
  <c r="BV14" i="11"/>
  <c r="BE14" i="11"/>
  <c r="BH14" i="11"/>
  <c r="BP14" i="11"/>
  <c r="BS10" i="11"/>
  <c r="BG10" i="11"/>
  <c r="BW10" i="11"/>
  <c r="BO10" i="11"/>
  <c r="BK10" i="11"/>
  <c r="BC10" i="11"/>
  <c r="BR10" i="11"/>
  <c r="BU10" i="11"/>
  <c r="BF10" i="11"/>
  <c r="BI10" i="11"/>
  <c r="BX10" i="11"/>
  <c r="BD10" i="11"/>
  <c r="BV10" i="11"/>
  <c r="BN10" i="11"/>
  <c r="BE10" i="11"/>
  <c r="BJ10" i="11"/>
  <c r="BB10" i="11"/>
  <c r="BQ10" i="11"/>
  <c r="BH10" i="11"/>
  <c r="BP10" i="11"/>
  <c r="BL10" i="11"/>
  <c r="BT10" i="11"/>
  <c r="H143" i="17"/>
  <c r="H110" i="17"/>
  <c r="E66" i="17"/>
  <c r="E68" i="17" s="1"/>
  <c r="W129" i="17"/>
  <c r="W145" i="17"/>
  <c r="T132" i="17"/>
  <c r="T148" i="17"/>
  <c r="X80" i="17"/>
  <c r="G144" i="17"/>
  <c r="T133" i="17"/>
  <c r="T149" i="17"/>
  <c r="Y77" i="17"/>
  <c r="H141" i="17"/>
  <c r="W127" i="17"/>
  <c r="W143" i="17"/>
  <c r="V126" i="17"/>
  <c r="V142" i="17"/>
  <c r="W125" i="17"/>
  <c r="W141" i="17"/>
  <c r="W124" i="17"/>
  <c r="W140" i="17"/>
  <c r="T131" i="17"/>
  <c r="T147" i="17"/>
  <c r="X75" i="17"/>
  <c r="X91" i="17" s="1"/>
  <c r="H75" i="17" s="1"/>
  <c r="H106" i="17" s="1"/>
  <c r="G139" i="17"/>
  <c r="T130" i="17"/>
  <c r="H127" i="17"/>
  <c r="E65" i="17"/>
  <c r="U86" i="17" s="1"/>
  <c r="H125" i="17"/>
  <c r="G128" i="17"/>
  <c r="E67" i="17"/>
  <c r="G123" i="17"/>
  <c r="Y79" i="17"/>
  <c r="X92" i="17"/>
  <c r="H76" i="17" s="1"/>
  <c r="H107" i="17" s="1"/>
  <c r="X97" i="17"/>
  <c r="H81" i="17" s="1"/>
  <c r="H112" i="17" s="1"/>
  <c r="W94" i="17"/>
  <c r="G78" i="17" s="1"/>
  <c r="G109" i="17" s="1"/>
  <c r="S161" i="17" s="1"/>
  <c r="CG29" i="11"/>
  <c r="M33" i="14" s="1" a="1"/>
  <c r="M33" i="14" s="1"/>
  <c r="CH29" i="11"/>
  <c r="N33" i="14" s="1" a="1"/>
  <c r="N33" i="14" s="1"/>
  <c r="CJ29" i="11"/>
  <c r="P33" i="14" s="1" a="1"/>
  <c r="P33" i="14" s="1"/>
  <c r="CE29" i="11"/>
  <c r="K33" i="14" s="1" a="1"/>
  <c r="K33" i="14" s="1"/>
  <c r="BY29" i="11"/>
  <c r="CK29" i="11" s="1"/>
  <c r="Q33" i="14" s="1" a="1"/>
  <c r="Q33" i="14" s="1"/>
  <c r="CF29" i="11"/>
  <c r="L33" i="14" s="1" a="1"/>
  <c r="L33" i="14" s="1"/>
  <c r="CI29" i="11"/>
  <c r="O33" i="14" s="1" a="1"/>
  <c r="O33" i="14" s="1"/>
  <c r="BY25" i="11"/>
  <c r="CK25" i="11" s="1"/>
  <c r="Q29" i="14" s="1" a="1"/>
  <c r="Q29" i="14" s="1"/>
  <c r="CJ25" i="11"/>
  <c r="P29" i="14" s="1" a="1"/>
  <c r="P29" i="14" s="1"/>
  <c r="CI25" i="11"/>
  <c r="O29" i="14" s="1" a="1"/>
  <c r="O29" i="14" s="1"/>
  <c r="CH25" i="11"/>
  <c r="N29" i="14" s="1" a="1"/>
  <c r="N29" i="14" s="1"/>
  <c r="CG25" i="11"/>
  <c r="M29" i="14" s="1" a="1"/>
  <c r="M29" i="14" s="1"/>
  <c r="CF25" i="11"/>
  <c r="L29" i="14" s="1" a="1"/>
  <c r="L29" i="14" s="1"/>
  <c r="CE25" i="11"/>
  <c r="K29" i="14" s="1" a="1"/>
  <c r="K29" i="14" s="1"/>
  <c r="CJ21" i="11"/>
  <c r="P25" i="14" s="1" a="1"/>
  <c r="P25" i="14" s="1"/>
  <c r="CF21" i="11"/>
  <c r="L25" i="14" s="1" a="1"/>
  <c r="L25" i="14" s="1"/>
  <c r="CA21" i="11"/>
  <c r="G25" i="14" s="1" a="1"/>
  <c r="G25" i="14" s="1"/>
  <c r="BZ21" i="11"/>
  <c r="F25" i="14" s="1" a="1"/>
  <c r="F25" i="14" s="1"/>
  <c r="BY21" i="11"/>
  <c r="CK21" i="11" s="1"/>
  <c r="Q25" i="14" s="1" a="1"/>
  <c r="Q25" i="14" s="1"/>
  <c r="CG21" i="11"/>
  <c r="M25" i="14" s="1" a="1"/>
  <c r="M25" i="14" s="1"/>
  <c r="CI21" i="11"/>
  <c r="O25" i="14" s="1" a="1"/>
  <c r="O25" i="14" s="1"/>
  <c r="CB21" i="11"/>
  <c r="H25" i="14" s="1" a="1"/>
  <c r="H25" i="14" s="1"/>
  <c r="CH21" i="11"/>
  <c r="N25" i="14" s="1" a="1"/>
  <c r="N25" i="14" s="1"/>
  <c r="CC21" i="11"/>
  <c r="I25" i="14" s="1" a="1"/>
  <c r="I25" i="14" s="1"/>
  <c r="CE21" i="11"/>
  <c r="K25" i="14" s="1" a="1"/>
  <c r="K25" i="14" s="1"/>
  <c r="CD21" i="11"/>
  <c r="J25" i="14" s="1" a="1"/>
  <c r="J25" i="14" s="1"/>
  <c r="BY24" i="11"/>
  <c r="CK24" i="11" s="1"/>
  <c r="Q28" i="14" s="1" a="1"/>
  <c r="Q28" i="14" s="1"/>
  <c r="CI24" i="11"/>
  <c r="O28" i="14" s="1" a="1"/>
  <c r="O28" i="14" s="1"/>
  <c r="CH24" i="11"/>
  <c r="N28" i="14" s="1" a="1"/>
  <c r="N28" i="14" s="1"/>
  <c r="CA24" i="11"/>
  <c r="G28" i="14" s="1" a="1"/>
  <c r="G28" i="14" s="1"/>
  <c r="BZ24" i="11"/>
  <c r="F28" i="14" s="1" a="1"/>
  <c r="F28" i="14" s="1"/>
  <c r="CG24" i="11"/>
  <c r="M28" i="14" s="1" a="1"/>
  <c r="M28" i="14" s="1"/>
  <c r="CE24" i="11"/>
  <c r="K28" i="14" s="1" a="1"/>
  <c r="K28" i="14" s="1"/>
  <c r="CD24" i="11"/>
  <c r="J28" i="14" s="1" a="1"/>
  <c r="J28" i="14" s="1"/>
  <c r="CF24" i="11"/>
  <c r="L28" i="14" s="1" a="1"/>
  <c r="L28" i="14" s="1"/>
  <c r="CB24" i="11"/>
  <c r="H28" i="14" s="1" a="1"/>
  <c r="H28" i="14" s="1"/>
  <c r="CC24" i="11"/>
  <c r="I28" i="14" s="1" a="1"/>
  <c r="I28" i="14" s="1"/>
  <c r="CJ24" i="11"/>
  <c r="P28" i="14" s="1" a="1"/>
  <c r="P28" i="14" s="1"/>
  <c r="CG39" i="11"/>
  <c r="M43" i="14" s="1" a="1"/>
  <c r="M43" i="14" s="1"/>
  <c r="CI39" i="11"/>
  <c r="O43" i="14" s="1" a="1"/>
  <c r="O43" i="14" s="1"/>
  <c r="CH39" i="11"/>
  <c r="N43" i="14" s="1" a="1"/>
  <c r="N43" i="14" s="1"/>
  <c r="CJ39" i="11"/>
  <c r="P43" i="14" s="1" a="1"/>
  <c r="P43" i="14" s="1"/>
  <c r="BY39" i="11"/>
  <c r="CK39" i="11" s="1"/>
  <c r="Q43" i="14" s="1" a="1"/>
  <c r="Q43" i="14" s="1"/>
  <c r="CF39" i="11"/>
  <c r="L43" i="14" s="1" a="1"/>
  <c r="L43" i="14" s="1"/>
  <c r="CE39" i="11"/>
  <c r="K43" i="14" s="1" a="1"/>
  <c r="K43" i="14" s="1"/>
  <c r="CJ31" i="11"/>
  <c r="P35" i="14" s="1" a="1"/>
  <c r="P35" i="14" s="1"/>
  <c r="BY31" i="11"/>
  <c r="CK31" i="11" s="1"/>
  <c r="Q35" i="14" s="1" a="1"/>
  <c r="Q35" i="14" s="1"/>
  <c r="CF31" i="11"/>
  <c r="L35" i="14" s="1" a="1"/>
  <c r="L35" i="14" s="1"/>
  <c r="BZ31" i="11"/>
  <c r="F35" i="14" s="1" a="1"/>
  <c r="F35" i="14" s="1"/>
  <c r="CG31" i="11"/>
  <c r="M35" i="14" s="1" a="1"/>
  <c r="M35" i="14" s="1"/>
  <c r="CB31" i="11"/>
  <c r="H35" i="14" s="1" a="1"/>
  <c r="H35" i="14" s="1"/>
  <c r="CI31" i="11"/>
  <c r="O35" i="14" s="1" a="1"/>
  <c r="O35" i="14" s="1"/>
  <c r="CA31" i="11"/>
  <c r="G35" i="14" s="1" a="1"/>
  <c r="G35" i="14" s="1"/>
  <c r="CC31" i="11"/>
  <c r="I35" i="14" s="1" a="1"/>
  <c r="I35" i="14" s="1"/>
  <c r="CD31" i="11"/>
  <c r="J35" i="14" s="1" a="1"/>
  <c r="J35" i="14" s="1"/>
  <c r="CH31" i="11"/>
  <c r="N35" i="14" s="1" a="1"/>
  <c r="N35" i="14" s="1"/>
  <c r="CE31" i="11"/>
  <c r="K35" i="14" s="1" a="1"/>
  <c r="K35" i="14" s="1"/>
  <c r="BY27" i="11"/>
  <c r="CK27" i="11" s="1"/>
  <c r="Q31" i="14" s="1" a="1"/>
  <c r="Q31" i="14" s="1"/>
  <c r="CD27" i="11"/>
  <c r="J31" i="14" s="1" a="1"/>
  <c r="J31" i="14" s="1"/>
  <c r="CJ27" i="11"/>
  <c r="P31" i="14" s="1" a="1"/>
  <c r="P31" i="14" s="1"/>
  <c r="CG27" i="11"/>
  <c r="M31" i="14" s="1" a="1"/>
  <c r="M31" i="14" s="1"/>
  <c r="CH27" i="11"/>
  <c r="N31" i="14" s="1" a="1"/>
  <c r="N31" i="14" s="1"/>
  <c r="CF27" i="11"/>
  <c r="L31" i="14" s="1" a="1"/>
  <c r="L31" i="14" s="1"/>
  <c r="CC27" i="11"/>
  <c r="I31" i="14" s="1" a="1"/>
  <c r="I31" i="14" s="1"/>
  <c r="CB27" i="11"/>
  <c r="H31" i="14" s="1" a="1"/>
  <c r="H31" i="14" s="1"/>
  <c r="CI27" i="11"/>
  <c r="O31" i="14" s="1" a="1"/>
  <c r="O31" i="14" s="1"/>
  <c r="BZ27" i="11"/>
  <c r="F31" i="14" s="1" a="1"/>
  <c r="F31" i="14" s="1"/>
  <c r="CE27" i="11"/>
  <c r="K31" i="14" s="1" a="1"/>
  <c r="K31" i="14" s="1"/>
  <c r="CA27" i="11"/>
  <c r="G31" i="14" s="1" a="1"/>
  <c r="G31" i="14" s="1"/>
  <c r="CG23" i="11"/>
  <c r="M27" i="14" s="1" a="1"/>
  <c r="M27" i="14" s="1"/>
  <c r="CA23" i="11"/>
  <c r="G27" i="14" s="1" a="1"/>
  <c r="G27" i="14" s="1"/>
  <c r="CC23" i="11"/>
  <c r="I27" i="14" s="1" a="1"/>
  <c r="I27" i="14" s="1"/>
  <c r="CF23" i="11"/>
  <c r="L27" i="14" s="1" a="1"/>
  <c r="L27" i="14" s="1"/>
  <c r="CB23" i="11"/>
  <c r="H27" i="14" s="1" a="1"/>
  <c r="H27" i="14" s="1"/>
  <c r="BZ23" i="11"/>
  <c r="F27" i="14" s="1" a="1"/>
  <c r="F27" i="14" s="1"/>
  <c r="CI23" i="11"/>
  <c r="O27" i="14" s="1" a="1"/>
  <c r="O27" i="14" s="1"/>
  <c r="BY23" i="11"/>
  <c r="CK23" i="11" s="1"/>
  <c r="Q27" i="14" s="1" a="1"/>
  <c r="Q27" i="14" s="1"/>
  <c r="CH23" i="11"/>
  <c r="N27" i="14" s="1" a="1"/>
  <c r="N27" i="14" s="1"/>
  <c r="CE23" i="11"/>
  <c r="K27" i="14" s="1" a="1"/>
  <c r="K27" i="14" s="1"/>
  <c r="CJ23" i="11"/>
  <c r="P27" i="14" s="1" a="1"/>
  <c r="P27" i="14" s="1"/>
  <c r="CD23" i="11"/>
  <c r="J27" i="14" s="1" a="1"/>
  <c r="J27" i="14" s="1"/>
  <c r="CC19" i="11"/>
  <c r="I23" i="14" s="1" a="1"/>
  <c r="I23" i="14" s="1"/>
  <c r="CJ19" i="11"/>
  <c r="P23" i="14" s="1" a="1"/>
  <c r="P23" i="14" s="1"/>
  <c r="CH19" i="11"/>
  <c r="N23" i="14" s="1" a="1"/>
  <c r="N23" i="14" s="1"/>
  <c r="CF19" i="11"/>
  <c r="L23" i="14" s="1" a="1"/>
  <c r="L23" i="14" s="1"/>
  <c r="CD19" i="11"/>
  <c r="J23" i="14" s="1" a="1"/>
  <c r="J23" i="14" s="1"/>
  <c r="BY19" i="11"/>
  <c r="CK19" i="11" s="1"/>
  <c r="Q23" i="14" s="1" a="1"/>
  <c r="Q23" i="14" s="1"/>
  <c r="CB19" i="11"/>
  <c r="H23" i="14" s="1" a="1"/>
  <c r="H23" i="14" s="1"/>
  <c r="CI19" i="11"/>
  <c r="O23" i="14" s="1" a="1"/>
  <c r="O23" i="14" s="1"/>
  <c r="CA19" i="11"/>
  <c r="G23" i="14" s="1" a="1"/>
  <c r="G23" i="14" s="1"/>
  <c r="CG19" i="11"/>
  <c r="M23" i="14" s="1" a="1"/>
  <c r="M23" i="14" s="1"/>
  <c r="BZ19" i="11"/>
  <c r="F23" i="14" s="1" a="1"/>
  <c r="F23" i="14" s="1"/>
  <c r="CE19" i="11"/>
  <c r="K23" i="14" s="1" a="1"/>
  <c r="K23" i="14" s="1"/>
  <c r="CD38" i="11"/>
  <c r="J42" i="14" s="1" a="1"/>
  <c r="J42" i="14" s="1"/>
  <c r="BY38" i="11"/>
  <c r="CK38" i="11" s="1"/>
  <c r="Q42" i="14" s="1" a="1"/>
  <c r="Q42" i="14" s="1"/>
  <c r="CG38" i="11"/>
  <c r="M42" i="14" s="1" a="1"/>
  <c r="M42" i="14" s="1"/>
  <c r="CB38" i="11"/>
  <c r="H42" i="14" s="1" a="1"/>
  <c r="H42" i="14" s="1"/>
  <c r="CI38" i="11"/>
  <c r="O42" i="14" s="1" a="1"/>
  <c r="O42" i="14" s="1"/>
  <c r="CJ38" i="11"/>
  <c r="P42" i="14" s="1" a="1"/>
  <c r="P42" i="14" s="1"/>
  <c r="BZ38" i="11"/>
  <c r="F42" i="14" s="1" a="1"/>
  <c r="F42" i="14" s="1"/>
  <c r="CC38" i="11"/>
  <c r="I42" i="14" s="1" a="1"/>
  <c r="I42" i="14" s="1"/>
  <c r="CE38" i="11"/>
  <c r="K42" i="14" s="1" a="1"/>
  <c r="K42" i="14" s="1"/>
  <c r="CF38" i="11"/>
  <c r="L42" i="14" s="1" a="1"/>
  <c r="L42" i="14" s="1"/>
  <c r="CH38" i="11"/>
  <c r="N42" i="14" s="1" a="1"/>
  <c r="N42" i="14" s="1"/>
  <c r="CA38" i="11"/>
  <c r="G42" i="14" s="1" a="1"/>
  <c r="G42" i="14" s="1"/>
  <c r="CC30" i="11"/>
  <c r="I34" i="14" s="1" a="1"/>
  <c r="I34" i="14" s="1"/>
  <c r="CF30" i="11"/>
  <c r="L34" i="14" s="1" a="1"/>
  <c r="L34" i="14" s="1"/>
  <c r="CE30" i="11"/>
  <c r="K34" i="14" s="1" a="1"/>
  <c r="K34" i="14" s="1"/>
  <c r="CA30" i="11"/>
  <c r="G34" i="14" s="1" a="1"/>
  <c r="G34" i="14" s="1"/>
  <c r="BY30" i="11"/>
  <c r="CK30" i="11" s="1"/>
  <c r="Q34" i="14" s="1" a="1"/>
  <c r="Q34" i="14" s="1"/>
  <c r="CB30" i="11"/>
  <c r="H34" i="14" s="1" a="1"/>
  <c r="H34" i="14" s="1"/>
  <c r="BZ30" i="11"/>
  <c r="F34" i="14" s="1" a="1"/>
  <c r="F34" i="14" s="1"/>
  <c r="CD30" i="11"/>
  <c r="J34" i="14" s="1" a="1"/>
  <c r="J34" i="14" s="1"/>
  <c r="CH30" i="11"/>
  <c r="N34" i="14" s="1" a="1"/>
  <c r="N34" i="14" s="1"/>
  <c r="CG30" i="11"/>
  <c r="M34" i="14" s="1" a="1"/>
  <c r="M34" i="14" s="1"/>
  <c r="CJ30" i="11"/>
  <c r="P34" i="14" s="1" a="1"/>
  <c r="P34" i="14" s="1"/>
  <c r="CI30" i="11"/>
  <c r="O34" i="14" s="1" a="1"/>
  <c r="O34" i="14" s="1"/>
  <c r="CF26" i="11"/>
  <c r="L30" i="14" s="1" a="1"/>
  <c r="L30" i="14" s="1"/>
  <c r="CE26" i="11"/>
  <c r="K30" i="14" s="1" a="1"/>
  <c r="K30" i="14" s="1"/>
  <c r="BY26" i="11"/>
  <c r="CK26" i="11" s="1"/>
  <c r="Q30" i="14" s="1" a="1"/>
  <c r="Q30" i="14" s="1"/>
  <c r="CB26" i="11"/>
  <c r="H30" i="14" s="1" a="1"/>
  <c r="H30" i="14" s="1"/>
  <c r="CA26" i="11"/>
  <c r="G30" i="14" s="1" a="1"/>
  <c r="G30" i="14" s="1"/>
  <c r="CH26" i="11"/>
  <c r="N30" i="14" s="1" a="1"/>
  <c r="N30" i="14" s="1"/>
  <c r="CG26" i="11"/>
  <c r="M30" i="14" s="1" a="1"/>
  <c r="M30" i="14" s="1"/>
  <c r="CD26" i="11"/>
  <c r="J30" i="14" s="1" a="1"/>
  <c r="J30" i="14" s="1"/>
  <c r="CC26" i="11"/>
  <c r="I30" i="14" s="1" a="1"/>
  <c r="I30" i="14" s="1"/>
  <c r="CJ26" i="11"/>
  <c r="P30" i="14" s="1" a="1"/>
  <c r="P30" i="14" s="1"/>
  <c r="CI26" i="11"/>
  <c r="O30" i="14" s="1" a="1"/>
  <c r="O30" i="14" s="1"/>
  <c r="BZ26" i="11"/>
  <c r="F30" i="14" s="1" a="1"/>
  <c r="F30" i="14" s="1"/>
  <c r="BY22" i="11"/>
  <c r="CK22" i="11" s="1"/>
  <c r="Q26" i="14" s="1" a="1"/>
  <c r="Q26" i="14" s="1"/>
  <c r="CF22" i="11"/>
  <c r="L26" i="14" s="1" a="1"/>
  <c r="L26" i="14" s="1"/>
  <c r="CG22" i="11"/>
  <c r="M26" i="14" s="1" a="1"/>
  <c r="M26" i="14" s="1"/>
  <c r="CB22" i="11"/>
  <c r="H26" i="14" s="1" a="1"/>
  <c r="H26" i="14" s="1"/>
  <c r="CA22" i="11"/>
  <c r="G26" i="14" s="1" a="1"/>
  <c r="G26" i="14" s="1"/>
  <c r="CC22" i="11"/>
  <c r="I26" i="14" s="1" a="1"/>
  <c r="I26" i="14" s="1"/>
  <c r="CD22" i="11"/>
  <c r="J26" i="14" s="1" a="1"/>
  <c r="J26" i="14" s="1"/>
  <c r="CE22" i="11"/>
  <c r="K26" i="14" s="1" a="1"/>
  <c r="K26" i="14" s="1"/>
  <c r="BZ22" i="11"/>
  <c r="F26" i="14" s="1" a="1"/>
  <c r="F26" i="14" s="1"/>
  <c r="CJ22" i="11"/>
  <c r="P26" i="14" s="1" a="1"/>
  <c r="P26" i="14" s="1"/>
  <c r="CI22" i="11"/>
  <c r="O26" i="14" s="1" a="1"/>
  <c r="O26" i="14" s="1"/>
  <c r="CH22" i="11"/>
  <c r="N26" i="14" s="1" a="1"/>
  <c r="N26" i="14" s="1"/>
  <c r="BM29" i="11"/>
  <c r="BM25" i="11"/>
  <c r="BM21" i="11"/>
  <c r="BM24" i="11"/>
  <c r="BM39" i="11"/>
  <c r="BM31" i="11"/>
  <c r="BM27" i="11"/>
  <c r="BM23" i="11"/>
  <c r="BM19" i="11"/>
  <c r="BM38" i="11"/>
  <c r="BM30" i="11"/>
  <c r="BM26" i="11"/>
  <c r="BM22" i="11"/>
  <c r="E70" i="17" l="1"/>
  <c r="E69" i="17"/>
  <c r="E82" i="17" s="1"/>
  <c r="Y75" i="17"/>
  <c r="H139" i="17"/>
  <c r="W123" i="17"/>
  <c r="W139" i="17"/>
  <c r="X78" i="17"/>
  <c r="G142" i="17"/>
  <c r="X127" i="17"/>
  <c r="X143" i="17"/>
  <c r="Y81" i="17"/>
  <c r="Y97" i="17" s="1"/>
  <c r="I81" i="17" s="1"/>
  <c r="I112" i="17" s="1"/>
  <c r="H145" i="17"/>
  <c r="W128" i="17"/>
  <c r="W144" i="17"/>
  <c r="Y76" i="17"/>
  <c r="Y92" i="17" s="1"/>
  <c r="I76" i="17" s="1"/>
  <c r="I107" i="17" s="1"/>
  <c r="H140" i="17"/>
  <c r="X125" i="17"/>
  <c r="X141" i="17"/>
  <c r="H123" i="17"/>
  <c r="G126" i="17"/>
  <c r="H129" i="17"/>
  <c r="H124" i="17"/>
  <c r="Y95" i="17"/>
  <c r="I79" i="17" s="1"/>
  <c r="Y93" i="17"/>
  <c r="I77" i="17" s="1"/>
  <c r="I108" i="17" s="1"/>
  <c r="X96" i="17"/>
  <c r="H80" i="17" s="1"/>
  <c r="H111" i="17" s="1"/>
  <c r="I143" i="17" l="1"/>
  <c r="I110" i="17"/>
  <c r="V61" i="17"/>
  <c r="V67" i="17" s="1"/>
  <c r="F61" i="17" s="1"/>
  <c r="E113" i="17"/>
  <c r="J165" i="17" s="1"/>
  <c r="E84" i="17"/>
  <c r="E148" i="17" s="1"/>
  <c r="E85" i="17"/>
  <c r="E116" i="17" s="1"/>
  <c r="J168" i="17" s="1"/>
  <c r="E83" i="17"/>
  <c r="Z81" i="17"/>
  <c r="Z97" i="17" s="1"/>
  <c r="J81" i="17" s="1"/>
  <c r="J112" i="17" s="1"/>
  <c r="I145" i="17"/>
  <c r="Z76" i="17"/>
  <c r="I140" i="17"/>
  <c r="Y80" i="17"/>
  <c r="Y96" i="17" s="1"/>
  <c r="I80" i="17" s="1"/>
  <c r="I111" i="17" s="1"/>
  <c r="H144" i="17"/>
  <c r="X129" i="17"/>
  <c r="X145" i="17"/>
  <c r="Z77" i="17"/>
  <c r="Z93" i="17" s="1"/>
  <c r="J77" i="17" s="1"/>
  <c r="J108" i="17" s="1"/>
  <c r="I141" i="17"/>
  <c r="E130" i="17"/>
  <c r="E146" i="17"/>
  <c r="E133" i="17"/>
  <c r="E132" i="17"/>
  <c r="X124" i="17"/>
  <c r="X140" i="17"/>
  <c r="W126" i="17"/>
  <c r="W142" i="17"/>
  <c r="X123" i="17"/>
  <c r="X139" i="17"/>
  <c r="V85" i="17"/>
  <c r="V82" i="17"/>
  <c r="H128" i="17"/>
  <c r="Z79" i="17"/>
  <c r="Z95" i="17" s="1"/>
  <c r="J79" i="17" s="1"/>
  <c r="J110" i="17" s="1"/>
  <c r="I127" i="17"/>
  <c r="I124" i="17"/>
  <c r="I125" i="17"/>
  <c r="I129" i="17"/>
  <c r="Y91" i="17"/>
  <c r="I75" i="17" s="1"/>
  <c r="I106" i="17" s="1"/>
  <c r="X94" i="17"/>
  <c r="H78" i="17" s="1"/>
  <c r="H109" i="17" s="1"/>
  <c r="V64" i="17" l="1"/>
  <c r="V70" i="17" s="1"/>
  <c r="F64" i="17" s="1"/>
  <c r="E149" i="17"/>
  <c r="E86" i="17"/>
  <c r="E117" i="17" s="1"/>
  <c r="J169" i="17" s="1"/>
  <c r="E114" i="17"/>
  <c r="J166" i="17" s="1"/>
  <c r="V63" i="17"/>
  <c r="V69" i="17" s="1"/>
  <c r="F63" i="17" s="1"/>
  <c r="E115" i="17"/>
  <c r="J167" i="17" s="1"/>
  <c r="V84" i="17"/>
  <c r="E147" i="17"/>
  <c r="V62" i="17"/>
  <c r="V68" i="17" s="1"/>
  <c r="F62" i="17" s="1"/>
  <c r="F65" i="17" s="1"/>
  <c r="V83" i="17"/>
  <c r="E131" i="17"/>
  <c r="AA77" i="17"/>
  <c r="J141" i="17"/>
  <c r="AA79" i="17"/>
  <c r="J143" i="17"/>
  <c r="AA81" i="17"/>
  <c r="AA97" i="17" s="1"/>
  <c r="K81" i="17" s="1"/>
  <c r="K112" i="17" s="1"/>
  <c r="J145" i="17"/>
  <c r="Y129" i="17"/>
  <c r="Y145" i="17"/>
  <c r="U130" i="17"/>
  <c r="U146" i="17"/>
  <c r="Y78" i="17"/>
  <c r="Y94" i="17" s="1"/>
  <c r="I78" i="17" s="1"/>
  <c r="I109" i="17" s="1"/>
  <c r="H142" i="17"/>
  <c r="Y125" i="17"/>
  <c r="Y141" i="17"/>
  <c r="X128" i="17"/>
  <c r="X144" i="17"/>
  <c r="Z80" i="17"/>
  <c r="I144" i="17"/>
  <c r="Y124" i="17"/>
  <c r="Y140" i="17"/>
  <c r="U133" i="17"/>
  <c r="U149" i="17"/>
  <c r="Z75" i="17"/>
  <c r="I139" i="17"/>
  <c r="Y127" i="17"/>
  <c r="Y143" i="17"/>
  <c r="U132" i="17"/>
  <c r="U148" i="17"/>
  <c r="I128" i="17"/>
  <c r="J125" i="17"/>
  <c r="I123" i="17"/>
  <c r="H126" i="17"/>
  <c r="J127" i="17"/>
  <c r="J129" i="17"/>
  <c r="AA95" i="17"/>
  <c r="K79" i="17" s="1"/>
  <c r="K110" i="17" s="1"/>
  <c r="Z92" i="17"/>
  <c r="J76" i="17" s="1"/>
  <c r="J107" i="17" s="1"/>
  <c r="AF32" i="11" a="1"/>
  <c r="AF32" i="11" s="1"/>
  <c r="AE32" i="11" a="1"/>
  <c r="AE32" i="11" s="1"/>
  <c r="AD32" i="11" a="1"/>
  <c r="AD32" i="11" s="1"/>
  <c r="AH32" i="11" a="1"/>
  <c r="AH32" i="11" s="1"/>
  <c r="AG32" i="11" a="1"/>
  <c r="AG32" i="11" s="1"/>
  <c r="BP32" i="11" l="1"/>
  <c r="BD32" i="11"/>
  <c r="BR32" i="11"/>
  <c r="BF32" i="11"/>
  <c r="BE32" i="11"/>
  <c r="BQ32" i="11"/>
  <c r="BN32" i="11"/>
  <c r="BB32" i="11"/>
  <c r="BO32" i="11"/>
  <c r="BC32" i="11"/>
  <c r="F66" i="17"/>
  <c r="U131" i="17"/>
  <c r="U147" i="17"/>
  <c r="AB81" i="17"/>
  <c r="AB97" i="17" s="1"/>
  <c r="L81" i="17" s="1"/>
  <c r="L112" i="17" s="1"/>
  <c r="K145" i="17"/>
  <c r="Z78" i="17"/>
  <c r="I142" i="17"/>
  <c r="AA76" i="17"/>
  <c r="J140" i="17"/>
  <c r="X126" i="17"/>
  <c r="X142" i="17"/>
  <c r="Y123" i="17"/>
  <c r="Y139" i="17"/>
  <c r="AB79" i="17"/>
  <c r="K143" i="17"/>
  <c r="Z129" i="17"/>
  <c r="Z145" i="17"/>
  <c r="Z125" i="17"/>
  <c r="Z141" i="17"/>
  <c r="Z127" i="17"/>
  <c r="Z143" i="17"/>
  <c r="Y128" i="17"/>
  <c r="Y144" i="17"/>
  <c r="I126" i="17"/>
  <c r="K129" i="17"/>
  <c r="K127" i="17"/>
  <c r="J124" i="17"/>
  <c r="V86" i="17"/>
  <c r="AA93" i="17"/>
  <c r="K77" i="17" s="1"/>
  <c r="K108" i="17" s="1"/>
  <c r="Z96" i="17"/>
  <c r="J80" i="17" s="1"/>
  <c r="Z91" i="17"/>
  <c r="J75" i="17" s="1"/>
  <c r="J106" i="17" s="1"/>
  <c r="J144" i="17" l="1"/>
  <c r="J111" i="17"/>
  <c r="AC81" i="17"/>
  <c r="AC97" i="17" s="1"/>
  <c r="M81" i="17" s="1"/>
  <c r="M112" i="17" s="1"/>
  <c r="L145" i="17"/>
  <c r="AA75" i="17"/>
  <c r="J139" i="17"/>
  <c r="Y126" i="17"/>
  <c r="Y142" i="17"/>
  <c r="Z124" i="17"/>
  <c r="Z140" i="17"/>
  <c r="AA127" i="17"/>
  <c r="AA143" i="17"/>
  <c r="AB77" i="17"/>
  <c r="K141" i="17"/>
  <c r="AA129" i="17"/>
  <c r="AA145" i="17"/>
  <c r="AA80" i="17"/>
  <c r="J128" i="17"/>
  <c r="J123" i="17"/>
  <c r="L129" i="17"/>
  <c r="K125" i="17"/>
  <c r="F70" i="17"/>
  <c r="F67" i="17"/>
  <c r="F68" i="17"/>
  <c r="F69" i="17"/>
  <c r="AA92" i="17"/>
  <c r="K76" i="17" s="1"/>
  <c r="K107" i="17" s="1"/>
  <c r="AB95" i="17"/>
  <c r="L79" i="17" s="1"/>
  <c r="L110" i="17" s="1"/>
  <c r="Z94" i="17"/>
  <c r="J78" i="17" s="1"/>
  <c r="CB29" i="11"/>
  <c r="H33" i="14" s="1" a="1"/>
  <c r="H33" i="14" s="1"/>
  <c r="CC29" i="11"/>
  <c r="I33" i="14" s="1" a="1"/>
  <c r="I33" i="14" s="1"/>
  <c r="CD29" i="11"/>
  <c r="J33" i="14" s="1" a="1"/>
  <c r="J33" i="14" s="1"/>
  <c r="CA29" i="11"/>
  <c r="G33" i="14" s="1" a="1"/>
  <c r="G33" i="14" s="1"/>
  <c r="J142" i="17" l="1"/>
  <c r="J109" i="17"/>
  <c r="AC79" i="17"/>
  <c r="AC95" i="17" s="1"/>
  <c r="M79" i="17" s="1"/>
  <c r="M110" i="17" s="1"/>
  <c r="L143" i="17"/>
  <c r="AB76" i="17"/>
  <c r="K140" i="17"/>
  <c r="AD81" i="17"/>
  <c r="M145" i="17"/>
  <c r="Z128" i="17"/>
  <c r="Z144" i="17"/>
  <c r="AA125" i="17"/>
  <c r="AA141" i="17"/>
  <c r="AB129" i="17"/>
  <c r="AB145" i="17"/>
  <c r="Z123" i="17"/>
  <c r="Z139" i="17"/>
  <c r="K124" i="17"/>
  <c r="AA78" i="17"/>
  <c r="J126" i="17"/>
  <c r="L127" i="17"/>
  <c r="M129" i="17"/>
  <c r="F83" i="17"/>
  <c r="F82" i="17"/>
  <c r="F85" i="17"/>
  <c r="F84" i="17"/>
  <c r="AA94" i="17"/>
  <c r="K78" i="17" s="1"/>
  <c r="K109" i="17" s="1"/>
  <c r="AB93" i="17"/>
  <c r="L77" i="17" s="1"/>
  <c r="L108" i="17" s="1"/>
  <c r="AA96" i="17"/>
  <c r="K80" i="17" s="1"/>
  <c r="K111" i="17" s="1"/>
  <c r="AA91" i="17"/>
  <c r="K75" i="17" s="1"/>
  <c r="K106" i="17" s="1"/>
  <c r="CB25" i="11"/>
  <c r="H29" i="14" s="1" a="1"/>
  <c r="H29" i="14" s="1"/>
  <c r="CC25" i="11"/>
  <c r="I29" i="14" s="1" a="1"/>
  <c r="I29" i="14" s="1"/>
  <c r="BZ25" i="11"/>
  <c r="F29" i="14" s="1" a="1"/>
  <c r="F29" i="14" s="1"/>
  <c r="CD25" i="11"/>
  <c r="J29" i="14" s="1" a="1"/>
  <c r="J29" i="14" s="1"/>
  <c r="CA25" i="11"/>
  <c r="G29" i="14" s="1" a="1"/>
  <c r="G29" i="14" s="1"/>
  <c r="CD39" i="11"/>
  <c r="J43" i="14" s="1" a="1"/>
  <c r="J43" i="14" s="1"/>
  <c r="CC6" i="11"/>
  <c r="I10" i="14" s="1" a="1"/>
  <c r="I10" i="14" s="1"/>
  <c r="CA39" i="11"/>
  <c r="G43" i="14" s="1" a="1"/>
  <c r="G43" i="14" s="1"/>
  <c r="CD6" i="11"/>
  <c r="J10" i="14" s="1" a="1"/>
  <c r="J10" i="14" s="1"/>
  <c r="BZ6" i="11"/>
  <c r="F10" i="14" s="1" a="1"/>
  <c r="F10" i="14" s="1"/>
  <c r="CC39" i="11"/>
  <c r="I43" i="14" s="1" a="1"/>
  <c r="I43" i="14" s="1"/>
  <c r="CB6" i="11"/>
  <c r="H10" i="14" s="1"/>
  <c r="CB39" i="11"/>
  <c r="H43" i="14" s="1" a="1"/>
  <c r="H43" i="14" s="1"/>
  <c r="CA6" i="11"/>
  <c r="G10" i="14" s="1" a="1"/>
  <c r="G10" i="14" s="1"/>
  <c r="H26" i="3"/>
  <c r="H25" i="3"/>
  <c r="H24" i="3"/>
  <c r="I24" i="3" l="1"/>
  <c r="S24" i="3"/>
  <c r="O24" i="3"/>
  <c r="K24" i="3"/>
  <c r="J24" i="3"/>
  <c r="Q24" i="3"/>
  <c r="M24" i="3"/>
  <c r="T24" i="3"/>
  <c r="P24" i="3"/>
  <c r="L24" i="3"/>
  <c r="R24" i="3"/>
  <c r="N24" i="3"/>
  <c r="S25" i="3"/>
  <c r="O25" i="3"/>
  <c r="K25" i="3"/>
  <c r="I25" i="3"/>
  <c r="Q25" i="3"/>
  <c r="M25" i="3"/>
  <c r="T25" i="3"/>
  <c r="P25" i="3"/>
  <c r="L25" i="3"/>
  <c r="R25" i="3"/>
  <c r="N25" i="3"/>
  <c r="J25" i="3"/>
  <c r="I26" i="3"/>
  <c r="J26" i="3"/>
  <c r="S26" i="3"/>
  <c r="O26" i="3"/>
  <c r="K26" i="3"/>
  <c r="Q26" i="3"/>
  <c r="M26" i="3"/>
  <c r="T26" i="3"/>
  <c r="P26" i="3"/>
  <c r="L26" i="3"/>
  <c r="R26" i="3"/>
  <c r="N26" i="3"/>
  <c r="F149" i="17"/>
  <c r="F116" i="17"/>
  <c r="N168" i="17" s="1"/>
  <c r="F146" i="17"/>
  <c r="F113" i="17"/>
  <c r="N165" i="17" s="1"/>
  <c r="F147" i="17"/>
  <c r="F114" i="17"/>
  <c r="N166" i="17" s="1"/>
  <c r="F148" i="17"/>
  <c r="F115" i="17"/>
  <c r="N167" i="17" s="1"/>
  <c r="AD79" i="17"/>
  <c r="AD95" i="17" s="1"/>
  <c r="N79" i="17" s="1"/>
  <c r="N110" i="17" s="1"/>
  <c r="M143" i="17"/>
  <c r="AB75" i="17"/>
  <c r="K139" i="17"/>
  <c r="AB80" i="17"/>
  <c r="AB96" i="17" s="1"/>
  <c r="L80" i="17" s="1"/>
  <c r="L111" i="17" s="1"/>
  <c r="K144" i="17"/>
  <c r="AC129" i="17"/>
  <c r="AC145" i="17"/>
  <c r="AA124" i="17"/>
  <c r="AA140" i="17"/>
  <c r="AC77" i="17"/>
  <c r="AC93" i="17" s="1"/>
  <c r="M77" i="17" s="1"/>
  <c r="M108" i="17" s="1"/>
  <c r="L141" i="17"/>
  <c r="AB127" i="17"/>
  <c r="AB143" i="17"/>
  <c r="AB78" i="17"/>
  <c r="K142" i="17"/>
  <c r="Z126" i="17"/>
  <c r="Z142" i="17"/>
  <c r="W84" i="17"/>
  <c r="F132" i="17"/>
  <c r="W85" i="17"/>
  <c r="F133" i="17"/>
  <c r="K128" i="17"/>
  <c r="K123" i="17"/>
  <c r="W82" i="17"/>
  <c r="F130" i="17"/>
  <c r="M127" i="17"/>
  <c r="L125" i="17"/>
  <c r="W83" i="17"/>
  <c r="F131" i="17"/>
  <c r="K126" i="17"/>
  <c r="W62" i="17"/>
  <c r="W68" i="17" s="1"/>
  <c r="G62" i="17" s="1"/>
  <c r="W64" i="17"/>
  <c r="W70" i="17" s="1"/>
  <c r="G64" i="17" s="1"/>
  <c r="W63" i="17"/>
  <c r="W69" i="17" s="1"/>
  <c r="G63" i="17" s="1"/>
  <c r="W61" i="17"/>
  <c r="W67" i="17" s="1"/>
  <c r="G61" i="17" s="1"/>
  <c r="F86" i="17"/>
  <c r="F117" i="17" s="1"/>
  <c r="N169" i="17" s="1"/>
  <c r="AB92" i="17"/>
  <c r="L76" i="17" s="1"/>
  <c r="AD97" i="17"/>
  <c r="N81" i="17" s="1"/>
  <c r="N112" i="17" s="1"/>
  <c r="H18" i="3"/>
  <c r="H17" i="3"/>
  <c r="H16" i="3"/>
  <c r="I16" i="3" l="1"/>
  <c r="R16" i="3"/>
  <c r="N16" i="3"/>
  <c r="T16" i="3"/>
  <c r="P16" i="3"/>
  <c r="L16" i="3"/>
  <c r="S16" i="3"/>
  <c r="O16" i="3"/>
  <c r="K16" i="3"/>
  <c r="J16" i="3"/>
  <c r="Q16" i="3"/>
  <c r="M16" i="3"/>
  <c r="R17" i="3"/>
  <c r="N17" i="3"/>
  <c r="J17" i="3"/>
  <c r="T17" i="3"/>
  <c r="P17" i="3"/>
  <c r="L17" i="3"/>
  <c r="I17" i="3"/>
  <c r="S17" i="3"/>
  <c r="O17" i="3"/>
  <c r="K17" i="3"/>
  <c r="Q17" i="3"/>
  <c r="M17" i="3"/>
  <c r="I18" i="3"/>
  <c r="R18" i="3"/>
  <c r="N18" i="3"/>
  <c r="J18" i="3"/>
  <c r="T18" i="3"/>
  <c r="P18" i="3"/>
  <c r="L18" i="3"/>
  <c r="S18" i="3"/>
  <c r="O18" i="3"/>
  <c r="K18" i="3"/>
  <c r="AF43" i="11" s="1" a="1"/>
  <c r="AF43" i="11" s="1"/>
  <c r="Q18" i="3"/>
  <c r="M18" i="3"/>
  <c r="L140" i="17"/>
  <c r="L107" i="17"/>
  <c r="AE79" i="17"/>
  <c r="AE95" i="17" s="1"/>
  <c r="O79" i="17" s="1"/>
  <c r="N143" i="17"/>
  <c r="AE81" i="17"/>
  <c r="AE97" i="17" s="1"/>
  <c r="O81" i="17" s="1"/>
  <c r="N145" i="17"/>
  <c r="AB125" i="17"/>
  <c r="AB141" i="17"/>
  <c r="AA123" i="17"/>
  <c r="AA139" i="17"/>
  <c r="V132" i="17"/>
  <c r="V148" i="17"/>
  <c r="AC80" i="17"/>
  <c r="L144" i="17"/>
  <c r="AA126" i="17"/>
  <c r="AA142" i="17"/>
  <c r="AC127" i="17"/>
  <c r="AC143" i="17"/>
  <c r="AA128" i="17"/>
  <c r="AA144" i="17"/>
  <c r="V131" i="17"/>
  <c r="V147" i="17"/>
  <c r="V130" i="17"/>
  <c r="V146" i="17"/>
  <c r="V133" i="17"/>
  <c r="V149" i="17"/>
  <c r="AD77" i="17"/>
  <c r="M141" i="17"/>
  <c r="AC76" i="17"/>
  <c r="AC92" i="17" s="1"/>
  <c r="M76" i="17" s="1"/>
  <c r="M107" i="17" s="1"/>
  <c r="L124" i="17"/>
  <c r="N129" i="17"/>
  <c r="M125" i="17"/>
  <c r="N127" i="17"/>
  <c r="L128" i="17"/>
  <c r="G65" i="17"/>
  <c r="W86" i="17" s="1"/>
  <c r="AK43" i="11" a="1"/>
  <c r="AN43" i="11" a="1"/>
  <c r="AL43" i="11" a="1"/>
  <c r="AO43" i="11" a="1"/>
  <c r="AI43" i="11" a="1"/>
  <c r="AM43" i="11" a="1"/>
  <c r="AJ43" i="11" a="1"/>
  <c r="AD93" i="17"/>
  <c r="N77" i="17" s="1"/>
  <c r="N108" i="17" s="1"/>
  <c r="AB91" i="17"/>
  <c r="L75" i="17" s="1"/>
  <c r="L106" i="17" s="1"/>
  <c r="AB94" i="17"/>
  <c r="L78" i="17" s="1"/>
  <c r="L109" i="17" s="1"/>
  <c r="AE43" i="11" a="1"/>
  <c r="AG43" i="11" a="1"/>
  <c r="H13" i="3"/>
  <c r="H12" i="3"/>
  <c r="AE43" i="11" l="1"/>
  <c r="AI43" i="11"/>
  <c r="AO43" i="11"/>
  <c r="AG43" i="11"/>
  <c r="AM43" i="11"/>
  <c r="AK43" i="11"/>
  <c r="AL43" i="11"/>
  <c r="AN43" i="11"/>
  <c r="AJ43" i="11"/>
  <c r="BP43" i="11"/>
  <c r="BD43" i="11"/>
  <c r="R12" i="3"/>
  <c r="N12" i="3"/>
  <c r="S12" i="3"/>
  <c r="O12" i="3"/>
  <c r="K12" i="3"/>
  <c r="I12" i="3"/>
  <c r="Q12" i="3"/>
  <c r="M12" i="3"/>
  <c r="T12" i="3"/>
  <c r="P12" i="3"/>
  <c r="L12" i="3"/>
  <c r="J12" i="3"/>
  <c r="S13" i="3"/>
  <c r="O13" i="3"/>
  <c r="K13" i="3"/>
  <c r="J13" i="3"/>
  <c r="Q13" i="3"/>
  <c r="M13" i="3"/>
  <c r="T13" i="3"/>
  <c r="P13" i="3"/>
  <c r="L13" i="3"/>
  <c r="R13" i="3"/>
  <c r="N13" i="3"/>
  <c r="I13" i="3"/>
  <c r="O145" i="17"/>
  <c r="O112" i="17"/>
  <c r="P112" i="17" s="1"/>
  <c r="O143" i="17"/>
  <c r="O110" i="17"/>
  <c r="P110" i="17" s="1"/>
  <c r="AD76" i="17"/>
  <c r="M140" i="17"/>
  <c r="AC75" i="17"/>
  <c r="L139" i="17"/>
  <c r="AE77" i="17"/>
  <c r="AE93" i="17" s="1"/>
  <c r="O77" i="17" s="1"/>
  <c r="O108" i="17" s="1"/>
  <c r="P108" i="17" s="1"/>
  <c r="N141" i="17"/>
  <c r="AD129" i="17"/>
  <c r="AD145" i="17"/>
  <c r="AB128" i="17"/>
  <c r="AB144" i="17"/>
  <c r="AB124" i="17"/>
  <c r="AB140" i="17"/>
  <c r="AD127" i="17"/>
  <c r="AD143" i="17"/>
  <c r="AC78" i="17"/>
  <c r="L142" i="17"/>
  <c r="AC125" i="17"/>
  <c r="AC141" i="17"/>
  <c r="O127" i="17"/>
  <c r="N125" i="17"/>
  <c r="L126" i="17"/>
  <c r="O129" i="17"/>
  <c r="M124" i="17"/>
  <c r="L123" i="17"/>
  <c r="G66" i="17"/>
  <c r="G70" i="17" s="1"/>
  <c r="P81" i="17"/>
  <c r="P79" i="17"/>
  <c r="AZ7" i="11"/>
  <c r="AR7" i="11"/>
  <c r="AY7" i="11"/>
  <c r="AP7" i="11"/>
  <c r="AW7" i="11"/>
  <c r="AU7" i="11"/>
  <c r="BA7" i="11"/>
  <c r="AT7" i="11"/>
  <c r="AV7" i="11"/>
  <c r="AQ7" i="11"/>
  <c r="AX7" i="11"/>
  <c r="AS7" i="11"/>
  <c r="AY45" i="11"/>
  <c r="AW45" i="11"/>
  <c r="AR45" i="11"/>
  <c r="AP45" i="11"/>
  <c r="AQ45" i="11"/>
  <c r="AU45" i="11"/>
  <c r="AS45" i="11"/>
  <c r="AV45" i="11"/>
  <c r="AZ45" i="11"/>
  <c r="AX45" i="11"/>
  <c r="AT45" i="11"/>
  <c r="BA45" i="11"/>
  <c r="AX41" i="11"/>
  <c r="AQ41" i="11"/>
  <c r="AY41" i="11"/>
  <c r="AZ41" i="11"/>
  <c r="AP41" i="11"/>
  <c r="AS41" i="11"/>
  <c r="AU41" i="11"/>
  <c r="AV41" i="11"/>
  <c r="AR41" i="11"/>
  <c r="BA41" i="11"/>
  <c r="AT41" i="11"/>
  <c r="AW41" i="11"/>
  <c r="AW17" i="11"/>
  <c r="AQ17" i="11"/>
  <c r="AP17" i="11"/>
  <c r="AZ17" i="11"/>
  <c r="AT17" i="11"/>
  <c r="BA17" i="11"/>
  <c r="AU17" i="11"/>
  <c r="AY17" i="11"/>
  <c r="AX17" i="11"/>
  <c r="AR17" i="11"/>
  <c r="AV17" i="11"/>
  <c r="AS17" i="11"/>
  <c r="AZ28" i="11"/>
  <c r="AV28" i="11"/>
  <c r="AP28" i="11"/>
  <c r="AS28" i="11"/>
  <c r="AQ28" i="11"/>
  <c r="AX28" i="11"/>
  <c r="BA28" i="11"/>
  <c r="AT28" i="11"/>
  <c r="AY28" i="11"/>
  <c r="AR28" i="11"/>
  <c r="AW28" i="11"/>
  <c r="AU28" i="11"/>
  <c r="AW33" i="11"/>
  <c r="AS33" i="11"/>
  <c r="AQ33" i="11"/>
  <c r="AP33" i="11"/>
  <c r="AX33" i="11"/>
  <c r="AR33" i="11"/>
  <c r="AT33" i="11"/>
  <c r="AU33" i="11"/>
  <c r="AZ33" i="11"/>
  <c r="AV33" i="11"/>
  <c r="BA33" i="11"/>
  <c r="AY33" i="11"/>
  <c r="BA43" i="11"/>
  <c r="AQ43" i="11"/>
  <c r="AT43" i="11"/>
  <c r="BQ43" i="11" s="1"/>
  <c r="AR43" i="11"/>
  <c r="BO43" i="11" s="1"/>
  <c r="AP43" i="11"/>
  <c r="AY43" i="11"/>
  <c r="AW43" i="11"/>
  <c r="BT43" i="11" s="1"/>
  <c r="AU43" i="11"/>
  <c r="AZ43" i="11"/>
  <c r="BW43" i="11" s="1"/>
  <c r="AX43" i="11"/>
  <c r="BU43" i="11" s="1"/>
  <c r="AV43" i="11"/>
  <c r="BS43" i="11" s="1"/>
  <c r="BA18" i="11"/>
  <c r="AT18" i="11"/>
  <c r="AQ18" i="11"/>
  <c r="AZ18" i="11"/>
  <c r="AU18" i="11"/>
  <c r="AS18" i="11"/>
  <c r="AY18" i="11"/>
  <c r="AX18" i="11"/>
  <c r="AV18" i="11"/>
  <c r="AR18" i="11"/>
  <c r="AW18" i="11"/>
  <c r="AP18" i="11"/>
  <c r="AO36" i="11" a="1"/>
  <c r="AO36" i="11" s="1"/>
  <c r="AL36" i="11" a="1"/>
  <c r="AI36" i="11" a="1"/>
  <c r="AI36" i="11" s="1"/>
  <c r="AM36" i="11" a="1"/>
  <c r="AM36" i="11" s="1"/>
  <c r="AJ36" i="11" a="1"/>
  <c r="AJ36" i="11" s="1"/>
  <c r="AN36" i="11" a="1"/>
  <c r="AK36" i="11" a="1"/>
  <c r="AC96" i="17"/>
  <c r="M80" i="17" s="1"/>
  <c r="M111" i="17" s="1"/>
  <c r="AF36" i="11" a="1"/>
  <c r="AF36" i="11" s="1"/>
  <c r="AG36" i="11" a="1"/>
  <c r="AD36" i="11" a="1"/>
  <c r="AH36" i="11" a="1"/>
  <c r="AH36" i="11" s="1"/>
  <c r="AD43" i="11" a="1"/>
  <c r="AD43" i="11" s="1"/>
  <c r="AH43" i="11" a="1"/>
  <c r="AH43" i="11" s="1"/>
  <c r="H6" i="3"/>
  <c r="AG36" i="11" l="1"/>
  <c r="BE36" i="11" s="1"/>
  <c r="AL36" i="11"/>
  <c r="BJ36" i="11" s="1"/>
  <c r="BX43" i="11"/>
  <c r="AN36" i="11"/>
  <c r="BX36" i="11" s="1"/>
  <c r="CJ36" i="11" s="1"/>
  <c r="P40" i="14" s="1" a="1"/>
  <c r="P40" i="14" s="1"/>
  <c r="AD36" i="11"/>
  <c r="BB36" i="11" s="1"/>
  <c r="AK36" i="11"/>
  <c r="BU36" i="11" s="1"/>
  <c r="CG36" i="11" s="1"/>
  <c r="M40" i="14" s="1" a="1"/>
  <c r="M40" i="14" s="1"/>
  <c r="BV43" i="11"/>
  <c r="BR43" i="11"/>
  <c r="BF43" i="11"/>
  <c r="BP36" i="11"/>
  <c r="BD36" i="11"/>
  <c r="BR36" i="11"/>
  <c r="BF36" i="11"/>
  <c r="BW36" i="11"/>
  <c r="BK36" i="11"/>
  <c r="BI18" i="11"/>
  <c r="BU18" i="11"/>
  <c r="BW18" i="11"/>
  <c r="BK18" i="11"/>
  <c r="BT28" i="11"/>
  <c r="BH28" i="11"/>
  <c r="BX28" i="11"/>
  <c r="BL28" i="11"/>
  <c r="BS17" i="11"/>
  <c r="BG17" i="11"/>
  <c r="BR17" i="11"/>
  <c r="BF17" i="11"/>
  <c r="BQ41" i="11"/>
  <c r="BE41" i="11"/>
  <c r="BR41" i="11"/>
  <c r="BF41" i="11"/>
  <c r="BV41" i="11"/>
  <c r="BJ41" i="11"/>
  <c r="BQ45" i="11"/>
  <c r="BE45" i="11"/>
  <c r="BP45" i="11"/>
  <c r="BD45" i="11"/>
  <c r="BO45" i="11"/>
  <c r="BC45" i="11"/>
  <c r="BU7" i="11"/>
  <c r="BI7" i="11"/>
  <c r="BX7" i="11"/>
  <c r="BL7" i="11"/>
  <c r="BV7" i="11"/>
  <c r="BJ7" i="11"/>
  <c r="BK43" i="11"/>
  <c r="BJ43" i="11"/>
  <c r="BE43" i="11"/>
  <c r="BG43" i="11"/>
  <c r="BS36" i="11"/>
  <c r="BG36" i="11"/>
  <c r="BT18" i="11"/>
  <c r="BH18" i="11"/>
  <c r="BV18" i="11"/>
  <c r="BJ18" i="11"/>
  <c r="BN18" i="11"/>
  <c r="BB18" i="11"/>
  <c r="BO28" i="11"/>
  <c r="BC28" i="11"/>
  <c r="BU28" i="11"/>
  <c r="BI28" i="11"/>
  <c r="BS28" i="11"/>
  <c r="BG28" i="11"/>
  <c r="BO17" i="11"/>
  <c r="BC17" i="11"/>
  <c r="BL17" i="11"/>
  <c r="BX17" i="11"/>
  <c r="CJ17" i="11" s="1"/>
  <c r="P21" i="14" s="1" a="1"/>
  <c r="P21" i="14" s="1"/>
  <c r="BN17" i="11"/>
  <c r="BB17" i="11"/>
  <c r="BX41" i="11"/>
  <c r="BL41" i="11"/>
  <c r="BP41" i="11"/>
  <c r="BD41" i="11"/>
  <c r="BN41" i="11"/>
  <c r="BB41" i="11"/>
  <c r="BU45" i="11"/>
  <c r="BI45" i="11"/>
  <c r="BR45" i="11"/>
  <c r="BF45" i="11"/>
  <c r="BT45" i="11"/>
  <c r="BH45" i="11"/>
  <c r="BN7" i="11"/>
  <c r="BB7" i="11"/>
  <c r="BR7" i="11"/>
  <c r="BF7" i="11"/>
  <c r="BO7" i="11"/>
  <c r="BC7" i="11"/>
  <c r="BQ36" i="11"/>
  <c r="BL36" i="11"/>
  <c r="BV36" i="11"/>
  <c r="BO18" i="11"/>
  <c r="BC18" i="11"/>
  <c r="BP18" i="11"/>
  <c r="BD18" i="11"/>
  <c r="BE18" i="11"/>
  <c r="BQ18" i="11"/>
  <c r="CC18" i="11" s="1"/>
  <c r="I22" i="14" s="1" a="1"/>
  <c r="I22" i="14" s="1"/>
  <c r="BV28" i="11"/>
  <c r="BJ28" i="11"/>
  <c r="BN28" i="11"/>
  <c r="BB28" i="11"/>
  <c r="BW28" i="11"/>
  <c r="BK28" i="11"/>
  <c r="BI17" i="11"/>
  <c r="BU17" i="11"/>
  <c r="BQ17" i="11"/>
  <c r="BE17" i="11"/>
  <c r="BH17" i="11"/>
  <c r="BT17" i="11"/>
  <c r="CF17" i="11" s="1"/>
  <c r="L21" i="14" s="1" a="1"/>
  <c r="L21" i="14" s="1"/>
  <c r="BO41" i="11"/>
  <c r="BC41" i="11"/>
  <c r="BU41" i="11"/>
  <c r="BI41" i="11"/>
  <c r="BW45" i="11"/>
  <c r="BK45" i="11"/>
  <c r="BB45" i="11"/>
  <c r="BN45" i="11"/>
  <c r="BV45" i="11"/>
  <c r="BJ45" i="11"/>
  <c r="BS7" i="11"/>
  <c r="BG7" i="11"/>
  <c r="BT7" i="11"/>
  <c r="BH7" i="11"/>
  <c r="BK7" i="11"/>
  <c r="BW7" i="11"/>
  <c r="BL43" i="11"/>
  <c r="BH43" i="11"/>
  <c r="BI43" i="11"/>
  <c r="BC43" i="11"/>
  <c r="BN43" i="11"/>
  <c r="BB43" i="11"/>
  <c r="BT36" i="11"/>
  <c r="BH36" i="11"/>
  <c r="BS18" i="11"/>
  <c r="BG18" i="11"/>
  <c r="BR18" i="11"/>
  <c r="BF18" i="11"/>
  <c r="BX18" i="11"/>
  <c r="BL18" i="11"/>
  <c r="BR28" i="11"/>
  <c r="BF28" i="11"/>
  <c r="BQ28" i="11"/>
  <c r="BE28" i="11"/>
  <c r="BP28" i="11"/>
  <c r="BD28" i="11"/>
  <c r="BP17" i="11"/>
  <c r="BD17" i="11"/>
  <c r="BV17" i="11"/>
  <c r="BJ17" i="11"/>
  <c r="BW17" i="11"/>
  <c r="BK17" i="11"/>
  <c r="BT41" i="11"/>
  <c r="BH41" i="11"/>
  <c r="BS41" i="11"/>
  <c r="BG41" i="11"/>
  <c r="BW41" i="11"/>
  <c r="BK41" i="11"/>
  <c r="BX45" i="11"/>
  <c r="BL45" i="11"/>
  <c r="BS45" i="11"/>
  <c r="BG45" i="11"/>
  <c r="BP7" i="11"/>
  <c r="BD7" i="11"/>
  <c r="BQ7" i="11"/>
  <c r="BE7" i="11"/>
  <c r="T6" i="3"/>
  <c r="L6" i="3"/>
  <c r="O6" i="3"/>
  <c r="R6" i="3"/>
  <c r="Q6" i="3"/>
  <c r="K6" i="3"/>
  <c r="P6" i="3"/>
  <c r="I6" i="3"/>
  <c r="S6" i="3"/>
  <c r="N6" i="3"/>
  <c r="J6" i="3"/>
  <c r="M6" i="3"/>
  <c r="AH33" i="11" s="1" a="1"/>
  <c r="AH33" i="11" s="1"/>
  <c r="O125" i="17"/>
  <c r="O141" i="17"/>
  <c r="AB126" i="17"/>
  <c r="AB142" i="17"/>
  <c r="AB123" i="17"/>
  <c r="AB139" i="17"/>
  <c r="AD125" i="17"/>
  <c r="AD141" i="17"/>
  <c r="AD80" i="17"/>
  <c r="M144" i="17"/>
  <c r="AC124" i="17"/>
  <c r="AC140" i="17"/>
  <c r="AE127" i="17"/>
  <c r="AE143" i="17"/>
  <c r="AE129" i="17"/>
  <c r="AE145" i="17"/>
  <c r="G68" i="17"/>
  <c r="M128" i="17"/>
  <c r="G69" i="17"/>
  <c r="G67" i="17"/>
  <c r="P77" i="17"/>
  <c r="CF18" i="11"/>
  <c r="L22" i="14" s="1" a="1"/>
  <c r="L22" i="14" s="1"/>
  <c r="CE18" i="11"/>
  <c r="K22" i="14" s="1" a="1"/>
  <c r="K22" i="14" s="1"/>
  <c r="BM18" i="11"/>
  <c r="BY18" i="11"/>
  <c r="CK18" i="11" s="1"/>
  <c r="Q22" i="14" s="1" a="1"/>
  <c r="Q22" i="14" s="1"/>
  <c r="CE28" i="11"/>
  <c r="K32" i="14" s="1" a="1"/>
  <c r="K32" i="14" s="1"/>
  <c r="CD28" i="11"/>
  <c r="J32" i="14" s="1" a="1"/>
  <c r="J32" i="14" s="1"/>
  <c r="CC28" i="11"/>
  <c r="I32" i="14" s="1" a="1"/>
  <c r="I32" i="14" s="1"/>
  <c r="CC17" i="11"/>
  <c r="I21" i="14" s="1" a="1"/>
  <c r="I21" i="14" s="1"/>
  <c r="CI17" i="11"/>
  <c r="O21" i="14" s="1" a="1"/>
  <c r="O21" i="14" s="1"/>
  <c r="AV44" i="11"/>
  <c r="AU44" i="11"/>
  <c r="BA44" i="11"/>
  <c r="BY45" i="11"/>
  <c r="CK45" i="11" s="1"/>
  <c r="Q49" i="14" s="1" a="1"/>
  <c r="Q49" i="14" s="1"/>
  <c r="BM45" i="11"/>
  <c r="CF45" i="11"/>
  <c r="L49" i="14" s="1" a="1"/>
  <c r="L49" i="14" s="1"/>
  <c r="CC7" i="11"/>
  <c r="I11" i="14" s="1" a="1"/>
  <c r="I11" i="14" s="1"/>
  <c r="CD7" i="11"/>
  <c r="J11" i="14" s="1" a="1"/>
  <c r="J11" i="14" s="1"/>
  <c r="CH18" i="11"/>
  <c r="N22" i="14" s="1" a="1"/>
  <c r="N22" i="14" s="1"/>
  <c r="CJ18" i="11"/>
  <c r="P22" i="14" s="1" a="1"/>
  <c r="P22" i="14" s="1"/>
  <c r="CG28" i="11"/>
  <c r="M32" i="14" s="1" a="1"/>
  <c r="M32" i="14" s="1"/>
  <c r="BM28" i="11"/>
  <c r="BY28" i="11"/>
  <c r="CK28" i="11" s="1"/>
  <c r="Q32" i="14" s="1" a="1"/>
  <c r="Q32" i="14" s="1"/>
  <c r="CE17" i="11"/>
  <c r="K21" i="14" s="1" a="1"/>
  <c r="K21" i="14" s="1"/>
  <c r="AR44" i="11"/>
  <c r="AX44" i="11"/>
  <c r="AQ44" i="11"/>
  <c r="CD45" i="11"/>
  <c r="J49" i="14" s="1" a="1"/>
  <c r="J49" i="14" s="1"/>
  <c r="CC45" i="11"/>
  <c r="I49" i="14" s="1" a="1"/>
  <c r="I49" i="14" s="1"/>
  <c r="CB45" i="11"/>
  <c r="H49" i="14" s="1" a="1"/>
  <c r="H49" i="14" s="1"/>
  <c r="CH7" i="11"/>
  <c r="N11" i="14" s="1" a="1"/>
  <c r="N11" i="14" s="1"/>
  <c r="BY7" i="11"/>
  <c r="CK7" i="11" s="1"/>
  <c r="Q11" i="14" s="1" a="1"/>
  <c r="Q11" i="14" s="1"/>
  <c r="BM7" i="11"/>
  <c r="CI7" i="11"/>
  <c r="O11" i="14" s="1" a="1"/>
  <c r="O11" i="14" s="1"/>
  <c r="CG18" i="11"/>
  <c r="M22" i="14" s="1" a="1"/>
  <c r="M22" i="14" s="1"/>
  <c r="CI18" i="11"/>
  <c r="O22" i="14" s="1" a="1"/>
  <c r="O22" i="14" s="1"/>
  <c r="CB28" i="11"/>
  <c r="H32" i="14" s="1" a="1"/>
  <c r="H32" i="14" s="1"/>
  <c r="CH28" i="11"/>
  <c r="N32" i="14" s="1" a="1"/>
  <c r="N32" i="14" s="1"/>
  <c r="CF28" i="11"/>
  <c r="L32" i="14" s="1" a="1"/>
  <c r="L32" i="14" s="1"/>
  <c r="CB17" i="11"/>
  <c r="H21" i="14" s="1" a="1"/>
  <c r="H21" i="14" s="1"/>
  <c r="BM17" i="11"/>
  <c r="BY17" i="11"/>
  <c r="CK17" i="11" s="1"/>
  <c r="Q21" i="14" s="1" a="1"/>
  <c r="Q21" i="14" s="1"/>
  <c r="AS44" i="11"/>
  <c r="AT44" i="11"/>
  <c r="AW44" i="11"/>
  <c r="CH45" i="11"/>
  <c r="N49" i="14" s="1" a="1"/>
  <c r="N49" i="14" s="1"/>
  <c r="CE45" i="11"/>
  <c r="K49" i="14" s="1" a="1"/>
  <c r="K49" i="14" s="1"/>
  <c r="CG45" i="11"/>
  <c r="M49" i="14" s="1" a="1"/>
  <c r="M49" i="14" s="1"/>
  <c r="CE7" i="11"/>
  <c r="K11" i="14" s="1" a="1"/>
  <c r="K11" i="14" s="1"/>
  <c r="CB7" i="11"/>
  <c r="H11" i="14" s="1" a="1"/>
  <c r="H11" i="14" s="1"/>
  <c r="CB18" i="11"/>
  <c r="H22" i="14" s="1" a="1"/>
  <c r="H22" i="14" s="1"/>
  <c r="CD18" i="11"/>
  <c r="J22" i="14" s="1" a="1"/>
  <c r="J22" i="14" s="1"/>
  <c r="CI28" i="11"/>
  <c r="O32" i="14" s="1" a="1"/>
  <c r="O32" i="14" s="1"/>
  <c r="CJ28" i="11"/>
  <c r="P32" i="14" s="1" a="1"/>
  <c r="P32" i="14" s="1"/>
  <c r="CH17" i="11"/>
  <c r="N21" i="14" s="1" a="1"/>
  <c r="N21" i="14" s="1"/>
  <c r="CD17" i="11"/>
  <c r="J21" i="14" s="1" a="1"/>
  <c r="J21" i="14" s="1"/>
  <c r="CG17" i="11"/>
  <c r="M21" i="14" s="1" a="1"/>
  <c r="M21" i="14" s="1"/>
  <c r="AY44" i="11"/>
  <c r="AZ44" i="11"/>
  <c r="CJ45" i="11"/>
  <c r="P49" i="14" s="1" a="1"/>
  <c r="P49" i="14" s="1"/>
  <c r="CI45" i="11"/>
  <c r="O49" i="14" s="1" a="1"/>
  <c r="O49" i="14" s="1"/>
  <c r="CF7" i="11"/>
  <c r="L11" i="14" s="1" a="1"/>
  <c r="L11" i="14" s="1"/>
  <c r="CG7" i="11"/>
  <c r="M11" i="14" s="1" a="1"/>
  <c r="M11" i="14" s="1"/>
  <c r="CJ7" i="11"/>
  <c r="P11" i="14" s="1" a="1"/>
  <c r="P11" i="14" s="1"/>
  <c r="CA18" i="11"/>
  <c r="G22" i="14" s="1" a="1"/>
  <c r="G22" i="14" s="1"/>
  <c r="CA17" i="11"/>
  <c r="G21" i="14" s="1" a="1"/>
  <c r="G21" i="14" s="1"/>
  <c r="CA7" i="11"/>
  <c r="G11" i="14" s="1"/>
  <c r="CA28" i="11"/>
  <c r="G32" i="14" s="1" a="1"/>
  <c r="G32" i="14" s="1"/>
  <c r="AP44" i="11"/>
  <c r="CA45" i="11"/>
  <c r="G49" i="14" s="1" a="1"/>
  <c r="G49" i="14" s="1"/>
  <c r="CE36" i="11"/>
  <c r="K40" i="14" s="1" a="1"/>
  <c r="K40" i="14" s="1"/>
  <c r="CH36" i="11"/>
  <c r="N40" i="14" s="1" a="1"/>
  <c r="N40" i="14" s="1"/>
  <c r="CF36" i="11"/>
  <c r="L40" i="14" s="1" a="1"/>
  <c r="L40" i="14" s="1"/>
  <c r="BM36" i="11"/>
  <c r="BY36" i="11"/>
  <c r="CK36" i="11" s="1"/>
  <c r="Q40" i="14" s="1" a="1"/>
  <c r="Q40" i="14" s="1"/>
  <c r="AK33" i="11" a="1"/>
  <c r="AK33" i="11" s="1"/>
  <c r="AN33" i="11" a="1"/>
  <c r="AN33" i="11" s="1"/>
  <c r="AL33" i="11" a="1"/>
  <c r="AL33" i="11" s="1"/>
  <c r="AO33" i="11" a="1"/>
  <c r="AO33" i="11" s="1"/>
  <c r="AM33" i="11" a="1"/>
  <c r="AJ33" i="11" a="1"/>
  <c r="AJ33" i="11" s="1"/>
  <c r="CI36" i="11"/>
  <c r="O40" i="14" s="1" a="1"/>
  <c r="O40" i="14" s="1"/>
  <c r="AC91" i="17"/>
  <c r="M75" i="17" s="1"/>
  <c r="M106" i="17" s="1"/>
  <c r="AC94" i="17"/>
  <c r="M78" i="17" s="1"/>
  <c r="M109" i="17" s="1"/>
  <c r="AD92" i="17"/>
  <c r="N76" i="17" s="1"/>
  <c r="N107" i="17" s="1"/>
  <c r="AD96" i="17"/>
  <c r="N80" i="17" s="1"/>
  <c r="N111" i="17" s="1"/>
  <c r="AI33" i="11" a="1"/>
  <c r="AI33" i="11" s="1"/>
  <c r="AG33" i="11" a="1"/>
  <c r="AG33" i="11" s="1"/>
  <c r="AD33" i="11" a="1"/>
  <c r="AE33" i="11" a="1"/>
  <c r="AE33" i="11" s="1"/>
  <c r="CC36" i="11"/>
  <c r="I40" i="14" s="1" a="1"/>
  <c r="I40" i="14" s="1"/>
  <c r="AE36" i="11" a="1"/>
  <c r="AE36" i="11" s="1"/>
  <c r="CB36" i="11"/>
  <c r="H40" i="14" s="1" a="1"/>
  <c r="H40" i="14" s="1"/>
  <c r="CD36" i="11"/>
  <c r="J40" i="14" s="1" a="1"/>
  <c r="J40" i="14" s="1"/>
  <c r="BN36" i="11" l="1"/>
  <c r="BZ36" i="11" s="1"/>
  <c r="F40" i="14" s="1" a="1"/>
  <c r="F40" i="14" s="1"/>
  <c r="BI36" i="11"/>
  <c r="AM33" i="11"/>
  <c r="BW33" i="11" s="1"/>
  <c r="CI33" i="11" s="1"/>
  <c r="O37" i="14" s="1" a="1"/>
  <c r="O37" i="14" s="1"/>
  <c r="AD33" i="11"/>
  <c r="BN33" i="11" s="1"/>
  <c r="BS33" i="11"/>
  <c r="BG33" i="11"/>
  <c r="BU44" i="11"/>
  <c r="CG44" i="11" s="1"/>
  <c r="M48" i="14" s="1" a="1"/>
  <c r="M48" i="14" s="1"/>
  <c r="BI44" i="11"/>
  <c r="BS44" i="11"/>
  <c r="CE44" i="11" s="1"/>
  <c r="K48" i="14" s="1" a="1"/>
  <c r="K48" i="14" s="1"/>
  <c r="BG44" i="11"/>
  <c r="BU33" i="11"/>
  <c r="CG33" i="11" s="1"/>
  <c r="M37" i="14" s="1" a="1"/>
  <c r="M37" i="14" s="1"/>
  <c r="BI33" i="11"/>
  <c r="BO36" i="11"/>
  <c r="BC36" i="11"/>
  <c r="BR33" i="11"/>
  <c r="CD33" i="11" s="1"/>
  <c r="J37" i="14" s="1" a="1"/>
  <c r="J37" i="14" s="1"/>
  <c r="BF33" i="11"/>
  <c r="BV33" i="11"/>
  <c r="BJ33" i="11"/>
  <c r="BT44" i="11"/>
  <c r="CF44" i="11" s="1"/>
  <c r="L48" i="14" s="1" a="1"/>
  <c r="L48" i="14" s="1"/>
  <c r="BH44" i="11"/>
  <c r="BO44" i="11"/>
  <c r="CA44" i="11" s="1"/>
  <c r="G48" i="14" s="1" a="1"/>
  <c r="G48" i="14" s="1"/>
  <c r="BC44" i="11"/>
  <c r="BQ33" i="11"/>
  <c r="CC33" i="11" s="1"/>
  <c r="I37" i="14" s="1" a="1"/>
  <c r="I37" i="14" s="1"/>
  <c r="BE33" i="11"/>
  <c r="BT33" i="11"/>
  <c r="CF33" i="11" s="1"/>
  <c r="L37" i="14" s="1" a="1"/>
  <c r="L37" i="14" s="1"/>
  <c r="BH33" i="11"/>
  <c r="BX33" i="11"/>
  <c r="CJ33" i="11" s="1"/>
  <c r="P37" i="14" s="1" a="1"/>
  <c r="P37" i="14" s="1"/>
  <c r="BL33" i="11"/>
  <c r="BW44" i="11"/>
  <c r="CI44" i="11" s="1"/>
  <c r="O48" i="14" s="1" a="1"/>
  <c r="O48" i="14" s="1"/>
  <c r="BK44" i="11"/>
  <c r="BQ44" i="11"/>
  <c r="CC44" i="11" s="1"/>
  <c r="I48" i="14" s="1" a="1"/>
  <c r="I48" i="14" s="1"/>
  <c r="BE44" i="11"/>
  <c r="BX44" i="11"/>
  <c r="CJ44" i="11" s="1"/>
  <c r="P48" i="14" s="1" a="1"/>
  <c r="P48" i="14" s="1"/>
  <c r="BL44" i="11"/>
  <c r="BO33" i="11"/>
  <c r="CA33" i="11" s="1"/>
  <c r="G37" i="14" s="1" a="1"/>
  <c r="G37" i="14" s="1"/>
  <c r="BC33" i="11"/>
  <c r="BV44" i="11"/>
  <c r="CH44" i="11" s="1"/>
  <c r="N48" i="14" s="1" a="1"/>
  <c r="N48" i="14" s="1"/>
  <c r="BJ44" i="11"/>
  <c r="BP44" i="11"/>
  <c r="CB44" i="11" s="1"/>
  <c r="H48" i="14" s="1" a="1"/>
  <c r="H48" i="14" s="1"/>
  <c r="BD44" i="11"/>
  <c r="BN44" i="11"/>
  <c r="BB44" i="11"/>
  <c r="BR44" i="11"/>
  <c r="CD44" i="11" s="1"/>
  <c r="J48" i="14" s="1" a="1"/>
  <c r="J48" i="14" s="1"/>
  <c r="BF44" i="11"/>
  <c r="AD78" i="17"/>
  <c r="AD94" i="17" s="1"/>
  <c r="N78" i="17" s="1"/>
  <c r="N109" i="17" s="1"/>
  <c r="M142" i="17"/>
  <c r="AD75" i="17"/>
  <c r="M139" i="17"/>
  <c r="AE80" i="17"/>
  <c r="AE96" i="17" s="1"/>
  <c r="O80" i="17" s="1"/>
  <c r="N144" i="17"/>
  <c r="AE76" i="17"/>
  <c r="AE92" i="17" s="1"/>
  <c r="O76" i="17" s="1"/>
  <c r="N140" i="17"/>
  <c r="AC128" i="17"/>
  <c r="AC144" i="17"/>
  <c r="AE125" i="17"/>
  <c r="AE141" i="17"/>
  <c r="G82" i="17"/>
  <c r="G113" i="17" s="1"/>
  <c r="S165" i="17" s="1"/>
  <c r="N124" i="17"/>
  <c r="G84" i="17"/>
  <c r="G115" i="17" s="1"/>
  <c r="S167" i="17" s="1"/>
  <c r="M126" i="17"/>
  <c r="G85" i="17"/>
  <c r="G116" i="17" s="1"/>
  <c r="S168" i="17" s="1"/>
  <c r="N128" i="17"/>
  <c r="M123" i="17"/>
  <c r="G83" i="17"/>
  <c r="G114" i="17" s="1"/>
  <c r="S166" i="17" s="1"/>
  <c r="AD91" i="17"/>
  <c r="N75" i="17" s="1"/>
  <c r="N106" i="17" s="1"/>
  <c r="BY44" i="11"/>
  <c r="CK44" i="11" s="1"/>
  <c r="Q48" i="14" s="1" a="1"/>
  <c r="Q48" i="14" s="1"/>
  <c r="BM44" i="11"/>
  <c r="CH33" i="11"/>
  <c r="N37" i="14" s="1" a="1"/>
  <c r="N37" i="14" s="1"/>
  <c r="BM33" i="11"/>
  <c r="BY33" i="11"/>
  <c r="CK33" i="11" s="1"/>
  <c r="Q37" i="14" s="1" a="1"/>
  <c r="Q37" i="14" s="1"/>
  <c r="CA36" i="11"/>
  <c r="G40" i="14" s="1" a="1"/>
  <c r="G40" i="14" s="1"/>
  <c r="AF33" i="11" a="1"/>
  <c r="AF33" i="11" s="1"/>
  <c r="CE33" i="11"/>
  <c r="K37" i="14" s="1" a="1"/>
  <c r="K37" i="14" s="1"/>
  <c r="BK33" i="11" l="1"/>
  <c r="BB33" i="11"/>
  <c r="BP33" i="11"/>
  <c r="CB33" i="11" s="1"/>
  <c r="H37" i="14" s="1" a="1"/>
  <c r="H37" i="14" s="1"/>
  <c r="BD33" i="11"/>
  <c r="O140" i="17"/>
  <c r="O107" i="17"/>
  <c r="P107" i="17" s="1"/>
  <c r="O144" i="17"/>
  <c r="O111" i="17"/>
  <c r="P111" i="17" s="1"/>
  <c r="AE78" i="17"/>
  <c r="AE94" i="17" s="1"/>
  <c r="O78" i="17" s="1"/>
  <c r="O109" i="17" s="1"/>
  <c r="P109" i="17" s="1"/>
  <c r="N142" i="17"/>
  <c r="AE75" i="17"/>
  <c r="AE91" i="17" s="1"/>
  <c r="O75" i="17" s="1"/>
  <c r="N139" i="17"/>
  <c r="X82" i="17"/>
  <c r="G146" i="17"/>
  <c r="G131" i="17"/>
  <c r="G147" i="17"/>
  <c r="AC126" i="17"/>
  <c r="AC142" i="17"/>
  <c r="AC123" i="17"/>
  <c r="AC139" i="17"/>
  <c r="G132" i="17"/>
  <c r="G148" i="17"/>
  <c r="AD128" i="17"/>
  <c r="AD144" i="17"/>
  <c r="AD124" i="17"/>
  <c r="AD140" i="17"/>
  <c r="X64" i="17"/>
  <c r="X70" i="17" s="1"/>
  <c r="H64" i="17" s="1"/>
  <c r="G149" i="17"/>
  <c r="O124" i="17"/>
  <c r="X61" i="17"/>
  <c r="X67" i="17" s="1"/>
  <c r="H61" i="17" s="1"/>
  <c r="G130" i="17"/>
  <c r="X84" i="17"/>
  <c r="X63" i="17"/>
  <c r="X69" i="17" s="1"/>
  <c r="H63" i="17" s="1"/>
  <c r="N126" i="17"/>
  <c r="N123" i="17"/>
  <c r="AD139" i="17" s="1"/>
  <c r="O128" i="17"/>
  <c r="X85" i="17"/>
  <c r="G133" i="17"/>
  <c r="X62" i="17"/>
  <c r="X68" i="17" s="1"/>
  <c r="H62" i="17" s="1"/>
  <c r="X83" i="17"/>
  <c r="G86" i="17"/>
  <c r="G117" i="17" s="1"/>
  <c r="S169" i="17" s="1"/>
  <c r="P76" i="17"/>
  <c r="P80" i="17"/>
  <c r="O139" i="17" l="1"/>
  <c r="O106" i="17"/>
  <c r="P106" i="17" s="1"/>
  <c r="P78" i="17"/>
  <c r="O142" i="17"/>
  <c r="W130" i="17"/>
  <c r="W146" i="17"/>
  <c r="AE124" i="17"/>
  <c r="AE140" i="17"/>
  <c r="W132" i="17"/>
  <c r="W148" i="17"/>
  <c r="AE128" i="17"/>
  <c r="AE144" i="17"/>
  <c r="W131" i="17"/>
  <c r="W147" i="17"/>
  <c r="P75" i="17"/>
  <c r="W133" i="17"/>
  <c r="W149" i="17"/>
  <c r="AD126" i="17"/>
  <c r="AD142" i="17"/>
  <c r="O123" i="17"/>
  <c r="AD123" i="17"/>
  <c r="O126" i="17"/>
  <c r="H66" i="17"/>
  <c r="H65" i="17"/>
  <c r="X86" i="17" s="1"/>
  <c r="AE126" i="17" l="1"/>
  <c r="AE142" i="17"/>
  <c r="AE123" i="17"/>
  <c r="AE139" i="17"/>
  <c r="H70" i="17"/>
  <c r="H69" i="17"/>
  <c r="H67" i="17"/>
  <c r="H68" i="17"/>
  <c r="H82" i="17" l="1"/>
  <c r="H85" i="17"/>
  <c r="H83" i="17"/>
  <c r="H84" i="17"/>
  <c r="CF10" i="11"/>
  <c r="L14" i="14" s="1" a="1"/>
  <c r="L14" i="14" s="1"/>
  <c r="BM10" i="11"/>
  <c r="CJ10" i="11"/>
  <c r="P14" i="14" s="1" a="1"/>
  <c r="P14" i="14" s="1"/>
  <c r="CE10" i="11"/>
  <c r="K14" i="14" s="1" a="1"/>
  <c r="K14" i="14" s="1"/>
  <c r="CI10" i="11"/>
  <c r="O14" i="14" s="1" a="1"/>
  <c r="O14" i="14" s="1"/>
  <c r="CH10" i="11"/>
  <c r="N14" i="14" s="1" a="1"/>
  <c r="N14" i="14" s="1"/>
  <c r="CC10" i="11"/>
  <c r="I14" i="14" s="1" a="1"/>
  <c r="I14" i="14" s="1"/>
  <c r="CD10" i="11"/>
  <c r="J14" i="14" s="1" a="1"/>
  <c r="J14" i="14" s="1"/>
  <c r="H148" i="17" l="1"/>
  <c r="H115" i="17"/>
  <c r="H147" i="17"/>
  <c r="H114" i="17"/>
  <c r="H149" i="17"/>
  <c r="H116" i="17"/>
  <c r="H146" i="17"/>
  <c r="H113" i="17"/>
  <c r="Y84" i="17"/>
  <c r="H132" i="17"/>
  <c r="Y83" i="17"/>
  <c r="H131" i="17"/>
  <c r="Y85" i="17"/>
  <c r="H133" i="17"/>
  <c r="Y82" i="17"/>
  <c r="H130" i="17"/>
  <c r="Y61" i="17"/>
  <c r="Y67" i="17" s="1"/>
  <c r="I61" i="17" s="1"/>
  <c r="Y64" i="17"/>
  <c r="Y70" i="17" s="1"/>
  <c r="I64" i="17" s="1"/>
  <c r="H86" i="17"/>
  <c r="H117" i="17" s="1"/>
  <c r="Y63" i="17"/>
  <c r="Y62" i="17"/>
  <c r="BY10" i="11"/>
  <c r="CK10" i="11" s="1"/>
  <c r="Q14" i="14" s="1" a="1"/>
  <c r="Q14" i="14" s="1"/>
  <c r="CJ8" i="11"/>
  <c r="P12" i="14" s="1" a="1"/>
  <c r="P12" i="14" s="1"/>
  <c r="CG10" i="11"/>
  <c r="M14" i="14" s="1" a="1"/>
  <c r="M14" i="14" s="1"/>
  <c r="CF11" i="11"/>
  <c r="L15" i="14" s="1" a="1"/>
  <c r="L15" i="14" s="1"/>
  <c r="CF9" i="11"/>
  <c r="L13" i="14" s="1" a="1"/>
  <c r="L13" i="14" s="1"/>
  <c r="BY40" i="11"/>
  <c r="CK40" i="11" s="1"/>
  <c r="Q44" i="14" s="1" a="1"/>
  <c r="Q44" i="14" s="1"/>
  <c r="BM40" i="11"/>
  <c r="CJ40" i="11"/>
  <c r="P44" i="14" s="1" a="1"/>
  <c r="P44" i="14" s="1"/>
  <c r="CH11" i="11"/>
  <c r="N15" i="14" s="1" a="1"/>
  <c r="N15" i="14" s="1"/>
  <c r="CF40" i="11"/>
  <c r="L44" i="14" s="1" a="1"/>
  <c r="L44" i="14" s="1"/>
  <c r="CH9" i="11"/>
  <c r="N13" i="14" s="1" a="1"/>
  <c r="N13" i="14" s="1"/>
  <c r="CG40" i="11"/>
  <c r="M44" i="14" s="1" a="1"/>
  <c r="M44" i="14" s="1"/>
  <c r="CI40" i="11"/>
  <c r="O44" i="14" s="1" a="1"/>
  <c r="O44" i="14" s="1"/>
  <c r="CH40" i="11"/>
  <c r="N44" i="14" s="1" a="1"/>
  <c r="N44" i="14" s="1"/>
  <c r="CE40" i="11"/>
  <c r="K44" i="14" s="1" a="1"/>
  <c r="K44" i="14" s="1"/>
  <c r="CB10" i="11"/>
  <c r="H14" i="14" s="1" a="1"/>
  <c r="H14" i="14" s="1"/>
  <c r="CA10" i="11"/>
  <c r="G14" i="14" s="1" a="1"/>
  <c r="G14" i="14" s="1"/>
  <c r="BZ10" i="11"/>
  <c r="F14" i="14" s="1" a="1"/>
  <c r="F14" i="14" s="1"/>
  <c r="CD9" i="11"/>
  <c r="J13" i="14" s="1" a="1"/>
  <c r="J13" i="14" s="1"/>
  <c r="CC11" i="11"/>
  <c r="I15" i="14" s="1" a="1"/>
  <c r="I15" i="14" s="1"/>
  <c r="CB9" i="11"/>
  <c r="H13" i="14" s="1" a="1"/>
  <c r="H13" i="14" s="1"/>
  <c r="CB11" i="11"/>
  <c r="H15" i="14" s="1" a="1"/>
  <c r="H15" i="14" s="1"/>
  <c r="CD40" i="11"/>
  <c r="J44" i="14" s="1" a="1"/>
  <c r="J44" i="14" s="1"/>
  <c r="CA9" i="11"/>
  <c r="G13" i="14" s="1" a="1"/>
  <c r="G13" i="14" s="1"/>
  <c r="BZ11" i="11"/>
  <c r="F15" i="14" s="1" a="1"/>
  <c r="F15" i="14" s="1"/>
  <c r="CD11" i="11"/>
  <c r="J15" i="14" s="1" a="1"/>
  <c r="J15" i="14" s="1"/>
  <c r="BZ9" i="11"/>
  <c r="F13" i="14" s="1" a="1"/>
  <c r="F13" i="14" s="1"/>
  <c r="CA11" i="11"/>
  <c r="G15" i="14" s="1" a="1"/>
  <c r="G15" i="14" s="1"/>
  <c r="CC9" i="11"/>
  <c r="I13" i="14" s="1" a="1"/>
  <c r="I13" i="14" s="1"/>
  <c r="CC40" i="11"/>
  <c r="I44" i="14" s="1" a="1"/>
  <c r="I44" i="14" s="1"/>
  <c r="CA40" i="11"/>
  <c r="G44" i="14" s="1" a="1"/>
  <c r="G44" i="14" s="1"/>
  <c r="CB40" i="11"/>
  <c r="H44" i="14" s="1" a="1"/>
  <c r="H44" i="14" s="1"/>
  <c r="X130" i="17" l="1"/>
  <c r="X146" i="17"/>
  <c r="X131" i="17"/>
  <c r="X147" i="17"/>
  <c r="X133" i="17"/>
  <c r="X149" i="17"/>
  <c r="X132" i="17"/>
  <c r="X148" i="17"/>
  <c r="Y68" i="17"/>
  <c r="I62" i="17" s="1"/>
  <c r="Y69" i="17"/>
  <c r="I63" i="17" s="1"/>
  <c r="CJ11" i="11"/>
  <c r="P15" i="14" s="1" a="1"/>
  <c r="P15" i="14" s="1"/>
  <c r="CI9" i="11"/>
  <c r="O13" i="14" s="1" a="1"/>
  <c r="O13" i="14" s="1"/>
  <c r="CG11" i="11"/>
  <c r="M15" i="14" s="1" a="1"/>
  <c r="M15" i="14" s="1"/>
  <c r="BM8" i="11"/>
  <c r="BY8" i="11"/>
  <c r="CK8" i="11" s="1"/>
  <c r="Q12" i="14" s="1" a="1"/>
  <c r="Q12" i="14" s="1"/>
  <c r="CG8" i="11"/>
  <c r="M12" i="14" s="1" a="1"/>
  <c r="M12" i="14" s="1"/>
  <c r="CI11" i="11"/>
  <c r="O15" i="14" s="1" a="1"/>
  <c r="O15" i="14" s="1"/>
  <c r="CF8" i="11"/>
  <c r="L12" i="14" s="1" a="1"/>
  <c r="L12" i="14" s="1"/>
  <c r="BY11" i="11"/>
  <c r="CK11" i="11" s="1"/>
  <c r="Q15" i="14" s="1" a="1"/>
  <c r="Q15" i="14" s="1"/>
  <c r="BM11" i="11"/>
  <c r="CE11" i="11"/>
  <c r="K15" i="14" s="1" a="1"/>
  <c r="K15" i="14" s="1"/>
  <c r="BM9" i="11"/>
  <c r="BY9" i="11"/>
  <c r="CK9" i="11" s="1"/>
  <c r="Q13" i="14" s="1" a="1"/>
  <c r="Q13" i="14" s="1"/>
  <c r="CI8" i="11"/>
  <c r="O12" i="14" s="1" a="1"/>
  <c r="O12" i="14" s="1"/>
  <c r="CH8" i="11"/>
  <c r="N12" i="14" s="1" a="1"/>
  <c r="N12" i="14" s="1"/>
  <c r="CE8" i="11"/>
  <c r="K12" i="14" s="1" a="1"/>
  <c r="K12" i="14" s="1"/>
  <c r="CE9" i="11"/>
  <c r="K13" i="14" s="1" a="1"/>
  <c r="K13" i="14" s="1"/>
  <c r="CJ9" i="11"/>
  <c r="P13" i="14" s="1" a="1"/>
  <c r="P13" i="14" s="1"/>
  <c r="CG9" i="11"/>
  <c r="M13" i="14" s="1" a="1"/>
  <c r="M13" i="14" s="1"/>
  <c r="BZ8" i="11"/>
  <c r="F12" i="14" s="1" a="1"/>
  <c r="F12" i="14" s="1"/>
  <c r="CC8" i="11"/>
  <c r="I12" i="14" s="1" a="1"/>
  <c r="I12" i="14" s="1"/>
  <c r="CB8" i="11"/>
  <c r="H12" i="14" s="1" a="1"/>
  <c r="H12" i="14" s="1"/>
  <c r="CA8" i="11"/>
  <c r="G12" i="14" s="1" a="1"/>
  <c r="G12" i="14" s="1"/>
  <c r="CD8" i="11"/>
  <c r="J12" i="14" s="1" a="1"/>
  <c r="J12" i="14" s="1"/>
  <c r="I65" i="17" l="1"/>
  <c r="Y86" i="17" s="1"/>
  <c r="CB32" i="11"/>
  <c r="H36" i="14" s="1" a="1"/>
  <c r="H36" i="14" s="1"/>
  <c r="CC42" i="11"/>
  <c r="I46" i="14" s="1" a="1"/>
  <c r="I46" i="14" s="1"/>
  <c r="CI46" i="11"/>
  <c r="O50" i="14" s="1" a="1"/>
  <c r="O50" i="14" s="1"/>
  <c r="CF32" i="11"/>
  <c r="L36" i="14" s="1" a="1"/>
  <c r="L36" i="14" s="1"/>
  <c r="CE32" i="11"/>
  <c r="K36" i="14" s="1" a="1"/>
  <c r="K36" i="14" s="1"/>
  <c r="CI42" i="11"/>
  <c r="O46" i="14" s="1" a="1"/>
  <c r="O46" i="14" s="1"/>
  <c r="CE46" i="11"/>
  <c r="K50" i="14" s="1" a="1"/>
  <c r="K50" i="14" s="1"/>
  <c r="CB42" i="11"/>
  <c r="H46" i="14" s="1" a="1"/>
  <c r="H46" i="14" s="1"/>
  <c r="CI32" i="11"/>
  <c r="O36" i="14" s="1" a="1"/>
  <c r="O36" i="14" s="1"/>
  <c r="CD32" i="11"/>
  <c r="J36" i="14" s="1" a="1"/>
  <c r="J36" i="14" s="1"/>
  <c r="I66" i="17" l="1"/>
  <c r="I68" i="17" s="1"/>
  <c r="CG34" i="11"/>
  <c r="M38" i="14" s="1" a="1"/>
  <c r="M38" i="14" s="1"/>
  <c r="CF42" i="11"/>
  <c r="L46" i="14" s="1" a="1"/>
  <c r="L46" i="14" s="1"/>
  <c r="CH34" i="11"/>
  <c r="N38" i="14" s="1" a="1"/>
  <c r="N38" i="14" s="1"/>
  <c r="CF34" i="11"/>
  <c r="L38" i="14" s="1" a="1"/>
  <c r="L38" i="14" s="1"/>
  <c r="CI34" i="11"/>
  <c r="O38" i="14" s="1" a="1"/>
  <c r="O38" i="14" s="1"/>
  <c r="CG32" i="11"/>
  <c r="M36" i="14" s="1" a="1"/>
  <c r="M36" i="14" s="1"/>
  <c r="CJ32" i="11"/>
  <c r="P36" i="14" s="1" a="1"/>
  <c r="P36" i="14" s="1"/>
  <c r="CJ34" i="11"/>
  <c r="P38" i="14" s="1" a="1"/>
  <c r="P38" i="14" s="1"/>
  <c r="BM32" i="11"/>
  <c r="BY32" i="11"/>
  <c r="CK32" i="11" s="1"/>
  <c r="Q36" i="14" s="1" a="1"/>
  <c r="Q36" i="14" s="1"/>
  <c r="BY34" i="11"/>
  <c r="CK34" i="11" s="1"/>
  <c r="Q38" i="14" s="1" a="1"/>
  <c r="Q38" i="14" s="1"/>
  <c r="BM34" i="11"/>
  <c r="CE34" i="11"/>
  <c r="K38" i="14" s="1" a="1"/>
  <c r="K38" i="14" s="1"/>
  <c r="CE42" i="11"/>
  <c r="K46" i="14" s="1" a="1"/>
  <c r="K46" i="14" s="1"/>
  <c r="BM41" i="11"/>
  <c r="CC32" i="11"/>
  <c r="I36" i="14" s="1" a="1"/>
  <c r="I36" i="14" s="1"/>
  <c r="CE37" i="11"/>
  <c r="K41" i="14" s="1" a="1"/>
  <c r="K41" i="14" s="1"/>
  <c r="BZ32" i="11"/>
  <c r="F36" i="14" s="1" a="1"/>
  <c r="F36" i="14" s="1"/>
  <c r="CJ41" i="11"/>
  <c r="P45" i="14" s="1" a="1"/>
  <c r="P45" i="14" s="1"/>
  <c r="CH46" i="11"/>
  <c r="N50" i="14" s="1" a="1"/>
  <c r="N50" i="14" s="1"/>
  <c r="BY42" i="11"/>
  <c r="CK42" i="11" s="1"/>
  <c r="Q46" i="14" s="1" a="1"/>
  <c r="Q46" i="14" s="1"/>
  <c r="BM42" i="11"/>
  <c r="CF35" i="11"/>
  <c r="L39" i="14" s="1" a="1"/>
  <c r="L39" i="14" s="1"/>
  <c r="CH42" i="11"/>
  <c r="N46" i="14" s="1" a="1"/>
  <c r="N46" i="14" s="1"/>
  <c r="CH35" i="11"/>
  <c r="N39" i="14" s="1" a="1"/>
  <c r="N39" i="14" s="1"/>
  <c r="BY35" i="11"/>
  <c r="CK35" i="11" s="1"/>
  <c r="Q39" i="14" s="1" a="1"/>
  <c r="Q39" i="14" s="1"/>
  <c r="BM35" i="11"/>
  <c r="CG42" i="11"/>
  <c r="M46" i="14" s="1" a="1"/>
  <c r="M46" i="14" s="1"/>
  <c r="CE35" i="11"/>
  <c r="K39" i="14" s="1" a="1"/>
  <c r="K39" i="14" s="1"/>
  <c r="CJ46" i="11"/>
  <c r="P50" i="14" s="1" a="1"/>
  <c r="P50" i="14" s="1"/>
  <c r="CG35" i="11"/>
  <c r="M39" i="14" s="1" a="1"/>
  <c r="M39" i="14" s="1"/>
  <c r="CG46" i="11"/>
  <c r="M50" i="14" s="1" a="1"/>
  <c r="M50" i="14" s="1"/>
  <c r="CJ42" i="11"/>
  <c r="P46" i="14" s="1" a="1"/>
  <c r="P46" i="14" s="1"/>
  <c r="BY46" i="11"/>
  <c r="CK46" i="11" s="1"/>
  <c r="Q50" i="14" s="1" a="1"/>
  <c r="Q50" i="14" s="1"/>
  <c r="BM46" i="11"/>
  <c r="CH32" i="11"/>
  <c r="N36" i="14" s="1" a="1"/>
  <c r="N36" i="14" s="1"/>
  <c r="BY41" i="11"/>
  <c r="CK41" i="11" s="1"/>
  <c r="Q45" i="14" s="1" a="1"/>
  <c r="Q45" i="14" s="1"/>
  <c r="CF46" i="11"/>
  <c r="L50" i="14" s="1" a="1"/>
  <c r="L50" i="14" s="1"/>
  <c r="CJ35" i="11"/>
  <c r="P39" i="14" s="1" a="1"/>
  <c r="P39" i="14" s="1"/>
  <c r="CI35" i="11"/>
  <c r="O39" i="14" s="1" a="1"/>
  <c r="O39" i="14" s="1"/>
  <c r="CA42" i="11"/>
  <c r="G46" i="14" s="1" a="1"/>
  <c r="G46" i="14" s="1"/>
  <c r="CA32" i="11"/>
  <c r="G36" i="14" s="1" a="1"/>
  <c r="G36" i="14" s="1"/>
  <c r="CC41" i="11"/>
  <c r="I45" i="14" s="1" a="1"/>
  <c r="I45" i="14" s="1"/>
  <c r="CB41" i="11"/>
  <c r="H45" i="14" s="1" a="1"/>
  <c r="H45" i="14" s="1"/>
  <c r="CD41" i="11"/>
  <c r="J45" i="14" s="1" a="1"/>
  <c r="J45" i="14" s="1"/>
  <c r="CD42" i="11"/>
  <c r="J46" i="14" s="1" a="1"/>
  <c r="J46" i="14" s="1"/>
  <c r="CD34" i="11"/>
  <c r="J38" i="14" s="1" a="1"/>
  <c r="J38" i="14" s="1"/>
  <c r="CC34" i="11"/>
  <c r="I38" i="14" s="1" a="1"/>
  <c r="I38" i="14" s="1"/>
  <c r="CB34" i="11"/>
  <c r="H38" i="14" s="1" a="1"/>
  <c r="H38" i="14" s="1"/>
  <c r="CA34" i="11"/>
  <c r="G38" i="14" s="1" a="1"/>
  <c r="G38" i="14" s="1"/>
  <c r="CC35" i="11"/>
  <c r="I39" i="14" s="1" a="1"/>
  <c r="I39" i="14" s="1"/>
  <c r="CA46" i="11"/>
  <c r="G50" i="14" s="1" a="1"/>
  <c r="G50" i="14" s="1"/>
  <c r="BZ35" i="11"/>
  <c r="F39" i="14" s="1" a="1"/>
  <c r="F39" i="14" s="1"/>
  <c r="CB35" i="11"/>
  <c r="H39" i="14" s="1" a="1"/>
  <c r="H39" i="14" s="1"/>
  <c r="CD35" i="11"/>
  <c r="J39" i="14" s="1" a="1"/>
  <c r="J39" i="14" s="1"/>
  <c r="CB46" i="11"/>
  <c r="H50" i="14" s="1" a="1"/>
  <c r="H50" i="14" s="1"/>
  <c r="CD46" i="11"/>
  <c r="J50" i="14" s="1" a="1"/>
  <c r="J50" i="14" s="1"/>
  <c r="CA35" i="11"/>
  <c r="G39" i="14" s="1" a="1"/>
  <c r="G39" i="14" s="1"/>
  <c r="BZ34" i="11"/>
  <c r="F38" i="14" s="1" a="1"/>
  <c r="F38" i="14" s="1"/>
  <c r="CC46" i="11"/>
  <c r="I50" i="14" s="1" a="1"/>
  <c r="I50" i="14" s="1"/>
  <c r="BZ46" i="11"/>
  <c r="F50" i="14" s="1" a="1"/>
  <c r="F50" i="14" s="1"/>
  <c r="I69" i="17" l="1"/>
  <c r="I70" i="17"/>
  <c r="I67" i="17"/>
  <c r="CH37" i="11"/>
  <c r="N41" i="14" s="1" a="1"/>
  <c r="N41" i="14" s="1"/>
  <c r="CI37" i="11"/>
  <c r="O41" i="14" s="1" a="1"/>
  <c r="O41" i="14" s="1"/>
  <c r="CJ37" i="11"/>
  <c r="P41" i="14" s="1" a="1"/>
  <c r="P41" i="14" s="1"/>
  <c r="CF37" i="11"/>
  <c r="L41" i="14" s="1" a="1"/>
  <c r="L41" i="14" s="1"/>
  <c r="CF41" i="11"/>
  <c r="L45" i="14" s="1" a="1"/>
  <c r="L45" i="14" s="1"/>
  <c r="CI41" i="11"/>
  <c r="O45" i="14" s="1" a="1"/>
  <c r="O45" i="14" s="1"/>
  <c r="CG37" i="11"/>
  <c r="M41" i="14" s="1" a="1"/>
  <c r="M41" i="14" s="1"/>
  <c r="CG41" i="11"/>
  <c r="M45" i="14" s="1" a="1"/>
  <c r="M45" i="14" s="1"/>
  <c r="BY37" i="11"/>
  <c r="CK37" i="11" s="1"/>
  <c r="Q41" i="14" s="1" a="1"/>
  <c r="Q41" i="14" s="1"/>
  <c r="BM37" i="11"/>
  <c r="CH41" i="11"/>
  <c r="N45" i="14" s="1" a="1"/>
  <c r="N45" i="14" s="1"/>
  <c r="CE41" i="11"/>
  <c r="K45" i="14" s="1" a="1"/>
  <c r="K45" i="14" s="1"/>
  <c r="BM43" i="11"/>
  <c r="BY43" i="11"/>
  <c r="CK43" i="11" s="1"/>
  <c r="Q47" i="14" s="1" a="1"/>
  <c r="Q47" i="14" s="1"/>
  <c r="CJ43" i="11"/>
  <c r="P47" i="14" s="1" a="1"/>
  <c r="P47" i="14" s="1"/>
  <c r="CI43" i="11"/>
  <c r="O47" i="14" s="1" a="1"/>
  <c r="O47" i="14" s="1"/>
  <c r="CF43" i="11"/>
  <c r="L47" i="14" s="1" a="1"/>
  <c r="L47" i="14" s="1"/>
  <c r="CE43" i="11"/>
  <c r="K47" i="14" s="1" a="1"/>
  <c r="K47" i="14" s="1"/>
  <c r="CG43" i="11"/>
  <c r="M47" i="14" s="1" a="1"/>
  <c r="M47" i="14" s="1"/>
  <c r="CH43" i="11"/>
  <c r="N47" i="14" s="1" a="1"/>
  <c r="N47" i="14" s="1"/>
  <c r="CA41" i="11"/>
  <c r="G45" i="14" s="1" a="1"/>
  <c r="G45" i="14" s="1"/>
  <c r="BZ37" i="11"/>
  <c r="F41" i="14" s="1" a="1"/>
  <c r="F41" i="14" s="1"/>
  <c r="CB37" i="11"/>
  <c r="H41" i="14" s="1" a="1"/>
  <c r="H41" i="14" s="1"/>
  <c r="CD37" i="11"/>
  <c r="J41" i="14" s="1" a="1"/>
  <c r="J41" i="14" s="1"/>
  <c r="CC37" i="11"/>
  <c r="I41" i="14" s="1" a="1"/>
  <c r="I41" i="14" s="1"/>
  <c r="CC43" i="11"/>
  <c r="I47" i="14" s="1" a="1"/>
  <c r="I47" i="14" s="1"/>
  <c r="CB43" i="11"/>
  <c r="H47" i="14" s="1" a="1"/>
  <c r="H47" i="14" s="1"/>
  <c r="CA37" i="11"/>
  <c r="G41" i="14" s="1" a="1"/>
  <c r="G41" i="14" s="1"/>
  <c r="CA43" i="11"/>
  <c r="G47" i="14" s="1" a="1"/>
  <c r="G47" i="14" s="1"/>
  <c r="CD43" i="11"/>
  <c r="J47" i="14" s="1" a="1"/>
  <c r="J47" i="14" s="1"/>
  <c r="I83" i="17" l="1"/>
  <c r="I114" i="17" s="1"/>
  <c r="I85" i="17"/>
  <c r="I116" i="17" s="1"/>
  <c r="I84" i="17"/>
  <c r="I82" i="17"/>
  <c r="I146" i="17" l="1"/>
  <c r="I113" i="17"/>
  <c r="I148" i="17"/>
  <c r="I115" i="17"/>
  <c r="I131" i="17"/>
  <c r="I147" i="17"/>
  <c r="I133" i="17"/>
  <c r="I149" i="17"/>
  <c r="Z82" i="17"/>
  <c r="I130" i="17"/>
  <c r="Z84" i="17"/>
  <c r="I132" i="17"/>
  <c r="Z85" i="17"/>
  <c r="Z62" i="17"/>
  <c r="Z68" i="17" s="1"/>
  <c r="J62" i="17" s="1"/>
  <c r="Z83" i="17"/>
  <c r="Z64" i="17"/>
  <c r="Z70" i="17" s="1"/>
  <c r="J64" i="17" s="1"/>
  <c r="Z63" i="17"/>
  <c r="Z69" i="17" s="1"/>
  <c r="J63" i="17" s="1"/>
  <c r="Z61" i="17"/>
  <c r="Z67" i="17" s="1"/>
  <c r="J61" i="17" s="1"/>
  <c r="I86" i="17"/>
  <c r="I117" i="17" s="1"/>
  <c r="Y131" i="17" l="1"/>
  <c r="Y147" i="17"/>
  <c r="Y132" i="17"/>
  <c r="Y148" i="17"/>
  <c r="Y133" i="17"/>
  <c r="Y149" i="17"/>
  <c r="Y130" i="17"/>
  <c r="Y146" i="17"/>
  <c r="J66" i="17"/>
  <c r="J65" i="17"/>
  <c r="Z86" i="17" s="1"/>
  <c r="CC15" i="11"/>
  <c r="I19" i="14" s="1" a="1"/>
  <c r="I19" i="14" s="1"/>
  <c r="J67" i="17" l="1"/>
  <c r="J69" i="17"/>
  <c r="J68" i="17"/>
  <c r="J70" i="17"/>
  <c r="CI13" i="11"/>
  <c r="O17" i="14" s="1" a="1"/>
  <c r="O17" i="14" s="1"/>
  <c r="CF16" i="11"/>
  <c r="L20" i="14" s="1" a="1"/>
  <c r="L20" i="14" s="1"/>
  <c r="BY13" i="11"/>
  <c r="CK13" i="11" s="1"/>
  <c r="Q17" i="14" s="1" a="1"/>
  <c r="Q17" i="14" s="1"/>
  <c r="BM13" i="11"/>
  <c r="CE16" i="11"/>
  <c r="K20" i="14" s="1" a="1"/>
  <c r="K20" i="14" s="1"/>
  <c r="CF12" i="11"/>
  <c r="L16" i="14" s="1" a="1"/>
  <c r="L16" i="14" s="1"/>
  <c r="CH16" i="11"/>
  <c r="N20" i="14" s="1" a="1"/>
  <c r="N20" i="14" s="1"/>
  <c r="CI12" i="11"/>
  <c r="O16" i="14" s="1" a="1"/>
  <c r="O16" i="14" s="1"/>
  <c r="CJ16" i="11"/>
  <c r="P20" i="14" s="1" a="1"/>
  <c r="P20" i="14" s="1"/>
  <c r="CH12" i="11"/>
  <c r="N16" i="14" s="1" a="1"/>
  <c r="N16" i="14" s="1"/>
  <c r="CE14" i="11"/>
  <c r="K18" i="14" s="1" a="1"/>
  <c r="K18" i="14" s="1"/>
  <c r="CE15" i="11"/>
  <c r="K19" i="14" s="1" a="1"/>
  <c r="K19" i="14" s="1"/>
  <c r="CE13" i="11"/>
  <c r="K17" i="14" s="1" a="1"/>
  <c r="K17" i="14" s="1"/>
  <c r="BY16" i="11"/>
  <c r="CK16" i="11" s="1"/>
  <c r="Q20" i="14" s="1" a="1"/>
  <c r="Q20" i="14" s="1"/>
  <c r="BM16" i="11"/>
  <c r="CJ13" i="11"/>
  <c r="P17" i="14" s="1" a="1"/>
  <c r="P17" i="14" s="1"/>
  <c r="CG16" i="11"/>
  <c r="M20" i="14" s="1" a="1"/>
  <c r="M20" i="14" s="1"/>
  <c r="CH13" i="11"/>
  <c r="N17" i="14" s="1" a="1"/>
  <c r="N17" i="14" s="1"/>
  <c r="CI15" i="11"/>
  <c r="O19" i="14" s="1" a="1"/>
  <c r="O19" i="14" s="1"/>
  <c r="CE12" i="11"/>
  <c r="K16" i="14" s="1" a="1"/>
  <c r="K16" i="14" s="1"/>
  <c r="CJ14" i="11"/>
  <c r="P18" i="14" s="1" a="1"/>
  <c r="P18" i="14" s="1"/>
  <c r="BY12" i="11"/>
  <c r="CK12" i="11" s="1"/>
  <c r="Q16" i="14" s="1" a="1"/>
  <c r="Q16" i="14" s="1"/>
  <c r="BM12" i="11"/>
  <c r="CI14" i="11"/>
  <c r="O18" i="14" s="1" a="1"/>
  <c r="O18" i="14" s="1"/>
  <c r="CJ15" i="11"/>
  <c r="P19" i="14" s="1" a="1"/>
  <c r="P19" i="14" s="1"/>
  <c r="CH14" i="11"/>
  <c r="N18" i="14" s="1" a="1"/>
  <c r="N18" i="14" s="1"/>
  <c r="CF15" i="11"/>
  <c r="L19" i="14" s="1" a="1"/>
  <c r="L19" i="14" s="1"/>
  <c r="CF13" i="11"/>
  <c r="L17" i="14" s="1" a="1"/>
  <c r="L17" i="14" s="1"/>
  <c r="CG15" i="11"/>
  <c r="M19" i="14" s="1" a="1"/>
  <c r="M19" i="14" s="1"/>
  <c r="CG13" i="11"/>
  <c r="M17" i="14" s="1" a="1"/>
  <c r="M17" i="14" s="1"/>
  <c r="CI16" i="11"/>
  <c r="O20" i="14" s="1" a="1"/>
  <c r="O20" i="14" s="1"/>
  <c r="CJ12" i="11"/>
  <c r="P16" i="14" s="1" a="1"/>
  <c r="P16" i="14" s="1"/>
  <c r="CF14" i="11"/>
  <c r="L18" i="14" s="1" a="1"/>
  <c r="L18" i="14" s="1"/>
  <c r="CH15" i="11"/>
  <c r="N19" i="14" s="1" a="1"/>
  <c r="N19" i="14" s="1"/>
  <c r="CG12" i="11"/>
  <c r="M16" i="14" s="1" a="1"/>
  <c r="M16" i="14" s="1"/>
  <c r="BY14" i="11"/>
  <c r="CK14" i="11" s="1"/>
  <c r="Q18" i="14" s="1" a="1"/>
  <c r="Q18" i="14" s="1"/>
  <c r="BM14" i="11"/>
  <c r="BM15" i="11"/>
  <c r="BY15" i="11"/>
  <c r="CK15" i="11" s="1"/>
  <c r="Q19" i="14" s="1" a="1"/>
  <c r="Q19" i="14" s="1"/>
  <c r="CG14" i="11"/>
  <c r="M18" i="14" s="1" a="1"/>
  <c r="M18" i="14" s="1"/>
  <c r="CC14" i="11"/>
  <c r="I18" i="14" s="1" a="1"/>
  <c r="I18" i="14" s="1"/>
  <c r="CC13" i="11"/>
  <c r="I17" i="14" s="1" a="1"/>
  <c r="I17" i="14" s="1"/>
  <c r="CD12" i="11"/>
  <c r="J16" i="14" s="1" a="1"/>
  <c r="J16" i="14" s="1"/>
  <c r="CA14" i="11"/>
  <c r="G18" i="14" s="1" a="1"/>
  <c r="G18" i="14" s="1"/>
  <c r="BZ13" i="11"/>
  <c r="F17" i="14" s="1" a="1"/>
  <c r="F17" i="14" s="1"/>
  <c r="CA12" i="11"/>
  <c r="G16" i="14" s="1" a="1"/>
  <c r="G16" i="14" s="1"/>
  <c r="CD16" i="11"/>
  <c r="J20" i="14" s="1" a="1"/>
  <c r="J20" i="14" s="1"/>
  <c r="CA15" i="11"/>
  <c r="G19" i="14" s="1" a="1"/>
  <c r="G19" i="14" s="1"/>
  <c r="CC12" i="11"/>
  <c r="I16" i="14" s="1" a="1"/>
  <c r="I16" i="14" s="1"/>
  <c r="CA16" i="11"/>
  <c r="G20" i="14" s="1" a="1"/>
  <c r="G20" i="14" s="1"/>
  <c r="CD15" i="11"/>
  <c r="J19" i="14" s="1" a="1"/>
  <c r="J19" i="14" s="1"/>
  <c r="CB13" i="11"/>
  <c r="H17" i="14" s="1" a="1"/>
  <c r="H17" i="14" s="1"/>
  <c r="CB14" i="11"/>
  <c r="H18" i="14" s="1" a="1"/>
  <c r="H18" i="14" s="1"/>
  <c r="F19" i="14" a="1"/>
  <c r="F19" i="14" s="1"/>
  <c r="CC16" i="11"/>
  <c r="I20" i="14" s="1" a="1"/>
  <c r="I20" i="14" s="1"/>
  <c r="CD14" i="11"/>
  <c r="J18" i="14" s="1" a="1"/>
  <c r="J18" i="14" s="1"/>
  <c r="CD13" i="11"/>
  <c r="J17" i="14" s="1" a="1"/>
  <c r="J17" i="14" s="1"/>
  <c r="BZ12" i="11"/>
  <c r="F16" i="14" s="1" a="1"/>
  <c r="F16" i="14" s="1"/>
  <c r="CB16" i="11"/>
  <c r="H20" i="14" s="1" a="1"/>
  <c r="H20" i="14" s="1"/>
  <c r="BZ14" i="11"/>
  <c r="F18" i="14" s="1" a="1"/>
  <c r="F18" i="14" s="1"/>
  <c r="CB12" i="11"/>
  <c r="H16" i="14" s="1" a="1"/>
  <c r="H16" i="14" s="1"/>
  <c r="F20" i="14" a="1"/>
  <c r="F20" i="14" s="1"/>
  <c r="CB15" i="11"/>
  <c r="H19" i="14" s="1" a="1"/>
  <c r="H19" i="14" s="1"/>
  <c r="CA13" i="11"/>
  <c r="G17" i="14" s="1" a="1"/>
  <c r="G17" i="14" s="1"/>
  <c r="H160" i="1"/>
  <c r="H159" i="1"/>
  <c r="H158" i="1"/>
  <c r="H157" i="1"/>
  <c r="H156" i="1"/>
  <c r="H155" i="1"/>
  <c r="H154" i="1"/>
  <c r="H153" i="1"/>
  <c r="H152" i="1"/>
  <c r="H151" i="1"/>
  <c r="H150" i="1"/>
  <c r="H149" i="1"/>
  <c r="G148" i="1"/>
  <c r="F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G135" i="1"/>
  <c r="F135" i="1"/>
  <c r="I135" i="1" s="1" a="1"/>
  <c r="I135" i="1" s="1"/>
  <c r="H134" i="1"/>
  <c r="H133" i="1"/>
  <c r="H132" i="1"/>
  <c r="H131" i="1"/>
  <c r="H130" i="1"/>
  <c r="H129" i="1"/>
  <c r="H128" i="1"/>
  <c r="H127" i="1"/>
  <c r="H126" i="1"/>
  <c r="H125" i="1"/>
  <c r="H124" i="1"/>
  <c r="H123" i="1"/>
  <c r="G122" i="1"/>
  <c r="F122" i="1"/>
  <c r="I122" i="1" s="1" a="1"/>
  <c r="I122" i="1" s="1"/>
  <c r="H121" i="1"/>
  <c r="H120" i="1"/>
  <c r="H119" i="1"/>
  <c r="H118" i="1"/>
  <c r="H117" i="1"/>
  <c r="H116" i="1"/>
  <c r="H115" i="1"/>
  <c r="H114" i="1"/>
  <c r="H113" i="1"/>
  <c r="H112" i="1"/>
  <c r="H111" i="1"/>
  <c r="H110" i="1"/>
  <c r="G109" i="1"/>
  <c r="F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G96" i="1"/>
  <c r="F96" i="1"/>
  <c r="H95" i="1"/>
  <c r="H94" i="1"/>
  <c r="H93" i="1"/>
  <c r="H92" i="1"/>
  <c r="H91" i="1"/>
  <c r="H90" i="1"/>
  <c r="H89" i="1"/>
  <c r="H88" i="1"/>
  <c r="H87" i="1"/>
  <c r="H86" i="1"/>
  <c r="H85" i="1"/>
  <c r="H84" i="1"/>
  <c r="G83" i="1"/>
  <c r="F83" i="1"/>
  <c r="H82" i="1"/>
  <c r="H81" i="1"/>
  <c r="H80" i="1"/>
  <c r="H79" i="1"/>
  <c r="H78" i="1"/>
  <c r="H77" i="1"/>
  <c r="H76" i="1"/>
  <c r="H75" i="1"/>
  <c r="H74" i="1"/>
  <c r="H73" i="1"/>
  <c r="H72" i="1"/>
  <c r="H71" i="1"/>
  <c r="G70" i="1"/>
  <c r="F70" i="1"/>
  <c r="H69" i="1"/>
  <c r="H68" i="1"/>
  <c r="H67" i="1"/>
  <c r="H66" i="1"/>
  <c r="H65" i="1"/>
  <c r="H64" i="1"/>
  <c r="H63" i="1"/>
  <c r="H62" i="1"/>
  <c r="H61" i="1"/>
  <c r="H60" i="1"/>
  <c r="H59" i="1"/>
  <c r="H58" i="1"/>
  <c r="G57" i="1"/>
  <c r="F57" i="1"/>
  <c r="I57" i="1" s="1" a="1"/>
  <c r="I57" i="1" s="1"/>
  <c r="H56" i="1"/>
  <c r="H55" i="1"/>
  <c r="H54" i="1"/>
  <c r="H53" i="1"/>
  <c r="H52" i="1"/>
  <c r="H51" i="1"/>
  <c r="H50" i="1"/>
  <c r="H49" i="1"/>
  <c r="H48" i="1"/>
  <c r="H47" i="1"/>
  <c r="H46" i="1"/>
  <c r="H45" i="1"/>
  <c r="G44" i="1"/>
  <c r="F44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G174" i="1"/>
  <c r="F174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G187" i="1"/>
  <c r="F187" i="1"/>
  <c r="I187" i="1" s="1" a="1"/>
  <c r="I187" i="1" s="1"/>
  <c r="H17" i="1"/>
  <c r="H16" i="1"/>
  <c r="H15" i="1"/>
  <c r="H14" i="1"/>
  <c r="H13" i="1"/>
  <c r="H12" i="1"/>
  <c r="H11" i="1"/>
  <c r="H10" i="1"/>
  <c r="H9" i="1"/>
  <c r="H8" i="1"/>
  <c r="H7" i="1"/>
  <c r="H6" i="1"/>
  <c r="G5" i="1"/>
  <c r="F5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G200" i="1"/>
  <c r="F200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G226" i="1"/>
  <c r="F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G213" i="1"/>
  <c r="F213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G239" i="1"/>
  <c r="F239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G408" i="1"/>
  <c r="F40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G265" i="1"/>
  <c r="F265" i="1"/>
  <c r="I265" i="1" s="1" a="1"/>
  <c r="I265" i="1" s="1"/>
  <c r="H264" i="1"/>
  <c r="H263" i="1"/>
  <c r="H262" i="1"/>
  <c r="H261" i="1"/>
  <c r="H260" i="1"/>
  <c r="H259" i="1"/>
  <c r="H258" i="1"/>
  <c r="H257" i="1"/>
  <c r="H256" i="1"/>
  <c r="H255" i="1"/>
  <c r="H254" i="1"/>
  <c r="H253" i="1"/>
  <c r="G252" i="1"/>
  <c r="F252" i="1"/>
  <c r="I252" i="1" s="1" a="1"/>
  <c r="I252" i="1" s="1"/>
  <c r="H329" i="1"/>
  <c r="H328" i="1"/>
  <c r="H327" i="1"/>
  <c r="H326" i="1"/>
  <c r="H325" i="1"/>
  <c r="H324" i="1"/>
  <c r="H323" i="1"/>
  <c r="H322" i="1"/>
  <c r="H321" i="1"/>
  <c r="H320" i="1"/>
  <c r="H319" i="1"/>
  <c r="H318" i="1"/>
  <c r="G317" i="1"/>
  <c r="F317" i="1"/>
  <c r="I317" i="1" s="1" a="1"/>
  <c r="I317" i="1" s="1"/>
  <c r="H407" i="1"/>
  <c r="H406" i="1"/>
  <c r="H405" i="1"/>
  <c r="H404" i="1"/>
  <c r="H403" i="1"/>
  <c r="H402" i="1"/>
  <c r="H401" i="1"/>
  <c r="H400" i="1"/>
  <c r="H399" i="1"/>
  <c r="H398" i="1"/>
  <c r="H397" i="1"/>
  <c r="H396" i="1"/>
  <c r="G395" i="1"/>
  <c r="F395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G369" i="1"/>
  <c r="F369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G382" i="1"/>
  <c r="F382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G356" i="1"/>
  <c r="F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G343" i="1"/>
  <c r="F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G330" i="1"/>
  <c r="F330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G304" i="1"/>
  <c r="F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G291" i="1"/>
  <c r="F291" i="1"/>
  <c r="I291" i="1" s="1" a="1"/>
  <c r="I291" i="1" s="1"/>
  <c r="H290" i="1"/>
  <c r="H289" i="1"/>
  <c r="H288" i="1"/>
  <c r="H287" i="1"/>
  <c r="H286" i="1"/>
  <c r="H285" i="1"/>
  <c r="H284" i="1"/>
  <c r="H283" i="1"/>
  <c r="H282" i="1"/>
  <c r="H281" i="1"/>
  <c r="H280" i="1"/>
  <c r="H279" i="1"/>
  <c r="G278" i="1"/>
  <c r="F278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G161" i="1"/>
  <c r="F161" i="1"/>
  <c r="H43" i="1"/>
  <c r="H42" i="1"/>
  <c r="H41" i="1"/>
  <c r="H40" i="1"/>
  <c r="H39" i="1"/>
  <c r="H38" i="1"/>
  <c r="H37" i="1"/>
  <c r="H36" i="1"/>
  <c r="H35" i="1"/>
  <c r="H34" i="1"/>
  <c r="H33" i="1"/>
  <c r="H32" i="1"/>
  <c r="G31" i="1"/>
  <c r="F31" i="1"/>
  <c r="H30" i="1"/>
  <c r="H29" i="1"/>
  <c r="H28" i="1"/>
  <c r="H27" i="1"/>
  <c r="H26" i="1"/>
  <c r="H25" i="1"/>
  <c r="H24" i="1"/>
  <c r="H23" i="1"/>
  <c r="H22" i="1"/>
  <c r="H21" i="1"/>
  <c r="H20" i="1"/>
  <c r="H19" i="1"/>
  <c r="G18" i="1"/>
  <c r="F1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G525" i="1"/>
  <c r="F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G512" i="1"/>
  <c r="F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G499" i="1"/>
  <c r="F499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G538" i="1"/>
  <c r="F538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G421" i="1"/>
  <c r="F421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G434" i="1"/>
  <c r="F434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G486" i="1"/>
  <c r="F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G473" i="1"/>
  <c r="F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G460" i="1"/>
  <c r="F460" i="1"/>
  <c r="I460" i="1" s="1" a="1"/>
  <c r="I460" i="1" s="1"/>
  <c r="H459" i="1"/>
  <c r="H458" i="1"/>
  <c r="H457" i="1"/>
  <c r="H456" i="1"/>
  <c r="H455" i="1"/>
  <c r="H454" i="1"/>
  <c r="H453" i="1"/>
  <c r="H452" i="1"/>
  <c r="H451" i="1"/>
  <c r="H450" i="1"/>
  <c r="H449" i="1"/>
  <c r="H448" i="1"/>
  <c r="G447" i="1"/>
  <c r="F447" i="1"/>
  <c r="I447" i="1" s="1" a="1"/>
  <c r="I447" i="1" s="1"/>
  <c r="N174" i="1" l="1" a="1"/>
  <c r="N174" i="1" s="1"/>
  <c r="S174" i="1" a="1"/>
  <c r="S174" i="1" s="1"/>
  <c r="P174" i="1" a="1"/>
  <c r="P174" i="1" s="1"/>
  <c r="O174" i="1" a="1"/>
  <c r="O174" i="1" s="1"/>
  <c r="T174" i="1" a="1"/>
  <c r="T174" i="1" s="1"/>
  <c r="Q174" i="1" a="1"/>
  <c r="Q174" i="1" s="1"/>
  <c r="R174" i="1" a="1"/>
  <c r="R174" i="1" s="1"/>
  <c r="N499" i="1" a="1"/>
  <c r="N499" i="1" s="1"/>
  <c r="T499" i="1" a="1"/>
  <c r="T499" i="1" s="1"/>
  <c r="P499" i="1" a="1"/>
  <c r="P499" i="1" s="1"/>
  <c r="O499" i="1" a="1"/>
  <c r="O499" i="1" s="1"/>
  <c r="R499" i="1" a="1"/>
  <c r="R499" i="1" s="1"/>
  <c r="Q499" i="1" a="1"/>
  <c r="Q499" i="1" s="1"/>
  <c r="S499" i="1" a="1"/>
  <c r="S499" i="1" s="1"/>
  <c r="N525" i="1" a="1"/>
  <c r="N525" i="1" s="1"/>
  <c r="P525" i="1" a="1"/>
  <c r="P525" i="1" s="1"/>
  <c r="O525" i="1" a="1"/>
  <c r="O525" i="1" s="1"/>
  <c r="T525" i="1" a="1"/>
  <c r="T525" i="1" s="1"/>
  <c r="S525" i="1" a="1"/>
  <c r="S525" i="1" s="1"/>
  <c r="Q525" i="1" a="1"/>
  <c r="Q525" i="1" s="1"/>
  <c r="R525" i="1" a="1"/>
  <c r="R525" i="1" s="1"/>
  <c r="N31" i="1" a="1"/>
  <c r="N31" i="1" s="1"/>
  <c r="S31" i="1" a="1"/>
  <c r="S31" i="1" s="1"/>
  <c r="O31" i="1" a="1"/>
  <c r="O31" i="1" s="1"/>
  <c r="R31" i="1" a="1"/>
  <c r="R31" i="1" s="1"/>
  <c r="P31" i="1" a="1"/>
  <c r="P31" i="1" s="1"/>
  <c r="Q31" i="1" a="1"/>
  <c r="Q31" i="1" s="1"/>
  <c r="T31" i="1" a="1"/>
  <c r="T31" i="1" s="1"/>
  <c r="P278" i="1" a="1"/>
  <c r="P278" i="1" s="1"/>
  <c r="Q278" i="1" a="1"/>
  <c r="Q278" i="1" s="1"/>
  <c r="R278" i="1" a="1"/>
  <c r="R278" i="1" s="1"/>
  <c r="O278" i="1" a="1"/>
  <c r="O278" i="1" s="1"/>
  <c r="T278" i="1" a="1"/>
  <c r="T278" i="1" s="1"/>
  <c r="S278" i="1" a="1"/>
  <c r="S278" i="1" s="1"/>
  <c r="L278" i="1" a="1"/>
  <c r="L278" i="1" s="1"/>
  <c r="N304" i="1" a="1"/>
  <c r="N304" i="1" s="1"/>
  <c r="Q304" i="1" a="1"/>
  <c r="Q304" i="1" s="1"/>
  <c r="S304" i="1" a="1"/>
  <c r="S304" i="1" s="1"/>
  <c r="T304" i="1" a="1"/>
  <c r="T304" i="1" s="1"/>
  <c r="P304" i="1" a="1"/>
  <c r="P304" i="1" s="1"/>
  <c r="R304" i="1" a="1"/>
  <c r="R304" i="1" s="1"/>
  <c r="O304" i="1" a="1"/>
  <c r="O304" i="1" s="1"/>
  <c r="P382" i="1" a="1"/>
  <c r="P382" i="1" s="1"/>
  <c r="Q382" i="1" a="1"/>
  <c r="Q382" i="1" s="1"/>
  <c r="R382" i="1" a="1"/>
  <c r="R382" i="1" s="1"/>
  <c r="O382" i="1" a="1"/>
  <c r="O382" i="1" s="1"/>
  <c r="T382" i="1" a="1"/>
  <c r="T382" i="1" s="1"/>
  <c r="S382" i="1" a="1"/>
  <c r="S382" i="1" s="1"/>
  <c r="T395" i="1" a="1"/>
  <c r="T395" i="1" s="1"/>
  <c r="O395" i="1" a="1"/>
  <c r="O395" i="1" s="1"/>
  <c r="P395" i="1" a="1"/>
  <c r="P395" i="1" s="1"/>
  <c r="Q395" i="1" a="1"/>
  <c r="Q395" i="1" s="1"/>
  <c r="S395" i="1" a="1"/>
  <c r="S395" i="1" s="1"/>
  <c r="R395" i="1" a="1"/>
  <c r="R395" i="1" s="1"/>
  <c r="J148" i="1" a="1"/>
  <c r="J148" i="1" s="1"/>
  <c r="I148" i="1" a="1"/>
  <c r="I148" i="1" s="1"/>
  <c r="N473" i="1" a="1"/>
  <c r="N473" i="1" s="1"/>
  <c r="P473" i="1" a="1"/>
  <c r="P473" i="1" s="1"/>
  <c r="O473" i="1" a="1"/>
  <c r="O473" i="1" s="1"/>
  <c r="S473" i="1" a="1"/>
  <c r="S473" i="1" s="1"/>
  <c r="R473" i="1" a="1"/>
  <c r="R473" i="1" s="1"/>
  <c r="Q473" i="1" a="1"/>
  <c r="Q473" i="1" s="1"/>
  <c r="T473" i="1" a="1"/>
  <c r="T473" i="1" s="1"/>
  <c r="N512" i="1" a="1"/>
  <c r="N512" i="1" s="1"/>
  <c r="S512" i="1" a="1"/>
  <c r="S512" i="1" s="1"/>
  <c r="Q512" i="1" a="1"/>
  <c r="Q512" i="1" s="1"/>
  <c r="T512" i="1" a="1"/>
  <c r="T512" i="1" s="1"/>
  <c r="P512" i="1" a="1"/>
  <c r="P512" i="1" s="1"/>
  <c r="R512" i="1" a="1"/>
  <c r="R512" i="1" s="1"/>
  <c r="O512" i="1" a="1"/>
  <c r="O512" i="1" s="1"/>
  <c r="N18" i="1" a="1"/>
  <c r="N18" i="1" s="1"/>
  <c r="O18" i="1" a="1"/>
  <c r="O18" i="1" s="1"/>
  <c r="Q18" i="1" a="1"/>
  <c r="Q18" i="1" s="1"/>
  <c r="S18" i="1" a="1"/>
  <c r="S18" i="1" s="1"/>
  <c r="R18" i="1" a="1"/>
  <c r="R18" i="1" s="1"/>
  <c r="T18" i="1" a="1"/>
  <c r="T18" i="1" s="1"/>
  <c r="P18" i="1" a="1"/>
  <c r="P18" i="1" s="1"/>
  <c r="N161" i="1" a="1"/>
  <c r="N161" i="1" s="1"/>
  <c r="P161" i="1" a="1"/>
  <c r="P161" i="1" s="1"/>
  <c r="T161" i="1" a="1"/>
  <c r="T161" i="1" s="1"/>
  <c r="R161" i="1" a="1"/>
  <c r="R161" i="1" s="1"/>
  <c r="Q161" i="1" a="1"/>
  <c r="Q161" i="1" s="1"/>
  <c r="O161" i="1" a="1"/>
  <c r="O161" i="1" s="1"/>
  <c r="S161" i="1" a="1"/>
  <c r="S161" i="1" s="1"/>
  <c r="S330" i="1" a="1"/>
  <c r="S330" i="1" s="1"/>
  <c r="Q330" i="1" a="1"/>
  <c r="Q330" i="1" s="1"/>
  <c r="P330" i="1" a="1"/>
  <c r="P330" i="1" s="1"/>
  <c r="R330" i="1" a="1"/>
  <c r="R330" i="1" s="1"/>
  <c r="O330" i="1" a="1"/>
  <c r="O330" i="1" s="1"/>
  <c r="T330" i="1" a="1"/>
  <c r="T330" i="1" s="1"/>
  <c r="T356" i="1" a="1"/>
  <c r="T356" i="1" s="1"/>
  <c r="R356" i="1" a="1"/>
  <c r="R356" i="1" s="1"/>
  <c r="O356" i="1" a="1"/>
  <c r="O356" i="1" s="1"/>
  <c r="Q356" i="1" a="1"/>
  <c r="Q356" i="1" s="1"/>
  <c r="P356" i="1" a="1"/>
  <c r="P356" i="1" s="1"/>
  <c r="S356" i="1" a="1"/>
  <c r="S356" i="1" s="1"/>
  <c r="N369" i="1" a="1"/>
  <c r="N369" i="1" s="1"/>
  <c r="O369" i="1" a="1"/>
  <c r="O369" i="1" s="1"/>
  <c r="P369" i="1" a="1"/>
  <c r="P369" i="1" s="1"/>
  <c r="R369" i="1" a="1"/>
  <c r="R369" i="1" s="1"/>
  <c r="S369" i="1" a="1"/>
  <c r="S369" i="1" s="1"/>
  <c r="Q369" i="1" a="1"/>
  <c r="Q369" i="1" s="1"/>
  <c r="T369" i="1" a="1"/>
  <c r="T369" i="1" s="1"/>
  <c r="R213" i="1" a="1"/>
  <c r="R213" i="1" s="1"/>
  <c r="S213" i="1" a="1"/>
  <c r="S213" i="1" s="1"/>
  <c r="T213" i="1" a="1"/>
  <c r="T213" i="1" s="1"/>
  <c r="P213" i="1" a="1"/>
  <c r="P213" i="1" s="1"/>
  <c r="O213" i="1" a="1"/>
  <c r="O213" i="1" s="1"/>
  <c r="Q213" i="1" a="1"/>
  <c r="Q213" i="1" s="1"/>
  <c r="J85" i="17"/>
  <c r="J116" i="17" s="1"/>
  <c r="J83" i="17"/>
  <c r="J84" i="17"/>
  <c r="J82" i="17"/>
  <c r="I330" i="1" a="1"/>
  <c r="I330" i="1" s="1"/>
  <c r="N330" i="1" a="1"/>
  <c r="N330" i="1" s="1"/>
  <c r="K330" i="1" a="1"/>
  <c r="K330" i="1" s="1"/>
  <c r="M330" i="1" a="1"/>
  <c r="M330" i="1" s="1"/>
  <c r="L330" i="1" a="1"/>
  <c r="L330" i="1" s="1"/>
  <c r="J330" i="1" a="1"/>
  <c r="J330" i="1" s="1"/>
  <c r="I356" i="1" a="1"/>
  <c r="I356" i="1" s="1"/>
  <c r="L356" i="1" a="1"/>
  <c r="L356" i="1" s="1"/>
  <c r="N356" i="1" a="1"/>
  <c r="N356" i="1" s="1"/>
  <c r="M356" i="1" a="1"/>
  <c r="M356" i="1" s="1"/>
  <c r="K356" i="1" a="1"/>
  <c r="K356" i="1" s="1"/>
  <c r="J356" i="1" a="1"/>
  <c r="J356" i="1" s="1"/>
  <c r="J109" i="1" a="1"/>
  <c r="J109" i="1" s="1"/>
  <c r="I109" i="1" a="1"/>
  <c r="I109" i="1" s="1"/>
  <c r="K109" i="1" a="1"/>
  <c r="K109" i="1" s="1"/>
  <c r="J135" i="1" a="1"/>
  <c r="J135" i="1" s="1"/>
  <c r="K135" i="1" a="1"/>
  <c r="K135" i="1" s="1"/>
  <c r="I486" i="1" a="1"/>
  <c r="I486" i="1" s="1"/>
  <c r="J486" i="1" a="1"/>
  <c r="J486" i="1" s="1"/>
  <c r="N382" i="1" a="1"/>
  <c r="N382" i="1" s="1"/>
  <c r="L382" i="1" a="1"/>
  <c r="L382" i="1" s="1"/>
  <c r="K382" i="1" a="1"/>
  <c r="K382" i="1" s="1"/>
  <c r="J382" i="1" a="1"/>
  <c r="J382" i="1" s="1"/>
  <c r="I382" i="1" a="1"/>
  <c r="I382" i="1" s="1"/>
  <c r="M382" i="1" a="1"/>
  <c r="M382" i="1" s="1"/>
  <c r="L395" i="1" a="1"/>
  <c r="L395" i="1" s="1"/>
  <c r="J395" i="1" a="1"/>
  <c r="J395" i="1" s="1"/>
  <c r="I395" i="1" a="1"/>
  <c r="I395" i="1" s="1"/>
  <c r="K395" i="1" a="1"/>
  <c r="K395" i="1" s="1"/>
  <c r="M395" i="1" a="1"/>
  <c r="M395" i="1" s="1"/>
  <c r="N395" i="1" a="1"/>
  <c r="N395" i="1" s="1"/>
  <c r="J44" i="1" a="1"/>
  <c r="J44" i="1" s="1"/>
  <c r="I44" i="1" a="1"/>
  <c r="I44" i="1" s="1"/>
  <c r="I96" i="1" a="1"/>
  <c r="I96" i="1" s="1"/>
  <c r="K96" i="1" a="1"/>
  <c r="K96" i="1" s="1"/>
  <c r="J96" i="1" a="1"/>
  <c r="J96" i="1" s="1"/>
  <c r="J122" i="1" a="1"/>
  <c r="J122" i="1" s="1"/>
  <c r="K122" i="1" a="1"/>
  <c r="K122" i="1" s="1"/>
  <c r="M278" i="1" a="1"/>
  <c r="M278" i="1" s="1"/>
  <c r="N278" i="1" a="1"/>
  <c r="N278" i="1" s="1"/>
  <c r="L213" i="1" a="1"/>
  <c r="L213" i="1" s="1"/>
  <c r="I213" i="1" a="1"/>
  <c r="I213" i="1" s="1"/>
  <c r="M213" i="1" a="1"/>
  <c r="M213" i="1" s="1"/>
  <c r="K213" i="1" a="1"/>
  <c r="K213" i="1" s="1"/>
  <c r="J213" i="1" a="1"/>
  <c r="J213" i="1" s="1"/>
  <c r="N213" i="1" a="1"/>
  <c r="N213" i="1" s="1"/>
  <c r="CI5" i="11"/>
  <c r="O9" i="14" s="1" a="1"/>
  <c r="O9" i="14" s="1"/>
  <c r="CF20" i="11"/>
  <c r="L24" i="14" s="1" a="1"/>
  <c r="L24" i="14" s="1"/>
  <c r="CE20" i="11"/>
  <c r="K24" i="14" s="1" a="1"/>
  <c r="K24" i="14" s="1"/>
  <c r="CJ20" i="11"/>
  <c r="P24" i="14" s="1" a="1"/>
  <c r="P24" i="14" s="1"/>
  <c r="CI20" i="11"/>
  <c r="O24" i="14" s="1" a="1"/>
  <c r="O24" i="14" s="1"/>
  <c r="CF5" i="11"/>
  <c r="L9" i="14" s="1" a="1"/>
  <c r="L9" i="14" s="1"/>
  <c r="CH20" i="11"/>
  <c r="N24" i="14" s="1" a="1"/>
  <c r="N24" i="14" s="1"/>
  <c r="CG20" i="11"/>
  <c r="M24" i="14" s="1" a="1"/>
  <c r="M24" i="14" s="1"/>
  <c r="CH5" i="11"/>
  <c r="N9" i="14" s="1" a="1"/>
  <c r="N9" i="14" s="1"/>
  <c r="BY20" i="11"/>
  <c r="CK20" i="11" s="1"/>
  <c r="Q24" i="14" s="1" a="1"/>
  <c r="Q24" i="14" s="1"/>
  <c r="BM20" i="11"/>
  <c r="BZ20" i="11"/>
  <c r="F24" i="14" s="1" a="1"/>
  <c r="F24" i="14" s="1"/>
  <c r="I304" i="1" a="1"/>
  <c r="I304" i="1" s="1"/>
  <c r="L304" i="1" a="1"/>
  <c r="L304" i="1" s="1"/>
  <c r="M304" i="1" a="1"/>
  <c r="M304" i="1" s="1"/>
  <c r="K304" i="1" a="1"/>
  <c r="K304" i="1" s="1"/>
  <c r="J304" i="1" a="1"/>
  <c r="J304" i="1" s="1"/>
  <c r="L408" i="1" a="1"/>
  <c r="L408" i="1" s="1"/>
  <c r="M408" i="1" a="1"/>
  <c r="M408" i="1" s="1"/>
  <c r="J408" i="1" a="1"/>
  <c r="J408" i="1" s="1"/>
  <c r="K408" i="1" a="1"/>
  <c r="K408" i="1" s="1"/>
  <c r="I408" i="1" a="1"/>
  <c r="I408" i="1" s="1"/>
  <c r="K200" i="1" a="1"/>
  <c r="K200" i="1" s="1"/>
  <c r="L200" i="1" a="1"/>
  <c r="L200" i="1" s="1"/>
  <c r="M200" i="1" a="1"/>
  <c r="M200" i="1" s="1"/>
  <c r="I200" i="1" a="1"/>
  <c r="I200" i="1" s="1"/>
  <c r="J200" i="1" a="1"/>
  <c r="J200" i="1" s="1"/>
  <c r="L473" i="1" a="1"/>
  <c r="L473" i="1" s="1"/>
  <c r="M473" i="1" a="1"/>
  <c r="M473" i="1" s="1"/>
  <c r="I473" i="1" a="1"/>
  <c r="I473" i="1" s="1"/>
  <c r="J473" i="1" a="1"/>
  <c r="J473" i="1" s="1"/>
  <c r="K473" i="1" a="1"/>
  <c r="K473" i="1" s="1"/>
  <c r="K512" i="1" a="1"/>
  <c r="K512" i="1" s="1"/>
  <c r="I512" i="1" a="1"/>
  <c r="I512" i="1" s="1"/>
  <c r="M512" i="1" a="1"/>
  <c r="M512" i="1" s="1"/>
  <c r="J512" i="1" a="1"/>
  <c r="J512" i="1" s="1"/>
  <c r="L512" i="1" a="1"/>
  <c r="L512" i="1" s="1"/>
  <c r="I18" i="1" a="1"/>
  <c r="I18" i="1" s="1"/>
  <c r="L18" i="1" a="1"/>
  <c r="L18" i="1" s="1"/>
  <c r="J18" i="1" a="1"/>
  <c r="J18" i="1" s="1"/>
  <c r="M18" i="1" a="1"/>
  <c r="M18" i="1" s="1"/>
  <c r="K18" i="1" a="1"/>
  <c r="K18" i="1" s="1"/>
  <c r="K161" i="1" a="1"/>
  <c r="K161" i="1" s="1"/>
  <c r="M161" i="1" a="1"/>
  <c r="M161" i="1" s="1"/>
  <c r="L161" i="1" a="1"/>
  <c r="L161" i="1" s="1"/>
  <c r="I161" i="1" a="1"/>
  <c r="I161" i="1" s="1"/>
  <c r="J161" i="1" a="1"/>
  <c r="J161" i="1" s="1"/>
  <c r="L369" i="1" a="1"/>
  <c r="L369" i="1" s="1"/>
  <c r="I369" i="1" a="1"/>
  <c r="I369" i="1" s="1"/>
  <c r="M369" i="1" a="1"/>
  <c r="M369" i="1" s="1"/>
  <c r="J369" i="1" a="1"/>
  <c r="J369" i="1" s="1"/>
  <c r="K369" i="1" a="1"/>
  <c r="K369" i="1" s="1"/>
  <c r="I5" i="1" a="1"/>
  <c r="I5" i="1" s="1"/>
  <c r="M5" i="1" a="1"/>
  <c r="M5" i="1" s="1"/>
  <c r="L5" i="1" a="1"/>
  <c r="L5" i="1" s="1"/>
  <c r="K5" i="1" a="1"/>
  <c r="K5" i="1" s="1"/>
  <c r="J5" i="1" a="1"/>
  <c r="J5" i="1" s="1"/>
  <c r="J174" i="1" a="1"/>
  <c r="J174" i="1" s="1"/>
  <c r="I174" i="1" a="1"/>
  <c r="I174" i="1" s="1"/>
  <c r="M174" i="1" a="1"/>
  <c r="M174" i="1" s="1"/>
  <c r="L174" i="1" a="1"/>
  <c r="L174" i="1" s="1"/>
  <c r="K174" i="1" a="1"/>
  <c r="K174" i="1" s="1"/>
  <c r="K83" i="1" a="1"/>
  <c r="K83" i="1" s="1"/>
  <c r="J83" i="1" a="1"/>
  <c r="J83" i="1" s="1"/>
  <c r="L83" i="1" a="1"/>
  <c r="L83" i="1" s="1"/>
  <c r="J499" i="1" a="1"/>
  <c r="J499" i="1" s="1"/>
  <c r="K499" i="1" a="1"/>
  <c r="K499" i="1" s="1"/>
  <c r="L499" i="1" a="1"/>
  <c r="L499" i="1" s="1"/>
  <c r="M499" i="1" a="1"/>
  <c r="M499" i="1" s="1"/>
  <c r="I499" i="1" a="1"/>
  <c r="I499" i="1" s="1"/>
  <c r="J525" i="1" a="1"/>
  <c r="J525" i="1" s="1"/>
  <c r="M525" i="1" a="1"/>
  <c r="M525" i="1" s="1"/>
  <c r="K525" i="1" a="1"/>
  <c r="K525" i="1" s="1"/>
  <c r="L525" i="1" a="1"/>
  <c r="L525" i="1" s="1"/>
  <c r="I525" i="1" a="1"/>
  <c r="I525" i="1" s="1"/>
  <c r="I31" i="1" a="1"/>
  <c r="I31" i="1" s="1"/>
  <c r="K31" i="1" a="1"/>
  <c r="K31" i="1" s="1"/>
  <c r="L31" i="1" a="1"/>
  <c r="L31" i="1" s="1"/>
  <c r="J31" i="1" a="1"/>
  <c r="J31" i="1" s="1"/>
  <c r="M31" i="1" a="1"/>
  <c r="M31" i="1" s="1"/>
  <c r="CD5" i="11"/>
  <c r="J9" i="14" s="1" a="1"/>
  <c r="J9" i="14" s="1"/>
  <c r="G9" i="14" a="1"/>
  <c r="G9" i="14" s="1"/>
  <c r="CB20" i="11"/>
  <c r="H24" i="14" s="1" a="1"/>
  <c r="H24" i="14" s="1"/>
  <c r="CA20" i="11"/>
  <c r="G24" i="14" s="1" a="1"/>
  <c r="G24" i="14" s="1"/>
  <c r="CD20" i="11"/>
  <c r="J24" i="14" s="1" a="1"/>
  <c r="J24" i="14" s="1"/>
  <c r="CC20" i="11"/>
  <c r="I24" i="14" s="1" a="1"/>
  <c r="I24" i="14" s="1"/>
  <c r="CC5" i="11"/>
  <c r="I9" i="14" s="1" a="1"/>
  <c r="I9" i="14" s="1"/>
  <c r="H291" i="1"/>
  <c r="H421" i="1"/>
  <c r="H304" i="1"/>
  <c r="H70" i="1"/>
  <c r="H408" i="1"/>
  <c r="H200" i="1"/>
  <c r="H473" i="1"/>
  <c r="H486" i="1"/>
  <c r="H31" i="1"/>
  <c r="H382" i="1"/>
  <c r="H109" i="1"/>
  <c r="H512" i="1"/>
  <c r="H525" i="1"/>
  <c r="H18" i="1"/>
  <c r="H538" i="1"/>
  <c r="H499" i="1"/>
  <c r="H317" i="1"/>
  <c r="H356" i="1"/>
  <c r="H239" i="1"/>
  <c r="H5" i="1"/>
  <c r="H226" i="1"/>
  <c r="H148" i="1"/>
  <c r="H434" i="1"/>
  <c r="H447" i="1"/>
  <c r="H460" i="1"/>
  <c r="H330" i="1"/>
  <c r="H343" i="1"/>
  <c r="H161" i="1"/>
  <c r="H278" i="1"/>
  <c r="H369" i="1"/>
  <c r="H395" i="1"/>
  <c r="H252" i="1"/>
  <c r="H174" i="1"/>
  <c r="H96" i="1"/>
  <c r="H57" i="1"/>
  <c r="H265" i="1"/>
  <c r="H187" i="1"/>
  <c r="H213" i="1"/>
  <c r="H122" i="1"/>
  <c r="H44" i="1"/>
  <c r="H83" i="1"/>
  <c r="H135" i="1"/>
  <c r="J146" i="17" l="1"/>
  <c r="J113" i="17"/>
  <c r="J148" i="17"/>
  <c r="J115" i="17"/>
  <c r="J147" i="17"/>
  <c r="J114" i="17"/>
  <c r="J133" i="17"/>
  <c r="J149" i="17"/>
  <c r="AA82" i="17"/>
  <c r="J130" i="17"/>
  <c r="AA84" i="17"/>
  <c r="J132" i="17"/>
  <c r="AA83" i="17"/>
  <c r="J131" i="17"/>
  <c r="AA64" i="17"/>
  <c r="AA70" i="17" s="1"/>
  <c r="K64" i="17" s="1"/>
  <c r="AA85" i="17"/>
  <c r="AA63" i="17"/>
  <c r="AA62" i="17"/>
  <c r="J86" i="17"/>
  <c r="J117" i="17" s="1"/>
  <c r="AA61" i="17"/>
  <c r="O6" i="14"/>
  <c r="O1" i="20" s="1"/>
  <c r="CE5" i="11"/>
  <c r="K9" i="14" s="1" a="1"/>
  <c r="K9" i="14" s="1"/>
  <c r="K6" i="14" s="1"/>
  <c r="K1" i="20" s="1"/>
  <c r="CJ5" i="11"/>
  <c r="P9" i="14" s="1" a="1"/>
  <c r="P9" i="14" s="1"/>
  <c r="P6" i="14" s="1"/>
  <c r="P1" i="20" s="1"/>
  <c r="CG5" i="11"/>
  <c r="M9" i="14" s="1" a="1"/>
  <c r="M9" i="14" s="1"/>
  <c r="M6" i="14" s="1"/>
  <c r="M1" i="20" s="1"/>
  <c r="BM5" i="11"/>
  <c r="BY5" i="11"/>
  <c r="CK5" i="11" s="1"/>
  <c r="Q9" i="14" s="1" a="1"/>
  <c r="Q9" i="14" s="1"/>
  <c r="Q6" i="14" s="1"/>
  <c r="Q1" i="20" s="1"/>
  <c r="L6" i="14"/>
  <c r="L1" i="20" s="1"/>
  <c r="N6" i="14"/>
  <c r="N1" i="20" s="1"/>
  <c r="CB5" i="11"/>
  <c r="H9" i="14" s="1" a="1"/>
  <c r="H9" i="14" s="1"/>
  <c r="H6" i="14" s="1"/>
  <c r="H1" i="20" s="1"/>
  <c r="G6" i="14"/>
  <c r="G1" i="20" s="1"/>
  <c r="J6" i="14"/>
  <c r="J1" i="20" s="1"/>
  <c r="I6" i="14"/>
  <c r="I1" i="20" s="1"/>
  <c r="Z133" i="17" l="1"/>
  <c r="Z149" i="17"/>
  <c r="Z131" i="17"/>
  <c r="Z147" i="17"/>
  <c r="Z130" i="17"/>
  <c r="Z146" i="17"/>
  <c r="Z132" i="17"/>
  <c r="Z148" i="17"/>
  <c r="AA68" i="17"/>
  <c r="K62" i="17" s="1"/>
  <c r="AA67" i="17"/>
  <c r="K61" i="17" s="1"/>
  <c r="AA69" i="17"/>
  <c r="K63" i="17" s="1"/>
  <c r="BZ42" i="11"/>
  <c r="F46" i="14" s="1" a="1"/>
  <c r="F46" i="14" s="1"/>
  <c r="BZ39" i="11"/>
  <c r="F43" i="14" s="1" a="1"/>
  <c r="F43" i="14" s="1"/>
  <c r="BZ40" i="11"/>
  <c r="F44" i="14" s="1" a="1"/>
  <c r="F44" i="14" s="1"/>
  <c r="K66" i="17" l="1"/>
  <c r="K65" i="17"/>
  <c r="AA86" i="17" s="1"/>
  <c r="BZ29" i="11"/>
  <c r="F33" i="14" s="1" a="1"/>
  <c r="F33" i="14" s="1"/>
  <c r="BZ7" i="11"/>
  <c r="F11" i="14" s="1" a="1"/>
  <c r="F11" i="14" s="1"/>
  <c r="K70" i="17" l="1"/>
  <c r="K69" i="17"/>
  <c r="BZ18" i="11"/>
  <c r="F22" i="14" s="1" a="1"/>
  <c r="F22" i="14" s="1"/>
  <c r="BZ44" i="11"/>
  <c r="F48" i="14" s="1" a="1"/>
  <c r="F48" i="14" s="1"/>
  <c r="BZ33" i="11"/>
  <c r="F37" i="14" s="1" a="1"/>
  <c r="F37" i="14" s="1"/>
  <c r="BZ17" i="11"/>
  <c r="F21" i="14" s="1" a="1"/>
  <c r="F21" i="14" s="1"/>
  <c r="BZ43" i="11"/>
  <c r="F47" i="14" s="1" a="1"/>
  <c r="F47" i="14" s="1"/>
  <c r="BZ41" i="11"/>
  <c r="F45" i="14" s="1" a="1"/>
  <c r="F45" i="14" s="1"/>
  <c r="BZ45" i="11"/>
  <c r="F49" i="14" s="1" a="1"/>
  <c r="F49" i="14" s="1"/>
  <c r="BZ28" i="11"/>
  <c r="F32" i="14" s="1" a="1"/>
  <c r="F32" i="14" s="1"/>
  <c r="F6" i="14" l="1"/>
  <c r="F1" i="20" s="1"/>
  <c r="K67" i="17"/>
  <c r="K68" i="17"/>
  <c r="K85" i="17" l="1"/>
  <c r="K83" i="17"/>
  <c r="K114" i="17" s="1"/>
  <c r="K82" i="17"/>
  <c r="K84" i="17"/>
  <c r="K115" i="17" s="1"/>
  <c r="R4" i="14"/>
  <c r="F51" i="14" s="1"/>
  <c r="M51" i="14" l="1"/>
  <c r="N51" i="14"/>
  <c r="L51" i="14"/>
  <c r="H51" i="14"/>
  <c r="K146" i="17"/>
  <c r="K113" i="17"/>
  <c r="K149" i="17"/>
  <c r="K116" i="17"/>
  <c r="AB64" i="17"/>
  <c r="K132" i="17"/>
  <c r="K148" i="17"/>
  <c r="AB62" i="17"/>
  <c r="K147" i="17"/>
  <c r="AB82" i="17"/>
  <c r="K130" i="17"/>
  <c r="AB83" i="17"/>
  <c r="K131" i="17"/>
  <c r="AB85" i="17"/>
  <c r="K133" i="17"/>
  <c r="AB84" i="17"/>
  <c r="AB61" i="17"/>
  <c r="AB67" i="17" s="1"/>
  <c r="L61" i="17" s="1"/>
  <c r="K86" i="17"/>
  <c r="K117" i="17" s="1"/>
  <c r="AB63" i="17"/>
  <c r="AB69" i="17" s="1"/>
  <c r="L63" i="17" s="1"/>
  <c r="AB68" i="17"/>
  <c r="L62" i="17" s="1"/>
  <c r="AB70" i="17"/>
  <c r="L64" i="17" s="1"/>
  <c r="Q51" i="14"/>
  <c r="J51" i="14"/>
  <c r="I51" i="14"/>
  <c r="K51" i="14"/>
  <c r="G51" i="14"/>
  <c r="P51" i="14"/>
  <c r="O51" i="14"/>
  <c r="T150" i="17"/>
  <c r="AA132" i="17" l="1"/>
  <c r="AA148" i="17"/>
  <c r="AA131" i="17"/>
  <c r="AA147" i="17"/>
  <c r="AA133" i="17"/>
  <c r="AA149" i="17"/>
  <c r="AA130" i="17"/>
  <c r="AA146" i="17"/>
  <c r="L65" i="17"/>
  <c r="AB86" i="17" s="1"/>
  <c r="R51" i="14"/>
  <c r="D150" i="17"/>
  <c r="L66" i="17" l="1"/>
  <c r="L67" i="17" l="1"/>
  <c r="L69" i="17"/>
  <c r="L68" i="17"/>
  <c r="L70" i="17"/>
  <c r="L84" i="17" l="1"/>
  <c r="L85" i="17"/>
  <c r="L116" i="17" s="1"/>
  <c r="L83" i="17"/>
  <c r="L82" i="17"/>
  <c r="L146" i="17" l="1"/>
  <c r="L113" i="17"/>
  <c r="L147" i="17"/>
  <c r="L114" i="17"/>
  <c r="L148" i="17"/>
  <c r="L115" i="17"/>
  <c r="L133" i="17"/>
  <c r="L149" i="17"/>
  <c r="AC82" i="17"/>
  <c r="L130" i="17"/>
  <c r="AC83" i="17"/>
  <c r="L131" i="17"/>
  <c r="AC84" i="17"/>
  <c r="L132" i="17"/>
  <c r="AC64" i="17"/>
  <c r="AC70" i="17" s="1"/>
  <c r="M64" i="17" s="1"/>
  <c r="AC85" i="17"/>
  <c r="AC63" i="17"/>
  <c r="AC69" i="17" s="1"/>
  <c r="M63" i="17" s="1"/>
  <c r="AC62" i="17"/>
  <c r="L86" i="17"/>
  <c r="L117" i="17" s="1"/>
  <c r="AC61" i="17"/>
  <c r="AB133" i="17" l="1"/>
  <c r="AB149" i="17"/>
  <c r="AB132" i="17"/>
  <c r="AB148" i="17"/>
  <c r="AB130" i="17"/>
  <c r="AB146" i="17"/>
  <c r="AB131" i="17"/>
  <c r="AB147" i="17"/>
  <c r="AC68" i="17"/>
  <c r="M62" i="17" s="1"/>
  <c r="AC67" i="17"/>
  <c r="M61" i="17" s="1"/>
  <c r="M66" i="17" l="1"/>
  <c r="M65" i="17"/>
  <c r="AC86" i="17" s="1"/>
  <c r="M68" i="17" l="1"/>
  <c r="M70" i="17" l="1"/>
  <c r="M69" i="17"/>
  <c r="M67" i="17"/>
  <c r="M84" i="17" l="1"/>
  <c r="M115" i="17" s="1"/>
  <c r="M83" i="17"/>
  <c r="M114" i="17" s="1"/>
  <c r="M82" i="17"/>
  <c r="M85" i="17"/>
  <c r="M149" i="17" l="1"/>
  <c r="M116" i="17"/>
  <c r="M146" i="17"/>
  <c r="M113" i="17"/>
  <c r="M131" i="17"/>
  <c r="M147" i="17"/>
  <c r="AD63" i="17"/>
  <c r="AD69" i="17" s="1"/>
  <c r="N63" i="17" s="1"/>
  <c r="M148" i="17"/>
  <c r="AD82" i="17"/>
  <c r="M130" i="17"/>
  <c r="AD85" i="17"/>
  <c r="M133" i="17"/>
  <c r="AD61" i="17"/>
  <c r="AD67" i="17" s="1"/>
  <c r="N61" i="17" s="1"/>
  <c r="AD84" i="17"/>
  <c r="M132" i="17"/>
  <c r="AD62" i="17"/>
  <c r="AD68" i="17" s="1"/>
  <c r="N62" i="17" s="1"/>
  <c r="AD83" i="17"/>
  <c r="AD64" i="17"/>
  <c r="AD70" i="17" s="1"/>
  <c r="N64" i="17" s="1"/>
  <c r="M86" i="17"/>
  <c r="M117" i="17" s="1"/>
  <c r="AC133" i="17" l="1"/>
  <c r="AC149" i="17"/>
  <c r="AC132" i="17"/>
  <c r="AC148" i="17"/>
  <c r="AC130" i="17"/>
  <c r="AC146" i="17"/>
  <c r="AC131" i="17"/>
  <c r="AC147" i="17"/>
  <c r="N66" i="17"/>
  <c r="N65" i="17"/>
  <c r="N69" i="17" l="1"/>
  <c r="N70" i="17"/>
  <c r="N67" i="17"/>
  <c r="N68" i="17"/>
  <c r="AD86" i="17"/>
  <c r="N83" i="17" l="1"/>
  <c r="N114" i="17" s="1"/>
  <c r="N82" i="17"/>
  <c r="N85" i="17"/>
  <c r="N84" i="17"/>
  <c r="N148" i="17" l="1"/>
  <c r="N115" i="17"/>
  <c r="N149" i="17"/>
  <c r="N116" i="17"/>
  <c r="N146" i="17"/>
  <c r="N113" i="17"/>
  <c r="N131" i="17"/>
  <c r="N147" i="17"/>
  <c r="AE85" i="17"/>
  <c r="N133" i="17"/>
  <c r="AE84" i="17"/>
  <c r="N132" i="17"/>
  <c r="AE82" i="17"/>
  <c r="N130" i="17"/>
  <c r="AE62" i="17"/>
  <c r="AE68" i="17" s="1"/>
  <c r="O62" i="17" s="1"/>
  <c r="AE83" i="17"/>
  <c r="AE63" i="17"/>
  <c r="AE69" i="17" s="1"/>
  <c r="O63" i="17" s="1"/>
  <c r="AE64" i="17"/>
  <c r="AE70" i="17" s="1"/>
  <c r="O64" i="17" s="1"/>
  <c r="N86" i="17"/>
  <c r="N117" i="17" s="1"/>
  <c r="AE61" i="17"/>
  <c r="AE67" i="17" s="1"/>
  <c r="O61" i="17" s="1"/>
  <c r="AD130" i="17" l="1"/>
  <c r="AD146" i="17"/>
  <c r="AD133" i="17"/>
  <c r="AD149" i="17"/>
  <c r="AD132" i="17"/>
  <c r="AD148" i="17"/>
  <c r="AD131" i="17"/>
  <c r="AD147" i="17"/>
  <c r="P62" i="17"/>
  <c r="P64" i="17"/>
  <c r="O65" i="17"/>
  <c r="O66" i="17" s="1"/>
  <c r="P61" i="17"/>
  <c r="P63" i="17"/>
  <c r="P65" i="17" l="1"/>
  <c r="AE86" i="17"/>
  <c r="O70" i="17" l="1"/>
  <c r="O68" i="17"/>
  <c r="O67" i="17"/>
  <c r="O69" i="17"/>
  <c r="O84" i="17" l="1"/>
  <c r="O83" i="17"/>
  <c r="O82" i="17"/>
  <c r="O113" i="17" s="1"/>
  <c r="P113" i="17" s="1"/>
  <c r="O85" i="17"/>
  <c r="O149" i="17" l="1"/>
  <c r="O116" i="17"/>
  <c r="P116" i="17" s="1"/>
  <c r="O147" i="17"/>
  <c r="O114" i="17"/>
  <c r="P114" i="17" s="1"/>
  <c r="O148" i="17"/>
  <c r="O115" i="17"/>
  <c r="P115" i="17" s="1"/>
  <c r="O130" i="17"/>
  <c r="O146" i="17"/>
  <c r="P85" i="17"/>
  <c r="O133" i="17"/>
  <c r="P83" i="17"/>
  <c r="O131" i="17"/>
  <c r="P84" i="17"/>
  <c r="O132" i="17"/>
  <c r="O86" i="17"/>
  <c r="P82" i="17"/>
  <c r="U90" i="17"/>
  <c r="E74" i="17" s="1"/>
  <c r="P86" i="17" l="1"/>
  <c r="O117" i="17"/>
  <c r="P117" i="17" s="1"/>
  <c r="E138" i="17"/>
  <c r="E105" i="17"/>
  <c r="J157" i="17" s="1"/>
  <c r="AE132" i="17"/>
  <c r="AE148" i="17"/>
  <c r="AE133" i="17"/>
  <c r="AE149" i="17"/>
  <c r="AE131" i="17"/>
  <c r="AE147" i="17"/>
  <c r="AE130" i="17"/>
  <c r="AE146" i="17"/>
  <c r="V74" i="17"/>
  <c r="V90" i="17" s="1"/>
  <c r="F74" i="17" s="1"/>
  <c r="F105" i="17" s="1"/>
  <c r="N157" i="17" s="1"/>
  <c r="E122" i="17"/>
  <c r="E150" i="17"/>
  <c r="U122" i="17" l="1"/>
  <c r="U138" i="17"/>
  <c r="U150" i="17" s="1"/>
  <c r="F138" i="17"/>
  <c r="F150" i="17" s="1"/>
  <c r="F122" i="17"/>
  <c r="W74" i="17"/>
  <c r="W90" i="17" s="1"/>
  <c r="G74" i="17" s="1"/>
  <c r="G105" i="17" s="1"/>
  <c r="S157" i="17" s="1"/>
  <c r="G138" i="17" l="1"/>
  <c r="G150" i="17" s="1"/>
  <c r="V122" i="17"/>
  <c r="V138" i="17"/>
  <c r="V150" i="17" s="1"/>
  <c r="G122" i="17"/>
  <c r="X74" i="17"/>
  <c r="W122" i="17" l="1"/>
  <c r="W138" i="17"/>
  <c r="W150" i="17" s="1"/>
  <c r="X90" i="17"/>
  <c r="H74" i="17" s="1"/>
  <c r="H105" i="17" s="1"/>
  <c r="H122" i="17" l="1"/>
  <c r="H138" i="17"/>
  <c r="H150" i="17" s="1"/>
  <c r="Y74" i="17"/>
  <c r="X122" i="17" l="1"/>
  <c r="X138" i="17"/>
  <c r="X150" i="17" s="1"/>
  <c r="Y90" i="17"/>
  <c r="I74" i="17" s="1"/>
  <c r="I138" i="17" l="1"/>
  <c r="I105" i="17"/>
  <c r="Z74" i="17"/>
  <c r="Z90" i="17" s="1"/>
  <c r="J74" i="17" s="1"/>
  <c r="J105" i="17" s="1"/>
  <c r="I122" i="17"/>
  <c r="I150" i="17"/>
  <c r="J138" i="17" l="1"/>
  <c r="J150" i="17" s="1"/>
  <c r="Y122" i="17"/>
  <c r="Y138" i="17"/>
  <c r="Y150" i="17" s="1"/>
  <c r="J122" i="17"/>
  <c r="AA74" i="17"/>
  <c r="Z122" i="17" l="1"/>
  <c r="Z138" i="17"/>
  <c r="Z150" i="17" s="1"/>
  <c r="AA90" i="17"/>
  <c r="K74" i="17" s="1"/>
  <c r="K105" i="17" s="1"/>
  <c r="K138" i="17" l="1"/>
  <c r="K150" i="17" s="1"/>
  <c r="K122" i="17"/>
  <c r="AB74" i="17"/>
  <c r="AA122" i="17" l="1"/>
  <c r="AA138" i="17"/>
  <c r="AA150" i="17" s="1"/>
  <c r="AB90" i="17"/>
  <c r="L74" i="17" s="1"/>
  <c r="L105" i="17" s="1"/>
  <c r="L138" i="17" l="1"/>
  <c r="L150" i="17" s="1"/>
  <c r="L122" i="17"/>
  <c r="AC74" i="17"/>
  <c r="AB122" i="17" l="1"/>
  <c r="AB138" i="17"/>
  <c r="AB150" i="17" s="1"/>
  <c r="AC90" i="17"/>
  <c r="M74" i="17" s="1"/>
  <c r="M105" i="17" s="1"/>
  <c r="M138" i="17" l="1"/>
  <c r="M150" i="17" s="1"/>
  <c r="M122" i="17"/>
  <c r="AD74" i="17"/>
  <c r="AC122" i="17" l="1"/>
  <c r="AC138" i="17"/>
  <c r="AC150" i="17" s="1"/>
  <c r="AD90" i="17"/>
  <c r="N74" i="17" s="1"/>
  <c r="N105" i="17" s="1"/>
  <c r="N138" i="17" l="1"/>
  <c r="N150" i="17" s="1"/>
  <c r="N122" i="17"/>
  <c r="AE74" i="17"/>
  <c r="AE90" i="17" s="1"/>
  <c r="O74" i="17" s="1"/>
  <c r="O138" i="17" l="1"/>
  <c r="O150" i="17" s="1"/>
  <c r="O105" i="17"/>
  <c r="P105" i="17" s="1"/>
  <c r="AD122" i="17"/>
  <c r="AD138" i="17"/>
  <c r="AD150" i="17" s="1"/>
  <c r="O122" i="17"/>
  <c r="P74" i="17"/>
  <c r="AE122" i="17" l="1"/>
  <c r="AE138" i="17"/>
  <c r="AE150" i="17" s="1"/>
</calcChain>
</file>

<file path=xl/sharedStrings.xml><?xml version="1.0" encoding="utf-8"?>
<sst xmlns="http://schemas.openxmlformats.org/spreadsheetml/2006/main" count="10784" uniqueCount="569">
  <si>
    <t>База спецификаций профилей (актуальна на 23.03.2016)</t>
  </si>
  <si>
    <t>Расчет потребностей материалов</t>
  </si>
  <si>
    <t>№</t>
  </si>
  <si>
    <t>Наименование Готовое Изделие</t>
  </si>
  <si>
    <t>RAL</t>
  </si>
  <si>
    <t>Наименование сырья и  материалов</t>
  </si>
  <si>
    <t>Норма расхода на производство</t>
  </si>
  <si>
    <t>Сырьё на профиль, кг/м</t>
  </si>
  <si>
    <t>Сырьё на переналадку, кг</t>
  </si>
  <si>
    <t>Серия   ( кг/1000 м.п.)</t>
  </si>
  <si>
    <t>Уголок равнополочный L 25х25х3х3 мм</t>
  </si>
  <si>
    <t>Итого</t>
  </si>
  <si>
    <t>Смола Камфест-14</t>
  </si>
  <si>
    <t>Гидроксид алюминия MC-152</t>
  </si>
  <si>
    <t>Тригонокс С</t>
  </si>
  <si>
    <t>Трет-бутилперокси-2-этилгексоноат, TBPEH</t>
  </si>
  <si>
    <t>Паста колер "ПалИж" ПОЛИМЕР</t>
  </si>
  <si>
    <t>Разделительный состав Axel INT-PUL 34</t>
  </si>
  <si>
    <t>Абсорбент ультрафиолетовый  марки UV-9</t>
  </si>
  <si>
    <t>Прямой ровинг ЕС 24-4800-350</t>
  </si>
  <si>
    <t>Стеклоткань шовная из стекловолокна и полиэфирного волокна марки 801DJ240-1200</t>
  </si>
  <si>
    <t>Стеклоткань шовная из стекловолокна и полиэфирного волокна марки ТЕ-МР 300/45</t>
  </si>
  <si>
    <t>Стеклоткань шовная из рубленного стекловолокна марки RSD-300</t>
  </si>
  <si>
    <t>Cтеклоткань мультиаксиальная марки TE-BX 450</t>
  </si>
  <si>
    <t>Уголок равнополочный L 50х50х6х6 мм</t>
  </si>
  <si>
    <t>Уголок равнополочный L 63х63х5х5 мм</t>
  </si>
  <si>
    <t>Уголок равнополочный L 75х75х6х6 мм</t>
  </si>
  <si>
    <t>Уголок равнополочный L 100х100х4х4 мм</t>
  </si>
  <si>
    <t>Уголок неравнополочный L 120х44х4х4 мм</t>
  </si>
  <si>
    <t>Швеллер С 45х28х5х5 мм</t>
  </si>
  <si>
    <t>Швеллер С 100х50х6х6 мм</t>
  </si>
  <si>
    <t>Швеллер С 150x70x8x8 мм</t>
  </si>
  <si>
    <t>Швеллер С 200x100x10x10 мм</t>
  </si>
  <si>
    <t xml:space="preserve">Двутавр IB 160x160x10x10 мм </t>
  </si>
  <si>
    <t xml:space="preserve">Двутавр IB 200x200x15x15 мм </t>
  </si>
  <si>
    <t>Полоса FS 400х10 мм</t>
  </si>
  <si>
    <t>Труба круглая RT 30х2,5 мм</t>
  </si>
  <si>
    <t>Труба круглая RT 32x3 мм</t>
  </si>
  <si>
    <t>Труба круглая RT 38х3 мм</t>
  </si>
  <si>
    <t>Труба прямоугольная FT 28х18х2,5х2,5 мм</t>
  </si>
  <si>
    <t>Труба прямоугольная FT 39,4х24,8х2,8х2,8 мм</t>
  </si>
  <si>
    <t>Труба прямоугольная FT 40х25х3х3 мм</t>
  </si>
  <si>
    <t>Труба прямоугольная FT 55х25х3х3 мм</t>
  </si>
  <si>
    <t>Труба прямоугольная FT 50х30х3,5х3,5 мм</t>
  </si>
  <si>
    <t>Труба прямоугольная FT 73х25х3,5х3,5 мм</t>
  </si>
  <si>
    <t>Труба прямоугольная FT 100х50х5х5 мм</t>
  </si>
  <si>
    <t>Труба квадратная ST 50x50x5x5 мм</t>
  </si>
  <si>
    <t>Труба квадратная ST 60x60x5x5 мм</t>
  </si>
  <si>
    <t>Труба рифленная CN 35x25x5х5 мм</t>
  </si>
  <si>
    <t>Ступень SP 33х40х3 мм</t>
  </si>
  <si>
    <t>Ступень SP 28х28 мм</t>
  </si>
  <si>
    <t>Ступень SP 28х52 мм</t>
  </si>
  <si>
    <t>С-профиль СР 40х20х5х5 мм</t>
  </si>
  <si>
    <t xml:space="preserve">Боковина кабельного лотка СRT 100x30x4x4 мм </t>
  </si>
  <si>
    <t>Поручень RP 86х48х3х3 мм</t>
  </si>
  <si>
    <t>Полоса отбойная CS (W) 100x14x3 мм</t>
  </si>
  <si>
    <t>Кабельный лоток СТ 100х80х2,5х2,5 мм</t>
  </si>
  <si>
    <t>Кабельный лоток СТ 200х80х2,5х2,5 мм</t>
  </si>
  <si>
    <t>Кабельный лоток СТ 300х80х4х4 мм</t>
  </si>
  <si>
    <t>Кабельный лоток СТ 400х80х4х4 мм</t>
  </si>
  <si>
    <t>Крышка кабельного лотка СТС 100х10,5х2,5х2,5 мм</t>
  </si>
  <si>
    <t>Крышка кабельного лотка СТС 200х12х2,5х2,5 мм</t>
  </si>
  <si>
    <t>Крышка кабельного лотка СТС 300х12х3х4 мм</t>
  </si>
  <si>
    <t>Крышка кабельного лотка СТС 400х12х3х4 мм</t>
  </si>
  <si>
    <t>Крышка кабельного лотка СТС 600х12х3х5 мм</t>
  </si>
  <si>
    <t>Наименование сырья и материалов</t>
  </si>
  <si>
    <t>Единицы измерения</t>
  </si>
  <si>
    <t>Норма расхода</t>
  </si>
  <si>
    <t>м</t>
  </si>
  <si>
    <t>Заклепка вытяжная 3.2х14 А2/А2 DIN 7337</t>
  </si>
  <si>
    <t>шт</t>
  </si>
  <si>
    <t>-</t>
  </si>
  <si>
    <t>Накладка Н4 RAL 7038</t>
  </si>
  <si>
    <t>Накладка Н2 RAL 7038</t>
  </si>
  <si>
    <t>Накладка Н5 RAL 7038</t>
  </si>
  <si>
    <t>Заклепка вытяжная 3.2х12 А2/А2 DIN 7337</t>
  </si>
  <si>
    <t>Прижимная скоба ПСк1</t>
  </si>
  <si>
    <t>Накладка Н3 RAL 7038</t>
  </si>
  <si>
    <t>Заклепка вытяжная 4.8х14 А2/А2 DIN 7337</t>
  </si>
  <si>
    <t>Кронштейн К-2</t>
  </si>
  <si>
    <t>Шпилька М10х1000 DIN 975 A2</t>
  </si>
  <si>
    <t>Гайка М10 DIN 934 A2</t>
  </si>
  <si>
    <t>Шайба 10 DIN 125 A2</t>
  </si>
  <si>
    <t>Кронштейн К-1</t>
  </si>
  <si>
    <t>Болт М6х35 DIN 931 A2</t>
  </si>
  <si>
    <t>Гайка М6 DIN 934 A2</t>
  </si>
  <si>
    <t>Шайба 6 DIN 125 A2</t>
  </si>
  <si>
    <t>Прижимная скоба ПСк2</t>
  </si>
  <si>
    <t>Накладка Н6 RAL 7038</t>
  </si>
  <si>
    <t>Накладка Н1 RAL 7038</t>
  </si>
  <si>
    <t>Наименование материалов и метизов</t>
  </si>
  <si>
    <t>Опора скамейки ОС-1</t>
  </si>
  <si>
    <t>Заклепка резьбовая уменьшенный борт М8</t>
  </si>
  <si>
    <t>Винт с внутр 6-гр оц 6х25</t>
  </si>
  <si>
    <t>Шайба усиленная М8 ДИН 9021 оц</t>
  </si>
  <si>
    <t>Заглушка пластиковая прямоугольная 30х50 практичная с ребрами (серая, черная или белая в зависимости от RAL заказа)</t>
  </si>
  <si>
    <t>Заклепка вытяжная 4,8х18х14 А2/А2 DIN 7337</t>
  </si>
  <si>
    <t>Заглушка пластиковая 30х50 серая</t>
  </si>
  <si>
    <t>Болт М10х80</t>
  </si>
  <si>
    <t>Гайка М10</t>
  </si>
  <si>
    <t>Шайба усиленная М10</t>
  </si>
  <si>
    <t>Переход левый RMLi 200/100 RF</t>
  </si>
  <si>
    <t>Переход левый RMLi 400/100 RF</t>
  </si>
  <si>
    <t>Переход левый RMLi 600/100 RF</t>
  </si>
  <si>
    <t>Переход правый RMRe 200/100 RF</t>
  </si>
  <si>
    <t>Крышка на Т-образный ответвитель ТМС90 100/100 RF</t>
  </si>
  <si>
    <t>Крышка на Т-образный ответвитель ТМС90 200/200 RF</t>
  </si>
  <si>
    <t>Крышка на Т-образный ответвитель ТМС90 300/300 RF</t>
  </si>
  <si>
    <t>Крышка на Т-образный ответвитель ТМС90 400/400 RF</t>
  </si>
  <si>
    <t>Крышка на Т-образный ответвитель ТМС90 600/600 RF</t>
  </si>
  <si>
    <t>Крышка на Т-образный ответвитель ТМС90 100/200 RF</t>
  </si>
  <si>
    <t>Крышка на Т-образный ответвитель ТМС90 100/300 RF</t>
  </si>
  <si>
    <t>Крышка на Т-образный ответвитель ТМС90 100/400 RF</t>
  </si>
  <si>
    <t>Крышка на Т-образный ответвитель ТМС90 100/600 RF</t>
  </si>
  <si>
    <t>Крышка на Т-образный ответвитель ТМС90 200/100 RF</t>
  </si>
  <si>
    <t>Крышка на Т-образный ответвитель ТМС90 200/300 RF</t>
  </si>
  <si>
    <t>Крышка на Т-образный ответвитель ТМС90 200/400 RF</t>
  </si>
  <si>
    <t>Крышка на Т-образный ответвитель ТМС90 300/100 RF</t>
  </si>
  <si>
    <t>Крышка на Т-образный ответвитель ТМС90 300/200 RF</t>
  </si>
  <si>
    <t>Крышка на Т-образный ответвитель ТМС90 300/400 RF</t>
  </si>
  <si>
    <t>Крышка на Т-образный ответвитель ТМС90 300/600 RF</t>
  </si>
  <si>
    <t>Крышка на Т-образный ответвитель ТМС90 400/100 RF</t>
  </si>
  <si>
    <t>Крышка на Т-образный ответвитель ТМС90 400/200 RF</t>
  </si>
  <si>
    <t>Крышка на Т-образный ответвитель ТМС90 400/300 RF</t>
  </si>
  <si>
    <t>Крышка на Т-образный ответвитель ТМС90 400/600 RF</t>
  </si>
  <si>
    <t>Крышка на Т-образный ответвитель ТМС90 600/100 RF</t>
  </si>
  <si>
    <t>Крышка на Т-образный ответвитель ТМС90 600/200 RF</t>
  </si>
  <si>
    <t>Крышка на Т-образный ответвитель ТМС90 600/300 RF</t>
  </si>
  <si>
    <t>Крышка на Т-образный ответвитель ТМС90 600/400 RF</t>
  </si>
  <si>
    <t>Кронштейн для крепления лестничных лотков к опорам VK-KL</t>
  </si>
  <si>
    <t>KL100x100-6000 RF</t>
  </si>
  <si>
    <t xml:space="preserve">KL200x100-6000 RF </t>
  </si>
  <si>
    <t xml:space="preserve">KL300x100-6000 RF  </t>
  </si>
  <si>
    <t>Технолог</t>
  </si>
  <si>
    <t>KL400x100-6000 RF</t>
  </si>
  <si>
    <t>KL600x100-6000 RF</t>
  </si>
  <si>
    <t>Крышка на крестообразный ответвитель КМС 100/100 RF</t>
  </si>
  <si>
    <t>Крышка на крестообразный ответвитель КМС 200/100 RF</t>
  </si>
  <si>
    <t>Крышка на крестообразный ответвитель КМС 200/200 RF</t>
  </si>
  <si>
    <t>Крышка на крестообразный ответвитель КМС 300/100 RF</t>
  </si>
  <si>
    <t>Крышка на крестообразный ответвитель КМС 300/200 RF</t>
  </si>
  <si>
    <t>Крышка на крестообразный ответвитель КМС 300/400 RF</t>
  </si>
  <si>
    <t>Крышка на крестообразный ответвитель КМС 400/200 RF</t>
  </si>
  <si>
    <t>Крышка на крестообразный ответвитель КМС 400/400 RF</t>
  </si>
  <si>
    <t>Крышка на крестообразный ответвитель КМС 600/400 RF</t>
  </si>
  <si>
    <t>Крышка на крестообразный ответвитель КМС 600/600 RF</t>
  </si>
  <si>
    <t xml:space="preserve">Крестообразный ответвитель КМ 100/100 RF </t>
  </si>
  <si>
    <t xml:space="preserve">Крестообразный ответвитель КМ 200/100 RF </t>
  </si>
  <si>
    <t xml:space="preserve">Крестообразный ответвитель КМ 200/200 RF </t>
  </si>
  <si>
    <t xml:space="preserve">Крестообразный ответвитель КМ 300/100 RF </t>
  </si>
  <si>
    <t xml:space="preserve">Крестообразный ответвитель КМ 300/200 RF </t>
  </si>
  <si>
    <t xml:space="preserve">Крестообразный ответвитель КМ 300/300 RF </t>
  </si>
  <si>
    <t xml:space="preserve">Крестообразный ответвитель КМ 300/400 RF </t>
  </si>
  <si>
    <t xml:space="preserve">Крестообразный ответвитель КМ 400/200 RF </t>
  </si>
  <si>
    <t xml:space="preserve">Крестообразный ответвитель КМ 400/400 RF </t>
  </si>
  <si>
    <t xml:space="preserve">Крестообразный ответвитель КМ 600/400 RF </t>
  </si>
  <si>
    <t xml:space="preserve">Крестообразный ответвитель КМ 600/600 RF </t>
  </si>
  <si>
    <t>Крышка на переход правый RMReC 600/400 RF</t>
  </si>
  <si>
    <t>Крышка на переход правый RMReC 600/300 RF</t>
  </si>
  <si>
    <t>Крышка на переход правый RMReC 600/200 RF</t>
  </si>
  <si>
    <t>Крышка на переход правый RMReC 600/100 RF</t>
  </si>
  <si>
    <t>Крышка на переход правый RMReC 400/300 RF</t>
  </si>
  <si>
    <t>Крышка на переход правый RMReC 400/200 RF</t>
  </si>
  <si>
    <t>Крышка на переход правый RMReC 400/100 RF</t>
  </si>
  <si>
    <t>Крышка на переход правый RMReC 300/200 RF</t>
  </si>
  <si>
    <t>Крышка на переход правый RMReC 300/100 RF</t>
  </si>
  <si>
    <t>Крышка на переход правый RMReC 200/100 RF</t>
  </si>
  <si>
    <t>Переход левый RMLi 300/200 RF</t>
  </si>
  <si>
    <t>Переход правый RMRe 300/200 RF</t>
  </si>
  <si>
    <t>Переход правый RMRe 400/100 RF</t>
  </si>
  <si>
    <t>Переход левый RMLi 400/200 RF</t>
  </si>
  <si>
    <t>Переход правый RMRe 400/200 RF</t>
  </si>
  <si>
    <t>Переход левый RMLi 400/300 RF</t>
  </si>
  <si>
    <t>Переход правый RMRe 400/300 RF</t>
  </si>
  <si>
    <t>Переход правый RMRe 600/100 RF</t>
  </si>
  <si>
    <t>Переход левый RMLi 600/200 RF</t>
  </si>
  <si>
    <t>Переход правый RMRe 600/200 RF</t>
  </si>
  <si>
    <t>Переход левый RMLi 600/300 RF</t>
  </si>
  <si>
    <t>Переход правый RMRe 600/300 RF</t>
  </si>
  <si>
    <t>Переход левый RMLi 600/400 RF</t>
  </si>
  <si>
    <t>Переход правый RMRe 600/400 RF</t>
  </si>
  <si>
    <t>Крышка на переход левый RMLiC 200/100 RF</t>
  </si>
  <si>
    <t>Крышка на переход левый RMLiC 300/100 RF</t>
  </si>
  <si>
    <t>Крышка на переход левый RMLiC 300/200 RF</t>
  </si>
  <si>
    <t>Крышка на переход левый RMLiC 400/100 RF</t>
  </si>
  <si>
    <t>Крышка на переход левый RMLiC 400/200 RF</t>
  </si>
  <si>
    <t>Крышка на переход левый RMLiC 400/300 RF</t>
  </si>
  <si>
    <t>Крышка на переход левый RMLiC 600/100 RF</t>
  </si>
  <si>
    <t>Крышка на переход левый RMLiC 600/200 RF</t>
  </si>
  <si>
    <t>Крышка на переход левый RMLiC 600/300 RF</t>
  </si>
  <si>
    <t>Крышка на переход левый RMLiC 600/400 RF</t>
  </si>
  <si>
    <t xml:space="preserve">Т-образный  ответвитель ТМ90 300/600 RF </t>
  </si>
  <si>
    <t xml:space="preserve">Т-образный  ответвитель ТМ90 400/100 RF </t>
  </si>
  <si>
    <t xml:space="preserve">Т-образный  ответвитель ТМ90 400/200 RF </t>
  </si>
  <si>
    <t xml:space="preserve">Т-образный  ответвитель ТМ90 400/300 RF </t>
  </si>
  <si>
    <t xml:space="preserve">Т-образный  ответвитель ТМ90 400/400 RF </t>
  </si>
  <si>
    <t xml:space="preserve">Т-образный  ответвитель ТМ90 400/600 RF </t>
  </si>
  <si>
    <t>Т-образный  ответвитель ТМ90 600/100 RF</t>
  </si>
  <si>
    <t xml:space="preserve">Т-образный  ответвитель ТМ90 600/200 RF </t>
  </si>
  <si>
    <t xml:space="preserve">Т-образный  ответвитель ТМ90 600/300 RF </t>
  </si>
  <si>
    <t>Т-образный  ответвитель ТМ90 600/400 RF</t>
  </si>
  <si>
    <t>Т-образный  ответвитель ТМ90 600/600 RF</t>
  </si>
  <si>
    <t xml:space="preserve">Т-образный  ответвитель ТМ90 100/100 RF </t>
  </si>
  <si>
    <t xml:space="preserve">Т-образный  ответвитель ТМ90 100/200 RF </t>
  </si>
  <si>
    <t>Т-образный  ответвитель ТМ90 100/300 RF</t>
  </si>
  <si>
    <t>Т-образный  ответвитель ТМ90 100/400 RF</t>
  </si>
  <si>
    <t xml:space="preserve">Т-образный  ответвитель ТМ90 100/600 RF </t>
  </si>
  <si>
    <t xml:space="preserve">Т-образный  ответвитель ТМ90 200/100 RF </t>
  </si>
  <si>
    <t xml:space="preserve">Т-образный  ответвитель ТМ90 200/200 RF </t>
  </si>
  <si>
    <t xml:space="preserve">Т-образный  ответвитель ТМ90 200/300 RF </t>
  </si>
  <si>
    <t xml:space="preserve">Т-образный  ответвитель ТМ90 200/400 RF </t>
  </si>
  <si>
    <t xml:space="preserve">Т-образный  ответвитель ТМ90 200/600 RF </t>
  </si>
  <si>
    <t xml:space="preserve">Т-образный  ответвитель ТМ90 300/100 RF </t>
  </si>
  <si>
    <t xml:space="preserve">Т-образный  ответвитель ТМ90 300/200 RF </t>
  </si>
  <si>
    <t xml:space="preserve">Т-образный  ответвитель ТМ90 300/300 RF </t>
  </si>
  <si>
    <t xml:space="preserve">Т-образный  ответвитель ТМ90 300/400 RF </t>
  </si>
  <si>
    <t>Крышка на подъем 90° выпуклый BVC90х 100 RF</t>
  </si>
  <si>
    <t>Крышка на подъем 90° выпуклый BVC90х 200 RF</t>
  </si>
  <si>
    <t>Крышка на подъем 90° выпуклый BVC90х 300 RF</t>
  </si>
  <si>
    <t>Крышка на подъем 90° выпуклый BVC90х 400 RF</t>
  </si>
  <si>
    <t>Крышка на подъем 90° выпуклый BVC90х 600 RF</t>
  </si>
  <si>
    <t>Подъем 90° выпуклый BV90x 100 RF</t>
  </si>
  <si>
    <t xml:space="preserve">Подъем 90° выпуклый BV90x 200 RF  </t>
  </si>
  <si>
    <t xml:space="preserve">Подъем 90° выпуклый BV90x 300 RF  </t>
  </si>
  <si>
    <t xml:space="preserve">Подъем 90° выпуклый BV90x 400 RF  </t>
  </si>
  <si>
    <t xml:space="preserve">Подъем 90° выпуклый BV90x 600 RF  </t>
  </si>
  <si>
    <t>Крышка на подъем 90° вогнутый BVC90v 100 RF</t>
  </si>
  <si>
    <t>Крышка на подъем 90° вогнутый BVC90v 200 RF</t>
  </si>
  <si>
    <t>Крышка на подъем 90° вогнутый BVC90v 300 RF</t>
  </si>
  <si>
    <t>Крышка на подъем 90° вогнутый BVC90v 400 RF</t>
  </si>
  <si>
    <t>Крышка на подъем 90° вогнутый BVC90v 600 RF</t>
  </si>
  <si>
    <t xml:space="preserve">Подъем 90° вогнутый BV90v 100 RF  </t>
  </si>
  <si>
    <t xml:space="preserve">Подъем 90° вогнутый BV90v 200 RF  </t>
  </si>
  <si>
    <t xml:space="preserve">Подъем 90° вогнутый BV90v 300 RF  </t>
  </si>
  <si>
    <t xml:space="preserve">Подъем 90° вогнутый BV90v 400 RF  </t>
  </si>
  <si>
    <t xml:space="preserve">Подъем 90° вогнутый BV90v 600 RF  </t>
  </si>
  <si>
    <t>Крышка на подъем 45° выпуклый BVC45х 100 RF</t>
  </si>
  <si>
    <t>Крышка на подъем 45° выпуклый BVC45х 200 RF</t>
  </si>
  <si>
    <t>Крышка на подъем 45° выпуклый BVC45х 300 RF</t>
  </si>
  <si>
    <t>Крышка на подъем 45° выпуклый BVC45х 400 RF</t>
  </si>
  <si>
    <t>Крышка на подъем 45° выпуклый BVC45х 600 RF</t>
  </si>
  <si>
    <t xml:space="preserve">Подъем 45° выпуклый BV45х 100 RF  </t>
  </si>
  <si>
    <t xml:space="preserve">Подъем 45° выпуклый BV45х 200 RF  </t>
  </si>
  <si>
    <t xml:space="preserve">Подъем 45° выпуклый BV45х 300 RF  </t>
  </si>
  <si>
    <t>Подъем 45° выпуклый BV45х 400 RF</t>
  </si>
  <si>
    <t xml:space="preserve">Подъем 45° выпуклый BV45х 600 RF  </t>
  </si>
  <si>
    <t xml:space="preserve">Подъем 45° вогнутый BV45v 100 RF  </t>
  </si>
  <si>
    <t xml:space="preserve">Подъем 45° вогнутый BV45v 200 RF  </t>
  </si>
  <si>
    <t xml:space="preserve">Подъем 45° вогнутый BV45v 300 RF  </t>
  </si>
  <si>
    <t xml:space="preserve">Подъем 45° вогнутый BV45v 400 RF  </t>
  </si>
  <si>
    <t xml:space="preserve">Подъем 45° вогнутый BV45v 600 RF </t>
  </si>
  <si>
    <t>Крышка на подъем 45° вогнутый BVC90v 100 RF</t>
  </si>
  <si>
    <t>Крышка на подъем 45° вогнутый BVC90v 200 RF</t>
  </si>
  <si>
    <t>Крышка на подъем 45° вогнутый BVC90v 300 RF</t>
  </si>
  <si>
    <t>Крышка на подъем 45° вогнутый BVC90v 400 RF</t>
  </si>
  <si>
    <t>Крышка на подъем 45° вогнутый BVC90v 600 RF</t>
  </si>
  <si>
    <t xml:space="preserve">Поворот 90° горизонтальный ВН90 100 RF </t>
  </si>
  <si>
    <t xml:space="preserve">Поворот 90° горизонтальный ВН90 200 RF </t>
  </si>
  <si>
    <t xml:space="preserve">Поворот 90° горизонтальный ВН90 300 RF </t>
  </si>
  <si>
    <t xml:space="preserve">Поворот 90° горизонтальный ВН90 400 RF </t>
  </si>
  <si>
    <t xml:space="preserve">Поворот 90° горизонтальный ВН90 600 RF </t>
  </si>
  <si>
    <t xml:space="preserve">Поворот 45° горизонтальный ВН45 100 RF </t>
  </si>
  <si>
    <t xml:space="preserve">Поворот 45° горизонтальный ВН45 200 RF </t>
  </si>
  <si>
    <t xml:space="preserve">Поворот 45° горизонтальный ВН45 300 RF </t>
  </si>
  <si>
    <t xml:space="preserve">Поворот 45° горизонтальный ВН45 400 RF </t>
  </si>
  <si>
    <t xml:space="preserve">Поворот 45° горизонтальный ВН45 600 RF </t>
  </si>
  <si>
    <t>Крышка на поворот 90° горизонтальный BHC90 100 RF</t>
  </si>
  <si>
    <t>Крышка на поворот 90° горизонтальный BHC90 200 RF</t>
  </si>
  <si>
    <t>Крышка на поворот 90° горизонтальный BHC90 300 RF</t>
  </si>
  <si>
    <t>Крышка на поворот 90° горизонтальный BHC90 600 RF</t>
  </si>
  <si>
    <t>Крышка на поворот 45° горизонтальный BHC45 100 RF</t>
  </si>
  <si>
    <t>Крышка на поворот 45° горизонтальный BHC45 200 RF</t>
  </si>
  <si>
    <t>Крышка на поворот 45° горизонтальный BHC45 300 RF</t>
  </si>
  <si>
    <t>Крышка на поворот 45° горизонтальный BHC45 400 RF</t>
  </si>
  <si>
    <t>Крышка на поворот 45° горизонтальный BHC45 600 RF</t>
  </si>
  <si>
    <t>Колонна для лотков шириной 600мм KF-100</t>
  </si>
  <si>
    <t>Колонна для лотков шириной 600мм KF-200</t>
  </si>
  <si>
    <t>Колонна для лотков шириной 600мм KF-300</t>
  </si>
  <si>
    <t>Колонна для лотков шириной 600мм KF-400</t>
  </si>
  <si>
    <t>Колонна для лотков шириной 600мм KF-600</t>
  </si>
  <si>
    <t>Кронштейн для крепления лестничных лотков к опорам D-CT</t>
  </si>
  <si>
    <t>Кронштейн для крепления лестничных лотков к опорам D-KL</t>
  </si>
  <si>
    <t>Кронштейн для крепления лестничных лотков к опорам VK-СТ</t>
  </si>
  <si>
    <t>Верхний подвес для лотков шириной 100 мм РV-100</t>
  </si>
  <si>
    <t>Верхний подвес для лотков шириной 200 мм РV-200</t>
  </si>
  <si>
    <t>Верхний подвес для лотков шириной 300 мм РV-300</t>
  </si>
  <si>
    <t>Верхний подвес для лотков шириной 400 мм РV-400</t>
  </si>
  <si>
    <t>Верхний подвес для лотков шириной 600 мм РV-600</t>
  </si>
  <si>
    <t>Верхний кронштейн для лотков шириной 100 мм KV-100</t>
  </si>
  <si>
    <t>Верхний кронштейн для лотков шириной 200 мм KV-200</t>
  </si>
  <si>
    <t>Верхний кронштейн для лотков шириной 300 мм KV-300</t>
  </si>
  <si>
    <t>Верхний кронштейн для лотков шириной 400 мм KV-400</t>
  </si>
  <si>
    <t>Верхний кронштейн для лотков шириной 600 мм KV-600</t>
  </si>
  <si>
    <t>Боковой кронштейн для лотков шириной 100 мм KR-100</t>
  </si>
  <si>
    <t>Боковой кронштейн для лотков шириной 200 мм KR-200</t>
  </si>
  <si>
    <t>Боковой кронштейн для лотков шириной 300 мм KR-300</t>
  </si>
  <si>
    <t>Боковой кронштейн для лотков шириной 400 мм KR-400</t>
  </si>
  <si>
    <t>Боковой кронштейн для лотков шириной 600 мм KR-600</t>
  </si>
  <si>
    <t xml:space="preserve">Крышка на Т-образный  ответвитель ТМW90 100/100 RF </t>
  </si>
  <si>
    <t xml:space="preserve">Крышка на Т-образный  ответвитель ТМW90 100/200 RF </t>
  </si>
  <si>
    <t xml:space="preserve">Крышка на Т-образный  ответвитель ТМW90 100/200/100 RF </t>
  </si>
  <si>
    <t xml:space="preserve">Крышка на Т-образный  ответвитель ТМW90 100/300 RF </t>
  </si>
  <si>
    <t xml:space="preserve">Крышка на Т-образный  ответвитель ТМW90 100/300/100 RF </t>
  </si>
  <si>
    <t xml:space="preserve">Крышка на Т-образный  ответвитель ТМW90 100/300/200 RF </t>
  </si>
  <si>
    <t xml:space="preserve">Крышка на Т-образный  ответвитель ТМW90 100/400 RF </t>
  </si>
  <si>
    <t xml:space="preserve">Крышка на Т-образный  ответвитель ТМW90 100/400/300 RF </t>
  </si>
  <si>
    <t>Крышка на Т-образный  ответвитель ТМW90 200/100 RF</t>
  </si>
  <si>
    <t xml:space="preserve">Крышка на Т-образный  ответвитель ТМW90 200/200 RF </t>
  </si>
  <si>
    <t xml:space="preserve">Крышка на Т-образный  ответвитель ТМW90 200/300 RF </t>
  </si>
  <si>
    <t xml:space="preserve">Крышка на Т-образный  ответвитель ТМW90 200/300/200 RF </t>
  </si>
  <si>
    <t xml:space="preserve">Крышка на Т-образный  ответвитель ТМW90 200/400 RF </t>
  </si>
  <si>
    <t xml:space="preserve">Крышка на Т-образный  ответвитель ТМW90 200/400/200 RF </t>
  </si>
  <si>
    <t xml:space="preserve">Крышка на Т-образный  ответвитель ТМW90 300/200 RF </t>
  </si>
  <si>
    <t xml:space="preserve">Крышка на Т-образный  ответвитель ТМW90 300/300 RF </t>
  </si>
  <si>
    <t xml:space="preserve">Крышка на Т-образный  ответвитель ТМW90 300/400 RF </t>
  </si>
  <si>
    <t xml:space="preserve">Крышка на Т-образный  ответвитель ТМW90 400/200 RF </t>
  </si>
  <si>
    <t xml:space="preserve">Крышка на Т-образный  ответвитель ТМW90 400/300 RF </t>
  </si>
  <si>
    <t xml:space="preserve">Крышка на Т-образный  ответвитель ТМW90 400/400 RF </t>
  </si>
  <si>
    <t xml:space="preserve">Т-образный  ответвитель ТМW90 100/100 RF </t>
  </si>
  <si>
    <t xml:space="preserve">Т-образный  ответвитель ТМW90 100/200 RF </t>
  </si>
  <si>
    <t xml:space="preserve">Т-образный  ответвитель ТМW90 100/200/100 RF </t>
  </si>
  <si>
    <t xml:space="preserve">Т-образный  ответвитель ТМW90 100/300 RF </t>
  </si>
  <si>
    <t xml:space="preserve">Т-образный  ответвитель ТМW90 100/300/100 RF </t>
  </si>
  <si>
    <t xml:space="preserve">Т-образный  ответвитель ТМW90 100/300/200 RF </t>
  </si>
  <si>
    <t xml:space="preserve">Т-образный  ответвитель ТМW90 100/400 RF </t>
  </si>
  <si>
    <t xml:space="preserve">Т-образный  ответвитель ТМW90 100/400/300 RF </t>
  </si>
  <si>
    <t xml:space="preserve">Т-образный  ответвитель ТМW90 200/100 RF </t>
  </si>
  <si>
    <t xml:space="preserve">Т-образный  ответвитель ТМW90 200/200 RF </t>
  </si>
  <si>
    <t xml:space="preserve">Т-образный  ответвитель ТМW90 200/300 RF </t>
  </si>
  <si>
    <t xml:space="preserve">Т-образный  ответвитель ТМW90 200/300/200 RF </t>
  </si>
  <si>
    <t xml:space="preserve">Т-образный  ответвитель ТМW90 200/400 RF </t>
  </si>
  <si>
    <t xml:space="preserve">Т-образный  ответвитель ТМW90 200/400/200 RF </t>
  </si>
  <si>
    <t xml:space="preserve">Т-образный  ответвитель ТМW90 300/200 RF </t>
  </si>
  <si>
    <t xml:space="preserve">Т-образный  ответвитель ТМW90 300/300 RF </t>
  </si>
  <si>
    <t xml:space="preserve">Т-образный  ответвитель ТМW90 300/400 RF </t>
  </si>
  <si>
    <t xml:space="preserve">Т-образный  ответвитель ТМW90 400/200 RF </t>
  </si>
  <si>
    <t xml:space="preserve">Т-образный  ответвитель ТМW90 400/300 RF </t>
  </si>
  <si>
    <t xml:space="preserve">Т-образный  ответвитель ТМW90 400/400 RF </t>
  </si>
  <si>
    <t xml:space="preserve">Поворот 45° горизонтальный ВНW45 100 RF </t>
  </si>
  <si>
    <t xml:space="preserve">Поворот 45° горизонтальный ВНW45 200 RF </t>
  </si>
  <si>
    <t>Поворот 45° горизонтальный ВНW45 300 RF</t>
  </si>
  <si>
    <t xml:space="preserve">Поворот 45° горизонтальный ВНW45 400 RF </t>
  </si>
  <si>
    <t xml:space="preserve">Крышка на поворот 45° горизонтальный ВНWС45 100 RF </t>
  </si>
  <si>
    <t>Крышка на поворот 45° горизонтальный ВНWС45 200 RF</t>
  </si>
  <si>
    <t xml:space="preserve">Крышка на поворот 45° горизонтальный ВНWС45 300 RF </t>
  </si>
  <si>
    <t xml:space="preserve">Крышка на поворот 45° горизонтальный ВНWС45 400 RF </t>
  </si>
  <si>
    <t>Крышка на поворот 90° горизонтальный ВНWС90 100 RF</t>
  </si>
  <si>
    <t xml:space="preserve">Крышка на поворот 90° горизонтальный ВНWС90 200 RF </t>
  </si>
  <si>
    <t xml:space="preserve">Крышка на поворот 90° горизонтальный ВНWС90 300 RF </t>
  </si>
  <si>
    <t xml:space="preserve">Крышка на поворот 90° горизонтальный ВНWС90 400 RF </t>
  </si>
  <si>
    <t xml:space="preserve">Поворот 90° горизонтальный ВНW90 100 RF </t>
  </si>
  <si>
    <t xml:space="preserve">Поворот 90° горизонтальный ВНW90 200 RF </t>
  </si>
  <si>
    <t xml:space="preserve">Поворот 90° горизонтальный ВНW90 300 RF </t>
  </si>
  <si>
    <t>Поворот 90° горизонтальный ВНW90 400 RF</t>
  </si>
  <si>
    <t xml:space="preserve">Крышка на подъем 90° вогнутый BVW90v 100 RF </t>
  </si>
  <si>
    <t xml:space="preserve">Крышка на подъем 90° вогнутый BVW90v 200 RF  </t>
  </si>
  <si>
    <t xml:space="preserve">Крышка на подъем 90° вогнутый BVW90v 300 RF  </t>
  </si>
  <si>
    <t xml:space="preserve">Крышка на подъем 90° вогнутый BVW90v 400 RF  </t>
  </si>
  <si>
    <t xml:space="preserve">Подъем 90° вогнутый BVW90v 100 RF  </t>
  </si>
  <si>
    <t xml:space="preserve">Подъем 90° вогнутый BVW90v 200 RF  </t>
  </si>
  <si>
    <t xml:space="preserve">Подъем 90° вогнутый BVW90v 300 RF  </t>
  </si>
  <si>
    <t xml:space="preserve">Подъем 90° вогнутый BVW90v 400 RF  </t>
  </si>
  <si>
    <t>Крышка на подъем 90° выпуклый BVW90х 100 RF</t>
  </si>
  <si>
    <t xml:space="preserve">Крышка на подъем 90° выпуклый BVW90х 200 RF  </t>
  </si>
  <si>
    <t xml:space="preserve">Крышка на подъем 90° выпуклый BVW90х 300 RF  </t>
  </si>
  <si>
    <t xml:space="preserve">Крышка на подъем 90° выпуклый BVW90х 400 RF  </t>
  </si>
  <si>
    <t xml:space="preserve">Подъем 90° выпуклый BVW90х 100 RF  </t>
  </si>
  <si>
    <t>Подъем 90° выпуклый BVW90х 200 RF</t>
  </si>
  <si>
    <t xml:space="preserve">Подъем 90° выпуклый BVW90х 300 RF  </t>
  </si>
  <si>
    <t xml:space="preserve">Подъем 90° выпуклый BVW90х 400 RF </t>
  </si>
  <si>
    <t>Потери</t>
  </si>
  <si>
    <t>Ед.Изм</t>
  </si>
  <si>
    <t>ИТОГО</t>
  </si>
  <si>
    <t>Скамейка "Классическая"</t>
  </si>
  <si>
    <t>комплект Л-25 (лестница длиной 1040 мм)</t>
  </si>
  <si>
    <t>комплект Л-23 (лестница длиной 3830 мм)</t>
  </si>
  <si>
    <t>комплект Л-24 (лестница длиной 1795 мм)</t>
  </si>
  <si>
    <t>ПРОФИЛЬ</t>
  </si>
  <si>
    <t>Крышка на крестообразный ответвитель КМС 300/300 RF</t>
  </si>
  <si>
    <t>Крышка на Т-образный ответвитель ТМС90 200/600 RF</t>
  </si>
  <si>
    <t xml:space="preserve">Переход правый RMRe 300/100 RF </t>
  </si>
  <si>
    <t>Переход левый RMLi 300/100 RF</t>
  </si>
  <si>
    <t>KL 100х100-3000 RF</t>
  </si>
  <si>
    <t>KL 200х100-3000 RF</t>
  </si>
  <si>
    <t>KL 300х100-3000 RF</t>
  </si>
  <si>
    <t>KL 400х100-3000 RF</t>
  </si>
  <si>
    <t>KL 600х100-3000 RF</t>
  </si>
  <si>
    <t>Наименование</t>
  </si>
  <si>
    <t>Масса, КГ/м</t>
  </si>
  <si>
    <t>Металл</t>
  </si>
  <si>
    <t>Расход кг на тонну</t>
  </si>
  <si>
    <t>Изделие</t>
  </si>
  <si>
    <t>Эталон</t>
  </si>
  <si>
    <t>ПРОЕКТ 1</t>
  </si>
  <si>
    <t>Труба прямоугольная FT 40х25х3х3 S</t>
  </si>
  <si>
    <t>Крошка</t>
  </si>
  <si>
    <t>Профиль</t>
  </si>
  <si>
    <t>Лоток</t>
  </si>
  <si>
    <t>Проект</t>
  </si>
  <si>
    <t>План потребности в профилях</t>
  </si>
  <si>
    <t>Время на переналадку, ч</t>
  </si>
  <si>
    <t>Плановая пр-сть, м/час</t>
  </si>
  <si>
    <t>Профиль (м)</t>
  </si>
  <si>
    <t>Лоток (м)</t>
  </si>
  <si>
    <t>Изделие (м)</t>
  </si>
  <si>
    <t>Проект (кг)</t>
  </si>
  <si>
    <t>итого (кг)</t>
  </si>
  <si>
    <t>итого (м)</t>
  </si>
  <si>
    <t>итого (ч)</t>
  </si>
  <si>
    <t>ИЮЛЬ</t>
  </si>
  <si>
    <t>Расчет загрузки производства под план продаж</t>
  </si>
  <si>
    <t>Календарное кол-во рабочих часов:</t>
  </si>
  <si>
    <t>Ориентир для плана продаж, %</t>
  </si>
  <si>
    <t>Выровненный план производства на год</t>
  </si>
  <si>
    <t>План производства 2016г.  (часы)</t>
  </si>
  <si>
    <t>Загрузка производственных линий, %</t>
  </si>
  <si>
    <t>ПЛАН</t>
  </si>
  <si>
    <t>АВГУСТ</t>
  </si>
  <si>
    <t>СЕНТЯБРЬ</t>
  </si>
  <si>
    <t>ОКТЯБРЬ</t>
  </si>
  <si>
    <t>НОЯБРЬ</t>
  </si>
  <si>
    <t>ДЕКАБРЬ</t>
  </si>
  <si>
    <t>ЯНВАРЬ</t>
  </si>
  <si>
    <t>ФЕВРАЛЬ</t>
  </si>
  <si>
    <t>МАРТ</t>
  </si>
  <si>
    <t>АПРЕЛЬ</t>
  </si>
  <si>
    <t>МАЙ</t>
  </si>
  <si>
    <t>ИЮНЬ</t>
  </si>
  <si>
    <t>Профилей в метрах</t>
  </si>
  <si>
    <t>Профилей в кг</t>
  </si>
  <si>
    <t>возможность отображения перенесенных объемов с какого месяца и куда</t>
  </si>
  <si>
    <t>Остаток с 1С на текущую дату</t>
  </si>
  <si>
    <t>Срок доставки</t>
  </si>
  <si>
    <t>Стеклоткань в сумме</t>
  </si>
  <si>
    <t>мин партия</t>
  </si>
  <si>
    <t>Норма Страх запаса</t>
  </si>
  <si>
    <t>Кратность заказа</t>
  </si>
  <si>
    <t>Материалы в пути</t>
  </si>
  <si>
    <t>База НСИ (ограничения)</t>
  </si>
  <si>
    <t>Остаток на складе (на конец месяца)</t>
  </si>
  <si>
    <t>План обеспечения на год</t>
  </si>
  <si>
    <t>сумма за год</t>
  </si>
  <si>
    <t>План потребления на базе выровненного плана производства на год</t>
  </si>
  <si>
    <t>План производства 2016г.  (метры)</t>
  </si>
  <si>
    <t>План производства 2016г.  (кг)</t>
  </si>
  <si>
    <t>KL 500х100-6000 RF</t>
  </si>
  <si>
    <t>Кабельный лоток СТP 100х80х2,5х2,5 мм-3000 RF</t>
  </si>
  <si>
    <t>Кабельный лоток СТP 200х80х2,5х2,5 мм-3000 RF</t>
  </si>
  <si>
    <t>Кабельный лоток СТP 300х80х4х4 мм-3000 RF</t>
  </si>
  <si>
    <t>Кабельный лоток СТP 400х80х4х4 мм-3000 RF</t>
  </si>
  <si>
    <t xml:space="preserve">Подъем 45° вогнутый BV45v 500 RF  </t>
  </si>
  <si>
    <t xml:space="preserve">Подъем 90° вогнутый BV90v 500 RF  </t>
  </si>
  <si>
    <t xml:space="preserve">Подъем 90° выпуклый BV90x 500 RF  </t>
  </si>
  <si>
    <t>Накладка Н1</t>
  </si>
  <si>
    <t>Накладка Н2</t>
  </si>
  <si>
    <t>Накладка Н3</t>
  </si>
  <si>
    <t>Накладка Н4</t>
  </si>
  <si>
    <t>Накладка Н5</t>
  </si>
  <si>
    <t>Накладка Н6</t>
  </si>
  <si>
    <t>ТАНЕКО. Секция 1500. переходные мостики и ограждения</t>
  </si>
  <si>
    <t>Остановочный павильон</t>
  </si>
  <si>
    <t>Межсекционные связи для секции 2500. КК2</t>
  </si>
  <si>
    <t>ТАНЕКО. Секция 0907. переходные мостики и ограждения</t>
  </si>
  <si>
    <t>Межсекционные связи для секции 2500. КК3</t>
  </si>
  <si>
    <t>ТАНЕКО. Секция 1600. переходные мостики и ограждения</t>
  </si>
  <si>
    <t>кг</t>
  </si>
  <si>
    <t>настил решетчатый  38х38</t>
  </si>
  <si>
    <t>ступень 200х38</t>
  </si>
  <si>
    <t>Уголок равнополочный L 101х101х12,7х12,7 мм</t>
  </si>
  <si>
    <t>труба квадратная FT 50х50х5х5</t>
  </si>
  <si>
    <t>Полоса FS 280х10</t>
  </si>
  <si>
    <t>Настил решетчатый</t>
  </si>
  <si>
    <t>Цена за ед</t>
  </si>
  <si>
    <t xml:space="preserve"> в сумме</t>
  </si>
  <si>
    <t>Отклонение от страхового запаса</t>
  </si>
  <si>
    <t>План обеспечения на год (руб)</t>
  </si>
  <si>
    <t>Остаток на складе (на конец месяца)(руб)</t>
  </si>
  <si>
    <t>Плановый остаток с учетом обеспечения</t>
  </si>
  <si>
    <t>без учета заказа</t>
  </si>
  <si>
    <t>ЛОТОК</t>
  </si>
  <si>
    <r>
      <t xml:space="preserve">Крышка на поворот 90° горизонтальный BHC90 </t>
    </r>
    <r>
      <rPr>
        <sz val="11"/>
        <color rgb="FFFF0000"/>
        <rFont val="Calibri"/>
        <family val="2"/>
        <charset val="204"/>
        <scheme val="minor"/>
      </rPr>
      <t xml:space="preserve">400 </t>
    </r>
    <r>
      <rPr>
        <sz val="11"/>
        <color theme="1"/>
        <rFont val="Calibri"/>
        <family val="2"/>
        <charset val="204"/>
        <scheme val="minor"/>
      </rPr>
      <t>RF</t>
    </r>
  </si>
  <si>
    <t>не используется</t>
  </si>
  <si>
    <t>ввод вручную</t>
  </si>
  <si>
    <t>расчет</t>
  </si>
  <si>
    <t>Длина, мм</t>
  </si>
  <si>
    <t>Количество</t>
  </si>
  <si>
    <t>Вес, кг</t>
  </si>
  <si>
    <t>Тип смолы</t>
  </si>
  <si>
    <t>Срок поставки (дата до которой заказ должен быть отгружен)</t>
  </si>
  <si>
    <t>Цвет</t>
  </si>
  <si>
    <t>Контрагент</t>
  </si>
  <si>
    <t>Протокол/спецификация</t>
  </si>
  <si>
    <t>произведено</t>
  </si>
  <si>
    <t>отгружено</t>
  </si>
  <si>
    <t>шт.</t>
  </si>
  <si>
    <t>метров</t>
  </si>
  <si>
    <t>кг\м или ед.</t>
  </si>
  <si>
    <t>всех</t>
  </si>
  <si>
    <t>ПРОФИЛИ, метр</t>
  </si>
  <si>
    <t>Лотки КГ</t>
  </si>
  <si>
    <t xml:space="preserve">Изделия </t>
  </si>
  <si>
    <t>Проекты кг</t>
  </si>
  <si>
    <t>Полиэфир</t>
  </si>
  <si>
    <t>ЛУЧ</t>
  </si>
  <si>
    <t>МЭКОНС</t>
  </si>
  <si>
    <t>АРКАИМ</t>
  </si>
  <si>
    <t>белый</t>
  </si>
  <si>
    <t>ТМИМ</t>
  </si>
  <si>
    <t>Альфа-технологии</t>
  </si>
  <si>
    <t>кайрос-инжиниринг</t>
  </si>
  <si>
    <t>6024 или 6059</t>
  </si>
  <si>
    <t>Современные технологии</t>
  </si>
  <si>
    <t>?</t>
  </si>
  <si>
    <t>УТНС</t>
  </si>
  <si>
    <t>Полиметаллинвест-НК</t>
  </si>
  <si>
    <t>разные</t>
  </si>
  <si>
    <t>Швеллер С 200x100x10x10</t>
  </si>
  <si>
    <t>Двутавр IB 160x160x10x10</t>
  </si>
  <si>
    <t>Двутавр IB 200x200x15x15</t>
  </si>
  <si>
    <t>Полоса FS 400х10</t>
  </si>
  <si>
    <t>Уголок равнополочный L 75х75х6х6</t>
  </si>
  <si>
    <t>Эпоксид</t>
  </si>
  <si>
    <t>Швеллер С 100х50х6х6</t>
  </si>
  <si>
    <t>План отгрузок УППСП</t>
  </si>
  <si>
    <t>Месяц</t>
  </si>
  <si>
    <t>Год</t>
  </si>
  <si>
    <t>Крышка на поворот 90° горизонтальный BHC90 400 RF</t>
  </si>
  <si>
    <t>Норматив</t>
  </si>
  <si>
    <t>Цена</t>
  </si>
  <si>
    <t>Потребность в покупных изделиях</t>
  </si>
  <si>
    <t>остаток на складе чистый</t>
  </si>
  <si>
    <t>остаток с учетом норматива запаса</t>
  </si>
  <si>
    <t>Математика</t>
  </si>
  <si>
    <t>План обеспечения на год( в ед. измерения)</t>
  </si>
  <si>
    <t>График заказа</t>
  </si>
  <si>
    <t>ЕСЛИОШИБКА(ИНДЕКС(Обеспечение!$C$21:$N$35;ПОИСКПОЗ($A4;Обеспечение!$A$21:$A$35;0);ПОИСКПОЗ(F$3;Обеспечение!$C$20:$N$20;0));0)</t>
  </si>
  <si>
    <t>Даты заказа ТМЦ под обеспечение месяца</t>
  </si>
  <si>
    <t>Альфа технологии</t>
  </si>
  <si>
    <t>ПОТОК</t>
  </si>
  <si>
    <t>композит</t>
  </si>
  <si>
    <t>Комплект Л-6.9</t>
  </si>
  <si>
    <t>Уголок равнополочный L 63х63х5х5</t>
  </si>
  <si>
    <t>Уголок равнополочный L 101х101х12,7х12,7</t>
  </si>
  <si>
    <t>Швеллер С 150x70x8x8</t>
  </si>
  <si>
    <t>Труба квадратная ST 50x50x5x5</t>
  </si>
  <si>
    <t xml:space="preserve">решетчатый настил 38х38 </t>
  </si>
  <si>
    <t>Полоса отбойная CS (W) 100x14x3</t>
  </si>
  <si>
    <t>Агростройсервис</t>
  </si>
  <si>
    <t>в резерв</t>
  </si>
  <si>
    <t>РЭТО</t>
  </si>
  <si>
    <t>на склад</t>
  </si>
  <si>
    <t>АВИСИ</t>
  </si>
  <si>
    <t>винилэфир</t>
  </si>
  <si>
    <t>Вектор</t>
  </si>
  <si>
    <t>Экотехнологии</t>
  </si>
  <si>
    <t>современные технологии</t>
  </si>
  <si>
    <t xml:space="preserve">белый </t>
  </si>
  <si>
    <t>пластгрупп+</t>
  </si>
  <si>
    <t>АРКАИМ, МЭКОНС</t>
  </si>
  <si>
    <t>Секция 2003</t>
  </si>
  <si>
    <t>переходные мостики</t>
  </si>
  <si>
    <t>Ограждения</t>
  </si>
  <si>
    <t>УТНС, Секция 2002</t>
  </si>
  <si>
    <t>ходовые мостики Уралкалий</t>
  </si>
  <si>
    <t>Эккопром</t>
  </si>
  <si>
    <t>УТНС, лотки</t>
  </si>
  <si>
    <t>Танеко Секция 2604</t>
  </si>
  <si>
    <t>Доля</t>
  </si>
  <si>
    <t>КГ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</si>
</sst>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₽_-;\-* #,##0.00\ _₽_-;_-* &quot;-&quot;??\ _₽_-;_-@_-"/>
    <numFmt numFmtId="164" formatCode="#,##0.000"/>
    <numFmt numFmtId="165" formatCode="#,##0.00000000"/>
    <numFmt numFmtId="166" formatCode="0.0000"/>
    <numFmt numFmtId="167" formatCode="0.000"/>
    <numFmt numFmtId="168" formatCode="_-* #,##0.00\ _р_._-;\-* #,##0.00\ _р_._-;_-* &quot;-&quot;??\ _р_._-;_-@_-"/>
    <numFmt numFmtId="169" formatCode="0.0"/>
    <numFmt numFmtId="170" formatCode="#,##0.0"/>
    <numFmt numFmtId="171" formatCode="[$-F800]dddd\,\ mmmm\ dd\,\ yyyy"/>
    <numFmt numFmtId="172" formatCode="0.000000000000000"/>
    <numFmt numFmtId="173" formatCode="[$-419]mmmm;@"/>
    <numFmt numFmtId="174" formatCode="[$-419]d\ mmm\ yy;@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8"/>
      <name val="Arial"/>
      <family val="2"/>
    </font>
    <font>
      <sz val="10"/>
      <color rgb="FFFF0000"/>
      <name val="Times New Roman"/>
      <family val="1"/>
      <charset val="204"/>
    </font>
    <font>
      <b/>
      <sz val="20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0"/>
      <color rgb="FF00000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0"/>
      <color rgb="FFFFFF00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sz val="10"/>
      <color rgb="FF000000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996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171" fontId="3" fillId="0" borderId="0"/>
    <xf numFmtId="43" fontId="1" fillId="0" borderId="0" applyFont="0" applyFill="0" applyBorder="0" applyAlignment="0" applyProtection="0"/>
    <xf numFmtId="0" fontId="25" fillId="0" borderId="0"/>
  </cellStyleXfs>
  <cellXfs count="361">
    <xf numFmtId="0" fontId="0" fillId="0" borderId="0" xfId="0"/>
    <xf numFmtId="0" fontId="3" fillId="0" borderId="0" xfId="1" applyAlignment="1"/>
    <xf numFmtId="0" fontId="4" fillId="0" borderId="0" xfId="1" applyFont="1"/>
    <xf numFmtId="0" fontId="5" fillId="0" borderId="0" xfId="2" applyFont="1" applyAlignment="1"/>
    <xf numFmtId="0" fontId="3" fillId="0" borderId="0" xfId="1" applyAlignment="1">
      <alignment horizontal="center"/>
    </xf>
    <xf numFmtId="0" fontId="5" fillId="0" borderId="0" xfId="2" applyFont="1" applyAlignment="1">
      <alignment horizontal="center"/>
    </xf>
    <xf numFmtId="0" fontId="3" fillId="0" borderId="0" xfId="1"/>
    <xf numFmtId="0" fontId="3" fillId="2" borderId="2" xfId="1" applyFill="1" applyBorder="1" applyAlignment="1">
      <alignment horizontal="center"/>
    </xf>
    <xf numFmtId="164" fontId="2" fillId="2" borderId="2" xfId="3" applyNumberFormat="1" applyFont="1" applyFill="1" applyBorder="1" applyAlignment="1">
      <alignment horizontal="center" vertical="center" wrapText="1"/>
    </xf>
    <xf numFmtId="165" fontId="2" fillId="2" borderId="0" xfId="3" applyNumberFormat="1" applyFont="1" applyFill="1" applyAlignment="1">
      <alignment horizontal="center" vertical="center" wrapText="1"/>
    </xf>
    <xf numFmtId="0" fontId="8" fillId="2" borderId="2" xfId="2" applyFont="1" applyFill="1" applyBorder="1" applyAlignment="1">
      <alignment horizontal="center" vertical="center" wrapText="1"/>
    </xf>
    <xf numFmtId="0" fontId="7" fillId="2" borderId="2" xfId="2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 vertical="center" wrapText="1"/>
    </xf>
    <xf numFmtId="165" fontId="2" fillId="0" borderId="2" xfId="3" applyNumberFormat="1" applyFont="1" applyBorder="1" applyAlignment="1">
      <alignment horizontal="left" vertical="center"/>
    </xf>
    <xf numFmtId="3" fontId="2" fillId="0" borderId="2" xfId="3" applyNumberFormat="1" applyFont="1" applyBorder="1" applyAlignment="1">
      <alignment horizontal="center" vertical="center"/>
    </xf>
    <xf numFmtId="0" fontId="3" fillId="0" borderId="2" xfId="1" applyBorder="1"/>
    <xf numFmtId="164" fontId="2" fillId="0" borderId="2" xfId="3" applyNumberFormat="1" applyFont="1" applyBorder="1" applyAlignment="1">
      <alignment horizontal="center" vertical="center"/>
    </xf>
    <xf numFmtId="165" fontId="2" fillId="4" borderId="2" xfId="3" applyNumberFormat="1" applyFont="1" applyFill="1" applyBorder="1" applyAlignment="1">
      <alignment horizontal="center" vertical="center"/>
    </xf>
    <xf numFmtId="166" fontId="3" fillId="4" borderId="2" xfId="1" applyNumberFormat="1" applyFill="1" applyBorder="1" applyAlignment="1">
      <alignment horizontal="center"/>
    </xf>
    <xf numFmtId="165" fontId="1" fillId="0" borderId="2" xfId="3" applyNumberFormat="1" applyFont="1" applyBorder="1" applyAlignment="1">
      <alignment horizontal="left" vertical="center"/>
    </xf>
    <xf numFmtId="164" fontId="0" fillId="0" borderId="2" xfId="4" applyNumberFormat="1" applyFont="1" applyBorder="1" applyAlignment="1">
      <alignment horizontal="center"/>
    </xf>
    <xf numFmtId="165" fontId="1" fillId="4" borderId="2" xfId="3" applyNumberFormat="1" applyFont="1" applyFill="1" applyBorder="1" applyAlignment="1">
      <alignment horizontal="center"/>
    </xf>
    <xf numFmtId="165" fontId="2" fillId="0" borderId="2" xfId="3" applyNumberFormat="1" applyFont="1" applyBorder="1" applyAlignment="1">
      <alignment horizontal="center" vertical="center"/>
    </xf>
    <xf numFmtId="166" fontId="3" fillId="0" borderId="2" xfId="1" applyNumberFormat="1" applyBorder="1" applyAlignment="1">
      <alignment horizontal="center"/>
    </xf>
    <xf numFmtId="165" fontId="1" fillId="0" borderId="2" xfId="3" applyNumberFormat="1" applyFont="1" applyBorder="1" applyAlignment="1">
      <alignment horizontal="center"/>
    </xf>
    <xf numFmtId="0" fontId="0" fillId="0" borderId="2" xfId="0" applyBorder="1"/>
    <xf numFmtId="0" fontId="11" fillId="0" borderId="2" xfId="0" applyFont="1" applyBorder="1" applyAlignme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9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11" fillId="0" borderId="2" xfId="0" applyFont="1" applyFill="1" applyBorder="1" applyAlignment="1"/>
    <xf numFmtId="0" fontId="11" fillId="0" borderId="2" xfId="0" applyFont="1" applyFill="1" applyBorder="1" applyAlignment="1">
      <alignment wrapText="1"/>
    </xf>
    <xf numFmtId="0" fontId="13" fillId="0" borderId="0" xfId="0" applyFont="1" applyAlignment="1">
      <alignment horizontal="left" vertical="top" wrapText="1"/>
    </xf>
    <xf numFmtId="0" fontId="3" fillId="5" borderId="2" xfId="1" applyFill="1" applyBorder="1"/>
    <xf numFmtId="0" fontId="3" fillId="5" borderId="2" xfId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2" fillId="0" borderId="2" xfId="3" applyNumberFormat="1" applyFont="1" applyFill="1" applyBorder="1" applyAlignment="1">
      <alignment horizontal="left" vertical="center"/>
    </xf>
    <xf numFmtId="0" fontId="7" fillId="4" borderId="2" xfId="2" applyFont="1" applyFill="1" applyBorder="1" applyAlignment="1">
      <alignment horizontal="center" vertical="center"/>
    </xf>
    <xf numFmtId="4" fontId="13" fillId="3" borderId="2" xfId="0" applyNumberFormat="1" applyFont="1" applyFill="1" applyBorder="1" applyAlignment="1" applyProtection="1">
      <alignment horizontal="left" vertical="center" wrapText="1"/>
      <protection locked="0"/>
    </xf>
    <xf numFmtId="0" fontId="11" fillId="3" borderId="2" xfId="0" applyFont="1" applyFill="1" applyBorder="1" applyAlignment="1"/>
    <xf numFmtId="165" fontId="2" fillId="8" borderId="2" xfId="3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2" fillId="0" borderId="2" xfId="3" applyNumberFormat="1" applyFont="1" applyBorder="1" applyAlignment="1">
      <alignment horizontal="center" vertical="center"/>
    </xf>
    <xf numFmtId="2" fontId="3" fillId="11" borderId="2" xfId="1" applyNumberForma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8" borderId="2" xfId="0" applyFill="1" applyBorder="1" applyProtection="1">
      <protection hidden="1"/>
    </xf>
    <xf numFmtId="165" fontId="2" fillId="8" borderId="2" xfId="3" applyNumberFormat="1" applyFont="1" applyFill="1" applyBorder="1" applyAlignment="1" applyProtection="1">
      <alignment horizontal="left" vertical="center"/>
      <protection hidden="1"/>
    </xf>
    <xf numFmtId="165" fontId="2" fillId="8" borderId="2" xfId="3" applyNumberFormat="1" applyFont="1" applyFill="1" applyBorder="1" applyAlignment="1" applyProtection="1">
      <alignment horizontal="center" vertic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9" borderId="2" xfId="0" applyFill="1" applyBorder="1" applyProtection="1">
      <protection hidden="1"/>
    </xf>
    <xf numFmtId="0" fontId="0" fillId="9" borderId="2" xfId="0" applyFill="1" applyBorder="1" applyAlignment="1" applyProtection="1">
      <alignment vertical="center"/>
      <protection hidden="1"/>
    </xf>
    <xf numFmtId="0" fontId="0" fillId="9" borderId="2" xfId="0" applyFill="1" applyBorder="1" applyAlignment="1" applyProtection="1">
      <alignment horizontal="center" vertical="center"/>
      <protection hidden="1"/>
    </xf>
    <xf numFmtId="0" fontId="0" fillId="9" borderId="2" xfId="0" applyFill="1" applyBorder="1" applyAlignment="1" applyProtection="1">
      <alignment horizontal="center"/>
      <protection hidden="1"/>
    </xf>
    <xf numFmtId="0" fontId="0" fillId="10" borderId="2" xfId="0" applyFill="1" applyBorder="1" applyProtection="1">
      <protection hidden="1"/>
    </xf>
    <xf numFmtId="0" fontId="0" fillId="10" borderId="2" xfId="0" applyFill="1" applyBorder="1" applyAlignment="1" applyProtection="1">
      <alignment horizontal="center"/>
      <protection hidden="1"/>
    </xf>
    <xf numFmtId="0" fontId="0" fillId="2" borderId="2" xfId="0" applyFill="1" applyBorder="1" applyProtection="1"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15" fillId="2" borderId="2" xfId="0" applyFont="1" applyFill="1" applyBorder="1" applyAlignment="1" applyProtection="1">
      <alignment horizontal="center" vertical="center" wrapText="1"/>
      <protection hidden="1"/>
    </xf>
    <xf numFmtId="4" fontId="15" fillId="2" borderId="2" xfId="0" applyNumberFormat="1" applyFont="1" applyFill="1" applyBorder="1" applyAlignment="1" applyProtection="1">
      <alignment horizontal="center" vertical="center" wrapText="1"/>
      <protection hidden="1"/>
    </xf>
    <xf numFmtId="3" fontId="3" fillId="0" borderId="4" xfId="8" applyNumberFormat="1" applyBorder="1" applyAlignment="1">
      <alignment horizontal="center" vertical="center" wrapText="1"/>
    </xf>
    <xf numFmtId="3" fontId="0" fillId="0" borderId="4" xfId="8" applyNumberFormat="1" applyFont="1" applyBorder="1" applyAlignment="1">
      <alignment horizontal="center" vertical="center" wrapText="1"/>
    </xf>
    <xf numFmtId="3" fontId="3" fillId="0" borderId="5" xfId="8" applyNumberFormat="1" applyBorder="1" applyAlignment="1">
      <alignment horizontal="center" vertical="center" wrapText="1"/>
    </xf>
    <xf numFmtId="4" fontId="2" fillId="8" borderId="2" xfId="3" applyNumberFormat="1" applyFont="1" applyFill="1" applyBorder="1" applyAlignment="1">
      <alignment horizontal="center" vertical="center"/>
    </xf>
    <xf numFmtId="3" fontId="3" fillId="0" borderId="2" xfId="8" applyNumberFormat="1" applyBorder="1" applyAlignment="1">
      <alignment horizontal="center" vertical="center" wrapText="1"/>
    </xf>
    <xf numFmtId="1" fontId="3" fillId="14" borderId="2" xfId="1" applyNumberFormat="1" applyFill="1" applyBorder="1" applyAlignment="1">
      <alignment horizontal="center"/>
    </xf>
    <xf numFmtId="169" fontId="3" fillId="10" borderId="2" xfId="1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9" fontId="3" fillId="15" borderId="2" xfId="1" applyNumberFormat="1" applyFill="1" applyBorder="1" applyAlignment="1">
      <alignment horizontal="center"/>
    </xf>
    <xf numFmtId="169" fontId="3" fillId="16" borderId="2" xfId="1" applyNumberFormat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1" fontId="0" fillId="17" borderId="2" xfId="0" applyNumberFormat="1" applyFill="1" applyBorder="1" applyAlignment="1">
      <alignment horizontal="center"/>
    </xf>
    <xf numFmtId="3" fontId="3" fillId="0" borderId="0" xfId="8" applyNumberFormat="1" applyAlignment="1">
      <alignment vertical="center" wrapText="1"/>
    </xf>
    <xf numFmtId="3" fontId="0" fillId="0" borderId="5" xfId="6" applyNumberFormat="1" applyFont="1" applyBorder="1" applyAlignment="1">
      <alignment vertical="center" wrapText="1"/>
    </xf>
    <xf numFmtId="3" fontId="0" fillId="0" borderId="6" xfId="6" applyNumberFormat="1" applyFont="1" applyBorder="1" applyAlignment="1">
      <alignment vertical="center" wrapText="1"/>
    </xf>
    <xf numFmtId="9" fontId="0" fillId="0" borderId="5" xfId="6" applyFont="1" applyBorder="1" applyAlignment="1">
      <alignment horizontal="right" vertical="center" wrapText="1"/>
    </xf>
    <xf numFmtId="9" fontId="0" fillId="4" borderId="5" xfId="6" applyFont="1" applyFill="1" applyBorder="1" applyAlignment="1">
      <alignment horizontal="right" vertical="center" wrapText="1"/>
    </xf>
    <xf numFmtId="9" fontId="0" fillId="4" borderId="10" xfId="6" applyFont="1" applyFill="1" applyBorder="1" applyAlignment="1">
      <alignment horizontal="right" vertical="center" wrapText="1"/>
    </xf>
    <xf numFmtId="3" fontId="0" fillId="0" borderId="6" xfId="6" applyNumberFormat="1" applyFont="1" applyBorder="1" applyAlignment="1">
      <alignment horizontal="center" vertical="center" wrapText="1"/>
    </xf>
    <xf numFmtId="3" fontId="0" fillId="0" borderId="8" xfId="6" applyNumberFormat="1" applyFont="1" applyBorder="1" applyAlignment="1">
      <alignment horizontal="center" vertical="center" wrapText="1"/>
    </xf>
    <xf numFmtId="3" fontId="0" fillId="0" borderId="10" xfId="6" applyNumberFormat="1" applyFont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/>
    </xf>
    <xf numFmtId="9" fontId="0" fillId="0" borderId="6" xfId="6" applyFont="1" applyBorder="1" applyAlignment="1">
      <alignment horizontal="center" vertical="center" wrapText="1"/>
    </xf>
    <xf numFmtId="0" fontId="17" fillId="6" borderId="2" xfId="2" applyFont="1" applyFill="1" applyBorder="1" applyAlignment="1">
      <alignment horizontal="center" vertical="center" wrapText="1"/>
    </xf>
    <xf numFmtId="165" fontId="18" fillId="8" borderId="0" xfId="3" applyNumberFormat="1" applyFont="1" applyFill="1" applyBorder="1" applyAlignment="1">
      <alignment horizontal="left" vertical="top"/>
    </xf>
    <xf numFmtId="3" fontId="0" fillId="0" borderId="0" xfId="0" applyNumberFormat="1"/>
    <xf numFmtId="1" fontId="0" fillId="0" borderId="0" xfId="0" applyNumberFormat="1"/>
    <xf numFmtId="165" fontId="2" fillId="8" borderId="0" xfId="3" applyNumberFormat="1" applyFont="1" applyFill="1" applyBorder="1" applyAlignment="1">
      <alignment horizontal="left" vertical="center"/>
    </xf>
    <xf numFmtId="4" fontId="2" fillId="8" borderId="0" xfId="3" applyNumberFormat="1" applyFont="1" applyFill="1" applyBorder="1" applyAlignment="1">
      <alignment horizontal="center" vertical="center"/>
    </xf>
    <xf numFmtId="3" fontId="2" fillId="0" borderId="0" xfId="3" applyNumberFormat="1" applyFont="1" applyBorder="1" applyAlignment="1">
      <alignment horizontal="center" vertical="center"/>
    </xf>
    <xf numFmtId="3" fontId="3" fillId="0" borderId="0" xfId="8" applyNumberFormat="1" applyBorder="1" applyAlignment="1">
      <alignment horizontal="center" vertical="center" wrapText="1"/>
    </xf>
    <xf numFmtId="1" fontId="3" fillId="14" borderId="0" xfId="1" applyNumberFormat="1" applyFill="1" applyBorder="1" applyAlignment="1">
      <alignment horizontal="center"/>
    </xf>
    <xf numFmtId="2" fontId="0" fillId="0" borderId="0" xfId="0" applyNumberFormat="1"/>
    <xf numFmtId="172" fontId="0" fillId="0" borderId="0" xfId="0" applyNumberFormat="1"/>
    <xf numFmtId="171" fontId="3" fillId="0" borderId="0" xfId="8"/>
    <xf numFmtId="171" fontId="3" fillId="0" borderId="0" xfId="8" applyAlignment="1">
      <alignment horizontal="center"/>
    </xf>
    <xf numFmtId="3" fontId="3" fillId="4" borderId="2" xfId="8" applyNumberFormat="1" applyFill="1" applyBorder="1" applyAlignment="1">
      <alignment horizontal="center" vertical="center"/>
    </xf>
    <xf numFmtId="3" fontId="1" fillId="18" borderId="2" xfId="3" applyNumberFormat="1" applyFill="1" applyBorder="1" applyAlignment="1">
      <alignment horizontal="center" vertical="center"/>
    </xf>
    <xf numFmtId="3" fontId="2" fillId="18" borderId="2" xfId="3" applyNumberFormat="1" applyFont="1" applyFill="1" applyBorder="1" applyAlignment="1">
      <alignment horizontal="center" vertical="center"/>
    </xf>
    <xf numFmtId="165" fontId="1" fillId="18" borderId="13" xfId="3" applyNumberFormat="1" applyFont="1" applyFill="1" applyBorder="1" applyAlignment="1">
      <alignment horizontal="left" vertical="center"/>
    </xf>
    <xf numFmtId="3" fontId="1" fillId="4" borderId="2" xfId="3" applyNumberFormat="1" applyFill="1" applyBorder="1" applyAlignment="1">
      <alignment horizontal="center" vertical="center"/>
    </xf>
    <xf numFmtId="165" fontId="1" fillId="6" borderId="13" xfId="3" applyNumberFormat="1" applyFont="1" applyFill="1" applyBorder="1" applyAlignment="1">
      <alignment horizontal="left" vertical="center"/>
    </xf>
    <xf numFmtId="165" fontId="1" fillId="0" borderId="13" xfId="3" applyNumberFormat="1" applyFont="1" applyFill="1" applyBorder="1" applyAlignment="1">
      <alignment horizontal="left" vertical="center"/>
    </xf>
    <xf numFmtId="3" fontId="1" fillId="0" borderId="13" xfId="3" applyNumberFormat="1" applyFont="1" applyFill="1" applyBorder="1" applyAlignment="1">
      <alignment horizontal="center" vertical="center"/>
    </xf>
    <xf numFmtId="171" fontId="3" fillId="0" borderId="2" xfId="8" applyFill="1" applyBorder="1" applyAlignment="1">
      <alignment horizontal="center" vertical="center" wrapText="1"/>
    </xf>
    <xf numFmtId="171" fontId="0" fillId="0" borderId="2" xfId="8" applyFont="1" applyFill="1" applyBorder="1" applyAlignment="1">
      <alignment horizontal="center" vertical="center" wrapText="1"/>
    </xf>
    <xf numFmtId="171" fontId="20" fillId="0" borderId="0" xfId="8" applyFont="1"/>
    <xf numFmtId="3" fontId="3" fillId="18" borderId="2" xfId="8" applyNumberFormat="1" applyFill="1" applyBorder="1" applyAlignment="1">
      <alignment horizontal="center" vertical="center"/>
    </xf>
    <xf numFmtId="3" fontId="3" fillId="18" borderId="0" xfId="8" applyNumberFormat="1" applyFill="1"/>
    <xf numFmtId="0" fontId="3" fillId="18" borderId="2" xfId="8" applyNumberFormat="1" applyFill="1" applyBorder="1" applyAlignment="1">
      <alignment horizontal="center" vertical="center"/>
    </xf>
    <xf numFmtId="3" fontId="3" fillId="0" borderId="0" xfId="8" applyNumberFormat="1"/>
    <xf numFmtId="0" fontId="3" fillId="0" borderId="0" xfId="8" applyNumberFormat="1"/>
    <xf numFmtId="171" fontId="21" fillId="0" borderId="0" xfId="8" applyFont="1"/>
    <xf numFmtId="165" fontId="1" fillId="18" borderId="2" xfId="3" applyNumberFormat="1" applyFont="1" applyFill="1" applyBorder="1" applyAlignment="1">
      <alignment horizontal="left" vertical="center"/>
    </xf>
    <xf numFmtId="1" fontId="3" fillId="0" borderId="2" xfId="8" applyNumberFormat="1" applyFill="1" applyBorder="1" applyAlignment="1">
      <alignment horizontal="center" vertical="center"/>
    </xf>
    <xf numFmtId="0" fontId="3" fillId="0" borderId="2" xfId="8" applyNumberFormat="1" applyFill="1" applyBorder="1" applyAlignment="1">
      <alignment horizontal="center" vertical="center"/>
    </xf>
    <xf numFmtId="165" fontId="1" fillId="0" borderId="2" xfId="3" applyNumberFormat="1" applyFont="1" applyFill="1" applyBorder="1" applyAlignment="1">
      <alignment horizontal="left" vertical="center"/>
    </xf>
    <xf numFmtId="3" fontId="1" fillId="0" borderId="2" xfId="3" applyNumberFormat="1" applyFont="1" applyFill="1" applyBorder="1" applyAlignment="1">
      <alignment horizontal="center" vertical="center"/>
    </xf>
    <xf numFmtId="173" fontId="3" fillId="0" borderId="2" xfId="8" applyNumberFormat="1" applyFill="1" applyBorder="1" applyAlignment="1">
      <alignment horizontal="center" vertical="center" textRotation="90"/>
    </xf>
    <xf numFmtId="169" fontId="3" fillId="18" borderId="2" xfId="8" applyNumberFormat="1" applyFill="1" applyBorder="1" applyAlignment="1">
      <alignment horizontal="center" vertical="center"/>
    </xf>
    <xf numFmtId="0" fontId="0" fillId="0" borderId="0" xfId="0" applyFill="1"/>
    <xf numFmtId="171" fontId="3" fillId="0" borderId="0" xfId="8" applyAlignment="1">
      <alignment horizontal="center" vertical="center"/>
    </xf>
    <xf numFmtId="173" fontId="3" fillId="0" borderId="0" xfId="8" applyNumberFormat="1" applyAlignment="1">
      <alignment horizontal="center" vertical="center"/>
    </xf>
    <xf numFmtId="0" fontId="0" fillId="6" borderId="2" xfId="0" applyFill="1" applyBorder="1" applyProtection="1">
      <protection hidden="1"/>
    </xf>
    <xf numFmtId="4" fontId="3" fillId="4" borderId="2" xfId="8" applyNumberFormat="1" applyFill="1" applyBorder="1" applyAlignment="1">
      <alignment horizontal="center" vertical="center"/>
    </xf>
    <xf numFmtId="165" fontId="0" fillId="18" borderId="13" xfId="3" applyNumberFormat="1" applyFont="1" applyFill="1" applyBorder="1" applyAlignment="1">
      <alignment horizontal="left" vertical="center"/>
    </xf>
    <xf numFmtId="4" fontId="3" fillId="18" borderId="2" xfId="8" applyNumberFormat="1" applyFill="1" applyBorder="1" applyAlignment="1">
      <alignment horizontal="center" vertical="center"/>
    </xf>
    <xf numFmtId="0" fontId="1" fillId="4" borderId="2" xfId="3" applyNumberFormat="1" applyFill="1" applyBorder="1" applyAlignment="1">
      <alignment horizontal="center" vertical="center"/>
    </xf>
    <xf numFmtId="0" fontId="2" fillId="4" borderId="2" xfId="3" applyNumberFormat="1" applyFont="1" applyFill="1" applyBorder="1" applyAlignment="1">
      <alignment horizontal="center" vertical="center"/>
    </xf>
    <xf numFmtId="0" fontId="2" fillId="0" borderId="2" xfId="3" applyNumberFormat="1" applyFont="1" applyBorder="1" applyAlignment="1">
      <alignment horizontal="center" vertical="center"/>
    </xf>
    <xf numFmtId="0" fontId="1" fillId="0" borderId="2" xfId="3" applyNumberFormat="1" applyBorder="1" applyAlignment="1">
      <alignment horizontal="center" vertical="center"/>
    </xf>
    <xf numFmtId="169" fontId="24" fillId="0" borderId="2" xfId="0" applyNumberFormat="1" applyFont="1" applyFill="1" applyBorder="1" applyAlignment="1">
      <alignment horizontal="center" vertical="center"/>
    </xf>
    <xf numFmtId="169" fontId="1" fillId="4" borderId="2" xfId="3" applyNumberFormat="1" applyFill="1" applyBorder="1" applyAlignment="1">
      <alignment horizontal="center" vertical="center"/>
    </xf>
    <xf numFmtId="0" fontId="5" fillId="2" borderId="2" xfId="2" applyFont="1" applyFill="1" applyBorder="1" applyAlignment="1">
      <alignment vertical="center" wrapText="1"/>
    </xf>
    <xf numFmtId="0" fontId="7" fillId="2" borderId="2" xfId="2" applyFont="1" applyFill="1" applyBorder="1" applyAlignment="1">
      <alignment vertical="center"/>
    </xf>
    <xf numFmtId="0" fontId="11" fillId="0" borderId="2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 wrapText="1"/>
    </xf>
    <xf numFmtId="0" fontId="26" fillId="4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0" fillId="6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167" fontId="11" fillId="0" borderId="2" xfId="0" applyNumberFormat="1" applyFont="1" applyFill="1" applyBorder="1" applyAlignment="1">
      <alignment horizontal="center" vertical="center" wrapText="1"/>
    </xf>
    <xf numFmtId="1" fontId="11" fillId="0" borderId="2" xfId="0" applyNumberFormat="1" applyFont="1" applyFill="1" applyBorder="1" applyAlignment="1">
      <alignment horizontal="center" vertical="center" wrapText="1"/>
    </xf>
    <xf numFmtId="167" fontId="11" fillId="0" borderId="2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wrapText="1"/>
    </xf>
    <xf numFmtId="1" fontId="11" fillId="0" borderId="2" xfId="0" applyNumberFormat="1" applyFont="1" applyFill="1" applyBorder="1" applyAlignment="1">
      <alignment horizontal="center"/>
    </xf>
    <xf numFmtId="9" fontId="11" fillId="0" borderId="2" xfId="6" applyFont="1" applyFill="1" applyBorder="1" applyAlignment="1">
      <alignment horizontal="center" wrapText="1"/>
    </xf>
    <xf numFmtId="1" fontId="0" fillId="0" borderId="2" xfId="0" applyNumberFormat="1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top" wrapText="1"/>
    </xf>
    <xf numFmtId="4" fontId="1" fillId="0" borderId="2" xfId="3" applyNumberFormat="1" applyFont="1" applyFill="1" applyBorder="1" applyAlignment="1">
      <alignment horizontal="center" vertical="center"/>
    </xf>
    <xf numFmtId="2" fontId="1" fillId="0" borderId="2" xfId="3" applyNumberFormat="1" applyFont="1" applyFill="1" applyBorder="1" applyAlignment="1">
      <alignment horizontal="center" vertical="center"/>
    </xf>
    <xf numFmtId="4" fontId="15" fillId="0" borderId="2" xfId="0" applyNumberFormat="1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/>
    </xf>
    <xf numFmtId="0" fontId="0" fillId="0" borderId="2" xfId="0" applyFont="1" applyFill="1" applyBorder="1"/>
    <xf numFmtId="165" fontId="1" fillId="0" borderId="2" xfId="3" applyNumberFormat="1" applyFont="1" applyFill="1" applyBorder="1" applyAlignment="1">
      <alignment horizontal="center" vertical="center"/>
    </xf>
    <xf numFmtId="165" fontId="1" fillId="3" borderId="2" xfId="3" applyNumberFormat="1" applyFont="1" applyFill="1" applyBorder="1" applyAlignment="1">
      <alignment horizontal="left" vertical="center"/>
    </xf>
    <xf numFmtId="0" fontId="0" fillId="19" borderId="2" xfId="0" applyFont="1" applyFill="1" applyBorder="1" applyAlignment="1">
      <alignment horizontal="center"/>
    </xf>
    <xf numFmtId="0" fontId="0" fillId="19" borderId="2" xfId="0" applyFont="1" applyFill="1" applyBorder="1"/>
    <xf numFmtId="0" fontId="0" fillId="0" borderId="2" xfId="0" applyFont="1" applyFill="1" applyBorder="1" applyAlignment="1">
      <alignment vertical="center"/>
    </xf>
    <xf numFmtId="165" fontId="1" fillId="0" borderId="2" xfId="3" applyNumberFormat="1" applyFont="1" applyFill="1" applyBorder="1" applyAlignment="1" applyProtection="1">
      <alignment horizontal="left" vertical="center"/>
      <protection hidden="1"/>
    </xf>
    <xf numFmtId="167" fontId="0" fillId="0" borderId="2" xfId="0" applyNumberFormat="1" applyFont="1" applyFill="1" applyBorder="1" applyAlignment="1">
      <alignment horizontal="center"/>
    </xf>
    <xf numFmtId="0" fontId="0" fillId="19" borderId="2" xfId="0" applyFont="1" applyFill="1" applyBorder="1" applyAlignment="1">
      <alignment wrapText="1"/>
    </xf>
    <xf numFmtId="0" fontId="0" fillId="19" borderId="2" xfId="0" applyFont="1" applyFill="1" applyBorder="1" applyAlignment="1">
      <alignment horizontal="center" wrapText="1"/>
    </xf>
    <xf numFmtId="10" fontId="1" fillId="0" borderId="2" xfId="6" applyNumberFormat="1" applyFont="1" applyFill="1" applyBorder="1" applyAlignment="1">
      <alignment horizontal="center" vertical="center"/>
    </xf>
    <xf numFmtId="2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vertical="center"/>
    </xf>
    <xf numFmtId="0" fontId="0" fillId="6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3" fillId="0" borderId="0" xfId="1" applyFont="1" applyAlignment="1" applyProtection="1">
      <alignment horizontal="center" vertical="top" wrapText="1"/>
    </xf>
    <xf numFmtId="0" fontId="13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horizontal="center" vertical="center" wrapText="1"/>
    </xf>
    <xf numFmtId="0" fontId="13" fillId="20" borderId="2" xfId="1" applyFont="1" applyFill="1" applyBorder="1" applyAlignment="1" applyProtection="1">
      <alignment horizontal="center" vertical="center" wrapText="1"/>
    </xf>
    <xf numFmtId="0" fontId="10" fillId="12" borderId="0" xfId="1" applyFont="1" applyFill="1" applyAlignment="1" applyProtection="1">
      <alignment horizontal="center" vertical="center" wrapText="1"/>
      <protection locked="0"/>
    </xf>
    <xf numFmtId="3" fontId="13" fillId="12" borderId="2" xfId="1" applyNumberFormat="1" applyFont="1" applyFill="1" applyBorder="1" applyAlignment="1" applyProtection="1">
      <alignment horizontal="center" vertical="center"/>
    </xf>
    <xf numFmtId="0" fontId="13" fillId="5" borderId="3" xfId="1" applyFont="1" applyFill="1" applyBorder="1" applyAlignment="1" applyProtection="1">
      <alignment horizontal="center" vertical="center" wrapText="1"/>
    </xf>
    <xf numFmtId="0" fontId="27" fillId="0" borderId="2" xfId="1" applyFont="1" applyBorder="1" applyAlignment="1" applyProtection="1">
      <alignment horizontal="center" vertical="center" wrapText="1"/>
    </xf>
    <xf numFmtId="167" fontId="27" fillId="0" borderId="2" xfId="1" applyNumberFormat="1" applyFont="1" applyBorder="1" applyAlignment="1" applyProtection="1">
      <alignment horizontal="center" vertical="center" wrapText="1"/>
    </xf>
    <xf numFmtId="0" fontId="13" fillId="7" borderId="2" xfId="1" applyFont="1" applyFill="1" applyBorder="1" applyAlignment="1" applyProtection="1">
      <alignment horizontal="center" vertical="top" wrapText="1"/>
      <protection locked="0"/>
    </xf>
    <xf numFmtId="0" fontId="27" fillId="7" borderId="2" xfId="1" applyFont="1" applyFill="1" applyBorder="1" applyAlignment="1" applyProtection="1">
      <alignment horizontal="left" vertical="top" wrapText="1"/>
      <protection locked="0"/>
    </xf>
    <xf numFmtId="0" fontId="27" fillId="7" borderId="2" xfId="1" applyFont="1" applyFill="1" applyBorder="1" applyAlignment="1" applyProtection="1">
      <alignment horizontal="center" vertical="top" wrapText="1"/>
      <protection locked="0"/>
    </xf>
    <xf numFmtId="167" fontId="27" fillId="7" borderId="2" xfId="1" applyNumberFormat="1" applyFont="1" applyFill="1" applyBorder="1" applyAlignment="1" applyProtection="1">
      <alignment horizontal="center" vertical="top" wrapText="1"/>
      <protection locked="0"/>
    </xf>
    <xf numFmtId="0" fontId="29" fillId="7" borderId="2" xfId="1" applyFont="1" applyFill="1" applyBorder="1" applyAlignment="1" applyProtection="1">
      <alignment horizontal="center" vertical="top" wrapText="1"/>
      <protection locked="0"/>
    </xf>
    <xf numFmtId="0" fontId="13" fillId="0" borderId="0" xfId="1" applyFont="1" applyAlignment="1" applyProtection="1">
      <alignment horizontal="left" vertical="top" wrapText="1"/>
      <protection locked="0"/>
    </xf>
    <xf numFmtId="0" fontId="30" fillId="4" borderId="2" xfId="1" applyFont="1" applyFill="1" applyBorder="1" applyAlignment="1" applyProtection="1">
      <alignment horizontal="center" vertical="top" wrapText="1"/>
    </xf>
    <xf numFmtId="0" fontId="31" fillId="4" borderId="2" xfId="1" applyFont="1" applyFill="1" applyBorder="1" applyAlignment="1" applyProtection="1">
      <alignment horizontal="left" vertical="top" wrapText="1"/>
    </xf>
    <xf numFmtId="0" fontId="31" fillId="4" borderId="2" xfId="1" applyFont="1" applyFill="1" applyBorder="1" applyAlignment="1" applyProtection="1">
      <alignment horizontal="center" vertical="top" wrapText="1"/>
    </xf>
    <xf numFmtId="167" fontId="31" fillId="4" borderId="2" xfId="1" applyNumberFormat="1" applyFont="1" applyFill="1" applyBorder="1" applyAlignment="1" applyProtection="1">
      <alignment horizontal="center" vertical="top" wrapText="1"/>
    </xf>
    <xf numFmtId="0" fontId="32" fillId="4" borderId="2" xfId="1" applyFont="1" applyFill="1" applyBorder="1" applyAlignment="1" applyProtection="1">
      <alignment horizontal="center" vertical="top" wrapText="1"/>
    </xf>
    <xf numFmtId="0" fontId="33" fillId="4" borderId="2" xfId="1" applyFont="1" applyFill="1" applyBorder="1" applyAlignment="1" applyProtection="1">
      <alignment horizontal="left" vertical="top" wrapText="1"/>
    </xf>
    <xf numFmtId="0" fontId="33" fillId="0" borderId="0" xfId="1" applyFont="1" applyFill="1" applyAlignment="1" applyProtection="1">
      <alignment horizontal="left" vertical="top" wrapText="1"/>
      <protection locked="0"/>
    </xf>
    <xf numFmtId="0" fontId="30" fillId="4" borderId="2" xfId="1" applyFont="1" applyFill="1" applyBorder="1" applyAlignment="1" applyProtection="1">
      <alignment horizontal="left" vertical="top" wrapText="1"/>
    </xf>
    <xf numFmtId="0" fontId="30" fillId="0" borderId="0" xfId="1" applyFont="1" applyFill="1" applyAlignment="1" applyProtection="1">
      <alignment horizontal="left" vertical="top" wrapText="1"/>
      <protection locked="0"/>
    </xf>
    <xf numFmtId="0" fontId="3" fillId="8" borderId="2" xfId="1" applyFill="1" applyBorder="1" applyAlignment="1" applyProtection="1">
      <alignment horizontal="center"/>
    </xf>
    <xf numFmtId="165" fontId="2" fillId="8" borderId="2" xfId="3" applyNumberFormat="1" applyFont="1" applyFill="1" applyBorder="1" applyAlignment="1" applyProtection="1">
      <alignment horizontal="left" vertical="center"/>
      <protection locked="0"/>
    </xf>
    <xf numFmtId="3" fontId="13" fillId="12" borderId="2" xfId="1" applyNumberFormat="1" applyFont="1" applyFill="1" applyBorder="1" applyAlignment="1" applyProtection="1">
      <alignment horizontal="center" vertical="center"/>
      <protection locked="0"/>
    </xf>
    <xf numFmtId="0" fontId="13" fillId="12" borderId="2" xfId="1" applyFont="1" applyFill="1" applyBorder="1" applyAlignment="1" applyProtection="1">
      <alignment horizontal="center" vertical="center" wrapText="1"/>
      <protection locked="0"/>
    </xf>
    <xf numFmtId="0" fontId="13" fillId="5" borderId="2" xfId="1" applyFont="1" applyFill="1" applyBorder="1" applyAlignment="1" applyProtection="1">
      <alignment horizontal="center" vertical="center" wrapText="1"/>
    </xf>
    <xf numFmtId="164" fontId="13" fillId="5" borderId="2" xfId="1" applyNumberFormat="1" applyFont="1" applyFill="1" applyBorder="1" applyAlignment="1" applyProtection="1">
      <alignment horizontal="center" vertical="center"/>
    </xf>
    <xf numFmtId="14" fontId="13" fillId="12" borderId="2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1" applyFont="1" applyBorder="1" applyAlignment="1" applyProtection="1">
      <alignment horizontal="left" vertical="top" wrapText="1"/>
      <protection locked="0"/>
    </xf>
    <xf numFmtId="3" fontId="13" fillId="12" borderId="2" xfId="2" applyNumberFormat="1" applyFont="1" applyFill="1" applyBorder="1" applyAlignment="1" applyProtection="1">
      <alignment horizontal="center" vertical="center"/>
      <protection locked="0"/>
    </xf>
    <xf numFmtId="0" fontId="3" fillId="9" borderId="2" xfId="1" applyFill="1" applyBorder="1" applyAlignment="1" applyProtection="1">
      <alignment horizontal="center"/>
    </xf>
    <xf numFmtId="0" fontId="3" fillId="9" borderId="2" xfId="1" applyFill="1" applyBorder="1" applyAlignment="1" applyProtection="1">
      <alignment vertical="center"/>
      <protection locked="0"/>
    </xf>
    <xf numFmtId="3" fontId="13" fillId="20" borderId="2" xfId="2" applyNumberFormat="1" applyFont="1" applyFill="1" applyBorder="1" applyAlignment="1" applyProtection="1">
      <alignment horizontal="center" vertical="center"/>
    </xf>
    <xf numFmtId="3" fontId="13" fillId="20" borderId="2" xfId="5" applyNumberFormat="1" applyFont="1" applyFill="1" applyBorder="1" applyAlignment="1" applyProtection="1">
      <alignment horizontal="center" vertical="center"/>
    </xf>
    <xf numFmtId="3" fontId="13" fillId="20" borderId="2" xfId="1" applyNumberFormat="1" applyFont="1" applyFill="1" applyBorder="1" applyAlignment="1" applyProtection="1">
      <alignment horizontal="center" vertical="center"/>
    </xf>
    <xf numFmtId="1" fontId="13" fillId="20" borderId="2" xfId="1" applyNumberFormat="1" applyFont="1" applyFill="1" applyBorder="1" applyAlignment="1" applyProtection="1">
      <alignment horizontal="center" vertical="center"/>
    </xf>
    <xf numFmtId="0" fontId="13" fillId="12" borderId="2" xfId="1" applyFont="1" applyFill="1" applyBorder="1" applyAlignment="1" applyProtection="1">
      <alignment horizontal="center" vertical="top" wrapText="1"/>
      <protection locked="0"/>
    </xf>
    <xf numFmtId="14" fontId="13" fillId="12" borderId="2" xfId="1" applyNumberFormat="1" applyFont="1" applyFill="1" applyBorder="1" applyAlignment="1" applyProtection="1">
      <alignment horizontal="center" vertical="top" wrapText="1"/>
      <protection locked="0"/>
    </xf>
    <xf numFmtId="0" fontId="30" fillId="20" borderId="2" xfId="1" applyFont="1" applyFill="1" applyBorder="1" applyAlignment="1" applyProtection="1">
      <alignment horizontal="left" vertical="top" wrapText="1"/>
    </xf>
    <xf numFmtId="0" fontId="30" fillId="20" borderId="2" xfId="1" applyFont="1" applyFill="1" applyBorder="1" applyAlignment="1" applyProtection="1">
      <alignment horizontal="center" vertical="top" wrapText="1"/>
    </xf>
    <xf numFmtId="0" fontId="30" fillId="12" borderId="2" xfId="1" applyFont="1" applyFill="1" applyBorder="1" applyAlignment="1" applyProtection="1">
      <alignment horizontal="center" vertical="top" wrapText="1"/>
      <protection locked="0"/>
    </xf>
    <xf numFmtId="14" fontId="30" fillId="12" borderId="2" xfId="1" applyNumberFormat="1" applyFont="1" applyFill="1" applyBorder="1" applyAlignment="1" applyProtection="1">
      <alignment horizontal="center" vertical="top" wrapText="1"/>
      <protection locked="0"/>
    </xf>
    <xf numFmtId="0" fontId="30" fillId="4" borderId="0" xfId="1" applyFont="1" applyFill="1" applyAlignment="1" applyProtection="1">
      <alignment horizontal="left" vertical="top" wrapText="1"/>
      <protection locked="0"/>
    </xf>
    <xf numFmtId="0" fontId="13" fillId="20" borderId="2" xfId="1" applyFont="1" applyFill="1" applyBorder="1" applyAlignment="1" applyProtection="1">
      <alignment horizontal="left" vertical="top" wrapText="1"/>
    </xf>
    <xf numFmtId="0" fontId="13" fillId="20" borderId="2" xfId="1" applyFont="1" applyFill="1" applyBorder="1" applyAlignment="1" applyProtection="1">
      <alignment horizontal="center" vertical="top" wrapText="1"/>
    </xf>
    <xf numFmtId="0" fontId="3" fillId="10" borderId="2" xfId="1" applyFill="1" applyBorder="1" applyAlignment="1" applyProtection="1">
      <alignment horizontal="center"/>
    </xf>
    <xf numFmtId="0" fontId="3" fillId="10" borderId="2" xfId="1" applyFill="1" applyBorder="1" applyProtection="1">
      <protection locked="0"/>
    </xf>
    <xf numFmtId="0" fontId="3" fillId="2" borderId="2" xfId="1" applyFill="1" applyBorder="1" applyAlignment="1" applyProtection="1">
      <alignment horizontal="center"/>
    </xf>
    <xf numFmtId="0" fontId="3" fillId="2" borderId="2" xfId="1" applyFill="1" applyBorder="1" applyAlignment="1" applyProtection="1">
      <alignment horizontal="left" vertical="center"/>
      <protection locked="0"/>
    </xf>
    <xf numFmtId="0" fontId="13" fillId="0" borderId="2" xfId="1" applyFont="1" applyFill="1" applyBorder="1" applyAlignment="1" applyProtection="1">
      <alignment horizontal="center" vertical="top" wrapText="1"/>
    </xf>
    <xf numFmtId="0" fontId="15" fillId="2" borderId="2" xfId="1" applyFont="1" applyFill="1" applyBorder="1" applyAlignment="1" applyProtection="1">
      <alignment horizontal="left" vertical="center" wrapText="1"/>
      <protection locked="0"/>
    </xf>
    <xf numFmtId="4" fontId="15" fillId="2" borderId="2" xfId="1" applyNumberFormat="1" applyFont="1" applyFill="1" applyBorder="1" applyAlignment="1" applyProtection="1">
      <alignment horizontal="left" vertical="center" wrapText="1"/>
      <protection locked="0"/>
    </xf>
    <xf numFmtId="16" fontId="13" fillId="12" borderId="2" xfId="1" applyNumberFormat="1" applyFont="1" applyFill="1" applyBorder="1" applyAlignment="1" applyProtection="1">
      <alignment horizontal="center" vertical="top" wrapText="1"/>
      <protection locked="0"/>
    </xf>
    <xf numFmtId="0" fontId="13" fillId="0" borderId="0" xfId="1" applyFont="1" applyAlignment="1" applyProtection="1">
      <alignment horizontal="center" vertical="top" wrapText="1"/>
      <protection locked="0"/>
    </xf>
    <xf numFmtId="0" fontId="30" fillId="4" borderId="2" xfId="0" applyFont="1" applyFill="1" applyBorder="1" applyAlignment="1" applyProtection="1">
      <alignment horizontal="center" vertical="top" wrapText="1"/>
    </xf>
    <xf numFmtId="0" fontId="31" fillId="4" borderId="2" xfId="0" applyFont="1" applyFill="1" applyBorder="1" applyAlignment="1" applyProtection="1">
      <alignment horizontal="left" vertical="top" wrapText="1"/>
    </xf>
    <xf numFmtId="0" fontId="31" fillId="4" borderId="2" xfId="0" applyFont="1" applyFill="1" applyBorder="1" applyAlignment="1" applyProtection="1">
      <alignment horizontal="center" vertical="top" wrapText="1"/>
    </xf>
    <xf numFmtId="0" fontId="32" fillId="4" borderId="2" xfId="0" applyFont="1" applyFill="1" applyBorder="1" applyAlignment="1" applyProtection="1">
      <alignment horizontal="center" vertical="top" wrapText="1"/>
    </xf>
    <xf numFmtId="0" fontId="33" fillId="4" borderId="2" xfId="0" applyFont="1" applyFill="1" applyBorder="1" applyAlignment="1" applyProtection="1">
      <alignment horizontal="left" vertical="top" wrapText="1"/>
    </xf>
    <xf numFmtId="0" fontId="30" fillId="4" borderId="2" xfId="0" applyFont="1" applyFill="1" applyBorder="1" applyAlignment="1" applyProtection="1">
      <alignment horizontal="left" vertical="top" wrapText="1"/>
    </xf>
    <xf numFmtId="0" fontId="0" fillId="8" borderId="2" xfId="0" applyFill="1" applyBorder="1" applyAlignment="1" applyProtection="1">
      <alignment horizontal="center"/>
    </xf>
    <xf numFmtId="3" fontId="13" fillId="12" borderId="2" xfId="0" applyNumberFormat="1" applyFont="1" applyFill="1" applyBorder="1" applyAlignment="1" applyProtection="1">
      <alignment horizontal="center" vertical="center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5" borderId="2" xfId="0" applyFont="1" applyFill="1" applyBorder="1" applyAlignment="1" applyProtection="1">
      <alignment horizontal="center" vertical="center" wrapText="1"/>
    </xf>
    <xf numFmtId="14" fontId="13" fillId="12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left" vertical="top" wrapText="1"/>
      <protection locked="0"/>
    </xf>
    <xf numFmtId="0" fontId="0" fillId="9" borderId="2" xfId="0" applyFill="1" applyBorder="1" applyAlignment="1" applyProtection="1">
      <alignment horizontal="center"/>
    </xf>
    <xf numFmtId="0" fontId="0" fillId="9" borderId="2" xfId="0" applyFill="1" applyBorder="1" applyAlignment="1" applyProtection="1">
      <alignment vertical="center"/>
      <protection locked="0"/>
    </xf>
    <xf numFmtId="0" fontId="13" fillId="20" borderId="2" xfId="0" applyFont="1" applyFill="1" applyBorder="1" applyAlignment="1" applyProtection="1">
      <alignment horizontal="center" vertical="center" wrapText="1"/>
    </xf>
    <xf numFmtId="3" fontId="13" fillId="20" borderId="2" xfId="0" applyNumberFormat="1" applyFont="1" applyFill="1" applyBorder="1" applyAlignment="1" applyProtection="1">
      <alignment horizontal="center" vertical="center"/>
    </xf>
    <xf numFmtId="1" fontId="13" fillId="20" borderId="2" xfId="0" applyNumberFormat="1" applyFont="1" applyFill="1" applyBorder="1" applyAlignment="1" applyProtection="1">
      <alignment horizontal="center" vertical="center"/>
    </xf>
    <xf numFmtId="0" fontId="13" fillId="12" borderId="2" xfId="0" applyFont="1" applyFill="1" applyBorder="1" applyAlignment="1" applyProtection="1">
      <alignment horizontal="center" vertical="top" wrapText="1"/>
      <protection locked="0"/>
    </xf>
    <xf numFmtId="14" fontId="13" fillId="12" borderId="2" xfId="0" applyNumberFormat="1" applyFont="1" applyFill="1" applyBorder="1" applyAlignment="1" applyProtection="1">
      <alignment horizontal="center" vertical="top" wrapText="1"/>
      <protection locked="0"/>
    </xf>
    <xf numFmtId="0" fontId="13" fillId="20" borderId="2" xfId="0" applyFont="1" applyFill="1" applyBorder="1" applyAlignment="1" applyProtection="1">
      <alignment horizontal="left" vertical="top" wrapText="1"/>
    </xf>
    <xf numFmtId="0" fontId="13" fillId="20" borderId="2" xfId="0" applyFont="1" applyFill="1" applyBorder="1" applyAlignment="1" applyProtection="1">
      <alignment horizontal="center" vertical="top" wrapText="1"/>
    </xf>
    <xf numFmtId="0" fontId="0" fillId="10" borderId="2" xfId="0" applyFill="1" applyBorder="1" applyAlignment="1" applyProtection="1">
      <alignment horizontal="center"/>
    </xf>
    <xf numFmtId="0" fontId="0" fillId="10" borderId="2" xfId="0" applyFill="1" applyBorder="1" applyProtection="1">
      <protection locked="0"/>
    </xf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13" fillId="0" borderId="2" xfId="0" applyFont="1" applyFill="1" applyBorder="1" applyAlignment="1" applyProtection="1">
      <alignment horizontal="center" vertical="top" wrapText="1"/>
    </xf>
    <xf numFmtId="0" fontId="15" fillId="2" borderId="2" xfId="0" applyFont="1" applyFill="1" applyBorder="1" applyAlignment="1" applyProtection="1">
      <alignment horizontal="left" vertical="center" wrapText="1"/>
      <protection locked="0"/>
    </xf>
    <xf numFmtId="4" fontId="15" fillId="2" borderId="2" xfId="0" applyNumberFormat="1" applyFont="1" applyFill="1" applyBorder="1" applyAlignment="1" applyProtection="1">
      <alignment horizontal="left" vertical="center" wrapText="1"/>
      <protection locked="0"/>
    </xf>
    <xf numFmtId="0" fontId="10" fillId="12" borderId="0" xfId="0" applyFont="1" applyFill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left" vertical="center"/>
      <protection locked="0" hidden="1"/>
    </xf>
    <xf numFmtId="0" fontId="34" fillId="0" borderId="0" xfId="1" applyFont="1" applyAlignment="1" applyProtection="1">
      <alignment horizontal="center" vertical="center" wrapText="1"/>
    </xf>
    <xf numFmtId="4" fontId="29" fillId="2" borderId="2" xfId="0" applyNumberFormat="1" applyFont="1" applyFill="1" applyBorder="1" applyAlignment="1" applyProtection="1">
      <alignment horizontal="left" vertical="center" wrapText="1"/>
      <protection hidden="1"/>
    </xf>
    <xf numFmtId="0" fontId="35" fillId="9" borderId="2" xfId="0" applyFont="1" applyFill="1" applyBorder="1" applyAlignment="1" applyProtection="1">
      <alignment vertical="center"/>
      <protection hidden="1"/>
    </xf>
    <xf numFmtId="1" fontId="3" fillId="21" borderId="2" xfId="1" applyNumberFormat="1" applyFill="1" applyBorder="1" applyAlignment="1">
      <alignment horizontal="center"/>
    </xf>
    <xf numFmtId="171" fontId="3" fillId="0" borderId="2" xfId="8" applyBorder="1"/>
    <xf numFmtId="171" fontId="3" fillId="4" borderId="0" xfId="8" applyFill="1"/>
    <xf numFmtId="0" fontId="21" fillId="0" borderId="0" xfId="0" applyFont="1"/>
    <xf numFmtId="9" fontId="1" fillId="0" borderId="2" xfId="6" applyFont="1" applyFill="1" applyBorder="1" applyAlignment="1">
      <alignment horizontal="center" vertical="center"/>
    </xf>
    <xf numFmtId="1" fontId="1" fillId="4" borderId="2" xfId="3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71" fontId="3" fillId="2" borderId="0" xfId="8" applyFill="1"/>
    <xf numFmtId="171" fontId="3" fillId="2" borderId="0" xfId="8" applyFill="1" applyAlignment="1">
      <alignment horizontal="center" vertical="center"/>
    </xf>
    <xf numFmtId="171" fontId="22" fillId="2" borderId="0" xfId="8" applyFont="1" applyFill="1"/>
    <xf numFmtId="171" fontId="3" fillId="2" borderId="0" xfId="8" applyFill="1" applyAlignment="1">
      <alignment horizontal="center"/>
    </xf>
    <xf numFmtId="165" fontId="1" fillId="2" borderId="2" xfId="3" applyNumberFormat="1" applyFont="1" applyFill="1" applyBorder="1" applyAlignment="1">
      <alignment horizontal="left" vertical="center"/>
    </xf>
    <xf numFmtId="165" fontId="1" fillId="2" borderId="13" xfId="3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center"/>
    </xf>
    <xf numFmtId="3" fontId="3" fillId="2" borderId="0" xfId="8" applyNumberFormat="1" applyFill="1"/>
    <xf numFmtId="3" fontId="3" fillId="2" borderId="2" xfId="8" applyNumberFormat="1" applyFill="1" applyBorder="1" applyAlignment="1">
      <alignment horizontal="center" vertical="center"/>
    </xf>
    <xf numFmtId="0" fontId="3" fillId="2" borderId="2" xfId="8" applyNumberFormat="1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/>
    </xf>
    <xf numFmtId="171" fontId="36" fillId="2" borderId="0" xfId="8" applyFont="1" applyFill="1"/>
    <xf numFmtId="171" fontId="21" fillId="2" borderId="0" xfId="8" applyFont="1" applyFill="1"/>
    <xf numFmtId="0" fontId="3" fillId="2" borderId="0" xfId="8" applyNumberFormat="1" applyFill="1"/>
    <xf numFmtId="173" fontId="3" fillId="2" borderId="0" xfId="8" applyNumberFormat="1" applyFill="1" applyAlignment="1">
      <alignment horizontal="center" vertical="center"/>
    </xf>
    <xf numFmtId="171" fontId="3" fillId="2" borderId="2" xfId="8" applyFill="1" applyBorder="1" applyAlignment="1">
      <alignment horizontal="center" vertical="center" wrapText="1"/>
    </xf>
    <xf numFmtId="171" fontId="0" fillId="2" borderId="2" xfId="8" applyFont="1" applyFill="1" applyBorder="1" applyAlignment="1">
      <alignment horizontal="center" vertical="center" wrapText="1"/>
    </xf>
    <xf numFmtId="0" fontId="19" fillId="2" borderId="2" xfId="2" applyFont="1" applyFill="1" applyBorder="1" applyAlignment="1">
      <alignment horizontal="center" vertical="center" wrapText="1"/>
    </xf>
    <xf numFmtId="3" fontId="1" fillId="2" borderId="13" xfId="3" applyNumberFormat="1" applyFont="1" applyFill="1" applyBorder="1" applyAlignment="1">
      <alignment horizontal="center" vertical="center"/>
    </xf>
    <xf numFmtId="171" fontId="37" fillId="2" borderId="0" xfId="8" applyFont="1" applyFill="1"/>
    <xf numFmtId="171" fontId="36" fillId="0" borderId="0" xfId="8" applyFont="1" applyFill="1"/>
    <xf numFmtId="0" fontId="36" fillId="0" borderId="0" xfId="8" applyNumberFormat="1" applyFont="1" applyFill="1"/>
    <xf numFmtId="171" fontId="36" fillId="0" borderId="2" xfId="8" applyFont="1" applyFill="1" applyBorder="1" applyAlignment="1">
      <alignment horizontal="center" vertical="center" wrapText="1"/>
    </xf>
    <xf numFmtId="171" fontId="38" fillId="0" borderId="2" xfId="8" applyFont="1" applyFill="1" applyBorder="1" applyAlignment="1">
      <alignment horizontal="center" vertical="center" wrapText="1"/>
    </xf>
    <xf numFmtId="165" fontId="38" fillId="0" borderId="2" xfId="3" applyNumberFormat="1" applyFont="1" applyFill="1" applyBorder="1" applyAlignment="1">
      <alignment horizontal="left" vertical="center"/>
    </xf>
    <xf numFmtId="165" fontId="38" fillId="0" borderId="13" xfId="3" applyNumberFormat="1" applyFont="1" applyFill="1" applyBorder="1" applyAlignment="1">
      <alignment horizontal="left" vertical="center"/>
    </xf>
    <xf numFmtId="3" fontId="38" fillId="0" borderId="13" xfId="3" applyNumberFormat="1" applyFont="1" applyFill="1" applyBorder="1" applyAlignment="1">
      <alignment horizontal="center" vertical="center"/>
    </xf>
    <xf numFmtId="171" fontId="16" fillId="0" borderId="0" xfId="8" applyFont="1" applyFill="1"/>
    <xf numFmtId="173" fontId="13" fillId="0" borderId="0" xfId="1" applyNumberFormat="1" applyFont="1" applyAlignment="1" applyProtection="1">
      <alignment horizontal="left" vertical="top" wrapText="1"/>
      <protection locked="0"/>
    </xf>
    <xf numFmtId="173" fontId="0" fillId="4" borderId="2" xfId="0" applyNumberFormat="1" applyFill="1" applyBorder="1" applyAlignment="1">
      <alignment horizontal="center" vertical="center"/>
    </xf>
    <xf numFmtId="173" fontId="5" fillId="6" borderId="2" xfId="2" applyNumberFormat="1" applyFont="1" applyFill="1" applyBorder="1" applyAlignment="1">
      <alignment horizontal="center" vertical="center" wrapText="1"/>
    </xf>
    <xf numFmtId="173" fontId="19" fillId="6" borderId="2" xfId="2" applyNumberFormat="1" applyFont="1" applyFill="1" applyBorder="1" applyAlignment="1">
      <alignment horizontal="center" vertical="center" wrapText="1"/>
    </xf>
    <xf numFmtId="1" fontId="3" fillId="0" borderId="0" xfId="8" applyNumberFormat="1" applyAlignment="1">
      <alignment horizontal="center" vertical="center"/>
    </xf>
    <xf numFmtId="1" fontId="3" fillId="0" borderId="0" xfId="8" applyNumberFormat="1"/>
    <xf numFmtId="1" fontId="36" fillId="0" borderId="0" xfId="8" applyNumberFormat="1" applyFont="1" applyFill="1" applyAlignment="1">
      <alignment horizontal="center" vertical="center"/>
    </xf>
    <xf numFmtId="174" fontId="3" fillId="0" borderId="2" xfId="8" applyNumberFormat="1" applyBorder="1" applyAlignment="1">
      <alignment horizontal="center" vertical="center"/>
    </xf>
    <xf numFmtId="165" fontId="38" fillId="5" borderId="13" xfId="3" applyNumberFormat="1" applyFont="1" applyFill="1" applyBorder="1" applyAlignment="1">
      <alignment horizontal="left" vertical="center"/>
    </xf>
    <xf numFmtId="169" fontId="24" fillId="5" borderId="2" xfId="0" applyNumberFormat="1" applyFont="1" applyFill="1" applyBorder="1" applyAlignment="1">
      <alignment horizontal="center" vertical="center"/>
    </xf>
    <xf numFmtId="173" fontId="10" fillId="12" borderId="0" xfId="1" applyNumberFormat="1" applyFont="1" applyFill="1" applyAlignment="1" applyProtection="1">
      <alignment horizontal="center" vertical="center" wrapText="1"/>
      <protection locked="0"/>
    </xf>
    <xf numFmtId="173" fontId="10" fillId="12" borderId="0" xfId="0" applyNumberFormat="1" applyFont="1" applyFill="1" applyAlignment="1" applyProtection="1">
      <alignment horizontal="center" vertical="center" wrapText="1"/>
      <protection locked="0"/>
    </xf>
    <xf numFmtId="173" fontId="0" fillId="0" borderId="2" xfId="0" applyNumberFormat="1" applyBorder="1" applyAlignment="1" applyProtection="1">
      <alignment horizontal="center"/>
      <protection hidden="1"/>
    </xf>
    <xf numFmtId="0" fontId="39" fillId="0" borderId="0" xfId="1" applyFont="1" applyAlignment="1" applyProtection="1">
      <alignment horizontal="left" vertical="top" wrapText="1"/>
      <protection locked="0"/>
    </xf>
    <xf numFmtId="9" fontId="39" fillId="0" borderId="0" xfId="1" applyNumberFormat="1" applyFont="1" applyAlignment="1" applyProtection="1">
      <alignment horizontal="left" vertical="top" wrapText="1"/>
      <protection locked="0"/>
    </xf>
    <xf numFmtId="0" fontId="39" fillId="0" borderId="0" xfId="1" applyFont="1" applyAlignment="1" applyProtection="1">
      <alignment horizontal="center" vertical="top" wrapText="1"/>
      <protection locked="0"/>
    </xf>
    <xf numFmtId="9" fontId="39" fillId="0" borderId="0" xfId="1" applyNumberFormat="1" applyFont="1" applyAlignment="1" applyProtection="1">
      <alignment horizontal="center" vertical="top" wrapText="1"/>
      <protection locked="0"/>
    </xf>
    <xf numFmtId="0" fontId="0" fillId="3" borderId="2" xfId="0" applyFill="1" applyBorder="1" applyProtection="1">
      <protection locked="0"/>
    </xf>
    <xf numFmtId="173" fontId="0" fillId="14" borderId="2" xfId="0" applyNumberFormat="1" applyFill="1" applyBorder="1" applyAlignment="1">
      <alignment horizontal="center" vertical="center"/>
    </xf>
    <xf numFmtId="173" fontId="0" fillId="10" borderId="2" xfId="0" applyNumberFormat="1" applyFill="1" applyBorder="1" applyAlignment="1">
      <alignment horizontal="center" vertical="center"/>
    </xf>
    <xf numFmtId="173" fontId="0" fillId="16" borderId="2" xfId="0" applyNumberFormat="1" applyFill="1" applyBorder="1" applyAlignment="1">
      <alignment horizontal="center" vertical="center"/>
    </xf>
    <xf numFmtId="173" fontId="0" fillId="15" borderId="2" xfId="0" applyNumberFormat="1" applyFill="1" applyBorder="1" applyAlignment="1">
      <alignment horizontal="center" vertical="center"/>
    </xf>
    <xf numFmtId="173" fontId="0" fillId="11" borderId="2" xfId="0" applyNumberFormat="1" applyFill="1" applyBorder="1" applyAlignment="1">
      <alignment horizontal="center" vertical="center"/>
    </xf>
    <xf numFmtId="173" fontId="0" fillId="17" borderId="2" xfId="0" applyNumberFormat="1" applyFill="1" applyBorder="1" applyAlignment="1">
      <alignment horizontal="center" vertical="center"/>
    </xf>
    <xf numFmtId="173" fontId="0" fillId="13" borderId="2" xfId="0" applyNumberFormat="1" applyFill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hidden="1"/>
    </xf>
    <xf numFmtId="0" fontId="9" fillId="0" borderId="14" xfId="1" applyFont="1" applyBorder="1" applyAlignment="1" applyProtection="1">
      <alignment horizontal="center" vertical="center" wrapText="1"/>
    </xf>
    <xf numFmtId="0" fontId="9" fillId="0" borderId="0" xfId="1" applyFont="1" applyAlignment="1" applyProtection="1">
      <alignment horizontal="center" vertical="center" wrapText="1"/>
    </xf>
    <xf numFmtId="0" fontId="9" fillId="0" borderId="15" xfId="1" applyFont="1" applyBorder="1" applyAlignment="1" applyProtection="1">
      <alignment horizontal="center" vertical="center" wrapText="1"/>
    </xf>
    <xf numFmtId="0" fontId="9" fillId="0" borderId="1" xfId="1" applyFont="1" applyBorder="1" applyAlignment="1" applyProtection="1">
      <alignment horizontal="center" vertical="center" wrapText="1"/>
    </xf>
    <xf numFmtId="0" fontId="13" fillId="0" borderId="3" xfId="1" applyFont="1" applyBorder="1" applyAlignment="1" applyProtection="1">
      <alignment horizontal="center" vertical="center" wrapText="1"/>
    </xf>
    <xf numFmtId="0" fontId="13" fillId="0" borderId="16" xfId="1" applyFont="1" applyBorder="1" applyAlignment="1" applyProtection="1">
      <alignment horizontal="center" vertical="center" wrapText="1"/>
    </xf>
    <xf numFmtId="0" fontId="27" fillId="0" borderId="2" xfId="1" applyFont="1" applyBorder="1" applyAlignment="1" applyProtection="1">
      <alignment horizontal="center" vertical="center" wrapText="1"/>
    </xf>
    <xf numFmtId="0" fontId="28" fillId="0" borderId="2" xfId="1" applyFont="1" applyFill="1" applyBorder="1" applyAlignment="1" applyProtection="1">
      <alignment horizontal="center" vertical="center" wrapText="1"/>
    </xf>
    <xf numFmtId="0" fontId="13" fillId="0" borderId="2" xfId="1" applyFont="1" applyBorder="1" applyAlignment="1" applyProtection="1">
      <alignment horizontal="center" vertical="center" wrapText="1"/>
    </xf>
    <xf numFmtId="0" fontId="13" fillId="6" borderId="2" xfId="1" applyFont="1" applyFill="1" applyBorder="1" applyAlignment="1" applyProtection="1">
      <alignment horizontal="center" vertical="center" wrapText="1"/>
    </xf>
    <xf numFmtId="0" fontId="29" fillId="0" borderId="2" xfId="1" applyFont="1" applyFill="1" applyBorder="1" applyAlignment="1" applyProtection="1">
      <alignment horizontal="center" vertical="center" wrapText="1"/>
    </xf>
    <xf numFmtId="9" fontId="0" fillId="4" borderId="4" xfId="6" applyFont="1" applyFill="1" applyBorder="1" applyAlignment="1">
      <alignment horizontal="left" vertical="center" wrapText="1"/>
    </xf>
    <xf numFmtId="9" fontId="0" fillId="4" borderId="11" xfId="6" applyFont="1" applyFill="1" applyBorder="1" applyAlignment="1">
      <alignment horizontal="left" vertical="center" wrapText="1"/>
    </xf>
    <xf numFmtId="9" fontId="0" fillId="4" borderId="12" xfId="6" applyFont="1" applyFill="1" applyBorder="1" applyAlignment="1">
      <alignment horizontal="left" vertical="center" wrapText="1"/>
    </xf>
    <xf numFmtId="3" fontId="16" fillId="0" borderId="0" xfId="8" applyNumberFormat="1" applyFont="1" applyAlignment="1">
      <alignment horizontal="center" vertical="center" wrapText="1"/>
    </xf>
    <xf numFmtId="3" fontId="0" fillId="0" borderId="6" xfId="6" applyNumberFormat="1" applyFont="1" applyBorder="1" applyAlignment="1">
      <alignment horizontal="left" vertical="center" wrapText="1"/>
    </xf>
    <xf numFmtId="3" fontId="0" fillId="0" borderId="7" xfId="6" applyNumberFormat="1" applyFont="1" applyBorder="1" applyAlignment="1">
      <alignment horizontal="left" vertical="center" wrapText="1"/>
    </xf>
    <xf numFmtId="3" fontId="0" fillId="0" borderId="8" xfId="6" applyNumberFormat="1" applyFont="1" applyBorder="1" applyAlignment="1">
      <alignment horizontal="left" vertical="center" wrapText="1"/>
    </xf>
    <xf numFmtId="3" fontId="0" fillId="0" borderId="9" xfId="6" applyNumberFormat="1" applyFont="1" applyBorder="1" applyAlignment="1">
      <alignment horizontal="left" vertical="center" wrapText="1"/>
    </xf>
    <xf numFmtId="9" fontId="0" fillId="0" borderId="4" xfId="6" applyFont="1" applyBorder="1" applyAlignment="1">
      <alignment horizontal="left" vertical="center" wrapText="1"/>
    </xf>
    <xf numFmtId="9" fontId="0" fillId="0" borderId="11" xfId="6" applyFont="1" applyBorder="1" applyAlignment="1">
      <alignment horizontal="left" vertical="center" wrapText="1"/>
    </xf>
    <xf numFmtId="9" fontId="0" fillId="0" borderId="12" xfId="6" applyFont="1" applyBorder="1" applyAlignment="1">
      <alignment horizontal="left" vertical="center" wrapText="1"/>
    </xf>
  </cellXfs>
  <cellStyles count="11">
    <cellStyle name="Обычный" xfId="0" builtinId="0"/>
    <cellStyle name="Обычный 2" xfId="7"/>
    <cellStyle name="Обычный 2 2" xfId="2"/>
    <cellStyle name="Обычный 2 3" xfId="10"/>
    <cellStyle name="Обычный 3" xfId="8"/>
    <cellStyle name="Обычный 4" xfId="1"/>
    <cellStyle name="Обычный 7 2" xfId="3"/>
    <cellStyle name="Процентный" xfId="6" builtinId="5"/>
    <cellStyle name="Финансовый 2" xfId="5"/>
    <cellStyle name="Финансовый 3" xfId="9"/>
    <cellStyle name="Финансовый 3 2" xfId="4"/>
  </cellStyles>
  <dxfs count="4">
    <dxf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4"/>
        </patternFill>
      </fill>
    </dxf>
    <dxf>
      <font>
        <b/>
        <i val="0"/>
        <color rgb="FFFF000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EC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3648075</xdr:colOff>
          <xdr:row>361</xdr:row>
          <xdr:rowOff>9525</xdr:rowOff>
        </xdr:from>
        <xdr:to>
          <xdr:col>5</xdr:col>
          <xdr:colOff>723900</xdr:colOff>
          <xdr:row>363</xdr:row>
          <xdr:rowOff>38100</xdr:rowOff>
        </xdr:to>
        <xdr:sp macro="" textlink="">
          <xdr:nvSpPr>
            <xdr:cNvPr id="2564" name="Button 516" hidden="1">
              <a:extLst>
                <a:ext uri="{63B3BB69-23CF-44E3-9099-C40C66FF867C}">
                  <a14:compatExt spid="_x0000_s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Поиск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0</xdr:rowOff>
        </xdr:from>
        <xdr:to>
          <xdr:col>16</xdr:col>
          <xdr:colOff>571500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ПЛАН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0;&#1085;&#1090;&#1086;&#1085;%20&#1051;&#1072;&#1084;&#1073;&#1077;&#1088;&#1086;&#1074;/Desktop/ai61%20&#1059;&#1055;&#1055;&#1057;&#1055;%20v.65%20&#1086;&#1090;%2002.03.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or/Documents/&#1050;&#1086;&#1085;&#1089;&#1072;&#1083;&#1090;&#1080;&#1085;&#1075;/&#1058;&#1072;&#1090;&#1085;&#1077;&#1092;&#1090;&#1100;&#1087;&#1088;&#1077;&#1089;&#1089;&#1082;&#1086;&#1084;&#1087;&#1086;&#1079;&#1080;&#1090;/&#1059;&#1055;&#1055;&#1057;&#1055;/&#1055;&#1051;&#1040;&#1053;&#1048;&#1056;&#1054;&#1042;&#1040;&#1053;&#1048;&#1045;/&#1058;&#1077;&#1089;&#1090;%20&#1048;&#1070;&#1051;&#1068;%202016/&#1055;&#1083;&#1072;&#1085;%20&#1087;&#1088;&#1086;&#1080;&#1079;&#1074;&#1086;&#1076;&#1089;&#1090;&#1074;&#1072;%20&#1059;&#1055;&#1055;&#1057;&#1055;%20&#1080;&#1102;&#1085;&#1100;%202016%20v3(&#1090;&#1077;&#1089;&#1090;&#1099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or/Documents/&#1050;&#1086;&#1085;&#1089;&#1072;&#1083;&#1090;&#1080;&#1085;&#1075;/&#1058;&#1072;&#1090;&#1085;&#1077;&#1092;&#1090;&#1100;&#1087;&#1088;&#1077;&#1089;&#1089;&#1082;&#1086;&#1084;&#1087;&#1086;&#1079;&#1080;&#1090;/&#1059;&#1055;&#1055;&#1057;&#1055;/&#1055;&#1051;&#1040;&#1053;&#1048;&#1056;&#1054;&#1042;&#1040;&#1053;&#1048;&#1045;/&#1058;&#1077;&#1089;&#1090;%20&#1048;&#1070;&#1051;&#1068;%202016/&#1055;&#1088;&#1086;&#1076;&#1072;&#1078;&#1080;%20&#1055;&#1083;&#1072;&#1085;%20&#1052;&#1077;&#1089;&#1103;&#1094;&#1072;%2030%2006%20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Черновик"/>
      <sheetName val="Лист1"/>
      <sheetName val="Портфель"/>
      <sheetName val="Проект"/>
      <sheetName val="Пр.2"/>
      <sheetName val="Бюджет c твердыми объемами"/>
      <sheetName val="Цена"/>
      <sheetName val="Буфер"/>
      <sheetName val="Закупки"/>
      <sheetName val="ПП"/>
      <sheetName val="2.4.1"/>
      <sheetName val="ФР"/>
      <sheetName val="Лист2"/>
      <sheetName val="2016"/>
      <sheetName val="2015"/>
      <sheetName val="2.1.1"/>
      <sheetName val="2.2.1"/>
      <sheetName val="2.2.2"/>
      <sheetName val="2.3.1"/>
      <sheetName val="2.3.2"/>
      <sheetName val="2.4.2"/>
      <sheetName val="2.4.3"/>
      <sheetName val="2.4.4"/>
      <sheetName val="2.4.5"/>
      <sheetName val="2.4.6"/>
      <sheetName val="2.5.1"/>
      <sheetName val="2.5.2"/>
      <sheetName val="2.5.3"/>
      <sheetName val="2.5.4"/>
      <sheetName val="3.1.1"/>
      <sheetName val="3.1.2"/>
      <sheetName val="3.1.3"/>
      <sheetName val="3.1.4"/>
      <sheetName val="3.1.5"/>
      <sheetName val="3.2.1"/>
      <sheetName val="3.2.2"/>
      <sheetName val="3.2.3"/>
      <sheetName val="3.2.4"/>
      <sheetName val="3.2.5"/>
      <sheetName val="3.2.6"/>
      <sheetName val="3.2.7"/>
      <sheetName val="3.2.8"/>
      <sheetName val="3.2.9"/>
      <sheetName val="3.2.10"/>
      <sheetName val="3.2.11"/>
      <sheetName val="3.2.12"/>
      <sheetName val="3.2.13"/>
      <sheetName val="3.3.1"/>
      <sheetName val="3.3.2"/>
      <sheetName val="3.3.3"/>
      <sheetName val="3.3.4"/>
      <sheetName val="3.3.5"/>
      <sheetName val="3.3.6"/>
      <sheetName val="3.3.7"/>
      <sheetName val="3.3.8"/>
      <sheetName val="3.3.9"/>
      <sheetName val="3.3.10"/>
      <sheetName val="3.3.11"/>
      <sheetName val="3.3.12"/>
      <sheetName val="3.3.13"/>
      <sheetName val="3.3.14"/>
      <sheetName val="3.3.15"/>
      <sheetName val="3.3.16"/>
      <sheetName val="3.3.18"/>
      <sheetName val="3.3.19"/>
      <sheetName val="3.3.17"/>
      <sheetName val="3.3.20"/>
      <sheetName val="3.4.1"/>
      <sheetName val="3.4.2"/>
      <sheetName val="3.4.3"/>
      <sheetName val="3.4.4"/>
      <sheetName val="3.4.5"/>
      <sheetName val="3.4.6"/>
      <sheetName val="3.5"/>
      <sheetName val="4"/>
      <sheetName val="6.1"/>
      <sheetName val="6.2"/>
      <sheetName val="6.3"/>
      <sheetName val="6.4"/>
      <sheetName val="Options"/>
      <sheetName val="Language"/>
    </sheetNames>
    <sheetDataSet>
      <sheetData sheetId="0" refreshError="1"/>
      <sheetData sheetId="1" refreshError="1"/>
      <sheetData sheetId="2">
        <row r="28">
          <cell r="A28" t="str">
            <v>Периоды осуществления проектов</v>
          </cell>
        </row>
      </sheetData>
      <sheetData sheetId="3">
        <row r="77">
          <cell r="B77">
            <v>1</v>
          </cell>
        </row>
      </sheetData>
      <sheetData sheetId="4">
        <row r="80">
          <cell r="H80">
            <v>3.7500000000000006E-2</v>
          </cell>
        </row>
      </sheetData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>
        <row r="5">
          <cell r="B5" t="str">
            <v>6.1</v>
          </cell>
        </row>
        <row r="7">
          <cell r="B7" t="b">
            <v>0</v>
          </cell>
        </row>
        <row r="8">
          <cell r="B8" t="b">
            <v>0</v>
          </cell>
        </row>
        <row r="10">
          <cell r="B10" t="b">
            <v>1</v>
          </cell>
        </row>
        <row r="11">
          <cell r="B11" t="b">
            <v>0</v>
          </cell>
        </row>
      </sheetData>
      <sheetData sheetId="80">
        <row r="2">
          <cell r="A2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оизводство Месяц (2)"/>
      <sheetName val="Лист1"/>
      <sheetName val="Линии"/>
      <sheetName val="План производства"/>
      <sheetName val="Скорость производства"/>
      <sheetName val="План производства УППСП июнь 2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ная таблица"/>
      <sheetName val="Июнь"/>
      <sheetName val="Май"/>
      <sheetName val="Апрель"/>
      <sheetName val="Март"/>
      <sheetName val="Февраль"/>
      <sheetName val="Январь"/>
      <sheetName val="Декабрь"/>
      <sheetName val="Ноябрь"/>
      <sheetName val="Октябрь"/>
      <sheetName val="Сентябрь"/>
      <sheetName val="Август"/>
      <sheetName val="Июль"/>
      <sheetName val="СВОД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>
    <tabColor rgb="FFFFC000"/>
    <outlinePr summaryBelow="0" summaryRight="0"/>
  </sheetPr>
  <dimension ref="A1:Q1149"/>
  <sheetViews>
    <sheetView zoomScale="70" zoomScaleNormal="70" workbookViewId="0">
      <pane xSplit="16" ySplit="364" topLeftCell="Q494" activePane="bottomRight" state="frozen"/>
      <selection pane="topRight" activeCell="Q1" sqref="Q1"/>
      <selection pane="bottomLeft" activeCell="A365" sqref="A365"/>
      <selection pane="bottomRight" activeCell="A48" sqref="A48"/>
    </sheetView>
  </sheetViews>
  <sheetFormatPr defaultRowHeight="12.75" outlineLevelRow="2" x14ac:dyDescent="0.25"/>
  <cols>
    <col min="1" max="1" width="15.140625" style="202" customWidth="1"/>
    <col min="2" max="2" width="10.140625" style="202" customWidth="1"/>
    <col min="3" max="3" width="11.5703125" style="244" customWidth="1"/>
    <col min="4" max="4" width="55.5703125" style="202" customWidth="1"/>
    <col min="5" max="5" width="15" style="202" customWidth="1"/>
    <col min="6" max="14" width="12" style="244" customWidth="1"/>
    <col min="15" max="17" width="12" style="202" customWidth="1"/>
    <col min="18" max="16384" width="9.140625" style="202"/>
  </cols>
  <sheetData>
    <row r="1" spans="1:17" s="326" customFormat="1" ht="27" customHeight="1" x14ac:dyDescent="0.25">
      <c r="A1" s="326" t="s">
        <v>527</v>
      </c>
      <c r="B1" s="327">
        <v>0.85</v>
      </c>
      <c r="C1" s="328"/>
      <c r="F1" s="329">
        <f>Производство!F6</f>
        <v>0.5473779683880563</v>
      </c>
      <c r="G1" s="329">
        <f>Производство!G6</f>
        <v>0.47672506784728769</v>
      </c>
      <c r="H1" s="329">
        <f>Производство!H6</f>
        <v>0.86698417631503755</v>
      </c>
      <c r="I1" s="329">
        <f>Производство!I6</f>
        <v>0.71624174146388186</v>
      </c>
      <c r="J1" s="329">
        <f>Производство!J6</f>
        <v>0.63172086323407206</v>
      </c>
      <c r="K1" s="329">
        <f>Производство!K6</f>
        <v>0.64396366158798168</v>
      </c>
      <c r="L1" s="329">
        <f>Производство!L6</f>
        <v>0.74303499413997887</v>
      </c>
      <c r="M1" s="329">
        <f>Производство!M6</f>
        <v>0.66616930509101546</v>
      </c>
      <c r="N1" s="329">
        <f>Производство!N6</f>
        <v>0.62319064024643389</v>
      </c>
      <c r="O1" s="329">
        <f>Производство!O6</f>
        <v>0.64396366158798168</v>
      </c>
      <c r="P1" s="329">
        <f>Производство!P6</f>
        <v>0.62319064024643389</v>
      </c>
      <c r="Q1" s="329">
        <f>Производство!Q6</f>
        <v>0.64396366158798168</v>
      </c>
    </row>
    <row r="2" spans="1:17" ht="15" outlineLevel="1" x14ac:dyDescent="0.25">
      <c r="C2" s="6"/>
      <c r="D2" s="313">
        <v>42583</v>
      </c>
      <c r="E2" s="6"/>
      <c r="F2" s="51">
        <v>1</v>
      </c>
      <c r="G2" s="51">
        <v>2</v>
      </c>
      <c r="H2" s="51">
        <v>3</v>
      </c>
      <c r="I2" s="51">
        <v>4</v>
      </c>
      <c r="J2" s="51">
        <v>5</v>
      </c>
      <c r="K2" s="51">
        <v>6</v>
      </c>
      <c r="L2" s="51">
        <v>7</v>
      </c>
      <c r="M2" s="51">
        <v>8</v>
      </c>
      <c r="N2" s="51">
        <v>9</v>
      </c>
      <c r="O2" s="51">
        <v>10</v>
      </c>
      <c r="P2" s="51">
        <v>11</v>
      </c>
      <c r="Q2" s="51">
        <v>12</v>
      </c>
    </row>
    <row r="3" spans="1:17" ht="15.75" outlineLevel="1" x14ac:dyDescent="0.25">
      <c r="C3" s="49"/>
      <c r="D3" s="271"/>
      <c r="E3" s="51"/>
      <c r="F3" s="323">
        <v>42583</v>
      </c>
      <c r="G3" s="323">
        <v>42614</v>
      </c>
      <c r="H3" s="323">
        <v>42644</v>
      </c>
      <c r="I3" s="323">
        <v>42675</v>
      </c>
      <c r="J3" s="323">
        <v>42705</v>
      </c>
      <c r="K3" s="323">
        <v>42736</v>
      </c>
      <c r="L3" s="323">
        <v>42767</v>
      </c>
      <c r="M3" s="323">
        <v>42795</v>
      </c>
      <c r="N3" s="323">
        <v>42826</v>
      </c>
      <c r="O3" s="323">
        <v>42856</v>
      </c>
      <c r="P3" s="323">
        <v>42887</v>
      </c>
      <c r="Q3" s="323">
        <v>42917</v>
      </c>
    </row>
    <row r="4" spans="1:17" ht="15" outlineLevel="1" x14ac:dyDescent="0.25">
      <c r="C4" s="49"/>
      <c r="D4" s="49"/>
      <c r="E4" s="338" t="s">
        <v>568</v>
      </c>
      <c r="F4" s="50">
        <v>2016</v>
      </c>
      <c r="G4" s="50">
        <v>2016</v>
      </c>
      <c r="H4" s="50">
        <v>2016</v>
      </c>
      <c r="I4" s="50">
        <v>2016</v>
      </c>
      <c r="J4" s="50">
        <v>2016</v>
      </c>
      <c r="K4" s="50">
        <v>2017</v>
      </c>
      <c r="L4" s="50">
        <v>2017</v>
      </c>
      <c r="M4" s="50">
        <v>2017</v>
      </c>
      <c r="N4" s="50">
        <v>2017</v>
      </c>
      <c r="O4" s="50">
        <v>2017</v>
      </c>
      <c r="P4" s="50">
        <v>2017</v>
      </c>
      <c r="Q4" s="50">
        <v>2017</v>
      </c>
    </row>
    <row r="5" spans="1:17" ht="15" outlineLevel="1" collapsed="1" x14ac:dyDescent="0.25">
      <c r="C5" s="52" t="s">
        <v>396</v>
      </c>
      <c r="D5" s="53" t="s">
        <v>53</v>
      </c>
      <c r="E5" s="54">
        <v>1.105</v>
      </c>
      <c r="F5" s="55">
        <f t="shared" ref="F5:Q14" si="0">SUMIFS($G$368:$G$1152,$C$368:$C$1152,$C5,$A$368:$A$1152,F$3,$B$368:$B$1152,F$4,$D$368:$D$1152,$D5)</f>
        <v>0</v>
      </c>
      <c r="G5" s="55">
        <f t="shared" si="0"/>
        <v>0</v>
      </c>
      <c r="H5" s="55">
        <f t="shared" si="0"/>
        <v>0</v>
      </c>
      <c r="I5" s="55">
        <f t="shared" si="0"/>
        <v>0</v>
      </c>
      <c r="J5" s="55">
        <f t="shared" si="0"/>
        <v>0</v>
      </c>
      <c r="K5" s="55">
        <f t="shared" si="0"/>
        <v>0</v>
      </c>
      <c r="L5" s="55">
        <f t="shared" si="0"/>
        <v>0</v>
      </c>
      <c r="M5" s="55">
        <f t="shared" si="0"/>
        <v>0</v>
      </c>
      <c r="N5" s="55">
        <f t="shared" si="0"/>
        <v>0</v>
      </c>
      <c r="O5" s="55">
        <f t="shared" si="0"/>
        <v>0</v>
      </c>
      <c r="P5" s="55">
        <f t="shared" si="0"/>
        <v>0</v>
      </c>
      <c r="Q5" s="55">
        <f t="shared" si="0"/>
        <v>0</v>
      </c>
    </row>
    <row r="6" spans="1:17" ht="15" hidden="1" outlineLevel="2" x14ac:dyDescent="0.25">
      <c r="C6" s="52" t="s">
        <v>396</v>
      </c>
      <c r="D6" s="53" t="s">
        <v>33</v>
      </c>
      <c r="E6" s="54">
        <v>8.661999999999999</v>
      </c>
      <c r="F6" s="55">
        <f t="shared" si="0"/>
        <v>0</v>
      </c>
      <c r="G6" s="55">
        <f t="shared" si="0"/>
        <v>0</v>
      </c>
      <c r="H6" s="55">
        <f t="shared" si="0"/>
        <v>0</v>
      </c>
      <c r="I6" s="55">
        <f t="shared" si="0"/>
        <v>0</v>
      </c>
      <c r="J6" s="55">
        <f t="shared" si="0"/>
        <v>0</v>
      </c>
      <c r="K6" s="55">
        <f t="shared" si="0"/>
        <v>24</v>
      </c>
      <c r="L6" s="55">
        <f t="shared" si="0"/>
        <v>24</v>
      </c>
      <c r="M6" s="55">
        <f t="shared" si="0"/>
        <v>24</v>
      </c>
      <c r="N6" s="55">
        <f t="shared" si="0"/>
        <v>24</v>
      </c>
      <c r="O6" s="55">
        <f t="shared" si="0"/>
        <v>24</v>
      </c>
      <c r="P6" s="55">
        <f t="shared" si="0"/>
        <v>24</v>
      </c>
      <c r="Q6" s="55">
        <f t="shared" si="0"/>
        <v>24</v>
      </c>
    </row>
    <row r="7" spans="1:17" ht="15" hidden="1" outlineLevel="2" x14ac:dyDescent="0.25">
      <c r="C7" s="52" t="s">
        <v>396</v>
      </c>
      <c r="D7" s="53" t="s">
        <v>34</v>
      </c>
      <c r="E7" s="54">
        <v>16.061</v>
      </c>
      <c r="F7" s="55">
        <f t="shared" si="0"/>
        <v>0</v>
      </c>
      <c r="G7" s="55">
        <f t="shared" si="0"/>
        <v>0</v>
      </c>
      <c r="H7" s="55">
        <f t="shared" si="0"/>
        <v>0</v>
      </c>
      <c r="I7" s="55">
        <f t="shared" si="0"/>
        <v>0</v>
      </c>
      <c r="J7" s="55">
        <f t="shared" si="0"/>
        <v>0</v>
      </c>
      <c r="K7" s="55">
        <f t="shared" si="0"/>
        <v>0</v>
      </c>
      <c r="L7" s="55">
        <f t="shared" si="0"/>
        <v>0</v>
      </c>
      <c r="M7" s="55">
        <f t="shared" si="0"/>
        <v>0</v>
      </c>
      <c r="N7" s="55">
        <f t="shared" si="0"/>
        <v>0</v>
      </c>
      <c r="O7" s="55">
        <f t="shared" si="0"/>
        <v>0</v>
      </c>
      <c r="P7" s="55">
        <f t="shared" si="0"/>
        <v>0</v>
      </c>
      <c r="Q7" s="55">
        <f t="shared" si="0"/>
        <v>0</v>
      </c>
    </row>
    <row r="8" spans="1:17" ht="15" hidden="1" outlineLevel="2" x14ac:dyDescent="0.25">
      <c r="C8" s="52" t="s">
        <v>396</v>
      </c>
      <c r="D8" s="53" t="s">
        <v>56</v>
      </c>
      <c r="E8" s="54">
        <v>1.2739999999999998</v>
      </c>
      <c r="F8" s="55">
        <f t="shared" si="0"/>
        <v>0</v>
      </c>
      <c r="G8" s="55">
        <f t="shared" si="0"/>
        <v>0</v>
      </c>
      <c r="H8" s="55">
        <f t="shared" si="0"/>
        <v>129</v>
      </c>
      <c r="I8" s="55">
        <f t="shared" si="0"/>
        <v>0</v>
      </c>
      <c r="J8" s="55">
        <f t="shared" si="0"/>
        <v>0</v>
      </c>
      <c r="K8" s="55">
        <f t="shared" si="0"/>
        <v>0</v>
      </c>
      <c r="L8" s="55">
        <f t="shared" si="0"/>
        <v>0</v>
      </c>
      <c r="M8" s="55">
        <f t="shared" si="0"/>
        <v>0</v>
      </c>
      <c r="N8" s="55">
        <f t="shared" si="0"/>
        <v>0</v>
      </c>
      <c r="O8" s="55">
        <f t="shared" si="0"/>
        <v>0</v>
      </c>
      <c r="P8" s="55">
        <f t="shared" si="0"/>
        <v>0</v>
      </c>
      <c r="Q8" s="55">
        <f t="shared" si="0"/>
        <v>0</v>
      </c>
    </row>
    <row r="9" spans="1:17" ht="15" hidden="1" outlineLevel="2" x14ac:dyDescent="0.25">
      <c r="C9" s="52" t="s">
        <v>396</v>
      </c>
      <c r="D9" s="53" t="s">
        <v>57</v>
      </c>
      <c r="E9" s="54">
        <v>1.738</v>
      </c>
      <c r="F9" s="55">
        <f>SUMIFS($G$368:$G$1152,$C$368:$C$1152,$C9,$A$368:$A$1152,F$3,$B$368:$B$1152,F$4,$D$368:$D$1152,$D9)</f>
        <v>42</v>
      </c>
      <c r="G9" s="55">
        <f t="shared" si="0"/>
        <v>0</v>
      </c>
      <c r="H9" s="55">
        <f t="shared" si="0"/>
        <v>1107</v>
      </c>
      <c r="I9" s="55">
        <f t="shared" si="0"/>
        <v>0</v>
      </c>
      <c r="J9" s="55">
        <f t="shared" si="0"/>
        <v>0</v>
      </c>
      <c r="K9" s="55">
        <f t="shared" si="0"/>
        <v>0</v>
      </c>
      <c r="L9" s="55">
        <f t="shared" si="0"/>
        <v>0</v>
      </c>
      <c r="M9" s="55">
        <f t="shared" si="0"/>
        <v>0</v>
      </c>
      <c r="N9" s="55">
        <f t="shared" si="0"/>
        <v>0</v>
      </c>
      <c r="O9" s="55">
        <f t="shared" si="0"/>
        <v>0</v>
      </c>
      <c r="P9" s="55">
        <f t="shared" si="0"/>
        <v>0</v>
      </c>
      <c r="Q9" s="55">
        <f t="shared" si="0"/>
        <v>0</v>
      </c>
    </row>
    <row r="10" spans="1:17" ht="15" hidden="1" outlineLevel="2" x14ac:dyDescent="0.25">
      <c r="C10" s="52" t="s">
        <v>396</v>
      </c>
      <c r="D10" s="53" t="s">
        <v>58</v>
      </c>
      <c r="E10" s="54">
        <v>3.4379999999999997</v>
      </c>
      <c r="F10" s="55">
        <f t="shared" si="0"/>
        <v>0</v>
      </c>
      <c r="G10" s="55">
        <f t="shared" si="0"/>
        <v>0</v>
      </c>
      <c r="H10" s="55">
        <f t="shared" si="0"/>
        <v>357</v>
      </c>
      <c r="I10" s="55">
        <f t="shared" si="0"/>
        <v>0</v>
      </c>
      <c r="J10" s="55">
        <f t="shared" si="0"/>
        <v>0</v>
      </c>
      <c r="K10" s="55">
        <f t="shared" si="0"/>
        <v>0</v>
      </c>
      <c r="L10" s="55">
        <f t="shared" si="0"/>
        <v>0</v>
      </c>
      <c r="M10" s="55">
        <f t="shared" si="0"/>
        <v>0</v>
      </c>
      <c r="N10" s="55">
        <f t="shared" si="0"/>
        <v>0</v>
      </c>
      <c r="O10" s="55">
        <f t="shared" si="0"/>
        <v>0</v>
      </c>
      <c r="P10" s="55">
        <f t="shared" si="0"/>
        <v>0</v>
      </c>
      <c r="Q10" s="55">
        <f t="shared" si="0"/>
        <v>0</v>
      </c>
    </row>
    <row r="11" spans="1:17" ht="15" hidden="1" outlineLevel="2" x14ac:dyDescent="0.25">
      <c r="C11" s="52" t="s">
        <v>396</v>
      </c>
      <c r="D11" s="53" t="s">
        <v>59</v>
      </c>
      <c r="E11" s="54">
        <v>4.1779999999999999</v>
      </c>
      <c r="F11" s="55">
        <f t="shared" si="0"/>
        <v>0</v>
      </c>
      <c r="G11" s="55">
        <f t="shared" si="0"/>
        <v>0</v>
      </c>
      <c r="H11" s="55">
        <f t="shared" si="0"/>
        <v>2235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>
        <f t="shared" si="0"/>
        <v>0</v>
      </c>
      <c r="O11" s="55">
        <f t="shared" si="0"/>
        <v>0</v>
      </c>
      <c r="P11" s="55">
        <f t="shared" si="0"/>
        <v>0</v>
      </c>
      <c r="Q11" s="55">
        <f t="shared" si="0"/>
        <v>0</v>
      </c>
    </row>
    <row r="12" spans="1:17" ht="15" hidden="1" outlineLevel="2" x14ac:dyDescent="0.25">
      <c r="C12" s="52" t="s">
        <v>396</v>
      </c>
      <c r="D12" s="53" t="s">
        <v>60</v>
      </c>
      <c r="E12" s="54">
        <v>0.63800000000000001</v>
      </c>
      <c r="F12" s="55">
        <f t="shared" si="0"/>
        <v>654</v>
      </c>
      <c r="G12" s="55">
        <f t="shared" si="0"/>
        <v>0</v>
      </c>
      <c r="H12" s="55">
        <f t="shared" si="0"/>
        <v>0</v>
      </c>
      <c r="I12" s="55">
        <f t="shared" si="0"/>
        <v>0</v>
      </c>
      <c r="J12" s="55">
        <f t="shared" si="0"/>
        <v>0</v>
      </c>
      <c r="K12" s="55">
        <f t="shared" si="0"/>
        <v>0</v>
      </c>
      <c r="L12" s="55">
        <f t="shared" si="0"/>
        <v>0</v>
      </c>
      <c r="M12" s="55">
        <f t="shared" si="0"/>
        <v>0</v>
      </c>
      <c r="N12" s="55">
        <f t="shared" si="0"/>
        <v>0</v>
      </c>
      <c r="O12" s="55">
        <f t="shared" si="0"/>
        <v>0</v>
      </c>
      <c r="P12" s="55">
        <f t="shared" si="0"/>
        <v>0</v>
      </c>
      <c r="Q12" s="55">
        <f t="shared" si="0"/>
        <v>0</v>
      </c>
    </row>
    <row r="13" spans="1:17" ht="15" hidden="1" outlineLevel="2" x14ac:dyDescent="0.25">
      <c r="C13" s="52" t="s">
        <v>396</v>
      </c>
      <c r="D13" s="53" t="s">
        <v>61</v>
      </c>
      <c r="E13" s="54">
        <v>1.115</v>
      </c>
      <c r="F13" s="55">
        <f t="shared" si="0"/>
        <v>444</v>
      </c>
      <c r="G13" s="55">
        <f t="shared" si="0"/>
        <v>0</v>
      </c>
      <c r="H13" s="55">
        <f t="shared" si="0"/>
        <v>0</v>
      </c>
      <c r="I13" s="55">
        <f t="shared" si="0"/>
        <v>0</v>
      </c>
      <c r="J13" s="55">
        <f t="shared" si="0"/>
        <v>0</v>
      </c>
      <c r="K13" s="55">
        <f t="shared" si="0"/>
        <v>0</v>
      </c>
      <c r="L13" s="55">
        <f t="shared" si="0"/>
        <v>0</v>
      </c>
      <c r="M13" s="55">
        <f t="shared" si="0"/>
        <v>0</v>
      </c>
      <c r="N13" s="55">
        <f t="shared" si="0"/>
        <v>0</v>
      </c>
      <c r="O13" s="55">
        <f t="shared" si="0"/>
        <v>0</v>
      </c>
      <c r="P13" s="55">
        <f t="shared" si="0"/>
        <v>0</v>
      </c>
      <c r="Q13" s="55">
        <f t="shared" si="0"/>
        <v>0</v>
      </c>
    </row>
    <row r="14" spans="1:17" ht="15" hidden="1" outlineLevel="2" x14ac:dyDescent="0.25">
      <c r="C14" s="52" t="s">
        <v>396</v>
      </c>
      <c r="D14" s="53" t="s">
        <v>62</v>
      </c>
      <c r="E14" s="54">
        <v>2.367</v>
      </c>
      <c r="F14" s="55">
        <f t="shared" si="0"/>
        <v>330</v>
      </c>
      <c r="G14" s="55">
        <f t="shared" si="0"/>
        <v>0</v>
      </c>
      <c r="H14" s="55">
        <f t="shared" si="0"/>
        <v>0</v>
      </c>
      <c r="I14" s="55">
        <f t="shared" si="0"/>
        <v>0</v>
      </c>
      <c r="J14" s="55">
        <f t="shared" si="0"/>
        <v>0</v>
      </c>
      <c r="K14" s="55">
        <f t="shared" si="0"/>
        <v>0</v>
      </c>
      <c r="L14" s="55">
        <f t="shared" si="0"/>
        <v>0</v>
      </c>
      <c r="M14" s="55">
        <f t="shared" si="0"/>
        <v>0</v>
      </c>
      <c r="N14" s="55">
        <f t="shared" si="0"/>
        <v>0</v>
      </c>
      <c r="O14" s="55">
        <f t="shared" si="0"/>
        <v>0</v>
      </c>
      <c r="P14" s="55">
        <f t="shared" si="0"/>
        <v>0</v>
      </c>
      <c r="Q14" s="55">
        <f t="shared" si="0"/>
        <v>0</v>
      </c>
    </row>
    <row r="15" spans="1:17" ht="15" hidden="1" outlineLevel="2" x14ac:dyDescent="0.25">
      <c r="C15" s="52" t="s">
        <v>396</v>
      </c>
      <c r="D15" s="53" t="s">
        <v>63</v>
      </c>
      <c r="E15" s="54">
        <v>3.1069999999999998</v>
      </c>
      <c r="F15" s="55">
        <f t="shared" ref="F15:Q24" si="1">SUMIFS($G$368:$G$1152,$C$368:$C$1152,$C15,$A$368:$A$1152,F$3,$B$368:$B$1152,F$4,$D$368:$D$1152,$D15)</f>
        <v>396</v>
      </c>
      <c r="G15" s="55">
        <f t="shared" si="1"/>
        <v>2232</v>
      </c>
      <c r="H15" s="55">
        <f t="shared" si="1"/>
        <v>0</v>
      </c>
      <c r="I15" s="55">
        <f t="shared" si="1"/>
        <v>0</v>
      </c>
      <c r="J15" s="55">
        <f t="shared" si="1"/>
        <v>0</v>
      </c>
      <c r="K15" s="55">
        <f t="shared" si="1"/>
        <v>0</v>
      </c>
      <c r="L15" s="55">
        <f t="shared" si="1"/>
        <v>0</v>
      </c>
      <c r="M15" s="55">
        <f t="shared" si="1"/>
        <v>0</v>
      </c>
      <c r="N15" s="55">
        <f t="shared" si="1"/>
        <v>0</v>
      </c>
      <c r="O15" s="55">
        <f t="shared" si="1"/>
        <v>0</v>
      </c>
      <c r="P15" s="55">
        <f t="shared" si="1"/>
        <v>0</v>
      </c>
      <c r="Q15" s="55">
        <f t="shared" si="1"/>
        <v>0</v>
      </c>
    </row>
    <row r="16" spans="1:17" ht="15" hidden="1" outlineLevel="2" x14ac:dyDescent="0.25">
      <c r="C16" s="52" t="s">
        <v>396</v>
      </c>
      <c r="D16" s="53" t="s">
        <v>64</v>
      </c>
      <c r="E16" s="54">
        <v>5.6950000000000003</v>
      </c>
      <c r="F16" s="55">
        <f t="shared" si="1"/>
        <v>1140</v>
      </c>
      <c r="G16" s="55">
        <f t="shared" si="1"/>
        <v>0</v>
      </c>
      <c r="H16" s="55">
        <f t="shared" si="1"/>
        <v>0</v>
      </c>
      <c r="I16" s="55">
        <f t="shared" si="1"/>
        <v>0</v>
      </c>
      <c r="J16" s="55">
        <f t="shared" si="1"/>
        <v>0</v>
      </c>
      <c r="K16" s="55">
        <f t="shared" si="1"/>
        <v>0</v>
      </c>
      <c r="L16" s="55">
        <f t="shared" si="1"/>
        <v>0</v>
      </c>
      <c r="M16" s="55">
        <f t="shared" si="1"/>
        <v>0</v>
      </c>
      <c r="N16" s="55">
        <f t="shared" si="1"/>
        <v>0</v>
      </c>
      <c r="O16" s="55">
        <f t="shared" si="1"/>
        <v>0</v>
      </c>
      <c r="P16" s="55">
        <f t="shared" si="1"/>
        <v>0</v>
      </c>
      <c r="Q16" s="55">
        <f t="shared" si="1"/>
        <v>0</v>
      </c>
    </row>
    <row r="17" spans="3:17" ht="15" hidden="1" outlineLevel="2" x14ac:dyDescent="0.25">
      <c r="C17" s="52" t="s">
        <v>396</v>
      </c>
      <c r="D17" s="53" t="s">
        <v>35</v>
      </c>
      <c r="E17" s="54">
        <v>7.399</v>
      </c>
      <c r="F17" s="55">
        <f t="shared" si="1"/>
        <v>0</v>
      </c>
      <c r="G17" s="55">
        <f t="shared" si="1"/>
        <v>0</v>
      </c>
      <c r="H17" s="55">
        <f t="shared" si="1"/>
        <v>0</v>
      </c>
      <c r="I17" s="55">
        <f t="shared" si="1"/>
        <v>0</v>
      </c>
      <c r="J17" s="55">
        <f t="shared" si="1"/>
        <v>0</v>
      </c>
      <c r="K17" s="55">
        <f t="shared" si="1"/>
        <v>0</v>
      </c>
      <c r="L17" s="55">
        <f t="shared" si="1"/>
        <v>0</v>
      </c>
      <c r="M17" s="55">
        <f t="shared" si="1"/>
        <v>0</v>
      </c>
      <c r="N17" s="55">
        <f t="shared" si="1"/>
        <v>0</v>
      </c>
      <c r="O17" s="55">
        <f t="shared" si="1"/>
        <v>0</v>
      </c>
      <c r="P17" s="55">
        <f t="shared" si="1"/>
        <v>0</v>
      </c>
      <c r="Q17" s="55">
        <f t="shared" si="1"/>
        <v>0</v>
      </c>
    </row>
    <row r="18" spans="3:17" ht="15" hidden="1" outlineLevel="2" x14ac:dyDescent="0.25">
      <c r="C18" s="52" t="s">
        <v>396</v>
      </c>
      <c r="D18" s="53" t="s">
        <v>55</v>
      </c>
      <c r="E18" s="54">
        <v>0.73</v>
      </c>
      <c r="F18" s="55">
        <f t="shared" si="1"/>
        <v>0</v>
      </c>
      <c r="G18" s="55">
        <f t="shared" si="1"/>
        <v>0</v>
      </c>
      <c r="H18" s="55">
        <f t="shared" si="1"/>
        <v>0</v>
      </c>
      <c r="I18" s="55">
        <f t="shared" si="1"/>
        <v>0</v>
      </c>
      <c r="J18" s="55">
        <f t="shared" si="1"/>
        <v>0</v>
      </c>
      <c r="K18" s="55">
        <f t="shared" si="1"/>
        <v>0</v>
      </c>
      <c r="L18" s="55">
        <f t="shared" si="1"/>
        <v>0</v>
      </c>
      <c r="M18" s="55">
        <f t="shared" si="1"/>
        <v>0</v>
      </c>
      <c r="N18" s="55">
        <f t="shared" si="1"/>
        <v>0</v>
      </c>
      <c r="O18" s="55">
        <f t="shared" si="1"/>
        <v>0</v>
      </c>
      <c r="P18" s="55">
        <f t="shared" si="1"/>
        <v>0</v>
      </c>
      <c r="Q18" s="55">
        <f t="shared" si="1"/>
        <v>0</v>
      </c>
    </row>
    <row r="19" spans="3:17" ht="15" hidden="1" outlineLevel="2" x14ac:dyDescent="0.25">
      <c r="C19" s="52" t="s">
        <v>396</v>
      </c>
      <c r="D19" s="53" t="s">
        <v>54</v>
      </c>
      <c r="E19" s="54">
        <v>1.3419999999999999</v>
      </c>
      <c r="F19" s="55">
        <f t="shared" si="1"/>
        <v>0</v>
      </c>
      <c r="G19" s="55">
        <f t="shared" si="1"/>
        <v>0</v>
      </c>
      <c r="H19" s="55">
        <f t="shared" si="1"/>
        <v>0</v>
      </c>
      <c r="I19" s="55">
        <f t="shared" si="1"/>
        <v>0</v>
      </c>
      <c r="J19" s="55">
        <f t="shared" si="1"/>
        <v>0</v>
      </c>
      <c r="K19" s="55">
        <f t="shared" si="1"/>
        <v>0</v>
      </c>
      <c r="L19" s="55">
        <f t="shared" si="1"/>
        <v>0</v>
      </c>
      <c r="M19" s="55">
        <f t="shared" si="1"/>
        <v>0</v>
      </c>
      <c r="N19" s="55">
        <f t="shared" si="1"/>
        <v>0</v>
      </c>
      <c r="O19" s="55">
        <f t="shared" si="1"/>
        <v>0</v>
      </c>
      <c r="P19" s="55">
        <f t="shared" si="1"/>
        <v>0</v>
      </c>
      <c r="Q19" s="55">
        <f t="shared" si="1"/>
        <v>0</v>
      </c>
    </row>
    <row r="20" spans="3:17" ht="15" hidden="1" outlineLevel="2" x14ac:dyDescent="0.25">
      <c r="C20" s="52" t="s">
        <v>396</v>
      </c>
      <c r="D20" s="53" t="s">
        <v>52</v>
      </c>
      <c r="E20" s="54">
        <v>0.82699999999999996</v>
      </c>
      <c r="F20" s="55">
        <f t="shared" si="1"/>
        <v>0</v>
      </c>
      <c r="G20" s="55">
        <f t="shared" si="1"/>
        <v>0</v>
      </c>
      <c r="H20" s="55">
        <f t="shared" si="1"/>
        <v>0</v>
      </c>
      <c r="I20" s="55">
        <f t="shared" si="1"/>
        <v>0</v>
      </c>
      <c r="J20" s="55">
        <f t="shared" si="1"/>
        <v>0</v>
      </c>
      <c r="K20" s="55">
        <f t="shared" si="1"/>
        <v>0</v>
      </c>
      <c r="L20" s="55">
        <f t="shared" si="1"/>
        <v>0</v>
      </c>
      <c r="M20" s="55">
        <f t="shared" si="1"/>
        <v>0</v>
      </c>
      <c r="N20" s="55">
        <f t="shared" si="1"/>
        <v>0</v>
      </c>
      <c r="O20" s="55">
        <f t="shared" si="1"/>
        <v>0</v>
      </c>
      <c r="P20" s="55">
        <f t="shared" si="1"/>
        <v>0</v>
      </c>
      <c r="Q20" s="55">
        <f t="shared" si="1"/>
        <v>0</v>
      </c>
    </row>
    <row r="21" spans="3:17" ht="15" hidden="1" outlineLevel="2" x14ac:dyDescent="0.25">
      <c r="C21" s="52" t="s">
        <v>396</v>
      </c>
      <c r="D21" s="53" t="s">
        <v>50</v>
      </c>
      <c r="E21" s="54">
        <v>0.53100000000000003</v>
      </c>
      <c r="F21" s="55">
        <f t="shared" si="1"/>
        <v>0</v>
      </c>
      <c r="G21" s="55">
        <f t="shared" si="1"/>
        <v>504</v>
      </c>
      <c r="H21" s="55">
        <f t="shared" si="1"/>
        <v>504</v>
      </c>
      <c r="I21" s="55">
        <f t="shared" si="1"/>
        <v>504</v>
      </c>
      <c r="J21" s="55">
        <f t="shared" si="1"/>
        <v>504</v>
      </c>
      <c r="K21" s="55">
        <f t="shared" si="1"/>
        <v>504</v>
      </c>
      <c r="L21" s="55">
        <f t="shared" si="1"/>
        <v>504</v>
      </c>
      <c r="M21" s="55">
        <f t="shared" si="1"/>
        <v>504</v>
      </c>
      <c r="N21" s="55">
        <f t="shared" si="1"/>
        <v>504</v>
      </c>
      <c r="O21" s="55">
        <f t="shared" si="1"/>
        <v>504</v>
      </c>
      <c r="P21" s="55">
        <f t="shared" si="1"/>
        <v>504</v>
      </c>
      <c r="Q21" s="55">
        <f t="shared" si="1"/>
        <v>504</v>
      </c>
    </row>
    <row r="22" spans="3:17" ht="15" hidden="1" outlineLevel="2" x14ac:dyDescent="0.25">
      <c r="C22" s="52" t="s">
        <v>396</v>
      </c>
      <c r="D22" s="53" t="s">
        <v>51</v>
      </c>
      <c r="E22" s="54">
        <v>0.78400000000000003</v>
      </c>
      <c r="F22" s="55">
        <f t="shared" si="1"/>
        <v>0</v>
      </c>
      <c r="G22" s="55">
        <f t="shared" si="1"/>
        <v>0</v>
      </c>
      <c r="H22" s="55">
        <f t="shared" si="1"/>
        <v>0</v>
      </c>
      <c r="I22" s="55">
        <f t="shared" si="1"/>
        <v>0</v>
      </c>
      <c r="J22" s="55">
        <f t="shared" si="1"/>
        <v>0</v>
      </c>
      <c r="K22" s="55">
        <f t="shared" si="1"/>
        <v>0</v>
      </c>
      <c r="L22" s="55">
        <f t="shared" si="1"/>
        <v>0</v>
      </c>
      <c r="M22" s="55">
        <f t="shared" si="1"/>
        <v>0</v>
      </c>
      <c r="N22" s="55">
        <f t="shared" si="1"/>
        <v>0</v>
      </c>
      <c r="O22" s="55">
        <f t="shared" si="1"/>
        <v>0</v>
      </c>
      <c r="P22" s="55">
        <f t="shared" si="1"/>
        <v>0</v>
      </c>
      <c r="Q22" s="55">
        <f t="shared" si="1"/>
        <v>0</v>
      </c>
    </row>
    <row r="23" spans="3:17" ht="15" hidden="1" outlineLevel="2" x14ac:dyDescent="0.25">
      <c r="C23" s="52" t="s">
        <v>396</v>
      </c>
      <c r="D23" s="53" t="s">
        <v>49</v>
      </c>
      <c r="E23" s="54">
        <v>0.871</v>
      </c>
      <c r="F23" s="55">
        <f t="shared" si="1"/>
        <v>0</v>
      </c>
      <c r="G23" s="55">
        <f t="shared" si="1"/>
        <v>0</v>
      </c>
      <c r="H23" s="55">
        <f t="shared" si="1"/>
        <v>600</v>
      </c>
      <c r="I23" s="55">
        <f t="shared" si="1"/>
        <v>0</v>
      </c>
      <c r="J23" s="55">
        <f t="shared" si="1"/>
        <v>0</v>
      </c>
      <c r="K23" s="55">
        <f t="shared" si="1"/>
        <v>0</v>
      </c>
      <c r="L23" s="55">
        <f t="shared" si="1"/>
        <v>0</v>
      </c>
      <c r="M23" s="55">
        <f t="shared" si="1"/>
        <v>0</v>
      </c>
      <c r="N23" s="55">
        <f t="shared" si="1"/>
        <v>0</v>
      </c>
      <c r="O23" s="55">
        <f t="shared" si="1"/>
        <v>0</v>
      </c>
      <c r="P23" s="55">
        <f t="shared" si="1"/>
        <v>0</v>
      </c>
      <c r="Q23" s="55">
        <f t="shared" si="1"/>
        <v>0</v>
      </c>
    </row>
    <row r="24" spans="3:17" ht="15" hidden="1" outlineLevel="2" x14ac:dyDescent="0.25">
      <c r="C24" s="52" t="s">
        <v>396</v>
      </c>
      <c r="D24" s="53" t="s">
        <v>46</v>
      </c>
      <c r="E24" s="54">
        <v>1.665</v>
      </c>
      <c r="F24" s="55">
        <f t="shared" si="1"/>
        <v>1983</v>
      </c>
      <c r="G24" s="55">
        <f t="shared" si="1"/>
        <v>2820</v>
      </c>
      <c r="H24" s="55">
        <f t="shared" si="1"/>
        <v>1200</v>
      </c>
      <c r="I24" s="55">
        <f t="shared" si="1"/>
        <v>300</v>
      </c>
      <c r="J24" s="55">
        <f t="shared" si="1"/>
        <v>0</v>
      </c>
      <c r="K24" s="55">
        <f t="shared" si="1"/>
        <v>0</v>
      </c>
      <c r="L24" s="55">
        <f t="shared" si="1"/>
        <v>0</v>
      </c>
      <c r="M24" s="55">
        <f t="shared" si="1"/>
        <v>0</v>
      </c>
      <c r="N24" s="55">
        <f t="shared" si="1"/>
        <v>0</v>
      </c>
      <c r="O24" s="55">
        <f t="shared" si="1"/>
        <v>0</v>
      </c>
      <c r="P24" s="55">
        <f t="shared" si="1"/>
        <v>0</v>
      </c>
      <c r="Q24" s="55">
        <f t="shared" si="1"/>
        <v>0</v>
      </c>
    </row>
    <row r="25" spans="3:17" ht="15" hidden="1" outlineLevel="2" x14ac:dyDescent="0.25">
      <c r="C25" s="52" t="s">
        <v>396</v>
      </c>
      <c r="D25" s="53" t="s">
        <v>47</v>
      </c>
      <c r="E25" s="54">
        <v>2.0350000000000001</v>
      </c>
      <c r="F25" s="55">
        <f t="shared" ref="F25:Q34" si="2">SUMIFS($G$368:$G$1152,$C$368:$C$1152,$C25,$A$368:$A$1152,F$3,$B$368:$B$1152,F$4,$D$368:$D$1152,$D25)</f>
        <v>723</v>
      </c>
      <c r="G25" s="55">
        <f t="shared" si="2"/>
        <v>1320</v>
      </c>
      <c r="H25" s="55">
        <f t="shared" si="2"/>
        <v>660</v>
      </c>
      <c r="I25" s="55">
        <f t="shared" si="2"/>
        <v>360</v>
      </c>
      <c r="J25" s="55">
        <f t="shared" si="2"/>
        <v>0</v>
      </c>
      <c r="K25" s="55">
        <f t="shared" si="2"/>
        <v>0</v>
      </c>
      <c r="L25" s="55">
        <f t="shared" si="2"/>
        <v>0</v>
      </c>
      <c r="M25" s="55">
        <f t="shared" si="2"/>
        <v>0</v>
      </c>
      <c r="N25" s="55">
        <f t="shared" si="2"/>
        <v>0</v>
      </c>
      <c r="O25" s="55">
        <f t="shared" si="2"/>
        <v>0</v>
      </c>
      <c r="P25" s="55">
        <f t="shared" si="2"/>
        <v>0</v>
      </c>
      <c r="Q25" s="55">
        <f t="shared" si="2"/>
        <v>0</v>
      </c>
    </row>
    <row r="26" spans="3:17" ht="15" hidden="1" outlineLevel="2" x14ac:dyDescent="0.25">
      <c r="C26" s="52" t="s">
        <v>396</v>
      </c>
      <c r="D26" s="53" t="s">
        <v>36</v>
      </c>
      <c r="E26" s="54">
        <v>0.4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244.42</v>
      </c>
      <c r="J26" s="55">
        <f t="shared" si="2"/>
        <v>244.42</v>
      </c>
      <c r="K26" s="55">
        <f t="shared" si="2"/>
        <v>244.42</v>
      </c>
      <c r="L26" s="55">
        <f t="shared" si="2"/>
        <v>244.42</v>
      </c>
      <c r="M26" s="55">
        <f t="shared" si="2"/>
        <v>244.42</v>
      </c>
      <c r="N26" s="55">
        <f t="shared" si="2"/>
        <v>244.42</v>
      </c>
      <c r="O26" s="55">
        <f t="shared" si="2"/>
        <v>244.42</v>
      </c>
      <c r="P26" s="55">
        <f t="shared" si="2"/>
        <v>244.42</v>
      </c>
      <c r="Q26" s="55">
        <f t="shared" si="2"/>
        <v>244.42</v>
      </c>
    </row>
    <row r="27" spans="3:17" ht="15" hidden="1" outlineLevel="2" x14ac:dyDescent="0.25">
      <c r="C27" s="52" t="s">
        <v>396</v>
      </c>
      <c r="D27" s="53" t="s">
        <v>37</v>
      </c>
      <c r="E27" s="54">
        <v>0.50600000000000001</v>
      </c>
      <c r="F27" s="55">
        <f t="shared" si="2"/>
        <v>8812.7999999999993</v>
      </c>
      <c r="G27" s="55">
        <f t="shared" si="2"/>
        <v>3780</v>
      </c>
      <c r="H27" s="55">
        <f t="shared" si="2"/>
        <v>1890</v>
      </c>
      <c r="I27" s="55">
        <f t="shared" si="2"/>
        <v>900</v>
      </c>
      <c r="J27" s="55">
        <f t="shared" si="2"/>
        <v>0</v>
      </c>
      <c r="K27" s="55">
        <f t="shared" si="2"/>
        <v>0</v>
      </c>
      <c r="L27" s="55">
        <f t="shared" si="2"/>
        <v>0</v>
      </c>
      <c r="M27" s="55">
        <f t="shared" si="2"/>
        <v>0</v>
      </c>
      <c r="N27" s="55">
        <f t="shared" si="2"/>
        <v>0</v>
      </c>
      <c r="O27" s="55">
        <f t="shared" si="2"/>
        <v>0</v>
      </c>
      <c r="P27" s="55">
        <f t="shared" si="2"/>
        <v>0</v>
      </c>
      <c r="Q27" s="55">
        <f t="shared" si="2"/>
        <v>0</v>
      </c>
    </row>
    <row r="28" spans="3:17" ht="15" hidden="1" outlineLevel="2" x14ac:dyDescent="0.25">
      <c r="C28" s="52" t="s">
        <v>396</v>
      </c>
      <c r="D28" s="53" t="s">
        <v>38</v>
      </c>
      <c r="E28" s="54">
        <v>0.61099999999999999</v>
      </c>
      <c r="F28" s="55">
        <f t="shared" si="2"/>
        <v>0</v>
      </c>
      <c r="G28" s="55">
        <f t="shared" si="2"/>
        <v>0</v>
      </c>
      <c r="H28" s="55">
        <f t="shared" si="2"/>
        <v>0</v>
      </c>
      <c r="I28" s="55">
        <f t="shared" si="2"/>
        <v>0</v>
      </c>
      <c r="J28" s="55">
        <f t="shared" si="2"/>
        <v>0</v>
      </c>
      <c r="K28" s="55">
        <f t="shared" si="2"/>
        <v>0</v>
      </c>
      <c r="L28" s="55">
        <f t="shared" si="2"/>
        <v>0</v>
      </c>
      <c r="M28" s="55">
        <f t="shared" si="2"/>
        <v>0</v>
      </c>
      <c r="N28" s="55">
        <f t="shared" si="2"/>
        <v>0</v>
      </c>
      <c r="O28" s="55">
        <f t="shared" si="2"/>
        <v>0</v>
      </c>
      <c r="P28" s="55">
        <f t="shared" si="2"/>
        <v>0</v>
      </c>
      <c r="Q28" s="55">
        <f t="shared" si="2"/>
        <v>0</v>
      </c>
    </row>
    <row r="29" spans="3:17" ht="15" hidden="1" outlineLevel="2" x14ac:dyDescent="0.25">
      <c r="C29" s="52" t="s">
        <v>396</v>
      </c>
      <c r="D29" s="53" t="s">
        <v>45</v>
      </c>
      <c r="E29" s="54">
        <v>2.3919999999999999</v>
      </c>
      <c r="F29" s="55">
        <f t="shared" si="2"/>
        <v>0</v>
      </c>
      <c r="G29" s="55">
        <f t="shared" si="2"/>
        <v>0</v>
      </c>
      <c r="H29" s="55">
        <f t="shared" si="2"/>
        <v>0</v>
      </c>
      <c r="I29" s="55">
        <f t="shared" si="2"/>
        <v>0</v>
      </c>
      <c r="J29" s="55">
        <f t="shared" si="2"/>
        <v>0</v>
      </c>
      <c r="K29" s="55">
        <f t="shared" si="2"/>
        <v>0</v>
      </c>
      <c r="L29" s="55">
        <f t="shared" si="2"/>
        <v>0</v>
      </c>
      <c r="M29" s="55">
        <f t="shared" si="2"/>
        <v>0</v>
      </c>
      <c r="N29" s="55">
        <f t="shared" si="2"/>
        <v>0</v>
      </c>
      <c r="O29" s="55">
        <f t="shared" si="2"/>
        <v>0</v>
      </c>
      <c r="P29" s="55">
        <f t="shared" si="2"/>
        <v>0</v>
      </c>
      <c r="Q29" s="55">
        <f t="shared" si="2"/>
        <v>0</v>
      </c>
    </row>
    <row r="30" spans="3:17" ht="15" hidden="1" outlineLevel="2" x14ac:dyDescent="0.25">
      <c r="C30" s="52" t="s">
        <v>396</v>
      </c>
      <c r="D30" s="53" t="s">
        <v>39</v>
      </c>
      <c r="E30" s="54">
        <v>0.38</v>
      </c>
      <c r="F30" s="55">
        <f t="shared" si="2"/>
        <v>0</v>
      </c>
      <c r="G30" s="55">
        <f t="shared" si="2"/>
        <v>1500</v>
      </c>
      <c r="H30" s="55">
        <f t="shared" si="2"/>
        <v>1500</v>
      </c>
      <c r="I30" s="55">
        <f t="shared" si="2"/>
        <v>1500</v>
      </c>
      <c r="J30" s="55">
        <f t="shared" si="2"/>
        <v>1500</v>
      </c>
      <c r="K30" s="55">
        <f t="shared" si="2"/>
        <v>1500</v>
      </c>
      <c r="L30" s="55">
        <f t="shared" si="2"/>
        <v>1500</v>
      </c>
      <c r="M30" s="55">
        <f t="shared" si="2"/>
        <v>1500</v>
      </c>
      <c r="N30" s="55">
        <f t="shared" si="2"/>
        <v>1500</v>
      </c>
      <c r="O30" s="55">
        <f t="shared" si="2"/>
        <v>1500</v>
      </c>
      <c r="P30" s="55">
        <f t="shared" si="2"/>
        <v>1500</v>
      </c>
      <c r="Q30" s="55">
        <f t="shared" si="2"/>
        <v>1500</v>
      </c>
    </row>
    <row r="31" spans="3:17" ht="15" hidden="1" outlineLevel="2" x14ac:dyDescent="0.25">
      <c r="C31" s="52" t="s">
        <v>396</v>
      </c>
      <c r="D31" s="53" t="s">
        <v>40</v>
      </c>
      <c r="E31" s="54">
        <v>0.59799999999999998</v>
      </c>
      <c r="F31" s="55">
        <f t="shared" si="2"/>
        <v>0</v>
      </c>
      <c r="G31" s="55">
        <f t="shared" si="2"/>
        <v>0</v>
      </c>
      <c r="H31" s="55">
        <f t="shared" si="2"/>
        <v>0</v>
      </c>
      <c r="I31" s="55">
        <f t="shared" si="2"/>
        <v>0</v>
      </c>
      <c r="J31" s="55">
        <f t="shared" si="2"/>
        <v>0</v>
      </c>
      <c r="K31" s="55">
        <f t="shared" si="2"/>
        <v>0</v>
      </c>
      <c r="L31" s="55">
        <f t="shared" si="2"/>
        <v>0</v>
      </c>
      <c r="M31" s="55">
        <f t="shared" si="2"/>
        <v>0</v>
      </c>
      <c r="N31" s="55">
        <f t="shared" si="2"/>
        <v>0</v>
      </c>
      <c r="O31" s="55">
        <f t="shared" si="2"/>
        <v>0</v>
      </c>
      <c r="P31" s="55">
        <f t="shared" si="2"/>
        <v>0</v>
      </c>
      <c r="Q31" s="55">
        <f t="shared" si="2"/>
        <v>0</v>
      </c>
    </row>
    <row r="32" spans="3:17" ht="15" hidden="1" outlineLevel="2" x14ac:dyDescent="0.25">
      <c r="C32" s="52" t="s">
        <v>396</v>
      </c>
      <c r="D32" s="53" t="s">
        <v>41</v>
      </c>
      <c r="E32" s="54">
        <v>0.65500000000000003</v>
      </c>
      <c r="F32" s="55">
        <f t="shared" si="2"/>
        <v>3000</v>
      </c>
      <c r="G32" s="55">
        <f t="shared" si="2"/>
        <v>7002</v>
      </c>
      <c r="H32" s="55">
        <f t="shared" si="2"/>
        <v>9402</v>
      </c>
      <c r="I32" s="55">
        <f t="shared" si="2"/>
        <v>7002</v>
      </c>
      <c r="J32" s="55">
        <f t="shared" si="2"/>
        <v>7002</v>
      </c>
      <c r="K32" s="55">
        <f t="shared" si="2"/>
        <v>7002</v>
      </c>
      <c r="L32" s="55">
        <f t="shared" si="2"/>
        <v>7002</v>
      </c>
      <c r="M32" s="55">
        <f t="shared" si="2"/>
        <v>7002</v>
      </c>
      <c r="N32" s="55">
        <f t="shared" si="2"/>
        <v>7002</v>
      </c>
      <c r="O32" s="55">
        <f t="shared" si="2"/>
        <v>7002</v>
      </c>
      <c r="P32" s="55">
        <f t="shared" si="2"/>
        <v>7002</v>
      </c>
      <c r="Q32" s="55">
        <f t="shared" si="2"/>
        <v>7002</v>
      </c>
    </row>
    <row r="33" spans="3:17" ht="15" hidden="1" outlineLevel="2" x14ac:dyDescent="0.25">
      <c r="C33" s="52" t="s">
        <v>396</v>
      </c>
      <c r="D33" s="53" t="s">
        <v>43</v>
      </c>
      <c r="E33" s="54">
        <v>0.95699999999999996</v>
      </c>
      <c r="F33" s="55">
        <f t="shared" si="2"/>
        <v>252</v>
      </c>
      <c r="G33" s="55">
        <f t="shared" si="2"/>
        <v>0</v>
      </c>
      <c r="H33" s="55">
        <f t="shared" si="2"/>
        <v>0</v>
      </c>
      <c r="I33" s="55">
        <f t="shared" si="2"/>
        <v>0</v>
      </c>
      <c r="J33" s="55">
        <f t="shared" si="2"/>
        <v>0</v>
      </c>
      <c r="K33" s="55">
        <f t="shared" si="2"/>
        <v>0</v>
      </c>
      <c r="L33" s="55">
        <f t="shared" si="2"/>
        <v>0</v>
      </c>
      <c r="M33" s="55">
        <f t="shared" si="2"/>
        <v>0</v>
      </c>
      <c r="N33" s="55">
        <f t="shared" si="2"/>
        <v>0</v>
      </c>
      <c r="O33" s="55">
        <f t="shared" si="2"/>
        <v>0</v>
      </c>
      <c r="P33" s="55">
        <f t="shared" si="2"/>
        <v>0</v>
      </c>
      <c r="Q33" s="55">
        <f t="shared" si="2"/>
        <v>0</v>
      </c>
    </row>
    <row r="34" spans="3:17" ht="15" hidden="1" outlineLevel="2" x14ac:dyDescent="0.25">
      <c r="C34" s="52" t="s">
        <v>396</v>
      </c>
      <c r="D34" s="53" t="s">
        <v>42</v>
      </c>
      <c r="E34" s="54">
        <v>0.82199999999999995</v>
      </c>
      <c r="F34" s="55">
        <f t="shared" si="2"/>
        <v>0</v>
      </c>
      <c r="G34" s="55">
        <f t="shared" si="2"/>
        <v>2502</v>
      </c>
      <c r="H34" s="55">
        <f t="shared" si="2"/>
        <v>2700</v>
      </c>
      <c r="I34" s="55">
        <f t="shared" si="2"/>
        <v>2502</v>
      </c>
      <c r="J34" s="55">
        <f t="shared" si="2"/>
        <v>2502</v>
      </c>
      <c r="K34" s="55">
        <f t="shared" si="2"/>
        <v>2502</v>
      </c>
      <c r="L34" s="55">
        <f t="shared" si="2"/>
        <v>2502</v>
      </c>
      <c r="M34" s="55">
        <f t="shared" si="2"/>
        <v>2502</v>
      </c>
      <c r="N34" s="55">
        <f t="shared" si="2"/>
        <v>2502</v>
      </c>
      <c r="O34" s="55">
        <f t="shared" si="2"/>
        <v>2502</v>
      </c>
      <c r="P34" s="55">
        <f t="shared" si="2"/>
        <v>2502</v>
      </c>
      <c r="Q34" s="55">
        <f t="shared" si="2"/>
        <v>2502</v>
      </c>
    </row>
    <row r="35" spans="3:17" ht="15" hidden="1" outlineLevel="2" x14ac:dyDescent="0.25">
      <c r="C35" s="52" t="s">
        <v>396</v>
      </c>
      <c r="D35" s="53" t="s">
        <v>44</v>
      </c>
      <c r="E35" s="54">
        <v>1.1789999999999998</v>
      </c>
      <c r="F35" s="55">
        <f t="shared" ref="F35:Q46" si="3">SUMIFS($G$368:$G$1152,$C$368:$C$1152,$C35,$A$368:$A$1152,F$3,$B$368:$B$1152,F$4,$D$368:$D$1152,$D35)</f>
        <v>0</v>
      </c>
      <c r="G35" s="55">
        <f t="shared" si="3"/>
        <v>504</v>
      </c>
      <c r="H35" s="55">
        <f t="shared" si="3"/>
        <v>504</v>
      </c>
      <c r="I35" s="55">
        <f t="shared" si="3"/>
        <v>504</v>
      </c>
      <c r="J35" s="55">
        <f t="shared" si="3"/>
        <v>504</v>
      </c>
      <c r="K35" s="55">
        <f t="shared" si="3"/>
        <v>504</v>
      </c>
      <c r="L35" s="55">
        <f t="shared" si="3"/>
        <v>504</v>
      </c>
      <c r="M35" s="55">
        <f t="shared" si="3"/>
        <v>504</v>
      </c>
      <c r="N35" s="55">
        <f t="shared" si="3"/>
        <v>504</v>
      </c>
      <c r="O35" s="55">
        <f t="shared" si="3"/>
        <v>504</v>
      </c>
      <c r="P35" s="55">
        <f t="shared" si="3"/>
        <v>504</v>
      </c>
      <c r="Q35" s="55">
        <f t="shared" si="3"/>
        <v>504</v>
      </c>
    </row>
    <row r="36" spans="3:17" ht="15" hidden="1" outlineLevel="2" x14ac:dyDescent="0.25">
      <c r="C36" s="52" t="s">
        <v>396</v>
      </c>
      <c r="D36" s="53" t="s">
        <v>48</v>
      </c>
      <c r="E36" s="54">
        <v>0.67900000000000005</v>
      </c>
      <c r="F36" s="55">
        <f t="shared" si="3"/>
        <v>250.8</v>
      </c>
      <c r="G36" s="55">
        <f t="shared" si="3"/>
        <v>0</v>
      </c>
      <c r="H36" s="55">
        <f t="shared" si="3"/>
        <v>0</v>
      </c>
      <c r="I36" s="55">
        <f t="shared" si="3"/>
        <v>0</v>
      </c>
      <c r="J36" s="55">
        <f t="shared" si="3"/>
        <v>0</v>
      </c>
      <c r="K36" s="55">
        <f t="shared" si="3"/>
        <v>0</v>
      </c>
      <c r="L36" s="55">
        <f t="shared" si="3"/>
        <v>0</v>
      </c>
      <c r="M36" s="55">
        <f t="shared" si="3"/>
        <v>0</v>
      </c>
      <c r="N36" s="55">
        <f t="shared" si="3"/>
        <v>0</v>
      </c>
      <c r="O36" s="55">
        <f t="shared" si="3"/>
        <v>0</v>
      </c>
      <c r="P36" s="55">
        <f t="shared" si="3"/>
        <v>0</v>
      </c>
      <c r="Q36" s="55">
        <f t="shared" si="3"/>
        <v>0</v>
      </c>
    </row>
    <row r="37" spans="3:17" ht="15" hidden="1" outlineLevel="2" x14ac:dyDescent="0.25">
      <c r="C37" s="52" t="s">
        <v>396</v>
      </c>
      <c r="D37" s="53" t="s">
        <v>28</v>
      </c>
      <c r="E37" s="54">
        <v>1.1779999999999999</v>
      </c>
      <c r="F37" s="55">
        <f t="shared" si="3"/>
        <v>0</v>
      </c>
      <c r="G37" s="55">
        <f t="shared" si="3"/>
        <v>0</v>
      </c>
      <c r="H37" s="55">
        <f t="shared" si="3"/>
        <v>0</v>
      </c>
      <c r="I37" s="55">
        <f t="shared" si="3"/>
        <v>0</v>
      </c>
      <c r="J37" s="55">
        <f t="shared" si="3"/>
        <v>0</v>
      </c>
      <c r="K37" s="55">
        <f t="shared" si="3"/>
        <v>0</v>
      </c>
      <c r="L37" s="55">
        <f t="shared" si="3"/>
        <v>0</v>
      </c>
      <c r="M37" s="55">
        <f t="shared" si="3"/>
        <v>0</v>
      </c>
      <c r="N37" s="55">
        <f t="shared" si="3"/>
        <v>0</v>
      </c>
      <c r="O37" s="55">
        <f t="shared" si="3"/>
        <v>0</v>
      </c>
      <c r="P37" s="55">
        <f t="shared" si="3"/>
        <v>0</v>
      </c>
      <c r="Q37" s="55">
        <f t="shared" si="3"/>
        <v>0</v>
      </c>
    </row>
    <row r="38" spans="3:17" ht="15" hidden="1" outlineLevel="2" x14ac:dyDescent="0.25">
      <c r="C38" s="52" t="s">
        <v>396</v>
      </c>
      <c r="D38" s="53" t="s">
        <v>27</v>
      </c>
      <c r="E38" s="54">
        <v>1.357</v>
      </c>
      <c r="F38" s="55">
        <f t="shared" si="3"/>
        <v>0</v>
      </c>
      <c r="G38" s="55">
        <f t="shared" si="3"/>
        <v>0</v>
      </c>
      <c r="H38" s="55">
        <f t="shared" si="3"/>
        <v>0</v>
      </c>
      <c r="I38" s="55">
        <f t="shared" si="3"/>
        <v>0</v>
      </c>
      <c r="J38" s="55">
        <f t="shared" si="3"/>
        <v>0</v>
      </c>
      <c r="K38" s="55">
        <f t="shared" si="3"/>
        <v>0</v>
      </c>
      <c r="L38" s="55">
        <f t="shared" si="3"/>
        <v>0</v>
      </c>
      <c r="M38" s="55">
        <f t="shared" si="3"/>
        <v>0</v>
      </c>
      <c r="N38" s="55">
        <f t="shared" si="3"/>
        <v>0</v>
      </c>
      <c r="O38" s="55">
        <f t="shared" si="3"/>
        <v>0</v>
      </c>
      <c r="P38" s="55">
        <f t="shared" si="3"/>
        <v>0</v>
      </c>
      <c r="Q38" s="55">
        <f t="shared" si="3"/>
        <v>0</v>
      </c>
    </row>
    <row r="39" spans="3:17" ht="15" hidden="1" outlineLevel="2" x14ac:dyDescent="0.25">
      <c r="C39" s="52" t="s">
        <v>396</v>
      </c>
      <c r="D39" s="53" t="s">
        <v>10</v>
      </c>
      <c r="E39" s="54">
        <v>0.26300000000000001</v>
      </c>
      <c r="F39" s="55">
        <f t="shared" si="3"/>
        <v>0</v>
      </c>
      <c r="G39" s="55">
        <f t="shared" si="3"/>
        <v>0</v>
      </c>
      <c r="H39" s="55">
        <f t="shared" si="3"/>
        <v>0</v>
      </c>
      <c r="I39" s="55">
        <f t="shared" si="3"/>
        <v>0</v>
      </c>
      <c r="J39" s="55">
        <f t="shared" si="3"/>
        <v>0</v>
      </c>
      <c r="K39" s="55">
        <f t="shared" si="3"/>
        <v>0</v>
      </c>
      <c r="L39" s="55">
        <f t="shared" si="3"/>
        <v>0</v>
      </c>
      <c r="M39" s="55">
        <f t="shared" si="3"/>
        <v>0</v>
      </c>
      <c r="N39" s="55">
        <f t="shared" si="3"/>
        <v>0</v>
      </c>
      <c r="O39" s="55">
        <f t="shared" si="3"/>
        <v>0</v>
      </c>
      <c r="P39" s="55">
        <f t="shared" si="3"/>
        <v>0</v>
      </c>
      <c r="Q39" s="55">
        <f t="shared" si="3"/>
        <v>0</v>
      </c>
    </row>
    <row r="40" spans="3:17" ht="15" hidden="1" outlineLevel="2" x14ac:dyDescent="0.25">
      <c r="C40" s="52" t="s">
        <v>396</v>
      </c>
      <c r="D40" s="53" t="s">
        <v>24</v>
      </c>
      <c r="E40" s="54">
        <v>1.0459999999999998</v>
      </c>
      <c r="F40" s="55">
        <f t="shared" si="3"/>
        <v>0</v>
      </c>
      <c r="G40" s="55">
        <f t="shared" si="3"/>
        <v>0</v>
      </c>
      <c r="H40" s="55">
        <f t="shared" si="3"/>
        <v>7206</v>
      </c>
      <c r="I40" s="55">
        <f t="shared" si="3"/>
        <v>0</v>
      </c>
      <c r="J40" s="55">
        <f t="shared" si="3"/>
        <v>0</v>
      </c>
      <c r="K40" s="55">
        <f t="shared" si="3"/>
        <v>0</v>
      </c>
      <c r="L40" s="55">
        <f t="shared" si="3"/>
        <v>0</v>
      </c>
      <c r="M40" s="55">
        <f t="shared" si="3"/>
        <v>0</v>
      </c>
      <c r="N40" s="55">
        <f t="shared" si="3"/>
        <v>0</v>
      </c>
      <c r="O40" s="55">
        <f t="shared" si="3"/>
        <v>0</v>
      </c>
      <c r="P40" s="55">
        <f t="shared" si="3"/>
        <v>0</v>
      </c>
      <c r="Q40" s="55">
        <f t="shared" si="3"/>
        <v>0</v>
      </c>
    </row>
    <row r="41" spans="3:17" ht="15" hidden="1" outlineLevel="2" x14ac:dyDescent="0.25">
      <c r="C41" s="52" t="s">
        <v>396</v>
      </c>
      <c r="D41" s="53" t="s">
        <v>25</v>
      </c>
      <c r="E41" s="54">
        <v>1.121</v>
      </c>
      <c r="F41" s="55">
        <f t="shared" si="3"/>
        <v>1692</v>
      </c>
      <c r="G41" s="55">
        <f t="shared" si="3"/>
        <v>0</v>
      </c>
      <c r="H41" s="55">
        <f t="shared" si="3"/>
        <v>0</v>
      </c>
      <c r="I41" s="55">
        <f t="shared" si="3"/>
        <v>0</v>
      </c>
      <c r="J41" s="55">
        <f t="shared" si="3"/>
        <v>0</v>
      </c>
      <c r="K41" s="55">
        <f t="shared" si="3"/>
        <v>0</v>
      </c>
      <c r="L41" s="55">
        <f t="shared" si="3"/>
        <v>0</v>
      </c>
      <c r="M41" s="55">
        <f t="shared" si="3"/>
        <v>0</v>
      </c>
      <c r="N41" s="55">
        <f t="shared" si="3"/>
        <v>0</v>
      </c>
      <c r="O41" s="55">
        <f t="shared" si="3"/>
        <v>0</v>
      </c>
      <c r="P41" s="55">
        <f t="shared" si="3"/>
        <v>0</v>
      </c>
      <c r="Q41" s="55">
        <f t="shared" si="3"/>
        <v>0</v>
      </c>
    </row>
    <row r="42" spans="3:17" ht="15" hidden="1" outlineLevel="2" x14ac:dyDescent="0.25">
      <c r="C42" s="52" t="s">
        <v>396</v>
      </c>
      <c r="D42" s="53" t="s">
        <v>26</v>
      </c>
      <c r="E42" s="54">
        <v>1.5999999999999999</v>
      </c>
      <c r="F42" s="55">
        <f t="shared" si="3"/>
        <v>0</v>
      </c>
      <c r="G42" s="55">
        <f t="shared" si="3"/>
        <v>0</v>
      </c>
      <c r="H42" s="55">
        <f t="shared" si="3"/>
        <v>0</v>
      </c>
      <c r="I42" s="55">
        <f t="shared" si="3"/>
        <v>0</v>
      </c>
      <c r="J42" s="55">
        <f t="shared" si="3"/>
        <v>0</v>
      </c>
      <c r="K42" s="55">
        <f t="shared" si="3"/>
        <v>0</v>
      </c>
      <c r="L42" s="55">
        <f t="shared" si="3"/>
        <v>0</v>
      </c>
      <c r="M42" s="55">
        <f t="shared" si="3"/>
        <v>0</v>
      </c>
      <c r="N42" s="55">
        <f t="shared" si="3"/>
        <v>0</v>
      </c>
      <c r="O42" s="55">
        <f t="shared" si="3"/>
        <v>0</v>
      </c>
      <c r="P42" s="55">
        <f t="shared" si="3"/>
        <v>0</v>
      </c>
      <c r="Q42" s="55">
        <f t="shared" si="3"/>
        <v>0</v>
      </c>
    </row>
    <row r="43" spans="3:17" ht="15" hidden="1" outlineLevel="2" x14ac:dyDescent="0.25">
      <c r="C43" s="52" t="s">
        <v>396</v>
      </c>
      <c r="D43" s="53" t="s">
        <v>30</v>
      </c>
      <c r="E43" s="54">
        <v>2.093</v>
      </c>
      <c r="F43" s="55">
        <f t="shared" si="3"/>
        <v>0</v>
      </c>
      <c r="G43" s="55">
        <f t="shared" si="3"/>
        <v>0</v>
      </c>
      <c r="H43" s="55">
        <f t="shared" si="3"/>
        <v>0</v>
      </c>
      <c r="I43" s="55">
        <f t="shared" si="3"/>
        <v>0</v>
      </c>
      <c r="J43" s="55">
        <f t="shared" si="3"/>
        <v>0</v>
      </c>
      <c r="K43" s="55">
        <f t="shared" si="3"/>
        <v>0</v>
      </c>
      <c r="L43" s="55">
        <f t="shared" si="3"/>
        <v>0</v>
      </c>
      <c r="M43" s="55">
        <f t="shared" si="3"/>
        <v>0</v>
      </c>
      <c r="N43" s="55">
        <f t="shared" si="3"/>
        <v>0</v>
      </c>
      <c r="O43" s="55">
        <f t="shared" si="3"/>
        <v>0</v>
      </c>
      <c r="P43" s="55">
        <f t="shared" si="3"/>
        <v>0</v>
      </c>
      <c r="Q43" s="55">
        <f t="shared" si="3"/>
        <v>0</v>
      </c>
    </row>
    <row r="44" spans="3:17" ht="15" hidden="1" outlineLevel="2" x14ac:dyDescent="0.25">
      <c r="C44" s="52" t="s">
        <v>396</v>
      </c>
      <c r="D44" s="53" t="s">
        <v>31</v>
      </c>
      <c r="E44" s="54">
        <v>4.0650000000000004</v>
      </c>
      <c r="F44" s="55">
        <f t="shared" si="3"/>
        <v>0</v>
      </c>
      <c r="G44" s="55">
        <f t="shared" si="3"/>
        <v>0</v>
      </c>
      <c r="H44" s="55">
        <f t="shared" si="3"/>
        <v>0</v>
      </c>
      <c r="I44" s="55">
        <f t="shared" si="3"/>
        <v>0</v>
      </c>
      <c r="J44" s="55">
        <f t="shared" si="3"/>
        <v>0</v>
      </c>
      <c r="K44" s="55">
        <f t="shared" si="3"/>
        <v>0</v>
      </c>
      <c r="L44" s="55">
        <f t="shared" si="3"/>
        <v>0</v>
      </c>
      <c r="M44" s="55">
        <f t="shared" si="3"/>
        <v>0</v>
      </c>
      <c r="N44" s="55">
        <f t="shared" si="3"/>
        <v>0</v>
      </c>
      <c r="O44" s="55">
        <f t="shared" si="3"/>
        <v>0</v>
      </c>
      <c r="P44" s="55">
        <f t="shared" si="3"/>
        <v>0</v>
      </c>
      <c r="Q44" s="55">
        <f t="shared" si="3"/>
        <v>0</v>
      </c>
    </row>
    <row r="45" spans="3:17" ht="15" hidden="1" outlineLevel="2" x14ac:dyDescent="0.25">
      <c r="C45" s="52" t="s">
        <v>396</v>
      </c>
      <c r="D45" s="53" t="s">
        <v>32</v>
      </c>
      <c r="E45" s="54">
        <v>7.0369999999999999</v>
      </c>
      <c r="F45" s="55">
        <f t="shared" si="3"/>
        <v>0</v>
      </c>
      <c r="G45" s="55">
        <f t="shared" si="3"/>
        <v>0</v>
      </c>
      <c r="H45" s="55">
        <f t="shared" si="3"/>
        <v>0</v>
      </c>
      <c r="I45" s="55">
        <f t="shared" si="3"/>
        <v>0</v>
      </c>
      <c r="J45" s="55">
        <f t="shared" si="3"/>
        <v>0</v>
      </c>
      <c r="K45" s="55">
        <f t="shared" si="3"/>
        <v>0</v>
      </c>
      <c r="L45" s="55">
        <f t="shared" si="3"/>
        <v>0</v>
      </c>
      <c r="M45" s="55">
        <f t="shared" si="3"/>
        <v>0</v>
      </c>
      <c r="N45" s="55">
        <f t="shared" si="3"/>
        <v>0</v>
      </c>
      <c r="O45" s="55">
        <f t="shared" si="3"/>
        <v>0</v>
      </c>
      <c r="P45" s="55">
        <f t="shared" si="3"/>
        <v>0</v>
      </c>
      <c r="Q45" s="55">
        <f t="shared" si="3"/>
        <v>0</v>
      </c>
    </row>
    <row r="46" spans="3:17" ht="15" hidden="1" outlineLevel="2" x14ac:dyDescent="0.25">
      <c r="C46" s="52" t="s">
        <v>396</v>
      </c>
      <c r="D46" s="53" t="s">
        <v>29</v>
      </c>
      <c r="E46" s="54">
        <v>0.83</v>
      </c>
      <c r="F46" s="55">
        <f t="shared" si="3"/>
        <v>0</v>
      </c>
      <c r="G46" s="55">
        <f t="shared" si="3"/>
        <v>0</v>
      </c>
      <c r="H46" s="55">
        <f t="shared" si="3"/>
        <v>0</v>
      </c>
      <c r="I46" s="55">
        <f t="shared" si="3"/>
        <v>0</v>
      </c>
      <c r="J46" s="55">
        <f t="shared" si="3"/>
        <v>0</v>
      </c>
      <c r="K46" s="55">
        <f t="shared" si="3"/>
        <v>0</v>
      </c>
      <c r="L46" s="55">
        <f t="shared" si="3"/>
        <v>0</v>
      </c>
      <c r="M46" s="55">
        <f t="shared" si="3"/>
        <v>0</v>
      </c>
      <c r="N46" s="55">
        <f t="shared" si="3"/>
        <v>0</v>
      </c>
      <c r="O46" s="55">
        <f t="shared" si="3"/>
        <v>0</v>
      </c>
      <c r="P46" s="55">
        <f t="shared" si="3"/>
        <v>0</v>
      </c>
      <c r="Q46" s="55">
        <f t="shared" si="3"/>
        <v>0</v>
      </c>
    </row>
    <row r="47" spans="3:17" ht="15" outlineLevel="1" x14ac:dyDescent="0.25">
      <c r="C47" s="56" t="s">
        <v>397</v>
      </c>
      <c r="D47" s="57" t="s">
        <v>382</v>
      </c>
      <c r="E47" s="58">
        <v>7.4539999999999997</v>
      </c>
      <c r="F47" s="59">
        <f t="shared" ref="F47:Q56" si="4">SUMIFS($F$368:$F$1152,$C$368:$C$1152,$C47,$A$368:$A$1152,F$3,$B$368:$B$1152,F$4,$D$368:$D$1152,$D47)</f>
        <v>0</v>
      </c>
      <c r="G47" s="59">
        <f t="shared" si="4"/>
        <v>0</v>
      </c>
      <c r="H47" s="59">
        <f t="shared" si="4"/>
        <v>0</v>
      </c>
      <c r="I47" s="59">
        <f t="shared" si="4"/>
        <v>0</v>
      </c>
      <c r="J47" s="59">
        <f t="shared" si="4"/>
        <v>0</v>
      </c>
      <c r="K47" s="59">
        <f t="shared" si="4"/>
        <v>0</v>
      </c>
      <c r="L47" s="59">
        <f t="shared" si="4"/>
        <v>0</v>
      </c>
      <c r="M47" s="59">
        <f t="shared" si="4"/>
        <v>0</v>
      </c>
      <c r="N47" s="59">
        <f t="shared" si="4"/>
        <v>0</v>
      </c>
      <c r="O47" s="59">
        <f t="shared" si="4"/>
        <v>0</v>
      </c>
      <c r="P47" s="59">
        <f t="shared" si="4"/>
        <v>0</v>
      </c>
      <c r="Q47" s="59">
        <f t="shared" si="4"/>
        <v>0</v>
      </c>
    </row>
    <row r="48" spans="3:17" ht="15" outlineLevel="2" x14ac:dyDescent="0.25">
      <c r="C48" s="56" t="s">
        <v>397</v>
      </c>
      <c r="D48" s="57" t="s">
        <v>383</v>
      </c>
      <c r="E48" s="58">
        <v>8.2810000000000006</v>
      </c>
      <c r="F48" s="59">
        <f t="shared" si="4"/>
        <v>0</v>
      </c>
      <c r="G48" s="59">
        <f t="shared" si="4"/>
        <v>100</v>
      </c>
      <c r="H48" s="59">
        <f t="shared" si="4"/>
        <v>30</v>
      </c>
      <c r="I48" s="59">
        <f t="shared" si="4"/>
        <v>2000</v>
      </c>
      <c r="J48" s="59">
        <f t="shared" si="4"/>
        <v>0</v>
      </c>
      <c r="K48" s="59">
        <f t="shared" si="4"/>
        <v>0</v>
      </c>
      <c r="L48" s="59">
        <f t="shared" si="4"/>
        <v>0</v>
      </c>
      <c r="M48" s="59">
        <f t="shared" si="4"/>
        <v>0</v>
      </c>
      <c r="N48" s="59">
        <f t="shared" si="4"/>
        <v>0</v>
      </c>
      <c r="O48" s="59">
        <f t="shared" si="4"/>
        <v>0</v>
      </c>
      <c r="P48" s="59">
        <f t="shared" si="4"/>
        <v>0</v>
      </c>
      <c r="Q48" s="59">
        <f t="shared" si="4"/>
        <v>0</v>
      </c>
    </row>
    <row r="49" spans="3:17" ht="15" outlineLevel="2" x14ac:dyDescent="0.25">
      <c r="C49" s="56" t="s">
        <v>397</v>
      </c>
      <c r="D49" s="57" t="s">
        <v>384</v>
      </c>
      <c r="E49" s="58">
        <v>9.234</v>
      </c>
      <c r="F49" s="59">
        <f t="shared" si="4"/>
        <v>0</v>
      </c>
      <c r="G49" s="59">
        <f t="shared" si="4"/>
        <v>0</v>
      </c>
      <c r="H49" s="59">
        <f t="shared" si="4"/>
        <v>0</v>
      </c>
      <c r="I49" s="59">
        <f t="shared" si="4"/>
        <v>0</v>
      </c>
      <c r="J49" s="59">
        <f t="shared" si="4"/>
        <v>0</v>
      </c>
      <c r="K49" s="59">
        <f t="shared" si="4"/>
        <v>0</v>
      </c>
      <c r="L49" s="59">
        <f t="shared" si="4"/>
        <v>0</v>
      </c>
      <c r="M49" s="59">
        <f t="shared" si="4"/>
        <v>0</v>
      </c>
      <c r="N49" s="59">
        <f t="shared" si="4"/>
        <v>0</v>
      </c>
      <c r="O49" s="59">
        <f t="shared" si="4"/>
        <v>0</v>
      </c>
      <c r="P49" s="59">
        <f t="shared" si="4"/>
        <v>0</v>
      </c>
      <c r="Q49" s="59">
        <f t="shared" si="4"/>
        <v>0</v>
      </c>
    </row>
    <row r="50" spans="3:17" ht="15" outlineLevel="2" x14ac:dyDescent="0.25">
      <c r="C50" s="56" t="s">
        <v>397</v>
      </c>
      <c r="D50" s="57" t="s">
        <v>385</v>
      </c>
      <c r="E50" s="58">
        <v>9.9350000000000005</v>
      </c>
      <c r="F50" s="59">
        <f t="shared" si="4"/>
        <v>0</v>
      </c>
      <c r="G50" s="59">
        <f t="shared" si="4"/>
        <v>0</v>
      </c>
      <c r="H50" s="59">
        <f t="shared" si="4"/>
        <v>125</v>
      </c>
      <c r="I50" s="59">
        <f t="shared" si="4"/>
        <v>0</v>
      </c>
      <c r="J50" s="59">
        <f t="shared" si="4"/>
        <v>0</v>
      </c>
      <c r="K50" s="59">
        <f t="shared" si="4"/>
        <v>0</v>
      </c>
      <c r="L50" s="59">
        <f t="shared" si="4"/>
        <v>0</v>
      </c>
      <c r="M50" s="59">
        <f t="shared" si="4"/>
        <v>0</v>
      </c>
      <c r="N50" s="59">
        <f t="shared" si="4"/>
        <v>0</v>
      </c>
      <c r="O50" s="59">
        <f t="shared" si="4"/>
        <v>0</v>
      </c>
      <c r="P50" s="59">
        <f t="shared" si="4"/>
        <v>0</v>
      </c>
      <c r="Q50" s="59">
        <f t="shared" si="4"/>
        <v>0</v>
      </c>
    </row>
    <row r="51" spans="3:17" ht="15" outlineLevel="2" x14ac:dyDescent="0.25">
      <c r="C51" s="56" t="s">
        <v>397</v>
      </c>
      <c r="D51" s="57" t="s">
        <v>386</v>
      </c>
      <c r="E51" s="58">
        <v>11.587999999999999</v>
      </c>
      <c r="F51" s="59">
        <f t="shared" si="4"/>
        <v>0</v>
      </c>
      <c r="G51" s="59">
        <f t="shared" si="4"/>
        <v>0</v>
      </c>
      <c r="H51" s="59">
        <f t="shared" si="4"/>
        <v>20</v>
      </c>
      <c r="I51" s="59">
        <f t="shared" si="4"/>
        <v>0</v>
      </c>
      <c r="J51" s="59">
        <f t="shared" si="4"/>
        <v>0</v>
      </c>
      <c r="K51" s="59">
        <f t="shared" si="4"/>
        <v>0</v>
      </c>
      <c r="L51" s="59">
        <f t="shared" si="4"/>
        <v>0</v>
      </c>
      <c r="M51" s="59">
        <f t="shared" si="4"/>
        <v>0</v>
      </c>
      <c r="N51" s="59">
        <f t="shared" si="4"/>
        <v>0</v>
      </c>
      <c r="O51" s="59">
        <f t="shared" si="4"/>
        <v>0</v>
      </c>
      <c r="P51" s="59">
        <f t="shared" si="4"/>
        <v>0</v>
      </c>
      <c r="Q51" s="59">
        <f t="shared" si="4"/>
        <v>0</v>
      </c>
    </row>
    <row r="52" spans="3:17" ht="15" outlineLevel="2" x14ac:dyDescent="0.25">
      <c r="C52" s="56" t="s">
        <v>397</v>
      </c>
      <c r="D52" s="57" t="s">
        <v>130</v>
      </c>
      <c r="E52" s="58">
        <v>14.907999999999999</v>
      </c>
      <c r="F52" s="59">
        <f t="shared" si="4"/>
        <v>93</v>
      </c>
      <c r="G52" s="59">
        <f t="shared" si="4"/>
        <v>0</v>
      </c>
      <c r="H52" s="59">
        <f t="shared" si="4"/>
        <v>0</v>
      </c>
      <c r="I52" s="59">
        <f t="shared" si="4"/>
        <v>0</v>
      </c>
      <c r="J52" s="59">
        <f t="shared" si="4"/>
        <v>0</v>
      </c>
      <c r="K52" s="59">
        <f t="shared" si="4"/>
        <v>0</v>
      </c>
      <c r="L52" s="59">
        <f t="shared" si="4"/>
        <v>0</v>
      </c>
      <c r="M52" s="59">
        <f t="shared" si="4"/>
        <v>0</v>
      </c>
      <c r="N52" s="59">
        <f t="shared" si="4"/>
        <v>0</v>
      </c>
      <c r="O52" s="59">
        <f t="shared" si="4"/>
        <v>0</v>
      </c>
      <c r="P52" s="59">
        <f t="shared" si="4"/>
        <v>0</v>
      </c>
      <c r="Q52" s="59">
        <f t="shared" si="4"/>
        <v>0</v>
      </c>
    </row>
    <row r="53" spans="3:17" ht="15" outlineLevel="2" x14ac:dyDescent="0.25">
      <c r="C53" s="56" t="s">
        <v>397</v>
      </c>
      <c r="D53" s="57" t="s">
        <v>131</v>
      </c>
      <c r="E53" s="58">
        <v>16.652000000000001</v>
      </c>
      <c r="F53" s="59">
        <f t="shared" si="4"/>
        <v>63</v>
      </c>
      <c r="G53" s="59">
        <f t="shared" si="4"/>
        <v>0</v>
      </c>
      <c r="H53" s="59">
        <f t="shared" si="4"/>
        <v>0</v>
      </c>
      <c r="I53" s="59">
        <f t="shared" si="4"/>
        <v>0</v>
      </c>
      <c r="J53" s="59">
        <f t="shared" si="4"/>
        <v>0</v>
      </c>
      <c r="K53" s="59">
        <f t="shared" si="4"/>
        <v>0</v>
      </c>
      <c r="L53" s="59">
        <f t="shared" si="4"/>
        <v>0</v>
      </c>
      <c r="M53" s="59">
        <f t="shared" si="4"/>
        <v>0</v>
      </c>
      <c r="N53" s="59">
        <f t="shared" si="4"/>
        <v>0</v>
      </c>
      <c r="O53" s="59">
        <f t="shared" si="4"/>
        <v>0</v>
      </c>
      <c r="P53" s="59">
        <f t="shared" si="4"/>
        <v>0</v>
      </c>
      <c r="Q53" s="59">
        <f t="shared" si="4"/>
        <v>0</v>
      </c>
    </row>
    <row r="54" spans="3:17" ht="15" outlineLevel="2" x14ac:dyDescent="0.25">
      <c r="C54" s="56" t="s">
        <v>397</v>
      </c>
      <c r="D54" s="57" t="s">
        <v>132</v>
      </c>
      <c r="E54" s="58">
        <v>9.1080000000000005</v>
      </c>
      <c r="F54" s="59">
        <f t="shared" si="4"/>
        <v>0</v>
      </c>
      <c r="G54" s="59">
        <f t="shared" si="4"/>
        <v>0</v>
      </c>
      <c r="H54" s="59">
        <f t="shared" si="4"/>
        <v>0</v>
      </c>
      <c r="I54" s="59">
        <f t="shared" si="4"/>
        <v>0</v>
      </c>
      <c r="J54" s="59">
        <f t="shared" si="4"/>
        <v>0</v>
      </c>
      <c r="K54" s="59">
        <f t="shared" si="4"/>
        <v>0</v>
      </c>
      <c r="L54" s="59">
        <f t="shared" si="4"/>
        <v>0</v>
      </c>
      <c r="M54" s="59">
        <f t="shared" si="4"/>
        <v>0</v>
      </c>
      <c r="N54" s="59">
        <f t="shared" si="4"/>
        <v>0</v>
      </c>
      <c r="O54" s="59">
        <f t="shared" si="4"/>
        <v>0</v>
      </c>
      <c r="P54" s="59">
        <f t="shared" si="4"/>
        <v>0</v>
      </c>
      <c r="Q54" s="59">
        <f t="shared" si="4"/>
        <v>0</v>
      </c>
    </row>
    <row r="55" spans="3:17" ht="15" outlineLevel="2" x14ac:dyDescent="0.25">
      <c r="C55" s="56" t="s">
        <v>397</v>
      </c>
      <c r="D55" s="57" t="s">
        <v>134</v>
      </c>
      <c r="E55" s="58">
        <v>19.869</v>
      </c>
      <c r="F55" s="59">
        <f t="shared" si="4"/>
        <v>56</v>
      </c>
      <c r="G55" s="59">
        <f t="shared" si="4"/>
        <v>0</v>
      </c>
      <c r="H55" s="59">
        <f t="shared" si="4"/>
        <v>0</v>
      </c>
      <c r="I55" s="59">
        <f t="shared" si="4"/>
        <v>0</v>
      </c>
      <c r="J55" s="59">
        <f t="shared" si="4"/>
        <v>0</v>
      </c>
      <c r="K55" s="59">
        <f t="shared" si="4"/>
        <v>0</v>
      </c>
      <c r="L55" s="59">
        <f t="shared" si="4"/>
        <v>0</v>
      </c>
      <c r="M55" s="59">
        <f t="shared" si="4"/>
        <v>0</v>
      </c>
      <c r="N55" s="59">
        <f t="shared" si="4"/>
        <v>0</v>
      </c>
      <c r="O55" s="59">
        <f t="shared" si="4"/>
        <v>0</v>
      </c>
      <c r="P55" s="59">
        <f t="shared" si="4"/>
        <v>0</v>
      </c>
      <c r="Q55" s="59">
        <f t="shared" si="4"/>
        <v>0</v>
      </c>
    </row>
    <row r="56" spans="3:17" ht="15" outlineLevel="2" x14ac:dyDescent="0.25">
      <c r="C56" s="56" t="s">
        <v>397</v>
      </c>
      <c r="D56" s="57" t="s">
        <v>445</v>
      </c>
      <c r="E56" s="58">
        <v>10.824</v>
      </c>
      <c r="F56" s="59">
        <f t="shared" si="4"/>
        <v>0</v>
      </c>
      <c r="G56" s="59">
        <f t="shared" si="4"/>
        <v>0</v>
      </c>
      <c r="H56" s="59">
        <f t="shared" si="4"/>
        <v>0</v>
      </c>
      <c r="I56" s="59">
        <f t="shared" si="4"/>
        <v>0</v>
      </c>
      <c r="J56" s="59">
        <f t="shared" si="4"/>
        <v>0</v>
      </c>
      <c r="K56" s="59">
        <f t="shared" si="4"/>
        <v>0</v>
      </c>
      <c r="L56" s="59">
        <f t="shared" si="4"/>
        <v>0</v>
      </c>
      <c r="M56" s="59">
        <f t="shared" si="4"/>
        <v>0</v>
      </c>
      <c r="N56" s="59">
        <f t="shared" si="4"/>
        <v>0</v>
      </c>
      <c r="O56" s="59">
        <f t="shared" si="4"/>
        <v>0</v>
      </c>
      <c r="P56" s="59">
        <f t="shared" si="4"/>
        <v>0</v>
      </c>
      <c r="Q56" s="59">
        <f t="shared" si="4"/>
        <v>0</v>
      </c>
    </row>
    <row r="57" spans="3:17" ht="15" outlineLevel="2" x14ac:dyDescent="0.25">
      <c r="C57" s="56" t="s">
        <v>397</v>
      </c>
      <c r="D57" s="57" t="s">
        <v>135</v>
      </c>
      <c r="E57" s="58">
        <v>21.192</v>
      </c>
      <c r="F57" s="59">
        <f t="shared" ref="F57:Q66" si="5">SUMIFS($F$368:$F$1152,$C$368:$C$1152,$C57,$A$368:$A$1152,F$3,$B$368:$B$1152,F$4,$D$368:$D$1152,$D57)</f>
        <v>1229</v>
      </c>
      <c r="G57" s="59">
        <f t="shared" si="5"/>
        <v>0</v>
      </c>
      <c r="H57" s="59">
        <f t="shared" si="5"/>
        <v>0</v>
      </c>
      <c r="I57" s="59">
        <f t="shared" si="5"/>
        <v>0</v>
      </c>
      <c r="J57" s="59">
        <f t="shared" si="5"/>
        <v>0</v>
      </c>
      <c r="K57" s="59">
        <f t="shared" si="5"/>
        <v>0</v>
      </c>
      <c r="L57" s="59">
        <f t="shared" si="5"/>
        <v>0</v>
      </c>
      <c r="M57" s="59">
        <f t="shared" si="5"/>
        <v>0</v>
      </c>
      <c r="N57" s="59">
        <f t="shared" si="5"/>
        <v>0</v>
      </c>
      <c r="O57" s="59">
        <f t="shared" si="5"/>
        <v>0</v>
      </c>
      <c r="P57" s="59">
        <f t="shared" si="5"/>
        <v>0</v>
      </c>
      <c r="Q57" s="59">
        <f t="shared" si="5"/>
        <v>0</v>
      </c>
    </row>
    <row r="58" spans="3:17" ht="15" outlineLevel="2" x14ac:dyDescent="0.25">
      <c r="C58" s="56" t="s">
        <v>397</v>
      </c>
      <c r="D58" s="57" t="s">
        <v>446</v>
      </c>
      <c r="E58" s="58">
        <v>1.2739999999999998</v>
      </c>
      <c r="F58" s="59">
        <f t="shared" si="5"/>
        <v>0</v>
      </c>
      <c r="G58" s="59">
        <f t="shared" si="5"/>
        <v>0</v>
      </c>
      <c r="H58" s="59">
        <f t="shared" si="5"/>
        <v>850</v>
      </c>
      <c r="I58" s="59">
        <f t="shared" si="5"/>
        <v>0</v>
      </c>
      <c r="J58" s="59">
        <f t="shared" si="5"/>
        <v>0</v>
      </c>
      <c r="K58" s="59">
        <f t="shared" si="5"/>
        <v>0</v>
      </c>
      <c r="L58" s="59">
        <f t="shared" si="5"/>
        <v>0</v>
      </c>
      <c r="M58" s="59">
        <f t="shared" si="5"/>
        <v>0</v>
      </c>
      <c r="N58" s="59">
        <f t="shared" si="5"/>
        <v>0</v>
      </c>
      <c r="O58" s="59">
        <f t="shared" si="5"/>
        <v>0</v>
      </c>
      <c r="P58" s="59">
        <f t="shared" si="5"/>
        <v>0</v>
      </c>
      <c r="Q58" s="59">
        <f t="shared" si="5"/>
        <v>0</v>
      </c>
    </row>
    <row r="59" spans="3:17" ht="15" outlineLevel="2" x14ac:dyDescent="0.25">
      <c r="C59" s="56" t="s">
        <v>397</v>
      </c>
      <c r="D59" s="57" t="s">
        <v>447</v>
      </c>
      <c r="E59" s="58">
        <v>1.738</v>
      </c>
      <c r="F59" s="59">
        <f t="shared" si="5"/>
        <v>0</v>
      </c>
      <c r="G59" s="59">
        <f t="shared" si="5"/>
        <v>0</v>
      </c>
      <c r="H59" s="59">
        <f t="shared" si="5"/>
        <v>260</v>
      </c>
      <c r="I59" s="59">
        <f t="shared" si="5"/>
        <v>0</v>
      </c>
      <c r="J59" s="59">
        <f t="shared" si="5"/>
        <v>0</v>
      </c>
      <c r="K59" s="59">
        <f t="shared" si="5"/>
        <v>0</v>
      </c>
      <c r="L59" s="59">
        <f t="shared" si="5"/>
        <v>0</v>
      </c>
      <c r="M59" s="59">
        <f t="shared" si="5"/>
        <v>0</v>
      </c>
      <c r="N59" s="59">
        <f t="shared" si="5"/>
        <v>0</v>
      </c>
      <c r="O59" s="59">
        <f t="shared" si="5"/>
        <v>0</v>
      </c>
      <c r="P59" s="59">
        <f t="shared" si="5"/>
        <v>0</v>
      </c>
      <c r="Q59" s="59">
        <f t="shared" si="5"/>
        <v>0</v>
      </c>
    </row>
    <row r="60" spans="3:17" ht="15" outlineLevel="2" x14ac:dyDescent="0.25">
      <c r="C60" s="56" t="s">
        <v>397</v>
      </c>
      <c r="D60" s="57" t="s">
        <v>448</v>
      </c>
      <c r="E60" s="58">
        <v>3.4379999999999997</v>
      </c>
      <c r="F60" s="59">
        <f t="shared" si="5"/>
        <v>0</v>
      </c>
      <c r="G60" s="59">
        <f t="shared" si="5"/>
        <v>0</v>
      </c>
      <c r="H60" s="59">
        <f t="shared" si="5"/>
        <v>0</v>
      </c>
      <c r="I60" s="59">
        <f t="shared" si="5"/>
        <v>0</v>
      </c>
      <c r="J60" s="59">
        <f t="shared" si="5"/>
        <v>0</v>
      </c>
      <c r="K60" s="59">
        <f t="shared" si="5"/>
        <v>0</v>
      </c>
      <c r="L60" s="59">
        <f t="shared" si="5"/>
        <v>0</v>
      </c>
      <c r="M60" s="59">
        <f t="shared" si="5"/>
        <v>0</v>
      </c>
      <c r="N60" s="59">
        <f t="shared" si="5"/>
        <v>0</v>
      </c>
      <c r="O60" s="59">
        <f t="shared" si="5"/>
        <v>0</v>
      </c>
      <c r="P60" s="59">
        <f t="shared" si="5"/>
        <v>0</v>
      </c>
      <c r="Q60" s="59">
        <f t="shared" si="5"/>
        <v>0</v>
      </c>
    </row>
    <row r="61" spans="3:17" ht="15" outlineLevel="2" x14ac:dyDescent="0.25">
      <c r="C61" s="56" t="s">
        <v>397</v>
      </c>
      <c r="D61" s="57" t="s">
        <v>449</v>
      </c>
      <c r="E61" s="58">
        <v>4.1779999999999999</v>
      </c>
      <c r="F61" s="59">
        <f t="shared" si="5"/>
        <v>0</v>
      </c>
      <c r="G61" s="59">
        <f t="shared" si="5"/>
        <v>744</v>
      </c>
      <c r="H61" s="59">
        <f t="shared" si="5"/>
        <v>52</v>
      </c>
      <c r="I61" s="59">
        <f t="shared" si="5"/>
        <v>0</v>
      </c>
      <c r="J61" s="59">
        <f t="shared" si="5"/>
        <v>0</v>
      </c>
      <c r="K61" s="59">
        <f t="shared" si="5"/>
        <v>0</v>
      </c>
      <c r="L61" s="59">
        <f t="shared" si="5"/>
        <v>0</v>
      </c>
      <c r="M61" s="59">
        <f t="shared" si="5"/>
        <v>0</v>
      </c>
      <c r="N61" s="59">
        <f t="shared" si="5"/>
        <v>0</v>
      </c>
      <c r="O61" s="59">
        <f t="shared" si="5"/>
        <v>0</v>
      </c>
      <c r="P61" s="59">
        <f t="shared" si="5"/>
        <v>0</v>
      </c>
      <c r="Q61" s="59">
        <f t="shared" si="5"/>
        <v>0</v>
      </c>
    </row>
    <row r="62" spans="3:17" ht="15" outlineLevel="2" x14ac:dyDescent="0.25">
      <c r="C62" s="56" t="s">
        <v>397</v>
      </c>
      <c r="D62" s="57" t="s">
        <v>293</v>
      </c>
      <c r="E62" s="58">
        <v>0.54</v>
      </c>
      <c r="F62" s="59">
        <f t="shared" si="5"/>
        <v>0</v>
      </c>
      <c r="G62" s="59">
        <f t="shared" si="5"/>
        <v>0</v>
      </c>
      <c r="H62" s="59">
        <f t="shared" si="5"/>
        <v>0</v>
      </c>
      <c r="I62" s="59">
        <f t="shared" si="5"/>
        <v>0</v>
      </c>
      <c r="J62" s="59">
        <f t="shared" si="5"/>
        <v>0</v>
      </c>
      <c r="K62" s="59">
        <f t="shared" si="5"/>
        <v>0</v>
      </c>
      <c r="L62" s="59">
        <f t="shared" si="5"/>
        <v>0</v>
      </c>
      <c r="M62" s="59">
        <f t="shared" si="5"/>
        <v>0</v>
      </c>
      <c r="N62" s="59">
        <f t="shared" si="5"/>
        <v>0</v>
      </c>
      <c r="O62" s="59">
        <f t="shared" si="5"/>
        <v>0</v>
      </c>
      <c r="P62" s="59">
        <f t="shared" si="5"/>
        <v>0</v>
      </c>
      <c r="Q62" s="59">
        <f t="shared" si="5"/>
        <v>0</v>
      </c>
    </row>
    <row r="63" spans="3:17" ht="15" outlineLevel="2" x14ac:dyDescent="0.25">
      <c r="C63" s="56" t="s">
        <v>397</v>
      </c>
      <c r="D63" s="57" t="s">
        <v>294</v>
      </c>
      <c r="E63" s="58">
        <v>0.69599999999999995</v>
      </c>
      <c r="F63" s="59">
        <f t="shared" si="5"/>
        <v>0</v>
      </c>
      <c r="G63" s="59">
        <f t="shared" si="5"/>
        <v>0</v>
      </c>
      <c r="H63" s="59">
        <f t="shared" si="5"/>
        <v>0</v>
      </c>
      <c r="I63" s="59">
        <f t="shared" si="5"/>
        <v>0</v>
      </c>
      <c r="J63" s="59">
        <f t="shared" si="5"/>
        <v>0</v>
      </c>
      <c r="K63" s="59">
        <f t="shared" si="5"/>
        <v>0</v>
      </c>
      <c r="L63" s="59">
        <f t="shared" si="5"/>
        <v>0</v>
      </c>
      <c r="M63" s="59">
        <f t="shared" si="5"/>
        <v>0</v>
      </c>
      <c r="N63" s="59">
        <f t="shared" si="5"/>
        <v>0</v>
      </c>
      <c r="O63" s="59">
        <f t="shared" si="5"/>
        <v>0</v>
      </c>
      <c r="P63" s="59">
        <f t="shared" si="5"/>
        <v>0</v>
      </c>
      <c r="Q63" s="59">
        <f t="shared" si="5"/>
        <v>0</v>
      </c>
    </row>
    <row r="64" spans="3:17" ht="15" outlineLevel="2" x14ac:dyDescent="0.25">
      <c r="C64" s="56" t="s">
        <v>397</v>
      </c>
      <c r="D64" s="57" t="s">
        <v>295</v>
      </c>
      <c r="E64" s="58">
        <v>1.0049999999999999</v>
      </c>
      <c r="F64" s="59">
        <f t="shared" si="5"/>
        <v>0</v>
      </c>
      <c r="G64" s="59">
        <f t="shared" si="5"/>
        <v>0</v>
      </c>
      <c r="H64" s="59">
        <f t="shared" si="5"/>
        <v>0</v>
      </c>
      <c r="I64" s="59">
        <f t="shared" si="5"/>
        <v>0</v>
      </c>
      <c r="J64" s="59">
        <f t="shared" si="5"/>
        <v>0</v>
      </c>
      <c r="K64" s="59">
        <f t="shared" si="5"/>
        <v>0</v>
      </c>
      <c r="L64" s="59">
        <f t="shared" si="5"/>
        <v>0</v>
      </c>
      <c r="M64" s="59">
        <f t="shared" si="5"/>
        <v>0</v>
      </c>
      <c r="N64" s="59">
        <f t="shared" si="5"/>
        <v>0</v>
      </c>
      <c r="O64" s="59">
        <f t="shared" si="5"/>
        <v>0</v>
      </c>
      <c r="P64" s="59">
        <f t="shared" si="5"/>
        <v>0</v>
      </c>
      <c r="Q64" s="59">
        <f t="shared" si="5"/>
        <v>0</v>
      </c>
    </row>
    <row r="65" spans="3:17" ht="15" outlineLevel="2" x14ac:dyDescent="0.25">
      <c r="C65" s="56" t="s">
        <v>397</v>
      </c>
      <c r="D65" s="57" t="s">
        <v>296</v>
      </c>
      <c r="E65" s="58">
        <v>1.2390000000000001</v>
      </c>
      <c r="F65" s="59">
        <f t="shared" si="5"/>
        <v>0</v>
      </c>
      <c r="G65" s="59">
        <f t="shared" si="5"/>
        <v>0</v>
      </c>
      <c r="H65" s="59">
        <f t="shared" si="5"/>
        <v>0</v>
      </c>
      <c r="I65" s="59">
        <f t="shared" si="5"/>
        <v>0</v>
      </c>
      <c r="J65" s="59">
        <f t="shared" si="5"/>
        <v>0</v>
      </c>
      <c r="K65" s="59">
        <f t="shared" si="5"/>
        <v>0</v>
      </c>
      <c r="L65" s="59">
        <f t="shared" si="5"/>
        <v>0</v>
      </c>
      <c r="M65" s="59">
        <f t="shared" si="5"/>
        <v>0</v>
      </c>
      <c r="N65" s="59">
        <f t="shared" si="5"/>
        <v>0</v>
      </c>
      <c r="O65" s="59">
        <f t="shared" si="5"/>
        <v>0</v>
      </c>
      <c r="P65" s="59">
        <f t="shared" si="5"/>
        <v>0</v>
      </c>
      <c r="Q65" s="59">
        <f t="shared" si="5"/>
        <v>0</v>
      </c>
    </row>
    <row r="66" spans="3:17" ht="15" outlineLevel="2" x14ac:dyDescent="0.25">
      <c r="C66" s="56" t="s">
        <v>397</v>
      </c>
      <c r="D66" s="57" t="s">
        <v>297</v>
      </c>
      <c r="E66" s="58">
        <v>10.45</v>
      </c>
      <c r="F66" s="59">
        <f t="shared" si="5"/>
        <v>0</v>
      </c>
      <c r="G66" s="59">
        <f t="shared" si="5"/>
        <v>0</v>
      </c>
      <c r="H66" s="59">
        <f t="shared" si="5"/>
        <v>0</v>
      </c>
      <c r="I66" s="59">
        <f t="shared" si="5"/>
        <v>0</v>
      </c>
      <c r="J66" s="59">
        <f t="shared" si="5"/>
        <v>0</v>
      </c>
      <c r="K66" s="59">
        <f t="shared" si="5"/>
        <v>0</v>
      </c>
      <c r="L66" s="59">
        <f t="shared" si="5"/>
        <v>0</v>
      </c>
      <c r="M66" s="59">
        <f t="shared" si="5"/>
        <v>0</v>
      </c>
      <c r="N66" s="59">
        <f t="shared" si="5"/>
        <v>0</v>
      </c>
      <c r="O66" s="59">
        <f t="shared" si="5"/>
        <v>0</v>
      </c>
      <c r="P66" s="59">
        <f t="shared" si="5"/>
        <v>0</v>
      </c>
      <c r="Q66" s="59">
        <f t="shared" si="5"/>
        <v>0</v>
      </c>
    </row>
    <row r="67" spans="3:17" ht="15" outlineLevel="2" x14ac:dyDescent="0.25">
      <c r="C67" s="56" t="s">
        <v>397</v>
      </c>
      <c r="D67" s="57" t="s">
        <v>288</v>
      </c>
      <c r="E67" s="58">
        <v>1.9279999999999999</v>
      </c>
      <c r="F67" s="59">
        <f t="shared" ref="F67:Q76" si="6">SUMIFS($F$368:$F$1152,$C$368:$C$1152,$C67,$A$368:$A$1152,F$3,$B$368:$B$1152,F$4,$D$368:$D$1152,$D67)</f>
        <v>0</v>
      </c>
      <c r="G67" s="59">
        <f t="shared" si="6"/>
        <v>0</v>
      </c>
      <c r="H67" s="59">
        <f t="shared" si="6"/>
        <v>0</v>
      </c>
      <c r="I67" s="59">
        <f t="shared" si="6"/>
        <v>0</v>
      </c>
      <c r="J67" s="59">
        <f t="shared" si="6"/>
        <v>0</v>
      </c>
      <c r="K67" s="59">
        <f t="shared" si="6"/>
        <v>0</v>
      </c>
      <c r="L67" s="59">
        <f t="shared" si="6"/>
        <v>0</v>
      </c>
      <c r="M67" s="59">
        <f t="shared" si="6"/>
        <v>0</v>
      </c>
      <c r="N67" s="59">
        <f t="shared" si="6"/>
        <v>0</v>
      </c>
      <c r="O67" s="59">
        <f t="shared" si="6"/>
        <v>0</v>
      </c>
      <c r="P67" s="59">
        <f t="shared" si="6"/>
        <v>0</v>
      </c>
      <c r="Q67" s="59">
        <f t="shared" si="6"/>
        <v>0</v>
      </c>
    </row>
    <row r="68" spans="3:17" ht="15" outlineLevel="2" x14ac:dyDescent="0.25">
      <c r="C68" s="56" t="s">
        <v>397</v>
      </c>
      <c r="D68" s="57" t="s">
        <v>289</v>
      </c>
      <c r="E68" s="58">
        <v>2.0369999999999999</v>
      </c>
      <c r="F68" s="59">
        <f t="shared" si="6"/>
        <v>0</v>
      </c>
      <c r="G68" s="59">
        <f t="shared" si="6"/>
        <v>0</v>
      </c>
      <c r="H68" s="59">
        <f t="shared" si="6"/>
        <v>0</v>
      </c>
      <c r="I68" s="59">
        <f t="shared" si="6"/>
        <v>0</v>
      </c>
      <c r="J68" s="59">
        <f t="shared" si="6"/>
        <v>0</v>
      </c>
      <c r="K68" s="59">
        <f t="shared" si="6"/>
        <v>0</v>
      </c>
      <c r="L68" s="59">
        <f t="shared" si="6"/>
        <v>0</v>
      </c>
      <c r="M68" s="59">
        <f t="shared" si="6"/>
        <v>0</v>
      </c>
      <c r="N68" s="59">
        <f t="shared" si="6"/>
        <v>0</v>
      </c>
      <c r="O68" s="59">
        <f t="shared" si="6"/>
        <v>0</v>
      </c>
      <c r="P68" s="59">
        <f t="shared" si="6"/>
        <v>0</v>
      </c>
      <c r="Q68" s="59">
        <f t="shared" si="6"/>
        <v>0</v>
      </c>
    </row>
    <row r="69" spans="3:17" ht="15" outlineLevel="2" x14ac:dyDescent="0.25">
      <c r="C69" s="56" t="s">
        <v>397</v>
      </c>
      <c r="D69" s="57" t="s">
        <v>290</v>
      </c>
      <c r="E69" s="58">
        <v>2.1459999999999999</v>
      </c>
      <c r="F69" s="59">
        <f t="shared" si="6"/>
        <v>0</v>
      </c>
      <c r="G69" s="59">
        <f t="shared" si="6"/>
        <v>0</v>
      </c>
      <c r="H69" s="59">
        <f t="shared" si="6"/>
        <v>0</v>
      </c>
      <c r="I69" s="59">
        <f t="shared" si="6"/>
        <v>0</v>
      </c>
      <c r="J69" s="59">
        <f t="shared" si="6"/>
        <v>0</v>
      </c>
      <c r="K69" s="59">
        <f t="shared" si="6"/>
        <v>0</v>
      </c>
      <c r="L69" s="59">
        <f t="shared" si="6"/>
        <v>0</v>
      </c>
      <c r="M69" s="59">
        <f t="shared" si="6"/>
        <v>0</v>
      </c>
      <c r="N69" s="59">
        <f t="shared" si="6"/>
        <v>0</v>
      </c>
      <c r="O69" s="59">
        <f t="shared" si="6"/>
        <v>0</v>
      </c>
      <c r="P69" s="59">
        <f t="shared" si="6"/>
        <v>0</v>
      </c>
      <c r="Q69" s="59">
        <f t="shared" si="6"/>
        <v>0</v>
      </c>
    </row>
    <row r="70" spans="3:17" ht="15" outlineLevel="2" x14ac:dyDescent="0.25">
      <c r="C70" s="56" t="s">
        <v>397</v>
      </c>
      <c r="D70" s="57" t="s">
        <v>291</v>
      </c>
      <c r="E70" s="58">
        <v>2.2549999999999999</v>
      </c>
      <c r="F70" s="59">
        <f t="shared" si="6"/>
        <v>0</v>
      </c>
      <c r="G70" s="59">
        <f t="shared" si="6"/>
        <v>0</v>
      </c>
      <c r="H70" s="59">
        <f t="shared" si="6"/>
        <v>0</v>
      </c>
      <c r="I70" s="59">
        <f t="shared" si="6"/>
        <v>0</v>
      </c>
      <c r="J70" s="59">
        <f t="shared" si="6"/>
        <v>0</v>
      </c>
      <c r="K70" s="59">
        <f t="shared" si="6"/>
        <v>0</v>
      </c>
      <c r="L70" s="59">
        <f t="shared" si="6"/>
        <v>0</v>
      </c>
      <c r="M70" s="59">
        <f t="shared" si="6"/>
        <v>0</v>
      </c>
      <c r="N70" s="59">
        <f t="shared" si="6"/>
        <v>0</v>
      </c>
      <c r="O70" s="59">
        <f t="shared" si="6"/>
        <v>0</v>
      </c>
      <c r="P70" s="59">
        <f t="shared" si="6"/>
        <v>0</v>
      </c>
      <c r="Q70" s="59">
        <f t="shared" si="6"/>
        <v>0</v>
      </c>
    </row>
    <row r="71" spans="3:17" ht="15" outlineLevel="2" x14ac:dyDescent="0.25">
      <c r="C71" s="56" t="s">
        <v>397</v>
      </c>
      <c r="D71" s="57" t="s">
        <v>292</v>
      </c>
      <c r="E71" s="58">
        <v>2.4729999999999999</v>
      </c>
      <c r="F71" s="59">
        <f t="shared" si="6"/>
        <v>0</v>
      </c>
      <c r="G71" s="59">
        <f t="shared" si="6"/>
        <v>0</v>
      </c>
      <c r="H71" s="59">
        <f t="shared" si="6"/>
        <v>0</v>
      </c>
      <c r="I71" s="59">
        <f t="shared" si="6"/>
        <v>0</v>
      </c>
      <c r="J71" s="59">
        <f t="shared" si="6"/>
        <v>0</v>
      </c>
      <c r="K71" s="59">
        <f t="shared" si="6"/>
        <v>0</v>
      </c>
      <c r="L71" s="59">
        <f t="shared" si="6"/>
        <v>0</v>
      </c>
      <c r="M71" s="59">
        <f t="shared" si="6"/>
        <v>0</v>
      </c>
      <c r="N71" s="59">
        <f t="shared" si="6"/>
        <v>0</v>
      </c>
      <c r="O71" s="59">
        <f t="shared" si="6"/>
        <v>0</v>
      </c>
      <c r="P71" s="59">
        <f t="shared" si="6"/>
        <v>0</v>
      </c>
      <c r="Q71" s="59">
        <f t="shared" si="6"/>
        <v>0</v>
      </c>
    </row>
    <row r="72" spans="3:17" ht="15" outlineLevel="2" x14ac:dyDescent="0.25">
      <c r="C72" s="56" t="s">
        <v>397</v>
      </c>
      <c r="D72" s="57" t="s">
        <v>283</v>
      </c>
      <c r="E72" s="58">
        <v>1.7210000000000001</v>
      </c>
      <c r="F72" s="59">
        <f t="shared" si="6"/>
        <v>0</v>
      </c>
      <c r="G72" s="59">
        <f t="shared" si="6"/>
        <v>0</v>
      </c>
      <c r="H72" s="59">
        <f t="shared" si="6"/>
        <v>0</v>
      </c>
      <c r="I72" s="59">
        <f t="shared" si="6"/>
        <v>0</v>
      </c>
      <c r="J72" s="59">
        <f t="shared" si="6"/>
        <v>0</v>
      </c>
      <c r="K72" s="59">
        <f t="shared" si="6"/>
        <v>0</v>
      </c>
      <c r="L72" s="59">
        <f t="shared" si="6"/>
        <v>0</v>
      </c>
      <c r="M72" s="59">
        <f t="shared" si="6"/>
        <v>0</v>
      </c>
      <c r="N72" s="59">
        <f t="shared" si="6"/>
        <v>0</v>
      </c>
      <c r="O72" s="59">
        <f t="shared" si="6"/>
        <v>0</v>
      </c>
      <c r="P72" s="59">
        <f t="shared" si="6"/>
        <v>0</v>
      </c>
      <c r="Q72" s="59">
        <f t="shared" si="6"/>
        <v>0</v>
      </c>
    </row>
    <row r="73" spans="3:17" ht="15" outlineLevel="2" x14ac:dyDescent="0.25">
      <c r="C73" s="56" t="s">
        <v>397</v>
      </c>
      <c r="D73" s="57" t="s">
        <v>284</v>
      </c>
      <c r="E73" s="58">
        <v>1.9259999999999999</v>
      </c>
      <c r="F73" s="59">
        <f t="shared" si="6"/>
        <v>0</v>
      </c>
      <c r="G73" s="59">
        <f t="shared" si="6"/>
        <v>0</v>
      </c>
      <c r="H73" s="59">
        <f t="shared" si="6"/>
        <v>0</v>
      </c>
      <c r="I73" s="59">
        <f t="shared" si="6"/>
        <v>0</v>
      </c>
      <c r="J73" s="59">
        <f t="shared" si="6"/>
        <v>0</v>
      </c>
      <c r="K73" s="59">
        <f t="shared" si="6"/>
        <v>0</v>
      </c>
      <c r="L73" s="59">
        <f t="shared" si="6"/>
        <v>0</v>
      </c>
      <c r="M73" s="59">
        <f t="shared" si="6"/>
        <v>0</v>
      </c>
      <c r="N73" s="59">
        <f t="shared" si="6"/>
        <v>0</v>
      </c>
      <c r="O73" s="59">
        <f t="shared" si="6"/>
        <v>0</v>
      </c>
      <c r="P73" s="59">
        <f t="shared" si="6"/>
        <v>0</v>
      </c>
      <c r="Q73" s="59">
        <f t="shared" si="6"/>
        <v>0</v>
      </c>
    </row>
    <row r="74" spans="3:17" ht="15" outlineLevel="2" x14ac:dyDescent="0.25">
      <c r="C74" s="56" t="s">
        <v>397</v>
      </c>
      <c r="D74" s="57" t="s">
        <v>285</v>
      </c>
      <c r="E74" s="58">
        <v>2.1309999999999998</v>
      </c>
      <c r="F74" s="59">
        <f t="shared" si="6"/>
        <v>0</v>
      </c>
      <c r="G74" s="59">
        <f t="shared" si="6"/>
        <v>0</v>
      </c>
      <c r="H74" s="59">
        <f t="shared" si="6"/>
        <v>0</v>
      </c>
      <c r="I74" s="59">
        <f t="shared" si="6"/>
        <v>0</v>
      </c>
      <c r="J74" s="59">
        <f t="shared" si="6"/>
        <v>0</v>
      </c>
      <c r="K74" s="59">
        <f t="shared" si="6"/>
        <v>0</v>
      </c>
      <c r="L74" s="59">
        <f t="shared" si="6"/>
        <v>0</v>
      </c>
      <c r="M74" s="59">
        <f t="shared" si="6"/>
        <v>0</v>
      </c>
      <c r="N74" s="59">
        <f t="shared" si="6"/>
        <v>0</v>
      </c>
      <c r="O74" s="59">
        <f t="shared" si="6"/>
        <v>0</v>
      </c>
      <c r="P74" s="59">
        <f t="shared" si="6"/>
        <v>0</v>
      </c>
      <c r="Q74" s="59">
        <f t="shared" si="6"/>
        <v>0</v>
      </c>
    </row>
    <row r="75" spans="3:17" ht="15" outlineLevel="2" x14ac:dyDescent="0.25">
      <c r="C75" s="56" t="s">
        <v>397</v>
      </c>
      <c r="D75" s="57" t="s">
        <v>286</v>
      </c>
      <c r="E75" s="58">
        <v>2.3380000000000001</v>
      </c>
      <c r="F75" s="59">
        <f t="shared" si="6"/>
        <v>0</v>
      </c>
      <c r="G75" s="59">
        <f t="shared" si="6"/>
        <v>0</v>
      </c>
      <c r="H75" s="59">
        <f t="shared" si="6"/>
        <v>0</v>
      </c>
      <c r="I75" s="59">
        <f t="shared" si="6"/>
        <v>0</v>
      </c>
      <c r="J75" s="59">
        <f t="shared" si="6"/>
        <v>0</v>
      </c>
      <c r="K75" s="59">
        <f t="shared" si="6"/>
        <v>0</v>
      </c>
      <c r="L75" s="59">
        <f t="shared" si="6"/>
        <v>0</v>
      </c>
      <c r="M75" s="59">
        <f t="shared" si="6"/>
        <v>0</v>
      </c>
      <c r="N75" s="59">
        <f t="shared" si="6"/>
        <v>0</v>
      </c>
      <c r="O75" s="59">
        <f t="shared" si="6"/>
        <v>0</v>
      </c>
      <c r="P75" s="59">
        <f t="shared" si="6"/>
        <v>0</v>
      </c>
      <c r="Q75" s="59">
        <f t="shared" si="6"/>
        <v>0</v>
      </c>
    </row>
    <row r="76" spans="3:17" ht="15" outlineLevel="2" x14ac:dyDescent="0.25">
      <c r="C76" s="56" t="s">
        <v>397</v>
      </c>
      <c r="D76" s="57" t="s">
        <v>287</v>
      </c>
      <c r="E76" s="58">
        <v>2.7490000000000001</v>
      </c>
      <c r="F76" s="59">
        <f t="shared" si="6"/>
        <v>0</v>
      </c>
      <c r="G76" s="59">
        <f t="shared" si="6"/>
        <v>0</v>
      </c>
      <c r="H76" s="59">
        <f t="shared" si="6"/>
        <v>0</v>
      </c>
      <c r="I76" s="59">
        <f t="shared" si="6"/>
        <v>0</v>
      </c>
      <c r="J76" s="59">
        <f t="shared" si="6"/>
        <v>0</v>
      </c>
      <c r="K76" s="59">
        <f t="shared" si="6"/>
        <v>0</v>
      </c>
      <c r="L76" s="59">
        <f t="shared" si="6"/>
        <v>0</v>
      </c>
      <c r="M76" s="59">
        <f t="shared" si="6"/>
        <v>0</v>
      </c>
      <c r="N76" s="59">
        <f t="shared" si="6"/>
        <v>0</v>
      </c>
      <c r="O76" s="59">
        <f t="shared" si="6"/>
        <v>0</v>
      </c>
      <c r="P76" s="59">
        <f t="shared" si="6"/>
        <v>0</v>
      </c>
      <c r="Q76" s="59">
        <f t="shared" si="6"/>
        <v>0</v>
      </c>
    </row>
    <row r="77" spans="3:17" ht="15" outlineLevel="2" x14ac:dyDescent="0.25">
      <c r="C77" s="56" t="s">
        <v>397</v>
      </c>
      <c r="D77" s="57" t="s">
        <v>275</v>
      </c>
      <c r="E77" s="58">
        <v>10.45</v>
      </c>
      <c r="F77" s="59">
        <f t="shared" ref="F77:Q86" si="7">SUMIFS($F$368:$F$1152,$C$368:$C$1152,$C77,$A$368:$A$1152,F$3,$B$368:$B$1152,F$4,$D$368:$D$1152,$D77)</f>
        <v>0</v>
      </c>
      <c r="G77" s="59">
        <f t="shared" si="7"/>
        <v>0</v>
      </c>
      <c r="H77" s="59">
        <f t="shared" si="7"/>
        <v>0</v>
      </c>
      <c r="I77" s="59">
        <f t="shared" si="7"/>
        <v>0</v>
      </c>
      <c r="J77" s="59">
        <f t="shared" si="7"/>
        <v>0</v>
      </c>
      <c r="K77" s="59">
        <f t="shared" si="7"/>
        <v>0</v>
      </c>
      <c r="L77" s="59">
        <f t="shared" si="7"/>
        <v>0</v>
      </c>
      <c r="M77" s="59">
        <f t="shared" si="7"/>
        <v>0</v>
      </c>
      <c r="N77" s="59">
        <f t="shared" si="7"/>
        <v>0</v>
      </c>
      <c r="O77" s="59">
        <f t="shared" si="7"/>
        <v>0</v>
      </c>
      <c r="P77" s="59">
        <f t="shared" si="7"/>
        <v>0</v>
      </c>
      <c r="Q77" s="59">
        <f t="shared" si="7"/>
        <v>0</v>
      </c>
    </row>
    <row r="78" spans="3:17" ht="15" outlineLevel="2" x14ac:dyDescent="0.25">
      <c r="C78" s="56" t="s">
        <v>397</v>
      </c>
      <c r="D78" s="57" t="s">
        <v>276</v>
      </c>
      <c r="E78" s="58">
        <v>12.106</v>
      </c>
      <c r="F78" s="59">
        <f t="shared" si="7"/>
        <v>0</v>
      </c>
      <c r="G78" s="59">
        <f t="shared" si="7"/>
        <v>0</v>
      </c>
      <c r="H78" s="59">
        <f t="shared" si="7"/>
        <v>0</v>
      </c>
      <c r="I78" s="59">
        <f t="shared" si="7"/>
        <v>0</v>
      </c>
      <c r="J78" s="59">
        <f t="shared" si="7"/>
        <v>0</v>
      </c>
      <c r="K78" s="59">
        <f t="shared" si="7"/>
        <v>0</v>
      </c>
      <c r="L78" s="59">
        <f t="shared" si="7"/>
        <v>0</v>
      </c>
      <c r="M78" s="59">
        <f t="shared" si="7"/>
        <v>0</v>
      </c>
      <c r="N78" s="59">
        <f t="shared" si="7"/>
        <v>0</v>
      </c>
      <c r="O78" s="59">
        <f t="shared" si="7"/>
        <v>0</v>
      </c>
      <c r="P78" s="59">
        <f t="shared" si="7"/>
        <v>0</v>
      </c>
      <c r="Q78" s="59">
        <f t="shared" si="7"/>
        <v>0</v>
      </c>
    </row>
    <row r="79" spans="3:17" ht="15" outlineLevel="2" x14ac:dyDescent="0.25">
      <c r="C79" s="56" t="s">
        <v>397</v>
      </c>
      <c r="D79" s="57" t="s">
        <v>277</v>
      </c>
      <c r="E79" s="58">
        <v>13.811999999999999</v>
      </c>
      <c r="F79" s="59">
        <f t="shared" si="7"/>
        <v>0</v>
      </c>
      <c r="G79" s="59">
        <f t="shared" si="7"/>
        <v>0</v>
      </c>
      <c r="H79" s="59">
        <f t="shared" si="7"/>
        <v>0</v>
      </c>
      <c r="I79" s="59">
        <f t="shared" si="7"/>
        <v>0</v>
      </c>
      <c r="J79" s="59">
        <f t="shared" si="7"/>
        <v>0</v>
      </c>
      <c r="K79" s="59">
        <f t="shared" si="7"/>
        <v>0</v>
      </c>
      <c r="L79" s="59">
        <f t="shared" si="7"/>
        <v>0</v>
      </c>
      <c r="M79" s="59">
        <f t="shared" si="7"/>
        <v>0</v>
      </c>
      <c r="N79" s="59">
        <f t="shared" si="7"/>
        <v>0</v>
      </c>
      <c r="O79" s="59">
        <f t="shared" si="7"/>
        <v>0</v>
      </c>
      <c r="P79" s="59">
        <f t="shared" si="7"/>
        <v>0</v>
      </c>
      <c r="Q79" s="59">
        <f t="shared" si="7"/>
        <v>0</v>
      </c>
    </row>
    <row r="80" spans="3:17" ht="15" outlineLevel="2" x14ac:dyDescent="0.25">
      <c r="C80" s="56" t="s">
        <v>397</v>
      </c>
      <c r="D80" s="57" t="s">
        <v>278</v>
      </c>
      <c r="E80" s="58">
        <v>15.42</v>
      </c>
      <c r="F80" s="59">
        <f t="shared" si="7"/>
        <v>0</v>
      </c>
      <c r="G80" s="59">
        <f t="shared" si="7"/>
        <v>0</v>
      </c>
      <c r="H80" s="59">
        <f t="shared" si="7"/>
        <v>0</v>
      </c>
      <c r="I80" s="59">
        <f t="shared" si="7"/>
        <v>0</v>
      </c>
      <c r="J80" s="59">
        <f t="shared" si="7"/>
        <v>0</v>
      </c>
      <c r="K80" s="59">
        <f t="shared" si="7"/>
        <v>0</v>
      </c>
      <c r="L80" s="59">
        <f t="shared" si="7"/>
        <v>0</v>
      </c>
      <c r="M80" s="59">
        <f t="shared" si="7"/>
        <v>0</v>
      </c>
      <c r="N80" s="59">
        <f t="shared" si="7"/>
        <v>0</v>
      </c>
      <c r="O80" s="59">
        <f t="shared" si="7"/>
        <v>0</v>
      </c>
      <c r="P80" s="59">
        <f t="shared" si="7"/>
        <v>0</v>
      </c>
      <c r="Q80" s="59">
        <f t="shared" si="7"/>
        <v>0</v>
      </c>
    </row>
    <row r="81" spans="3:17" ht="15" outlineLevel="2" x14ac:dyDescent="0.25">
      <c r="C81" s="56" t="s">
        <v>397</v>
      </c>
      <c r="D81" s="57" t="s">
        <v>279</v>
      </c>
      <c r="E81" s="58">
        <v>18.731999999999999</v>
      </c>
      <c r="F81" s="59">
        <f t="shared" si="7"/>
        <v>0</v>
      </c>
      <c r="G81" s="59">
        <f t="shared" si="7"/>
        <v>0</v>
      </c>
      <c r="H81" s="59">
        <f t="shared" si="7"/>
        <v>0</v>
      </c>
      <c r="I81" s="59">
        <f t="shared" si="7"/>
        <v>0</v>
      </c>
      <c r="J81" s="59">
        <f t="shared" si="7"/>
        <v>0</v>
      </c>
      <c r="K81" s="59">
        <f t="shared" si="7"/>
        <v>0</v>
      </c>
      <c r="L81" s="59">
        <f t="shared" si="7"/>
        <v>0</v>
      </c>
      <c r="M81" s="59">
        <f t="shared" si="7"/>
        <v>0</v>
      </c>
      <c r="N81" s="59">
        <f t="shared" si="7"/>
        <v>0</v>
      </c>
      <c r="O81" s="59">
        <f t="shared" si="7"/>
        <v>0</v>
      </c>
      <c r="P81" s="59">
        <f t="shared" si="7"/>
        <v>0</v>
      </c>
      <c r="Q81" s="59">
        <f t="shared" si="7"/>
        <v>0</v>
      </c>
    </row>
    <row r="82" spans="3:17" ht="15" outlineLevel="2" x14ac:dyDescent="0.25">
      <c r="C82" s="56" t="s">
        <v>397</v>
      </c>
      <c r="D82" s="57" t="s">
        <v>146</v>
      </c>
      <c r="E82" s="58">
        <v>3.7810000000000001</v>
      </c>
      <c r="F82" s="59">
        <f t="shared" si="7"/>
        <v>0</v>
      </c>
      <c r="G82" s="59">
        <f t="shared" si="7"/>
        <v>0</v>
      </c>
      <c r="H82" s="59">
        <f t="shared" si="7"/>
        <v>0</v>
      </c>
      <c r="I82" s="59">
        <f t="shared" si="7"/>
        <v>0</v>
      </c>
      <c r="J82" s="59">
        <f t="shared" si="7"/>
        <v>0</v>
      </c>
      <c r="K82" s="59">
        <f t="shared" si="7"/>
        <v>0</v>
      </c>
      <c r="L82" s="59">
        <f t="shared" si="7"/>
        <v>0</v>
      </c>
      <c r="M82" s="59">
        <f t="shared" si="7"/>
        <v>0</v>
      </c>
      <c r="N82" s="59">
        <f t="shared" si="7"/>
        <v>0</v>
      </c>
      <c r="O82" s="59">
        <f t="shared" si="7"/>
        <v>0</v>
      </c>
      <c r="P82" s="59">
        <f t="shared" si="7"/>
        <v>0</v>
      </c>
      <c r="Q82" s="59">
        <f t="shared" si="7"/>
        <v>0</v>
      </c>
    </row>
    <row r="83" spans="3:17" ht="15" outlineLevel="2" x14ac:dyDescent="0.25">
      <c r="C83" s="56" t="s">
        <v>397</v>
      </c>
      <c r="D83" s="57" t="s">
        <v>147</v>
      </c>
      <c r="E83" s="58">
        <v>4.0590000000000002</v>
      </c>
      <c r="F83" s="59">
        <f t="shared" si="7"/>
        <v>0</v>
      </c>
      <c r="G83" s="59">
        <f t="shared" si="7"/>
        <v>0</v>
      </c>
      <c r="H83" s="59">
        <f t="shared" si="7"/>
        <v>0</v>
      </c>
      <c r="I83" s="59">
        <f t="shared" si="7"/>
        <v>0</v>
      </c>
      <c r="J83" s="59">
        <f t="shared" si="7"/>
        <v>0</v>
      </c>
      <c r="K83" s="59">
        <f t="shared" si="7"/>
        <v>0</v>
      </c>
      <c r="L83" s="59">
        <f t="shared" si="7"/>
        <v>0</v>
      </c>
      <c r="M83" s="59">
        <f t="shared" si="7"/>
        <v>0</v>
      </c>
      <c r="N83" s="59">
        <f t="shared" si="7"/>
        <v>0</v>
      </c>
      <c r="O83" s="59">
        <f t="shared" si="7"/>
        <v>0</v>
      </c>
      <c r="P83" s="59">
        <f t="shared" si="7"/>
        <v>0</v>
      </c>
      <c r="Q83" s="59">
        <f t="shared" si="7"/>
        <v>0</v>
      </c>
    </row>
    <row r="84" spans="3:17" ht="15" outlineLevel="2" x14ac:dyDescent="0.25">
      <c r="C84" s="56" t="s">
        <v>397</v>
      </c>
      <c r="D84" s="57" t="s">
        <v>148</v>
      </c>
      <c r="E84" s="58">
        <v>4.3470000000000004</v>
      </c>
      <c r="F84" s="59">
        <f t="shared" si="7"/>
        <v>0</v>
      </c>
      <c r="G84" s="59">
        <f t="shared" si="7"/>
        <v>0</v>
      </c>
      <c r="H84" s="59">
        <f t="shared" si="7"/>
        <v>0</v>
      </c>
      <c r="I84" s="59">
        <f t="shared" si="7"/>
        <v>0</v>
      </c>
      <c r="J84" s="59">
        <f t="shared" si="7"/>
        <v>0</v>
      </c>
      <c r="K84" s="59">
        <f t="shared" si="7"/>
        <v>0</v>
      </c>
      <c r="L84" s="59">
        <f t="shared" si="7"/>
        <v>0</v>
      </c>
      <c r="M84" s="59">
        <f t="shared" si="7"/>
        <v>0</v>
      </c>
      <c r="N84" s="59">
        <f t="shared" si="7"/>
        <v>0</v>
      </c>
      <c r="O84" s="59">
        <f t="shared" si="7"/>
        <v>0</v>
      </c>
      <c r="P84" s="59">
        <f t="shared" si="7"/>
        <v>0</v>
      </c>
      <c r="Q84" s="59">
        <f t="shared" si="7"/>
        <v>0</v>
      </c>
    </row>
    <row r="85" spans="3:17" ht="15" outlineLevel="2" x14ac:dyDescent="0.25">
      <c r="C85" s="56" t="s">
        <v>397</v>
      </c>
      <c r="D85" s="57" t="s">
        <v>149</v>
      </c>
      <c r="E85" s="58">
        <v>4.3710000000000004</v>
      </c>
      <c r="F85" s="59">
        <f t="shared" si="7"/>
        <v>0</v>
      </c>
      <c r="G85" s="59">
        <f t="shared" si="7"/>
        <v>0</v>
      </c>
      <c r="H85" s="59">
        <f t="shared" si="7"/>
        <v>0</v>
      </c>
      <c r="I85" s="59">
        <f t="shared" si="7"/>
        <v>0</v>
      </c>
      <c r="J85" s="59">
        <f t="shared" si="7"/>
        <v>0</v>
      </c>
      <c r="K85" s="59">
        <f t="shared" si="7"/>
        <v>0</v>
      </c>
      <c r="L85" s="59">
        <f t="shared" si="7"/>
        <v>0</v>
      </c>
      <c r="M85" s="59">
        <f t="shared" si="7"/>
        <v>0</v>
      </c>
      <c r="N85" s="59">
        <f t="shared" si="7"/>
        <v>0</v>
      </c>
      <c r="O85" s="59">
        <f t="shared" si="7"/>
        <v>0</v>
      </c>
      <c r="P85" s="59">
        <f t="shared" si="7"/>
        <v>0</v>
      </c>
      <c r="Q85" s="59">
        <f t="shared" si="7"/>
        <v>0</v>
      </c>
    </row>
    <row r="86" spans="3:17" ht="15" outlineLevel="2" x14ac:dyDescent="0.25">
      <c r="C86" s="56" t="s">
        <v>397</v>
      </c>
      <c r="D86" s="57" t="s">
        <v>150</v>
      </c>
      <c r="E86" s="58">
        <v>4.63</v>
      </c>
      <c r="F86" s="59">
        <f t="shared" si="7"/>
        <v>0</v>
      </c>
      <c r="G86" s="59">
        <f t="shared" si="7"/>
        <v>0</v>
      </c>
      <c r="H86" s="59">
        <f t="shared" si="7"/>
        <v>0</v>
      </c>
      <c r="I86" s="59">
        <f t="shared" si="7"/>
        <v>0</v>
      </c>
      <c r="J86" s="59">
        <f t="shared" si="7"/>
        <v>0</v>
      </c>
      <c r="K86" s="59">
        <f t="shared" si="7"/>
        <v>0</v>
      </c>
      <c r="L86" s="59">
        <f t="shared" si="7"/>
        <v>0</v>
      </c>
      <c r="M86" s="59">
        <f t="shared" si="7"/>
        <v>0</v>
      </c>
      <c r="N86" s="59">
        <f t="shared" si="7"/>
        <v>0</v>
      </c>
      <c r="O86" s="59">
        <f t="shared" si="7"/>
        <v>0</v>
      </c>
      <c r="P86" s="59">
        <f t="shared" si="7"/>
        <v>0</v>
      </c>
      <c r="Q86" s="59">
        <f t="shared" si="7"/>
        <v>0</v>
      </c>
    </row>
    <row r="87" spans="3:17" ht="15" outlineLevel="2" x14ac:dyDescent="0.25">
      <c r="C87" s="56" t="s">
        <v>397</v>
      </c>
      <c r="D87" s="57" t="s">
        <v>151</v>
      </c>
      <c r="E87" s="58">
        <v>4.9059999999999997</v>
      </c>
      <c r="F87" s="59">
        <f t="shared" ref="F87:Q96" si="8">SUMIFS($F$368:$F$1152,$C$368:$C$1152,$C87,$A$368:$A$1152,F$3,$B$368:$B$1152,F$4,$D$368:$D$1152,$D87)</f>
        <v>0</v>
      </c>
      <c r="G87" s="59">
        <f t="shared" si="8"/>
        <v>0</v>
      </c>
      <c r="H87" s="59">
        <f t="shared" si="8"/>
        <v>0</v>
      </c>
      <c r="I87" s="59">
        <f t="shared" si="8"/>
        <v>0</v>
      </c>
      <c r="J87" s="59">
        <f t="shared" si="8"/>
        <v>0</v>
      </c>
      <c r="K87" s="59">
        <f t="shared" si="8"/>
        <v>0</v>
      </c>
      <c r="L87" s="59">
        <f t="shared" si="8"/>
        <v>0</v>
      </c>
      <c r="M87" s="59">
        <f t="shared" si="8"/>
        <v>0</v>
      </c>
      <c r="N87" s="59">
        <f t="shared" si="8"/>
        <v>0</v>
      </c>
      <c r="O87" s="59">
        <f t="shared" si="8"/>
        <v>0</v>
      </c>
      <c r="P87" s="59">
        <f t="shared" si="8"/>
        <v>0</v>
      </c>
      <c r="Q87" s="59">
        <f t="shared" si="8"/>
        <v>0</v>
      </c>
    </row>
    <row r="88" spans="3:17" ht="15" outlineLevel="2" x14ac:dyDescent="0.25">
      <c r="C88" s="56" t="s">
        <v>397</v>
      </c>
      <c r="D88" s="57" t="s">
        <v>152</v>
      </c>
      <c r="E88" s="58">
        <v>5.1890000000000001</v>
      </c>
      <c r="F88" s="59">
        <f t="shared" si="8"/>
        <v>0</v>
      </c>
      <c r="G88" s="59">
        <f t="shared" si="8"/>
        <v>0</v>
      </c>
      <c r="H88" s="59">
        <f t="shared" si="8"/>
        <v>0</v>
      </c>
      <c r="I88" s="59">
        <f t="shared" si="8"/>
        <v>0</v>
      </c>
      <c r="J88" s="59">
        <f t="shared" si="8"/>
        <v>0</v>
      </c>
      <c r="K88" s="59">
        <f t="shared" si="8"/>
        <v>0</v>
      </c>
      <c r="L88" s="59">
        <f t="shared" si="8"/>
        <v>0</v>
      </c>
      <c r="M88" s="59">
        <f t="shared" si="8"/>
        <v>0</v>
      </c>
      <c r="N88" s="59">
        <f t="shared" si="8"/>
        <v>0</v>
      </c>
      <c r="O88" s="59">
        <f t="shared" si="8"/>
        <v>0</v>
      </c>
      <c r="P88" s="59">
        <f t="shared" si="8"/>
        <v>0</v>
      </c>
      <c r="Q88" s="59">
        <f t="shared" si="8"/>
        <v>0</v>
      </c>
    </row>
    <row r="89" spans="3:17" ht="15" outlineLevel="2" x14ac:dyDescent="0.25">
      <c r="C89" s="56" t="s">
        <v>397</v>
      </c>
      <c r="D89" s="57" t="s">
        <v>153</v>
      </c>
      <c r="E89" s="58">
        <v>4.9470000000000001</v>
      </c>
      <c r="F89" s="59">
        <f t="shared" si="8"/>
        <v>0</v>
      </c>
      <c r="G89" s="59">
        <f t="shared" si="8"/>
        <v>0</v>
      </c>
      <c r="H89" s="59">
        <f t="shared" si="8"/>
        <v>0</v>
      </c>
      <c r="I89" s="59">
        <f t="shared" si="8"/>
        <v>0</v>
      </c>
      <c r="J89" s="59">
        <f t="shared" si="8"/>
        <v>0</v>
      </c>
      <c r="K89" s="59">
        <f t="shared" si="8"/>
        <v>0</v>
      </c>
      <c r="L89" s="59">
        <f t="shared" si="8"/>
        <v>0</v>
      </c>
      <c r="M89" s="59">
        <f t="shared" si="8"/>
        <v>0</v>
      </c>
      <c r="N89" s="59">
        <f t="shared" si="8"/>
        <v>0</v>
      </c>
      <c r="O89" s="59">
        <f t="shared" si="8"/>
        <v>0</v>
      </c>
      <c r="P89" s="59">
        <f t="shared" si="8"/>
        <v>0</v>
      </c>
      <c r="Q89" s="59">
        <f t="shared" si="8"/>
        <v>0</v>
      </c>
    </row>
    <row r="90" spans="3:17" ht="15" outlineLevel="2" x14ac:dyDescent="0.25">
      <c r="C90" s="56" t="s">
        <v>397</v>
      </c>
      <c r="D90" s="57" t="s">
        <v>154</v>
      </c>
      <c r="E90" s="58">
        <v>5.47</v>
      </c>
      <c r="F90" s="59">
        <f t="shared" si="8"/>
        <v>0</v>
      </c>
      <c r="G90" s="59">
        <f t="shared" si="8"/>
        <v>0</v>
      </c>
      <c r="H90" s="59">
        <f t="shared" si="8"/>
        <v>0</v>
      </c>
      <c r="I90" s="59">
        <f t="shared" si="8"/>
        <v>0</v>
      </c>
      <c r="J90" s="59">
        <f t="shared" si="8"/>
        <v>0</v>
      </c>
      <c r="K90" s="59">
        <f t="shared" si="8"/>
        <v>0</v>
      </c>
      <c r="L90" s="59">
        <f t="shared" si="8"/>
        <v>0</v>
      </c>
      <c r="M90" s="59">
        <f t="shared" si="8"/>
        <v>0</v>
      </c>
      <c r="N90" s="59">
        <f t="shared" si="8"/>
        <v>0</v>
      </c>
      <c r="O90" s="59">
        <f t="shared" si="8"/>
        <v>0</v>
      </c>
      <c r="P90" s="59">
        <f t="shared" si="8"/>
        <v>0</v>
      </c>
      <c r="Q90" s="59">
        <f t="shared" si="8"/>
        <v>0</v>
      </c>
    </row>
    <row r="91" spans="3:17" ht="15" outlineLevel="2" x14ac:dyDescent="0.25">
      <c r="C91" s="56" t="s">
        <v>397</v>
      </c>
      <c r="D91" s="57" t="s">
        <v>155</v>
      </c>
      <c r="E91" s="58">
        <v>6.0789999999999997</v>
      </c>
      <c r="F91" s="59">
        <f t="shared" si="8"/>
        <v>0</v>
      </c>
      <c r="G91" s="59">
        <f t="shared" si="8"/>
        <v>0</v>
      </c>
      <c r="H91" s="59">
        <f t="shared" si="8"/>
        <v>0</v>
      </c>
      <c r="I91" s="59">
        <f t="shared" si="8"/>
        <v>0</v>
      </c>
      <c r="J91" s="59">
        <f t="shared" si="8"/>
        <v>0</v>
      </c>
      <c r="K91" s="59">
        <f t="shared" si="8"/>
        <v>0</v>
      </c>
      <c r="L91" s="59">
        <f t="shared" si="8"/>
        <v>0</v>
      </c>
      <c r="M91" s="59">
        <f t="shared" si="8"/>
        <v>0</v>
      </c>
      <c r="N91" s="59">
        <f t="shared" si="8"/>
        <v>0</v>
      </c>
      <c r="O91" s="59">
        <f t="shared" si="8"/>
        <v>0</v>
      </c>
      <c r="P91" s="59">
        <f t="shared" si="8"/>
        <v>0</v>
      </c>
      <c r="Q91" s="59">
        <f t="shared" si="8"/>
        <v>0</v>
      </c>
    </row>
    <row r="92" spans="3:17" ht="15" outlineLevel="2" x14ac:dyDescent="0.25">
      <c r="C92" s="56" t="s">
        <v>397</v>
      </c>
      <c r="D92" s="57" t="s">
        <v>156</v>
      </c>
      <c r="E92" s="58">
        <v>6.5990000000000002</v>
      </c>
      <c r="F92" s="59">
        <f t="shared" si="8"/>
        <v>0</v>
      </c>
      <c r="G92" s="59">
        <f t="shared" si="8"/>
        <v>0</v>
      </c>
      <c r="H92" s="59">
        <f t="shared" si="8"/>
        <v>0</v>
      </c>
      <c r="I92" s="59">
        <f t="shared" si="8"/>
        <v>0</v>
      </c>
      <c r="J92" s="59">
        <f t="shared" si="8"/>
        <v>0</v>
      </c>
      <c r="K92" s="59">
        <f t="shared" si="8"/>
        <v>0</v>
      </c>
      <c r="L92" s="59">
        <f t="shared" si="8"/>
        <v>0</v>
      </c>
      <c r="M92" s="59">
        <f t="shared" si="8"/>
        <v>0</v>
      </c>
      <c r="N92" s="59">
        <f t="shared" si="8"/>
        <v>0</v>
      </c>
      <c r="O92" s="59">
        <f t="shared" si="8"/>
        <v>0</v>
      </c>
      <c r="P92" s="59">
        <f t="shared" si="8"/>
        <v>0</v>
      </c>
      <c r="Q92" s="59">
        <f t="shared" si="8"/>
        <v>0</v>
      </c>
    </row>
    <row r="93" spans="3:17" ht="15" outlineLevel="2" x14ac:dyDescent="0.25">
      <c r="C93" s="56" t="s">
        <v>397</v>
      </c>
      <c r="D93" s="57" t="s">
        <v>280</v>
      </c>
      <c r="E93" s="58">
        <v>7.6999999999999999E-2</v>
      </c>
      <c r="F93" s="59">
        <f t="shared" si="8"/>
        <v>0</v>
      </c>
      <c r="G93" s="59">
        <f t="shared" si="8"/>
        <v>0</v>
      </c>
      <c r="H93" s="59">
        <f t="shared" si="8"/>
        <v>0</v>
      </c>
      <c r="I93" s="59">
        <f t="shared" si="8"/>
        <v>0</v>
      </c>
      <c r="J93" s="59">
        <f t="shared" si="8"/>
        <v>0</v>
      </c>
      <c r="K93" s="59">
        <f t="shared" si="8"/>
        <v>0</v>
      </c>
      <c r="L93" s="59">
        <f t="shared" si="8"/>
        <v>0</v>
      </c>
      <c r="M93" s="59">
        <f t="shared" si="8"/>
        <v>0</v>
      </c>
      <c r="N93" s="59">
        <f t="shared" si="8"/>
        <v>0</v>
      </c>
      <c r="O93" s="59">
        <f t="shared" si="8"/>
        <v>0</v>
      </c>
      <c r="P93" s="59">
        <f t="shared" si="8"/>
        <v>0</v>
      </c>
      <c r="Q93" s="59">
        <f t="shared" si="8"/>
        <v>0</v>
      </c>
    </row>
    <row r="94" spans="3:17" ht="15" outlineLevel="2" x14ac:dyDescent="0.25">
      <c r="C94" s="56" t="s">
        <v>397</v>
      </c>
      <c r="D94" s="57" t="s">
        <v>281</v>
      </c>
      <c r="E94" s="58">
        <v>8.2000000000000003E-2</v>
      </c>
      <c r="F94" s="59">
        <f t="shared" si="8"/>
        <v>0</v>
      </c>
      <c r="G94" s="59">
        <f t="shared" si="8"/>
        <v>0</v>
      </c>
      <c r="H94" s="59">
        <f t="shared" si="8"/>
        <v>0</v>
      </c>
      <c r="I94" s="59">
        <f t="shared" si="8"/>
        <v>0</v>
      </c>
      <c r="J94" s="59">
        <f t="shared" si="8"/>
        <v>0</v>
      </c>
      <c r="K94" s="59">
        <f t="shared" si="8"/>
        <v>0</v>
      </c>
      <c r="L94" s="59">
        <f t="shared" si="8"/>
        <v>0</v>
      </c>
      <c r="M94" s="59">
        <f t="shared" si="8"/>
        <v>0</v>
      </c>
      <c r="N94" s="59">
        <f t="shared" si="8"/>
        <v>0</v>
      </c>
      <c r="O94" s="59">
        <f t="shared" si="8"/>
        <v>0</v>
      </c>
      <c r="P94" s="59">
        <f t="shared" si="8"/>
        <v>0</v>
      </c>
      <c r="Q94" s="59">
        <f t="shared" si="8"/>
        <v>0</v>
      </c>
    </row>
    <row r="95" spans="3:17" ht="15" outlineLevel="2" x14ac:dyDescent="0.25">
      <c r="C95" s="56" t="s">
        <v>397</v>
      </c>
      <c r="D95" s="57" t="s">
        <v>129</v>
      </c>
      <c r="E95" s="58">
        <v>0.13700000000000001</v>
      </c>
      <c r="F95" s="59">
        <f t="shared" si="8"/>
        <v>0</v>
      </c>
      <c r="G95" s="59">
        <f t="shared" si="8"/>
        <v>0</v>
      </c>
      <c r="H95" s="59">
        <f t="shared" si="8"/>
        <v>0</v>
      </c>
      <c r="I95" s="59">
        <f t="shared" si="8"/>
        <v>0</v>
      </c>
      <c r="J95" s="59">
        <f t="shared" si="8"/>
        <v>0</v>
      </c>
      <c r="K95" s="59">
        <f t="shared" si="8"/>
        <v>0</v>
      </c>
      <c r="L95" s="59">
        <f t="shared" si="8"/>
        <v>0</v>
      </c>
      <c r="M95" s="59">
        <f t="shared" si="8"/>
        <v>0</v>
      </c>
      <c r="N95" s="59">
        <f t="shared" si="8"/>
        <v>0</v>
      </c>
      <c r="O95" s="59">
        <f t="shared" si="8"/>
        <v>0</v>
      </c>
      <c r="P95" s="59">
        <f t="shared" si="8"/>
        <v>0</v>
      </c>
      <c r="Q95" s="59">
        <f t="shared" si="8"/>
        <v>0</v>
      </c>
    </row>
    <row r="96" spans="3:17" ht="15" outlineLevel="2" x14ac:dyDescent="0.25">
      <c r="C96" s="56" t="s">
        <v>397</v>
      </c>
      <c r="D96" s="57" t="s">
        <v>282</v>
      </c>
      <c r="E96" s="58">
        <v>0.121</v>
      </c>
      <c r="F96" s="59">
        <f t="shared" si="8"/>
        <v>0</v>
      </c>
      <c r="G96" s="59">
        <f t="shared" si="8"/>
        <v>0</v>
      </c>
      <c r="H96" s="59">
        <f t="shared" si="8"/>
        <v>0</v>
      </c>
      <c r="I96" s="59">
        <f t="shared" si="8"/>
        <v>0</v>
      </c>
      <c r="J96" s="59">
        <f t="shared" si="8"/>
        <v>0</v>
      </c>
      <c r="K96" s="59">
        <f t="shared" si="8"/>
        <v>0</v>
      </c>
      <c r="L96" s="59">
        <f t="shared" si="8"/>
        <v>0</v>
      </c>
      <c r="M96" s="59">
        <f t="shared" si="8"/>
        <v>0</v>
      </c>
      <c r="N96" s="59">
        <f t="shared" si="8"/>
        <v>0</v>
      </c>
      <c r="O96" s="59">
        <f t="shared" si="8"/>
        <v>0</v>
      </c>
      <c r="P96" s="59">
        <f t="shared" si="8"/>
        <v>0</v>
      </c>
      <c r="Q96" s="59">
        <f t="shared" si="8"/>
        <v>0</v>
      </c>
    </row>
    <row r="97" spans="3:17" ht="15" outlineLevel="2" x14ac:dyDescent="0.25">
      <c r="C97" s="56" t="s">
        <v>397</v>
      </c>
      <c r="D97" s="57" t="s">
        <v>136</v>
      </c>
      <c r="E97" s="58">
        <v>0.997</v>
      </c>
      <c r="F97" s="59">
        <f t="shared" ref="F97:Q106" si="9">SUMIFS($F$368:$F$1152,$C$368:$C$1152,$C97,$A$368:$A$1152,F$3,$B$368:$B$1152,F$4,$D$368:$D$1152,$D97)</f>
        <v>0</v>
      </c>
      <c r="G97" s="59">
        <f t="shared" si="9"/>
        <v>0</v>
      </c>
      <c r="H97" s="59">
        <f t="shared" si="9"/>
        <v>0</v>
      </c>
      <c r="I97" s="59">
        <f t="shared" si="9"/>
        <v>0</v>
      </c>
      <c r="J97" s="59">
        <f t="shared" si="9"/>
        <v>0</v>
      </c>
      <c r="K97" s="59">
        <f t="shared" si="9"/>
        <v>0</v>
      </c>
      <c r="L97" s="59">
        <f t="shared" si="9"/>
        <v>0</v>
      </c>
      <c r="M97" s="59">
        <f t="shared" si="9"/>
        <v>0</v>
      </c>
      <c r="N97" s="59">
        <f t="shared" si="9"/>
        <v>0</v>
      </c>
      <c r="O97" s="59">
        <f t="shared" si="9"/>
        <v>0</v>
      </c>
      <c r="P97" s="59">
        <f t="shared" si="9"/>
        <v>0</v>
      </c>
      <c r="Q97" s="59">
        <f t="shared" si="9"/>
        <v>0</v>
      </c>
    </row>
    <row r="98" spans="3:17" ht="15" outlineLevel="2" x14ac:dyDescent="0.25">
      <c r="C98" s="56" t="s">
        <v>397</v>
      </c>
      <c r="D98" s="57" t="s">
        <v>137</v>
      </c>
      <c r="E98" s="58">
        <v>1.343</v>
      </c>
      <c r="F98" s="59">
        <f t="shared" si="9"/>
        <v>0</v>
      </c>
      <c r="G98" s="59">
        <f t="shared" si="9"/>
        <v>0</v>
      </c>
      <c r="H98" s="59">
        <f t="shared" si="9"/>
        <v>0</v>
      </c>
      <c r="I98" s="59">
        <f t="shared" si="9"/>
        <v>0</v>
      </c>
      <c r="J98" s="59">
        <f t="shared" si="9"/>
        <v>0</v>
      </c>
      <c r="K98" s="59">
        <f t="shared" si="9"/>
        <v>0</v>
      </c>
      <c r="L98" s="59">
        <f t="shared" si="9"/>
        <v>0</v>
      </c>
      <c r="M98" s="59">
        <f t="shared" si="9"/>
        <v>0</v>
      </c>
      <c r="N98" s="59">
        <f t="shared" si="9"/>
        <v>0</v>
      </c>
      <c r="O98" s="59">
        <f t="shared" si="9"/>
        <v>0</v>
      </c>
      <c r="P98" s="59">
        <f t="shared" si="9"/>
        <v>0</v>
      </c>
      <c r="Q98" s="59">
        <f t="shared" si="9"/>
        <v>0</v>
      </c>
    </row>
    <row r="99" spans="3:17" ht="15" outlineLevel="2" x14ac:dyDescent="0.25">
      <c r="C99" s="56" t="s">
        <v>397</v>
      </c>
      <c r="D99" s="57" t="s">
        <v>138</v>
      </c>
      <c r="E99" s="58">
        <v>1.724</v>
      </c>
      <c r="F99" s="59">
        <f t="shared" si="9"/>
        <v>0</v>
      </c>
      <c r="G99" s="59">
        <f t="shared" si="9"/>
        <v>0</v>
      </c>
      <c r="H99" s="59">
        <f t="shared" si="9"/>
        <v>0</v>
      </c>
      <c r="I99" s="59">
        <f t="shared" si="9"/>
        <v>0</v>
      </c>
      <c r="J99" s="59">
        <f t="shared" si="9"/>
        <v>0</v>
      </c>
      <c r="K99" s="59">
        <f t="shared" si="9"/>
        <v>0</v>
      </c>
      <c r="L99" s="59">
        <f t="shared" si="9"/>
        <v>0</v>
      </c>
      <c r="M99" s="59">
        <f t="shared" si="9"/>
        <v>0</v>
      </c>
      <c r="N99" s="59">
        <f t="shared" si="9"/>
        <v>0</v>
      </c>
      <c r="O99" s="59">
        <f t="shared" si="9"/>
        <v>0</v>
      </c>
      <c r="P99" s="59">
        <f t="shared" si="9"/>
        <v>0</v>
      </c>
      <c r="Q99" s="59">
        <f t="shared" si="9"/>
        <v>0</v>
      </c>
    </row>
    <row r="100" spans="3:17" ht="15" outlineLevel="2" x14ac:dyDescent="0.25">
      <c r="C100" s="56" t="s">
        <v>397</v>
      </c>
      <c r="D100" s="57" t="s">
        <v>139</v>
      </c>
      <c r="E100" s="58">
        <v>2.1509999999999998</v>
      </c>
      <c r="F100" s="59">
        <f t="shared" si="9"/>
        <v>0</v>
      </c>
      <c r="G100" s="59">
        <f t="shared" si="9"/>
        <v>0</v>
      </c>
      <c r="H100" s="59">
        <f t="shared" si="9"/>
        <v>0</v>
      </c>
      <c r="I100" s="59">
        <f t="shared" si="9"/>
        <v>0</v>
      </c>
      <c r="J100" s="59">
        <f t="shared" si="9"/>
        <v>0</v>
      </c>
      <c r="K100" s="59">
        <f t="shared" si="9"/>
        <v>0</v>
      </c>
      <c r="L100" s="59">
        <f t="shared" si="9"/>
        <v>0</v>
      </c>
      <c r="M100" s="59">
        <f t="shared" si="9"/>
        <v>0</v>
      </c>
      <c r="N100" s="59">
        <f t="shared" si="9"/>
        <v>0</v>
      </c>
      <c r="O100" s="59">
        <f t="shared" si="9"/>
        <v>0</v>
      </c>
      <c r="P100" s="59">
        <f t="shared" si="9"/>
        <v>0</v>
      </c>
      <c r="Q100" s="59">
        <f t="shared" si="9"/>
        <v>0</v>
      </c>
    </row>
    <row r="101" spans="3:17" ht="15" outlineLevel="2" x14ac:dyDescent="0.25">
      <c r="C101" s="56" t="s">
        <v>397</v>
      </c>
      <c r="D101" s="57" t="s">
        <v>140</v>
      </c>
      <c r="E101" s="58">
        <v>2.5790000000000002</v>
      </c>
      <c r="F101" s="59">
        <f t="shared" si="9"/>
        <v>0</v>
      </c>
      <c r="G101" s="59">
        <f t="shared" si="9"/>
        <v>0</v>
      </c>
      <c r="H101" s="59">
        <f t="shared" si="9"/>
        <v>0</v>
      </c>
      <c r="I101" s="59">
        <f t="shared" si="9"/>
        <v>0</v>
      </c>
      <c r="J101" s="59">
        <f t="shared" si="9"/>
        <v>0</v>
      </c>
      <c r="K101" s="59">
        <f t="shared" si="9"/>
        <v>0</v>
      </c>
      <c r="L101" s="59">
        <f t="shared" si="9"/>
        <v>0</v>
      </c>
      <c r="M101" s="59">
        <f t="shared" si="9"/>
        <v>0</v>
      </c>
      <c r="N101" s="59">
        <f t="shared" si="9"/>
        <v>0</v>
      </c>
      <c r="O101" s="59">
        <f t="shared" si="9"/>
        <v>0</v>
      </c>
      <c r="P101" s="59">
        <f t="shared" si="9"/>
        <v>0</v>
      </c>
      <c r="Q101" s="59">
        <f t="shared" si="9"/>
        <v>0</v>
      </c>
    </row>
    <row r="102" spans="3:17" ht="15" outlineLevel="2" x14ac:dyDescent="0.25">
      <c r="C102" s="56" t="s">
        <v>397</v>
      </c>
      <c r="D102" s="57" t="s">
        <v>378</v>
      </c>
      <c r="E102" s="58">
        <v>3.706</v>
      </c>
      <c r="F102" s="59">
        <f t="shared" si="9"/>
        <v>0</v>
      </c>
      <c r="G102" s="59">
        <f t="shared" si="9"/>
        <v>0</v>
      </c>
      <c r="H102" s="59">
        <f t="shared" si="9"/>
        <v>0</v>
      </c>
      <c r="I102" s="59">
        <f t="shared" si="9"/>
        <v>0</v>
      </c>
      <c r="J102" s="59">
        <f t="shared" si="9"/>
        <v>0</v>
      </c>
      <c r="K102" s="59">
        <f t="shared" si="9"/>
        <v>0</v>
      </c>
      <c r="L102" s="59">
        <f t="shared" si="9"/>
        <v>0</v>
      </c>
      <c r="M102" s="59">
        <f t="shared" si="9"/>
        <v>0</v>
      </c>
      <c r="N102" s="59">
        <f t="shared" si="9"/>
        <v>0</v>
      </c>
      <c r="O102" s="59">
        <f t="shared" si="9"/>
        <v>0</v>
      </c>
      <c r="P102" s="59">
        <f t="shared" si="9"/>
        <v>0</v>
      </c>
      <c r="Q102" s="59">
        <f t="shared" si="9"/>
        <v>0</v>
      </c>
    </row>
    <row r="103" spans="3:17" ht="15" outlineLevel="2" x14ac:dyDescent="0.25">
      <c r="C103" s="56" t="s">
        <v>397</v>
      </c>
      <c r="D103" s="57" t="s">
        <v>141</v>
      </c>
      <c r="E103" s="58">
        <v>4.3719999999999999</v>
      </c>
      <c r="F103" s="59">
        <f t="shared" si="9"/>
        <v>0</v>
      </c>
      <c r="G103" s="59">
        <f t="shared" si="9"/>
        <v>0</v>
      </c>
      <c r="H103" s="59">
        <f t="shared" si="9"/>
        <v>0</v>
      </c>
      <c r="I103" s="59">
        <f t="shared" si="9"/>
        <v>0</v>
      </c>
      <c r="J103" s="59">
        <f t="shared" si="9"/>
        <v>0</v>
      </c>
      <c r="K103" s="59">
        <f t="shared" si="9"/>
        <v>0</v>
      </c>
      <c r="L103" s="59">
        <f t="shared" si="9"/>
        <v>0</v>
      </c>
      <c r="M103" s="59">
        <f t="shared" si="9"/>
        <v>0</v>
      </c>
      <c r="N103" s="59">
        <f t="shared" si="9"/>
        <v>0</v>
      </c>
      <c r="O103" s="59">
        <f t="shared" si="9"/>
        <v>0</v>
      </c>
      <c r="P103" s="59">
        <f t="shared" si="9"/>
        <v>0</v>
      </c>
      <c r="Q103" s="59">
        <f t="shared" si="9"/>
        <v>0</v>
      </c>
    </row>
    <row r="104" spans="3:17" ht="15" outlineLevel="2" x14ac:dyDescent="0.25">
      <c r="C104" s="56" t="s">
        <v>397</v>
      </c>
      <c r="D104" s="57" t="s">
        <v>142</v>
      </c>
      <c r="E104" s="58">
        <v>3.13</v>
      </c>
      <c r="F104" s="59">
        <f t="shared" si="9"/>
        <v>0</v>
      </c>
      <c r="G104" s="59">
        <f t="shared" si="9"/>
        <v>0</v>
      </c>
      <c r="H104" s="59">
        <f t="shared" si="9"/>
        <v>0</v>
      </c>
      <c r="I104" s="59">
        <f t="shared" si="9"/>
        <v>0</v>
      </c>
      <c r="J104" s="59">
        <f t="shared" si="9"/>
        <v>0</v>
      </c>
      <c r="K104" s="59">
        <f t="shared" si="9"/>
        <v>0</v>
      </c>
      <c r="L104" s="59">
        <f t="shared" si="9"/>
        <v>0</v>
      </c>
      <c r="M104" s="59">
        <f t="shared" si="9"/>
        <v>0</v>
      </c>
      <c r="N104" s="59">
        <f t="shared" si="9"/>
        <v>0</v>
      </c>
      <c r="O104" s="59">
        <f t="shared" si="9"/>
        <v>0</v>
      </c>
      <c r="P104" s="59">
        <f t="shared" si="9"/>
        <v>0</v>
      </c>
      <c r="Q104" s="59">
        <f t="shared" si="9"/>
        <v>0</v>
      </c>
    </row>
    <row r="105" spans="3:17" ht="15" outlineLevel="2" x14ac:dyDescent="0.25">
      <c r="C105" s="56" t="s">
        <v>397</v>
      </c>
      <c r="D105" s="57" t="s">
        <v>143</v>
      </c>
      <c r="E105" s="58">
        <v>5.1219999999999999</v>
      </c>
      <c r="F105" s="59">
        <f t="shared" si="9"/>
        <v>0</v>
      </c>
      <c r="G105" s="59">
        <f t="shared" si="9"/>
        <v>0</v>
      </c>
      <c r="H105" s="59">
        <f t="shared" si="9"/>
        <v>0</v>
      </c>
      <c r="I105" s="59">
        <f t="shared" si="9"/>
        <v>0</v>
      </c>
      <c r="J105" s="59">
        <f t="shared" si="9"/>
        <v>0</v>
      </c>
      <c r="K105" s="59">
        <f t="shared" si="9"/>
        <v>0</v>
      </c>
      <c r="L105" s="59">
        <f t="shared" si="9"/>
        <v>0</v>
      </c>
      <c r="M105" s="59">
        <f t="shared" si="9"/>
        <v>0</v>
      </c>
      <c r="N105" s="59">
        <f t="shared" si="9"/>
        <v>0</v>
      </c>
      <c r="O105" s="59">
        <f t="shared" si="9"/>
        <v>0</v>
      </c>
      <c r="P105" s="59">
        <f t="shared" si="9"/>
        <v>0</v>
      </c>
      <c r="Q105" s="59">
        <f t="shared" si="9"/>
        <v>0</v>
      </c>
    </row>
    <row r="106" spans="3:17" ht="15" outlineLevel="2" x14ac:dyDescent="0.25">
      <c r="C106" s="56" t="s">
        <v>397</v>
      </c>
      <c r="D106" s="57" t="s">
        <v>144</v>
      </c>
      <c r="E106" s="58">
        <v>7.2809999999999997</v>
      </c>
      <c r="F106" s="59">
        <f t="shared" si="9"/>
        <v>0</v>
      </c>
      <c r="G106" s="59">
        <f t="shared" si="9"/>
        <v>0</v>
      </c>
      <c r="H106" s="59">
        <f t="shared" si="9"/>
        <v>0</v>
      </c>
      <c r="I106" s="59">
        <f t="shared" si="9"/>
        <v>0</v>
      </c>
      <c r="J106" s="59">
        <f t="shared" si="9"/>
        <v>0</v>
      </c>
      <c r="K106" s="59">
        <f t="shared" si="9"/>
        <v>0</v>
      </c>
      <c r="L106" s="59">
        <f t="shared" si="9"/>
        <v>0</v>
      </c>
      <c r="M106" s="59">
        <f t="shared" si="9"/>
        <v>0</v>
      </c>
      <c r="N106" s="59">
        <f t="shared" si="9"/>
        <v>0</v>
      </c>
      <c r="O106" s="59">
        <f t="shared" si="9"/>
        <v>0</v>
      </c>
      <c r="P106" s="59">
        <f t="shared" si="9"/>
        <v>0</v>
      </c>
      <c r="Q106" s="59">
        <f t="shared" si="9"/>
        <v>0</v>
      </c>
    </row>
    <row r="107" spans="3:17" ht="15" outlineLevel="2" x14ac:dyDescent="0.25">
      <c r="C107" s="56" t="s">
        <v>397</v>
      </c>
      <c r="D107" s="57" t="s">
        <v>145</v>
      </c>
      <c r="E107" s="58">
        <v>10.387</v>
      </c>
      <c r="F107" s="59">
        <f t="shared" ref="F107:Q116" si="10">SUMIFS($F$368:$F$1152,$C$368:$C$1152,$C107,$A$368:$A$1152,F$3,$B$368:$B$1152,F$4,$D$368:$D$1152,$D107)</f>
        <v>0</v>
      </c>
      <c r="G107" s="59">
        <f t="shared" si="10"/>
        <v>0</v>
      </c>
      <c r="H107" s="59">
        <f t="shared" si="10"/>
        <v>0</v>
      </c>
      <c r="I107" s="59">
        <f t="shared" si="10"/>
        <v>0</v>
      </c>
      <c r="J107" s="59">
        <f t="shared" si="10"/>
        <v>0</v>
      </c>
      <c r="K107" s="59">
        <f t="shared" si="10"/>
        <v>0</v>
      </c>
      <c r="L107" s="59">
        <f t="shared" si="10"/>
        <v>0</v>
      </c>
      <c r="M107" s="59">
        <f t="shared" si="10"/>
        <v>0</v>
      </c>
      <c r="N107" s="59">
        <f t="shared" si="10"/>
        <v>0</v>
      </c>
      <c r="O107" s="59">
        <f t="shared" si="10"/>
        <v>0</v>
      </c>
      <c r="P107" s="59">
        <f t="shared" si="10"/>
        <v>0</v>
      </c>
      <c r="Q107" s="59">
        <f t="shared" si="10"/>
        <v>0</v>
      </c>
    </row>
    <row r="108" spans="3:17" ht="15" outlineLevel="2" x14ac:dyDescent="0.25">
      <c r="C108" s="56" t="s">
        <v>397</v>
      </c>
      <c r="D108" s="57" t="s">
        <v>181</v>
      </c>
      <c r="E108" s="58">
        <v>0.438</v>
      </c>
      <c r="F108" s="59">
        <f t="shared" si="10"/>
        <v>0</v>
      </c>
      <c r="G108" s="59">
        <f t="shared" si="10"/>
        <v>0</v>
      </c>
      <c r="H108" s="59">
        <f t="shared" si="10"/>
        <v>0</v>
      </c>
      <c r="I108" s="59">
        <f t="shared" si="10"/>
        <v>0</v>
      </c>
      <c r="J108" s="59">
        <f t="shared" si="10"/>
        <v>0</v>
      </c>
      <c r="K108" s="59">
        <f t="shared" si="10"/>
        <v>0</v>
      </c>
      <c r="L108" s="59">
        <f t="shared" si="10"/>
        <v>0</v>
      </c>
      <c r="M108" s="59">
        <f t="shared" si="10"/>
        <v>0</v>
      </c>
      <c r="N108" s="59">
        <f t="shared" si="10"/>
        <v>0</v>
      </c>
      <c r="O108" s="59">
        <f t="shared" si="10"/>
        <v>0</v>
      </c>
      <c r="P108" s="59">
        <f t="shared" si="10"/>
        <v>0</v>
      </c>
      <c r="Q108" s="59">
        <f t="shared" si="10"/>
        <v>0</v>
      </c>
    </row>
    <row r="109" spans="3:17" ht="15" outlineLevel="2" x14ac:dyDescent="0.25">
      <c r="C109" s="56" t="s">
        <v>397</v>
      </c>
      <c r="D109" s="57" t="s">
        <v>182</v>
      </c>
      <c r="E109" s="58">
        <v>0.92400000000000004</v>
      </c>
      <c r="F109" s="59">
        <f t="shared" si="10"/>
        <v>0</v>
      </c>
      <c r="G109" s="59">
        <f t="shared" si="10"/>
        <v>0</v>
      </c>
      <c r="H109" s="59">
        <f t="shared" si="10"/>
        <v>0</v>
      </c>
      <c r="I109" s="59">
        <f t="shared" si="10"/>
        <v>0</v>
      </c>
      <c r="J109" s="59">
        <f t="shared" si="10"/>
        <v>0</v>
      </c>
      <c r="K109" s="59">
        <f t="shared" si="10"/>
        <v>0</v>
      </c>
      <c r="L109" s="59">
        <f t="shared" si="10"/>
        <v>0</v>
      </c>
      <c r="M109" s="59">
        <f t="shared" si="10"/>
        <v>0</v>
      </c>
      <c r="N109" s="59">
        <f t="shared" si="10"/>
        <v>0</v>
      </c>
      <c r="O109" s="59">
        <f t="shared" si="10"/>
        <v>0</v>
      </c>
      <c r="P109" s="59">
        <f t="shared" si="10"/>
        <v>0</v>
      </c>
      <c r="Q109" s="59">
        <f t="shared" si="10"/>
        <v>0</v>
      </c>
    </row>
    <row r="110" spans="3:17" ht="15" outlineLevel="2" x14ac:dyDescent="0.25">
      <c r="C110" s="56" t="s">
        <v>397</v>
      </c>
      <c r="D110" s="57" t="s">
        <v>183</v>
      </c>
      <c r="E110" s="58">
        <v>0.93300000000000005</v>
      </c>
      <c r="F110" s="59">
        <f t="shared" si="10"/>
        <v>0</v>
      </c>
      <c r="G110" s="59">
        <f t="shared" si="10"/>
        <v>0</v>
      </c>
      <c r="H110" s="59">
        <f t="shared" si="10"/>
        <v>0</v>
      </c>
      <c r="I110" s="59">
        <f t="shared" si="10"/>
        <v>0</v>
      </c>
      <c r="J110" s="59">
        <f t="shared" si="10"/>
        <v>0</v>
      </c>
      <c r="K110" s="59">
        <f t="shared" si="10"/>
        <v>0</v>
      </c>
      <c r="L110" s="59">
        <f t="shared" si="10"/>
        <v>0</v>
      </c>
      <c r="M110" s="59">
        <f t="shared" si="10"/>
        <v>0</v>
      </c>
      <c r="N110" s="59">
        <f t="shared" si="10"/>
        <v>0</v>
      </c>
      <c r="O110" s="59">
        <f t="shared" si="10"/>
        <v>0</v>
      </c>
      <c r="P110" s="59">
        <f t="shared" si="10"/>
        <v>0</v>
      </c>
      <c r="Q110" s="59">
        <f t="shared" si="10"/>
        <v>0</v>
      </c>
    </row>
    <row r="111" spans="3:17" ht="15" outlineLevel="2" x14ac:dyDescent="0.25">
      <c r="C111" s="56" t="s">
        <v>397</v>
      </c>
      <c r="D111" s="57" t="s">
        <v>184</v>
      </c>
      <c r="E111" s="58">
        <v>1.494</v>
      </c>
      <c r="F111" s="59">
        <f t="shared" si="10"/>
        <v>0</v>
      </c>
      <c r="G111" s="59">
        <f t="shared" si="10"/>
        <v>0</v>
      </c>
      <c r="H111" s="59">
        <f t="shared" si="10"/>
        <v>0</v>
      </c>
      <c r="I111" s="59">
        <f t="shared" si="10"/>
        <v>0</v>
      </c>
      <c r="J111" s="59">
        <f t="shared" si="10"/>
        <v>0</v>
      </c>
      <c r="K111" s="59">
        <f t="shared" si="10"/>
        <v>0</v>
      </c>
      <c r="L111" s="59">
        <f t="shared" si="10"/>
        <v>0</v>
      </c>
      <c r="M111" s="59">
        <f t="shared" si="10"/>
        <v>0</v>
      </c>
      <c r="N111" s="59">
        <f t="shared" si="10"/>
        <v>0</v>
      </c>
      <c r="O111" s="59">
        <f t="shared" si="10"/>
        <v>0</v>
      </c>
      <c r="P111" s="59">
        <f t="shared" si="10"/>
        <v>0</v>
      </c>
      <c r="Q111" s="59">
        <f t="shared" si="10"/>
        <v>0</v>
      </c>
    </row>
    <row r="112" spans="3:17" ht="15" outlineLevel="2" x14ac:dyDescent="0.25">
      <c r="C112" s="56" t="s">
        <v>397</v>
      </c>
      <c r="D112" s="57" t="s">
        <v>185</v>
      </c>
      <c r="E112" s="58">
        <v>1.254</v>
      </c>
      <c r="F112" s="59">
        <f t="shared" si="10"/>
        <v>0</v>
      </c>
      <c r="G112" s="59">
        <f t="shared" si="10"/>
        <v>0</v>
      </c>
      <c r="H112" s="59">
        <f t="shared" si="10"/>
        <v>0</v>
      </c>
      <c r="I112" s="59">
        <f t="shared" si="10"/>
        <v>0</v>
      </c>
      <c r="J112" s="59">
        <f t="shared" si="10"/>
        <v>0</v>
      </c>
      <c r="K112" s="59">
        <f t="shared" si="10"/>
        <v>0</v>
      </c>
      <c r="L112" s="59">
        <f t="shared" si="10"/>
        <v>0</v>
      </c>
      <c r="M112" s="59">
        <f t="shared" si="10"/>
        <v>0</v>
      </c>
      <c r="N112" s="59">
        <f t="shared" si="10"/>
        <v>0</v>
      </c>
      <c r="O112" s="59">
        <f t="shared" si="10"/>
        <v>0</v>
      </c>
      <c r="P112" s="59">
        <f t="shared" si="10"/>
        <v>0</v>
      </c>
      <c r="Q112" s="59">
        <f t="shared" si="10"/>
        <v>0</v>
      </c>
    </row>
    <row r="113" spans="3:17" ht="15" outlineLevel="2" x14ac:dyDescent="0.25">
      <c r="C113" s="56" t="s">
        <v>397</v>
      </c>
      <c r="D113" s="57" t="s">
        <v>186</v>
      </c>
      <c r="E113" s="58">
        <v>1.3680000000000001</v>
      </c>
      <c r="F113" s="59">
        <f t="shared" si="10"/>
        <v>0</v>
      </c>
      <c r="G113" s="59">
        <f t="shared" si="10"/>
        <v>0</v>
      </c>
      <c r="H113" s="59">
        <f t="shared" si="10"/>
        <v>0</v>
      </c>
      <c r="I113" s="59">
        <f t="shared" si="10"/>
        <v>0</v>
      </c>
      <c r="J113" s="59">
        <f t="shared" si="10"/>
        <v>0</v>
      </c>
      <c r="K113" s="59">
        <f t="shared" si="10"/>
        <v>0</v>
      </c>
      <c r="L113" s="59">
        <f t="shared" si="10"/>
        <v>0</v>
      </c>
      <c r="M113" s="59">
        <f t="shared" si="10"/>
        <v>0</v>
      </c>
      <c r="N113" s="59">
        <f t="shared" si="10"/>
        <v>0</v>
      </c>
      <c r="O113" s="59">
        <f t="shared" si="10"/>
        <v>0</v>
      </c>
      <c r="P113" s="59">
        <f t="shared" si="10"/>
        <v>0</v>
      </c>
      <c r="Q113" s="59">
        <f t="shared" si="10"/>
        <v>0</v>
      </c>
    </row>
    <row r="114" spans="3:17" ht="15" outlineLevel="2" x14ac:dyDescent="0.25">
      <c r="C114" s="56" t="s">
        <v>397</v>
      </c>
      <c r="D114" s="57" t="s">
        <v>187</v>
      </c>
      <c r="E114" s="58">
        <v>3.7970000000000002</v>
      </c>
      <c r="F114" s="59">
        <f t="shared" si="10"/>
        <v>0</v>
      </c>
      <c r="G114" s="59">
        <f t="shared" si="10"/>
        <v>0</v>
      </c>
      <c r="H114" s="59">
        <f t="shared" si="10"/>
        <v>0</v>
      </c>
      <c r="I114" s="59">
        <f t="shared" si="10"/>
        <v>0</v>
      </c>
      <c r="J114" s="59">
        <f t="shared" si="10"/>
        <v>0</v>
      </c>
      <c r="K114" s="59">
        <f t="shared" si="10"/>
        <v>0</v>
      </c>
      <c r="L114" s="59">
        <f t="shared" si="10"/>
        <v>0</v>
      </c>
      <c r="M114" s="59">
        <f t="shared" si="10"/>
        <v>0</v>
      </c>
      <c r="N114" s="59">
        <f t="shared" si="10"/>
        <v>0</v>
      </c>
      <c r="O114" s="59">
        <f t="shared" si="10"/>
        <v>0</v>
      </c>
      <c r="P114" s="59">
        <f t="shared" si="10"/>
        <v>0</v>
      </c>
      <c r="Q114" s="59">
        <f t="shared" si="10"/>
        <v>0</v>
      </c>
    </row>
    <row r="115" spans="3:17" ht="15" outlineLevel="2" x14ac:dyDescent="0.25">
      <c r="C115" s="56" t="s">
        <v>397</v>
      </c>
      <c r="D115" s="57" t="s">
        <v>188</v>
      </c>
      <c r="E115" s="58">
        <v>3.4660000000000002</v>
      </c>
      <c r="F115" s="59">
        <f t="shared" si="10"/>
        <v>0</v>
      </c>
      <c r="G115" s="59">
        <f t="shared" si="10"/>
        <v>0</v>
      </c>
      <c r="H115" s="59">
        <f t="shared" si="10"/>
        <v>0</v>
      </c>
      <c r="I115" s="59">
        <f t="shared" si="10"/>
        <v>0</v>
      </c>
      <c r="J115" s="59">
        <f t="shared" si="10"/>
        <v>0</v>
      </c>
      <c r="K115" s="59">
        <f t="shared" si="10"/>
        <v>0</v>
      </c>
      <c r="L115" s="59">
        <f t="shared" si="10"/>
        <v>0</v>
      </c>
      <c r="M115" s="59">
        <f t="shared" si="10"/>
        <v>0</v>
      </c>
      <c r="N115" s="59">
        <f t="shared" si="10"/>
        <v>0</v>
      </c>
      <c r="O115" s="59">
        <f t="shared" si="10"/>
        <v>0</v>
      </c>
      <c r="P115" s="59">
        <f t="shared" si="10"/>
        <v>0</v>
      </c>
      <c r="Q115" s="59">
        <f t="shared" si="10"/>
        <v>0</v>
      </c>
    </row>
    <row r="116" spans="3:17" ht="15" outlineLevel="2" x14ac:dyDescent="0.25">
      <c r="C116" s="56" t="s">
        <v>397</v>
      </c>
      <c r="D116" s="57" t="s">
        <v>189</v>
      </c>
      <c r="E116" s="58">
        <v>2.3479999999999999</v>
      </c>
      <c r="F116" s="59">
        <f t="shared" si="10"/>
        <v>0</v>
      </c>
      <c r="G116" s="59">
        <f t="shared" si="10"/>
        <v>0</v>
      </c>
      <c r="H116" s="59">
        <f t="shared" si="10"/>
        <v>0</v>
      </c>
      <c r="I116" s="59">
        <f t="shared" si="10"/>
        <v>0</v>
      </c>
      <c r="J116" s="59">
        <f t="shared" si="10"/>
        <v>0</v>
      </c>
      <c r="K116" s="59">
        <f t="shared" si="10"/>
        <v>0</v>
      </c>
      <c r="L116" s="59">
        <f t="shared" si="10"/>
        <v>0</v>
      </c>
      <c r="M116" s="59">
        <f t="shared" si="10"/>
        <v>0</v>
      </c>
      <c r="N116" s="59">
        <f t="shared" si="10"/>
        <v>0</v>
      </c>
      <c r="O116" s="59">
        <f t="shared" si="10"/>
        <v>0</v>
      </c>
      <c r="P116" s="59">
        <f t="shared" si="10"/>
        <v>0</v>
      </c>
      <c r="Q116" s="59">
        <f t="shared" si="10"/>
        <v>0</v>
      </c>
    </row>
    <row r="117" spans="3:17" ht="15" outlineLevel="2" x14ac:dyDescent="0.25">
      <c r="C117" s="56" t="s">
        <v>397</v>
      </c>
      <c r="D117" s="57" t="s">
        <v>190</v>
      </c>
      <c r="E117" s="58">
        <v>2.4590000000000001</v>
      </c>
      <c r="F117" s="59">
        <f t="shared" ref="F117:Q126" si="11">SUMIFS($F$368:$F$1152,$C$368:$C$1152,$C117,$A$368:$A$1152,F$3,$B$368:$B$1152,F$4,$D$368:$D$1152,$D117)</f>
        <v>0</v>
      </c>
      <c r="G117" s="59">
        <f t="shared" si="11"/>
        <v>0</v>
      </c>
      <c r="H117" s="59">
        <f t="shared" si="11"/>
        <v>0</v>
      </c>
      <c r="I117" s="59">
        <f t="shared" si="11"/>
        <v>0</v>
      </c>
      <c r="J117" s="59">
        <f t="shared" si="11"/>
        <v>0</v>
      </c>
      <c r="K117" s="59">
        <f t="shared" si="11"/>
        <v>0</v>
      </c>
      <c r="L117" s="59">
        <f t="shared" si="11"/>
        <v>0</v>
      </c>
      <c r="M117" s="59">
        <f t="shared" si="11"/>
        <v>0</v>
      </c>
      <c r="N117" s="59">
        <f t="shared" si="11"/>
        <v>0</v>
      </c>
      <c r="O117" s="59">
        <f t="shared" si="11"/>
        <v>0</v>
      </c>
      <c r="P117" s="59">
        <f t="shared" si="11"/>
        <v>0</v>
      </c>
      <c r="Q117" s="59">
        <f t="shared" si="11"/>
        <v>0</v>
      </c>
    </row>
    <row r="118" spans="3:17" ht="15" outlineLevel="2" x14ac:dyDescent="0.25">
      <c r="C118" s="56" t="s">
        <v>397</v>
      </c>
      <c r="D118" s="57" t="s">
        <v>166</v>
      </c>
      <c r="E118" s="58">
        <v>0.438</v>
      </c>
      <c r="F118" s="59">
        <f t="shared" si="11"/>
        <v>0</v>
      </c>
      <c r="G118" s="59">
        <f t="shared" si="11"/>
        <v>0</v>
      </c>
      <c r="H118" s="59">
        <f t="shared" si="11"/>
        <v>0</v>
      </c>
      <c r="I118" s="59">
        <f t="shared" si="11"/>
        <v>0</v>
      </c>
      <c r="J118" s="59">
        <f t="shared" si="11"/>
        <v>0</v>
      </c>
      <c r="K118" s="59">
        <f t="shared" si="11"/>
        <v>0</v>
      </c>
      <c r="L118" s="59">
        <f t="shared" si="11"/>
        <v>0</v>
      </c>
      <c r="M118" s="59">
        <f t="shared" si="11"/>
        <v>0</v>
      </c>
      <c r="N118" s="59">
        <f t="shared" si="11"/>
        <v>0</v>
      </c>
      <c r="O118" s="59">
        <f t="shared" si="11"/>
        <v>0</v>
      </c>
      <c r="P118" s="59">
        <f t="shared" si="11"/>
        <v>0</v>
      </c>
      <c r="Q118" s="59">
        <f t="shared" si="11"/>
        <v>0</v>
      </c>
    </row>
    <row r="119" spans="3:17" ht="15" outlineLevel="2" x14ac:dyDescent="0.25">
      <c r="C119" s="56" t="s">
        <v>397</v>
      </c>
      <c r="D119" s="57" t="s">
        <v>165</v>
      </c>
      <c r="E119" s="58">
        <v>0.92400000000000004</v>
      </c>
      <c r="F119" s="59">
        <f t="shared" si="11"/>
        <v>0</v>
      </c>
      <c r="G119" s="59">
        <f t="shared" si="11"/>
        <v>0</v>
      </c>
      <c r="H119" s="59">
        <f t="shared" si="11"/>
        <v>0</v>
      </c>
      <c r="I119" s="59">
        <f t="shared" si="11"/>
        <v>0</v>
      </c>
      <c r="J119" s="59">
        <f t="shared" si="11"/>
        <v>0</v>
      </c>
      <c r="K119" s="59">
        <f t="shared" si="11"/>
        <v>0</v>
      </c>
      <c r="L119" s="59">
        <f t="shared" si="11"/>
        <v>0</v>
      </c>
      <c r="M119" s="59">
        <f t="shared" si="11"/>
        <v>0</v>
      </c>
      <c r="N119" s="59">
        <f t="shared" si="11"/>
        <v>0</v>
      </c>
      <c r="O119" s="59">
        <f t="shared" si="11"/>
        <v>0</v>
      </c>
      <c r="P119" s="59">
        <f t="shared" si="11"/>
        <v>0</v>
      </c>
      <c r="Q119" s="59">
        <f t="shared" si="11"/>
        <v>0</v>
      </c>
    </row>
    <row r="120" spans="3:17" ht="15" outlineLevel="2" x14ac:dyDescent="0.25">
      <c r="C120" s="56" t="s">
        <v>397</v>
      </c>
      <c r="D120" s="57" t="s">
        <v>164</v>
      </c>
      <c r="E120" s="58">
        <v>0.93300000000000005</v>
      </c>
      <c r="F120" s="59">
        <f t="shared" si="11"/>
        <v>0</v>
      </c>
      <c r="G120" s="59">
        <f t="shared" si="11"/>
        <v>0</v>
      </c>
      <c r="H120" s="59">
        <f t="shared" si="11"/>
        <v>0</v>
      </c>
      <c r="I120" s="59">
        <f t="shared" si="11"/>
        <v>0</v>
      </c>
      <c r="J120" s="59">
        <f t="shared" si="11"/>
        <v>0</v>
      </c>
      <c r="K120" s="59">
        <f t="shared" si="11"/>
        <v>0</v>
      </c>
      <c r="L120" s="59">
        <f t="shared" si="11"/>
        <v>0</v>
      </c>
      <c r="M120" s="59">
        <f t="shared" si="11"/>
        <v>0</v>
      </c>
      <c r="N120" s="59">
        <f t="shared" si="11"/>
        <v>0</v>
      </c>
      <c r="O120" s="59">
        <f t="shared" si="11"/>
        <v>0</v>
      </c>
      <c r="P120" s="59">
        <f t="shared" si="11"/>
        <v>0</v>
      </c>
      <c r="Q120" s="59">
        <f t="shared" si="11"/>
        <v>0</v>
      </c>
    </row>
    <row r="121" spans="3:17" ht="15" outlineLevel="2" x14ac:dyDescent="0.25">
      <c r="C121" s="56" t="s">
        <v>397</v>
      </c>
      <c r="D121" s="57" t="s">
        <v>163</v>
      </c>
      <c r="E121" s="58">
        <v>1.494</v>
      </c>
      <c r="F121" s="59">
        <f t="shared" si="11"/>
        <v>0</v>
      </c>
      <c r="G121" s="59">
        <f t="shared" si="11"/>
        <v>0</v>
      </c>
      <c r="H121" s="59">
        <f t="shared" si="11"/>
        <v>0</v>
      </c>
      <c r="I121" s="59">
        <f t="shared" si="11"/>
        <v>0</v>
      </c>
      <c r="J121" s="59">
        <f t="shared" si="11"/>
        <v>0</v>
      </c>
      <c r="K121" s="59">
        <f t="shared" si="11"/>
        <v>0</v>
      </c>
      <c r="L121" s="59">
        <f t="shared" si="11"/>
        <v>0</v>
      </c>
      <c r="M121" s="59">
        <f t="shared" si="11"/>
        <v>0</v>
      </c>
      <c r="N121" s="59">
        <f t="shared" si="11"/>
        <v>0</v>
      </c>
      <c r="O121" s="59">
        <f t="shared" si="11"/>
        <v>0</v>
      </c>
      <c r="P121" s="59">
        <f t="shared" si="11"/>
        <v>0</v>
      </c>
      <c r="Q121" s="59">
        <f t="shared" si="11"/>
        <v>0</v>
      </c>
    </row>
    <row r="122" spans="3:17" ht="15" outlineLevel="2" x14ac:dyDescent="0.25">
      <c r="C122" s="56" t="s">
        <v>397</v>
      </c>
      <c r="D122" s="57" t="s">
        <v>162</v>
      </c>
      <c r="E122" s="58">
        <v>1.254</v>
      </c>
      <c r="F122" s="59">
        <f t="shared" si="11"/>
        <v>0</v>
      </c>
      <c r="G122" s="59">
        <f t="shared" si="11"/>
        <v>0</v>
      </c>
      <c r="H122" s="59">
        <f t="shared" si="11"/>
        <v>0</v>
      </c>
      <c r="I122" s="59">
        <f t="shared" si="11"/>
        <v>0</v>
      </c>
      <c r="J122" s="59">
        <f t="shared" si="11"/>
        <v>0</v>
      </c>
      <c r="K122" s="59">
        <f t="shared" si="11"/>
        <v>0</v>
      </c>
      <c r="L122" s="59">
        <f t="shared" si="11"/>
        <v>0</v>
      </c>
      <c r="M122" s="59">
        <f t="shared" si="11"/>
        <v>0</v>
      </c>
      <c r="N122" s="59">
        <f t="shared" si="11"/>
        <v>0</v>
      </c>
      <c r="O122" s="59">
        <f t="shared" si="11"/>
        <v>0</v>
      </c>
      <c r="P122" s="59">
        <f t="shared" si="11"/>
        <v>0</v>
      </c>
      <c r="Q122" s="59">
        <f t="shared" si="11"/>
        <v>0</v>
      </c>
    </row>
    <row r="123" spans="3:17" ht="15" outlineLevel="2" x14ac:dyDescent="0.25">
      <c r="C123" s="56" t="s">
        <v>397</v>
      </c>
      <c r="D123" s="57" t="s">
        <v>161</v>
      </c>
      <c r="E123" s="58">
        <v>1.3680000000000001</v>
      </c>
      <c r="F123" s="59">
        <f t="shared" si="11"/>
        <v>0</v>
      </c>
      <c r="G123" s="59">
        <f t="shared" si="11"/>
        <v>0</v>
      </c>
      <c r="H123" s="59">
        <f t="shared" si="11"/>
        <v>0</v>
      </c>
      <c r="I123" s="59">
        <f t="shared" si="11"/>
        <v>0</v>
      </c>
      <c r="J123" s="59">
        <f t="shared" si="11"/>
        <v>0</v>
      </c>
      <c r="K123" s="59">
        <f t="shared" si="11"/>
        <v>0</v>
      </c>
      <c r="L123" s="59">
        <f t="shared" si="11"/>
        <v>0</v>
      </c>
      <c r="M123" s="59">
        <f t="shared" si="11"/>
        <v>0</v>
      </c>
      <c r="N123" s="59">
        <f t="shared" si="11"/>
        <v>0</v>
      </c>
      <c r="O123" s="59">
        <f t="shared" si="11"/>
        <v>0</v>
      </c>
      <c r="P123" s="59">
        <f t="shared" si="11"/>
        <v>0</v>
      </c>
      <c r="Q123" s="59">
        <f t="shared" si="11"/>
        <v>0</v>
      </c>
    </row>
    <row r="124" spans="3:17" ht="15" outlineLevel="2" x14ac:dyDescent="0.25">
      <c r="C124" s="56" t="s">
        <v>397</v>
      </c>
      <c r="D124" s="57" t="s">
        <v>160</v>
      </c>
      <c r="E124" s="58">
        <v>3.7970000000000002</v>
      </c>
      <c r="F124" s="59">
        <f t="shared" si="11"/>
        <v>0</v>
      </c>
      <c r="G124" s="59">
        <f t="shared" si="11"/>
        <v>0</v>
      </c>
      <c r="H124" s="59">
        <f t="shared" si="11"/>
        <v>0</v>
      </c>
      <c r="I124" s="59">
        <f t="shared" si="11"/>
        <v>0</v>
      </c>
      <c r="J124" s="59">
        <f t="shared" si="11"/>
        <v>0</v>
      </c>
      <c r="K124" s="59">
        <f t="shared" si="11"/>
        <v>0</v>
      </c>
      <c r="L124" s="59">
        <f t="shared" si="11"/>
        <v>0</v>
      </c>
      <c r="M124" s="59">
        <f t="shared" si="11"/>
        <v>0</v>
      </c>
      <c r="N124" s="59">
        <f t="shared" si="11"/>
        <v>0</v>
      </c>
      <c r="O124" s="59">
        <f t="shared" si="11"/>
        <v>0</v>
      </c>
      <c r="P124" s="59">
        <f t="shared" si="11"/>
        <v>0</v>
      </c>
      <c r="Q124" s="59">
        <f t="shared" si="11"/>
        <v>0</v>
      </c>
    </row>
    <row r="125" spans="3:17" ht="15" outlineLevel="2" x14ac:dyDescent="0.25">
      <c r="C125" s="56" t="s">
        <v>397</v>
      </c>
      <c r="D125" s="57" t="s">
        <v>159</v>
      </c>
      <c r="E125" s="58">
        <v>3.4660000000000002</v>
      </c>
      <c r="F125" s="59">
        <f t="shared" si="11"/>
        <v>0</v>
      </c>
      <c r="G125" s="59">
        <f t="shared" si="11"/>
        <v>0</v>
      </c>
      <c r="H125" s="59">
        <f t="shared" si="11"/>
        <v>0</v>
      </c>
      <c r="I125" s="59">
        <f t="shared" si="11"/>
        <v>0</v>
      </c>
      <c r="J125" s="59">
        <f t="shared" si="11"/>
        <v>0</v>
      </c>
      <c r="K125" s="59">
        <f t="shared" si="11"/>
        <v>0</v>
      </c>
      <c r="L125" s="59">
        <f t="shared" si="11"/>
        <v>0</v>
      </c>
      <c r="M125" s="59">
        <f t="shared" si="11"/>
        <v>0</v>
      </c>
      <c r="N125" s="59">
        <f t="shared" si="11"/>
        <v>0</v>
      </c>
      <c r="O125" s="59">
        <f t="shared" si="11"/>
        <v>0</v>
      </c>
      <c r="P125" s="59">
        <f t="shared" si="11"/>
        <v>0</v>
      </c>
      <c r="Q125" s="59">
        <f t="shared" si="11"/>
        <v>0</v>
      </c>
    </row>
    <row r="126" spans="3:17" ht="15" outlineLevel="2" x14ac:dyDescent="0.25">
      <c r="C126" s="56" t="s">
        <v>397</v>
      </c>
      <c r="D126" s="57" t="s">
        <v>158</v>
      </c>
      <c r="E126" s="58">
        <v>2.3479999999999999</v>
      </c>
      <c r="F126" s="59">
        <f t="shared" si="11"/>
        <v>0</v>
      </c>
      <c r="G126" s="59">
        <f t="shared" si="11"/>
        <v>0</v>
      </c>
      <c r="H126" s="59">
        <f t="shared" si="11"/>
        <v>0</v>
      </c>
      <c r="I126" s="59">
        <f t="shared" si="11"/>
        <v>0</v>
      </c>
      <c r="J126" s="59">
        <f t="shared" si="11"/>
        <v>0</v>
      </c>
      <c r="K126" s="59">
        <f t="shared" si="11"/>
        <v>0</v>
      </c>
      <c r="L126" s="59">
        <f t="shared" si="11"/>
        <v>0</v>
      </c>
      <c r="M126" s="59">
        <f t="shared" si="11"/>
        <v>0</v>
      </c>
      <c r="N126" s="59">
        <f t="shared" si="11"/>
        <v>0</v>
      </c>
      <c r="O126" s="59">
        <f t="shared" si="11"/>
        <v>0</v>
      </c>
      <c r="P126" s="59">
        <f t="shared" si="11"/>
        <v>0</v>
      </c>
      <c r="Q126" s="59">
        <f t="shared" si="11"/>
        <v>0</v>
      </c>
    </row>
    <row r="127" spans="3:17" ht="15" outlineLevel="2" x14ac:dyDescent="0.25">
      <c r="C127" s="56" t="s">
        <v>397</v>
      </c>
      <c r="D127" s="57" t="s">
        <v>157</v>
      </c>
      <c r="E127" s="58">
        <v>2.4590000000000001</v>
      </c>
      <c r="F127" s="59">
        <f t="shared" ref="F127:Q136" si="12">SUMIFS($F$368:$F$1152,$C$368:$C$1152,$C127,$A$368:$A$1152,F$3,$B$368:$B$1152,F$4,$D$368:$D$1152,$D127)</f>
        <v>0</v>
      </c>
      <c r="G127" s="59">
        <f t="shared" si="12"/>
        <v>0</v>
      </c>
      <c r="H127" s="59">
        <f t="shared" si="12"/>
        <v>0</v>
      </c>
      <c r="I127" s="59">
        <f t="shared" si="12"/>
        <v>0</v>
      </c>
      <c r="J127" s="59">
        <f t="shared" si="12"/>
        <v>0</v>
      </c>
      <c r="K127" s="59">
        <f t="shared" si="12"/>
        <v>0</v>
      </c>
      <c r="L127" s="59">
        <f t="shared" si="12"/>
        <v>0</v>
      </c>
      <c r="M127" s="59">
        <f t="shared" si="12"/>
        <v>0</v>
      </c>
      <c r="N127" s="59">
        <f t="shared" si="12"/>
        <v>0</v>
      </c>
      <c r="O127" s="59">
        <f t="shared" si="12"/>
        <v>0</v>
      </c>
      <c r="P127" s="59">
        <f t="shared" si="12"/>
        <v>0</v>
      </c>
      <c r="Q127" s="59">
        <f t="shared" si="12"/>
        <v>0</v>
      </c>
    </row>
    <row r="128" spans="3:17" ht="15" outlineLevel="2" x14ac:dyDescent="0.25">
      <c r="C128" s="56" t="s">
        <v>397</v>
      </c>
      <c r="D128" s="57" t="s">
        <v>270</v>
      </c>
      <c r="E128" s="58">
        <v>0.44500000000000001</v>
      </c>
      <c r="F128" s="59">
        <f t="shared" si="12"/>
        <v>0</v>
      </c>
      <c r="G128" s="59">
        <f t="shared" si="12"/>
        <v>0</v>
      </c>
      <c r="H128" s="59">
        <f t="shared" si="12"/>
        <v>0</v>
      </c>
      <c r="I128" s="59">
        <f t="shared" si="12"/>
        <v>0</v>
      </c>
      <c r="J128" s="59">
        <f t="shared" si="12"/>
        <v>0</v>
      </c>
      <c r="K128" s="59">
        <f t="shared" si="12"/>
        <v>0</v>
      </c>
      <c r="L128" s="59">
        <f t="shared" si="12"/>
        <v>0</v>
      </c>
      <c r="M128" s="59">
        <f t="shared" si="12"/>
        <v>0</v>
      </c>
      <c r="N128" s="59">
        <f t="shared" si="12"/>
        <v>0</v>
      </c>
      <c r="O128" s="59">
        <f t="shared" si="12"/>
        <v>0</v>
      </c>
      <c r="P128" s="59">
        <f t="shared" si="12"/>
        <v>0</v>
      </c>
      <c r="Q128" s="59">
        <f t="shared" si="12"/>
        <v>0</v>
      </c>
    </row>
    <row r="129" spans="3:17" ht="15" outlineLevel="2" x14ac:dyDescent="0.25">
      <c r="C129" s="56" t="s">
        <v>397</v>
      </c>
      <c r="D129" s="57" t="s">
        <v>271</v>
      </c>
      <c r="E129" s="58">
        <v>0.77700000000000002</v>
      </c>
      <c r="F129" s="59">
        <f t="shared" si="12"/>
        <v>0</v>
      </c>
      <c r="G129" s="59">
        <f t="shared" si="12"/>
        <v>0</v>
      </c>
      <c r="H129" s="59">
        <f t="shared" si="12"/>
        <v>0</v>
      </c>
      <c r="I129" s="59">
        <f t="shared" si="12"/>
        <v>0</v>
      </c>
      <c r="J129" s="59">
        <f t="shared" si="12"/>
        <v>0</v>
      </c>
      <c r="K129" s="59">
        <f t="shared" si="12"/>
        <v>0</v>
      </c>
      <c r="L129" s="59">
        <f t="shared" si="12"/>
        <v>0</v>
      </c>
      <c r="M129" s="59">
        <f t="shared" si="12"/>
        <v>0</v>
      </c>
      <c r="N129" s="59">
        <f t="shared" si="12"/>
        <v>0</v>
      </c>
      <c r="O129" s="59">
        <f t="shared" si="12"/>
        <v>0</v>
      </c>
      <c r="P129" s="59">
        <f t="shared" si="12"/>
        <v>0</v>
      </c>
      <c r="Q129" s="59">
        <f t="shared" si="12"/>
        <v>0</v>
      </c>
    </row>
    <row r="130" spans="3:17" ht="15" outlineLevel="2" x14ac:dyDescent="0.25">
      <c r="C130" s="56" t="s">
        <v>397</v>
      </c>
      <c r="D130" s="57" t="s">
        <v>272</v>
      </c>
      <c r="E130" s="58">
        <v>1.6519999999999999</v>
      </c>
      <c r="F130" s="59">
        <f t="shared" si="12"/>
        <v>0</v>
      </c>
      <c r="G130" s="59">
        <f t="shared" si="12"/>
        <v>0</v>
      </c>
      <c r="H130" s="59">
        <f t="shared" si="12"/>
        <v>0</v>
      </c>
      <c r="I130" s="59">
        <f t="shared" si="12"/>
        <v>0</v>
      </c>
      <c r="J130" s="59">
        <f t="shared" si="12"/>
        <v>0</v>
      </c>
      <c r="K130" s="59">
        <f t="shared" si="12"/>
        <v>0</v>
      </c>
      <c r="L130" s="59">
        <f t="shared" si="12"/>
        <v>0</v>
      </c>
      <c r="M130" s="59">
        <f t="shared" si="12"/>
        <v>0</v>
      </c>
      <c r="N130" s="59">
        <f t="shared" si="12"/>
        <v>0</v>
      </c>
      <c r="O130" s="59">
        <f t="shared" si="12"/>
        <v>0</v>
      </c>
      <c r="P130" s="59">
        <f t="shared" si="12"/>
        <v>0</v>
      </c>
      <c r="Q130" s="59">
        <f t="shared" si="12"/>
        <v>0</v>
      </c>
    </row>
    <row r="131" spans="3:17" ht="15" outlineLevel="2" x14ac:dyDescent="0.25">
      <c r="C131" s="56" t="s">
        <v>397</v>
      </c>
      <c r="D131" s="57" t="s">
        <v>273</v>
      </c>
      <c r="E131" s="58">
        <v>2.1680000000000001</v>
      </c>
      <c r="F131" s="59">
        <f t="shared" si="12"/>
        <v>0</v>
      </c>
      <c r="G131" s="59">
        <f t="shared" si="12"/>
        <v>0</v>
      </c>
      <c r="H131" s="59">
        <f t="shared" si="12"/>
        <v>0</v>
      </c>
      <c r="I131" s="59">
        <f t="shared" si="12"/>
        <v>0</v>
      </c>
      <c r="J131" s="59">
        <f t="shared" si="12"/>
        <v>0</v>
      </c>
      <c r="K131" s="59">
        <f t="shared" si="12"/>
        <v>0</v>
      </c>
      <c r="L131" s="59">
        <f t="shared" si="12"/>
        <v>0</v>
      </c>
      <c r="M131" s="59">
        <f t="shared" si="12"/>
        <v>0</v>
      </c>
      <c r="N131" s="59">
        <f t="shared" si="12"/>
        <v>0</v>
      </c>
      <c r="O131" s="59">
        <f t="shared" si="12"/>
        <v>0</v>
      </c>
      <c r="P131" s="59">
        <f t="shared" si="12"/>
        <v>0</v>
      </c>
      <c r="Q131" s="59">
        <f t="shared" si="12"/>
        <v>0</v>
      </c>
    </row>
    <row r="132" spans="3:17" ht="15" outlineLevel="2" x14ac:dyDescent="0.25">
      <c r="C132" s="56" t="s">
        <v>397</v>
      </c>
      <c r="D132" s="57" t="s">
        <v>274</v>
      </c>
      <c r="E132" s="58">
        <v>5.1020000000000003</v>
      </c>
      <c r="F132" s="59">
        <f t="shared" si="12"/>
        <v>0</v>
      </c>
      <c r="G132" s="59">
        <f t="shared" si="12"/>
        <v>0</v>
      </c>
      <c r="H132" s="59">
        <f t="shared" si="12"/>
        <v>0</v>
      </c>
      <c r="I132" s="59">
        <f t="shared" si="12"/>
        <v>0</v>
      </c>
      <c r="J132" s="59">
        <f t="shared" si="12"/>
        <v>0</v>
      </c>
      <c r="K132" s="59">
        <f t="shared" si="12"/>
        <v>0</v>
      </c>
      <c r="L132" s="59">
        <f t="shared" si="12"/>
        <v>0</v>
      </c>
      <c r="M132" s="59">
        <f t="shared" si="12"/>
        <v>0</v>
      </c>
      <c r="N132" s="59">
        <f t="shared" si="12"/>
        <v>0</v>
      </c>
      <c r="O132" s="59">
        <f t="shared" si="12"/>
        <v>0</v>
      </c>
      <c r="P132" s="59">
        <f t="shared" si="12"/>
        <v>0</v>
      </c>
      <c r="Q132" s="59">
        <f t="shared" si="12"/>
        <v>0</v>
      </c>
    </row>
    <row r="133" spans="3:17" ht="15" outlineLevel="2" x14ac:dyDescent="0.25">
      <c r="C133" s="56" t="s">
        <v>397</v>
      </c>
      <c r="D133" s="57" t="s">
        <v>342</v>
      </c>
      <c r="E133" s="58">
        <v>0.38300000000000001</v>
      </c>
      <c r="F133" s="59">
        <f t="shared" si="12"/>
        <v>0</v>
      </c>
      <c r="G133" s="59">
        <f t="shared" si="12"/>
        <v>0</v>
      </c>
      <c r="H133" s="59">
        <f t="shared" si="12"/>
        <v>0</v>
      </c>
      <c r="I133" s="59">
        <f t="shared" si="12"/>
        <v>0</v>
      </c>
      <c r="J133" s="59">
        <f t="shared" si="12"/>
        <v>0</v>
      </c>
      <c r="K133" s="59">
        <f t="shared" si="12"/>
        <v>0</v>
      </c>
      <c r="L133" s="59">
        <f t="shared" si="12"/>
        <v>0</v>
      </c>
      <c r="M133" s="59">
        <f t="shared" si="12"/>
        <v>0</v>
      </c>
      <c r="N133" s="59">
        <f t="shared" si="12"/>
        <v>0</v>
      </c>
      <c r="O133" s="59">
        <f t="shared" si="12"/>
        <v>0</v>
      </c>
      <c r="P133" s="59">
        <f t="shared" si="12"/>
        <v>0</v>
      </c>
      <c r="Q133" s="59">
        <f t="shared" si="12"/>
        <v>0</v>
      </c>
    </row>
    <row r="134" spans="3:17" ht="15" outlineLevel="2" x14ac:dyDescent="0.25">
      <c r="C134" s="56" t="s">
        <v>397</v>
      </c>
      <c r="D134" s="57" t="s">
        <v>343</v>
      </c>
      <c r="E134" s="58">
        <v>0.66800000000000004</v>
      </c>
      <c r="F134" s="59">
        <f t="shared" si="12"/>
        <v>0</v>
      </c>
      <c r="G134" s="59">
        <f t="shared" si="12"/>
        <v>0</v>
      </c>
      <c r="H134" s="59">
        <f t="shared" si="12"/>
        <v>0</v>
      </c>
      <c r="I134" s="59">
        <f t="shared" si="12"/>
        <v>0</v>
      </c>
      <c r="J134" s="59">
        <f t="shared" si="12"/>
        <v>0</v>
      </c>
      <c r="K134" s="59">
        <f t="shared" si="12"/>
        <v>0</v>
      </c>
      <c r="L134" s="59">
        <f t="shared" si="12"/>
        <v>0</v>
      </c>
      <c r="M134" s="59">
        <f t="shared" si="12"/>
        <v>0</v>
      </c>
      <c r="N134" s="59">
        <f t="shared" si="12"/>
        <v>0</v>
      </c>
      <c r="O134" s="59">
        <f t="shared" si="12"/>
        <v>0</v>
      </c>
      <c r="P134" s="59">
        <f t="shared" si="12"/>
        <v>0</v>
      </c>
      <c r="Q134" s="59">
        <f t="shared" si="12"/>
        <v>0</v>
      </c>
    </row>
    <row r="135" spans="3:17" ht="15" outlineLevel="2" x14ac:dyDescent="0.25">
      <c r="C135" s="56" t="s">
        <v>397</v>
      </c>
      <c r="D135" s="57" t="s">
        <v>344</v>
      </c>
      <c r="E135" s="58">
        <v>1.42</v>
      </c>
      <c r="F135" s="59">
        <f t="shared" si="12"/>
        <v>0</v>
      </c>
      <c r="G135" s="59">
        <f t="shared" si="12"/>
        <v>0</v>
      </c>
      <c r="H135" s="59">
        <f t="shared" si="12"/>
        <v>0</v>
      </c>
      <c r="I135" s="59">
        <f t="shared" si="12"/>
        <v>0</v>
      </c>
      <c r="J135" s="59">
        <f t="shared" si="12"/>
        <v>0</v>
      </c>
      <c r="K135" s="59">
        <f t="shared" si="12"/>
        <v>0</v>
      </c>
      <c r="L135" s="59">
        <f t="shared" si="12"/>
        <v>0</v>
      </c>
      <c r="M135" s="59">
        <f t="shared" si="12"/>
        <v>0</v>
      </c>
      <c r="N135" s="59">
        <f t="shared" si="12"/>
        <v>0</v>
      </c>
      <c r="O135" s="59">
        <f t="shared" si="12"/>
        <v>0</v>
      </c>
      <c r="P135" s="59">
        <f t="shared" si="12"/>
        <v>0</v>
      </c>
      <c r="Q135" s="59">
        <f t="shared" si="12"/>
        <v>0</v>
      </c>
    </row>
    <row r="136" spans="3:17" ht="15" outlineLevel="2" x14ac:dyDescent="0.25">
      <c r="C136" s="56" t="s">
        <v>397</v>
      </c>
      <c r="D136" s="57" t="s">
        <v>345</v>
      </c>
      <c r="E136" s="58">
        <v>2.1739999999999999</v>
      </c>
      <c r="F136" s="59">
        <f t="shared" si="12"/>
        <v>0</v>
      </c>
      <c r="G136" s="59">
        <f t="shared" si="12"/>
        <v>0</v>
      </c>
      <c r="H136" s="59">
        <f t="shared" si="12"/>
        <v>0</v>
      </c>
      <c r="I136" s="59">
        <f t="shared" si="12"/>
        <v>0</v>
      </c>
      <c r="J136" s="59">
        <f t="shared" si="12"/>
        <v>0</v>
      </c>
      <c r="K136" s="59">
        <f t="shared" si="12"/>
        <v>0</v>
      </c>
      <c r="L136" s="59">
        <f t="shared" si="12"/>
        <v>0</v>
      </c>
      <c r="M136" s="59">
        <f t="shared" si="12"/>
        <v>0</v>
      </c>
      <c r="N136" s="59">
        <f t="shared" si="12"/>
        <v>0</v>
      </c>
      <c r="O136" s="59">
        <f t="shared" si="12"/>
        <v>0</v>
      </c>
      <c r="P136" s="59">
        <f t="shared" si="12"/>
        <v>0</v>
      </c>
      <c r="Q136" s="59">
        <f t="shared" si="12"/>
        <v>0</v>
      </c>
    </row>
    <row r="137" spans="3:17" ht="15" outlineLevel="2" x14ac:dyDescent="0.25">
      <c r="C137" s="56" t="s">
        <v>397</v>
      </c>
      <c r="D137" s="57" t="s">
        <v>266</v>
      </c>
      <c r="E137" s="58">
        <v>0.63900000000000001</v>
      </c>
      <c r="F137" s="59">
        <f t="shared" ref="F137:Q146" si="13">SUMIFS($F$368:$F$1152,$C$368:$C$1152,$C137,$A$368:$A$1152,F$3,$B$368:$B$1152,F$4,$D$368:$D$1152,$D137)</f>
        <v>0</v>
      </c>
      <c r="G137" s="59">
        <f t="shared" si="13"/>
        <v>0</v>
      </c>
      <c r="H137" s="59">
        <f t="shared" si="13"/>
        <v>0</v>
      </c>
      <c r="I137" s="59">
        <f t="shared" si="13"/>
        <v>0</v>
      </c>
      <c r="J137" s="59">
        <f t="shared" si="13"/>
        <v>0</v>
      </c>
      <c r="K137" s="59">
        <f t="shared" si="13"/>
        <v>0</v>
      </c>
      <c r="L137" s="59">
        <f t="shared" si="13"/>
        <v>0</v>
      </c>
      <c r="M137" s="59">
        <f t="shared" si="13"/>
        <v>0</v>
      </c>
      <c r="N137" s="59">
        <f t="shared" si="13"/>
        <v>0</v>
      </c>
      <c r="O137" s="59">
        <f t="shared" si="13"/>
        <v>0</v>
      </c>
      <c r="P137" s="59">
        <f t="shared" si="13"/>
        <v>0</v>
      </c>
      <c r="Q137" s="59">
        <f t="shared" si="13"/>
        <v>0</v>
      </c>
    </row>
    <row r="138" spans="3:17" ht="15" outlineLevel="2" x14ac:dyDescent="0.25">
      <c r="C138" s="56" t="s">
        <v>397</v>
      </c>
      <c r="D138" s="57" t="s">
        <v>267</v>
      </c>
      <c r="E138" s="58">
        <v>1.115</v>
      </c>
      <c r="F138" s="59">
        <f t="shared" si="13"/>
        <v>0</v>
      </c>
      <c r="G138" s="59">
        <f t="shared" si="13"/>
        <v>0</v>
      </c>
      <c r="H138" s="59">
        <f t="shared" si="13"/>
        <v>0</v>
      </c>
      <c r="I138" s="59">
        <f t="shared" si="13"/>
        <v>0</v>
      </c>
      <c r="J138" s="59">
        <f t="shared" si="13"/>
        <v>0</v>
      </c>
      <c r="K138" s="59">
        <f t="shared" si="13"/>
        <v>0</v>
      </c>
      <c r="L138" s="59">
        <f t="shared" si="13"/>
        <v>0</v>
      </c>
      <c r="M138" s="59">
        <f t="shared" si="13"/>
        <v>0</v>
      </c>
      <c r="N138" s="59">
        <f t="shared" si="13"/>
        <v>0</v>
      </c>
      <c r="O138" s="59">
        <f t="shared" si="13"/>
        <v>0</v>
      </c>
      <c r="P138" s="59">
        <f t="shared" si="13"/>
        <v>0</v>
      </c>
      <c r="Q138" s="59">
        <f t="shared" si="13"/>
        <v>0</v>
      </c>
    </row>
    <row r="139" spans="3:17" ht="15" outlineLevel="2" x14ac:dyDescent="0.25">
      <c r="C139" s="56" t="s">
        <v>397</v>
      </c>
      <c r="D139" s="57" t="s">
        <v>268</v>
      </c>
      <c r="E139" s="58">
        <v>2.3690000000000002</v>
      </c>
      <c r="F139" s="59">
        <f t="shared" si="13"/>
        <v>0</v>
      </c>
      <c r="G139" s="59">
        <f t="shared" si="13"/>
        <v>0</v>
      </c>
      <c r="H139" s="59">
        <f t="shared" si="13"/>
        <v>0</v>
      </c>
      <c r="I139" s="59">
        <f t="shared" si="13"/>
        <v>0</v>
      </c>
      <c r="J139" s="59">
        <f t="shared" si="13"/>
        <v>0</v>
      </c>
      <c r="K139" s="59">
        <f t="shared" si="13"/>
        <v>0</v>
      </c>
      <c r="L139" s="59">
        <f t="shared" si="13"/>
        <v>0</v>
      </c>
      <c r="M139" s="59">
        <f t="shared" si="13"/>
        <v>0</v>
      </c>
      <c r="N139" s="59">
        <f t="shared" si="13"/>
        <v>0</v>
      </c>
      <c r="O139" s="59">
        <f t="shared" si="13"/>
        <v>0</v>
      </c>
      <c r="P139" s="59">
        <f t="shared" si="13"/>
        <v>0</v>
      </c>
      <c r="Q139" s="59">
        <f t="shared" si="13"/>
        <v>0</v>
      </c>
    </row>
    <row r="140" spans="3:17" ht="15" outlineLevel="2" x14ac:dyDescent="0.25">
      <c r="C140" s="56" t="s">
        <v>397</v>
      </c>
      <c r="D140" s="277" t="s">
        <v>526</v>
      </c>
      <c r="E140" s="58">
        <v>3.42</v>
      </c>
      <c r="F140" s="59">
        <f t="shared" si="13"/>
        <v>0</v>
      </c>
      <c r="G140" s="59">
        <f t="shared" si="13"/>
        <v>0</v>
      </c>
      <c r="H140" s="59">
        <f t="shared" si="13"/>
        <v>0</v>
      </c>
      <c r="I140" s="59">
        <f t="shared" si="13"/>
        <v>0</v>
      </c>
      <c r="J140" s="59">
        <f t="shared" si="13"/>
        <v>0</v>
      </c>
      <c r="K140" s="59">
        <f t="shared" si="13"/>
        <v>0</v>
      </c>
      <c r="L140" s="59">
        <f t="shared" si="13"/>
        <v>0</v>
      </c>
      <c r="M140" s="59">
        <f t="shared" si="13"/>
        <v>0</v>
      </c>
      <c r="N140" s="59">
        <f t="shared" si="13"/>
        <v>0</v>
      </c>
      <c r="O140" s="59">
        <f t="shared" si="13"/>
        <v>0</v>
      </c>
      <c r="P140" s="59">
        <f t="shared" si="13"/>
        <v>0</v>
      </c>
      <c r="Q140" s="59">
        <f t="shared" si="13"/>
        <v>0</v>
      </c>
    </row>
    <row r="141" spans="3:17" ht="15" outlineLevel="2" x14ac:dyDescent="0.25">
      <c r="C141" s="56" t="s">
        <v>397</v>
      </c>
      <c r="D141" s="57" t="s">
        <v>269</v>
      </c>
      <c r="E141" s="58">
        <v>8.16</v>
      </c>
      <c r="F141" s="59">
        <f t="shared" si="13"/>
        <v>0</v>
      </c>
      <c r="G141" s="59">
        <f t="shared" si="13"/>
        <v>0</v>
      </c>
      <c r="H141" s="59">
        <f t="shared" si="13"/>
        <v>0</v>
      </c>
      <c r="I141" s="59">
        <f t="shared" si="13"/>
        <v>0</v>
      </c>
      <c r="J141" s="59">
        <f t="shared" si="13"/>
        <v>0</v>
      </c>
      <c r="K141" s="59">
        <f t="shared" si="13"/>
        <v>0</v>
      </c>
      <c r="L141" s="59">
        <f t="shared" si="13"/>
        <v>0</v>
      </c>
      <c r="M141" s="59">
        <f t="shared" si="13"/>
        <v>0</v>
      </c>
      <c r="N141" s="59">
        <f t="shared" si="13"/>
        <v>0</v>
      </c>
      <c r="O141" s="59">
        <f t="shared" si="13"/>
        <v>0</v>
      </c>
      <c r="P141" s="59">
        <f t="shared" si="13"/>
        <v>0</v>
      </c>
      <c r="Q141" s="59">
        <f t="shared" si="13"/>
        <v>0</v>
      </c>
    </row>
    <row r="142" spans="3:17" ht="15" outlineLevel="2" x14ac:dyDescent="0.25">
      <c r="C142" s="56" t="s">
        <v>397</v>
      </c>
      <c r="D142" s="57" t="s">
        <v>346</v>
      </c>
      <c r="E142" s="58">
        <v>0.56399999999999995</v>
      </c>
      <c r="F142" s="59">
        <f t="shared" si="13"/>
        <v>0</v>
      </c>
      <c r="G142" s="59">
        <f t="shared" si="13"/>
        <v>0</v>
      </c>
      <c r="H142" s="59">
        <f t="shared" si="13"/>
        <v>0</v>
      </c>
      <c r="I142" s="59">
        <f t="shared" si="13"/>
        <v>0</v>
      </c>
      <c r="J142" s="59">
        <f t="shared" si="13"/>
        <v>0</v>
      </c>
      <c r="K142" s="59">
        <f t="shared" si="13"/>
        <v>0</v>
      </c>
      <c r="L142" s="59">
        <f t="shared" si="13"/>
        <v>0</v>
      </c>
      <c r="M142" s="59">
        <f t="shared" si="13"/>
        <v>0</v>
      </c>
      <c r="N142" s="59">
        <f t="shared" si="13"/>
        <v>0</v>
      </c>
      <c r="O142" s="59">
        <f t="shared" si="13"/>
        <v>0</v>
      </c>
      <c r="P142" s="59">
        <f t="shared" si="13"/>
        <v>0</v>
      </c>
      <c r="Q142" s="59">
        <f t="shared" si="13"/>
        <v>0</v>
      </c>
    </row>
    <row r="143" spans="3:17" ht="15" outlineLevel="2" x14ac:dyDescent="0.25">
      <c r="C143" s="56" t="s">
        <v>397</v>
      </c>
      <c r="D143" s="57" t="s">
        <v>347</v>
      </c>
      <c r="E143" s="58">
        <v>0.95099999999999996</v>
      </c>
      <c r="F143" s="59">
        <f t="shared" si="13"/>
        <v>0</v>
      </c>
      <c r="G143" s="59">
        <f t="shared" si="13"/>
        <v>0</v>
      </c>
      <c r="H143" s="59">
        <f t="shared" si="13"/>
        <v>0</v>
      </c>
      <c r="I143" s="59">
        <f t="shared" si="13"/>
        <v>0</v>
      </c>
      <c r="J143" s="59">
        <f t="shared" si="13"/>
        <v>0</v>
      </c>
      <c r="K143" s="59">
        <f t="shared" si="13"/>
        <v>0</v>
      </c>
      <c r="L143" s="59">
        <f t="shared" si="13"/>
        <v>0</v>
      </c>
      <c r="M143" s="59">
        <f t="shared" si="13"/>
        <v>0</v>
      </c>
      <c r="N143" s="59">
        <f t="shared" si="13"/>
        <v>0</v>
      </c>
      <c r="O143" s="59">
        <f t="shared" si="13"/>
        <v>0</v>
      </c>
      <c r="P143" s="59">
        <f t="shared" si="13"/>
        <v>0</v>
      </c>
      <c r="Q143" s="59">
        <f t="shared" si="13"/>
        <v>0</v>
      </c>
    </row>
    <row r="144" spans="3:17" ht="15" outlineLevel="2" x14ac:dyDescent="0.25">
      <c r="C144" s="56" t="s">
        <v>397</v>
      </c>
      <c r="D144" s="57" t="s">
        <v>348</v>
      </c>
      <c r="E144" s="58">
        <v>2.423</v>
      </c>
      <c r="F144" s="59">
        <f t="shared" si="13"/>
        <v>0</v>
      </c>
      <c r="G144" s="59">
        <f t="shared" si="13"/>
        <v>0</v>
      </c>
      <c r="H144" s="59">
        <f t="shared" si="13"/>
        <v>0</v>
      </c>
      <c r="I144" s="59">
        <f t="shared" si="13"/>
        <v>0</v>
      </c>
      <c r="J144" s="59">
        <f t="shared" si="13"/>
        <v>0</v>
      </c>
      <c r="K144" s="59">
        <f t="shared" si="13"/>
        <v>0</v>
      </c>
      <c r="L144" s="59">
        <f t="shared" si="13"/>
        <v>0</v>
      </c>
      <c r="M144" s="59">
        <f t="shared" si="13"/>
        <v>0</v>
      </c>
      <c r="N144" s="59">
        <f t="shared" si="13"/>
        <v>0</v>
      </c>
      <c r="O144" s="59">
        <f t="shared" si="13"/>
        <v>0</v>
      </c>
      <c r="P144" s="59">
        <f t="shared" si="13"/>
        <v>0</v>
      </c>
      <c r="Q144" s="59">
        <f t="shared" si="13"/>
        <v>0</v>
      </c>
    </row>
    <row r="145" spans="3:17" ht="15" outlineLevel="2" x14ac:dyDescent="0.25">
      <c r="C145" s="56" t="s">
        <v>397</v>
      </c>
      <c r="D145" s="57" t="s">
        <v>349</v>
      </c>
      <c r="E145" s="58">
        <v>3.7120000000000002</v>
      </c>
      <c r="F145" s="59">
        <f t="shared" si="13"/>
        <v>0</v>
      </c>
      <c r="G145" s="59">
        <f t="shared" si="13"/>
        <v>0</v>
      </c>
      <c r="H145" s="59">
        <f t="shared" si="13"/>
        <v>0</v>
      </c>
      <c r="I145" s="59">
        <f t="shared" si="13"/>
        <v>0</v>
      </c>
      <c r="J145" s="59">
        <f t="shared" si="13"/>
        <v>0</v>
      </c>
      <c r="K145" s="59">
        <f t="shared" si="13"/>
        <v>0</v>
      </c>
      <c r="L145" s="59">
        <f t="shared" si="13"/>
        <v>0</v>
      </c>
      <c r="M145" s="59">
        <f t="shared" si="13"/>
        <v>0</v>
      </c>
      <c r="N145" s="59">
        <f t="shared" si="13"/>
        <v>0</v>
      </c>
      <c r="O145" s="59">
        <f t="shared" si="13"/>
        <v>0</v>
      </c>
      <c r="P145" s="59">
        <f t="shared" si="13"/>
        <v>0</v>
      </c>
      <c r="Q145" s="59">
        <f t="shared" si="13"/>
        <v>0</v>
      </c>
    </row>
    <row r="146" spans="3:17" ht="15" outlineLevel="2" x14ac:dyDescent="0.25">
      <c r="C146" s="56" t="s">
        <v>397</v>
      </c>
      <c r="D146" s="57" t="s">
        <v>251</v>
      </c>
      <c r="E146" s="58">
        <v>0.33700000000000002</v>
      </c>
      <c r="F146" s="59">
        <f t="shared" si="13"/>
        <v>0</v>
      </c>
      <c r="G146" s="59">
        <f t="shared" si="13"/>
        <v>0</v>
      </c>
      <c r="H146" s="59">
        <f t="shared" si="13"/>
        <v>0</v>
      </c>
      <c r="I146" s="59">
        <f t="shared" si="13"/>
        <v>0</v>
      </c>
      <c r="J146" s="59">
        <f t="shared" si="13"/>
        <v>0</v>
      </c>
      <c r="K146" s="59">
        <f t="shared" si="13"/>
        <v>0</v>
      </c>
      <c r="L146" s="59">
        <f t="shared" si="13"/>
        <v>0</v>
      </c>
      <c r="M146" s="59">
        <f t="shared" si="13"/>
        <v>0</v>
      </c>
      <c r="N146" s="59">
        <f t="shared" si="13"/>
        <v>0</v>
      </c>
      <c r="O146" s="59">
        <f t="shared" si="13"/>
        <v>0</v>
      </c>
      <c r="P146" s="59">
        <f t="shared" si="13"/>
        <v>0</v>
      </c>
      <c r="Q146" s="59">
        <f t="shared" si="13"/>
        <v>0</v>
      </c>
    </row>
    <row r="147" spans="3:17" ht="15" outlineLevel="2" x14ac:dyDescent="0.25">
      <c r="C147" s="56" t="s">
        <v>397</v>
      </c>
      <c r="D147" s="57" t="s">
        <v>252</v>
      </c>
      <c r="E147" s="58">
        <v>0.58799999999999997</v>
      </c>
      <c r="F147" s="59">
        <f t="shared" ref="F147:Q156" si="14">SUMIFS($F$368:$F$1152,$C$368:$C$1152,$C147,$A$368:$A$1152,F$3,$B$368:$B$1152,F$4,$D$368:$D$1152,$D147)</f>
        <v>0</v>
      </c>
      <c r="G147" s="59">
        <f t="shared" si="14"/>
        <v>0</v>
      </c>
      <c r="H147" s="59">
        <f t="shared" si="14"/>
        <v>0</v>
      </c>
      <c r="I147" s="59">
        <f t="shared" si="14"/>
        <v>0</v>
      </c>
      <c r="J147" s="59">
        <f t="shared" si="14"/>
        <v>0</v>
      </c>
      <c r="K147" s="59">
        <f t="shared" si="14"/>
        <v>0</v>
      </c>
      <c r="L147" s="59">
        <f t="shared" si="14"/>
        <v>0</v>
      </c>
      <c r="M147" s="59">
        <f t="shared" si="14"/>
        <v>0</v>
      </c>
      <c r="N147" s="59">
        <f t="shared" si="14"/>
        <v>0</v>
      </c>
      <c r="O147" s="59">
        <f t="shared" si="14"/>
        <v>0</v>
      </c>
      <c r="P147" s="59">
        <f t="shared" si="14"/>
        <v>0</v>
      </c>
      <c r="Q147" s="59">
        <f t="shared" si="14"/>
        <v>0</v>
      </c>
    </row>
    <row r="148" spans="3:17" ht="15" outlineLevel="2" x14ac:dyDescent="0.25">
      <c r="C148" s="56" t="s">
        <v>397</v>
      </c>
      <c r="D148" s="57" t="s">
        <v>253</v>
      </c>
      <c r="E148" s="58">
        <v>1.2490000000000001</v>
      </c>
      <c r="F148" s="59">
        <f t="shared" si="14"/>
        <v>0</v>
      </c>
      <c r="G148" s="59">
        <f t="shared" si="14"/>
        <v>0</v>
      </c>
      <c r="H148" s="59">
        <f t="shared" si="14"/>
        <v>0</v>
      </c>
      <c r="I148" s="59">
        <f t="shared" si="14"/>
        <v>0</v>
      </c>
      <c r="J148" s="59">
        <f t="shared" si="14"/>
        <v>0</v>
      </c>
      <c r="K148" s="59">
        <f t="shared" si="14"/>
        <v>0</v>
      </c>
      <c r="L148" s="59">
        <f t="shared" si="14"/>
        <v>0</v>
      </c>
      <c r="M148" s="59">
        <f t="shared" si="14"/>
        <v>0</v>
      </c>
      <c r="N148" s="59">
        <f t="shared" si="14"/>
        <v>0</v>
      </c>
      <c r="O148" s="59">
        <f t="shared" si="14"/>
        <v>0</v>
      </c>
      <c r="P148" s="59">
        <f t="shared" si="14"/>
        <v>0</v>
      </c>
      <c r="Q148" s="59">
        <f t="shared" si="14"/>
        <v>0</v>
      </c>
    </row>
    <row r="149" spans="3:17" ht="15" outlineLevel="2" x14ac:dyDescent="0.25">
      <c r="C149" s="56" t="s">
        <v>397</v>
      </c>
      <c r="D149" s="57" t="s">
        <v>254</v>
      </c>
      <c r="E149" s="58">
        <v>1.64</v>
      </c>
      <c r="F149" s="59">
        <f t="shared" si="14"/>
        <v>0</v>
      </c>
      <c r="G149" s="59">
        <f t="shared" si="14"/>
        <v>0</v>
      </c>
      <c r="H149" s="59">
        <f t="shared" si="14"/>
        <v>0</v>
      </c>
      <c r="I149" s="59">
        <f t="shared" si="14"/>
        <v>0</v>
      </c>
      <c r="J149" s="59">
        <f t="shared" si="14"/>
        <v>0</v>
      </c>
      <c r="K149" s="59">
        <f t="shared" si="14"/>
        <v>0</v>
      </c>
      <c r="L149" s="59">
        <f t="shared" si="14"/>
        <v>0</v>
      </c>
      <c r="M149" s="59">
        <f t="shared" si="14"/>
        <v>0</v>
      </c>
      <c r="N149" s="59">
        <f t="shared" si="14"/>
        <v>0</v>
      </c>
      <c r="O149" s="59">
        <f t="shared" si="14"/>
        <v>0</v>
      </c>
      <c r="P149" s="59">
        <f t="shared" si="14"/>
        <v>0</v>
      </c>
      <c r="Q149" s="59">
        <f t="shared" si="14"/>
        <v>0</v>
      </c>
    </row>
    <row r="150" spans="3:17" ht="15" outlineLevel="2" x14ac:dyDescent="0.25">
      <c r="C150" s="56" t="s">
        <v>397</v>
      </c>
      <c r="D150" s="57" t="s">
        <v>255</v>
      </c>
      <c r="E150" s="58">
        <v>3.0070000000000001</v>
      </c>
      <c r="F150" s="59">
        <f t="shared" si="14"/>
        <v>0</v>
      </c>
      <c r="G150" s="59">
        <f t="shared" si="14"/>
        <v>0</v>
      </c>
      <c r="H150" s="59">
        <f t="shared" si="14"/>
        <v>0</v>
      </c>
      <c r="I150" s="59">
        <f t="shared" si="14"/>
        <v>0</v>
      </c>
      <c r="J150" s="59">
        <f t="shared" si="14"/>
        <v>0</v>
      </c>
      <c r="K150" s="59">
        <f t="shared" si="14"/>
        <v>0</v>
      </c>
      <c r="L150" s="59">
        <f t="shared" si="14"/>
        <v>0</v>
      </c>
      <c r="M150" s="59">
        <f t="shared" si="14"/>
        <v>0</v>
      </c>
      <c r="N150" s="59">
        <f t="shared" si="14"/>
        <v>0</v>
      </c>
      <c r="O150" s="59">
        <f t="shared" si="14"/>
        <v>0</v>
      </c>
      <c r="P150" s="59">
        <f t="shared" si="14"/>
        <v>0</v>
      </c>
      <c r="Q150" s="59">
        <f t="shared" si="14"/>
        <v>0</v>
      </c>
    </row>
    <row r="151" spans="3:17" ht="15" outlineLevel="2" x14ac:dyDescent="0.25">
      <c r="C151" s="56" t="s">
        <v>397</v>
      </c>
      <c r="D151" s="57" t="s">
        <v>236</v>
      </c>
      <c r="E151" s="58">
        <v>0.38300000000000001</v>
      </c>
      <c r="F151" s="59">
        <f t="shared" si="14"/>
        <v>0</v>
      </c>
      <c r="G151" s="59">
        <f t="shared" si="14"/>
        <v>0</v>
      </c>
      <c r="H151" s="59">
        <f t="shared" si="14"/>
        <v>0</v>
      </c>
      <c r="I151" s="59">
        <f t="shared" si="14"/>
        <v>0</v>
      </c>
      <c r="J151" s="59">
        <f t="shared" si="14"/>
        <v>0</v>
      </c>
      <c r="K151" s="59">
        <f t="shared" si="14"/>
        <v>0</v>
      </c>
      <c r="L151" s="59">
        <f t="shared" si="14"/>
        <v>0</v>
      </c>
      <c r="M151" s="59">
        <f t="shared" si="14"/>
        <v>0</v>
      </c>
      <c r="N151" s="59">
        <f t="shared" si="14"/>
        <v>0</v>
      </c>
      <c r="O151" s="59">
        <f t="shared" si="14"/>
        <v>0</v>
      </c>
      <c r="P151" s="59">
        <f t="shared" si="14"/>
        <v>0</v>
      </c>
      <c r="Q151" s="59">
        <f t="shared" si="14"/>
        <v>0</v>
      </c>
    </row>
    <row r="152" spans="3:17" ht="15" outlineLevel="2" x14ac:dyDescent="0.25">
      <c r="C152" s="56" t="s">
        <v>397</v>
      </c>
      <c r="D152" s="57" t="s">
        <v>237</v>
      </c>
      <c r="E152" s="58">
        <v>0.66800000000000004</v>
      </c>
      <c r="F152" s="59">
        <f t="shared" si="14"/>
        <v>0</v>
      </c>
      <c r="G152" s="59">
        <f t="shared" si="14"/>
        <v>0</v>
      </c>
      <c r="H152" s="59">
        <f t="shared" si="14"/>
        <v>0</v>
      </c>
      <c r="I152" s="59">
        <f t="shared" si="14"/>
        <v>0</v>
      </c>
      <c r="J152" s="59">
        <f t="shared" si="14"/>
        <v>0</v>
      </c>
      <c r="K152" s="59">
        <f t="shared" si="14"/>
        <v>0</v>
      </c>
      <c r="L152" s="59">
        <f t="shared" si="14"/>
        <v>0</v>
      </c>
      <c r="M152" s="59">
        <f t="shared" si="14"/>
        <v>0</v>
      </c>
      <c r="N152" s="59">
        <f t="shared" si="14"/>
        <v>0</v>
      </c>
      <c r="O152" s="59">
        <f t="shared" si="14"/>
        <v>0</v>
      </c>
      <c r="P152" s="59">
        <f t="shared" si="14"/>
        <v>0</v>
      </c>
      <c r="Q152" s="59">
        <f t="shared" si="14"/>
        <v>0</v>
      </c>
    </row>
    <row r="153" spans="3:17" ht="15" outlineLevel="2" x14ac:dyDescent="0.25">
      <c r="C153" s="56" t="s">
        <v>397</v>
      </c>
      <c r="D153" s="57" t="s">
        <v>238</v>
      </c>
      <c r="E153" s="58">
        <v>1.42</v>
      </c>
      <c r="F153" s="59">
        <f t="shared" si="14"/>
        <v>0</v>
      </c>
      <c r="G153" s="59">
        <f t="shared" si="14"/>
        <v>0</v>
      </c>
      <c r="H153" s="59">
        <f t="shared" si="14"/>
        <v>0</v>
      </c>
      <c r="I153" s="59">
        <f t="shared" si="14"/>
        <v>0</v>
      </c>
      <c r="J153" s="59">
        <f t="shared" si="14"/>
        <v>0</v>
      </c>
      <c r="K153" s="59">
        <f t="shared" si="14"/>
        <v>0</v>
      </c>
      <c r="L153" s="59">
        <f t="shared" si="14"/>
        <v>0</v>
      </c>
      <c r="M153" s="59">
        <f t="shared" si="14"/>
        <v>0</v>
      </c>
      <c r="N153" s="59">
        <f t="shared" si="14"/>
        <v>0</v>
      </c>
      <c r="O153" s="59">
        <f t="shared" si="14"/>
        <v>0</v>
      </c>
      <c r="P153" s="59">
        <f t="shared" si="14"/>
        <v>0</v>
      </c>
      <c r="Q153" s="59">
        <f t="shared" si="14"/>
        <v>0</v>
      </c>
    </row>
    <row r="154" spans="3:17" ht="15" outlineLevel="2" x14ac:dyDescent="0.25">
      <c r="C154" s="56" t="s">
        <v>397</v>
      </c>
      <c r="D154" s="57" t="s">
        <v>239</v>
      </c>
      <c r="E154" s="58">
        <v>1.8640000000000001</v>
      </c>
      <c r="F154" s="59">
        <f t="shared" si="14"/>
        <v>0</v>
      </c>
      <c r="G154" s="59">
        <f t="shared" si="14"/>
        <v>0</v>
      </c>
      <c r="H154" s="59">
        <f t="shared" si="14"/>
        <v>0</v>
      </c>
      <c r="I154" s="59">
        <f t="shared" si="14"/>
        <v>0</v>
      </c>
      <c r="J154" s="59">
        <f t="shared" si="14"/>
        <v>0</v>
      </c>
      <c r="K154" s="59">
        <f t="shared" si="14"/>
        <v>0</v>
      </c>
      <c r="L154" s="59">
        <f t="shared" si="14"/>
        <v>0</v>
      </c>
      <c r="M154" s="59">
        <f t="shared" si="14"/>
        <v>0</v>
      </c>
      <c r="N154" s="59">
        <f t="shared" si="14"/>
        <v>0</v>
      </c>
      <c r="O154" s="59">
        <f t="shared" si="14"/>
        <v>0</v>
      </c>
      <c r="P154" s="59">
        <f t="shared" si="14"/>
        <v>0</v>
      </c>
      <c r="Q154" s="59">
        <f t="shared" si="14"/>
        <v>0</v>
      </c>
    </row>
    <row r="155" spans="3:17" ht="15" outlineLevel="2" x14ac:dyDescent="0.25">
      <c r="C155" s="56" t="s">
        <v>397</v>
      </c>
      <c r="D155" s="57" t="s">
        <v>240</v>
      </c>
      <c r="E155" s="58">
        <v>3.4169999999999998</v>
      </c>
      <c r="F155" s="59">
        <f t="shared" si="14"/>
        <v>0</v>
      </c>
      <c r="G155" s="59">
        <f t="shared" si="14"/>
        <v>0</v>
      </c>
      <c r="H155" s="59">
        <f t="shared" si="14"/>
        <v>0</v>
      </c>
      <c r="I155" s="59">
        <f t="shared" si="14"/>
        <v>0</v>
      </c>
      <c r="J155" s="59">
        <f t="shared" si="14"/>
        <v>0</v>
      </c>
      <c r="K155" s="59">
        <f t="shared" si="14"/>
        <v>0</v>
      </c>
      <c r="L155" s="59">
        <f t="shared" si="14"/>
        <v>0</v>
      </c>
      <c r="M155" s="59">
        <f t="shared" si="14"/>
        <v>0</v>
      </c>
      <c r="N155" s="59">
        <f t="shared" si="14"/>
        <v>0</v>
      </c>
      <c r="O155" s="59">
        <f t="shared" si="14"/>
        <v>0</v>
      </c>
      <c r="P155" s="59">
        <f t="shared" si="14"/>
        <v>0</v>
      </c>
      <c r="Q155" s="59">
        <f t="shared" si="14"/>
        <v>0</v>
      </c>
    </row>
    <row r="156" spans="3:17" ht="15" outlineLevel="2" x14ac:dyDescent="0.25">
      <c r="C156" s="56" t="s">
        <v>397</v>
      </c>
      <c r="D156" s="57" t="s">
        <v>226</v>
      </c>
      <c r="E156" s="58">
        <v>0.56200000000000006</v>
      </c>
      <c r="F156" s="59">
        <f t="shared" si="14"/>
        <v>0</v>
      </c>
      <c r="G156" s="59">
        <f t="shared" si="14"/>
        <v>0</v>
      </c>
      <c r="H156" s="59">
        <f t="shared" si="14"/>
        <v>0</v>
      </c>
      <c r="I156" s="59">
        <f t="shared" si="14"/>
        <v>0</v>
      </c>
      <c r="J156" s="59">
        <f t="shared" si="14"/>
        <v>0</v>
      </c>
      <c r="K156" s="59">
        <f t="shared" si="14"/>
        <v>0</v>
      </c>
      <c r="L156" s="59">
        <f t="shared" si="14"/>
        <v>0</v>
      </c>
      <c r="M156" s="59">
        <f t="shared" si="14"/>
        <v>0</v>
      </c>
      <c r="N156" s="59">
        <f t="shared" si="14"/>
        <v>0</v>
      </c>
      <c r="O156" s="59">
        <f t="shared" si="14"/>
        <v>0</v>
      </c>
      <c r="P156" s="59">
        <f t="shared" si="14"/>
        <v>0</v>
      </c>
      <c r="Q156" s="59">
        <f t="shared" si="14"/>
        <v>0</v>
      </c>
    </row>
    <row r="157" spans="3:17" ht="15" outlineLevel="2" x14ac:dyDescent="0.25">
      <c r="C157" s="56" t="s">
        <v>397</v>
      </c>
      <c r="D157" s="57" t="s">
        <v>227</v>
      </c>
      <c r="E157" s="58">
        <v>0.98</v>
      </c>
      <c r="F157" s="59">
        <f t="shared" ref="F157:Q166" si="15">SUMIFS($F$368:$F$1152,$C$368:$C$1152,$C157,$A$368:$A$1152,F$3,$B$368:$B$1152,F$4,$D$368:$D$1152,$D157)</f>
        <v>0</v>
      </c>
      <c r="G157" s="59">
        <f t="shared" si="15"/>
        <v>0</v>
      </c>
      <c r="H157" s="59">
        <f t="shared" si="15"/>
        <v>0</v>
      </c>
      <c r="I157" s="59">
        <f t="shared" si="15"/>
        <v>0</v>
      </c>
      <c r="J157" s="59">
        <f t="shared" si="15"/>
        <v>0</v>
      </c>
      <c r="K157" s="59">
        <f t="shared" si="15"/>
        <v>0</v>
      </c>
      <c r="L157" s="59">
        <f t="shared" si="15"/>
        <v>0</v>
      </c>
      <c r="M157" s="59">
        <f t="shared" si="15"/>
        <v>0</v>
      </c>
      <c r="N157" s="59">
        <f t="shared" si="15"/>
        <v>0</v>
      </c>
      <c r="O157" s="59">
        <f t="shared" si="15"/>
        <v>0</v>
      </c>
      <c r="P157" s="59">
        <f t="shared" si="15"/>
        <v>0</v>
      </c>
      <c r="Q157" s="59">
        <f t="shared" si="15"/>
        <v>0</v>
      </c>
    </row>
    <row r="158" spans="3:17" ht="15" outlineLevel="2" x14ac:dyDescent="0.25">
      <c r="C158" s="56" t="s">
        <v>397</v>
      </c>
      <c r="D158" s="57" t="s">
        <v>228</v>
      </c>
      <c r="E158" s="58">
        <v>2.0819999999999999</v>
      </c>
      <c r="F158" s="59">
        <f t="shared" si="15"/>
        <v>0</v>
      </c>
      <c r="G158" s="59">
        <f t="shared" si="15"/>
        <v>0</v>
      </c>
      <c r="H158" s="59">
        <f t="shared" si="15"/>
        <v>0</v>
      </c>
      <c r="I158" s="59">
        <f t="shared" si="15"/>
        <v>0</v>
      </c>
      <c r="J158" s="59">
        <f t="shared" si="15"/>
        <v>0</v>
      </c>
      <c r="K158" s="59">
        <f t="shared" si="15"/>
        <v>0</v>
      </c>
      <c r="L158" s="59">
        <f t="shared" si="15"/>
        <v>0</v>
      </c>
      <c r="M158" s="59">
        <f t="shared" si="15"/>
        <v>0</v>
      </c>
      <c r="N158" s="59">
        <f t="shared" si="15"/>
        <v>0</v>
      </c>
      <c r="O158" s="59">
        <f t="shared" si="15"/>
        <v>0</v>
      </c>
      <c r="P158" s="59">
        <f t="shared" si="15"/>
        <v>0</v>
      </c>
      <c r="Q158" s="59">
        <f t="shared" si="15"/>
        <v>0</v>
      </c>
    </row>
    <row r="159" spans="3:17" ht="15" outlineLevel="2" x14ac:dyDescent="0.25">
      <c r="C159" s="56" t="s">
        <v>397</v>
      </c>
      <c r="D159" s="57" t="s">
        <v>229</v>
      </c>
      <c r="E159" s="58">
        <v>2.7330000000000001</v>
      </c>
      <c r="F159" s="59">
        <f t="shared" si="15"/>
        <v>0</v>
      </c>
      <c r="G159" s="59">
        <f t="shared" si="15"/>
        <v>0</v>
      </c>
      <c r="H159" s="59">
        <f t="shared" si="15"/>
        <v>0</v>
      </c>
      <c r="I159" s="59">
        <f t="shared" si="15"/>
        <v>0</v>
      </c>
      <c r="J159" s="59">
        <f t="shared" si="15"/>
        <v>0</v>
      </c>
      <c r="K159" s="59">
        <f t="shared" si="15"/>
        <v>0</v>
      </c>
      <c r="L159" s="59">
        <f t="shared" si="15"/>
        <v>0</v>
      </c>
      <c r="M159" s="59">
        <f t="shared" si="15"/>
        <v>0</v>
      </c>
      <c r="N159" s="59">
        <f t="shared" si="15"/>
        <v>0</v>
      </c>
      <c r="O159" s="59">
        <f t="shared" si="15"/>
        <v>0</v>
      </c>
      <c r="P159" s="59">
        <f t="shared" si="15"/>
        <v>0</v>
      </c>
      <c r="Q159" s="59">
        <f t="shared" si="15"/>
        <v>0</v>
      </c>
    </row>
    <row r="160" spans="3:17" ht="15" outlineLevel="2" x14ac:dyDescent="0.25">
      <c r="C160" s="56" t="s">
        <v>397</v>
      </c>
      <c r="D160" s="57" t="s">
        <v>230</v>
      </c>
      <c r="E160" s="58">
        <v>5.0110000000000001</v>
      </c>
      <c r="F160" s="59">
        <f t="shared" si="15"/>
        <v>0</v>
      </c>
      <c r="G160" s="59">
        <f t="shared" si="15"/>
        <v>0</v>
      </c>
      <c r="H160" s="59">
        <f t="shared" si="15"/>
        <v>0</v>
      </c>
      <c r="I160" s="59">
        <f t="shared" si="15"/>
        <v>0</v>
      </c>
      <c r="J160" s="59">
        <f t="shared" si="15"/>
        <v>0</v>
      </c>
      <c r="K160" s="59">
        <f t="shared" si="15"/>
        <v>0</v>
      </c>
      <c r="L160" s="59">
        <f t="shared" si="15"/>
        <v>0</v>
      </c>
      <c r="M160" s="59">
        <f t="shared" si="15"/>
        <v>0</v>
      </c>
      <c r="N160" s="59">
        <f t="shared" si="15"/>
        <v>0</v>
      </c>
      <c r="O160" s="59">
        <f t="shared" si="15"/>
        <v>0</v>
      </c>
      <c r="P160" s="59">
        <f t="shared" si="15"/>
        <v>0</v>
      </c>
      <c r="Q160" s="59">
        <f t="shared" si="15"/>
        <v>0</v>
      </c>
    </row>
    <row r="161" spans="3:17" ht="15" outlineLevel="2" x14ac:dyDescent="0.25">
      <c r="C161" s="56" t="s">
        <v>397</v>
      </c>
      <c r="D161" s="57" t="s">
        <v>354</v>
      </c>
      <c r="E161" s="58">
        <v>0.48799999999999999</v>
      </c>
      <c r="F161" s="59">
        <f t="shared" si="15"/>
        <v>0</v>
      </c>
      <c r="G161" s="59">
        <f t="shared" si="15"/>
        <v>0</v>
      </c>
      <c r="H161" s="59">
        <f t="shared" si="15"/>
        <v>0</v>
      </c>
      <c r="I161" s="59">
        <f t="shared" si="15"/>
        <v>0</v>
      </c>
      <c r="J161" s="59">
        <f t="shared" si="15"/>
        <v>0</v>
      </c>
      <c r="K161" s="59">
        <f t="shared" si="15"/>
        <v>0</v>
      </c>
      <c r="L161" s="59">
        <f t="shared" si="15"/>
        <v>0</v>
      </c>
      <c r="M161" s="59">
        <f t="shared" si="15"/>
        <v>0</v>
      </c>
      <c r="N161" s="59">
        <f t="shared" si="15"/>
        <v>0</v>
      </c>
      <c r="O161" s="59">
        <f t="shared" si="15"/>
        <v>0</v>
      </c>
      <c r="P161" s="59">
        <f t="shared" si="15"/>
        <v>0</v>
      </c>
      <c r="Q161" s="59">
        <f t="shared" si="15"/>
        <v>0</v>
      </c>
    </row>
    <row r="162" spans="3:17" ht="15" outlineLevel="2" x14ac:dyDescent="0.25">
      <c r="C162" s="56" t="s">
        <v>397</v>
      </c>
      <c r="D162" s="57" t="s">
        <v>355</v>
      </c>
      <c r="E162" s="58">
        <v>0.85399999999999998</v>
      </c>
      <c r="F162" s="59">
        <f t="shared" si="15"/>
        <v>0</v>
      </c>
      <c r="G162" s="59">
        <f t="shared" si="15"/>
        <v>0</v>
      </c>
      <c r="H162" s="59">
        <f t="shared" si="15"/>
        <v>0</v>
      </c>
      <c r="I162" s="59">
        <f t="shared" si="15"/>
        <v>0</v>
      </c>
      <c r="J162" s="59">
        <f t="shared" si="15"/>
        <v>0</v>
      </c>
      <c r="K162" s="59">
        <f t="shared" si="15"/>
        <v>0</v>
      </c>
      <c r="L162" s="59">
        <f t="shared" si="15"/>
        <v>0</v>
      </c>
      <c r="M162" s="59">
        <f t="shared" si="15"/>
        <v>0</v>
      </c>
      <c r="N162" s="59">
        <f t="shared" si="15"/>
        <v>0</v>
      </c>
      <c r="O162" s="59">
        <f t="shared" si="15"/>
        <v>0</v>
      </c>
      <c r="P162" s="59">
        <f t="shared" si="15"/>
        <v>0</v>
      </c>
      <c r="Q162" s="59">
        <f t="shared" si="15"/>
        <v>0</v>
      </c>
    </row>
    <row r="163" spans="3:17" ht="15" outlineLevel="2" x14ac:dyDescent="0.25">
      <c r="C163" s="56" t="s">
        <v>397</v>
      </c>
      <c r="D163" s="57" t="s">
        <v>356</v>
      </c>
      <c r="E163" s="58">
        <v>1.8149999999999999</v>
      </c>
      <c r="F163" s="59">
        <f t="shared" si="15"/>
        <v>0</v>
      </c>
      <c r="G163" s="59">
        <f t="shared" si="15"/>
        <v>0</v>
      </c>
      <c r="H163" s="59">
        <f t="shared" si="15"/>
        <v>0</v>
      </c>
      <c r="I163" s="59">
        <f t="shared" si="15"/>
        <v>0</v>
      </c>
      <c r="J163" s="59">
        <f t="shared" si="15"/>
        <v>0</v>
      </c>
      <c r="K163" s="59">
        <f t="shared" si="15"/>
        <v>0</v>
      </c>
      <c r="L163" s="59">
        <f t="shared" si="15"/>
        <v>0</v>
      </c>
      <c r="M163" s="59">
        <f t="shared" si="15"/>
        <v>0</v>
      </c>
      <c r="N163" s="59">
        <f t="shared" si="15"/>
        <v>0</v>
      </c>
      <c r="O163" s="59">
        <f t="shared" si="15"/>
        <v>0</v>
      </c>
      <c r="P163" s="59">
        <f t="shared" si="15"/>
        <v>0</v>
      </c>
      <c r="Q163" s="59">
        <f t="shared" si="15"/>
        <v>0</v>
      </c>
    </row>
    <row r="164" spans="3:17" ht="15" outlineLevel="2" x14ac:dyDescent="0.25">
      <c r="C164" s="56" t="s">
        <v>397</v>
      </c>
      <c r="D164" s="57" t="s">
        <v>357</v>
      </c>
      <c r="E164" s="58">
        <v>2.3820000000000001</v>
      </c>
      <c r="F164" s="59">
        <f t="shared" si="15"/>
        <v>0</v>
      </c>
      <c r="G164" s="59">
        <f t="shared" si="15"/>
        <v>0</v>
      </c>
      <c r="H164" s="59">
        <f t="shared" si="15"/>
        <v>0</v>
      </c>
      <c r="I164" s="59">
        <f t="shared" si="15"/>
        <v>0</v>
      </c>
      <c r="J164" s="59">
        <f t="shared" si="15"/>
        <v>0</v>
      </c>
      <c r="K164" s="59">
        <f t="shared" si="15"/>
        <v>0</v>
      </c>
      <c r="L164" s="59">
        <f t="shared" si="15"/>
        <v>0</v>
      </c>
      <c r="M164" s="59">
        <f t="shared" si="15"/>
        <v>0</v>
      </c>
      <c r="N164" s="59">
        <f t="shared" si="15"/>
        <v>0</v>
      </c>
      <c r="O164" s="59">
        <f t="shared" si="15"/>
        <v>0</v>
      </c>
      <c r="P164" s="59">
        <f t="shared" si="15"/>
        <v>0</v>
      </c>
      <c r="Q164" s="59">
        <f t="shared" si="15"/>
        <v>0</v>
      </c>
    </row>
    <row r="165" spans="3:17" ht="15" outlineLevel="2" x14ac:dyDescent="0.25">
      <c r="C165" s="56" t="s">
        <v>397</v>
      </c>
      <c r="D165" s="57" t="s">
        <v>216</v>
      </c>
      <c r="E165" s="58">
        <v>0.65400000000000003</v>
      </c>
      <c r="F165" s="59">
        <f t="shared" si="15"/>
        <v>0</v>
      </c>
      <c r="G165" s="59">
        <f t="shared" si="15"/>
        <v>0</v>
      </c>
      <c r="H165" s="59">
        <f t="shared" si="15"/>
        <v>0</v>
      </c>
      <c r="I165" s="59">
        <f t="shared" si="15"/>
        <v>0</v>
      </c>
      <c r="J165" s="59">
        <f t="shared" si="15"/>
        <v>0</v>
      </c>
      <c r="K165" s="59">
        <f t="shared" si="15"/>
        <v>0</v>
      </c>
      <c r="L165" s="59">
        <f t="shared" si="15"/>
        <v>0</v>
      </c>
      <c r="M165" s="59">
        <f t="shared" si="15"/>
        <v>0</v>
      </c>
      <c r="N165" s="59">
        <f t="shared" si="15"/>
        <v>0</v>
      </c>
      <c r="O165" s="59">
        <f t="shared" si="15"/>
        <v>0</v>
      </c>
      <c r="P165" s="59">
        <f t="shared" si="15"/>
        <v>0</v>
      </c>
      <c r="Q165" s="59">
        <f t="shared" si="15"/>
        <v>0</v>
      </c>
    </row>
    <row r="166" spans="3:17" ht="15" outlineLevel="2" x14ac:dyDescent="0.25">
      <c r="C166" s="56" t="s">
        <v>397</v>
      </c>
      <c r="D166" s="57" t="s">
        <v>217</v>
      </c>
      <c r="E166" s="58">
        <v>1.1399999999999999</v>
      </c>
      <c r="F166" s="59">
        <f t="shared" si="15"/>
        <v>0</v>
      </c>
      <c r="G166" s="59">
        <f t="shared" si="15"/>
        <v>0</v>
      </c>
      <c r="H166" s="59">
        <f t="shared" si="15"/>
        <v>0</v>
      </c>
      <c r="I166" s="59">
        <f t="shared" si="15"/>
        <v>0</v>
      </c>
      <c r="J166" s="59">
        <f t="shared" si="15"/>
        <v>0</v>
      </c>
      <c r="K166" s="59">
        <f t="shared" si="15"/>
        <v>0</v>
      </c>
      <c r="L166" s="59">
        <f t="shared" si="15"/>
        <v>0</v>
      </c>
      <c r="M166" s="59">
        <f t="shared" si="15"/>
        <v>0</v>
      </c>
      <c r="N166" s="59">
        <f t="shared" si="15"/>
        <v>0</v>
      </c>
      <c r="O166" s="59">
        <f t="shared" si="15"/>
        <v>0</v>
      </c>
      <c r="P166" s="59">
        <f t="shared" si="15"/>
        <v>0</v>
      </c>
      <c r="Q166" s="59">
        <f t="shared" si="15"/>
        <v>0</v>
      </c>
    </row>
    <row r="167" spans="3:17" ht="15" outlineLevel="2" x14ac:dyDescent="0.25">
      <c r="C167" s="56" t="s">
        <v>397</v>
      </c>
      <c r="D167" s="57" t="s">
        <v>218</v>
      </c>
      <c r="E167" s="58">
        <v>2.423</v>
      </c>
      <c r="F167" s="59">
        <f t="shared" ref="F167:Q176" si="16">SUMIFS($F$368:$F$1152,$C$368:$C$1152,$C167,$A$368:$A$1152,F$3,$B$368:$B$1152,F$4,$D$368:$D$1152,$D167)</f>
        <v>0</v>
      </c>
      <c r="G167" s="59">
        <f t="shared" si="16"/>
        <v>0</v>
      </c>
      <c r="H167" s="59">
        <f t="shared" si="16"/>
        <v>0</v>
      </c>
      <c r="I167" s="59">
        <f t="shared" si="16"/>
        <v>0</v>
      </c>
      <c r="J167" s="59">
        <f t="shared" si="16"/>
        <v>0</v>
      </c>
      <c r="K167" s="59">
        <f t="shared" si="16"/>
        <v>0</v>
      </c>
      <c r="L167" s="59">
        <f t="shared" si="16"/>
        <v>0</v>
      </c>
      <c r="M167" s="59">
        <f t="shared" si="16"/>
        <v>0</v>
      </c>
      <c r="N167" s="59">
        <f t="shared" si="16"/>
        <v>0</v>
      </c>
      <c r="O167" s="59">
        <f t="shared" si="16"/>
        <v>0</v>
      </c>
      <c r="P167" s="59">
        <f t="shared" si="16"/>
        <v>0</v>
      </c>
      <c r="Q167" s="59">
        <f t="shared" si="16"/>
        <v>0</v>
      </c>
    </row>
    <row r="168" spans="3:17" ht="15" outlineLevel="2" x14ac:dyDescent="0.25">
      <c r="C168" s="56" t="s">
        <v>397</v>
      </c>
      <c r="D168" s="57" t="s">
        <v>219</v>
      </c>
      <c r="E168" s="58">
        <v>3.181</v>
      </c>
      <c r="F168" s="59">
        <f t="shared" si="16"/>
        <v>0</v>
      </c>
      <c r="G168" s="59">
        <f t="shared" si="16"/>
        <v>0</v>
      </c>
      <c r="H168" s="59">
        <f t="shared" si="16"/>
        <v>0</v>
      </c>
      <c r="I168" s="59">
        <f t="shared" si="16"/>
        <v>0</v>
      </c>
      <c r="J168" s="59">
        <f t="shared" si="16"/>
        <v>0</v>
      </c>
      <c r="K168" s="59">
        <f t="shared" si="16"/>
        <v>0</v>
      </c>
      <c r="L168" s="59">
        <f t="shared" si="16"/>
        <v>0</v>
      </c>
      <c r="M168" s="59">
        <f t="shared" si="16"/>
        <v>0</v>
      </c>
      <c r="N168" s="59">
        <f t="shared" si="16"/>
        <v>0</v>
      </c>
      <c r="O168" s="59">
        <f t="shared" si="16"/>
        <v>0</v>
      </c>
      <c r="P168" s="59">
        <f t="shared" si="16"/>
        <v>0</v>
      </c>
      <c r="Q168" s="59">
        <f t="shared" si="16"/>
        <v>0</v>
      </c>
    </row>
    <row r="169" spans="3:17" ht="15" outlineLevel="2" x14ac:dyDescent="0.25">
      <c r="C169" s="56" t="s">
        <v>397</v>
      </c>
      <c r="D169" s="57" t="s">
        <v>220</v>
      </c>
      <c r="E169" s="58">
        <v>5.8310000000000004</v>
      </c>
      <c r="F169" s="59">
        <f t="shared" si="16"/>
        <v>0</v>
      </c>
      <c r="G169" s="59">
        <f t="shared" si="16"/>
        <v>0</v>
      </c>
      <c r="H169" s="59">
        <f t="shared" si="16"/>
        <v>0</v>
      </c>
      <c r="I169" s="59">
        <f t="shared" si="16"/>
        <v>0</v>
      </c>
      <c r="J169" s="59">
        <f t="shared" si="16"/>
        <v>0</v>
      </c>
      <c r="K169" s="59">
        <f t="shared" si="16"/>
        <v>0</v>
      </c>
      <c r="L169" s="59">
        <f t="shared" si="16"/>
        <v>0</v>
      </c>
      <c r="M169" s="59">
        <f t="shared" si="16"/>
        <v>0</v>
      </c>
      <c r="N169" s="59">
        <f t="shared" si="16"/>
        <v>0</v>
      </c>
      <c r="O169" s="59">
        <f t="shared" si="16"/>
        <v>0</v>
      </c>
      <c r="P169" s="59">
        <f t="shared" si="16"/>
        <v>0</v>
      </c>
      <c r="Q169" s="59">
        <f t="shared" si="16"/>
        <v>0</v>
      </c>
    </row>
    <row r="170" spans="3:17" ht="15" outlineLevel="2" x14ac:dyDescent="0.25">
      <c r="C170" s="56" t="s">
        <v>397</v>
      </c>
      <c r="D170" s="57" t="s">
        <v>362</v>
      </c>
      <c r="E170" s="58">
        <v>0.56399999999999995</v>
      </c>
      <c r="F170" s="59">
        <f t="shared" si="16"/>
        <v>0</v>
      </c>
      <c r="G170" s="59">
        <f t="shared" si="16"/>
        <v>0</v>
      </c>
      <c r="H170" s="59">
        <f t="shared" si="16"/>
        <v>0</v>
      </c>
      <c r="I170" s="59">
        <f t="shared" si="16"/>
        <v>0</v>
      </c>
      <c r="J170" s="59">
        <f t="shared" si="16"/>
        <v>0</v>
      </c>
      <c r="K170" s="59">
        <f t="shared" si="16"/>
        <v>0</v>
      </c>
      <c r="L170" s="59">
        <f t="shared" si="16"/>
        <v>0</v>
      </c>
      <c r="M170" s="59">
        <f t="shared" si="16"/>
        <v>0</v>
      </c>
      <c r="N170" s="59">
        <f t="shared" si="16"/>
        <v>0</v>
      </c>
      <c r="O170" s="59">
        <f t="shared" si="16"/>
        <v>0</v>
      </c>
      <c r="P170" s="59">
        <f t="shared" si="16"/>
        <v>0</v>
      </c>
      <c r="Q170" s="59">
        <f t="shared" si="16"/>
        <v>0</v>
      </c>
    </row>
    <row r="171" spans="3:17" ht="15" outlineLevel="2" x14ac:dyDescent="0.25">
      <c r="C171" s="56" t="s">
        <v>397</v>
      </c>
      <c r="D171" s="57" t="s">
        <v>363</v>
      </c>
      <c r="E171" s="58">
        <v>0.98299999999999998</v>
      </c>
      <c r="F171" s="59">
        <f t="shared" si="16"/>
        <v>0</v>
      </c>
      <c r="G171" s="59">
        <f t="shared" si="16"/>
        <v>0</v>
      </c>
      <c r="H171" s="59">
        <f t="shared" si="16"/>
        <v>0</v>
      </c>
      <c r="I171" s="59">
        <f t="shared" si="16"/>
        <v>0</v>
      </c>
      <c r="J171" s="59">
        <f t="shared" si="16"/>
        <v>0</v>
      </c>
      <c r="K171" s="59">
        <f t="shared" si="16"/>
        <v>0</v>
      </c>
      <c r="L171" s="59">
        <f t="shared" si="16"/>
        <v>0</v>
      </c>
      <c r="M171" s="59">
        <f t="shared" si="16"/>
        <v>0</v>
      </c>
      <c r="N171" s="59">
        <f t="shared" si="16"/>
        <v>0</v>
      </c>
      <c r="O171" s="59">
        <f t="shared" si="16"/>
        <v>0</v>
      </c>
      <c r="P171" s="59">
        <f t="shared" si="16"/>
        <v>0</v>
      </c>
      <c r="Q171" s="59">
        <f t="shared" si="16"/>
        <v>0</v>
      </c>
    </row>
    <row r="172" spans="3:17" ht="15" outlineLevel="2" x14ac:dyDescent="0.25">
      <c r="C172" s="56" t="s">
        <v>397</v>
      </c>
      <c r="D172" s="57" t="s">
        <v>364</v>
      </c>
      <c r="E172" s="58">
        <v>2.089</v>
      </c>
      <c r="F172" s="59">
        <f t="shared" si="16"/>
        <v>0</v>
      </c>
      <c r="G172" s="59">
        <f t="shared" si="16"/>
        <v>0</v>
      </c>
      <c r="H172" s="59">
        <f t="shared" si="16"/>
        <v>0</v>
      </c>
      <c r="I172" s="59">
        <f t="shared" si="16"/>
        <v>0</v>
      </c>
      <c r="J172" s="59">
        <f t="shared" si="16"/>
        <v>0</v>
      </c>
      <c r="K172" s="59">
        <f t="shared" si="16"/>
        <v>0</v>
      </c>
      <c r="L172" s="59">
        <f t="shared" si="16"/>
        <v>0</v>
      </c>
      <c r="M172" s="59">
        <f t="shared" si="16"/>
        <v>0</v>
      </c>
      <c r="N172" s="59">
        <f t="shared" si="16"/>
        <v>0</v>
      </c>
      <c r="O172" s="59">
        <f t="shared" si="16"/>
        <v>0</v>
      </c>
      <c r="P172" s="59">
        <f t="shared" si="16"/>
        <v>0</v>
      </c>
      <c r="Q172" s="59">
        <f t="shared" si="16"/>
        <v>0</v>
      </c>
    </row>
    <row r="173" spans="3:17" ht="15" outlineLevel="2" x14ac:dyDescent="0.25">
      <c r="C173" s="56" t="s">
        <v>397</v>
      </c>
      <c r="D173" s="57" t="s">
        <v>365</v>
      </c>
      <c r="E173" s="58">
        <v>2.7429999999999999</v>
      </c>
      <c r="F173" s="59">
        <f t="shared" si="16"/>
        <v>0</v>
      </c>
      <c r="G173" s="59">
        <f t="shared" si="16"/>
        <v>0</v>
      </c>
      <c r="H173" s="59">
        <f t="shared" si="16"/>
        <v>0</v>
      </c>
      <c r="I173" s="59">
        <f t="shared" si="16"/>
        <v>0</v>
      </c>
      <c r="J173" s="59">
        <f t="shared" si="16"/>
        <v>0</v>
      </c>
      <c r="K173" s="59">
        <f t="shared" si="16"/>
        <v>0</v>
      </c>
      <c r="L173" s="59">
        <f t="shared" si="16"/>
        <v>0</v>
      </c>
      <c r="M173" s="59">
        <f t="shared" si="16"/>
        <v>0</v>
      </c>
      <c r="N173" s="59">
        <f t="shared" si="16"/>
        <v>0</v>
      </c>
      <c r="O173" s="59">
        <f t="shared" si="16"/>
        <v>0</v>
      </c>
      <c r="P173" s="59">
        <f t="shared" si="16"/>
        <v>0</v>
      </c>
      <c r="Q173" s="59">
        <f t="shared" si="16"/>
        <v>0</v>
      </c>
    </row>
    <row r="174" spans="3:17" ht="15" outlineLevel="2" x14ac:dyDescent="0.25">
      <c r="C174" s="56" t="s">
        <v>397</v>
      </c>
      <c r="D174" s="57" t="s">
        <v>298</v>
      </c>
      <c r="E174" s="58">
        <v>0.51100000000000001</v>
      </c>
      <c r="F174" s="59">
        <f t="shared" si="16"/>
        <v>0</v>
      </c>
      <c r="G174" s="59">
        <f t="shared" si="16"/>
        <v>0</v>
      </c>
      <c r="H174" s="59">
        <f t="shared" si="16"/>
        <v>0</v>
      </c>
      <c r="I174" s="59">
        <f t="shared" si="16"/>
        <v>0</v>
      </c>
      <c r="J174" s="59">
        <f t="shared" si="16"/>
        <v>0</v>
      </c>
      <c r="K174" s="59">
        <f t="shared" si="16"/>
        <v>0</v>
      </c>
      <c r="L174" s="59">
        <f t="shared" si="16"/>
        <v>0</v>
      </c>
      <c r="M174" s="59">
        <f t="shared" si="16"/>
        <v>0</v>
      </c>
      <c r="N174" s="59">
        <f t="shared" si="16"/>
        <v>0</v>
      </c>
      <c r="O174" s="59">
        <f t="shared" si="16"/>
        <v>0</v>
      </c>
      <c r="P174" s="59">
        <f t="shared" si="16"/>
        <v>0</v>
      </c>
      <c r="Q174" s="59">
        <f t="shared" si="16"/>
        <v>0</v>
      </c>
    </row>
    <row r="175" spans="3:17" ht="15" outlineLevel="2" x14ac:dyDescent="0.25">
      <c r="C175" s="56" t="s">
        <v>397</v>
      </c>
      <c r="D175" s="57" t="s">
        <v>299</v>
      </c>
      <c r="E175" s="58">
        <v>0.68500000000000005</v>
      </c>
      <c r="F175" s="59">
        <f t="shared" si="16"/>
        <v>0</v>
      </c>
      <c r="G175" s="59">
        <f t="shared" si="16"/>
        <v>0</v>
      </c>
      <c r="H175" s="59">
        <f t="shared" si="16"/>
        <v>0</v>
      </c>
      <c r="I175" s="59">
        <f t="shared" si="16"/>
        <v>0</v>
      </c>
      <c r="J175" s="59">
        <f t="shared" si="16"/>
        <v>0</v>
      </c>
      <c r="K175" s="59">
        <f t="shared" si="16"/>
        <v>0</v>
      </c>
      <c r="L175" s="59">
        <f t="shared" si="16"/>
        <v>0</v>
      </c>
      <c r="M175" s="59">
        <f t="shared" si="16"/>
        <v>0</v>
      </c>
      <c r="N175" s="59">
        <f t="shared" si="16"/>
        <v>0</v>
      </c>
      <c r="O175" s="59">
        <f t="shared" si="16"/>
        <v>0</v>
      </c>
      <c r="P175" s="59">
        <f t="shared" si="16"/>
        <v>0</v>
      </c>
      <c r="Q175" s="59">
        <f t="shared" si="16"/>
        <v>0</v>
      </c>
    </row>
    <row r="176" spans="3:17" ht="15" outlineLevel="2" x14ac:dyDescent="0.25">
      <c r="C176" s="56" t="s">
        <v>397</v>
      </c>
      <c r="D176" s="57" t="s">
        <v>300</v>
      </c>
      <c r="E176" s="58">
        <v>0.65300000000000002</v>
      </c>
      <c r="F176" s="59">
        <f t="shared" si="16"/>
        <v>0</v>
      </c>
      <c r="G176" s="59">
        <f t="shared" si="16"/>
        <v>0</v>
      </c>
      <c r="H176" s="59">
        <f t="shared" si="16"/>
        <v>0</v>
      </c>
      <c r="I176" s="59">
        <f t="shared" si="16"/>
        <v>0</v>
      </c>
      <c r="J176" s="59">
        <f t="shared" si="16"/>
        <v>0</v>
      </c>
      <c r="K176" s="59">
        <f t="shared" si="16"/>
        <v>0</v>
      </c>
      <c r="L176" s="59">
        <f t="shared" si="16"/>
        <v>0</v>
      </c>
      <c r="M176" s="59">
        <f t="shared" si="16"/>
        <v>0</v>
      </c>
      <c r="N176" s="59">
        <f t="shared" si="16"/>
        <v>0</v>
      </c>
      <c r="O176" s="59">
        <f t="shared" si="16"/>
        <v>0</v>
      </c>
      <c r="P176" s="59">
        <f t="shared" si="16"/>
        <v>0</v>
      </c>
      <c r="Q176" s="59">
        <f t="shared" si="16"/>
        <v>0</v>
      </c>
    </row>
    <row r="177" spans="3:17" ht="15" outlineLevel="2" x14ac:dyDescent="0.25">
      <c r="C177" s="56" t="s">
        <v>397</v>
      </c>
      <c r="D177" s="57" t="s">
        <v>301</v>
      </c>
      <c r="E177" s="58">
        <v>1.3109999999999999</v>
      </c>
      <c r="F177" s="59">
        <f t="shared" ref="F177:Q186" si="17">SUMIFS($F$368:$F$1152,$C$368:$C$1152,$C177,$A$368:$A$1152,F$3,$B$368:$B$1152,F$4,$D$368:$D$1152,$D177)</f>
        <v>0</v>
      </c>
      <c r="G177" s="59">
        <f t="shared" si="17"/>
        <v>0</v>
      </c>
      <c r="H177" s="59">
        <f t="shared" si="17"/>
        <v>0</v>
      </c>
      <c r="I177" s="59">
        <f t="shared" si="17"/>
        <v>0</v>
      </c>
      <c r="J177" s="59">
        <f t="shared" si="17"/>
        <v>0</v>
      </c>
      <c r="K177" s="59">
        <f t="shared" si="17"/>
        <v>0</v>
      </c>
      <c r="L177" s="59">
        <f t="shared" si="17"/>
        <v>0</v>
      </c>
      <c r="M177" s="59">
        <f t="shared" si="17"/>
        <v>0</v>
      </c>
      <c r="N177" s="59">
        <f t="shared" si="17"/>
        <v>0</v>
      </c>
      <c r="O177" s="59">
        <f t="shared" si="17"/>
        <v>0</v>
      </c>
      <c r="P177" s="59">
        <f t="shared" si="17"/>
        <v>0</v>
      </c>
      <c r="Q177" s="59">
        <f t="shared" si="17"/>
        <v>0</v>
      </c>
    </row>
    <row r="178" spans="3:17" ht="15" outlineLevel="2" x14ac:dyDescent="0.25">
      <c r="C178" s="56" t="s">
        <v>397</v>
      </c>
      <c r="D178" s="57" t="s">
        <v>302</v>
      </c>
      <c r="E178" s="58">
        <v>1.0960000000000001</v>
      </c>
      <c r="F178" s="59">
        <f t="shared" si="17"/>
        <v>0</v>
      </c>
      <c r="G178" s="59">
        <f t="shared" si="17"/>
        <v>0</v>
      </c>
      <c r="H178" s="59">
        <f t="shared" si="17"/>
        <v>0</v>
      </c>
      <c r="I178" s="59">
        <f t="shared" si="17"/>
        <v>0</v>
      </c>
      <c r="J178" s="59">
        <f t="shared" si="17"/>
        <v>0</v>
      </c>
      <c r="K178" s="59">
        <f t="shared" si="17"/>
        <v>0</v>
      </c>
      <c r="L178" s="59">
        <f t="shared" si="17"/>
        <v>0</v>
      </c>
      <c r="M178" s="59">
        <f t="shared" si="17"/>
        <v>0</v>
      </c>
      <c r="N178" s="59">
        <f t="shared" si="17"/>
        <v>0</v>
      </c>
      <c r="O178" s="59">
        <f t="shared" si="17"/>
        <v>0</v>
      </c>
      <c r="P178" s="59">
        <f t="shared" si="17"/>
        <v>0</v>
      </c>
      <c r="Q178" s="59">
        <f t="shared" si="17"/>
        <v>0</v>
      </c>
    </row>
    <row r="179" spans="3:17" ht="15" outlineLevel="2" x14ac:dyDescent="0.25">
      <c r="C179" s="56" t="s">
        <v>397</v>
      </c>
      <c r="D179" s="57" t="s">
        <v>303</v>
      </c>
      <c r="E179" s="58">
        <v>1.1259999999999999</v>
      </c>
      <c r="F179" s="59">
        <f t="shared" si="17"/>
        <v>0</v>
      </c>
      <c r="G179" s="59">
        <f t="shared" si="17"/>
        <v>0</v>
      </c>
      <c r="H179" s="59">
        <f t="shared" si="17"/>
        <v>0</v>
      </c>
      <c r="I179" s="59">
        <f t="shared" si="17"/>
        <v>0</v>
      </c>
      <c r="J179" s="59">
        <f t="shared" si="17"/>
        <v>0</v>
      </c>
      <c r="K179" s="59">
        <f t="shared" si="17"/>
        <v>0</v>
      </c>
      <c r="L179" s="59">
        <f t="shared" si="17"/>
        <v>0</v>
      </c>
      <c r="M179" s="59">
        <f t="shared" si="17"/>
        <v>0</v>
      </c>
      <c r="N179" s="59">
        <f t="shared" si="17"/>
        <v>0</v>
      </c>
      <c r="O179" s="59">
        <f t="shared" si="17"/>
        <v>0</v>
      </c>
      <c r="P179" s="59">
        <f t="shared" si="17"/>
        <v>0</v>
      </c>
      <c r="Q179" s="59">
        <f t="shared" si="17"/>
        <v>0</v>
      </c>
    </row>
    <row r="180" spans="3:17" ht="15" outlineLevel="2" x14ac:dyDescent="0.25">
      <c r="C180" s="56" t="s">
        <v>397</v>
      </c>
      <c r="D180" s="57" t="s">
        <v>304</v>
      </c>
      <c r="E180" s="58">
        <v>1.681</v>
      </c>
      <c r="F180" s="59">
        <f t="shared" si="17"/>
        <v>0</v>
      </c>
      <c r="G180" s="59">
        <f t="shared" si="17"/>
        <v>0</v>
      </c>
      <c r="H180" s="59">
        <f t="shared" si="17"/>
        <v>0</v>
      </c>
      <c r="I180" s="59">
        <f t="shared" si="17"/>
        <v>0</v>
      </c>
      <c r="J180" s="59">
        <f t="shared" si="17"/>
        <v>0</v>
      </c>
      <c r="K180" s="59">
        <f t="shared" si="17"/>
        <v>0</v>
      </c>
      <c r="L180" s="59">
        <f t="shared" si="17"/>
        <v>0</v>
      </c>
      <c r="M180" s="59">
        <f t="shared" si="17"/>
        <v>0</v>
      </c>
      <c r="N180" s="59">
        <f t="shared" si="17"/>
        <v>0</v>
      </c>
      <c r="O180" s="59">
        <f t="shared" si="17"/>
        <v>0</v>
      </c>
      <c r="P180" s="59">
        <f t="shared" si="17"/>
        <v>0</v>
      </c>
      <c r="Q180" s="59">
        <f t="shared" si="17"/>
        <v>0</v>
      </c>
    </row>
    <row r="181" spans="3:17" ht="15" outlineLevel="2" x14ac:dyDescent="0.25">
      <c r="C181" s="56" t="s">
        <v>397</v>
      </c>
      <c r="D181" s="57" t="s">
        <v>305</v>
      </c>
      <c r="E181" s="58">
        <v>1.597</v>
      </c>
      <c r="F181" s="59">
        <f t="shared" si="17"/>
        <v>0</v>
      </c>
      <c r="G181" s="59">
        <f t="shared" si="17"/>
        <v>0</v>
      </c>
      <c r="H181" s="59">
        <f t="shared" si="17"/>
        <v>0</v>
      </c>
      <c r="I181" s="59">
        <f t="shared" si="17"/>
        <v>0</v>
      </c>
      <c r="J181" s="59">
        <f t="shared" si="17"/>
        <v>0</v>
      </c>
      <c r="K181" s="59">
        <f t="shared" si="17"/>
        <v>0</v>
      </c>
      <c r="L181" s="59">
        <f t="shared" si="17"/>
        <v>0</v>
      </c>
      <c r="M181" s="59">
        <f t="shared" si="17"/>
        <v>0</v>
      </c>
      <c r="N181" s="59">
        <f t="shared" si="17"/>
        <v>0</v>
      </c>
      <c r="O181" s="59">
        <f t="shared" si="17"/>
        <v>0</v>
      </c>
      <c r="P181" s="59">
        <f t="shared" si="17"/>
        <v>0</v>
      </c>
      <c r="Q181" s="59">
        <f t="shared" si="17"/>
        <v>0</v>
      </c>
    </row>
    <row r="182" spans="3:17" ht="15" outlineLevel="2" x14ac:dyDescent="0.25">
      <c r="C182" s="56" t="s">
        <v>397</v>
      </c>
      <c r="D182" s="57" t="s">
        <v>306</v>
      </c>
      <c r="E182" s="58">
        <v>0.65300000000000002</v>
      </c>
      <c r="F182" s="59">
        <f t="shared" si="17"/>
        <v>0</v>
      </c>
      <c r="G182" s="59">
        <f t="shared" si="17"/>
        <v>0</v>
      </c>
      <c r="H182" s="59">
        <f t="shared" si="17"/>
        <v>0</v>
      </c>
      <c r="I182" s="59">
        <f t="shared" si="17"/>
        <v>0</v>
      </c>
      <c r="J182" s="59">
        <f t="shared" si="17"/>
        <v>0</v>
      </c>
      <c r="K182" s="59">
        <f t="shared" si="17"/>
        <v>0</v>
      </c>
      <c r="L182" s="59">
        <f t="shared" si="17"/>
        <v>0</v>
      </c>
      <c r="M182" s="59">
        <f t="shared" si="17"/>
        <v>0</v>
      </c>
      <c r="N182" s="59">
        <f t="shared" si="17"/>
        <v>0</v>
      </c>
      <c r="O182" s="59">
        <f t="shared" si="17"/>
        <v>0</v>
      </c>
      <c r="P182" s="59">
        <f t="shared" si="17"/>
        <v>0</v>
      </c>
      <c r="Q182" s="59">
        <f t="shared" si="17"/>
        <v>0</v>
      </c>
    </row>
    <row r="183" spans="3:17" ht="15" outlineLevel="2" x14ac:dyDescent="0.25">
      <c r="C183" s="56" t="s">
        <v>397</v>
      </c>
      <c r="D183" s="57" t="s">
        <v>307</v>
      </c>
      <c r="E183" s="58">
        <v>0.78</v>
      </c>
      <c r="F183" s="59">
        <f t="shared" si="17"/>
        <v>0</v>
      </c>
      <c r="G183" s="59">
        <f t="shared" si="17"/>
        <v>0</v>
      </c>
      <c r="H183" s="59">
        <f t="shared" si="17"/>
        <v>0</v>
      </c>
      <c r="I183" s="59">
        <f t="shared" si="17"/>
        <v>0</v>
      </c>
      <c r="J183" s="59">
        <f t="shared" si="17"/>
        <v>0</v>
      </c>
      <c r="K183" s="59">
        <f t="shared" si="17"/>
        <v>0</v>
      </c>
      <c r="L183" s="59">
        <f t="shared" si="17"/>
        <v>0</v>
      </c>
      <c r="M183" s="59">
        <f t="shared" si="17"/>
        <v>0</v>
      </c>
      <c r="N183" s="59">
        <f t="shared" si="17"/>
        <v>0</v>
      </c>
      <c r="O183" s="59">
        <f t="shared" si="17"/>
        <v>0</v>
      </c>
      <c r="P183" s="59">
        <f t="shared" si="17"/>
        <v>0</v>
      </c>
      <c r="Q183" s="59">
        <f t="shared" si="17"/>
        <v>0</v>
      </c>
    </row>
    <row r="184" spans="3:17" ht="15" outlineLevel="2" x14ac:dyDescent="0.25">
      <c r="C184" s="56" t="s">
        <v>397</v>
      </c>
      <c r="D184" s="57" t="s">
        <v>308</v>
      </c>
      <c r="E184" s="58">
        <v>1.4059999999999999</v>
      </c>
      <c r="F184" s="59">
        <f t="shared" si="17"/>
        <v>0</v>
      </c>
      <c r="G184" s="59">
        <f t="shared" si="17"/>
        <v>0</v>
      </c>
      <c r="H184" s="59">
        <f t="shared" si="17"/>
        <v>0</v>
      </c>
      <c r="I184" s="59">
        <f t="shared" si="17"/>
        <v>0</v>
      </c>
      <c r="J184" s="59">
        <f t="shared" si="17"/>
        <v>0</v>
      </c>
      <c r="K184" s="59">
        <f t="shared" si="17"/>
        <v>0</v>
      </c>
      <c r="L184" s="59">
        <f t="shared" si="17"/>
        <v>0</v>
      </c>
      <c r="M184" s="59">
        <f t="shared" si="17"/>
        <v>0</v>
      </c>
      <c r="N184" s="59">
        <f t="shared" si="17"/>
        <v>0</v>
      </c>
      <c r="O184" s="59">
        <f t="shared" si="17"/>
        <v>0</v>
      </c>
      <c r="P184" s="59">
        <f t="shared" si="17"/>
        <v>0</v>
      </c>
      <c r="Q184" s="59">
        <f t="shared" si="17"/>
        <v>0</v>
      </c>
    </row>
    <row r="185" spans="3:17" ht="15" outlineLevel="2" x14ac:dyDescent="0.25">
      <c r="C185" s="56" t="s">
        <v>397</v>
      </c>
      <c r="D185" s="57" t="s">
        <v>309</v>
      </c>
      <c r="E185" s="58">
        <v>1.504</v>
      </c>
      <c r="F185" s="59">
        <f t="shared" si="17"/>
        <v>0</v>
      </c>
      <c r="G185" s="59">
        <f t="shared" si="17"/>
        <v>0</v>
      </c>
      <c r="H185" s="59">
        <f t="shared" si="17"/>
        <v>0</v>
      </c>
      <c r="I185" s="59">
        <f t="shared" si="17"/>
        <v>0</v>
      </c>
      <c r="J185" s="59">
        <f t="shared" si="17"/>
        <v>0</v>
      </c>
      <c r="K185" s="59">
        <f t="shared" si="17"/>
        <v>0</v>
      </c>
      <c r="L185" s="59">
        <f t="shared" si="17"/>
        <v>0</v>
      </c>
      <c r="M185" s="59">
        <f t="shared" si="17"/>
        <v>0</v>
      </c>
      <c r="N185" s="59">
        <f t="shared" si="17"/>
        <v>0</v>
      </c>
      <c r="O185" s="59">
        <f t="shared" si="17"/>
        <v>0</v>
      </c>
      <c r="P185" s="59">
        <f t="shared" si="17"/>
        <v>0</v>
      </c>
      <c r="Q185" s="59">
        <f t="shared" si="17"/>
        <v>0</v>
      </c>
    </row>
    <row r="186" spans="3:17" ht="15" outlineLevel="2" x14ac:dyDescent="0.25">
      <c r="C186" s="56" t="s">
        <v>397</v>
      </c>
      <c r="D186" s="57" t="s">
        <v>310</v>
      </c>
      <c r="E186" s="58">
        <v>1.776</v>
      </c>
      <c r="F186" s="59">
        <f t="shared" si="17"/>
        <v>0</v>
      </c>
      <c r="G186" s="59">
        <f t="shared" si="17"/>
        <v>0</v>
      </c>
      <c r="H186" s="59">
        <f t="shared" si="17"/>
        <v>0</v>
      </c>
      <c r="I186" s="59">
        <f t="shared" si="17"/>
        <v>0</v>
      </c>
      <c r="J186" s="59">
        <f t="shared" si="17"/>
        <v>0</v>
      </c>
      <c r="K186" s="59">
        <f t="shared" si="17"/>
        <v>0</v>
      </c>
      <c r="L186" s="59">
        <f t="shared" si="17"/>
        <v>0</v>
      </c>
      <c r="M186" s="59">
        <f t="shared" si="17"/>
        <v>0</v>
      </c>
      <c r="N186" s="59">
        <f t="shared" si="17"/>
        <v>0</v>
      </c>
      <c r="O186" s="59">
        <f t="shared" si="17"/>
        <v>0</v>
      </c>
      <c r="P186" s="59">
        <f t="shared" si="17"/>
        <v>0</v>
      </c>
      <c r="Q186" s="59">
        <f t="shared" si="17"/>
        <v>0</v>
      </c>
    </row>
    <row r="187" spans="3:17" ht="15" outlineLevel="2" x14ac:dyDescent="0.25">
      <c r="C187" s="56" t="s">
        <v>397</v>
      </c>
      <c r="D187" s="57" t="s">
        <v>311</v>
      </c>
      <c r="E187" s="58">
        <v>1.913</v>
      </c>
      <c r="F187" s="59">
        <f t="shared" ref="F187:Q196" si="18">SUMIFS($F$368:$F$1152,$C$368:$C$1152,$C187,$A$368:$A$1152,F$3,$B$368:$B$1152,F$4,$D$368:$D$1152,$D187)</f>
        <v>0</v>
      </c>
      <c r="G187" s="59">
        <f t="shared" si="18"/>
        <v>0</v>
      </c>
      <c r="H187" s="59">
        <f t="shared" si="18"/>
        <v>0</v>
      </c>
      <c r="I187" s="59">
        <f t="shared" si="18"/>
        <v>0</v>
      </c>
      <c r="J187" s="59">
        <f t="shared" si="18"/>
        <v>0</v>
      </c>
      <c r="K187" s="59">
        <f t="shared" si="18"/>
        <v>0</v>
      </c>
      <c r="L187" s="59">
        <f t="shared" si="18"/>
        <v>0</v>
      </c>
      <c r="M187" s="59">
        <f t="shared" si="18"/>
        <v>0</v>
      </c>
      <c r="N187" s="59">
        <f t="shared" si="18"/>
        <v>0</v>
      </c>
      <c r="O187" s="59">
        <f t="shared" si="18"/>
        <v>0</v>
      </c>
      <c r="P187" s="59">
        <f t="shared" si="18"/>
        <v>0</v>
      </c>
      <c r="Q187" s="59">
        <f t="shared" si="18"/>
        <v>0</v>
      </c>
    </row>
    <row r="188" spans="3:17" ht="15" outlineLevel="2" x14ac:dyDescent="0.25">
      <c r="C188" s="56" t="s">
        <v>397</v>
      </c>
      <c r="D188" s="57" t="s">
        <v>312</v>
      </c>
      <c r="E188" s="58">
        <v>1.141</v>
      </c>
      <c r="F188" s="59">
        <f t="shared" si="18"/>
        <v>0</v>
      </c>
      <c r="G188" s="59">
        <f t="shared" si="18"/>
        <v>0</v>
      </c>
      <c r="H188" s="59">
        <f t="shared" si="18"/>
        <v>0</v>
      </c>
      <c r="I188" s="59">
        <f t="shared" si="18"/>
        <v>0</v>
      </c>
      <c r="J188" s="59">
        <f t="shared" si="18"/>
        <v>0</v>
      </c>
      <c r="K188" s="59">
        <f t="shared" si="18"/>
        <v>0</v>
      </c>
      <c r="L188" s="59">
        <f t="shared" si="18"/>
        <v>0</v>
      </c>
      <c r="M188" s="59">
        <f t="shared" si="18"/>
        <v>0</v>
      </c>
      <c r="N188" s="59">
        <f t="shared" si="18"/>
        <v>0</v>
      </c>
      <c r="O188" s="59">
        <f t="shared" si="18"/>
        <v>0</v>
      </c>
      <c r="P188" s="59">
        <f t="shared" si="18"/>
        <v>0</v>
      </c>
      <c r="Q188" s="59">
        <f t="shared" si="18"/>
        <v>0</v>
      </c>
    </row>
    <row r="189" spans="3:17" ht="15" outlineLevel="2" x14ac:dyDescent="0.25">
      <c r="C189" s="56" t="s">
        <v>397</v>
      </c>
      <c r="D189" s="57" t="s">
        <v>313</v>
      </c>
      <c r="E189" s="58">
        <v>1.893</v>
      </c>
      <c r="F189" s="59">
        <f t="shared" si="18"/>
        <v>0</v>
      </c>
      <c r="G189" s="59">
        <f t="shared" si="18"/>
        <v>0</v>
      </c>
      <c r="H189" s="59">
        <f t="shared" si="18"/>
        <v>0</v>
      </c>
      <c r="I189" s="59">
        <f t="shared" si="18"/>
        <v>0</v>
      </c>
      <c r="J189" s="59">
        <f t="shared" si="18"/>
        <v>0</v>
      </c>
      <c r="K189" s="59">
        <f t="shared" si="18"/>
        <v>0</v>
      </c>
      <c r="L189" s="59">
        <f t="shared" si="18"/>
        <v>0</v>
      </c>
      <c r="M189" s="59">
        <f t="shared" si="18"/>
        <v>0</v>
      </c>
      <c r="N189" s="59">
        <f t="shared" si="18"/>
        <v>0</v>
      </c>
      <c r="O189" s="59">
        <f t="shared" si="18"/>
        <v>0</v>
      </c>
      <c r="P189" s="59">
        <f t="shared" si="18"/>
        <v>0</v>
      </c>
      <c r="Q189" s="59">
        <f t="shared" si="18"/>
        <v>0</v>
      </c>
    </row>
    <row r="190" spans="3:17" ht="15" outlineLevel="2" x14ac:dyDescent="0.25">
      <c r="C190" s="56" t="s">
        <v>397</v>
      </c>
      <c r="D190" s="57" t="s">
        <v>314</v>
      </c>
      <c r="E190" s="58">
        <v>2.3370000000000002</v>
      </c>
      <c r="F190" s="59">
        <f t="shared" si="18"/>
        <v>0</v>
      </c>
      <c r="G190" s="59">
        <f t="shared" si="18"/>
        <v>0</v>
      </c>
      <c r="H190" s="59">
        <f t="shared" si="18"/>
        <v>0</v>
      </c>
      <c r="I190" s="59">
        <f t="shared" si="18"/>
        <v>0</v>
      </c>
      <c r="J190" s="59">
        <f t="shared" si="18"/>
        <v>0</v>
      </c>
      <c r="K190" s="59">
        <f t="shared" si="18"/>
        <v>0</v>
      </c>
      <c r="L190" s="59">
        <f t="shared" si="18"/>
        <v>0</v>
      </c>
      <c r="M190" s="59">
        <f t="shared" si="18"/>
        <v>0</v>
      </c>
      <c r="N190" s="59">
        <f t="shared" si="18"/>
        <v>0</v>
      </c>
      <c r="O190" s="59">
        <f t="shared" si="18"/>
        <v>0</v>
      </c>
      <c r="P190" s="59">
        <f t="shared" si="18"/>
        <v>0</v>
      </c>
      <c r="Q190" s="59">
        <f t="shared" si="18"/>
        <v>0</v>
      </c>
    </row>
    <row r="191" spans="3:17" ht="15" outlineLevel="2" x14ac:dyDescent="0.25">
      <c r="C191" s="56" t="s">
        <v>397</v>
      </c>
      <c r="D191" s="57" t="s">
        <v>315</v>
      </c>
      <c r="E191" s="58">
        <v>1.401</v>
      </c>
      <c r="F191" s="59">
        <f t="shared" si="18"/>
        <v>0</v>
      </c>
      <c r="G191" s="59">
        <f t="shared" si="18"/>
        <v>0</v>
      </c>
      <c r="H191" s="59">
        <f t="shared" si="18"/>
        <v>0</v>
      </c>
      <c r="I191" s="59">
        <f t="shared" si="18"/>
        <v>0</v>
      </c>
      <c r="J191" s="59">
        <f t="shared" si="18"/>
        <v>0</v>
      </c>
      <c r="K191" s="59">
        <f t="shared" si="18"/>
        <v>0</v>
      </c>
      <c r="L191" s="59">
        <f t="shared" si="18"/>
        <v>0</v>
      </c>
      <c r="M191" s="59">
        <f t="shared" si="18"/>
        <v>0</v>
      </c>
      <c r="N191" s="59">
        <f t="shared" si="18"/>
        <v>0</v>
      </c>
      <c r="O191" s="59">
        <f t="shared" si="18"/>
        <v>0</v>
      </c>
      <c r="P191" s="59">
        <f t="shared" si="18"/>
        <v>0</v>
      </c>
      <c r="Q191" s="59">
        <f t="shared" si="18"/>
        <v>0</v>
      </c>
    </row>
    <row r="192" spans="3:17" ht="15" outlineLevel="2" x14ac:dyDescent="0.25">
      <c r="C192" s="56" t="s">
        <v>397</v>
      </c>
      <c r="D192" s="57" t="s">
        <v>316</v>
      </c>
      <c r="E192" s="58">
        <v>2.278</v>
      </c>
      <c r="F192" s="59">
        <f t="shared" si="18"/>
        <v>0</v>
      </c>
      <c r="G192" s="59">
        <f t="shared" si="18"/>
        <v>0</v>
      </c>
      <c r="H192" s="59">
        <f t="shared" si="18"/>
        <v>0</v>
      </c>
      <c r="I192" s="59">
        <f t="shared" si="18"/>
        <v>0</v>
      </c>
      <c r="J192" s="59">
        <f t="shared" si="18"/>
        <v>0</v>
      </c>
      <c r="K192" s="59">
        <f t="shared" si="18"/>
        <v>0</v>
      </c>
      <c r="L192" s="59">
        <f t="shared" si="18"/>
        <v>0</v>
      </c>
      <c r="M192" s="59">
        <f t="shared" si="18"/>
        <v>0</v>
      </c>
      <c r="N192" s="59">
        <f t="shared" si="18"/>
        <v>0</v>
      </c>
      <c r="O192" s="59">
        <f t="shared" si="18"/>
        <v>0</v>
      </c>
      <c r="P192" s="59">
        <f t="shared" si="18"/>
        <v>0</v>
      </c>
      <c r="Q192" s="59">
        <f t="shared" si="18"/>
        <v>0</v>
      </c>
    </row>
    <row r="193" spans="3:17" ht="15" outlineLevel="2" x14ac:dyDescent="0.25">
      <c r="C193" s="56" t="s">
        <v>397</v>
      </c>
      <c r="D193" s="57" t="s">
        <v>317</v>
      </c>
      <c r="E193" s="58">
        <v>2.7959999999999998</v>
      </c>
      <c r="F193" s="59">
        <f t="shared" si="18"/>
        <v>0</v>
      </c>
      <c r="G193" s="59">
        <f t="shared" si="18"/>
        <v>0</v>
      </c>
      <c r="H193" s="59">
        <f t="shared" si="18"/>
        <v>0</v>
      </c>
      <c r="I193" s="59">
        <f t="shared" si="18"/>
        <v>0</v>
      </c>
      <c r="J193" s="59">
        <f t="shared" si="18"/>
        <v>0</v>
      </c>
      <c r="K193" s="59">
        <f t="shared" si="18"/>
        <v>0</v>
      </c>
      <c r="L193" s="59">
        <f t="shared" si="18"/>
        <v>0</v>
      </c>
      <c r="M193" s="59">
        <f t="shared" si="18"/>
        <v>0</v>
      </c>
      <c r="N193" s="59">
        <f t="shared" si="18"/>
        <v>0</v>
      </c>
      <c r="O193" s="59">
        <f t="shared" si="18"/>
        <v>0</v>
      </c>
      <c r="P193" s="59">
        <f t="shared" si="18"/>
        <v>0</v>
      </c>
      <c r="Q193" s="59">
        <f t="shared" si="18"/>
        <v>0</v>
      </c>
    </row>
    <row r="194" spans="3:17" ht="15" outlineLevel="2" x14ac:dyDescent="0.25">
      <c r="C194" s="56" t="s">
        <v>397</v>
      </c>
      <c r="D194" s="57" t="s">
        <v>105</v>
      </c>
      <c r="E194" s="58">
        <v>0.72699999999999998</v>
      </c>
      <c r="F194" s="59">
        <f t="shared" si="18"/>
        <v>0</v>
      </c>
      <c r="G194" s="59">
        <f t="shared" si="18"/>
        <v>0</v>
      </c>
      <c r="H194" s="59">
        <f t="shared" si="18"/>
        <v>0</v>
      </c>
      <c r="I194" s="59">
        <f t="shared" si="18"/>
        <v>0</v>
      </c>
      <c r="J194" s="59">
        <f t="shared" si="18"/>
        <v>0</v>
      </c>
      <c r="K194" s="59">
        <f t="shared" si="18"/>
        <v>0</v>
      </c>
      <c r="L194" s="59">
        <f t="shared" si="18"/>
        <v>0</v>
      </c>
      <c r="M194" s="59">
        <f t="shared" si="18"/>
        <v>0</v>
      </c>
      <c r="N194" s="59">
        <f t="shared" si="18"/>
        <v>0</v>
      </c>
      <c r="O194" s="59">
        <f t="shared" si="18"/>
        <v>0</v>
      </c>
      <c r="P194" s="59">
        <f t="shared" si="18"/>
        <v>0</v>
      </c>
      <c r="Q194" s="59">
        <f t="shared" si="18"/>
        <v>0</v>
      </c>
    </row>
    <row r="195" spans="3:17" ht="15" outlineLevel="2" x14ac:dyDescent="0.25">
      <c r="C195" s="56" t="s">
        <v>397</v>
      </c>
      <c r="D195" s="57" t="s">
        <v>110</v>
      </c>
      <c r="E195" s="58">
        <v>1.06</v>
      </c>
      <c r="F195" s="59">
        <f t="shared" si="18"/>
        <v>0</v>
      </c>
      <c r="G195" s="59">
        <f t="shared" si="18"/>
        <v>0</v>
      </c>
      <c r="H195" s="59">
        <f t="shared" si="18"/>
        <v>0</v>
      </c>
      <c r="I195" s="59">
        <f t="shared" si="18"/>
        <v>0</v>
      </c>
      <c r="J195" s="59">
        <f t="shared" si="18"/>
        <v>0</v>
      </c>
      <c r="K195" s="59">
        <f t="shared" si="18"/>
        <v>0</v>
      </c>
      <c r="L195" s="59">
        <f t="shared" si="18"/>
        <v>0</v>
      </c>
      <c r="M195" s="59">
        <f t="shared" si="18"/>
        <v>0</v>
      </c>
      <c r="N195" s="59">
        <f t="shared" si="18"/>
        <v>0</v>
      </c>
      <c r="O195" s="59">
        <f t="shared" si="18"/>
        <v>0</v>
      </c>
      <c r="P195" s="59">
        <f t="shared" si="18"/>
        <v>0</v>
      </c>
      <c r="Q195" s="59">
        <f t="shared" si="18"/>
        <v>0</v>
      </c>
    </row>
    <row r="196" spans="3:17" ht="15" outlineLevel="2" x14ac:dyDescent="0.25">
      <c r="C196" s="56" t="s">
        <v>397</v>
      </c>
      <c r="D196" s="57" t="s">
        <v>111</v>
      </c>
      <c r="E196" s="58">
        <v>1.9330000000000001</v>
      </c>
      <c r="F196" s="59">
        <f t="shared" si="18"/>
        <v>0</v>
      </c>
      <c r="G196" s="59">
        <f t="shared" si="18"/>
        <v>0</v>
      </c>
      <c r="H196" s="59">
        <f t="shared" si="18"/>
        <v>0</v>
      </c>
      <c r="I196" s="59">
        <f t="shared" si="18"/>
        <v>0</v>
      </c>
      <c r="J196" s="59">
        <f t="shared" si="18"/>
        <v>0</v>
      </c>
      <c r="K196" s="59">
        <f t="shared" si="18"/>
        <v>0</v>
      </c>
      <c r="L196" s="59">
        <f t="shared" si="18"/>
        <v>0</v>
      </c>
      <c r="M196" s="59">
        <f t="shared" si="18"/>
        <v>0</v>
      </c>
      <c r="N196" s="59">
        <f t="shared" si="18"/>
        <v>0</v>
      </c>
      <c r="O196" s="59">
        <f t="shared" si="18"/>
        <v>0</v>
      </c>
      <c r="P196" s="59">
        <f t="shared" si="18"/>
        <v>0</v>
      </c>
      <c r="Q196" s="59">
        <f t="shared" si="18"/>
        <v>0</v>
      </c>
    </row>
    <row r="197" spans="3:17" ht="15" outlineLevel="2" x14ac:dyDescent="0.25">
      <c r="C197" s="56" t="s">
        <v>397</v>
      </c>
      <c r="D197" s="57" t="s">
        <v>112</v>
      </c>
      <c r="E197" s="58">
        <v>2.4510000000000001</v>
      </c>
      <c r="F197" s="59">
        <f t="shared" ref="F197:Q206" si="19">SUMIFS($F$368:$F$1152,$C$368:$C$1152,$C197,$A$368:$A$1152,F$3,$B$368:$B$1152,F$4,$D$368:$D$1152,$D197)</f>
        <v>0</v>
      </c>
      <c r="G197" s="59">
        <f t="shared" si="19"/>
        <v>0</v>
      </c>
      <c r="H197" s="59">
        <f t="shared" si="19"/>
        <v>0</v>
      </c>
      <c r="I197" s="59">
        <f t="shared" si="19"/>
        <v>0</v>
      </c>
      <c r="J197" s="59">
        <f t="shared" si="19"/>
        <v>0</v>
      </c>
      <c r="K197" s="59">
        <f t="shared" si="19"/>
        <v>0</v>
      </c>
      <c r="L197" s="59">
        <f t="shared" si="19"/>
        <v>0</v>
      </c>
      <c r="M197" s="59">
        <f t="shared" si="19"/>
        <v>0</v>
      </c>
      <c r="N197" s="59">
        <f t="shared" si="19"/>
        <v>0</v>
      </c>
      <c r="O197" s="59">
        <f t="shared" si="19"/>
        <v>0</v>
      </c>
      <c r="P197" s="59">
        <f t="shared" si="19"/>
        <v>0</v>
      </c>
      <c r="Q197" s="59">
        <f t="shared" si="19"/>
        <v>0</v>
      </c>
    </row>
    <row r="198" spans="3:17" ht="15" outlineLevel="2" x14ac:dyDescent="0.25">
      <c r="C198" s="56" t="s">
        <v>397</v>
      </c>
      <c r="D198" s="57" t="s">
        <v>113</v>
      </c>
      <c r="E198" s="58">
        <v>4.2629999999999999</v>
      </c>
      <c r="F198" s="59">
        <f t="shared" si="19"/>
        <v>0</v>
      </c>
      <c r="G198" s="59">
        <f t="shared" si="19"/>
        <v>0</v>
      </c>
      <c r="H198" s="59">
        <f t="shared" si="19"/>
        <v>0</v>
      </c>
      <c r="I198" s="59">
        <f t="shared" si="19"/>
        <v>0</v>
      </c>
      <c r="J198" s="59">
        <f t="shared" si="19"/>
        <v>0</v>
      </c>
      <c r="K198" s="59">
        <f t="shared" si="19"/>
        <v>0</v>
      </c>
      <c r="L198" s="59">
        <f t="shared" si="19"/>
        <v>0</v>
      </c>
      <c r="M198" s="59">
        <f t="shared" si="19"/>
        <v>0</v>
      </c>
      <c r="N198" s="59">
        <f t="shared" si="19"/>
        <v>0</v>
      </c>
      <c r="O198" s="59">
        <f t="shared" si="19"/>
        <v>0</v>
      </c>
      <c r="P198" s="59">
        <f t="shared" si="19"/>
        <v>0</v>
      </c>
      <c r="Q198" s="59">
        <f t="shared" si="19"/>
        <v>0</v>
      </c>
    </row>
    <row r="199" spans="3:17" ht="15" outlineLevel="2" x14ac:dyDescent="0.25">
      <c r="C199" s="56" t="s">
        <v>397</v>
      </c>
      <c r="D199" s="57" t="s">
        <v>114</v>
      </c>
      <c r="E199" s="58">
        <v>0.92900000000000005</v>
      </c>
      <c r="F199" s="59">
        <f t="shared" si="19"/>
        <v>0</v>
      </c>
      <c r="G199" s="59">
        <f t="shared" si="19"/>
        <v>0</v>
      </c>
      <c r="H199" s="59">
        <f t="shared" si="19"/>
        <v>0</v>
      </c>
      <c r="I199" s="59">
        <f t="shared" si="19"/>
        <v>0</v>
      </c>
      <c r="J199" s="59">
        <f t="shared" si="19"/>
        <v>0</v>
      </c>
      <c r="K199" s="59">
        <f t="shared" si="19"/>
        <v>0</v>
      </c>
      <c r="L199" s="59">
        <f t="shared" si="19"/>
        <v>0</v>
      </c>
      <c r="M199" s="59">
        <f t="shared" si="19"/>
        <v>0</v>
      </c>
      <c r="N199" s="59">
        <f t="shared" si="19"/>
        <v>0</v>
      </c>
      <c r="O199" s="59">
        <f t="shared" si="19"/>
        <v>0</v>
      </c>
      <c r="P199" s="59">
        <f t="shared" si="19"/>
        <v>0</v>
      </c>
      <c r="Q199" s="59">
        <f t="shared" si="19"/>
        <v>0</v>
      </c>
    </row>
    <row r="200" spans="3:17" ht="15" outlineLevel="2" x14ac:dyDescent="0.25">
      <c r="C200" s="56" t="s">
        <v>397</v>
      </c>
      <c r="D200" s="57" t="s">
        <v>106</v>
      </c>
      <c r="E200" s="58">
        <v>1.306</v>
      </c>
      <c r="F200" s="59">
        <f t="shared" si="19"/>
        <v>0</v>
      </c>
      <c r="G200" s="59">
        <f t="shared" si="19"/>
        <v>0</v>
      </c>
      <c r="H200" s="59">
        <f t="shared" si="19"/>
        <v>0</v>
      </c>
      <c r="I200" s="59">
        <f t="shared" si="19"/>
        <v>0</v>
      </c>
      <c r="J200" s="59">
        <f t="shared" si="19"/>
        <v>0</v>
      </c>
      <c r="K200" s="59">
        <f t="shared" si="19"/>
        <v>0</v>
      </c>
      <c r="L200" s="59">
        <f t="shared" si="19"/>
        <v>0</v>
      </c>
      <c r="M200" s="59">
        <f t="shared" si="19"/>
        <v>0</v>
      </c>
      <c r="N200" s="59">
        <f t="shared" si="19"/>
        <v>0</v>
      </c>
      <c r="O200" s="59">
        <f t="shared" si="19"/>
        <v>0</v>
      </c>
      <c r="P200" s="59">
        <f t="shared" si="19"/>
        <v>0</v>
      </c>
      <c r="Q200" s="59">
        <f t="shared" si="19"/>
        <v>0</v>
      </c>
    </row>
    <row r="201" spans="3:17" ht="15" outlineLevel="2" x14ac:dyDescent="0.25">
      <c r="C201" s="56" t="s">
        <v>397</v>
      </c>
      <c r="D201" s="57" t="s">
        <v>115</v>
      </c>
      <c r="E201" s="58">
        <v>2.3079999999999998</v>
      </c>
      <c r="F201" s="59">
        <f t="shared" si="19"/>
        <v>0</v>
      </c>
      <c r="G201" s="59">
        <f t="shared" si="19"/>
        <v>0</v>
      </c>
      <c r="H201" s="59">
        <f t="shared" si="19"/>
        <v>0</v>
      </c>
      <c r="I201" s="59">
        <f t="shared" si="19"/>
        <v>0</v>
      </c>
      <c r="J201" s="59">
        <f t="shared" si="19"/>
        <v>0</v>
      </c>
      <c r="K201" s="59">
        <f t="shared" si="19"/>
        <v>0</v>
      </c>
      <c r="L201" s="59">
        <f t="shared" si="19"/>
        <v>0</v>
      </c>
      <c r="M201" s="59">
        <f t="shared" si="19"/>
        <v>0</v>
      </c>
      <c r="N201" s="59">
        <f t="shared" si="19"/>
        <v>0</v>
      </c>
      <c r="O201" s="59">
        <f t="shared" si="19"/>
        <v>0</v>
      </c>
      <c r="P201" s="59">
        <f t="shared" si="19"/>
        <v>0</v>
      </c>
      <c r="Q201" s="59">
        <f t="shared" si="19"/>
        <v>0</v>
      </c>
    </row>
    <row r="202" spans="3:17" ht="15" outlineLevel="2" x14ac:dyDescent="0.25">
      <c r="C202" s="56" t="s">
        <v>397</v>
      </c>
      <c r="D202" s="57" t="s">
        <v>116</v>
      </c>
      <c r="E202" s="58">
        <v>2.9</v>
      </c>
      <c r="F202" s="59">
        <f t="shared" si="19"/>
        <v>0</v>
      </c>
      <c r="G202" s="59">
        <f t="shared" si="19"/>
        <v>0</v>
      </c>
      <c r="H202" s="59">
        <f t="shared" si="19"/>
        <v>0</v>
      </c>
      <c r="I202" s="59">
        <f t="shared" si="19"/>
        <v>0</v>
      </c>
      <c r="J202" s="59">
        <f t="shared" si="19"/>
        <v>0</v>
      </c>
      <c r="K202" s="59">
        <f t="shared" si="19"/>
        <v>0</v>
      </c>
      <c r="L202" s="59">
        <f t="shared" si="19"/>
        <v>0</v>
      </c>
      <c r="M202" s="59">
        <f t="shared" si="19"/>
        <v>0</v>
      </c>
      <c r="N202" s="59">
        <f t="shared" si="19"/>
        <v>0</v>
      </c>
      <c r="O202" s="59">
        <f t="shared" si="19"/>
        <v>0</v>
      </c>
      <c r="P202" s="59">
        <f t="shared" si="19"/>
        <v>0</v>
      </c>
      <c r="Q202" s="59">
        <f t="shared" si="19"/>
        <v>0</v>
      </c>
    </row>
    <row r="203" spans="3:17" ht="15" outlineLevel="2" x14ac:dyDescent="0.25">
      <c r="C203" s="56" t="s">
        <v>397</v>
      </c>
      <c r="D203" s="57" t="s">
        <v>379</v>
      </c>
      <c r="E203" s="58">
        <v>5.22</v>
      </c>
      <c r="F203" s="59">
        <f t="shared" si="19"/>
        <v>0</v>
      </c>
      <c r="G203" s="59">
        <f t="shared" si="19"/>
        <v>0</v>
      </c>
      <c r="H203" s="59">
        <f t="shared" si="19"/>
        <v>0</v>
      </c>
      <c r="I203" s="59">
        <f t="shared" si="19"/>
        <v>0</v>
      </c>
      <c r="J203" s="59">
        <f t="shared" si="19"/>
        <v>0</v>
      </c>
      <c r="K203" s="59">
        <f t="shared" si="19"/>
        <v>0</v>
      </c>
      <c r="L203" s="59">
        <f t="shared" si="19"/>
        <v>0</v>
      </c>
      <c r="M203" s="59">
        <f t="shared" si="19"/>
        <v>0</v>
      </c>
      <c r="N203" s="59">
        <f t="shared" si="19"/>
        <v>0</v>
      </c>
      <c r="O203" s="59">
        <f t="shared" si="19"/>
        <v>0</v>
      </c>
      <c r="P203" s="59">
        <f t="shared" si="19"/>
        <v>0</v>
      </c>
      <c r="Q203" s="59">
        <f t="shared" si="19"/>
        <v>0</v>
      </c>
    </row>
    <row r="204" spans="3:17" ht="15" outlineLevel="2" x14ac:dyDescent="0.25">
      <c r="C204" s="56" t="s">
        <v>397</v>
      </c>
      <c r="D204" s="57" t="s">
        <v>117</v>
      </c>
      <c r="E204" s="58">
        <v>1.357</v>
      </c>
      <c r="F204" s="59">
        <f t="shared" si="19"/>
        <v>0</v>
      </c>
      <c r="G204" s="59">
        <f t="shared" si="19"/>
        <v>0</v>
      </c>
      <c r="H204" s="59">
        <f t="shared" si="19"/>
        <v>0</v>
      </c>
      <c r="I204" s="59">
        <f t="shared" si="19"/>
        <v>0</v>
      </c>
      <c r="J204" s="59">
        <f t="shared" si="19"/>
        <v>0</v>
      </c>
      <c r="K204" s="59">
        <f t="shared" si="19"/>
        <v>0</v>
      </c>
      <c r="L204" s="59">
        <f t="shared" si="19"/>
        <v>0</v>
      </c>
      <c r="M204" s="59">
        <f t="shared" si="19"/>
        <v>0</v>
      </c>
      <c r="N204" s="59">
        <f t="shared" si="19"/>
        <v>0</v>
      </c>
      <c r="O204" s="59">
        <f t="shared" si="19"/>
        <v>0</v>
      </c>
      <c r="P204" s="59">
        <f t="shared" si="19"/>
        <v>0</v>
      </c>
      <c r="Q204" s="59">
        <f t="shared" si="19"/>
        <v>0</v>
      </c>
    </row>
    <row r="205" spans="3:17" ht="15" outlineLevel="2" x14ac:dyDescent="0.25">
      <c r="C205" s="56" t="s">
        <v>397</v>
      </c>
      <c r="D205" s="57" t="s">
        <v>118</v>
      </c>
      <c r="E205" s="58">
        <v>1.78</v>
      </c>
      <c r="F205" s="59">
        <f t="shared" si="19"/>
        <v>0</v>
      </c>
      <c r="G205" s="59">
        <f t="shared" si="19"/>
        <v>0</v>
      </c>
      <c r="H205" s="59">
        <f t="shared" si="19"/>
        <v>0</v>
      </c>
      <c r="I205" s="59">
        <f t="shared" si="19"/>
        <v>0</v>
      </c>
      <c r="J205" s="59">
        <f t="shared" si="19"/>
        <v>0</v>
      </c>
      <c r="K205" s="59">
        <f t="shared" si="19"/>
        <v>0</v>
      </c>
      <c r="L205" s="59">
        <f t="shared" si="19"/>
        <v>0</v>
      </c>
      <c r="M205" s="59">
        <f t="shared" si="19"/>
        <v>0</v>
      </c>
      <c r="N205" s="59">
        <f t="shared" si="19"/>
        <v>0</v>
      </c>
      <c r="O205" s="59">
        <f t="shared" si="19"/>
        <v>0</v>
      </c>
      <c r="P205" s="59">
        <f t="shared" si="19"/>
        <v>0</v>
      </c>
      <c r="Q205" s="59">
        <f t="shared" si="19"/>
        <v>0</v>
      </c>
    </row>
    <row r="206" spans="3:17" ht="15" outlineLevel="2" x14ac:dyDescent="0.25">
      <c r="C206" s="56" t="s">
        <v>397</v>
      </c>
      <c r="D206" s="57" t="s">
        <v>107</v>
      </c>
      <c r="E206" s="58">
        <v>2.9079999999999999</v>
      </c>
      <c r="F206" s="59">
        <f t="shared" si="19"/>
        <v>0</v>
      </c>
      <c r="G206" s="59">
        <f t="shared" si="19"/>
        <v>0</v>
      </c>
      <c r="H206" s="59">
        <f t="shared" si="19"/>
        <v>0</v>
      </c>
      <c r="I206" s="59">
        <f t="shared" si="19"/>
        <v>0</v>
      </c>
      <c r="J206" s="59">
        <f t="shared" si="19"/>
        <v>0</v>
      </c>
      <c r="K206" s="59">
        <f t="shared" si="19"/>
        <v>0</v>
      </c>
      <c r="L206" s="59">
        <f t="shared" si="19"/>
        <v>0</v>
      </c>
      <c r="M206" s="59">
        <f t="shared" si="19"/>
        <v>0</v>
      </c>
      <c r="N206" s="59">
        <f t="shared" si="19"/>
        <v>0</v>
      </c>
      <c r="O206" s="59">
        <f t="shared" si="19"/>
        <v>0</v>
      </c>
      <c r="P206" s="59">
        <f t="shared" si="19"/>
        <v>0</v>
      </c>
      <c r="Q206" s="59">
        <f t="shared" si="19"/>
        <v>0</v>
      </c>
    </row>
    <row r="207" spans="3:17" ht="15" outlineLevel="2" x14ac:dyDescent="0.25">
      <c r="C207" s="56" t="s">
        <v>397</v>
      </c>
      <c r="D207" s="57" t="s">
        <v>119</v>
      </c>
      <c r="E207" s="58">
        <v>3.5739999999999998</v>
      </c>
      <c r="F207" s="59">
        <f t="shared" ref="F207:Q216" si="20">SUMIFS($F$368:$F$1152,$C$368:$C$1152,$C207,$A$368:$A$1152,F$3,$B$368:$B$1152,F$4,$D$368:$D$1152,$D207)</f>
        <v>0</v>
      </c>
      <c r="G207" s="59">
        <f t="shared" si="20"/>
        <v>0</v>
      </c>
      <c r="H207" s="59">
        <f t="shared" si="20"/>
        <v>0</v>
      </c>
      <c r="I207" s="59">
        <f t="shared" si="20"/>
        <v>0</v>
      </c>
      <c r="J207" s="59">
        <f t="shared" si="20"/>
        <v>0</v>
      </c>
      <c r="K207" s="59">
        <f t="shared" si="20"/>
        <v>0</v>
      </c>
      <c r="L207" s="59">
        <f t="shared" si="20"/>
        <v>0</v>
      </c>
      <c r="M207" s="59">
        <f t="shared" si="20"/>
        <v>0</v>
      </c>
      <c r="N207" s="59">
        <f t="shared" si="20"/>
        <v>0</v>
      </c>
      <c r="O207" s="59">
        <f t="shared" si="20"/>
        <v>0</v>
      </c>
      <c r="P207" s="59">
        <f t="shared" si="20"/>
        <v>0</v>
      </c>
      <c r="Q207" s="59">
        <f t="shared" si="20"/>
        <v>0</v>
      </c>
    </row>
    <row r="208" spans="3:17" ht="15" outlineLevel="2" x14ac:dyDescent="0.25">
      <c r="C208" s="56" t="s">
        <v>397</v>
      </c>
      <c r="D208" s="57" t="s">
        <v>120</v>
      </c>
      <c r="E208" s="58">
        <v>5.9029999999999996</v>
      </c>
      <c r="F208" s="59">
        <f t="shared" si="20"/>
        <v>0</v>
      </c>
      <c r="G208" s="59">
        <f t="shared" si="20"/>
        <v>0</v>
      </c>
      <c r="H208" s="59">
        <f t="shared" si="20"/>
        <v>0</v>
      </c>
      <c r="I208" s="59">
        <f t="shared" si="20"/>
        <v>0</v>
      </c>
      <c r="J208" s="59">
        <f t="shared" si="20"/>
        <v>0</v>
      </c>
      <c r="K208" s="59">
        <f t="shared" si="20"/>
        <v>0</v>
      </c>
      <c r="L208" s="59">
        <f t="shared" si="20"/>
        <v>0</v>
      </c>
      <c r="M208" s="59">
        <f t="shared" si="20"/>
        <v>0</v>
      </c>
      <c r="N208" s="59">
        <f t="shared" si="20"/>
        <v>0</v>
      </c>
      <c r="O208" s="59">
        <f t="shared" si="20"/>
        <v>0</v>
      </c>
      <c r="P208" s="59">
        <f t="shared" si="20"/>
        <v>0</v>
      </c>
      <c r="Q208" s="59">
        <f t="shared" si="20"/>
        <v>0</v>
      </c>
    </row>
    <row r="209" spans="3:17" ht="15" outlineLevel="2" x14ac:dyDescent="0.25">
      <c r="C209" s="56" t="s">
        <v>397</v>
      </c>
      <c r="D209" s="57" t="s">
        <v>121</v>
      </c>
      <c r="E209" s="58">
        <v>1.637</v>
      </c>
      <c r="F209" s="59">
        <f t="shared" si="20"/>
        <v>0</v>
      </c>
      <c r="G209" s="59">
        <f t="shared" si="20"/>
        <v>0</v>
      </c>
      <c r="H209" s="59">
        <f t="shared" si="20"/>
        <v>0</v>
      </c>
      <c r="I209" s="59">
        <f t="shared" si="20"/>
        <v>0</v>
      </c>
      <c r="J209" s="59">
        <f t="shared" si="20"/>
        <v>0</v>
      </c>
      <c r="K209" s="59">
        <f t="shared" si="20"/>
        <v>0</v>
      </c>
      <c r="L209" s="59">
        <f t="shared" si="20"/>
        <v>0</v>
      </c>
      <c r="M209" s="59">
        <f t="shared" si="20"/>
        <v>0</v>
      </c>
      <c r="N209" s="59">
        <f t="shared" si="20"/>
        <v>0</v>
      </c>
      <c r="O209" s="59">
        <f t="shared" si="20"/>
        <v>0</v>
      </c>
      <c r="P209" s="59">
        <f t="shared" si="20"/>
        <v>0</v>
      </c>
      <c r="Q209" s="59">
        <f t="shared" si="20"/>
        <v>0</v>
      </c>
    </row>
    <row r="210" spans="3:17" ht="15" outlineLevel="2" x14ac:dyDescent="0.25">
      <c r="C210" s="56" t="s">
        <v>397</v>
      </c>
      <c r="D210" s="57" t="s">
        <v>122</v>
      </c>
      <c r="E210" s="58">
        <v>2.1059999999999999</v>
      </c>
      <c r="F210" s="59">
        <f t="shared" si="20"/>
        <v>0</v>
      </c>
      <c r="G210" s="59">
        <f t="shared" si="20"/>
        <v>0</v>
      </c>
      <c r="H210" s="59">
        <f t="shared" si="20"/>
        <v>0</v>
      </c>
      <c r="I210" s="59">
        <f t="shared" si="20"/>
        <v>0</v>
      </c>
      <c r="J210" s="59">
        <f t="shared" si="20"/>
        <v>0</v>
      </c>
      <c r="K210" s="59">
        <f t="shared" si="20"/>
        <v>0</v>
      </c>
      <c r="L210" s="59">
        <f t="shared" si="20"/>
        <v>0</v>
      </c>
      <c r="M210" s="59">
        <f t="shared" si="20"/>
        <v>0</v>
      </c>
      <c r="N210" s="59">
        <f t="shared" si="20"/>
        <v>0</v>
      </c>
      <c r="O210" s="59">
        <f t="shared" si="20"/>
        <v>0</v>
      </c>
      <c r="P210" s="59">
        <f t="shared" si="20"/>
        <v>0</v>
      </c>
      <c r="Q210" s="59">
        <f t="shared" si="20"/>
        <v>0</v>
      </c>
    </row>
    <row r="211" spans="3:17" ht="15" outlineLevel="2" x14ac:dyDescent="0.25">
      <c r="C211" s="56" t="s">
        <v>397</v>
      </c>
      <c r="D211" s="57" t="s">
        <v>123</v>
      </c>
      <c r="E211" s="58">
        <v>3.359</v>
      </c>
      <c r="F211" s="59">
        <f t="shared" si="20"/>
        <v>0</v>
      </c>
      <c r="G211" s="59">
        <f t="shared" si="20"/>
        <v>0</v>
      </c>
      <c r="H211" s="59">
        <f t="shared" si="20"/>
        <v>0</v>
      </c>
      <c r="I211" s="59">
        <f t="shared" si="20"/>
        <v>0</v>
      </c>
      <c r="J211" s="59">
        <f t="shared" si="20"/>
        <v>0</v>
      </c>
      <c r="K211" s="59">
        <f t="shared" si="20"/>
        <v>0</v>
      </c>
      <c r="L211" s="59">
        <f t="shared" si="20"/>
        <v>0</v>
      </c>
      <c r="M211" s="59">
        <f t="shared" si="20"/>
        <v>0</v>
      </c>
      <c r="N211" s="59">
        <f t="shared" si="20"/>
        <v>0</v>
      </c>
      <c r="O211" s="59">
        <f t="shared" si="20"/>
        <v>0</v>
      </c>
      <c r="P211" s="59">
        <f t="shared" si="20"/>
        <v>0</v>
      </c>
      <c r="Q211" s="59">
        <f t="shared" si="20"/>
        <v>0</v>
      </c>
    </row>
    <row r="212" spans="3:17" ht="15" outlineLevel="2" x14ac:dyDescent="0.25">
      <c r="C212" s="56" t="s">
        <v>397</v>
      </c>
      <c r="D212" s="57" t="s">
        <v>108</v>
      </c>
      <c r="E212" s="58">
        <v>4.0990000000000002</v>
      </c>
      <c r="F212" s="59">
        <f t="shared" si="20"/>
        <v>0</v>
      </c>
      <c r="G212" s="59">
        <f t="shared" si="20"/>
        <v>0</v>
      </c>
      <c r="H212" s="59">
        <f t="shared" si="20"/>
        <v>0</v>
      </c>
      <c r="I212" s="59">
        <f t="shared" si="20"/>
        <v>0</v>
      </c>
      <c r="J212" s="59">
        <f t="shared" si="20"/>
        <v>0</v>
      </c>
      <c r="K212" s="59">
        <f t="shared" si="20"/>
        <v>0</v>
      </c>
      <c r="L212" s="59">
        <f t="shared" si="20"/>
        <v>0</v>
      </c>
      <c r="M212" s="59">
        <f t="shared" si="20"/>
        <v>0</v>
      </c>
      <c r="N212" s="59">
        <f t="shared" si="20"/>
        <v>0</v>
      </c>
      <c r="O212" s="59">
        <f t="shared" si="20"/>
        <v>0</v>
      </c>
      <c r="P212" s="59">
        <f t="shared" si="20"/>
        <v>0</v>
      </c>
      <c r="Q212" s="59">
        <f t="shared" si="20"/>
        <v>0</v>
      </c>
    </row>
    <row r="213" spans="3:17" ht="15" outlineLevel="2" x14ac:dyDescent="0.25">
      <c r="C213" s="56" t="s">
        <v>397</v>
      </c>
      <c r="D213" s="57" t="s">
        <v>124</v>
      </c>
      <c r="E213" s="58">
        <v>6.6870000000000003</v>
      </c>
      <c r="F213" s="59">
        <f t="shared" si="20"/>
        <v>0</v>
      </c>
      <c r="G213" s="59">
        <f t="shared" si="20"/>
        <v>0</v>
      </c>
      <c r="H213" s="59">
        <f t="shared" si="20"/>
        <v>0</v>
      </c>
      <c r="I213" s="59">
        <f t="shared" si="20"/>
        <v>0</v>
      </c>
      <c r="J213" s="59">
        <f t="shared" si="20"/>
        <v>0</v>
      </c>
      <c r="K213" s="59">
        <f t="shared" si="20"/>
        <v>0</v>
      </c>
      <c r="L213" s="59">
        <f t="shared" si="20"/>
        <v>0</v>
      </c>
      <c r="M213" s="59">
        <f t="shared" si="20"/>
        <v>0</v>
      </c>
      <c r="N213" s="59">
        <f t="shared" si="20"/>
        <v>0</v>
      </c>
      <c r="O213" s="59">
        <f t="shared" si="20"/>
        <v>0</v>
      </c>
      <c r="P213" s="59">
        <f t="shared" si="20"/>
        <v>0</v>
      </c>
      <c r="Q213" s="59">
        <f t="shared" si="20"/>
        <v>0</v>
      </c>
    </row>
    <row r="214" spans="3:17" ht="15" outlineLevel="2" x14ac:dyDescent="0.25">
      <c r="C214" s="56" t="s">
        <v>397</v>
      </c>
      <c r="D214" s="57" t="s">
        <v>125</v>
      </c>
      <c r="E214" s="58">
        <v>2.5169999999999999</v>
      </c>
      <c r="F214" s="59">
        <f t="shared" si="20"/>
        <v>0</v>
      </c>
      <c r="G214" s="59">
        <f t="shared" si="20"/>
        <v>0</v>
      </c>
      <c r="H214" s="59">
        <f t="shared" si="20"/>
        <v>0</v>
      </c>
      <c r="I214" s="59">
        <f t="shared" si="20"/>
        <v>0</v>
      </c>
      <c r="J214" s="59">
        <f t="shared" si="20"/>
        <v>0</v>
      </c>
      <c r="K214" s="59">
        <f t="shared" si="20"/>
        <v>0</v>
      </c>
      <c r="L214" s="59">
        <f t="shared" si="20"/>
        <v>0</v>
      </c>
      <c r="M214" s="59">
        <f t="shared" si="20"/>
        <v>0</v>
      </c>
      <c r="N214" s="59">
        <f t="shared" si="20"/>
        <v>0</v>
      </c>
      <c r="O214" s="59">
        <f t="shared" si="20"/>
        <v>0</v>
      </c>
      <c r="P214" s="59">
        <f t="shared" si="20"/>
        <v>0</v>
      </c>
      <c r="Q214" s="59">
        <f t="shared" si="20"/>
        <v>0</v>
      </c>
    </row>
    <row r="215" spans="3:17" ht="15" outlineLevel="2" x14ac:dyDescent="0.25">
      <c r="C215" s="56" t="s">
        <v>397</v>
      </c>
      <c r="D215" s="57" t="s">
        <v>126</v>
      </c>
      <c r="E215" s="58">
        <v>3.08</v>
      </c>
      <c r="F215" s="59">
        <f t="shared" si="20"/>
        <v>0</v>
      </c>
      <c r="G215" s="59">
        <f t="shared" si="20"/>
        <v>0</v>
      </c>
      <c r="H215" s="59">
        <f t="shared" si="20"/>
        <v>0</v>
      </c>
      <c r="I215" s="59">
        <f t="shared" si="20"/>
        <v>0</v>
      </c>
      <c r="J215" s="59">
        <f t="shared" si="20"/>
        <v>0</v>
      </c>
      <c r="K215" s="59">
        <f t="shared" si="20"/>
        <v>0</v>
      </c>
      <c r="L215" s="59">
        <f t="shared" si="20"/>
        <v>0</v>
      </c>
      <c r="M215" s="59">
        <f t="shared" si="20"/>
        <v>0</v>
      </c>
      <c r="N215" s="59">
        <f t="shared" si="20"/>
        <v>0</v>
      </c>
      <c r="O215" s="59">
        <f t="shared" si="20"/>
        <v>0</v>
      </c>
      <c r="P215" s="59">
        <f t="shared" si="20"/>
        <v>0</v>
      </c>
      <c r="Q215" s="59">
        <f t="shared" si="20"/>
        <v>0</v>
      </c>
    </row>
    <row r="216" spans="3:17" ht="15" outlineLevel="2" x14ac:dyDescent="0.25">
      <c r="C216" s="56" t="s">
        <v>397</v>
      </c>
      <c r="D216" s="57" t="s">
        <v>127</v>
      </c>
      <c r="E216" s="58">
        <v>4.5830000000000002</v>
      </c>
      <c r="F216" s="59">
        <f t="shared" si="20"/>
        <v>0</v>
      </c>
      <c r="G216" s="59">
        <f t="shared" si="20"/>
        <v>0</v>
      </c>
      <c r="H216" s="59">
        <f t="shared" si="20"/>
        <v>0</v>
      </c>
      <c r="I216" s="59">
        <f t="shared" si="20"/>
        <v>0</v>
      </c>
      <c r="J216" s="59">
        <f t="shared" si="20"/>
        <v>0</v>
      </c>
      <c r="K216" s="59">
        <f t="shared" si="20"/>
        <v>0</v>
      </c>
      <c r="L216" s="59">
        <f t="shared" si="20"/>
        <v>0</v>
      </c>
      <c r="M216" s="59">
        <f t="shared" si="20"/>
        <v>0</v>
      </c>
      <c r="N216" s="59">
        <f t="shared" si="20"/>
        <v>0</v>
      </c>
      <c r="O216" s="59">
        <f t="shared" si="20"/>
        <v>0</v>
      </c>
      <c r="P216" s="59">
        <f t="shared" si="20"/>
        <v>0</v>
      </c>
      <c r="Q216" s="59">
        <f t="shared" si="20"/>
        <v>0</v>
      </c>
    </row>
    <row r="217" spans="3:17" ht="15" outlineLevel="2" x14ac:dyDescent="0.25">
      <c r="C217" s="56" t="s">
        <v>397</v>
      </c>
      <c r="D217" s="57" t="s">
        <v>128</v>
      </c>
      <c r="E217" s="58">
        <v>5.4710000000000001</v>
      </c>
      <c r="F217" s="59">
        <f t="shared" ref="F217:Q226" si="21">SUMIFS($F$368:$F$1152,$C$368:$C$1152,$C217,$A$368:$A$1152,F$3,$B$368:$B$1152,F$4,$D$368:$D$1152,$D217)</f>
        <v>0</v>
      </c>
      <c r="G217" s="59">
        <f t="shared" si="21"/>
        <v>0</v>
      </c>
      <c r="H217" s="59">
        <f t="shared" si="21"/>
        <v>0</v>
      </c>
      <c r="I217" s="59">
        <f t="shared" si="21"/>
        <v>0</v>
      </c>
      <c r="J217" s="59">
        <f t="shared" si="21"/>
        <v>0</v>
      </c>
      <c r="K217" s="59">
        <f t="shared" si="21"/>
        <v>0</v>
      </c>
      <c r="L217" s="59">
        <f t="shared" si="21"/>
        <v>0</v>
      </c>
      <c r="M217" s="59">
        <f t="shared" si="21"/>
        <v>0</v>
      </c>
      <c r="N217" s="59">
        <f t="shared" si="21"/>
        <v>0</v>
      </c>
      <c r="O217" s="59">
        <f t="shared" si="21"/>
        <v>0</v>
      </c>
      <c r="P217" s="59">
        <f t="shared" si="21"/>
        <v>0</v>
      </c>
      <c r="Q217" s="59">
        <f t="shared" si="21"/>
        <v>0</v>
      </c>
    </row>
    <row r="218" spans="3:17" ht="15" outlineLevel="2" x14ac:dyDescent="0.25">
      <c r="C218" s="56" t="s">
        <v>397</v>
      </c>
      <c r="D218" s="57" t="s">
        <v>109</v>
      </c>
      <c r="E218" s="58">
        <v>8.5760000000000005</v>
      </c>
      <c r="F218" s="59">
        <f t="shared" si="21"/>
        <v>0</v>
      </c>
      <c r="G218" s="59">
        <f t="shared" si="21"/>
        <v>0</v>
      </c>
      <c r="H218" s="59">
        <f t="shared" si="21"/>
        <v>0</v>
      </c>
      <c r="I218" s="59">
        <f t="shared" si="21"/>
        <v>0</v>
      </c>
      <c r="J218" s="59">
        <f t="shared" si="21"/>
        <v>0</v>
      </c>
      <c r="K218" s="59">
        <f t="shared" si="21"/>
        <v>0</v>
      </c>
      <c r="L218" s="59">
        <f t="shared" si="21"/>
        <v>0</v>
      </c>
      <c r="M218" s="59">
        <f t="shared" si="21"/>
        <v>0</v>
      </c>
      <c r="N218" s="59">
        <f t="shared" si="21"/>
        <v>0</v>
      </c>
      <c r="O218" s="59">
        <f t="shared" si="21"/>
        <v>0</v>
      </c>
      <c r="P218" s="59">
        <f t="shared" si="21"/>
        <v>0</v>
      </c>
      <c r="Q218" s="59">
        <f t="shared" si="21"/>
        <v>0</v>
      </c>
    </row>
    <row r="219" spans="3:17" ht="15" outlineLevel="2" x14ac:dyDescent="0.25">
      <c r="C219" s="56" t="s">
        <v>397</v>
      </c>
      <c r="D219" s="57" t="s">
        <v>101</v>
      </c>
      <c r="E219" s="58">
        <v>1.4890000000000001</v>
      </c>
      <c r="F219" s="59">
        <f t="shared" si="21"/>
        <v>0</v>
      </c>
      <c r="G219" s="59">
        <f t="shared" si="21"/>
        <v>0</v>
      </c>
      <c r="H219" s="59">
        <f t="shared" si="21"/>
        <v>0</v>
      </c>
      <c r="I219" s="59">
        <f t="shared" si="21"/>
        <v>0</v>
      </c>
      <c r="J219" s="59">
        <f t="shared" si="21"/>
        <v>0</v>
      </c>
      <c r="K219" s="59">
        <f t="shared" si="21"/>
        <v>0</v>
      </c>
      <c r="L219" s="59">
        <f t="shared" si="21"/>
        <v>0</v>
      </c>
      <c r="M219" s="59">
        <f t="shared" si="21"/>
        <v>0</v>
      </c>
      <c r="N219" s="59">
        <f t="shared" si="21"/>
        <v>0</v>
      </c>
      <c r="O219" s="59">
        <f t="shared" si="21"/>
        <v>0</v>
      </c>
      <c r="P219" s="59">
        <f t="shared" si="21"/>
        <v>0</v>
      </c>
      <c r="Q219" s="59">
        <f t="shared" si="21"/>
        <v>0</v>
      </c>
    </row>
    <row r="220" spans="3:17" ht="15" outlineLevel="2" x14ac:dyDescent="0.25">
      <c r="C220" s="56" t="s">
        <v>397</v>
      </c>
      <c r="D220" s="57" t="s">
        <v>381</v>
      </c>
      <c r="E220" s="58">
        <v>1.7</v>
      </c>
      <c r="F220" s="59">
        <f t="shared" si="21"/>
        <v>0</v>
      </c>
      <c r="G220" s="59">
        <f t="shared" si="21"/>
        <v>0</v>
      </c>
      <c r="H220" s="59">
        <f t="shared" si="21"/>
        <v>0</v>
      </c>
      <c r="I220" s="59">
        <f t="shared" si="21"/>
        <v>0</v>
      </c>
      <c r="J220" s="59">
        <f t="shared" si="21"/>
        <v>0</v>
      </c>
      <c r="K220" s="59">
        <f t="shared" si="21"/>
        <v>0</v>
      </c>
      <c r="L220" s="59">
        <f t="shared" si="21"/>
        <v>0</v>
      </c>
      <c r="M220" s="59">
        <f t="shared" si="21"/>
        <v>0</v>
      </c>
      <c r="N220" s="59">
        <f t="shared" si="21"/>
        <v>0</v>
      </c>
      <c r="O220" s="59">
        <f t="shared" si="21"/>
        <v>0</v>
      </c>
      <c r="P220" s="59">
        <f t="shared" si="21"/>
        <v>0</v>
      </c>
      <c r="Q220" s="59">
        <f t="shared" si="21"/>
        <v>0</v>
      </c>
    </row>
    <row r="221" spans="3:17" ht="15" outlineLevel="2" x14ac:dyDescent="0.25">
      <c r="C221" s="56" t="s">
        <v>397</v>
      </c>
      <c r="D221" s="57" t="s">
        <v>167</v>
      </c>
      <c r="E221" s="58">
        <v>1.6539999999999999</v>
      </c>
      <c r="F221" s="59">
        <f t="shared" si="21"/>
        <v>0</v>
      </c>
      <c r="G221" s="59">
        <f t="shared" si="21"/>
        <v>0</v>
      </c>
      <c r="H221" s="59">
        <f t="shared" si="21"/>
        <v>0</v>
      </c>
      <c r="I221" s="59">
        <f t="shared" si="21"/>
        <v>0</v>
      </c>
      <c r="J221" s="59">
        <f t="shared" si="21"/>
        <v>0</v>
      </c>
      <c r="K221" s="59">
        <f t="shared" si="21"/>
        <v>0</v>
      </c>
      <c r="L221" s="59">
        <f t="shared" si="21"/>
        <v>0</v>
      </c>
      <c r="M221" s="59">
        <f t="shared" si="21"/>
        <v>0</v>
      </c>
      <c r="N221" s="59">
        <f t="shared" si="21"/>
        <v>0</v>
      </c>
      <c r="O221" s="59">
        <f t="shared" si="21"/>
        <v>0</v>
      </c>
      <c r="P221" s="59">
        <f t="shared" si="21"/>
        <v>0</v>
      </c>
      <c r="Q221" s="59">
        <f t="shared" si="21"/>
        <v>0</v>
      </c>
    </row>
    <row r="222" spans="3:17" ht="15" outlineLevel="2" x14ac:dyDescent="0.25">
      <c r="C222" s="56" t="s">
        <v>397</v>
      </c>
      <c r="D222" s="57" t="s">
        <v>102</v>
      </c>
      <c r="E222" s="58">
        <v>1.968</v>
      </c>
      <c r="F222" s="59">
        <f t="shared" si="21"/>
        <v>0</v>
      </c>
      <c r="G222" s="59">
        <f t="shared" si="21"/>
        <v>0</v>
      </c>
      <c r="H222" s="59">
        <f t="shared" si="21"/>
        <v>0</v>
      </c>
      <c r="I222" s="59">
        <f t="shared" si="21"/>
        <v>0</v>
      </c>
      <c r="J222" s="59">
        <f t="shared" si="21"/>
        <v>0</v>
      </c>
      <c r="K222" s="59">
        <f t="shared" si="21"/>
        <v>0</v>
      </c>
      <c r="L222" s="59">
        <f t="shared" si="21"/>
        <v>0</v>
      </c>
      <c r="M222" s="59">
        <f t="shared" si="21"/>
        <v>0</v>
      </c>
      <c r="N222" s="59">
        <f t="shared" si="21"/>
        <v>0</v>
      </c>
      <c r="O222" s="59">
        <f t="shared" si="21"/>
        <v>0</v>
      </c>
      <c r="P222" s="59">
        <f t="shared" si="21"/>
        <v>0</v>
      </c>
      <c r="Q222" s="59">
        <f t="shared" si="21"/>
        <v>0</v>
      </c>
    </row>
    <row r="223" spans="3:17" ht="15" outlineLevel="2" x14ac:dyDescent="0.25">
      <c r="C223" s="56" t="s">
        <v>397</v>
      </c>
      <c r="D223" s="57" t="s">
        <v>170</v>
      </c>
      <c r="E223" s="58">
        <v>1.7829999999999999</v>
      </c>
      <c r="F223" s="59">
        <f t="shared" si="21"/>
        <v>0</v>
      </c>
      <c r="G223" s="59">
        <f t="shared" si="21"/>
        <v>0</v>
      </c>
      <c r="H223" s="59">
        <f t="shared" si="21"/>
        <v>0</v>
      </c>
      <c r="I223" s="59">
        <f t="shared" si="21"/>
        <v>0</v>
      </c>
      <c r="J223" s="59">
        <f t="shared" si="21"/>
        <v>0</v>
      </c>
      <c r="K223" s="59">
        <f t="shared" si="21"/>
        <v>0</v>
      </c>
      <c r="L223" s="59">
        <f t="shared" si="21"/>
        <v>0</v>
      </c>
      <c r="M223" s="59">
        <f t="shared" si="21"/>
        <v>0</v>
      </c>
      <c r="N223" s="59">
        <f t="shared" si="21"/>
        <v>0</v>
      </c>
      <c r="O223" s="59">
        <f t="shared" si="21"/>
        <v>0</v>
      </c>
      <c r="P223" s="59">
        <f t="shared" si="21"/>
        <v>0</v>
      </c>
      <c r="Q223" s="59">
        <f t="shared" si="21"/>
        <v>0</v>
      </c>
    </row>
    <row r="224" spans="3:17" ht="15" outlineLevel="2" x14ac:dyDescent="0.25">
      <c r="C224" s="56" t="s">
        <v>397</v>
      </c>
      <c r="D224" s="57" t="s">
        <v>172</v>
      </c>
      <c r="E224" s="58">
        <v>1.819</v>
      </c>
      <c r="F224" s="59">
        <f t="shared" si="21"/>
        <v>0</v>
      </c>
      <c r="G224" s="59">
        <f t="shared" si="21"/>
        <v>0</v>
      </c>
      <c r="H224" s="59">
        <f t="shared" si="21"/>
        <v>0</v>
      </c>
      <c r="I224" s="59">
        <f t="shared" si="21"/>
        <v>0</v>
      </c>
      <c r="J224" s="59">
        <f t="shared" si="21"/>
        <v>0</v>
      </c>
      <c r="K224" s="59">
        <f t="shared" si="21"/>
        <v>0</v>
      </c>
      <c r="L224" s="59">
        <f t="shared" si="21"/>
        <v>0</v>
      </c>
      <c r="M224" s="59">
        <f t="shared" si="21"/>
        <v>0</v>
      </c>
      <c r="N224" s="59">
        <f t="shared" si="21"/>
        <v>0</v>
      </c>
      <c r="O224" s="59">
        <f t="shared" si="21"/>
        <v>0</v>
      </c>
      <c r="P224" s="59">
        <f t="shared" si="21"/>
        <v>0</v>
      </c>
      <c r="Q224" s="59">
        <f t="shared" si="21"/>
        <v>0</v>
      </c>
    </row>
    <row r="225" spans="3:17" ht="15" outlineLevel="2" x14ac:dyDescent="0.25">
      <c r="C225" s="56" t="s">
        <v>397</v>
      </c>
      <c r="D225" s="57" t="s">
        <v>103</v>
      </c>
      <c r="E225" s="58">
        <v>2.6659999999999999</v>
      </c>
      <c r="F225" s="59">
        <f t="shared" si="21"/>
        <v>0</v>
      </c>
      <c r="G225" s="59">
        <f t="shared" si="21"/>
        <v>0</v>
      </c>
      <c r="H225" s="59">
        <f t="shared" si="21"/>
        <v>0</v>
      </c>
      <c r="I225" s="59">
        <f t="shared" si="21"/>
        <v>0</v>
      </c>
      <c r="J225" s="59">
        <f t="shared" si="21"/>
        <v>0</v>
      </c>
      <c r="K225" s="59">
        <f t="shared" si="21"/>
        <v>0</v>
      </c>
      <c r="L225" s="59">
        <f t="shared" si="21"/>
        <v>0</v>
      </c>
      <c r="M225" s="59">
        <f t="shared" si="21"/>
        <v>0</v>
      </c>
      <c r="N225" s="59">
        <f t="shared" si="21"/>
        <v>0</v>
      </c>
      <c r="O225" s="59">
        <f t="shared" si="21"/>
        <v>0</v>
      </c>
      <c r="P225" s="59">
        <f t="shared" si="21"/>
        <v>0</v>
      </c>
      <c r="Q225" s="59">
        <f t="shared" si="21"/>
        <v>0</v>
      </c>
    </row>
    <row r="226" spans="3:17" ht="15" outlineLevel="2" x14ac:dyDescent="0.25">
      <c r="C226" s="56" t="s">
        <v>397</v>
      </c>
      <c r="D226" s="57" t="s">
        <v>175</v>
      </c>
      <c r="E226" s="58">
        <v>2.4830000000000001</v>
      </c>
      <c r="F226" s="59">
        <f t="shared" si="21"/>
        <v>0</v>
      </c>
      <c r="G226" s="59">
        <f t="shared" si="21"/>
        <v>0</v>
      </c>
      <c r="H226" s="59">
        <f t="shared" si="21"/>
        <v>0</v>
      </c>
      <c r="I226" s="59">
        <f t="shared" si="21"/>
        <v>0</v>
      </c>
      <c r="J226" s="59">
        <f t="shared" si="21"/>
        <v>0</v>
      </c>
      <c r="K226" s="59">
        <f t="shared" si="21"/>
        <v>0</v>
      </c>
      <c r="L226" s="59">
        <f t="shared" si="21"/>
        <v>0</v>
      </c>
      <c r="M226" s="59">
        <f t="shared" si="21"/>
        <v>0</v>
      </c>
      <c r="N226" s="59">
        <f t="shared" si="21"/>
        <v>0</v>
      </c>
      <c r="O226" s="59">
        <f t="shared" si="21"/>
        <v>0</v>
      </c>
      <c r="P226" s="59">
        <f t="shared" si="21"/>
        <v>0</v>
      </c>
      <c r="Q226" s="59">
        <f t="shared" si="21"/>
        <v>0</v>
      </c>
    </row>
    <row r="227" spans="3:17" ht="15" outlineLevel="2" x14ac:dyDescent="0.25">
      <c r="C227" s="56" t="s">
        <v>397</v>
      </c>
      <c r="D227" s="57" t="s">
        <v>177</v>
      </c>
      <c r="E227" s="58">
        <v>2.1419999999999999</v>
      </c>
      <c r="F227" s="59">
        <f t="shared" ref="F227:Q236" si="22">SUMIFS($F$368:$F$1152,$C$368:$C$1152,$C227,$A$368:$A$1152,F$3,$B$368:$B$1152,F$4,$D$368:$D$1152,$D227)</f>
        <v>0</v>
      </c>
      <c r="G227" s="59">
        <f t="shared" si="22"/>
        <v>0</v>
      </c>
      <c r="H227" s="59">
        <f t="shared" si="22"/>
        <v>0</v>
      </c>
      <c r="I227" s="59">
        <f t="shared" si="22"/>
        <v>0</v>
      </c>
      <c r="J227" s="59">
        <f t="shared" si="22"/>
        <v>0</v>
      </c>
      <c r="K227" s="59">
        <f t="shared" si="22"/>
        <v>0</v>
      </c>
      <c r="L227" s="59">
        <f t="shared" si="22"/>
        <v>0</v>
      </c>
      <c r="M227" s="59">
        <f t="shared" si="22"/>
        <v>0</v>
      </c>
      <c r="N227" s="59">
        <f t="shared" si="22"/>
        <v>0</v>
      </c>
      <c r="O227" s="59">
        <f t="shared" si="22"/>
        <v>0</v>
      </c>
      <c r="P227" s="59">
        <f t="shared" si="22"/>
        <v>0</v>
      </c>
      <c r="Q227" s="59">
        <f t="shared" si="22"/>
        <v>0</v>
      </c>
    </row>
    <row r="228" spans="3:17" ht="15" outlineLevel="2" x14ac:dyDescent="0.25">
      <c r="C228" s="56" t="s">
        <v>397</v>
      </c>
      <c r="D228" s="57" t="s">
        <v>179</v>
      </c>
      <c r="E228" s="58">
        <v>2.1150000000000002</v>
      </c>
      <c r="F228" s="59">
        <f t="shared" si="22"/>
        <v>0</v>
      </c>
      <c r="G228" s="59">
        <f t="shared" si="22"/>
        <v>0</v>
      </c>
      <c r="H228" s="59">
        <f t="shared" si="22"/>
        <v>0</v>
      </c>
      <c r="I228" s="59">
        <f t="shared" si="22"/>
        <v>0</v>
      </c>
      <c r="J228" s="59">
        <f t="shared" si="22"/>
        <v>0</v>
      </c>
      <c r="K228" s="59">
        <f t="shared" si="22"/>
        <v>0</v>
      </c>
      <c r="L228" s="59">
        <f t="shared" si="22"/>
        <v>0</v>
      </c>
      <c r="M228" s="59">
        <f t="shared" si="22"/>
        <v>0</v>
      </c>
      <c r="N228" s="59">
        <f t="shared" si="22"/>
        <v>0</v>
      </c>
      <c r="O228" s="59">
        <f t="shared" si="22"/>
        <v>0</v>
      </c>
      <c r="P228" s="59">
        <f t="shared" si="22"/>
        <v>0</v>
      </c>
      <c r="Q228" s="59">
        <f t="shared" si="22"/>
        <v>0</v>
      </c>
    </row>
    <row r="229" spans="3:17" ht="15" outlineLevel="2" x14ac:dyDescent="0.25">
      <c r="C229" s="56" t="s">
        <v>397</v>
      </c>
      <c r="D229" s="57" t="s">
        <v>104</v>
      </c>
      <c r="E229" s="58">
        <v>1.4890000000000001</v>
      </c>
      <c r="F229" s="59">
        <f t="shared" si="22"/>
        <v>0</v>
      </c>
      <c r="G229" s="59">
        <f t="shared" si="22"/>
        <v>0</v>
      </c>
      <c r="H229" s="59">
        <f t="shared" si="22"/>
        <v>0</v>
      </c>
      <c r="I229" s="59">
        <f t="shared" si="22"/>
        <v>0</v>
      </c>
      <c r="J229" s="59">
        <f t="shared" si="22"/>
        <v>0</v>
      </c>
      <c r="K229" s="59">
        <f t="shared" si="22"/>
        <v>0</v>
      </c>
      <c r="L229" s="59">
        <f t="shared" si="22"/>
        <v>0</v>
      </c>
      <c r="M229" s="59">
        <f t="shared" si="22"/>
        <v>0</v>
      </c>
      <c r="N229" s="59">
        <f t="shared" si="22"/>
        <v>0</v>
      </c>
      <c r="O229" s="59">
        <f t="shared" si="22"/>
        <v>0</v>
      </c>
      <c r="P229" s="59">
        <f t="shared" si="22"/>
        <v>0</v>
      </c>
      <c r="Q229" s="59">
        <f t="shared" si="22"/>
        <v>0</v>
      </c>
    </row>
    <row r="230" spans="3:17" ht="15" outlineLevel="2" x14ac:dyDescent="0.25">
      <c r="C230" s="56" t="s">
        <v>397</v>
      </c>
      <c r="D230" s="57" t="s">
        <v>380</v>
      </c>
      <c r="E230" s="58">
        <v>1.7</v>
      </c>
      <c r="F230" s="59">
        <f t="shared" si="22"/>
        <v>0</v>
      </c>
      <c r="G230" s="59">
        <f t="shared" si="22"/>
        <v>0</v>
      </c>
      <c r="H230" s="59">
        <f t="shared" si="22"/>
        <v>0</v>
      </c>
      <c r="I230" s="59">
        <f t="shared" si="22"/>
        <v>0</v>
      </c>
      <c r="J230" s="59">
        <f t="shared" si="22"/>
        <v>0</v>
      </c>
      <c r="K230" s="59">
        <f t="shared" si="22"/>
        <v>0</v>
      </c>
      <c r="L230" s="59">
        <f t="shared" si="22"/>
        <v>0</v>
      </c>
      <c r="M230" s="59">
        <f t="shared" si="22"/>
        <v>0</v>
      </c>
      <c r="N230" s="59">
        <f t="shared" si="22"/>
        <v>0</v>
      </c>
      <c r="O230" s="59">
        <f t="shared" si="22"/>
        <v>0</v>
      </c>
      <c r="P230" s="59">
        <f t="shared" si="22"/>
        <v>0</v>
      </c>
      <c r="Q230" s="59">
        <f t="shared" si="22"/>
        <v>0</v>
      </c>
    </row>
    <row r="231" spans="3:17" ht="15" outlineLevel="2" x14ac:dyDescent="0.25">
      <c r="C231" s="56" t="s">
        <v>397</v>
      </c>
      <c r="D231" s="57" t="s">
        <v>168</v>
      </c>
      <c r="E231" s="58">
        <v>1.6539999999999999</v>
      </c>
      <c r="F231" s="59">
        <f t="shared" si="22"/>
        <v>0</v>
      </c>
      <c r="G231" s="59">
        <f t="shared" si="22"/>
        <v>0</v>
      </c>
      <c r="H231" s="59">
        <f t="shared" si="22"/>
        <v>0</v>
      </c>
      <c r="I231" s="59">
        <f t="shared" si="22"/>
        <v>0</v>
      </c>
      <c r="J231" s="59">
        <f t="shared" si="22"/>
        <v>0</v>
      </c>
      <c r="K231" s="59">
        <f t="shared" si="22"/>
        <v>0</v>
      </c>
      <c r="L231" s="59">
        <f t="shared" si="22"/>
        <v>0</v>
      </c>
      <c r="M231" s="59">
        <f t="shared" si="22"/>
        <v>0</v>
      </c>
      <c r="N231" s="59">
        <f t="shared" si="22"/>
        <v>0</v>
      </c>
      <c r="O231" s="59">
        <f t="shared" si="22"/>
        <v>0</v>
      </c>
      <c r="P231" s="59">
        <f t="shared" si="22"/>
        <v>0</v>
      </c>
      <c r="Q231" s="59">
        <f t="shared" si="22"/>
        <v>0</v>
      </c>
    </row>
    <row r="232" spans="3:17" ht="15" outlineLevel="2" x14ac:dyDescent="0.25">
      <c r="C232" s="56" t="s">
        <v>397</v>
      </c>
      <c r="D232" s="57" t="s">
        <v>169</v>
      </c>
      <c r="E232" s="58">
        <v>1.968</v>
      </c>
      <c r="F232" s="59">
        <f t="shared" si="22"/>
        <v>0</v>
      </c>
      <c r="G232" s="59">
        <f t="shared" si="22"/>
        <v>0</v>
      </c>
      <c r="H232" s="59">
        <f t="shared" si="22"/>
        <v>0</v>
      </c>
      <c r="I232" s="59">
        <f t="shared" si="22"/>
        <v>0</v>
      </c>
      <c r="J232" s="59">
        <f t="shared" si="22"/>
        <v>0</v>
      </c>
      <c r="K232" s="59">
        <f t="shared" si="22"/>
        <v>0</v>
      </c>
      <c r="L232" s="59">
        <f t="shared" si="22"/>
        <v>0</v>
      </c>
      <c r="M232" s="59">
        <f t="shared" si="22"/>
        <v>0</v>
      </c>
      <c r="N232" s="59">
        <f t="shared" si="22"/>
        <v>0</v>
      </c>
      <c r="O232" s="59">
        <f t="shared" si="22"/>
        <v>0</v>
      </c>
      <c r="P232" s="59">
        <f t="shared" si="22"/>
        <v>0</v>
      </c>
      <c r="Q232" s="59">
        <f t="shared" si="22"/>
        <v>0</v>
      </c>
    </row>
    <row r="233" spans="3:17" ht="15" outlineLevel="2" x14ac:dyDescent="0.25">
      <c r="C233" s="56" t="s">
        <v>397</v>
      </c>
      <c r="D233" s="57" t="s">
        <v>171</v>
      </c>
      <c r="E233" s="58">
        <v>1.7829999999999999</v>
      </c>
      <c r="F233" s="59">
        <f t="shared" si="22"/>
        <v>0</v>
      </c>
      <c r="G233" s="59">
        <f t="shared" si="22"/>
        <v>0</v>
      </c>
      <c r="H233" s="59">
        <f t="shared" si="22"/>
        <v>0</v>
      </c>
      <c r="I233" s="59">
        <f t="shared" si="22"/>
        <v>0</v>
      </c>
      <c r="J233" s="59">
        <f t="shared" si="22"/>
        <v>0</v>
      </c>
      <c r="K233" s="59">
        <f t="shared" si="22"/>
        <v>0</v>
      </c>
      <c r="L233" s="59">
        <f t="shared" si="22"/>
        <v>0</v>
      </c>
      <c r="M233" s="59">
        <f t="shared" si="22"/>
        <v>0</v>
      </c>
      <c r="N233" s="59">
        <f t="shared" si="22"/>
        <v>0</v>
      </c>
      <c r="O233" s="59">
        <f t="shared" si="22"/>
        <v>0</v>
      </c>
      <c r="P233" s="59">
        <f t="shared" si="22"/>
        <v>0</v>
      </c>
      <c r="Q233" s="59">
        <f t="shared" si="22"/>
        <v>0</v>
      </c>
    </row>
    <row r="234" spans="3:17" ht="15" outlineLevel="2" x14ac:dyDescent="0.25">
      <c r="C234" s="56" t="s">
        <v>397</v>
      </c>
      <c r="D234" s="57" t="s">
        <v>173</v>
      </c>
      <c r="E234" s="58">
        <v>1.819</v>
      </c>
      <c r="F234" s="59">
        <f t="shared" si="22"/>
        <v>0</v>
      </c>
      <c r="G234" s="59">
        <f t="shared" si="22"/>
        <v>0</v>
      </c>
      <c r="H234" s="59">
        <f t="shared" si="22"/>
        <v>0</v>
      </c>
      <c r="I234" s="59">
        <f t="shared" si="22"/>
        <v>0</v>
      </c>
      <c r="J234" s="59">
        <f t="shared" si="22"/>
        <v>0</v>
      </c>
      <c r="K234" s="59">
        <f t="shared" si="22"/>
        <v>0</v>
      </c>
      <c r="L234" s="59">
        <f t="shared" si="22"/>
        <v>0</v>
      </c>
      <c r="M234" s="59">
        <f t="shared" si="22"/>
        <v>0</v>
      </c>
      <c r="N234" s="59">
        <f t="shared" si="22"/>
        <v>0</v>
      </c>
      <c r="O234" s="59">
        <f t="shared" si="22"/>
        <v>0</v>
      </c>
      <c r="P234" s="59">
        <f t="shared" si="22"/>
        <v>0</v>
      </c>
      <c r="Q234" s="59">
        <f t="shared" si="22"/>
        <v>0</v>
      </c>
    </row>
    <row r="235" spans="3:17" ht="15" outlineLevel="2" x14ac:dyDescent="0.25">
      <c r="C235" s="56" t="s">
        <v>397</v>
      </c>
      <c r="D235" s="57" t="s">
        <v>174</v>
      </c>
      <c r="E235" s="58">
        <v>2.6659999999999999</v>
      </c>
      <c r="F235" s="59">
        <f t="shared" si="22"/>
        <v>0</v>
      </c>
      <c r="G235" s="59">
        <f t="shared" si="22"/>
        <v>0</v>
      </c>
      <c r="H235" s="59">
        <f t="shared" si="22"/>
        <v>0</v>
      </c>
      <c r="I235" s="59">
        <f t="shared" si="22"/>
        <v>0</v>
      </c>
      <c r="J235" s="59">
        <f t="shared" si="22"/>
        <v>0</v>
      </c>
      <c r="K235" s="59">
        <f t="shared" si="22"/>
        <v>0</v>
      </c>
      <c r="L235" s="59">
        <f t="shared" si="22"/>
        <v>0</v>
      </c>
      <c r="M235" s="59">
        <f t="shared" si="22"/>
        <v>0</v>
      </c>
      <c r="N235" s="59">
        <f t="shared" si="22"/>
        <v>0</v>
      </c>
      <c r="O235" s="59">
        <f t="shared" si="22"/>
        <v>0</v>
      </c>
      <c r="P235" s="59">
        <f t="shared" si="22"/>
        <v>0</v>
      </c>
      <c r="Q235" s="59">
        <f t="shared" si="22"/>
        <v>0</v>
      </c>
    </row>
    <row r="236" spans="3:17" ht="15" outlineLevel="2" x14ac:dyDescent="0.25">
      <c r="C236" s="56" t="s">
        <v>397</v>
      </c>
      <c r="D236" s="57" t="s">
        <v>176</v>
      </c>
      <c r="E236" s="58">
        <v>2.4830000000000001</v>
      </c>
      <c r="F236" s="59">
        <f t="shared" si="22"/>
        <v>0</v>
      </c>
      <c r="G236" s="59">
        <f t="shared" si="22"/>
        <v>0</v>
      </c>
      <c r="H236" s="59">
        <f t="shared" si="22"/>
        <v>0</v>
      </c>
      <c r="I236" s="59">
        <f t="shared" si="22"/>
        <v>0</v>
      </c>
      <c r="J236" s="59">
        <f t="shared" si="22"/>
        <v>0</v>
      </c>
      <c r="K236" s="59">
        <f t="shared" si="22"/>
        <v>0</v>
      </c>
      <c r="L236" s="59">
        <f t="shared" si="22"/>
        <v>0</v>
      </c>
      <c r="M236" s="59">
        <f t="shared" si="22"/>
        <v>0</v>
      </c>
      <c r="N236" s="59">
        <f t="shared" si="22"/>
        <v>0</v>
      </c>
      <c r="O236" s="59">
        <f t="shared" si="22"/>
        <v>0</v>
      </c>
      <c r="P236" s="59">
        <f t="shared" si="22"/>
        <v>0</v>
      </c>
      <c r="Q236" s="59">
        <f t="shared" si="22"/>
        <v>0</v>
      </c>
    </row>
    <row r="237" spans="3:17" ht="15" outlineLevel="2" x14ac:dyDescent="0.25">
      <c r="C237" s="56" t="s">
        <v>397</v>
      </c>
      <c r="D237" s="57" t="s">
        <v>178</v>
      </c>
      <c r="E237" s="58">
        <v>2.1419999999999999</v>
      </c>
      <c r="F237" s="59">
        <f t="shared" ref="F237:Q246" si="23">SUMIFS($F$368:$F$1152,$C$368:$C$1152,$C237,$A$368:$A$1152,F$3,$B$368:$B$1152,F$4,$D$368:$D$1152,$D237)</f>
        <v>0</v>
      </c>
      <c r="G237" s="59">
        <f t="shared" si="23"/>
        <v>0</v>
      </c>
      <c r="H237" s="59">
        <f t="shared" si="23"/>
        <v>0</v>
      </c>
      <c r="I237" s="59">
        <f t="shared" si="23"/>
        <v>0</v>
      </c>
      <c r="J237" s="59">
        <f t="shared" si="23"/>
        <v>0</v>
      </c>
      <c r="K237" s="59">
        <f t="shared" si="23"/>
        <v>0</v>
      </c>
      <c r="L237" s="59">
        <f t="shared" si="23"/>
        <v>0</v>
      </c>
      <c r="M237" s="59">
        <f t="shared" si="23"/>
        <v>0</v>
      </c>
      <c r="N237" s="59">
        <f t="shared" si="23"/>
        <v>0</v>
      </c>
      <c r="O237" s="59">
        <f t="shared" si="23"/>
        <v>0</v>
      </c>
      <c r="P237" s="59">
        <f t="shared" si="23"/>
        <v>0</v>
      </c>
      <c r="Q237" s="59">
        <f t="shared" si="23"/>
        <v>0</v>
      </c>
    </row>
    <row r="238" spans="3:17" ht="15" outlineLevel="2" x14ac:dyDescent="0.25">
      <c r="C238" s="56" t="s">
        <v>397</v>
      </c>
      <c r="D238" s="57" t="s">
        <v>180</v>
      </c>
      <c r="E238" s="58">
        <v>2.1150000000000002</v>
      </c>
      <c r="F238" s="59">
        <f t="shared" si="23"/>
        <v>0</v>
      </c>
      <c r="G238" s="59">
        <f t="shared" si="23"/>
        <v>0</v>
      </c>
      <c r="H238" s="59">
        <f t="shared" si="23"/>
        <v>0</v>
      </c>
      <c r="I238" s="59">
        <f t="shared" si="23"/>
        <v>0</v>
      </c>
      <c r="J238" s="59">
        <f t="shared" si="23"/>
        <v>0</v>
      </c>
      <c r="K238" s="59">
        <f t="shared" si="23"/>
        <v>0</v>
      </c>
      <c r="L238" s="59">
        <f t="shared" si="23"/>
        <v>0</v>
      </c>
      <c r="M238" s="59">
        <f t="shared" si="23"/>
        <v>0</v>
      </c>
      <c r="N238" s="59">
        <f t="shared" si="23"/>
        <v>0</v>
      </c>
      <c r="O238" s="59">
        <f t="shared" si="23"/>
        <v>0</v>
      </c>
      <c r="P238" s="59">
        <f t="shared" si="23"/>
        <v>0</v>
      </c>
      <c r="Q238" s="59">
        <f t="shared" si="23"/>
        <v>0</v>
      </c>
    </row>
    <row r="239" spans="3:17" ht="15" outlineLevel="2" x14ac:dyDescent="0.25">
      <c r="C239" s="56" t="s">
        <v>397</v>
      </c>
      <c r="D239" s="57" t="s">
        <v>261</v>
      </c>
      <c r="E239" s="58">
        <v>1.7010000000000001</v>
      </c>
      <c r="F239" s="59">
        <f t="shared" si="23"/>
        <v>0</v>
      </c>
      <c r="G239" s="59">
        <f t="shared" si="23"/>
        <v>0</v>
      </c>
      <c r="H239" s="59">
        <f t="shared" si="23"/>
        <v>0</v>
      </c>
      <c r="I239" s="59">
        <f t="shared" si="23"/>
        <v>0</v>
      </c>
      <c r="J239" s="59">
        <f t="shared" si="23"/>
        <v>0</v>
      </c>
      <c r="K239" s="59">
        <f t="shared" si="23"/>
        <v>0</v>
      </c>
      <c r="L239" s="59">
        <f t="shared" si="23"/>
        <v>0</v>
      </c>
      <c r="M239" s="59">
        <f t="shared" si="23"/>
        <v>0</v>
      </c>
      <c r="N239" s="59">
        <f t="shared" si="23"/>
        <v>0</v>
      </c>
      <c r="O239" s="59">
        <f t="shared" si="23"/>
        <v>0</v>
      </c>
      <c r="P239" s="59">
        <f t="shared" si="23"/>
        <v>0</v>
      </c>
      <c r="Q239" s="59">
        <f t="shared" si="23"/>
        <v>0</v>
      </c>
    </row>
    <row r="240" spans="3:17" ht="15" outlineLevel="2" x14ac:dyDescent="0.25">
      <c r="C240" s="56" t="s">
        <v>397</v>
      </c>
      <c r="D240" s="57" t="s">
        <v>262</v>
      </c>
      <c r="E240" s="58">
        <v>1.7729999999999999</v>
      </c>
      <c r="F240" s="59">
        <f t="shared" si="23"/>
        <v>0</v>
      </c>
      <c r="G240" s="59">
        <f t="shared" si="23"/>
        <v>0</v>
      </c>
      <c r="H240" s="59">
        <f t="shared" si="23"/>
        <v>0</v>
      </c>
      <c r="I240" s="59">
        <f t="shared" si="23"/>
        <v>0</v>
      </c>
      <c r="J240" s="59">
        <f t="shared" si="23"/>
        <v>0</v>
      </c>
      <c r="K240" s="59">
        <f t="shared" si="23"/>
        <v>0</v>
      </c>
      <c r="L240" s="59">
        <f t="shared" si="23"/>
        <v>0</v>
      </c>
      <c r="M240" s="59">
        <f t="shared" si="23"/>
        <v>0</v>
      </c>
      <c r="N240" s="59">
        <f t="shared" si="23"/>
        <v>0</v>
      </c>
      <c r="O240" s="59">
        <f t="shared" si="23"/>
        <v>0</v>
      </c>
      <c r="P240" s="59">
        <f t="shared" si="23"/>
        <v>0</v>
      </c>
      <c r="Q240" s="59">
        <f t="shared" si="23"/>
        <v>0</v>
      </c>
    </row>
    <row r="241" spans="3:17" ht="15" outlineLevel="2" x14ac:dyDescent="0.25">
      <c r="C241" s="56" t="s">
        <v>397</v>
      </c>
      <c r="D241" s="57" t="s">
        <v>263</v>
      </c>
      <c r="E241" s="58">
        <v>1.8460000000000001</v>
      </c>
      <c r="F241" s="59">
        <f t="shared" si="23"/>
        <v>0</v>
      </c>
      <c r="G241" s="59">
        <f t="shared" si="23"/>
        <v>0</v>
      </c>
      <c r="H241" s="59">
        <f t="shared" si="23"/>
        <v>0</v>
      </c>
      <c r="I241" s="59">
        <f t="shared" si="23"/>
        <v>0</v>
      </c>
      <c r="J241" s="59">
        <f t="shared" si="23"/>
        <v>0</v>
      </c>
      <c r="K241" s="59">
        <f t="shared" si="23"/>
        <v>0</v>
      </c>
      <c r="L241" s="59">
        <f t="shared" si="23"/>
        <v>0</v>
      </c>
      <c r="M241" s="59">
        <f t="shared" si="23"/>
        <v>0</v>
      </c>
      <c r="N241" s="59">
        <f t="shared" si="23"/>
        <v>0</v>
      </c>
      <c r="O241" s="59">
        <f t="shared" si="23"/>
        <v>0</v>
      </c>
      <c r="P241" s="59">
        <f t="shared" si="23"/>
        <v>0</v>
      </c>
      <c r="Q241" s="59">
        <f t="shared" si="23"/>
        <v>0</v>
      </c>
    </row>
    <row r="242" spans="3:17" ht="15" outlineLevel="2" x14ac:dyDescent="0.25">
      <c r="C242" s="56" t="s">
        <v>397</v>
      </c>
      <c r="D242" s="57" t="s">
        <v>264</v>
      </c>
      <c r="E242" s="58">
        <v>1.921</v>
      </c>
      <c r="F242" s="59">
        <f t="shared" si="23"/>
        <v>0</v>
      </c>
      <c r="G242" s="59">
        <f t="shared" si="23"/>
        <v>0</v>
      </c>
      <c r="H242" s="59">
        <f t="shared" si="23"/>
        <v>0</v>
      </c>
      <c r="I242" s="59">
        <f t="shared" si="23"/>
        <v>0</v>
      </c>
      <c r="J242" s="59">
        <f t="shared" si="23"/>
        <v>0</v>
      </c>
      <c r="K242" s="59">
        <f t="shared" si="23"/>
        <v>0</v>
      </c>
      <c r="L242" s="59">
        <f t="shared" si="23"/>
        <v>0</v>
      </c>
      <c r="M242" s="59">
        <f t="shared" si="23"/>
        <v>0</v>
      </c>
      <c r="N242" s="59">
        <f t="shared" si="23"/>
        <v>0</v>
      </c>
      <c r="O242" s="59">
        <f t="shared" si="23"/>
        <v>0</v>
      </c>
      <c r="P242" s="59">
        <f t="shared" si="23"/>
        <v>0</v>
      </c>
      <c r="Q242" s="59">
        <f t="shared" si="23"/>
        <v>0</v>
      </c>
    </row>
    <row r="243" spans="3:17" ht="15" outlineLevel="2" x14ac:dyDescent="0.25">
      <c r="C243" s="56" t="s">
        <v>397</v>
      </c>
      <c r="D243" s="57" t="s">
        <v>265</v>
      </c>
      <c r="E243" s="58">
        <v>2.5099999999999998</v>
      </c>
      <c r="F243" s="59">
        <f t="shared" si="23"/>
        <v>60</v>
      </c>
      <c r="G243" s="59">
        <f t="shared" si="23"/>
        <v>0</v>
      </c>
      <c r="H243" s="59">
        <f t="shared" si="23"/>
        <v>0</v>
      </c>
      <c r="I243" s="59">
        <f t="shared" si="23"/>
        <v>0</v>
      </c>
      <c r="J243" s="59">
        <f t="shared" si="23"/>
        <v>0</v>
      </c>
      <c r="K243" s="59">
        <f t="shared" si="23"/>
        <v>0</v>
      </c>
      <c r="L243" s="59">
        <f t="shared" si="23"/>
        <v>0</v>
      </c>
      <c r="M243" s="59">
        <f t="shared" si="23"/>
        <v>0</v>
      </c>
      <c r="N243" s="59">
        <f t="shared" si="23"/>
        <v>0</v>
      </c>
      <c r="O243" s="59">
        <f t="shared" si="23"/>
        <v>0</v>
      </c>
      <c r="P243" s="59">
        <f t="shared" si="23"/>
        <v>0</v>
      </c>
      <c r="Q243" s="59">
        <f t="shared" si="23"/>
        <v>0</v>
      </c>
    </row>
    <row r="244" spans="3:17" ht="15" outlineLevel="2" x14ac:dyDescent="0.25">
      <c r="C244" s="56" t="s">
        <v>397</v>
      </c>
      <c r="D244" s="57" t="s">
        <v>338</v>
      </c>
      <c r="E244" s="58">
        <v>0.82899999999999996</v>
      </c>
      <c r="F244" s="59">
        <f t="shared" si="23"/>
        <v>0</v>
      </c>
      <c r="G244" s="59">
        <f t="shared" si="23"/>
        <v>0</v>
      </c>
      <c r="H244" s="59">
        <f t="shared" si="23"/>
        <v>0</v>
      </c>
      <c r="I244" s="59">
        <f t="shared" si="23"/>
        <v>0</v>
      </c>
      <c r="J244" s="59">
        <f t="shared" si="23"/>
        <v>0</v>
      </c>
      <c r="K244" s="59">
        <f t="shared" si="23"/>
        <v>0</v>
      </c>
      <c r="L244" s="59">
        <f t="shared" si="23"/>
        <v>0</v>
      </c>
      <c r="M244" s="59">
        <f t="shared" si="23"/>
        <v>0</v>
      </c>
      <c r="N244" s="59">
        <f t="shared" si="23"/>
        <v>0</v>
      </c>
      <c r="O244" s="59">
        <f t="shared" si="23"/>
        <v>0</v>
      </c>
      <c r="P244" s="59">
        <f t="shared" si="23"/>
        <v>0</v>
      </c>
      <c r="Q244" s="59">
        <f t="shared" si="23"/>
        <v>0</v>
      </c>
    </row>
    <row r="245" spans="3:17" ht="15" outlineLevel="2" x14ac:dyDescent="0.25">
      <c r="C245" s="56" t="s">
        <v>397</v>
      </c>
      <c r="D245" s="57" t="s">
        <v>339</v>
      </c>
      <c r="E245" s="58">
        <v>1.1060000000000001</v>
      </c>
      <c r="F245" s="59">
        <f t="shared" si="23"/>
        <v>0</v>
      </c>
      <c r="G245" s="59">
        <f t="shared" si="23"/>
        <v>0</v>
      </c>
      <c r="H245" s="59">
        <f t="shared" si="23"/>
        <v>0</v>
      </c>
      <c r="I245" s="59">
        <f t="shared" si="23"/>
        <v>0</v>
      </c>
      <c r="J245" s="59">
        <f t="shared" si="23"/>
        <v>0</v>
      </c>
      <c r="K245" s="59">
        <f t="shared" si="23"/>
        <v>0</v>
      </c>
      <c r="L245" s="59">
        <f t="shared" si="23"/>
        <v>0</v>
      </c>
      <c r="M245" s="59">
        <f t="shared" si="23"/>
        <v>0</v>
      </c>
      <c r="N245" s="59">
        <f t="shared" si="23"/>
        <v>0</v>
      </c>
      <c r="O245" s="59">
        <f t="shared" si="23"/>
        <v>0</v>
      </c>
      <c r="P245" s="59">
        <f t="shared" si="23"/>
        <v>0</v>
      </c>
      <c r="Q245" s="59">
        <f t="shared" si="23"/>
        <v>0</v>
      </c>
    </row>
    <row r="246" spans="3:17" ht="15" outlineLevel="2" x14ac:dyDescent="0.25">
      <c r="C246" s="56" t="s">
        <v>397</v>
      </c>
      <c r="D246" s="57" t="s">
        <v>340</v>
      </c>
      <c r="E246" s="58">
        <v>2.1259999999999999</v>
      </c>
      <c r="F246" s="59">
        <f t="shared" si="23"/>
        <v>0</v>
      </c>
      <c r="G246" s="59">
        <f t="shared" si="23"/>
        <v>0</v>
      </c>
      <c r="H246" s="59">
        <f t="shared" si="23"/>
        <v>0</v>
      </c>
      <c r="I246" s="59">
        <f t="shared" si="23"/>
        <v>0</v>
      </c>
      <c r="J246" s="59">
        <f t="shared" si="23"/>
        <v>0</v>
      </c>
      <c r="K246" s="59">
        <f t="shared" si="23"/>
        <v>0</v>
      </c>
      <c r="L246" s="59">
        <f t="shared" si="23"/>
        <v>0</v>
      </c>
      <c r="M246" s="59">
        <f t="shared" si="23"/>
        <v>0</v>
      </c>
      <c r="N246" s="59">
        <f t="shared" si="23"/>
        <v>0</v>
      </c>
      <c r="O246" s="59">
        <f t="shared" si="23"/>
        <v>0</v>
      </c>
      <c r="P246" s="59">
        <f t="shared" si="23"/>
        <v>0</v>
      </c>
      <c r="Q246" s="59">
        <f t="shared" si="23"/>
        <v>0</v>
      </c>
    </row>
    <row r="247" spans="3:17" ht="15" outlineLevel="2" x14ac:dyDescent="0.25">
      <c r="C247" s="56" t="s">
        <v>397</v>
      </c>
      <c r="D247" s="57" t="s">
        <v>341</v>
      </c>
      <c r="E247" s="58">
        <v>2.988</v>
      </c>
      <c r="F247" s="59">
        <f t="shared" ref="F247:Q256" si="24">SUMIFS($F$368:$F$1152,$C$368:$C$1152,$C247,$A$368:$A$1152,F$3,$B$368:$B$1152,F$4,$D$368:$D$1152,$D247)</f>
        <v>0</v>
      </c>
      <c r="G247" s="59">
        <f t="shared" si="24"/>
        <v>0</v>
      </c>
      <c r="H247" s="59">
        <f t="shared" si="24"/>
        <v>0</v>
      </c>
      <c r="I247" s="59">
        <f t="shared" si="24"/>
        <v>0</v>
      </c>
      <c r="J247" s="59">
        <f t="shared" si="24"/>
        <v>0</v>
      </c>
      <c r="K247" s="59">
        <f t="shared" si="24"/>
        <v>0</v>
      </c>
      <c r="L247" s="59">
        <f t="shared" si="24"/>
        <v>0</v>
      </c>
      <c r="M247" s="59">
        <f t="shared" si="24"/>
        <v>0</v>
      </c>
      <c r="N247" s="59">
        <f t="shared" si="24"/>
        <v>0</v>
      </c>
      <c r="O247" s="59">
        <f t="shared" si="24"/>
        <v>0</v>
      </c>
      <c r="P247" s="59">
        <f t="shared" si="24"/>
        <v>0</v>
      </c>
      <c r="Q247" s="59">
        <f t="shared" si="24"/>
        <v>0</v>
      </c>
    </row>
    <row r="248" spans="3:17" ht="15" outlineLevel="2" x14ac:dyDescent="0.25">
      <c r="C248" s="56" t="s">
        <v>397</v>
      </c>
      <c r="D248" s="57" t="s">
        <v>256</v>
      </c>
      <c r="E248" s="58">
        <v>2.5139999999999998</v>
      </c>
      <c r="F248" s="59">
        <f t="shared" si="24"/>
        <v>2</v>
      </c>
      <c r="G248" s="59">
        <f t="shared" si="24"/>
        <v>0</v>
      </c>
      <c r="H248" s="59">
        <f t="shared" si="24"/>
        <v>0</v>
      </c>
      <c r="I248" s="59">
        <f t="shared" si="24"/>
        <v>0</v>
      </c>
      <c r="J248" s="59">
        <f t="shared" si="24"/>
        <v>0</v>
      </c>
      <c r="K248" s="59">
        <f t="shared" si="24"/>
        <v>0</v>
      </c>
      <c r="L248" s="59">
        <f t="shared" si="24"/>
        <v>0</v>
      </c>
      <c r="M248" s="59">
        <f t="shared" si="24"/>
        <v>0</v>
      </c>
      <c r="N248" s="59">
        <f t="shared" si="24"/>
        <v>0</v>
      </c>
      <c r="O248" s="59">
        <f t="shared" si="24"/>
        <v>0</v>
      </c>
      <c r="P248" s="59">
        <f t="shared" si="24"/>
        <v>0</v>
      </c>
      <c r="Q248" s="59">
        <f t="shared" si="24"/>
        <v>0</v>
      </c>
    </row>
    <row r="249" spans="3:17" ht="15" outlineLevel="2" x14ac:dyDescent="0.25">
      <c r="C249" s="56" t="s">
        <v>397</v>
      </c>
      <c r="D249" s="57" t="s">
        <v>257</v>
      </c>
      <c r="E249" s="58">
        <v>2.5129999999999999</v>
      </c>
      <c r="F249" s="59">
        <f t="shared" si="24"/>
        <v>3</v>
      </c>
      <c r="G249" s="59">
        <f t="shared" si="24"/>
        <v>0</v>
      </c>
      <c r="H249" s="59">
        <f t="shared" si="24"/>
        <v>0</v>
      </c>
      <c r="I249" s="59">
        <f t="shared" si="24"/>
        <v>0</v>
      </c>
      <c r="J249" s="59">
        <f t="shared" si="24"/>
        <v>0</v>
      </c>
      <c r="K249" s="59">
        <f t="shared" si="24"/>
        <v>0</v>
      </c>
      <c r="L249" s="59">
        <f t="shared" si="24"/>
        <v>0</v>
      </c>
      <c r="M249" s="59">
        <f t="shared" si="24"/>
        <v>0</v>
      </c>
      <c r="N249" s="59">
        <f t="shared" si="24"/>
        <v>0</v>
      </c>
      <c r="O249" s="59">
        <f t="shared" si="24"/>
        <v>0</v>
      </c>
      <c r="P249" s="59">
        <f t="shared" si="24"/>
        <v>0</v>
      </c>
      <c r="Q249" s="59">
        <f t="shared" si="24"/>
        <v>0</v>
      </c>
    </row>
    <row r="250" spans="3:17" ht="15" outlineLevel="2" x14ac:dyDescent="0.25">
      <c r="C250" s="56" t="s">
        <v>397</v>
      </c>
      <c r="D250" s="57" t="s">
        <v>258</v>
      </c>
      <c r="E250" s="58">
        <v>2.5750000000000002</v>
      </c>
      <c r="F250" s="59">
        <f t="shared" si="24"/>
        <v>0</v>
      </c>
      <c r="G250" s="59">
        <f t="shared" si="24"/>
        <v>0</v>
      </c>
      <c r="H250" s="59">
        <f t="shared" si="24"/>
        <v>0</v>
      </c>
      <c r="I250" s="59">
        <f t="shared" si="24"/>
        <v>0</v>
      </c>
      <c r="J250" s="59">
        <f t="shared" si="24"/>
        <v>0</v>
      </c>
      <c r="K250" s="59">
        <f t="shared" si="24"/>
        <v>0</v>
      </c>
      <c r="L250" s="59">
        <f t="shared" si="24"/>
        <v>0</v>
      </c>
      <c r="M250" s="59">
        <f t="shared" si="24"/>
        <v>0</v>
      </c>
      <c r="N250" s="59">
        <f t="shared" si="24"/>
        <v>0</v>
      </c>
      <c r="O250" s="59">
        <f t="shared" si="24"/>
        <v>0</v>
      </c>
      <c r="P250" s="59">
        <f t="shared" si="24"/>
        <v>0</v>
      </c>
      <c r="Q250" s="59">
        <f t="shared" si="24"/>
        <v>0</v>
      </c>
    </row>
    <row r="251" spans="3:17" ht="15" outlineLevel="2" x14ac:dyDescent="0.25">
      <c r="C251" s="56" t="s">
        <v>397</v>
      </c>
      <c r="D251" s="57" t="s">
        <v>259</v>
      </c>
      <c r="E251" s="58">
        <v>2.8620000000000001</v>
      </c>
      <c r="F251" s="59">
        <f t="shared" si="24"/>
        <v>1</v>
      </c>
      <c r="G251" s="59">
        <f t="shared" si="24"/>
        <v>0</v>
      </c>
      <c r="H251" s="59">
        <f t="shared" si="24"/>
        <v>0</v>
      </c>
      <c r="I251" s="59">
        <f t="shared" si="24"/>
        <v>0</v>
      </c>
      <c r="J251" s="59">
        <f t="shared" si="24"/>
        <v>0</v>
      </c>
      <c r="K251" s="59">
        <f t="shared" si="24"/>
        <v>0</v>
      </c>
      <c r="L251" s="59">
        <f t="shared" si="24"/>
        <v>0</v>
      </c>
      <c r="M251" s="59">
        <f t="shared" si="24"/>
        <v>0</v>
      </c>
      <c r="N251" s="59">
        <f t="shared" si="24"/>
        <v>0</v>
      </c>
      <c r="O251" s="59">
        <f t="shared" si="24"/>
        <v>0</v>
      </c>
      <c r="P251" s="59">
        <f t="shared" si="24"/>
        <v>0</v>
      </c>
      <c r="Q251" s="59">
        <f t="shared" si="24"/>
        <v>0</v>
      </c>
    </row>
    <row r="252" spans="3:17" ht="15" outlineLevel="2" x14ac:dyDescent="0.25">
      <c r="C252" s="56" t="s">
        <v>397</v>
      </c>
      <c r="D252" s="57" t="s">
        <v>260</v>
      </c>
      <c r="E252" s="58">
        <v>3.7280000000000002</v>
      </c>
      <c r="F252" s="59">
        <f t="shared" si="24"/>
        <v>33</v>
      </c>
      <c r="G252" s="59">
        <f t="shared" si="24"/>
        <v>0</v>
      </c>
      <c r="H252" s="59">
        <f t="shared" si="24"/>
        <v>0</v>
      </c>
      <c r="I252" s="59">
        <f t="shared" si="24"/>
        <v>0</v>
      </c>
      <c r="J252" s="59">
        <f t="shared" si="24"/>
        <v>0</v>
      </c>
      <c r="K252" s="59">
        <f t="shared" si="24"/>
        <v>0</v>
      </c>
      <c r="L252" s="59">
        <f t="shared" si="24"/>
        <v>0</v>
      </c>
      <c r="M252" s="59">
        <f t="shared" si="24"/>
        <v>0</v>
      </c>
      <c r="N252" s="59">
        <f t="shared" si="24"/>
        <v>0</v>
      </c>
      <c r="O252" s="59">
        <f t="shared" si="24"/>
        <v>0</v>
      </c>
      <c r="P252" s="59">
        <f t="shared" si="24"/>
        <v>0</v>
      </c>
      <c r="Q252" s="59">
        <f t="shared" si="24"/>
        <v>0</v>
      </c>
    </row>
    <row r="253" spans="3:17" ht="15" outlineLevel="2" x14ac:dyDescent="0.25">
      <c r="C253" s="56" t="s">
        <v>397</v>
      </c>
      <c r="D253" s="57" t="s">
        <v>350</v>
      </c>
      <c r="E253" s="58">
        <v>1.254</v>
      </c>
      <c r="F253" s="59">
        <f t="shared" si="24"/>
        <v>0</v>
      </c>
      <c r="G253" s="59">
        <f t="shared" si="24"/>
        <v>0</v>
      </c>
      <c r="H253" s="59">
        <f t="shared" si="24"/>
        <v>0</v>
      </c>
      <c r="I253" s="59">
        <f t="shared" si="24"/>
        <v>0</v>
      </c>
      <c r="J253" s="59">
        <f t="shared" si="24"/>
        <v>0</v>
      </c>
      <c r="K253" s="59">
        <f t="shared" si="24"/>
        <v>0</v>
      </c>
      <c r="L253" s="59">
        <f t="shared" si="24"/>
        <v>0</v>
      </c>
      <c r="M253" s="59">
        <f t="shared" si="24"/>
        <v>0</v>
      </c>
      <c r="N253" s="59">
        <f t="shared" si="24"/>
        <v>0</v>
      </c>
      <c r="O253" s="59">
        <f t="shared" si="24"/>
        <v>0</v>
      </c>
      <c r="P253" s="59">
        <f t="shared" si="24"/>
        <v>0</v>
      </c>
      <c r="Q253" s="59">
        <f t="shared" si="24"/>
        <v>0</v>
      </c>
    </row>
    <row r="254" spans="3:17" ht="15" outlineLevel="2" x14ac:dyDescent="0.25">
      <c r="C254" s="56" t="s">
        <v>397</v>
      </c>
      <c r="D254" s="57" t="s">
        <v>351</v>
      </c>
      <c r="E254" s="58">
        <v>1.6120000000000001</v>
      </c>
      <c r="F254" s="59">
        <f t="shared" si="24"/>
        <v>0</v>
      </c>
      <c r="G254" s="59">
        <f t="shared" si="24"/>
        <v>0</v>
      </c>
      <c r="H254" s="59">
        <f t="shared" si="24"/>
        <v>0</v>
      </c>
      <c r="I254" s="59">
        <f t="shared" si="24"/>
        <v>0</v>
      </c>
      <c r="J254" s="59">
        <f t="shared" si="24"/>
        <v>0</v>
      </c>
      <c r="K254" s="59">
        <f t="shared" si="24"/>
        <v>0</v>
      </c>
      <c r="L254" s="59">
        <f t="shared" si="24"/>
        <v>0</v>
      </c>
      <c r="M254" s="59">
        <f t="shared" si="24"/>
        <v>0</v>
      </c>
      <c r="N254" s="59">
        <f t="shared" si="24"/>
        <v>0</v>
      </c>
      <c r="O254" s="59">
        <f t="shared" si="24"/>
        <v>0</v>
      </c>
      <c r="P254" s="59">
        <f t="shared" si="24"/>
        <v>0</v>
      </c>
      <c r="Q254" s="59">
        <f t="shared" si="24"/>
        <v>0</v>
      </c>
    </row>
    <row r="255" spans="3:17" ht="15" outlineLevel="2" x14ac:dyDescent="0.25">
      <c r="C255" s="56" t="s">
        <v>397</v>
      </c>
      <c r="D255" s="57" t="s">
        <v>352</v>
      </c>
      <c r="E255" s="58">
        <v>3.6480000000000001</v>
      </c>
      <c r="F255" s="59">
        <f t="shared" si="24"/>
        <v>0</v>
      </c>
      <c r="G255" s="59">
        <f t="shared" si="24"/>
        <v>0</v>
      </c>
      <c r="H255" s="59">
        <f t="shared" si="24"/>
        <v>0</v>
      </c>
      <c r="I255" s="59">
        <f t="shared" si="24"/>
        <v>0</v>
      </c>
      <c r="J255" s="59">
        <f t="shared" si="24"/>
        <v>0</v>
      </c>
      <c r="K255" s="59">
        <f t="shared" si="24"/>
        <v>0</v>
      </c>
      <c r="L255" s="59">
        <f t="shared" si="24"/>
        <v>0</v>
      </c>
      <c r="M255" s="59">
        <f t="shared" si="24"/>
        <v>0</v>
      </c>
      <c r="N255" s="59">
        <f t="shared" si="24"/>
        <v>0</v>
      </c>
      <c r="O255" s="59">
        <f t="shared" si="24"/>
        <v>0</v>
      </c>
      <c r="P255" s="59">
        <f t="shared" si="24"/>
        <v>0</v>
      </c>
      <c r="Q255" s="59">
        <f t="shared" si="24"/>
        <v>0</v>
      </c>
    </row>
    <row r="256" spans="3:17" ht="15" outlineLevel="2" x14ac:dyDescent="0.25">
      <c r="C256" s="56" t="s">
        <v>397</v>
      </c>
      <c r="D256" s="57" t="s">
        <v>353</v>
      </c>
      <c r="E256" s="58">
        <v>5.12</v>
      </c>
      <c r="F256" s="59">
        <f t="shared" si="24"/>
        <v>0</v>
      </c>
      <c r="G256" s="59">
        <f t="shared" si="24"/>
        <v>0</v>
      </c>
      <c r="H256" s="59">
        <f t="shared" si="24"/>
        <v>0</v>
      </c>
      <c r="I256" s="59">
        <f t="shared" si="24"/>
        <v>0</v>
      </c>
      <c r="J256" s="59">
        <f t="shared" si="24"/>
        <v>0</v>
      </c>
      <c r="K256" s="59">
        <f t="shared" si="24"/>
        <v>0</v>
      </c>
      <c r="L256" s="59">
        <f t="shared" si="24"/>
        <v>0</v>
      </c>
      <c r="M256" s="59">
        <f t="shared" si="24"/>
        <v>0</v>
      </c>
      <c r="N256" s="59">
        <f t="shared" si="24"/>
        <v>0</v>
      </c>
      <c r="O256" s="59">
        <f t="shared" si="24"/>
        <v>0</v>
      </c>
      <c r="P256" s="59">
        <f t="shared" si="24"/>
        <v>0</v>
      </c>
      <c r="Q256" s="59">
        <f t="shared" si="24"/>
        <v>0</v>
      </c>
    </row>
    <row r="257" spans="3:17" ht="15" outlineLevel="2" x14ac:dyDescent="0.25">
      <c r="C257" s="56" t="s">
        <v>397</v>
      </c>
      <c r="D257" s="57" t="s">
        <v>246</v>
      </c>
      <c r="E257" s="58">
        <v>1.583</v>
      </c>
      <c r="F257" s="59">
        <f t="shared" ref="F257:Q266" si="25">SUMIFS($F$368:$F$1152,$C$368:$C$1152,$C257,$A$368:$A$1152,F$3,$B$368:$B$1152,F$4,$D$368:$D$1152,$D257)</f>
        <v>35</v>
      </c>
      <c r="G257" s="59">
        <f t="shared" si="25"/>
        <v>0</v>
      </c>
      <c r="H257" s="59">
        <f t="shared" si="25"/>
        <v>0</v>
      </c>
      <c r="I257" s="59">
        <f t="shared" si="25"/>
        <v>0</v>
      </c>
      <c r="J257" s="59">
        <f t="shared" si="25"/>
        <v>0</v>
      </c>
      <c r="K257" s="59">
        <f t="shared" si="25"/>
        <v>0</v>
      </c>
      <c r="L257" s="59">
        <f t="shared" si="25"/>
        <v>0</v>
      </c>
      <c r="M257" s="59">
        <f t="shared" si="25"/>
        <v>0</v>
      </c>
      <c r="N257" s="59">
        <f t="shared" si="25"/>
        <v>0</v>
      </c>
      <c r="O257" s="59">
        <f t="shared" si="25"/>
        <v>0</v>
      </c>
      <c r="P257" s="59">
        <f t="shared" si="25"/>
        <v>0</v>
      </c>
      <c r="Q257" s="59">
        <f t="shared" si="25"/>
        <v>0</v>
      </c>
    </row>
    <row r="258" spans="3:17" ht="15" outlineLevel="2" x14ac:dyDescent="0.25">
      <c r="C258" s="56" t="s">
        <v>397</v>
      </c>
      <c r="D258" s="57" t="s">
        <v>247</v>
      </c>
      <c r="E258" s="58">
        <v>1.748</v>
      </c>
      <c r="F258" s="59">
        <f t="shared" si="25"/>
        <v>57</v>
      </c>
      <c r="G258" s="59">
        <f t="shared" si="25"/>
        <v>0</v>
      </c>
      <c r="H258" s="59">
        <f t="shared" si="25"/>
        <v>0</v>
      </c>
      <c r="I258" s="59">
        <f t="shared" si="25"/>
        <v>0</v>
      </c>
      <c r="J258" s="59">
        <f t="shared" si="25"/>
        <v>0</v>
      </c>
      <c r="K258" s="59">
        <f t="shared" si="25"/>
        <v>0</v>
      </c>
      <c r="L258" s="59">
        <f t="shared" si="25"/>
        <v>0</v>
      </c>
      <c r="M258" s="59">
        <f t="shared" si="25"/>
        <v>0</v>
      </c>
      <c r="N258" s="59">
        <f t="shared" si="25"/>
        <v>0</v>
      </c>
      <c r="O258" s="59">
        <f t="shared" si="25"/>
        <v>0</v>
      </c>
      <c r="P258" s="59">
        <f t="shared" si="25"/>
        <v>0</v>
      </c>
      <c r="Q258" s="59">
        <f t="shared" si="25"/>
        <v>0</v>
      </c>
    </row>
    <row r="259" spans="3:17" ht="15" outlineLevel="2" x14ac:dyDescent="0.25">
      <c r="C259" s="56" t="s">
        <v>397</v>
      </c>
      <c r="D259" s="57" t="s">
        <v>248</v>
      </c>
      <c r="E259" s="58">
        <v>1.9139999999999999</v>
      </c>
      <c r="F259" s="59">
        <f t="shared" si="25"/>
        <v>32</v>
      </c>
      <c r="G259" s="59">
        <f t="shared" si="25"/>
        <v>0</v>
      </c>
      <c r="H259" s="59">
        <f t="shared" si="25"/>
        <v>0</v>
      </c>
      <c r="I259" s="59">
        <f t="shared" si="25"/>
        <v>0</v>
      </c>
      <c r="J259" s="59">
        <f t="shared" si="25"/>
        <v>0</v>
      </c>
      <c r="K259" s="59">
        <f t="shared" si="25"/>
        <v>0</v>
      </c>
      <c r="L259" s="59">
        <f t="shared" si="25"/>
        <v>0</v>
      </c>
      <c r="M259" s="59">
        <f t="shared" si="25"/>
        <v>0</v>
      </c>
      <c r="N259" s="59">
        <f t="shared" si="25"/>
        <v>0</v>
      </c>
      <c r="O259" s="59">
        <f t="shared" si="25"/>
        <v>0</v>
      </c>
      <c r="P259" s="59">
        <f t="shared" si="25"/>
        <v>0</v>
      </c>
      <c r="Q259" s="59">
        <f t="shared" si="25"/>
        <v>0</v>
      </c>
    </row>
    <row r="260" spans="3:17" ht="15" outlineLevel="2" x14ac:dyDescent="0.25">
      <c r="C260" s="56" t="s">
        <v>397</v>
      </c>
      <c r="D260" s="57" t="s">
        <v>249</v>
      </c>
      <c r="E260" s="58">
        <v>2.0790000000000002</v>
      </c>
      <c r="F260" s="59">
        <f t="shared" si="25"/>
        <v>19</v>
      </c>
      <c r="G260" s="59">
        <f t="shared" si="25"/>
        <v>0</v>
      </c>
      <c r="H260" s="59">
        <f t="shared" si="25"/>
        <v>0</v>
      </c>
      <c r="I260" s="59">
        <f t="shared" si="25"/>
        <v>0</v>
      </c>
      <c r="J260" s="59">
        <f t="shared" si="25"/>
        <v>0</v>
      </c>
      <c r="K260" s="59">
        <f t="shared" si="25"/>
        <v>0</v>
      </c>
      <c r="L260" s="59">
        <f t="shared" si="25"/>
        <v>0</v>
      </c>
      <c r="M260" s="59">
        <f t="shared" si="25"/>
        <v>0</v>
      </c>
      <c r="N260" s="59">
        <f t="shared" si="25"/>
        <v>0</v>
      </c>
      <c r="O260" s="59">
        <f t="shared" si="25"/>
        <v>0</v>
      </c>
      <c r="P260" s="59">
        <f t="shared" si="25"/>
        <v>0</v>
      </c>
      <c r="Q260" s="59">
        <f t="shared" si="25"/>
        <v>0</v>
      </c>
    </row>
    <row r="261" spans="3:17" ht="15" outlineLevel="2" x14ac:dyDescent="0.25">
      <c r="C261" s="56" t="s">
        <v>397</v>
      </c>
      <c r="D261" s="57" t="s">
        <v>450</v>
      </c>
      <c r="E261" s="58">
        <v>2.214</v>
      </c>
      <c r="F261" s="59">
        <f t="shared" si="25"/>
        <v>0</v>
      </c>
      <c r="G261" s="59">
        <f t="shared" si="25"/>
        <v>0</v>
      </c>
      <c r="H261" s="59">
        <f t="shared" si="25"/>
        <v>0</v>
      </c>
      <c r="I261" s="59">
        <f t="shared" si="25"/>
        <v>0</v>
      </c>
      <c r="J261" s="59">
        <f t="shared" si="25"/>
        <v>0</v>
      </c>
      <c r="K261" s="59">
        <f t="shared" si="25"/>
        <v>0</v>
      </c>
      <c r="L261" s="59">
        <f t="shared" si="25"/>
        <v>0</v>
      </c>
      <c r="M261" s="59">
        <f t="shared" si="25"/>
        <v>0</v>
      </c>
      <c r="N261" s="59">
        <f t="shared" si="25"/>
        <v>0</v>
      </c>
      <c r="O261" s="59">
        <f t="shared" si="25"/>
        <v>0</v>
      </c>
      <c r="P261" s="59">
        <f t="shared" si="25"/>
        <v>0</v>
      </c>
      <c r="Q261" s="59">
        <f t="shared" si="25"/>
        <v>0</v>
      </c>
    </row>
    <row r="262" spans="3:17" ht="15" outlineLevel="2" x14ac:dyDescent="0.25">
      <c r="C262" s="56" t="s">
        <v>397</v>
      </c>
      <c r="D262" s="57" t="s">
        <v>250</v>
      </c>
      <c r="E262" s="58">
        <v>2.41</v>
      </c>
      <c r="F262" s="59">
        <f t="shared" si="25"/>
        <v>22</v>
      </c>
      <c r="G262" s="59">
        <f t="shared" si="25"/>
        <v>0</v>
      </c>
      <c r="H262" s="59">
        <f t="shared" si="25"/>
        <v>0</v>
      </c>
      <c r="I262" s="59">
        <f t="shared" si="25"/>
        <v>0</v>
      </c>
      <c r="J262" s="59">
        <f t="shared" si="25"/>
        <v>0</v>
      </c>
      <c r="K262" s="59">
        <f t="shared" si="25"/>
        <v>0</v>
      </c>
      <c r="L262" s="59">
        <f t="shared" si="25"/>
        <v>0</v>
      </c>
      <c r="M262" s="59">
        <f t="shared" si="25"/>
        <v>0</v>
      </c>
      <c r="N262" s="59">
        <f t="shared" si="25"/>
        <v>0</v>
      </c>
      <c r="O262" s="59">
        <f t="shared" si="25"/>
        <v>0</v>
      </c>
      <c r="P262" s="59">
        <f t="shared" si="25"/>
        <v>0</v>
      </c>
      <c r="Q262" s="59">
        <f t="shared" si="25"/>
        <v>0</v>
      </c>
    </row>
    <row r="263" spans="3:17" ht="15" outlineLevel="2" x14ac:dyDescent="0.25">
      <c r="C263" s="56" t="s">
        <v>397</v>
      </c>
      <c r="D263" s="57" t="s">
        <v>241</v>
      </c>
      <c r="E263" s="58">
        <v>1.583</v>
      </c>
      <c r="F263" s="59">
        <f t="shared" si="25"/>
        <v>0</v>
      </c>
      <c r="G263" s="59">
        <f t="shared" si="25"/>
        <v>0</v>
      </c>
      <c r="H263" s="59">
        <f t="shared" si="25"/>
        <v>0</v>
      </c>
      <c r="I263" s="59">
        <f t="shared" si="25"/>
        <v>0</v>
      </c>
      <c r="J263" s="59">
        <f t="shared" si="25"/>
        <v>0</v>
      </c>
      <c r="K263" s="59">
        <f t="shared" si="25"/>
        <v>0</v>
      </c>
      <c r="L263" s="59">
        <f t="shared" si="25"/>
        <v>0</v>
      </c>
      <c r="M263" s="59">
        <f t="shared" si="25"/>
        <v>0</v>
      </c>
      <c r="N263" s="59">
        <f t="shared" si="25"/>
        <v>0</v>
      </c>
      <c r="O263" s="59">
        <f t="shared" si="25"/>
        <v>0</v>
      </c>
      <c r="P263" s="59">
        <f t="shared" si="25"/>
        <v>0</v>
      </c>
      <c r="Q263" s="59">
        <f t="shared" si="25"/>
        <v>0</v>
      </c>
    </row>
    <row r="264" spans="3:17" ht="15" outlineLevel="2" x14ac:dyDescent="0.25">
      <c r="C264" s="56" t="s">
        <v>397</v>
      </c>
      <c r="D264" s="57" t="s">
        <v>242</v>
      </c>
      <c r="E264" s="58">
        <v>1.748</v>
      </c>
      <c r="F264" s="59">
        <f t="shared" si="25"/>
        <v>0</v>
      </c>
      <c r="G264" s="59">
        <f t="shared" si="25"/>
        <v>0</v>
      </c>
      <c r="H264" s="59">
        <f t="shared" si="25"/>
        <v>0</v>
      </c>
      <c r="I264" s="59">
        <f t="shared" si="25"/>
        <v>0</v>
      </c>
      <c r="J264" s="59">
        <f t="shared" si="25"/>
        <v>0</v>
      </c>
      <c r="K264" s="59">
        <f t="shared" si="25"/>
        <v>0</v>
      </c>
      <c r="L264" s="59">
        <f t="shared" si="25"/>
        <v>0</v>
      </c>
      <c r="M264" s="59">
        <f t="shared" si="25"/>
        <v>0</v>
      </c>
      <c r="N264" s="59">
        <f t="shared" si="25"/>
        <v>0</v>
      </c>
      <c r="O264" s="59">
        <f t="shared" si="25"/>
        <v>0</v>
      </c>
      <c r="P264" s="59">
        <f t="shared" si="25"/>
        <v>0</v>
      </c>
      <c r="Q264" s="59">
        <f t="shared" si="25"/>
        <v>0</v>
      </c>
    </row>
    <row r="265" spans="3:17" ht="15" outlineLevel="2" x14ac:dyDescent="0.25">
      <c r="C265" s="56" t="s">
        <v>397</v>
      </c>
      <c r="D265" s="57" t="s">
        <v>243</v>
      </c>
      <c r="E265" s="58">
        <v>1.9139999999999999</v>
      </c>
      <c r="F265" s="59">
        <f t="shared" si="25"/>
        <v>16</v>
      </c>
      <c r="G265" s="59">
        <f t="shared" si="25"/>
        <v>0</v>
      </c>
      <c r="H265" s="59">
        <f t="shared" si="25"/>
        <v>0</v>
      </c>
      <c r="I265" s="59">
        <f t="shared" si="25"/>
        <v>0</v>
      </c>
      <c r="J265" s="59">
        <f t="shared" si="25"/>
        <v>0</v>
      </c>
      <c r="K265" s="59">
        <f t="shared" si="25"/>
        <v>0</v>
      </c>
      <c r="L265" s="59">
        <f t="shared" si="25"/>
        <v>0</v>
      </c>
      <c r="M265" s="59">
        <f t="shared" si="25"/>
        <v>0</v>
      </c>
      <c r="N265" s="59">
        <f t="shared" si="25"/>
        <v>0</v>
      </c>
      <c r="O265" s="59">
        <f t="shared" si="25"/>
        <v>0</v>
      </c>
      <c r="P265" s="59">
        <f t="shared" si="25"/>
        <v>0</v>
      </c>
      <c r="Q265" s="59">
        <f t="shared" si="25"/>
        <v>0</v>
      </c>
    </row>
    <row r="266" spans="3:17" ht="15" outlineLevel="2" x14ac:dyDescent="0.25">
      <c r="C266" s="56" t="s">
        <v>397</v>
      </c>
      <c r="D266" s="57" t="s">
        <v>244</v>
      </c>
      <c r="E266" s="58">
        <v>2.0790000000000002</v>
      </c>
      <c r="F266" s="59">
        <f t="shared" si="25"/>
        <v>6</v>
      </c>
      <c r="G266" s="59">
        <f t="shared" si="25"/>
        <v>0</v>
      </c>
      <c r="H266" s="59">
        <f t="shared" si="25"/>
        <v>0</v>
      </c>
      <c r="I266" s="59">
        <f t="shared" si="25"/>
        <v>0</v>
      </c>
      <c r="J266" s="59">
        <f t="shared" si="25"/>
        <v>0</v>
      </c>
      <c r="K266" s="59">
        <f t="shared" si="25"/>
        <v>0</v>
      </c>
      <c r="L266" s="59">
        <f t="shared" si="25"/>
        <v>0</v>
      </c>
      <c r="M266" s="59">
        <f t="shared" si="25"/>
        <v>0</v>
      </c>
      <c r="N266" s="59">
        <f t="shared" si="25"/>
        <v>0</v>
      </c>
      <c r="O266" s="59">
        <f t="shared" si="25"/>
        <v>0</v>
      </c>
      <c r="P266" s="59">
        <f t="shared" si="25"/>
        <v>0</v>
      </c>
      <c r="Q266" s="59">
        <f t="shared" si="25"/>
        <v>0</v>
      </c>
    </row>
    <row r="267" spans="3:17" ht="15" outlineLevel="2" x14ac:dyDescent="0.25">
      <c r="C267" s="56" t="s">
        <v>397</v>
      </c>
      <c r="D267" s="57" t="s">
        <v>245</v>
      </c>
      <c r="E267" s="58">
        <v>2.41</v>
      </c>
      <c r="F267" s="59">
        <f t="shared" ref="F267:Q276" si="26">SUMIFS($F$368:$F$1152,$C$368:$C$1152,$C267,$A$368:$A$1152,F$3,$B$368:$B$1152,F$4,$D$368:$D$1152,$D267)</f>
        <v>0</v>
      </c>
      <c r="G267" s="59">
        <f t="shared" si="26"/>
        <v>0</v>
      </c>
      <c r="H267" s="59">
        <f t="shared" si="26"/>
        <v>0</v>
      </c>
      <c r="I267" s="59">
        <f t="shared" si="26"/>
        <v>0</v>
      </c>
      <c r="J267" s="59">
        <f t="shared" si="26"/>
        <v>0</v>
      </c>
      <c r="K267" s="59">
        <f t="shared" si="26"/>
        <v>0</v>
      </c>
      <c r="L267" s="59">
        <f t="shared" si="26"/>
        <v>0</v>
      </c>
      <c r="M267" s="59">
        <f t="shared" si="26"/>
        <v>0</v>
      </c>
      <c r="N267" s="59">
        <f t="shared" si="26"/>
        <v>0</v>
      </c>
      <c r="O267" s="59">
        <f t="shared" si="26"/>
        <v>0</v>
      </c>
      <c r="P267" s="59">
        <f t="shared" si="26"/>
        <v>0</v>
      </c>
      <c r="Q267" s="59">
        <f t="shared" si="26"/>
        <v>0</v>
      </c>
    </row>
    <row r="268" spans="3:17" ht="15" outlineLevel="2" x14ac:dyDescent="0.25">
      <c r="C268" s="56" t="s">
        <v>397</v>
      </c>
      <c r="D268" s="57" t="s">
        <v>231</v>
      </c>
      <c r="E268" s="58">
        <v>2.694</v>
      </c>
      <c r="F268" s="59">
        <f t="shared" si="26"/>
        <v>2</v>
      </c>
      <c r="G268" s="59">
        <f t="shared" si="26"/>
        <v>0</v>
      </c>
      <c r="H268" s="59">
        <f t="shared" si="26"/>
        <v>0</v>
      </c>
      <c r="I268" s="59">
        <f t="shared" si="26"/>
        <v>0</v>
      </c>
      <c r="J268" s="59">
        <f t="shared" si="26"/>
        <v>0</v>
      </c>
      <c r="K268" s="59">
        <f t="shared" si="26"/>
        <v>0</v>
      </c>
      <c r="L268" s="59">
        <f t="shared" si="26"/>
        <v>0</v>
      </c>
      <c r="M268" s="59">
        <f t="shared" si="26"/>
        <v>0</v>
      </c>
      <c r="N268" s="59">
        <f t="shared" si="26"/>
        <v>0</v>
      </c>
      <c r="O268" s="59">
        <f t="shared" si="26"/>
        <v>0</v>
      </c>
      <c r="P268" s="59">
        <f t="shared" si="26"/>
        <v>0</v>
      </c>
      <c r="Q268" s="59">
        <f t="shared" si="26"/>
        <v>0</v>
      </c>
    </row>
    <row r="269" spans="3:17" ht="15" outlineLevel="2" x14ac:dyDescent="0.25">
      <c r="C269" s="56" t="s">
        <v>397</v>
      </c>
      <c r="D269" s="57" t="s">
        <v>232</v>
      </c>
      <c r="E269" s="58">
        <v>2.9420000000000002</v>
      </c>
      <c r="F269" s="59">
        <f t="shared" si="26"/>
        <v>19</v>
      </c>
      <c r="G269" s="59">
        <f t="shared" si="26"/>
        <v>0</v>
      </c>
      <c r="H269" s="59">
        <f t="shared" si="26"/>
        <v>0</v>
      </c>
      <c r="I269" s="59">
        <f t="shared" si="26"/>
        <v>0</v>
      </c>
      <c r="J269" s="59">
        <f t="shared" si="26"/>
        <v>0</v>
      </c>
      <c r="K269" s="59">
        <f t="shared" si="26"/>
        <v>0</v>
      </c>
      <c r="L269" s="59">
        <f t="shared" si="26"/>
        <v>0</v>
      </c>
      <c r="M269" s="59">
        <f t="shared" si="26"/>
        <v>0</v>
      </c>
      <c r="N269" s="59">
        <f t="shared" si="26"/>
        <v>0</v>
      </c>
      <c r="O269" s="59">
        <f t="shared" si="26"/>
        <v>0</v>
      </c>
      <c r="P269" s="59">
        <f t="shared" si="26"/>
        <v>0</v>
      </c>
      <c r="Q269" s="59">
        <f t="shared" si="26"/>
        <v>0</v>
      </c>
    </row>
    <row r="270" spans="3:17" ht="15" outlineLevel="2" x14ac:dyDescent="0.25">
      <c r="C270" s="56" t="s">
        <v>397</v>
      </c>
      <c r="D270" s="57" t="s">
        <v>233</v>
      </c>
      <c r="E270" s="58">
        <v>3.19</v>
      </c>
      <c r="F270" s="59">
        <f t="shared" si="26"/>
        <v>0</v>
      </c>
      <c r="G270" s="59">
        <f t="shared" si="26"/>
        <v>0</v>
      </c>
      <c r="H270" s="59">
        <f t="shared" si="26"/>
        <v>0</v>
      </c>
      <c r="I270" s="59">
        <f t="shared" si="26"/>
        <v>0</v>
      </c>
      <c r="J270" s="59">
        <f t="shared" si="26"/>
        <v>0</v>
      </c>
      <c r="K270" s="59">
        <f t="shared" si="26"/>
        <v>0</v>
      </c>
      <c r="L270" s="59">
        <f t="shared" si="26"/>
        <v>0</v>
      </c>
      <c r="M270" s="59">
        <f t="shared" si="26"/>
        <v>0</v>
      </c>
      <c r="N270" s="59">
        <f t="shared" si="26"/>
        <v>0</v>
      </c>
      <c r="O270" s="59">
        <f t="shared" si="26"/>
        <v>0</v>
      </c>
      <c r="P270" s="59">
        <f t="shared" si="26"/>
        <v>0</v>
      </c>
      <c r="Q270" s="59">
        <f t="shared" si="26"/>
        <v>0</v>
      </c>
    </row>
    <row r="271" spans="3:17" ht="15" outlineLevel="2" x14ac:dyDescent="0.25">
      <c r="C271" s="56" t="s">
        <v>397</v>
      </c>
      <c r="D271" s="57" t="s">
        <v>234</v>
      </c>
      <c r="E271" s="58">
        <v>3.4380000000000002</v>
      </c>
      <c r="F271" s="59">
        <f t="shared" si="26"/>
        <v>12</v>
      </c>
      <c r="G271" s="59">
        <f t="shared" si="26"/>
        <v>0</v>
      </c>
      <c r="H271" s="59">
        <f t="shared" si="26"/>
        <v>0</v>
      </c>
      <c r="I271" s="59">
        <f t="shared" si="26"/>
        <v>0</v>
      </c>
      <c r="J271" s="59">
        <f t="shared" si="26"/>
        <v>0</v>
      </c>
      <c r="K271" s="59">
        <f t="shared" si="26"/>
        <v>0</v>
      </c>
      <c r="L271" s="59">
        <f t="shared" si="26"/>
        <v>0</v>
      </c>
      <c r="M271" s="59">
        <f t="shared" si="26"/>
        <v>0</v>
      </c>
      <c r="N271" s="59">
        <f t="shared" si="26"/>
        <v>0</v>
      </c>
      <c r="O271" s="59">
        <f t="shared" si="26"/>
        <v>0</v>
      </c>
      <c r="P271" s="59">
        <f t="shared" si="26"/>
        <v>0</v>
      </c>
      <c r="Q271" s="59">
        <f t="shared" si="26"/>
        <v>0</v>
      </c>
    </row>
    <row r="272" spans="3:17" ht="15" outlineLevel="2" x14ac:dyDescent="0.25">
      <c r="C272" s="56" t="s">
        <v>397</v>
      </c>
      <c r="D272" s="57" t="s">
        <v>451</v>
      </c>
      <c r="E272" s="58">
        <v>3.6190000000000002</v>
      </c>
      <c r="F272" s="59">
        <f t="shared" si="26"/>
        <v>0</v>
      </c>
      <c r="G272" s="59">
        <f t="shared" si="26"/>
        <v>0</v>
      </c>
      <c r="H272" s="59">
        <f t="shared" si="26"/>
        <v>0</v>
      </c>
      <c r="I272" s="59">
        <f t="shared" si="26"/>
        <v>0</v>
      </c>
      <c r="J272" s="59">
        <f t="shared" si="26"/>
        <v>0</v>
      </c>
      <c r="K272" s="59">
        <f t="shared" si="26"/>
        <v>0</v>
      </c>
      <c r="L272" s="59">
        <f t="shared" si="26"/>
        <v>0</v>
      </c>
      <c r="M272" s="59">
        <f t="shared" si="26"/>
        <v>0</v>
      </c>
      <c r="N272" s="59">
        <f t="shared" si="26"/>
        <v>0</v>
      </c>
      <c r="O272" s="59">
        <f t="shared" si="26"/>
        <v>0</v>
      </c>
      <c r="P272" s="59">
        <f t="shared" si="26"/>
        <v>0</v>
      </c>
      <c r="Q272" s="59">
        <f t="shared" si="26"/>
        <v>0</v>
      </c>
    </row>
    <row r="273" spans="3:17" ht="15" outlineLevel="2" x14ac:dyDescent="0.25">
      <c r="C273" s="56" t="s">
        <v>397</v>
      </c>
      <c r="D273" s="57" t="s">
        <v>235</v>
      </c>
      <c r="E273" s="58">
        <v>3.9340000000000002</v>
      </c>
      <c r="F273" s="59">
        <f t="shared" si="26"/>
        <v>9</v>
      </c>
      <c r="G273" s="59">
        <f t="shared" si="26"/>
        <v>0</v>
      </c>
      <c r="H273" s="59">
        <f t="shared" si="26"/>
        <v>0</v>
      </c>
      <c r="I273" s="59">
        <f t="shared" si="26"/>
        <v>0</v>
      </c>
      <c r="J273" s="59">
        <f t="shared" si="26"/>
        <v>0</v>
      </c>
      <c r="K273" s="59">
        <f t="shared" si="26"/>
        <v>0</v>
      </c>
      <c r="L273" s="59">
        <f t="shared" si="26"/>
        <v>0</v>
      </c>
      <c r="M273" s="59">
        <f t="shared" si="26"/>
        <v>0</v>
      </c>
      <c r="N273" s="59">
        <f t="shared" si="26"/>
        <v>0</v>
      </c>
      <c r="O273" s="59">
        <f t="shared" si="26"/>
        <v>0</v>
      </c>
      <c r="P273" s="59">
        <f t="shared" si="26"/>
        <v>0</v>
      </c>
      <c r="Q273" s="59">
        <f t="shared" si="26"/>
        <v>0</v>
      </c>
    </row>
    <row r="274" spans="3:17" ht="15" outlineLevel="2" x14ac:dyDescent="0.25">
      <c r="C274" s="56" t="s">
        <v>397</v>
      </c>
      <c r="D274" s="57" t="s">
        <v>358</v>
      </c>
      <c r="E274" s="58">
        <v>1.31</v>
      </c>
      <c r="F274" s="59">
        <f t="shared" si="26"/>
        <v>0</v>
      </c>
      <c r="G274" s="59">
        <f t="shared" si="26"/>
        <v>0</v>
      </c>
      <c r="H274" s="59">
        <f t="shared" si="26"/>
        <v>0</v>
      </c>
      <c r="I274" s="59">
        <f t="shared" si="26"/>
        <v>0</v>
      </c>
      <c r="J274" s="59">
        <f t="shared" si="26"/>
        <v>0</v>
      </c>
      <c r="K274" s="59">
        <f t="shared" si="26"/>
        <v>0</v>
      </c>
      <c r="L274" s="59">
        <f t="shared" si="26"/>
        <v>0</v>
      </c>
      <c r="M274" s="59">
        <f t="shared" si="26"/>
        <v>0</v>
      </c>
      <c r="N274" s="59">
        <f t="shared" si="26"/>
        <v>0</v>
      </c>
      <c r="O274" s="59">
        <f t="shared" si="26"/>
        <v>0</v>
      </c>
      <c r="P274" s="59">
        <f t="shared" si="26"/>
        <v>0</v>
      </c>
      <c r="Q274" s="59">
        <f t="shared" si="26"/>
        <v>0</v>
      </c>
    </row>
    <row r="275" spans="3:17" ht="15" outlineLevel="2" x14ac:dyDescent="0.25">
      <c r="C275" s="56" t="s">
        <v>397</v>
      </c>
      <c r="D275" s="57" t="s">
        <v>359</v>
      </c>
      <c r="E275" s="58">
        <v>1.718</v>
      </c>
      <c r="F275" s="59">
        <f t="shared" si="26"/>
        <v>0</v>
      </c>
      <c r="G275" s="59">
        <f t="shared" si="26"/>
        <v>0</v>
      </c>
      <c r="H275" s="59">
        <f t="shared" si="26"/>
        <v>0</v>
      </c>
      <c r="I275" s="59">
        <f t="shared" si="26"/>
        <v>0</v>
      </c>
      <c r="J275" s="59">
        <f t="shared" si="26"/>
        <v>0</v>
      </c>
      <c r="K275" s="59">
        <f t="shared" si="26"/>
        <v>0</v>
      </c>
      <c r="L275" s="59">
        <f t="shared" si="26"/>
        <v>0</v>
      </c>
      <c r="M275" s="59">
        <f t="shared" si="26"/>
        <v>0</v>
      </c>
      <c r="N275" s="59">
        <f t="shared" si="26"/>
        <v>0</v>
      </c>
      <c r="O275" s="59">
        <f t="shared" si="26"/>
        <v>0</v>
      </c>
      <c r="P275" s="59">
        <f t="shared" si="26"/>
        <v>0</v>
      </c>
      <c r="Q275" s="59">
        <f t="shared" si="26"/>
        <v>0</v>
      </c>
    </row>
    <row r="276" spans="3:17" ht="15" outlineLevel="2" x14ac:dyDescent="0.25">
      <c r="C276" s="56" t="s">
        <v>397</v>
      </c>
      <c r="D276" s="57" t="s">
        <v>360</v>
      </c>
      <c r="E276" s="58">
        <v>3.2189999999999999</v>
      </c>
      <c r="F276" s="59">
        <f t="shared" si="26"/>
        <v>0</v>
      </c>
      <c r="G276" s="59">
        <f t="shared" si="26"/>
        <v>0</v>
      </c>
      <c r="H276" s="59">
        <f t="shared" si="26"/>
        <v>0</v>
      </c>
      <c r="I276" s="59">
        <f t="shared" si="26"/>
        <v>0</v>
      </c>
      <c r="J276" s="59">
        <f t="shared" si="26"/>
        <v>0</v>
      </c>
      <c r="K276" s="59">
        <f t="shared" si="26"/>
        <v>0</v>
      </c>
      <c r="L276" s="59">
        <f t="shared" si="26"/>
        <v>0</v>
      </c>
      <c r="M276" s="59">
        <f t="shared" si="26"/>
        <v>0</v>
      </c>
      <c r="N276" s="59">
        <f t="shared" si="26"/>
        <v>0</v>
      </c>
      <c r="O276" s="59">
        <f t="shared" si="26"/>
        <v>0</v>
      </c>
      <c r="P276" s="59">
        <f t="shared" si="26"/>
        <v>0</v>
      </c>
      <c r="Q276" s="59">
        <f t="shared" si="26"/>
        <v>0</v>
      </c>
    </row>
    <row r="277" spans="3:17" ht="15" outlineLevel="2" x14ac:dyDescent="0.25">
      <c r="C277" s="56" t="s">
        <v>397</v>
      </c>
      <c r="D277" s="57" t="s">
        <v>361</v>
      </c>
      <c r="E277" s="58">
        <v>3.8730000000000002</v>
      </c>
      <c r="F277" s="59">
        <f t="shared" ref="F277:Q286" si="27">SUMIFS($F$368:$F$1152,$C$368:$C$1152,$C277,$A$368:$A$1152,F$3,$B$368:$B$1152,F$4,$D$368:$D$1152,$D277)</f>
        <v>0</v>
      </c>
      <c r="G277" s="59">
        <f t="shared" si="27"/>
        <v>0</v>
      </c>
      <c r="H277" s="59">
        <f t="shared" si="27"/>
        <v>0</v>
      </c>
      <c r="I277" s="59">
        <f t="shared" si="27"/>
        <v>0</v>
      </c>
      <c r="J277" s="59">
        <f t="shared" si="27"/>
        <v>0</v>
      </c>
      <c r="K277" s="59">
        <f t="shared" si="27"/>
        <v>0</v>
      </c>
      <c r="L277" s="59">
        <f t="shared" si="27"/>
        <v>0</v>
      </c>
      <c r="M277" s="59">
        <f t="shared" si="27"/>
        <v>0</v>
      </c>
      <c r="N277" s="59">
        <f t="shared" si="27"/>
        <v>0</v>
      </c>
      <c r="O277" s="59">
        <f t="shared" si="27"/>
        <v>0</v>
      </c>
      <c r="P277" s="59">
        <f t="shared" si="27"/>
        <v>0</v>
      </c>
      <c r="Q277" s="59">
        <f t="shared" si="27"/>
        <v>0</v>
      </c>
    </row>
    <row r="278" spans="3:17" ht="15" outlineLevel="2" x14ac:dyDescent="0.25">
      <c r="C278" s="56" t="s">
        <v>397</v>
      </c>
      <c r="D278" s="57" t="s">
        <v>221</v>
      </c>
      <c r="E278" s="58">
        <v>2.694</v>
      </c>
      <c r="F278" s="59">
        <f t="shared" si="27"/>
        <v>22</v>
      </c>
      <c r="G278" s="59">
        <f t="shared" si="27"/>
        <v>0</v>
      </c>
      <c r="H278" s="59">
        <f t="shared" si="27"/>
        <v>0</v>
      </c>
      <c r="I278" s="59">
        <f t="shared" si="27"/>
        <v>0</v>
      </c>
      <c r="J278" s="59">
        <f t="shared" si="27"/>
        <v>0</v>
      </c>
      <c r="K278" s="59">
        <f t="shared" si="27"/>
        <v>0</v>
      </c>
      <c r="L278" s="59">
        <f t="shared" si="27"/>
        <v>0</v>
      </c>
      <c r="M278" s="59">
        <f t="shared" si="27"/>
        <v>0</v>
      </c>
      <c r="N278" s="59">
        <f t="shared" si="27"/>
        <v>0</v>
      </c>
      <c r="O278" s="59">
        <f t="shared" si="27"/>
        <v>0</v>
      </c>
      <c r="P278" s="59">
        <f t="shared" si="27"/>
        <v>0</v>
      </c>
      <c r="Q278" s="59">
        <f t="shared" si="27"/>
        <v>0</v>
      </c>
    </row>
    <row r="279" spans="3:17" ht="15" outlineLevel="2" x14ac:dyDescent="0.25">
      <c r="C279" s="56" t="s">
        <v>397</v>
      </c>
      <c r="D279" s="57" t="s">
        <v>222</v>
      </c>
      <c r="E279" s="58">
        <v>2.9420000000000002</v>
      </c>
      <c r="F279" s="59">
        <f t="shared" si="27"/>
        <v>37</v>
      </c>
      <c r="G279" s="59">
        <f t="shared" si="27"/>
        <v>0</v>
      </c>
      <c r="H279" s="59">
        <f t="shared" si="27"/>
        <v>0</v>
      </c>
      <c r="I279" s="59">
        <f t="shared" si="27"/>
        <v>0</v>
      </c>
      <c r="J279" s="59">
        <f t="shared" si="27"/>
        <v>0</v>
      </c>
      <c r="K279" s="59">
        <f t="shared" si="27"/>
        <v>0</v>
      </c>
      <c r="L279" s="59">
        <f t="shared" si="27"/>
        <v>0</v>
      </c>
      <c r="M279" s="59">
        <f t="shared" si="27"/>
        <v>0</v>
      </c>
      <c r="N279" s="59">
        <f t="shared" si="27"/>
        <v>0</v>
      </c>
      <c r="O279" s="59">
        <f t="shared" si="27"/>
        <v>0</v>
      </c>
      <c r="P279" s="59">
        <f t="shared" si="27"/>
        <v>0</v>
      </c>
      <c r="Q279" s="59">
        <f t="shared" si="27"/>
        <v>0</v>
      </c>
    </row>
    <row r="280" spans="3:17" ht="15" outlineLevel="2" x14ac:dyDescent="0.25">
      <c r="C280" s="56" t="s">
        <v>397</v>
      </c>
      <c r="D280" s="57" t="s">
        <v>223</v>
      </c>
      <c r="E280" s="58">
        <v>3.19</v>
      </c>
      <c r="F280" s="59">
        <f t="shared" si="27"/>
        <v>30</v>
      </c>
      <c r="G280" s="59">
        <f t="shared" si="27"/>
        <v>0</v>
      </c>
      <c r="H280" s="59">
        <f t="shared" si="27"/>
        <v>0</v>
      </c>
      <c r="I280" s="59">
        <f t="shared" si="27"/>
        <v>0</v>
      </c>
      <c r="J280" s="59">
        <f t="shared" si="27"/>
        <v>0</v>
      </c>
      <c r="K280" s="59">
        <f t="shared" si="27"/>
        <v>0</v>
      </c>
      <c r="L280" s="59">
        <f t="shared" si="27"/>
        <v>0</v>
      </c>
      <c r="M280" s="59">
        <f t="shared" si="27"/>
        <v>0</v>
      </c>
      <c r="N280" s="59">
        <f t="shared" si="27"/>
        <v>0</v>
      </c>
      <c r="O280" s="59">
        <f t="shared" si="27"/>
        <v>0</v>
      </c>
      <c r="P280" s="59">
        <f t="shared" si="27"/>
        <v>0</v>
      </c>
      <c r="Q280" s="59">
        <f t="shared" si="27"/>
        <v>0</v>
      </c>
    </row>
    <row r="281" spans="3:17" ht="15" outlineLevel="2" x14ac:dyDescent="0.25">
      <c r="C281" s="56" t="s">
        <v>397</v>
      </c>
      <c r="D281" s="57" t="s">
        <v>224</v>
      </c>
      <c r="E281" s="58">
        <v>3.4380000000000002</v>
      </c>
      <c r="F281" s="59">
        <f t="shared" si="27"/>
        <v>3</v>
      </c>
      <c r="G281" s="59">
        <f t="shared" si="27"/>
        <v>0</v>
      </c>
      <c r="H281" s="59">
        <f t="shared" si="27"/>
        <v>0</v>
      </c>
      <c r="I281" s="59">
        <f t="shared" si="27"/>
        <v>0</v>
      </c>
      <c r="J281" s="59">
        <f t="shared" si="27"/>
        <v>0</v>
      </c>
      <c r="K281" s="59">
        <f t="shared" si="27"/>
        <v>0</v>
      </c>
      <c r="L281" s="59">
        <f t="shared" si="27"/>
        <v>0</v>
      </c>
      <c r="M281" s="59">
        <f t="shared" si="27"/>
        <v>0</v>
      </c>
      <c r="N281" s="59">
        <f t="shared" si="27"/>
        <v>0</v>
      </c>
      <c r="O281" s="59">
        <f t="shared" si="27"/>
        <v>0</v>
      </c>
      <c r="P281" s="59">
        <f t="shared" si="27"/>
        <v>0</v>
      </c>
      <c r="Q281" s="59">
        <f t="shared" si="27"/>
        <v>0</v>
      </c>
    </row>
    <row r="282" spans="3:17" ht="15" outlineLevel="2" x14ac:dyDescent="0.25">
      <c r="C282" s="56" t="s">
        <v>397</v>
      </c>
      <c r="D282" s="57" t="s">
        <v>452</v>
      </c>
      <c r="E282" s="58">
        <v>3.5449999999999999</v>
      </c>
      <c r="F282" s="59">
        <f t="shared" si="27"/>
        <v>0</v>
      </c>
      <c r="G282" s="59">
        <f t="shared" si="27"/>
        <v>0</v>
      </c>
      <c r="H282" s="59">
        <f t="shared" si="27"/>
        <v>0</v>
      </c>
      <c r="I282" s="59">
        <f t="shared" si="27"/>
        <v>0</v>
      </c>
      <c r="J282" s="59">
        <f t="shared" si="27"/>
        <v>0</v>
      </c>
      <c r="K282" s="59">
        <f t="shared" si="27"/>
        <v>0</v>
      </c>
      <c r="L282" s="59">
        <f t="shared" si="27"/>
        <v>0</v>
      </c>
      <c r="M282" s="59">
        <f t="shared" si="27"/>
        <v>0</v>
      </c>
      <c r="N282" s="59">
        <f t="shared" si="27"/>
        <v>0</v>
      </c>
      <c r="O282" s="59">
        <f t="shared" si="27"/>
        <v>0</v>
      </c>
      <c r="P282" s="59">
        <f t="shared" si="27"/>
        <v>0</v>
      </c>
      <c r="Q282" s="59">
        <f t="shared" si="27"/>
        <v>0</v>
      </c>
    </row>
    <row r="283" spans="3:17" ht="15" outlineLevel="2" x14ac:dyDescent="0.25">
      <c r="C283" s="56" t="s">
        <v>397</v>
      </c>
      <c r="D283" s="57" t="s">
        <v>225</v>
      </c>
      <c r="E283" s="58">
        <v>3.9340000000000002</v>
      </c>
      <c r="F283" s="59">
        <f t="shared" si="27"/>
        <v>13</v>
      </c>
      <c r="G283" s="59">
        <f t="shared" si="27"/>
        <v>0</v>
      </c>
      <c r="H283" s="59">
        <f t="shared" si="27"/>
        <v>0</v>
      </c>
      <c r="I283" s="59">
        <f t="shared" si="27"/>
        <v>0</v>
      </c>
      <c r="J283" s="59">
        <f t="shared" si="27"/>
        <v>0</v>
      </c>
      <c r="K283" s="59">
        <f t="shared" si="27"/>
        <v>0</v>
      </c>
      <c r="L283" s="59">
        <f t="shared" si="27"/>
        <v>0</v>
      </c>
      <c r="M283" s="59">
        <f t="shared" si="27"/>
        <v>0</v>
      </c>
      <c r="N283" s="59">
        <f t="shared" si="27"/>
        <v>0</v>
      </c>
      <c r="O283" s="59">
        <f t="shared" si="27"/>
        <v>0</v>
      </c>
      <c r="P283" s="59">
        <f t="shared" si="27"/>
        <v>0</v>
      </c>
      <c r="Q283" s="59">
        <f t="shared" si="27"/>
        <v>0</v>
      </c>
    </row>
    <row r="284" spans="3:17" ht="15" outlineLevel="2" x14ac:dyDescent="0.25">
      <c r="C284" s="56" t="s">
        <v>397</v>
      </c>
      <c r="D284" s="57" t="s">
        <v>366</v>
      </c>
      <c r="E284" s="58">
        <v>1.304</v>
      </c>
      <c r="F284" s="59">
        <f t="shared" si="27"/>
        <v>0</v>
      </c>
      <c r="G284" s="59">
        <f t="shared" si="27"/>
        <v>0</v>
      </c>
      <c r="H284" s="59">
        <f t="shared" si="27"/>
        <v>0</v>
      </c>
      <c r="I284" s="59">
        <f t="shared" si="27"/>
        <v>0</v>
      </c>
      <c r="J284" s="59">
        <f t="shared" si="27"/>
        <v>0</v>
      </c>
      <c r="K284" s="59">
        <f t="shared" si="27"/>
        <v>0</v>
      </c>
      <c r="L284" s="59">
        <f t="shared" si="27"/>
        <v>0</v>
      </c>
      <c r="M284" s="59">
        <f t="shared" si="27"/>
        <v>0</v>
      </c>
      <c r="N284" s="59">
        <f t="shared" si="27"/>
        <v>0</v>
      </c>
      <c r="O284" s="59">
        <f t="shared" si="27"/>
        <v>0</v>
      </c>
      <c r="P284" s="59">
        <f t="shared" si="27"/>
        <v>0</v>
      </c>
      <c r="Q284" s="59">
        <f t="shared" si="27"/>
        <v>0</v>
      </c>
    </row>
    <row r="285" spans="3:17" ht="15" outlineLevel="2" x14ac:dyDescent="0.25">
      <c r="C285" s="56" t="s">
        <v>397</v>
      </c>
      <c r="D285" s="57" t="s">
        <v>367</v>
      </c>
      <c r="E285" s="58">
        <v>1.7110000000000001</v>
      </c>
      <c r="F285" s="59">
        <f t="shared" si="27"/>
        <v>0</v>
      </c>
      <c r="G285" s="59">
        <f t="shared" si="27"/>
        <v>0</v>
      </c>
      <c r="H285" s="59">
        <f t="shared" si="27"/>
        <v>0</v>
      </c>
      <c r="I285" s="59">
        <f t="shared" si="27"/>
        <v>0</v>
      </c>
      <c r="J285" s="59">
        <f t="shared" si="27"/>
        <v>0</v>
      </c>
      <c r="K285" s="59">
        <f t="shared" si="27"/>
        <v>0</v>
      </c>
      <c r="L285" s="59">
        <f t="shared" si="27"/>
        <v>0</v>
      </c>
      <c r="M285" s="59">
        <f t="shared" si="27"/>
        <v>0</v>
      </c>
      <c r="N285" s="59">
        <f t="shared" si="27"/>
        <v>0</v>
      </c>
      <c r="O285" s="59">
        <f t="shared" si="27"/>
        <v>0</v>
      </c>
      <c r="P285" s="59">
        <f t="shared" si="27"/>
        <v>0</v>
      </c>
      <c r="Q285" s="59">
        <f t="shared" si="27"/>
        <v>0</v>
      </c>
    </row>
    <row r="286" spans="3:17" ht="15" outlineLevel="2" x14ac:dyDescent="0.25">
      <c r="C286" s="56" t="s">
        <v>397</v>
      </c>
      <c r="D286" s="57" t="s">
        <v>368</v>
      </c>
      <c r="E286" s="58">
        <v>3.2050000000000001</v>
      </c>
      <c r="F286" s="59">
        <f t="shared" si="27"/>
        <v>0</v>
      </c>
      <c r="G286" s="59">
        <f t="shared" si="27"/>
        <v>0</v>
      </c>
      <c r="H286" s="59">
        <f t="shared" si="27"/>
        <v>0</v>
      </c>
      <c r="I286" s="59">
        <f t="shared" si="27"/>
        <v>0</v>
      </c>
      <c r="J286" s="59">
        <f t="shared" si="27"/>
        <v>0</v>
      </c>
      <c r="K286" s="59">
        <f t="shared" si="27"/>
        <v>0</v>
      </c>
      <c r="L286" s="59">
        <f t="shared" si="27"/>
        <v>0</v>
      </c>
      <c r="M286" s="59">
        <f t="shared" si="27"/>
        <v>0</v>
      </c>
      <c r="N286" s="59">
        <f t="shared" si="27"/>
        <v>0</v>
      </c>
      <c r="O286" s="59">
        <f t="shared" si="27"/>
        <v>0</v>
      </c>
      <c r="P286" s="59">
        <f t="shared" si="27"/>
        <v>0</v>
      </c>
      <c r="Q286" s="59">
        <f t="shared" si="27"/>
        <v>0</v>
      </c>
    </row>
    <row r="287" spans="3:17" ht="15" outlineLevel="2" x14ac:dyDescent="0.25">
      <c r="C287" s="56" t="s">
        <v>397</v>
      </c>
      <c r="D287" s="57" t="s">
        <v>369</v>
      </c>
      <c r="E287" s="58">
        <v>3.8559999999999999</v>
      </c>
      <c r="F287" s="59">
        <f t="shared" ref="F287:Q296" si="28">SUMIFS($F$368:$F$1152,$C$368:$C$1152,$C287,$A$368:$A$1152,F$3,$B$368:$B$1152,F$4,$D$368:$D$1152,$D287)</f>
        <v>0</v>
      </c>
      <c r="G287" s="59">
        <f t="shared" si="28"/>
        <v>0</v>
      </c>
      <c r="H287" s="59">
        <f t="shared" si="28"/>
        <v>0</v>
      </c>
      <c r="I287" s="59">
        <f t="shared" si="28"/>
        <v>0</v>
      </c>
      <c r="J287" s="59">
        <f t="shared" si="28"/>
        <v>0</v>
      </c>
      <c r="K287" s="59">
        <f t="shared" si="28"/>
        <v>0</v>
      </c>
      <c r="L287" s="59">
        <f t="shared" si="28"/>
        <v>0</v>
      </c>
      <c r="M287" s="59">
        <f t="shared" si="28"/>
        <v>0</v>
      </c>
      <c r="N287" s="59">
        <f t="shared" si="28"/>
        <v>0</v>
      </c>
      <c r="O287" s="59">
        <f t="shared" si="28"/>
        <v>0</v>
      </c>
      <c r="P287" s="59">
        <f t="shared" si="28"/>
        <v>0</v>
      </c>
      <c r="Q287" s="59">
        <f t="shared" si="28"/>
        <v>0</v>
      </c>
    </row>
    <row r="288" spans="3:17" ht="15" outlineLevel="2" x14ac:dyDescent="0.25">
      <c r="C288" s="56" t="s">
        <v>397</v>
      </c>
      <c r="D288" s="57" t="s">
        <v>202</v>
      </c>
      <c r="E288" s="58">
        <v>2.7909999999999999</v>
      </c>
      <c r="F288" s="59">
        <f t="shared" si="28"/>
        <v>7</v>
      </c>
      <c r="G288" s="59">
        <f t="shared" si="28"/>
        <v>0</v>
      </c>
      <c r="H288" s="59">
        <f t="shared" si="28"/>
        <v>0</v>
      </c>
      <c r="I288" s="59">
        <f t="shared" si="28"/>
        <v>0</v>
      </c>
      <c r="J288" s="59">
        <f t="shared" si="28"/>
        <v>0</v>
      </c>
      <c r="K288" s="59">
        <f t="shared" si="28"/>
        <v>0</v>
      </c>
      <c r="L288" s="59">
        <f t="shared" si="28"/>
        <v>0</v>
      </c>
      <c r="M288" s="59">
        <f t="shared" si="28"/>
        <v>0</v>
      </c>
      <c r="N288" s="59">
        <f t="shared" si="28"/>
        <v>0</v>
      </c>
      <c r="O288" s="59">
        <f t="shared" si="28"/>
        <v>0</v>
      </c>
      <c r="P288" s="59">
        <f t="shared" si="28"/>
        <v>0</v>
      </c>
      <c r="Q288" s="59">
        <f t="shared" si="28"/>
        <v>0</v>
      </c>
    </row>
    <row r="289" spans="3:17" ht="15" outlineLevel="2" x14ac:dyDescent="0.25">
      <c r="C289" s="56" t="s">
        <v>397</v>
      </c>
      <c r="D289" s="57" t="s">
        <v>203</v>
      </c>
      <c r="E289" s="58">
        <v>3.125</v>
      </c>
      <c r="F289" s="59">
        <f t="shared" si="28"/>
        <v>0</v>
      </c>
      <c r="G289" s="59">
        <f t="shared" si="28"/>
        <v>0</v>
      </c>
      <c r="H289" s="59">
        <f t="shared" si="28"/>
        <v>0</v>
      </c>
      <c r="I289" s="59">
        <f t="shared" si="28"/>
        <v>0</v>
      </c>
      <c r="J289" s="59">
        <f t="shared" si="28"/>
        <v>0</v>
      </c>
      <c r="K289" s="59">
        <f t="shared" si="28"/>
        <v>0</v>
      </c>
      <c r="L289" s="59">
        <f t="shared" si="28"/>
        <v>0</v>
      </c>
      <c r="M289" s="59">
        <f t="shared" si="28"/>
        <v>0</v>
      </c>
      <c r="N289" s="59">
        <f t="shared" si="28"/>
        <v>0</v>
      </c>
      <c r="O289" s="59">
        <f t="shared" si="28"/>
        <v>0</v>
      </c>
      <c r="P289" s="59">
        <f t="shared" si="28"/>
        <v>0</v>
      </c>
      <c r="Q289" s="59">
        <f t="shared" si="28"/>
        <v>0</v>
      </c>
    </row>
    <row r="290" spans="3:17" ht="15" outlineLevel="2" x14ac:dyDescent="0.25">
      <c r="C290" s="56" t="s">
        <v>397</v>
      </c>
      <c r="D290" s="57" t="s">
        <v>204</v>
      </c>
      <c r="E290" s="58">
        <v>3.4529999999999998</v>
      </c>
      <c r="F290" s="59">
        <f t="shared" si="28"/>
        <v>0</v>
      </c>
      <c r="G290" s="59">
        <f t="shared" si="28"/>
        <v>0</v>
      </c>
      <c r="H290" s="59">
        <f t="shared" si="28"/>
        <v>0</v>
      </c>
      <c r="I290" s="59">
        <f t="shared" si="28"/>
        <v>0</v>
      </c>
      <c r="J290" s="59">
        <f t="shared" si="28"/>
        <v>0</v>
      </c>
      <c r="K290" s="59">
        <f t="shared" si="28"/>
        <v>0</v>
      </c>
      <c r="L290" s="59">
        <f t="shared" si="28"/>
        <v>0</v>
      </c>
      <c r="M290" s="59">
        <f t="shared" si="28"/>
        <v>0</v>
      </c>
      <c r="N290" s="59">
        <f t="shared" si="28"/>
        <v>0</v>
      </c>
      <c r="O290" s="59">
        <f t="shared" si="28"/>
        <v>0</v>
      </c>
      <c r="P290" s="59">
        <f t="shared" si="28"/>
        <v>0</v>
      </c>
      <c r="Q290" s="59">
        <f t="shared" si="28"/>
        <v>0</v>
      </c>
    </row>
    <row r="291" spans="3:17" ht="15" outlineLevel="2" x14ac:dyDescent="0.25">
      <c r="C291" s="56" t="s">
        <v>397</v>
      </c>
      <c r="D291" s="57" t="s">
        <v>205</v>
      </c>
      <c r="E291" s="58">
        <v>3.7839999999999998</v>
      </c>
      <c r="F291" s="59">
        <f t="shared" si="28"/>
        <v>0</v>
      </c>
      <c r="G291" s="59">
        <f t="shared" si="28"/>
        <v>0</v>
      </c>
      <c r="H291" s="59">
        <f t="shared" si="28"/>
        <v>0</v>
      </c>
      <c r="I291" s="59">
        <f t="shared" si="28"/>
        <v>0</v>
      </c>
      <c r="J291" s="59">
        <f t="shared" si="28"/>
        <v>0</v>
      </c>
      <c r="K291" s="59">
        <f t="shared" si="28"/>
        <v>0</v>
      </c>
      <c r="L291" s="59">
        <f t="shared" si="28"/>
        <v>0</v>
      </c>
      <c r="M291" s="59">
        <f t="shared" si="28"/>
        <v>0</v>
      </c>
      <c r="N291" s="59">
        <f t="shared" si="28"/>
        <v>0</v>
      </c>
      <c r="O291" s="59">
        <f t="shared" si="28"/>
        <v>0</v>
      </c>
      <c r="P291" s="59">
        <f t="shared" si="28"/>
        <v>0</v>
      </c>
      <c r="Q291" s="59">
        <f t="shared" si="28"/>
        <v>0</v>
      </c>
    </row>
    <row r="292" spans="3:17" ht="15" outlineLevel="2" x14ac:dyDescent="0.25">
      <c r="C292" s="56" t="s">
        <v>397</v>
      </c>
      <c r="D292" s="57" t="s">
        <v>206</v>
      </c>
      <c r="E292" s="58">
        <v>4.4470000000000001</v>
      </c>
      <c r="F292" s="59">
        <f t="shared" si="28"/>
        <v>0</v>
      </c>
      <c r="G292" s="59">
        <f t="shared" si="28"/>
        <v>0</v>
      </c>
      <c r="H292" s="59">
        <f t="shared" si="28"/>
        <v>0</v>
      </c>
      <c r="I292" s="59">
        <f t="shared" si="28"/>
        <v>0</v>
      </c>
      <c r="J292" s="59">
        <f t="shared" si="28"/>
        <v>0</v>
      </c>
      <c r="K292" s="59">
        <f t="shared" si="28"/>
        <v>0</v>
      </c>
      <c r="L292" s="59">
        <f t="shared" si="28"/>
        <v>0</v>
      </c>
      <c r="M292" s="59">
        <f t="shared" si="28"/>
        <v>0</v>
      </c>
      <c r="N292" s="59">
        <f t="shared" si="28"/>
        <v>0</v>
      </c>
      <c r="O292" s="59">
        <f t="shared" si="28"/>
        <v>0</v>
      </c>
      <c r="P292" s="59">
        <f t="shared" si="28"/>
        <v>0</v>
      </c>
      <c r="Q292" s="59">
        <f t="shared" si="28"/>
        <v>0</v>
      </c>
    </row>
    <row r="293" spans="3:17" ht="15" outlineLevel="2" x14ac:dyDescent="0.25">
      <c r="C293" s="56" t="s">
        <v>397</v>
      </c>
      <c r="D293" s="57" t="s">
        <v>207</v>
      </c>
      <c r="E293" s="58">
        <v>3.0150000000000001</v>
      </c>
      <c r="F293" s="59">
        <f t="shared" si="28"/>
        <v>0</v>
      </c>
      <c r="G293" s="59">
        <f t="shared" si="28"/>
        <v>0</v>
      </c>
      <c r="H293" s="59">
        <f t="shared" si="28"/>
        <v>0</v>
      </c>
      <c r="I293" s="59">
        <f t="shared" si="28"/>
        <v>0</v>
      </c>
      <c r="J293" s="59">
        <f t="shared" si="28"/>
        <v>0</v>
      </c>
      <c r="K293" s="59">
        <f t="shared" si="28"/>
        <v>0</v>
      </c>
      <c r="L293" s="59">
        <f t="shared" si="28"/>
        <v>0</v>
      </c>
      <c r="M293" s="59">
        <f t="shared" si="28"/>
        <v>0</v>
      </c>
      <c r="N293" s="59">
        <f t="shared" si="28"/>
        <v>0</v>
      </c>
      <c r="O293" s="59">
        <f t="shared" si="28"/>
        <v>0</v>
      </c>
      <c r="P293" s="59">
        <f t="shared" si="28"/>
        <v>0</v>
      </c>
      <c r="Q293" s="59">
        <f t="shared" si="28"/>
        <v>0</v>
      </c>
    </row>
    <row r="294" spans="3:17" ht="15" outlineLevel="2" x14ac:dyDescent="0.25">
      <c r="C294" s="56" t="s">
        <v>397</v>
      </c>
      <c r="D294" s="57" t="s">
        <v>208</v>
      </c>
      <c r="E294" s="58">
        <v>3.32</v>
      </c>
      <c r="F294" s="59">
        <f t="shared" si="28"/>
        <v>0</v>
      </c>
      <c r="G294" s="59">
        <f t="shared" si="28"/>
        <v>0</v>
      </c>
      <c r="H294" s="59">
        <f t="shared" si="28"/>
        <v>0</v>
      </c>
      <c r="I294" s="59">
        <f t="shared" si="28"/>
        <v>0</v>
      </c>
      <c r="J294" s="59">
        <f t="shared" si="28"/>
        <v>0</v>
      </c>
      <c r="K294" s="59">
        <f t="shared" si="28"/>
        <v>0</v>
      </c>
      <c r="L294" s="59">
        <f t="shared" si="28"/>
        <v>0</v>
      </c>
      <c r="M294" s="59">
        <f t="shared" si="28"/>
        <v>0</v>
      </c>
      <c r="N294" s="59">
        <f t="shared" si="28"/>
        <v>0</v>
      </c>
      <c r="O294" s="59">
        <f t="shared" si="28"/>
        <v>0</v>
      </c>
      <c r="P294" s="59">
        <f t="shared" si="28"/>
        <v>0</v>
      </c>
      <c r="Q294" s="59">
        <f t="shared" si="28"/>
        <v>0</v>
      </c>
    </row>
    <row r="295" spans="3:17" ht="15" outlineLevel="2" x14ac:dyDescent="0.25">
      <c r="C295" s="56" t="s">
        <v>397</v>
      </c>
      <c r="D295" s="57" t="s">
        <v>209</v>
      </c>
      <c r="E295" s="58">
        <v>3.6619999999999999</v>
      </c>
      <c r="F295" s="59">
        <f t="shared" si="28"/>
        <v>0</v>
      </c>
      <c r="G295" s="59">
        <f t="shared" si="28"/>
        <v>0</v>
      </c>
      <c r="H295" s="59">
        <f t="shared" si="28"/>
        <v>0</v>
      </c>
      <c r="I295" s="59">
        <f t="shared" si="28"/>
        <v>0</v>
      </c>
      <c r="J295" s="59">
        <f t="shared" si="28"/>
        <v>0</v>
      </c>
      <c r="K295" s="59">
        <f t="shared" si="28"/>
        <v>0</v>
      </c>
      <c r="L295" s="59">
        <f t="shared" si="28"/>
        <v>0</v>
      </c>
      <c r="M295" s="59">
        <f t="shared" si="28"/>
        <v>0</v>
      </c>
      <c r="N295" s="59">
        <f t="shared" si="28"/>
        <v>0</v>
      </c>
      <c r="O295" s="59">
        <f t="shared" si="28"/>
        <v>0</v>
      </c>
      <c r="P295" s="59">
        <f t="shared" si="28"/>
        <v>0</v>
      </c>
      <c r="Q295" s="59">
        <f t="shared" si="28"/>
        <v>0</v>
      </c>
    </row>
    <row r="296" spans="3:17" ht="15" outlineLevel="2" x14ac:dyDescent="0.25">
      <c r="C296" s="56" t="s">
        <v>397</v>
      </c>
      <c r="D296" s="57" t="s">
        <v>210</v>
      </c>
      <c r="E296" s="58">
        <v>3.99</v>
      </c>
      <c r="F296" s="59">
        <f t="shared" si="28"/>
        <v>0</v>
      </c>
      <c r="G296" s="59">
        <f t="shared" si="28"/>
        <v>0</v>
      </c>
      <c r="H296" s="59">
        <f t="shared" si="28"/>
        <v>0</v>
      </c>
      <c r="I296" s="59">
        <f t="shared" si="28"/>
        <v>0</v>
      </c>
      <c r="J296" s="59">
        <f t="shared" si="28"/>
        <v>0</v>
      </c>
      <c r="K296" s="59">
        <f t="shared" si="28"/>
        <v>0</v>
      </c>
      <c r="L296" s="59">
        <f t="shared" si="28"/>
        <v>0</v>
      </c>
      <c r="M296" s="59">
        <f t="shared" si="28"/>
        <v>0</v>
      </c>
      <c r="N296" s="59">
        <f t="shared" si="28"/>
        <v>0</v>
      </c>
      <c r="O296" s="59">
        <f t="shared" si="28"/>
        <v>0</v>
      </c>
      <c r="P296" s="59">
        <f t="shared" si="28"/>
        <v>0</v>
      </c>
      <c r="Q296" s="59">
        <f t="shared" si="28"/>
        <v>0</v>
      </c>
    </row>
    <row r="297" spans="3:17" ht="15" outlineLevel="2" x14ac:dyDescent="0.25">
      <c r="C297" s="56" t="s">
        <v>397</v>
      </c>
      <c r="D297" s="57" t="s">
        <v>211</v>
      </c>
      <c r="E297" s="58">
        <v>4.6429999999999998</v>
      </c>
      <c r="F297" s="59">
        <f t="shared" ref="F297:Q306" si="29">SUMIFS($F$368:$F$1152,$C$368:$C$1152,$C297,$A$368:$A$1152,F$3,$B$368:$B$1152,F$4,$D$368:$D$1152,$D297)</f>
        <v>0</v>
      </c>
      <c r="G297" s="59">
        <f t="shared" si="29"/>
        <v>0</v>
      </c>
      <c r="H297" s="59">
        <f t="shared" si="29"/>
        <v>0</v>
      </c>
      <c r="I297" s="59">
        <f t="shared" si="29"/>
        <v>0</v>
      </c>
      <c r="J297" s="59">
        <f t="shared" si="29"/>
        <v>0</v>
      </c>
      <c r="K297" s="59">
        <f t="shared" si="29"/>
        <v>0</v>
      </c>
      <c r="L297" s="59">
        <f t="shared" si="29"/>
        <v>0</v>
      </c>
      <c r="M297" s="59">
        <f t="shared" si="29"/>
        <v>0</v>
      </c>
      <c r="N297" s="59">
        <f t="shared" si="29"/>
        <v>0</v>
      </c>
      <c r="O297" s="59">
        <f t="shared" si="29"/>
        <v>0</v>
      </c>
      <c r="P297" s="59">
        <f t="shared" si="29"/>
        <v>0</v>
      </c>
      <c r="Q297" s="59">
        <f t="shared" si="29"/>
        <v>0</v>
      </c>
    </row>
    <row r="298" spans="3:17" ht="15" outlineLevel="2" x14ac:dyDescent="0.25">
      <c r="C298" s="56" t="s">
        <v>397</v>
      </c>
      <c r="D298" s="57" t="s">
        <v>212</v>
      </c>
      <c r="E298" s="58">
        <v>3.25</v>
      </c>
      <c r="F298" s="59">
        <f t="shared" si="29"/>
        <v>0</v>
      </c>
      <c r="G298" s="59">
        <f t="shared" si="29"/>
        <v>0</v>
      </c>
      <c r="H298" s="59">
        <f t="shared" si="29"/>
        <v>0</v>
      </c>
      <c r="I298" s="59">
        <f t="shared" si="29"/>
        <v>0</v>
      </c>
      <c r="J298" s="59">
        <f t="shared" si="29"/>
        <v>0</v>
      </c>
      <c r="K298" s="59">
        <f t="shared" si="29"/>
        <v>0</v>
      </c>
      <c r="L298" s="59">
        <f t="shared" si="29"/>
        <v>0</v>
      </c>
      <c r="M298" s="59">
        <f t="shared" si="29"/>
        <v>0</v>
      </c>
      <c r="N298" s="59">
        <f t="shared" si="29"/>
        <v>0</v>
      </c>
      <c r="O298" s="59">
        <f t="shared" si="29"/>
        <v>0</v>
      </c>
      <c r="P298" s="59">
        <f t="shared" si="29"/>
        <v>0</v>
      </c>
      <c r="Q298" s="59">
        <f t="shared" si="29"/>
        <v>0</v>
      </c>
    </row>
    <row r="299" spans="3:17" ht="15" outlineLevel="2" x14ac:dyDescent="0.25">
      <c r="C299" s="56" t="s">
        <v>397</v>
      </c>
      <c r="D299" s="57" t="s">
        <v>213</v>
      </c>
      <c r="E299" s="58">
        <v>3.5680000000000001</v>
      </c>
      <c r="F299" s="59">
        <f t="shared" si="29"/>
        <v>0</v>
      </c>
      <c r="G299" s="59">
        <f t="shared" si="29"/>
        <v>0</v>
      </c>
      <c r="H299" s="59">
        <f t="shared" si="29"/>
        <v>0</v>
      </c>
      <c r="I299" s="59">
        <f t="shared" si="29"/>
        <v>0</v>
      </c>
      <c r="J299" s="59">
        <f t="shared" si="29"/>
        <v>0</v>
      </c>
      <c r="K299" s="59">
        <f t="shared" si="29"/>
        <v>0</v>
      </c>
      <c r="L299" s="59">
        <f t="shared" si="29"/>
        <v>0</v>
      </c>
      <c r="M299" s="59">
        <f t="shared" si="29"/>
        <v>0</v>
      </c>
      <c r="N299" s="59">
        <f t="shared" si="29"/>
        <v>0</v>
      </c>
      <c r="O299" s="59">
        <f t="shared" si="29"/>
        <v>0</v>
      </c>
      <c r="P299" s="59">
        <f t="shared" si="29"/>
        <v>0</v>
      </c>
      <c r="Q299" s="59">
        <f t="shared" si="29"/>
        <v>0</v>
      </c>
    </row>
    <row r="300" spans="3:17" ht="15" outlineLevel="2" x14ac:dyDescent="0.25">
      <c r="C300" s="56" t="s">
        <v>397</v>
      </c>
      <c r="D300" s="57" t="s">
        <v>214</v>
      </c>
      <c r="E300" s="58">
        <v>3.847</v>
      </c>
      <c r="F300" s="59">
        <f t="shared" si="29"/>
        <v>0</v>
      </c>
      <c r="G300" s="59">
        <f t="shared" si="29"/>
        <v>0</v>
      </c>
      <c r="H300" s="59">
        <f t="shared" si="29"/>
        <v>0</v>
      </c>
      <c r="I300" s="59">
        <f t="shared" si="29"/>
        <v>0</v>
      </c>
      <c r="J300" s="59">
        <f t="shared" si="29"/>
        <v>0</v>
      </c>
      <c r="K300" s="59">
        <f t="shared" si="29"/>
        <v>0</v>
      </c>
      <c r="L300" s="59">
        <f t="shared" si="29"/>
        <v>0</v>
      </c>
      <c r="M300" s="59">
        <f t="shared" si="29"/>
        <v>0</v>
      </c>
      <c r="N300" s="59">
        <f t="shared" si="29"/>
        <v>0</v>
      </c>
      <c r="O300" s="59">
        <f t="shared" si="29"/>
        <v>0</v>
      </c>
      <c r="P300" s="59">
        <f t="shared" si="29"/>
        <v>0</v>
      </c>
      <c r="Q300" s="59">
        <f t="shared" si="29"/>
        <v>0</v>
      </c>
    </row>
    <row r="301" spans="3:17" ht="15" outlineLevel="2" x14ac:dyDescent="0.25">
      <c r="C301" s="56" t="s">
        <v>397</v>
      </c>
      <c r="D301" s="57" t="s">
        <v>215</v>
      </c>
      <c r="E301" s="58">
        <v>4.1829999999999998</v>
      </c>
      <c r="F301" s="59">
        <f t="shared" si="29"/>
        <v>0</v>
      </c>
      <c r="G301" s="59">
        <f t="shared" si="29"/>
        <v>0</v>
      </c>
      <c r="H301" s="59">
        <f t="shared" si="29"/>
        <v>0</v>
      </c>
      <c r="I301" s="59">
        <f t="shared" si="29"/>
        <v>0</v>
      </c>
      <c r="J301" s="59">
        <f t="shared" si="29"/>
        <v>0</v>
      </c>
      <c r="K301" s="59">
        <f t="shared" si="29"/>
        <v>0</v>
      </c>
      <c r="L301" s="59">
        <f t="shared" si="29"/>
        <v>0</v>
      </c>
      <c r="M301" s="59">
        <f t="shared" si="29"/>
        <v>0</v>
      </c>
      <c r="N301" s="59">
        <f t="shared" si="29"/>
        <v>0</v>
      </c>
      <c r="O301" s="59">
        <f t="shared" si="29"/>
        <v>0</v>
      </c>
      <c r="P301" s="59">
        <f t="shared" si="29"/>
        <v>0</v>
      </c>
      <c r="Q301" s="59">
        <f t="shared" si="29"/>
        <v>0</v>
      </c>
    </row>
    <row r="302" spans="3:17" ht="15" outlineLevel="2" x14ac:dyDescent="0.25">
      <c r="C302" s="56" t="s">
        <v>397</v>
      </c>
      <c r="D302" s="57" t="s">
        <v>191</v>
      </c>
      <c r="E302" s="58">
        <v>4.8360000000000003</v>
      </c>
      <c r="F302" s="59">
        <f t="shared" si="29"/>
        <v>0</v>
      </c>
      <c r="G302" s="59">
        <f t="shared" si="29"/>
        <v>0</v>
      </c>
      <c r="H302" s="59">
        <f t="shared" si="29"/>
        <v>0</v>
      </c>
      <c r="I302" s="59">
        <f t="shared" si="29"/>
        <v>0</v>
      </c>
      <c r="J302" s="59">
        <f t="shared" si="29"/>
        <v>0</v>
      </c>
      <c r="K302" s="59">
        <f t="shared" si="29"/>
        <v>0</v>
      </c>
      <c r="L302" s="59">
        <f t="shared" si="29"/>
        <v>0</v>
      </c>
      <c r="M302" s="59">
        <f t="shared" si="29"/>
        <v>0</v>
      </c>
      <c r="N302" s="59">
        <f t="shared" si="29"/>
        <v>0</v>
      </c>
      <c r="O302" s="59">
        <f t="shared" si="29"/>
        <v>0</v>
      </c>
      <c r="P302" s="59">
        <f t="shared" si="29"/>
        <v>0</v>
      </c>
      <c r="Q302" s="59">
        <f t="shared" si="29"/>
        <v>0</v>
      </c>
    </row>
    <row r="303" spans="3:17" ht="15" outlineLevel="2" x14ac:dyDescent="0.25">
      <c r="C303" s="56" t="s">
        <v>397</v>
      </c>
      <c r="D303" s="57" t="s">
        <v>192</v>
      </c>
      <c r="E303" s="58">
        <v>3.484</v>
      </c>
      <c r="F303" s="59">
        <f t="shared" si="29"/>
        <v>0</v>
      </c>
      <c r="G303" s="59">
        <f t="shared" si="29"/>
        <v>0</v>
      </c>
      <c r="H303" s="59">
        <f t="shared" si="29"/>
        <v>0</v>
      </c>
      <c r="I303" s="59">
        <f t="shared" si="29"/>
        <v>0</v>
      </c>
      <c r="J303" s="59">
        <f t="shared" si="29"/>
        <v>0</v>
      </c>
      <c r="K303" s="59">
        <f t="shared" si="29"/>
        <v>0</v>
      </c>
      <c r="L303" s="59">
        <f t="shared" si="29"/>
        <v>0</v>
      </c>
      <c r="M303" s="59">
        <f t="shared" si="29"/>
        <v>0</v>
      </c>
      <c r="N303" s="59">
        <f t="shared" si="29"/>
        <v>0</v>
      </c>
      <c r="O303" s="59">
        <f t="shared" si="29"/>
        <v>0</v>
      </c>
      <c r="P303" s="59">
        <f t="shared" si="29"/>
        <v>0</v>
      </c>
      <c r="Q303" s="59">
        <f t="shared" si="29"/>
        <v>0</v>
      </c>
    </row>
    <row r="304" spans="3:17" ht="15" outlineLevel="2" x14ac:dyDescent="0.25">
      <c r="C304" s="56" t="s">
        <v>397</v>
      </c>
      <c r="D304" s="57" t="s">
        <v>193</v>
      </c>
      <c r="E304" s="58">
        <v>3.7610000000000001</v>
      </c>
      <c r="F304" s="59">
        <f t="shared" si="29"/>
        <v>0</v>
      </c>
      <c r="G304" s="59">
        <f t="shared" si="29"/>
        <v>0</v>
      </c>
      <c r="H304" s="59">
        <f t="shared" si="29"/>
        <v>0</v>
      </c>
      <c r="I304" s="59">
        <f t="shared" si="29"/>
        <v>0</v>
      </c>
      <c r="J304" s="59">
        <f t="shared" si="29"/>
        <v>0</v>
      </c>
      <c r="K304" s="59">
        <f t="shared" si="29"/>
        <v>0</v>
      </c>
      <c r="L304" s="59">
        <f t="shared" si="29"/>
        <v>0</v>
      </c>
      <c r="M304" s="59">
        <f t="shared" si="29"/>
        <v>0</v>
      </c>
      <c r="N304" s="59">
        <f t="shared" si="29"/>
        <v>0</v>
      </c>
      <c r="O304" s="59">
        <f t="shared" si="29"/>
        <v>0</v>
      </c>
      <c r="P304" s="59">
        <f t="shared" si="29"/>
        <v>0</v>
      </c>
      <c r="Q304" s="59">
        <f t="shared" si="29"/>
        <v>0</v>
      </c>
    </row>
    <row r="305" spans="3:17" ht="15" outlineLevel="2" x14ac:dyDescent="0.25">
      <c r="C305" s="56" t="s">
        <v>397</v>
      </c>
      <c r="D305" s="57" t="s">
        <v>194</v>
      </c>
      <c r="E305" s="58">
        <v>4.0720000000000001</v>
      </c>
      <c r="F305" s="59">
        <f t="shared" si="29"/>
        <v>0</v>
      </c>
      <c r="G305" s="59">
        <f t="shared" si="29"/>
        <v>0</v>
      </c>
      <c r="H305" s="59">
        <f t="shared" si="29"/>
        <v>0</v>
      </c>
      <c r="I305" s="59">
        <f t="shared" si="29"/>
        <v>0</v>
      </c>
      <c r="J305" s="59">
        <f t="shared" si="29"/>
        <v>0</v>
      </c>
      <c r="K305" s="59">
        <f t="shared" si="29"/>
        <v>0</v>
      </c>
      <c r="L305" s="59">
        <f t="shared" si="29"/>
        <v>0</v>
      </c>
      <c r="M305" s="59">
        <f t="shared" si="29"/>
        <v>0</v>
      </c>
      <c r="N305" s="59">
        <f t="shared" si="29"/>
        <v>0</v>
      </c>
      <c r="O305" s="59">
        <f t="shared" si="29"/>
        <v>0</v>
      </c>
      <c r="P305" s="59">
        <f t="shared" si="29"/>
        <v>0</v>
      </c>
      <c r="Q305" s="59">
        <f t="shared" si="29"/>
        <v>0</v>
      </c>
    </row>
    <row r="306" spans="3:17" ht="15" outlineLevel="2" x14ac:dyDescent="0.25">
      <c r="C306" s="56" t="s">
        <v>397</v>
      </c>
      <c r="D306" s="57" t="s">
        <v>195</v>
      </c>
      <c r="E306" s="58">
        <v>4.3940000000000001</v>
      </c>
      <c r="F306" s="59">
        <f t="shared" si="29"/>
        <v>0</v>
      </c>
      <c r="G306" s="59">
        <f t="shared" si="29"/>
        <v>0</v>
      </c>
      <c r="H306" s="59">
        <f t="shared" si="29"/>
        <v>0</v>
      </c>
      <c r="I306" s="59">
        <f t="shared" si="29"/>
        <v>0</v>
      </c>
      <c r="J306" s="59">
        <f t="shared" si="29"/>
        <v>0</v>
      </c>
      <c r="K306" s="59">
        <f t="shared" si="29"/>
        <v>0</v>
      </c>
      <c r="L306" s="59">
        <f t="shared" si="29"/>
        <v>0</v>
      </c>
      <c r="M306" s="59">
        <f t="shared" si="29"/>
        <v>0</v>
      </c>
      <c r="N306" s="59">
        <f t="shared" si="29"/>
        <v>0</v>
      </c>
      <c r="O306" s="59">
        <f t="shared" si="29"/>
        <v>0</v>
      </c>
      <c r="P306" s="59">
        <f t="shared" si="29"/>
        <v>0</v>
      </c>
      <c r="Q306" s="59">
        <f t="shared" si="29"/>
        <v>0</v>
      </c>
    </row>
    <row r="307" spans="3:17" ht="15" outlineLevel="2" x14ac:dyDescent="0.25">
      <c r="C307" s="56" t="s">
        <v>397</v>
      </c>
      <c r="D307" s="57" t="s">
        <v>196</v>
      </c>
      <c r="E307" s="58">
        <v>5.0410000000000004</v>
      </c>
      <c r="F307" s="59">
        <f t="shared" ref="F307:Q316" si="30">SUMIFS($F$368:$F$1152,$C$368:$C$1152,$C307,$A$368:$A$1152,F$3,$B$368:$B$1152,F$4,$D$368:$D$1152,$D307)</f>
        <v>0</v>
      </c>
      <c r="G307" s="59">
        <f t="shared" si="30"/>
        <v>0</v>
      </c>
      <c r="H307" s="59">
        <f t="shared" si="30"/>
        <v>0</v>
      </c>
      <c r="I307" s="59">
        <f t="shared" si="30"/>
        <v>0</v>
      </c>
      <c r="J307" s="59">
        <f t="shared" si="30"/>
        <v>0</v>
      </c>
      <c r="K307" s="59">
        <f t="shared" si="30"/>
        <v>0</v>
      </c>
      <c r="L307" s="59">
        <f t="shared" si="30"/>
        <v>0</v>
      </c>
      <c r="M307" s="59">
        <f t="shared" si="30"/>
        <v>0</v>
      </c>
      <c r="N307" s="59">
        <f t="shared" si="30"/>
        <v>0</v>
      </c>
      <c r="O307" s="59">
        <f t="shared" si="30"/>
        <v>0</v>
      </c>
      <c r="P307" s="59">
        <f t="shared" si="30"/>
        <v>0</v>
      </c>
      <c r="Q307" s="59">
        <f t="shared" si="30"/>
        <v>0</v>
      </c>
    </row>
    <row r="308" spans="3:17" ht="15" outlineLevel="2" x14ac:dyDescent="0.25">
      <c r="C308" s="56" t="s">
        <v>397</v>
      </c>
      <c r="D308" s="57" t="s">
        <v>197</v>
      </c>
      <c r="E308" s="58">
        <v>4.0640000000000001</v>
      </c>
      <c r="F308" s="59">
        <f t="shared" si="30"/>
        <v>0</v>
      </c>
      <c r="G308" s="59">
        <f t="shared" si="30"/>
        <v>0</v>
      </c>
      <c r="H308" s="59">
        <f t="shared" si="30"/>
        <v>0</v>
      </c>
      <c r="I308" s="59">
        <f t="shared" si="30"/>
        <v>0</v>
      </c>
      <c r="J308" s="59">
        <f t="shared" si="30"/>
        <v>0</v>
      </c>
      <c r="K308" s="59">
        <f t="shared" si="30"/>
        <v>0</v>
      </c>
      <c r="L308" s="59">
        <f t="shared" si="30"/>
        <v>0</v>
      </c>
      <c r="M308" s="59">
        <f t="shared" si="30"/>
        <v>0</v>
      </c>
      <c r="N308" s="59">
        <f t="shared" si="30"/>
        <v>0</v>
      </c>
      <c r="O308" s="59">
        <f t="shared" si="30"/>
        <v>0</v>
      </c>
      <c r="P308" s="59">
        <f t="shared" si="30"/>
        <v>0</v>
      </c>
      <c r="Q308" s="59">
        <f t="shared" si="30"/>
        <v>0</v>
      </c>
    </row>
    <row r="309" spans="3:17" ht="15" outlineLevel="2" x14ac:dyDescent="0.25">
      <c r="C309" s="56" t="s">
        <v>397</v>
      </c>
      <c r="D309" s="57" t="s">
        <v>198</v>
      </c>
      <c r="E309" s="58">
        <v>4.2629999999999999</v>
      </c>
      <c r="F309" s="59">
        <f t="shared" si="30"/>
        <v>0</v>
      </c>
      <c r="G309" s="59">
        <f t="shared" si="30"/>
        <v>0</v>
      </c>
      <c r="H309" s="59">
        <f t="shared" si="30"/>
        <v>0</v>
      </c>
      <c r="I309" s="59">
        <f t="shared" si="30"/>
        <v>0</v>
      </c>
      <c r="J309" s="59">
        <f t="shared" si="30"/>
        <v>0</v>
      </c>
      <c r="K309" s="59">
        <f t="shared" si="30"/>
        <v>0</v>
      </c>
      <c r="L309" s="59">
        <f t="shared" si="30"/>
        <v>0</v>
      </c>
      <c r="M309" s="59">
        <f t="shared" si="30"/>
        <v>0</v>
      </c>
      <c r="N309" s="59">
        <f t="shared" si="30"/>
        <v>0</v>
      </c>
      <c r="O309" s="59">
        <f t="shared" si="30"/>
        <v>0</v>
      </c>
      <c r="P309" s="59">
        <f t="shared" si="30"/>
        <v>0</v>
      </c>
      <c r="Q309" s="59">
        <f t="shared" si="30"/>
        <v>0</v>
      </c>
    </row>
    <row r="310" spans="3:17" ht="15" outlineLevel="2" x14ac:dyDescent="0.25">
      <c r="C310" s="56" t="s">
        <v>397</v>
      </c>
      <c r="D310" s="57" t="s">
        <v>199</v>
      </c>
      <c r="E310" s="58">
        <v>4.5389999999999997</v>
      </c>
      <c r="F310" s="59">
        <f t="shared" si="30"/>
        <v>0</v>
      </c>
      <c r="G310" s="59">
        <f t="shared" si="30"/>
        <v>0</v>
      </c>
      <c r="H310" s="59">
        <f t="shared" si="30"/>
        <v>0</v>
      </c>
      <c r="I310" s="59">
        <f t="shared" si="30"/>
        <v>0</v>
      </c>
      <c r="J310" s="59">
        <f t="shared" si="30"/>
        <v>0</v>
      </c>
      <c r="K310" s="59">
        <f t="shared" si="30"/>
        <v>0</v>
      </c>
      <c r="L310" s="59">
        <f t="shared" si="30"/>
        <v>0</v>
      </c>
      <c r="M310" s="59">
        <f t="shared" si="30"/>
        <v>0</v>
      </c>
      <c r="N310" s="59">
        <f t="shared" si="30"/>
        <v>0</v>
      </c>
      <c r="O310" s="59">
        <f t="shared" si="30"/>
        <v>0</v>
      </c>
      <c r="P310" s="59">
        <f t="shared" si="30"/>
        <v>0</v>
      </c>
      <c r="Q310" s="59">
        <f t="shared" si="30"/>
        <v>0</v>
      </c>
    </row>
    <row r="311" spans="3:17" ht="15" outlineLevel="2" x14ac:dyDescent="0.25">
      <c r="C311" s="56" t="s">
        <v>397</v>
      </c>
      <c r="D311" s="57" t="s">
        <v>200</v>
      </c>
      <c r="E311" s="58">
        <v>4.8419999999999996</v>
      </c>
      <c r="F311" s="59">
        <f t="shared" si="30"/>
        <v>0</v>
      </c>
      <c r="G311" s="59">
        <f t="shared" si="30"/>
        <v>0</v>
      </c>
      <c r="H311" s="59">
        <f t="shared" si="30"/>
        <v>0</v>
      </c>
      <c r="I311" s="59">
        <f t="shared" si="30"/>
        <v>0</v>
      </c>
      <c r="J311" s="59">
        <f t="shared" si="30"/>
        <v>0</v>
      </c>
      <c r="K311" s="59">
        <f t="shared" si="30"/>
        <v>0</v>
      </c>
      <c r="L311" s="59">
        <f t="shared" si="30"/>
        <v>0</v>
      </c>
      <c r="M311" s="59">
        <f t="shared" si="30"/>
        <v>0</v>
      </c>
      <c r="N311" s="59">
        <f t="shared" si="30"/>
        <v>0</v>
      </c>
      <c r="O311" s="59">
        <f t="shared" si="30"/>
        <v>0</v>
      </c>
      <c r="P311" s="59">
        <f t="shared" si="30"/>
        <v>0</v>
      </c>
      <c r="Q311" s="59">
        <f t="shared" si="30"/>
        <v>0</v>
      </c>
    </row>
    <row r="312" spans="3:17" ht="15" outlineLevel="2" x14ac:dyDescent="0.25">
      <c r="C312" s="56" t="s">
        <v>397</v>
      </c>
      <c r="D312" s="57" t="s">
        <v>201</v>
      </c>
      <c r="E312" s="58">
        <v>5.4720000000000004</v>
      </c>
      <c r="F312" s="59">
        <f t="shared" si="30"/>
        <v>61</v>
      </c>
      <c r="G312" s="59">
        <f t="shared" si="30"/>
        <v>0</v>
      </c>
      <c r="H312" s="59">
        <f t="shared" si="30"/>
        <v>0</v>
      </c>
      <c r="I312" s="59">
        <f t="shared" si="30"/>
        <v>0</v>
      </c>
      <c r="J312" s="59">
        <f t="shared" si="30"/>
        <v>0</v>
      </c>
      <c r="K312" s="59">
        <f t="shared" si="30"/>
        <v>0</v>
      </c>
      <c r="L312" s="59">
        <f t="shared" si="30"/>
        <v>0</v>
      </c>
      <c r="M312" s="59">
        <f t="shared" si="30"/>
        <v>0</v>
      </c>
      <c r="N312" s="59">
        <f t="shared" si="30"/>
        <v>0</v>
      </c>
      <c r="O312" s="59">
        <f t="shared" si="30"/>
        <v>0</v>
      </c>
      <c r="P312" s="59">
        <f t="shared" si="30"/>
        <v>0</v>
      </c>
      <c r="Q312" s="59">
        <f t="shared" si="30"/>
        <v>0</v>
      </c>
    </row>
    <row r="313" spans="3:17" ht="15" outlineLevel="2" x14ac:dyDescent="0.25">
      <c r="C313" s="56" t="s">
        <v>397</v>
      </c>
      <c r="D313" s="57" t="s">
        <v>318</v>
      </c>
      <c r="E313" s="58">
        <v>1.0780000000000001</v>
      </c>
      <c r="F313" s="59">
        <f t="shared" si="30"/>
        <v>0</v>
      </c>
      <c r="G313" s="59">
        <f t="shared" si="30"/>
        <v>0</v>
      </c>
      <c r="H313" s="59">
        <f t="shared" si="30"/>
        <v>0</v>
      </c>
      <c r="I313" s="59">
        <f t="shared" si="30"/>
        <v>0</v>
      </c>
      <c r="J313" s="59">
        <f t="shared" si="30"/>
        <v>0</v>
      </c>
      <c r="K313" s="59">
        <f t="shared" si="30"/>
        <v>0</v>
      </c>
      <c r="L313" s="59">
        <f t="shared" si="30"/>
        <v>0</v>
      </c>
      <c r="M313" s="59">
        <f t="shared" si="30"/>
        <v>0</v>
      </c>
      <c r="N313" s="59">
        <f t="shared" si="30"/>
        <v>0</v>
      </c>
      <c r="O313" s="59">
        <f t="shared" si="30"/>
        <v>0</v>
      </c>
      <c r="P313" s="59">
        <f t="shared" si="30"/>
        <v>0</v>
      </c>
      <c r="Q313" s="59">
        <f t="shared" si="30"/>
        <v>0</v>
      </c>
    </row>
    <row r="314" spans="3:17" ht="15" outlineLevel="2" x14ac:dyDescent="0.25">
      <c r="C314" s="56" t="s">
        <v>397</v>
      </c>
      <c r="D314" s="57" t="s">
        <v>319</v>
      </c>
      <c r="E314" s="58">
        <v>1.1819999999999999</v>
      </c>
      <c r="F314" s="59">
        <f t="shared" si="30"/>
        <v>0</v>
      </c>
      <c r="G314" s="59">
        <f t="shared" si="30"/>
        <v>0</v>
      </c>
      <c r="H314" s="59">
        <f t="shared" si="30"/>
        <v>0</v>
      </c>
      <c r="I314" s="59">
        <f t="shared" si="30"/>
        <v>0</v>
      </c>
      <c r="J314" s="59">
        <f t="shared" si="30"/>
        <v>0</v>
      </c>
      <c r="K314" s="59">
        <f t="shared" si="30"/>
        <v>0</v>
      </c>
      <c r="L314" s="59">
        <f t="shared" si="30"/>
        <v>0</v>
      </c>
      <c r="M314" s="59">
        <f t="shared" si="30"/>
        <v>0</v>
      </c>
      <c r="N314" s="59">
        <f t="shared" si="30"/>
        <v>0</v>
      </c>
      <c r="O314" s="59">
        <f t="shared" si="30"/>
        <v>0</v>
      </c>
      <c r="P314" s="59">
        <f t="shared" si="30"/>
        <v>0</v>
      </c>
      <c r="Q314" s="59">
        <f t="shared" si="30"/>
        <v>0</v>
      </c>
    </row>
    <row r="315" spans="3:17" ht="15" outlineLevel="2" x14ac:dyDescent="0.25">
      <c r="C315" s="56" t="s">
        <v>397</v>
      </c>
      <c r="D315" s="57" t="s">
        <v>320</v>
      </c>
      <c r="E315" s="58">
        <v>0.69499999999999995</v>
      </c>
      <c r="F315" s="59">
        <f t="shared" si="30"/>
        <v>0</v>
      </c>
      <c r="G315" s="59">
        <f t="shared" si="30"/>
        <v>0</v>
      </c>
      <c r="H315" s="59">
        <f t="shared" si="30"/>
        <v>0</v>
      </c>
      <c r="I315" s="59">
        <f t="shared" si="30"/>
        <v>0</v>
      </c>
      <c r="J315" s="59">
        <f t="shared" si="30"/>
        <v>0</v>
      </c>
      <c r="K315" s="59">
        <f t="shared" si="30"/>
        <v>0</v>
      </c>
      <c r="L315" s="59">
        <f t="shared" si="30"/>
        <v>0</v>
      </c>
      <c r="M315" s="59">
        <f t="shared" si="30"/>
        <v>0</v>
      </c>
      <c r="N315" s="59">
        <f t="shared" si="30"/>
        <v>0</v>
      </c>
      <c r="O315" s="59">
        <f t="shared" si="30"/>
        <v>0</v>
      </c>
      <c r="P315" s="59">
        <f t="shared" si="30"/>
        <v>0</v>
      </c>
      <c r="Q315" s="59">
        <f t="shared" si="30"/>
        <v>0</v>
      </c>
    </row>
    <row r="316" spans="3:17" ht="15" outlineLevel="2" x14ac:dyDescent="0.25">
      <c r="C316" s="56" t="s">
        <v>397</v>
      </c>
      <c r="D316" s="57" t="s">
        <v>321</v>
      </c>
      <c r="E316" s="58">
        <v>2.032</v>
      </c>
      <c r="F316" s="59">
        <f t="shared" si="30"/>
        <v>0</v>
      </c>
      <c r="G316" s="59">
        <f t="shared" si="30"/>
        <v>0</v>
      </c>
      <c r="H316" s="59">
        <f t="shared" si="30"/>
        <v>0</v>
      </c>
      <c r="I316" s="59">
        <f t="shared" si="30"/>
        <v>0</v>
      </c>
      <c r="J316" s="59">
        <f t="shared" si="30"/>
        <v>0</v>
      </c>
      <c r="K316" s="59">
        <f t="shared" si="30"/>
        <v>0</v>
      </c>
      <c r="L316" s="59">
        <f t="shared" si="30"/>
        <v>0</v>
      </c>
      <c r="M316" s="59">
        <f t="shared" si="30"/>
        <v>0</v>
      </c>
      <c r="N316" s="59">
        <f t="shared" si="30"/>
        <v>0</v>
      </c>
      <c r="O316" s="59">
        <f t="shared" si="30"/>
        <v>0</v>
      </c>
      <c r="P316" s="59">
        <f t="shared" si="30"/>
        <v>0</v>
      </c>
      <c r="Q316" s="59">
        <f t="shared" si="30"/>
        <v>0</v>
      </c>
    </row>
    <row r="317" spans="3:17" ht="15" outlineLevel="2" x14ac:dyDescent="0.25">
      <c r="C317" s="56" t="s">
        <v>397</v>
      </c>
      <c r="D317" s="57" t="s">
        <v>322</v>
      </c>
      <c r="E317" s="58">
        <v>0.82299999999999995</v>
      </c>
      <c r="F317" s="59">
        <f t="shared" ref="F317:Q326" si="31">SUMIFS($F$368:$F$1152,$C$368:$C$1152,$C317,$A$368:$A$1152,F$3,$B$368:$B$1152,F$4,$D$368:$D$1152,$D317)</f>
        <v>0</v>
      </c>
      <c r="G317" s="59">
        <f t="shared" si="31"/>
        <v>0</v>
      </c>
      <c r="H317" s="59">
        <f t="shared" si="31"/>
        <v>0</v>
      </c>
      <c r="I317" s="59">
        <f t="shared" si="31"/>
        <v>0</v>
      </c>
      <c r="J317" s="59">
        <f t="shared" si="31"/>
        <v>0</v>
      </c>
      <c r="K317" s="59">
        <f t="shared" si="31"/>
        <v>0</v>
      </c>
      <c r="L317" s="59">
        <f t="shared" si="31"/>
        <v>0</v>
      </c>
      <c r="M317" s="59">
        <f t="shared" si="31"/>
        <v>0</v>
      </c>
      <c r="N317" s="59">
        <f t="shared" si="31"/>
        <v>0</v>
      </c>
      <c r="O317" s="59">
        <f t="shared" si="31"/>
        <v>0</v>
      </c>
      <c r="P317" s="59">
        <f t="shared" si="31"/>
        <v>0</v>
      </c>
      <c r="Q317" s="59">
        <f t="shared" si="31"/>
        <v>0</v>
      </c>
    </row>
    <row r="318" spans="3:17" ht="15" outlineLevel="2" x14ac:dyDescent="0.25">
      <c r="C318" s="56" t="s">
        <v>397</v>
      </c>
      <c r="D318" s="57" t="s">
        <v>323</v>
      </c>
      <c r="E318" s="58">
        <v>0.78800000000000003</v>
      </c>
      <c r="F318" s="59">
        <f t="shared" si="31"/>
        <v>0</v>
      </c>
      <c r="G318" s="59">
        <f t="shared" si="31"/>
        <v>0</v>
      </c>
      <c r="H318" s="59">
        <f t="shared" si="31"/>
        <v>0</v>
      </c>
      <c r="I318" s="59">
        <f t="shared" si="31"/>
        <v>0</v>
      </c>
      <c r="J318" s="59">
        <f t="shared" si="31"/>
        <v>0</v>
      </c>
      <c r="K318" s="59">
        <f t="shared" si="31"/>
        <v>0</v>
      </c>
      <c r="L318" s="59">
        <f t="shared" si="31"/>
        <v>0</v>
      </c>
      <c r="M318" s="59">
        <f t="shared" si="31"/>
        <v>0</v>
      </c>
      <c r="N318" s="59">
        <f t="shared" si="31"/>
        <v>0</v>
      </c>
      <c r="O318" s="59">
        <f t="shared" si="31"/>
        <v>0</v>
      </c>
      <c r="P318" s="59">
        <f t="shared" si="31"/>
        <v>0</v>
      </c>
      <c r="Q318" s="59">
        <f t="shared" si="31"/>
        <v>0</v>
      </c>
    </row>
    <row r="319" spans="3:17" ht="15" outlineLevel="2" x14ac:dyDescent="0.25">
      <c r="C319" s="56" t="s">
        <v>397</v>
      </c>
      <c r="D319" s="57" t="s">
        <v>324</v>
      </c>
      <c r="E319" s="58">
        <v>2.4020000000000001</v>
      </c>
      <c r="F319" s="59">
        <f t="shared" si="31"/>
        <v>0</v>
      </c>
      <c r="G319" s="59">
        <f t="shared" si="31"/>
        <v>0</v>
      </c>
      <c r="H319" s="59">
        <f t="shared" si="31"/>
        <v>0</v>
      </c>
      <c r="I319" s="59">
        <f t="shared" si="31"/>
        <v>0</v>
      </c>
      <c r="J319" s="59">
        <f t="shared" si="31"/>
        <v>0</v>
      </c>
      <c r="K319" s="59">
        <f t="shared" si="31"/>
        <v>0</v>
      </c>
      <c r="L319" s="59">
        <f t="shared" si="31"/>
        <v>0</v>
      </c>
      <c r="M319" s="59">
        <f t="shared" si="31"/>
        <v>0</v>
      </c>
      <c r="N319" s="59">
        <f t="shared" si="31"/>
        <v>0</v>
      </c>
      <c r="O319" s="59">
        <f t="shared" si="31"/>
        <v>0</v>
      </c>
      <c r="P319" s="59">
        <f t="shared" si="31"/>
        <v>0</v>
      </c>
      <c r="Q319" s="59">
        <f t="shared" si="31"/>
        <v>0</v>
      </c>
    </row>
    <row r="320" spans="3:17" ht="15" outlineLevel="2" x14ac:dyDescent="0.25">
      <c r="C320" s="56" t="s">
        <v>397</v>
      </c>
      <c r="D320" s="57" t="s">
        <v>325</v>
      </c>
      <c r="E320" s="58">
        <v>1.1279999999999999</v>
      </c>
      <c r="F320" s="59">
        <f t="shared" si="31"/>
        <v>0</v>
      </c>
      <c r="G320" s="59">
        <f t="shared" si="31"/>
        <v>0</v>
      </c>
      <c r="H320" s="59">
        <f t="shared" si="31"/>
        <v>0</v>
      </c>
      <c r="I320" s="59">
        <f t="shared" si="31"/>
        <v>0</v>
      </c>
      <c r="J320" s="59">
        <f t="shared" si="31"/>
        <v>0</v>
      </c>
      <c r="K320" s="59">
        <f t="shared" si="31"/>
        <v>0</v>
      </c>
      <c r="L320" s="59">
        <f t="shared" si="31"/>
        <v>0</v>
      </c>
      <c r="M320" s="59">
        <f t="shared" si="31"/>
        <v>0</v>
      </c>
      <c r="N320" s="59">
        <f t="shared" si="31"/>
        <v>0</v>
      </c>
      <c r="O320" s="59">
        <f t="shared" si="31"/>
        <v>0</v>
      </c>
      <c r="P320" s="59">
        <f t="shared" si="31"/>
        <v>0</v>
      </c>
      <c r="Q320" s="59">
        <f t="shared" si="31"/>
        <v>0</v>
      </c>
    </row>
    <row r="321" spans="3:17" ht="15" outlineLevel="2" x14ac:dyDescent="0.25">
      <c r="C321" s="56" t="s">
        <v>397</v>
      </c>
      <c r="D321" s="57" t="s">
        <v>326</v>
      </c>
      <c r="E321" s="58">
        <v>1.216</v>
      </c>
      <c r="F321" s="59">
        <f t="shared" si="31"/>
        <v>0</v>
      </c>
      <c r="G321" s="59">
        <f t="shared" si="31"/>
        <v>0</v>
      </c>
      <c r="H321" s="59">
        <f t="shared" si="31"/>
        <v>0</v>
      </c>
      <c r="I321" s="59">
        <f t="shared" si="31"/>
        <v>0</v>
      </c>
      <c r="J321" s="59">
        <f t="shared" si="31"/>
        <v>0</v>
      </c>
      <c r="K321" s="59">
        <f t="shared" si="31"/>
        <v>0</v>
      </c>
      <c r="L321" s="59">
        <f t="shared" si="31"/>
        <v>0</v>
      </c>
      <c r="M321" s="59">
        <f t="shared" si="31"/>
        <v>0</v>
      </c>
      <c r="N321" s="59">
        <f t="shared" si="31"/>
        <v>0</v>
      </c>
      <c r="O321" s="59">
        <f t="shared" si="31"/>
        <v>0</v>
      </c>
      <c r="P321" s="59">
        <f t="shared" si="31"/>
        <v>0</v>
      </c>
      <c r="Q321" s="59">
        <f t="shared" si="31"/>
        <v>0</v>
      </c>
    </row>
    <row r="322" spans="3:17" ht="15" outlineLevel="2" x14ac:dyDescent="0.25">
      <c r="C322" s="56" t="s">
        <v>397</v>
      </c>
      <c r="D322" s="57" t="s">
        <v>327</v>
      </c>
      <c r="E322" s="58">
        <v>1.274</v>
      </c>
      <c r="F322" s="59">
        <f t="shared" si="31"/>
        <v>0</v>
      </c>
      <c r="G322" s="59">
        <f t="shared" si="31"/>
        <v>0</v>
      </c>
      <c r="H322" s="59">
        <f t="shared" si="31"/>
        <v>0</v>
      </c>
      <c r="I322" s="59">
        <f t="shared" si="31"/>
        <v>0</v>
      </c>
      <c r="J322" s="59">
        <f t="shared" si="31"/>
        <v>0</v>
      </c>
      <c r="K322" s="59">
        <f t="shared" si="31"/>
        <v>0</v>
      </c>
      <c r="L322" s="59">
        <f t="shared" si="31"/>
        <v>0</v>
      </c>
      <c r="M322" s="59">
        <f t="shared" si="31"/>
        <v>0</v>
      </c>
      <c r="N322" s="59">
        <f t="shared" si="31"/>
        <v>0</v>
      </c>
      <c r="O322" s="59">
        <f t="shared" si="31"/>
        <v>0</v>
      </c>
      <c r="P322" s="59">
        <f t="shared" si="31"/>
        <v>0</v>
      </c>
      <c r="Q322" s="59">
        <f t="shared" si="31"/>
        <v>0</v>
      </c>
    </row>
    <row r="323" spans="3:17" ht="15" outlineLevel="2" x14ac:dyDescent="0.25">
      <c r="C323" s="56" t="s">
        <v>397</v>
      </c>
      <c r="D323" s="57" t="s">
        <v>328</v>
      </c>
      <c r="E323" s="58">
        <v>2.1240000000000001</v>
      </c>
      <c r="F323" s="59">
        <f t="shared" si="31"/>
        <v>0</v>
      </c>
      <c r="G323" s="59">
        <f t="shared" si="31"/>
        <v>0</v>
      </c>
      <c r="H323" s="59">
        <f t="shared" si="31"/>
        <v>0</v>
      </c>
      <c r="I323" s="59">
        <f t="shared" si="31"/>
        <v>0</v>
      </c>
      <c r="J323" s="59">
        <f t="shared" si="31"/>
        <v>0</v>
      </c>
      <c r="K323" s="59">
        <f t="shared" si="31"/>
        <v>0</v>
      </c>
      <c r="L323" s="59">
        <f t="shared" si="31"/>
        <v>0</v>
      </c>
      <c r="M323" s="59">
        <f t="shared" si="31"/>
        <v>0</v>
      </c>
      <c r="N323" s="59">
        <f t="shared" si="31"/>
        <v>0</v>
      </c>
      <c r="O323" s="59">
        <f t="shared" si="31"/>
        <v>0</v>
      </c>
      <c r="P323" s="59">
        <f t="shared" si="31"/>
        <v>0</v>
      </c>
      <c r="Q323" s="59">
        <f t="shared" si="31"/>
        <v>0</v>
      </c>
    </row>
    <row r="324" spans="3:17" ht="15" outlineLevel="2" x14ac:dyDescent="0.25">
      <c r="C324" s="56" t="s">
        <v>397</v>
      </c>
      <c r="D324" s="57" t="s">
        <v>329</v>
      </c>
      <c r="E324" s="58">
        <v>0.92700000000000005</v>
      </c>
      <c r="F324" s="59">
        <f t="shared" si="31"/>
        <v>0</v>
      </c>
      <c r="G324" s="59">
        <f t="shared" si="31"/>
        <v>0</v>
      </c>
      <c r="H324" s="59">
        <f t="shared" si="31"/>
        <v>0</v>
      </c>
      <c r="I324" s="59">
        <f t="shared" si="31"/>
        <v>0</v>
      </c>
      <c r="J324" s="59">
        <f t="shared" si="31"/>
        <v>0</v>
      </c>
      <c r="K324" s="59">
        <f t="shared" si="31"/>
        <v>0</v>
      </c>
      <c r="L324" s="59">
        <f t="shared" si="31"/>
        <v>0</v>
      </c>
      <c r="M324" s="59">
        <f t="shared" si="31"/>
        <v>0</v>
      </c>
      <c r="N324" s="59">
        <f t="shared" si="31"/>
        <v>0</v>
      </c>
      <c r="O324" s="59">
        <f t="shared" si="31"/>
        <v>0</v>
      </c>
      <c r="P324" s="59">
        <f t="shared" si="31"/>
        <v>0</v>
      </c>
      <c r="Q324" s="59">
        <f t="shared" si="31"/>
        <v>0</v>
      </c>
    </row>
    <row r="325" spans="3:17" ht="15" outlineLevel="2" x14ac:dyDescent="0.25">
      <c r="C325" s="56" t="s">
        <v>397</v>
      </c>
      <c r="D325" s="57" t="s">
        <v>330</v>
      </c>
      <c r="E325" s="58">
        <v>2.4940000000000002</v>
      </c>
      <c r="F325" s="59">
        <f t="shared" si="31"/>
        <v>0</v>
      </c>
      <c r="G325" s="59">
        <f t="shared" si="31"/>
        <v>0</v>
      </c>
      <c r="H325" s="59">
        <f t="shared" si="31"/>
        <v>0</v>
      </c>
      <c r="I325" s="59">
        <f t="shared" si="31"/>
        <v>0</v>
      </c>
      <c r="J325" s="59">
        <f t="shared" si="31"/>
        <v>0</v>
      </c>
      <c r="K325" s="59">
        <f t="shared" si="31"/>
        <v>0</v>
      </c>
      <c r="L325" s="59">
        <f t="shared" si="31"/>
        <v>0</v>
      </c>
      <c r="M325" s="59">
        <f t="shared" si="31"/>
        <v>0</v>
      </c>
      <c r="N325" s="59">
        <f t="shared" si="31"/>
        <v>0</v>
      </c>
      <c r="O325" s="59">
        <f t="shared" si="31"/>
        <v>0</v>
      </c>
      <c r="P325" s="59">
        <f t="shared" si="31"/>
        <v>0</v>
      </c>
      <c r="Q325" s="59">
        <f t="shared" si="31"/>
        <v>0</v>
      </c>
    </row>
    <row r="326" spans="3:17" ht="15" outlineLevel="2" x14ac:dyDescent="0.25">
      <c r="C326" s="56" t="s">
        <v>397</v>
      </c>
      <c r="D326" s="57" t="s">
        <v>331</v>
      </c>
      <c r="E326" s="58">
        <v>1.1000000000000001</v>
      </c>
      <c r="F326" s="59">
        <f t="shared" si="31"/>
        <v>0</v>
      </c>
      <c r="G326" s="59">
        <f t="shared" si="31"/>
        <v>0</v>
      </c>
      <c r="H326" s="59">
        <f t="shared" si="31"/>
        <v>0</v>
      </c>
      <c r="I326" s="59">
        <f t="shared" si="31"/>
        <v>0</v>
      </c>
      <c r="J326" s="59">
        <f t="shared" si="31"/>
        <v>0</v>
      </c>
      <c r="K326" s="59">
        <f t="shared" si="31"/>
        <v>0</v>
      </c>
      <c r="L326" s="59">
        <f t="shared" si="31"/>
        <v>0</v>
      </c>
      <c r="M326" s="59">
        <f t="shared" si="31"/>
        <v>0</v>
      </c>
      <c r="N326" s="59">
        <f t="shared" si="31"/>
        <v>0</v>
      </c>
      <c r="O326" s="59">
        <f t="shared" si="31"/>
        <v>0</v>
      </c>
      <c r="P326" s="59">
        <f t="shared" si="31"/>
        <v>0</v>
      </c>
      <c r="Q326" s="59">
        <f t="shared" si="31"/>
        <v>0</v>
      </c>
    </row>
    <row r="327" spans="3:17" ht="15" outlineLevel="2" x14ac:dyDescent="0.25">
      <c r="C327" s="56" t="s">
        <v>397</v>
      </c>
      <c r="D327" s="57" t="s">
        <v>332</v>
      </c>
      <c r="E327" s="58">
        <v>1.788</v>
      </c>
      <c r="F327" s="59">
        <f t="shared" ref="F327:Q336" si="32">SUMIFS($F$368:$F$1152,$C$368:$C$1152,$C327,$A$368:$A$1152,F$3,$B$368:$B$1152,F$4,$D$368:$D$1152,$D327)</f>
        <v>0</v>
      </c>
      <c r="G327" s="59">
        <f t="shared" si="32"/>
        <v>0</v>
      </c>
      <c r="H327" s="59">
        <f t="shared" si="32"/>
        <v>0</v>
      </c>
      <c r="I327" s="59">
        <f t="shared" si="32"/>
        <v>0</v>
      </c>
      <c r="J327" s="59">
        <f t="shared" si="32"/>
        <v>0</v>
      </c>
      <c r="K327" s="59">
        <f t="shared" si="32"/>
        <v>0</v>
      </c>
      <c r="L327" s="59">
        <f t="shared" si="32"/>
        <v>0</v>
      </c>
      <c r="M327" s="59">
        <f t="shared" si="32"/>
        <v>0</v>
      </c>
      <c r="N327" s="59">
        <f t="shared" si="32"/>
        <v>0</v>
      </c>
      <c r="O327" s="59">
        <f t="shared" si="32"/>
        <v>0</v>
      </c>
      <c r="P327" s="59">
        <f t="shared" si="32"/>
        <v>0</v>
      </c>
      <c r="Q327" s="59">
        <f t="shared" si="32"/>
        <v>0</v>
      </c>
    </row>
    <row r="328" spans="3:17" ht="15" outlineLevel="2" x14ac:dyDescent="0.25">
      <c r="C328" s="56" t="s">
        <v>397</v>
      </c>
      <c r="D328" s="57" t="s">
        <v>333</v>
      </c>
      <c r="E328" s="58">
        <v>2.8079999999999998</v>
      </c>
      <c r="F328" s="59">
        <f t="shared" si="32"/>
        <v>0</v>
      </c>
      <c r="G328" s="59">
        <f t="shared" si="32"/>
        <v>0</v>
      </c>
      <c r="H328" s="59">
        <f t="shared" si="32"/>
        <v>0</v>
      </c>
      <c r="I328" s="59">
        <f t="shared" si="32"/>
        <v>0</v>
      </c>
      <c r="J328" s="59">
        <f t="shared" si="32"/>
        <v>0</v>
      </c>
      <c r="K328" s="59">
        <f t="shared" si="32"/>
        <v>0</v>
      </c>
      <c r="L328" s="59">
        <f t="shared" si="32"/>
        <v>0</v>
      </c>
      <c r="M328" s="59">
        <f t="shared" si="32"/>
        <v>0</v>
      </c>
      <c r="N328" s="59">
        <f t="shared" si="32"/>
        <v>0</v>
      </c>
      <c r="O328" s="59">
        <f t="shared" si="32"/>
        <v>0</v>
      </c>
      <c r="P328" s="59">
        <f t="shared" si="32"/>
        <v>0</v>
      </c>
      <c r="Q328" s="59">
        <f t="shared" si="32"/>
        <v>0</v>
      </c>
    </row>
    <row r="329" spans="3:17" ht="15" outlineLevel="2" x14ac:dyDescent="0.25">
      <c r="C329" s="56" t="s">
        <v>397</v>
      </c>
      <c r="D329" s="57" t="s">
        <v>334</v>
      </c>
      <c r="E329" s="58">
        <v>3.2519999999999998</v>
      </c>
      <c r="F329" s="59">
        <f t="shared" si="32"/>
        <v>0</v>
      </c>
      <c r="G329" s="59">
        <f t="shared" si="32"/>
        <v>0</v>
      </c>
      <c r="H329" s="59">
        <f t="shared" si="32"/>
        <v>0</v>
      </c>
      <c r="I329" s="59">
        <f t="shared" si="32"/>
        <v>0</v>
      </c>
      <c r="J329" s="59">
        <f t="shared" si="32"/>
        <v>0</v>
      </c>
      <c r="K329" s="59">
        <f t="shared" si="32"/>
        <v>0</v>
      </c>
      <c r="L329" s="59">
        <f t="shared" si="32"/>
        <v>0</v>
      </c>
      <c r="M329" s="59">
        <f t="shared" si="32"/>
        <v>0</v>
      </c>
      <c r="N329" s="59">
        <f t="shared" si="32"/>
        <v>0</v>
      </c>
      <c r="O329" s="59">
        <f t="shared" si="32"/>
        <v>0</v>
      </c>
      <c r="P329" s="59">
        <f t="shared" si="32"/>
        <v>0</v>
      </c>
      <c r="Q329" s="59">
        <f t="shared" si="32"/>
        <v>0</v>
      </c>
    </row>
    <row r="330" spans="3:17" ht="15" outlineLevel="2" x14ac:dyDescent="0.25">
      <c r="C330" s="56" t="s">
        <v>397</v>
      </c>
      <c r="D330" s="57" t="s">
        <v>335</v>
      </c>
      <c r="E330" s="58">
        <v>2.109</v>
      </c>
      <c r="F330" s="59">
        <f t="shared" si="32"/>
        <v>0</v>
      </c>
      <c r="G330" s="59">
        <f t="shared" si="32"/>
        <v>0</v>
      </c>
      <c r="H330" s="59">
        <f t="shared" si="32"/>
        <v>0</v>
      </c>
      <c r="I330" s="59">
        <f t="shared" si="32"/>
        <v>0</v>
      </c>
      <c r="J330" s="59">
        <f t="shared" si="32"/>
        <v>0</v>
      </c>
      <c r="K330" s="59">
        <f t="shared" si="32"/>
        <v>0</v>
      </c>
      <c r="L330" s="59">
        <f t="shared" si="32"/>
        <v>0</v>
      </c>
      <c r="M330" s="59">
        <f t="shared" si="32"/>
        <v>0</v>
      </c>
      <c r="N330" s="59">
        <f t="shared" si="32"/>
        <v>0</v>
      </c>
      <c r="O330" s="59">
        <f t="shared" si="32"/>
        <v>0</v>
      </c>
      <c r="P330" s="59">
        <f t="shared" si="32"/>
        <v>0</v>
      </c>
      <c r="Q330" s="59">
        <f t="shared" si="32"/>
        <v>0</v>
      </c>
    </row>
    <row r="331" spans="3:17" ht="15" outlineLevel="2" x14ac:dyDescent="0.25">
      <c r="C331" s="56" t="s">
        <v>397</v>
      </c>
      <c r="D331" s="57" t="s">
        <v>336</v>
      </c>
      <c r="E331" s="58">
        <v>3.3</v>
      </c>
      <c r="F331" s="59">
        <f t="shared" si="32"/>
        <v>0</v>
      </c>
      <c r="G331" s="59">
        <f t="shared" si="32"/>
        <v>0</v>
      </c>
      <c r="H331" s="59">
        <f t="shared" si="32"/>
        <v>0</v>
      </c>
      <c r="I331" s="59">
        <f t="shared" si="32"/>
        <v>0</v>
      </c>
      <c r="J331" s="59">
        <f t="shared" si="32"/>
        <v>0</v>
      </c>
      <c r="K331" s="59">
        <f t="shared" si="32"/>
        <v>0</v>
      </c>
      <c r="L331" s="59">
        <f t="shared" si="32"/>
        <v>0</v>
      </c>
      <c r="M331" s="59">
        <f t="shared" si="32"/>
        <v>0</v>
      </c>
      <c r="N331" s="59">
        <f t="shared" si="32"/>
        <v>0</v>
      </c>
      <c r="O331" s="59">
        <f t="shared" si="32"/>
        <v>0</v>
      </c>
      <c r="P331" s="59">
        <f t="shared" si="32"/>
        <v>0</v>
      </c>
      <c r="Q331" s="59">
        <f t="shared" si="32"/>
        <v>0</v>
      </c>
    </row>
    <row r="332" spans="3:17" ht="15" outlineLevel="2" x14ac:dyDescent="0.25">
      <c r="C332" s="56" t="s">
        <v>397</v>
      </c>
      <c r="D332" s="57" t="s">
        <v>337</v>
      </c>
      <c r="E332" s="58">
        <v>3.8180000000000001</v>
      </c>
      <c r="F332" s="59">
        <f t="shared" si="32"/>
        <v>0</v>
      </c>
      <c r="G332" s="59">
        <f t="shared" si="32"/>
        <v>0</v>
      </c>
      <c r="H332" s="59">
        <f t="shared" si="32"/>
        <v>0</v>
      </c>
      <c r="I332" s="59">
        <f t="shared" si="32"/>
        <v>0</v>
      </c>
      <c r="J332" s="59">
        <f t="shared" si="32"/>
        <v>0</v>
      </c>
      <c r="K332" s="59">
        <f t="shared" si="32"/>
        <v>0</v>
      </c>
      <c r="L332" s="59">
        <f t="shared" si="32"/>
        <v>0</v>
      </c>
      <c r="M332" s="59">
        <f t="shared" si="32"/>
        <v>0</v>
      </c>
      <c r="N332" s="59">
        <f t="shared" si="32"/>
        <v>0</v>
      </c>
      <c r="O332" s="59">
        <f t="shared" si="32"/>
        <v>0</v>
      </c>
      <c r="P332" s="59">
        <f t="shared" si="32"/>
        <v>0</v>
      </c>
      <c r="Q332" s="59">
        <f t="shared" si="32"/>
        <v>0</v>
      </c>
    </row>
    <row r="333" spans="3:17" ht="15" outlineLevel="1" x14ac:dyDescent="0.25">
      <c r="C333" s="60" t="s">
        <v>391</v>
      </c>
      <c r="D333" s="60" t="s">
        <v>373</v>
      </c>
      <c r="E333" s="61"/>
      <c r="F333" s="61">
        <f t="shared" si="32"/>
        <v>0</v>
      </c>
      <c r="G333" s="61">
        <f t="shared" si="32"/>
        <v>500</v>
      </c>
      <c r="H333" s="61">
        <f t="shared" si="32"/>
        <v>0</v>
      </c>
      <c r="I333" s="61">
        <f t="shared" si="32"/>
        <v>0</v>
      </c>
      <c r="J333" s="61">
        <f t="shared" si="32"/>
        <v>0</v>
      </c>
      <c r="K333" s="61">
        <f t="shared" si="32"/>
        <v>0</v>
      </c>
      <c r="L333" s="61">
        <f t="shared" si="32"/>
        <v>0</v>
      </c>
      <c r="M333" s="61">
        <f t="shared" si="32"/>
        <v>0</v>
      </c>
      <c r="N333" s="61">
        <f t="shared" si="32"/>
        <v>0</v>
      </c>
      <c r="O333" s="61">
        <f t="shared" si="32"/>
        <v>0</v>
      </c>
      <c r="P333" s="61">
        <f t="shared" si="32"/>
        <v>0</v>
      </c>
      <c r="Q333" s="61">
        <f t="shared" si="32"/>
        <v>0</v>
      </c>
    </row>
    <row r="334" spans="3:17" ht="15" outlineLevel="2" x14ac:dyDescent="0.25">
      <c r="C334" s="60" t="s">
        <v>391</v>
      </c>
      <c r="D334" s="60" t="s">
        <v>374</v>
      </c>
      <c r="E334" s="61"/>
      <c r="F334" s="61">
        <f t="shared" si="32"/>
        <v>0</v>
      </c>
      <c r="G334" s="61">
        <f t="shared" si="32"/>
        <v>0</v>
      </c>
      <c r="H334" s="61">
        <f t="shared" si="32"/>
        <v>0</v>
      </c>
      <c r="I334" s="61">
        <f t="shared" si="32"/>
        <v>0</v>
      </c>
      <c r="J334" s="61">
        <f t="shared" si="32"/>
        <v>0</v>
      </c>
      <c r="K334" s="61">
        <f t="shared" si="32"/>
        <v>0</v>
      </c>
      <c r="L334" s="61">
        <f t="shared" si="32"/>
        <v>0</v>
      </c>
      <c r="M334" s="61">
        <f t="shared" si="32"/>
        <v>0</v>
      </c>
      <c r="N334" s="61">
        <f t="shared" si="32"/>
        <v>0</v>
      </c>
      <c r="O334" s="61">
        <f t="shared" si="32"/>
        <v>0</v>
      </c>
      <c r="P334" s="61">
        <f t="shared" si="32"/>
        <v>0</v>
      </c>
      <c r="Q334" s="61">
        <f t="shared" si="32"/>
        <v>0</v>
      </c>
    </row>
    <row r="335" spans="3:17" ht="15" outlineLevel="2" x14ac:dyDescent="0.25">
      <c r="C335" s="60" t="s">
        <v>391</v>
      </c>
      <c r="D335" s="60" t="s">
        <v>375</v>
      </c>
      <c r="E335" s="61"/>
      <c r="F335" s="61">
        <f t="shared" si="32"/>
        <v>0</v>
      </c>
      <c r="G335" s="61">
        <f t="shared" si="32"/>
        <v>0</v>
      </c>
      <c r="H335" s="61">
        <f t="shared" si="32"/>
        <v>0</v>
      </c>
      <c r="I335" s="61">
        <f t="shared" si="32"/>
        <v>0</v>
      </c>
      <c r="J335" s="61">
        <f t="shared" si="32"/>
        <v>0</v>
      </c>
      <c r="K335" s="61">
        <f t="shared" si="32"/>
        <v>0</v>
      </c>
      <c r="L335" s="61">
        <f t="shared" si="32"/>
        <v>0</v>
      </c>
      <c r="M335" s="61">
        <f t="shared" si="32"/>
        <v>0</v>
      </c>
      <c r="N335" s="61">
        <f t="shared" si="32"/>
        <v>0</v>
      </c>
      <c r="O335" s="61">
        <f t="shared" si="32"/>
        <v>0</v>
      </c>
      <c r="P335" s="61">
        <f t="shared" si="32"/>
        <v>0</v>
      </c>
      <c r="Q335" s="61">
        <f t="shared" si="32"/>
        <v>0</v>
      </c>
    </row>
    <row r="336" spans="3:17" ht="15" outlineLevel="2" x14ac:dyDescent="0.25">
      <c r="C336" s="60" t="s">
        <v>391</v>
      </c>
      <c r="D336" s="60" t="s">
        <v>376</v>
      </c>
      <c r="E336" s="61"/>
      <c r="F336" s="61">
        <f t="shared" si="32"/>
        <v>0</v>
      </c>
      <c r="G336" s="61">
        <f t="shared" si="32"/>
        <v>0</v>
      </c>
      <c r="H336" s="61">
        <f t="shared" si="32"/>
        <v>0</v>
      </c>
      <c r="I336" s="61">
        <f t="shared" si="32"/>
        <v>0</v>
      </c>
      <c r="J336" s="61">
        <f t="shared" si="32"/>
        <v>0</v>
      </c>
      <c r="K336" s="61">
        <f t="shared" si="32"/>
        <v>0</v>
      </c>
      <c r="L336" s="61">
        <f t="shared" si="32"/>
        <v>0</v>
      </c>
      <c r="M336" s="61">
        <f t="shared" si="32"/>
        <v>0</v>
      </c>
      <c r="N336" s="61">
        <f t="shared" si="32"/>
        <v>0</v>
      </c>
      <c r="O336" s="61">
        <f t="shared" si="32"/>
        <v>0</v>
      </c>
      <c r="P336" s="61">
        <f t="shared" si="32"/>
        <v>0</v>
      </c>
      <c r="Q336" s="61">
        <f t="shared" si="32"/>
        <v>0</v>
      </c>
    </row>
    <row r="337" spans="3:17" ht="15" outlineLevel="2" x14ac:dyDescent="0.25">
      <c r="C337" s="60" t="s">
        <v>391</v>
      </c>
      <c r="D337" s="60" t="s">
        <v>453</v>
      </c>
      <c r="E337" s="61"/>
      <c r="F337" s="61">
        <f t="shared" ref="F337:Q346" si="33">SUMIFS($F$368:$F$1152,$C$368:$C$1152,$C337,$A$368:$A$1152,F$3,$B$368:$B$1152,F$4,$D$368:$D$1152,$D337)</f>
        <v>3436</v>
      </c>
      <c r="G337" s="61">
        <f t="shared" si="33"/>
        <v>0</v>
      </c>
      <c r="H337" s="61">
        <f t="shared" si="33"/>
        <v>0</v>
      </c>
      <c r="I337" s="61">
        <f t="shared" si="33"/>
        <v>0</v>
      </c>
      <c r="J337" s="61">
        <f t="shared" si="33"/>
        <v>0</v>
      </c>
      <c r="K337" s="61">
        <f t="shared" si="33"/>
        <v>0</v>
      </c>
      <c r="L337" s="61">
        <f t="shared" si="33"/>
        <v>0</v>
      </c>
      <c r="M337" s="61">
        <f t="shared" si="33"/>
        <v>0</v>
      </c>
      <c r="N337" s="61">
        <f t="shared" si="33"/>
        <v>0</v>
      </c>
      <c r="O337" s="61">
        <f t="shared" si="33"/>
        <v>0</v>
      </c>
      <c r="P337" s="61">
        <f t="shared" si="33"/>
        <v>0</v>
      </c>
      <c r="Q337" s="61">
        <f t="shared" si="33"/>
        <v>0</v>
      </c>
    </row>
    <row r="338" spans="3:17" ht="15" outlineLevel="2" x14ac:dyDescent="0.25">
      <c r="C338" s="60" t="s">
        <v>391</v>
      </c>
      <c r="D338" s="60" t="s">
        <v>454</v>
      </c>
      <c r="E338" s="61"/>
      <c r="F338" s="61">
        <f t="shared" si="33"/>
        <v>120</v>
      </c>
      <c r="G338" s="61">
        <f t="shared" si="33"/>
        <v>0</v>
      </c>
      <c r="H338" s="61">
        <f t="shared" si="33"/>
        <v>0</v>
      </c>
      <c r="I338" s="61">
        <f t="shared" si="33"/>
        <v>0</v>
      </c>
      <c r="J338" s="61">
        <f t="shared" si="33"/>
        <v>0</v>
      </c>
      <c r="K338" s="61">
        <f t="shared" si="33"/>
        <v>0</v>
      </c>
      <c r="L338" s="61">
        <f t="shared" si="33"/>
        <v>0</v>
      </c>
      <c r="M338" s="61">
        <f t="shared" si="33"/>
        <v>0</v>
      </c>
      <c r="N338" s="61">
        <f t="shared" si="33"/>
        <v>0</v>
      </c>
      <c r="O338" s="61">
        <f t="shared" si="33"/>
        <v>0</v>
      </c>
      <c r="P338" s="61">
        <f t="shared" si="33"/>
        <v>0</v>
      </c>
      <c r="Q338" s="61">
        <f t="shared" si="33"/>
        <v>0</v>
      </c>
    </row>
    <row r="339" spans="3:17" ht="15" outlineLevel="2" x14ac:dyDescent="0.25">
      <c r="C339" s="60" t="s">
        <v>391</v>
      </c>
      <c r="D339" s="60" t="s">
        <v>455</v>
      </c>
      <c r="E339" s="61"/>
      <c r="F339" s="61">
        <f t="shared" si="33"/>
        <v>660</v>
      </c>
      <c r="G339" s="61">
        <f t="shared" si="33"/>
        <v>0</v>
      </c>
      <c r="H339" s="61">
        <f t="shared" si="33"/>
        <v>0</v>
      </c>
      <c r="I339" s="61">
        <f t="shared" si="33"/>
        <v>0</v>
      </c>
      <c r="J339" s="61">
        <f t="shared" si="33"/>
        <v>0</v>
      </c>
      <c r="K339" s="61">
        <f t="shared" si="33"/>
        <v>0</v>
      </c>
      <c r="L339" s="61">
        <f t="shared" si="33"/>
        <v>0</v>
      </c>
      <c r="M339" s="61">
        <f t="shared" si="33"/>
        <v>0</v>
      </c>
      <c r="N339" s="61">
        <f t="shared" si="33"/>
        <v>0</v>
      </c>
      <c r="O339" s="61">
        <f t="shared" si="33"/>
        <v>0</v>
      </c>
      <c r="P339" s="61">
        <f t="shared" si="33"/>
        <v>0</v>
      </c>
      <c r="Q339" s="61">
        <f t="shared" si="33"/>
        <v>0</v>
      </c>
    </row>
    <row r="340" spans="3:17" ht="15" outlineLevel="2" x14ac:dyDescent="0.25">
      <c r="C340" s="60" t="s">
        <v>391</v>
      </c>
      <c r="D340" s="60" t="s">
        <v>456</v>
      </c>
      <c r="E340" s="61"/>
      <c r="F340" s="61">
        <f t="shared" si="33"/>
        <v>0</v>
      </c>
      <c r="G340" s="61">
        <f t="shared" si="33"/>
        <v>0</v>
      </c>
      <c r="H340" s="61">
        <f t="shared" si="33"/>
        <v>0</v>
      </c>
      <c r="I340" s="61">
        <f t="shared" si="33"/>
        <v>0</v>
      </c>
      <c r="J340" s="61">
        <f t="shared" si="33"/>
        <v>0</v>
      </c>
      <c r="K340" s="61">
        <f t="shared" si="33"/>
        <v>0</v>
      </c>
      <c r="L340" s="61">
        <f t="shared" si="33"/>
        <v>0</v>
      </c>
      <c r="M340" s="61">
        <f t="shared" si="33"/>
        <v>0</v>
      </c>
      <c r="N340" s="61">
        <f t="shared" si="33"/>
        <v>0</v>
      </c>
      <c r="O340" s="61">
        <f t="shared" si="33"/>
        <v>0</v>
      </c>
      <c r="P340" s="61">
        <f t="shared" si="33"/>
        <v>0</v>
      </c>
      <c r="Q340" s="61">
        <f t="shared" si="33"/>
        <v>0</v>
      </c>
    </row>
    <row r="341" spans="3:17" ht="15" outlineLevel="2" x14ac:dyDescent="0.25">
      <c r="C341" s="60" t="s">
        <v>391</v>
      </c>
      <c r="D341" s="60" t="s">
        <v>457</v>
      </c>
      <c r="E341" s="61"/>
      <c r="F341" s="61">
        <f t="shared" si="33"/>
        <v>0</v>
      </c>
      <c r="G341" s="61">
        <f t="shared" si="33"/>
        <v>0</v>
      </c>
      <c r="H341" s="61">
        <f t="shared" si="33"/>
        <v>0</v>
      </c>
      <c r="I341" s="61">
        <f t="shared" si="33"/>
        <v>0</v>
      </c>
      <c r="J341" s="61">
        <f t="shared" si="33"/>
        <v>0</v>
      </c>
      <c r="K341" s="61">
        <f t="shared" si="33"/>
        <v>0</v>
      </c>
      <c r="L341" s="61">
        <f t="shared" si="33"/>
        <v>0</v>
      </c>
      <c r="M341" s="61">
        <f t="shared" si="33"/>
        <v>0</v>
      </c>
      <c r="N341" s="61">
        <f t="shared" si="33"/>
        <v>0</v>
      </c>
      <c r="O341" s="61">
        <f t="shared" si="33"/>
        <v>0</v>
      </c>
      <c r="P341" s="61">
        <f t="shared" si="33"/>
        <v>0</v>
      </c>
      <c r="Q341" s="61">
        <f t="shared" si="33"/>
        <v>0</v>
      </c>
    </row>
    <row r="342" spans="3:17" ht="15" outlineLevel="2" x14ac:dyDescent="0.25">
      <c r="C342" s="60" t="s">
        <v>391</v>
      </c>
      <c r="D342" s="60" t="s">
        <v>458</v>
      </c>
      <c r="E342" s="61"/>
      <c r="F342" s="61">
        <f t="shared" si="33"/>
        <v>0</v>
      </c>
      <c r="G342" s="61">
        <f t="shared" si="33"/>
        <v>0</v>
      </c>
      <c r="H342" s="61">
        <f t="shared" si="33"/>
        <v>0</v>
      </c>
      <c r="I342" s="61">
        <f t="shared" si="33"/>
        <v>0</v>
      </c>
      <c r="J342" s="61">
        <f t="shared" si="33"/>
        <v>0</v>
      </c>
      <c r="K342" s="61">
        <f t="shared" si="33"/>
        <v>0</v>
      </c>
      <c r="L342" s="61">
        <f t="shared" si="33"/>
        <v>0</v>
      </c>
      <c r="M342" s="61">
        <f t="shared" si="33"/>
        <v>0</v>
      </c>
      <c r="N342" s="61">
        <f t="shared" si="33"/>
        <v>0</v>
      </c>
      <c r="O342" s="61">
        <f t="shared" si="33"/>
        <v>0</v>
      </c>
      <c r="P342" s="61">
        <f t="shared" si="33"/>
        <v>0</v>
      </c>
      <c r="Q342" s="61">
        <f t="shared" si="33"/>
        <v>0</v>
      </c>
    </row>
    <row r="343" spans="3:17" ht="15" outlineLevel="2" x14ac:dyDescent="0.25">
      <c r="C343" s="60" t="s">
        <v>391</v>
      </c>
      <c r="D343" s="60" t="s">
        <v>76</v>
      </c>
      <c r="E343" s="61"/>
      <c r="F343" s="61">
        <f t="shared" si="33"/>
        <v>42</v>
      </c>
      <c r="G343" s="61">
        <f t="shared" si="33"/>
        <v>0</v>
      </c>
      <c r="H343" s="61">
        <f t="shared" si="33"/>
        <v>0</v>
      </c>
      <c r="I343" s="61">
        <f t="shared" si="33"/>
        <v>0</v>
      </c>
      <c r="J343" s="61">
        <f t="shared" si="33"/>
        <v>0</v>
      </c>
      <c r="K343" s="61">
        <f t="shared" si="33"/>
        <v>0</v>
      </c>
      <c r="L343" s="61">
        <f t="shared" si="33"/>
        <v>0</v>
      </c>
      <c r="M343" s="61">
        <f t="shared" si="33"/>
        <v>0</v>
      </c>
      <c r="N343" s="61">
        <f t="shared" si="33"/>
        <v>0</v>
      </c>
      <c r="O343" s="61">
        <f t="shared" si="33"/>
        <v>0</v>
      </c>
      <c r="P343" s="61">
        <f t="shared" si="33"/>
        <v>0</v>
      </c>
      <c r="Q343" s="61">
        <f t="shared" si="33"/>
        <v>0</v>
      </c>
    </row>
    <row r="344" spans="3:17" ht="15" outlineLevel="2" x14ac:dyDescent="0.25">
      <c r="C344" s="60" t="s">
        <v>391</v>
      </c>
      <c r="D344" s="60" t="s">
        <v>87</v>
      </c>
      <c r="E344" s="61"/>
      <c r="F344" s="61">
        <f t="shared" si="33"/>
        <v>0</v>
      </c>
      <c r="G344" s="61">
        <f t="shared" si="33"/>
        <v>0</v>
      </c>
      <c r="H344" s="61">
        <f t="shared" si="33"/>
        <v>0</v>
      </c>
      <c r="I344" s="61">
        <f t="shared" si="33"/>
        <v>0</v>
      </c>
      <c r="J344" s="61">
        <f t="shared" si="33"/>
        <v>0</v>
      </c>
      <c r="K344" s="61">
        <f t="shared" si="33"/>
        <v>0</v>
      </c>
      <c r="L344" s="61">
        <f t="shared" si="33"/>
        <v>0</v>
      </c>
      <c r="M344" s="61">
        <f t="shared" si="33"/>
        <v>0</v>
      </c>
      <c r="N344" s="61">
        <f t="shared" si="33"/>
        <v>0</v>
      </c>
      <c r="O344" s="61">
        <f t="shared" si="33"/>
        <v>0</v>
      </c>
      <c r="P344" s="61">
        <f t="shared" si="33"/>
        <v>0</v>
      </c>
      <c r="Q344" s="61">
        <f t="shared" si="33"/>
        <v>0</v>
      </c>
    </row>
    <row r="345" spans="3:17" ht="15" outlineLevel="2" x14ac:dyDescent="0.25">
      <c r="C345" s="60" t="s">
        <v>391</v>
      </c>
      <c r="D345" s="60" t="s">
        <v>471</v>
      </c>
      <c r="E345" s="61"/>
      <c r="F345" s="61">
        <f t="shared" si="33"/>
        <v>0</v>
      </c>
      <c r="G345" s="61">
        <f t="shared" si="33"/>
        <v>0</v>
      </c>
      <c r="H345" s="61">
        <f t="shared" si="33"/>
        <v>0</v>
      </c>
      <c r="I345" s="61">
        <f t="shared" si="33"/>
        <v>0</v>
      </c>
      <c r="J345" s="61">
        <f t="shared" si="33"/>
        <v>0</v>
      </c>
      <c r="K345" s="61">
        <f t="shared" si="33"/>
        <v>0</v>
      </c>
      <c r="L345" s="61">
        <f t="shared" si="33"/>
        <v>0</v>
      </c>
      <c r="M345" s="61">
        <f t="shared" si="33"/>
        <v>0</v>
      </c>
      <c r="N345" s="61">
        <f t="shared" si="33"/>
        <v>0</v>
      </c>
      <c r="O345" s="61">
        <f t="shared" si="33"/>
        <v>0</v>
      </c>
      <c r="P345" s="61">
        <f t="shared" si="33"/>
        <v>0</v>
      </c>
      <c r="Q345" s="61">
        <f t="shared" si="33"/>
        <v>0</v>
      </c>
    </row>
    <row r="346" spans="3:17" ht="15" outlineLevel="2" x14ac:dyDescent="0.25">
      <c r="C346" s="60" t="s">
        <v>391</v>
      </c>
      <c r="D346" s="60" t="s">
        <v>394</v>
      </c>
      <c r="E346" s="61"/>
      <c r="F346" s="61">
        <f t="shared" si="33"/>
        <v>0</v>
      </c>
      <c r="G346" s="61">
        <f t="shared" si="33"/>
        <v>500</v>
      </c>
      <c r="H346" s="61">
        <f t="shared" si="33"/>
        <v>0</v>
      </c>
      <c r="I346" s="61">
        <f t="shared" si="33"/>
        <v>500</v>
      </c>
      <c r="J346" s="61">
        <f t="shared" si="33"/>
        <v>300</v>
      </c>
      <c r="K346" s="61">
        <f t="shared" si="33"/>
        <v>300</v>
      </c>
      <c r="L346" s="61">
        <f t="shared" si="33"/>
        <v>300</v>
      </c>
      <c r="M346" s="61">
        <f t="shared" si="33"/>
        <v>300</v>
      </c>
      <c r="N346" s="61">
        <f t="shared" si="33"/>
        <v>300</v>
      </c>
      <c r="O346" s="61">
        <f t="shared" si="33"/>
        <v>300</v>
      </c>
      <c r="P346" s="61">
        <f t="shared" si="33"/>
        <v>300</v>
      </c>
      <c r="Q346" s="61">
        <f t="shared" si="33"/>
        <v>300</v>
      </c>
    </row>
    <row r="347" spans="3:17" ht="15" outlineLevel="1" x14ac:dyDescent="0.25">
      <c r="C347" s="62" t="s">
        <v>398</v>
      </c>
      <c r="D347" s="276" t="s">
        <v>393</v>
      </c>
      <c r="E347" s="63"/>
      <c r="F347" s="64">
        <f t="shared" ref="F347:Q359" si="34">SUMIFS($I$368:$I$1152,$C$368:$C$1152,$C347,$A$368:$A$1152,F$3,$B$368:$B$1152,F$4,$D$368:$D$1152,$D347)</f>
        <v>0</v>
      </c>
      <c r="G347" s="64">
        <f t="shared" si="34"/>
        <v>0</v>
      </c>
      <c r="H347" s="64">
        <f t="shared" si="34"/>
        <v>0</v>
      </c>
      <c r="I347" s="64">
        <f t="shared" si="34"/>
        <v>86000</v>
      </c>
      <c r="J347" s="64">
        <f t="shared" si="34"/>
        <v>102000</v>
      </c>
      <c r="K347" s="64">
        <f t="shared" si="34"/>
        <v>92000</v>
      </c>
      <c r="L347" s="64">
        <f t="shared" si="34"/>
        <v>92000</v>
      </c>
      <c r="M347" s="64">
        <f t="shared" si="34"/>
        <v>92000</v>
      </c>
      <c r="N347" s="64">
        <f t="shared" si="34"/>
        <v>92000</v>
      </c>
      <c r="O347" s="64">
        <f t="shared" si="34"/>
        <v>92000</v>
      </c>
      <c r="P347" s="64">
        <f t="shared" si="34"/>
        <v>92000</v>
      </c>
      <c r="Q347" s="64">
        <f t="shared" si="34"/>
        <v>92000</v>
      </c>
    </row>
    <row r="348" spans="3:17" ht="15" outlineLevel="2" x14ac:dyDescent="0.25">
      <c r="C348" s="62" t="s">
        <v>398</v>
      </c>
      <c r="D348" s="276" t="s">
        <v>459</v>
      </c>
      <c r="E348" s="65"/>
      <c r="F348" s="64">
        <f t="shared" si="34"/>
        <v>0</v>
      </c>
      <c r="G348" s="64">
        <f t="shared" si="34"/>
        <v>0</v>
      </c>
      <c r="H348" s="64">
        <f t="shared" si="34"/>
        <v>0</v>
      </c>
      <c r="I348" s="64">
        <f t="shared" si="34"/>
        <v>0</v>
      </c>
      <c r="J348" s="64">
        <f t="shared" si="34"/>
        <v>0</v>
      </c>
      <c r="K348" s="64">
        <f t="shared" si="34"/>
        <v>0</v>
      </c>
      <c r="L348" s="64">
        <f t="shared" si="34"/>
        <v>0</v>
      </c>
      <c r="M348" s="64">
        <f t="shared" si="34"/>
        <v>0</v>
      </c>
      <c r="N348" s="64">
        <f t="shared" si="34"/>
        <v>0</v>
      </c>
      <c r="O348" s="64">
        <f t="shared" si="34"/>
        <v>0</v>
      </c>
      <c r="P348" s="64">
        <f t="shared" si="34"/>
        <v>0</v>
      </c>
      <c r="Q348" s="64">
        <f t="shared" si="34"/>
        <v>0</v>
      </c>
    </row>
    <row r="349" spans="3:17" ht="15" outlineLevel="2" x14ac:dyDescent="0.25">
      <c r="C349" s="62" t="s">
        <v>398</v>
      </c>
      <c r="D349" s="276" t="s">
        <v>460</v>
      </c>
      <c r="E349" s="66"/>
      <c r="F349" s="64">
        <f t="shared" si="34"/>
        <v>0</v>
      </c>
      <c r="G349" s="64">
        <f t="shared" si="34"/>
        <v>0</v>
      </c>
      <c r="H349" s="64">
        <f t="shared" si="34"/>
        <v>0</v>
      </c>
      <c r="I349" s="64">
        <f t="shared" si="34"/>
        <v>0</v>
      </c>
      <c r="J349" s="64">
        <f t="shared" si="34"/>
        <v>0</v>
      </c>
      <c r="K349" s="64">
        <f t="shared" si="34"/>
        <v>0</v>
      </c>
      <c r="L349" s="64">
        <f t="shared" si="34"/>
        <v>0</v>
      </c>
      <c r="M349" s="64">
        <f t="shared" si="34"/>
        <v>0</v>
      </c>
      <c r="N349" s="64">
        <f t="shared" si="34"/>
        <v>0</v>
      </c>
      <c r="O349" s="64">
        <f t="shared" si="34"/>
        <v>0</v>
      </c>
      <c r="P349" s="64">
        <f t="shared" si="34"/>
        <v>0</v>
      </c>
      <c r="Q349" s="64">
        <f t="shared" si="34"/>
        <v>0</v>
      </c>
    </row>
    <row r="350" spans="3:17" ht="15" outlineLevel="2" x14ac:dyDescent="0.25">
      <c r="C350" s="62" t="s">
        <v>398</v>
      </c>
      <c r="D350" s="276" t="s">
        <v>461</v>
      </c>
      <c r="E350" s="66"/>
      <c r="F350" s="64">
        <f t="shared" si="34"/>
        <v>0</v>
      </c>
      <c r="G350" s="64">
        <f t="shared" si="34"/>
        <v>0</v>
      </c>
      <c r="H350" s="64">
        <f t="shared" si="34"/>
        <v>0</v>
      </c>
      <c r="I350" s="64">
        <f t="shared" si="34"/>
        <v>0</v>
      </c>
      <c r="J350" s="64">
        <f t="shared" si="34"/>
        <v>0</v>
      </c>
      <c r="K350" s="64">
        <f t="shared" si="34"/>
        <v>0</v>
      </c>
      <c r="L350" s="64">
        <f t="shared" si="34"/>
        <v>0</v>
      </c>
      <c r="M350" s="64">
        <f t="shared" si="34"/>
        <v>0</v>
      </c>
      <c r="N350" s="64">
        <f t="shared" si="34"/>
        <v>0</v>
      </c>
      <c r="O350" s="64">
        <f t="shared" si="34"/>
        <v>0</v>
      </c>
      <c r="P350" s="64">
        <f t="shared" si="34"/>
        <v>0</v>
      </c>
      <c r="Q350" s="64">
        <f t="shared" si="34"/>
        <v>0</v>
      </c>
    </row>
    <row r="351" spans="3:17" ht="15" outlineLevel="2" x14ac:dyDescent="0.25">
      <c r="C351" s="62" t="s">
        <v>398</v>
      </c>
      <c r="D351" s="276" t="s">
        <v>462</v>
      </c>
      <c r="E351" s="66"/>
      <c r="F351" s="64">
        <f t="shared" si="34"/>
        <v>0</v>
      </c>
      <c r="G351" s="64">
        <f t="shared" si="34"/>
        <v>0</v>
      </c>
      <c r="H351" s="64">
        <f t="shared" si="34"/>
        <v>0</v>
      </c>
      <c r="I351" s="64">
        <f t="shared" si="34"/>
        <v>0</v>
      </c>
      <c r="J351" s="64">
        <f t="shared" si="34"/>
        <v>0</v>
      </c>
      <c r="K351" s="64">
        <f t="shared" si="34"/>
        <v>0</v>
      </c>
      <c r="L351" s="64">
        <f t="shared" si="34"/>
        <v>0</v>
      </c>
      <c r="M351" s="64">
        <f t="shared" si="34"/>
        <v>0</v>
      </c>
      <c r="N351" s="64">
        <f t="shared" si="34"/>
        <v>0</v>
      </c>
      <c r="O351" s="64">
        <f t="shared" si="34"/>
        <v>0</v>
      </c>
      <c r="P351" s="64">
        <f t="shared" si="34"/>
        <v>0</v>
      </c>
      <c r="Q351" s="64">
        <f t="shared" si="34"/>
        <v>0</v>
      </c>
    </row>
    <row r="352" spans="3:17" ht="15" outlineLevel="2" x14ac:dyDescent="0.25">
      <c r="C352" s="62" t="s">
        <v>398</v>
      </c>
      <c r="D352" s="276" t="s">
        <v>463</v>
      </c>
      <c r="E352" s="66"/>
      <c r="F352" s="64">
        <f t="shared" si="34"/>
        <v>0</v>
      </c>
      <c r="G352" s="64">
        <f t="shared" si="34"/>
        <v>0</v>
      </c>
      <c r="H352" s="64">
        <f t="shared" si="34"/>
        <v>0</v>
      </c>
      <c r="I352" s="64">
        <f t="shared" si="34"/>
        <v>0</v>
      </c>
      <c r="J352" s="64">
        <f t="shared" si="34"/>
        <v>0</v>
      </c>
      <c r="K352" s="64">
        <f t="shared" si="34"/>
        <v>0</v>
      </c>
      <c r="L352" s="64">
        <f t="shared" si="34"/>
        <v>0</v>
      </c>
      <c r="M352" s="64">
        <f t="shared" si="34"/>
        <v>0</v>
      </c>
      <c r="N352" s="64">
        <f t="shared" si="34"/>
        <v>0</v>
      </c>
      <c r="O352" s="64">
        <f t="shared" si="34"/>
        <v>0</v>
      </c>
      <c r="P352" s="64">
        <f t="shared" si="34"/>
        <v>0</v>
      </c>
      <c r="Q352" s="64">
        <f t="shared" si="34"/>
        <v>0</v>
      </c>
    </row>
    <row r="353" spans="1:17" ht="15" outlineLevel="2" x14ac:dyDescent="0.25">
      <c r="C353" s="62" t="s">
        <v>398</v>
      </c>
      <c r="D353" s="276" t="s">
        <v>464</v>
      </c>
      <c r="E353" s="66"/>
      <c r="F353" s="64">
        <f t="shared" si="34"/>
        <v>0</v>
      </c>
      <c r="G353" s="64">
        <f t="shared" si="34"/>
        <v>0</v>
      </c>
      <c r="H353" s="64">
        <f t="shared" si="34"/>
        <v>0</v>
      </c>
      <c r="I353" s="64">
        <f t="shared" si="34"/>
        <v>0</v>
      </c>
      <c r="J353" s="64">
        <f t="shared" si="34"/>
        <v>0</v>
      </c>
      <c r="K353" s="64">
        <f t="shared" si="34"/>
        <v>0</v>
      </c>
      <c r="L353" s="64">
        <f t="shared" si="34"/>
        <v>0</v>
      </c>
      <c r="M353" s="64">
        <f t="shared" si="34"/>
        <v>0</v>
      </c>
      <c r="N353" s="64">
        <f t="shared" si="34"/>
        <v>0</v>
      </c>
      <c r="O353" s="64">
        <f t="shared" si="34"/>
        <v>0</v>
      </c>
      <c r="P353" s="64">
        <f t="shared" si="34"/>
        <v>0</v>
      </c>
      <c r="Q353" s="64">
        <f t="shared" si="34"/>
        <v>0</v>
      </c>
    </row>
    <row r="354" spans="1:17" ht="15" outlineLevel="2" x14ac:dyDescent="0.25">
      <c r="C354" s="62" t="s">
        <v>398</v>
      </c>
      <c r="D354" s="269" t="s">
        <v>563</v>
      </c>
      <c r="E354" s="66"/>
      <c r="F354" s="64">
        <f t="shared" si="34"/>
        <v>0</v>
      </c>
      <c r="G354" s="64">
        <f t="shared" si="34"/>
        <v>68420</v>
      </c>
      <c r="H354" s="64">
        <f t="shared" si="34"/>
        <v>0</v>
      </c>
      <c r="I354" s="64">
        <f t="shared" si="34"/>
        <v>0</v>
      </c>
      <c r="J354" s="64">
        <f t="shared" si="34"/>
        <v>0</v>
      </c>
      <c r="K354" s="64">
        <f t="shared" si="34"/>
        <v>0</v>
      </c>
      <c r="L354" s="64">
        <f t="shared" si="34"/>
        <v>0</v>
      </c>
      <c r="M354" s="64">
        <f t="shared" si="34"/>
        <v>0</v>
      </c>
      <c r="N354" s="64">
        <f t="shared" si="34"/>
        <v>0</v>
      </c>
      <c r="O354" s="64">
        <f t="shared" si="34"/>
        <v>0</v>
      </c>
      <c r="P354" s="64">
        <f t="shared" si="34"/>
        <v>0</v>
      </c>
      <c r="Q354" s="64">
        <f t="shared" si="34"/>
        <v>0</v>
      </c>
    </row>
    <row r="355" spans="1:17" ht="15" outlineLevel="2" x14ac:dyDescent="0.25">
      <c r="C355" s="62" t="s">
        <v>398</v>
      </c>
      <c r="D355" s="269"/>
      <c r="E355" s="66"/>
      <c r="F355" s="64"/>
      <c r="G355" s="64"/>
      <c r="H355" s="64"/>
      <c r="I355" s="64"/>
      <c r="J355" s="64"/>
      <c r="K355" s="64"/>
      <c r="L355" s="64"/>
      <c r="M355" s="64"/>
      <c r="N355" s="64"/>
      <c r="O355" s="64"/>
      <c r="P355" s="64"/>
      <c r="Q355" s="64"/>
    </row>
    <row r="356" spans="1:17" ht="15" outlineLevel="2" x14ac:dyDescent="0.25">
      <c r="C356" s="62" t="s">
        <v>398</v>
      </c>
      <c r="D356" s="269"/>
      <c r="E356" s="66"/>
      <c r="F356" s="64"/>
      <c r="G356" s="64"/>
      <c r="H356" s="64"/>
      <c r="I356" s="64"/>
      <c r="J356" s="64"/>
      <c r="K356" s="64"/>
      <c r="L356" s="64"/>
      <c r="M356" s="64"/>
      <c r="N356" s="64"/>
      <c r="O356" s="64"/>
      <c r="P356" s="64"/>
      <c r="Q356" s="64"/>
    </row>
    <row r="357" spans="1:17" ht="15" outlineLevel="2" x14ac:dyDescent="0.25">
      <c r="C357" s="62" t="s">
        <v>398</v>
      </c>
      <c r="D357" s="269"/>
      <c r="E357" s="66"/>
      <c r="F357" s="64"/>
      <c r="G357" s="64"/>
      <c r="H357" s="64"/>
      <c r="I357" s="64"/>
      <c r="J357" s="64"/>
      <c r="K357" s="64"/>
      <c r="L357" s="64"/>
      <c r="M357" s="64"/>
      <c r="N357" s="64"/>
      <c r="O357" s="64"/>
      <c r="P357" s="64"/>
      <c r="Q357" s="64"/>
    </row>
    <row r="358" spans="1:17" ht="15" outlineLevel="2" x14ac:dyDescent="0.25">
      <c r="C358" s="62" t="s">
        <v>398</v>
      </c>
      <c r="D358" s="269"/>
      <c r="E358" s="66"/>
      <c r="F358" s="64"/>
      <c r="G358" s="64"/>
      <c r="H358" s="64"/>
      <c r="I358" s="64"/>
      <c r="J358" s="64"/>
      <c r="K358" s="64"/>
      <c r="L358" s="64"/>
      <c r="M358" s="64"/>
      <c r="N358" s="64"/>
      <c r="O358" s="64"/>
      <c r="P358" s="64"/>
      <c r="Q358" s="64"/>
    </row>
    <row r="359" spans="1:17" ht="15" outlineLevel="2" x14ac:dyDescent="0.25">
      <c r="C359" s="62" t="s">
        <v>398</v>
      </c>
      <c r="D359" s="269" t="s">
        <v>561</v>
      </c>
      <c r="E359" s="66"/>
      <c r="F359" s="64">
        <f t="shared" si="34"/>
        <v>0</v>
      </c>
      <c r="G359" s="64">
        <f t="shared" si="34"/>
        <v>0</v>
      </c>
      <c r="H359" s="64">
        <f t="shared" si="34"/>
        <v>30400</v>
      </c>
      <c r="I359" s="64">
        <f t="shared" si="34"/>
        <v>0</v>
      </c>
      <c r="J359" s="64">
        <f t="shared" si="34"/>
        <v>0</v>
      </c>
      <c r="K359" s="64">
        <f t="shared" si="34"/>
        <v>0</v>
      </c>
      <c r="L359" s="64">
        <f t="shared" si="34"/>
        <v>0</v>
      </c>
      <c r="M359" s="64">
        <f t="shared" si="34"/>
        <v>0</v>
      </c>
      <c r="N359" s="64">
        <f t="shared" si="34"/>
        <v>0</v>
      </c>
      <c r="O359" s="64">
        <f t="shared" si="34"/>
        <v>0</v>
      </c>
      <c r="P359" s="64">
        <f t="shared" si="34"/>
        <v>0</v>
      </c>
      <c r="Q359" s="64">
        <f t="shared" si="34"/>
        <v>0</v>
      </c>
    </row>
    <row r="360" spans="1:17" outlineLevel="1" x14ac:dyDescent="0.25"/>
    <row r="361" spans="1:17" outlineLevel="1" x14ac:dyDescent="0.25"/>
    <row r="362" spans="1:17" s="189" customFormat="1" ht="15" x14ac:dyDescent="0.25">
      <c r="C362" s="188"/>
      <c r="E362" s="190"/>
      <c r="F362" s="190"/>
      <c r="H362" s="191"/>
      <c r="I362" s="339" t="s">
        <v>481</v>
      </c>
      <c r="J362" s="340"/>
      <c r="K362" s="188"/>
      <c r="L362" s="188"/>
      <c r="M362" s="188"/>
      <c r="N362" s="188"/>
    </row>
    <row r="363" spans="1:17" s="189" customFormat="1" ht="25.5" x14ac:dyDescent="0.25">
      <c r="C363" s="188"/>
      <c r="D363" s="275" t="s">
        <v>523</v>
      </c>
      <c r="E363" s="190"/>
      <c r="F363" s="190"/>
      <c r="H363" s="193"/>
      <c r="I363" s="339" t="s">
        <v>482</v>
      </c>
      <c r="J363" s="340"/>
      <c r="K363" s="188"/>
      <c r="L363" s="188"/>
      <c r="M363" s="188"/>
      <c r="N363" s="188"/>
    </row>
    <row r="364" spans="1:17" s="189" customFormat="1" ht="15" x14ac:dyDescent="0.25">
      <c r="C364" s="188"/>
      <c r="E364" s="190"/>
      <c r="F364" s="190"/>
      <c r="H364" s="194"/>
      <c r="I364" s="341" t="s">
        <v>483</v>
      </c>
      <c r="J364" s="342"/>
      <c r="K364" s="188"/>
      <c r="L364" s="188"/>
      <c r="M364" s="188"/>
      <c r="N364" s="188"/>
    </row>
    <row r="365" spans="1:17" s="190" customFormat="1" x14ac:dyDescent="0.25">
      <c r="A365" s="343" t="s">
        <v>524</v>
      </c>
      <c r="B365" s="343" t="s">
        <v>525</v>
      </c>
      <c r="C365" s="343" t="s">
        <v>2</v>
      </c>
      <c r="D365" s="345" t="s">
        <v>387</v>
      </c>
      <c r="E365" s="345" t="s">
        <v>484</v>
      </c>
      <c r="F365" s="345" t="s">
        <v>485</v>
      </c>
      <c r="G365" s="345"/>
      <c r="H365" s="346" t="s">
        <v>486</v>
      </c>
      <c r="I365" s="346"/>
      <c r="J365" s="345" t="s">
        <v>487</v>
      </c>
      <c r="K365" s="345" t="s">
        <v>488</v>
      </c>
      <c r="L365" s="349" t="s">
        <v>489</v>
      </c>
      <c r="M365" s="349" t="s">
        <v>490</v>
      </c>
      <c r="N365" s="347" t="s">
        <v>491</v>
      </c>
      <c r="O365" s="348" t="s">
        <v>492</v>
      </c>
      <c r="P365" s="348" t="s">
        <v>493</v>
      </c>
    </row>
    <row r="366" spans="1:17" s="190" customFormat="1" x14ac:dyDescent="0.25">
      <c r="A366" s="344"/>
      <c r="B366" s="344"/>
      <c r="C366" s="344"/>
      <c r="D366" s="345"/>
      <c r="E366" s="345"/>
      <c r="F366" s="195" t="s">
        <v>494</v>
      </c>
      <c r="G366" s="195" t="s">
        <v>495</v>
      </c>
      <c r="H366" s="196" t="s">
        <v>496</v>
      </c>
      <c r="I366" s="195" t="s">
        <v>497</v>
      </c>
      <c r="J366" s="345"/>
      <c r="K366" s="345"/>
      <c r="L366" s="349"/>
      <c r="M366" s="349"/>
      <c r="N366" s="347"/>
      <c r="O366" s="348"/>
      <c r="P366" s="348"/>
    </row>
    <row r="367" spans="1:17" x14ac:dyDescent="0.25">
      <c r="A367" s="197"/>
      <c r="B367" s="197"/>
      <c r="C367" s="197"/>
      <c r="D367" s="198"/>
      <c r="E367" s="198"/>
      <c r="F367" s="199"/>
      <c r="G367" s="199"/>
      <c r="H367" s="200"/>
      <c r="I367" s="199"/>
      <c r="J367" s="199"/>
      <c r="K367" s="199"/>
      <c r="L367" s="201"/>
      <c r="M367" s="201"/>
      <c r="N367" s="197"/>
      <c r="O367" s="197"/>
      <c r="P367" s="197"/>
    </row>
    <row r="368" spans="1:17" s="209" customFormat="1" ht="15.75" hidden="1" x14ac:dyDescent="0.25">
      <c r="A368" s="323">
        <v>42552</v>
      </c>
      <c r="B368" s="192">
        <v>2016</v>
      </c>
      <c r="C368" s="203"/>
      <c r="D368" s="204" t="s">
        <v>498</v>
      </c>
      <c r="E368" s="204"/>
      <c r="F368" s="205"/>
      <c r="G368" s="205">
        <f>SUM(G372:G400)</f>
        <v>47017.05</v>
      </c>
      <c r="H368" s="206"/>
      <c r="I368" s="205"/>
      <c r="J368" s="205"/>
      <c r="K368" s="205"/>
      <c r="L368" s="207"/>
      <c r="M368" s="207"/>
      <c r="N368" s="203"/>
      <c r="O368" s="208"/>
      <c r="P368" s="208"/>
    </row>
    <row r="369" spans="1:16" s="209" customFormat="1" ht="15.75" hidden="1" outlineLevel="1" x14ac:dyDescent="0.25">
      <c r="A369" s="323">
        <v>42552</v>
      </c>
      <c r="B369" s="192">
        <v>2016</v>
      </c>
      <c r="C369" s="203"/>
      <c r="D369" s="204" t="s">
        <v>499</v>
      </c>
      <c r="E369" s="204"/>
      <c r="F369" s="205">
        <f>SUM(F401:F455)</f>
        <v>1630</v>
      </c>
      <c r="G369" s="205"/>
      <c r="H369" s="205"/>
      <c r="I369" s="205" t="e">
        <f>SUM(I401:I455)</f>
        <v>#N/A</v>
      </c>
      <c r="J369" s="205"/>
      <c r="K369" s="205"/>
      <c r="L369" s="207"/>
      <c r="M369" s="207"/>
      <c r="N369" s="203"/>
      <c r="O369" s="208"/>
      <c r="P369" s="208"/>
    </row>
    <row r="370" spans="1:16" s="209" customFormat="1" ht="15.75" hidden="1" outlineLevel="1" x14ac:dyDescent="0.25">
      <c r="A370" s="323">
        <v>42552</v>
      </c>
      <c r="B370" s="192">
        <v>2016</v>
      </c>
      <c r="C370" s="203"/>
      <c r="D370" s="204" t="s">
        <v>500</v>
      </c>
      <c r="E370" s="204"/>
      <c r="F370" s="205">
        <f>SUM(F456:F475)</f>
        <v>5490</v>
      </c>
      <c r="G370" s="205"/>
      <c r="H370" s="206"/>
      <c r="I370" s="205"/>
      <c r="J370" s="205"/>
      <c r="K370" s="205"/>
      <c r="L370" s="207"/>
      <c r="M370" s="207"/>
      <c r="N370" s="203"/>
      <c r="O370" s="208"/>
      <c r="P370" s="208"/>
    </row>
    <row r="371" spans="1:16" s="211" customFormat="1" ht="15.75" hidden="1" outlineLevel="1" x14ac:dyDescent="0.25">
      <c r="A371" s="323">
        <v>42552</v>
      </c>
      <c r="B371" s="192">
        <v>2016</v>
      </c>
      <c r="C371" s="203"/>
      <c r="D371" s="204" t="s">
        <v>501</v>
      </c>
      <c r="E371" s="204"/>
      <c r="F371" s="205"/>
      <c r="G371" s="205"/>
      <c r="H371" s="206"/>
      <c r="I371" s="205">
        <f>SUM(I476:I493)</f>
        <v>19276.439999999999</v>
      </c>
      <c r="J371" s="205"/>
      <c r="K371" s="205"/>
      <c r="L371" s="207"/>
      <c r="M371" s="207"/>
      <c r="N371" s="203"/>
      <c r="O371" s="210"/>
      <c r="P371" s="210"/>
    </row>
    <row r="372" spans="1:16" ht="15.75" hidden="1" outlineLevel="1" x14ac:dyDescent="0.25">
      <c r="A372" s="323">
        <v>42552</v>
      </c>
      <c r="B372" s="192">
        <v>2016</v>
      </c>
      <c r="C372" s="212" t="s">
        <v>396</v>
      </c>
      <c r="D372" s="213" t="s">
        <v>41</v>
      </c>
      <c r="E372" s="214">
        <v>6000</v>
      </c>
      <c r="F372" s="215">
        <v>1167</v>
      </c>
      <c r="G372" s="216">
        <f>F372*E372/1000</f>
        <v>7002</v>
      </c>
      <c r="H372" s="217">
        <f t="shared" ref="H372:H435" si="35">VLOOKUP(D372,$D$5:$E$359,2,FALSE)</f>
        <v>0.65500000000000003</v>
      </c>
      <c r="I372" s="216">
        <f>H372*G372</f>
        <v>4586.3100000000004</v>
      </c>
      <c r="J372" s="215" t="s">
        <v>502</v>
      </c>
      <c r="K372" s="218">
        <v>42573</v>
      </c>
      <c r="L372" s="215">
        <v>1018</v>
      </c>
      <c r="M372" s="215" t="s">
        <v>503</v>
      </c>
      <c r="N372" s="215">
        <v>14</v>
      </c>
      <c r="O372" s="219"/>
      <c r="P372" s="219"/>
    </row>
    <row r="373" spans="1:16" ht="15.75" hidden="1" outlineLevel="2" x14ac:dyDescent="0.25">
      <c r="A373" s="323">
        <v>42552</v>
      </c>
      <c r="B373" s="192">
        <v>2016</v>
      </c>
      <c r="C373" s="212" t="s">
        <v>396</v>
      </c>
      <c r="D373" s="213" t="s">
        <v>42</v>
      </c>
      <c r="E373" s="214">
        <v>6000</v>
      </c>
      <c r="F373" s="215">
        <v>417</v>
      </c>
      <c r="G373" s="216">
        <f t="shared" ref="G373:G398" si="36">F373*E373/1000</f>
        <v>2502</v>
      </c>
      <c r="H373" s="217">
        <f t="shared" si="35"/>
        <v>0.82199999999999995</v>
      </c>
      <c r="I373" s="216">
        <f t="shared" ref="I373:I398" si="37">H373*G373</f>
        <v>2056.6439999999998</v>
      </c>
      <c r="J373" s="215" t="s">
        <v>502</v>
      </c>
      <c r="K373" s="218">
        <v>42573</v>
      </c>
      <c r="L373" s="215">
        <v>1018</v>
      </c>
      <c r="M373" s="215" t="s">
        <v>503</v>
      </c>
      <c r="N373" s="215">
        <v>14</v>
      </c>
      <c r="O373" s="219"/>
      <c r="P373" s="219"/>
    </row>
    <row r="374" spans="1:16" ht="15.75" hidden="1" outlineLevel="2" x14ac:dyDescent="0.25">
      <c r="A374" s="323">
        <v>42552</v>
      </c>
      <c r="B374" s="192">
        <v>2016</v>
      </c>
      <c r="C374" s="212" t="s">
        <v>396</v>
      </c>
      <c r="D374" s="213" t="s">
        <v>39</v>
      </c>
      <c r="E374" s="214">
        <v>6000</v>
      </c>
      <c r="F374" s="215">
        <v>250</v>
      </c>
      <c r="G374" s="216">
        <f t="shared" si="36"/>
        <v>1500</v>
      </c>
      <c r="H374" s="217">
        <f t="shared" si="35"/>
        <v>0.38</v>
      </c>
      <c r="I374" s="216">
        <f t="shared" si="37"/>
        <v>570</v>
      </c>
      <c r="J374" s="215" t="s">
        <v>502</v>
      </c>
      <c r="K374" s="218">
        <v>42573</v>
      </c>
      <c r="L374" s="215">
        <v>1018</v>
      </c>
      <c r="M374" s="215" t="s">
        <v>503</v>
      </c>
      <c r="N374" s="215">
        <v>14</v>
      </c>
      <c r="O374" s="219"/>
      <c r="P374" s="219"/>
    </row>
    <row r="375" spans="1:16" ht="15.75" hidden="1" outlineLevel="2" x14ac:dyDescent="0.25">
      <c r="A375" s="323">
        <v>42552</v>
      </c>
      <c r="B375" s="192">
        <v>2016</v>
      </c>
      <c r="C375" s="212" t="s">
        <v>396</v>
      </c>
      <c r="D375" s="213" t="s">
        <v>50</v>
      </c>
      <c r="E375" s="214">
        <v>6000</v>
      </c>
      <c r="F375" s="215">
        <v>4545</v>
      </c>
      <c r="G375" s="216">
        <f t="shared" si="36"/>
        <v>27270</v>
      </c>
      <c r="H375" s="217">
        <f t="shared" si="35"/>
        <v>0.53100000000000003</v>
      </c>
      <c r="I375" s="216">
        <f t="shared" si="37"/>
        <v>14480.37</v>
      </c>
      <c r="J375" s="215" t="s">
        <v>502</v>
      </c>
      <c r="K375" s="218">
        <v>42573</v>
      </c>
      <c r="L375" s="215">
        <v>1018</v>
      </c>
      <c r="M375" s="215" t="s">
        <v>503</v>
      </c>
      <c r="N375" s="215">
        <v>14</v>
      </c>
      <c r="O375" s="219"/>
      <c r="P375" s="219"/>
    </row>
    <row r="376" spans="1:16" ht="15.75" hidden="1" outlineLevel="2" x14ac:dyDescent="0.25">
      <c r="A376" s="323">
        <v>42552</v>
      </c>
      <c r="B376" s="192">
        <v>2016</v>
      </c>
      <c r="C376" s="212" t="s">
        <v>396</v>
      </c>
      <c r="D376" s="213" t="s">
        <v>44</v>
      </c>
      <c r="E376" s="214">
        <v>6000</v>
      </c>
      <c r="F376" s="215">
        <v>84</v>
      </c>
      <c r="G376" s="216">
        <f t="shared" si="36"/>
        <v>504</v>
      </c>
      <c r="H376" s="217">
        <f t="shared" si="35"/>
        <v>1.1789999999999998</v>
      </c>
      <c r="I376" s="216">
        <f t="shared" si="37"/>
        <v>594.21599999999989</v>
      </c>
      <c r="J376" s="215" t="s">
        <v>502</v>
      </c>
      <c r="K376" s="218">
        <v>42573</v>
      </c>
      <c r="L376" s="215">
        <v>1018</v>
      </c>
      <c r="M376" s="215" t="s">
        <v>503</v>
      </c>
      <c r="N376" s="215">
        <v>14</v>
      </c>
      <c r="O376" s="219"/>
      <c r="P376" s="219"/>
    </row>
    <row r="377" spans="1:16" ht="15.75" hidden="1" outlineLevel="2" x14ac:dyDescent="0.25">
      <c r="A377" s="323">
        <v>42552</v>
      </c>
      <c r="B377" s="192">
        <v>2016</v>
      </c>
      <c r="C377" s="212" t="s">
        <v>396</v>
      </c>
      <c r="D377" s="213" t="s">
        <v>47</v>
      </c>
      <c r="E377" s="214">
        <v>6050</v>
      </c>
      <c r="F377" s="215">
        <v>33</v>
      </c>
      <c r="G377" s="216">
        <f t="shared" si="36"/>
        <v>199.65</v>
      </c>
      <c r="H377" s="217">
        <f t="shared" si="35"/>
        <v>2.0350000000000001</v>
      </c>
      <c r="I377" s="216">
        <f t="shared" si="37"/>
        <v>406.28775000000002</v>
      </c>
      <c r="J377" s="215" t="s">
        <v>502</v>
      </c>
      <c r="K377" s="218">
        <v>42562</v>
      </c>
      <c r="L377" s="215">
        <v>2004</v>
      </c>
      <c r="M377" s="215" t="s">
        <v>504</v>
      </c>
      <c r="N377" s="215">
        <v>37</v>
      </c>
      <c r="O377" s="219"/>
      <c r="P377" s="219"/>
    </row>
    <row r="378" spans="1:16" ht="15.75" hidden="1" outlineLevel="2" x14ac:dyDescent="0.25">
      <c r="A378" s="323">
        <v>42552</v>
      </c>
      <c r="B378" s="192">
        <v>2016</v>
      </c>
      <c r="C378" s="212" t="s">
        <v>396</v>
      </c>
      <c r="D378" s="213" t="s">
        <v>46</v>
      </c>
      <c r="E378" s="214">
        <v>5600</v>
      </c>
      <c r="F378" s="215">
        <v>26</v>
      </c>
      <c r="G378" s="216">
        <f>F378*E378/1000</f>
        <v>145.6</v>
      </c>
      <c r="H378" s="217">
        <f t="shared" si="35"/>
        <v>1.665</v>
      </c>
      <c r="I378" s="216">
        <f>H378*G378</f>
        <v>242.42400000000001</v>
      </c>
      <c r="J378" s="215" t="s">
        <v>502</v>
      </c>
      <c r="K378" s="218">
        <v>42562</v>
      </c>
      <c r="L378" s="215">
        <v>2004</v>
      </c>
      <c r="M378" s="215" t="s">
        <v>504</v>
      </c>
      <c r="N378" s="215">
        <v>37</v>
      </c>
      <c r="O378" s="219"/>
      <c r="P378" s="219"/>
    </row>
    <row r="379" spans="1:16" ht="15.75" hidden="1" outlineLevel="2" x14ac:dyDescent="0.25">
      <c r="A379" s="323">
        <v>42552</v>
      </c>
      <c r="B379" s="192">
        <v>2016</v>
      </c>
      <c r="C379" s="212" t="s">
        <v>396</v>
      </c>
      <c r="D379" s="213" t="s">
        <v>46</v>
      </c>
      <c r="E379" s="214">
        <v>6000</v>
      </c>
      <c r="F379" s="215">
        <v>30</v>
      </c>
      <c r="G379" s="216">
        <f t="shared" si="36"/>
        <v>180</v>
      </c>
      <c r="H379" s="217">
        <f t="shared" si="35"/>
        <v>1.665</v>
      </c>
      <c r="I379" s="216">
        <f>H379*G379</f>
        <v>299.7</v>
      </c>
      <c r="J379" s="215" t="s">
        <v>502</v>
      </c>
      <c r="K379" s="218">
        <v>42562</v>
      </c>
      <c r="L379" s="215">
        <v>2004</v>
      </c>
      <c r="M379" s="215" t="s">
        <v>504</v>
      </c>
      <c r="N379" s="215">
        <v>37</v>
      </c>
      <c r="O379" s="219"/>
      <c r="P379" s="219"/>
    </row>
    <row r="380" spans="1:16" ht="15.75" hidden="1" outlineLevel="2" x14ac:dyDescent="0.25">
      <c r="A380" s="323">
        <v>42552</v>
      </c>
      <c r="B380" s="192">
        <v>2016</v>
      </c>
      <c r="C380" s="212" t="s">
        <v>396</v>
      </c>
      <c r="D380" s="213" t="s">
        <v>37</v>
      </c>
      <c r="E380" s="214">
        <v>5700</v>
      </c>
      <c r="F380" s="215">
        <v>170</v>
      </c>
      <c r="G380" s="216">
        <f t="shared" si="36"/>
        <v>969</v>
      </c>
      <c r="H380" s="217">
        <f t="shared" si="35"/>
        <v>0.50600000000000001</v>
      </c>
      <c r="I380" s="216">
        <f t="shared" si="37"/>
        <v>490.31400000000002</v>
      </c>
      <c r="J380" s="215" t="s">
        <v>502</v>
      </c>
      <c r="K380" s="218">
        <v>42562</v>
      </c>
      <c r="L380" s="215">
        <v>2004</v>
      </c>
      <c r="M380" s="215" t="s">
        <v>504</v>
      </c>
      <c r="N380" s="215">
        <v>37</v>
      </c>
      <c r="O380" s="219"/>
      <c r="P380" s="219"/>
    </row>
    <row r="381" spans="1:16" ht="15.75" hidden="1" outlineLevel="2" x14ac:dyDescent="0.25">
      <c r="A381" s="323">
        <v>42552</v>
      </c>
      <c r="B381" s="192">
        <v>2016</v>
      </c>
      <c r="C381" s="212" t="s">
        <v>396</v>
      </c>
      <c r="D381" s="213" t="s">
        <v>38</v>
      </c>
      <c r="E381" s="214">
        <v>6000</v>
      </c>
      <c r="F381" s="215">
        <v>4</v>
      </c>
      <c r="G381" s="216">
        <f t="shared" si="36"/>
        <v>24</v>
      </c>
      <c r="H381" s="217">
        <f t="shared" si="35"/>
        <v>0.61099999999999999</v>
      </c>
      <c r="I381" s="216">
        <f t="shared" si="37"/>
        <v>14.664</v>
      </c>
      <c r="J381" s="215" t="s">
        <v>502</v>
      </c>
      <c r="K381" s="218">
        <v>42562</v>
      </c>
      <c r="L381" s="215">
        <v>2004</v>
      </c>
      <c r="M381" s="215" t="s">
        <v>504</v>
      </c>
      <c r="N381" s="215">
        <v>37</v>
      </c>
      <c r="O381" s="219"/>
      <c r="P381" s="219"/>
    </row>
    <row r="382" spans="1:16" ht="15.75" hidden="1" outlineLevel="2" x14ac:dyDescent="0.25">
      <c r="A382" s="323">
        <v>42552</v>
      </c>
      <c r="B382" s="192">
        <v>2016</v>
      </c>
      <c r="C382" s="212" t="s">
        <v>396</v>
      </c>
      <c r="D382" s="213" t="s">
        <v>47</v>
      </c>
      <c r="E382" s="214">
        <v>6000</v>
      </c>
      <c r="F382" s="215">
        <v>55</v>
      </c>
      <c r="G382" s="216">
        <f t="shared" si="36"/>
        <v>330</v>
      </c>
      <c r="H382" s="217">
        <f t="shared" si="35"/>
        <v>2.0350000000000001</v>
      </c>
      <c r="I382" s="216">
        <f t="shared" si="37"/>
        <v>671.55000000000007</v>
      </c>
      <c r="J382" s="215" t="s">
        <v>502</v>
      </c>
      <c r="K382" s="218">
        <v>42558</v>
      </c>
      <c r="L382" s="215">
        <v>3020</v>
      </c>
      <c r="M382" s="215" t="s">
        <v>505</v>
      </c>
      <c r="N382" s="215">
        <v>3</v>
      </c>
      <c r="O382" s="219"/>
      <c r="P382" s="219"/>
    </row>
    <row r="383" spans="1:16" ht="15.75" hidden="1" outlineLevel="2" x14ac:dyDescent="0.25">
      <c r="A383" s="323">
        <v>42552</v>
      </c>
      <c r="B383" s="192">
        <v>2016</v>
      </c>
      <c r="C383" s="212" t="s">
        <v>396</v>
      </c>
      <c r="D383" s="213" t="s">
        <v>46</v>
      </c>
      <c r="E383" s="214">
        <v>6600</v>
      </c>
      <c r="F383" s="215">
        <v>55</v>
      </c>
      <c r="G383" s="216">
        <f t="shared" si="36"/>
        <v>363</v>
      </c>
      <c r="H383" s="217">
        <f t="shared" si="35"/>
        <v>1.665</v>
      </c>
      <c r="I383" s="216">
        <f t="shared" si="37"/>
        <v>604.39499999999998</v>
      </c>
      <c r="J383" s="215" t="s">
        <v>502</v>
      </c>
      <c r="K383" s="218">
        <v>42558</v>
      </c>
      <c r="L383" s="215" t="s">
        <v>506</v>
      </c>
      <c r="M383" s="215" t="s">
        <v>505</v>
      </c>
      <c r="N383" s="215">
        <v>3</v>
      </c>
      <c r="O383" s="219"/>
      <c r="P383" s="219"/>
    </row>
    <row r="384" spans="1:16" ht="15.75" hidden="1" outlineLevel="2" x14ac:dyDescent="0.25">
      <c r="A384" s="323">
        <v>42552</v>
      </c>
      <c r="B384" s="192">
        <v>2016</v>
      </c>
      <c r="C384" s="212" t="s">
        <v>396</v>
      </c>
      <c r="D384" s="213" t="s">
        <v>46</v>
      </c>
      <c r="E384" s="214">
        <v>6000</v>
      </c>
      <c r="F384" s="215">
        <v>100</v>
      </c>
      <c r="G384" s="216">
        <f t="shared" si="36"/>
        <v>600</v>
      </c>
      <c r="H384" s="217">
        <f t="shared" si="35"/>
        <v>1.665</v>
      </c>
      <c r="I384" s="216">
        <f t="shared" si="37"/>
        <v>999</v>
      </c>
      <c r="J384" s="215" t="s">
        <v>502</v>
      </c>
      <c r="K384" s="218">
        <v>42558</v>
      </c>
      <c r="L384" s="215" t="s">
        <v>506</v>
      </c>
      <c r="M384" s="215" t="s">
        <v>505</v>
      </c>
      <c r="N384" s="215">
        <v>3</v>
      </c>
      <c r="O384" s="219"/>
      <c r="P384" s="219"/>
    </row>
    <row r="385" spans="1:16" ht="15.75" hidden="1" outlineLevel="2" x14ac:dyDescent="0.25">
      <c r="A385" s="323">
        <v>42552</v>
      </c>
      <c r="B385" s="192">
        <v>2016</v>
      </c>
      <c r="C385" s="212" t="s">
        <v>396</v>
      </c>
      <c r="D385" s="213" t="s">
        <v>37</v>
      </c>
      <c r="E385" s="214">
        <v>6000</v>
      </c>
      <c r="F385" s="215">
        <v>200</v>
      </c>
      <c r="G385" s="216">
        <f t="shared" si="36"/>
        <v>1200</v>
      </c>
      <c r="H385" s="217">
        <f t="shared" si="35"/>
        <v>0.50600000000000001</v>
      </c>
      <c r="I385" s="216">
        <f t="shared" si="37"/>
        <v>607.20000000000005</v>
      </c>
      <c r="J385" s="215" t="s">
        <v>502</v>
      </c>
      <c r="K385" s="218">
        <v>42558</v>
      </c>
      <c r="L385" s="215" t="s">
        <v>506</v>
      </c>
      <c r="M385" s="215" t="s">
        <v>505</v>
      </c>
      <c r="N385" s="215">
        <v>3</v>
      </c>
      <c r="O385" s="219"/>
      <c r="P385" s="219"/>
    </row>
    <row r="386" spans="1:16" ht="15.75" hidden="1" outlineLevel="2" x14ac:dyDescent="0.25">
      <c r="A386" s="323">
        <v>42552</v>
      </c>
      <c r="B386" s="192">
        <v>2016</v>
      </c>
      <c r="C386" s="212" t="s">
        <v>396</v>
      </c>
      <c r="D386" s="213" t="s">
        <v>45</v>
      </c>
      <c r="E386" s="214">
        <v>6200</v>
      </c>
      <c r="F386" s="215">
        <v>24</v>
      </c>
      <c r="G386" s="216">
        <f t="shared" si="36"/>
        <v>148.80000000000001</v>
      </c>
      <c r="H386" s="217">
        <f t="shared" si="35"/>
        <v>2.3919999999999999</v>
      </c>
      <c r="I386" s="216">
        <f t="shared" si="37"/>
        <v>355.92959999999999</v>
      </c>
      <c r="J386" s="215" t="s">
        <v>502</v>
      </c>
      <c r="K386" s="218">
        <v>42571</v>
      </c>
      <c r="L386" s="215">
        <v>8028</v>
      </c>
      <c r="M386" s="215" t="s">
        <v>505</v>
      </c>
      <c r="N386" s="215">
        <v>2</v>
      </c>
      <c r="O386" s="219"/>
      <c r="P386" s="219"/>
    </row>
    <row r="387" spans="1:16" ht="15.75" hidden="1" outlineLevel="2" x14ac:dyDescent="0.25">
      <c r="A387" s="323">
        <v>42552</v>
      </c>
      <c r="B387" s="192">
        <v>2016</v>
      </c>
      <c r="C387" s="212" t="s">
        <v>396</v>
      </c>
      <c r="D387" s="213" t="s">
        <v>45</v>
      </c>
      <c r="E387" s="214">
        <v>5000</v>
      </c>
      <c r="F387" s="215">
        <v>13</v>
      </c>
      <c r="G387" s="216">
        <f t="shared" si="36"/>
        <v>65</v>
      </c>
      <c r="H387" s="217">
        <f t="shared" si="35"/>
        <v>2.3919999999999999</v>
      </c>
      <c r="I387" s="216">
        <f t="shared" si="37"/>
        <v>155.47999999999999</v>
      </c>
      <c r="J387" s="215" t="s">
        <v>502</v>
      </c>
      <c r="K387" s="218">
        <v>42571</v>
      </c>
      <c r="L387" s="215">
        <v>8028</v>
      </c>
      <c r="M387" s="215" t="s">
        <v>505</v>
      </c>
      <c r="N387" s="215">
        <v>2</v>
      </c>
      <c r="O387" s="219"/>
      <c r="P387" s="219"/>
    </row>
    <row r="388" spans="1:16" ht="15.75" hidden="1" outlineLevel="2" x14ac:dyDescent="0.25">
      <c r="A388" s="323">
        <v>42552</v>
      </c>
      <c r="B388" s="192">
        <v>2016</v>
      </c>
      <c r="C388" s="212" t="s">
        <v>396</v>
      </c>
      <c r="D388" s="213" t="s">
        <v>45</v>
      </c>
      <c r="E388" s="220">
        <v>5500</v>
      </c>
      <c r="F388" s="215">
        <v>6</v>
      </c>
      <c r="G388" s="216">
        <f t="shared" si="36"/>
        <v>33</v>
      </c>
      <c r="H388" s="217">
        <f t="shared" si="35"/>
        <v>2.3919999999999999</v>
      </c>
      <c r="I388" s="216">
        <f t="shared" si="37"/>
        <v>78.935999999999993</v>
      </c>
      <c r="J388" s="215" t="s">
        <v>502</v>
      </c>
      <c r="K388" s="218">
        <v>42571</v>
      </c>
      <c r="L388" s="215">
        <v>8028</v>
      </c>
      <c r="M388" s="215" t="s">
        <v>505</v>
      </c>
      <c r="N388" s="215">
        <v>2</v>
      </c>
      <c r="O388" s="219"/>
      <c r="P388" s="219"/>
    </row>
    <row r="389" spans="1:16" ht="15.75" hidden="1" outlineLevel="2" x14ac:dyDescent="0.25">
      <c r="A389" s="323">
        <v>42552</v>
      </c>
      <c r="B389" s="192">
        <v>2016</v>
      </c>
      <c r="C389" s="212" t="s">
        <v>396</v>
      </c>
      <c r="D389" s="213" t="s">
        <v>41</v>
      </c>
      <c r="E389" s="220">
        <v>6000</v>
      </c>
      <c r="F389" s="215">
        <v>7</v>
      </c>
      <c r="G389" s="216">
        <f t="shared" si="36"/>
        <v>42</v>
      </c>
      <c r="H389" s="217">
        <f t="shared" si="35"/>
        <v>0.65500000000000003</v>
      </c>
      <c r="I389" s="216">
        <f t="shared" si="37"/>
        <v>27.51</v>
      </c>
      <c r="J389" s="215" t="s">
        <v>502</v>
      </c>
      <c r="K389" s="218">
        <v>42571</v>
      </c>
      <c r="L389" s="215">
        <v>8028</v>
      </c>
      <c r="M389" s="215" t="s">
        <v>505</v>
      </c>
      <c r="N389" s="215">
        <v>2</v>
      </c>
      <c r="O389" s="219"/>
      <c r="P389" s="219"/>
    </row>
    <row r="390" spans="1:16" ht="15.75" hidden="1" outlineLevel="2" x14ac:dyDescent="0.25">
      <c r="A390" s="323">
        <v>42552</v>
      </c>
      <c r="B390" s="192">
        <v>2016</v>
      </c>
      <c r="C390" s="212" t="s">
        <v>396</v>
      </c>
      <c r="D390" s="213" t="s">
        <v>41</v>
      </c>
      <c r="E390" s="220">
        <v>5000</v>
      </c>
      <c r="F390" s="215">
        <v>20</v>
      </c>
      <c r="G390" s="216">
        <f t="shared" si="36"/>
        <v>100</v>
      </c>
      <c r="H390" s="217">
        <f t="shared" si="35"/>
        <v>0.65500000000000003</v>
      </c>
      <c r="I390" s="216">
        <f t="shared" si="37"/>
        <v>65.5</v>
      </c>
      <c r="J390" s="215" t="s">
        <v>502</v>
      </c>
      <c r="K390" s="218">
        <v>42571</v>
      </c>
      <c r="L390" s="215">
        <v>8028</v>
      </c>
      <c r="M390" s="215" t="s">
        <v>505</v>
      </c>
      <c r="N390" s="215">
        <v>2</v>
      </c>
      <c r="O390" s="219"/>
      <c r="P390" s="219"/>
    </row>
    <row r="391" spans="1:16" ht="15.75" hidden="1" outlineLevel="2" x14ac:dyDescent="0.25">
      <c r="A391" s="323">
        <v>42552</v>
      </c>
      <c r="B391" s="192">
        <v>2016</v>
      </c>
      <c r="C391" s="212" t="s">
        <v>396</v>
      </c>
      <c r="D391" s="213" t="s">
        <v>37</v>
      </c>
      <c r="E391" s="220">
        <v>5000</v>
      </c>
      <c r="F391" s="215">
        <v>10</v>
      </c>
      <c r="G391" s="216">
        <f t="shared" si="36"/>
        <v>50</v>
      </c>
      <c r="H391" s="217">
        <f t="shared" si="35"/>
        <v>0.50600000000000001</v>
      </c>
      <c r="I391" s="216">
        <f t="shared" si="37"/>
        <v>25.3</v>
      </c>
      <c r="J391" s="215" t="s">
        <v>502</v>
      </c>
      <c r="K391" s="218">
        <v>42571</v>
      </c>
      <c r="L391" s="215">
        <v>8028</v>
      </c>
      <c r="M391" s="215" t="s">
        <v>505</v>
      </c>
      <c r="N391" s="215">
        <v>2</v>
      </c>
      <c r="O391" s="219"/>
      <c r="P391" s="219"/>
    </row>
    <row r="392" spans="1:16" ht="15.75" hidden="1" outlineLevel="2" x14ac:dyDescent="0.25">
      <c r="A392" s="323">
        <v>42552</v>
      </c>
      <c r="B392" s="192">
        <v>2016</v>
      </c>
      <c r="C392" s="212" t="s">
        <v>396</v>
      </c>
      <c r="D392" s="213" t="s">
        <v>54</v>
      </c>
      <c r="E392" s="220">
        <v>6000</v>
      </c>
      <c r="F392" s="215">
        <v>10</v>
      </c>
      <c r="G392" s="216">
        <f t="shared" si="36"/>
        <v>60</v>
      </c>
      <c r="H392" s="217">
        <f t="shared" si="35"/>
        <v>1.3419999999999999</v>
      </c>
      <c r="I392" s="216">
        <f t="shared" si="37"/>
        <v>80.52</v>
      </c>
      <c r="J392" s="215" t="s">
        <v>502</v>
      </c>
      <c r="K392" s="218">
        <v>42552</v>
      </c>
      <c r="L392" s="215">
        <v>1018</v>
      </c>
      <c r="M392" s="215" t="s">
        <v>507</v>
      </c>
      <c r="N392" s="215">
        <v>4</v>
      </c>
      <c r="O392" s="219"/>
      <c r="P392" s="219"/>
    </row>
    <row r="393" spans="1:16" ht="15.75" hidden="1" outlineLevel="2" x14ac:dyDescent="0.25">
      <c r="A393" s="323">
        <v>42552</v>
      </c>
      <c r="B393" s="192">
        <v>2016</v>
      </c>
      <c r="C393" s="212" t="s">
        <v>396</v>
      </c>
      <c r="D393" s="213" t="s">
        <v>10</v>
      </c>
      <c r="E393" s="220">
        <v>6000</v>
      </c>
      <c r="F393" s="215">
        <v>21</v>
      </c>
      <c r="G393" s="216">
        <f t="shared" si="36"/>
        <v>126</v>
      </c>
      <c r="H393" s="217">
        <f t="shared" si="35"/>
        <v>0.26300000000000001</v>
      </c>
      <c r="I393" s="216">
        <f t="shared" si="37"/>
        <v>33.137999999999998</v>
      </c>
      <c r="J393" s="215" t="s">
        <v>502</v>
      </c>
      <c r="K393" s="218">
        <v>42552</v>
      </c>
      <c r="L393" s="215">
        <v>1018</v>
      </c>
      <c r="M393" s="215" t="s">
        <v>507</v>
      </c>
      <c r="N393" s="215">
        <v>4</v>
      </c>
      <c r="O393" s="219"/>
      <c r="P393" s="219"/>
    </row>
    <row r="394" spans="1:16" ht="25.5" hidden="1" outlineLevel="2" x14ac:dyDescent="0.25">
      <c r="A394" s="323">
        <v>42552</v>
      </c>
      <c r="B394" s="192">
        <v>2016</v>
      </c>
      <c r="C394" s="212" t="s">
        <v>396</v>
      </c>
      <c r="D394" s="213" t="s">
        <v>56</v>
      </c>
      <c r="E394" s="220">
        <v>3000</v>
      </c>
      <c r="F394" s="215">
        <v>250</v>
      </c>
      <c r="G394" s="216">
        <f t="shared" si="36"/>
        <v>750</v>
      </c>
      <c r="H394" s="217">
        <f t="shared" si="35"/>
        <v>1.2739999999999998</v>
      </c>
      <c r="I394" s="216">
        <f t="shared" si="37"/>
        <v>955.49999999999989</v>
      </c>
      <c r="J394" s="215" t="s">
        <v>502</v>
      </c>
      <c r="K394" s="218">
        <v>42566</v>
      </c>
      <c r="L394" s="215">
        <v>7038</v>
      </c>
      <c r="M394" s="215" t="s">
        <v>508</v>
      </c>
      <c r="N394" s="215">
        <v>6</v>
      </c>
      <c r="O394" s="219"/>
      <c r="P394" s="219"/>
    </row>
    <row r="395" spans="1:16" ht="25.5" hidden="1" outlineLevel="2" x14ac:dyDescent="0.25">
      <c r="A395" s="323">
        <v>42552</v>
      </c>
      <c r="B395" s="192">
        <v>2016</v>
      </c>
      <c r="C395" s="212" t="s">
        <v>396</v>
      </c>
      <c r="D395" s="213" t="s">
        <v>60</v>
      </c>
      <c r="E395" s="220">
        <v>3000</v>
      </c>
      <c r="F395" s="215">
        <v>250</v>
      </c>
      <c r="G395" s="216">
        <f t="shared" si="36"/>
        <v>750</v>
      </c>
      <c r="H395" s="217">
        <f t="shared" si="35"/>
        <v>0.63800000000000001</v>
      </c>
      <c r="I395" s="216">
        <f t="shared" si="37"/>
        <v>478.5</v>
      </c>
      <c r="J395" s="215" t="s">
        <v>502</v>
      </c>
      <c r="K395" s="218">
        <v>42566</v>
      </c>
      <c r="L395" s="215">
        <v>7038</v>
      </c>
      <c r="M395" s="215" t="s">
        <v>508</v>
      </c>
      <c r="N395" s="215">
        <v>6</v>
      </c>
      <c r="O395" s="219"/>
      <c r="P395" s="219"/>
    </row>
    <row r="396" spans="1:16" ht="25.5" hidden="1" outlineLevel="2" x14ac:dyDescent="0.25">
      <c r="A396" s="323">
        <v>42552</v>
      </c>
      <c r="B396" s="192">
        <v>2016</v>
      </c>
      <c r="C396" s="212" t="s">
        <v>396</v>
      </c>
      <c r="D396" s="213" t="s">
        <v>60</v>
      </c>
      <c r="E396" s="220">
        <v>3000</v>
      </c>
      <c r="F396" s="215">
        <v>308</v>
      </c>
      <c r="G396" s="216">
        <f t="shared" si="36"/>
        <v>924</v>
      </c>
      <c r="H396" s="217">
        <f t="shared" si="35"/>
        <v>0.63800000000000001</v>
      </c>
      <c r="I396" s="216">
        <f t="shared" si="37"/>
        <v>589.51200000000006</v>
      </c>
      <c r="J396" s="215" t="s">
        <v>502</v>
      </c>
      <c r="K396" s="218">
        <v>42571</v>
      </c>
      <c r="L396" s="215">
        <v>7038</v>
      </c>
      <c r="M396" s="215" t="s">
        <v>509</v>
      </c>
      <c r="N396" s="215">
        <v>5</v>
      </c>
      <c r="O396" s="219"/>
      <c r="P396" s="219"/>
    </row>
    <row r="397" spans="1:16" ht="25.5" hidden="1" outlineLevel="2" x14ac:dyDescent="0.25">
      <c r="A397" s="323">
        <v>42552</v>
      </c>
      <c r="B397" s="192">
        <v>2016</v>
      </c>
      <c r="C397" s="212" t="s">
        <v>396</v>
      </c>
      <c r="D397" s="213" t="s">
        <v>61</v>
      </c>
      <c r="E397" s="220">
        <v>3000</v>
      </c>
      <c r="F397" s="215">
        <v>125</v>
      </c>
      <c r="G397" s="216">
        <f t="shared" si="36"/>
        <v>375</v>
      </c>
      <c r="H397" s="217">
        <f t="shared" si="35"/>
        <v>1.115</v>
      </c>
      <c r="I397" s="216">
        <f t="shared" si="37"/>
        <v>418.125</v>
      </c>
      <c r="J397" s="215" t="s">
        <v>502</v>
      </c>
      <c r="K397" s="218">
        <v>42571</v>
      </c>
      <c r="L397" s="215">
        <v>7038</v>
      </c>
      <c r="M397" s="215" t="s">
        <v>509</v>
      </c>
      <c r="N397" s="215">
        <v>5</v>
      </c>
      <c r="O397" s="219"/>
      <c r="P397" s="219"/>
    </row>
    <row r="398" spans="1:16" ht="25.5" hidden="1" outlineLevel="2" x14ac:dyDescent="0.25">
      <c r="A398" s="323">
        <v>42552</v>
      </c>
      <c r="B398" s="192">
        <v>2016</v>
      </c>
      <c r="C398" s="212" t="s">
        <v>396</v>
      </c>
      <c r="D398" s="213" t="s">
        <v>24</v>
      </c>
      <c r="E398" s="220">
        <v>6000</v>
      </c>
      <c r="F398" s="215">
        <v>134</v>
      </c>
      <c r="G398" s="216">
        <f t="shared" si="36"/>
        <v>804</v>
      </c>
      <c r="H398" s="217">
        <f t="shared" si="35"/>
        <v>1.0459999999999998</v>
      </c>
      <c r="I398" s="216">
        <f t="shared" si="37"/>
        <v>840.98399999999981</v>
      </c>
      <c r="J398" s="215" t="s">
        <v>502</v>
      </c>
      <c r="K398" s="218">
        <v>42571</v>
      </c>
      <c r="L398" s="215" t="s">
        <v>510</v>
      </c>
      <c r="M398" s="215" t="s">
        <v>511</v>
      </c>
      <c r="N398" s="215">
        <v>1</v>
      </c>
      <c r="O398" s="219"/>
      <c r="P398" s="219"/>
    </row>
    <row r="399" spans="1:16" ht="15.75" hidden="1" outlineLevel="2" x14ac:dyDescent="0.25">
      <c r="A399" s="323">
        <v>42552</v>
      </c>
      <c r="B399" s="192">
        <v>2016</v>
      </c>
      <c r="C399" s="212" t="s">
        <v>396</v>
      </c>
      <c r="D399" s="213"/>
      <c r="E399" s="220"/>
      <c r="F399" s="215"/>
      <c r="G399" s="216">
        <f t="shared" ref="G399:G400" si="38">F399*E399/1000</f>
        <v>0</v>
      </c>
      <c r="H399" s="217" t="e">
        <f t="shared" si="35"/>
        <v>#N/A</v>
      </c>
      <c r="I399" s="216" t="e">
        <f t="shared" ref="I399:I400" si="39">H399*G399</f>
        <v>#N/A</v>
      </c>
      <c r="J399" s="215"/>
      <c r="K399" s="215"/>
      <c r="L399" s="215"/>
      <c r="M399" s="215"/>
      <c r="N399" s="215"/>
      <c r="O399" s="219"/>
      <c r="P399" s="219"/>
    </row>
    <row r="400" spans="1:16" ht="15.75" hidden="1" outlineLevel="2" x14ac:dyDescent="0.25">
      <c r="A400" s="323">
        <v>42552</v>
      </c>
      <c r="B400" s="192">
        <v>2016</v>
      </c>
      <c r="C400" s="212" t="s">
        <v>396</v>
      </c>
      <c r="D400" s="213"/>
      <c r="E400" s="220"/>
      <c r="F400" s="215"/>
      <c r="G400" s="216">
        <f t="shared" si="38"/>
        <v>0</v>
      </c>
      <c r="H400" s="217" t="e">
        <f t="shared" si="35"/>
        <v>#N/A</v>
      </c>
      <c r="I400" s="216" t="e">
        <f t="shared" si="39"/>
        <v>#N/A</v>
      </c>
      <c r="J400" s="215"/>
      <c r="K400" s="215"/>
      <c r="L400" s="215"/>
      <c r="M400" s="215"/>
      <c r="N400" s="215"/>
      <c r="O400" s="219"/>
      <c r="P400" s="219"/>
    </row>
    <row r="401" spans="1:16" ht="25.5" hidden="1" outlineLevel="1" x14ac:dyDescent="0.25">
      <c r="A401" s="323">
        <v>42552</v>
      </c>
      <c r="B401" s="192">
        <v>2016</v>
      </c>
      <c r="C401" s="221" t="s">
        <v>397</v>
      </c>
      <c r="D401" s="222" t="s">
        <v>294</v>
      </c>
      <c r="E401" s="223"/>
      <c r="F401" s="215">
        <v>11</v>
      </c>
      <c r="G401" s="191"/>
      <c r="H401" s="217">
        <f t="shared" si="35"/>
        <v>0.69599999999999995</v>
      </c>
      <c r="I401" s="216">
        <f>H401*F401</f>
        <v>7.6559999999999997</v>
      </c>
      <c r="J401" s="215" t="s">
        <v>502</v>
      </c>
      <c r="K401" s="218">
        <v>42571</v>
      </c>
      <c r="L401" s="215">
        <v>7038</v>
      </c>
      <c r="M401" s="215" t="s">
        <v>508</v>
      </c>
      <c r="N401" s="215">
        <v>4</v>
      </c>
      <c r="O401" s="219"/>
      <c r="P401" s="219"/>
    </row>
    <row r="402" spans="1:16" ht="25.5" hidden="1" outlineLevel="2" x14ac:dyDescent="0.25">
      <c r="A402" s="323">
        <v>42552</v>
      </c>
      <c r="B402" s="192">
        <v>2016</v>
      </c>
      <c r="C402" s="221" t="s">
        <v>397</v>
      </c>
      <c r="D402" s="222" t="s">
        <v>295</v>
      </c>
      <c r="E402" s="224"/>
      <c r="F402" s="215">
        <v>148</v>
      </c>
      <c r="G402" s="191"/>
      <c r="H402" s="217">
        <f t="shared" si="35"/>
        <v>1.0049999999999999</v>
      </c>
      <c r="I402" s="216">
        <f t="shared" ref="I402:I454" si="40">H402*F402</f>
        <v>148.73999999999998</v>
      </c>
      <c r="J402" s="215" t="s">
        <v>502</v>
      </c>
      <c r="K402" s="218">
        <v>42571</v>
      </c>
      <c r="L402" s="215">
        <v>7038</v>
      </c>
      <c r="M402" s="215" t="s">
        <v>508</v>
      </c>
      <c r="N402" s="215">
        <v>4</v>
      </c>
      <c r="O402" s="219"/>
      <c r="P402" s="219"/>
    </row>
    <row r="403" spans="1:16" ht="25.5" hidden="1" outlineLevel="2" x14ac:dyDescent="0.25">
      <c r="A403" s="323">
        <v>42552</v>
      </c>
      <c r="B403" s="192">
        <v>2016</v>
      </c>
      <c r="C403" s="221" t="s">
        <v>397</v>
      </c>
      <c r="D403" s="222" t="s">
        <v>202</v>
      </c>
      <c r="E403" s="225"/>
      <c r="F403" s="215">
        <v>24</v>
      </c>
      <c r="G403" s="191"/>
      <c r="H403" s="217">
        <f t="shared" si="35"/>
        <v>2.7909999999999999</v>
      </c>
      <c r="I403" s="216">
        <f t="shared" si="40"/>
        <v>66.983999999999995</v>
      </c>
      <c r="J403" s="215" t="s">
        <v>502</v>
      </c>
      <c r="K403" s="218">
        <v>42566</v>
      </c>
      <c r="L403" s="215">
        <v>7038</v>
      </c>
      <c r="M403" s="215" t="s">
        <v>508</v>
      </c>
      <c r="N403" s="215">
        <v>6</v>
      </c>
      <c r="O403" s="219"/>
      <c r="P403" s="219"/>
    </row>
    <row r="404" spans="1:16" ht="25.5" hidden="1" outlineLevel="2" x14ac:dyDescent="0.25">
      <c r="A404" s="323">
        <v>42552</v>
      </c>
      <c r="B404" s="192">
        <v>2016</v>
      </c>
      <c r="C404" s="221" t="s">
        <v>397</v>
      </c>
      <c r="D404" s="222" t="s">
        <v>298</v>
      </c>
      <c r="E404" s="225"/>
      <c r="F404" s="215">
        <v>24</v>
      </c>
      <c r="G404" s="191"/>
      <c r="H404" s="217">
        <f t="shared" si="35"/>
        <v>0.51100000000000001</v>
      </c>
      <c r="I404" s="216">
        <f t="shared" si="40"/>
        <v>12.263999999999999</v>
      </c>
      <c r="J404" s="215" t="s">
        <v>502</v>
      </c>
      <c r="K404" s="218">
        <v>42566</v>
      </c>
      <c r="L404" s="215">
        <v>7038</v>
      </c>
      <c r="M404" s="215" t="s">
        <v>508</v>
      </c>
      <c r="N404" s="215">
        <v>6</v>
      </c>
      <c r="O404" s="219"/>
      <c r="P404" s="219"/>
    </row>
    <row r="405" spans="1:16" ht="15.75" hidden="1" outlineLevel="2" x14ac:dyDescent="0.25">
      <c r="A405" s="323">
        <v>42552</v>
      </c>
      <c r="B405" s="192">
        <v>2016</v>
      </c>
      <c r="C405" s="221" t="s">
        <v>397</v>
      </c>
      <c r="D405" s="222" t="s">
        <v>135</v>
      </c>
      <c r="E405" s="226"/>
      <c r="F405" s="215">
        <v>251</v>
      </c>
      <c r="G405" s="191"/>
      <c r="H405" s="217">
        <f t="shared" si="35"/>
        <v>21.192</v>
      </c>
      <c r="I405" s="216">
        <f t="shared" si="40"/>
        <v>5319.192</v>
      </c>
      <c r="J405" s="215" t="s">
        <v>502</v>
      </c>
      <c r="K405" s="218">
        <v>42552</v>
      </c>
      <c r="L405" s="215">
        <v>7038</v>
      </c>
      <c r="M405" s="215" t="s">
        <v>513</v>
      </c>
      <c r="N405" s="215"/>
      <c r="O405" s="219"/>
      <c r="P405" s="219"/>
    </row>
    <row r="406" spans="1:16" ht="15.75" hidden="1" outlineLevel="2" x14ac:dyDescent="0.25">
      <c r="A406" s="323">
        <v>42552</v>
      </c>
      <c r="B406" s="192">
        <v>2016</v>
      </c>
      <c r="C406" s="221" t="s">
        <v>397</v>
      </c>
      <c r="D406" s="222" t="s">
        <v>132</v>
      </c>
      <c r="E406" s="226"/>
      <c r="F406" s="215">
        <v>32</v>
      </c>
      <c r="G406" s="191"/>
      <c r="H406" s="217">
        <f t="shared" si="35"/>
        <v>9.1080000000000005</v>
      </c>
      <c r="I406" s="216">
        <f t="shared" si="40"/>
        <v>291.45600000000002</v>
      </c>
      <c r="J406" s="227" t="s">
        <v>502</v>
      </c>
      <c r="K406" s="228">
        <v>42552</v>
      </c>
      <c r="L406" s="227">
        <v>7038</v>
      </c>
      <c r="M406" s="227" t="s">
        <v>513</v>
      </c>
      <c r="N406" s="227"/>
      <c r="O406" s="219"/>
      <c r="P406" s="219"/>
    </row>
    <row r="407" spans="1:16" ht="15.75" hidden="1" outlineLevel="2" x14ac:dyDescent="0.25">
      <c r="A407" s="323">
        <v>42552</v>
      </c>
      <c r="B407" s="192">
        <v>2016</v>
      </c>
      <c r="C407" s="221" t="s">
        <v>397</v>
      </c>
      <c r="D407" s="222" t="s">
        <v>261</v>
      </c>
      <c r="E407" s="226"/>
      <c r="F407" s="215">
        <v>36</v>
      </c>
      <c r="G407" s="191"/>
      <c r="H407" s="217">
        <f t="shared" si="35"/>
        <v>1.7010000000000001</v>
      </c>
      <c r="I407" s="216">
        <f t="shared" si="40"/>
        <v>61.236000000000004</v>
      </c>
      <c r="J407" s="227" t="s">
        <v>502</v>
      </c>
      <c r="K407" s="228">
        <v>42552</v>
      </c>
      <c r="L407" s="227">
        <v>7038</v>
      </c>
      <c r="M407" s="227" t="s">
        <v>513</v>
      </c>
      <c r="N407" s="227"/>
      <c r="O407" s="219"/>
      <c r="P407" s="219"/>
    </row>
    <row r="408" spans="1:16" ht="15.75" hidden="1" outlineLevel="2" x14ac:dyDescent="0.25">
      <c r="A408" s="323">
        <v>42552</v>
      </c>
      <c r="B408" s="192">
        <v>2016</v>
      </c>
      <c r="C408" s="221" t="s">
        <v>397</v>
      </c>
      <c r="D408" s="222" t="s">
        <v>135</v>
      </c>
      <c r="E408" s="226"/>
      <c r="F408" s="215">
        <v>50</v>
      </c>
      <c r="G408" s="191"/>
      <c r="H408" s="217">
        <f t="shared" si="35"/>
        <v>21.192</v>
      </c>
      <c r="I408" s="216">
        <f t="shared" si="40"/>
        <v>1059.5999999999999</v>
      </c>
      <c r="J408" s="227" t="s">
        <v>502</v>
      </c>
      <c r="K408" s="228">
        <v>42566</v>
      </c>
      <c r="L408" s="227">
        <v>7038</v>
      </c>
      <c r="M408" s="227" t="s">
        <v>513</v>
      </c>
      <c r="N408" s="227">
        <v>17</v>
      </c>
      <c r="O408" s="219"/>
      <c r="P408" s="219"/>
    </row>
    <row r="409" spans="1:16" ht="15.75" hidden="1" outlineLevel="2" x14ac:dyDescent="0.25">
      <c r="A409" s="323">
        <v>42552</v>
      </c>
      <c r="B409" s="192">
        <v>2016</v>
      </c>
      <c r="C409" s="221" t="s">
        <v>397</v>
      </c>
      <c r="D409" s="222" t="s">
        <v>265</v>
      </c>
      <c r="E409" s="226"/>
      <c r="F409" s="215">
        <v>60</v>
      </c>
      <c r="G409" s="191"/>
      <c r="H409" s="217">
        <f t="shared" si="35"/>
        <v>2.5099999999999998</v>
      </c>
      <c r="I409" s="216">
        <f t="shared" si="40"/>
        <v>150.6</v>
      </c>
      <c r="J409" s="227" t="s">
        <v>502</v>
      </c>
      <c r="K409" s="228">
        <v>42566</v>
      </c>
      <c r="L409" s="227">
        <v>7038</v>
      </c>
      <c r="M409" s="227" t="s">
        <v>513</v>
      </c>
      <c r="N409" s="227">
        <v>17</v>
      </c>
      <c r="O409" s="219"/>
      <c r="P409" s="219"/>
    </row>
    <row r="410" spans="1:16" ht="15.75" hidden="1" outlineLevel="2" x14ac:dyDescent="0.25">
      <c r="A410" s="323">
        <v>42552</v>
      </c>
      <c r="B410" s="192">
        <v>2016</v>
      </c>
      <c r="C410" s="221" t="s">
        <v>397</v>
      </c>
      <c r="D410" s="222" t="s">
        <v>260</v>
      </c>
      <c r="E410" s="226"/>
      <c r="F410" s="215">
        <v>33</v>
      </c>
      <c r="G410" s="191"/>
      <c r="H410" s="217">
        <f t="shared" si="35"/>
        <v>3.7280000000000002</v>
      </c>
      <c r="I410" s="216">
        <f t="shared" si="40"/>
        <v>123.024</v>
      </c>
      <c r="J410" s="227" t="s">
        <v>502</v>
      </c>
      <c r="K410" s="228">
        <v>42566</v>
      </c>
      <c r="L410" s="227">
        <v>7038</v>
      </c>
      <c r="M410" s="227" t="s">
        <v>513</v>
      </c>
      <c r="N410" s="227">
        <v>17</v>
      </c>
      <c r="O410" s="219"/>
      <c r="P410" s="219"/>
    </row>
    <row r="411" spans="1:16" s="233" customFormat="1" ht="15.75" hidden="1" outlineLevel="2" x14ac:dyDescent="0.25">
      <c r="A411" s="323">
        <v>42552</v>
      </c>
      <c r="B411" s="192">
        <v>2016</v>
      </c>
      <c r="C411" s="221" t="s">
        <v>397</v>
      </c>
      <c r="D411" s="222" t="s">
        <v>259</v>
      </c>
      <c r="E411" s="229"/>
      <c r="F411" s="215">
        <v>1</v>
      </c>
      <c r="G411" s="230"/>
      <c r="H411" s="217">
        <f t="shared" si="35"/>
        <v>2.8620000000000001</v>
      </c>
      <c r="I411" s="216">
        <f t="shared" si="40"/>
        <v>2.8620000000000001</v>
      </c>
      <c r="J411" s="231" t="s">
        <v>502</v>
      </c>
      <c r="K411" s="232">
        <v>42566</v>
      </c>
      <c r="L411" s="231">
        <v>7038</v>
      </c>
      <c r="M411" s="231" t="s">
        <v>513</v>
      </c>
      <c r="N411" s="231">
        <v>17</v>
      </c>
      <c r="O411" s="219"/>
      <c r="P411" s="219"/>
    </row>
    <row r="412" spans="1:16" ht="15.75" hidden="1" outlineLevel="2" x14ac:dyDescent="0.25">
      <c r="A412" s="323">
        <v>42552</v>
      </c>
      <c r="B412" s="192">
        <v>2016</v>
      </c>
      <c r="C412" s="221" t="s">
        <v>397</v>
      </c>
      <c r="D412" s="222" t="s">
        <v>257</v>
      </c>
      <c r="E412" s="191"/>
      <c r="F412" s="215">
        <v>3</v>
      </c>
      <c r="G412" s="191"/>
      <c r="H412" s="217">
        <f t="shared" si="35"/>
        <v>2.5129999999999999</v>
      </c>
      <c r="I412" s="216">
        <f t="shared" si="40"/>
        <v>7.5389999999999997</v>
      </c>
      <c r="J412" s="215" t="s">
        <v>502</v>
      </c>
      <c r="K412" s="218">
        <v>42566</v>
      </c>
      <c r="L412" s="215">
        <v>7038</v>
      </c>
      <c r="M412" s="215" t="s">
        <v>513</v>
      </c>
      <c r="N412" s="215">
        <v>17</v>
      </c>
      <c r="O412" s="219"/>
      <c r="P412" s="219"/>
    </row>
    <row r="413" spans="1:16" ht="15.75" hidden="1" outlineLevel="2" x14ac:dyDescent="0.25">
      <c r="A413" s="323">
        <v>42552</v>
      </c>
      <c r="B413" s="192">
        <v>2016</v>
      </c>
      <c r="C413" s="221" t="s">
        <v>397</v>
      </c>
      <c r="D413" s="222" t="s">
        <v>256</v>
      </c>
      <c r="E413" s="191"/>
      <c r="F413" s="215">
        <v>2</v>
      </c>
      <c r="G413" s="191"/>
      <c r="H413" s="217">
        <f t="shared" si="35"/>
        <v>2.5139999999999998</v>
      </c>
      <c r="I413" s="216">
        <f t="shared" si="40"/>
        <v>5.0279999999999996</v>
      </c>
      <c r="J413" s="215" t="s">
        <v>502</v>
      </c>
      <c r="K413" s="218">
        <v>42566</v>
      </c>
      <c r="L413" s="215">
        <v>7038</v>
      </c>
      <c r="M413" s="215" t="s">
        <v>513</v>
      </c>
      <c r="N413" s="215">
        <v>17</v>
      </c>
      <c r="O413" s="219"/>
      <c r="P413" s="219"/>
    </row>
    <row r="414" spans="1:16" ht="15.75" hidden="1" outlineLevel="2" x14ac:dyDescent="0.25">
      <c r="A414" s="323">
        <v>42552</v>
      </c>
      <c r="B414" s="192">
        <v>2016</v>
      </c>
      <c r="C414" s="221" t="s">
        <v>397</v>
      </c>
      <c r="D414" s="222" t="s">
        <v>250</v>
      </c>
      <c r="E414" s="191"/>
      <c r="F414" s="215">
        <v>22</v>
      </c>
      <c r="G414" s="191"/>
      <c r="H414" s="217">
        <f t="shared" si="35"/>
        <v>2.41</v>
      </c>
      <c r="I414" s="216">
        <f t="shared" si="40"/>
        <v>53.02</v>
      </c>
      <c r="J414" s="215" t="s">
        <v>502</v>
      </c>
      <c r="K414" s="218">
        <v>42566</v>
      </c>
      <c r="L414" s="215">
        <v>7038</v>
      </c>
      <c r="M414" s="215" t="s">
        <v>513</v>
      </c>
      <c r="N414" s="215">
        <v>17</v>
      </c>
      <c r="O414" s="219"/>
      <c r="P414" s="219"/>
    </row>
    <row r="415" spans="1:16" ht="15.75" hidden="1" outlineLevel="2" x14ac:dyDescent="0.25">
      <c r="A415" s="323">
        <v>42552</v>
      </c>
      <c r="B415" s="192">
        <v>2016</v>
      </c>
      <c r="C415" s="221" t="s">
        <v>397</v>
      </c>
      <c r="D415" s="222" t="s">
        <v>249</v>
      </c>
      <c r="E415" s="191"/>
      <c r="F415" s="215">
        <v>19</v>
      </c>
      <c r="G415" s="191"/>
      <c r="H415" s="217">
        <f t="shared" si="35"/>
        <v>2.0790000000000002</v>
      </c>
      <c r="I415" s="216">
        <f t="shared" si="40"/>
        <v>39.501000000000005</v>
      </c>
      <c r="J415" s="215" t="s">
        <v>502</v>
      </c>
      <c r="K415" s="218">
        <v>42566</v>
      </c>
      <c r="L415" s="215">
        <v>7038</v>
      </c>
      <c r="M415" s="215" t="s">
        <v>513</v>
      </c>
      <c r="N415" s="215">
        <v>17</v>
      </c>
      <c r="O415" s="219"/>
      <c r="P415" s="219"/>
    </row>
    <row r="416" spans="1:16" ht="15.75" hidden="1" outlineLevel="2" x14ac:dyDescent="0.25">
      <c r="A416" s="323">
        <v>42552</v>
      </c>
      <c r="B416" s="192">
        <v>2016</v>
      </c>
      <c r="C416" s="221" t="s">
        <v>397</v>
      </c>
      <c r="D416" s="222" t="s">
        <v>248</v>
      </c>
      <c r="E416" s="191"/>
      <c r="F416" s="215">
        <v>32</v>
      </c>
      <c r="G416" s="191"/>
      <c r="H416" s="217">
        <f t="shared" si="35"/>
        <v>1.9139999999999999</v>
      </c>
      <c r="I416" s="216">
        <f t="shared" si="40"/>
        <v>61.247999999999998</v>
      </c>
      <c r="J416" s="215" t="s">
        <v>502</v>
      </c>
      <c r="K416" s="218">
        <v>42566</v>
      </c>
      <c r="L416" s="215">
        <v>7038</v>
      </c>
      <c r="M416" s="215" t="s">
        <v>513</v>
      </c>
      <c r="N416" s="215">
        <v>17</v>
      </c>
      <c r="O416" s="219"/>
      <c r="P416" s="219"/>
    </row>
    <row r="417" spans="1:16" ht="15.75" hidden="1" outlineLevel="2" x14ac:dyDescent="0.25">
      <c r="A417" s="323">
        <v>42552</v>
      </c>
      <c r="B417" s="192">
        <v>2016</v>
      </c>
      <c r="C417" s="221" t="s">
        <v>397</v>
      </c>
      <c r="D417" s="222" t="s">
        <v>247</v>
      </c>
      <c r="E417" s="191"/>
      <c r="F417" s="215">
        <v>57</v>
      </c>
      <c r="G417" s="191"/>
      <c r="H417" s="217">
        <f t="shared" si="35"/>
        <v>1.748</v>
      </c>
      <c r="I417" s="216">
        <f t="shared" si="40"/>
        <v>99.635999999999996</v>
      </c>
      <c r="J417" s="215" t="s">
        <v>502</v>
      </c>
      <c r="K417" s="218">
        <v>42566</v>
      </c>
      <c r="L417" s="215">
        <v>7038</v>
      </c>
      <c r="M417" s="215" t="s">
        <v>513</v>
      </c>
      <c r="N417" s="215">
        <v>17</v>
      </c>
      <c r="O417" s="219"/>
      <c r="P417" s="219"/>
    </row>
    <row r="418" spans="1:16" ht="15.75" hidden="1" outlineLevel="2" x14ac:dyDescent="0.25">
      <c r="A418" s="323">
        <v>42552</v>
      </c>
      <c r="B418" s="192">
        <v>2016</v>
      </c>
      <c r="C418" s="221" t="s">
        <v>397</v>
      </c>
      <c r="D418" s="222" t="s">
        <v>246</v>
      </c>
      <c r="E418" s="191"/>
      <c r="F418" s="215">
        <v>35</v>
      </c>
      <c r="G418" s="191"/>
      <c r="H418" s="217">
        <f t="shared" si="35"/>
        <v>1.583</v>
      </c>
      <c r="I418" s="216">
        <f t="shared" si="40"/>
        <v>55.405000000000001</v>
      </c>
      <c r="J418" s="215" t="s">
        <v>502</v>
      </c>
      <c r="K418" s="218">
        <v>42566</v>
      </c>
      <c r="L418" s="215">
        <v>7038</v>
      </c>
      <c r="M418" s="215" t="s">
        <v>513</v>
      </c>
      <c r="N418" s="215">
        <v>17</v>
      </c>
      <c r="O418" s="219"/>
      <c r="P418" s="219"/>
    </row>
    <row r="419" spans="1:16" ht="15.75" hidden="1" outlineLevel="2" x14ac:dyDescent="0.25">
      <c r="A419" s="323">
        <v>42552</v>
      </c>
      <c r="B419" s="192">
        <v>2016</v>
      </c>
      <c r="C419" s="221" t="s">
        <v>397</v>
      </c>
      <c r="D419" s="222" t="s">
        <v>244</v>
      </c>
      <c r="E419" s="191"/>
      <c r="F419" s="215">
        <v>6</v>
      </c>
      <c r="G419" s="191"/>
      <c r="H419" s="217">
        <f t="shared" si="35"/>
        <v>2.0790000000000002</v>
      </c>
      <c r="I419" s="216">
        <f t="shared" si="40"/>
        <v>12.474</v>
      </c>
      <c r="J419" s="215" t="s">
        <v>502</v>
      </c>
      <c r="K419" s="218">
        <v>42566</v>
      </c>
      <c r="L419" s="215">
        <v>7038</v>
      </c>
      <c r="M419" s="215" t="s">
        <v>513</v>
      </c>
      <c r="N419" s="215">
        <v>17</v>
      </c>
      <c r="O419" s="219"/>
      <c r="P419" s="219"/>
    </row>
    <row r="420" spans="1:16" ht="15.75" hidden="1" outlineLevel="2" x14ac:dyDescent="0.25">
      <c r="A420" s="323">
        <v>42552</v>
      </c>
      <c r="B420" s="192">
        <v>2016</v>
      </c>
      <c r="C420" s="221" t="s">
        <v>397</v>
      </c>
      <c r="D420" s="222" t="s">
        <v>243</v>
      </c>
      <c r="E420" s="191"/>
      <c r="F420" s="215">
        <v>16</v>
      </c>
      <c r="G420" s="191"/>
      <c r="H420" s="217">
        <f t="shared" si="35"/>
        <v>1.9139999999999999</v>
      </c>
      <c r="I420" s="216">
        <f t="shared" si="40"/>
        <v>30.623999999999999</v>
      </c>
      <c r="J420" s="215" t="s">
        <v>502</v>
      </c>
      <c r="K420" s="218">
        <v>42566</v>
      </c>
      <c r="L420" s="215">
        <v>7038</v>
      </c>
      <c r="M420" s="215" t="s">
        <v>513</v>
      </c>
      <c r="N420" s="215">
        <v>17</v>
      </c>
      <c r="O420" s="219"/>
      <c r="P420" s="219"/>
    </row>
    <row r="421" spans="1:16" ht="15.75" hidden="1" outlineLevel="2" x14ac:dyDescent="0.25">
      <c r="A421" s="323">
        <v>42552</v>
      </c>
      <c r="B421" s="192">
        <v>2016</v>
      </c>
      <c r="C421" s="221" t="s">
        <v>397</v>
      </c>
      <c r="D421" s="222" t="s">
        <v>235</v>
      </c>
      <c r="E421" s="191"/>
      <c r="F421" s="215">
        <v>9</v>
      </c>
      <c r="G421" s="191"/>
      <c r="H421" s="217">
        <f t="shared" si="35"/>
        <v>3.9340000000000002</v>
      </c>
      <c r="I421" s="216">
        <f t="shared" si="40"/>
        <v>35.405999999999999</v>
      </c>
      <c r="J421" s="215" t="s">
        <v>502</v>
      </c>
      <c r="K421" s="218">
        <v>42566</v>
      </c>
      <c r="L421" s="215">
        <v>7038</v>
      </c>
      <c r="M421" s="215" t="s">
        <v>513</v>
      </c>
      <c r="N421" s="215">
        <v>17</v>
      </c>
      <c r="O421" s="219"/>
      <c r="P421" s="219"/>
    </row>
    <row r="422" spans="1:16" ht="15.75" hidden="1" outlineLevel="2" x14ac:dyDescent="0.25">
      <c r="A422" s="323">
        <v>42552</v>
      </c>
      <c r="B422" s="192">
        <v>2016</v>
      </c>
      <c r="C422" s="221" t="s">
        <v>397</v>
      </c>
      <c r="D422" s="222" t="s">
        <v>234</v>
      </c>
      <c r="E422" s="191"/>
      <c r="F422" s="215">
        <v>12</v>
      </c>
      <c r="G422" s="191"/>
      <c r="H422" s="217">
        <f t="shared" si="35"/>
        <v>3.4380000000000002</v>
      </c>
      <c r="I422" s="216">
        <f t="shared" si="40"/>
        <v>41.256</v>
      </c>
      <c r="J422" s="215" t="s">
        <v>502</v>
      </c>
      <c r="K422" s="218">
        <v>42566</v>
      </c>
      <c r="L422" s="215">
        <v>7038</v>
      </c>
      <c r="M422" s="215" t="s">
        <v>513</v>
      </c>
      <c r="N422" s="215">
        <v>17</v>
      </c>
      <c r="O422" s="219"/>
      <c r="P422" s="219"/>
    </row>
    <row r="423" spans="1:16" ht="15.75" hidden="1" outlineLevel="2" x14ac:dyDescent="0.25">
      <c r="A423" s="323">
        <v>42552</v>
      </c>
      <c r="B423" s="192">
        <v>2016</v>
      </c>
      <c r="C423" s="221" t="s">
        <v>397</v>
      </c>
      <c r="D423" s="222" t="s">
        <v>232</v>
      </c>
      <c r="E423" s="191"/>
      <c r="F423" s="215">
        <v>19</v>
      </c>
      <c r="G423" s="191"/>
      <c r="H423" s="217">
        <f t="shared" si="35"/>
        <v>2.9420000000000002</v>
      </c>
      <c r="I423" s="216">
        <f t="shared" si="40"/>
        <v>55.898000000000003</v>
      </c>
      <c r="J423" s="215" t="s">
        <v>502</v>
      </c>
      <c r="K423" s="218">
        <v>42566</v>
      </c>
      <c r="L423" s="215">
        <v>7038</v>
      </c>
      <c r="M423" s="215" t="s">
        <v>513</v>
      </c>
      <c r="N423" s="215">
        <v>17</v>
      </c>
      <c r="O423" s="219"/>
      <c r="P423" s="219"/>
    </row>
    <row r="424" spans="1:16" ht="15.75" hidden="1" outlineLevel="2" x14ac:dyDescent="0.25">
      <c r="A424" s="323">
        <v>42552</v>
      </c>
      <c r="B424" s="192">
        <v>2016</v>
      </c>
      <c r="C424" s="221" t="s">
        <v>397</v>
      </c>
      <c r="D424" s="222" t="s">
        <v>231</v>
      </c>
      <c r="E424" s="191"/>
      <c r="F424" s="215">
        <v>2</v>
      </c>
      <c r="G424" s="191"/>
      <c r="H424" s="217">
        <f t="shared" si="35"/>
        <v>2.694</v>
      </c>
      <c r="I424" s="216">
        <f t="shared" si="40"/>
        <v>5.3879999999999999</v>
      </c>
      <c r="J424" s="215" t="s">
        <v>502</v>
      </c>
      <c r="K424" s="218">
        <v>42566</v>
      </c>
      <c r="L424" s="215">
        <v>7038</v>
      </c>
      <c r="M424" s="215" t="s">
        <v>513</v>
      </c>
      <c r="N424" s="215">
        <v>17</v>
      </c>
      <c r="O424" s="219"/>
      <c r="P424" s="219"/>
    </row>
    <row r="425" spans="1:16" ht="15.75" hidden="1" outlineLevel="2" x14ac:dyDescent="0.25">
      <c r="A425" s="323">
        <v>42552</v>
      </c>
      <c r="B425" s="192">
        <v>2016</v>
      </c>
      <c r="C425" s="221" t="s">
        <v>397</v>
      </c>
      <c r="D425" s="222" t="s">
        <v>225</v>
      </c>
      <c r="E425" s="191"/>
      <c r="F425" s="215">
        <v>13</v>
      </c>
      <c r="G425" s="191"/>
      <c r="H425" s="217">
        <f t="shared" si="35"/>
        <v>3.9340000000000002</v>
      </c>
      <c r="I425" s="216">
        <f t="shared" si="40"/>
        <v>51.142000000000003</v>
      </c>
      <c r="J425" s="215" t="s">
        <v>502</v>
      </c>
      <c r="K425" s="218">
        <v>42566</v>
      </c>
      <c r="L425" s="215">
        <v>7038</v>
      </c>
      <c r="M425" s="215" t="s">
        <v>513</v>
      </c>
      <c r="N425" s="215">
        <v>17</v>
      </c>
      <c r="O425" s="219"/>
      <c r="P425" s="219"/>
    </row>
    <row r="426" spans="1:16" ht="15.75" hidden="1" outlineLevel="2" x14ac:dyDescent="0.25">
      <c r="A426" s="323">
        <v>42552</v>
      </c>
      <c r="B426" s="192">
        <v>2016</v>
      </c>
      <c r="C426" s="221" t="s">
        <v>397</v>
      </c>
      <c r="D426" s="222" t="s">
        <v>224</v>
      </c>
      <c r="E426" s="191"/>
      <c r="F426" s="215">
        <v>3</v>
      </c>
      <c r="G426" s="191"/>
      <c r="H426" s="217">
        <f t="shared" si="35"/>
        <v>3.4380000000000002</v>
      </c>
      <c r="I426" s="216">
        <f t="shared" si="40"/>
        <v>10.314</v>
      </c>
      <c r="J426" s="215" t="s">
        <v>502</v>
      </c>
      <c r="K426" s="218">
        <v>42566</v>
      </c>
      <c r="L426" s="215">
        <v>7038</v>
      </c>
      <c r="M426" s="215" t="s">
        <v>513</v>
      </c>
      <c r="N426" s="215">
        <v>17</v>
      </c>
      <c r="O426" s="219"/>
      <c r="P426" s="219"/>
    </row>
    <row r="427" spans="1:16" ht="15.75" hidden="1" outlineLevel="2" x14ac:dyDescent="0.25">
      <c r="A427" s="323">
        <v>42552</v>
      </c>
      <c r="B427" s="192">
        <v>2016</v>
      </c>
      <c r="C427" s="221" t="s">
        <v>397</v>
      </c>
      <c r="D427" s="222" t="s">
        <v>223</v>
      </c>
      <c r="E427" s="191"/>
      <c r="F427" s="215">
        <v>30</v>
      </c>
      <c r="G427" s="191"/>
      <c r="H427" s="217">
        <f t="shared" si="35"/>
        <v>3.19</v>
      </c>
      <c r="I427" s="216">
        <f t="shared" si="40"/>
        <v>95.7</v>
      </c>
      <c r="J427" s="215" t="s">
        <v>502</v>
      </c>
      <c r="K427" s="218">
        <v>42566</v>
      </c>
      <c r="L427" s="215">
        <v>7038</v>
      </c>
      <c r="M427" s="215" t="s">
        <v>513</v>
      </c>
      <c r="N427" s="215">
        <v>17</v>
      </c>
      <c r="O427" s="219"/>
      <c r="P427" s="219"/>
    </row>
    <row r="428" spans="1:16" ht="15.75" hidden="1" outlineLevel="2" x14ac:dyDescent="0.25">
      <c r="A428" s="323">
        <v>42552</v>
      </c>
      <c r="B428" s="192">
        <v>2016</v>
      </c>
      <c r="C428" s="221" t="s">
        <v>397</v>
      </c>
      <c r="D428" s="222" t="s">
        <v>222</v>
      </c>
      <c r="E428" s="191"/>
      <c r="F428" s="215">
        <v>37</v>
      </c>
      <c r="G428" s="191"/>
      <c r="H428" s="217">
        <f t="shared" si="35"/>
        <v>2.9420000000000002</v>
      </c>
      <c r="I428" s="216">
        <f t="shared" si="40"/>
        <v>108.85400000000001</v>
      </c>
      <c r="J428" s="215" t="s">
        <v>502</v>
      </c>
      <c r="K428" s="218">
        <v>42566</v>
      </c>
      <c r="L428" s="215">
        <v>7038</v>
      </c>
      <c r="M428" s="215" t="s">
        <v>513</v>
      </c>
      <c r="N428" s="215">
        <v>17</v>
      </c>
      <c r="O428" s="219"/>
      <c r="P428" s="219"/>
    </row>
    <row r="429" spans="1:16" ht="15.75" hidden="1" outlineLevel="2" x14ac:dyDescent="0.25">
      <c r="A429" s="323">
        <v>42552</v>
      </c>
      <c r="B429" s="192">
        <v>2016</v>
      </c>
      <c r="C429" s="221" t="s">
        <v>397</v>
      </c>
      <c r="D429" s="222" t="s">
        <v>221</v>
      </c>
      <c r="E429" s="191"/>
      <c r="F429" s="215">
        <v>22</v>
      </c>
      <c r="G429" s="191"/>
      <c r="H429" s="217">
        <f t="shared" si="35"/>
        <v>2.694</v>
      </c>
      <c r="I429" s="216">
        <f t="shared" si="40"/>
        <v>59.268000000000001</v>
      </c>
      <c r="J429" s="215" t="s">
        <v>502</v>
      </c>
      <c r="K429" s="218">
        <v>42566</v>
      </c>
      <c r="L429" s="215">
        <v>7038</v>
      </c>
      <c r="M429" s="215" t="s">
        <v>513</v>
      </c>
      <c r="N429" s="215">
        <v>17</v>
      </c>
      <c r="O429" s="219"/>
      <c r="P429" s="219"/>
    </row>
    <row r="430" spans="1:16" ht="15.75" hidden="1" outlineLevel="2" x14ac:dyDescent="0.25">
      <c r="A430" s="323">
        <v>42552</v>
      </c>
      <c r="B430" s="192">
        <v>2016</v>
      </c>
      <c r="C430" s="221" t="s">
        <v>397</v>
      </c>
      <c r="D430" s="222" t="s">
        <v>201</v>
      </c>
      <c r="E430" s="191"/>
      <c r="F430" s="215"/>
      <c r="G430" s="191"/>
      <c r="H430" s="217">
        <f t="shared" si="35"/>
        <v>5.4720000000000004</v>
      </c>
      <c r="I430" s="216">
        <f t="shared" si="40"/>
        <v>0</v>
      </c>
      <c r="J430" s="215" t="s">
        <v>502</v>
      </c>
      <c r="K430" s="218"/>
      <c r="L430" s="215">
        <v>7038</v>
      </c>
      <c r="M430" s="215"/>
      <c r="N430" s="215"/>
      <c r="O430" s="219"/>
      <c r="P430" s="219"/>
    </row>
    <row r="431" spans="1:16" ht="15.75" hidden="1" outlineLevel="2" x14ac:dyDescent="0.25">
      <c r="A431" s="323">
        <v>42552</v>
      </c>
      <c r="B431" s="192">
        <v>2016</v>
      </c>
      <c r="C431" s="221" t="s">
        <v>397</v>
      </c>
      <c r="D431" s="222" t="s">
        <v>445</v>
      </c>
      <c r="E431" s="191"/>
      <c r="F431" s="215">
        <v>1</v>
      </c>
      <c r="G431" s="191"/>
      <c r="H431" s="217">
        <f t="shared" si="35"/>
        <v>10.824</v>
      </c>
      <c r="I431" s="216">
        <f t="shared" si="40"/>
        <v>10.824</v>
      </c>
      <c r="J431" s="215" t="s">
        <v>502</v>
      </c>
      <c r="K431" s="218">
        <v>42552</v>
      </c>
      <c r="L431" s="215">
        <v>7038</v>
      </c>
      <c r="M431" s="215" t="s">
        <v>513</v>
      </c>
      <c r="N431" s="215"/>
      <c r="O431" s="219"/>
      <c r="P431" s="219"/>
    </row>
    <row r="432" spans="1:16" ht="15.75" hidden="1" outlineLevel="2" x14ac:dyDescent="0.25">
      <c r="A432" s="323">
        <v>42552</v>
      </c>
      <c r="B432" s="192">
        <v>2016</v>
      </c>
      <c r="C432" s="221" t="s">
        <v>397</v>
      </c>
      <c r="D432" s="222" t="s">
        <v>450</v>
      </c>
      <c r="E432" s="191"/>
      <c r="F432" s="215">
        <v>1</v>
      </c>
      <c r="G432" s="191"/>
      <c r="H432" s="217">
        <f t="shared" si="35"/>
        <v>2.214</v>
      </c>
      <c r="I432" s="216">
        <f t="shared" si="40"/>
        <v>2.214</v>
      </c>
      <c r="J432" s="215" t="s">
        <v>502</v>
      </c>
      <c r="K432" s="218">
        <v>42552</v>
      </c>
      <c r="L432" s="215">
        <v>7038</v>
      </c>
      <c r="M432" s="215" t="s">
        <v>513</v>
      </c>
      <c r="N432" s="215"/>
      <c r="O432" s="219"/>
      <c r="P432" s="219"/>
    </row>
    <row r="433" spans="1:16" ht="15.75" hidden="1" outlineLevel="2" x14ac:dyDescent="0.25">
      <c r="A433" s="323">
        <v>42552</v>
      </c>
      <c r="B433" s="192">
        <v>2016</v>
      </c>
      <c r="C433" s="221" t="s">
        <v>397</v>
      </c>
      <c r="D433" s="222" t="s">
        <v>451</v>
      </c>
      <c r="E433" s="191"/>
      <c r="F433" s="215">
        <v>1</v>
      </c>
      <c r="G433" s="191"/>
      <c r="H433" s="217">
        <f t="shared" si="35"/>
        <v>3.6190000000000002</v>
      </c>
      <c r="I433" s="216">
        <f t="shared" si="40"/>
        <v>3.6190000000000002</v>
      </c>
      <c r="J433" s="215" t="s">
        <v>502</v>
      </c>
      <c r="K433" s="218">
        <v>42552</v>
      </c>
      <c r="L433" s="215">
        <v>7038</v>
      </c>
      <c r="M433" s="215" t="s">
        <v>513</v>
      </c>
      <c r="N433" s="215"/>
      <c r="O433" s="219"/>
      <c r="P433" s="219"/>
    </row>
    <row r="434" spans="1:16" ht="15.75" hidden="1" outlineLevel="2" x14ac:dyDescent="0.25">
      <c r="A434" s="323">
        <v>42552</v>
      </c>
      <c r="B434" s="192">
        <v>2016</v>
      </c>
      <c r="C434" s="221" t="s">
        <v>397</v>
      </c>
      <c r="D434" s="222" t="s">
        <v>452</v>
      </c>
      <c r="E434" s="191"/>
      <c r="F434" s="215">
        <v>1</v>
      </c>
      <c r="G434" s="191"/>
      <c r="H434" s="217">
        <f t="shared" si="35"/>
        <v>3.5449999999999999</v>
      </c>
      <c r="I434" s="216">
        <f t="shared" si="40"/>
        <v>3.5449999999999999</v>
      </c>
      <c r="J434" s="215" t="s">
        <v>502</v>
      </c>
      <c r="K434" s="218">
        <v>42552</v>
      </c>
      <c r="L434" s="215">
        <v>7038</v>
      </c>
      <c r="M434" s="215" t="s">
        <v>513</v>
      </c>
      <c r="N434" s="215"/>
      <c r="O434" s="219"/>
      <c r="P434" s="219"/>
    </row>
    <row r="435" spans="1:16" ht="25.5" hidden="1" outlineLevel="2" x14ac:dyDescent="0.25">
      <c r="A435" s="323">
        <v>42552</v>
      </c>
      <c r="B435" s="192">
        <v>2016</v>
      </c>
      <c r="C435" s="221" t="s">
        <v>397</v>
      </c>
      <c r="D435" s="222" t="s">
        <v>446</v>
      </c>
      <c r="E435" s="191"/>
      <c r="F435" s="215">
        <v>308</v>
      </c>
      <c r="G435" s="191"/>
      <c r="H435" s="217">
        <f t="shared" si="35"/>
        <v>1.2739999999999998</v>
      </c>
      <c r="I435" s="216">
        <f t="shared" si="40"/>
        <v>392.39199999999994</v>
      </c>
      <c r="J435" s="215" t="s">
        <v>502</v>
      </c>
      <c r="K435" s="218">
        <v>42571</v>
      </c>
      <c r="L435" s="215">
        <v>7038</v>
      </c>
      <c r="M435" s="215" t="s">
        <v>509</v>
      </c>
      <c r="N435" s="215">
        <v>5</v>
      </c>
      <c r="O435" s="219"/>
      <c r="P435" s="219"/>
    </row>
    <row r="436" spans="1:16" ht="25.5" hidden="1" outlineLevel="2" x14ac:dyDescent="0.25">
      <c r="A436" s="323">
        <v>42552</v>
      </c>
      <c r="B436" s="192">
        <v>2016</v>
      </c>
      <c r="C436" s="221" t="s">
        <v>397</v>
      </c>
      <c r="D436" s="222" t="s">
        <v>447</v>
      </c>
      <c r="E436" s="234"/>
      <c r="F436" s="215">
        <v>125</v>
      </c>
      <c r="G436" s="235"/>
      <c r="H436" s="217">
        <f t="shared" ref="H436:H499" si="41">VLOOKUP(D436,$D$5:$E$359,2,FALSE)</f>
        <v>1.738</v>
      </c>
      <c r="I436" s="216">
        <f t="shared" si="40"/>
        <v>217.25</v>
      </c>
      <c r="J436" s="227" t="s">
        <v>502</v>
      </c>
      <c r="K436" s="218">
        <v>42571</v>
      </c>
      <c r="L436" s="215">
        <v>7038</v>
      </c>
      <c r="M436" s="215" t="s">
        <v>509</v>
      </c>
      <c r="N436" s="215">
        <v>5</v>
      </c>
      <c r="O436" s="219"/>
      <c r="P436" s="219"/>
    </row>
    <row r="437" spans="1:16" ht="25.5" hidden="1" outlineLevel="2" x14ac:dyDescent="0.25">
      <c r="A437" s="323">
        <v>42552</v>
      </c>
      <c r="B437" s="192">
        <v>2016</v>
      </c>
      <c r="C437" s="221" t="s">
        <v>397</v>
      </c>
      <c r="D437" s="222" t="s">
        <v>350</v>
      </c>
      <c r="E437" s="234"/>
      <c r="F437" s="215">
        <v>19</v>
      </c>
      <c r="G437" s="235"/>
      <c r="H437" s="217">
        <f t="shared" si="41"/>
        <v>1.254</v>
      </c>
      <c r="I437" s="216">
        <f t="shared" si="40"/>
        <v>23.826000000000001</v>
      </c>
      <c r="J437" s="227" t="s">
        <v>502</v>
      </c>
      <c r="K437" s="218">
        <v>42571</v>
      </c>
      <c r="L437" s="215">
        <v>7038</v>
      </c>
      <c r="M437" s="215" t="s">
        <v>509</v>
      </c>
      <c r="N437" s="215">
        <v>5</v>
      </c>
      <c r="O437" s="219"/>
      <c r="P437" s="219"/>
    </row>
    <row r="438" spans="1:16" ht="25.5" hidden="1" outlineLevel="2" x14ac:dyDescent="0.25">
      <c r="A438" s="323">
        <v>42552</v>
      </c>
      <c r="B438" s="192">
        <v>2016</v>
      </c>
      <c r="C438" s="221" t="s">
        <v>397</v>
      </c>
      <c r="D438" s="222" t="s">
        <v>346</v>
      </c>
      <c r="E438" s="234"/>
      <c r="F438" s="215">
        <v>19</v>
      </c>
      <c r="G438" s="235"/>
      <c r="H438" s="217">
        <f t="shared" si="41"/>
        <v>0.56399999999999995</v>
      </c>
      <c r="I438" s="216">
        <f t="shared" si="40"/>
        <v>10.715999999999999</v>
      </c>
      <c r="J438" s="227" t="s">
        <v>502</v>
      </c>
      <c r="K438" s="218">
        <v>42571</v>
      </c>
      <c r="L438" s="215">
        <v>7038</v>
      </c>
      <c r="M438" s="215" t="s">
        <v>509</v>
      </c>
      <c r="N438" s="215">
        <v>5</v>
      </c>
      <c r="O438" s="219"/>
      <c r="P438" s="219"/>
    </row>
    <row r="439" spans="1:16" ht="25.5" hidden="1" outlineLevel="2" x14ac:dyDescent="0.25">
      <c r="A439" s="323">
        <v>42552</v>
      </c>
      <c r="B439" s="192">
        <v>2016</v>
      </c>
      <c r="C439" s="221" t="s">
        <v>397</v>
      </c>
      <c r="D439" s="222" t="s">
        <v>351</v>
      </c>
      <c r="E439" s="234"/>
      <c r="F439" s="215">
        <v>6</v>
      </c>
      <c r="G439" s="235"/>
      <c r="H439" s="217">
        <f t="shared" si="41"/>
        <v>1.6120000000000001</v>
      </c>
      <c r="I439" s="216">
        <f t="shared" si="40"/>
        <v>9.6720000000000006</v>
      </c>
      <c r="J439" s="227" t="s">
        <v>502</v>
      </c>
      <c r="K439" s="218">
        <v>42571</v>
      </c>
      <c r="L439" s="215">
        <v>7038</v>
      </c>
      <c r="M439" s="215" t="s">
        <v>509</v>
      </c>
      <c r="N439" s="215">
        <v>5</v>
      </c>
      <c r="O439" s="219"/>
      <c r="P439" s="219"/>
    </row>
    <row r="440" spans="1:16" ht="25.5" hidden="1" outlineLevel="2" x14ac:dyDescent="0.25">
      <c r="A440" s="323">
        <v>42552</v>
      </c>
      <c r="B440" s="192">
        <v>2016</v>
      </c>
      <c r="C440" s="221" t="s">
        <v>397</v>
      </c>
      <c r="D440" s="222" t="s">
        <v>347</v>
      </c>
      <c r="E440" s="234"/>
      <c r="F440" s="215">
        <v>6</v>
      </c>
      <c r="G440" s="235"/>
      <c r="H440" s="217">
        <f t="shared" si="41"/>
        <v>0.95099999999999996</v>
      </c>
      <c r="I440" s="216">
        <f t="shared" si="40"/>
        <v>5.7059999999999995</v>
      </c>
      <c r="J440" s="227" t="s">
        <v>502</v>
      </c>
      <c r="K440" s="218">
        <v>42571</v>
      </c>
      <c r="L440" s="215">
        <v>7038</v>
      </c>
      <c r="M440" s="215" t="s">
        <v>509</v>
      </c>
      <c r="N440" s="215">
        <v>5</v>
      </c>
      <c r="O440" s="219"/>
      <c r="P440" s="219"/>
    </row>
    <row r="441" spans="1:16" ht="25.5" hidden="1" outlineLevel="2" x14ac:dyDescent="0.25">
      <c r="A441" s="323">
        <v>42552</v>
      </c>
      <c r="B441" s="192">
        <v>2016</v>
      </c>
      <c r="C441" s="221" t="s">
        <v>397</v>
      </c>
      <c r="D441" s="222" t="s">
        <v>366</v>
      </c>
      <c r="E441" s="234"/>
      <c r="F441" s="215">
        <v>30</v>
      </c>
      <c r="G441" s="235"/>
      <c r="H441" s="217">
        <f t="shared" si="41"/>
        <v>1.304</v>
      </c>
      <c r="I441" s="216">
        <f t="shared" si="40"/>
        <v>39.120000000000005</v>
      </c>
      <c r="J441" s="227" t="s">
        <v>502</v>
      </c>
      <c r="K441" s="218">
        <v>42571</v>
      </c>
      <c r="L441" s="215">
        <v>7038</v>
      </c>
      <c r="M441" s="215" t="s">
        <v>509</v>
      </c>
      <c r="N441" s="215">
        <v>5</v>
      </c>
      <c r="O441" s="219"/>
      <c r="P441" s="219"/>
    </row>
    <row r="442" spans="1:16" ht="25.5" hidden="1" outlineLevel="2" x14ac:dyDescent="0.25">
      <c r="A442" s="323">
        <v>42552</v>
      </c>
      <c r="B442" s="192">
        <v>2016</v>
      </c>
      <c r="C442" s="221" t="s">
        <v>397</v>
      </c>
      <c r="D442" s="222" t="s">
        <v>362</v>
      </c>
      <c r="E442" s="234"/>
      <c r="F442" s="215">
        <v>30</v>
      </c>
      <c r="G442" s="235"/>
      <c r="H442" s="217">
        <f t="shared" si="41"/>
        <v>0.56399999999999995</v>
      </c>
      <c r="I442" s="216">
        <f t="shared" si="40"/>
        <v>16.919999999999998</v>
      </c>
      <c r="J442" s="227" t="s">
        <v>502</v>
      </c>
      <c r="K442" s="218">
        <v>42571</v>
      </c>
      <c r="L442" s="215">
        <v>7038</v>
      </c>
      <c r="M442" s="215" t="s">
        <v>509</v>
      </c>
      <c r="N442" s="215">
        <v>5</v>
      </c>
      <c r="O442" s="219"/>
      <c r="P442" s="219"/>
    </row>
    <row r="443" spans="1:16" ht="25.5" hidden="1" outlineLevel="2" x14ac:dyDescent="0.25">
      <c r="A443" s="323">
        <v>42552</v>
      </c>
      <c r="B443" s="192">
        <v>2016</v>
      </c>
      <c r="C443" s="221" t="s">
        <v>397</v>
      </c>
      <c r="D443" s="222" t="s">
        <v>359</v>
      </c>
      <c r="E443" s="234"/>
      <c r="F443" s="215">
        <v>14</v>
      </c>
      <c r="G443" s="235"/>
      <c r="H443" s="217">
        <f t="shared" si="41"/>
        <v>1.718</v>
      </c>
      <c r="I443" s="216">
        <f t="shared" si="40"/>
        <v>24.052</v>
      </c>
      <c r="J443" s="227" t="s">
        <v>502</v>
      </c>
      <c r="K443" s="218">
        <v>42571</v>
      </c>
      <c r="L443" s="215">
        <v>7038</v>
      </c>
      <c r="M443" s="215" t="s">
        <v>509</v>
      </c>
      <c r="N443" s="215">
        <v>5</v>
      </c>
      <c r="O443" s="219"/>
      <c r="P443" s="219"/>
    </row>
    <row r="444" spans="1:16" ht="25.5" hidden="1" outlineLevel="2" x14ac:dyDescent="0.25">
      <c r="A444" s="323">
        <v>42552</v>
      </c>
      <c r="B444" s="192">
        <v>2016</v>
      </c>
      <c r="C444" s="221" t="s">
        <v>397</v>
      </c>
      <c r="D444" s="222" t="s">
        <v>355</v>
      </c>
      <c r="E444" s="234"/>
      <c r="F444" s="215">
        <v>14</v>
      </c>
      <c r="G444" s="235"/>
      <c r="H444" s="217">
        <f t="shared" si="41"/>
        <v>0.85399999999999998</v>
      </c>
      <c r="I444" s="216">
        <f t="shared" si="40"/>
        <v>11.956</v>
      </c>
      <c r="J444" s="227" t="s">
        <v>502</v>
      </c>
      <c r="K444" s="218">
        <v>42571</v>
      </c>
      <c r="L444" s="215">
        <v>7038</v>
      </c>
      <c r="M444" s="215" t="s">
        <v>509</v>
      </c>
      <c r="N444" s="215">
        <v>5</v>
      </c>
      <c r="O444" s="219"/>
      <c r="P444" s="219"/>
    </row>
    <row r="445" spans="1:16" ht="25.5" hidden="1" outlineLevel="2" x14ac:dyDescent="0.25">
      <c r="A445" s="323">
        <v>42552</v>
      </c>
      <c r="B445" s="192">
        <v>2016</v>
      </c>
      <c r="C445" s="221" t="s">
        <v>397</v>
      </c>
      <c r="D445" s="222" t="s">
        <v>318</v>
      </c>
      <c r="E445" s="234"/>
      <c r="F445" s="215">
        <v>12</v>
      </c>
      <c r="G445" s="235"/>
      <c r="H445" s="217">
        <f t="shared" si="41"/>
        <v>1.0780000000000001</v>
      </c>
      <c r="I445" s="216">
        <f t="shared" si="40"/>
        <v>12.936</v>
      </c>
      <c r="J445" s="227" t="s">
        <v>502</v>
      </c>
      <c r="K445" s="218">
        <v>42571</v>
      </c>
      <c r="L445" s="215">
        <v>7038</v>
      </c>
      <c r="M445" s="215" t="s">
        <v>509</v>
      </c>
      <c r="N445" s="215">
        <v>5</v>
      </c>
      <c r="O445" s="219"/>
      <c r="P445" s="219"/>
    </row>
    <row r="446" spans="1:16" ht="25.5" hidden="1" outlineLevel="2" x14ac:dyDescent="0.25">
      <c r="A446" s="323">
        <v>42552</v>
      </c>
      <c r="B446" s="192">
        <v>2016</v>
      </c>
      <c r="C446" s="221" t="s">
        <v>397</v>
      </c>
      <c r="D446" s="222" t="s">
        <v>298</v>
      </c>
      <c r="E446" s="234"/>
      <c r="F446" s="215">
        <v>12</v>
      </c>
      <c r="G446" s="235"/>
      <c r="H446" s="217">
        <f t="shared" si="41"/>
        <v>0.51100000000000001</v>
      </c>
      <c r="I446" s="216">
        <f t="shared" si="40"/>
        <v>6.1319999999999997</v>
      </c>
      <c r="J446" s="227" t="s">
        <v>502</v>
      </c>
      <c r="K446" s="218">
        <v>42571</v>
      </c>
      <c r="L446" s="215">
        <v>7038</v>
      </c>
      <c r="M446" s="215" t="s">
        <v>509</v>
      </c>
      <c r="N446" s="215">
        <v>5</v>
      </c>
      <c r="O446" s="219"/>
      <c r="P446" s="219"/>
    </row>
    <row r="447" spans="1:16" ht="25.5" hidden="1" outlineLevel="2" x14ac:dyDescent="0.25">
      <c r="A447" s="323">
        <v>42552</v>
      </c>
      <c r="B447" s="192">
        <v>2016</v>
      </c>
      <c r="C447" s="221" t="s">
        <v>397</v>
      </c>
      <c r="D447" s="222" t="s">
        <v>327</v>
      </c>
      <c r="E447" s="234"/>
      <c r="F447" s="215">
        <v>2</v>
      </c>
      <c r="G447" s="235"/>
      <c r="H447" s="217">
        <f t="shared" si="41"/>
        <v>1.274</v>
      </c>
      <c r="I447" s="216">
        <f t="shared" si="40"/>
        <v>2.548</v>
      </c>
      <c r="J447" s="227" t="s">
        <v>502</v>
      </c>
      <c r="K447" s="218">
        <v>42571</v>
      </c>
      <c r="L447" s="215">
        <v>7038</v>
      </c>
      <c r="M447" s="215" t="s">
        <v>509</v>
      </c>
      <c r="N447" s="215">
        <v>5</v>
      </c>
      <c r="O447" s="219"/>
      <c r="P447" s="219"/>
    </row>
    <row r="448" spans="1:16" ht="25.5" hidden="1" outlineLevel="2" x14ac:dyDescent="0.25">
      <c r="A448" s="323">
        <v>42552</v>
      </c>
      <c r="B448" s="192">
        <v>2016</v>
      </c>
      <c r="C448" s="221" t="s">
        <v>397</v>
      </c>
      <c r="D448" s="222" t="s">
        <v>307</v>
      </c>
      <c r="E448" s="234"/>
      <c r="F448" s="215">
        <v>2</v>
      </c>
      <c r="G448" s="235"/>
      <c r="H448" s="217">
        <f t="shared" si="41"/>
        <v>0.78</v>
      </c>
      <c r="I448" s="216">
        <f t="shared" si="40"/>
        <v>1.56</v>
      </c>
      <c r="J448" s="227" t="s">
        <v>502</v>
      </c>
      <c r="K448" s="218">
        <v>42571</v>
      </c>
      <c r="L448" s="215">
        <v>7038</v>
      </c>
      <c r="M448" s="215" t="s">
        <v>509</v>
      </c>
      <c r="N448" s="215">
        <v>5</v>
      </c>
      <c r="O448" s="219"/>
      <c r="P448" s="219"/>
    </row>
    <row r="449" spans="1:16" ht="25.5" hidden="1" outlineLevel="2" x14ac:dyDescent="0.25">
      <c r="A449" s="323">
        <v>42552</v>
      </c>
      <c r="B449" s="192">
        <v>2016</v>
      </c>
      <c r="C449" s="221" t="s">
        <v>397</v>
      </c>
      <c r="D449" s="222" t="s">
        <v>319</v>
      </c>
      <c r="E449" s="234"/>
      <c r="F449" s="215">
        <v>6</v>
      </c>
      <c r="G449" s="235"/>
      <c r="H449" s="217">
        <f t="shared" si="41"/>
        <v>1.1819999999999999</v>
      </c>
      <c r="I449" s="216">
        <f t="shared" si="40"/>
        <v>7.0919999999999996</v>
      </c>
      <c r="J449" s="227" t="s">
        <v>502</v>
      </c>
      <c r="K449" s="218">
        <v>42571</v>
      </c>
      <c r="L449" s="215">
        <v>7038</v>
      </c>
      <c r="M449" s="215" t="s">
        <v>509</v>
      </c>
      <c r="N449" s="215">
        <v>5</v>
      </c>
      <c r="O449" s="219"/>
      <c r="P449" s="219"/>
    </row>
    <row r="450" spans="1:16" ht="25.5" hidden="1" outlineLevel="2" x14ac:dyDescent="0.25">
      <c r="A450" s="323">
        <v>42552</v>
      </c>
      <c r="B450" s="192">
        <v>2016</v>
      </c>
      <c r="C450" s="221" t="s">
        <v>397</v>
      </c>
      <c r="D450" s="222" t="s">
        <v>110</v>
      </c>
      <c r="E450" s="234"/>
      <c r="F450" s="215">
        <v>6</v>
      </c>
      <c r="G450" s="235"/>
      <c r="H450" s="217">
        <f t="shared" si="41"/>
        <v>1.06</v>
      </c>
      <c r="I450" s="216">
        <f t="shared" si="40"/>
        <v>6.36</v>
      </c>
      <c r="J450" s="227" t="s">
        <v>502</v>
      </c>
      <c r="K450" s="218">
        <v>42571</v>
      </c>
      <c r="L450" s="215">
        <v>7038</v>
      </c>
      <c r="M450" s="215" t="s">
        <v>509</v>
      </c>
      <c r="N450" s="215">
        <v>5</v>
      </c>
      <c r="O450" s="219"/>
      <c r="P450" s="219"/>
    </row>
    <row r="451" spans="1:16" ht="25.5" hidden="1" outlineLevel="2" x14ac:dyDescent="0.25">
      <c r="A451" s="323">
        <v>42552</v>
      </c>
      <c r="B451" s="192">
        <v>2016</v>
      </c>
      <c r="C451" s="221" t="s">
        <v>397</v>
      </c>
      <c r="D451" s="222" t="s">
        <v>326</v>
      </c>
      <c r="E451" s="234"/>
      <c r="F451" s="215">
        <v>3</v>
      </c>
      <c r="G451" s="235"/>
      <c r="H451" s="217">
        <f t="shared" si="41"/>
        <v>1.216</v>
      </c>
      <c r="I451" s="216">
        <f t="shared" si="40"/>
        <v>3.6479999999999997</v>
      </c>
      <c r="J451" s="227" t="s">
        <v>502</v>
      </c>
      <c r="K451" s="218">
        <v>42571</v>
      </c>
      <c r="L451" s="215">
        <v>7038</v>
      </c>
      <c r="M451" s="215" t="s">
        <v>509</v>
      </c>
      <c r="N451" s="215">
        <v>5</v>
      </c>
      <c r="O451" s="219"/>
      <c r="P451" s="219"/>
    </row>
    <row r="452" spans="1:16" ht="25.5" hidden="1" outlineLevel="2" x14ac:dyDescent="0.25">
      <c r="A452" s="323">
        <v>42552</v>
      </c>
      <c r="B452" s="192">
        <v>2016</v>
      </c>
      <c r="C452" s="221" t="s">
        <v>397</v>
      </c>
      <c r="D452" s="222" t="s">
        <v>306</v>
      </c>
      <c r="E452" s="234"/>
      <c r="F452" s="215">
        <v>3</v>
      </c>
      <c r="G452" s="235"/>
      <c r="H452" s="217">
        <f t="shared" si="41"/>
        <v>0.65300000000000002</v>
      </c>
      <c r="I452" s="216">
        <f t="shared" si="40"/>
        <v>1.9590000000000001</v>
      </c>
      <c r="J452" s="227" t="s">
        <v>502</v>
      </c>
      <c r="K452" s="218">
        <v>42571</v>
      </c>
      <c r="L452" s="215">
        <v>7038</v>
      </c>
      <c r="M452" s="215" t="s">
        <v>509</v>
      </c>
      <c r="N452" s="215">
        <v>5</v>
      </c>
      <c r="O452" s="219"/>
      <c r="P452" s="219"/>
    </row>
    <row r="453" spans="1:16" ht="15.75" hidden="1" outlineLevel="2" x14ac:dyDescent="0.25">
      <c r="A453" s="323">
        <v>42552</v>
      </c>
      <c r="B453" s="192">
        <v>2016</v>
      </c>
      <c r="C453" s="221" t="s">
        <v>397</v>
      </c>
      <c r="D453" s="222"/>
      <c r="E453" s="234"/>
      <c r="F453" s="215"/>
      <c r="G453" s="235"/>
      <c r="H453" s="217" t="e">
        <f t="shared" si="41"/>
        <v>#N/A</v>
      </c>
      <c r="I453" s="216" t="e">
        <f t="shared" si="40"/>
        <v>#N/A</v>
      </c>
      <c r="J453" s="227" t="s">
        <v>502</v>
      </c>
      <c r="K453" s="218"/>
      <c r="L453" s="215"/>
      <c r="M453" s="215"/>
      <c r="N453" s="215"/>
      <c r="O453" s="219"/>
      <c r="P453" s="219"/>
    </row>
    <row r="454" spans="1:16" ht="15.75" hidden="1" outlineLevel="2" x14ac:dyDescent="0.25">
      <c r="A454" s="323">
        <v>42552</v>
      </c>
      <c r="B454" s="192">
        <v>2016</v>
      </c>
      <c r="C454" s="221" t="s">
        <v>397</v>
      </c>
      <c r="D454" s="222"/>
      <c r="E454" s="234"/>
      <c r="F454" s="215"/>
      <c r="G454" s="235"/>
      <c r="H454" s="217" t="e">
        <f t="shared" si="41"/>
        <v>#N/A</v>
      </c>
      <c r="I454" s="216" t="e">
        <f t="shared" si="40"/>
        <v>#N/A</v>
      </c>
      <c r="J454" s="227" t="s">
        <v>502</v>
      </c>
      <c r="K454" s="227"/>
      <c r="L454" s="215">
        <v>7038</v>
      </c>
      <c r="M454" s="227"/>
      <c r="N454" s="227"/>
      <c r="O454" s="219"/>
      <c r="P454" s="219"/>
    </row>
    <row r="455" spans="1:16" ht="15.75" hidden="1" outlineLevel="2" x14ac:dyDescent="0.25">
      <c r="A455" s="323">
        <v>42552</v>
      </c>
      <c r="B455" s="192">
        <v>2016</v>
      </c>
      <c r="C455" s="221" t="s">
        <v>397</v>
      </c>
      <c r="D455" s="222"/>
      <c r="E455" s="234"/>
      <c r="F455" s="215"/>
      <c r="G455" s="235"/>
      <c r="H455" s="217" t="e">
        <f t="shared" si="41"/>
        <v>#N/A</v>
      </c>
      <c r="I455" s="216" t="e">
        <f>H455*F455</f>
        <v>#N/A</v>
      </c>
      <c r="J455" s="227"/>
      <c r="K455" s="227"/>
      <c r="L455" s="215"/>
      <c r="M455" s="227"/>
      <c r="N455" s="227"/>
      <c r="O455" s="219"/>
      <c r="P455" s="219"/>
    </row>
    <row r="456" spans="1:16" ht="15.75" hidden="1" outlineLevel="1" x14ac:dyDescent="0.25">
      <c r="A456" s="323">
        <v>42552</v>
      </c>
      <c r="B456" s="192">
        <v>2016</v>
      </c>
      <c r="C456" s="236" t="s">
        <v>391</v>
      </c>
      <c r="D456" s="237" t="s">
        <v>373</v>
      </c>
      <c r="E456" s="234"/>
      <c r="F456" s="215"/>
      <c r="G456" s="235"/>
      <c r="H456" s="217">
        <f t="shared" si="41"/>
        <v>0</v>
      </c>
      <c r="I456" s="216">
        <f t="shared" ref="I456:I475" si="42">H456*F456</f>
        <v>0</v>
      </c>
      <c r="J456" s="227" t="s">
        <v>502</v>
      </c>
      <c r="K456" s="227"/>
      <c r="L456" s="215">
        <v>7038</v>
      </c>
      <c r="M456" s="227"/>
      <c r="N456" s="227"/>
      <c r="O456" s="219"/>
      <c r="P456" s="219"/>
    </row>
    <row r="457" spans="1:16" ht="15.75" hidden="1" outlineLevel="2" x14ac:dyDescent="0.25">
      <c r="A457" s="323">
        <v>42552</v>
      </c>
      <c r="B457" s="192">
        <v>2016</v>
      </c>
      <c r="C457" s="236" t="s">
        <v>391</v>
      </c>
      <c r="D457" s="237" t="s">
        <v>374</v>
      </c>
      <c r="E457" s="234"/>
      <c r="F457" s="215"/>
      <c r="G457" s="235"/>
      <c r="H457" s="217">
        <f t="shared" si="41"/>
        <v>0</v>
      </c>
      <c r="I457" s="216">
        <f t="shared" si="42"/>
        <v>0</v>
      </c>
      <c r="J457" s="227" t="s">
        <v>502</v>
      </c>
      <c r="K457" s="218"/>
      <c r="L457" s="215">
        <v>7038</v>
      </c>
      <c r="M457" s="215"/>
      <c r="N457" s="215"/>
      <c r="O457" s="219"/>
      <c r="P457" s="219"/>
    </row>
    <row r="458" spans="1:16" ht="15.75" hidden="1" outlineLevel="2" x14ac:dyDescent="0.25">
      <c r="A458" s="323">
        <v>42552</v>
      </c>
      <c r="B458" s="192">
        <v>2016</v>
      </c>
      <c r="C458" s="236" t="s">
        <v>391</v>
      </c>
      <c r="D458" s="237" t="s">
        <v>375</v>
      </c>
      <c r="E458" s="234"/>
      <c r="F458" s="215"/>
      <c r="G458" s="235"/>
      <c r="H458" s="217">
        <f t="shared" si="41"/>
        <v>0</v>
      </c>
      <c r="I458" s="216">
        <f t="shared" si="42"/>
        <v>0</v>
      </c>
      <c r="J458" s="227" t="s">
        <v>502</v>
      </c>
      <c r="K458" s="218"/>
      <c r="L458" s="215">
        <v>7038</v>
      </c>
      <c r="M458" s="215"/>
      <c r="N458" s="215"/>
      <c r="O458" s="219"/>
      <c r="P458" s="219"/>
    </row>
    <row r="459" spans="1:16" ht="15.75" hidden="1" outlineLevel="2" x14ac:dyDescent="0.25">
      <c r="A459" s="323">
        <v>42552</v>
      </c>
      <c r="B459" s="192">
        <v>2016</v>
      </c>
      <c r="C459" s="236" t="s">
        <v>391</v>
      </c>
      <c r="D459" s="237" t="s">
        <v>376</v>
      </c>
      <c r="E459" s="234"/>
      <c r="F459" s="215"/>
      <c r="G459" s="235"/>
      <c r="H459" s="217">
        <f t="shared" si="41"/>
        <v>0</v>
      </c>
      <c r="I459" s="216">
        <f t="shared" si="42"/>
        <v>0</v>
      </c>
      <c r="J459" s="227" t="s">
        <v>502</v>
      </c>
      <c r="K459" s="227"/>
      <c r="L459" s="215">
        <v>7038</v>
      </c>
      <c r="M459" s="227"/>
      <c r="N459" s="227"/>
      <c r="O459" s="219"/>
      <c r="P459" s="219"/>
    </row>
    <row r="460" spans="1:16" ht="15.75" hidden="1" outlineLevel="2" x14ac:dyDescent="0.25">
      <c r="A460" s="323">
        <v>42552</v>
      </c>
      <c r="B460" s="192">
        <v>2016</v>
      </c>
      <c r="C460" s="236" t="s">
        <v>391</v>
      </c>
      <c r="D460" s="237" t="s">
        <v>394</v>
      </c>
      <c r="E460" s="234"/>
      <c r="F460" s="215"/>
      <c r="G460" s="235"/>
      <c r="H460" s="217">
        <f t="shared" si="41"/>
        <v>0</v>
      </c>
      <c r="I460" s="216">
        <f t="shared" si="42"/>
        <v>0</v>
      </c>
      <c r="J460" s="227" t="s">
        <v>502</v>
      </c>
      <c r="K460" s="227"/>
      <c r="L460" s="215">
        <v>7038</v>
      </c>
      <c r="M460" s="227"/>
      <c r="N460" s="227"/>
      <c r="O460" s="219"/>
      <c r="P460" s="219"/>
    </row>
    <row r="461" spans="1:16" ht="15.75" hidden="1" outlineLevel="2" x14ac:dyDescent="0.25">
      <c r="A461" s="323">
        <v>42552</v>
      </c>
      <c r="B461" s="192">
        <v>2016</v>
      </c>
      <c r="C461" s="236" t="s">
        <v>391</v>
      </c>
      <c r="D461" s="237" t="s">
        <v>453</v>
      </c>
      <c r="E461" s="234"/>
      <c r="F461" s="215">
        <v>456</v>
      </c>
      <c r="G461" s="235"/>
      <c r="H461" s="217">
        <f t="shared" si="41"/>
        <v>0</v>
      </c>
      <c r="I461" s="216">
        <f t="shared" si="42"/>
        <v>0</v>
      </c>
      <c r="J461" s="227"/>
      <c r="K461" s="228">
        <v>42614</v>
      </c>
      <c r="L461" s="215"/>
      <c r="M461" s="227" t="s">
        <v>513</v>
      </c>
      <c r="N461" s="227"/>
      <c r="O461" s="219"/>
      <c r="P461" s="219"/>
    </row>
    <row r="462" spans="1:16" ht="15.75" hidden="1" outlineLevel="2" x14ac:dyDescent="0.25">
      <c r="A462" s="323">
        <v>42552</v>
      </c>
      <c r="B462" s="192">
        <v>2016</v>
      </c>
      <c r="C462" s="236" t="s">
        <v>391</v>
      </c>
      <c r="D462" s="237" t="s">
        <v>453</v>
      </c>
      <c r="E462" s="234"/>
      <c r="F462" s="215">
        <v>100</v>
      </c>
      <c r="G462" s="235"/>
      <c r="H462" s="217">
        <f t="shared" si="41"/>
        <v>0</v>
      </c>
      <c r="I462" s="216">
        <f t="shared" si="42"/>
        <v>0</v>
      </c>
      <c r="J462" s="227"/>
      <c r="K462" s="228">
        <v>42566</v>
      </c>
      <c r="L462" s="215"/>
      <c r="M462" s="227" t="s">
        <v>513</v>
      </c>
      <c r="N462" s="227">
        <v>17</v>
      </c>
      <c r="O462" s="219"/>
      <c r="P462" s="219"/>
    </row>
    <row r="463" spans="1:16" ht="25.5" hidden="1" outlineLevel="2" x14ac:dyDescent="0.25">
      <c r="A463" s="323">
        <v>42552</v>
      </c>
      <c r="B463" s="192">
        <v>2016</v>
      </c>
      <c r="C463" s="236" t="s">
        <v>391</v>
      </c>
      <c r="D463" s="237" t="s">
        <v>453</v>
      </c>
      <c r="E463" s="234"/>
      <c r="F463" s="215">
        <v>644</v>
      </c>
      <c r="G463" s="235"/>
      <c r="H463" s="217">
        <f t="shared" si="41"/>
        <v>0</v>
      </c>
      <c r="I463" s="216">
        <f t="shared" si="42"/>
        <v>0</v>
      </c>
      <c r="J463" s="227"/>
      <c r="K463" s="228">
        <v>42566</v>
      </c>
      <c r="L463" s="215"/>
      <c r="M463" s="227" t="s">
        <v>508</v>
      </c>
      <c r="N463" s="227">
        <v>6</v>
      </c>
      <c r="O463" s="219"/>
      <c r="P463" s="219"/>
    </row>
    <row r="464" spans="1:16" ht="25.5" hidden="1" outlineLevel="2" x14ac:dyDescent="0.25">
      <c r="A464" s="323">
        <v>42552</v>
      </c>
      <c r="B464" s="192">
        <v>2016</v>
      </c>
      <c r="C464" s="236" t="s">
        <v>391</v>
      </c>
      <c r="D464" s="237" t="s">
        <v>453</v>
      </c>
      <c r="E464" s="234"/>
      <c r="F464" s="215">
        <v>2104</v>
      </c>
      <c r="G464" s="235"/>
      <c r="H464" s="217">
        <f t="shared" si="41"/>
        <v>0</v>
      </c>
      <c r="I464" s="216">
        <f t="shared" si="42"/>
        <v>0</v>
      </c>
      <c r="J464" s="227"/>
      <c r="K464" s="218">
        <v>42571</v>
      </c>
      <c r="L464" s="215">
        <v>7038</v>
      </c>
      <c r="M464" s="215" t="s">
        <v>509</v>
      </c>
      <c r="N464" s="215">
        <v>5</v>
      </c>
      <c r="O464" s="219"/>
      <c r="P464" s="219"/>
    </row>
    <row r="465" spans="1:16" ht="15.75" hidden="1" outlineLevel="2" x14ac:dyDescent="0.25">
      <c r="A465" s="323">
        <v>42552</v>
      </c>
      <c r="B465" s="192">
        <v>2016</v>
      </c>
      <c r="C465" s="236" t="s">
        <v>391</v>
      </c>
      <c r="D465" s="237" t="s">
        <v>457</v>
      </c>
      <c r="E465" s="234"/>
      <c r="F465" s="215"/>
      <c r="G465" s="235"/>
      <c r="H465" s="217">
        <f t="shared" si="41"/>
        <v>0</v>
      </c>
      <c r="I465" s="216">
        <f t="shared" si="42"/>
        <v>0</v>
      </c>
      <c r="J465" s="227"/>
      <c r="K465" s="227"/>
      <c r="L465" s="215"/>
      <c r="M465" s="227"/>
      <c r="N465" s="227"/>
      <c r="O465" s="219"/>
      <c r="P465" s="219"/>
    </row>
    <row r="466" spans="1:16" ht="25.5" hidden="1" outlineLevel="2" x14ac:dyDescent="0.25">
      <c r="A466" s="323">
        <v>42552</v>
      </c>
      <c r="B466" s="192">
        <v>2016</v>
      </c>
      <c r="C466" s="236" t="s">
        <v>391</v>
      </c>
      <c r="D466" s="237" t="s">
        <v>458</v>
      </c>
      <c r="E466" s="234"/>
      <c r="F466" s="215">
        <v>6</v>
      </c>
      <c r="G466" s="235"/>
      <c r="H466" s="217">
        <f t="shared" si="41"/>
        <v>0</v>
      </c>
      <c r="I466" s="216">
        <f t="shared" si="42"/>
        <v>0</v>
      </c>
      <c r="J466" s="227"/>
      <c r="K466" s="218">
        <v>42571</v>
      </c>
      <c r="L466" s="215">
        <v>7038</v>
      </c>
      <c r="M466" s="215" t="s">
        <v>509</v>
      </c>
      <c r="N466" s="215">
        <v>5</v>
      </c>
      <c r="O466" s="219"/>
      <c r="P466" s="219"/>
    </row>
    <row r="467" spans="1:16" ht="25.5" hidden="1" outlineLevel="2" x14ac:dyDescent="0.25">
      <c r="A467" s="323">
        <v>42552</v>
      </c>
      <c r="B467" s="192">
        <v>2016</v>
      </c>
      <c r="C467" s="236" t="s">
        <v>391</v>
      </c>
      <c r="D467" s="237" t="s">
        <v>76</v>
      </c>
      <c r="E467" s="234"/>
      <c r="F467" s="215"/>
      <c r="G467" s="235"/>
      <c r="H467" s="217">
        <f t="shared" si="41"/>
        <v>0</v>
      </c>
      <c r="I467" s="216">
        <f t="shared" si="42"/>
        <v>0</v>
      </c>
      <c r="J467" s="227"/>
      <c r="K467" s="218">
        <v>42571</v>
      </c>
      <c r="L467" s="215">
        <v>7038</v>
      </c>
      <c r="M467" s="215" t="s">
        <v>509</v>
      </c>
      <c r="N467" s="215">
        <v>5</v>
      </c>
      <c r="O467" s="219"/>
      <c r="P467" s="219"/>
    </row>
    <row r="468" spans="1:16" ht="25.5" hidden="1" outlineLevel="2" x14ac:dyDescent="0.25">
      <c r="A468" s="323">
        <v>42552</v>
      </c>
      <c r="B468" s="192">
        <v>2016</v>
      </c>
      <c r="C468" s="236" t="s">
        <v>391</v>
      </c>
      <c r="D468" s="237" t="s">
        <v>87</v>
      </c>
      <c r="E468" s="234"/>
      <c r="F468" s="215">
        <v>900</v>
      </c>
      <c r="G468" s="235"/>
      <c r="H468" s="217">
        <f t="shared" si="41"/>
        <v>0</v>
      </c>
      <c r="I468" s="216">
        <f t="shared" si="42"/>
        <v>0</v>
      </c>
      <c r="J468" s="227"/>
      <c r="K468" s="228">
        <v>42566</v>
      </c>
      <c r="L468" s="215"/>
      <c r="M468" s="227" t="s">
        <v>508</v>
      </c>
      <c r="N468" s="227">
        <v>6</v>
      </c>
      <c r="O468" s="219"/>
      <c r="P468" s="219"/>
    </row>
    <row r="469" spans="1:16" ht="25.5" hidden="1" outlineLevel="2" x14ac:dyDescent="0.25">
      <c r="A469" s="323">
        <v>42552</v>
      </c>
      <c r="B469" s="192">
        <v>2016</v>
      </c>
      <c r="C469" s="236" t="s">
        <v>391</v>
      </c>
      <c r="D469" s="237" t="s">
        <v>87</v>
      </c>
      <c r="E469" s="234"/>
      <c r="F469" s="215">
        <v>1280</v>
      </c>
      <c r="G469" s="235"/>
      <c r="H469" s="217">
        <f t="shared" si="41"/>
        <v>0</v>
      </c>
      <c r="I469" s="216">
        <f t="shared" si="42"/>
        <v>0</v>
      </c>
      <c r="J469" s="227"/>
      <c r="K469" s="218">
        <v>42571</v>
      </c>
      <c r="L469" s="215">
        <v>7038</v>
      </c>
      <c r="M469" s="215" t="s">
        <v>509</v>
      </c>
      <c r="N469" s="215">
        <v>5</v>
      </c>
      <c r="O469" s="219"/>
      <c r="P469" s="219"/>
    </row>
    <row r="470" spans="1:16" ht="15.75" hidden="1" outlineLevel="2" x14ac:dyDescent="0.25">
      <c r="A470" s="323">
        <v>42552</v>
      </c>
      <c r="B470" s="192">
        <v>2016</v>
      </c>
      <c r="C470" s="236" t="s">
        <v>391</v>
      </c>
      <c r="D470" s="237"/>
      <c r="E470" s="234"/>
      <c r="F470" s="215"/>
      <c r="G470" s="235"/>
      <c r="H470" s="217" t="e">
        <f t="shared" si="41"/>
        <v>#N/A</v>
      </c>
      <c r="I470" s="216" t="e">
        <f t="shared" si="42"/>
        <v>#N/A</v>
      </c>
      <c r="J470" s="227"/>
      <c r="K470" s="227"/>
      <c r="L470" s="215"/>
      <c r="M470" s="227"/>
      <c r="N470" s="227"/>
      <c r="O470" s="219"/>
      <c r="P470" s="219"/>
    </row>
    <row r="471" spans="1:16" ht="15.75" hidden="1" outlineLevel="2" x14ac:dyDescent="0.25">
      <c r="A471" s="323">
        <v>42552</v>
      </c>
      <c r="B471" s="192">
        <v>2016</v>
      </c>
      <c r="C471" s="236" t="s">
        <v>391</v>
      </c>
      <c r="D471" s="237"/>
      <c r="E471" s="234"/>
      <c r="F471" s="215"/>
      <c r="G471" s="235"/>
      <c r="H471" s="217" t="e">
        <f t="shared" si="41"/>
        <v>#N/A</v>
      </c>
      <c r="I471" s="216" t="e">
        <f t="shared" si="42"/>
        <v>#N/A</v>
      </c>
      <c r="J471" s="227"/>
      <c r="K471" s="227"/>
      <c r="L471" s="215"/>
      <c r="M471" s="227"/>
      <c r="N471" s="227"/>
      <c r="O471" s="219"/>
      <c r="P471" s="219"/>
    </row>
    <row r="472" spans="1:16" ht="15.75" hidden="1" outlineLevel="2" x14ac:dyDescent="0.25">
      <c r="A472" s="323">
        <v>42552</v>
      </c>
      <c r="B472" s="192">
        <v>2016</v>
      </c>
      <c r="C472" s="236" t="s">
        <v>391</v>
      </c>
      <c r="D472" s="237"/>
      <c r="E472" s="234"/>
      <c r="F472" s="215"/>
      <c r="G472" s="235"/>
      <c r="H472" s="217" t="e">
        <f t="shared" si="41"/>
        <v>#N/A</v>
      </c>
      <c r="I472" s="216" t="e">
        <f t="shared" si="42"/>
        <v>#N/A</v>
      </c>
      <c r="J472" s="227"/>
      <c r="K472" s="227"/>
      <c r="L472" s="215"/>
      <c r="M472" s="227"/>
      <c r="N472" s="227"/>
      <c r="O472" s="219"/>
      <c r="P472" s="219"/>
    </row>
    <row r="473" spans="1:16" ht="15.75" hidden="1" outlineLevel="2" x14ac:dyDescent="0.25">
      <c r="A473" s="323">
        <v>42552</v>
      </c>
      <c r="B473" s="192">
        <v>2016</v>
      </c>
      <c r="C473" s="236" t="s">
        <v>391</v>
      </c>
      <c r="D473" s="237"/>
      <c r="E473" s="234"/>
      <c r="F473" s="215"/>
      <c r="G473" s="235"/>
      <c r="H473" s="217" t="e">
        <f t="shared" si="41"/>
        <v>#N/A</v>
      </c>
      <c r="I473" s="216" t="e">
        <f t="shared" si="42"/>
        <v>#N/A</v>
      </c>
      <c r="J473" s="227"/>
      <c r="K473" s="227"/>
      <c r="L473" s="215"/>
      <c r="M473" s="227"/>
      <c r="N473" s="227"/>
      <c r="O473" s="219"/>
      <c r="P473" s="219"/>
    </row>
    <row r="474" spans="1:16" ht="15.75" hidden="1" outlineLevel="2" x14ac:dyDescent="0.25">
      <c r="A474" s="323">
        <v>42552</v>
      </c>
      <c r="B474" s="192">
        <v>2016</v>
      </c>
      <c r="C474" s="236" t="s">
        <v>391</v>
      </c>
      <c r="D474" s="237"/>
      <c r="E474" s="234"/>
      <c r="F474" s="215"/>
      <c r="G474" s="235"/>
      <c r="H474" s="217" t="e">
        <f t="shared" si="41"/>
        <v>#N/A</v>
      </c>
      <c r="I474" s="216" t="e">
        <f t="shared" si="42"/>
        <v>#N/A</v>
      </c>
      <c r="J474" s="227"/>
      <c r="K474" s="227"/>
      <c r="L474" s="215"/>
      <c r="M474" s="227"/>
      <c r="N474" s="227"/>
      <c r="O474" s="219"/>
      <c r="P474" s="219"/>
    </row>
    <row r="475" spans="1:16" ht="15.75" hidden="1" outlineLevel="2" x14ac:dyDescent="0.25">
      <c r="A475" s="323">
        <v>42552</v>
      </c>
      <c r="B475" s="192">
        <v>2016</v>
      </c>
      <c r="C475" s="236" t="s">
        <v>391</v>
      </c>
      <c r="D475" s="237"/>
      <c r="E475" s="234"/>
      <c r="F475" s="215"/>
      <c r="G475" s="235"/>
      <c r="H475" s="217" t="e">
        <f t="shared" si="41"/>
        <v>#N/A</v>
      </c>
      <c r="I475" s="216" t="e">
        <f t="shared" si="42"/>
        <v>#N/A</v>
      </c>
      <c r="J475" s="227"/>
      <c r="K475" s="227"/>
      <c r="L475" s="215"/>
      <c r="M475" s="227"/>
      <c r="N475" s="227"/>
      <c r="O475" s="219"/>
      <c r="P475" s="219"/>
    </row>
    <row r="476" spans="1:16" ht="15.75" hidden="1" outlineLevel="1" x14ac:dyDescent="0.25">
      <c r="A476" s="323">
        <v>42552</v>
      </c>
      <c r="B476" s="192">
        <v>2016</v>
      </c>
      <c r="C476" s="238" t="s">
        <v>398</v>
      </c>
      <c r="D476" s="239" t="s">
        <v>393</v>
      </c>
      <c r="E476" s="234"/>
      <c r="F476" s="240"/>
      <c r="G476" s="235"/>
      <c r="H476" s="217">
        <f t="shared" si="41"/>
        <v>0</v>
      </c>
      <c r="I476" s="227"/>
      <c r="J476" s="227" t="s">
        <v>502</v>
      </c>
      <c r="K476" s="227"/>
      <c r="L476" s="215"/>
      <c r="M476" s="227"/>
      <c r="N476" s="227"/>
      <c r="O476" s="219"/>
      <c r="P476" s="219"/>
    </row>
    <row r="477" spans="1:16" ht="15.75" hidden="1" outlineLevel="2" x14ac:dyDescent="0.25">
      <c r="A477" s="323">
        <v>42552</v>
      </c>
      <c r="B477" s="192">
        <v>2016</v>
      </c>
      <c r="C477" s="238" t="s">
        <v>398</v>
      </c>
      <c r="D477" s="241" t="s">
        <v>393</v>
      </c>
      <c r="E477" s="234"/>
      <c r="F477" s="240"/>
      <c r="G477" s="235"/>
      <c r="H477" s="217">
        <f t="shared" si="41"/>
        <v>0</v>
      </c>
      <c r="I477" s="227"/>
      <c r="J477" s="227" t="s">
        <v>502</v>
      </c>
      <c r="K477" s="227"/>
      <c r="L477" s="215"/>
      <c r="M477" s="227"/>
      <c r="N477" s="227"/>
      <c r="O477" s="219"/>
      <c r="P477" s="219"/>
    </row>
    <row r="478" spans="1:16" ht="15.75" hidden="1" outlineLevel="2" x14ac:dyDescent="0.25">
      <c r="A478" s="323">
        <v>42552</v>
      </c>
      <c r="B478" s="192">
        <v>2016</v>
      </c>
      <c r="C478" s="238" t="s">
        <v>398</v>
      </c>
      <c r="D478" s="242" t="s">
        <v>459</v>
      </c>
      <c r="E478" s="234"/>
      <c r="F478" s="240"/>
      <c r="G478" s="235"/>
      <c r="H478" s="217">
        <f t="shared" si="41"/>
        <v>0</v>
      </c>
      <c r="I478" s="227"/>
      <c r="J478" s="227" t="s">
        <v>502</v>
      </c>
      <c r="K478" s="227"/>
      <c r="L478" s="215"/>
      <c r="M478" s="227"/>
      <c r="N478" s="227"/>
      <c r="O478" s="219"/>
      <c r="P478" s="219"/>
    </row>
    <row r="479" spans="1:16" ht="15.75" hidden="1" outlineLevel="2" x14ac:dyDescent="0.25">
      <c r="A479" s="323">
        <v>42552</v>
      </c>
      <c r="B479" s="192">
        <v>2016</v>
      </c>
      <c r="C479" s="238" t="s">
        <v>398</v>
      </c>
      <c r="D479" s="242" t="s">
        <v>460</v>
      </c>
      <c r="E479" s="234"/>
      <c r="F479" s="240"/>
      <c r="G479" s="235"/>
      <c r="H479" s="217">
        <f t="shared" si="41"/>
        <v>0</v>
      </c>
      <c r="I479" s="227"/>
      <c r="J479" s="227" t="s">
        <v>502</v>
      </c>
      <c r="K479" s="227"/>
      <c r="L479" s="215"/>
      <c r="M479" s="227"/>
      <c r="N479" s="227"/>
      <c r="O479" s="219"/>
      <c r="P479" s="219"/>
    </row>
    <row r="480" spans="1:16" ht="15.75" hidden="1" outlineLevel="2" x14ac:dyDescent="0.25">
      <c r="A480" s="323">
        <v>42552</v>
      </c>
      <c r="B480" s="192">
        <v>2016</v>
      </c>
      <c r="C480" s="238" t="s">
        <v>398</v>
      </c>
      <c r="D480" s="242" t="s">
        <v>461</v>
      </c>
      <c r="E480" s="234"/>
      <c r="F480" s="240"/>
      <c r="G480" s="235"/>
      <c r="H480" s="217">
        <f t="shared" si="41"/>
        <v>0</v>
      </c>
      <c r="I480" s="227"/>
      <c r="J480" s="227" t="s">
        <v>502</v>
      </c>
      <c r="K480" s="227"/>
      <c r="L480" s="215"/>
      <c r="M480" s="227"/>
      <c r="N480" s="227"/>
      <c r="O480" s="219"/>
      <c r="P480" s="219"/>
    </row>
    <row r="481" spans="1:16" ht="15.75" hidden="1" outlineLevel="2" x14ac:dyDescent="0.25">
      <c r="A481" s="323">
        <v>42552</v>
      </c>
      <c r="B481" s="192">
        <v>2016</v>
      </c>
      <c r="C481" s="238" t="s">
        <v>398</v>
      </c>
      <c r="D481" s="242" t="s">
        <v>462</v>
      </c>
      <c r="E481" s="234"/>
      <c r="F481" s="240"/>
      <c r="G481" s="235"/>
      <c r="H481" s="217">
        <f t="shared" si="41"/>
        <v>0</v>
      </c>
      <c r="I481" s="227"/>
      <c r="J481" s="227" t="s">
        <v>502</v>
      </c>
      <c r="K481" s="227"/>
      <c r="L481" s="215"/>
      <c r="M481" s="227"/>
      <c r="N481" s="227"/>
      <c r="O481" s="219"/>
      <c r="P481" s="219"/>
    </row>
    <row r="482" spans="1:16" ht="15.75" hidden="1" outlineLevel="2" x14ac:dyDescent="0.25">
      <c r="A482" s="323">
        <v>42552</v>
      </c>
      <c r="B482" s="192">
        <v>2016</v>
      </c>
      <c r="C482" s="238" t="s">
        <v>398</v>
      </c>
      <c r="D482" s="242" t="s">
        <v>463</v>
      </c>
      <c r="E482" s="234"/>
      <c r="F482" s="240"/>
      <c r="G482" s="235"/>
      <c r="H482" s="217">
        <f t="shared" si="41"/>
        <v>0</v>
      </c>
      <c r="I482" s="227"/>
      <c r="J482" s="227" t="s">
        <v>502</v>
      </c>
      <c r="K482" s="227"/>
      <c r="L482" s="215"/>
      <c r="M482" s="227"/>
      <c r="N482" s="227"/>
      <c r="O482" s="219"/>
      <c r="P482" s="219"/>
    </row>
    <row r="483" spans="1:16" ht="15.75" hidden="1" outlineLevel="2" x14ac:dyDescent="0.25">
      <c r="A483" s="323">
        <v>42552</v>
      </c>
      <c r="B483" s="192">
        <v>2016</v>
      </c>
      <c r="C483" s="238" t="s">
        <v>398</v>
      </c>
      <c r="D483" s="242" t="s">
        <v>464</v>
      </c>
      <c r="E483" s="234"/>
      <c r="F483" s="240"/>
      <c r="G483" s="235"/>
      <c r="H483" s="217">
        <f t="shared" si="41"/>
        <v>0</v>
      </c>
      <c r="I483" s="227"/>
      <c r="J483" s="227" t="s">
        <v>502</v>
      </c>
      <c r="K483" s="227"/>
      <c r="L483" s="215"/>
      <c r="M483" s="227"/>
      <c r="N483" s="227"/>
      <c r="O483" s="219"/>
      <c r="P483" s="219"/>
    </row>
    <row r="484" spans="1:16" ht="15.75" hidden="1" outlineLevel="2" x14ac:dyDescent="0.25">
      <c r="A484" s="323">
        <v>42552</v>
      </c>
      <c r="B484" s="192">
        <v>2016</v>
      </c>
      <c r="C484" s="238" t="s">
        <v>398</v>
      </c>
      <c r="D484" s="242" t="s">
        <v>393</v>
      </c>
      <c r="E484" s="234"/>
      <c r="F484" s="240"/>
      <c r="G484" s="235"/>
      <c r="H484" s="217">
        <f t="shared" si="41"/>
        <v>0</v>
      </c>
      <c r="I484" s="227"/>
      <c r="J484" s="227"/>
      <c r="K484" s="227"/>
      <c r="L484" s="215"/>
      <c r="M484" s="227"/>
      <c r="N484" s="227"/>
      <c r="O484" s="219"/>
      <c r="P484" s="219"/>
    </row>
    <row r="485" spans="1:16" ht="15.75" hidden="1" outlineLevel="2" x14ac:dyDescent="0.25">
      <c r="A485" s="323">
        <v>42552</v>
      </c>
      <c r="B485" s="192">
        <v>2016</v>
      </c>
      <c r="C485" s="238" t="s">
        <v>398</v>
      </c>
      <c r="D485" s="242" t="s">
        <v>393</v>
      </c>
      <c r="E485" s="234"/>
      <c r="F485" s="240"/>
      <c r="G485" s="235"/>
      <c r="H485" s="217">
        <f t="shared" si="41"/>
        <v>0</v>
      </c>
      <c r="I485" s="227"/>
      <c r="J485" s="227"/>
      <c r="K485" s="227"/>
      <c r="L485" s="215"/>
      <c r="M485" s="227"/>
      <c r="N485" s="227"/>
      <c r="O485" s="219"/>
      <c r="P485" s="219"/>
    </row>
    <row r="486" spans="1:16" ht="25.5" hidden="1" outlineLevel="2" x14ac:dyDescent="0.25">
      <c r="A486" s="323">
        <v>42552</v>
      </c>
      <c r="B486" s="192">
        <v>2016</v>
      </c>
      <c r="C486" s="238" t="s">
        <v>398</v>
      </c>
      <c r="D486" s="242" t="s">
        <v>460</v>
      </c>
      <c r="E486" s="234"/>
      <c r="F486" s="240"/>
      <c r="G486" s="235"/>
      <c r="H486" s="217">
        <v>2207</v>
      </c>
      <c r="I486" s="227">
        <v>2207</v>
      </c>
      <c r="J486" s="227" t="s">
        <v>502</v>
      </c>
      <c r="K486" s="228">
        <v>42569</v>
      </c>
      <c r="L486" s="215">
        <v>9003</v>
      </c>
      <c r="M486" s="227" t="s">
        <v>514</v>
      </c>
      <c r="N486" s="227">
        <v>1</v>
      </c>
      <c r="O486" s="219"/>
      <c r="P486" s="219"/>
    </row>
    <row r="487" spans="1:16" ht="15.75" hidden="1" outlineLevel="2" x14ac:dyDescent="0.25">
      <c r="A487" s="323">
        <v>42552</v>
      </c>
      <c r="B487" s="192">
        <v>2016</v>
      </c>
      <c r="C487" s="238" t="s">
        <v>398</v>
      </c>
      <c r="D487" s="242" t="s">
        <v>459</v>
      </c>
      <c r="E487" s="234"/>
      <c r="F487" s="240"/>
      <c r="G487" s="235"/>
      <c r="H487" s="217">
        <v>7879.5</v>
      </c>
      <c r="I487" s="227">
        <v>7879.55</v>
      </c>
      <c r="J487" s="227" t="s">
        <v>502</v>
      </c>
      <c r="K487" s="228">
        <v>42566</v>
      </c>
      <c r="L487" s="215" t="s">
        <v>515</v>
      </c>
      <c r="M487" s="227" t="s">
        <v>513</v>
      </c>
      <c r="N487" s="227">
        <v>7</v>
      </c>
      <c r="O487" s="219"/>
      <c r="P487" s="219"/>
    </row>
    <row r="488" spans="1:16" ht="15.75" hidden="1" outlineLevel="2" x14ac:dyDescent="0.25">
      <c r="A488" s="323">
        <v>42552</v>
      </c>
      <c r="B488" s="192">
        <v>2016</v>
      </c>
      <c r="C488" s="238" t="s">
        <v>398</v>
      </c>
      <c r="D488" s="242" t="s">
        <v>462</v>
      </c>
      <c r="E488" s="234"/>
      <c r="F488" s="240"/>
      <c r="G488" s="235"/>
      <c r="H488" s="217">
        <v>3333.21</v>
      </c>
      <c r="I488" s="227">
        <v>3333.21</v>
      </c>
      <c r="J488" s="227" t="s">
        <v>502</v>
      </c>
      <c r="K488" s="243">
        <v>42576</v>
      </c>
      <c r="L488" s="215" t="s">
        <v>515</v>
      </c>
      <c r="M488" s="227" t="s">
        <v>513</v>
      </c>
      <c r="N488" s="227">
        <v>8</v>
      </c>
      <c r="O488" s="219"/>
      <c r="P488" s="219"/>
    </row>
    <row r="489" spans="1:16" ht="15.75" hidden="1" outlineLevel="2" x14ac:dyDescent="0.25">
      <c r="A489" s="323">
        <v>42552</v>
      </c>
      <c r="B489" s="192">
        <v>2016</v>
      </c>
      <c r="C489" s="238" t="s">
        <v>398</v>
      </c>
      <c r="D489" s="242" t="s">
        <v>464</v>
      </c>
      <c r="E489" s="234"/>
      <c r="F489" s="240"/>
      <c r="G489" s="235"/>
      <c r="H489" s="217">
        <v>5856.68</v>
      </c>
      <c r="I489" s="227">
        <v>5856.68</v>
      </c>
      <c r="J489" s="227" t="s">
        <v>502</v>
      </c>
      <c r="K489" s="243">
        <v>42576</v>
      </c>
      <c r="L489" s="215" t="s">
        <v>515</v>
      </c>
      <c r="M489" s="227" t="s">
        <v>513</v>
      </c>
      <c r="N489" s="227">
        <v>8</v>
      </c>
      <c r="O489" s="219"/>
      <c r="P489" s="219"/>
    </row>
    <row r="490" spans="1:16" ht="15.75" hidden="1" outlineLevel="2" x14ac:dyDescent="0.25">
      <c r="A490" s="323">
        <v>42552</v>
      </c>
      <c r="B490" s="192">
        <v>2016</v>
      </c>
      <c r="C490" s="238" t="s">
        <v>398</v>
      </c>
      <c r="D490" s="242"/>
      <c r="E490" s="234"/>
      <c r="F490" s="240"/>
      <c r="G490" s="235"/>
      <c r="H490" s="217" t="e">
        <f t="shared" si="41"/>
        <v>#N/A</v>
      </c>
      <c r="I490" s="227"/>
      <c r="J490" s="227"/>
      <c r="K490" s="227"/>
      <c r="L490" s="215"/>
      <c r="M490" s="227"/>
      <c r="N490" s="227"/>
      <c r="O490" s="219"/>
      <c r="P490" s="219"/>
    </row>
    <row r="491" spans="1:16" ht="15.75" hidden="1" outlineLevel="2" x14ac:dyDescent="0.25">
      <c r="A491" s="323">
        <v>42552</v>
      </c>
      <c r="B491" s="192">
        <v>2016</v>
      </c>
      <c r="C491" s="238" t="s">
        <v>398</v>
      </c>
      <c r="D491" s="242"/>
      <c r="E491" s="234"/>
      <c r="F491" s="240"/>
      <c r="G491" s="235"/>
      <c r="H491" s="217" t="e">
        <f t="shared" si="41"/>
        <v>#N/A</v>
      </c>
      <c r="I491" s="227"/>
      <c r="J491" s="227"/>
      <c r="K491" s="227"/>
      <c r="L491" s="215"/>
      <c r="M491" s="227"/>
      <c r="N491" s="227"/>
      <c r="O491" s="219"/>
      <c r="P491" s="219"/>
    </row>
    <row r="492" spans="1:16" ht="15.75" hidden="1" outlineLevel="2" x14ac:dyDescent="0.25">
      <c r="A492" s="323">
        <v>42552</v>
      </c>
      <c r="B492" s="192">
        <v>2016</v>
      </c>
      <c r="C492" s="238" t="s">
        <v>398</v>
      </c>
      <c r="D492" s="242"/>
      <c r="E492" s="234"/>
      <c r="F492" s="240"/>
      <c r="G492" s="235"/>
      <c r="H492" s="217" t="e">
        <f t="shared" si="41"/>
        <v>#N/A</v>
      </c>
      <c r="I492" s="227"/>
      <c r="J492" s="227"/>
      <c r="K492" s="227"/>
      <c r="L492" s="215"/>
      <c r="M492" s="227"/>
      <c r="N492" s="227"/>
      <c r="O492" s="219"/>
      <c r="P492" s="219"/>
    </row>
    <row r="493" spans="1:16" ht="15.75" hidden="1" outlineLevel="2" x14ac:dyDescent="0.25">
      <c r="A493" s="323">
        <v>42552</v>
      </c>
      <c r="B493" s="192">
        <v>2016</v>
      </c>
      <c r="C493" s="238" t="s">
        <v>398</v>
      </c>
      <c r="D493" s="242"/>
      <c r="E493" s="234"/>
      <c r="F493" s="240"/>
      <c r="G493" s="235"/>
      <c r="H493" s="217" t="e">
        <f t="shared" si="41"/>
        <v>#N/A</v>
      </c>
      <c r="I493" s="227"/>
      <c r="J493" s="227"/>
      <c r="K493" s="227"/>
      <c r="L493" s="215"/>
      <c r="M493" s="227"/>
      <c r="N493" s="227"/>
      <c r="O493" s="219"/>
      <c r="P493" s="219"/>
    </row>
    <row r="494" spans="1:16" ht="15.75" x14ac:dyDescent="0.25">
      <c r="A494" s="324">
        <v>42583</v>
      </c>
      <c r="B494" s="273">
        <v>2016</v>
      </c>
      <c r="C494" s="245"/>
      <c r="D494" s="246" t="s">
        <v>498</v>
      </c>
      <c r="E494" s="246"/>
      <c r="F494" s="247"/>
      <c r="G494" s="247">
        <f>SUM(G498:G546)</f>
        <v>22917.599999999999</v>
      </c>
      <c r="H494" s="217" t="e">
        <f t="shared" si="41"/>
        <v>#N/A</v>
      </c>
      <c r="I494" s="247"/>
      <c r="J494" s="247"/>
      <c r="K494" s="247"/>
      <c r="L494" s="248"/>
      <c r="M494" s="248"/>
      <c r="N494" s="245"/>
      <c r="O494" s="249"/>
      <c r="P494" s="249"/>
    </row>
    <row r="495" spans="1:16" ht="15.75" outlineLevel="1" x14ac:dyDescent="0.25">
      <c r="A495" s="324">
        <v>42583</v>
      </c>
      <c r="B495" s="273">
        <v>2016</v>
      </c>
      <c r="C495" s="245"/>
      <c r="D495" s="246" t="s">
        <v>499</v>
      </c>
      <c r="E495" s="246"/>
      <c r="F495" s="247">
        <f>SUM(F547:F580)</f>
        <v>1942</v>
      </c>
      <c r="G495" s="247"/>
      <c r="H495" s="217" t="e">
        <f t="shared" si="41"/>
        <v>#N/A</v>
      </c>
      <c r="I495" s="247" t="e">
        <f>SUM(I547:I580)</f>
        <v>#N/A</v>
      </c>
      <c r="J495" s="247"/>
      <c r="K495" s="247"/>
      <c r="L495" s="248"/>
      <c r="M495" s="248"/>
      <c r="N495" s="245"/>
      <c r="O495" s="249"/>
      <c r="P495" s="249"/>
    </row>
    <row r="496" spans="1:16" ht="15.75" outlineLevel="1" x14ac:dyDescent="0.25">
      <c r="A496" s="324">
        <v>42583</v>
      </c>
      <c r="B496" s="273">
        <v>2016</v>
      </c>
      <c r="C496" s="245"/>
      <c r="D496" s="246" t="s">
        <v>500</v>
      </c>
      <c r="E496" s="246"/>
      <c r="F496" s="247">
        <f>SUM(F581:F592)</f>
        <v>4259</v>
      </c>
      <c r="G496" s="247"/>
      <c r="H496" s="217" t="e">
        <f t="shared" si="41"/>
        <v>#N/A</v>
      </c>
      <c r="I496" s="247"/>
      <c r="J496" s="247"/>
      <c r="K496" s="247"/>
      <c r="L496" s="248"/>
      <c r="M496" s="248"/>
      <c r="N496" s="245"/>
      <c r="O496" s="249"/>
      <c r="P496" s="249"/>
    </row>
    <row r="497" spans="1:16" ht="15.75" outlineLevel="1" x14ac:dyDescent="0.25">
      <c r="A497" s="324">
        <v>42583</v>
      </c>
      <c r="B497" s="273">
        <v>2016</v>
      </c>
      <c r="C497" s="245"/>
      <c r="D497" s="246" t="s">
        <v>501</v>
      </c>
      <c r="E497" s="246"/>
      <c r="F497" s="247"/>
      <c r="G497" s="247"/>
      <c r="H497" s="217" t="e">
        <f t="shared" si="41"/>
        <v>#N/A</v>
      </c>
      <c r="I497" s="247">
        <f>SUM(I593:I605)</f>
        <v>0</v>
      </c>
      <c r="J497" s="247"/>
      <c r="K497" s="247"/>
      <c r="L497" s="248"/>
      <c r="M497" s="248"/>
      <c r="N497" s="245"/>
      <c r="O497" s="250"/>
      <c r="P497" s="250"/>
    </row>
    <row r="498" spans="1:16" ht="15.75" outlineLevel="1" x14ac:dyDescent="0.25">
      <c r="A498" s="324">
        <v>42583</v>
      </c>
      <c r="B498" s="273">
        <v>2016</v>
      </c>
      <c r="C498" s="251" t="s">
        <v>396</v>
      </c>
      <c r="D498" s="213" t="s">
        <v>61</v>
      </c>
      <c r="E498" s="252">
        <v>6000</v>
      </c>
      <c r="F498" s="253">
        <v>19</v>
      </c>
      <c r="G498" s="254">
        <f>F498*E498/1000</f>
        <v>114</v>
      </c>
      <c r="H498" s="217">
        <f t="shared" si="41"/>
        <v>1.115</v>
      </c>
      <c r="I498" s="254">
        <f>H498*G498</f>
        <v>127.11</v>
      </c>
      <c r="J498" s="253" t="s">
        <v>502</v>
      </c>
      <c r="K498" s="255">
        <v>42583</v>
      </c>
      <c r="L498" s="253">
        <v>7038</v>
      </c>
      <c r="M498" s="253" t="s">
        <v>513</v>
      </c>
      <c r="N498" s="253"/>
      <c r="O498" s="256"/>
      <c r="P498" s="256"/>
    </row>
    <row r="499" spans="1:16" ht="15.75" outlineLevel="2" x14ac:dyDescent="0.25">
      <c r="A499" s="324">
        <v>42583</v>
      </c>
      <c r="B499" s="273">
        <v>2016</v>
      </c>
      <c r="C499" s="251" t="s">
        <v>396</v>
      </c>
      <c r="D499" s="213" t="s">
        <v>64</v>
      </c>
      <c r="E499" s="252">
        <v>6000</v>
      </c>
      <c r="F499" s="253">
        <v>190</v>
      </c>
      <c r="G499" s="254">
        <f t="shared" ref="G499:G524" si="43">F499*E499/1000</f>
        <v>1140</v>
      </c>
      <c r="H499" s="217">
        <f t="shared" si="41"/>
        <v>5.6950000000000003</v>
      </c>
      <c r="I499" s="254">
        <f t="shared" ref="I499:I523" si="44">H499*G499</f>
        <v>6492.3</v>
      </c>
      <c r="J499" s="253" t="s">
        <v>502</v>
      </c>
      <c r="K499" s="255">
        <v>42583</v>
      </c>
      <c r="L499" s="253">
        <v>7038</v>
      </c>
      <c r="M499" s="253" t="s">
        <v>513</v>
      </c>
      <c r="N499" s="253"/>
      <c r="O499" s="256"/>
      <c r="P499" s="256"/>
    </row>
    <row r="500" spans="1:16" ht="15.75" outlineLevel="2" x14ac:dyDescent="0.25">
      <c r="A500" s="324">
        <v>42583</v>
      </c>
      <c r="B500" s="273">
        <v>2016</v>
      </c>
      <c r="C500" s="251" t="s">
        <v>396</v>
      </c>
      <c r="D500" s="213" t="s">
        <v>63</v>
      </c>
      <c r="E500" s="252">
        <v>6000</v>
      </c>
      <c r="F500" s="253">
        <v>41</v>
      </c>
      <c r="G500" s="254">
        <f t="shared" si="43"/>
        <v>246</v>
      </c>
      <c r="H500" s="217">
        <f t="shared" ref="H500:H615" si="45">VLOOKUP(D500,$D$5:$E$359,2,FALSE)</f>
        <v>3.1069999999999998</v>
      </c>
      <c r="I500" s="254">
        <f t="shared" si="44"/>
        <v>764.32199999999989</v>
      </c>
      <c r="J500" s="253" t="s">
        <v>502</v>
      </c>
      <c r="K500" s="255">
        <v>42583</v>
      </c>
      <c r="L500" s="253">
        <v>7038</v>
      </c>
      <c r="M500" s="253" t="s">
        <v>513</v>
      </c>
      <c r="N500" s="253"/>
      <c r="O500" s="256"/>
      <c r="P500" s="256"/>
    </row>
    <row r="501" spans="1:16" ht="15.75" outlineLevel="2" x14ac:dyDescent="0.25">
      <c r="A501" s="324">
        <v>42583</v>
      </c>
      <c r="B501" s="273">
        <v>2016</v>
      </c>
      <c r="C501" s="251" t="s">
        <v>396</v>
      </c>
      <c r="D501" s="213" t="s">
        <v>62</v>
      </c>
      <c r="E501" s="252">
        <v>6000</v>
      </c>
      <c r="F501" s="253">
        <v>20</v>
      </c>
      <c r="G501" s="254">
        <f t="shared" si="43"/>
        <v>120</v>
      </c>
      <c r="H501" s="217">
        <f t="shared" si="45"/>
        <v>2.367</v>
      </c>
      <c r="I501" s="254">
        <f t="shared" si="44"/>
        <v>284.04000000000002</v>
      </c>
      <c r="J501" s="253" t="s">
        <v>502</v>
      </c>
      <c r="K501" s="255">
        <v>42583</v>
      </c>
      <c r="L501" s="253">
        <v>7038</v>
      </c>
      <c r="M501" s="253" t="s">
        <v>513</v>
      </c>
      <c r="N501" s="253"/>
      <c r="O501" s="256"/>
      <c r="P501" s="256"/>
    </row>
    <row r="502" spans="1:16" ht="15.75" outlineLevel="2" x14ac:dyDescent="0.25">
      <c r="A502" s="324">
        <v>42583</v>
      </c>
      <c r="B502" s="273">
        <v>2016</v>
      </c>
      <c r="C502" s="251" t="s">
        <v>396</v>
      </c>
      <c r="D502" s="213" t="s">
        <v>60</v>
      </c>
      <c r="E502" s="252">
        <v>6000</v>
      </c>
      <c r="F502" s="253">
        <v>83</v>
      </c>
      <c r="G502" s="254">
        <f t="shared" si="43"/>
        <v>498</v>
      </c>
      <c r="H502" s="217">
        <f t="shared" si="45"/>
        <v>0.63800000000000001</v>
      </c>
      <c r="I502" s="254">
        <f t="shared" si="44"/>
        <v>317.72399999999999</v>
      </c>
      <c r="J502" s="253" t="s">
        <v>502</v>
      </c>
      <c r="K502" s="255">
        <v>42583</v>
      </c>
      <c r="L502" s="253">
        <v>7038</v>
      </c>
      <c r="M502" s="253" t="s">
        <v>513</v>
      </c>
      <c r="N502" s="253"/>
      <c r="O502" s="256"/>
      <c r="P502" s="256"/>
    </row>
    <row r="503" spans="1:16" ht="15.75" outlineLevel="2" x14ac:dyDescent="0.25">
      <c r="A503" s="324">
        <v>42583</v>
      </c>
      <c r="B503" s="273">
        <v>2016</v>
      </c>
      <c r="C503" s="251" t="s">
        <v>396</v>
      </c>
      <c r="D503" s="213" t="s">
        <v>25</v>
      </c>
      <c r="E503" s="252">
        <v>6000</v>
      </c>
      <c r="F503" s="253">
        <v>282</v>
      </c>
      <c r="G503" s="254">
        <f t="shared" si="43"/>
        <v>1692</v>
      </c>
      <c r="H503" s="217">
        <f t="shared" si="45"/>
        <v>1.121</v>
      </c>
      <c r="I503" s="254">
        <f t="shared" si="44"/>
        <v>1896.732</v>
      </c>
      <c r="J503" s="253" t="s">
        <v>502</v>
      </c>
      <c r="K503" s="255">
        <v>42583</v>
      </c>
      <c r="L503" s="253">
        <v>7038</v>
      </c>
      <c r="M503" s="253" t="s">
        <v>513</v>
      </c>
      <c r="N503" s="253"/>
      <c r="O503" s="256"/>
      <c r="P503" s="256"/>
    </row>
    <row r="504" spans="1:16" ht="25.5" outlineLevel="2" x14ac:dyDescent="0.25">
      <c r="A504" s="324">
        <v>42583</v>
      </c>
      <c r="B504" s="273">
        <v>2016</v>
      </c>
      <c r="C504" s="251" t="s">
        <v>396</v>
      </c>
      <c r="D504" s="213" t="s">
        <v>57</v>
      </c>
      <c r="E504" s="252">
        <v>3000</v>
      </c>
      <c r="F504" s="253">
        <v>14</v>
      </c>
      <c r="G504" s="254">
        <f>F504*E504/1000</f>
        <v>42</v>
      </c>
      <c r="H504" s="217">
        <f t="shared" si="45"/>
        <v>1.738</v>
      </c>
      <c r="I504" s="254">
        <f>H504*G504</f>
        <v>72.995999999999995</v>
      </c>
      <c r="J504" s="253" t="s">
        <v>502</v>
      </c>
      <c r="K504" s="255">
        <v>42585</v>
      </c>
      <c r="L504" s="253">
        <v>7038</v>
      </c>
      <c r="M504" s="253" t="s">
        <v>537</v>
      </c>
      <c r="N504" s="253">
        <v>12</v>
      </c>
      <c r="O504" s="256"/>
      <c r="P504" s="256"/>
    </row>
    <row r="505" spans="1:16" ht="25.5" outlineLevel="2" x14ac:dyDescent="0.25">
      <c r="A505" s="324">
        <v>42583</v>
      </c>
      <c r="B505" s="273">
        <v>2016</v>
      </c>
      <c r="C505" s="251" t="s">
        <v>396</v>
      </c>
      <c r="D505" s="213" t="s">
        <v>61</v>
      </c>
      <c r="E505" s="252">
        <v>3000</v>
      </c>
      <c r="F505" s="253">
        <v>14</v>
      </c>
      <c r="G505" s="254">
        <f t="shared" si="43"/>
        <v>42</v>
      </c>
      <c r="H505" s="217">
        <f t="shared" si="45"/>
        <v>1.115</v>
      </c>
      <c r="I505" s="254">
        <f t="shared" si="44"/>
        <v>46.83</v>
      </c>
      <c r="J505" s="253" t="s">
        <v>502</v>
      </c>
      <c r="K505" s="255">
        <v>42585</v>
      </c>
      <c r="L505" s="253">
        <v>7038</v>
      </c>
      <c r="M505" s="253" t="s">
        <v>537</v>
      </c>
      <c r="N505" s="253">
        <v>12</v>
      </c>
      <c r="O505" s="256"/>
      <c r="P505" s="256"/>
    </row>
    <row r="506" spans="1:16" ht="15.75" outlineLevel="2" x14ac:dyDescent="0.25">
      <c r="A506" s="324">
        <v>42583</v>
      </c>
      <c r="B506" s="273">
        <v>2016</v>
      </c>
      <c r="C506" s="251" t="s">
        <v>396</v>
      </c>
      <c r="D506" s="213" t="s">
        <v>63</v>
      </c>
      <c r="E506" s="252">
        <v>6000</v>
      </c>
      <c r="F506" s="253">
        <v>4</v>
      </c>
      <c r="G506" s="254">
        <f t="shared" si="43"/>
        <v>24</v>
      </c>
      <c r="H506" s="217">
        <f t="shared" si="45"/>
        <v>3.1069999999999998</v>
      </c>
      <c r="I506" s="254">
        <f t="shared" si="44"/>
        <v>74.567999999999998</v>
      </c>
      <c r="J506" s="253" t="s">
        <v>502</v>
      </c>
      <c r="K506" s="255">
        <v>42583</v>
      </c>
      <c r="L506" s="253">
        <v>7038</v>
      </c>
      <c r="M506" s="253" t="s">
        <v>513</v>
      </c>
      <c r="N506" s="253">
        <v>11</v>
      </c>
      <c r="O506" s="256"/>
      <c r="P506" s="256"/>
    </row>
    <row r="507" spans="1:16" ht="15.75" outlineLevel="2" x14ac:dyDescent="0.25">
      <c r="A507" s="324">
        <v>42583</v>
      </c>
      <c r="B507" s="273">
        <v>2016</v>
      </c>
      <c r="C507" s="251" t="s">
        <v>396</v>
      </c>
      <c r="D507" s="213" t="s">
        <v>62</v>
      </c>
      <c r="E507" s="252">
        <v>6000</v>
      </c>
      <c r="F507" s="253">
        <v>13</v>
      </c>
      <c r="G507" s="254">
        <f t="shared" si="43"/>
        <v>78</v>
      </c>
      <c r="H507" s="217">
        <f t="shared" si="45"/>
        <v>2.367</v>
      </c>
      <c r="I507" s="254">
        <f t="shared" si="44"/>
        <v>184.626</v>
      </c>
      <c r="J507" s="253" t="s">
        <v>502</v>
      </c>
      <c r="K507" s="255">
        <v>42583</v>
      </c>
      <c r="L507" s="253">
        <v>7038</v>
      </c>
      <c r="M507" s="253" t="s">
        <v>513</v>
      </c>
      <c r="N507" s="253">
        <v>11</v>
      </c>
      <c r="O507" s="256"/>
      <c r="P507" s="256"/>
    </row>
    <row r="508" spans="1:16" ht="15.75" outlineLevel="2" x14ac:dyDescent="0.25">
      <c r="A508" s="324">
        <v>42583</v>
      </c>
      <c r="B508" s="273">
        <v>2016</v>
      </c>
      <c r="C508" s="251" t="s">
        <v>396</v>
      </c>
      <c r="D508" s="213" t="s">
        <v>60</v>
      </c>
      <c r="E508" s="252">
        <v>6000</v>
      </c>
      <c r="F508" s="253">
        <v>26</v>
      </c>
      <c r="G508" s="254">
        <f t="shared" si="43"/>
        <v>156</v>
      </c>
      <c r="H508" s="217">
        <f t="shared" si="45"/>
        <v>0.63800000000000001</v>
      </c>
      <c r="I508" s="254">
        <f t="shared" si="44"/>
        <v>99.528000000000006</v>
      </c>
      <c r="J508" s="253" t="s">
        <v>502</v>
      </c>
      <c r="K508" s="255">
        <v>42583</v>
      </c>
      <c r="L508" s="253">
        <v>7038</v>
      </c>
      <c r="M508" s="253" t="s">
        <v>513</v>
      </c>
      <c r="N508" s="253">
        <v>11</v>
      </c>
      <c r="O508" s="256"/>
      <c r="P508" s="256"/>
    </row>
    <row r="509" spans="1:16" ht="15.75" outlineLevel="2" x14ac:dyDescent="0.25">
      <c r="A509" s="324">
        <v>42583</v>
      </c>
      <c r="B509" s="273">
        <v>2016</v>
      </c>
      <c r="C509" s="251" t="s">
        <v>396</v>
      </c>
      <c r="D509" s="213" t="s">
        <v>63</v>
      </c>
      <c r="E509" s="252">
        <v>6000</v>
      </c>
      <c r="F509" s="253">
        <v>21</v>
      </c>
      <c r="G509" s="254">
        <f t="shared" si="43"/>
        <v>126</v>
      </c>
      <c r="H509" s="217">
        <f t="shared" si="45"/>
        <v>3.1069999999999998</v>
      </c>
      <c r="I509" s="254">
        <f t="shared" si="44"/>
        <v>391.48199999999997</v>
      </c>
      <c r="J509" s="253" t="s">
        <v>502</v>
      </c>
      <c r="K509" s="255">
        <v>42583</v>
      </c>
      <c r="L509" s="253">
        <v>7038</v>
      </c>
      <c r="M509" s="253" t="s">
        <v>513</v>
      </c>
      <c r="N509" s="253">
        <v>8</v>
      </c>
      <c r="O509" s="256"/>
      <c r="P509" s="256"/>
    </row>
    <row r="510" spans="1:16" ht="15.75" outlineLevel="2" x14ac:dyDescent="0.25">
      <c r="A510" s="324">
        <v>42583</v>
      </c>
      <c r="B510" s="273">
        <v>2016</v>
      </c>
      <c r="C510" s="251" t="s">
        <v>396</v>
      </c>
      <c r="D510" s="213" t="s">
        <v>62</v>
      </c>
      <c r="E510" s="252">
        <v>6000</v>
      </c>
      <c r="F510" s="253">
        <v>22</v>
      </c>
      <c r="G510" s="254">
        <f t="shared" si="43"/>
        <v>132</v>
      </c>
      <c r="H510" s="217">
        <f t="shared" si="45"/>
        <v>2.367</v>
      </c>
      <c r="I510" s="254">
        <f t="shared" si="44"/>
        <v>312.44400000000002</v>
      </c>
      <c r="J510" s="253" t="s">
        <v>502</v>
      </c>
      <c r="K510" s="255">
        <v>42583</v>
      </c>
      <c r="L510" s="253">
        <v>7038</v>
      </c>
      <c r="M510" s="253" t="s">
        <v>513</v>
      </c>
      <c r="N510" s="253">
        <v>8</v>
      </c>
      <c r="O510" s="256"/>
      <c r="P510" s="256"/>
    </row>
    <row r="511" spans="1:16" ht="15.75" outlineLevel="2" x14ac:dyDescent="0.25">
      <c r="A511" s="324">
        <v>42583</v>
      </c>
      <c r="B511" s="273">
        <v>2016</v>
      </c>
      <c r="C511" s="251" t="s">
        <v>396</v>
      </c>
      <c r="D511" s="213" t="s">
        <v>61</v>
      </c>
      <c r="E511" s="252">
        <v>6000</v>
      </c>
      <c r="F511" s="253">
        <v>14</v>
      </c>
      <c r="G511" s="254">
        <f t="shared" ref="G511:G518" si="46">F511*E511/1000</f>
        <v>84</v>
      </c>
      <c r="H511" s="217">
        <f t="shared" ref="H511:H518" si="47">VLOOKUP(D511,$D$5:$E$359,2,FALSE)</f>
        <v>1.115</v>
      </c>
      <c r="I511" s="254">
        <f t="shared" ref="I511:I518" si="48">H511*G511</f>
        <v>93.66</v>
      </c>
      <c r="J511" s="253" t="s">
        <v>502</v>
      </c>
      <c r="K511" s="255">
        <v>42583</v>
      </c>
      <c r="L511" s="253">
        <v>7038</v>
      </c>
      <c r="M511" s="253" t="s">
        <v>513</v>
      </c>
      <c r="N511" s="253">
        <v>21</v>
      </c>
      <c r="O511" s="256"/>
      <c r="P511" s="256"/>
    </row>
    <row r="512" spans="1:16" ht="15.75" outlineLevel="2" x14ac:dyDescent="0.25">
      <c r="A512" s="324">
        <v>42583</v>
      </c>
      <c r="B512" s="273">
        <v>2016</v>
      </c>
      <c r="C512" s="251" t="s">
        <v>396</v>
      </c>
      <c r="D512" s="213" t="s">
        <v>61</v>
      </c>
      <c r="E512" s="252">
        <v>6000</v>
      </c>
      <c r="F512" s="253">
        <v>34</v>
      </c>
      <c r="G512" s="254">
        <f t="shared" si="46"/>
        <v>204</v>
      </c>
      <c r="H512" s="217">
        <f t="shared" si="47"/>
        <v>1.115</v>
      </c>
      <c r="I512" s="254">
        <f t="shared" si="48"/>
        <v>227.46</v>
      </c>
      <c r="J512" s="253" t="s">
        <v>502</v>
      </c>
      <c r="K512" s="255">
        <v>42583</v>
      </c>
      <c r="L512" s="253">
        <v>7038</v>
      </c>
      <c r="M512" s="253" t="s">
        <v>513</v>
      </c>
      <c r="N512" s="253">
        <v>22</v>
      </c>
      <c r="O512" s="256"/>
      <c r="P512" s="256"/>
    </row>
    <row r="513" spans="1:16" ht="15.75" outlineLevel="2" x14ac:dyDescent="0.25">
      <c r="A513" s="324">
        <v>42583</v>
      </c>
      <c r="B513" s="273">
        <v>2016</v>
      </c>
      <c r="C513" s="251" t="s">
        <v>396</v>
      </c>
      <c r="D513" s="53" t="s">
        <v>43</v>
      </c>
      <c r="E513" s="252">
        <v>6000</v>
      </c>
      <c r="F513" s="253">
        <v>42</v>
      </c>
      <c r="G513" s="254">
        <f t="shared" si="46"/>
        <v>252</v>
      </c>
      <c r="H513" s="217">
        <f t="shared" si="47"/>
        <v>0.95699999999999996</v>
      </c>
      <c r="I513" s="254">
        <f t="shared" si="48"/>
        <v>241.16399999999999</v>
      </c>
      <c r="J513" s="253" t="s">
        <v>502</v>
      </c>
      <c r="K513" s="255">
        <v>42592</v>
      </c>
      <c r="L513" s="253" t="s">
        <v>506</v>
      </c>
      <c r="M513" s="253" t="s">
        <v>538</v>
      </c>
      <c r="N513" s="253">
        <v>1</v>
      </c>
      <c r="O513" s="256"/>
      <c r="P513" s="256"/>
    </row>
    <row r="514" spans="1:16" ht="15.75" outlineLevel="2" x14ac:dyDescent="0.25">
      <c r="A514" s="324">
        <v>42583</v>
      </c>
      <c r="B514" s="273">
        <v>2016</v>
      </c>
      <c r="C514" s="251" t="s">
        <v>396</v>
      </c>
      <c r="D514" s="53" t="s">
        <v>48</v>
      </c>
      <c r="E514" s="252">
        <v>3300</v>
      </c>
      <c r="F514" s="253">
        <v>76</v>
      </c>
      <c r="G514" s="254">
        <f t="shared" si="46"/>
        <v>250.8</v>
      </c>
      <c r="H514" s="217">
        <f t="shared" si="47"/>
        <v>0.67900000000000005</v>
      </c>
      <c r="I514" s="254">
        <f t="shared" si="48"/>
        <v>170.29320000000001</v>
      </c>
      <c r="J514" s="253" t="s">
        <v>502</v>
      </c>
      <c r="K514" s="255">
        <v>42592</v>
      </c>
      <c r="L514" s="253" t="s">
        <v>506</v>
      </c>
      <c r="M514" s="253" t="s">
        <v>538</v>
      </c>
      <c r="N514" s="253">
        <v>1</v>
      </c>
      <c r="O514" s="256"/>
      <c r="P514" s="256"/>
    </row>
    <row r="515" spans="1:16" ht="15.75" outlineLevel="2" x14ac:dyDescent="0.25">
      <c r="A515" s="324">
        <v>42583</v>
      </c>
      <c r="B515" s="273">
        <v>2016</v>
      </c>
      <c r="C515" s="251" t="s">
        <v>396</v>
      </c>
      <c r="D515" s="53" t="s">
        <v>47</v>
      </c>
      <c r="E515" s="252">
        <v>6000</v>
      </c>
      <c r="F515" s="253">
        <v>87</v>
      </c>
      <c r="G515" s="254">
        <f t="shared" si="46"/>
        <v>522</v>
      </c>
      <c r="H515" s="217">
        <f t="shared" si="47"/>
        <v>2.0350000000000001</v>
      </c>
      <c r="I515" s="254">
        <f t="shared" si="48"/>
        <v>1062.27</v>
      </c>
      <c r="J515" s="253" t="s">
        <v>502</v>
      </c>
      <c r="K515" s="255">
        <v>42597</v>
      </c>
      <c r="L515" s="253">
        <v>5015</v>
      </c>
      <c r="M515" s="253" t="s">
        <v>505</v>
      </c>
      <c r="N515" s="253">
        <v>6</v>
      </c>
      <c r="O515" s="256"/>
      <c r="P515" s="256"/>
    </row>
    <row r="516" spans="1:16" ht="15.75" outlineLevel="2" x14ac:dyDescent="0.25">
      <c r="A516" s="324">
        <v>42583</v>
      </c>
      <c r="B516" s="273">
        <v>2016</v>
      </c>
      <c r="C516" s="251" t="s">
        <v>396</v>
      </c>
      <c r="D516" s="53" t="s">
        <v>46</v>
      </c>
      <c r="E516" s="252">
        <v>6600</v>
      </c>
      <c r="F516" s="253">
        <v>72</v>
      </c>
      <c r="G516" s="254">
        <f t="shared" si="46"/>
        <v>475.2</v>
      </c>
      <c r="H516" s="217">
        <f t="shared" si="47"/>
        <v>1.665</v>
      </c>
      <c r="I516" s="254">
        <f t="shared" si="48"/>
        <v>791.20799999999997</v>
      </c>
      <c r="J516" s="253" t="s">
        <v>502</v>
      </c>
      <c r="K516" s="255">
        <v>42597</v>
      </c>
      <c r="L516" s="253">
        <v>5015</v>
      </c>
      <c r="M516" s="253" t="s">
        <v>505</v>
      </c>
      <c r="N516" s="253">
        <v>6</v>
      </c>
      <c r="O516" s="256"/>
      <c r="P516" s="256"/>
    </row>
    <row r="517" spans="1:16" ht="15.75" outlineLevel="2" x14ac:dyDescent="0.25">
      <c r="A517" s="324">
        <v>42583</v>
      </c>
      <c r="B517" s="273">
        <v>2016</v>
      </c>
      <c r="C517" s="251" t="s">
        <v>396</v>
      </c>
      <c r="D517" s="53" t="s">
        <v>46</v>
      </c>
      <c r="E517" s="252">
        <v>6000</v>
      </c>
      <c r="F517" s="253">
        <v>126</v>
      </c>
      <c r="G517" s="254">
        <f t="shared" si="46"/>
        <v>756</v>
      </c>
      <c r="H517" s="217">
        <f t="shared" si="47"/>
        <v>1.665</v>
      </c>
      <c r="I517" s="254">
        <f t="shared" si="48"/>
        <v>1258.74</v>
      </c>
      <c r="J517" s="253" t="s">
        <v>502</v>
      </c>
      <c r="K517" s="255">
        <v>42597</v>
      </c>
      <c r="L517" s="253">
        <v>5015</v>
      </c>
      <c r="M517" s="253" t="s">
        <v>505</v>
      </c>
      <c r="N517" s="253">
        <v>6</v>
      </c>
      <c r="O517" s="256"/>
      <c r="P517" s="256"/>
    </row>
    <row r="518" spans="1:16" ht="15.75" outlineLevel="2" x14ac:dyDescent="0.25">
      <c r="A518" s="324">
        <v>42583</v>
      </c>
      <c r="B518" s="273">
        <v>2016</v>
      </c>
      <c r="C518" s="251" t="s">
        <v>396</v>
      </c>
      <c r="D518" s="53" t="s">
        <v>37</v>
      </c>
      <c r="E518" s="252">
        <v>6000</v>
      </c>
      <c r="F518" s="253">
        <v>440</v>
      </c>
      <c r="G518" s="254">
        <f t="shared" si="46"/>
        <v>2640</v>
      </c>
      <c r="H518" s="217">
        <f t="shared" si="47"/>
        <v>0.50600000000000001</v>
      </c>
      <c r="I518" s="254">
        <f t="shared" si="48"/>
        <v>1335.84</v>
      </c>
      <c r="J518" s="253" t="s">
        <v>502</v>
      </c>
      <c r="K518" s="255">
        <v>42597</v>
      </c>
      <c r="L518" s="253">
        <v>5015</v>
      </c>
      <c r="M518" s="253" t="s">
        <v>505</v>
      </c>
      <c r="N518" s="253">
        <v>6</v>
      </c>
      <c r="O518" s="256"/>
      <c r="P518" s="256"/>
    </row>
    <row r="519" spans="1:16" ht="15.75" outlineLevel="2" x14ac:dyDescent="0.25">
      <c r="A519" s="324">
        <v>42583</v>
      </c>
      <c r="B519" s="273">
        <v>2016</v>
      </c>
      <c r="C519" s="251" t="s">
        <v>396</v>
      </c>
      <c r="D519" s="213" t="s">
        <v>41</v>
      </c>
      <c r="E519" s="252">
        <v>6000</v>
      </c>
      <c r="F519" s="253">
        <v>500</v>
      </c>
      <c r="G519" s="254">
        <f t="shared" si="43"/>
        <v>3000</v>
      </c>
      <c r="H519" s="217">
        <f t="shared" si="45"/>
        <v>0.65500000000000003</v>
      </c>
      <c r="I519" s="254">
        <f t="shared" si="44"/>
        <v>1965</v>
      </c>
      <c r="J519" s="253" t="s">
        <v>502</v>
      </c>
      <c r="K519" s="255" t="s">
        <v>548</v>
      </c>
      <c r="L519" s="253">
        <v>1018</v>
      </c>
      <c r="M519" s="253" t="s">
        <v>503</v>
      </c>
      <c r="N519" s="253" t="s">
        <v>550</v>
      </c>
      <c r="O519" s="256"/>
      <c r="P519" s="256"/>
    </row>
    <row r="520" spans="1:16" ht="15.75" outlineLevel="2" x14ac:dyDescent="0.25">
      <c r="A520" s="324">
        <v>42583</v>
      </c>
      <c r="B520" s="273">
        <v>2016</v>
      </c>
      <c r="C520" s="251" t="s">
        <v>396</v>
      </c>
      <c r="D520" s="213" t="s">
        <v>42</v>
      </c>
      <c r="E520" s="252">
        <v>6000</v>
      </c>
      <c r="F520" s="253"/>
      <c r="G520" s="254">
        <f t="shared" si="43"/>
        <v>0</v>
      </c>
      <c r="H520" s="217">
        <f t="shared" si="45"/>
        <v>0.82199999999999995</v>
      </c>
      <c r="I520" s="254">
        <f t="shared" si="44"/>
        <v>0</v>
      </c>
      <c r="J520" s="253" t="s">
        <v>502</v>
      </c>
      <c r="K520" s="255"/>
      <c r="L520" s="253">
        <v>1018</v>
      </c>
      <c r="M520" s="253" t="s">
        <v>503</v>
      </c>
      <c r="N520" s="253"/>
      <c r="O520" s="256"/>
      <c r="P520" s="256"/>
    </row>
    <row r="521" spans="1:16" ht="15.75" outlineLevel="2" x14ac:dyDescent="0.25">
      <c r="A521" s="324">
        <v>42583</v>
      </c>
      <c r="B521" s="273">
        <v>2016</v>
      </c>
      <c r="C521" s="251" t="s">
        <v>396</v>
      </c>
      <c r="D521" s="213" t="s">
        <v>39</v>
      </c>
      <c r="E521" s="252">
        <v>6000</v>
      </c>
      <c r="F521" s="253"/>
      <c r="G521" s="254">
        <f t="shared" si="43"/>
        <v>0</v>
      </c>
      <c r="H521" s="217">
        <f t="shared" si="45"/>
        <v>0.38</v>
      </c>
      <c r="I521" s="254">
        <f t="shared" si="44"/>
        <v>0</v>
      </c>
      <c r="J521" s="253" t="s">
        <v>502</v>
      </c>
      <c r="K521" s="255"/>
      <c r="L521" s="253">
        <v>1018</v>
      </c>
      <c r="M521" s="253" t="s">
        <v>503</v>
      </c>
      <c r="N521" s="253"/>
      <c r="O521" s="256"/>
      <c r="P521" s="256"/>
    </row>
    <row r="522" spans="1:16" ht="15.75" outlineLevel="2" x14ac:dyDescent="0.25">
      <c r="A522" s="324">
        <v>42583</v>
      </c>
      <c r="B522" s="273">
        <v>2016</v>
      </c>
      <c r="C522" s="251" t="s">
        <v>396</v>
      </c>
      <c r="D522" s="213" t="s">
        <v>50</v>
      </c>
      <c r="E522" s="252">
        <v>6000</v>
      </c>
      <c r="F522" s="253"/>
      <c r="G522" s="254">
        <f t="shared" si="43"/>
        <v>0</v>
      </c>
      <c r="H522" s="217">
        <f t="shared" si="45"/>
        <v>0.53100000000000003</v>
      </c>
      <c r="I522" s="254">
        <f t="shared" si="44"/>
        <v>0</v>
      </c>
      <c r="J522" s="253" t="s">
        <v>502</v>
      </c>
      <c r="K522" s="255"/>
      <c r="L522" s="253">
        <v>1018</v>
      </c>
      <c r="M522" s="253" t="s">
        <v>503</v>
      </c>
      <c r="N522" s="253"/>
      <c r="O522" s="256"/>
      <c r="P522" s="256"/>
    </row>
    <row r="523" spans="1:16" ht="15.75" outlineLevel="2" x14ac:dyDescent="0.25">
      <c r="A523" s="324">
        <v>42583</v>
      </c>
      <c r="B523" s="273">
        <v>2016</v>
      </c>
      <c r="C523" s="251" t="s">
        <v>396</v>
      </c>
      <c r="D523" s="213" t="s">
        <v>44</v>
      </c>
      <c r="E523" s="252">
        <v>6000</v>
      </c>
      <c r="F523" s="253"/>
      <c r="G523" s="254">
        <f t="shared" si="43"/>
        <v>0</v>
      </c>
      <c r="H523" s="217">
        <f t="shared" si="45"/>
        <v>1.1789999999999998</v>
      </c>
      <c r="I523" s="254">
        <f t="shared" si="44"/>
        <v>0</v>
      </c>
      <c r="J523" s="253" t="s">
        <v>502</v>
      </c>
      <c r="K523" s="255"/>
      <c r="L523" s="253">
        <v>1018</v>
      </c>
      <c r="M523" s="253" t="s">
        <v>503</v>
      </c>
      <c r="N523" s="253"/>
      <c r="O523" s="256"/>
      <c r="P523" s="256"/>
    </row>
    <row r="524" spans="1:16" ht="15.75" outlineLevel="2" x14ac:dyDescent="0.25">
      <c r="A524" s="324">
        <v>42583</v>
      </c>
      <c r="B524" s="273">
        <v>2016</v>
      </c>
      <c r="C524" s="251" t="s">
        <v>396</v>
      </c>
      <c r="D524" s="53" t="s">
        <v>47</v>
      </c>
      <c r="E524" s="220">
        <v>3000</v>
      </c>
      <c r="F524" s="253">
        <v>67</v>
      </c>
      <c r="G524" s="254">
        <f t="shared" si="43"/>
        <v>201</v>
      </c>
      <c r="H524" s="217">
        <f t="shared" si="45"/>
        <v>2.0350000000000001</v>
      </c>
      <c r="I524" s="254">
        <f>H524*G524</f>
        <v>409.03500000000003</v>
      </c>
      <c r="J524" s="253" t="s">
        <v>502</v>
      </c>
      <c r="K524" s="255">
        <v>42597</v>
      </c>
      <c r="L524" s="253">
        <v>7038</v>
      </c>
      <c r="M524" s="253" t="s">
        <v>539</v>
      </c>
      <c r="N524" s="253" t="s">
        <v>512</v>
      </c>
      <c r="O524" s="256"/>
      <c r="P524" s="256"/>
    </row>
    <row r="525" spans="1:16" ht="15.75" outlineLevel="2" x14ac:dyDescent="0.25">
      <c r="A525" s="324">
        <v>42583</v>
      </c>
      <c r="B525" s="273">
        <v>2016</v>
      </c>
      <c r="C525" s="251" t="s">
        <v>396</v>
      </c>
      <c r="D525" s="53"/>
      <c r="E525" s="252"/>
      <c r="F525" s="253"/>
      <c r="G525" s="254">
        <f t="shared" ref="G525:G531" si="49">F525*E525/1000</f>
        <v>0</v>
      </c>
      <c r="H525" s="217" t="e">
        <f t="shared" ref="H525:H528" si="50">VLOOKUP(D525,$D$5:$E$359,2,FALSE)</f>
        <v>#N/A</v>
      </c>
      <c r="I525" s="254" t="e">
        <f t="shared" ref="I525:I528" si="51">H525*G525</f>
        <v>#N/A</v>
      </c>
      <c r="J525" s="253" t="s">
        <v>502</v>
      </c>
      <c r="K525" s="255"/>
      <c r="L525" s="253"/>
      <c r="M525" s="253"/>
      <c r="N525" s="253"/>
      <c r="O525" s="256"/>
      <c r="P525" s="256"/>
    </row>
    <row r="526" spans="1:16" ht="15.75" outlineLevel="2" x14ac:dyDescent="0.25">
      <c r="A526" s="324">
        <v>42583</v>
      </c>
      <c r="B526" s="273">
        <v>2016</v>
      </c>
      <c r="C526" s="251" t="s">
        <v>396</v>
      </c>
      <c r="D526" s="53" t="s">
        <v>46</v>
      </c>
      <c r="E526" s="252">
        <v>6600</v>
      </c>
      <c r="F526" s="253">
        <v>43</v>
      </c>
      <c r="G526" s="254">
        <f t="shared" si="49"/>
        <v>283.8</v>
      </c>
      <c r="H526" s="217">
        <f t="shared" si="50"/>
        <v>1.665</v>
      </c>
      <c r="I526" s="254">
        <f t="shared" si="51"/>
        <v>472.52700000000004</v>
      </c>
      <c r="J526" s="253" t="s">
        <v>502</v>
      </c>
      <c r="K526" s="255">
        <v>42597</v>
      </c>
      <c r="L526" s="253">
        <v>7035</v>
      </c>
      <c r="M526" s="253" t="s">
        <v>505</v>
      </c>
      <c r="N526" s="253" t="s">
        <v>512</v>
      </c>
      <c r="O526" s="256"/>
      <c r="P526" s="256"/>
    </row>
    <row r="527" spans="1:16" ht="15.75" outlineLevel="2" x14ac:dyDescent="0.25">
      <c r="A527" s="324">
        <v>42583</v>
      </c>
      <c r="B527" s="273">
        <v>2016</v>
      </c>
      <c r="C527" s="251" t="s">
        <v>396</v>
      </c>
      <c r="D527" s="53" t="s">
        <v>46</v>
      </c>
      <c r="E527" s="252">
        <v>6000</v>
      </c>
      <c r="F527" s="253">
        <v>78</v>
      </c>
      <c r="G527" s="254">
        <f t="shared" si="49"/>
        <v>468</v>
      </c>
      <c r="H527" s="217">
        <f t="shared" si="50"/>
        <v>1.665</v>
      </c>
      <c r="I527" s="254">
        <f t="shared" si="51"/>
        <v>779.22</v>
      </c>
      <c r="J527" s="253" t="s">
        <v>502</v>
      </c>
      <c r="K527" s="255">
        <v>42597</v>
      </c>
      <c r="L527" s="253">
        <v>7035</v>
      </c>
      <c r="M527" s="253" t="s">
        <v>505</v>
      </c>
      <c r="N527" s="253" t="s">
        <v>512</v>
      </c>
      <c r="O527" s="256"/>
      <c r="P527" s="256"/>
    </row>
    <row r="528" spans="1:16" ht="15.75" outlineLevel="2" x14ac:dyDescent="0.25">
      <c r="A528" s="324">
        <v>42583</v>
      </c>
      <c r="B528" s="273">
        <v>2016</v>
      </c>
      <c r="C528" s="251" t="s">
        <v>396</v>
      </c>
      <c r="D528" s="53" t="s">
        <v>37</v>
      </c>
      <c r="E528" s="252">
        <v>6000</v>
      </c>
      <c r="F528" s="253">
        <v>160</v>
      </c>
      <c r="G528" s="254">
        <f t="shared" si="49"/>
        <v>960</v>
      </c>
      <c r="H528" s="217">
        <f t="shared" si="50"/>
        <v>0.50600000000000001</v>
      </c>
      <c r="I528" s="254">
        <f t="shared" si="51"/>
        <v>485.76</v>
      </c>
      <c r="J528" s="253" t="s">
        <v>502</v>
      </c>
      <c r="K528" s="255">
        <v>42597</v>
      </c>
      <c r="L528" s="253">
        <v>7035</v>
      </c>
      <c r="M528" s="253" t="s">
        <v>505</v>
      </c>
      <c r="N528" s="253" t="s">
        <v>512</v>
      </c>
      <c r="O528" s="256"/>
      <c r="P528" s="256"/>
    </row>
    <row r="529" spans="1:16" ht="15.75" outlineLevel="2" x14ac:dyDescent="0.25">
      <c r="A529" s="324">
        <v>42583</v>
      </c>
      <c r="B529" s="273">
        <v>2016</v>
      </c>
      <c r="C529" s="251" t="s">
        <v>396</v>
      </c>
      <c r="D529" s="53" t="s">
        <v>37</v>
      </c>
      <c r="E529" s="220">
        <v>3300</v>
      </c>
      <c r="F529" s="253">
        <v>490</v>
      </c>
      <c r="G529" s="254">
        <f t="shared" si="49"/>
        <v>1617</v>
      </c>
      <c r="H529" s="217">
        <f t="shared" ref="H529:H533" si="52">VLOOKUP(D529,$D$5:$E$359,2,FALSE)</f>
        <v>0.50600000000000001</v>
      </c>
      <c r="I529" s="254">
        <f t="shared" ref="I529:I533" si="53">H529*G529</f>
        <v>818.202</v>
      </c>
      <c r="J529" s="253" t="s">
        <v>502</v>
      </c>
      <c r="K529" s="255">
        <v>42607</v>
      </c>
      <c r="L529" s="253">
        <v>7040</v>
      </c>
      <c r="M529" s="253" t="s">
        <v>549</v>
      </c>
      <c r="N529" s="253" t="s">
        <v>512</v>
      </c>
      <c r="O529" s="256"/>
      <c r="P529" s="256"/>
    </row>
    <row r="530" spans="1:16" ht="15.75" outlineLevel="2" x14ac:dyDescent="0.25">
      <c r="A530" s="324">
        <v>42583</v>
      </c>
      <c r="B530" s="273">
        <v>2016</v>
      </c>
      <c r="C530" s="251" t="s">
        <v>396</v>
      </c>
      <c r="D530" s="53" t="s">
        <v>37</v>
      </c>
      <c r="E530" s="220">
        <v>3300</v>
      </c>
      <c r="F530" s="253">
        <v>84</v>
      </c>
      <c r="G530" s="254">
        <f t="shared" si="49"/>
        <v>277.2</v>
      </c>
      <c r="H530" s="217">
        <f t="shared" si="52"/>
        <v>0.50600000000000001</v>
      </c>
      <c r="I530" s="254">
        <f t="shared" si="53"/>
        <v>140.26319999999998</v>
      </c>
      <c r="J530" s="253" t="s">
        <v>502</v>
      </c>
      <c r="K530" s="255">
        <v>42607</v>
      </c>
      <c r="L530" s="253">
        <v>1018</v>
      </c>
      <c r="M530" s="253" t="s">
        <v>549</v>
      </c>
      <c r="N530" s="253" t="s">
        <v>512</v>
      </c>
      <c r="O530" s="256"/>
      <c r="P530" s="256"/>
    </row>
    <row r="531" spans="1:16" ht="15.75" outlineLevel="2" x14ac:dyDescent="0.25">
      <c r="A531" s="324">
        <v>42583</v>
      </c>
      <c r="B531" s="273">
        <v>2016</v>
      </c>
      <c r="C531" s="251" t="s">
        <v>396</v>
      </c>
      <c r="D531" s="53" t="s">
        <v>37</v>
      </c>
      <c r="E531" s="220">
        <v>3200</v>
      </c>
      <c r="F531" s="253">
        <v>223</v>
      </c>
      <c r="G531" s="254">
        <f t="shared" si="49"/>
        <v>713.6</v>
      </c>
      <c r="H531" s="217">
        <f t="shared" si="52"/>
        <v>0.50600000000000001</v>
      </c>
      <c r="I531" s="254">
        <f t="shared" si="53"/>
        <v>361.08160000000004</v>
      </c>
      <c r="J531" s="253" t="s">
        <v>502</v>
      </c>
      <c r="K531" s="255">
        <v>42607</v>
      </c>
      <c r="L531" s="253">
        <v>1018</v>
      </c>
      <c r="M531" s="253" t="s">
        <v>549</v>
      </c>
      <c r="N531" s="253" t="s">
        <v>512</v>
      </c>
      <c r="O531" s="256"/>
      <c r="P531" s="256"/>
    </row>
    <row r="532" spans="1:16" ht="15.75" outlineLevel="2" x14ac:dyDescent="0.25">
      <c r="A532" s="324">
        <v>42583</v>
      </c>
      <c r="B532" s="273">
        <v>2016</v>
      </c>
      <c r="C532" s="251" t="s">
        <v>396</v>
      </c>
      <c r="D532" s="53" t="s">
        <v>37</v>
      </c>
      <c r="E532" s="220">
        <v>3400</v>
      </c>
      <c r="F532" s="253">
        <v>325</v>
      </c>
      <c r="G532" s="254">
        <f t="shared" ref="G532:G533" si="54">F532*E532/1000</f>
        <v>1105</v>
      </c>
      <c r="H532" s="217">
        <f t="shared" si="52"/>
        <v>0.50600000000000001</v>
      </c>
      <c r="I532" s="254">
        <f t="shared" si="53"/>
        <v>559.13</v>
      </c>
      <c r="J532" s="253" t="s">
        <v>502</v>
      </c>
      <c r="K532" s="255">
        <v>42607</v>
      </c>
      <c r="L532" s="253">
        <v>7040</v>
      </c>
      <c r="M532" s="253" t="s">
        <v>549</v>
      </c>
      <c r="N532" s="253" t="s">
        <v>512</v>
      </c>
      <c r="O532" s="256"/>
      <c r="P532" s="256"/>
    </row>
    <row r="533" spans="1:16" ht="15.75" outlineLevel="2" x14ac:dyDescent="0.25">
      <c r="A533" s="324">
        <v>42583</v>
      </c>
      <c r="B533" s="273">
        <v>2016</v>
      </c>
      <c r="C533" s="251" t="s">
        <v>396</v>
      </c>
      <c r="D533" s="53" t="s">
        <v>37</v>
      </c>
      <c r="E533" s="220">
        <v>3000</v>
      </c>
      <c r="F533" s="253">
        <v>500</v>
      </c>
      <c r="G533" s="254">
        <f t="shared" si="54"/>
        <v>1500</v>
      </c>
      <c r="H533" s="217">
        <f t="shared" si="52"/>
        <v>0.50600000000000001</v>
      </c>
      <c r="I533" s="254">
        <f t="shared" si="53"/>
        <v>759</v>
      </c>
      <c r="J533" s="253" t="s">
        <v>502</v>
      </c>
      <c r="K533" s="255">
        <v>42607</v>
      </c>
      <c r="L533" s="253">
        <v>1018</v>
      </c>
      <c r="M533" s="253" t="s">
        <v>549</v>
      </c>
      <c r="N533" s="253" t="s">
        <v>512</v>
      </c>
      <c r="O533" s="256"/>
      <c r="P533" s="256"/>
    </row>
    <row r="534" spans="1:16" ht="15.75" outlineLevel="2" x14ac:dyDescent="0.25">
      <c r="A534" s="324">
        <v>42584</v>
      </c>
      <c r="B534" s="273">
        <v>2016</v>
      </c>
      <c r="C534" s="251" t="s">
        <v>396</v>
      </c>
      <c r="D534" s="53" t="s">
        <v>47</v>
      </c>
      <c r="E534" s="220">
        <v>6000</v>
      </c>
      <c r="F534" s="253">
        <v>71</v>
      </c>
      <c r="G534" s="254">
        <f t="shared" ref="G534:G538" si="55">F534*E534/1000</f>
        <v>426</v>
      </c>
      <c r="H534" s="217">
        <f t="shared" ref="H534:H538" si="56">VLOOKUP(D534,$D$5:$E$359,2,FALSE)</f>
        <v>2.0350000000000001</v>
      </c>
      <c r="I534" s="254">
        <f t="shared" ref="I534:I538" si="57">H534*G534</f>
        <v>866.91000000000008</v>
      </c>
      <c r="J534" s="253" t="s">
        <v>502</v>
      </c>
      <c r="K534" s="255">
        <v>42612</v>
      </c>
      <c r="L534" s="253">
        <v>3020</v>
      </c>
      <c r="M534" s="253" t="s">
        <v>504</v>
      </c>
      <c r="N534" s="253" t="s">
        <v>512</v>
      </c>
      <c r="O534" s="256"/>
      <c r="P534" s="256"/>
    </row>
    <row r="535" spans="1:16" ht="15.75" outlineLevel="2" x14ac:dyDescent="0.25">
      <c r="A535" s="324">
        <v>42585</v>
      </c>
      <c r="B535" s="273">
        <v>2016</v>
      </c>
      <c r="C535" s="251" t="s">
        <v>396</v>
      </c>
      <c r="D535" s="53"/>
      <c r="E535" s="220"/>
      <c r="F535" s="253"/>
      <c r="G535" s="254">
        <f t="shared" si="55"/>
        <v>0</v>
      </c>
      <c r="H535" s="217" t="e">
        <f t="shared" si="56"/>
        <v>#N/A</v>
      </c>
      <c r="I535" s="254" t="e">
        <f t="shared" si="57"/>
        <v>#N/A</v>
      </c>
      <c r="J535" s="253" t="s">
        <v>502</v>
      </c>
      <c r="K535" s="255"/>
      <c r="L535" s="253"/>
      <c r="M535" s="253"/>
      <c r="N535" s="253"/>
      <c r="O535" s="256"/>
      <c r="P535" s="256"/>
    </row>
    <row r="536" spans="1:16" ht="15.75" outlineLevel="2" x14ac:dyDescent="0.25">
      <c r="A536" s="324">
        <v>42586</v>
      </c>
      <c r="B536" s="273">
        <v>2016</v>
      </c>
      <c r="C536" s="251" t="s">
        <v>396</v>
      </c>
      <c r="D536" s="53" t="s">
        <v>46</v>
      </c>
      <c r="E536" s="220">
        <v>6000</v>
      </c>
      <c r="F536" s="253">
        <v>146</v>
      </c>
      <c r="G536" s="254">
        <f t="shared" si="55"/>
        <v>876</v>
      </c>
      <c r="H536" s="217">
        <f t="shared" si="56"/>
        <v>1.665</v>
      </c>
      <c r="I536" s="254">
        <f t="shared" si="57"/>
        <v>1458.54</v>
      </c>
      <c r="J536" s="253" t="s">
        <v>502</v>
      </c>
      <c r="K536" s="255">
        <v>42612</v>
      </c>
      <c r="L536" s="253">
        <v>3020</v>
      </c>
      <c r="M536" s="253" t="s">
        <v>504</v>
      </c>
      <c r="N536" s="253" t="s">
        <v>512</v>
      </c>
      <c r="O536" s="256"/>
      <c r="P536" s="256"/>
    </row>
    <row r="537" spans="1:16" ht="15.75" outlineLevel="2" x14ac:dyDescent="0.25">
      <c r="A537" s="324">
        <v>42587</v>
      </c>
      <c r="B537" s="273">
        <v>2016</v>
      </c>
      <c r="C537" s="251" t="s">
        <v>396</v>
      </c>
      <c r="D537" s="53" t="s">
        <v>37</v>
      </c>
      <c r="E537" s="220">
        <v>6000</v>
      </c>
      <c r="F537" s="253">
        <v>307</v>
      </c>
      <c r="G537" s="254">
        <f t="shared" si="55"/>
        <v>1842</v>
      </c>
      <c r="H537" s="217">
        <f t="shared" si="56"/>
        <v>0.50600000000000001</v>
      </c>
      <c r="I537" s="254">
        <f t="shared" si="57"/>
        <v>932.05200000000002</v>
      </c>
      <c r="J537" s="253" t="s">
        <v>502</v>
      </c>
      <c r="K537" s="255">
        <v>42612</v>
      </c>
      <c r="L537" s="253">
        <v>3020</v>
      </c>
      <c r="M537" s="253" t="s">
        <v>504</v>
      </c>
      <c r="N537" s="253" t="s">
        <v>512</v>
      </c>
      <c r="O537" s="256"/>
      <c r="P537" s="256"/>
    </row>
    <row r="538" spans="1:16" ht="15.75" outlineLevel="2" x14ac:dyDescent="0.25">
      <c r="A538" s="324">
        <v>42588</v>
      </c>
      <c r="B538" s="273">
        <v>2016</v>
      </c>
      <c r="C538" s="251" t="s">
        <v>396</v>
      </c>
      <c r="D538" s="53" t="s">
        <v>38</v>
      </c>
      <c r="E538" s="220">
        <v>6000</v>
      </c>
      <c r="F538" s="253">
        <v>9</v>
      </c>
      <c r="G538" s="254">
        <f t="shared" si="55"/>
        <v>54</v>
      </c>
      <c r="H538" s="217">
        <f t="shared" si="56"/>
        <v>0.61099999999999999</v>
      </c>
      <c r="I538" s="254">
        <f t="shared" si="57"/>
        <v>32.994</v>
      </c>
      <c r="J538" s="253" t="s">
        <v>502</v>
      </c>
      <c r="K538" s="255">
        <v>42612</v>
      </c>
      <c r="L538" s="253">
        <v>3020</v>
      </c>
      <c r="M538" s="253" t="s">
        <v>504</v>
      </c>
      <c r="N538" s="253" t="s">
        <v>512</v>
      </c>
      <c r="O538" s="256"/>
      <c r="P538" s="256"/>
    </row>
    <row r="539" spans="1:16" ht="15.75" outlineLevel="2" x14ac:dyDescent="0.25">
      <c r="A539" s="324">
        <v>42583</v>
      </c>
      <c r="B539" s="273">
        <v>2016</v>
      </c>
      <c r="C539" s="251" t="s">
        <v>396</v>
      </c>
      <c r="D539" s="53" t="s">
        <v>53</v>
      </c>
      <c r="E539" s="220"/>
      <c r="F539" s="253"/>
      <c r="G539" s="254">
        <f t="shared" ref="G539:G546" si="58">F539*E539/1000</f>
        <v>0</v>
      </c>
      <c r="H539" s="217">
        <f t="shared" ref="H539:H546" si="59">VLOOKUP(D539,$D$5:$E$359,2,FALSE)</f>
        <v>1.105</v>
      </c>
      <c r="I539" s="254">
        <f t="shared" ref="I539:I546" si="60">H539*G539</f>
        <v>0</v>
      </c>
      <c r="J539" s="253"/>
      <c r="K539" s="253"/>
      <c r="L539" s="253"/>
      <c r="M539" s="253"/>
      <c r="N539" s="253"/>
      <c r="O539" s="256"/>
      <c r="P539" s="256"/>
    </row>
    <row r="540" spans="1:16" ht="15.75" outlineLevel="2" x14ac:dyDescent="0.25">
      <c r="A540" s="324">
        <v>42583</v>
      </c>
      <c r="B540" s="273">
        <v>2016</v>
      </c>
      <c r="C540" s="251" t="s">
        <v>396</v>
      </c>
      <c r="D540" s="53"/>
      <c r="E540" s="220"/>
      <c r="F540" s="253"/>
      <c r="G540" s="254">
        <f t="shared" si="58"/>
        <v>0</v>
      </c>
      <c r="H540" s="217" t="e">
        <f t="shared" si="59"/>
        <v>#N/A</v>
      </c>
      <c r="I540" s="254" t="e">
        <f t="shared" si="60"/>
        <v>#N/A</v>
      </c>
      <c r="J540" s="253"/>
      <c r="K540" s="253"/>
      <c r="L540" s="253"/>
      <c r="M540" s="253"/>
      <c r="N540" s="253"/>
      <c r="O540" s="256"/>
      <c r="P540" s="256"/>
    </row>
    <row r="541" spans="1:16" ht="15.75" outlineLevel="2" x14ac:dyDescent="0.25">
      <c r="A541" s="324">
        <v>42583</v>
      </c>
      <c r="B541" s="273">
        <v>2016</v>
      </c>
      <c r="C541" s="251" t="s">
        <v>396</v>
      </c>
      <c r="D541" s="53"/>
      <c r="E541" s="220"/>
      <c r="F541" s="253"/>
      <c r="G541" s="254">
        <f t="shared" si="58"/>
        <v>0</v>
      </c>
      <c r="H541" s="217" t="e">
        <f t="shared" si="59"/>
        <v>#N/A</v>
      </c>
      <c r="I541" s="254" t="e">
        <f t="shared" si="60"/>
        <v>#N/A</v>
      </c>
      <c r="J541" s="253"/>
      <c r="K541" s="253"/>
      <c r="L541" s="253"/>
      <c r="M541" s="253"/>
      <c r="N541" s="253"/>
      <c r="O541" s="256"/>
      <c r="P541" s="256"/>
    </row>
    <row r="542" spans="1:16" ht="15.75" outlineLevel="2" x14ac:dyDescent="0.25">
      <c r="A542" s="324">
        <v>42583</v>
      </c>
      <c r="B542" s="273">
        <v>2016</v>
      </c>
      <c r="C542" s="251" t="s">
        <v>396</v>
      </c>
      <c r="D542" s="53"/>
      <c r="E542" s="220"/>
      <c r="F542" s="253"/>
      <c r="G542" s="254">
        <f t="shared" si="58"/>
        <v>0</v>
      </c>
      <c r="H542" s="217" t="e">
        <f t="shared" si="59"/>
        <v>#N/A</v>
      </c>
      <c r="I542" s="254" t="e">
        <f t="shared" si="60"/>
        <v>#N/A</v>
      </c>
      <c r="J542" s="253"/>
      <c r="K542" s="253"/>
      <c r="L542" s="253"/>
      <c r="M542" s="253"/>
      <c r="N542" s="253"/>
      <c r="O542" s="256"/>
      <c r="P542" s="256"/>
    </row>
    <row r="543" spans="1:16" ht="15.75" outlineLevel="2" x14ac:dyDescent="0.25">
      <c r="A543" s="324">
        <v>42583</v>
      </c>
      <c r="B543" s="273">
        <v>2016</v>
      </c>
      <c r="C543" s="251" t="s">
        <v>396</v>
      </c>
      <c r="D543" s="53" t="s">
        <v>280</v>
      </c>
      <c r="E543" s="220"/>
      <c r="F543" s="253"/>
      <c r="G543" s="254">
        <f t="shared" si="58"/>
        <v>0</v>
      </c>
      <c r="H543" s="217">
        <f t="shared" si="59"/>
        <v>7.6999999999999999E-2</v>
      </c>
      <c r="I543" s="254">
        <f t="shared" si="60"/>
        <v>0</v>
      </c>
      <c r="J543" s="253"/>
      <c r="K543" s="253"/>
      <c r="L543" s="253"/>
      <c r="M543" s="253"/>
      <c r="N543" s="253"/>
      <c r="O543" s="256"/>
      <c r="P543" s="256"/>
    </row>
    <row r="544" spans="1:16" ht="15.75" outlineLevel="2" x14ac:dyDescent="0.25">
      <c r="A544" s="324">
        <v>42583</v>
      </c>
      <c r="B544" s="273">
        <v>2016</v>
      </c>
      <c r="C544" s="251" t="s">
        <v>396</v>
      </c>
      <c r="D544" s="53" t="s">
        <v>342</v>
      </c>
      <c r="E544" s="220"/>
      <c r="F544" s="253"/>
      <c r="G544" s="254">
        <f t="shared" si="58"/>
        <v>0</v>
      </c>
      <c r="H544" s="217">
        <f t="shared" si="59"/>
        <v>0.38300000000000001</v>
      </c>
      <c r="I544" s="254">
        <f t="shared" si="60"/>
        <v>0</v>
      </c>
      <c r="J544" s="253"/>
      <c r="K544" s="253"/>
      <c r="L544" s="253"/>
      <c r="M544" s="253"/>
      <c r="N544" s="253"/>
      <c r="O544" s="256"/>
      <c r="P544" s="256"/>
    </row>
    <row r="545" spans="1:16" ht="15.75" outlineLevel="2" x14ac:dyDescent="0.25">
      <c r="A545" s="324">
        <v>42583</v>
      </c>
      <c r="B545" s="273">
        <v>2016</v>
      </c>
      <c r="C545" s="251" t="s">
        <v>396</v>
      </c>
      <c r="D545" s="53"/>
      <c r="E545" s="220"/>
      <c r="F545" s="253"/>
      <c r="G545" s="254">
        <f t="shared" si="58"/>
        <v>0</v>
      </c>
      <c r="H545" s="217" t="e">
        <f t="shared" si="59"/>
        <v>#N/A</v>
      </c>
      <c r="I545" s="254" t="e">
        <f t="shared" si="60"/>
        <v>#N/A</v>
      </c>
      <c r="J545" s="253"/>
      <c r="K545" s="253"/>
      <c r="L545" s="253"/>
      <c r="M545" s="253"/>
      <c r="N545" s="253"/>
      <c r="O545" s="256"/>
      <c r="P545" s="256"/>
    </row>
    <row r="546" spans="1:16" ht="15.75" outlineLevel="2" x14ac:dyDescent="0.25">
      <c r="A546" s="324">
        <v>42583</v>
      </c>
      <c r="B546" s="273">
        <v>2016</v>
      </c>
      <c r="C546" s="251" t="s">
        <v>396</v>
      </c>
      <c r="D546" s="213"/>
      <c r="E546" s="220"/>
      <c r="F546" s="253"/>
      <c r="G546" s="254">
        <f t="shared" si="58"/>
        <v>0</v>
      </c>
      <c r="H546" s="217" t="e">
        <f t="shared" si="59"/>
        <v>#N/A</v>
      </c>
      <c r="I546" s="254" t="e">
        <f t="shared" si="60"/>
        <v>#N/A</v>
      </c>
      <c r="J546" s="253"/>
      <c r="K546" s="253"/>
      <c r="L546" s="253"/>
      <c r="M546" s="253"/>
      <c r="N546" s="253"/>
      <c r="O546" s="256"/>
      <c r="P546" s="256"/>
    </row>
    <row r="547" spans="1:16" ht="15.75" outlineLevel="1" x14ac:dyDescent="0.25">
      <c r="A547" s="324">
        <v>42583</v>
      </c>
      <c r="B547" s="273">
        <v>2016</v>
      </c>
      <c r="C547" s="257" t="s">
        <v>397</v>
      </c>
      <c r="D547" s="57" t="s">
        <v>130</v>
      </c>
      <c r="E547" s="223">
        <v>6000</v>
      </c>
      <c r="F547" s="253">
        <v>93</v>
      </c>
      <c r="G547" s="259"/>
      <c r="H547" s="217">
        <f>VLOOKUP(D547,$D$5:$E$359,2,FALSE)</f>
        <v>14.907999999999999</v>
      </c>
      <c r="I547" s="254">
        <f t="shared" ref="I547:I578" si="61">H547*F547</f>
        <v>1386.444</v>
      </c>
      <c r="J547" s="253" t="s">
        <v>502</v>
      </c>
      <c r="K547" s="255">
        <v>42583</v>
      </c>
      <c r="L547" s="253">
        <v>7038</v>
      </c>
      <c r="M547" s="253" t="s">
        <v>513</v>
      </c>
      <c r="N547" s="253">
        <v>17</v>
      </c>
      <c r="O547" s="256"/>
      <c r="P547" s="256"/>
    </row>
    <row r="548" spans="1:16" ht="15.75" outlineLevel="2" x14ac:dyDescent="0.25">
      <c r="A548" s="324">
        <v>42583</v>
      </c>
      <c r="B548" s="273">
        <v>2016</v>
      </c>
      <c r="C548" s="257" t="s">
        <v>397</v>
      </c>
      <c r="D548" s="57" t="s">
        <v>131</v>
      </c>
      <c r="E548" s="224">
        <v>6000</v>
      </c>
      <c r="F548" s="253">
        <v>63</v>
      </c>
      <c r="G548" s="259"/>
      <c r="H548" s="217">
        <f t="shared" ref="H548:H578" si="62">VLOOKUP(D548,$D$5:$E$359,2,FALSE)</f>
        <v>16.652000000000001</v>
      </c>
      <c r="I548" s="254">
        <f t="shared" si="61"/>
        <v>1049.076</v>
      </c>
      <c r="J548" s="253" t="s">
        <v>502</v>
      </c>
      <c r="K548" s="255">
        <v>42583</v>
      </c>
      <c r="L548" s="253">
        <v>7038</v>
      </c>
      <c r="M548" s="253" t="s">
        <v>513</v>
      </c>
      <c r="N548" s="253">
        <v>17</v>
      </c>
      <c r="O548" s="256"/>
      <c r="P548" s="256"/>
    </row>
    <row r="549" spans="1:16" ht="15.75" outlineLevel="2" x14ac:dyDescent="0.25">
      <c r="A549" s="324">
        <v>42583</v>
      </c>
      <c r="B549" s="273">
        <v>2016</v>
      </c>
      <c r="C549" s="257" t="s">
        <v>397</v>
      </c>
      <c r="D549" s="57" t="s">
        <v>134</v>
      </c>
      <c r="E549" s="260">
        <v>6000</v>
      </c>
      <c r="F549" s="253">
        <v>56</v>
      </c>
      <c r="G549" s="259"/>
      <c r="H549" s="217">
        <f>VLOOKUP(D549,$D$5:$E$359,2,FALSE)</f>
        <v>19.869</v>
      </c>
      <c r="I549" s="254">
        <f t="shared" si="61"/>
        <v>1112.664</v>
      </c>
      <c r="J549" s="253" t="s">
        <v>502</v>
      </c>
      <c r="K549" s="255">
        <v>42583</v>
      </c>
      <c r="L549" s="253">
        <v>7038</v>
      </c>
      <c r="M549" s="253" t="s">
        <v>513</v>
      </c>
      <c r="N549" s="253">
        <v>17</v>
      </c>
      <c r="O549" s="256"/>
      <c r="P549" s="256"/>
    </row>
    <row r="550" spans="1:16" ht="15.75" outlineLevel="2" x14ac:dyDescent="0.25">
      <c r="A550" s="324">
        <v>42583</v>
      </c>
      <c r="B550" s="273">
        <v>2016</v>
      </c>
      <c r="C550" s="257" t="s">
        <v>397</v>
      </c>
      <c r="D550" s="57" t="s">
        <v>135</v>
      </c>
      <c r="E550" s="260">
        <v>6000</v>
      </c>
      <c r="F550" s="253">
        <v>1229</v>
      </c>
      <c r="G550" s="259"/>
      <c r="H550" s="217">
        <f t="shared" si="62"/>
        <v>21.192</v>
      </c>
      <c r="I550" s="254">
        <f t="shared" si="61"/>
        <v>26044.968000000001</v>
      </c>
      <c r="J550" s="253" t="s">
        <v>502</v>
      </c>
      <c r="K550" s="255">
        <v>42583</v>
      </c>
      <c r="L550" s="253">
        <v>7038</v>
      </c>
      <c r="M550" s="253" t="s">
        <v>513</v>
      </c>
      <c r="N550" s="253">
        <v>17</v>
      </c>
      <c r="O550" s="256"/>
      <c r="P550" s="256"/>
    </row>
    <row r="551" spans="1:16" ht="15.75" outlineLevel="2" x14ac:dyDescent="0.25">
      <c r="A551" s="324">
        <v>42583</v>
      </c>
      <c r="B551" s="273">
        <v>2016</v>
      </c>
      <c r="C551" s="257" t="s">
        <v>397</v>
      </c>
      <c r="D551" s="57" t="s">
        <v>256</v>
      </c>
      <c r="E551" s="261"/>
      <c r="F551" s="253">
        <v>2</v>
      </c>
      <c r="G551" s="259"/>
      <c r="H551" s="217">
        <f t="shared" si="62"/>
        <v>2.5139999999999998</v>
      </c>
      <c r="I551" s="254">
        <f t="shared" si="61"/>
        <v>5.0279999999999996</v>
      </c>
      <c r="J551" s="253" t="s">
        <v>502</v>
      </c>
      <c r="K551" s="255">
        <v>42602</v>
      </c>
      <c r="L551" s="253">
        <v>7038</v>
      </c>
      <c r="M551" s="253" t="s">
        <v>513</v>
      </c>
      <c r="N551" s="253">
        <v>17</v>
      </c>
      <c r="O551" s="256"/>
      <c r="P551" s="256"/>
    </row>
    <row r="552" spans="1:16" ht="15.75" outlineLevel="2" x14ac:dyDescent="0.25">
      <c r="A552" s="324">
        <v>42583</v>
      </c>
      <c r="B552" s="273">
        <v>2016</v>
      </c>
      <c r="C552" s="257" t="s">
        <v>397</v>
      </c>
      <c r="D552" s="57" t="s">
        <v>257</v>
      </c>
      <c r="E552" s="261"/>
      <c r="F552" s="253">
        <v>3</v>
      </c>
      <c r="G552" s="259"/>
      <c r="H552" s="217">
        <f t="shared" si="62"/>
        <v>2.5129999999999999</v>
      </c>
      <c r="I552" s="254">
        <f t="shared" si="61"/>
        <v>7.5389999999999997</v>
      </c>
      <c r="J552" s="262" t="s">
        <v>502</v>
      </c>
      <c r="K552" s="255">
        <v>42602</v>
      </c>
      <c r="L552" s="262">
        <v>7038</v>
      </c>
      <c r="M552" s="262" t="s">
        <v>513</v>
      </c>
      <c r="N552" s="262">
        <v>17</v>
      </c>
      <c r="O552" s="256"/>
      <c r="P552" s="256"/>
    </row>
    <row r="553" spans="1:16" ht="15.75" outlineLevel="2" x14ac:dyDescent="0.25">
      <c r="A553" s="324">
        <v>42583</v>
      </c>
      <c r="B553" s="273">
        <v>2016</v>
      </c>
      <c r="C553" s="257" t="s">
        <v>397</v>
      </c>
      <c r="D553" s="57" t="s">
        <v>259</v>
      </c>
      <c r="E553" s="261"/>
      <c r="F553" s="253">
        <v>1</v>
      </c>
      <c r="G553" s="259"/>
      <c r="H553" s="217">
        <f t="shared" si="62"/>
        <v>2.8620000000000001</v>
      </c>
      <c r="I553" s="254">
        <f t="shared" si="61"/>
        <v>2.8620000000000001</v>
      </c>
      <c r="J553" s="262" t="s">
        <v>502</v>
      </c>
      <c r="K553" s="255">
        <v>42602</v>
      </c>
      <c r="L553" s="262">
        <v>7038</v>
      </c>
      <c r="M553" s="262" t="s">
        <v>513</v>
      </c>
      <c r="N553" s="262">
        <v>17</v>
      </c>
      <c r="O553" s="256"/>
      <c r="P553" s="256"/>
    </row>
    <row r="554" spans="1:16" ht="15.75" outlineLevel="2" x14ac:dyDescent="0.25">
      <c r="A554" s="324">
        <v>42583</v>
      </c>
      <c r="B554" s="273">
        <v>2016</v>
      </c>
      <c r="C554" s="257" t="s">
        <v>397</v>
      </c>
      <c r="D554" s="57" t="s">
        <v>260</v>
      </c>
      <c r="E554" s="261"/>
      <c r="F554" s="253">
        <v>33</v>
      </c>
      <c r="G554" s="259"/>
      <c r="H554" s="217">
        <f t="shared" si="62"/>
        <v>3.7280000000000002</v>
      </c>
      <c r="I554" s="254">
        <f t="shared" si="61"/>
        <v>123.024</v>
      </c>
      <c r="J554" s="262" t="s">
        <v>502</v>
      </c>
      <c r="K554" s="255">
        <v>42602</v>
      </c>
      <c r="L554" s="262">
        <v>7038</v>
      </c>
      <c r="M554" s="262" t="s">
        <v>513</v>
      </c>
      <c r="N554" s="262">
        <v>17</v>
      </c>
      <c r="O554" s="256"/>
      <c r="P554" s="256"/>
    </row>
    <row r="555" spans="1:16" ht="15.75" outlineLevel="2" x14ac:dyDescent="0.25">
      <c r="A555" s="324">
        <v>42583</v>
      </c>
      <c r="B555" s="273">
        <v>2016</v>
      </c>
      <c r="C555" s="257" t="s">
        <v>397</v>
      </c>
      <c r="D555" s="57" t="s">
        <v>265</v>
      </c>
      <c r="E555" s="261"/>
      <c r="F555" s="253">
        <v>60</v>
      </c>
      <c r="G555" s="259"/>
      <c r="H555" s="217">
        <f t="shared" si="62"/>
        <v>2.5099999999999998</v>
      </c>
      <c r="I555" s="254">
        <f t="shared" si="61"/>
        <v>150.6</v>
      </c>
      <c r="J555" s="262" t="s">
        <v>502</v>
      </c>
      <c r="K555" s="255">
        <v>42602</v>
      </c>
      <c r="L555" s="262">
        <v>7038</v>
      </c>
      <c r="M555" s="262" t="s">
        <v>513</v>
      </c>
      <c r="N555" s="262">
        <v>17</v>
      </c>
      <c r="O555" s="256"/>
      <c r="P555" s="256"/>
    </row>
    <row r="556" spans="1:16" ht="15.75" outlineLevel="2" x14ac:dyDescent="0.25">
      <c r="A556" s="324">
        <v>42583</v>
      </c>
      <c r="B556" s="273">
        <v>2016</v>
      </c>
      <c r="C556" s="257" t="s">
        <v>397</v>
      </c>
      <c r="D556" s="258" t="s">
        <v>202</v>
      </c>
      <c r="E556" s="261"/>
      <c r="F556" s="253">
        <v>7</v>
      </c>
      <c r="G556" s="259"/>
      <c r="H556" s="217">
        <f t="shared" si="62"/>
        <v>2.7909999999999999</v>
      </c>
      <c r="I556" s="254">
        <f t="shared" si="61"/>
        <v>19.536999999999999</v>
      </c>
      <c r="J556" s="262" t="s">
        <v>502</v>
      </c>
      <c r="K556" s="255">
        <v>42583</v>
      </c>
      <c r="L556" s="262">
        <v>7038</v>
      </c>
      <c r="M556" s="262" t="s">
        <v>513</v>
      </c>
      <c r="N556" s="262">
        <v>17</v>
      </c>
      <c r="O556" s="256"/>
      <c r="P556" s="256"/>
    </row>
    <row r="557" spans="1:16" ht="15.75" outlineLevel="2" x14ac:dyDescent="0.25">
      <c r="A557" s="324">
        <v>42583</v>
      </c>
      <c r="B557" s="273">
        <v>2016</v>
      </c>
      <c r="C557" s="257" t="s">
        <v>397</v>
      </c>
      <c r="D557" s="57" t="s">
        <v>201</v>
      </c>
      <c r="E557" s="261"/>
      <c r="F557" s="253">
        <v>61</v>
      </c>
      <c r="G557" s="259"/>
      <c r="H557" s="217">
        <f t="shared" si="62"/>
        <v>5.4720000000000004</v>
      </c>
      <c r="I557" s="254">
        <f t="shared" si="61"/>
        <v>333.79200000000003</v>
      </c>
      <c r="J557" s="262" t="s">
        <v>502</v>
      </c>
      <c r="K557" s="255">
        <v>42583</v>
      </c>
      <c r="L557" s="262">
        <v>7038</v>
      </c>
      <c r="M557" s="262" t="s">
        <v>513</v>
      </c>
      <c r="N557" s="262">
        <v>17</v>
      </c>
      <c r="O557" s="256"/>
      <c r="P557" s="256"/>
    </row>
    <row r="558" spans="1:16" ht="15.75" outlineLevel="2" x14ac:dyDescent="0.25">
      <c r="A558" s="324">
        <v>42583</v>
      </c>
      <c r="B558" s="273">
        <v>2016</v>
      </c>
      <c r="C558" s="257" t="s">
        <v>397</v>
      </c>
      <c r="D558" s="57" t="s">
        <v>221</v>
      </c>
      <c r="E558" s="261"/>
      <c r="F558" s="253">
        <v>22</v>
      </c>
      <c r="G558" s="259"/>
      <c r="H558" s="217">
        <f t="shared" si="62"/>
        <v>2.694</v>
      </c>
      <c r="I558" s="254">
        <f t="shared" si="61"/>
        <v>59.268000000000001</v>
      </c>
      <c r="J558" s="262" t="s">
        <v>502</v>
      </c>
      <c r="K558" s="255">
        <v>42602</v>
      </c>
      <c r="L558" s="262">
        <v>7038</v>
      </c>
      <c r="M558" s="262" t="s">
        <v>513</v>
      </c>
      <c r="N558" s="262">
        <v>17</v>
      </c>
      <c r="O558" s="256"/>
      <c r="P558" s="256"/>
    </row>
    <row r="559" spans="1:16" ht="15.75" outlineLevel="2" x14ac:dyDescent="0.25">
      <c r="A559" s="324">
        <v>42583</v>
      </c>
      <c r="B559" s="273">
        <v>2016</v>
      </c>
      <c r="C559" s="257" t="s">
        <v>397</v>
      </c>
      <c r="D559" s="57" t="s">
        <v>222</v>
      </c>
      <c r="E559" s="261"/>
      <c r="F559" s="253">
        <v>37</v>
      </c>
      <c r="G559" s="259"/>
      <c r="H559" s="217">
        <f t="shared" si="62"/>
        <v>2.9420000000000002</v>
      </c>
      <c r="I559" s="254">
        <f t="shared" si="61"/>
        <v>108.85400000000001</v>
      </c>
      <c r="J559" s="262" t="s">
        <v>502</v>
      </c>
      <c r="K559" s="255">
        <v>42602</v>
      </c>
      <c r="L559" s="262">
        <v>7038</v>
      </c>
      <c r="M559" s="262" t="s">
        <v>513</v>
      </c>
      <c r="N559" s="262">
        <v>17</v>
      </c>
      <c r="O559" s="256"/>
      <c r="P559" s="256"/>
    </row>
    <row r="560" spans="1:16" ht="15.75" outlineLevel="2" x14ac:dyDescent="0.25">
      <c r="A560" s="324">
        <v>42583</v>
      </c>
      <c r="B560" s="273">
        <v>2016</v>
      </c>
      <c r="C560" s="257" t="s">
        <v>397</v>
      </c>
      <c r="D560" s="57" t="s">
        <v>223</v>
      </c>
      <c r="E560" s="261"/>
      <c r="F560" s="253">
        <v>30</v>
      </c>
      <c r="G560" s="259"/>
      <c r="H560" s="217">
        <f t="shared" si="62"/>
        <v>3.19</v>
      </c>
      <c r="I560" s="254">
        <f t="shared" si="61"/>
        <v>95.7</v>
      </c>
      <c r="J560" s="262" t="s">
        <v>502</v>
      </c>
      <c r="K560" s="255">
        <v>42602</v>
      </c>
      <c r="L560" s="262">
        <v>7038</v>
      </c>
      <c r="M560" s="262" t="s">
        <v>513</v>
      </c>
      <c r="N560" s="262">
        <v>17</v>
      </c>
      <c r="O560" s="256"/>
      <c r="P560" s="256"/>
    </row>
    <row r="561" spans="1:16" ht="15.75" outlineLevel="2" x14ac:dyDescent="0.25">
      <c r="A561" s="324">
        <v>42583</v>
      </c>
      <c r="B561" s="273">
        <v>2016</v>
      </c>
      <c r="C561" s="257" t="s">
        <v>397</v>
      </c>
      <c r="D561" s="57" t="s">
        <v>224</v>
      </c>
      <c r="E561" s="261"/>
      <c r="F561" s="253">
        <v>3</v>
      </c>
      <c r="G561" s="259"/>
      <c r="H561" s="217">
        <f t="shared" si="62"/>
        <v>3.4380000000000002</v>
      </c>
      <c r="I561" s="254">
        <f t="shared" si="61"/>
        <v>10.314</v>
      </c>
      <c r="J561" s="262" t="s">
        <v>502</v>
      </c>
      <c r="K561" s="255">
        <v>42602</v>
      </c>
      <c r="L561" s="262">
        <v>7038</v>
      </c>
      <c r="M561" s="262" t="s">
        <v>513</v>
      </c>
      <c r="N561" s="262">
        <v>17</v>
      </c>
      <c r="O561" s="256"/>
      <c r="P561" s="256"/>
    </row>
    <row r="562" spans="1:16" ht="15.75" outlineLevel="2" x14ac:dyDescent="0.25">
      <c r="A562" s="324">
        <v>42583</v>
      </c>
      <c r="B562" s="273">
        <v>2016</v>
      </c>
      <c r="C562" s="257" t="s">
        <v>397</v>
      </c>
      <c r="D562" s="57" t="s">
        <v>225</v>
      </c>
      <c r="E562" s="261"/>
      <c r="F562" s="253">
        <v>13</v>
      </c>
      <c r="G562" s="259"/>
      <c r="H562" s="217">
        <f t="shared" si="62"/>
        <v>3.9340000000000002</v>
      </c>
      <c r="I562" s="254">
        <f t="shared" si="61"/>
        <v>51.142000000000003</v>
      </c>
      <c r="J562" s="262" t="s">
        <v>502</v>
      </c>
      <c r="K562" s="255">
        <v>42602</v>
      </c>
      <c r="L562" s="262">
        <v>7038</v>
      </c>
      <c r="M562" s="262" t="s">
        <v>513</v>
      </c>
      <c r="N562" s="262">
        <v>17</v>
      </c>
      <c r="O562" s="256"/>
      <c r="P562" s="256"/>
    </row>
    <row r="563" spans="1:16" ht="15.75" outlineLevel="2" x14ac:dyDescent="0.25">
      <c r="A563" s="324">
        <v>42583</v>
      </c>
      <c r="B563" s="273">
        <v>2016</v>
      </c>
      <c r="C563" s="257" t="s">
        <v>397</v>
      </c>
      <c r="D563" s="57" t="s">
        <v>231</v>
      </c>
      <c r="E563" s="261"/>
      <c r="F563" s="253">
        <v>2</v>
      </c>
      <c r="G563" s="259"/>
      <c r="H563" s="217">
        <f t="shared" si="62"/>
        <v>2.694</v>
      </c>
      <c r="I563" s="254">
        <f t="shared" si="61"/>
        <v>5.3879999999999999</v>
      </c>
      <c r="J563" s="262" t="s">
        <v>502</v>
      </c>
      <c r="K563" s="255">
        <v>42602</v>
      </c>
      <c r="L563" s="262">
        <v>7038</v>
      </c>
      <c r="M563" s="262" t="s">
        <v>513</v>
      </c>
      <c r="N563" s="262">
        <v>17</v>
      </c>
      <c r="O563" s="256"/>
      <c r="P563" s="256"/>
    </row>
    <row r="564" spans="1:16" ht="15.75" outlineLevel="2" x14ac:dyDescent="0.25">
      <c r="A564" s="324">
        <v>42583</v>
      </c>
      <c r="B564" s="273">
        <v>2016</v>
      </c>
      <c r="C564" s="257" t="s">
        <v>397</v>
      </c>
      <c r="D564" s="57" t="s">
        <v>232</v>
      </c>
      <c r="E564" s="261"/>
      <c r="F564" s="253">
        <v>19</v>
      </c>
      <c r="G564" s="259"/>
      <c r="H564" s="217">
        <f t="shared" si="62"/>
        <v>2.9420000000000002</v>
      </c>
      <c r="I564" s="254">
        <f t="shared" si="61"/>
        <v>55.898000000000003</v>
      </c>
      <c r="J564" s="262" t="s">
        <v>502</v>
      </c>
      <c r="K564" s="255">
        <v>42602</v>
      </c>
      <c r="L564" s="262">
        <v>7038</v>
      </c>
      <c r="M564" s="262" t="s">
        <v>513</v>
      </c>
      <c r="N564" s="262">
        <v>17</v>
      </c>
      <c r="O564" s="256"/>
      <c r="P564" s="256"/>
    </row>
    <row r="565" spans="1:16" ht="15.75" outlineLevel="2" x14ac:dyDescent="0.25">
      <c r="A565" s="324">
        <v>42583</v>
      </c>
      <c r="B565" s="273">
        <v>2016</v>
      </c>
      <c r="C565" s="257" t="s">
        <v>397</v>
      </c>
      <c r="D565" s="57" t="s">
        <v>234</v>
      </c>
      <c r="E565" s="261"/>
      <c r="F565" s="253">
        <v>12</v>
      </c>
      <c r="G565" s="259"/>
      <c r="H565" s="217">
        <f t="shared" si="62"/>
        <v>3.4380000000000002</v>
      </c>
      <c r="I565" s="254">
        <f t="shared" si="61"/>
        <v>41.256</v>
      </c>
      <c r="J565" s="262" t="s">
        <v>502</v>
      </c>
      <c r="K565" s="255">
        <v>42602</v>
      </c>
      <c r="L565" s="262">
        <v>7038</v>
      </c>
      <c r="M565" s="262" t="s">
        <v>513</v>
      </c>
      <c r="N565" s="262">
        <v>17</v>
      </c>
      <c r="O565" s="256"/>
      <c r="P565" s="256"/>
    </row>
    <row r="566" spans="1:16" ht="15.75" outlineLevel="2" x14ac:dyDescent="0.25">
      <c r="A566" s="324">
        <v>42583</v>
      </c>
      <c r="B566" s="273">
        <v>2016</v>
      </c>
      <c r="C566" s="257" t="s">
        <v>397</v>
      </c>
      <c r="D566" s="57" t="s">
        <v>235</v>
      </c>
      <c r="E566" s="261"/>
      <c r="F566" s="253">
        <v>9</v>
      </c>
      <c r="G566" s="259"/>
      <c r="H566" s="217">
        <f t="shared" si="62"/>
        <v>3.9340000000000002</v>
      </c>
      <c r="I566" s="254">
        <f t="shared" si="61"/>
        <v>35.405999999999999</v>
      </c>
      <c r="J566" s="262" t="s">
        <v>502</v>
      </c>
      <c r="K566" s="255">
        <v>42602</v>
      </c>
      <c r="L566" s="262">
        <v>7038</v>
      </c>
      <c r="M566" s="262" t="s">
        <v>513</v>
      </c>
      <c r="N566" s="262">
        <v>17</v>
      </c>
      <c r="O566" s="256"/>
      <c r="P566" s="256"/>
    </row>
    <row r="567" spans="1:16" ht="15.75" outlineLevel="2" x14ac:dyDescent="0.25">
      <c r="A567" s="324">
        <v>42583</v>
      </c>
      <c r="B567" s="273">
        <v>2016</v>
      </c>
      <c r="C567" s="257" t="s">
        <v>397</v>
      </c>
      <c r="D567" s="57" t="s">
        <v>246</v>
      </c>
      <c r="E567" s="261"/>
      <c r="F567" s="253">
        <v>35</v>
      </c>
      <c r="G567" s="259"/>
      <c r="H567" s="217">
        <f t="shared" si="62"/>
        <v>1.583</v>
      </c>
      <c r="I567" s="254">
        <f t="shared" si="61"/>
        <v>55.405000000000001</v>
      </c>
      <c r="J567" s="262" t="s">
        <v>502</v>
      </c>
      <c r="K567" s="255">
        <v>42602</v>
      </c>
      <c r="L567" s="262">
        <v>7038</v>
      </c>
      <c r="M567" s="262" t="s">
        <v>513</v>
      </c>
      <c r="N567" s="262">
        <v>17</v>
      </c>
      <c r="O567" s="256"/>
      <c r="P567" s="256"/>
    </row>
    <row r="568" spans="1:16" ht="15.75" outlineLevel="2" x14ac:dyDescent="0.25">
      <c r="A568" s="324">
        <v>42583</v>
      </c>
      <c r="B568" s="273">
        <v>2016</v>
      </c>
      <c r="C568" s="257" t="s">
        <v>397</v>
      </c>
      <c r="D568" s="57" t="s">
        <v>247</v>
      </c>
      <c r="E568" s="261"/>
      <c r="F568" s="253">
        <v>57</v>
      </c>
      <c r="G568" s="259"/>
      <c r="H568" s="217">
        <f t="shared" si="62"/>
        <v>1.748</v>
      </c>
      <c r="I568" s="254">
        <f t="shared" si="61"/>
        <v>99.635999999999996</v>
      </c>
      <c r="J568" s="262" t="s">
        <v>502</v>
      </c>
      <c r="K568" s="255">
        <v>42602</v>
      </c>
      <c r="L568" s="262">
        <v>7038</v>
      </c>
      <c r="M568" s="262" t="s">
        <v>513</v>
      </c>
      <c r="N568" s="262">
        <v>17</v>
      </c>
      <c r="O568" s="256"/>
      <c r="P568" s="256"/>
    </row>
    <row r="569" spans="1:16" ht="15.75" outlineLevel="2" x14ac:dyDescent="0.25">
      <c r="A569" s="324">
        <v>42583</v>
      </c>
      <c r="B569" s="273">
        <v>2016</v>
      </c>
      <c r="C569" s="257" t="s">
        <v>397</v>
      </c>
      <c r="D569" s="57" t="s">
        <v>248</v>
      </c>
      <c r="E569" s="261"/>
      <c r="F569" s="253">
        <v>32</v>
      </c>
      <c r="G569" s="259"/>
      <c r="H569" s="217">
        <f t="shared" si="62"/>
        <v>1.9139999999999999</v>
      </c>
      <c r="I569" s="254">
        <f t="shared" si="61"/>
        <v>61.247999999999998</v>
      </c>
      <c r="J569" s="262" t="s">
        <v>502</v>
      </c>
      <c r="K569" s="255">
        <v>42602</v>
      </c>
      <c r="L569" s="262">
        <v>7038</v>
      </c>
      <c r="M569" s="262" t="s">
        <v>513</v>
      </c>
      <c r="N569" s="262">
        <v>17</v>
      </c>
      <c r="O569" s="256"/>
      <c r="P569" s="256"/>
    </row>
    <row r="570" spans="1:16" ht="15.75" outlineLevel="2" x14ac:dyDescent="0.25">
      <c r="A570" s="324">
        <v>42583</v>
      </c>
      <c r="B570" s="273">
        <v>2016</v>
      </c>
      <c r="C570" s="257" t="s">
        <v>397</v>
      </c>
      <c r="D570" s="57" t="s">
        <v>249</v>
      </c>
      <c r="E570" s="261"/>
      <c r="F570" s="253">
        <v>19</v>
      </c>
      <c r="G570" s="259"/>
      <c r="H570" s="217">
        <f t="shared" si="62"/>
        <v>2.0790000000000002</v>
      </c>
      <c r="I570" s="254">
        <f t="shared" si="61"/>
        <v>39.501000000000005</v>
      </c>
      <c r="J570" s="262" t="s">
        <v>502</v>
      </c>
      <c r="K570" s="255">
        <v>42602</v>
      </c>
      <c r="L570" s="262">
        <v>7038</v>
      </c>
      <c r="M570" s="262" t="s">
        <v>513</v>
      </c>
      <c r="N570" s="262">
        <v>17</v>
      </c>
      <c r="O570" s="256"/>
      <c r="P570" s="256"/>
    </row>
    <row r="571" spans="1:16" ht="15.75" outlineLevel="2" x14ac:dyDescent="0.25">
      <c r="A571" s="324">
        <v>42583</v>
      </c>
      <c r="B571" s="273">
        <v>2016</v>
      </c>
      <c r="C571" s="257" t="s">
        <v>397</v>
      </c>
      <c r="D571" s="57" t="s">
        <v>250</v>
      </c>
      <c r="E571" s="261"/>
      <c r="F571" s="253">
        <v>22</v>
      </c>
      <c r="G571" s="259"/>
      <c r="H571" s="217">
        <f t="shared" si="62"/>
        <v>2.41</v>
      </c>
      <c r="I571" s="254">
        <f t="shared" si="61"/>
        <v>53.02</v>
      </c>
      <c r="J571" s="262" t="s">
        <v>502</v>
      </c>
      <c r="K571" s="255">
        <v>42602</v>
      </c>
      <c r="L571" s="262">
        <v>7038</v>
      </c>
      <c r="M571" s="262" t="s">
        <v>513</v>
      </c>
      <c r="N571" s="262">
        <v>17</v>
      </c>
      <c r="O571" s="256"/>
      <c r="P571" s="256"/>
    </row>
    <row r="572" spans="1:16" ht="15.75" outlineLevel="2" x14ac:dyDescent="0.25">
      <c r="A572" s="324">
        <v>42583</v>
      </c>
      <c r="B572" s="273">
        <v>2016</v>
      </c>
      <c r="C572" s="257" t="s">
        <v>397</v>
      </c>
      <c r="D572" s="57" t="s">
        <v>243</v>
      </c>
      <c r="E572" s="261"/>
      <c r="F572" s="253">
        <v>16</v>
      </c>
      <c r="G572" s="259"/>
      <c r="H572" s="217">
        <f t="shared" si="62"/>
        <v>1.9139999999999999</v>
      </c>
      <c r="I572" s="254">
        <f t="shared" si="61"/>
        <v>30.623999999999999</v>
      </c>
      <c r="J572" s="262" t="s">
        <v>502</v>
      </c>
      <c r="K572" s="255">
        <v>42602</v>
      </c>
      <c r="L572" s="262">
        <v>7038</v>
      </c>
      <c r="M572" s="262" t="s">
        <v>513</v>
      </c>
      <c r="N572" s="262">
        <v>17</v>
      </c>
      <c r="O572" s="256"/>
      <c r="P572" s="256"/>
    </row>
    <row r="573" spans="1:16" ht="15.75" outlineLevel="2" x14ac:dyDescent="0.25">
      <c r="A573" s="324">
        <v>42583</v>
      </c>
      <c r="B573" s="273">
        <v>2016</v>
      </c>
      <c r="C573" s="257" t="s">
        <v>397</v>
      </c>
      <c r="D573" s="57" t="s">
        <v>244</v>
      </c>
      <c r="E573" s="261"/>
      <c r="F573" s="253">
        <v>6</v>
      </c>
      <c r="G573" s="259"/>
      <c r="H573" s="217">
        <f t="shared" si="62"/>
        <v>2.0790000000000002</v>
      </c>
      <c r="I573" s="254">
        <f t="shared" si="61"/>
        <v>12.474</v>
      </c>
      <c r="J573" s="262" t="s">
        <v>502</v>
      </c>
      <c r="K573" s="255">
        <v>42602</v>
      </c>
      <c r="L573" s="262">
        <v>7038</v>
      </c>
      <c r="M573" s="262" t="s">
        <v>513</v>
      </c>
      <c r="N573" s="262">
        <v>17</v>
      </c>
      <c r="O573" s="256"/>
      <c r="P573" s="256"/>
    </row>
    <row r="574" spans="1:16" ht="15.75" outlineLevel="2" x14ac:dyDescent="0.25">
      <c r="A574" s="324">
        <v>42583</v>
      </c>
      <c r="B574" s="273">
        <v>2016</v>
      </c>
      <c r="C574" s="257" t="s">
        <v>397</v>
      </c>
      <c r="D574" s="258"/>
      <c r="E574" s="261"/>
      <c r="F574" s="253"/>
      <c r="G574" s="259"/>
      <c r="H574" s="217" t="e">
        <f t="shared" si="62"/>
        <v>#N/A</v>
      </c>
      <c r="I574" s="254" t="e">
        <f t="shared" si="61"/>
        <v>#N/A</v>
      </c>
      <c r="J574" s="262"/>
      <c r="K574" s="255"/>
      <c r="L574" s="262"/>
      <c r="M574" s="262"/>
      <c r="N574" s="262"/>
      <c r="O574" s="256"/>
      <c r="P574" s="256"/>
    </row>
    <row r="575" spans="1:16" ht="15.75" outlineLevel="2" x14ac:dyDescent="0.25">
      <c r="A575" s="324">
        <v>42583</v>
      </c>
      <c r="B575" s="273">
        <v>2016</v>
      </c>
      <c r="C575" s="257" t="s">
        <v>397</v>
      </c>
      <c r="D575" s="258"/>
      <c r="E575" s="261"/>
      <c r="F575" s="253"/>
      <c r="G575" s="259"/>
      <c r="H575" s="217" t="e">
        <f t="shared" si="62"/>
        <v>#N/A</v>
      </c>
      <c r="I575" s="254" t="e">
        <f t="shared" si="61"/>
        <v>#N/A</v>
      </c>
      <c r="J575" s="262"/>
      <c r="K575" s="255"/>
      <c r="L575" s="262"/>
      <c r="M575" s="262"/>
      <c r="N575" s="262"/>
      <c r="O575" s="256"/>
      <c r="P575" s="256"/>
    </row>
    <row r="576" spans="1:16" ht="15.75" outlineLevel="2" x14ac:dyDescent="0.25">
      <c r="A576" s="324">
        <v>42583</v>
      </c>
      <c r="B576" s="273">
        <v>2016</v>
      </c>
      <c r="C576" s="257" t="s">
        <v>397</v>
      </c>
      <c r="D576" s="258"/>
      <c r="E576" s="261"/>
      <c r="F576" s="253"/>
      <c r="G576" s="259"/>
      <c r="H576" s="217" t="e">
        <f t="shared" si="62"/>
        <v>#N/A</v>
      </c>
      <c r="I576" s="254" t="e">
        <f t="shared" si="61"/>
        <v>#N/A</v>
      </c>
      <c r="J576" s="262"/>
      <c r="K576" s="263"/>
      <c r="L576" s="262"/>
      <c r="M576" s="262"/>
      <c r="N576" s="262"/>
      <c r="O576" s="256"/>
      <c r="P576" s="256"/>
    </row>
    <row r="577" spans="1:16" ht="15.75" outlineLevel="2" x14ac:dyDescent="0.25">
      <c r="A577" s="324">
        <v>42583</v>
      </c>
      <c r="B577" s="273">
        <v>2016</v>
      </c>
      <c r="C577" s="257" t="s">
        <v>397</v>
      </c>
      <c r="D577" s="258"/>
      <c r="E577" s="261"/>
      <c r="F577" s="253"/>
      <c r="G577" s="259"/>
      <c r="H577" s="217" t="e">
        <f t="shared" si="62"/>
        <v>#N/A</v>
      </c>
      <c r="I577" s="254" t="e">
        <f t="shared" si="61"/>
        <v>#N/A</v>
      </c>
      <c r="J577" s="262"/>
      <c r="K577" s="263"/>
      <c r="L577" s="262"/>
      <c r="M577" s="262"/>
      <c r="N577" s="262"/>
      <c r="O577" s="256"/>
      <c r="P577" s="256"/>
    </row>
    <row r="578" spans="1:16" ht="15.75" outlineLevel="2" x14ac:dyDescent="0.25">
      <c r="A578" s="324">
        <v>42583</v>
      </c>
      <c r="B578" s="273">
        <v>2016</v>
      </c>
      <c r="C578" s="257" t="s">
        <v>397</v>
      </c>
      <c r="D578" s="258"/>
      <c r="E578" s="261"/>
      <c r="F578" s="253"/>
      <c r="G578" s="259"/>
      <c r="H578" s="217" t="e">
        <f t="shared" si="62"/>
        <v>#N/A</v>
      </c>
      <c r="I578" s="254" t="e">
        <f t="shared" si="61"/>
        <v>#N/A</v>
      </c>
      <c r="J578" s="262"/>
      <c r="K578" s="262"/>
      <c r="L578" s="262"/>
      <c r="M578" s="262"/>
      <c r="N578" s="262"/>
      <c r="O578" s="256"/>
      <c r="P578" s="256"/>
    </row>
    <row r="579" spans="1:16" ht="15.75" outlineLevel="2" x14ac:dyDescent="0.25">
      <c r="A579" s="324">
        <v>42583</v>
      </c>
      <c r="B579" s="273">
        <v>2016</v>
      </c>
      <c r="C579" s="257" t="s">
        <v>397</v>
      </c>
      <c r="D579" s="258"/>
      <c r="E579" s="264"/>
      <c r="F579" s="253"/>
      <c r="G579" s="265"/>
      <c r="H579" s="217" t="e">
        <f t="shared" si="45"/>
        <v>#N/A</v>
      </c>
      <c r="I579" s="254" t="e">
        <f t="shared" ref="I579" si="63">H579*F579</f>
        <v>#N/A</v>
      </c>
      <c r="J579" s="262"/>
      <c r="K579" s="262"/>
      <c r="L579" s="253"/>
      <c r="M579" s="262"/>
      <c r="N579" s="262"/>
      <c r="O579" s="256"/>
      <c r="P579" s="256"/>
    </row>
    <row r="580" spans="1:16" ht="15.75" outlineLevel="2" x14ac:dyDescent="0.25">
      <c r="A580" s="324">
        <v>42583</v>
      </c>
      <c r="B580" s="273">
        <v>2016</v>
      </c>
      <c r="C580" s="257" t="s">
        <v>397</v>
      </c>
      <c r="D580" s="258"/>
      <c r="E580" s="264"/>
      <c r="F580" s="253"/>
      <c r="G580" s="265"/>
      <c r="H580" s="217" t="e">
        <f t="shared" si="45"/>
        <v>#N/A</v>
      </c>
      <c r="I580" s="254" t="e">
        <f>H580*F580</f>
        <v>#N/A</v>
      </c>
      <c r="J580" s="262"/>
      <c r="K580" s="262"/>
      <c r="L580" s="253"/>
      <c r="M580" s="262"/>
      <c r="N580" s="262"/>
      <c r="O580" s="256"/>
      <c r="P580" s="256"/>
    </row>
    <row r="581" spans="1:16" ht="15.75" outlineLevel="1" x14ac:dyDescent="0.25">
      <c r="A581" s="324">
        <v>42583</v>
      </c>
      <c r="B581" s="273">
        <v>2016</v>
      </c>
      <c r="C581" s="266" t="s">
        <v>391</v>
      </c>
      <c r="D581" s="267" t="s">
        <v>373</v>
      </c>
      <c r="E581" s="264"/>
      <c r="F581" s="253"/>
      <c r="G581" s="265"/>
      <c r="H581" s="217">
        <f t="shared" si="45"/>
        <v>0</v>
      </c>
      <c r="I581" s="254">
        <f t="shared" ref="I581:I592" si="64">H581*F581</f>
        <v>0</v>
      </c>
      <c r="J581" s="262" t="s">
        <v>502</v>
      </c>
      <c r="K581" s="262"/>
      <c r="L581" s="253">
        <v>7038</v>
      </c>
      <c r="M581" s="262"/>
      <c r="N581" s="262"/>
      <c r="O581" s="256"/>
      <c r="P581" s="256"/>
    </row>
    <row r="582" spans="1:16" ht="25.5" outlineLevel="2" x14ac:dyDescent="0.25">
      <c r="A582" s="324">
        <v>42583</v>
      </c>
      <c r="B582" s="273">
        <v>2016</v>
      </c>
      <c r="C582" s="266" t="s">
        <v>391</v>
      </c>
      <c r="D582" s="267" t="s">
        <v>540</v>
      </c>
      <c r="E582" s="264"/>
      <c r="F582" s="253">
        <v>1</v>
      </c>
      <c r="G582" s="265"/>
      <c r="H582" s="217" t="e">
        <f t="shared" si="45"/>
        <v>#N/A</v>
      </c>
      <c r="I582" s="254" t="e">
        <f t="shared" si="64"/>
        <v>#N/A</v>
      </c>
      <c r="J582" s="262" t="s">
        <v>502</v>
      </c>
      <c r="K582" s="255" t="s">
        <v>512</v>
      </c>
      <c r="L582" s="253" t="s">
        <v>506</v>
      </c>
      <c r="M582" s="253" t="s">
        <v>547</v>
      </c>
      <c r="N582" s="253"/>
      <c r="O582" s="256"/>
      <c r="P582" s="256"/>
    </row>
    <row r="583" spans="1:16" ht="15.75" outlineLevel="2" x14ac:dyDescent="0.25">
      <c r="A583" s="324">
        <v>42583</v>
      </c>
      <c r="B583" s="273">
        <v>2016</v>
      </c>
      <c r="C583" s="266" t="s">
        <v>391</v>
      </c>
      <c r="D583" s="267"/>
      <c r="E583" s="264"/>
      <c r="F583" s="253"/>
      <c r="G583" s="265"/>
      <c r="H583" s="217" t="e">
        <f t="shared" si="45"/>
        <v>#N/A</v>
      </c>
      <c r="I583" s="254" t="e">
        <f t="shared" si="64"/>
        <v>#N/A</v>
      </c>
      <c r="J583" s="262" t="s">
        <v>502</v>
      </c>
      <c r="K583" s="255"/>
      <c r="L583" s="253">
        <v>7038</v>
      </c>
      <c r="M583" s="253"/>
      <c r="N583" s="253"/>
      <c r="O583" s="256"/>
      <c r="P583" s="256"/>
    </row>
    <row r="584" spans="1:16" ht="15.75" outlineLevel="2" x14ac:dyDescent="0.25">
      <c r="A584" s="324">
        <v>42583</v>
      </c>
      <c r="B584" s="273">
        <v>2016</v>
      </c>
      <c r="C584" s="266" t="s">
        <v>391</v>
      </c>
      <c r="D584" s="267"/>
      <c r="E584" s="264"/>
      <c r="F584" s="253"/>
      <c r="G584" s="265"/>
      <c r="H584" s="217" t="e">
        <f t="shared" si="45"/>
        <v>#N/A</v>
      </c>
      <c r="I584" s="254" t="e">
        <f t="shared" si="64"/>
        <v>#N/A</v>
      </c>
      <c r="J584" s="262" t="s">
        <v>502</v>
      </c>
      <c r="K584" s="262"/>
      <c r="L584" s="253">
        <v>7038</v>
      </c>
      <c r="M584" s="262"/>
      <c r="N584" s="262"/>
      <c r="O584" s="256"/>
      <c r="P584" s="256"/>
    </row>
    <row r="585" spans="1:16" ht="15.75" outlineLevel="2" x14ac:dyDescent="0.25">
      <c r="A585" s="324">
        <v>42583</v>
      </c>
      <c r="B585" s="273">
        <v>2016</v>
      </c>
      <c r="C585" s="266" t="s">
        <v>391</v>
      </c>
      <c r="D585" s="267" t="s">
        <v>394</v>
      </c>
      <c r="E585" s="264"/>
      <c r="F585" s="253"/>
      <c r="G585" s="265"/>
      <c r="H585" s="217">
        <f t="shared" si="45"/>
        <v>0</v>
      </c>
      <c r="I585" s="254">
        <f t="shared" si="64"/>
        <v>0</v>
      </c>
      <c r="J585" s="262" t="s">
        <v>502</v>
      </c>
      <c r="K585" s="263"/>
      <c r="L585" s="253">
        <v>1018</v>
      </c>
      <c r="M585" s="262" t="s">
        <v>503</v>
      </c>
      <c r="N585" s="262"/>
      <c r="O585" s="256"/>
      <c r="P585" s="256"/>
    </row>
    <row r="586" spans="1:16" ht="15.75" hidden="1" outlineLevel="2" x14ac:dyDescent="0.25">
      <c r="A586" s="324"/>
      <c r="B586" s="273"/>
      <c r="C586" s="266"/>
      <c r="D586" s="267" t="s">
        <v>394</v>
      </c>
      <c r="E586" s="264"/>
      <c r="F586" s="253"/>
      <c r="G586" s="265"/>
      <c r="H586" s="217">
        <f t="shared" ref="H586" si="65">VLOOKUP(D586,$D$5:$E$359,2,FALSE)</f>
        <v>0</v>
      </c>
      <c r="I586" s="254">
        <f t="shared" ref="I586" si="66">H586*F586</f>
        <v>0</v>
      </c>
      <c r="J586" s="262"/>
      <c r="K586" s="263"/>
      <c r="L586" s="253"/>
      <c r="M586" s="262"/>
      <c r="N586" s="262"/>
      <c r="O586" s="256"/>
      <c r="P586" s="256"/>
    </row>
    <row r="587" spans="1:16" ht="15.75" outlineLevel="2" x14ac:dyDescent="0.25">
      <c r="A587" s="324">
        <v>42583</v>
      </c>
      <c r="B587" s="273">
        <v>2016</v>
      </c>
      <c r="C587" s="266" t="s">
        <v>391</v>
      </c>
      <c r="D587" s="267" t="s">
        <v>453</v>
      </c>
      <c r="E587" s="264"/>
      <c r="F587" s="253">
        <v>3408</v>
      </c>
      <c r="G587" s="265"/>
      <c r="H587" s="217">
        <f t="shared" si="45"/>
        <v>0</v>
      </c>
      <c r="I587" s="254">
        <f t="shared" si="64"/>
        <v>0</v>
      </c>
      <c r="J587" s="262"/>
      <c r="K587" s="255">
        <v>42583</v>
      </c>
      <c r="L587" s="253"/>
      <c r="M587" s="262" t="s">
        <v>513</v>
      </c>
      <c r="N587" s="262">
        <v>17</v>
      </c>
      <c r="O587" s="256"/>
      <c r="P587" s="256"/>
    </row>
    <row r="588" spans="1:16" ht="15.75" outlineLevel="2" x14ac:dyDescent="0.25">
      <c r="A588" s="324">
        <v>42583</v>
      </c>
      <c r="B588" s="273">
        <v>2016</v>
      </c>
      <c r="C588" s="266" t="s">
        <v>391</v>
      </c>
      <c r="D588" s="267" t="s">
        <v>454</v>
      </c>
      <c r="E588" s="264"/>
      <c r="F588" s="253">
        <v>120</v>
      </c>
      <c r="G588" s="265"/>
      <c r="H588" s="217">
        <f t="shared" si="45"/>
        <v>0</v>
      </c>
      <c r="I588" s="254">
        <f t="shared" si="64"/>
        <v>0</v>
      </c>
      <c r="J588" s="262"/>
      <c r="K588" s="255">
        <v>42602</v>
      </c>
      <c r="L588" s="253"/>
      <c r="M588" s="262" t="s">
        <v>513</v>
      </c>
      <c r="N588" s="262">
        <v>17</v>
      </c>
      <c r="O588" s="256"/>
      <c r="P588" s="256"/>
    </row>
    <row r="589" spans="1:16" ht="15.75" outlineLevel="2" x14ac:dyDescent="0.25">
      <c r="A589" s="324">
        <v>42583</v>
      </c>
      <c r="B589" s="273">
        <v>2016</v>
      </c>
      <c r="C589" s="266" t="s">
        <v>391</v>
      </c>
      <c r="D589" s="267" t="s">
        <v>455</v>
      </c>
      <c r="E589" s="264"/>
      <c r="F589" s="253">
        <v>660</v>
      </c>
      <c r="G589" s="265"/>
      <c r="H589" s="217">
        <f t="shared" si="45"/>
        <v>0</v>
      </c>
      <c r="I589" s="254">
        <f t="shared" si="64"/>
        <v>0</v>
      </c>
      <c r="J589" s="262"/>
      <c r="K589" s="255">
        <v>42602</v>
      </c>
      <c r="L589" s="253"/>
      <c r="M589" s="262" t="s">
        <v>513</v>
      </c>
      <c r="N589" s="262">
        <v>17</v>
      </c>
      <c r="O589" s="256"/>
      <c r="P589" s="256"/>
    </row>
    <row r="590" spans="1:16" ht="25.5" outlineLevel="2" x14ac:dyDescent="0.25">
      <c r="A590" s="324">
        <v>42583</v>
      </c>
      <c r="B590" s="273">
        <v>2016</v>
      </c>
      <c r="C590" s="266" t="s">
        <v>391</v>
      </c>
      <c r="D590" s="267" t="s">
        <v>453</v>
      </c>
      <c r="E590" s="264"/>
      <c r="F590" s="253">
        <v>28</v>
      </c>
      <c r="G590" s="265"/>
      <c r="H590" s="217">
        <f t="shared" si="45"/>
        <v>0</v>
      </c>
      <c r="I590" s="254">
        <f t="shared" si="64"/>
        <v>0</v>
      </c>
      <c r="J590" s="262"/>
      <c r="K590" s="263">
        <v>42585</v>
      </c>
      <c r="L590" s="253"/>
      <c r="M590" s="262" t="s">
        <v>537</v>
      </c>
      <c r="N590" s="262">
        <v>12</v>
      </c>
      <c r="O590" s="256"/>
      <c r="P590" s="256"/>
    </row>
    <row r="591" spans="1:16" ht="25.5" outlineLevel="2" x14ac:dyDescent="0.25">
      <c r="A591" s="324">
        <v>42583</v>
      </c>
      <c r="B591" s="273">
        <v>2016</v>
      </c>
      <c r="C591" s="266" t="s">
        <v>391</v>
      </c>
      <c r="D591" s="60" t="s">
        <v>76</v>
      </c>
      <c r="E591" s="264"/>
      <c r="F591" s="253">
        <v>42</v>
      </c>
      <c r="G591" s="265"/>
      <c r="H591" s="217">
        <f t="shared" si="45"/>
        <v>0</v>
      </c>
      <c r="I591" s="254">
        <f t="shared" si="64"/>
        <v>0</v>
      </c>
      <c r="J591" s="262"/>
      <c r="K591" s="263">
        <v>42585</v>
      </c>
      <c r="L591" s="253"/>
      <c r="M591" s="262" t="s">
        <v>537</v>
      </c>
      <c r="N591" s="262">
        <v>12</v>
      </c>
      <c r="O591" s="256"/>
      <c r="P591" s="256"/>
    </row>
    <row r="592" spans="1:16" ht="15.75" outlineLevel="2" x14ac:dyDescent="0.25">
      <c r="A592" s="324">
        <v>42583</v>
      </c>
      <c r="B592" s="273">
        <v>2016</v>
      </c>
      <c r="C592" s="266" t="s">
        <v>391</v>
      </c>
      <c r="D592" s="267"/>
      <c r="E592" s="264"/>
      <c r="F592" s="253"/>
      <c r="G592" s="265"/>
      <c r="H592" s="217" t="e">
        <f t="shared" si="45"/>
        <v>#N/A</v>
      </c>
      <c r="I592" s="254" t="e">
        <f t="shared" si="64"/>
        <v>#N/A</v>
      </c>
      <c r="J592" s="262"/>
      <c r="K592" s="262"/>
      <c r="L592" s="253"/>
      <c r="M592" s="262"/>
      <c r="N592" s="262"/>
      <c r="O592" s="256"/>
      <c r="P592" s="256"/>
    </row>
    <row r="593" spans="1:16" ht="15.75" outlineLevel="1" x14ac:dyDescent="0.25">
      <c r="A593" s="324">
        <v>42583</v>
      </c>
      <c r="B593" s="273">
        <v>2016</v>
      </c>
      <c r="C593" s="268" t="s">
        <v>398</v>
      </c>
      <c r="D593" s="269" t="s">
        <v>393</v>
      </c>
      <c r="E593" s="264"/>
      <c r="F593" s="270"/>
      <c r="G593" s="265"/>
      <c r="H593" s="217">
        <f t="shared" si="45"/>
        <v>0</v>
      </c>
      <c r="I593" s="262"/>
      <c r="J593" s="262" t="s">
        <v>502</v>
      </c>
      <c r="K593" s="262"/>
      <c r="L593" s="253">
        <v>7038</v>
      </c>
      <c r="M593" s="262"/>
      <c r="N593" s="262"/>
      <c r="O593" s="256"/>
      <c r="P593" s="256"/>
    </row>
    <row r="594" spans="1:16" ht="15.75" outlineLevel="2" x14ac:dyDescent="0.25">
      <c r="A594" s="324">
        <v>42583</v>
      </c>
      <c r="B594" s="273">
        <v>2016</v>
      </c>
      <c r="C594" s="268" t="s">
        <v>398</v>
      </c>
      <c r="D594" s="271"/>
      <c r="E594" s="264"/>
      <c r="F594" s="270"/>
      <c r="G594" s="265"/>
      <c r="H594" s="217" t="e">
        <f t="shared" si="45"/>
        <v>#N/A</v>
      </c>
      <c r="I594" s="262"/>
      <c r="J594" s="262" t="s">
        <v>502</v>
      </c>
      <c r="K594" s="262"/>
      <c r="L594" s="253">
        <v>7038</v>
      </c>
      <c r="M594" s="262"/>
      <c r="N594" s="262"/>
      <c r="O594" s="256"/>
      <c r="P594" s="256"/>
    </row>
    <row r="595" spans="1:16" ht="15.75" outlineLevel="2" x14ac:dyDescent="0.25">
      <c r="A595" s="324">
        <v>42583</v>
      </c>
      <c r="B595" s="273">
        <v>2016</v>
      </c>
      <c r="C595" s="268" t="s">
        <v>398</v>
      </c>
      <c r="D595" s="272"/>
      <c r="E595" s="264"/>
      <c r="F595" s="270"/>
      <c r="G595" s="265"/>
      <c r="H595" s="217" t="e">
        <f t="shared" si="45"/>
        <v>#N/A</v>
      </c>
      <c r="I595" s="262"/>
      <c r="J595" s="262" t="s">
        <v>502</v>
      </c>
      <c r="K595" s="262"/>
      <c r="L595" s="253">
        <v>7038</v>
      </c>
      <c r="M595" s="262"/>
      <c r="N595" s="262"/>
      <c r="O595" s="256"/>
      <c r="P595" s="256"/>
    </row>
    <row r="596" spans="1:16" ht="15.75" outlineLevel="2" x14ac:dyDescent="0.25">
      <c r="A596" s="324">
        <v>42583</v>
      </c>
      <c r="B596" s="273">
        <v>2016</v>
      </c>
      <c r="C596" s="268" t="s">
        <v>398</v>
      </c>
      <c r="D596" s="272"/>
      <c r="E596" s="264"/>
      <c r="F596" s="270"/>
      <c r="G596" s="265"/>
      <c r="H596" s="217" t="e">
        <f t="shared" si="45"/>
        <v>#N/A</v>
      </c>
      <c r="I596" s="262"/>
      <c r="J596" s="262" t="s">
        <v>502</v>
      </c>
      <c r="K596" s="262"/>
      <c r="L596" s="253">
        <v>7038</v>
      </c>
      <c r="M596" s="262"/>
      <c r="N596" s="262"/>
      <c r="O596" s="256"/>
      <c r="P596" s="256"/>
    </row>
    <row r="597" spans="1:16" ht="15.75" outlineLevel="2" x14ac:dyDescent="0.25">
      <c r="A597" s="324">
        <v>42583</v>
      </c>
      <c r="B597" s="273">
        <v>2016</v>
      </c>
      <c r="C597" s="268" t="s">
        <v>398</v>
      </c>
      <c r="D597" s="272"/>
      <c r="E597" s="264"/>
      <c r="F597" s="270"/>
      <c r="G597" s="265"/>
      <c r="H597" s="217" t="e">
        <f t="shared" si="45"/>
        <v>#N/A</v>
      </c>
      <c r="I597" s="262"/>
      <c r="J597" s="262" t="s">
        <v>502</v>
      </c>
      <c r="K597" s="262"/>
      <c r="L597" s="253">
        <v>7038</v>
      </c>
      <c r="M597" s="262"/>
      <c r="N597" s="262"/>
      <c r="O597" s="256"/>
      <c r="P597" s="256"/>
    </row>
    <row r="598" spans="1:16" ht="15.75" outlineLevel="2" x14ac:dyDescent="0.25">
      <c r="A598" s="324">
        <v>42583</v>
      </c>
      <c r="B598" s="273">
        <v>2016</v>
      </c>
      <c r="C598" s="268" t="s">
        <v>398</v>
      </c>
      <c r="D598" s="272"/>
      <c r="E598" s="264"/>
      <c r="F598" s="270"/>
      <c r="G598" s="265"/>
      <c r="H598" s="217" t="e">
        <f t="shared" si="45"/>
        <v>#N/A</v>
      </c>
      <c r="I598" s="262"/>
      <c r="J598" s="262" t="s">
        <v>502</v>
      </c>
      <c r="K598" s="262"/>
      <c r="L598" s="253">
        <v>7038</v>
      </c>
      <c r="M598" s="262"/>
      <c r="N598" s="262"/>
      <c r="O598" s="256"/>
      <c r="P598" s="256"/>
    </row>
    <row r="599" spans="1:16" ht="15.75" outlineLevel="2" x14ac:dyDescent="0.25">
      <c r="A599" s="324">
        <v>42583</v>
      </c>
      <c r="B599" s="273">
        <v>2016</v>
      </c>
      <c r="C599" s="268" t="s">
        <v>398</v>
      </c>
      <c r="D599" s="272"/>
      <c r="E599" s="264"/>
      <c r="F599" s="270"/>
      <c r="G599" s="265"/>
      <c r="H599" s="217" t="e">
        <f t="shared" si="45"/>
        <v>#N/A</v>
      </c>
      <c r="I599" s="262"/>
      <c r="J599" s="262" t="s">
        <v>502</v>
      </c>
      <c r="K599" s="262"/>
      <c r="L599" s="253">
        <v>7038</v>
      </c>
      <c r="M599" s="262"/>
      <c r="N599" s="262"/>
      <c r="O599" s="256"/>
      <c r="P599" s="256"/>
    </row>
    <row r="600" spans="1:16" ht="15.75" outlineLevel="2" x14ac:dyDescent="0.25">
      <c r="A600" s="324">
        <v>42583</v>
      </c>
      <c r="B600" s="273">
        <v>2016</v>
      </c>
      <c r="C600" s="268" t="s">
        <v>398</v>
      </c>
      <c r="D600" s="272"/>
      <c r="E600" s="264"/>
      <c r="F600" s="270"/>
      <c r="G600" s="265"/>
      <c r="H600" s="217" t="e">
        <f t="shared" si="45"/>
        <v>#N/A</v>
      </c>
      <c r="I600" s="262"/>
      <c r="J600" s="262"/>
      <c r="K600" s="263"/>
      <c r="L600" s="253"/>
      <c r="M600" s="262"/>
      <c r="N600" s="262"/>
      <c r="O600" s="256"/>
      <c r="P600" s="256"/>
    </row>
    <row r="601" spans="1:16" ht="15.75" outlineLevel="2" x14ac:dyDescent="0.25">
      <c r="A601" s="324">
        <v>42583</v>
      </c>
      <c r="B601" s="273">
        <v>2016</v>
      </c>
      <c r="C601" s="268" t="s">
        <v>398</v>
      </c>
      <c r="D601" s="272"/>
      <c r="E601" s="264"/>
      <c r="F601" s="270"/>
      <c r="G601" s="265"/>
      <c r="H601" s="217" t="e">
        <f t="shared" si="45"/>
        <v>#N/A</v>
      </c>
      <c r="I601" s="262"/>
      <c r="J601" s="262"/>
      <c r="K601" s="263"/>
      <c r="L601" s="253"/>
      <c r="M601" s="262"/>
      <c r="N601" s="262"/>
      <c r="O601" s="256"/>
      <c r="P601" s="256"/>
    </row>
    <row r="602" spans="1:16" ht="15.75" outlineLevel="2" x14ac:dyDescent="0.25">
      <c r="A602" s="324">
        <v>42583</v>
      </c>
      <c r="B602" s="273">
        <v>2016</v>
      </c>
      <c r="C602" s="268" t="s">
        <v>398</v>
      </c>
      <c r="D602" s="272"/>
      <c r="E602" s="264"/>
      <c r="F602" s="270"/>
      <c r="G602" s="265"/>
      <c r="H602" s="217" t="e">
        <f t="shared" si="45"/>
        <v>#N/A</v>
      </c>
      <c r="I602" s="262"/>
      <c r="J602" s="262"/>
      <c r="K602" s="262"/>
      <c r="L602" s="253"/>
      <c r="M602" s="262"/>
      <c r="N602" s="262"/>
      <c r="O602" s="256"/>
      <c r="P602" s="256"/>
    </row>
    <row r="603" spans="1:16" ht="15.75" outlineLevel="2" x14ac:dyDescent="0.25">
      <c r="A603" s="324">
        <v>42583</v>
      </c>
      <c r="B603" s="273">
        <v>2016</v>
      </c>
      <c r="C603" s="268" t="s">
        <v>398</v>
      </c>
      <c r="D603" s="272"/>
      <c r="E603" s="264"/>
      <c r="F603" s="270"/>
      <c r="G603" s="265"/>
      <c r="H603" s="217" t="e">
        <f t="shared" si="45"/>
        <v>#N/A</v>
      </c>
      <c r="I603" s="262"/>
      <c r="J603" s="262"/>
      <c r="K603" s="262"/>
      <c r="L603" s="253"/>
      <c r="M603" s="262"/>
      <c r="N603" s="262"/>
      <c r="O603" s="256"/>
      <c r="P603" s="256"/>
    </row>
    <row r="604" spans="1:16" ht="15.75" outlineLevel="2" x14ac:dyDescent="0.25">
      <c r="A604" s="324">
        <v>42583</v>
      </c>
      <c r="B604" s="273">
        <v>2016</v>
      </c>
      <c r="C604" s="268" t="s">
        <v>398</v>
      </c>
      <c r="D604" s="272"/>
      <c r="E604" s="264"/>
      <c r="F604" s="270"/>
      <c r="G604" s="265"/>
      <c r="H604" s="217" t="e">
        <f t="shared" si="45"/>
        <v>#N/A</v>
      </c>
      <c r="I604" s="262"/>
      <c r="J604" s="262"/>
      <c r="K604" s="262"/>
      <c r="L604" s="253"/>
      <c r="M604" s="262"/>
      <c r="N604" s="262"/>
      <c r="O604" s="256"/>
      <c r="P604" s="256"/>
    </row>
    <row r="605" spans="1:16" ht="15.75" outlineLevel="2" x14ac:dyDescent="0.25">
      <c r="A605" s="324">
        <v>42583</v>
      </c>
      <c r="B605" s="273">
        <v>2016</v>
      </c>
      <c r="C605" s="268" t="s">
        <v>398</v>
      </c>
      <c r="D605" s="272"/>
      <c r="E605" s="264"/>
      <c r="F605" s="270"/>
      <c r="G605" s="265"/>
      <c r="H605" s="217" t="e">
        <f t="shared" si="45"/>
        <v>#N/A</v>
      </c>
      <c r="I605" s="262"/>
      <c r="J605" s="262"/>
      <c r="K605" s="262"/>
      <c r="L605" s="253"/>
      <c r="M605" s="262"/>
      <c r="N605" s="262"/>
      <c r="O605" s="256"/>
      <c r="P605" s="256"/>
    </row>
    <row r="606" spans="1:16" ht="15.75" x14ac:dyDescent="0.25">
      <c r="A606" s="324">
        <v>42614</v>
      </c>
      <c r="B606" s="273">
        <v>2016</v>
      </c>
      <c r="C606" s="245"/>
      <c r="D606" s="246" t="s">
        <v>498</v>
      </c>
      <c r="E606" s="246"/>
      <c r="F606" s="247"/>
      <c r="G606" s="247">
        <f>SUM(G610:G636)</f>
        <v>22164</v>
      </c>
      <c r="H606" s="217" t="e">
        <f t="shared" si="45"/>
        <v>#N/A</v>
      </c>
      <c r="I606" s="247"/>
      <c r="J606" s="247"/>
      <c r="K606" s="247"/>
      <c r="L606" s="248"/>
      <c r="M606" s="248"/>
      <c r="N606" s="245"/>
      <c r="O606" s="249"/>
      <c r="P606" s="249"/>
    </row>
    <row r="607" spans="1:16" ht="15.75" outlineLevel="1" x14ac:dyDescent="0.25">
      <c r="A607" s="324">
        <v>42614</v>
      </c>
      <c r="B607" s="273">
        <v>2016</v>
      </c>
      <c r="C607" s="245"/>
      <c r="D607" s="246" t="s">
        <v>499</v>
      </c>
      <c r="E607" s="246"/>
      <c r="F607" s="247">
        <f>SUM(F637:F647)</f>
        <v>844</v>
      </c>
      <c r="G607" s="247"/>
      <c r="H607" s="217" t="e">
        <f t="shared" si="45"/>
        <v>#N/A</v>
      </c>
      <c r="I607" s="247" t="e">
        <f>SUM(I637:I647)</f>
        <v>#N/A</v>
      </c>
      <c r="J607" s="247"/>
      <c r="K607" s="247"/>
      <c r="L607" s="248"/>
      <c r="M607" s="248"/>
      <c r="N607" s="245"/>
      <c r="O607" s="249"/>
      <c r="P607" s="249"/>
    </row>
    <row r="608" spans="1:16" ht="15.75" outlineLevel="1" x14ac:dyDescent="0.25">
      <c r="A608" s="324">
        <v>42614</v>
      </c>
      <c r="B608" s="273">
        <v>2016</v>
      </c>
      <c r="C608" s="245"/>
      <c r="D608" s="246" t="s">
        <v>500</v>
      </c>
      <c r="E608" s="246"/>
      <c r="F608" s="247">
        <f>SUM(F648:F655)</f>
        <v>1050</v>
      </c>
      <c r="G608" s="247"/>
      <c r="H608" s="217" t="e">
        <f t="shared" si="45"/>
        <v>#N/A</v>
      </c>
      <c r="I608" s="247"/>
      <c r="J608" s="247"/>
      <c r="K608" s="247"/>
      <c r="L608" s="248"/>
      <c r="M608" s="248"/>
      <c r="N608" s="245"/>
      <c r="O608" s="249"/>
      <c r="P608" s="249"/>
    </row>
    <row r="609" spans="1:16" ht="15.75" outlineLevel="1" x14ac:dyDescent="0.25">
      <c r="A609" s="324">
        <v>42614</v>
      </c>
      <c r="B609" s="273">
        <v>2016</v>
      </c>
      <c r="C609" s="245"/>
      <c r="D609" s="246" t="s">
        <v>501</v>
      </c>
      <c r="E609" s="246"/>
      <c r="F609" s="247"/>
      <c r="G609" s="247"/>
      <c r="H609" s="217" t="e">
        <f t="shared" si="45"/>
        <v>#N/A</v>
      </c>
      <c r="I609" s="247">
        <f>SUM(I656:I666)</f>
        <v>136840</v>
      </c>
      <c r="J609" s="247"/>
      <c r="K609" s="247"/>
      <c r="L609" s="248"/>
      <c r="M609" s="248"/>
      <c r="N609" s="245"/>
      <c r="O609" s="250"/>
      <c r="P609" s="250"/>
    </row>
    <row r="610" spans="1:16" ht="15.75" outlineLevel="1" x14ac:dyDescent="0.25">
      <c r="A610" s="324">
        <v>42614</v>
      </c>
      <c r="B610" s="273">
        <v>2016</v>
      </c>
      <c r="C610" s="251" t="s">
        <v>396</v>
      </c>
      <c r="D610" s="213" t="s">
        <v>61</v>
      </c>
      <c r="E610" s="252"/>
      <c r="F610" s="253"/>
      <c r="G610" s="254">
        <f>F610*E610/1000</f>
        <v>0</v>
      </c>
      <c r="H610" s="217">
        <f t="shared" si="45"/>
        <v>1.115</v>
      </c>
      <c r="I610" s="254">
        <f>H610*G610</f>
        <v>0</v>
      </c>
      <c r="J610" s="253" t="s">
        <v>502</v>
      </c>
      <c r="K610" s="255"/>
      <c r="L610" s="253"/>
      <c r="M610" s="253"/>
      <c r="N610" s="253"/>
      <c r="O610" s="256"/>
      <c r="P610" s="256"/>
    </row>
    <row r="611" spans="1:16" ht="15.75" outlineLevel="2" x14ac:dyDescent="0.25">
      <c r="A611" s="324">
        <v>42614</v>
      </c>
      <c r="B611" s="273">
        <v>2016</v>
      </c>
      <c r="C611" s="251" t="s">
        <v>396</v>
      </c>
      <c r="D611" s="213" t="s">
        <v>63</v>
      </c>
      <c r="E611" s="252"/>
      <c r="F611" s="253"/>
      <c r="G611" s="254">
        <f t="shared" ref="G611:G636" si="67">F611*E611/1000</f>
        <v>0</v>
      </c>
      <c r="H611" s="217">
        <f t="shared" si="45"/>
        <v>3.1069999999999998</v>
      </c>
      <c r="I611" s="254">
        <f t="shared" ref="I611:I636" si="68">H611*G611</f>
        <v>0</v>
      </c>
      <c r="J611" s="253" t="s">
        <v>502</v>
      </c>
      <c r="K611" s="255"/>
      <c r="L611" s="253"/>
      <c r="M611" s="253"/>
      <c r="N611" s="253"/>
      <c r="O611" s="256"/>
      <c r="P611" s="256"/>
    </row>
    <row r="612" spans="1:16" ht="15.75" outlineLevel="2" x14ac:dyDescent="0.25">
      <c r="A612" s="324">
        <v>42614</v>
      </c>
      <c r="B612" s="273">
        <v>2016</v>
      </c>
      <c r="C612" s="251" t="s">
        <v>396</v>
      </c>
      <c r="D612" s="213" t="s">
        <v>62</v>
      </c>
      <c r="E612" s="252"/>
      <c r="F612" s="253"/>
      <c r="G612" s="254">
        <f t="shared" si="67"/>
        <v>0</v>
      </c>
      <c r="H612" s="217">
        <f t="shared" si="45"/>
        <v>2.367</v>
      </c>
      <c r="I612" s="254">
        <f t="shared" si="68"/>
        <v>0</v>
      </c>
      <c r="J612" s="253" t="s">
        <v>502</v>
      </c>
      <c r="K612" s="255"/>
      <c r="L612" s="253"/>
      <c r="M612" s="253"/>
      <c r="N612" s="253"/>
      <c r="O612" s="256"/>
      <c r="P612" s="256"/>
    </row>
    <row r="613" spans="1:16" ht="15.75" outlineLevel="2" x14ac:dyDescent="0.25">
      <c r="A613" s="324">
        <v>42614</v>
      </c>
      <c r="B613" s="273">
        <v>2016</v>
      </c>
      <c r="C613" s="251" t="s">
        <v>396</v>
      </c>
      <c r="D613" s="213" t="s">
        <v>61</v>
      </c>
      <c r="E613" s="252"/>
      <c r="F613" s="253"/>
      <c r="G613" s="254">
        <f t="shared" si="67"/>
        <v>0</v>
      </c>
      <c r="H613" s="217">
        <f t="shared" si="45"/>
        <v>1.115</v>
      </c>
      <c r="I613" s="254">
        <f t="shared" si="68"/>
        <v>0</v>
      </c>
      <c r="J613" s="253" t="s">
        <v>502</v>
      </c>
      <c r="K613" s="255"/>
      <c r="L613" s="253"/>
      <c r="M613" s="253"/>
      <c r="N613" s="253"/>
      <c r="O613" s="256"/>
      <c r="P613" s="256"/>
    </row>
    <row r="614" spans="1:16" ht="15.75" outlineLevel="2" x14ac:dyDescent="0.25">
      <c r="A614" s="324">
        <v>42614</v>
      </c>
      <c r="B614" s="273">
        <v>2016</v>
      </c>
      <c r="C614" s="251" t="s">
        <v>396</v>
      </c>
      <c r="D614" s="213" t="s">
        <v>63</v>
      </c>
      <c r="E614" s="252">
        <v>3000</v>
      </c>
      <c r="F614" s="253">
        <v>744</v>
      </c>
      <c r="G614" s="254">
        <f t="shared" si="67"/>
        <v>2232</v>
      </c>
      <c r="H614" s="217">
        <f t="shared" si="45"/>
        <v>3.1069999999999998</v>
      </c>
      <c r="I614" s="254">
        <f t="shared" si="68"/>
        <v>6934.8239999999996</v>
      </c>
      <c r="J614" s="253" t="s">
        <v>502</v>
      </c>
      <c r="K614" s="255"/>
      <c r="L614" s="253"/>
      <c r="M614" s="262" t="s">
        <v>553</v>
      </c>
      <c r="N614" s="253"/>
      <c r="O614" s="256"/>
      <c r="P614" s="256"/>
    </row>
    <row r="615" spans="1:16" ht="15.75" outlineLevel="2" x14ac:dyDescent="0.25">
      <c r="A615" s="324">
        <v>42614</v>
      </c>
      <c r="B615" s="273">
        <v>2016</v>
      </c>
      <c r="C615" s="251" t="s">
        <v>396</v>
      </c>
      <c r="D615" s="213" t="s">
        <v>62</v>
      </c>
      <c r="E615" s="252"/>
      <c r="F615" s="253"/>
      <c r="G615" s="254">
        <f t="shared" si="67"/>
        <v>0</v>
      </c>
      <c r="H615" s="217">
        <f t="shared" si="45"/>
        <v>2.367</v>
      </c>
      <c r="I615" s="254">
        <f t="shared" si="68"/>
        <v>0</v>
      </c>
      <c r="J615" s="253" t="s">
        <v>502</v>
      </c>
      <c r="K615" s="255"/>
      <c r="L615" s="253"/>
      <c r="M615" s="253"/>
      <c r="N615" s="253"/>
      <c r="O615" s="256"/>
      <c r="P615" s="256"/>
    </row>
    <row r="616" spans="1:16" ht="15.75" outlineLevel="2" x14ac:dyDescent="0.25">
      <c r="A616" s="324">
        <v>42614</v>
      </c>
      <c r="B616" s="273">
        <v>2016</v>
      </c>
      <c r="C616" s="251" t="s">
        <v>396</v>
      </c>
      <c r="D616" s="213" t="s">
        <v>60</v>
      </c>
      <c r="E616" s="252"/>
      <c r="F616" s="253"/>
      <c r="G616" s="254">
        <f>F616*E616/1000</f>
        <v>0</v>
      </c>
      <c r="H616" s="217">
        <f t="shared" ref="H616:H702" si="69">VLOOKUP(D616,$D$5:$E$359,2,FALSE)</f>
        <v>0.63800000000000001</v>
      </c>
      <c r="I616" s="254">
        <f>H616*G616</f>
        <v>0</v>
      </c>
      <c r="J616" s="253" t="s">
        <v>502</v>
      </c>
      <c r="K616" s="255"/>
      <c r="L616" s="253"/>
      <c r="M616" s="253"/>
      <c r="N616" s="253"/>
      <c r="O616" s="256"/>
      <c r="P616" s="256"/>
    </row>
    <row r="617" spans="1:16" ht="15.75" outlineLevel="2" x14ac:dyDescent="0.25">
      <c r="A617" s="324">
        <v>42614</v>
      </c>
      <c r="B617" s="273">
        <v>2016</v>
      </c>
      <c r="C617" s="251" t="s">
        <v>396</v>
      </c>
      <c r="D617" s="53" t="s">
        <v>53</v>
      </c>
      <c r="E617" s="252"/>
      <c r="F617" s="253"/>
      <c r="G617" s="254">
        <f t="shared" si="67"/>
        <v>0</v>
      </c>
      <c r="H617" s="217">
        <f t="shared" si="69"/>
        <v>1.105</v>
      </c>
      <c r="I617" s="254">
        <f t="shared" si="68"/>
        <v>0</v>
      </c>
      <c r="J617" s="253" t="s">
        <v>502</v>
      </c>
      <c r="K617" s="253"/>
      <c r="L617" s="253"/>
      <c r="M617" s="253"/>
      <c r="N617" s="253"/>
      <c r="O617" s="256"/>
      <c r="P617" s="256"/>
    </row>
    <row r="618" spans="1:16" ht="25.5" outlineLevel="2" x14ac:dyDescent="0.25">
      <c r="A618" s="324">
        <v>42614</v>
      </c>
      <c r="B618" s="273">
        <v>2016</v>
      </c>
      <c r="C618" s="251" t="s">
        <v>396</v>
      </c>
      <c r="D618" s="53" t="s">
        <v>46</v>
      </c>
      <c r="E618" s="252">
        <v>6000</v>
      </c>
      <c r="F618" s="253">
        <v>470</v>
      </c>
      <c r="G618" s="254">
        <f t="shared" si="67"/>
        <v>2820</v>
      </c>
      <c r="H618" s="217">
        <f t="shared" si="69"/>
        <v>1.665</v>
      </c>
      <c r="I618" s="254">
        <f t="shared" si="68"/>
        <v>4695.3</v>
      </c>
      <c r="J618" s="253" t="s">
        <v>502</v>
      </c>
      <c r="K618" s="253"/>
      <c r="L618" s="253"/>
      <c r="M618" s="253" t="s">
        <v>558</v>
      </c>
      <c r="N618" s="253"/>
      <c r="O618" s="256"/>
      <c r="P618" s="256"/>
    </row>
    <row r="619" spans="1:16" ht="25.5" outlineLevel="2" x14ac:dyDescent="0.25">
      <c r="A619" s="324">
        <v>42614</v>
      </c>
      <c r="B619" s="273">
        <v>2016</v>
      </c>
      <c r="C619" s="251" t="s">
        <v>396</v>
      </c>
      <c r="D619" s="53" t="s">
        <v>37</v>
      </c>
      <c r="E619" s="252">
        <v>6000</v>
      </c>
      <c r="F619" s="253">
        <v>630</v>
      </c>
      <c r="G619" s="254">
        <f t="shared" ref="G619:G626" si="70">F619*E619/1000</f>
        <v>3780</v>
      </c>
      <c r="H619" s="217">
        <f t="shared" ref="H619:H626" si="71">VLOOKUP(D619,$D$5:$E$359,2,FALSE)</f>
        <v>0.50600000000000001</v>
      </c>
      <c r="I619" s="254">
        <f t="shared" ref="I619:I626" si="72">H619*G619</f>
        <v>1912.68</v>
      </c>
      <c r="J619" s="253" t="s">
        <v>502</v>
      </c>
      <c r="K619" s="253"/>
      <c r="L619" s="253"/>
      <c r="M619" s="253" t="s">
        <v>558</v>
      </c>
      <c r="N619" s="253"/>
      <c r="O619" s="256"/>
      <c r="P619" s="256"/>
    </row>
    <row r="620" spans="1:16" ht="25.5" outlineLevel="2" x14ac:dyDescent="0.25">
      <c r="A620" s="324">
        <v>42614</v>
      </c>
      <c r="B620" s="273">
        <v>2016</v>
      </c>
      <c r="C620" s="251" t="s">
        <v>396</v>
      </c>
      <c r="D620" s="53" t="s">
        <v>47</v>
      </c>
      <c r="E620" s="252">
        <v>6000</v>
      </c>
      <c r="F620" s="253">
        <v>220</v>
      </c>
      <c r="G620" s="254">
        <f t="shared" si="70"/>
        <v>1320</v>
      </c>
      <c r="H620" s="217">
        <f t="shared" si="71"/>
        <v>2.0350000000000001</v>
      </c>
      <c r="I620" s="254">
        <f t="shared" si="72"/>
        <v>2686.2000000000003</v>
      </c>
      <c r="J620" s="253" t="s">
        <v>502</v>
      </c>
      <c r="K620" s="253"/>
      <c r="L620" s="253"/>
      <c r="M620" s="253" t="s">
        <v>558</v>
      </c>
      <c r="N620" s="253"/>
      <c r="O620" s="256"/>
      <c r="P620" s="256"/>
    </row>
    <row r="621" spans="1:16" ht="15.75" outlineLevel="2" x14ac:dyDescent="0.25">
      <c r="A621" s="324">
        <v>42614</v>
      </c>
      <c r="B621" s="273">
        <v>2016</v>
      </c>
      <c r="C621" s="251" t="s">
        <v>396</v>
      </c>
      <c r="D621" s="53"/>
      <c r="E621" s="252"/>
      <c r="F621" s="253"/>
      <c r="G621" s="254">
        <f t="shared" si="70"/>
        <v>0</v>
      </c>
      <c r="H621" s="217" t="e">
        <f t="shared" si="71"/>
        <v>#N/A</v>
      </c>
      <c r="I621" s="254" t="e">
        <f t="shared" si="72"/>
        <v>#N/A</v>
      </c>
      <c r="J621" s="253"/>
      <c r="K621" s="253"/>
      <c r="L621" s="253"/>
      <c r="M621" s="253"/>
      <c r="N621" s="253"/>
      <c r="O621" s="256"/>
      <c r="P621" s="256"/>
    </row>
    <row r="622" spans="1:16" ht="15.75" outlineLevel="2" x14ac:dyDescent="0.25">
      <c r="A622" s="324">
        <v>42614</v>
      </c>
      <c r="B622" s="273">
        <v>2016</v>
      </c>
      <c r="C622" s="251" t="s">
        <v>396</v>
      </c>
      <c r="D622" s="53"/>
      <c r="E622" s="252"/>
      <c r="F622" s="253"/>
      <c r="G622" s="254">
        <f t="shared" si="70"/>
        <v>0</v>
      </c>
      <c r="H622" s="217" t="e">
        <f t="shared" si="71"/>
        <v>#N/A</v>
      </c>
      <c r="I622" s="254" t="e">
        <f t="shared" si="72"/>
        <v>#N/A</v>
      </c>
      <c r="J622" s="253"/>
      <c r="K622" s="253"/>
      <c r="L622" s="253"/>
      <c r="M622" s="253"/>
      <c r="N622" s="253"/>
      <c r="O622" s="256"/>
      <c r="P622" s="256"/>
    </row>
    <row r="623" spans="1:16" ht="15.75" outlineLevel="2" x14ac:dyDescent="0.25">
      <c r="A623" s="324">
        <v>42614</v>
      </c>
      <c r="B623" s="273">
        <v>2016</v>
      </c>
      <c r="C623" s="251" t="s">
        <v>396</v>
      </c>
      <c r="D623" s="53"/>
      <c r="E623" s="252"/>
      <c r="F623" s="253"/>
      <c r="G623" s="254">
        <f t="shared" si="70"/>
        <v>0</v>
      </c>
      <c r="H623" s="217" t="e">
        <f t="shared" si="71"/>
        <v>#N/A</v>
      </c>
      <c r="I623" s="254" t="e">
        <f t="shared" si="72"/>
        <v>#N/A</v>
      </c>
      <c r="J623" s="253"/>
      <c r="K623" s="253"/>
      <c r="L623" s="253"/>
      <c r="M623" s="253"/>
      <c r="N623" s="253"/>
      <c r="O623" s="256"/>
      <c r="P623" s="256"/>
    </row>
    <row r="624" spans="1:16" ht="15.75" outlineLevel="2" x14ac:dyDescent="0.25">
      <c r="A624" s="324">
        <v>42614</v>
      </c>
      <c r="B624" s="273">
        <v>2016</v>
      </c>
      <c r="C624" s="251" t="s">
        <v>396</v>
      </c>
      <c r="D624" s="53"/>
      <c r="E624" s="252"/>
      <c r="F624" s="253"/>
      <c r="G624" s="254">
        <f t="shared" si="70"/>
        <v>0</v>
      </c>
      <c r="H624" s="217" t="e">
        <f t="shared" si="71"/>
        <v>#N/A</v>
      </c>
      <c r="I624" s="254" t="e">
        <f t="shared" si="72"/>
        <v>#N/A</v>
      </c>
      <c r="J624" s="253"/>
      <c r="K624" s="253"/>
      <c r="L624" s="253"/>
      <c r="M624" s="253"/>
      <c r="N624" s="253"/>
      <c r="O624" s="256"/>
      <c r="P624" s="256"/>
    </row>
    <row r="625" spans="1:16" ht="15.75" outlineLevel="2" x14ac:dyDescent="0.25">
      <c r="A625" s="324">
        <v>42614</v>
      </c>
      <c r="B625" s="273">
        <v>2016</v>
      </c>
      <c r="C625" s="251" t="s">
        <v>396</v>
      </c>
      <c r="D625" s="53"/>
      <c r="E625" s="252"/>
      <c r="F625" s="253"/>
      <c r="G625" s="254">
        <f t="shared" si="70"/>
        <v>0</v>
      </c>
      <c r="H625" s="217" t="e">
        <f t="shared" si="71"/>
        <v>#N/A</v>
      </c>
      <c r="I625" s="254" t="e">
        <f t="shared" si="72"/>
        <v>#N/A</v>
      </c>
      <c r="J625" s="253"/>
      <c r="K625" s="253"/>
      <c r="L625" s="253"/>
      <c r="M625" s="253"/>
      <c r="N625" s="253"/>
      <c r="O625" s="256"/>
      <c r="P625" s="256"/>
    </row>
    <row r="626" spans="1:16" ht="15.75" outlineLevel="2" x14ac:dyDescent="0.25">
      <c r="A626" s="324">
        <v>42614</v>
      </c>
      <c r="B626" s="273">
        <v>2016</v>
      </c>
      <c r="C626" s="251" t="s">
        <v>396</v>
      </c>
      <c r="D626" s="53"/>
      <c r="E626" s="252"/>
      <c r="F626" s="253"/>
      <c r="G626" s="254">
        <f t="shared" si="70"/>
        <v>0</v>
      </c>
      <c r="H626" s="217" t="e">
        <f t="shared" si="71"/>
        <v>#N/A</v>
      </c>
      <c r="I626" s="254" t="e">
        <f t="shared" si="72"/>
        <v>#N/A</v>
      </c>
      <c r="J626" s="253"/>
      <c r="K626" s="253"/>
      <c r="L626" s="253"/>
      <c r="M626" s="253"/>
      <c r="N626" s="253"/>
      <c r="O626" s="256"/>
      <c r="P626" s="256"/>
    </row>
    <row r="627" spans="1:16" ht="15.75" outlineLevel="2" x14ac:dyDescent="0.25">
      <c r="A627" s="324">
        <v>42614</v>
      </c>
      <c r="B627" s="273">
        <v>2016</v>
      </c>
      <c r="C627" s="251" t="s">
        <v>396</v>
      </c>
      <c r="D627" s="53"/>
      <c r="E627" s="252"/>
      <c r="F627" s="253"/>
      <c r="G627" s="254"/>
      <c r="H627" s="217"/>
      <c r="I627" s="254"/>
      <c r="J627" s="253"/>
      <c r="K627" s="253"/>
      <c r="L627" s="253"/>
      <c r="M627" s="253"/>
      <c r="N627" s="253"/>
      <c r="O627" s="256"/>
      <c r="P627" s="256"/>
    </row>
    <row r="628" spans="1:16" ht="15.75" outlineLevel="2" x14ac:dyDescent="0.25">
      <c r="A628" s="324">
        <v>42614</v>
      </c>
      <c r="B628" s="273">
        <v>2016</v>
      </c>
      <c r="C628" s="251" t="s">
        <v>396</v>
      </c>
      <c r="D628" s="53"/>
      <c r="E628" s="252"/>
      <c r="F628" s="253"/>
      <c r="G628" s="254"/>
      <c r="H628" s="217"/>
      <c r="I628" s="254"/>
      <c r="J628" s="253"/>
      <c r="K628" s="253"/>
      <c r="L628" s="253"/>
      <c r="M628" s="253"/>
      <c r="N628" s="253"/>
      <c r="O628" s="256"/>
      <c r="P628" s="256"/>
    </row>
    <row r="629" spans="1:16" ht="15.75" outlineLevel="2" x14ac:dyDescent="0.25">
      <c r="A629" s="324">
        <v>42614</v>
      </c>
      <c r="B629" s="273">
        <v>2016</v>
      </c>
      <c r="C629" s="251" t="s">
        <v>396</v>
      </c>
      <c r="D629" s="53"/>
      <c r="E629" s="252"/>
      <c r="F629" s="253"/>
      <c r="G629" s="254"/>
      <c r="H629" s="217"/>
      <c r="I629" s="254"/>
      <c r="J629" s="253"/>
      <c r="K629" s="253"/>
      <c r="L629" s="253"/>
      <c r="M629" s="253"/>
      <c r="N629" s="253"/>
      <c r="O629" s="256"/>
      <c r="P629" s="256"/>
    </row>
    <row r="630" spans="1:16" ht="15.75" outlineLevel="2" x14ac:dyDescent="0.25">
      <c r="A630" s="324">
        <v>42614</v>
      </c>
      <c r="B630" s="273">
        <v>2016</v>
      </c>
      <c r="C630" s="251" t="s">
        <v>396</v>
      </c>
      <c r="D630" s="53"/>
      <c r="E630" s="252"/>
      <c r="F630" s="253"/>
      <c r="G630" s="254"/>
      <c r="H630" s="217"/>
      <c r="I630" s="254"/>
      <c r="J630" s="253"/>
      <c r="K630" s="253"/>
      <c r="L630" s="253"/>
      <c r="M630" s="253"/>
      <c r="N630" s="253"/>
      <c r="O630" s="256"/>
      <c r="P630" s="256"/>
    </row>
    <row r="631" spans="1:16" ht="15.75" outlineLevel="2" x14ac:dyDescent="0.25">
      <c r="A631" s="324">
        <v>42614</v>
      </c>
      <c r="B631" s="273">
        <v>2016</v>
      </c>
      <c r="C631" s="251" t="s">
        <v>396</v>
      </c>
      <c r="D631" s="213"/>
      <c r="E631" s="252"/>
      <c r="F631" s="253"/>
      <c r="G631" s="254">
        <f t="shared" si="67"/>
        <v>0</v>
      </c>
      <c r="H631" s="217" t="e">
        <f t="shared" si="69"/>
        <v>#N/A</v>
      </c>
      <c r="I631" s="254" t="e">
        <f t="shared" si="68"/>
        <v>#N/A</v>
      </c>
      <c r="J631" s="253" t="s">
        <v>502</v>
      </c>
      <c r="K631" s="253"/>
      <c r="L631" s="253"/>
      <c r="M631" s="253"/>
      <c r="N631" s="253"/>
      <c r="O631" s="256"/>
      <c r="P631" s="256"/>
    </row>
    <row r="632" spans="1:16" ht="15.75" outlineLevel="2" x14ac:dyDescent="0.25">
      <c r="A632" s="324">
        <v>42614</v>
      </c>
      <c r="B632" s="273">
        <v>2016</v>
      </c>
      <c r="C632" s="251" t="s">
        <v>396</v>
      </c>
      <c r="D632" s="213" t="s">
        <v>41</v>
      </c>
      <c r="E632" s="252">
        <v>6000</v>
      </c>
      <c r="F632" s="253">
        <v>1167</v>
      </c>
      <c r="G632" s="254">
        <f t="shared" si="67"/>
        <v>7002</v>
      </c>
      <c r="H632" s="217">
        <f t="shared" si="69"/>
        <v>0.65500000000000003</v>
      </c>
      <c r="I632" s="254">
        <f t="shared" si="68"/>
        <v>4586.3100000000004</v>
      </c>
      <c r="J632" s="253" t="s">
        <v>502</v>
      </c>
      <c r="K632" s="255">
        <v>42635</v>
      </c>
      <c r="L632" s="253">
        <v>1018</v>
      </c>
      <c r="M632" s="253" t="s">
        <v>503</v>
      </c>
      <c r="N632" s="253" t="s">
        <v>512</v>
      </c>
      <c r="O632" s="256"/>
      <c r="P632" s="256"/>
    </row>
    <row r="633" spans="1:16" ht="15.75" outlineLevel="2" x14ac:dyDescent="0.25">
      <c r="A633" s="324">
        <v>42614</v>
      </c>
      <c r="B633" s="273">
        <v>2016</v>
      </c>
      <c r="C633" s="251" t="s">
        <v>396</v>
      </c>
      <c r="D633" s="213" t="s">
        <v>42</v>
      </c>
      <c r="E633" s="252">
        <v>6000</v>
      </c>
      <c r="F633" s="253">
        <v>417</v>
      </c>
      <c r="G633" s="254">
        <f t="shared" si="67"/>
        <v>2502</v>
      </c>
      <c r="H633" s="217">
        <f t="shared" si="69"/>
        <v>0.82199999999999995</v>
      </c>
      <c r="I633" s="254">
        <f t="shared" si="68"/>
        <v>2056.6439999999998</v>
      </c>
      <c r="J633" s="253" t="s">
        <v>502</v>
      </c>
      <c r="K633" s="255">
        <v>42635</v>
      </c>
      <c r="L633" s="253">
        <v>1018</v>
      </c>
      <c r="M633" s="253" t="s">
        <v>503</v>
      </c>
      <c r="N633" s="253" t="s">
        <v>512</v>
      </c>
      <c r="O633" s="256"/>
      <c r="P633" s="256"/>
    </row>
    <row r="634" spans="1:16" ht="15.75" outlineLevel="2" x14ac:dyDescent="0.25">
      <c r="A634" s="324">
        <v>42614</v>
      </c>
      <c r="B634" s="273">
        <v>2016</v>
      </c>
      <c r="C634" s="251" t="s">
        <v>396</v>
      </c>
      <c r="D634" s="213" t="s">
        <v>39</v>
      </c>
      <c r="E634" s="252">
        <v>6000</v>
      </c>
      <c r="F634" s="253">
        <v>250</v>
      </c>
      <c r="G634" s="254">
        <f t="shared" si="67"/>
        <v>1500</v>
      </c>
      <c r="H634" s="217">
        <f t="shared" si="69"/>
        <v>0.38</v>
      </c>
      <c r="I634" s="254">
        <f t="shared" si="68"/>
        <v>570</v>
      </c>
      <c r="J634" s="253" t="s">
        <v>502</v>
      </c>
      <c r="K634" s="255">
        <v>42635</v>
      </c>
      <c r="L634" s="253">
        <v>1018</v>
      </c>
      <c r="M634" s="253" t="s">
        <v>503</v>
      </c>
      <c r="N634" s="253" t="s">
        <v>512</v>
      </c>
      <c r="O634" s="256"/>
      <c r="P634" s="256"/>
    </row>
    <row r="635" spans="1:16" ht="15.75" outlineLevel="2" x14ac:dyDescent="0.25">
      <c r="A635" s="324">
        <v>42614</v>
      </c>
      <c r="B635" s="273">
        <v>2016</v>
      </c>
      <c r="C635" s="251" t="s">
        <v>396</v>
      </c>
      <c r="D635" s="213" t="s">
        <v>50</v>
      </c>
      <c r="E635" s="252">
        <v>6000</v>
      </c>
      <c r="F635" s="253">
        <v>84</v>
      </c>
      <c r="G635" s="254">
        <f t="shared" si="67"/>
        <v>504</v>
      </c>
      <c r="H635" s="217">
        <f t="shared" si="69"/>
        <v>0.53100000000000003</v>
      </c>
      <c r="I635" s="254">
        <f t="shared" si="68"/>
        <v>267.62400000000002</v>
      </c>
      <c r="J635" s="253" t="s">
        <v>502</v>
      </c>
      <c r="K635" s="255">
        <v>42635</v>
      </c>
      <c r="L635" s="253">
        <v>1018</v>
      </c>
      <c r="M635" s="253" t="s">
        <v>503</v>
      </c>
      <c r="N635" s="253" t="s">
        <v>512</v>
      </c>
      <c r="O635" s="256"/>
      <c r="P635" s="256"/>
    </row>
    <row r="636" spans="1:16" ht="15.75" outlineLevel="2" x14ac:dyDescent="0.25">
      <c r="A636" s="324">
        <v>42614</v>
      </c>
      <c r="B636" s="273">
        <v>2016</v>
      </c>
      <c r="C636" s="251" t="s">
        <v>396</v>
      </c>
      <c r="D636" s="213" t="s">
        <v>44</v>
      </c>
      <c r="E636" s="252">
        <v>6000</v>
      </c>
      <c r="F636" s="253">
        <v>84</v>
      </c>
      <c r="G636" s="254">
        <f t="shared" si="67"/>
        <v>504</v>
      </c>
      <c r="H636" s="217">
        <f t="shared" si="69"/>
        <v>1.1789999999999998</v>
      </c>
      <c r="I636" s="254">
        <f t="shared" si="68"/>
        <v>594.21599999999989</v>
      </c>
      <c r="J636" s="253" t="s">
        <v>502</v>
      </c>
      <c r="K636" s="255">
        <v>42635</v>
      </c>
      <c r="L636" s="253">
        <v>1018</v>
      </c>
      <c r="M636" s="253" t="s">
        <v>503</v>
      </c>
      <c r="N636" s="253" t="s">
        <v>512</v>
      </c>
      <c r="O636" s="256"/>
      <c r="P636" s="256"/>
    </row>
    <row r="637" spans="1:16" ht="15.75" outlineLevel="1" x14ac:dyDescent="0.25">
      <c r="A637" s="324">
        <v>42614</v>
      </c>
      <c r="B637" s="273">
        <v>2016</v>
      </c>
      <c r="C637" s="257" t="s">
        <v>397</v>
      </c>
      <c r="D637" s="258" t="s">
        <v>383</v>
      </c>
      <c r="E637" s="223"/>
      <c r="F637" s="253">
        <v>100</v>
      </c>
      <c r="G637" s="259"/>
      <c r="H637" s="217">
        <f t="shared" si="69"/>
        <v>8.2810000000000006</v>
      </c>
      <c r="I637" s="254">
        <f>H637*F637</f>
        <v>828.1</v>
      </c>
      <c r="J637" s="253" t="s">
        <v>502</v>
      </c>
      <c r="K637" s="253"/>
      <c r="L637" s="253"/>
      <c r="M637" s="253"/>
      <c r="N637" s="253"/>
      <c r="O637" s="256"/>
      <c r="P637" s="256"/>
    </row>
    <row r="638" spans="1:16" ht="15.75" outlineLevel="2" x14ac:dyDescent="0.25">
      <c r="A638" s="324">
        <v>42614</v>
      </c>
      <c r="B638" s="273">
        <v>2016</v>
      </c>
      <c r="C638" s="257" t="s">
        <v>397</v>
      </c>
      <c r="D638" s="258" t="s">
        <v>386</v>
      </c>
      <c r="E638" s="224"/>
      <c r="F638" s="253"/>
      <c r="G638" s="259"/>
      <c r="H638" s="217">
        <f t="shared" si="69"/>
        <v>11.587999999999999</v>
      </c>
      <c r="I638" s="254">
        <f t="shared" ref="I638:I643" si="73">H638*F638</f>
        <v>0</v>
      </c>
      <c r="J638" s="253" t="s">
        <v>502</v>
      </c>
      <c r="K638" s="253"/>
      <c r="L638" s="253"/>
      <c r="M638" s="253"/>
      <c r="N638" s="253"/>
      <c r="O638" s="256"/>
      <c r="P638" s="256"/>
    </row>
    <row r="639" spans="1:16" ht="15.75" outlineLevel="2" x14ac:dyDescent="0.25">
      <c r="A639" s="324">
        <v>42614</v>
      </c>
      <c r="B639" s="273">
        <v>2016</v>
      </c>
      <c r="C639" s="257" t="s">
        <v>397</v>
      </c>
      <c r="D639" s="258" t="s">
        <v>382</v>
      </c>
      <c r="E639" s="260"/>
      <c r="F639" s="253"/>
      <c r="G639" s="259"/>
      <c r="H639" s="217">
        <f t="shared" si="69"/>
        <v>7.4539999999999997</v>
      </c>
      <c r="I639" s="254">
        <f t="shared" si="73"/>
        <v>0</v>
      </c>
      <c r="J639" s="253"/>
      <c r="K639" s="253"/>
      <c r="L639" s="253"/>
      <c r="M639" s="253"/>
      <c r="N639" s="253"/>
      <c r="O639" s="256"/>
      <c r="P639" s="256"/>
    </row>
    <row r="640" spans="1:16" ht="15.75" outlineLevel="2" x14ac:dyDescent="0.25">
      <c r="A640" s="324">
        <v>42614</v>
      </c>
      <c r="B640" s="273">
        <v>2016</v>
      </c>
      <c r="C640" s="257" t="s">
        <v>397</v>
      </c>
      <c r="D640" s="258" t="s">
        <v>230</v>
      </c>
      <c r="E640" s="260"/>
      <c r="F640" s="253"/>
      <c r="G640" s="259"/>
      <c r="H640" s="217">
        <f t="shared" si="69"/>
        <v>5.0110000000000001</v>
      </c>
      <c r="I640" s="254">
        <f t="shared" si="73"/>
        <v>0</v>
      </c>
      <c r="J640" s="253"/>
      <c r="K640" s="253"/>
      <c r="L640" s="253"/>
      <c r="M640" s="253"/>
      <c r="N640" s="253"/>
      <c r="O640" s="256"/>
      <c r="P640" s="256"/>
    </row>
    <row r="641" spans="1:16" ht="15.75" outlineLevel="2" x14ac:dyDescent="0.25">
      <c r="A641" s="324">
        <v>42614</v>
      </c>
      <c r="B641" s="273">
        <v>2016</v>
      </c>
      <c r="C641" s="257" t="s">
        <v>397</v>
      </c>
      <c r="D641" s="258" t="s">
        <v>382</v>
      </c>
      <c r="E641" s="261"/>
      <c r="F641" s="253"/>
      <c r="G641" s="259"/>
      <c r="H641" s="217">
        <f t="shared" si="69"/>
        <v>7.4539999999999997</v>
      </c>
      <c r="I641" s="254">
        <f t="shared" si="73"/>
        <v>0</v>
      </c>
      <c r="J641" s="253"/>
      <c r="K641" s="253"/>
      <c r="L641" s="253"/>
      <c r="M641" s="253"/>
      <c r="N641" s="253"/>
      <c r="O641" s="256"/>
      <c r="P641" s="256"/>
    </row>
    <row r="642" spans="1:16" ht="15.75" outlineLevel="2" x14ac:dyDescent="0.25">
      <c r="A642" s="324">
        <v>42614</v>
      </c>
      <c r="B642" s="273">
        <v>2016</v>
      </c>
      <c r="C642" s="257" t="s">
        <v>397</v>
      </c>
      <c r="D642" s="258" t="s">
        <v>382</v>
      </c>
      <c r="E642" s="261"/>
      <c r="F642" s="253"/>
      <c r="G642" s="259"/>
      <c r="H642" s="217">
        <f t="shared" si="69"/>
        <v>7.4539999999999997</v>
      </c>
      <c r="I642" s="254">
        <f t="shared" si="73"/>
        <v>0</v>
      </c>
      <c r="J642" s="262"/>
      <c r="K642" s="262"/>
      <c r="L642" s="262"/>
      <c r="M642" s="262"/>
      <c r="N642" s="262"/>
      <c r="O642" s="256"/>
      <c r="P642" s="256"/>
    </row>
    <row r="643" spans="1:16" ht="15.75" outlineLevel="2" x14ac:dyDescent="0.25">
      <c r="A643" s="324">
        <v>42614</v>
      </c>
      <c r="B643" s="273">
        <v>2016</v>
      </c>
      <c r="C643" s="257" t="s">
        <v>397</v>
      </c>
      <c r="D643" s="258" t="s">
        <v>317</v>
      </c>
      <c r="E643" s="259"/>
      <c r="F643" s="253"/>
      <c r="G643" s="259"/>
      <c r="H643" s="217">
        <f t="shared" si="69"/>
        <v>2.7959999999999998</v>
      </c>
      <c r="I643" s="254">
        <f t="shared" si="73"/>
        <v>0</v>
      </c>
      <c r="J643" s="253" t="s">
        <v>502</v>
      </c>
      <c r="K643" s="253"/>
      <c r="L643" s="253"/>
      <c r="M643" s="253"/>
      <c r="N643" s="253"/>
      <c r="O643" s="256"/>
      <c r="P643" s="256"/>
    </row>
    <row r="644" spans="1:16" ht="15.75" outlineLevel="2" x14ac:dyDescent="0.25">
      <c r="A644" s="324">
        <v>42614</v>
      </c>
      <c r="B644" s="273">
        <v>2016</v>
      </c>
      <c r="C644" s="257" t="s">
        <v>397</v>
      </c>
      <c r="D644" s="258" t="s">
        <v>447</v>
      </c>
      <c r="E644" s="264"/>
      <c r="F644" s="253"/>
      <c r="G644" s="265"/>
      <c r="H644" s="217">
        <f t="shared" si="69"/>
        <v>1.738</v>
      </c>
      <c r="I644" s="254">
        <f t="shared" ref="I644:I646" si="74">H644*F644</f>
        <v>0</v>
      </c>
      <c r="J644" s="262"/>
      <c r="K644" s="262"/>
      <c r="L644" s="253"/>
      <c r="M644" s="262"/>
      <c r="N644" s="262"/>
      <c r="O644" s="256"/>
      <c r="P644" s="256"/>
    </row>
    <row r="645" spans="1:16" ht="15.75" outlineLevel="2" x14ac:dyDescent="0.25">
      <c r="A645" s="324">
        <v>42614</v>
      </c>
      <c r="B645" s="273">
        <v>2016</v>
      </c>
      <c r="C645" s="257" t="s">
        <v>397</v>
      </c>
      <c r="D645" s="57" t="s">
        <v>449</v>
      </c>
      <c r="E645" s="264"/>
      <c r="F645" s="253">
        <v>744</v>
      </c>
      <c r="G645" s="265"/>
      <c r="H645" s="217">
        <f t="shared" si="69"/>
        <v>4.1779999999999999</v>
      </c>
      <c r="I645" s="254">
        <f t="shared" si="74"/>
        <v>3108.4319999999998</v>
      </c>
      <c r="J645" s="253" t="s">
        <v>502</v>
      </c>
      <c r="K645" s="262"/>
      <c r="L645" s="253"/>
      <c r="M645" s="262" t="s">
        <v>553</v>
      </c>
      <c r="N645" s="262"/>
      <c r="O645" s="256"/>
      <c r="P645" s="256"/>
    </row>
    <row r="646" spans="1:16" ht="15.75" outlineLevel="2" x14ac:dyDescent="0.25">
      <c r="A646" s="324">
        <v>42614</v>
      </c>
      <c r="B646" s="273">
        <v>2016</v>
      </c>
      <c r="C646" s="257" t="s">
        <v>397</v>
      </c>
      <c r="D646" s="258"/>
      <c r="E646" s="264"/>
      <c r="F646" s="253"/>
      <c r="G646" s="265"/>
      <c r="H646" s="217" t="e">
        <f t="shared" si="69"/>
        <v>#N/A</v>
      </c>
      <c r="I646" s="254" t="e">
        <f t="shared" si="74"/>
        <v>#N/A</v>
      </c>
      <c r="J646" s="262"/>
      <c r="K646" s="262"/>
      <c r="L646" s="253"/>
      <c r="M646" s="262"/>
      <c r="N646" s="262"/>
      <c r="O646" s="256"/>
      <c r="P646" s="256"/>
    </row>
    <row r="647" spans="1:16" ht="15.75" outlineLevel="2" x14ac:dyDescent="0.25">
      <c r="A647" s="324">
        <v>42614</v>
      </c>
      <c r="B647" s="273">
        <v>2016</v>
      </c>
      <c r="C647" s="257" t="s">
        <v>397</v>
      </c>
      <c r="D647" s="258"/>
      <c r="E647" s="264"/>
      <c r="F647" s="253"/>
      <c r="G647" s="265"/>
      <c r="H647" s="217" t="e">
        <f t="shared" si="69"/>
        <v>#N/A</v>
      </c>
      <c r="I647" s="254" t="e">
        <f>H647*F647</f>
        <v>#N/A</v>
      </c>
      <c r="J647" s="262"/>
      <c r="K647" s="262"/>
      <c r="L647" s="253"/>
      <c r="M647" s="262"/>
      <c r="N647" s="262"/>
      <c r="O647" s="256"/>
      <c r="P647" s="256"/>
    </row>
    <row r="648" spans="1:16" ht="15.75" outlineLevel="1" x14ac:dyDescent="0.25">
      <c r="A648" s="324">
        <v>42614</v>
      </c>
      <c r="B648" s="273">
        <v>2016</v>
      </c>
      <c r="C648" s="266" t="s">
        <v>391</v>
      </c>
      <c r="D648" s="267" t="s">
        <v>373</v>
      </c>
      <c r="E648" s="264"/>
      <c r="F648" s="253">
        <v>500</v>
      </c>
      <c r="G648" s="265"/>
      <c r="H648" s="217">
        <f t="shared" si="69"/>
        <v>0</v>
      </c>
      <c r="I648" s="254">
        <f t="shared" ref="I648:I655" si="75">H648*F648</f>
        <v>0</v>
      </c>
      <c r="J648" s="262" t="s">
        <v>502</v>
      </c>
      <c r="K648" s="262"/>
      <c r="L648" s="253">
        <v>7038</v>
      </c>
      <c r="M648" s="262"/>
      <c r="N648" s="262"/>
      <c r="O648" s="256"/>
      <c r="P648" s="256"/>
    </row>
    <row r="649" spans="1:16" ht="15.75" outlineLevel="2" x14ac:dyDescent="0.25">
      <c r="A649" s="324">
        <v>42614</v>
      </c>
      <c r="B649" s="273">
        <v>2016</v>
      </c>
      <c r="C649" s="266" t="s">
        <v>391</v>
      </c>
      <c r="D649" s="267" t="s">
        <v>540</v>
      </c>
      <c r="E649" s="264"/>
      <c r="F649" s="253">
        <v>50</v>
      </c>
      <c r="G649" s="265"/>
      <c r="H649" s="217" t="e">
        <f t="shared" si="69"/>
        <v>#N/A</v>
      </c>
      <c r="I649" s="254" t="e">
        <f t="shared" si="75"/>
        <v>#N/A</v>
      </c>
      <c r="J649" s="262" t="s">
        <v>502</v>
      </c>
      <c r="K649" s="255"/>
      <c r="L649" s="253" t="s">
        <v>556</v>
      </c>
      <c r="M649" s="253" t="s">
        <v>557</v>
      </c>
      <c r="N649" s="253"/>
      <c r="O649" s="256"/>
      <c r="P649" s="256"/>
    </row>
    <row r="650" spans="1:16" ht="15.75" outlineLevel="2" x14ac:dyDescent="0.25">
      <c r="A650" s="324">
        <v>42614</v>
      </c>
      <c r="B650" s="273">
        <v>2016</v>
      </c>
      <c r="C650" s="266" t="s">
        <v>391</v>
      </c>
      <c r="D650" s="267" t="s">
        <v>375</v>
      </c>
      <c r="E650" s="264"/>
      <c r="F650" s="253"/>
      <c r="G650" s="265"/>
      <c r="H650" s="217">
        <f t="shared" si="69"/>
        <v>0</v>
      </c>
      <c r="I650" s="254">
        <f t="shared" si="75"/>
        <v>0</v>
      </c>
      <c r="J650" s="262" t="s">
        <v>502</v>
      </c>
      <c r="K650" s="255"/>
      <c r="L650" s="253">
        <v>7038</v>
      </c>
      <c r="M650" s="253"/>
      <c r="N650" s="253"/>
      <c r="O650" s="256"/>
      <c r="P650" s="256"/>
    </row>
    <row r="651" spans="1:16" ht="15.75" outlineLevel="2" x14ac:dyDescent="0.25">
      <c r="A651" s="324">
        <v>42614</v>
      </c>
      <c r="B651" s="273">
        <v>2016</v>
      </c>
      <c r="C651" s="266" t="s">
        <v>391</v>
      </c>
      <c r="D651" s="267" t="s">
        <v>376</v>
      </c>
      <c r="E651" s="264"/>
      <c r="F651" s="253"/>
      <c r="G651" s="265"/>
      <c r="H651" s="217">
        <f t="shared" si="69"/>
        <v>0</v>
      </c>
      <c r="I651" s="254">
        <f t="shared" si="75"/>
        <v>0</v>
      </c>
      <c r="J651" s="262" t="s">
        <v>502</v>
      </c>
      <c r="K651" s="262"/>
      <c r="L651" s="253">
        <v>7038</v>
      </c>
      <c r="M651" s="262"/>
      <c r="N651" s="262"/>
      <c r="O651" s="256"/>
      <c r="P651" s="256"/>
    </row>
    <row r="652" spans="1:16" ht="15.75" outlineLevel="2" x14ac:dyDescent="0.25">
      <c r="A652" s="324">
        <v>42614</v>
      </c>
      <c r="B652" s="273">
        <v>2016</v>
      </c>
      <c r="C652" s="266" t="s">
        <v>391</v>
      </c>
      <c r="D652" s="267" t="s">
        <v>394</v>
      </c>
      <c r="E652" s="264"/>
      <c r="F652" s="253">
        <v>500</v>
      </c>
      <c r="G652" s="265"/>
      <c r="H652" s="217">
        <f t="shared" si="69"/>
        <v>0</v>
      </c>
      <c r="I652" s="254">
        <f t="shared" si="75"/>
        <v>0</v>
      </c>
      <c r="J652" s="262" t="s">
        <v>502</v>
      </c>
      <c r="K652" s="263">
        <v>42635</v>
      </c>
      <c r="L652" s="253">
        <v>1018</v>
      </c>
      <c r="M652" s="262" t="s">
        <v>503</v>
      </c>
      <c r="N652" s="253" t="s">
        <v>512</v>
      </c>
      <c r="O652" s="256"/>
      <c r="P652" s="256"/>
    </row>
    <row r="653" spans="1:16" ht="15.75" outlineLevel="2" x14ac:dyDescent="0.25">
      <c r="A653" s="324">
        <v>42614</v>
      </c>
      <c r="B653" s="273">
        <v>2016</v>
      </c>
      <c r="C653" s="266" t="s">
        <v>391</v>
      </c>
      <c r="D653" s="267" t="s">
        <v>453</v>
      </c>
      <c r="E653" s="264"/>
      <c r="F653" s="253"/>
      <c r="G653" s="265"/>
      <c r="H653" s="217">
        <f t="shared" si="69"/>
        <v>0</v>
      </c>
      <c r="I653" s="254">
        <f t="shared" si="75"/>
        <v>0</v>
      </c>
      <c r="J653" s="262"/>
      <c r="K653" s="262"/>
      <c r="L653" s="253"/>
      <c r="M653" s="262"/>
      <c r="N653" s="262"/>
      <c r="O653" s="256"/>
      <c r="P653" s="256"/>
    </row>
    <row r="654" spans="1:16" ht="15.75" outlineLevel="2" x14ac:dyDescent="0.25">
      <c r="A654" s="324">
        <v>42614</v>
      </c>
      <c r="B654" s="273">
        <v>2016</v>
      </c>
      <c r="C654" s="266" t="s">
        <v>391</v>
      </c>
      <c r="D654" s="267"/>
      <c r="E654" s="264"/>
      <c r="F654" s="253"/>
      <c r="G654" s="265"/>
      <c r="H654" s="217" t="e">
        <f t="shared" si="69"/>
        <v>#N/A</v>
      </c>
      <c r="I654" s="254" t="e">
        <f t="shared" si="75"/>
        <v>#N/A</v>
      </c>
      <c r="J654" s="262"/>
      <c r="K654" s="262"/>
      <c r="L654" s="253"/>
      <c r="M654" s="262"/>
      <c r="N654" s="262"/>
      <c r="O654" s="256"/>
      <c r="P654" s="256"/>
    </row>
    <row r="655" spans="1:16" ht="15.75" outlineLevel="2" x14ac:dyDescent="0.25">
      <c r="A655" s="324">
        <v>42614</v>
      </c>
      <c r="B655" s="273">
        <v>2016</v>
      </c>
      <c r="C655" s="266" t="s">
        <v>391</v>
      </c>
      <c r="D655" s="267"/>
      <c r="E655" s="264"/>
      <c r="F655" s="253"/>
      <c r="G655" s="265"/>
      <c r="H655" s="217" t="e">
        <f t="shared" si="69"/>
        <v>#N/A</v>
      </c>
      <c r="I655" s="254" t="e">
        <f t="shared" si="75"/>
        <v>#N/A</v>
      </c>
      <c r="J655" s="262"/>
      <c r="K655" s="262"/>
      <c r="L655" s="253"/>
      <c r="M655" s="262"/>
      <c r="N655" s="262"/>
      <c r="O655" s="256"/>
      <c r="P655" s="256"/>
    </row>
    <row r="656" spans="1:16" ht="25.5" outlineLevel="1" x14ac:dyDescent="0.25">
      <c r="A656" s="324">
        <v>42614</v>
      </c>
      <c r="B656" s="273">
        <v>2016</v>
      </c>
      <c r="C656" s="268" t="s">
        <v>398</v>
      </c>
      <c r="D656" s="269" t="s">
        <v>563</v>
      </c>
      <c r="E656" s="264"/>
      <c r="F656" s="270"/>
      <c r="G656" s="265"/>
      <c r="H656" s="217">
        <v>10000</v>
      </c>
      <c r="I656" s="262">
        <f>SUM(I657:I666)</f>
        <v>68420</v>
      </c>
      <c r="J656" s="262"/>
      <c r="K656" s="263"/>
      <c r="L656" s="253"/>
      <c r="M656" s="262" t="s">
        <v>508</v>
      </c>
      <c r="N656" s="262"/>
      <c r="O656" s="256"/>
      <c r="P656" s="256"/>
    </row>
    <row r="657" spans="1:16" ht="25.5" outlineLevel="2" x14ac:dyDescent="0.25">
      <c r="A657" s="324">
        <v>42614</v>
      </c>
      <c r="B657" s="273">
        <v>2016</v>
      </c>
      <c r="C657" s="268" t="s">
        <v>398</v>
      </c>
      <c r="D657" s="271" t="s">
        <v>541</v>
      </c>
      <c r="E657" s="264"/>
      <c r="F657" s="270"/>
      <c r="G657" s="265"/>
      <c r="H657" s="217">
        <v>910</v>
      </c>
      <c r="I657" s="262">
        <v>910</v>
      </c>
      <c r="J657" s="262" t="s">
        <v>502</v>
      </c>
      <c r="K657" s="263">
        <v>42623</v>
      </c>
      <c r="L657" s="253" t="s">
        <v>515</v>
      </c>
      <c r="M657" s="262" t="s">
        <v>562</v>
      </c>
      <c r="N657" s="262">
        <v>9</v>
      </c>
      <c r="O657" s="256"/>
      <c r="P657" s="256"/>
    </row>
    <row r="658" spans="1:16" ht="25.5" outlineLevel="2" x14ac:dyDescent="0.25">
      <c r="A658" s="324">
        <v>42614</v>
      </c>
      <c r="B658" s="273">
        <v>2016</v>
      </c>
      <c r="C658" s="268" t="s">
        <v>398</v>
      </c>
      <c r="D658" s="272" t="s">
        <v>518</v>
      </c>
      <c r="E658" s="264"/>
      <c r="F658" s="270"/>
      <c r="G658" s="265"/>
      <c r="H658" s="217">
        <v>22770</v>
      </c>
      <c r="I658" s="262">
        <v>22770</v>
      </c>
      <c r="J658" s="262" t="s">
        <v>502</v>
      </c>
      <c r="K658" s="263">
        <v>42623</v>
      </c>
      <c r="L658" s="253" t="s">
        <v>515</v>
      </c>
      <c r="M658" s="262" t="s">
        <v>562</v>
      </c>
      <c r="N658" s="262">
        <v>9</v>
      </c>
      <c r="O658" s="256"/>
      <c r="P658" s="256"/>
    </row>
    <row r="659" spans="1:16" ht="25.5" outlineLevel="2" x14ac:dyDescent="0.25">
      <c r="A659" s="324">
        <v>42614</v>
      </c>
      <c r="B659" s="273">
        <v>2016</v>
      </c>
      <c r="C659" s="268" t="s">
        <v>398</v>
      </c>
      <c r="D659" s="272" t="s">
        <v>542</v>
      </c>
      <c r="E659" s="264"/>
      <c r="F659" s="270"/>
      <c r="G659" s="265"/>
      <c r="H659" s="217">
        <v>2000</v>
      </c>
      <c r="I659" s="262">
        <v>2000</v>
      </c>
      <c r="J659" s="262" t="s">
        <v>502</v>
      </c>
      <c r="K659" s="263">
        <v>42623</v>
      </c>
      <c r="L659" s="253" t="s">
        <v>515</v>
      </c>
      <c r="M659" s="262" t="s">
        <v>562</v>
      </c>
      <c r="N659" s="262">
        <v>9</v>
      </c>
      <c r="O659" s="256"/>
      <c r="P659" s="256"/>
    </row>
    <row r="660" spans="1:16" ht="25.5" outlineLevel="2" x14ac:dyDescent="0.25">
      <c r="A660" s="324">
        <v>42614</v>
      </c>
      <c r="B660" s="273">
        <v>2016</v>
      </c>
      <c r="C660" s="268" t="s">
        <v>398</v>
      </c>
      <c r="D660" s="272" t="s">
        <v>522</v>
      </c>
      <c r="E660" s="264"/>
      <c r="F660" s="270"/>
      <c r="G660" s="265"/>
      <c r="H660" s="217">
        <v>50</v>
      </c>
      <c r="I660" s="262">
        <v>50</v>
      </c>
      <c r="J660" s="262" t="s">
        <v>502</v>
      </c>
      <c r="K660" s="263">
        <v>42623</v>
      </c>
      <c r="L660" s="253" t="s">
        <v>515</v>
      </c>
      <c r="M660" s="262" t="s">
        <v>562</v>
      </c>
      <c r="N660" s="262">
        <v>9</v>
      </c>
      <c r="O660" s="256"/>
      <c r="P660" s="256"/>
    </row>
    <row r="661" spans="1:16" ht="25.5" outlineLevel="2" x14ac:dyDescent="0.25">
      <c r="A661" s="324">
        <v>42614</v>
      </c>
      <c r="B661" s="273">
        <v>2016</v>
      </c>
      <c r="C661" s="268" t="s">
        <v>398</v>
      </c>
      <c r="D661" s="272" t="s">
        <v>543</v>
      </c>
      <c r="E661" s="264"/>
      <c r="F661" s="270"/>
      <c r="G661" s="265"/>
      <c r="H661" s="217">
        <v>100</v>
      </c>
      <c r="I661" s="262">
        <v>100</v>
      </c>
      <c r="J661" s="262" t="s">
        <v>502</v>
      </c>
      <c r="K661" s="263">
        <v>42623</v>
      </c>
      <c r="L661" s="253" t="s">
        <v>515</v>
      </c>
      <c r="M661" s="262" t="s">
        <v>562</v>
      </c>
      <c r="N661" s="262">
        <v>9</v>
      </c>
      <c r="O661" s="256"/>
      <c r="P661" s="256"/>
    </row>
    <row r="662" spans="1:16" ht="25.5" outlineLevel="2" x14ac:dyDescent="0.25">
      <c r="A662" s="324">
        <v>42614</v>
      </c>
      <c r="B662" s="273">
        <v>2016</v>
      </c>
      <c r="C662" s="268" t="s">
        <v>398</v>
      </c>
      <c r="D662" s="272" t="s">
        <v>516</v>
      </c>
      <c r="E662" s="264"/>
      <c r="F662" s="270"/>
      <c r="G662" s="265"/>
      <c r="H662" s="217">
        <v>29870</v>
      </c>
      <c r="I662" s="262">
        <v>29870</v>
      </c>
      <c r="J662" s="262" t="s">
        <v>502</v>
      </c>
      <c r="K662" s="263">
        <v>42623</v>
      </c>
      <c r="L662" s="253" t="s">
        <v>515</v>
      </c>
      <c r="M662" s="262" t="s">
        <v>562</v>
      </c>
      <c r="N662" s="262">
        <v>9</v>
      </c>
      <c r="O662" s="256"/>
      <c r="P662" s="256"/>
    </row>
    <row r="663" spans="1:16" ht="25.5" outlineLevel="2" x14ac:dyDescent="0.25">
      <c r="A663" s="324">
        <v>42614</v>
      </c>
      <c r="B663" s="273">
        <v>2016</v>
      </c>
      <c r="C663" s="268" t="s">
        <v>398</v>
      </c>
      <c r="D663" s="272" t="s">
        <v>544</v>
      </c>
      <c r="E663" s="264"/>
      <c r="F663" s="270"/>
      <c r="G663" s="265"/>
      <c r="H663" s="217">
        <v>2200</v>
      </c>
      <c r="I663" s="262">
        <v>2200</v>
      </c>
      <c r="J663" s="262" t="s">
        <v>502</v>
      </c>
      <c r="K663" s="263">
        <v>42623</v>
      </c>
      <c r="L663" s="253" t="s">
        <v>515</v>
      </c>
      <c r="M663" s="262" t="s">
        <v>562</v>
      </c>
      <c r="N663" s="262">
        <v>9</v>
      </c>
      <c r="O663" s="256"/>
      <c r="P663" s="256"/>
    </row>
    <row r="664" spans="1:16" ht="25.5" outlineLevel="2" x14ac:dyDescent="0.25">
      <c r="A664" s="324">
        <v>42614</v>
      </c>
      <c r="B664" s="273">
        <v>2016</v>
      </c>
      <c r="C664" s="268" t="s">
        <v>398</v>
      </c>
      <c r="D664" s="272" t="s">
        <v>545</v>
      </c>
      <c r="E664" s="264"/>
      <c r="F664" s="270"/>
      <c r="G664" s="265"/>
      <c r="H664" s="217">
        <v>8600</v>
      </c>
      <c r="I664" s="262">
        <v>8600</v>
      </c>
      <c r="J664" s="262" t="s">
        <v>502</v>
      </c>
      <c r="K664" s="263">
        <v>42623</v>
      </c>
      <c r="L664" s="253" t="s">
        <v>515</v>
      </c>
      <c r="M664" s="262" t="s">
        <v>562</v>
      </c>
      <c r="N664" s="262">
        <v>9</v>
      </c>
      <c r="O664" s="256"/>
      <c r="P664" s="256"/>
    </row>
    <row r="665" spans="1:16" ht="25.5" outlineLevel="2" x14ac:dyDescent="0.25">
      <c r="A665" s="324">
        <v>42614</v>
      </c>
      <c r="B665" s="273">
        <v>2016</v>
      </c>
      <c r="C665" s="268" t="s">
        <v>398</v>
      </c>
      <c r="D665" s="272" t="s">
        <v>470</v>
      </c>
      <c r="E665" s="264"/>
      <c r="F665" s="270"/>
      <c r="G665" s="265"/>
      <c r="H665" s="217">
        <v>1620</v>
      </c>
      <c r="I665" s="262">
        <v>1620</v>
      </c>
      <c r="J665" s="262" t="s">
        <v>502</v>
      </c>
      <c r="K665" s="263">
        <v>42623</v>
      </c>
      <c r="L665" s="253" t="s">
        <v>515</v>
      </c>
      <c r="M665" s="262" t="s">
        <v>562</v>
      </c>
      <c r="N665" s="262">
        <v>9</v>
      </c>
      <c r="O665" s="256"/>
      <c r="P665" s="256"/>
    </row>
    <row r="666" spans="1:16" ht="25.5" outlineLevel="2" x14ac:dyDescent="0.25">
      <c r="A666" s="324">
        <v>42614</v>
      </c>
      <c r="B666" s="273">
        <v>2016</v>
      </c>
      <c r="C666" s="268" t="s">
        <v>398</v>
      </c>
      <c r="D666" s="272" t="s">
        <v>546</v>
      </c>
      <c r="E666" s="264"/>
      <c r="F666" s="270"/>
      <c r="G666" s="265"/>
      <c r="H666" s="217">
        <v>300</v>
      </c>
      <c r="I666" s="262">
        <v>300</v>
      </c>
      <c r="J666" s="262" t="s">
        <v>502</v>
      </c>
      <c r="K666" s="263">
        <v>42623</v>
      </c>
      <c r="L666" s="253" t="s">
        <v>515</v>
      </c>
      <c r="M666" s="262" t="s">
        <v>562</v>
      </c>
      <c r="N666" s="262">
        <v>9</v>
      </c>
      <c r="O666" s="256"/>
      <c r="P666" s="256"/>
    </row>
    <row r="667" spans="1:16" hidden="1" x14ac:dyDescent="0.25">
      <c r="A667" s="313"/>
      <c r="H667" s="217" t="e">
        <f t="shared" si="69"/>
        <v>#N/A</v>
      </c>
    </row>
    <row r="668" spans="1:16" ht="15.75" hidden="1" x14ac:dyDescent="0.25">
      <c r="A668" s="324">
        <v>42644</v>
      </c>
      <c r="B668" s="273">
        <v>2016</v>
      </c>
      <c r="C668" s="245"/>
      <c r="D668" s="246" t="s">
        <v>498</v>
      </c>
      <c r="E668" s="246"/>
      <c r="F668" s="247"/>
      <c r="G668" s="247">
        <f>SUM(G672:G690)</f>
        <v>29994</v>
      </c>
      <c r="H668" s="217" t="e">
        <f t="shared" si="69"/>
        <v>#N/A</v>
      </c>
      <c r="I668" s="247"/>
      <c r="J668" s="247"/>
      <c r="K668" s="247"/>
      <c r="L668" s="248"/>
      <c r="M668" s="248"/>
      <c r="N668" s="245"/>
      <c r="O668" s="249"/>
      <c r="P668" s="249"/>
    </row>
    <row r="669" spans="1:16" ht="15.75" hidden="1" outlineLevel="1" x14ac:dyDescent="0.25">
      <c r="A669" s="324">
        <v>42644</v>
      </c>
      <c r="B669" s="273">
        <v>2016</v>
      </c>
      <c r="C669" s="245"/>
      <c r="D669" s="246" t="s">
        <v>499</v>
      </c>
      <c r="E669" s="246"/>
      <c r="F669" s="247">
        <f>SUM(F691:F705)</f>
        <v>1337</v>
      </c>
      <c r="G669" s="247"/>
      <c r="H669" s="217" t="e">
        <f t="shared" si="69"/>
        <v>#N/A</v>
      </c>
      <c r="I669" s="247" t="e">
        <f>SUM(I691:I705)</f>
        <v>#N/A</v>
      </c>
      <c r="J669" s="247"/>
      <c r="K669" s="247"/>
      <c r="L669" s="248"/>
      <c r="M669" s="248"/>
      <c r="N669" s="245"/>
      <c r="O669" s="249"/>
      <c r="P669" s="249"/>
    </row>
    <row r="670" spans="1:16" ht="15.75" hidden="1" outlineLevel="1" x14ac:dyDescent="0.25">
      <c r="A670" s="324">
        <v>42644</v>
      </c>
      <c r="B670" s="273">
        <v>2016</v>
      </c>
      <c r="C670" s="245"/>
      <c r="D670" s="246" t="s">
        <v>500</v>
      </c>
      <c r="E670" s="246"/>
      <c r="F670" s="247">
        <f>SUM(F706:F715)</f>
        <v>0</v>
      </c>
      <c r="G670" s="247"/>
      <c r="H670" s="217" t="e">
        <f t="shared" si="69"/>
        <v>#N/A</v>
      </c>
      <c r="I670" s="247"/>
      <c r="J670" s="247"/>
      <c r="K670" s="247"/>
      <c r="L670" s="248"/>
      <c r="M670" s="248"/>
      <c r="N670" s="245"/>
      <c r="O670" s="249"/>
      <c r="P670" s="249"/>
    </row>
    <row r="671" spans="1:16" ht="15.75" hidden="1" outlineLevel="1" x14ac:dyDescent="0.25">
      <c r="A671" s="324">
        <v>42644</v>
      </c>
      <c r="B671" s="273">
        <v>2016</v>
      </c>
      <c r="C671" s="245"/>
      <c r="D671" s="246" t="s">
        <v>501</v>
      </c>
      <c r="E671" s="246"/>
      <c r="F671" s="247"/>
      <c r="G671" s="247"/>
      <c r="H671" s="217" t="e">
        <f t="shared" si="69"/>
        <v>#N/A</v>
      </c>
      <c r="I671" s="247">
        <f>SUM(I716:I726)</f>
        <v>60800</v>
      </c>
      <c r="J671" s="247"/>
      <c r="K671" s="247"/>
      <c r="L671" s="248"/>
      <c r="M671" s="248"/>
      <c r="N671" s="245"/>
      <c r="O671" s="250"/>
      <c r="P671" s="250"/>
    </row>
    <row r="672" spans="1:16" ht="15.75" hidden="1" outlineLevel="1" x14ac:dyDescent="0.25">
      <c r="A672" s="324">
        <v>42644</v>
      </c>
      <c r="B672" s="273">
        <v>2016</v>
      </c>
      <c r="C672" s="251" t="s">
        <v>396</v>
      </c>
      <c r="D672" s="53" t="s">
        <v>24</v>
      </c>
      <c r="E672" s="252">
        <v>6000</v>
      </c>
      <c r="F672" s="253">
        <v>1067</v>
      </c>
      <c r="G672" s="254">
        <f>F672*E672/1000</f>
        <v>6402</v>
      </c>
      <c r="H672" s="217">
        <f t="shared" si="69"/>
        <v>1.0459999999999998</v>
      </c>
      <c r="I672" s="254">
        <f>H672*G672</f>
        <v>6696.4919999999993</v>
      </c>
      <c r="J672" s="253" t="s">
        <v>502</v>
      </c>
      <c r="K672" s="253"/>
      <c r="L672" s="253">
        <v>7038</v>
      </c>
      <c r="M672" s="253" t="s">
        <v>551</v>
      </c>
      <c r="N672" s="253" t="s">
        <v>512</v>
      </c>
      <c r="O672" s="256"/>
      <c r="P672" s="256"/>
    </row>
    <row r="673" spans="1:16" ht="25.5" hidden="1" outlineLevel="2" x14ac:dyDescent="0.25">
      <c r="A673" s="324">
        <v>42644</v>
      </c>
      <c r="B673" s="273">
        <v>2016</v>
      </c>
      <c r="C673" s="251" t="s">
        <v>396</v>
      </c>
      <c r="D673" s="53" t="s">
        <v>58</v>
      </c>
      <c r="E673" s="252">
        <v>3000</v>
      </c>
      <c r="F673" s="253">
        <f>67+52</f>
        <v>119</v>
      </c>
      <c r="G673" s="254">
        <f t="shared" ref="G673:G690" si="76">F673*E673/1000</f>
        <v>357</v>
      </c>
      <c r="H673" s="217">
        <f t="shared" si="69"/>
        <v>3.4379999999999997</v>
      </c>
      <c r="I673" s="254">
        <f t="shared" ref="I673:I690" si="77">H673*G673</f>
        <v>1227.366</v>
      </c>
      <c r="J673" s="253" t="s">
        <v>502</v>
      </c>
      <c r="K673" s="253" t="s">
        <v>552</v>
      </c>
      <c r="L673" s="253"/>
      <c r="M673" s="253" t="s">
        <v>537</v>
      </c>
      <c r="N673" s="253"/>
      <c r="O673" s="256"/>
      <c r="P673" s="256"/>
    </row>
    <row r="674" spans="1:16" ht="25.5" hidden="1" outlineLevel="2" x14ac:dyDescent="0.25">
      <c r="A674" s="324">
        <v>42644</v>
      </c>
      <c r="B674" s="273">
        <v>2016</v>
      </c>
      <c r="C674" s="251" t="s">
        <v>396</v>
      </c>
      <c r="D674" s="53" t="s">
        <v>57</v>
      </c>
      <c r="E674" s="252">
        <v>3000</v>
      </c>
      <c r="F674" s="253">
        <f>30+170+80+60+5+6+5+6+7</f>
        <v>369</v>
      </c>
      <c r="G674" s="254">
        <f t="shared" si="76"/>
        <v>1107</v>
      </c>
      <c r="H674" s="217">
        <f t="shared" si="69"/>
        <v>1.738</v>
      </c>
      <c r="I674" s="254">
        <f t="shared" si="77"/>
        <v>1923.9659999999999</v>
      </c>
      <c r="J674" s="253" t="s">
        <v>502</v>
      </c>
      <c r="K674" s="253" t="s">
        <v>552</v>
      </c>
      <c r="L674" s="253"/>
      <c r="M674" s="253" t="s">
        <v>537</v>
      </c>
      <c r="N674" s="253"/>
      <c r="O674" s="256"/>
      <c r="P674" s="256"/>
    </row>
    <row r="675" spans="1:16" ht="25.5" hidden="1" outlineLevel="2" x14ac:dyDescent="0.25">
      <c r="A675" s="324">
        <v>42644</v>
      </c>
      <c r="B675" s="273">
        <v>2016</v>
      </c>
      <c r="C675" s="251" t="s">
        <v>396</v>
      </c>
      <c r="D675" s="53" t="s">
        <v>56</v>
      </c>
      <c r="E675" s="252">
        <v>3000</v>
      </c>
      <c r="F675" s="253">
        <f>25+7+4+7</f>
        <v>43</v>
      </c>
      <c r="G675" s="254">
        <f t="shared" ref="G675" si="78">F675*E675/1000</f>
        <v>129</v>
      </c>
      <c r="H675" s="217">
        <f t="shared" ref="H675" si="79">VLOOKUP(D675,$D$5:$E$359,2,FALSE)</f>
        <v>1.2739999999999998</v>
      </c>
      <c r="I675" s="254">
        <f t="shared" ref="I675" si="80">H675*G675</f>
        <v>164.34599999999998</v>
      </c>
      <c r="J675" s="253"/>
      <c r="K675" s="253" t="s">
        <v>552</v>
      </c>
      <c r="L675" s="253"/>
      <c r="M675" s="253" t="s">
        <v>537</v>
      </c>
      <c r="N675" s="253"/>
      <c r="O675" s="256"/>
      <c r="P675" s="256"/>
    </row>
    <row r="676" spans="1:16" ht="25.5" hidden="1" outlineLevel="2" x14ac:dyDescent="0.25">
      <c r="A676" s="324">
        <v>42644</v>
      </c>
      <c r="B676" s="273">
        <v>2016</v>
      </c>
      <c r="C676" s="251" t="s">
        <v>396</v>
      </c>
      <c r="D676" s="53" t="s">
        <v>24</v>
      </c>
      <c r="E676" s="252">
        <v>6000</v>
      </c>
      <c r="F676" s="253">
        <v>134</v>
      </c>
      <c r="G676" s="254">
        <f t="shared" ref="G676" si="81">F676*E676/1000</f>
        <v>804</v>
      </c>
      <c r="H676" s="217">
        <f t="shared" ref="H676" si="82">VLOOKUP(D676,$D$5:$E$359,2,FALSE)</f>
        <v>1.0459999999999998</v>
      </c>
      <c r="I676" s="254">
        <f t="shared" ref="I676" si="83">H676*G676</f>
        <v>840.98399999999981</v>
      </c>
      <c r="J676" s="253" t="s">
        <v>502</v>
      </c>
      <c r="K676" s="253"/>
      <c r="L676" s="253">
        <v>6024</v>
      </c>
      <c r="M676" s="253" t="s">
        <v>555</v>
      </c>
      <c r="N676" s="253" t="s">
        <v>512</v>
      </c>
      <c r="O676" s="256"/>
      <c r="P676" s="256"/>
    </row>
    <row r="677" spans="1:16" ht="25.5" hidden="1" outlineLevel="2" x14ac:dyDescent="0.25">
      <c r="A677" s="324">
        <v>42644</v>
      </c>
      <c r="B677" s="273">
        <v>2016</v>
      </c>
      <c r="C677" s="251" t="s">
        <v>396</v>
      </c>
      <c r="D677" s="53" t="s">
        <v>59</v>
      </c>
      <c r="E677" s="252">
        <v>3000</v>
      </c>
      <c r="F677" s="253">
        <f>20+234+392+80+17+2</f>
        <v>745</v>
      </c>
      <c r="G677" s="254">
        <f t="shared" si="76"/>
        <v>2235</v>
      </c>
      <c r="H677" s="217">
        <f t="shared" si="69"/>
        <v>4.1779999999999999</v>
      </c>
      <c r="I677" s="254">
        <f t="shared" si="77"/>
        <v>9337.83</v>
      </c>
      <c r="J677" s="253" t="s">
        <v>502</v>
      </c>
      <c r="K677" s="253" t="s">
        <v>552</v>
      </c>
      <c r="L677" s="253"/>
      <c r="M677" s="253" t="s">
        <v>537</v>
      </c>
      <c r="N677" s="253"/>
      <c r="O677" s="256"/>
      <c r="P677" s="256"/>
    </row>
    <row r="678" spans="1:16" ht="25.5" hidden="1" outlineLevel="2" x14ac:dyDescent="0.25">
      <c r="A678" s="324">
        <v>42644</v>
      </c>
      <c r="B678" s="273">
        <v>2016</v>
      </c>
      <c r="C678" s="251" t="s">
        <v>396</v>
      </c>
      <c r="D678" s="53" t="s">
        <v>46</v>
      </c>
      <c r="E678" s="252">
        <v>6000</v>
      </c>
      <c r="F678" s="253">
        <v>200</v>
      </c>
      <c r="G678" s="254">
        <f t="shared" si="76"/>
        <v>1200</v>
      </c>
      <c r="H678" s="217">
        <f t="shared" ref="H678:H680" si="84">VLOOKUP(D678,$D$5:$E$359,2,FALSE)</f>
        <v>1.665</v>
      </c>
      <c r="I678" s="254">
        <f t="shared" si="77"/>
        <v>1998</v>
      </c>
      <c r="J678" s="253" t="s">
        <v>502</v>
      </c>
      <c r="K678" s="253"/>
      <c r="L678" s="253"/>
      <c r="M678" s="253" t="s">
        <v>558</v>
      </c>
      <c r="N678" s="253"/>
      <c r="O678" s="256"/>
      <c r="P678" s="256"/>
    </row>
    <row r="679" spans="1:16" ht="25.5" hidden="1" outlineLevel="2" x14ac:dyDescent="0.25">
      <c r="A679" s="324">
        <v>42644</v>
      </c>
      <c r="B679" s="273">
        <v>2016</v>
      </c>
      <c r="C679" s="251" t="s">
        <v>396</v>
      </c>
      <c r="D679" s="53" t="s">
        <v>37</v>
      </c>
      <c r="E679" s="252">
        <v>6000</v>
      </c>
      <c r="F679" s="253">
        <v>315</v>
      </c>
      <c r="G679" s="254">
        <f t="shared" si="76"/>
        <v>1890</v>
      </c>
      <c r="H679" s="217">
        <f t="shared" si="84"/>
        <v>0.50600000000000001</v>
      </c>
      <c r="I679" s="254">
        <f t="shared" si="77"/>
        <v>956.34</v>
      </c>
      <c r="J679" s="253" t="s">
        <v>502</v>
      </c>
      <c r="K679" s="253"/>
      <c r="L679" s="253"/>
      <c r="M679" s="253" t="s">
        <v>558</v>
      </c>
      <c r="N679" s="253"/>
      <c r="O679" s="256"/>
      <c r="P679" s="256"/>
    </row>
    <row r="680" spans="1:16" ht="25.5" hidden="1" outlineLevel="2" x14ac:dyDescent="0.25">
      <c r="A680" s="324">
        <v>42644</v>
      </c>
      <c r="B680" s="273">
        <v>2016</v>
      </c>
      <c r="C680" s="251" t="s">
        <v>396</v>
      </c>
      <c r="D680" s="53" t="s">
        <v>47</v>
      </c>
      <c r="E680" s="252">
        <v>6000</v>
      </c>
      <c r="F680" s="253">
        <v>110</v>
      </c>
      <c r="G680" s="254">
        <f t="shared" si="76"/>
        <v>660</v>
      </c>
      <c r="H680" s="217">
        <f t="shared" si="84"/>
        <v>2.0350000000000001</v>
      </c>
      <c r="I680" s="254">
        <f t="shared" si="77"/>
        <v>1343.1000000000001</v>
      </c>
      <c r="J680" s="253" t="s">
        <v>502</v>
      </c>
      <c r="K680" s="253"/>
      <c r="L680" s="253"/>
      <c r="M680" s="253" t="s">
        <v>558</v>
      </c>
      <c r="N680" s="253"/>
      <c r="O680" s="256"/>
      <c r="P680" s="256"/>
    </row>
    <row r="681" spans="1:16" ht="15.75" hidden="1" outlineLevel="2" x14ac:dyDescent="0.25">
      <c r="A681" s="324">
        <v>42644</v>
      </c>
      <c r="B681" s="273">
        <v>2016</v>
      </c>
      <c r="C681" s="251" t="s">
        <v>396</v>
      </c>
      <c r="D681" s="213" t="s">
        <v>41</v>
      </c>
      <c r="E681" s="252">
        <v>6000</v>
      </c>
      <c r="F681" s="253">
        <v>400</v>
      </c>
      <c r="G681" s="254">
        <f t="shared" ref="G681:G684" si="85">F681*E681/1000</f>
        <v>2400</v>
      </c>
      <c r="H681" s="217">
        <f t="shared" ref="H681:H684" si="86">VLOOKUP(D681,$D$5:$E$359,2,FALSE)</f>
        <v>0.65500000000000003</v>
      </c>
      <c r="I681" s="254">
        <f t="shared" ref="I681:I684" si="87">H681*G681</f>
        <v>1572</v>
      </c>
      <c r="J681" s="253" t="s">
        <v>502</v>
      </c>
      <c r="K681" s="253"/>
      <c r="L681" s="253"/>
      <c r="M681" s="253" t="s">
        <v>564</v>
      </c>
      <c r="N681" s="253"/>
      <c r="O681" s="256"/>
      <c r="P681" s="256"/>
    </row>
    <row r="682" spans="1:16" ht="15.75" hidden="1" outlineLevel="2" x14ac:dyDescent="0.25">
      <c r="A682" s="324">
        <v>42644</v>
      </c>
      <c r="B682" s="273">
        <v>2016</v>
      </c>
      <c r="C682" s="251" t="s">
        <v>396</v>
      </c>
      <c r="D682" s="53" t="s">
        <v>49</v>
      </c>
      <c r="E682" s="252">
        <v>6000</v>
      </c>
      <c r="F682" s="253">
        <v>100</v>
      </c>
      <c r="G682" s="254">
        <f t="shared" si="85"/>
        <v>600</v>
      </c>
      <c r="H682" s="217">
        <f t="shared" si="86"/>
        <v>0.871</v>
      </c>
      <c r="I682" s="254">
        <f t="shared" si="87"/>
        <v>522.6</v>
      </c>
      <c r="J682" s="253" t="s">
        <v>502</v>
      </c>
      <c r="K682" s="253"/>
      <c r="L682" s="253"/>
      <c r="M682" s="253" t="s">
        <v>564</v>
      </c>
      <c r="N682" s="253"/>
      <c r="O682" s="256"/>
      <c r="P682" s="256"/>
    </row>
    <row r="683" spans="1:16" ht="15.75" hidden="1" outlineLevel="2" x14ac:dyDescent="0.25">
      <c r="A683" s="324">
        <v>42644</v>
      </c>
      <c r="B683" s="273">
        <v>2016</v>
      </c>
      <c r="C683" s="251" t="s">
        <v>396</v>
      </c>
      <c r="D683" s="53"/>
      <c r="E683" s="252"/>
      <c r="F683" s="253"/>
      <c r="G683" s="254">
        <f t="shared" si="85"/>
        <v>0</v>
      </c>
      <c r="H683" s="217" t="e">
        <f t="shared" si="86"/>
        <v>#N/A</v>
      </c>
      <c r="I683" s="254" t="e">
        <f t="shared" si="87"/>
        <v>#N/A</v>
      </c>
      <c r="J683" s="253"/>
      <c r="K683" s="253"/>
      <c r="L683" s="253"/>
      <c r="M683" s="253"/>
      <c r="N683" s="253"/>
      <c r="O683" s="256"/>
      <c r="P683" s="256"/>
    </row>
    <row r="684" spans="1:16" ht="15.75" hidden="1" outlineLevel="2" x14ac:dyDescent="0.25">
      <c r="A684" s="324">
        <v>42644</v>
      </c>
      <c r="B684" s="273">
        <v>2016</v>
      </c>
      <c r="C684" s="251" t="s">
        <v>396</v>
      </c>
      <c r="D684" s="53"/>
      <c r="E684" s="252"/>
      <c r="F684" s="253"/>
      <c r="G684" s="254">
        <f t="shared" si="85"/>
        <v>0</v>
      </c>
      <c r="H684" s="217" t="e">
        <f t="shared" si="86"/>
        <v>#N/A</v>
      </c>
      <c r="I684" s="254" t="e">
        <f t="shared" si="87"/>
        <v>#N/A</v>
      </c>
      <c r="J684" s="253"/>
      <c r="K684" s="253"/>
      <c r="L684" s="253"/>
      <c r="M684" s="253"/>
      <c r="N684" s="253"/>
      <c r="O684" s="256"/>
      <c r="P684" s="256"/>
    </row>
    <row r="685" spans="1:16" ht="15.75" hidden="1" outlineLevel="2" x14ac:dyDescent="0.25">
      <c r="A685" s="324">
        <v>42644</v>
      </c>
      <c r="B685" s="273">
        <v>2016</v>
      </c>
      <c r="C685" s="251" t="s">
        <v>396</v>
      </c>
      <c r="D685" s="53"/>
      <c r="E685" s="252"/>
      <c r="F685" s="253"/>
      <c r="G685" s="254"/>
      <c r="H685" s="217"/>
      <c r="I685" s="254"/>
      <c r="J685" s="253"/>
      <c r="K685" s="253"/>
      <c r="L685" s="253"/>
      <c r="M685" s="253"/>
      <c r="N685" s="253"/>
      <c r="O685" s="256"/>
      <c r="P685" s="256"/>
    </row>
    <row r="686" spans="1:16" ht="15.75" hidden="1" outlineLevel="2" x14ac:dyDescent="0.25">
      <c r="A686" s="324">
        <v>42644</v>
      </c>
      <c r="B686" s="273">
        <v>2016</v>
      </c>
      <c r="C686" s="251" t="s">
        <v>396</v>
      </c>
      <c r="D686" s="213" t="s">
        <v>41</v>
      </c>
      <c r="E686" s="252">
        <v>6000</v>
      </c>
      <c r="F686" s="253">
        <v>1167</v>
      </c>
      <c r="G686" s="254">
        <f t="shared" si="76"/>
        <v>7002</v>
      </c>
      <c r="H686" s="217">
        <f t="shared" si="69"/>
        <v>0.65500000000000003</v>
      </c>
      <c r="I686" s="254">
        <f t="shared" si="77"/>
        <v>4586.3100000000004</v>
      </c>
      <c r="J686" s="253" t="s">
        <v>502</v>
      </c>
      <c r="K686" s="255">
        <v>42665</v>
      </c>
      <c r="L686" s="253">
        <v>1018</v>
      </c>
      <c r="M686" s="253" t="s">
        <v>503</v>
      </c>
      <c r="N686" s="253" t="s">
        <v>512</v>
      </c>
      <c r="O686" s="256"/>
      <c r="P686" s="256"/>
    </row>
    <row r="687" spans="1:16" ht="15.75" hidden="1" outlineLevel="2" x14ac:dyDescent="0.25">
      <c r="A687" s="324">
        <v>42644</v>
      </c>
      <c r="B687" s="273">
        <v>2016</v>
      </c>
      <c r="C687" s="251" t="s">
        <v>396</v>
      </c>
      <c r="D687" s="213" t="s">
        <v>42</v>
      </c>
      <c r="E687" s="252">
        <v>6000</v>
      </c>
      <c r="F687" s="253">
        <v>450</v>
      </c>
      <c r="G687" s="254">
        <f t="shared" si="76"/>
        <v>2700</v>
      </c>
      <c r="H687" s="217">
        <f t="shared" si="69"/>
        <v>0.82199999999999995</v>
      </c>
      <c r="I687" s="254">
        <f t="shared" si="77"/>
        <v>2219.4</v>
      </c>
      <c r="J687" s="253" t="s">
        <v>502</v>
      </c>
      <c r="K687" s="255">
        <v>42665</v>
      </c>
      <c r="L687" s="253">
        <v>1018</v>
      </c>
      <c r="M687" s="253" t="s">
        <v>503</v>
      </c>
      <c r="N687" s="253"/>
      <c r="O687" s="256"/>
      <c r="P687" s="256"/>
    </row>
    <row r="688" spans="1:16" ht="15.75" hidden="1" outlineLevel="2" x14ac:dyDescent="0.25">
      <c r="A688" s="324">
        <v>42644</v>
      </c>
      <c r="B688" s="273">
        <v>2016</v>
      </c>
      <c r="C688" s="251" t="s">
        <v>396</v>
      </c>
      <c r="D688" s="213" t="s">
        <v>39</v>
      </c>
      <c r="E688" s="252">
        <v>6000</v>
      </c>
      <c r="F688" s="253">
        <v>250</v>
      </c>
      <c r="G688" s="254">
        <f t="shared" si="76"/>
        <v>1500</v>
      </c>
      <c r="H688" s="217">
        <f t="shared" si="69"/>
        <v>0.38</v>
      </c>
      <c r="I688" s="254">
        <f t="shared" si="77"/>
        <v>570</v>
      </c>
      <c r="J688" s="253" t="s">
        <v>502</v>
      </c>
      <c r="K688" s="255">
        <v>42665</v>
      </c>
      <c r="L688" s="253">
        <v>1018</v>
      </c>
      <c r="M688" s="253" t="s">
        <v>503</v>
      </c>
      <c r="N688" s="253"/>
      <c r="O688" s="256"/>
      <c r="P688" s="256"/>
    </row>
    <row r="689" spans="1:16" ht="15.75" hidden="1" outlineLevel="2" x14ac:dyDescent="0.25">
      <c r="A689" s="324">
        <v>42644</v>
      </c>
      <c r="B689" s="273">
        <v>2016</v>
      </c>
      <c r="C689" s="251" t="s">
        <v>396</v>
      </c>
      <c r="D689" s="213" t="s">
        <v>50</v>
      </c>
      <c r="E689" s="252">
        <v>6000</v>
      </c>
      <c r="F689" s="253">
        <v>84</v>
      </c>
      <c r="G689" s="254">
        <f t="shared" si="76"/>
        <v>504</v>
      </c>
      <c r="H689" s="217">
        <f t="shared" si="69"/>
        <v>0.53100000000000003</v>
      </c>
      <c r="I689" s="254">
        <f t="shared" si="77"/>
        <v>267.62400000000002</v>
      </c>
      <c r="J689" s="253" t="s">
        <v>502</v>
      </c>
      <c r="K689" s="255">
        <v>42665</v>
      </c>
      <c r="L689" s="253">
        <v>1018</v>
      </c>
      <c r="M689" s="253" t="s">
        <v>503</v>
      </c>
      <c r="N689" s="253"/>
      <c r="O689" s="256"/>
      <c r="P689" s="256"/>
    </row>
    <row r="690" spans="1:16" ht="15.75" hidden="1" outlineLevel="2" x14ac:dyDescent="0.25">
      <c r="A690" s="324">
        <v>42644</v>
      </c>
      <c r="B690" s="273">
        <v>2016</v>
      </c>
      <c r="C690" s="251" t="s">
        <v>396</v>
      </c>
      <c r="D690" s="213" t="s">
        <v>44</v>
      </c>
      <c r="E690" s="252">
        <v>6000</v>
      </c>
      <c r="F690" s="253">
        <v>84</v>
      </c>
      <c r="G690" s="254">
        <f t="shared" si="76"/>
        <v>504</v>
      </c>
      <c r="H690" s="217">
        <f t="shared" si="69"/>
        <v>1.1789999999999998</v>
      </c>
      <c r="I690" s="254">
        <f t="shared" si="77"/>
        <v>594.21599999999989</v>
      </c>
      <c r="J690" s="253" t="s">
        <v>502</v>
      </c>
      <c r="K690" s="255">
        <v>42665</v>
      </c>
      <c r="L690" s="253">
        <v>1018</v>
      </c>
      <c r="M690" s="253" t="s">
        <v>503</v>
      </c>
      <c r="N690" s="253" t="s">
        <v>512</v>
      </c>
      <c r="O690" s="256"/>
      <c r="P690" s="256"/>
    </row>
    <row r="691" spans="1:16" ht="25.5" hidden="1" outlineLevel="1" x14ac:dyDescent="0.25">
      <c r="A691" s="324">
        <v>42644</v>
      </c>
      <c r="B691" s="273">
        <v>2016</v>
      </c>
      <c r="C691" s="257" t="s">
        <v>397</v>
      </c>
      <c r="D691" s="258" t="s">
        <v>383</v>
      </c>
      <c r="E691" s="223"/>
      <c r="F691" s="253">
        <v>30</v>
      </c>
      <c r="G691" s="259"/>
      <c r="H691" s="217">
        <f t="shared" si="69"/>
        <v>8.2810000000000006</v>
      </c>
      <c r="I691" s="254">
        <f>H691*F691</f>
        <v>248.43</v>
      </c>
      <c r="J691" s="253" t="s">
        <v>502</v>
      </c>
      <c r="K691" s="253" t="s">
        <v>552</v>
      </c>
      <c r="L691" s="253"/>
      <c r="M691" s="253" t="s">
        <v>537</v>
      </c>
      <c r="N691" s="253"/>
      <c r="O691" s="256"/>
      <c r="P691" s="256"/>
    </row>
    <row r="692" spans="1:16" ht="25.5" hidden="1" outlineLevel="2" x14ac:dyDescent="0.25">
      <c r="A692" s="324">
        <v>42644</v>
      </c>
      <c r="B692" s="273">
        <v>2016</v>
      </c>
      <c r="C692" s="257" t="s">
        <v>397</v>
      </c>
      <c r="D692" s="258" t="s">
        <v>385</v>
      </c>
      <c r="E692" s="224"/>
      <c r="F692" s="253">
        <f>55+70</f>
        <v>125</v>
      </c>
      <c r="G692" s="259"/>
      <c r="H692" s="217">
        <f t="shared" si="69"/>
        <v>9.9350000000000005</v>
      </c>
      <c r="I692" s="254">
        <f>H692*F692</f>
        <v>1241.875</v>
      </c>
      <c r="J692" s="253" t="s">
        <v>502</v>
      </c>
      <c r="K692" s="253" t="s">
        <v>552</v>
      </c>
      <c r="L692" s="253"/>
      <c r="M692" s="253" t="s">
        <v>537</v>
      </c>
      <c r="N692" s="253"/>
      <c r="O692" s="256"/>
      <c r="P692" s="256"/>
    </row>
    <row r="693" spans="1:16" ht="25.5" hidden="1" outlineLevel="2" x14ac:dyDescent="0.25">
      <c r="A693" s="324">
        <v>42644</v>
      </c>
      <c r="B693" s="273">
        <v>2016</v>
      </c>
      <c r="C693" s="257" t="s">
        <v>397</v>
      </c>
      <c r="D693" s="258" t="s">
        <v>386</v>
      </c>
      <c r="E693" s="224"/>
      <c r="F693" s="253">
        <v>20</v>
      </c>
      <c r="G693" s="259"/>
      <c r="H693" s="217">
        <f t="shared" ref="H693" si="88">VLOOKUP(D693,$D$5:$E$359,2,FALSE)</f>
        <v>11.587999999999999</v>
      </c>
      <c r="I693" s="254">
        <f>H693*F693</f>
        <v>231.76</v>
      </c>
      <c r="J693" s="253"/>
      <c r="K693" s="253" t="s">
        <v>552</v>
      </c>
      <c r="L693" s="253"/>
      <c r="M693" s="253" t="s">
        <v>537</v>
      </c>
      <c r="N693" s="253"/>
      <c r="O693" s="256"/>
      <c r="P693" s="256"/>
    </row>
    <row r="694" spans="1:16" ht="15.75" hidden="1" outlineLevel="2" x14ac:dyDescent="0.25">
      <c r="A694" s="324">
        <v>42644</v>
      </c>
      <c r="B694" s="273">
        <v>2016</v>
      </c>
      <c r="C694" s="257" t="s">
        <v>397</v>
      </c>
      <c r="D694" s="258" t="s">
        <v>382</v>
      </c>
      <c r="E694" s="260"/>
      <c r="F694" s="253"/>
      <c r="G694" s="259"/>
      <c r="H694" s="217">
        <f t="shared" si="69"/>
        <v>7.4539999999999997</v>
      </c>
      <c r="I694" s="254">
        <f t="shared" ref="I694:I700" si="89">H694*F694</f>
        <v>0</v>
      </c>
      <c r="J694" s="253"/>
      <c r="K694" s="253"/>
      <c r="L694" s="253"/>
      <c r="M694" s="253"/>
      <c r="N694" s="253"/>
      <c r="O694" s="256"/>
      <c r="P694" s="256"/>
    </row>
    <row r="695" spans="1:16" ht="15.75" hidden="1" outlineLevel="2" x14ac:dyDescent="0.25">
      <c r="A695" s="324">
        <v>42644</v>
      </c>
      <c r="B695" s="273">
        <v>2016</v>
      </c>
      <c r="C695" s="257" t="s">
        <v>397</v>
      </c>
      <c r="D695" s="258" t="s">
        <v>230</v>
      </c>
      <c r="E695" s="260"/>
      <c r="F695" s="253"/>
      <c r="G695" s="259"/>
      <c r="H695" s="217">
        <f t="shared" si="69"/>
        <v>5.0110000000000001</v>
      </c>
      <c r="I695" s="254">
        <f t="shared" si="89"/>
        <v>0</v>
      </c>
      <c r="J695" s="253"/>
      <c r="K695" s="253"/>
      <c r="L695" s="253"/>
      <c r="M695" s="253"/>
      <c r="N695" s="253"/>
      <c r="O695" s="256"/>
      <c r="P695" s="256"/>
    </row>
    <row r="696" spans="1:16" ht="15.75" hidden="1" outlineLevel="2" x14ac:dyDescent="0.25">
      <c r="A696" s="324">
        <v>42644</v>
      </c>
      <c r="B696" s="273">
        <v>2016</v>
      </c>
      <c r="C696" s="257" t="s">
        <v>397</v>
      </c>
      <c r="D696" s="258" t="s">
        <v>382</v>
      </c>
      <c r="E696" s="261"/>
      <c r="F696" s="253"/>
      <c r="G696" s="259"/>
      <c r="H696" s="217">
        <f t="shared" si="69"/>
        <v>7.4539999999999997</v>
      </c>
      <c r="I696" s="254">
        <f t="shared" si="89"/>
        <v>0</v>
      </c>
      <c r="J696" s="253"/>
      <c r="K696" s="253"/>
      <c r="L696" s="253"/>
      <c r="M696" s="253"/>
      <c r="N696" s="253"/>
      <c r="O696" s="256"/>
      <c r="P696" s="256"/>
    </row>
    <row r="697" spans="1:16" ht="15.75" hidden="1" outlineLevel="2" x14ac:dyDescent="0.25">
      <c r="A697" s="324">
        <v>42644</v>
      </c>
      <c r="B697" s="273">
        <v>2016</v>
      </c>
      <c r="C697" s="257" t="s">
        <v>397</v>
      </c>
      <c r="D697" s="258" t="s">
        <v>382</v>
      </c>
      <c r="E697" s="261"/>
      <c r="F697" s="253"/>
      <c r="G697" s="259"/>
      <c r="H697" s="217">
        <f t="shared" si="69"/>
        <v>7.4539999999999997</v>
      </c>
      <c r="I697" s="254">
        <f t="shared" si="89"/>
        <v>0</v>
      </c>
      <c r="J697" s="262"/>
      <c r="K697" s="262"/>
      <c r="L697" s="262"/>
      <c r="M697" s="262"/>
      <c r="N697" s="262"/>
      <c r="O697" s="256"/>
      <c r="P697" s="256"/>
    </row>
    <row r="698" spans="1:16" ht="15.75" hidden="1" outlineLevel="2" x14ac:dyDescent="0.25">
      <c r="A698" s="324">
        <v>42644</v>
      </c>
      <c r="B698" s="273">
        <v>2016</v>
      </c>
      <c r="C698" s="257" t="s">
        <v>397</v>
      </c>
      <c r="D698" s="57" t="s">
        <v>450</v>
      </c>
      <c r="E698" s="261"/>
      <c r="F698" s="253"/>
      <c r="G698" s="259"/>
      <c r="H698" s="217">
        <f t="shared" si="69"/>
        <v>2.214</v>
      </c>
      <c r="I698" s="254">
        <f t="shared" si="89"/>
        <v>0</v>
      </c>
      <c r="J698" s="262"/>
      <c r="K698" s="262"/>
      <c r="L698" s="262"/>
      <c r="M698" s="262"/>
      <c r="N698" s="262"/>
      <c r="O698" s="256"/>
      <c r="P698" s="256"/>
    </row>
    <row r="699" spans="1:16" ht="15.75" hidden="1" outlineLevel="2" x14ac:dyDescent="0.25">
      <c r="A699" s="324">
        <v>42644</v>
      </c>
      <c r="B699" s="273">
        <v>2016</v>
      </c>
      <c r="C699" s="257" t="s">
        <v>397</v>
      </c>
      <c r="D699" s="57" t="s">
        <v>219</v>
      </c>
      <c r="E699" s="261"/>
      <c r="F699" s="253"/>
      <c r="G699" s="259"/>
      <c r="H699" s="217">
        <f t="shared" si="69"/>
        <v>3.181</v>
      </c>
      <c r="I699" s="254">
        <f t="shared" si="89"/>
        <v>0</v>
      </c>
      <c r="J699" s="262"/>
      <c r="K699" s="262"/>
      <c r="L699" s="262"/>
      <c r="M699" s="262"/>
      <c r="N699" s="262"/>
      <c r="O699" s="256"/>
      <c r="P699" s="256"/>
    </row>
    <row r="700" spans="1:16" ht="15.75" hidden="1" outlineLevel="2" x14ac:dyDescent="0.25">
      <c r="A700" s="324">
        <v>42644</v>
      </c>
      <c r="B700" s="273">
        <v>2016</v>
      </c>
      <c r="C700" s="257" t="s">
        <v>397</v>
      </c>
      <c r="D700" s="258" t="s">
        <v>317</v>
      </c>
      <c r="E700" s="259"/>
      <c r="F700" s="253"/>
      <c r="G700" s="259"/>
      <c r="H700" s="217">
        <f t="shared" si="69"/>
        <v>2.7959999999999998</v>
      </c>
      <c r="I700" s="254">
        <f t="shared" si="89"/>
        <v>0</v>
      </c>
      <c r="J700" s="253" t="s">
        <v>502</v>
      </c>
      <c r="K700" s="253"/>
      <c r="L700" s="253">
        <v>7038</v>
      </c>
      <c r="M700" s="253"/>
      <c r="N700" s="253"/>
      <c r="O700" s="256"/>
      <c r="P700" s="256"/>
    </row>
    <row r="701" spans="1:16" ht="25.5" hidden="1" outlineLevel="2" x14ac:dyDescent="0.25">
      <c r="A701" s="324">
        <v>42644</v>
      </c>
      <c r="B701" s="273">
        <v>2016</v>
      </c>
      <c r="C701" s="257" t="s">
        <v>397</v>
      </c>
      <c r="D701" s="258" t="s">
        <v>447</v>
      </c>
      <c r="E701" s="264"/>
      <c r="F701" s="253">
        <v>260</v>
      </c>
      <c r="G701" s="265"/>
      <c r="H701" s="217">
        <f t="shared" si="69"/>
        <v>1.738</v>
      </c>
      <c r="I701" s="254">
        <f t="shared" ref="I701:I704" si="90">H701*F701</f>
        <v>451.88</v>
      </c>
      <c r="J701" s="262"/>
      <c r="K701" s="253" t="s">
        <v>552</v>
      </c>
      <c r="L701" s="253"/>
      <c r="M701" s="253" t="s">
        <v>537</v>
      </c>
      <c r="N701" s="262"/>
      <c r="O701" s="256"/>
      <c r="P701" s="256"/>
    </row>
    <row r="702" spans="1:16" ht="25.5" hidden="1" outlineLevel="2" x14ac:dyDescent="0.25">
      <c r="A702" s="324">
        <v>42644</v>
      </c>
      <c r="B702" s="273">
        <v>2016</v>
      </c>
      <c r="C702" s="257" t="s">
        <v>397</v>
      </c>
      <c r="D702" s="57" t="s">
        <v>449</v>
      </c>
      <c r="E702" s="264"/>
      <c r="F702" s="253">
        <v>52</v>
      </c>
      <c r="G702" s="265"/>
      <c r="H702" s="217">
        <f t="shared" si="69"/>
        <v>4.1779999999999999</v>
      </c>
      <c r="I702" s="254">
        <f t="shared" si="90"/>
        <v>217.256</v>
      </c>
      <c r="J702" s="262"/>
      <c r="K702" s="253" t="s">
        <v>552</v>
      </c>
      <c r="L702" s="253"/>
      <c r="M702" s="253" t="s">
        <v>537</v>
      </c>
      <c r="N702" s="262"/>
      <c r="O702" s="256"/>
      <c r="P702" s="256"/>
    </row>
    <row r="703" spans="1:16" ht="25.5" hidden="1" outlineLevel="2" x14ac:dyDescent="0.25">
      <c r="A703" s="324">
        <v>42644</v>
      </c>
      <c r="B703" s="273">
        <v>2016</v>
      </c>
      <c r="C703" s="257" t="s">
        <v>397</v>
      </c>
      <c r="D703" s="258" t="s">
        <v>446</v>
      </c>
      <c r="E703" s="264"/>
      <c r="F703" s="253">
        <f>817+33</f>
        <v>850</v>
      </c>
      <c r="G703" s="265"/>
      <c r="H703" s="217">
        <f t="shared" ref="H703:H766" si="91">VLOOKUP(D703,$D$5:$E$359,2,FALSE)</f>
        <v>1.2739999999999998</v>
      </c>
      <c r="I703" s="254">
        <f t="shared" si="90"/>
        <v>1082.8999999999999</v>
      </c>
      <c r="J703" s="262"/>
      <c r="K703" s="253" t="s">
        <v>552</v>
      </c>
      <c r="L703" s="253"/>
      <c r="M703" s="253" t="s">
        <v>537</v>
      </c>
      <c r="N703" s="262"/>
      <c r="O703" s="256"/>
      <c r="P703" s="256"/>
    </row>
    <row r="704" spans="1:16" ht="15.75" hidden="1" outlineLevel="2" x14ac:dyDescent="0.25">
      <c r="A704" s="324">
        <v>42644</v>
      </c>
      <c r="B704" s="273">
        <v>2016</v>
      </c>
      <c r="C704" s="257" t="s">
        <v>397</v>
      </c>
      <c r="D704" s="258"/>
      <c r="E704" s="264"/>
      <c r="F704" s="253"/>
      <c r="G704" s="265"/>
      <c r="H704" s="217" t="e">
        <f>VLOOKUP(D704,$D$5:$E$359,2,FALSE)</f>
        <v>#N/A</v>
      </c>
      <c r="I704" s="254" t="e">
        <f t="shared" si="90"/>
        <v>#N/A</v>
      </c>
      <c r="J704" s="262"/>
      <c r="K704" s="262"/>
      <c r="L704" s="253"/>
      <c r="M704" s="262"/>
      <c r="N704" s="262"/>
      <c r="O704" s="256"/>
      <c r="P704" s="256"/>
    </row>
    <row r="705" spans="1:16" ht="15.75" hidden="1" outlineLevel="2" x14ac:dyDescent="0.25">
      <c r="A705" s="324">
        <v>42644</v>
      </c>
      <c r="B705" s="273">
        <v>2016</v>
      </c>
      <c r="C705" s="257" t="s">
        <v>397</v>
      </c>
      <c r="D705" s="258"/>
      <c r="E705" s="264"/>
      <c r="F705" s="253"/>
      <c r="G705" s="265"/>
      <c r="H705" s="217" t="e">
        <f t="shared" si="91"/>
        <v>#N/A</v>
      </c>
      <c r="I705" s="254" t="e">
        <f>H705*F705</f>
        <v>#N/A</v>
      </c>
      <c r="J705" s="262"/>
      <c r="K705" s="262"/>
      <c r="L705" s="253"/>
      <c r="M705" s="262"/>
      <c r="N705" s="262"/>
      <c r="O705" s="256"/>
      <c r="P705" s="256"/>
    </row>
    <row r="706" spans="1:16" ht="15.75" hidden="1" outlineLevel="1" x14ac:dyDescent="0.25">
      <c r="A706" s="324">
        <v>42644</v>
      </c>
      <c r="B706" s="273">
        <v>2016</v>
      </c>
      <c r="C706" s="266" t="s">
        <v>391</v>
      </c>
      <c r="D706" s="267" t="s">
        <v>373</v>
      </c>
      <c r="E706" s="264"/>
      <c r="F706" s="253"/>
      <c r="G706" s="265"/>
      <c r="H706" s="217">
        <f t="shared" si="91"/>
        <v>0</v>
      </c>
      <c r="I706" s="254">
        <f t="shared" ref="I706:I715" si="92">H706*F706</f>
        <v>0</v>
      </c>
      <c r="J706" s="262" t="s">
        <v>502</v>
      </c>
      <c r="K706" s="262"/>
      <c r="L706" s="253">
        <v>7038</v>
      </c>
      <c r="M706" s="262"/>
      <c r="N706" s="262"/>
      <c r="O706" s="256"/>
      <c r="P706" s="256"/>
    </row>
    <row r="707" spans="1:16" ht="15.75" hidden="1" outlineLevel="2" x14ac:dyDescent="0.25">
      <c r="A707" s="324">
        <v>42644</v>
      </c>
      <c r="B707" s="273">
        <v>2016</v>
      </c>
      <c r="C707" s="266" t="s">
        <v>391</v>
      </c>
      <c r="D707" s="267" t="s">
        <v>374</v>
      </c>
      <c r="E707" s="264"/>
      <c r="F707" s="253"/>
      <c r="G707" s="265"/>
      <c r="H707" s="217">
        <f t="shared" si="91"/>
        <v>0</v>
      </c>
      <c r="I707" s="254">
        <f t="shared" si="92"/>
        <v>0</v>
      </c>
      <c r="J707" s="262" t="s">
        <v>502</v>
      </c>
      <c r="K707" s="255"/>
      <c r="L707" s="253">
        <v>7038</v>
      </c>
      <c r="M707" s="253"/>
      <c r="N707" s="253"/>
      <c r="O707" s="256"/>
      <c r="P707" s="256"/>
    </row>
    <row r="708" spans="1:16" ht="15.75" hidden="1" outlineLevel="2" x14ac:dyDescent="0.25">
      <c r="A708" s="324">
        <v>42644</v>
      </c>
      <c r="B708" s="273">
        <v>2016</v>
      </c>
      <c r="C708" s="266" t="s">
        <v>391</v>
      </c>
      <c r="D708" s="267" t="s">
        <v>375</v>
      </c>
      <c r="E708" s="264"/>
      <c r="F708" s="253"/>
      <c r="G708" s="265"/>
      <c r="H708" s="217">
        <f t="shared" si="91"/>
        <v>0</v>
      </c>
      <c r="I708" s="254">
        <f t="shared" si="92"/>
        <v>0</v>
      </c>
      <c r="J708" s="262" t="s">
        <v>502</v>
      </c>
      <c r="K708" s="255"/>
      <c r="L708" s="253">
        <v>7038</v>
      </c>
      <c r="M708" s="253"/>
      <c r="N708" s="253"/>
      <c r="O708" s="256"/>
      <c r="P708" s="256"/>
    </row>
    <row r="709" spans="1:16" ht="15.75" hidden="1" outlineLevel="2" x14ac:dyDescent="0.25">
      <c r="A709" s="324">
        <v>42644</v>
      </c>
      <c r="B709" s="273">
        <v>2016</v>
      </c>
      <c r="C709" s="266" t="s">
        <v>391</v>
      </c>
      <c r="D709" s="267" t="s">
        <v>376</v>
      </c>
      <c r="E709" s="264"/>
      <c r="F709" s="253"/>
      <c r="G709" s="265"/>
      <c r="H709" s="217">
        <f t="shared" si="91"/>
        <v>0</v>
      </c>
      <c r="I709" s="254">
        <f t="shared" si="92"/>
        <v>0</v>
      </c>
      <c r="J709" s="262" t="s">
        <v>502</v>
      </c>
      <c r="K709" s="262"/>
      <c r="L709" s="253">
        <v>7038</v>
      </c>
      <c r="M709" s="262"/>
      <c r="N709" s="262"/>
      <c r="O709" s="256"/>
      <c r="P709" s="256"/>
    </row>
    <row r="710" spans="1:16" ht="15.75" hidden="1" outlineLevel="2" x14ac:dyDescent="0.25">
      <c r="A710" s="324">
        <v>42644</v>
      </c>
      <c r="B710" s="273">
        <v>2016</v>
      </c>
      <c r="C710" s="266" t="s">
        <v>391</v>
      </c>
      <c r="D710" s="267" t="s">
        <v>394</v>
      </c>
      <c r="E710" s="264"/>
      <c r="F710" s="253"/>
      <c r="G710" s="265"/>
      <c r="H710" s="217">
        <f t="shared" si="91"/>
        <v>0</v>
      </c>
      <c r="I710" s="254">
        <f t="shared" si="92"/>
        <v>0</v>
      </c>
      <c r="J710" s="262" t="s">
        <v>502</v>
      </c>
      <c r="K710" s="262"/>
      <c r="L710" s="253">
        <v>7038</v>
      </c>
      <c r="M710" s="262"/>
      <c r="N710" s="262"/>
      <c r="O710" s="256"/>
      <c r="P710" s="256"/>
    </row>
    <row r="711" spans="1:16" ht="15.75" hidden="1" outlineLevel="2" x14ac:dyDescent="0.25">
      <c r="A711" s="324">
        <v>42644</v>
      </c>
      <c r="B711" s="273">
        <v>2016</v>
      </c>
      <c r="C711" s="266" t="s">
        <v>391</v>
      </c>
      <c r="D711" s="267" t="s">
        <v>453</v>
      </c>
      <c r="E711" s="264"/>
      <c r="F711" s="253"/>
      <c r="G711" s="265"/>
      <c r="H711" s="217">
        <f t="shared" si="91"/>
        <v>0</v>
      </c>
      <c r="I711" s="254">
        <f t="shared" si="92"/>
        <v>0</v>
      </c>
      <c r="J711" s="262"/>
      <c r="K711" s="262"/>
      <c r="L711" s="253"/>
      <c r="M711" s="262"/>
      <c r="N711" s="262"/>
      <c r="O711" s="256"/>
      <c r="P711" s="256"/>
    </row>
    <row r="712" spans="1:16" ht="15.75" hidden="1" outlineLevel="2" x14ac:dyDescent="0.25">
      <c r="A712" s="324">
        <v>42644</v>
      </c>
      <c r="B712" s="273">
        <v>2016</v>
      </c>
      <c r="C712" s="266" t="s">
        <v>391</v>
      </c>
      <c r="D712" s="267"/>
      <c r="E712" s="264"/>
      <c r="F712" s="253"/>
      <c r="G712" s="265"/>
      <c r="H712" s="217" t="e">
        <f t="shared" si="91"/>
        <v>#N/A</v>
      </c>
      <c r="I712" s="254" t="e">
        <f t="shared" si="92"/>
        <v>#N/A</v>
      </c>
      <c r="J712" s="262"/>
      <c r="K712" s="262"/>
      <c r="L712" s="253"/>
      <c r="M712" s="262"/>
      <c r="N712" s="262"/>
      <c r="O712" s="256"/>
      <c r="P712" s="256"/>
    </row>
    <row r="713" spans="1:16" ht="15.75" hidden="1" outlineLevel="2" x14ac:dyDescent="0.25">
      <c r="A713" s="324">
        <v>42644</v>
      </c>
      <c r="B713" s="273">
        <v>2016</v>
      </c>
      <c r="C713" s="266" t="s">
        <v>391</v>
      </c>
      <c r="D713" s="267"/>
      <c r="E713" s="264"/>
      <c r="F713" s="253"/>
      <c r="G713" s="265"/>
      <c r="H713" s="217" t="e">
        <f t="shared" si="91"/>
        <v>#N/A</v>
      </c>
      <c r="I713" s="254" t="e">
        <f t="shared" si="92"/>
        <v>#N/A</v>
      </c>
      <c r="J713" s="262"/>
      <c r="K713" s="262"/>
      <c r="L713" s="253"/>
      <c r="M713" s="262"/>
      <c r="N713" s="262"/>
      <c r="O713" s="256"/>
      <c r="P713" s="256"/>
    </row>
    <row r="714" spans="1:16" ht="15.75" hidden="1" outlineLevel="2" x14ac:dyDescent="0.25">
      <c r="A714" s="324">
        <v>42644</v>
      </c>
      <c r="B714" s="273">
        <v>2016</v>
      </c>
      <c r="C714" s="266" t="s">
        <v>391</v>
      </c>
      <c r="D714" s="267"/>
      <c r="E714" s="264"/>
      <c r="F714" s="253"/>
      <c r="G714" s="265"/>
      <c r="H714" s="217" t="e">
        <f t="shared" si="91"/>
        <v>#N/A</v>
      </c>
      <c r="I714" s="254" t="e">
        <f t="shared" si="92"/>
        <v>#N/A</v>
      </c>
      <c r="J714" s="262"/>
      <c r="K714" s="262"/>
      <c r="L714" s="253"/>
      <c r="M714" s="262"/>
      <c r="N714" s="262"/>
      <c r="O714" s="256"/>
      <c r="P714" s="256"/>
    </row>
    <row r="715" spans="1:16" ht="15.75" hidden="1" outlineLevel="2" x14ac:dyDescent="0.25">
      <c r="A715" s="324">
        <v>42644</v>
      </c>
      <c r="B715" s="273">
        <v>2016</v>
      </c>
      <c r="C715" s="266" t="s">
        <v>391</v>
      </c>
      <c r="D715" s="267"/>
      <c r="E715" s="264"/>
      <c r="F715" s="253"/>
      <c r="G715" s="265"/>
      <c r="H715" s="217" t="e">
        <f t="shared" si="91"/>
        <v>#N/A</v>
      </c>
      <c r="I715" s="254" t="e">
        <f t="shared" si="92"/>
        <v>#N/A</v>
      </c>
      <c r="J715" s="262"/>
      <c r="K715" s="262"/>
      <c r="L715" s="253"/>
      <c r="M715" s="262"/>
      <c r="N715" s="262"/>
      <c r="O715" s="256"/>
      <c r="P715" s="256"/>
    </row>
    <row r="716" spans="1:16" ht="25.5" hidden="1" outlineLevel="1" x14ac:dyDescent="0.25">
      <c r="A716" s="324">
        <v>42644</v>
      </c>
      <c r="B716" s="273">
        <v>2016</v>
      </c>
      <c r="C716" s="268" t="s">
        <v>398</v>
      </c>
      <c r="D716" s="269" t="s">
        <v>561</v>
      </c>
      <c r="E716" s="264"/>
      <c r="F716" s="270"/>
      <c r="G716" s="265"/>
      <c r="H716" s="217">
        <v>17700</v>
      </c>
      <c r="I716" s="262">
        <v>30400</v>
      </c>
      <c r="J716" s="262" t="s">
        <v>502</v>
      </c>
      <c r="K716" s="262"/>
      <c r="L716" s="253"/>
      <c r="M716" s="262" t="s">
        <v>554</v>
      </c>
      <c r="N716" s="262"/>
      <c r="O716" s="256"/>
      <c r="P716" s="256"/>
    </row>
    <row r="717" spans="1:16" ht="15.75" hidden="1" outlineLevel="2" x14ac:dyDescent="0.25">
      <c r="A717" s="324">
        <v>42644</v>
      </c>
      <c r="B717" s="273">
        <v>2016</v>
      </c>
      <c r="C717" s="268" t="s">
        <v>398</v>
      </c>
      <c r="D717" s="271" t="s">
        <v>541</v>
      </c>
      <c r="E717" s="264"/>
      <c r="F717" s="270"/>
      <c r="G717" s="265"/>
      <c r="H717" s="217">
        <v>300</v>
      </c>
      <c r="I717" s="262">
        <v>300</v>
      </c>
      <c r="J717" s="262" t="s">
        <v>502</v>
      </c>
      <c r="K717" s="263">
        <v>42663</v>
      </c>
      <c r="L717" s="253" t="s">
        <v>515</v>
      </c>
      <c r="M717" s="262" t="s">
        <v>513</v>
      </c>
      <c r="N717" s="262" t="s">
        <v>559</v>
      </c>
      <c r="O717" s="256"/>
      <c r="P717" s="256"/>
    </row>
    <row r="718" spans="1:16" ht="15.75" hidden="1" outlineLevel="2" x14ac:dyDescent="0.25">
      <c r="A718" s="324">
        <v>42644</v>
      </c>
      <c r="B718" s="273">
        <v>2016</v>
      </c>
      <c r="C718" s="268" t="s">
        <v>398</v>
      </c>
      <c r="D718" s="272" t="s">
        <v>518</v>
      </c>
      <c r="E718" s="264"/>
      <c r="F718" s="270"/>
      <c r="G718" s="265"/>
      <c r="H718" s="217">
        <v>9480</v>
      </c>
      <c r="I718" s="262">
        <v>9480</v>
      </c>
      <c r="J718" s="262" t="s">
        <v>502</v>
      </c>
      <c r="K718" s="263">
        <v>42663</v>
      </c>
      <c r="L718" s="253" t="s">
        <v>515</v>
      </c>
      <c r="M718" s="262" t="s">
        <v>513</v>
      </c>
      <c r="N718" s="262" t="s">
        <v>559</v>
      </c>
      <c r="O718" s="256"/>
      <c r="P718" s="256"/>
    </row>
    <row r="719" spans="1:16" ht="15.75" hidden="1" outlineLevel="2" x14ac:dyDescent="0.25">
      <c r="A719" s="324">
        <v>42644</v>
      </c>
      <c r="B719" s="273">
        <v>2016</v>
      </c>
      <c r="C719" s="268" t="s">
        <v>398</v>
      </c>
      <c r="D719" s="272" t="s">
        <v>542</v>
      </c>
      <c r="E719" s="264"/>
      <c r="F719" s="270"/>
      <c r="G719" s="265"/>
      <c r="H719" s="217">
        <v>2190</v>
      </c>
      <c r="I719" s="262">
        <v>2190</v>
      </c>
      <c r="J719" s="262" t="s">
        <v>502</v>
      </c>
      <c r="K719" s="263">
        <v>42663</v>
      </c>
      <c r="L719" s="253" t="s">
        <v>515</v>
      </c>
      <c r="M719" s="262" t="s">
        <v>513</v>
      </c>
      <c r="N719" s="262" t="s">
        <v>559</v>
      </c>
      <c r="O719" s="256"/>
      <c r="P719" s="256"/>
    </row>
    <row r="720" spans="1:16" ht="15.75" hidden="1" outlineLevel="2" x14ac:dyDescent="0.25">
      <c r="A720" s="324">
        <v>42644</v>
      </c>
      <c r="B720" s="273">
        <v>2016</v>
      </c>
      <c r="C720" s="268" t="s">
        <v>398</v>
      </c>
      <c r="D720" s="272" t="s">
        <v>520</v>
      </c>
      <c r="E720" s="264"/>
      <c r="F720" s="270"/>
      <c r="G720" s="265"/>
      <c r="H720" s="217">
        <v>20</v>
      </c>
      <c r="I720" s="262">
        <v>20</v>
      </c>
      <c r="J720" s="262" t="s">
        <v>502</v>
      </c>
      <c r="K720" s="263">
        <v>42663</v>
      </c>
      <c r="L720" s="253" t="s">
        <v>515</v>
      </c>
      <c r="M720" s="262" t="s">
        <v>513</v>
      </c>
      <c r="N720" s="262" t="s">
        <v>559</v>
      </c>
      <c r="O720" s="256"/>
      <c r="P720" s="256"/>
    </row>
    <row r="721" spans="1:16" ht="15.75" hidden="1" outlineLevel="2" x14ac:dyDescent="0.25">
      <c r="A721" s="324">
        <v>42644</v>
      </c>
      <c r="B721" s="273">
        <v>2016</v>
      </c>
      <c r="C721" s="268" t="s">
        <v>398</v>
      </c>
      <c r="D721" s="272" t="s">
        <v>543</v>
      </c>
      <c r="E721" s="264"/>
      <c r="F721" s="270"/>
      <c r="G721" s="265"/>
      <c r="H721" s="217">
        <v>40</v>
      </c>
      <c r="I721" s="262">
        <v>40</v>
      </c>
      <c r="J721" s="262" t="s">
        <v>502</v>
      </c>
      <c r="K721" s="263">
        <v>42663</v>
      </c>
      <c r="L721" s="253" t="s">
        <v>515</v>
      </c>
      <c r="M721" s="262" t="s">
        <v>513</v>
      </c>
      <c r="N721" s="262" t="s">
        <v>559</v>
      </c>
      <c r="O721" s="256"/>
      <c r="P721" s="256"/>
    </row>
    <row r="722" spans="1:16" ht="15.75" hidden="1" outlineLevel="2" x14ac:dyDescent="0.25">
      <c r="A722" s="324">
        <v>42644</v>
      </c>
      <c r="B722" s="273">
        <v>2016</v>
      </c>
      <c r="C722" s="268" t="s">
        <v>398</v>
      </c>
      <c r="D722" s="272" t="s">
        <v>516</v>
      </c>
      <c r="E722" s="264"/>
      <c r="F722" s="270"/>
      <c r="G722" s="265"/>
      <c r="H722" s="217">
        <v>14550</v>
      </c>
      <c r="I722" s="262">
        <v>14550</v>
      </c>
      <c r="J722" s="262" t="s">
        <v>502</v>
      </c>
      <c r="K722" s="263">
        <v>42663</v>
      </c>
      <c r="L722" s="253" t="s">
        <v>515</v>
      </c>
      <c r="M722" s="262" t="s">
        <v>513</v>
      </c>
      <c r="N722" s="262" t="s">
        <v>559</v>
      </c>
      <c r="O722" s="256"/>
      <c r="P722" s="256"/>
    </row>
    <row r="723" spans="1:16" ht="15.75" hidden="1" outlineLevel="2" x14ac:dyDescent="0.25">
      <c r="A723" s="324">
        <v>42644</v>
      </c>
      <c r="B723" s="273">
        <v>2016</v>
      </c>
      <c r="C723" s="268" t="s">
        <v>398</v>
      </c>
      <c r="D723" s="272" t="s">
        <v>544</v>
      </c>
      <c r="E723" s="264"/>
      <c r="F723" s="270"/>
      <c r="G723" s="265"/>
      <c r="H723" s="217">
        <v>1500</v>
      </c>
      <c r="I723" s="262">
        <v>1500</v>
      </c>
      <c r="J723" s="262" t="s">
        <v>502</v>
      </c>
      <c r="K723" s="263">
        <v>42663</v>
      </c>
      <c r="L723" s="253" t="s">
        <v>515</v>
      </c>
      <c r="M723" s="262" t="s">
        <v>513</v>
      </c>
      <c r="N723" s="262" t="s">
        <v>559</v>
      </c>
      <c r="O723" s="256"/>
      <c r="P723" s="256"/>
    </row>
    <row r="724" spans="1:16" ht="15.75" hidden="1" outlineLevel="2" x14ac:dyDescent="0.25">
      <c r="A724" s="324">
        <v>42644</v>
      </c>
      <c r="B724" s="273">
        <v>2016</v>
      </c>
      <c r="C724" s="268" t="s">
        <v>398</v>
      </c>
      <c r="D724" s="272" t="s">
        <v>545</v>
      </c>
      <c r="E724" s="264"/>
      <c r="F724" s="270"/>
      <c r="G724" s="265"/>
      <c r="H724" s="217">
        <v>1700</v>
      </c>
      <c r="I724" s="262">
        <v>1700</v>
      </c>
      <c r="J724" s="262" t="s">
        <v>502</v>
      </c>
      <c r="K724" s="263">
        <v>42663</v>
      </c>
      <c r="L724" s="253" t="s">
        <v>515</v>
      </c>
      <c r="M724" s="262" t="s">
        <v>513</v>
      </c>
      <c r="N724" s="262" t="s">
        <v>559</v>
      </c>
      <c r="O724" s="256"/>
      <c r="P724" s="256"/>
    </row>
    <row r="725" spans="1:16" ht="15.75" hidden="1" outlineLevel="2" x14ac:dyDescent="0.25">
      <c r="A725" s="324">
        <v>42644</v>
      </c>
      <c r="B725" s="273">
        <v>2016</v>
      </c>
      <c r="C725" s="268" t="s">
        <v>398</v>
      </c>
      <c r="D725" s="272" t="s">
        <v>470</v>
      </c>
      <c r="E725" s="264"/>
      <c r="F725" s="270"/>
      <c r="G725" s="265"/>
      <c r="H725" s="217">
        <v>350</v>
      </c>
      <c r="I725" s="262">
        <v>350</v>
      </c>
      <c r="J725" s="262" t="s">
        <v>502</v>
      </c>
      <c r="K725" s="263">
        <v>42663</v>
      </c>
      <c r="L725" s="253" t="s">
        <v>515</v>
      </c>
      <c r="M725" s="262" t="s">
        <v>513</v>
      </c>
      <c r="N725" s="262" t="s">
        <v>559</v>
      </c>
      <c r="O725" s="256"/>
      <c r="P725" s="256"/>
    </row>
    <row r="726" spans="1:16" ht="15.75" hidden="1" outlineLevel="2" x14ac:dyDescent="0.25">
      <c r="A726" s="324">
        <v>42644</v>
      </c>
      <c r="B726" s="273">
        <v>2016</v>
      </c>
      <c r="C726" s="268" t="s">
        <v>398</v>
      </c>
      <c r="D726" s="272" t="s">
        <v>546</v>
      </c>
      <c r="E726" s="264"/>
      <c r="F726" s="270"/>
      <c r="G726" s="265"/>
      <c r="H726" s="217">
        <v>270</v>
      </c>
      <c r="I726" s="262">
        <v>270</v>
      </c>
      <c r="J726" s="262" t="s">
        <v>502</v>
      </c>
      <c r="K726" s="263">
        <v>42663</v>
      </c>
      <c r="L726" s="253" t="s">
        <v>515</v>
      </c>
      <c r="M726" s="262" t="s">
        <v>513</v>
      </c>
      <c r="N726" s="262" t="s">
        <v>559</v>
      </c>
      <c r="O726" s="256"/>
      <c r="P726" s="256"/>
    </row>
    <row r="727" spans="1:16" hidden="1" x14ac:dyDescent="0.25">
      <c r="A727" s="313"/>
      <c r="H727" s="217" t="e">
        <f t="shared" si="91"/>
        <v>#N/A</v>
      </c>
    </row>
    <row r="728" spans="1:16" ht="15.75" hidden="1" x14ac:dyDescent="0.25">
      <c r="A728" s="324">
        <v>42675</v>
      </c>
      <c r="B728" s="273">
        <v>2016</v>
      </c>
      <c r="C728" s="245"/>
      <c r="D728" s="246" t="s">
        <v>498</v>
      </c>
      <c r="E728" s="246"/>
      <c r="F728" s="247"/>
      <c r="G728" s="247">
        <f>SUM(G732:G742)</f>
        <v>13816.42</v>
      </c>
      <c r="H728" s="217" t="e">
        <f t="shared" si="91"/>
        <v>#N/A</v>
      </c>
      <c r="I728" s="247"/>
      <c r="J728" s="247"/>
      <c r="K728" s="247"/>
      <c r="L728" s="248"/>
      <c r="M728" s="248"/>
      <c r="N728" s="245"/>
      <c r="O728" s="249"/>
      <c r="P728" s="249"/>
    </row>
    <row r="729" spans="1:16" ht="15.75" hidden="1" outlineLevel="1" x14ac:dyDescent="0.25">
      <c r="A729" s="324">
        <v>42675</v>
      </c>
      <c r="B729" s="273">
        <v>2016</v>
      </c>
      <c r="C729" s="245"/>
      <c r="D729" s="246" t="s">
        <v>499</v>
      </c>
      <c r="E729" s="246"/>
      <c r="F729" s="247">
        <f>SUM(F743:F754)</f>
        <v>2000</v>
      </c>
      <c r="G729" s="247"/>
      <c r="H729" s="217" t="e">
        <f t="shared" si="91"/>
        <v>#N/A</v>
      </c>
      <c r="I729" s="247" t="e">
        <f>SUM(I743:I754)</f>
        <v>#N/A</v>
      </c>
      <c r="J729" s="247"/>
      <c r="K729" s="247"/>
      <c r="L729" s="248"/>
      <c r="M729" s="248"/>
      <c r="N729" s="245"/>
      <c r="O729" s="249"/>
      <c r="P729" s="249"/>
    </row>
    <row r="730" spans="1:16" ht="15.75" hidden="1" outlineLevel="1" x14ac:dyDescent="0.25">
      <c r="A730" s="324">
        <v>42675</v>
      </c>
      <c r="B730" s="273">
        <v>2016</v>
      </c>
      <c r="C730" s="245"/>
      <c r="D730" s="246" t="s">
        <v>500</v>
      </c>
      <c r="E730" s="246"/>
      <c r="F730" s="247">
        <f>SUM(F755:F763)</f>
        <v>500</v>
      </c>
      <c r="G730" s="247"/>
      <c r="H730" s="217" t="e">
        <f t="shared" si="91"/>
        <v>#N/A</v>
      </c>
      <c r="I730" s="247"/>
      <c r="J730" s="247"/>
      <c r="K730" s="247"/>
      <c r="L730" s="248"/>
      <c r="M730" s="248"/>
      <c r="N730" s="245"/>
      <c r="O730" s="249"/>
      <c r="P730" s="249"/>
    </row>
    <row r="731" spans="1:16" ht="15.75" hidden="1" outlineLevel="1" x14ac:dyDescent="0.25">
      <c r="A731" s="324">
        <v>42675</v>
      </c>
      <c r="B731" s="273">
        <v>2016</v>
      </c>
      <c r="C731" s="245"/>
      <c r="D731" s="246" t="s">
        <v>501</v>
      </c>
      <c r="E731" s="246"/>
      <c r="F731" s="247"/>
      <c r="G731" s="247"/>
      <c r="H731" s="217" t="e">
        <f t="shared" si="91"/>
        <v>#N/A</v>
      </c>
      <c r="I731" s="247">
        <f>SUM(I764:I775)</f>
        <v>88300</v>
      </c>
      <c r="J731" s="247"/>
      <c r="K731" s="247"/>
      <c r="L731" s="248"/>
      <c r="M731" s="248"/>
      <c r="N731" s="245"/>
      <c r="O731" s="250"/>
      <c r="P731" s="250"/>
    </row>
    <row r="732" spans="1:16" ht="15.75" hidden="1" outlineLevel="1" x14ac:dyDescent="0.25">
      <c r="A732" s="324">
        <v>42675</v>
      </c>
      <c r="B732" s="273">
        <v>2016</v>
      </c>
      <c r="C732" s="251" t="s">
        <v>396</v>
      </c>
      <c r="D732" s="213" t="s">
        <v>33</v>
      </c>
      <c r="E732" s="252"/>
      <c r="F732" s="253"/>
      <c r="G732" s="254">
        <f>F732*E732/1000</f>
        <v>0</v>
      </c>
      <c r="H732" s="217">
        <f t="shared" si="91"/>
        <v>8.661999999999999</v>
      </c>
      <c r="I732" s="254">
        <f>H732*G732</f>
        <v>0</v>
      </c>
      <c r="J732" s="253" t="s">
        <v>502</v>
      </c>
      <c r="K732" s="253"/>
      <c r="L732" s="253"/>
      <c r="M732" s="253"/>
      <c r="N732" s="253"/>
      <c r="O732" s="256"/>
      <c r="P732" s="256"/>
    </row>
    <row r="733" spans="1:16" ht="25.5" hidden="1" outlineLevel="2" x14ac:dyDescent="0.25">
      <c r="A733" s="324">
        <v>42675</v>
      </c>
      <c r="B733" s="273">
        <v>2016</v>
      </c>
      <c r="C733" s="251" t="s">
        <v>396</v>
      </c>
      <c r="D733" s="53" t="s">
        <v>46</v>
      </c>
      <c r="E733" s="252">
        <v>6000</v>
      </c>
      <c r="F733" s="253">
        <v>50</v>
      </c>
      <c r="G733" s="254">
        <f t="shared" ref="G733:G735" si="93">F733*E733/1000</f>
        <v>300</v>
      </c>
      <c r="H733" s="217">
        <f t="shared" si="91"/>
        <v>1.665</v>
      </c>
      <c r="I733" s="254">
        <f t="shared" ref="I733:I735" si="94">H733*G733</f>
        <v>499.5</v>
      </c>
      <c r="J733" s="253" t="s">
        <v>502</v>
      </c>
      <c r="K733" s="253"/>
      <c r="L733" s="253"/>
      <c r="M733" s="253" t="s">
        <v>558</v>
      </c>
      <c r="N733" s="253"/>
      <c r="O733" s="256"/>
      <c r="P733" s="256"/>
    </row>
    <row r="734" spans="1:16" ht="25.5" hidden="1" outlineLevel="2" x14ac:dyDescent="0.25">
      <c r="A734" s="324">
        <v>42675</v>
      </c>
      <c r="B734" s="273">
        <v>2016</v>
      </c>
      <c r="C734" s="251" t="s">
        <v>396</v>
      </c>
      <c r="D734" s="53" t="s">
        <v>37</v>
      </c>
      <c r="E734" s="252">
        <v>6000</v>
      </c>
      <c r="F734" s="253">
        <v>150</v>
      </c>
      <c r="G734" s="254">
        <f t="shared" si="93"/>
        <v>900</v>
      </c>
      <c r="H734" s="217">
        <f t="shared" si="91"/>
        <v>0.50600000000000001</v>
      </c>
      <c r="I734" s="254">
        <f t="shared" si="94"/>
        <v>455.4</v>
      </c>
      <c r="J734" s="253" t="s">
        <v>502</v>
      </c>
      <c r="K734" s="253"/>
      <c r="L734" s="253"/>
      <c r="M734" s="253" t="s">
        <v>558</v>
      </c>
      <c r="N734" s="253"/>
      <c r="O734" s="256"/>
      <c r="P734" s="256"/>
    </row>
    <row r="735" spans="1:16" ht="25.5" hidden="1" outlineLevel="2" x14ac:dyDescent="0.25">
      <c r="A735" s="324">
        <v>42675</v>
      </c>
      <c r="B735" s="273">
        <v>2016</v>
      </c>
      <c r="C735" s="251" t="s">
        <v>396</v>
      </c>
      <c r="D735" s="53" t="s">
        <v>47</v>
      </c>
      <c r="E735" s="252">
        <v>6000</v>
      </c>
      <c r="F735" s="253">
        <v>60</v>
      </c>
      <c r="G735" s="254">
        <f t="shared" si="93"/>
        <v>360</v>
      </c>
      <c r="H735" s="217">
        <f t="shared" si="91"/>
        <v>2.0350000000000001</v>
      </c>
      <c r="I735" s="254">
        <f t="shared" si="94"/>
        <v>732.6</v>
      </c>
      <c r="J735" s="253" t="s">
        <v>502</v>
      </c>
      <c r="K735" s="253"/>
      <c r="L735" s="253"/>
      <c r="M735" s="253" t="s">
        <v>558</v>
      </c>
      <c r="N735" s="253"/>
      <c r="O735" s="256"/>
      <c r="P735" s="256"/>
    </row>
    <row r="736" spans="1:16" ht="15.75" hidden="1" outlineLevel="2" x14ac:dyDescent="0.25">
      <c r="A736" s="324">
        <v>42675</v>
      </c>
      <c r="B736" s="273">
        <v>2016</v>
      </c>
      <c r="C736" s="251" t="s">
        <v>396</v>
      </c>
      <c r="D736" s="213"/>
      <c r="E736" s="252"/>
      <c r="F736" s="253"/>
      <c r="G736" s="254">
        <f t="shared" ref="G736:G741" si="95">F736*E736/1000</f>
        <v>0</v>
      </c>
      <c r="H736" s="217" t="e">
        <f t="shared" si="91"/>
        <v>#N/A</v>
      </c>
      <c r="I736" s="254" t="e">
        <f t="shared" ref="I736:I741" si="96">H736*G736</f>
        <v>#N/A</v>
      </c>
      <c r="J736" s="253" t="s">
        <v>502</v>
      </c>
      <c r="K736" s="253"/>
      <c r="L736" s="253"/>
      <c r="M736" s="253"/>
      <c r="N736" s="253"/>
      <c r="O736" s="256"/>
      <c r="P736" s="256"/>
    </row>
    <row r="737" spans="1:16" ht="15.75" hidden="1" outlineLevel="2" x14ac:dyDescent="0.25">
      <c r="A737" s="324">
        <v>42675</v>
      </c>
      <c r="B737" s="273">
        <v>2016</v>
      </c>
      <c r="C737" s="251" t="s">
        <v>396</v>
      </c>
      <c r="D737" s="213" t="s">
        <v>41</v>
      </c>
      <c r="E737" s="252">
        <v>6000</v>
      </c>
      <c r="F737" s="253">
        <v>1167</v>
      </c>
      <c r="G737" s="254">
        <f t="shared" si="95"/>
        <v>7002</v>
      </c>
      <c r="H737" s="217">
        <f t="shared" si="91"/>
        <v>0.65500000000000003</v>
      </c>
      <c r="I737" s="254">
        <f t="shared" si="96"/>
        <v>4586.3100000000004</v>
      </c>
      <c r="J737" s="253" t="s">
        <v>502</v>
      </c>
      <c r="K737" s="255">
        <v>42696</v>
      </c>
      <c r="L737" s="253">
        <v>1018</v>
      </c>
      <c r="M737" s="253" t="s">
        <v>503</v>
      </c>
      <c r="N737" s="253" t="s">
        <v>512</v>
      </c>
      <c r="O737" s="256"/>
      <c r="P737" s="256"/>
    </row>
    <row r="738" spans="1:16" ht="15.75" hidden="1" outlineLevel="2" x14ac:dyDescent="0.25">
      <c r="A738" s="324">
        <v>42675</v>
      </c>
      <c r="B738" s="273">
        <v>2016</v>
      </c>
      <c r="C738" s="251" t="s">
        <v>396</v>
      </c>
      <c r="D738" s="213" t="s">
        <v>42</v>
      </c>
      <c r="E738" s="252">
        <v>6000</v>
      </c>
      <c r="F738" s="253">
        <v>417</v>
      </c>
      <c r="G738" s="254">
        <f t="shared" si="95"/>
        <v>2502</v>
      </c>
      <c r="H738" s="217">
        <f t="shared" si="91"/>
        <v>0.82199999999999995</v>
      </c>
      <c r="I738" s="254">
        <f t="shared" si="96"/>
        <v>2056.6439999999998</v>
      </c>
      <c r="J738" s="253" t="s">
        <v>502</v>
      </c>
      <c r="K738" s="255">
        <v>42696</v>
      </c>
      <c r="L738" s="253">
        <v>1018</v>
      </c>
      <c r="M738" s="253" t="s">
        <v>503</v>
      </c>
      <c r="N738" s="253"/>
      <c r="O738" s="256"/>
      <c r="P738" s="256"/>
    </row>
    <row r="739" spans="1:16" ht="15.75" hidden="1" outlineLevel="2" x14ac:dyDescent="0.25">
      <c r="A739" s="324">
        <v>42675</v>
      </c>
      <c r="B739" s="273">
        <v>2016</v>
      </c>
      <c r="C739" s="251" t="s">
        <v>396</v>
      </c>
      <c r="D739" s="213" t="s">
        <v>39</v>
      </c>
      <c r="E739" s="252">
        <v>6000</v>
      </c>
      <c r="F739" s="253">
        <v>250</v>
      </c>
      <c r="G739" s="254">
        <f t="shared" si="95"/>
        <v>1500</v>
      </c>
      <c r="H739" s="217">
        <f t="shared" si="91"/>
        <v>0.38</v>
      </c>
      <c r="I739" s="254">
        <f t="shared" si="96"/>
        <v>570</v>
      </c>
      <c r="J739" s="253" t="s">
        <v>502</v>
      </c>
      <c r="K739" s="255">
        <v>42696</v>
      </c>
      <c r="L739" s="253">
        <v>1018</v>
      </c>
      <c r="M739" s="253" t="s">
        <v>503</v>
      </c>
      <c r="N739" s="253"/>
      <c r="O739" s="256"/>
      <c r="P739" s="256"/>
    </row>
    <row r="740" spans="1:16" ht="15.75" hidden="1" outlineLevel="2" x14ac:dyDescent="0.25">
      <c r="A740" s="324">
        <v>42675</v>
      </c>
      <c r="B740" s="273">
        <v>2016</v>
      </c>
      <c r="C740" s="251" t="s">
        <v>396</v>
      </c>
      <c r="D740" s="213" t="s">
        <v>50</v>
      </c>
      <c r="E740" s="252">
        <v>6000</v>
      </c>
      <c r="F740" s="253">
        <v>84</v>
      </c>
      <c r="G740" s="254">
        <f t="shared" si="95"/>
        <v>504</v>
      </c>
      <c r="H740" s="217">
        <f t="shared" si="91"/>
        <v>0.53100000000000003</v>
      </c>
      <c r="I740" s="254">
        <f t="shared" si="96"/>
        <v>267.62400000000002</v>
      </c>
      <c r="J740" s="253" t="s">
        <v>502</v>
      </c>
      <c r="K740" s="255">
        <v>42696</v>
      </c>
      <c r="L740" s="253">
        <v>1018</v>
      </c>
      <c r="M740" s="253" t="s">
        <v>503</v>
      </c>
      <c r="N740" s="253"/>
      <c r="O740" s="256"/>
      <c r="P740" s="256"/>
    </row>
    <row r="741" spans="1:16" ht="15.75" hidden="1" outlineLevel="2" x14ac:dyDescent="0.25">
      <c r="A741" s="324">
        <v>42675</v>
      </c>
      <c r="B741" s="273">
        <v>2016</v>
      </c>
      <c r="C741" s="251" t="s">
        <v>396</v>
      </c>
      <c r="D741" s="213" t="s">
        <v>44</v>
      </c>
      <c r="E741" s="252">
        <v>6000</v>
      </c>
      <c r="F741" s="253">
        <v>84</v>
      </c>
      <c r="G741" s="254">
        <f t="shared" si="95"/>
        <v>504</v>
      </c>
      <c r="H741" s="217">
        <f t="shared" si="91"/>
        <v>1.1789999999999998</v>
      </c>
      <c r="I741" s="254">
        <f t="shared" si="96"/>
        <v>594.21599999999989</v>
      </c>
      <c r="J741" s="253" t="s">
        <v>502</v>
      </c>
      <c r="K741" s="255">
        <v>42696</v>
      </c>
      <c r="L741" s="253">
        <v>1018</v>
      </c>
      <c r="M741" s="253" t="s">
        <v>503</v>
      </c>
      <c r="N741" s="253" t="s">
        <v>512</v>
      </c>
      <c r="O741" s="256"/>
      <c r="P741" s="256"/>
    </row>
    <row r="742" spans="1:16" ht="15.75" hidden="1" outlineLevel="2" x14ac:dyDescent="0.25">
      <c r="A742" s="324">
        <v>42675</v>
      </c>
      <c r="B742" s="273">
        <v>2016</v>
      </c>
      <c r="C742" s="251" t="s">
        <v>396</v>
      </c>
      <c r="D742" s="213" t="s">
        <v>36</v>
      </c>
      <c r="E742" s="220">
        <v>4444</v>
      </c>
      <c r="F742" s="253">
        <v>55</v>
      </c>
      <c r="G742" s="254">
        <f t="shared" ref="G742" si="97">F742*E742/1000</f>
        <v>244.42</v>
      </c>
      <c r="H742" s="217">
        <f t="shared" si="91"/>
        <v>0.4</v>
      </c>
      <c r="I742" s="254">
        <f t="shared" ref="I742" si="98">H742*G742</f>
        <v>97.768000000000001</v>
      </c>
      <c r="J742" s="253"/>
      <c r="K742" s="253"/>
      <c r="L742" s="253"/>
      <c r="M742" s="253"/>
      <c r="N742" s="253"/>
      <c r="O742" s="256"/>
      <c r="P742" s="256"/>
    </row>
    <row r="743" spans="1:16" ht="15.75" hidden="1" outlineLevel="1" x14ac:dyDescent="0.25">
      <c r="A743" s="324">
        <v>42675</v>
      </c>
      <c r="B743" s="273">
        <v>2016</v>
      </c>
      <c r="C743" s="257" t="s">
        <v>397</v>
      </c>
      <c r="D743" s="258" t="s">
        <v>383</v>
      </c>
      <c r="E743" s="223"/>
      <c r="F743" s="253">
        <v>2000</v>
      </c>
      <c r="G743" s="259"/>
      <c r="H743" s="217">
        <f t="shared" si="91"/>
        <v>8.2810000000000006</v>
      </c>
      <c r="I743" s="254">
        <f>H743*F743</f>
        <v>16562</v>
      </c>
      <c r="J743" s="253" t="s">
        <v>502</v>
      </c>
      <c r="K743" s="253"/>
      <c r="L743" s="253"/>
      <c r="M743" s="253"/>
      <c r="N743" s="253"/>
      <c r="O743" s="256"/>
      <c r="P743" s="256"/>
    </row>
    <row r="744" spans="1:16" ht="15.75" hidden="1" outlineLevel="2" x14ac:dyDescent="0.25">
      <c r="A744" s="324">
        <v>42675</v>
      </c>
      <c r="B744" s="273">
        <v>2016</v>
      </c>
      <c r="C744" s="257" t="s">
        <v>397</v>
      </c>
      <c r="D744" s="258" t="s">
        <v>386</v>
      </c>
      <c r="E744" s="224"/>
      <c r="F744" s="253"/>
      <c r="G744" s="259"/>
      <c r="H744" s="217">
        <f t="shared" si="91"/>
        <v>11.587999999999999</v>
      </c>
      <c r="I744" s="254">
        <f t="shared" ref="I744:I749" si="99">H744*F744</f>
        <v>0</v>
      </c>
      <c r="J744" s="253" t="s">
        <v>502</v>
      </c>
      <c r="K744" s="253"/>
      <c r="L744" s="253"/>
      <c r="M744" s="253"/>
      <c r="N744" s="253"/>
      <c r="O744" s="256"/>
      <c r="P744" s="256"/>
    </row>
    <row r="745" spans="1:16" ht="15.75" hidden="1" outlineLevel="2" x14ac:dyDescent="0.25">
      <c r="A745" s="324">
        <v>42675</v>
      </c>
      <c r="B745" s="273">
        <v>2016</v>
      </c>
      <c r="C745" s="257" t="s">
        <v>397</v>
      </c>
      <c r="D745" s="258" t="s">
        <v>382</v>
      </c>
      <c r="E745" s="260"/>
      <c r="F745" s="253"/>
      <c r="G745" s="259"/>
      <c r="H745" s="217">
        <f t="shared" si="91"/>
        <v>7.4539999999999997</v>
      </c>
      <c r="I745" s="254">
        <f t="shared" si="99"/>
        <v>0</v>
      </c>
      <c r="J745" s="253"/>
      <c r="K745" s="253"/>
      <c r="L745" s="253"/>
      <c r="M745" s="253"/>
      <c r="N745" s="253"/>
      <c r="O745" s="256"/>
      <c r="P745" s="256"/>
    </row>
    <row r="746" spans="1:16" ht="15.75" hidden="1" outlineLevel="2" x14ac:dyDescent="0.25">
      <c r="A746" s="324">
        <v>42675</v>
      </c>
      <c r="B746" s="273">
        <v>2016</v>
      </c>
      <c r="C746" s="257" t="s">
        <v>397</v>
      </c>
      <c r="D746" s="258" t="s">
        <v>230</v>
      </c>
      <c r="E746" s="260"/>
      <c r="F746" s="253"/>
      <c r="G746" s="259"/>
      <c r="H746" s="217">
        <f t="shared" si="91"/>
        <v>5.0110000000000001</v>
      </c>
      <c r="I746" s="254">
        <f t="shared" si="99"/>
        <v>0</v>
      </c>
      <c r="J746" s="253"/>
      <c r="K746" s="253"/>
      <c r="L746" s="253"/>
      <c r="M746" s="253"/>
      <c r="N746" s="253"/>
      <c r="O746" s="256"/>
      <c r="P746" s="256"/>
    </row>
    <row r="747" spans="1:16" ht="15.75" hidden="1" outlineLevel="2" x14ac:dyDescent="0.25">
      <c r="A747" s="324">
        <v>42675</v>
      </c>
      <c r="B747" s="273">
        <v>2016</v>
      </c>
      <c r="C747" s="257" t="s">
        <v>397</v>
      </c>
      <c r="D747" s="258" t="s">
        <v>382</v>
      </c>
      <c r="E747" s="261"/>
      <c r="F747" s="253"/>
      <c r="G747" s="259"/>
      <c r="H747" s="217">
        <f t="shared" si="91"/>
        <v>7.4539999999999997</v>
      </c>
      <c r="I747" s="254">
        <f t="shared" si="99"/>
        <v>0</v>
      </c>
      <c r="J747" s="253"/>
      <c r="K747" s="253"/>
      <c r="L747" s="253"/>
      <c r="M747" s="253"/>
      <c r="N747" s="253"/>
      <c r="O747" s="256"/>
      <c r="P747" s="256"/>
    </row>
    <row r="748" spans="1:16" ht="15.75" hidden="1" outlineLevel="2" x14ac:dyDescent="0.25">
      <c r="A748" s="324">
        <v>42675</v>
      </c>
      <c r="B748" s="273">
        <v>2016</v>
      </c>
      <c r="C748" s="257" t="s">
        <v>397</v>
      </c>
      <c r="D748" s="258" t="s">
        <v>382</v>
      </c>
      <c r="E748" s="261"/>
      <c r="F748" s="253"/>
      <c r="G748" s="259"/>
      <c r="H748" s="217">
        <f t="shared" si="91"/>
        <v>7.4539999999999997</v>
      </c>
      <c r="I748" s="254">
        <f t="shared" si="99"/>
        <v>0</v>
      </c>
      <c r="J748" s="262"/>
      <c r="K748" s="262"/>
      <c r="L748" s="262"/>
      <c r="M748" s="262"/>
      <c r="N748" s="262"/>
      <c r="O748" s="256"/>
      <c r="P748" s="256"/>
    </row>
    <row r="749" spans="1:16" ht="15.75" hidden="1" outlineLevel="2" x14ac:dyDescent="0.25">
      <c r="A749" s="324">
        <v>42675</v>
      </c>
      <c r="B749" s="273">
        <v>2016</v>
      </c>
      <c r="C749" s="257" t="s">
        <v>397</v>
      </c>
      <c r="D749" s="258" t="s">
        <v>317</v>
      </c>
      <c r="E749" s="259"/>
      <c r="F749" s="253"/>
      <c r="G749" s="259"/>
      <c r="H749" s="217">
        <f t="shared" si="91"/>
        <v>2.7959999999999998</v>
      </c>
      <c r="I749" s="254">
        <f t="shared" si="99"/>
        <v>0</v>
      </c>
      <c r="J749" s="253" t="s">
        <v>502</v>
      </c>
      <c r="K749" s="253"/>
      <c r="L749" s="253">
        <v>7038</v>
      </c>
      <c r="M749" s="253"/>
      <c r="N749" s="253"/>
      <c r="O749" s="256"/>
      <c r="P749" s="256"/>
    </row>
    <row r="750" spans="1:16" ht="15.75" hidden="1" outlineLevel="2" x14ac:dyDescent="0.25">
      <c r="A750" s="324">
        <v>42675</v>
      </c>
      <c r="B750" s="273">
        <v>2016</v>
      </c>
      <c r="C750" s="257" t="s">
        <v>397</v>
      </c>
      <c r="D750" s="258" t="s">
        <v>447</v>
      </c>
      <c r="E750" s="264"/>
      <c r="F750" s="253"/>
      <c r="G750" s="265"/>
      <c r="H750" s="217">
        <f t="shared" si="91"/>
        <v>1.738</v>
      </c>
      <c r="I750" s="254">
        <f t="shared" ref="I750:I753" si="100">H750*F750</f>
        <v>0</v>
      </c>
      <c r="J750" s="262"/>
      <c r="K750" s="262"/>
      <c r="L750" s="253"/>
      <c r="M750" s="262"/>
      <c r="N750" s="262"/>
      <c r="O750" s="256"/>
      <c r="P750" s="256"/>
    </row>
    <row r="751" spans="1:16" ht="15.75" hidden="1" outlineLevel="2" x14ac:dyDescent="0.25">
      <c r="A751" s="324">
        <v>42675</v>
      </c>
      <c r="B751" s="273">
        <v>2016</v>
      </c>
      <c r="C751" s="257" t="s">
        <v>397</v>
      </c>
      <c r="D751" s="258"/>
      <c r="E751" s="264"/>
      <c r="F751" s="253"/>
      <c r="G751" s="265"/>
      <c r="H751" s="217" t="e">
        <f t="shared" si="91"/>
        <v>#N/A</v>
      </c>
      <c r="I751" s="254" t="e">
        <f t="shared" si="100"/>
        <v>#N/A</v>
      </c>
      <c r="J751" s="262"/>
      <c r="K751" s="262"/>
      <c r="L751" s="253"/>
      <c r="M751" s="262"/>
      <c r="N751" s="262"/>
      <c r="O751" s="256"/>
      <c r="P751" s="256"/>
    </row>
    <row r="752" spans="1:16" ht="15.75" hidden="1" outlineLevel="2" x14ac:dyDescent="0.25">
      <c r="A752" s="324">
        <v>42675</v>
      </c>
      <c r="B752" s="273">
        <v>2016</v>
      </c>
      <c r="C752" s="257" t="s">
        <v>397</v>
      </c>
      <c r="D752" s="258"/>
      <c r="E752" s="264"/>
      <c r="F752" s="253"/>
      <c r="G752" s="265"/>
      <c r="H752" s="217" t="e">
        <f t="shared" si="91"/>
        <v>#N/A</v>
      </c>
      <c r="I752" s="254" t="e">
        <f t="shared" si="100"/>
        <v>#N/A</v>
      </c>
      <c r="J752" s="262"/>
      <c r="K752" s="262"/>
      <c r="L752" s="253"/>
      <c r="M752" s="262"/>
      <c r="N752" s="262"/>
      <c r="O752" s="256"/>
      <c r="P752" s="256"/>
    </row>
    <row r="753" spans="1:16" ht="15.75" hidden="1" outlineLevel="2" x14ac:dyDescent="0.25">
      <c r="A753" s="324">
        <v>42675</v>
      </c>
      <c r="B753" s="273">
        <v>2016</v>
      </c>
      <c r="C753" s="257" t="s">
        <v>397</v>
      </c>
      <c r="D753" s="258"/>
      <c r="E753" s="264"/>
      <c r="F753" s="253"/>
      <c r="G753" s="265"/>
      <c r="H753" s="217" t="e">
        <f t="shared" si="91"/>
        <v>#N/A</v>
      </c>
      <c r="I753" s="254" t="e">
        <f t="shared" si="100"/>
        <v>#N/A</v>
      </c>
      <c r="J753" s="262"/>
      <c r="K753" s="262"/>
      <c r="L753" s="253"/>
      <c r="M753" s="262"/>
      <c r="N753" s="262"/>
      <c r="O753" s="256"/>
      <c r="P753" s="256"/>
    </row>
    <row r="754" spans="1:16" ht="15.75" hidden="1" outlineLevel="2" x14ac:dyDescent="0.25">
      <c r="A754" s="324">
        <v>42675</v>
      </c>
      <c r="B754" s="273">
        <v>2016</v>
      </c>
      <c r="C754" s="257" t="s">
        <v>397</v>
      </c>
      <c r="D754" s="258"/>
      <c r="E754" s="264"/>
      <c r="F754" s="253"/>
      <c r="G754" s="265"/>
      <c r="H754" s="217" t="e">
        <f t="shared" si="91"/>
        <v>#N/A</v>
      </c>
      <c r="I754" s="254" t="e">
        <f>H754*F754</f>
        <v>#N/A</v>
      </c>
      <c r="J754" s="262"/>
      <c r="K754" s="262"/>
      <c r="L754" s="253"/>
      <c r="M754" s="262"/>
      <c r="N754" s="262"/>
      <c r="O754" s="256"/>
      <c r="P754" s="256"/>
    </row>
    <row r="755" spans="1:16" ht="15.75" hidden="1" outlineLevel="1" x14ac:dyDescent="0.25">
      <c r="A755" s="324">
        <v>42675</v>
      </c>
      <c r="B755" s="273">
        <v>2016</v>
      </c>
      <c r="C755" s="266" t="s">
        <v>391</v>
      </c>
      <c r="D755" s="267" t="s">
        <v>373</v>
      </c>
      <c r="E755" s="264"/>
      <c r="F755" s="253"/>
      <c r="G755" s="265"/>
      <c r="H755" s="217">
        <f t="shared" si="91"/>
        <v>0</v>
      </c>
      <c r="I755" s="254">
        <f t="shared" ref="I755:I763" si="101">H755*F755</f>
        <v>0</v>
      </c>
      <c r="J755" s="262" t="s">
        <v>502</v>
      </c>
      <c r="K755" s="262"/>
      <c r="L755" s="253">
        <v>7038</v>
      </c>
      <c r="M755" s="262"/>
      <c r="N755" s="262"/>
      <c r="O755" s="256"/>
      <c r="P755" s="256"/>
    </row>
    <row r="756" spans="1:16" ht="15.75" hidden="1" outlineLevel="2" x14ac:dyDescent="0.25">
      <c r="A756" s="324">
        <v>42675</v>
      </c>
      <c r="B756" s="273">
        <v>2016</v>
      </c>
      <c r="C756" s="266" t="s">
        <v>391</v>
      </c>
      <c r="D756" s="267" t="s">
        <v>374</v>
      </c>
      <c r="E756" s="264"/>
      <c r="F756" s="253"/>
      <c r="G756" s="265"/>
      <c r="H756" s="217">
        <f t="shared" si="91"/>
        <v>0</v>
      </c>
      <c r="I756" s="254">
        <f t="shared" si="101"/>
        <v>0</v>
      </c>
      <c r="J756" s="262" t="s">
        <v>502</v>
      </c>
      <c r="K756" s="255"/>
      <c r="L756" s="253">
        <v>7038</v>
      </c>
      <c r="M756" s="253"/>
      <c r="N756" s="253"/>
      <c r="O756" s="256"/>
      <c r="P756" s="256"/>
    </row>
    <row r="757" spans="1:16" ht="15.75" hidden="1" outlineLevel="2" x14ac:dyDescent="0.25">
      <c r="A757" s="324">
        <v>42675</v>
      </c>
      <c r="B757" s="273">
        <v>2016</v>
      </c>
      <c r="C757" s="266" t="s">
        <v>391</v>
      </c>
      <c r="D757" s="267" t="s">
        <v>375</v>
      </c>
      <c r="E757" s="264"/>
      <c r="F757" s="253"/>
      <c r="G757" s="265"/>
      <c r="H757" s="217">
        <f t="shared" si="91"/>
        <v>0</v>
      </c>
      <c r="I757" s="254">
        <f t="shared" si="101"/>
        <v>0</v>
      </c>
      <c r="J757" s="262" t="s">
        <v>502</v>
      </c>
      <c r="K757" s="255"/>
      <c r="L757" s="253">
        <v>7038</v>
      </c>
      <c r="M757" s="253"/>
      <c r="N757" s="253"/>
      <c r="O757" s="256"/>
      <c r="P757" s="256"/>
    </row>
    <row r="758" spans="1:16" ht="15.75" hidden="1" outlineLevel="2" x14ac:dyDescent="0.25">
      <c r="A758" s="324">
        <v>42675</v>
      </c>
      <c r="B758" s="273">
        <v>2016</v>
      </c>
      <c r="C758" s="266" t="s">
        <v>391</v>
      </c>
      <c r="D758" s="267" t="s">
        <v>376</v>
      </c>
      <c r="E758" s="264"/>
      <c r="F758" s="253"/>
      <c r="G758" s="265"/>
      <c r="H758" s="217">
        <f t="shared" si="91"/>
        <v>0</v>
      </c>
      <c r="I758" s="254">
        <f t="shared" si="101"/>
        <v>0</v>
      </c>
      <c r="J758" s="262" t="s">
        <v>502</v>
      </c>
      <c r="K758" s="262"/>
      <c r="L758" s="253">
        <v>7038</v>
      </c>
      <c r="M758" s="262"/>
      <c r="N758" s="262"/>
      <c r="O758" s="256"/>
      <c r="P758" s="256"/>
    </row>
    <row r="759" spans="1:16" ht="15.75" hidden="1" outlineLevel="2" x14ac:dyDescent="0.25">
      <c r="A759" s="324">
        <v>42675</v>
      </c>
      <c r="B759" s="273">
        <v>2016</v>
      </c>
      <c r="C759" s="266" t="s">
        <v>391</v>
      </c>
      <c r="D759" s="267" t="s">
        <v>394</v>
      </c>
      <c r="E759" s="264"/>
      <c r="F759" s="253">
        <v>500</v>
      </c>
      <c r="G759" s="265"/>
      <c r="H759" s="217">
        <f t="shared" si="91"/>
        <v>0</v>
      </c>
      <c r="I759" s="254">
        <f t="shared" si="101"/>
        <v>0</v>
      </c>
      <c r="J759" s="262" t="s">
        <v>502</v>
      </c>
      <c r="K759" s="263">
        <v>42696</v>
      </c>
      <c r="L759" s="253">
        <v>1018</v>
      </c>
      <c r="M759" s="262" t="s">
        <v>503</v>
      </c>
      <c r="N759" s="262"/>
      <c r="O759" s="256"/>
      <c r="P759" s="256"/>
    </row>
    <row r="760" spans="1:16" ht="15.75" hidden="1" outlineLevel="2" x14ac:dyDescent="0.25">
      <c r="A760" s="324">
        <v>42675</v>
      </c>
      <c r="B760" s="273">
        <v>2016</v>
      </c>
      <c r="C760" s="266" t="s">
        <v>391</v>
      </c>
      <c r="D760" s="267" t="s">
        <v>453</v>
      </c>
      <c r="E760" s="264"/>
      <c r="F760" s="253"/>
      <c r="G760" s="265"/>
      <c r="H760" s="217">
        <f t="shared" si="91"/>
        <v>0</v>
      </c>
      <c r="I760" s="254">
        <f t="shared" si="101"/>
        <v>0</v>
      </c>
      <c r="J760" s="262"/>
      <c r="K760" s="262"/>
      <c r="L760" s="253"/>
      <c r="M760" s="262"/>
      <c r="N760" s="262"/>
      <c r="O760" s="256"/>
      <c r="P760" s="256"/>
    </row>
    <row r="761" spans="1:16" ht="15.75" hidden="1" outlineLevel="2" x14ac:dyDescent="0.25">
      <c r="A761" s="324">
        <v>42675</v>
      </c>
      <c r="B761" s="273">
        <v>2016</v>
      </c>
      <c r="C761" s="266" t="s">
        <v>391</v>
      </c>
      <c r="D761" s="267"/>
      <c r="E761" s="264"/>
      <c r="F761" s="253"/>
      <c r="G761" s="265"/>
      <c r="H761" s="217" t="e">
        <f t="shared" si="91"/>
        <v>#N/A</v>
      </c>
      <c r="I761" s="254" t="e">
        <f t="shared" si="101"/>
        <v>#N/A</v>
      </c>
      <c r="J761" s="262"/>
      <c r="K761" s="262"/>
      <c r="L761" s="253"/>
      <c r="M761" s="262"/>
      <c r="N761" s="262"/>
      <c r="O761" s="256"/>
      <c r="P761" s="256"/>
    </row>
    <row r="762" spans="1:16" ht="15.75" hidden="1" outlineLevel="2" x14ac:dyDescent="0.25">
      <c r="A762" s="324">
        <v>42675</v>
      </c>
      <c r="B762" s="273">
        <v>2016</v>
      </c>
      <c r="C762" s="266" t="s">
        <v>391</v>
      </c>
      <c r="D762" s="267"/>
      <c r="E762" s="264"/>
      <c r="F762" s="253"/>
      <c r="G762" s="265"/>
      <c r="H762" s="217" t="e">
        <f t="shared" si="91"/>
        <v>#N/A</v>
      </c>
      <c r="I762" s="254" t="e">
        <f t="shared" si="101"/>
        <v>#N/A</v>
      </c>
      <c r="J762" s="262"/>
      <c r="K762" s="262"/>
      <c r="L762" s="253"/>
      <c r="M762" s="262"/>
      <c r="N762" s="262"/>
      <c r="O762" s="256"/>
      <c r="P762" s="256"/>
    </row>
    <row r="763" spans="1:16" ht="15.75" hidden="1" outlineLevel="2" x14ac:dyDescent="0.25">
      <c r="A763" s="324">
        <v>42675</v>
      </c>
      <c r="B763" s="273">
        <v>2016</v>
      </c>
      <c r="C763" s="266" t="s">
        <v>391</v>
      </c>
      <c r="D763" s="267"/>
      <c r="E763" s="264"/>
      <c r="F763" s="253"/>
      <c r="G763" s="265"/>
      <c r="H763" s="217" t="e">
        <f t="shared" si="91"/>
        <v>#N/A</v>
      </c>
      <c r="I763" s="254" t="e">
        <f t="shared" si="101"/>
        <v>#N/A</v>
      </c>
      <c r="J763" s="262"/>
      <c r="K763" s="262"/>
      <c r="L763" s="253"/>
      <c r="M763" s="262"/>
      <c r="N763" s="262"/>
      <c r="O763" s="256"/>
      <c r="P763" s="256"/>
    </row>
    <row r="764" spans="1:16" ht="25.5" hidden="1" outlineLevel="1" x14ac:dyDescent="0.25">
      <c r="A764" s="324">
        <v>42675</v>
      </c>
      <c r="B764" s="273">
        <v>2016</v>
      </c>
      <c r="C764" s="268" t="s">
        <v>398</v>
      </c>
      <c r="D764" s="269" t="s">
        <v>560</v>
      </c>
      <c r="E764" s="264"/>
      <c r="F764" s="270"/>
      <c r="G764" s="265"/>
      <c r="H764" s="217">
        <v>2300</v>
      </c>
      <c r="I764" s="262">
        <v>2300</v>
      </c>
      <c r="J764" s="262" t="s">
        <v>502</v>
      </c>
      <c r="K764" s="262"/>
      <c r="L764" s="253"/>
      <c r="M764" s="262" t="s">
        <v>554</v>
      </c>
      <c r="N764" s="262"/>
      <c r="O764" s="256"/>
      <c r="P764" s="256"/>
    </row>
    <row r="765" spans="1:16" ht="15.75" hidden="1" outlineLevel="2" x14ac:dyDescent="0.25">
      <c r="A765" s="324">
        <v>42675</v>
      </c>
      <c r="B765" s="273">
        <v>2016</v>
      </c>
      <c r="C765" s="268" t="s">
        <v>398</v>
      </c>
      <c r="D765" s="271" t="s">
        <v>393</v>
      </c>
      <c r="E765" s="264"/>
      <c r="F765" s="270"/>
      <c r="G765" s="265"/>
      <c r="H765" s="217">
        <v>86000</v>
      </c>
      <c r="I765" s="262">
        <v>86000</v>
      </c>
      <c r="J765" s="262" t="s">
        <v>502</v>
      </c>
      <c r="K765" s="263"/>
      <c r="L765" s="253">
        <v>7038</v>
      </c>
      <c r="M765" s="262" t="s">
        <v>565</v>
      </c>
      <c r="N765" s="262"/>
      <c r="O765" s="256"/>
      <c r="P765" s="256"/>
    </row>
    <row r="766" spans="1:16" ht="15.75" hidden="1" outlineLevel="2" x14ac:dyDescent="0.25">
      <c r="A766" s="324">
        <v>42675</v>
      </c>
      <c r="B766" s="273">
        <v>2016</v>
      </c>
      <c r="C766" s="268" t="s">
        <v>398</v>
      </c>
      <c r="D766" s="272" t="s">
        <v>522</v>
      </c>
      <c r="E766" s="264"/>
      <c r="F766" s="270"/>
      <c r="G766" s="265"/>
      <c r="H766" s="217" t="e">
        <f t="shared" si="91"/>
        <v>#N/A</v>
      </c>
      <c r="I766" s="262"/>
      <c r="J766" s="262" t="s">
        <v>502</v>
      </c>
      <c r="K766" s="262"/>
      <c r="L766" s="253">
        <v>7038</v>
      </c>
      <c r="M766" s="262"/>
      <c r="N766" s="262"/>
      <c r="O766" s="256"/>
      <c r="P766" s="256"/>
    </row>
    <row r="767" spans="1:16" ht="15.75" hidden="1" outlineLevel="2" x14ac:dyDescent="0.25">
      <c r="A767" s="324">
        <v>42675</v>
      </c>
      <c r="B767" s="273">
        <v>2016</v>
      </c>
      <c r="C767" s="268" t="s">
        <v>398</v>
      </c>
      <c r="D767" s="272" t="s">
        <v>516</v>
      </c>
      <c r="E767" s="264"/>
      <c r="F767" s="270"/>
      <c r="G767" s="265"/>
      <c r="H767" s="217" t="e">
        <f t="shared" ref="H767:H830" si="102">VLOOKUP(D767,$D$5:$E$359,2,FALSE)</f>
        <v>#N/A</v>
      </c>
      <c r="I767" s="262"/>
      <c r="J767" s="262" t="s">
        <v>502</v>
      </c>
      <c r="K767" s="262"/>
      <c r="L767" s="253">
        <v>7038</v>
      </c>
      <c r="M767" s="262"/>
      <c r="N767" s="262"/>
      <c r="O767" s="256"/>
      <c r="P767" s="256"/>
    </row>
    <row r="768" spans="1:16" ht="15.75" hidden="1" outlineLevel="2" x14ac:dyDescent="0.25">
      <c r="A768" s="324">
        <v>42675</v>
      </c>
      <c r="B768" s="273">
        <v>2016</v>
      </c>
      <c r="C768" s="268" t="s">
        <v>398</v>
      </c>
      <c r="D768" s="272" t="s">
        <v>517</v>
      </c>
      <c r="E768" s="264"/>
      <c r="F768" s="270"/>
      <c r="G768" s="265"/>
      <c r="H768" s="217" t="e">
        <f t="shared" si="102"/>
        <v>#N/A</v>
      </c>
      <c r="I768" s="262"/>
      <c r="J768" s="262" t="s">
        <v>502</v>
      </c>
      <c r="K768" s="262"/>
      <c r="L768" s="253">
        <v>7038</v>
      </c>
      <c r="M768" s="262"/>
      <c r="N768" s="262"/>
      <c r="O768" s="256"/>
      <c r="P768" s="256"/>
    </row>
    <row r="769" spans="1:16" ht="15.75" hidden="1" outlineLevel="2" x14ac:dyDescent="0.25">
      <c r="A769" s="324">
        <v>42675</v>
      </c>
      <c r="B769" s="273">
        <v>2016</v>
      </c>
      <c r="C769" s="268" t="s">
        <v>398</v>
      </c>
      <c r="D769" s="272" t="s">
        <v>518</v>
      </c>
      <c r="E769" s="264"/>
      <c r="F769" s="270"/>
      <c r="G769" s="265"/>
      <c r="H769" s="217" t="e">
        <f t="shared" si="102"/>
        <v>#N/A</v>
      </c>
      <c r="I769" s="262"/>
      <c r="J769" s="262" t="s">
        <v>502</v>
      </c>
      <c r="K769" s="262"/>
      <c r="L769" s="253">
        <v>7038</v>
      </c>
      <c r="M769" s="262"/>
      <c r="N769" s="262"/>
      <c r="O769" s="256"/>
      <c r="P769" s="256"/>
    </row>
    <row r="770" spans="1:16" ht="15.75" hidden="1" outlineLevel="2" x14ac:dyDescent="0.25">
      <c r="A770" s="324">
        <v>42675</v>
      </c>
      <c r="B770" s="273">
        <v>2016</v>
      </c>
      <c r="C770" s="268" t="s">
        <v>398</v>
      </c>
      <c r="D770" s="272" t="s">
        <v>519</v>
      </c>
      <c r="E770" s="264"/>
      <c r="F770" s="270"/>
      <c r="G770" s="265"/>
      <c r="H770" s="217" t="e">
        <f t="shared" si="102"/>
        <v>#N/A</v>
      </c>
      <c r="I770" s="262"/>
      <c r="J770" s="262" t="s">
        <v>502</v>
      </c>
      <c r="K770" s="262"/>
      <c r="L770" s="253">
        <v>7038</v>
      </c>
      <c r="M770" s="262"/>
      <c r="N770" s="262"/>
      <c r="O770" s="256"/>
      <c r="P770" s="256"/>
    </row>
    <row r="771" spans="1:16" ht="15.75" hidden="1" outlineLevel="2" x14ac:dyDescent="0.25">
      <c r="A771" s="324">
        <v>42675</v>
      </c>
      <c r="B771" s="273">
        <v>2016</v>
      </c>
      <c r="C771" s="268" t="s">
        <v>398</v>
      </c>
      <c r="D771" s="272" t="s">
        <v>520</v>
      </c>
      <c r="E771" s="264"/>
      <c r="F771" s="270"/>
      <c r="G771" s="265"/>
      <c r="H771" s="217" t="e">
        <f t="shared" si="102"/>
        <v>#N/A</v>
      </c>
      <c r="I771" s="262"/>
      <c r="J771" s="262" t="s">
        <v>502</v>
      </c>
      <c r="K771" s="262"/>
      <c r="L771" s="253">
        <v>7038</v>
      </c>
      <c r="M771" s="262"/>
      <c r="N771" s="262"/>
      <c r="O771" s="256"/>
      <c r="P771" s="256"/>
    </row>
    <row r="772" spans="1:16" ht="15.75" hidden="1" outlineLevel="2" x14ac:dyDescent="0.25">
      <c r="A772" s="324">
        <v>42675</v>
      </c>
      <c r="B772" s="273">
        <v>2016</v>
      </c>
      <c r="C772" s="268" t="s">
        <v>398</v>
      </c>
      <c r="D772" s="272"/>
      <c r="E772" s="264"/>
      <c r="F772" s="270"/>
      <c r="G772" s="265"/>
      <c r="H772" s="217" t="e">
        <f t="shared" si="102"/>
        <v>#N/A</v>
      </c>
      <c r="I772" s="262"/>
      <c r="J772" s="262"/>
      <c r="K772" s="262"/>
      <c r="L772" s="253"/>
      <c r="M772" s="262"/>
      <c r="N772" s="262"/>
      <c r="O772" s="256"/>
      <c r="P772" s="256"/>
    </row>
    <row r="773" spans="1:16" ht="15.75" hidden="1" outlineLevel="2" x14ac:dyDescent="0.25">
      <c r="A773" s="324">
        <v>42675</v>
      </c>
      <c r="B773" s="273">
        <v>2016</v>
      </c>
      <c r="C773" s="268" t="s">
        <v>398</v>
      </c>
      <c r="D773" s="272"/>
      <c r="E773" s="264"/>
      <c r="F773" s="270"/>
      <c r="G773" s="265"/>
      <c r="H773" s="217" t="e">
        <f t="shared" si="102"/>
        <v>#N/A</v>
      </c>
      <c r="I773" s="262"/>
      <c r="J773" s="262"/>
      <c r="K773" s="262"/>
      <c r="L773" s="253"/>
      <c r="M773" s="262"/>
      <c r="N773" s="262"/>
      <c r="O773" s="256"/>
      <c r="P773" s="256"/>
    </row>
    <row r="774" spans="1:16" ht="15.75" hidden="1" outlineLevel="2" x14ac:dyDescent="0.25">
      <c r="A774" s="324">
        <v>42675</v>
      </c>
      <c r="B774" s="273">
        <v>2016</v>
      </c>
      <c r="C774" s="268" t="s">
        <v>398</v>
      </c>
      <c r="D774" s="272"/>
      <c r="E774" s="264"/>
      <c r="F774" s="270"/>
      <c r="G774" s="265"/>
      <c r="H774" s="217" t="e">
        <f t="shared" si="102"/>
        <v>#N/A</v>
      </c>
      <c r="I774" s="262"/>
      <c r="J774" s="262"/>
      <c r="K774" s="262"/>
      <c r="L774" s="253"/>
      <c r="M774" s="262"/>
      <c r="N774" s="262"/>
      <c r="O774" s="256"/>
      <c r="P774" s="256"/>
    </row>
    <row r="775" spans="1:16" ht="15.75" hidden="1" outlineLevel="2" x14ac:dyDescent="0.25">
      <c r="A775" s="324">
        <v>42675</v>
      </c>
      <c r="B775" s="273">
        <v>2016</v>
      </c>
      <c r="C775" s="268" t="s">
        <v>398</v>
      </c>
      <c r="D775" s="272"/>
      <c r="E775" s="264"/>
      <c r="F775" s="270"/>
      <c r="G775" s="265"/>
      <c r="H775" s="217" t="e">
        <f t="shared" si="102"/>
        <v>#N/A</v>
      </c>
      <c r="I775" s="262"/>
      <c r="J775" s="262"/>
      <c r="K775" s="262"/>
      <c r="L775" s="253"/>
      <c r="M775" s="262"/>
      <c r="N775" s="262"/>
      <c r="O775" s="256"/>
      <c r="P775" s="256"/>
    </row>
    <row r="776" spans="1:16" hidden="1" x14ac:dyDescent="0.25">
      <c r="A776" s="313"/>
      <c r="H776" s="217" t="e">
        <f t="shared" si="102"/>
        <v>#N/A</v>
      </c>
    </row>
    <row r="777" spans="1:16" ht="15.75" hidden="1" x14ac:dyDescent="0.25">
      <c r="A777" s="324">
        <v>42705</v>
      </c>
      <c r="B777" s="273">
        <v>2016</v>
      </c>
      <c r="C777" s="245"/>
      <c r="D777" s="246" t="s">
        <v>498</v>
      </c>
      <c r="E777" s="246"/>
      <c r="F777" s="247"/>
      <c r="G777" s="247">
        <f>SUM(G781:G789)</f>
        <v>12256.42</v>
      </c>
      <c r="H777" s="217" t="e">
        <f t="shared" si="102"/>
        <v>#N/A</v>
      </c>
      <c r="I777" s="247"/>
      <c r="J777" s="247"/>
      <c r="K777" s="247"/>
      <c r="L777" s="248"/>
      <c r="M777" s="248"/>
      <c r="N777" s="245"/>
      <c r="O777" s="249"/>
      <c r="P777" s="249"/>
    </row>
    <row r="778" spans="1:16" ht="15.75" hidden="1" outlineLevel="1" x14ac:dyDescent="0.25">
      <c r="A778" s="324">
        <v>42705</v>
      </c>
      <c r="B778" s="273">
        <v>2016</v>
      </c>
      <c r="C778" s="245"/>
      <c r="D778" s="246" t="s">
        <v>499</v>
      </c>
      <c r="E778" s="246"/>
      <c r="F778" s="247">
        <f>SUM(F790:F800)</f>
        <v>0</v>
      </c>
      <c r="G778" s="247"/>
      <c r="H778" s="217" t="e">
        <f t="shared" si="102"/>
        <v>#N/A</v>
      </c>
      <c r="I778" s="247" t="e">
        <f>SUM(I790:I800)</f>
        <v>#N/A</v>
      </c>
      <c r="J778" s="247"/>
      <c r="K778" s="247"/>
      <c r="L778" s="248"/>
      <c r="M778" s="248"/>
      <c r="N778" s="245"/>
      <c r="O778" s="249"/>
      <c r="P778" s="249"/>
    </row>
    <row r="779" spans="1:16" ht="15.75" hidden="1" outlineLevel="1" x14ac:dyDescent="0.25">
      <c r="A779" s="324">
        <v>42705</v>
      </c>
      <c r="B779" s="273">
        <v>2016</v>
      </c>
      <c r="C779" s="245"/>
      <c r="D779" s="246" t="s">
        <v>500</v>
      </c>
      <c r="E779" s="246"/>
      <c r="F779" s="247">
        <f>SUM(F801:F808)</f>
        <v>300</v>
      </c>
      <c r="G779" s="247"/>
      <c r="H779" s="217" t="e">
        <f t="shared" si="102"/>
        <v>#N/A</v>
      </c>
      <c r="I779" s="247"/>
      <c r="J779" s="247"/>
      <c r="K779" s="247"/>
      <c r="L779" s="248"/>
      <c r="M779" s="248"/>
      <c r="N779" s="245"/>
      <c r="O779" s="249"/>
      <c r="P779" s="249"/>
    </row>
    <row r="780" spans="1:16" ht="15.75" hidden="1" outlineLevel="1" x14ac:dyDescent="0.25">
      <c r="A780" s="324">
        <v>42705</v>
      </c>
      <c r="B780" s="273">
        <v>2016</v>
      </c>
      <c r="C780" s="245"/>
      <c r="D780" s="246" t="s">
        <v>501</v>
      </c>
      <c r="E780" s="246"/>
      <c r="F780" s="247"/>
      <c r="G780" s="247"/>
      <c r="H780" s="217" t="e">
        <f t="shared" si="102"/>
        <v>#N/A</v>
      </c>
      <c r="I780" s="247">
        <f>SUM(I809:I819)</f>
        <v>161500</v>
      </c>
      <c r="J780" s="247"/>
      <c r="K780" s="247"/>
      <c r="L780" s="248"/>
      <c r="M780" s="248"/>
      <c r="N780" s="245"/>
      <c r="O780" s="250"/>
      <c r="P780" s="250"/>
    </row>
    <row r="781" spans="1:16" ht="15.75" hidden="1" outlineLevel="1" x14ac:dyDescent="0.25">
      <c r="A781" s="324">
        <v>42705</v>
      </c>
      <c r="B781" s="273">
        <v>2016</v>
      </c>
      <c r="C781" s="251" t="s">
        <v>396</v>
      </c>
      <c r="D781" s="213" t="s">
        <v>33</v>
      </c>
      <c r="E781" s="252"/>
      <c r="F781" s="253"/>
      <c r="G781" s="254">
        <f>F781*E781/1000</f>
        <v>0</v>
      </c>
      <c r="H781" s="217">
        <f t="shared" si="102"/>
        <v>8.661999999999999</v>
      </c>
      <c r="I781" s="254">
        <f>H781*G781</f>
        <v>0</v>
      </c>
      <c r="J781" s="253" t="s">
        <v>502</v>
      </c>
      <c r="K781" s="253"/>
      <c r="L781" s="253"/>
      <c r="M781" s="253"/>
      <c r="N781" s="253"/>
      <c r="O781" s="256"/>
      <c r="P781" s="256"/>
    </row>
    <row r="782" spans="1:16" ht="15.75" hidden="1" outlineLevel="2" x14ac:dyDescent="0.25">
      <c r="A782" s="324">
        <v>42705</v>
      </c>
      <c r="B782" s="273">
        <v>2016</v>
      </c>
      <c r="C782" s="251" t="s">
        <v>396</v>
      </c>
      <c r="D782" s="213"/>
      <c r="E782" s="252"/>
      <c r="F782" s="253"/>
      <c r="G782" s="254">
        <f t="shared" ref="G782:G788" si="103">F782*E782/1000</f>
        <v>0</v>
      </c>
      <c r="H782" s="217" t="e">
        <f t="shared" si="102"/>
        <v>#N/A</v>
      </c>
      <c r="I782" s="254" t="e">
        <f t="shared" ref="I782:I788" si="104">H782*G782</f>
        <v>#N/A</v>
      </c>
      <c r="J782" s="253" t="s">
        <v>521</v>
      </c>
      <c r="K782" s="253"/>
      <c r="L782" s="253"/>
      <c r="M782" s="253"/>
      <c r="N782" s="253"/>
      <c r="O782" s="256"/>
      <c r="P782" s="256"/>
    </row>
    <row r="783" spans="1:16" ht="15.75" hidden="1" outlineLevel="2" x14ac:dyDescent="0.25">
      <c r="A783" s="324">
        <v>42705</v>
      </c>
      <c r="B783" s="273">
        <v>2016</v>
      </c>
      <c r="C783" s="251" t="s">
        <v>396</v>
      </c>
      <c r="D783" s="213"/>
      <c r="E783" s="252"/>
      <c r="F783" s="253"/>
      <c r="G783" s="254">
        <f t="shared" si="103"/>
        <v>0</v>
      </c>
      <c r="H783" s="217" t="e">
        <f t="shared" si="102"/>
        <v>#N/A</v>
      </c>
      <c r="I783" s="254" t="e">
        <f t="shared" si="104"/>
        <v>#N/A</v>
      </c>
      <c r="J783" s="253" t="s">
        <v>502</v>
      </c>
      <c r="K783" s="253"/>
      <c r="L783" s="253"/>
      <c r="M783" s="253"/>
      <c r="N783" s="253"/>
      <c r="O783" s="256"/>
      <c r="P783" s="256"/>
    </row>
    <row r="784" spans="1:16" ht="15.75" hidden="1" outlineLevel="2" x14ac:dyDescent="0.25">
      <c r="A784" s="324">
        <v>42705</v>
      </c>
      <c r="B784" s="273">
        <v>2016</v>
      </c>
      <c r="C784" s="251" t="s">
        <v>396</v>
      </c>
      <c r="D784" s="213" t="s">
        <v>41</v>
      </c>
      <c r="E784" s="252">
        <v>6000</v>
      </c>
      <c r="F784" s="253">
        <v>1167</v>
      </c>
      <c r="G784" s="254">
        <f t="shared" si="103"/>
        <v>7002</v>
      </c>
      <c r="H784" s="217">
        <f t="shared" si="102"/>
        <v>0.65500000000000003</v>
      </c>
      <c r="I784" s="254">
        <f t="shared" si="104"/>
        <v>4586.3100000000004</v>
      </c>
      <c r="J784" s="253" t="s">
        <v>502</v>
      </c>
      <c r="K784" s="255">
        <v>42726</v>
      </c>
      <c r="L784" s="253">
        <v>1018</v>
      </c>
      <c r="M784" s="253" t="s">
        <v>503</v>
      </c>
      <c r="N784" s="253" t="s">
        <v>512</v>
      </c>
      <c r="O784" s="256"/>
      <c r="P784" s="256"/>
    </row>
    <row r="785" spans="1:16" ht="15.75" hidden="1" outlineLevel="2" x14ac:dyDescent="0.25">
      <c r="A785" s="324">
        <v>42705</v>
      </c>
      <c r="B785" s="273">
        <v>2016</v>
      </c>
      <c r="C785" s="251" t="s">
        <v>396</v>
      </c>
      <c r="D785" s="213" t="s">
        <v>42</v>
      </c>
      <c r="E785" s="252">
        <v>6000</v>
      </c>
      <c r="F785" s="253">
        <v>417</v>
      </c>
      <c r="G785" s="254">
        <f t="shared" si="103"/>
        <v>2502</v>
      </c>
      <c r="H785" s="217">
        <f t="shared" si="102"/>
        <v>0.82199999999999995</v>
      </c>
      <c r="I785" s="254">
        <f t="shared" si="104"/>
        <v>2056.6439999999998</v>
      </c>
      <c r="J785" s="253" t="s">
        <v>502</v>
      </c>
      <c r="K785" s="255">
        <v>42726</v>
      </c>
      <c r="L785" s="253">
        <v>1018</v>
      </c>
      <c r="M785" s="253" t="s">
        <v>503</v>
      </c>
      <c r="N785" s="253"/>
      <c r="O785" s="256"/>
      <c r="P785" s="256"/>
    </row>
    <row r="786" spans="1:16" ht="15.75" hidden="1" outlineLevel="2" x14ac:dyDescent="0.25">
      <c r="A786" s="324">
        <v>42705</v>
      </c>
      <c r="B786" s="273">
        <v>2016</v>
      </c>
      <c r="C786" s="251" t="s">
        <v>396</v>
      </c>
      <c r="D786" s="213" t="s">
        <v>39</v>
      </c>
      <c r="E786" s="252">
        <v>6000</v>
      </c>
      <c r="F786" s="253">
        <v>250</v>
      </c>
      <c r="G786" s="254">
        <f t="shared" si="103"/>
        <v>1500</v>
      </c>
      <c r="H786" s="217">
        <f t="shared" si="102"/>
        <v>0.38</v>
      </c>
      <c r="I786" s="254">
        <f t="shared" si="104"/>
        <v>570</v>
      </c>
      <c r="J786" s="253" t="s">
        <v>502</v>
      </c>
      <c r="K786" s="255">
        <v>42726</v>
      </c>
      <c r="L786" s="253">
        <v>1018</v>
      </c>
      <c r="M786" s="253" t="s">
        <v>503</v>
      </c>
      <c r="N786" s="253"/>
      <c r="O786" s="256"/>
      <c r="P786" s="256"/>
    </row>
    <row r="787" spans="1:16" ht="15.75" hidden="1" outlineLevel="2" x14ac:dyDescent="0.25">
      <c r="A787" s="324">
        <v>42705</v>
      </c>
      <c r="B787" s="273">
        <v>2016</v>
      </c>
      <c r="C787" s="251" t="s">
        <v>396</v>
      </c>
      <c r="D787" s="213" t="s">
        <v>50</v>
      </c>
      <c r="E787" s="252">
        <v>6000</v>
      </c>
      <c r="F787" s="253">
        <v>84</v>
      </c>
      <c r="G787" s="254">
        <f t="shared" si="103"/>
        <v>504</v>
      </c>
      <c r="H787" s="217">
        <f t="shared" si="102"/>
        <v>0.53100000000000003</v>
      </c>
      <c r="I787" s="254">
        <f t="shared" si="104"/>
        <v>267.62400000000002</v>
      </c>
      <c r="J787" s="253" t="s">
        <v>502</v>
      </c>
      <c r="K787" s="255">
        <v>42726</v>
      </c>
      <c r="L787" s="253">
        <v>1018</v>
      </c>
      <c r="M787" s="253" t="s">
        <v>503</v>
      </c>
      <c r="N787" s="253"/>
      <c r="O787" s="256"/>
      <c r="P787" s="256"/>
    </row>
    <row r="788" spans="1:16" ht="15.75" hidden="1" outlineLevel="2" x14ac:dyDescent="0.25">
      <c r="A788" s="324">
        <v>42705</v>
      </c>
      <c r="B788" s="273">
        <v>2016</v>
      </c>
      <c r="C788" s="251" t="s">
        <v>396</v>
      </c>
      <c r="D788" s="213" t="s">
        <v>44</v>
      </c>
      <c r="E788" s="252">
        <v>6000</v>
      </c>
      <c r="F788" s="253">
        <v>84</v>
      </c>
      <c r="G788" s="254">
        <f t="shared" si="103"/>
        <v>504</v>
      </c>
      <c r="H788" s="217">
        <f t="shared" si="102"/>
        <v>1.1789999999999998</v>
      </c>
      <c r="I788" s="254">
        <f t="shared" si="104"/>
        <v>594.21599999999989</v>
      </c>
      <c r="J788" s="253" t="s">
        <v>502</v>
      </c>
      <c r="K788" s="255">
        <v>42726</v>
      </c>
      <c r="L788" s="253">
        <v>1018</v>
      </c>
      <c r="M788" s="253" t="s">
        <v>503</v>
      </c>
      <c r="N788" s="253" t="s">
        <v>512</v>
      </c>
      <c r="O788" s="256"/>
      <c r="P788" s="256"/>
    </row>
    <row r="789" spans="1:16" ht="15.75" hidden="1" outlineLevel="2" x14ac:dyDescent="0.25">
      <c r="A789" s="324">
        <v>42705</v>
      </c>
      <c r="B789" s="273">
        <v>2016</v>
      </c>
      <c r="C789" s="251" t="s">
        <v>396</v>
      </c>
      <c r="D789" s="213" t="s">
        <v>36</v>
      </c>
      <c r="E789" s="220">
        <v>4444</v>
      </c>
      <c r="F789" s="253">
        <v>55</v>
      </c>
      <c r="G789" s="254">
        <f t="shared" ref="G789" si="105">F789*E789/1000</f>
        <v>244.42</v>
      </c>
      <c r="H789" s="217">
        <f t="shared" si="102"/>
        <v>0.4</v>
      </c>
      <c r="I789" s="254">
        <f t="shared" ref="I789" si="106">H789*G789</f>
        <v>97.768000000000001</v>
      </c>
      <c r="J789" s="253"/>
      <c r="K789" s="253"/>
      <c r="L789" s="253"/>
      <c r="M789" s="253"/>
      <c r="N789" s="253"/>
      <c r="O789" s="256"/>
      <c r="P789" s="256"/>
    </row>
    <row r="790" spans="1:16" ht="15.75" hidden="1" outlineLevel="1" x14ac:dyDescent="0.25">
      <c r="A790" s="324">
        <v>42705</v>
      </c>
      <c r="B790" s="273">
        <v>2016</v>
      </c>
      <c r="C790" s="257" t="s">
        <v>397</v>
      </c>
      <c r="D790" s="258" t="s">
        <v>383</v>
      </c>
      <c r="E790" s="223"/>
      <c r="F790" s="253"/>
      <c r="G790" s="259"/>
      <c r="H790" s="217">
        <f t="shared" si="102"/>
        <v>8.2810000000000006</v>
      </c>
      <c r="I790" s="254">
        <f>H790*F790</f>
        <v>0</v>
      </c>
      <c r="J790" s="253" t="s">
        <v>502</v>
      </c>
      <c r="K790" s="253"/>
      <c r="L790" s="253"/>
      <c r="M790" s="253"/>
      <c r="N790" s="253"/>
      <c r="O790" s="256"/>
      <c r="P790" s="256"/>
    </row>
    <row r="791" spans="1:16" ht="15.75" hidden="1" outlineLevel="2" x14ac:dyDescent="0.25">
      <c r="A791" s="324">
        <v>42705</v>
      </c>
      <c r="B791" s="273">
        <v>2016</v>
      </c>
      <c r="C791" s="257" t="s">
        <v>397</v>
      </c>
      <c r="D791" s="258" t="s">
        <v>386</v>
      </c>
      <c r="E791" s="224"/>
      <c r="F791" s="253"/>
      <c r="G791" s="259"/>
      <c r="H791" s="217">
        <f t="shared" si="102"/>
        <v>11.587999999999999</v>
      </c>
      <c r="I791" s="254">
        <f t="shared" ref="I791:I796" si="107">H791*F791</f>
        <v>0</v>
      </c>
      <c r="J791" s="253" t="s">
        <v>502</v>
      </c>
      <c r="K791" s="253"/>
      <c r="L791" s="253"/>
      <c r="M791" s="253"/>
      <c r="N791" s="253"/>
      <c r="O791" s="256"/>
      <c r="P791" s="256"/>
    </row>
    <row r="792" spans="1:16" ht="15.75" hidden="1" outlineLevel="2" x14ac:dyDescent="0.25">
      <c r="A792" s="324">
        <v>42705</v>
      </c>
      <c r="B792" s="273">
        <v>2016</v>
      </c>
      <c r="C792" s="257" t="s">
        <v>397</v>
      </c>
      <c r="D792" s="258" t="s">
        <v>382</v>
      </c>
      <c r="E792" s="260"/>
      <c r="F792" s="253"/>
      <c r="G792" s="259"/>
      <c r="H792" s="217">
        <f t="shared" si="102"/>
        <v>7.4539999999999997</v>
      </c>
      <c r="I792" s="254">
        <f t="shared" si="107"/>
        <v>0</v>
      </c>
      <c r="J792" s="253"/>
      <c r="K792" s="253"/>
      <c r="L792" s="253"/>
      <c r="M792" s="253"/>
      <c r="N792" s="253"/>
      <c r="O792" s="256"/>
      <c r="P792" s="256"/>
    </row>
    <row r="793" spans="1:16" ht="15.75" hidden="1" outlineLevel="2" x14ac:dyDescent="0.25">
      <c r="A793" s="324">
        <v>42705</v>
      </c>
      <c r="B793" s="273">
        <v>2016</v>
      </c>
      <c r="C793" s="257" t="s">
        <v>397</v>
      </c>
      <c r="D793" s="258" t="s">
        <v>230</v>
      </c>
      <c r="E793" s="260"/>
      <c r="F793" s="253"/>
      <c r="G793" s="259"/>
      <c r="H793" s="217">
        <f t="shared" si="102"/>
        <v>5.0110000000000001</v>
      </c>
      <c r="I793" s="254">
        <f t="shared" si="107"/>
        <v>0</v>
      </c>
      <c r="J793" s="253"/>
      <c r="K793" s="253"/>
      <c r="L793" s="253"/>
      <c r="M793" s="253"/>
      <c r="N793" s="253"/>
      <c r="O793" s="256"/>
      <c r="P793" s="256"/>
    </row>
    <row r="794" spans="1:16" ht="15.75" hidden="1" outlineLevel="2" x14ac:dyDescent="0.25">
      <c r="A794" s="324">
        <v>42705</v>
      </c>
      <c r="B794" s="273">
        <v>2016</v>
      </c>
      <c r="C794" s="257" t="s">
        <v>397</v>
      </c>
      <c r="D794" s="258" t="s">
        <v>382</v>
      </c>
      <c r="E794" s="261"/>
      <c r="F794" s="253"/>
      <c r="G794" s="259"/>
      <c r="H794" s="217">
        <f t="shared" si="102"/>
        <v>7.4539999999999997</v>
      </c>
      <c r="I794" s="254">
        <f t="shared" si="107"/>
        <v>0</v>
      </c>
      <c r="J794" s="253"/>
      <c r="K794" s="253"/>
      <c r="L794" s="253"/>
      <c r="M794" s="253"/>
      <c r="N794" s="253"/>
      <c r="O794" s="256"/>
      <c r="P794" s="256"/>
    </row>
    <row r="795" spans="1:16" ht="15.75" hidden="1" outlineLevel="2" x14ac:dyDescent="0.25">
      <c r="A795" s="324">
        <v>42705</v>
      </c>
      <c r="B795" s="273">
        <v>2016</v>
      </c>
      <c r="C795" s="257" t="s">
        <v>397</v>
      </c>
      <c r="D795" s="258" t="s">
        <v>382</v>
      </c>
      <c r="E795" s="261"/>
      <c r="F795" s="253"/>
      <c r="G795" s="259"/>
      <c r="H795" s="217">
        <f t="shared" si="102"/>
        <v>7.4539999999999997</v>
      </c>
      <c r="I795" s="254">
        <f t="shared" si="107"/>
        <v>0</v>
      </c>
      <c r="J795" s="262"/>
      <c r="K795" s="262"/>
      <c r="L795" s="262"/>
      <c r="M795" s="262"/>
      <c r="N795" s="262"/>
      <c r="O795" s="256"/>
      <c r="P795" s="256"/>
    </row>
    <row r="796" spans="1:16" ht="15.75" hidden="1" outlineLevel="2" x14ac:dyDescent="0.25">
      <c r="A796" s="324">
        <v>42705</v>
      </c>
      <c r="B796" s="273">
        <v>2016</v>
      </c>
      <c r="C796" s="257" t="s">
        <v>397</v>
      </c>
      <c r="D796" s="258" t="s">
        <v>317</v>
      </c>
      <c r="E796" s="259"/>
      <c r="F796" s="253"/>
      <c r="G796" s="259"/>
      <c r="H796" s="217">
        <f t="shared" si="102"/>
        <v>2.7959999999999998</v>
      </c>
      <c r="I796" s="254">
        <f t="shared" si="107"/>
        <v>0</v>
      </c>
      <c r="J796" s="253" t="s">
        <v>502</v>
      </c>
      <c r="K796" s="253"/>
      <c r="L796" s="253">
        <v>7038</v>
      </c>
      <c r="M796" s="253"/>
      <c r="N796" s="253"/>
      <c r="O796" s="256"/>
      <c r="P796" s="256"/>
    </row>
    <row r="797" spans="1:16" ht="15.75" hidden="1" outlineLevel="2" x14ac:dyDescent="0.25">
      <c r="A797" s="324">
        <v>42705</v>
      </c>
      <c r="B797" s="273">
        <v>2016</v>
      </c>
      <c r="C797" s="257" t="s">
        <v>397</v>
      </c>
      <c r="D797" s="258" t="s">
        <v>447</v>
      </c>
      <c r="E797" s="264"/>
      <c r="F797" s="253"/>
      <c r="G797" s="265"/>
      <c r="H797" s="217">
        <f t="shared" si="102"/>
        <v>1.738</v>
      </c>
      <c r="I797" s="254">
        <f t="shared" ref="I797:I799" si="108">H797*F797</f>
        <v>0</v>
      </c>
      <c r="J797" s="262"/>
      <c r="K797" s="262"/>
      <c r="L797" s="253"/>
      <c r="M797" s="262"/>
      <c r="N797" s="262"/>
      <c r="O797" s="256"/>
      <c r="P797" s="256"/>
    </row>
    <row r="798" spans="1:16" ht="15.75" hidden="1" outlineLevel="2" x14ac:dyDescent="0.25">
      <c r="A798" s="324">
        <v>42705</v>
      </c>
      <c r="B798" s="273">
        <v>2016</v>
      </c>
      <c r="C798" s="257" t="s">
        <v>397</v>
      </c>
      <c r="D798" s="258"/>
      <c r="E798" s="264"/>
      <c r="F798" s="253"/>
      <c r="G798" s="265"/>
      <c r="H798" s="217" t="e">
        <f t="shared" si="102"/>
        <v>#N/A</v>
      </c>
      <c r="I798" s="254" t="e">
        <f t="shared" si="108"/>
        <v>#N/A</v>
      </c>
      <c r="J798" s="262"/>
      <c r="K798" s="262"/>
      <c r="L798" s="253"/>
      <c r="M798" s="262"/>
      <c r="N798" s="262"/>
      <c r="O798" s="256"/>
      <c r="P798" s="256"/>
    </row>
    <row r="799" spans="1:16" ht="15.75" hidden="1" outlineLevel="2" x14ac:dyDescent="0.25">
      <c r="A799" s="324">
        <v>42705</v>
      </c>
      <c r="B799" s="273">
        <v>2016</v>
      </c>
      <c r="C799" s="257" t="s">
        <v>397</v>
      </c>
      <c r="D799" s="258"/>
      <c r="E799" s="264"/>
      <c r="F799" s="253"/>
      <c r="G799" s="265"/>
      <c r="H799" s="217" t="e">
        <f t="shared" si="102"/>
        <v>#N/A</v>
      </c>
      <c r="I799" s="254" t="e">
        <f t="shared" si="108"/>
        <v>#N/A</v>
      </c>
      <c r="J799" s="262"/>
      <c r="K799" s="262"/>
      <c r="L799" s="253"/>
      <c r="M799" s="262"/>
      <c r="N799" s="262"/>
      <c r="O799" s="256"/>
      <c r="P799" s="256"/>
    </row>
    <row r="800" spans="1:16" ht="15.75" hidden="1" outlineLevel="2" x14ac:dyDescent="0.25">
      <c r="A800" s="324">
        <v>42705</v>
      </c>
      <c r="B800" s="273">
        <v>2016</v>
      </c>
      <c r="C800" s="257" t="s">
        <v>397</v>
      </c>
      <c r="D800" s="258"/>
      <c r="E800" s="264"/>
      <c r="F800" s="253"/>
      <c r="G800" s="265"/>
      <c r="H800" s="217" t="e">
        <f t="shared" si="102"/>
        <v>#N/A</v>
      </c>
      <c r="I800" s="254" t="e">
        <f>H800*F800</f>
        <v>#N/A</v>
      </c>
      <c r="J800" s="262"/>
      <c r="K800" s="262"/>
      <c r="L800" s="253"/>
      <c r="M800" s="262"/>
      <c r="N800" s="262"/>
      <c r="O800" s="256"/>
      <c r="P800" s="256"/>
    </row>
    <row r="801" spans="1:16" ht="15.75" hidden="1" outlineLevel="1" x14ac:dyDescent="0.25">
      <c r="A801" s="324">
        <v>42705</v>
      </c>
      <c r="B801" s="273">
        <v>2016</v>
      </c>
      <c r="C801" s="266" t="s">
        <v>391</v>
      </c>
      <c r="D801" s="267" t="s">
        <v>373</v>
      </c>
      <c r="E801" s="264"/>
      <c r="F801" s="253"/>
      <c r="G801" s="265"/>
      <c r="H801" s="217">
        <f t="shared" si="102"/>
        <v>0</v>
      </c>
      <c r="I801" s="254">
        <f t="shared" ref="I801:I808" si="109">H801*F801</f>
        <v>0</v>
      </c>
      <c r="J801" s="262" t="s">
        <v>502</v>
      </c>
      <c r="K801" s="262"/>
      <c r="L801" s="253">
        <v>7038</v>
      </c>
      <c r="M801" s="262"/>
      <c r="N801" s="262"/>
      <c r="O801" s="256"/>
      <c r="P801" s="256"/>
    </row>
    <row r="802" spans="1:16" ht="15.75" hidden="1" outlineLevel="2" x14ac:dyDescent="0.25">
      <c r="A802" s="324">
        <v>42705</v>
      </c>
      <c r="B802" s="273">
        <v>2016</v>
      </c>
      <c r="C802" s="266" t="s">
        <v>391</v>
      </c>
      <c r="D802" s="267" t="s">
        <v>374</v>
      </c>
      <c r="E802" s="264"/>
      <c r="F802" s="253"/>
      <c r="G802" s="265"/>
      <c r="H802" s="217">
        <f t="shared" si="102"/>
        <v>0</v>
      </c>
      <c r="I802" s="254">
        <f t="shared" si="109"/>
        <v>0</v>
      </c>
      <c r="J802" s="262" t="s">
        <v>502</v>
      </c>
      <c r="K802" s="255"/>
      <c r="L802" s="253">
        <v>7038</v>
      </c>
      <c r="M802" s="253"/>
      <c r="N802" s="253"/>
      <c r="O802" s="256"/>
      <c r="P802" s="256"/>
    </row>
    <row r="803" spans="1:16" ht="15.75" hidden="1" outlineLevel="2" x14ac:dyDescent="0.25">
      <c r="A803" s="324">
        <v>42705</v>
      </c>
      <c r="B803" s="273">
        <v>2016</v>
      </c>
      <c r="C803" s="266" t="s">
        <v>391</v>
      </c>
      <c r="D803" s="267" t="s">
        <v>375</v>
      </c>
      <c r="E803" s="264"/>
      <c r="F803" s="253"/>
      <c r="G803" s="265"/>
      <c r="H803" s="217">
        <f t="shared" si="102"/>
        <v>0</v>
      </c>
      <c r="I803" s="254">
        <f t="shared" si="109"/>
        <v>0</v>
      </c>
      <c r="J803" s="262" t="s">
        <v>502</v>
      </c>
      <c r="K803" s="255"/>
      <c r="L803" s="253">
        <v>7038</v>
      </c>
      <c r="M803" s="253"/>
      <c r="N803" s="253"/>
      <c r="O803" s="256"/>
      <c r="P803" s="256"/>
    </row>
    <row r="804" spans="1:16" ht="15.75" hidden="1" outlineLevel="2" x14ac:dyDescent="0.25">
      <c r="A804" s="324">
        <v>42705</v>
      </c>
      <c r="B804" s="273">
        <v>2016</v>
      </c>
      <c r="C804" s="266" t="s">
        <v>391</v>
      </c>
      <c r="D804" s="267" t="s">
        <v>376</v>
      </c>
      <c r="E804" s="264"/>
      <c r="F804" s="253"/>
      <c r="G804" s="265"/>
      <c r="H804" s="217">
        <f t="shared" si="102"/>
        <v>0</v>
      </c>
      <c r="I804" s="254">
        <f t="shared" si="109"/>
        <v>0</v>
      </c>
      <c r="J804" s="262" t="s">
        <v>502</v>
      </c>
      <c r="K804" s="262"/>
      <c r="L804" s="253">
        <v>7038</v>
      </c>
      <c r="M804" s="262"/>
      <c r="N804" s="262"/>
      <c r="O804" s="256"/>
      <c r="P804" s="256"/>
    </row>
    <row r="805" spans="1:16" ht="15.75" hidden="1" outlineLevel="2" x14ac:dyDescent="0.25">
      <c r="A805" s="324">
        <v>42705</v>
      </c>
      <c r="B805" s="273">
        <v>2016</v>
      </c>
      <c r="C805" s="266" t="s">
        <v>391</v>
      </c>
      <c r="D805" s="267" t="s">
        <v>394</v>
      </c>
      <c r="E805" s="264"/>
      <c r="F805" s="253">
        <v>300</v>
      </c>
      <c r="G805" s="265"/>
      <c r="H805" s="217">
        <f t="shared" si="102"/>
        <v>0</v>
      </c>
      <c r="I805" s="254">
        <f t="shared" si="109"/>
        <v>0</v>
      </c>
      <c r="J805" s="262" t="s">
        <v>502</v>
      </c>
      <c r="K805" s="263">
        <v>42726</v>
      </c>
      <c r="L805" s="253">
        <v>1018</v>
      </c>
      <c r="M805" s="262" t="s">
        <v>503</v>
      </c>
      <c r="N805" s="262"/>
      <c r="O805" s="256"/>
      <c r="P805" s="256"/>
    </row>
    <row r="806" spans="1:16" ht="15.75" hidden="1" outlineLevel="2" x14ac:dyDescent="0.25">
      <c r="A806" s="324">
        <v>42705</v>
      </c>
      <c r="B806" s="273">
        <v>2016</v>
      </c>
      <c r="C806" s="266" t="s">
        <v>391</v>
      </c>
      <c r="D806" s="267" t="s">
        <v>453</v>
      </c>
      <c r="E806" s="264"/>
      <c r="F806" s="253"/>
      <c r="G806" s="265"/>
      <c r="H806" s="217">
        <f t="shared" si="102"/>
        <v>0</v>
      </c>
      <c r="I806" s="254">
        <f t="shared" si="109"/>
        <v>0</v>
      </c>
      <c r="J806" s="262"/>
      <c r="K806" s="262"/>
      <c r="L806" s="253"/>
      <c r="M806" s="262"/>
      <c r="N806" s="262"/>
      <c r="O806" s="256"/>
      <c r="P806" s="256"/>
    </row>
    <row r="807" spans="1:16" ht="15.75" hidden="1" outlineLevel="2" x14ac:dyDescent="0.25">
      <c r="A807" s="324">
        <v>42705</v>
      </c>
      <c r="B807" s="273">
        <v>2016</v>
      </c>
      <c r="C807" s="266" t="s">
        <v>391</v>
      </c>
      <c r="D807" s="267"/>
      <c r="E807" s="264"/>
      <c r="F807" s="253"/>
      <c r="G807" s="265"/>
      <c r="H807" s="217" t="e">
        <f t="shared" si="102"/>
        <v>#N/A</v>
      </c>
      <c r="I807" s="254" t="e">
        <f t="shared" si="109"/>
        <v>#N/A</v>
      </c>
      <c r="J807" s="262"/>
      <c r="K807" s="262"/>
      <c r="L807" s="253"/>
      <c r="M807" s="262"/>
      <c r="N807" s="262"/>
      <c r="O807" s="256"/>
      <c r="P807" s="256"/>
    </row>
    <row r="808" spans="1:16" ht="15.75" hidden="1" outlineLevel="2" x14ac:dyDescent="0.25">
      <c r="A808" s="324">
        <v>42705</v>
      </c>
      <c r="B808" s="273">
        <v>2016</v>
      </c>
      <c r="C808" s="266" t="s">
        <v>391</v>
      </c>
      <c r="D808" s="267"/>
      <c r="E808" s="264"/>
      <c r="F808" s="253"/>
      <c r="G808" s="265"/>
      <c r="H808" s="217" t="e">
        <f t="shared" si="102"/>
        <v>#N/A</v>
      </c>
      <c r="I808" s="254" t="e">
        <f t="shared" si="109"/>
        <v>#N/A</v>
      </c>
      <c r="J808" s="262"/>
      <c r="K808" s="262"/>
      <c r="L808" s="253"/>
      <c r="M808" s="262"/>
      <c r="N808" s="262"/>
      <c r="O808" s="256"/>
      <c r="P808" s="256"/>
    </row>
    <row r="809" spans="1:16" ht="25.5" hidden="1" outlineLevel="1" x14ac:dyDescent="0.25">
      <c r="A809" s="324">
        <v>42705</v>
      </c>
      <c r="B809" s="273">
        <v>2016</v>
      </c>
      <c r="C809" s="268" t="s">
        <v>398</v>
      </c>
      <c r="D809" s="274" t="s">
        <v>393</v>
      </c>
      <c r="E809" s="264"/>
      <c r="F809" s="270"/>
      <c r="G809" s="265"/>
      <c r="H809" s="217">
        <v>20000</v>
      </c>
      <c r="I809" s="262">
        <v>20000</v>
      </c>
      <c r="J809" s="262" t="s">
        <v>502</v>
      </c>
      <c r="K809" s="262"/>
      <c r="L809" s="253">
        <v>7038</v>
      </c>
      <c r="M809" s="262" t="s">
        <v>554</v>
      </c>
      <c r="N809" s="262"/>
      <c r="O809" s="256"/>
      <c r="P809" s="256"/>
    </row>
    <row r="810" spans="1:16" ht="15.75" hidden="1" outlineLevel="2" x14ac:dyDescent="0.25">
      <c r="A810" s="324">
        <v>42705</v>
      </c>
      <c r="B810" s="273">
        <v>2016</v>
      </c>
      <c r="C810" s="268" t="s">
        <v>398</v>
      </c>
      <c r="D810" s="274" t="s">
        <v>393</v>
      </c>
      <c r="E810" s="264"/>
      <c r="F810" s="270"/>
      <c r="G810" s="265"/>
      <c r="H810" s="217">
        <v>82000</v>
      </c>
      <c r="I810" s="262">
        <v>82000</v>
      </c>
      <c r="J810" s="262" t="s">
        <v>502</v>
      </c>
      <c r="K810" s="263"/>
      <c r="L810" s="253">
        <v>7038</v>
      </c>
      <c r="M810" s="262" t="s">
        <v>565</v>
      </c>
      <c r="N810" s="262"/>
      <c r="O810" s="256"/>
      <c r="P810" s="256"/>
    </row>
    <row r="811" spans="1:16" ht="15.75" hidden="1" outlineLevel="2" x14ac:dyDescent="0.25">
      <c r="A811" s="324">
        <v>42705</v>
      </c>
      <c r="B811" s="273">
        <v>2016</v>
      </c>
      <c r="C811" s="268" t="s">
        <v>398</v>
      </c>
      <c r="D811" s="274" t="s">
        <v>566</v>
      </c>
      <c r="E811" s="264"/>
      <c r="F811" s="270"/>
      <c r="G811" s="265"/>
      <c r="H811" s="217">
        <f>119000/2</f>
        <v>59500</v>
      </c>
      <c r="I811" s="262">
        <v>59500</v>
      </c>
      <c r="J811" s="262" t="s">
        <v>502</v>
      </c>
      <c r="K811" s="263"/>
      <c r="L811" s="253">
        <v>7038</v>
      </c>
      <c r="M811" s="262" t="s">
        <v>513</v>
      </c>
      <c r="N811" s="262"/>
      <c r="O811" s="256"/>
      <c r="P811" s="256"/>
    </row>
    <row r="812" spans="1:16" ht="15.75" hidden="1" outlineLevel="2" x14ac:dyDescent="0.25">
      <c r="A812" s="324">
        <v>42705</v>
      </c>
      <c r="B812" s="273">
        <v>2016</v>
      </c>
      <c r="C812" s="268" t="s">
        <v>398</v>
      </c>
      <c r="D812" s="272" t="s">
        <v>516</v>
      </c>
      <c r="E812" s="264"/>
      <c r="F812" s="270"/>
      <c r="G812" s="265"/>
      <c r="H812" s="217" t="e">
        <f t="shared" si="102"/>
        <v>#N/A</v>
      </c>
      <c r="I812" s="262"/>
      <c r="J812" s="262" t="s">
        <v>502</v>
      </c>
      <c r="K812" s="262"/>
      <c r="L812" s="253">
        <v>7038</v>
      </c>
      <c r="M812" s="262"/>
      <c r="N812" s="262"/>
      <c r="O812" s="256"/>
      <c r="P812" s="256"/>
    </row>
    <row r="813" spans="1:16" ht="15.75" hidden="1" outlineLevel="2" x14ac:dyDescent="0.25">
      <c r="A813" s="324">
        <v>42705</v>
      </c>
      <c r="B813" s="273">
        <v>2016</v>
      </c>
      <c r="C813" s="268" t="s">
        <v>398</v>
      </c>
      <c r="D813" s="272" t="s">
        <v>517</v>
      </c>
      <c r="E813" s="264"/>
      <c r="F813" s="270"/>
      <c r="G813" s="265"/>
      <c r="H813" s="217" t="e">
        <f t="shared" si="102"/>
        <v>#N/A</v>
      </c>
      <c r="I813" s="262"/>
      <c r="J813" s="262" t="s">
        <v>502</v>
      </c>
      <c r="K813" s="262"/>
      <c r="L813" s="253">
        <v>7038</v>
      </c>
      <c r="M813" s="262"/>
      <c r="N813" s="262"/>
      <c r="O813" s="256"/>
      <c r="P813" s="256"/>
    </row>
    <row r="814" spans="1:16" ht="15.75" hidden="1" outlineLevel="2" x14ac:dyDescent="0.25">
      <c r="A814" s="324">
        <v>42705</v>
      </c>
      <c r="B814" s="273">
        <v>2016</v>
      </c>
      <c r="C814" s="268" t="s">
        <v>398</v>
      </c>
      <c r="D814" s="272" t="s">
        <v>518</v>
      </c>
      <c r="E814" s="264"/>
      <c r="F814" s="270"/>
      <c r="G814" s="265"/>
      <c r="H814" s="217" t="e">
        <f t="shared" si="102"/>
        <v>#N/A</v>
      </c>
      <c r="I814" s="262"/>
      <c r="J814" s="262" t="s">
        <v>502</v>
      </c>
      <c r="K814" s="262"/>
      <c r="L814" s="253">
        <v>7038</v>
      </c>
      <c r="M814" s="262"/>
      <c r="N814" s="262"/>
      <c r="O814" s="256"/>
      <c r="P814" s="256"/>
    </row>
    <row r="815" spans="1:16" ht="15.75" hidden="1" outlineLevel="2" x14ac:dyDescent="0.25">
      <c r="A815" s="324">
        <v>42705</v>
      </c>
      <c r="B815" s="273">
        <v>2016</v>
      </c>
      <c r="C815" s="268" t="s">
        <v>398</v>
      </c>
      <c r="D815" s="272" t="s">
        <v>519</v>
      </c>
      <c r="E815" s="264"/>
      <c r="F815" s="270"/>
      <c r="G815" s="265"/>
      <c r="H815" s="217" t="e">
        <f t="shared" si="102"/>
        <v>#N/A</v>
      </c>
      <c r="I815" s="262"/>
      <c r="J815" s="262" t="s">
        <v>502</v>
      </c>
      <c r="K815" s="262"/>
      <c r="L815" s="253">
        <v>7038</v>
      </c>
      <c r="M815" s="262"/>
      <c r="N815" s="262"/>
      <c r="O815" s="256"/>
      <c r="P815" s="256"/>
    </row>
    <row r="816" spans="1:16" ht="15.75" hidden="1" outlineLevel="2" x14ac:dyDescent="0.25">
      <c r="A816" s="324">
        <v>42705</v>
      </c>
      <c r="B816" s="273">
        <v>2016</v>
      </c>
      <c r="C816" s="268" t="s">
        <v>398</v>
      </c>
      <c r="D816" s="272" t="s">
        <v>520</v>
      </c>
      <c r="E816" s="264"/>
      <c r="F816" s="270"/>
      <c r="G816" s="265"/>
      <c r="H816" s="217" t="e">
        <f t="shared" si="102"/>
        <v>#N/A</v>
      </c>
      <c r="I816" s="262"/>
      <c r="J816" s="262" t="s">
        <v>502</v>
      </c>
      <c r="K816" s="262"/>
      <c r="L816" s="253">
        <v>7038</v>
      </c>
      <c r="M816" s="262"/>
      <c r="N816" s="262"/>
      <c r="O816" s="256"/>
      <c r="P816" s="256"/>
    </row>
    <row r="817" spans="1:16" ht="15.75" hidden="1" outlineLevel="2" x14ac:dyDescent="0.25">
      <c r="A817" s="324">
        <v>42705</v>
      </c>
      <c r="B817" s="273">
        <v>2016</v>
      </c>
      <c r="C817" s="268" t="s">
        <v>398</v>
      </c>
      <c r="D817" s="272"/>
      <c r="E817" s="264"/>
      <c r="F817" s="270"/>
      <c r="G817" s="265"/>
      <c r="H817" s="217" t="e">
        <f t="shared" si="102"/>
        <v>#N/A</v>
      </c>
      <c r="I817" s="262"/>
      <c r="J817" s="262"/>
      <c r="K817" s="262"/>
      <c r="L817" s="253"/>
      <c r="M817" s="262"/>
      <c r="N817" s="262"/>
      <c r="O817" s="256"/>
      <c r="P817" s="256"/>
    </row>
    <row r="818" spans="1:16" ht="15.75" hidden="1" outlineLevel="2" x14ac:dyDescent="0.25">
      <c r="A818" s="324">
        <v>42705</v>
      </c>
      <c r="B818" s="273">
        <v>2016</v>
      </c>
      <c r="C818" s="268" t="s">
        <v>398</v>
      </c>
      <c r="D818" s="272"/>
      <c r="E818" s="264"/>
      <c r="F818" s="270"/>
      <c r="G818" s="265"/>
      <c r="H818" s="217" t="e">
        <f t="shared" si="102"/>
        <v>#N/A</v>
      </c>
      <c r="I818" s="262"/>
      <c r="J818" s="262"/>
      <c r="K818" s="262"/>
      <c r="L818" s="253"/>
      <c r="M818" s="262"/>
      <c r="N818" s="262"/>
      <c r="O818" s="256"/>
      <c r="P818" s="256"/>
    </row>
    <row r="819" spans="1:16" ht="15.75" hidden="1" outlineLevel="2" x14ac:dyDescent="0.25">
      <c r="A819" s="324">
        <v>42705</v>
      </c>
      <c r="B819" s="273">
        <v>2016</v>
      </c>
      <c r="C819" s="268" t="s">
        <v>398</v>
      </c>
      <c r="D819" s="272"/>
      <c r="E819" s="264"/>
      <c r="F819" s="270"/>
      <c r="G819" s="265"/>
      <c r="H819" s="217" t="e">
        <f t="shared" si="102"/>
        <v>#N/A</v>
      </c>
      <c r="I819" s="262"/>
      <c r="J819" s="262"/>
      <c r="K819" s="262"/>
      <c r="L819" s="253"/>
      <c r="M819" s="262"/>
      <c r="N819" s="262"/>
      <c r="O819" s="256"/>
      <c r="P819" s="256"/>
    </row>
    <row r="820" spans="1:16" hidden="1" x14ac:dyDescent="0.25">
      <c r="A820" s="313"/>
      <c r="H820" s="217" t="e">
        <f t="shared" si="102"/>
        <v>#N/A</v>
      </c>
    </row>
    <row r="821" spans="1:16" ht="15.75" hidden="1" x14ac:dyDescent="0.25">
      <c r="A821" s="324">
        <v>42736</v>
      </c>
      <c r="B821" s="273">
        <v>2017</v>
      </c>
      <c r="C821" s="245"/>
      <c r="D821" s="246" t="s">
        <v>498</v>
      </c>
      <c r="E821" s="246"/>
      <c r="F821" s="247"/>
      <c r="G821" s="247">
        <f>SUM(G825:G835)</f>
        <v>12280.42</v>
      </c>
      <c r="H821" s="217" t="e">
        <f t="shared" si="102"/>
        <v>#N/A</v>
      </c>
      <c r="I821" s="247"/>
      <c r="J821" s="247"/>
      <c r="K821" s="247"/>
      <c r="L821" s="248"/>
      <c r="M821" s="248"/>
      <c r="N821" s="245"/>
      <c r="O821" s="249"/>
      <c r="P821" s="249"/>
    </row>
    <row r="822" spans="1:16" ht="15.75" hidden="1" outlineLevel="1" x14ac:dyDescent="0.25">
      <c r="A822" s="324">
        <v>42736</v>
      </c>
      <c r="B822" s="273">
        <v>2017</v>
      </c>
      <c r="C822" s="245"/>
      <c r="D822" s="246" t="s">
        <v>499</v>
      </c>
      <c r="E822" s="246"/>
      <c r="F822" s="247">
        <f>SUM(F836:F846)</f>
        <v>0</v>
      </c>
      <c r="G822" s="247"/>
      <c r="H822" s="217" t="e">
        <f t="shared" si="102"/>
        <v>#N/A</v>
      </c>
      <c r="I822" s="247" t="e">
        <f>SUM(I836:I846)</f>
        <v>#N/A</v>
      </c>
      <c r="J822" s="247"/>
      <c r="K822" s="247"/>
      <c r="L822" s="248"/>
      <c r="M822" s="248"/>
      <c r="N822" s="245"/>
      <c r="O822" s="249"/>
      <c r="P822" s="249"/>
    </row>
    <row r="823" spans="1:16" ht="15.75" hidden="1" outlineLevel="1" x14ac:dyDescent="0.25">
      <c r="A823" s="324">
        <v>42736</v>
      </c>
      <c r="B823" s="273">
        <v>2017</v>
      </c>
      <c r="C823" s="245"/>
      <c r="D823" s="246" t="s">
        <v>500</v>
      </c>
      <c r="E823" s="246"/>
      <c r="F823" s="247">
        <f>SUM(F847:F855)</f>
        <v>300</v>
      </c>
      <c r="G823" s="247"/>
      <c r="H823" s="217" t="e">
        <f t="shared" si="102"/>
        <v>#N/A</v>
      </c>
      <c r="I823" s="247"/>
      <c r="J823" s="247"/>
      <c r="K823" s="247"/>
      <c r="L823" s="248"/>
      <c r="M823" s="248"/>
      <c r="N823" s="245"/>
      <c r="O823" s="249"/>
      <c r="P823" s="249"/>
    </row>
    <row r="824" spans="1:16" ht="15.75" hidden="1" outlineLevel="1" x14ac:dyDescent="0.25">
      <c r="A824" s="324">
        <v>42736</v>
      </c>
      <c r="B824" s="273">
        <v>2017</v>
      </c>
      <c r="C824" s="245"/>
      <c r="D824" s="246" t="s">
        <v>501</v>
      </c>
      <c r="E824" s="246"/>
      <c r="F824" s="247"/>
      <c r="G824" s="247"/>
      <c r="H824" s="217" t="e">
        <f t="shared" si="102"/>
        <v>#N/A</v>
      </c>
      <c r="I824" s="247">
        <f>SUM(I856:I866)</f>
        <v>92000</v>
      </c>
      <c r="J824" s="247"/>
      <c r="K824" s="247"/>
      <c r="L824" s="248"/>
      <c r="M824" s="248"/>
      <c r="N824" s="245"/>
      <c r="O824" s="250"/>
      <c r="P824" s="250"/>
    </row>
    <row r="825" spans="1:16" ht="15.75" hidden="1" outlineLevel="1" x14ac:dyDescent="0.25">
      <c r="A825" s="324">
        <v>42736</v>
      </c>
      <c r="B825" s="273">
        <v>2017</v>
      </c>
      <c r="C825" s="251" t="s">
        <v>396</v>
      </c>
      <c r="D825" s="213" t="s">
        <v>33</v>
      </c>
      <c r="E825" s="252">
        <v>3000</v>
      </c>
      <c r="F825" s="253">
        <v>8</v>
      </c>
      <c r="G825" s="254">
        <f>F825*E825/1000</f>
        <v>24</v>
      </c>
      <c r="H825" s="217">
        <f t="shared" si="102"/>
        <v>8.661999999999999</v>
      </c>
      <c r="I825" s="254">
        <f>H825*G825</f>
        <v>207.88799999999998</v>
      </c>
      <c r="J825" s="253" t="s">
        <v>502</v>
      </c>
      <c r="K825" s="253"/>
      <c r="L825" s="253"/>
      <c r="M825" s="253"/>
      <c r="N825" s="253"/>
      <c r="O825" s="256"/>
      <c r="P825" s="256"/>
    </row>
    <row r="826" spans="1:16" ht="15.75" hidden="1" outlineLevel="2" x14ac:dyDescent="0.25">
      <c r="A826" s="324">
        <v>42736</v>
      </c>
      <c r="B826" s="273">
        <v>2017</v>
      </c>
      <c r="C826" s="251" t="s">
        <v>396</v>
      </c>
      <c r="D826" s="213"/>
      <c r="E826" s="252"/>
      <c r="F826" s="253"/>
      <c r="G826" s="254">
        <f t="shared" ref="G826:G829" si="110">F826*E826/1000</f>
        <v>0</v>
      </c>
      <c r="H826" s="217" t="e">
        <f t="shared" si="102"/>
        <v>#N/A</v>
      </c>
      <c r="I826" s="254" t="e">
        <f t="shared" ref="I826:I829" si="111">H826*G826</f>
        <v>#N/A</v>
      </c>
      <c r="J826" s="253" t="s">
        <v>521</v>
      </c>
      <c r="K826" s="253"/>
      <c r="L826" s="253"/>
      <c r="M826" s="253"/>
      <c r="N826" s="253"/>
      <c r="O826" s="256"/>
      <c r="P826" s="256"/>
    </row>
    <row r="827" spans="1:16" ht="15.75" hidden="1" outlineLevel="2" x14ac:dyDescent="0.25">
      <c r="A827" s="324">
        <v>42736</v>
      </c>
      <c r="B827" s="273">
        <v>2017</v>
      </c>
      <c r="C827" s="251" t="s">
        <v>396</v>
      </c>
      <c r="D827" s="213"/>
      <c r="E827" s="252"/>
      <c r="F827" s="253"/>
      <c r="G827" s="254">
        <f t="shared" si="110"/>
        <v>0</v>
      </c>
      <c r="H827" s="217" t="e">
        <f t="shared" si="102"/>
        <v>#N/A</v>
      </c>
      <c r="I827" s="254" t="e">
        <f t="shared" si="111"/>
        <v>#N/A</v>
      </c>
      <c r="J827" s="253" t="s">
        <v>502</v>
      </c>
      <c r="K827" s="253"/>
      <c r="L827" s="253"/>
      <c r="M827" s="253"/>
      <c r="N827" s="253"/>
      <c r="O827" s="256"/>
      <c r="P827" s="256"/>
    </row>
    <row r="828" spans="1:16" ht="15.75" hidden="1" outlineLevel="2" x14ac:dyDescent="0.25">
      <c r="A828" s="324">
        <v>42736</v>
      </c>
      <c r="B828" s="273">
        <v>2017</v>
      </c>
      <c r="C828" s="251" t="s">
        <v>396</v>
      </c>
      <c r="D828" s="213"/>
      <c r="E828" s="252"/>
      <c r="F828" s="253"/>
      <c r="G828" s="254">
        <f t="shared" si="110"/>
        <v>0</v>
      </c>
      <c r="H828" s="217" t="e">
        <f t="shared" si="102"/>
        <v>#N/A</v>
      </c>
      <c r="I828" s="254" t="e">
        <f t="shared" si="111"/>
        <v>#N/A</v>
      </c>
      <c r="J828" s="253" t="s">
        <v>502</v>
      </c>
      <c r="K828" s="253"/>
      <c r="L828" s="253"/>
      <c r="M828" s="253"/>
      <c r="N828" s="253"/>
      <c r="O828" s="256"/>
      <c r="P828" s="256"/>
    </row>
    <row r="829" spans="1:16" ht="15.75" hidden="1" outlineLevel="2" x14ac:dyDescent="0.25">
      <c r="A829" s="324">
        <v>42736</v>
      </c>
      <c r="B829" s="273">
        <v>2017</v>
      </c>
      <c r="C829" s="251" t="s">
        <v>396</v>
      </c>
      <c r="D829" s="213"/>
      <c r="E829" s="252"/>
      <c r="F829" s="253"/>
      <c r="G829" s="254">
        <f t="shared" si="110"/>
        <v>0</v>
      </c>
      <c r="H829" s="217" t="e">
        <f t="shared" si="102"/>
        <v>#N/A</v>
      </c>
      <c r="I829" s="254" t="e">
        <f t="shared" si="111"/>
        <v>#N/A</v>
      </c>
      <c r="J829" s="253" t="s">
        <v>502</v>
      </c>
      <c r="K829" s="253"/>
      <c r="L829" s="253"/>
      <c r="M829" s="253"/>
      <c r="N829" s="253"/>
      <c r="O829" s="256"/>
      <c r="P829" s="256"/>
    </row>
    <row r="830" spans="1:16" ht="15.75" hidden="1" outlineLevel="2" x14ac:dyDescent="0.25">
      <c r="A830" s="324">
        <v>42736</v>
      </c>
      <c r="B830" s="273">
        <v>2017</v>
      </c>
      <c r="C830" s="251" t="s">
        <v>396</v>
      </c>
      <c r="D830" s="213" t="s">
        <v>41</v>
      </c>
      <c r="E830" s="252">
        <v>6000</v>
      </c>
      <c r="F830" s="253">
        <v>1167</v>
      </c>
      <c r="G830" s="254">
        <f t="shared" ref="G830:G834" si="112">F830*E830/1000</f>
        <v>7002</v>
      </c>
      <c r="H830" s="217">
        <f t="shared" si="102"/>
        <v>0.65500000000000003</v>
      </c>
      <c r="I830" s="254">
        <f t="shared" ref="I830:I834" si="113">H830*G830</f>
        <v>4586.3100000000004</v>
      </c>
      <c r="J830" s="253" t="s">
        <v>502</v>
      </c>
      <c r="K830" s="255">
        <v>42726</v>
      </c>
      <c r="L830" s="253">
        <v>1018</v>
      </c>
      <c r="M830" s="253" t="s">
        <v>503</v>
      </c>
      <c r="N830" s="253" t="s">
        <v>512</v>
      </c>
      <c r="O830" s="256"/>
      <c r="P830" s="256"/>
    </row>
    <row r="831" spans="1:16" ht="15.75" hidden="1" outlineLevel="2" x14ac:dyDescent="0.25">
      <c r="A831" s="324">
        <v>42736</v>
      </c>
      <c r="B831" s="273">
        <v>2017</v>
      </c>
      <c r="C831" s="251" t="s">
        <v>396</v>
      </c>
      <c r="D831" s="213" t="s">
        <v>42</v>
      </c>
      <c r="E831" s="252">
        <v>6000</v>
      </c>
      <c r="F831" s="253">
        <v>417</v>
      </c>
      <c r="G831" s="254">
        <f t="shared" si="112"/>
        <v>2502</v>
      </c>
      <c r="H831" s="217">
        <f t="shared" ref="H831:H894" si="114">VLOOKUP(D831,$D$5:$E$359,2,FALSE)</f>
        <v>0.82199999999999995</v>
      </c>
      <c r="I831" s="254">
        <f t="shared" si="113"/>
        <v>2056.6439999999998</v>
      </c>
      <c r="J831" s="253" t="s">
        <v>502</v>
      </c>
      <c r="K831" s="255">
        <v>42726</v>
      </c>
      <c r="L831" s="253">
        <v>1018</v>
      </c>
      <c r="M831" s="253" t="s">
        <v>503</v>
      </c>
      <c r="N831" s="253"/>
      <c r="O831" s="256"/>
      <c r="P831" s="256"/>
    </row>
    <row r="832" spans="1:16" ht="15.75" hidden="1" outlineLevel="2" x14ac:dyDescent="0.25">
      <c r="A832" s="324">
        <v>42736</v>
      </c>
      <c r="B832" s="273">
        <v>2017</v>
      </c>
      <c r="C832" s="251" t="s">
        <v>396</v>
      </c>
      <c r="D832" s="213" t="s">
        <v>39</v>
      </c>
      <c r="E832" s="252">
        <v>6000</v>
      </c>
      <c r="F832" s="253">
        <v>250</v>
      </c>
      <c r="G832" s="254">
        <f t="shared" si="112"/>
        <v>1500</v>
      </c>
      <c r="H832" s="217">
        <f t="shared" si="114"/>
        <v>0.38</v>
      </c>
      <c r="I832" s="254">
        <f t="shared" si="113"/>
        <v>570</v>
      </c>
      <c r="J832" s="253" t="s">
        <v>502</v>
      </c>
      <c r="K832" s="255">
        <v>42726</v>
      </c>
      <c r="L832" s="253">
        <v>1018</v>
      </c>
      <c r="M832" s="253" t="s">
        <v>503</v>
      </c>
      <c r="N832" s="253"/>
      <c r="O832" s="256"/>
      <c r="P832" s="256"/>
    </row>
    <row r="833" spans="1:16" ht="15.75" hidden="1" outlineLevel="2" x14ac:dyDescent="0.25">
      <c r="A833" s="324">
        <v>42736</v>
      </c>
      <c r="B833" s="273">
        <v>2017</v>
      </c>
      <c r="C833" s="251" t="s">
        <v>396</v>
      </c>
      <c r="D833" s="213" t="s">
        <v>50</v>
      </c>
      <c r="E833" s="252">
        <v>6000</v>
      </c>
      <c r="F833" s="253">
        <v>84</v>
      </c>
      <c r="G833" s="254">
        <f t="shared" si="112"/>
        <v>504</v>
      </c>
      <c r="H833" s="217">
        <f t="shared" si="114"/>
        <v>0.53100000000000003</v>
      </c>
      <c r="I833" s="254">
        <f t="shared" si="113"/>
        <v>267.62400000000002</v>
      </c>
      <c r="J833" s="253" t="s">
        <v>502</v>
      </c>
      <c r="K833" s="255">
        <v>42726</v>
      </c>
      <c r="L833" s="253">
        <v>1018</v>
      </c>
      <c r="M833" s="253" t="s">
        <v>503</v>
      </c>
      <c r="N833" s="253"/>
      <c r="O833" s="256"/>
      <c r="P833" s="256"/>
    </row>
    <row r="834" spans="1:16" ht="15.75" hidden="1" outlineLevel="2" x14ac:dyDescent="0.25">
      <c r="A834" s="324">
        <v>42736</v>
      </c>
      <c r="B834" s="273">
        <v>2017</v>
      </c>
      <c r="C834" s="251" t="s">
        <v>396</v>
      </c>
      <c r="D834" s="213" t="s">
        <v>44</v>
      </c>
      <c r="E834" s="252">
        <v>6000</v>
      </c>
      <c r="F834" s="253">
        <v>84</v>
      </c>
      <c r="G834" s="254">
        <f t="shared" si="112"/>
        <v>504</v>
      </c>
      <c r="H834" s="217">
        <f t="shared" si="114"/>
        <v>1.1789999999999998</v>
      </c>
      <c r="I834" s="254">
        <f t="shared" si="113"/>
        <v>594.21599999999989</v>
      </c>
      <c r="J834" s="253" t="s">
        <v>502</v>
      </c>
      <c r="K834" s="255">
        <v>42726</v>
      </c>
      <c r="L834" s="253">
        <v>1018</v>
      </c>
      <c r="M834" s="253" t="s">
        <v>503</v>
      </c>
      <c r="N834" s="253" t="s">
        <v>512</v>
      </c>
      <c r="O834" s="256"/>
      <c r="P834" s="256"/>
    </row>
    <row r="835" spans="1:16" ht="15.75" hidden="1" outlineLevel="2" x14ac:dyDescent="0.25">
      <c r="A835" s="324">
        <v>42736</v>
      </c>
      <c r="B835" s="273">
        <v>2017</v>
      </c>
      <c r="C835" s="251" t="s">
        <v>396</v>
      </c>
      <c r="D835" s="213" t="s">
        <v>36</v>
      </c>
      <c r="E835" s="220">
        <v>4444</v>
      </c>
      <c r="F835" s="253">
        <v>55</v>
      </c>
      <c r="G835" s="254">
        <f t="shared" ref="G835" si="115">F835*E835/1000</f>
        <v>244.42</v>
      </c>
      <c r="H835" s="217">
        <f t="shared" si="114"/>
        <v>0.4</v>
      </c>
      <c r="I835" s="254">
        <f t="shared" ref="I835" si="116">H835*G835</f>
        <v>97.768000000000001</v>
      </c>
      <c r="J835" s="253"/>
      <c r="K835" s="253"/>
      <c r="L835" s="253"/>
      <c r="M835" s="253"/>
      <c r="N835" s="253"/>
      <c r="O835" s="256"/>
      <c r="P835" s="256"/>
    </row>
    <row r="836" spans="1:16" ht="15.75" hidden="1" outlineLevel="1" x14ac:dyDescent="0.25">
      <c r="A836" s="324">
        <v>42736</v>
      </c>
      <c r="B836" s="273">
        <v>2017</v>
      </c>
      <c r="C836" s="257" t="s">
        <v>397</v>
      </c>
      <c r="D836" s="258" t="s">
        <v>383</v>
      </c>
      <c r="E836" s="223"/>
      <c r="F836" s="253"/>
      <c r="G836" s="259"/>
      <c r="H836" s="217">
        <f t="shared" si="114"/>
        <v>8.2810000000000006</v>
      </c>
      <c r="I836" s="254">
        <f>H836*F836</f>
        <v>0</v>
      </c>
      <c r="J836" s="253" t="s">
        <v>502</v>
      </c>
      <c r="K836" s="253"/>
      <c r="L836" s="253"/>
      <c r="M836" s="253"/>
      <c r="N836" s="253"/>
      <c r="O836" s="256"/>
      <c r="P836" s="256"/>
    </row>
    <row r="837" spans="1:16" ht="15.75" hidden="1" outlineLevel="2" x14ac:dyDescent="0.25">
      <c r="A837" s="324">
        <v>42736</v>
      </c>
      <c r="B837" s="273">
        <v>2017</v>
      </c>
      <c r="C837" s="257" t="s">
        <v>397</v>
      </c>
      <c r="D837" s="258" t="s">
        <v>386</v>
      </c>
      <c r="E837" s="224"/>
      <c r="F837" s="253"/>
      <c r="G837" s="259"/>
      <c r="H837" s="217">
        <f t="shared" si="114"/>
        <v>11.587999999999999</v>
      </c>
      <c r="I837" s="254">
        <f t="shared" ref="I837:I842" si="117">H837*F837</f>
        <v>0</v>
      </c>
      <c r="J837" s="253" t="s">
        <v>502</v>
      </c>
      <c r="K837" s="253"/>
      <c r="L837" s="253"/>
      <c r="M837" s="253"/>
      <c r="N837" s="253"/>
      <c r="O837" s="256"/>
      <c r="P837" s="256"/>
    </row>
    <row r="838" spans="1:16" ht="15.75" hidden="1" outlineLevel="2" x14ac:dyDescent="0.25">
      <c r="A838" s="324">
        <v>42736</v>
      </c>
      <c r="B838" s="273">
        <v>2017</v>
      </c>
      <c r="C838" s="257" t="s">
        <v>397</v>
      </c>
      <c r="D838" s="258" t="s">
        <v>382</v>
      </c>
      <c r="E838" s="260"/>
      <c r="F838" s="253"/>
      <c r="G838" s="259"/>
      <c r="H838" s="217">
        <f t="shared" si="114"/>
        <v>7.4539999999999997</v>
      </c>
      <c r="I838" s="254">
        <f t="shared" si="117"/>
        <v>0</v>
      </c>
      <c r="J838" s="253"/>
      <c r="K838" s="253"/>
      <c r="L838" s="253"/>
      <c r="M838" s="253"/>
      <c r="N838" s="253"/>
      <c r="O838" s="256"/>
      <c r="P838" s="256"/>
    </row>
    <row r="839" spans="1:16" ht="15.75" hidden="1" outlineLevel="2" x14ac:dyDescent="0.25">
      <c r="A839" s="324">
        <v>42736</v>
      </c>
      <c r="B839" s="273">
        <v>2017</v>
      </c>
      <c r="C839" s="257" t="s">
        <v>397</v>
      </c>
      <c r="D839" s="258" t="s">
        <v>230</v>
      </c>
      <c r="E839" s="260"/>
      <c r="F839" s="253"/>
      <c r="G839" s="259"/>
      <c r="H839" s="217">
        <f t="shared" si="114"/>
        <v>5.0110000000000001</v>
      </c>
      <c r="I839" s="254">
        <f t="shared" si="117"/>
        <v>0</v>
      </c>
      <c r="J839" s="253"/>
      <c r="K839" s="253"/>
      <c r="L839" s="253"/>
      <c r="M839" s="253"/>
      <c r="N839" s="253"/>
      <c r="O839" s="256"/>
      <c r="P839" s="256"/>
    </row>
    <row r="840" spans="1:16" ht="15.75" hidden="1" outlineLevel="2" x14ac:dyDescent="0.25">
      <c r="A840" s="324">
        <v>42736</v>
      </c>
      <c r="B840" s="273">
        <v>2017</v>
      </c>
      <c r="C840" s="257" t="s">
        <v>397</v>
      </c>
      <c r="D840" s="258" t="s">
        <v>382</v>
      </c>
      <c r="E840" s="261"/>
      <c r="F840" s="253"/>
      <c r="G840" s="259"/>
      <c r="H840" s="217">
        <f t="shared" si="114"/>
        <v>7.4539999999999997</v>
      </c>
      <c r="I840" s="254">
        <f t="shared" si="117"/>
        <v>0</v>
      </c>
      <c r="J840" s="253"/>
      <c r="K840" s="253"/>
      <c r="L840" s="253"/>
      <c r="M840" s="253"/>
      <c r="N840" s="253"/>
      <c r="O840" s="256"/>
      <c r="P840" s="256"/>
    </row>
    <row r="841" spans="1:16" ht="15.75" hidden="1" outlineLevel="2" x14ac:dyDescent="0.25">
      <c r="A841" s="324">
        <v>42736</v>
      </c>
      <c r="B841" s="273">
        <v>2017</v>
      </c>
      <c r="C841" s="257" t="s">
        <v>397</v>
      </c>
      <c r="D841" s="258" t="s">
        <v>382</v>
      </c>
      <c r="E841" s="261"/>
      <c r="F841" s="253"/>
      <c r="G841" s="259"/>
      <c r="H841" s="217">
        <f t="shared" si="114"/>
        <v>7.4539999999999997</v>
      </c>
      <c r="I841" s="254">
        <f t="shared" si="117"/>
        <v>0</v>
      </c>
      <c r="J841" s="262"/>
      <c r="K841" s="262"/>
      <c r="L841" s="262"/>
      <c r="M841" s="262"/>
      <c r="N841" s="262"/>
      <c r="O841" s="256"/>
      <c r="P841" s="256"/>
    </row>
    <row r="842" spans="1:16" ht="15.75" hidden="1" outlineLevel="2" x14ac:dyDescent="0.25">
      <c r="A842" s="324">
        <v>42736</v>
      </c>
      <c r="B842" s="273">
        <v>2017</v>
      </c>
      <c r="C842" s="257" t="s">
        <v>397</v>
      </c>
      <c r="D842" s="258" t="s">
        <v>317</v>
      </c>
      <c r="E842" s="259"/>
      <c r="F842" s="253"/>
      <c r="G842" s="259"/>
      <c r="H842" s="217">
        <f t="shared" si="114"/>
        <v>2.7959999999999998</v>
      </c>
      <c r="I842" s="254">
        <f t="shared" si="117"/>
        <v>0</v>
      </c>
      <c r="J842" s="253" t="s">
        <v>502</v>
      </c>
      <c r="K842" s="253"/>
      <c r="L842" s="253">
        <v>7038</v>
      </c>
      <c r="M842" s="253"/>
      <c r="N842" s="253"/>
      <c r="O842" s="256"/>
      <c r="P842" s="256"/>
    </row>
    <row r="843" spans="1:16" ht="15.75" hidden="1" outlineLevel="2" x14ac:dyDescent="0.25">
      <c r="A843" s="324">
        <v>42736</v>
      </c>
      <c r="B843" s="273">
        <v>2017</v>
      </c>
      <c r="C843" s="257" t="s">
        <v>397</v>
      </c>
      <c r="D843" s="258" t="s">
        <v>447</v>
      </c>
      <c r="E843" s="264"/>
      <c r="F843" s="253"/>
      <c r="G843" s="265"/>
      <c r="H843" s="217">
        <f t="shared" si="114"/>
        <v>1.738</v>
      </c>
      <c r="I843" s="254">
        <f t="shared" ref="I843:I845" si="118">H843*F843</f>
        <v>0</v>
      </c>
      <c r="J843" s="262"/>
      <c r="K843" s="262"/>
      <c r="L843" s="253"/>
      <c r="M843" s="262"/>
      <c r="N843" s="262"/>
      <c r="O843" s="256"/>
      <c r="P843" s="256"/>
    </row>
    <row r="844" spans="1:16" ht="15.75" hidden="1" outlineLevel="2" x14ac:dyDescent="0.25">
      <c r="A844" s="324">
        <v>42736</v>
      </c>
      <c r="B844" s="273">
        <v>2017</v>
      </c>
      <c r="C844" s="257" t="s">
        <v>397</v>
      </c>
      <c r="D844" s="258"/>
      <c r="E844" s="264"/>
      <c r="F844" s="253"/>
      <c r="G844" s="265"/>
      <c r="H844" s="217" t="e">
        <f t="shared" si="114"/>
        <v>#N/A</v>
      </c>
      <c r="I844" s="254" t="e">
        <f t="shared" si="118"/>
        <v>#N/A</v>
      </c>
      <c r="J844" s="262"/>
      <c r="K844" s="262"/>
      <c r="L844" s="253"/>
      <c r="M844" s="262"/>
      <c r="N844" s="262"/>
      <c r="O844" s="256"/>
      <c r="P844" s="256"/>
    </row>
    <row r="845" spans="1:16" ht="15.75" hidden="1" outlineLevel="2" x14ac:dyDescent="0.25">
      <c r="A845" s="324">
        <v>42736</v>
      </c>
      <c r="B845" s="273">
        <v>2017</v>
      </c>
      <c r="C845" s="257" t="s">
        <v>397</v>
      </c>
      <c r="D845" s="258"/>
      <c r="E845" s="264"/>
      <c r="F845" s="253"/>
      <c r="G845" s="265"/>
      <c r="H845" s="217" t="e">
        <f t="shared" si="114"/>
        <v>#N/A</v>
      </c>
      <c r="I845" s="254" t="e">
        <f t="shared" si="118"/>
        <v>#N/A</v>
      </c>
      <c r="J845" s="262"/>
      <c r="K845" s="262"/>
      <c r="L845" s="253"/>
      <c r="M845" s="262"/>
      <c r="N845" s="262"/>
      <c r="O845" s="256"/>
      <c r="P845" s="256"/>
    </row>
    <row r="846" spans="1:16" ht="15.75" hidden="1" outlineLevel="2" x14ac:dyDescent="0.25">
      <c r="A846" s="324">
        <v>42736</v>
      </c>
      <c r="B846" s="273">
        <v>2017</v>
      </c>
      <c r="C846" s="257" t="s">
        <v>397</v>
      </c>
      <c r="D846" s="258"/>
      <c r="E846" s="264"/>
      <c r="F846" s="253"/>
      <c r="G846" s="265"/>
      <c r="H846" s="217" t="e">
        <f t="shared" si="114"/>
        <v>#N/A</v>
      </c>
      <c r="I846" s="254" t="e">
        <f>H846*F846</f>
        <v>#N/A</v>
      </c>
      <c r="J846" s="262"/>
      <c r="K846" s="262"/>
      <c r="L846" s="253"/>
      <c r="M846" s="262"/>
      <c r="N846" s="262"/>
      <c r="O846" s="256"/>
      <c r="P846" s="256"/>
    </row>
    <row r="847" spans="1:16" ht="15.75" hidden="1" outlineLevel="1" x14ac:dyDescent="0.25">
      <c r="A847" s="324">
        <v>42736</v>
      </c>
      <c r="B847" s="273">
        <v>2017</v>
      </c>
      <c r="C847" s="266" t="s">
        <v>391</v>
      </c>
      <c r="D847" s="267" t="s">
        <v>373</v>
      </c>
      <c r="E847" s="264"/>
      <c r="F847" s="253"/>
      <c r="G847" s="265"/>
      <c r="H847" s="217">
        <f t="shared" si="114"/>
        <v>0</v>
      </c>
      <c r="I847" s="254">
        <f t="shared" ref="I847:I855" si="119">H847*F847</f>
        <v>0</v>
      </c>
      <c r="J847" s="262" t="s">
        <v>502</v>
      </c>
      <c r="K847" s="262"/>
      <c r="L847" s="253">
        <v>7038</v>
      </c>
      <c r="M847" s="262"/>
      <c r="N847" s="262"/>
      <c r="O847" s="256"/>
      <c r="P847" s="256"/>
    </row>
    <row r="848" spans="1:16" ht="15.75" hidden="1" outlineLevel="2" x14ac:dyDescent="0.25">
      <c r="A848" s="324">
        <v>42736</v>
      </c>
      <c r="B848" s="273">
        <v>2017</v>
      </c>
      <c r="C848" s="266" t="s">
        <v>391</v>
      </c>
      <c r="D848" s="267" t="s">
        <v>374</v>
      </c>
      <c r="E848" s="264"/>
      <c r="F848" s="253"/>
      <c r="G848" s="265"/>
      <c r="H848" s="217">
        <f t="shared" si="114"/>
        <v>0</v>
      </c>
      <c r="I848" s="254">
        <f t="shared" si="119"/>
        <v>0</v>
      </c>
      <c r="J848" s="262" t="s">
        <v>502</v>
      </c>
      <c r="K848" s="255"/>
      <c r="L848" s="253">
        <v>7038</v>
      </c>
      <c r="M848" s="253"/>
      <c r="N848" s="253"/>
      <c r="O848" s="256"/>
      <c r="P848" s="256"/>
    </row>
    <row r="849" spans="1:16" ht="15.75" hidden="1" outlineLevel="2" x14ac:dyDescent="0.25">
      <c r="A849" s="324">
        <v>42736</v>
      </c>
      <c r="B849" s="273">
        <v>2017</v>
      </c>
      <c r="C849" s="266" t="s">
        <v>391</v>
      </c>
      <c r="D849" s="267" t="s">
        <v>375</v>
      </c>
      <c r="E849" s="264"/>
      <c r="F849" s="253"/>
      <c r="G849" s="265"/>
      <c r="H849" s="217">
        <f t="shared" si="114"/>
        <v>0</v>
      </c>
      <c r="I849" s="254">
        <f t="shared" si="119"/>
        <v>0</v>
      </c>
      <c r="J849" s="262" t="s">
        <v>502</v>
      </c>
      <c r="K849" s="255"/>
      <c r="L849" s="253">
        <v>7038</v>
      </c>
      <c r="M849" s="253"/>
      <c r="N849" s="253"/>
      <c r="O849" s="256"/>
      <c r="P849" s="256"/>
    </row>
    <row r="850" spans="1:16" ht="15.75" hidden="1" outlineLevel="2" x14ac:dyDescent="0.25">
      <c r="A850" s="324">
        <v>42736</v>
      </c>
      <c r="B850" s="273">
        <v>2017</v>
      </c>
      <c r="C850" s="266" t="s">
        <v>391</v>
      </c>
      <c r="D850" s="267" t="s">
        <v>376</v>
      </c>
      <c r="E850" s="264"/>
      <c r="F850" s="253"/>
      <c r="G850" s="265"/>
      <c r="H850" s="217">
        <f t="shared" si="114"/>
        <v>0</v>
      </c>
      <c r="I850" s="254">
        <f t="shared" si="119"/>
        <v>0</v>
      </c>
      <c r="J850" s="262" t="s">
        <v>502</v>
      </c>
      <c r="K850" s="262"/>
      <c r="L850" s="253">
        <v>7038</v>
      </c>
      <c r="M850" s="262"/>
      <c r="N850" s="262"/>
      <c r="O850" s="256"/>
      <c r="P850" s="256"/>
    </row>
    <row r="851" spans="1:16" ht="15.75" hidden="1" outlineLevel="2" x14ac:dyDescent="0.25">
      <c r="A851" s="324">
        <v>42736</v>
      </c>
      <c r="B851" s="273">
        <v>2017</v>
      </c>
      <c r="C851" s="266" t="s">
        <v>391</v>
      </c>
      <c r="D851" s="267" t="s">
        <v>394</v>
      </c>
      <c r="E851" s="264"/>
      <c r="F851" s="253">
        <v>300</v>
      </c>
      <c r="G851" s="265"/>
      <c r="H851" s="217">
        <f t="shared" si="114"/>
        <v>0</v>
      </c>
      <c r="I851" s="254">
        <f t="shared" si="119"/>
        <v>0</v>
      </c>
      <c r="J851" s="262" t="s">
        <v>502</v>
      </c>
      <c r="K851" s="263">
        <v>42726</v>
      </c>
      <c r="L851" s="253">
        <v>1018</v>
      </c>
      <c r="M851" s="262" t="s">
        <v>503</v>
      </c>
      <c r="N851" s="262"/>
      <c r="O851" s="256"/>
      <c r="P851" s="256"/>
    </row>
    <row r="852" spans="1:16" ht="15.75" hidden="1" outlineLevel="2" x14ac:dyDescent="0.25">
      <c r="A852" s="324">
        <v>42736</v>
      </c>
      <c r="B852" s="273">
        <v>2017</v>
      </c>
      <c r="C852" s="266" t="s">
        <v>391</v>
      </c>
      <c r="D852" s="267" t="s">
        <v>453</v>
      </c>
      <c r="E852" s="264"/>
      <c r="F852" s="253"/>
      <c r="G852" s="265"/>
      <c r="H852" s="217">
        <f t="shared" si="114"/>
        <v>0</v>
      </c>
      <c r="I852" s="254">
        <f t="shared" si="119"/>
        <v>0</v>
      </c>
      <c r="J852" s="262"/>
      <c r="K852" s="262"/>
      <c r="L852" s="253"/>
      <c r="M852" s="262"/>
      <c r="N852" s="262"/>
      <c r="O852" s="256"/>
      <c r="P852" s="256"/>
    </row>
    <row r="853" spans="1:16" ht="15.75" hidden="1" outlineLevel="2" x14ac:dyDescent="0.25">
      <c r="A853" s="324">
        <v>42736</v>
      </c>
      <c r="B853" s="273">
        <v>2017</v>
      </c>
      <c r="C853" s="266" t="s">
        <v>391</v>
      </c>
      <c r="D853" s="267"/>
      <c r="E853" s="264"/>
      <c r="F853" s="253"/>
      <c r="G853" s="265"/>
      <c r="H853" s="217" t="e">
        <f t="shared" si="114"/>
        <v>#N/A</v>
      </c>
      <c r="I853" s="254" t="e">
        <f t="shared" si="119"/>
        <v>#N/A</v>
      </c>
      <c r="J853" s="262"/>
      <c r="K853" s="262"/>
      <c r="L853" s="253"/>
      <c r="M853" s="262"/>
      <c r="N853" s="262"/>
      <c r="O853" s="256"/>
      <c r="P853" s="256"/>
    </row>
    <row r="854" spans="1:16" ht="15.75" hidden="1" outlineLevel="2" x14ac:dyDescent="0.25">
      <c r="A854" s="324">
        <v>42736</v>
      </c>
      <c r="B854" s="273">
        <v>2017</v>
      </c>
      <c r="C854" s="266" t="s">
        <v>391</v>
      </c>
      <c r="D854" s="267"/>
      <c r="E854" s="264"/>
      <c r="F854" s="253"/>
      <c r="G854" s="265"/>
      <c r="H854" s="217" t="e">
        <f t="shared" si="114"/>
        <v>#N/A</v>
      </c>
      <c r="I854" s="254" t="e">
        <f t="shared" si="119"/>
        <v>#N/A</v>
      </c>
      <c r="J854" s="262"/>
      <c r="K854" s="262"/>
      <c r="L854" s="253"/>
      <c r="M854" s="262"/>
      <c r="N854" s="262"/>
      <c r="O854" s="256"/>
      <c r="P854" s="256"/>
    </row>
    <row r="855" spans="1:16" ht="15.75" hidden="1" outlineLevel="2" x14ac:dyDescent="0.25">
      <c r="A855" s="324">
        <v>42736</v>
      </c>
      <c r="B855" s="273">
        <v>2017</v>
      </c>
      <c r="C855" s="266" t="s">
        <v>391</v>
      </c>
      <c r="D855" s="267"/>
      <c r="E855" s="264"/>
      <c r="F855" s="253"/>
      <c r="G855" s="265"/>
      <c r="H855" s="217" t="e">
        <f t="shared" si="114"/>
        <v>#N/A</v>
      </c>
      <c r="I855" s="254" t="e">
        <f t="shared" si="119"/>
        <v>#N/A</v>
      </c>
      <c r="J855" s="262"/>
      <c r="K855" s="262"/>
      <c r="L855" s="253"/>
      <c r="M855" s="262"/>
      <c r="N855" s="262"/>
      <c r="O855" s="256"/>
      <c r="P855" s="256"/>
    </row>
    <row r="856" spans="1:16" ht="15.75" hidden="1" outlineLevel="1" x14ac:dyDescent="0.25">
      <c r="A856" s="324">
        <v>42736</v>
      </c>
      <c r="B856" s="273">
        <v>2017</v>
      </c>
      <c r="C856" s="268" t="s">
        <v>398</v>
      </c>
      <c r="D856" s="274" t="s">
        <v>393</v>
      </c>
      <c r="E856" s="264"/>
      <c r="F856" s="270"/>
      <c r="G856" s="265"/>
      <c r="H856" s="217">
        <f t="shared" si="114"/>
        <v>0</v>
      </c>
      <c r="I856" s="262"/>
      <c r="J856" s="262" t="s">
        <v>502</v>
      </c>
      <c r="K856" s="262"/>
      <c r="L856" s="253">
        <v>7038</v>
      </c>
      <c r="M856" s="262"/>
      <c r="N856" s="262"/>
      <c r="O856" s="256"/>
      <c r="P856" s="256"/>
    </row>
    <row r="857" spans="1:16" ht="15.75" hidden="1" outlineLevel="2" x14ac:dyDescent="0.25">
      <c r="A857" s="324">
        <v>42736</v>
      </c>
      <c r="B857" s="273">
        <v>2017</v>
      </c>
      <c r="C857" s="268" t="s">
        <v>398</v>
      </c>
      <c r="D857" s="274" t="s">
        <v>393</v>
      </c>
      <c r="E857" s="264"/>
      <c r="F857" s="270"/>
      <c r="G857" s="265"/>
      <c r="H857" s="217">
        <f t="shared" si="114"/>
        <v>0</v>
      </c>
      <c r="I857" s="262">
        <v>46000</v>
      </c>
      <c r="J857" s="262" t="s">
        <v>502</v>
      </c>
      <c r="K857" s="263">
        <v>42735</v>
      </c>
      <c r="L857" s="253">
        <v>7038</v>
      </c>
      <c r="M857" s="262" t="s">
        <v>513</v>
      </c>
      <c r="N857" s="262"/>
      <c r="O857" s="256"/>
      <c r="P857" s="256"/>
    </row>
    <row r="858" spans="1:16" ht="15.75" hidden="1" outlineLevel="2" x14ac:dyDescent="0.25">
      <c r="A858" s="324">
        <v>42736</v>
      </c>
      <c r="B858" s="273">
        <v>2017</v>
      </c>
      <c r="C858" s="268" t="s">
        <v>398</v>
      </c>
      <c r="D858" s="274" t="s">
        <v>393</v>
      </c>
      <c r="E858" s="264"/>
      <c r="F858" s="270"/>
      <c r="G858" s="265"/>
      <c r="H858" s="217">
        <f t="shared" si="114"/>
        <v>0</v>
      </c>
      <c r="I858" s="262">
        <v>46000</v>
      </c>
      <c r="J858" s="262" t="s">
        <v>502</v>
      </c>
      <c r="K858" s="263">
        <v>42735</v>
      </c>
      <c r="L858" s="253">
        <v>7038</v>
      </c>
      <c r="M858" s="262" t="s">
        <v>513</v>
      </c>
      <c r="N858" s="262"/>
      <c r="O858" s="256"/>
      <c r="P858" s="256"/>
    </row>
    <row r="859" spans="1:16" ht="15.75" hidden="1" outlineLevel="2" x14ac:dyDescent="0.25">
      <c r="A859" s="324">
        <v>42736</v>
      </c>
      <c r="B859" s="273">
        <v>2017</v>
      </c>
      <c r="C859" s="268" t="s">
        <v>398</v>
      </c>
      <c r="D859" s="272" t="s">
        <v>516</v>
      </c>
      <c r="E859" s="264"/>
      <c r="F859" s="270"/>
      <c r="G859" s="265"/>
      <c r="H859" s="217" t="e">
        <f t="shared" si="114"/>
        <v>#N/A</v>
      </c>
      <c r="I859" s="262"/>
      <c r="J859" s="262" t="s">
        <v>502</v>
      </c>
      <c r="K859" s="262"/>
      <c r="L859" s="253">
        <v>7038</v>
      </c>
      <c r="M859" s="262"/>
      <c r="N859" s="262"/>
      <c r="O859" s="256"/>
      <c r="P859" s="256"/>
    </row>
    <row r="860" spans="1:16" ht="15.75" hidden="1" outlineLevel="2" x14ac:dyDescent="0.25">
      <c r="A860" s="324">
        <v>42736</v>
      </c>
      <c r="B860" s="273">
        <v>2017</v>
      </c>
      <c r="C860" s="268" t="s">
        <v>398</v>
      </c>
      <c r="D860" s="272" t="s">
        <v>517</v>
      </c>
      <c r="E860" s="264"/>
      <c r="F860" s="270"/>
      <c r="G860" s="265"/>
      <c r="H860" s="217" t="e">
        <f t="shared" si="114"/>
        <v>#N/A</v>
      </c>
      <c r="I860" s="262"/>
      <c r="J860" s="262" t="s">
        <v>502</v>
      </c>
      <c r="K860" s="262"/>
      <c r="L860" s="253">
        <v>7038</v>
      </c>
      <c r="M860" s="262"/>
      <c r="N860" s="262"/>
      <c r="O860" s="256"/>
      <c r="P860" s="256"/>
    </row>
    <row r="861" spans="1:16" ht="15.75" hidden="1" outlineLevel="2" x14ac:dyDescent="0.25">
      <c r="A861" s="324">
        <v>42736</v>
      </c>
      <c r="B861" s="273">
        <v>2017</v>
      </c>
      <c r="C861" s="268" t="s">
        <v>398</v>
      </c>
      <c r="D861" s="272" t="s">
        <v>518</v>
      </c>
      <c r="E861" s="264"/>
      <c r="F861" s="270"/>
      <c r="G861" s="265"/>
      <c r="H861" s="217" t="e">
        <f t="shared" si="114"/>
        <v>#N/A</v>
      </c>
      <c r="I861" s="262"/>
      <c r="J861" s="262" t="s">
        <v>502</v>
      </c>
      <c r="K861" s="262"/>
      <c r="L861" s="253">
        <v>7038</v>
      </c>
      <c r="M861" s="262"/>
      <c r="N861" s="262"/>
      <c r="O861" s="256"/>
      <c r="P861" s="256"/>
    </row>
    <row r="862" spans="1:16" ht="15.75" hidden="1" outlineLevel="2" x14ac:dyDescent="0.25">
      <c r="A862" s="324">
        <v>42736</v>
      </c>
      <c r="B862" s="273">
        <v>2017</v>
      </c>
      <c r="C862" s="268" t="s">
        <v>398</v>
      </c>
      <c r="D862" s="272" t="s">
        <v>519</v>
      </c>
      <c r="E862" s="264"/>
      <c r="F862" s="270"/>
      <c r="G862" s="265"/>
      <c r="H862" s="217" t="e">
        <f t="shared" si="114"/>
        <v>#N/A</v>
      </c>
      <c r="I862" s="262"/>
      <c r="J862" s="262" t="s">
        <v>502</v>
      </c>
      <c r="K862" s="262"/>
      <c r="L862" s="253">
        <v>7038</v>
      </c>
      <c r="M862" s="262"/>
      <c r="N862" s="262"/>
      <c r="O862" s="256"/>
      <c r="P862" s="256"/>
    </row>
    <row r="863" spans="1:16" ht="15.75" hidden="1" outlineLevel="2" x14ac:dyDescent="0.25">
      <c r="A863" s="324">
        <v>42736</v>
      </c>
      <c r="B863" s="273">
        <v>2017</v>
      </c>
      <c r="C863" s="268" t="s">
        <v>398</v>
      </c>
      <c r="D863" s="272" t="s">
        <v>520</v>
      </c>
      <c r="E863" s="264"/>
      <c r="F863" s="270"/>
      <c r="G863" s="265"/>
      <c r="H863" s="217" t="e">
        <f t="shared" si="114"/>
        <v>#N/A</v>
      </c>
      <c r="I863" s="262"/>
      <c r="J863" s="262" t="s">
        <v>502</v>
      </c>
      <c r="K863" s="262"/>
      <c r="L863" s="253">
        <v>7038</v>
      </c>
      <c r="M863" s="262"/>
      <c r="N863" s="262"/>
      <c r="O863" s="256"/>
      <c r="P863" s="256"/>
    </row>
    <row r="864" spans="1:16" ht="15.75" hidden="1" outlineLevel="2" x14ac:dyDescent="0.25">
      <c r="A864" s="324">
        <v>42736</v>
      </c>
      <c r="B864" s="273">
        <v>2017</v>
      </c>
      <c r="C864" s="268" t="s">
        <v>398</v>
      </c>
      <c r="D864" s="272"/>
      <c r="E864" s="264"/>
      <c r="F864" s="270"/>
      <c r="G864" s="265"/>
      <c r="H864" s="217" t="e">
        <f t="shared" si="114"/>
        <v>#N/A</v>
      </c>
      <c r="I864" s="262"/>
      <c r="J864" s="262"/>
      <c r="K864" s="262"/>
      <c r="L864" s="253"/>
      <c r="M864" s="262"/>
      <c r="N864" s="262"/>
      <c r="O864" s="256"/>
      <c r="P864" s="256"/>
    </row>
    <row r="865" spans="1:16" ht="15.75" hidden="1" outlineLevel="2" x14ac:dyDescent="0.25">
      <c r="A865" s="324">
        <v>42736</v>
      </c>
      <c r="B865" s="273">
        <v>2017</v>
      </c>
      <c r="C865" s="268" t="s">
        <v>398</v>
      </c>
      <c r="D865" s="272"/>
      <c r="E865" s="264"/>
      <c r="F865" s="270"/>
      <c r="G865" s="265"/>
      <c r="H865" s="217" t="e">
        <f t="shared" si="114"/>
        <v>#N/A</v>
      </c>
      <c r="I865" s="262"/>
      <c r="J865" s="262"/>
      <c r="K865" s="262"/>
      <c r="L865" s="253"/>
      <c r="M865" s="262"/>
      <c r="N865" s="262"/>
      <c r="O865" s="256"/>
      <c r="P865" s="256"/>
    </row>
    <row r="866" spans="1:16" ht="15.75" hidden="1" outlineLevel="2" x14ac:dyDescent="0.25">
      <c r="A866" s="324">
        <v>42736</v>
      </c>
      <c r="B866" s="273">
        <v>2017</v>
      </c>
      <c r="C866" s="268" t="s">
        <v>398</v>
      </c>
      <c r="D866" s="272"/>
      <c r="E866" s="264"/>
      <c r="F866" s="270"/>
      <c r="G866" s="265"/>
      <c r="H866" s="217" t="e">
        <f t="shared" si="114"/>
        <v>#N/A</v>
      </c>
      <c r="I866" s="262"/>
      <c r="J866" s="262"/>
      <c r="K866" s="262"/>
      <c r="L866" s="253"/>
      <c r="M866" s="262"/>
      <c r="N866" s="262"/>
      <c r="O866" s="256"/>
      <c r="P866" s="256"/>
    </row>
    <row r="867" spans="1:16" hidden="1" x14ac:dyDescent="0.25">
      <c r="A867" s="313"/>
      <c r="H867" s="217" t="e">
        <f t="shared" si="114"/>
        <v>#N/A</v>
      </c>
    </row>
    <row r="868" spans="1:16" ht="15.75" hidden="1" x14ac:dyDescent="0.25">
      <c r="A868" s="324">
        <v>42767</v>
      </c>
      <c r="B868" s="273">
        <v>2017</v>
      </c>
      <c r="C868" s="245"/>
      <c r="D868" s="246" t="s">
        <v>498</v>
      </c>
      <c r="E868" s="246"/>
      <c r="F868" s="247"/>
      <c r="G868" s="247">
        <f>SUM(G872:G881)</f>
        <v>12280.42</v>
      </c>
      <c r="H868" s="217" t="e">
        <f t="shared" si="114"/>
        <v>#N/A</v>
      </c>
      <c r="I868" s="247"/>
      <c r="J868" s="247"/>
      <c r="K868" s="247"/>
      <c r="L868" s="248"/>
      <c r="M868" s="248"/>
      <c r="N868" s="245"/>
      <c r="O868" s="249"/>
      <c r="P868" s="249"/>
    </row>
    <row r="869" spans="1:16" ht="15.75" hidden="1" outlineLevel="1" x14ac:dyDescent="0.25">
      <c r="A869" s="324">
        <v>42767</v>
      </c>
      <c r="B869" s="273">
        <v>2017</v>
      </c>
      <c r="C869" s="245"/>
      <c r="D869" s="246" t="s">
        <v>499</v>
      </c>
      <c r="E869" s="246"/>
      <c r="F869" s="247">
        <f>SUM(F882:F893)</f>
        <v>0</v>
      </c>
      <c r="G869" s="247"/>
      <c r="H869" s="217" t="e">
        <f t="shared" si="114"/>
        <v>#N/A</v>
      </c>
      <c r="I869" s="247" t="e">
        <f>SUM(I882:I893)</f>
        <v>#N/A</v>
      </c>
      <c r="J869" s="247"/>
      <c r="K869" s="247"/>
      <c r="L869" s="248"/>
      <c r="M869" s="248"/>
      <c r="N869" s="245"/>
      <c r="O869" s="249"/>
      <c r="P869" s="249"/>
    </row>
    <row r="870" spans="1:16" ht="15.75" hidden="1" outlineLevel="1" x14ac:dyDescent="0.25">
      <c r="A870" s="324">
        <v>42767</v>
      </c>
      <c r="B870" s="273">
        <v>2017</v>
      </c>
      <c r="C870" s="245"/>
      <c r="D870" s="246" t="s">
        <v>500</v>
      </c>
      <c r="E870" s="246"/>
      <c r="F870" s="247">
        <f>SUM(F894:F903)</f>
        <v>300</v>
      </c>
      <c r="G870" s="247"/>
      <c r="H870" s="217" t="e">
        <f t="shared" si="114"/>
        <v>#N/A</v>
      </c>
      <c r="I870" s="247"/>
      <c r="J870" s="247"/>
      <c r="K870" s="247"/>
      <c r="L870" s="248"/>
      <c r="M870" s="248"/>
      <c r="N870" s="245"/>
      <c r="O870" s="249"/>
      <c r="P870" s="249"/>
    </row>
    <row r="871" spans="1:16" ht="15.75" hidden="1" outlineLevel="1" x14ac:dyDescent="0.25">
      <c r="A871" s="324">
        <v>42767</v>
      </c>
      <c r="B871" s="273">
        <v>2017</v>
      </c>
      <c r="C871" s="245"/>
      <c r="D871" s="246" t="s">
        <v>501</v>
      </c>
      <c r="E871" s="246"/>
      <c r="F871" s="247"/>
      <c r="G871" s="247"/>
      <c r="H871" s="217" t="e">
        <f t="shared" si="114"/>
        <v>#N/A</v>
      </c>
      <c r="I871" s="247">
        <f>SUM(I904:I915)</f>
        <v>92000</v>
      </c>
      <c r="J871" s="247"/>
      <c r="K871" s="247"/>
      <c r="L871" s="248"/>
      <c r="M871" s="248"/>
      <c r="N871" s="245"/>
      <c r="O871" s="250"/>
      <c r="P871" s="250"/>
    </row>
    <row r="872" spans="1:16" ht="15.75" hidden="1" outlineLevel="1" x14ac:dyDescent="0.25">
      <c r="A872" s="324">
        <v>42767</v>
      </c>
      <c r="B872" s="273">
        <v>2017</v>
      </c>
      <c r="C872" s="251" t="s">
        <v>396</v>
      </c>
      <c r="D872" s="213" t="s">
        <v>33</v>
      </c>
      <c r="E872" s="252">
        <v>3000</v>
      </c>
      <c r="F872" s="253">
        <v>8</v>
      </c>
      <c r="G872" s="254">
        <f>F872*E872/1000</f>
        <v>24</v>
      </c>
      <c r="H872" s="217">
        <f t="shared" si="114"/>
        <v>8.661999999999999</v>
      </c>
      <c r="I872" s="254">
        <f>H872*G872</f>
        <v>207.88799999999998</v>
      </c>
      <c r="J872" s="253" t="s">
        <v>502</v>
      </c>
      <c r="K872" s="253"/>
      <c r="L872" s="253"/>
      <c r="M872" s="253"/>
      <c r="N872" s="253"/>
      <c r="O872" s="256"/>
      <c r="P872" s="256"/>
    </row>
    <row r="873" spans="1:16" ht="15.75" hidden="1" outlineLevel="2" x14ac:dyDescent="0.25">
      <c r="A873" s="324">
        <v>42767</v>
      </c>
      <c r="B873" s="273">
        <v>2017</v>
      </c>
      <c r="C873" s="251" t="s">
        <v>396</v>
      </c>
      <c r="D873" s="213"/>
      <c r="E873" s="252"/>
      <c r="F873" s="253"/>
      <c r="G873" s="254">
        <f t="shared" ref="G873:G875" si="120">F873*E873/1000</f>
        <v>0</v>
      </c>
      <c r="H873" s="217" t="e">
        <f t="shared" si="114"/>
        <v>#N/A</v>
      </c>
      <c r="I873" s="254" t="e">
        <f t="shared" ref="I873:I875" si="121">H873*G873</f>
        <v>#N/A</v>
      </c>
      <c r="J873" s="253" t="s">
        <v>521</v>
      </c>
      <c r="K873" s="253"/>
      <c r="L873" s="253"/>
      <c r="M873" s="253"/>
      <c r="N873" s="253"/>
      <c r="O873" s="256"/>
      <c r="P873" s="256"/>
    </row>
    <row r="874" spans="1:16" ht="15.75" hidden="1" outlineLevel="2" x14ac:dyDescent="0.25">
      <c r="A874" s="324">
        <v>42767</v>
      </c>
      <c r="B874" s="273">
        <v>2017</v>
      </c>
      <c r="C874" s="251" t="s">
        <v>396</v>
      </c>
      <c r="D874" s="213"/>
      <c r="E874" s="252"/>
      <c r="F874" s="253"/>
      <c r="G874" s="254">
        <f t="shared" si="120"/>
        <v>0</v>
      </c>
      <c r="H874" s="217" t="e">
        <f t="shared" si="114"/>
        <v>#N/A</v>
      </c>
      <c r="I874" s="254" t="e">
        <f t="shared" si="121"/>
        <v>#N/A</v>
      </c>
      <c r="J874" s="253" t="s">
        <v>502</v>
      </c>
      <c r="K874" s="253"/>
      <c r="L874" s="253"/>
      <c r="M874" s="253"/>
      <c r="N874" s="253"/>
      <c r="O874" s="256"/>
      <c r="P874" s="256"/>
    </row>
    <row r="875" spans="1:16" ht="15.75" hidden="1" outlineLevel="2" x14ac:dyDescent="0.25">
      <c r="A875" s="324">
        <v>42767</v>
      </c>
      <c r="B875" s="273">
        <v>2017</v>
      </c>
      <c r="C875" s="251" t="s">
        <v>396</v>
      </c>
      <c r="D875" s="213"/>
      <c r="E875" s="252"/>
      <c r="F875" s="253"/>
      <c r="G875" s="254">
        <f t="shared" si="120"/>
        <v>0</v>
      </c>
      <c r="H875" s="217" t="e">
        <f t="shared" si="114"/>
        <v>#N/A</v>
      </c>
      <c r="I875" s="254" t="e">
        <f t="shared" si="121"/>
        <v>#N/A</v>
      </c>
      <c r="J875" s="253" t="s">
        <v>502</v>
      </c>
      <c r="K875" s="253"/>
      <c r="L875" s="253"/>
      <c r="M875" s="253"/>
      <c r="N875" s="253"/>
      <c r="O875" s="256"/>
      <c r="P875" s="256"/>
    </row>
    <row r="876" spans="1:16" ht="15.75" hidden="1" outlineLevel="2" x14ac:dyDescent="0.25">
      <c r="A876" s="324">
        <v>42767</v>
      </c>
      <c r="B876" s="273">
        <v>2017</v>
      </c>
      <c r="C876" s="251" t="s">
        <v>396</v>
      </c>
      <c r="D876" s="213" t="s">
        <v>41</v>
      </c>
      <c r="E876" s="252">
        <v>6000</v>
      </c>
      <c r="F876" s="253">
        <v>1167</v>
      </c>
      <c r="G876" s="254">
        <f t="shared" ref="G876:G880" si="122">F876*E876/1000</f>
        <v>7002</v>
      </c>
      <c r="H876" s="217">
        <f t="shared" si="114"/>
        <v>0.65500000000000003</v>
      </c>
      <c r="I876" s="254">
        <f t="shared" ref="I876:I880" si="123">H876*G876</f>
        <v>4586.3100000000004</v>
      </c>
      <c r="J876" s="253" t="s">
        <v>502</v>
      </c>
      <c r="K876" s="255">
        <v>42726</v>
      </c>
      <c r="L876" s="253">
        <v>1018</v>
      </c>
      <c r="M876" s="253" t="s">
        <v>503</v>
      </c>
      <c r="N876" s="253" t="s">
        <v>512</v>
      </c>
      <c r="O876" s="256"/>
      <c r="P876" s="256"/>
    </row>
    <row r="877" spans="1:16" ht="15.75" hidden="1" outlineLevel="2" x14ac:dyDescent="0.25">
      <c r="A877" s="324">
        <v>42767</v>
      </c>
      <c r="B877" s="273">
        <v>2017</v>
      </c>
      <c r="C877" s="251" t="s">
        <v>396</v>
      </c>
      <c r="D877" s="213" t="s">
        <v>42</v>
      </c>
      <c r="E877" s="252">
        <v>6000</v>
      </c>
      <c r="F877" s="253">
        <v>417</v>
      </c>
      <c r="G877" s="254">
        <f t="shared" si="122"/>
        <v>2502</v>
      </c>
      <c r="H877" s="217">
        <f t="shared" si="114"/>
        <v>0.82199999999999995</v>
      </c>
      <c r="I877" s="254">
        <f t="shared" si="123"/>
        <v>2056.6439999999998</v>
      </c>
      <c r="J877" s="253" t="s">
        <v>502</v>
      </c>
      <c r="K877" s="255">
        <v>42726</v>
      </c>
      <c r="L877" s="253">
        <v>1018</v>
      </c>
      <c r="M877" s="253" t="s">
        <v>503</v>
      </c>
      <c r="N877" s="253"/>
      <c r="O877" s="256"/>
      <c r="P877" s="256"/>
    </row>
    <row r="878" spans="1:16" ht="15.75" hidden="1" outlineLevel="2" x14ac:dyDescent="0.25">
      <c r="A878" s="324">
        <v>42767</v>
      </c>
      <c r="B878" s="273">
        <v>2017</v>
      </c>
      <c r="C878" s="251" t="s">
        <v>396</v>
      </c>
      <c r="D878" s="213" t="s">
        <v>39</v>
      </c>
      <c r="E878" s="252">
        <v>6000</v>
      </c>
      <c r="F878" s="253">
        <v>250</v>
      </c>
      <c r="G878" s="254">
        <f t="shared" si="122"/>
        <v>1500</v>
      </c>
      <c r="H878" s="217">
        <f t="shared" si="114"/>
        <v>0.38</v>
      </c>
      <c r="I878" s="254">
        <f t="shared" si="123"/>
        <v>570</v>
      </c>
      <c r="J878" s="253" t="s">
        <v>502</v>
      </c>
      <c r="K878" s="255">
        <v>42726</v>
      </c>
      <c r="L878" s="253">
        <v>1018</v>
      </c>
      <c r="M878" s="253" t="s">
        <v>503</v>
      </c>
      <c r="N878" s="253"/>
      <c r="O878" s="256"/>
      <c r="P878" s="256"/>
    </row>
    <row r="879" spans="1:16" ht="15.75" hidden="1" outlineLevel="2" x14ac:dyDescent="0.25">
      <c r="A879" s="324">
        <v>42767</v>
      </c>
      <c r="B879" s="273">
        <v>2017</v>
      </c>
      <c r="C879" s="251" t="s">
        <v>396</v>
      </c>
      <c r="D879" s="213" t="s">
        <v>50</v>
      </c>
      <c r="E879" s="252">
        <v>6000</v>
      </c>
      <c r="F879" s="253">
        <v>84</v>
      </c>
      <c r="G879" s="254">
        <f t="shared" si="122"/>
        <v>504</v>
      </c>
      <c r="H879" s="217">
        <f t="shared" si="114"/>
        <v>0.53100000000000003</v>
      </c>
      <c r="I879" s="254">
        <f t="shared" si="123"/>
        <v>267.62400000000002</v>
      </c>
      <c r="J879" s="253" t="s">
        <v>502</v>
      </c>
      <c r="K879" s="255">
        <v>42726</v>
      </c>
      <c r="L879" s="253">
        <v>1018</v>
      </c>
      <c r="M879" s="253" t="s">
        <v>503</v>
      </c>
      <c r="N879" s="253"/>
      <c r="O879" s="256"/>
      <c r="P879" s="256"/>
    </row>
    <row r="880" spans="1:16" ht="15.75" hidden="1" outlineLevel="2" x14ac:dyDescent="0.25">
      <c r="A880" s="324">
        <v>42767</v>
      </c>
      <c r="B880" s="273">
        <v>2017</v>
      </c>
      <c r="C880" s="251" t="s">
        <v>396</v>
      </c>
      <c r="D880" s="213" t="s">
        <v>44</v>
      </c>
      <c r="E880" s="252">
        <v>6000</v>
      </c>
      <c r="F880" s="253">
        <v>84</v>
      </c>
      <c r="G880" s="254">
        <f t="shared" si="122"/>
        <v>504</v>
      </c>
      <c r="H880" s="217">
        <f t="shared" si="114"/>
        <v>1.1789999999999998</v>
      </c>
      <c r="I880" s="254">
        <f t="shared" si="123"/>
        <v>594.21599999999989</v>
      </c>
      <c r="J880" s="253" t="s">
        <v>502</v>
      </c>
      <c r="K880" s="255">
        <v>42726</v>
      </c>
      <c r="L880" s="253">
        <v>1018</v>
      </c>
      <c r="M880" s="253" t="s">
        <v>503</v>
      </c>
      <c r="N880" s="253" t="s">
        <v>512</v>
      </c>
      <c r="O880" s="256"/>
      <c r="P880" s="256"/>
    </row>
    <row r="881" spans="1:16" ht="15.75" hidden="1" outlineLevel="2" x14ac:dyDescent="0.25">
      <c r="A881" s="324">
        <v>42767</v>
      </c>
      <c r="B881" s="273">
        <v>2017</v>
      </c>
      <c r="C881" s="251" t="s">
        <v>396</v>
      </c>
      <c r="D881" s="213" t="s">
        <v>36</v>
      </c>
      <c r="E881" s="220">
        <v>4444</v>
      </c>
      <c r="F881" s="253">
        <v>55</v>
      </c>
      <c r="G881" s="254">
        <f t="shared" ref="G881" si="124">F881*E881/1000</f>
        <v>244.42</v>
      </c>
      <c r="H881" s="217">
        <f t="shared" si="114"/>
        <v>0.4</v>
      </c>
      <c r="I881" s="254">
        <f t="shared" ref="I881" si="125">H881*G881</f>
        <v>97.768000000000001</v>
      </c>
      <c r="J881" s="253"/>
      <c r="K881" s="253"/>
      <c r="L881" s="253"/>
      <c r="M881" s="253"/>
      <c r="N881" s="253"/>
      <c r="O881" s="256"/>
      <c r="P881" s="256"/>
    </row>
    <row r="882" spans="1:16" ht="15.75" hidden="1" outlineLevel="1" x14ac:dyDescent="0.25">
      <c r="A882" s="324">
        <v>42767</v>
      </c>
      <c r="B882" s="273">
        <v>2017</v>
      </c>
      <c r="C882" s="257" t="s">
        <v>397</v>
      </c>
      <c r="D882" s="258" t="s">
        <v>383</v>
      </c>
      <c r="E882" s="223"/>
      <c r="F882" s="253"/>
      <c r="G882" s="259"/>
      <c r="H882" s="217">
        <f t="shared" si="114"/>
        <v>8.2810000000000006</v>
      </c>
      <c r="I882" s="254">
        <f>H882*F882</f>
        <v>0</v>
      </c>
      <c r="J882" s="253" t="s">
        <v>502</v>
      </c>
      <c r="K882" s="253"/>
      <c r="L882" s="253"/>
      <c r="M882" s="253"/>
      <c r="N882" s="253"/>
      <c r="O882" s="256"/>
      <c r="P882" s="256"/>
    </row>
    <row r="883" spans="1:16" ht="15.75" hidden="1" outlineLevel="2" x14ac:dyDescent="0.25">
      <c r="A883" s="324">
        <v>42767</v>
      </c>
      <c r="B883" s="273">
        <v>2017</v>
      </c>
      <c r="C883" s="257" t="s">
        <v>397</v>
      </c>
      <c r="D883" s="258" t="s">
        <v>386</v>
      </c>
      <c r="E883" s="224"/>
      <c r="F883" s="253"/>
      <c r="G883" s="259"/>
      <c r="H883" s="217">
        <f t="shared" si="114"/>
        <v>11.587999999999999</v>
      </c>
      <c r="I883" s="254">
        <f t="shared" ref="I883:I888" si="126">H883*F883</f>
        <v>0</v>
      </c>
      <c r="J883" s="253" t="s">
        <v>502</v>
      </c>
      <c r="K883" s="253"/>
      <c r="L883" s="253"/>
      <c r="M883" s="253"/>
      <c r="N883" s="253"/>
      <c r="O883" s="256"/>
      <c r="P883" s="256"/>
    </row>
    <row r="884" spans="1:16" ht="15.75" hidden="1" outlineLevel="2" x14ac:dyDescent="0.25">
      <c r="A884" s="324">
        <v>42767</v>
      </c>
      <c r="B884" s="273">
        <v>2017</v>
      </c>
      <c r="C884" s="257" t="s">
        <v>397</v>
      </c>
      <c r="D884" s="258" t="s">
        <v>382</v>
      </c>
      <c r="E884" s="260"/>
      <c r="F884" s="253"/>
      <c r="G884" s="259"/>
      <c r="H884" s="217">
        <f t="shared" si="114"/>
        <v>7.4539999999999997</v>
      </c>
      <c r="I884" s="254">
        <f t="shared" si="126"/>
        <v>0</v>
      </c>
      <c r="J884" s="253"/>
      <c r="K884" s="253"/>
      <c r="L884" s="253"/>
      <c r="M884" s="253"/>
      <c r="N884" s="253"/>
      <c r="O884" s="256"/>
      <c r="P884" s="256"/>
    </row>
    <row r="885" spans="1:16" ht="15.75" hidden="1" outlineLevel="2" x14ac:dyDescent="0.25">
      <c r="A885" s="324">
        <v>42767</v>
      </c>
      <c r="B885" s="273">
        <v>2017</v>
      </c>
      <c r="C885" s="257" t="s">
        <v>397</v>
      </c>
      <c r="D885" s="258" t="s">
        <v>230</v>
      </c>
      <c r="E885" s="260"/>
      <c r="F885" s="253"/>
      <c r="G885" s="259"/>
      <c r="H885" s="217">
        <f t="shared" si="114"/>
        <v>5.0110000000000001</v>
      </c>
      <c r="I885" s="254">
        <f t="shared" si="126"/>
        <v>0</v>
      </c>
      <c r="J885" s="253"/>
      <c r="K885" s="253"/>
      <c r="L885" s="253"/>
      <c r="M885" s="253"/>
      <c r="N885" s="253"/>
      <c r="O885" s="256"/>
      <c r="P885" s="256"/>
    </row>
    <row r="886" spans="1:16" ht="15.75" hidden="1" outlineLevel="2" x14ac:dyDescent="0.25">
      <c r="A886" s="324">
        <v>42767</v>
      </c>
      <c r="B886" s="273">
        <v>2017</v>
      </c>
      <c r="C886" s="257" t="s">
        <v>397</v>
      </c>
      <c r="D886" s="258" t="s">
        <v>382</v>
      </c>
      <c r="E886" s="261"/>
      <c r="F886" s="253"/>
      <c r="G886" s="259"/>
      <c r="H886" s="217">
        <f t="shared" si="114"/>
        <v>7.4539999999999997</v>
      </c>
      <c r="I886" s="254">
        <f t="shared" si="126"/>
        <v>0</v>
      </c>
      <c r="J886" s="253"/>
      <c r="K886" s="253"/>
      <c r="L886" s="253"/>
      <c r="M886" s="253"/>
      <c r="N886" s="253"/>
      <c r="O886" s="256"/>
      <c r="P886" s="256"/>
    </row>
    <row r="887" spans="1:16" ht="15.75" hidden="1" outlineLevel="2" x14ac:dyDescent="0.25">
      <c r="A887" s="324">
        <v>42767</v>
      </c>
      <c r="B887" s="273">
        <v>2017</v>
      </c>
      <c r="C887" s="257" t="s">
        <v>397</v>
      </c>
      <c r="D887" s="258" t="s">
        <v>382</v>
      </c>
      <c r="E887" s="261"/>
      <c r="F887" s="253"/>
      <c r="G887" s="259"/>
      <c r="H887" s="217">
        <f t="shared" si="114"/>
        <v>7.4539999999999997</v>
      </c>
      <c r="I887" s="254">
        <f t="shared" si="126"/>
        <v>0</v>
      </c>
      <c r="J887" s="262"/>
      <c r="K887" s="262"/>
      <c r="L887" s="262"/>
      <c r="M887" s="262"/>
      <c r="N887" s="262"/>
      <c r="O887" s="256"/>
      <c r="P887" s="256"/>
    </row>
    <row r="888" spans="1:16" ht="15.75" hidden="1" outlineLevel="2" x14ac:dyDescent="0.25">
      <c r="A888" s="324">
        <v>42767</v>
      </c>
      <c r="B888" s="273">
        <v>2017</v>
      </c>
      <c r="C888" s="257" t="s">
        <v>397</v>
      </c>
      <c r="D888" s="258" t="s">
        <v>317</v>
      </c>
      <c r="E888" s="259"/>
      <c r="F888" s="253"/>
      <c r="G888" s="259"/>
      <c r="H888" s="217">
        <f t="shared" si="114"/>
        <v>2.7959999999999998</v>
      </c>
      <c r="I888" s="254">
        <f t="shared" si="126"/>
        <v>0</v>
      </c>
      <c r="J888" s="253" t="s">
        <v>502</v>
      </c>
      <c r="K888" s="253"/>
      <c r="L888" s="253">
        <v>7038</v>
      </c>
      <c r="M888" s="253"/>
      <c r="N888" s="253"/>
      <c r="O888" s="256"/>
      <c r="P888" s="256"/>
    </row>
    <row r="889" spans="1:16" ht="15.75" hidden="1" outlineLevel="2" x14ac:dyDescent="0.25">
      <c r="A889" s="324">
        <v>42767</v>
      </c>
      <c r="B889" s="273">
        <v>2017</v>
      </c>
      <c r="C889" s="257" t="s">
        <v>397</v>
      </c>
      <c r="D889" s="258" t="s">
        <v>447</v>
      </c>
      <c r="E889" s="264"/>
      <c r="F889" s="253"/>
      <c r="G889" s="265"/>
      <c r="H889" s="217">
        <f t="shared" si="114"/>
        <v>1.738</v>
      </c>
      <c r="I889" s="254">
        <f t="shared" ref="I889:I892" si="127">H889*F889</f>
        <v>0</v>
      </c>
      <c r="J889" s="262"/>
      <c r="K889" s="262"/>
      <c r="L889" s="253"/>
      <c r="M889" s="262"/>
      <c r="N889" s="262"/>
      <c r="O889" s="256"/>
      <c r="P889" s="256"/>
    </row>
    <row r="890" spans="1:16" ht="15.75" hidden="1" outlineLevel="2" x14ac:dyDescent="0.25">
      <c r="A890" s="324">
        <v>42767</v>
      </c>
      <c r="B890" s="273">
        <v>2017</v>
      </c>
      <c r="C890" s="257" t="s">
        <v>397</v>
      </c>
      <c r="D890" s="258"/>
      <c r="E890" s="264"/>
      <c r="F890" s="253"/>
      <c r="G890" s="265"/>
      <c r="H890" s="217" t="e">
        <f t="shared" si="114"/>
        <v>#N/A</v>
      </c>
      <c r="I890" s="254" t="e">
        <f t="shared" si="127"/>
        <v>#N/A</v>
      </c>
      <c r="J890" s="262"/>
      <c r="K890" s="262"/>
      <c r="L890" s="253"/>
      <c r="M890" s="262"/>
      <c r="N890" s="262"/>
      <c r="O890" s="256"/>
      <c r="P890" s="256"/>
    </row>
    <row r="891" spans="1:16" ht="15.75" hidden="1" outlineLevel="2" x14ac:dyDescent="0.25">
      <c r="A891" s="324">
        <v>42767</v>
      </c>
      <c r="B891" s="273">
        <v>2017</v>
      </c>
      <c r="C891" s="257" t="s">
        <v>397</v>
      </c>
      <c r="D891" s="258"/>
      <c r="E891" s="264"/>
      <c r="F891" s="253"/>
      <c r="G891" s="265"/>
      <c r="H891" s="217" t="e">
        <f t="shared" si="114"/>
        <v>#N/A</v>
      </c>
      <c r="I891" s="254" t="e">
        <f t="shared" si="127"/>
        <v>#N/A</v>
      </c>
      <c r="J891" s="262"/>
      <c r="K891" s="262"/>
      <c r="L891" s="253"/>
      <c r="M891" s="262"/>
      <c r="N891" s="262"/>
      <c r="O891" s="256"/>
      <c r="P891" s="256"/>
    </row>
    <row r="892" spans="1:16" ht="15.75" hidden="1" outlineLevel="2" x14ac:dyDescent="0.25">
      <c r="A892" s="324">
        <v>42767</v>
      </c>
      <c r="B892" s="273">
        <v>2017</v>
      </c>
      <c r="C892" s="257" t="s">
        <v>397</v>
      </c>
      <c r="D892" s="258"/>
      <c r="E892" s="264"/>
      <c r="F892" s="253"/>
      <c r="G892" s="265"/>
      <c r="H892" s="217" t="e">
        <f t="shared" si="114"/>
        <v>#N/A</v>
      </c>
      <c r="I892" s="254" t="e">
        <f t="shared" si="127"/>
        <v>#N/A</v>
      </c>
      <c r="J892" s="262"/>
      <c r="K892" s="262"/>
      <c r="L892" s="253"/>
      <c r="M892" s="262"/>
      <c r="N892" s="262"/>
      <c r="O892" s="256"/>
      <c r="P892" s="256"/>
    </row>
    <row r="893" spans="1:16" ht="15.75" hidden="1" outlineLevel="2" x14ac:dyDescent="0.25">
      <c r="A893" s="324">
        <v>42767</v>
      </c>
      <c r="B893" s="273">
        <v>2017</v>
      </c>
      <c r="C893" s="257" t="s">
        <v>397</v>
      </c>
      <c r="D893" s="258"/>
      <c r="E893" s="264"/>
      <c r="F893" s="253"/>
      <c r="G893" s="265"/>
      <c r="H893" s="217" t="e">
        <f t="shared" si="114"/>
        <v>#N/A</v>
      </c>
      <c r="I893" s="254" t="e">
        <f>H893*F893</f>
        <v>#N/A</v>
      </c>
      <c r="J893" s="262"/>
      <c r="K893" s="262"/>
      <c r="L893" s="253"/>
      <c r="M893" s="262"/>
      <c r="N893" s="262"/>
      <c r="O893" s="256"/>
      <c r="P893" s="256"/>
    </row>
    <row r="894" spans="1:16" ht="15.75" hidden="1" outlineLevel="1" x14ac:dyDescent="0.25">
      <c r="A894" s="324">
        <v>42767</v>
      </c>
      <c r="B894" s="273">
        <v>2017</v>
      </c>
      <c r="C894" s="266" t="s">
        <v>391</v>
      </c>
      <c r="D894" s="267" t="s">
        <v>373</v>
      </c>
      <c r="E894" s="264"/>
      <c r="F894" s="253"/>
      <c r="G894" s="265"/>
      <c r="H894" s="217">
        <f t="shared" si="114"/>
        <v>0</v>
      </c>
      <c r="I894" s="254">
        <f t="shared" ref="I894:I903" si="128">H894*F894</f>
        <v>0</v>
      </c>
      <c r="J894" s="262" t="s">
        <v>502</v>
      </c>
      <c r="K894" s="262"/>
      <c r="L894" s="253">
        <v>7038</v>
      </c>
      <c r="M894" s="262"/>
      <c r="N894" s="262"/>
      <c r="O894" s="256"/>
      <c r="P894" s="256"/>
    </row>
    <row r="895" spans="1:16" ht="15.75" hidden="1" outlineLevel="2" x14ac:dyDescent="0.25">
      <c r="A895" s="324">
        <v>42767</v>
      </c>
      <c r="B895" s="273">
        <v>2017</v>
      </c>
      <c r="C895" s="266" t="s">
        <v>391</v>
      </c>
      <c r="D895" s="267" t="s">
        <v>374</v>
      </c>
      <c r="E895" s="264"/>
      <c r="F895" s="253"/>
      <c r="G895" s="265"/>
      <c r="H895" s="217">
        <f t="shared" ref="H895:H958" si="129">VLOOKUP(D895,$D$5:$E$359,2,FALSE)</f>
        <v>0</v>
      </c>
      <c r="I895" s="254">
        <f t="shared" si="128"/>
        <v>0</v>
      </c>
      <c r="J895" s="262" t="s">
        <v>502</v>
      </c>
      <c r="K895" s="255"/>
      <c r="L895" s="253">
        <v>7038</v>
      </c>
      <c r="M895" s="253"/>
      <c r="N895" s="253"/>
      <c r="O895" s="256"/>
      <c r="P895" s="256"/>
    </row>
    <row r="896" spans="1:16" ht="15.75" hidden="1" outlineLevel="2" x14ac:dyDescent="0.25">
      <c r="A896" s="324">
        <v>42767</v>
      </c>
      <c r="B896" s="273">
        <v>2017</v>
      </c>
      <c r="C896" s="266" t="s">
        <v>391</v>
      </c>
      <c r="D896" s="267" t="s">
        <v>375</v>
      </c>
      <c r="E896" s="264"/>
      <c r="F896" s="253"/>
      <c r="G896" s="265"/>
      <c r="H896" s="217">
        <f t="shared" si="129"/>
        <v>0</v>
      </c>
      <c r="I896" s="254">
        <f t="shared" si="128"/>
        <v>0</v>
      </c>
      <c r="J896" s="262" t="s">
        <v>502</v>
      </c>
      <c r="K896" s="255"/>
      <c r="L896" s="253">
        <v>7038</v>
      </c>
      <c r="M896" s="253"/>
      <c r="N896" s="253"/>
      <c r="O896" s="256"/>
      <c r="P896" s="256"/>
    </row>
    <row r="897" spans="1:16" ht="15.75" hidden="1" outlineLevel="2" x14ac:dyDescent="0.25">
      <c r="A897" s="324">
        <v>42767</v>
      </c>
      <c r="B897" s="273">
        <v>2017</v>
      </c>
      <c r="C897" s="266" t="s">
        <v>391</v>
      </c>
      <c r="D897" s="267" t="s">
        <v>376</v>
      </c>
      <c r="E897" s="264"/>
      <c r="F897" s="253"/>
      <c r="G897" s="265"/>
      <c r="H897" s="217">
        <f t="shared" si="129"/>
        <v>0</v>
      </c>
      <c r="I897" s="254">
        <f t="shared" si="128"/>
        <v>0</v>
      </c>
      <c r="J897" s="262" t="s">
        <v>502</v>
      </c>
      <c r="K897" s="262"/>
      <c r="L897" s="253">
        <v>7038</v>
      </c>
      <c r="M897" s="262"/>
      <c r="N897" s="262"/>
      <c r="O897" s="256"/>
      <c r="P897" s="256"/>
    </row>
    <row r="898" spans="1:16" ht="15.75" hidden="1" outlineLevel="2" x14ac:dyDescent="0.25">
      <c r="A898" s="324">
        <v>42767</v>
      </c>
      <c r="B898" s="273">
        <v>2017</v>
      </c>
      <c r="C898" s="266" t="s">
        <v>391</v>
      </c>
      <c r="D898" s="267" t="s">
        <v>394</v>
      </c>
      <c r="E898" s="264"/>
      <c r="F898" s="253">
        <v>300</v>
      </c>
      <c r="G898" s="265"/>
      <c r="H898" s="217">
        <f t="shared" si="129"/>
        <v>0</v>
      </c>
      <c r="I898" s="254">
        <f t="shared" si="128"/>
        <v>0</v>
      </c>
      <c r="J898" s="262" t="s">
        <v>502</v>
      </c>
      <c r="K898" s="263">
        <v>42726</v>
      </c>
      <c r="L898" s="253">
        <v>1018</v>
      </c>
      <c r="M898" s="262" t="s">
        <v>503</v>
      </c>
      <c r="N898" s="262"/>
      <c r="O898" s="256"/>
      <c r="P898" s="256"/>
    </row>
    <row r="899" spans="1:16" ht="15.75" hidden="1" outlineLevel="2" x14ac:dyDescent="0.25">
      <c r="A899" s="324">
        <v>42767</v>
      </c>
      <c r="B899" s="273">
        <v>2017</v>
      </c>
      <c r="C899" s="266" t="s">
        <v>391</v>
      </c>
      <c r="D899" s="267" t="s">
        <v>453</v>
      </c>
      <c r="E899" s="264"/>
      <c r="F899" s="253"/>
      <c r="G899" s="265"/>
      <c r="H899" s="217">
        <f t="shared" si="129"/>
        <v>0</v>
      </c>
      <c r="I899" s="254">
        <f t="shared" si="128"/>
        <v>0</v>
      </c>
      <c r="J899" s="262"/>
      <c r="K899" s="262"/>
      <c r="L899" s="253"/>
      <c r="M899" s="262"/>
      <c r="N899" s="262"/>
      <c r="O899" s="256"/>
      <c r="P899" s="256"/>
    </row>
    <row r="900" spans="1:16" ht="15.75" hidden="1" outlineLevel="2" x14ac:dyDescent="0.25">
      <c r="A900" s="324">
        <v>42767</v>
      </c>
      <c r="B900" s="273">
        <v>2017</v>
      </c>
      <c r="C900" s="266" t="s">
        <v>391</v>
      </c>
      <c r="D900" s="267"/>
      <c r="E900" s="264"/>
      <c r="F900" s="253"/>
      <c r="G900" s="265"/>
      <c r="H900" s="217" t="e">
        <f t="shared" si="129"/>
        <v>#N/A</v>
      </c>
      <c r="I900" s="254" t="e">
        <f t="shared" si="128"/>
        <v>#N/A</v>
      </c>
      <c r="J900" s="262"/>
      <c r="K900" s="262"/>
      <c r="L900" s="253"/>
      <c r="M900" s="262"/>
      <c r="N900" s="262"/>
      <c r="O900" s="256"/>
      <c r="P900" s="256"/>
    </row>
    <row r="901" spans="1:16" ht="15.75" hidden="1" outlineLevel="2" x14ac:dyDescent="0.25">
      <c r="A901" s="324">
        <v>42767</v>
      </c>
      <c r="B901" s="273">
        <v>2017</v>
      </c>
      <c r="C901" s="266" t="s">
        <v>391</v>
      </c>
      <c r="D901" s="267"/>
      <c r="E901" s="264"/>
      <c r="F901" s="253"/>
      <c r="G901" s="265"/>
      <c r="H901" s="217" t="e">
        <f t="shared" si="129"/>
        <v>#N/A</v>
      </c>
      <c r="I901" s="254" t="e">
        <f t="shared" si="128"/>
        <v>#N/A</v>
      </c>
      <c r="J901" s="262"/>
      <c r="K901" s="262"/>
      <c r="L901" s="253"/>
      <c r="M901" s="262"/>
      <c r="N901" s="262"/>
      <c r="O901" s="256"/>
      <c r="P901" s="256"/>
    </row>
    <row r="902" spans="1:16" ht="15.75" hidden="1" outlineLevel="2" x14ac:dyDescent="0.25">
      <c r="A902" s="324">
        <v>42767</v>
      </c>
      <c r="B902" s="273">
        <v>2017</v>
      </c>
      <c r="C902" s="266" t="s">
        <v>391</v>
      </c>
      <c r="D902" s="267"/>
      <c r="E902" s="264"/>
      <c r="F902" s="253"/>
      <c r="G902" s="265"/>
      <c r="H902" s="217" t="e">
        <f t="shared" si="129"/>
        <v>#N/A</v>
      </c>
      <c r="I902" s="254" t="e">
        <f t="shared" si="128"/>
        <v>#N/A</v>
      </c>
      <c r="J902" s="262"/>
      <c r="K902" s="262"/>
      <c r="L902" s="253"/>
      <c r="M902" s="262"/>
      <c r="N902" s="262"/>
      <c r="O902" s="256"/>
      <c r="P902" s="256"/>
    </row>
    <row r="903" spans="1:16" ht="15.75" hidden="1" outlineLevel="2" x14ac:dyDescent="0.25">
      <c r="A903" s="324">
        <v>42767</v>
      </c>
      <c r="B903" s="273">
        <v>2017</v>
      </c>
      <c r="C903" s="266" t="s">
        <v>391</v>
      </c>
      <c r="D903" s="267"/>
      <c r="E903" s="264"/>
      <c r="F903" s="253"/>
      <c r="G903" s="265"/>
      <c r="H903" s="217" t="e">
        <f t="shared" si="129"/>
        <v>#N/A</v>
      </c>
      <c r="I903" s="254" t="e">
        <f t="shared" si="128"/>
        <v>#N/A</v>
      </c>
      <c r="J903" s="262"/>
      <c r="K903" s="262"/>
      <c r="L903" s="253"/>
      <c r="M903" s="262"/>
      <c r="N903" s="262"/>
      <c r="O903" s="256"/>
      <c r="P903" s="256"/>
    </row>
    <row r="904" spans="1:16" ht="15.75" hidden="1" outlineLevel="1" x14ac:dyDescent="0.25">
      <c r="A904" s="324">
        <v>42767</v>
      </c>
      <c r="B904" s="273">
        <v>2017</v>
      </c>
      <c r="C904" s="268" t="s">
        <v>398</v>
      </c>
      <c r="D904" s="274" t="s">
        <v>393</v>
      </c>
      <c r="E904" s="264"/>
      <c r="F904" s="270"/>
      <c r="G904" s="265"/>
      <c r="H904" s="217">
        <f t="shared" si="129"/>
        <v>0</v>
      </c>
      <c r="I904" s="262"/>
      <c r="J904" s="262" t="s">
        <v>502</v>
      </c>
      <c r="K904" s="262"/>
      <c r="L904" s="253">
        <v>7038</v>
      </c>
      <c r="M904" s="262"/>
      <c r="N904" s="262"/>
      <c r="O904" s="256"/>
      <c r="P904" s="256"/>
    </row>
    <row r="905" spans="1:16" ht="15.75" hidden="1" outlineLevel="2" x14ac:dyDescent="0.25">
      <c r="A905" s="324">
        <v>42767</v>
      </c>
      <c r="B905" s="273">
        <v>2017</v>
      </c>
      <c r="C905" s="268" t="s">
        <v>398</v>
      </c>
      <c r="D905" s="274" t="s">
        <v>393</v>
      </c>
      <c r="E905" s="264"/>
      <c r="F905" s="270"/>
      <c r="G905" s="265"/>
      <c r="H905" s="217">
        <f t="shared" si="129"/>
        <v>0</v>
      </c>
      <c r="I905" s="262">
        <v>46000</v>
      </c>
      <c r="J905" s="262" t="s">
        <v>502</v>
      </c>
      <c r="K905" s="263">
        <v>42735</v>
      </c>
      <c r="L905" s="253">
        <v>7038</v>
      </c>
      <c r="M905" s="262" t="s">
        <v>513</v>
      </c>
      <c r="N905" s="262"/>
      <c r="O905" s="256"/>
      <c r="P905" s="256"/>
    </row>
    <row r="906" spans="1:16" ht="15.75" hidden="1" outlineLevel="2" x14ac:dyDescent="0.25">
      <c r="A906" s="324">
        <v>42767</v>
      </c>
      <c r="B906" s="273">
        <v>2017</v>
      </c>
      <c r="C906" s="268" t="s">
        <v>398</v>
      </c>
      <c r="D906" s="274" t="s">
        <v>393</v>
      </c>
      <c r="E906" s="264"/>
      <c r="F906" s="270"/>
      <c r="G906" s="265"/>
      <c r="H906" s="217">
        <f t="shared" si="129"/>
        <v>0</v>
      </c>
      <c r="I906" s="262">
        <v>46000</v>
      </c>
      <c r="J906" s="262" t="s">
        <v>502</v>
      </c>
      <c r="K906" s="263">
        <v>42735</v>
      </c>
      <c r="L906" s="253">
        <v>7038</v>
      </c>
      <c r="M906" s="262" t="s">
        <v>513</v>
      </c>
      <c r="N906" s="262"/>
      <c r="O906" s="256"/>
      <c r="P906" s="256"/>
    </row>
    <row r="907" spans="1:16" ht="15.75" hidden="1" outlineLevel="2" x14ac:dyDescent="0.25">
      <c r="A907" s="324">
        <v>42767</v>
      </c>
      <c r="B907" s="273">
        <v>2017</v>
      </c>
      <c r="C907" s="268" t="s">
        <v>398</v>
      </c>
      <c r="D907" s="272" t="s">
        <v>516</v>
      </c>
      <c r="E907" s="264"/>
      <c r="F907" s="270"/>
      <c r="G907" s="265"/>
      <c r="H907" s="217" t="e">
        <f t="shared" si="129"/>
        <v>#N/A</v>
      </c>
      <c r="I907" s="262"/>
      <c r="J907" s="262" t="s">
        <v>502</v>
      </c>
      <c r="K907" s="262"/>
      <c r="L907" s="253">
        <v>7038</v>
      </c>
      <c r="M907" s="262"/>
      <c r="N907" s="262"/>
      <c r="O907" s="256"/>
      <c r="P907" s="256"/>
    </row>
    <row r="908" spans="1:16" ht="15.75" hidden="1" outlineLevel="2" x14ac:dyDescent="0.25">
      <c r="A908" s="324">
        <v>42767</v>
      </c>
      <c r="B908" s="273">
        <v>2017</v>
      </c>
      <c r="C908" s="268" t="s">
        <v>398</v>
      </c>
      <c r="D908" s="272" t="s">
        <v>517</v>
      </c>
      <c r="E908" s="264"/>
      <c r="F908" s="270"/>
      <c r="G908" s="265"/>
      <c r="H908" s="217" t="e">
        <f t="shared" si="129"/>
        <v>#N/A</v>
      </c>
      <c r="I908" s="262"/>
      <c r="J908" s="262" t="s">
        <v>502</v>
      </c>
      <c r="K908" s="262"/>
      <c r="L908" s="253">
        <v>7038</v>
      </c>
      <c r="M908" s="262"/>
      <c r="N908" s="262"/>
      <c r="O908" s="256"/>
      <c r="P908" s="256"/>
    </row>
    <row r="909" spans="1:16" ht="15.75" hidden="1" outlineLevel="2" x14ac:dyDescent="0.25">
      <c r="A909" s="324">
        <v>42767</v>
      </c>
      <c r="B909" s="273">
        <v>2017</v>
      </c>
      <c r="C909" s="268" t="s">
        <v>398</v>
      </c>
      <c r="D909" s="272" t="s">
        <v>518</v>
      </c>
      <c r="E909" s="264"/>
      <c r="F909" s="270"/>
      <c r="G909" s="265"/>
      <c r="H909" s="217" t="e">
        <f t="shared" si="129"/>
        <v>#N/A</v>
      </c>
      <c r="I909" s="262"/>
      <c r="J909" s="262" t="s">
        <v>502</v>
      </c>
      <c r="K909" s="262"/>
      <c r="L909" s="253">
        <v>7038</v>
      </c>
      <c r="M909" s="262"/>
      <c r="N909" s="262"/>
      <c r="O909" s="256"/>
      <c r="P909" s="256"/>
    </row>
    <row r="910" spans="1:16" ht="15.75" hidden="1" outlineLevel="2" x14ac:dyDescent="0.25">
      <c r="A910" s="324">
        <v>42767</v>
      </c>
      <c r="B910" s="273">
        <v>2017</v>
      </c>
      <c r="C910" s="268" t="s">
        <v>398</v>
      </c>
      <c r="D910" s="272" t="s">
        <v>519</v>
      </c>
      <c r="E910" s="264"/>
      <c r="F910" s="270"/>
      <c r="G910" s="265"/>
      <c r="H910" s="217" t="e">
        <f t="shared" si="129"/>
        <v>#N/A</v>
      </c>
      <c r="I910" s="262"/>
      <c r="J910" s="262" t="s">
        <v>502</v>
      </c>
      <c r="K910" s="262"/>
      <c r="L910" s="253">
        <v>7038</v>
      </c>
      <c r="M910" s="262"/>
      <c r="N910" s="262"/>
      <c r="O910" s="256"/>
      <c r="P910" s="256"/>
    </row>
    <row r="911" spans="1:16" ht="15.75" hidden="1" outlineLevel="2" x14ac:dyDescent="0.25">
      <c r="A911" s="324">
        <v>42767</v>
      </c>
      <c r="B911" s="273">
        <v>2017</v>
      </c>
      <c r="C911" s="268" t="s">
        <v>398</v>
      </c>
      <c r="D911" s="272" t="s">
        <v>520</v>
      </c>
      <c r="E911" s="264"/>
      <c r="F911" s="270"/>
      <c r="G911" s="265"/>
      <c r="H911" s="217" t="e">
        <f t="shared" si="129"/>
        <v>#N/A</v>
      </c>
      <c r="I911" s="262"/>
      <c r="J911" s="262" t="s">
        <v>502</v>
      </c>
      <c r="K911" s="262"/>
      <c r="L911" s="253">
        <v>7038</v>
      </c>
      <c r="M911" s="262"/>
      <c r="N911" s="262"/>
      <c r="O911" s="256"/>
      <c r="P911" s="256"/>
    </row>
    <row r="912" spans="1:16" ht="15.75" hidden="1" outlineLevel="2" x14ac:dyDescent="0.25">
      <c r="A912" s="324">
        <v>42767</v>
      </c>
      <c r="B912" s="273">
        <v>2017</v>
      </c>
      <c r="C912" s="268" t="s">
        <v>398</v>
      </c>
      <c r="D912" s="272"/>
      <c r="E912" s="264"/>
      <c r="F912" s="270"/>
      <c r="G912" s="265"/>
      <c r="H912" s="217" t="e">
        <f t="shared" si="129"/>
        <v>#N/A</v>
      </c>
      <c r="I912" s="262"/>
      <c r="J912" s="262"/>
      <c r="K912" s="262"/>
      <c r="L912" s="253"/>
      <c r="M912" s="262"/>
      <c r="N912" s="262"/>
      <c r="O912" s="256"/>
      <c r="P912" s="256"/>
    </row>
    <row r="913" spans="1:16" ht="15.75" hidden="1" outlineLevel="2" x14ac:dyDescent="0.25">
      <c r="A913" s="324">
        <v>42767</v>
      </c>
      <c r="B913" s="273">
        <v>2017</v>
      </c>
      <c r="C913" s="268" t="s">
        <v>398</v>
      </c>
      <c r="D913" s="272"/>
      <c r="E913" s="264"/>
      <c r="F913" s="270"/>
      <c r="G913" s="265"/>
      <c r="H913" s="217" t="e">
        <f t="shared" si="129"/>
        <v>#N/A</v>
      </c>
      <c r="I913" s="262"/>
      <c r="J913" s="262"/>
      <c r="K913" s="262"/>
      <c r="L913" s="253"/>
      <c r="M913" s="262"/>
      <c r="N913" s="262"/>
      <c r="O913" s="256"/>
      <c r="P913" s="256"/>
    </row>
    <row r="914" spans="1:16" ht="15.75" hidden="1" outlineLevel="2" x14ac:dyDescent="0.25">
      <c r="A914" s="324">
        <v>42767</v>
      </c>
      <c r="B914" s="273">
        <v>2017</v>
      </c>
      <c r="C914" s="268" t="s">
        <v>398</v>
      </c>
      <c r="D914" s="272"/>
      <c r="E914" s="264"/>
      <c r="F914" s="270"/>
      <c r="G914" s="265"/>
      <c r="H914" s="217" t="e">
        <f t="shared" si="129"/>
        <v>#N/A</v>
      </c>
      <c r="I914" s="262"/>
      <c r="J914" s="262"/>
      <c r="K914" s="262"/>
      <c r="L914" s="253"/>
      <c r="M914" s="262"/>
      <c r="N914" s="262"/>
      <c r="O914" s="256"/>
      <c r="P914" s="256"/>
    </row>
    <row r="915" spans="1:16" ht="15.75" hidden="1" outlineLevel="2" x14ac:dyDescent="0.25">
      <c r="A915" s="324">
        <v>42767</v>
      </c>
      <c r="B915" s="273">
        <v>2017</v>
      </c>
      <c r="C915" s="268" t="s">
        <v>398</v>
      </c>
      <c r="D915" s="272"/>
      <c r="E915" s="264"/>
      <c r="F915" s="270"/>
      <c r="G915" s="265"/>
      <c r="H915" s="217" t="e">
        <f t="shared" si="129"/>
        <v>#N/A</v>
      </c>
      <c r="I915" s="262"/>
      <c r="J915" s="262"/>
      <c r="K915" s="262"/>
      <c r="L915" s="253"/>
      <c r="M915" s="262"/>
      <c r="N915" s="262"/>
      <c r="O915" s="256"/>
      <c r="P915" s="256"/>
    </row>
    <row r="916" spans="1:16" hidden="1" x14ac:dyDescent="0.25">
      <c r="A916" s="313"/>
      <c r="H916" s="217" t="e">
        <f t="shared" si="129"/>
        <v>#N/A</v>
      </c>
    </row>
    <row r="917" spans="1:16" ht="15.75" hidden="1" x14ac:dyDescent="0.25">
      <c r="A917" s="324">
        <v>42795</v>
      </c>
      <c r="B917" s="273">
        <v>2017</v>
      </c>
      <c r="C917" s="245"/>
      <c r="D917" s="246" t="s">
        <v>498</v>
      </c>
      <c r="E917" s="246"/>
      <c r="F917" s="247"/>
      <c r="G917" s="247">
        <f>SUM(G921:G930)</f>
        <v>12280.42</v>
      </c>
      <c r="H917" s="217" t="e">
        <f t="shared" si="129"/>
        <v>#N/A</v>
      </c>
      <c r="I917" s="247"/>
      <c r="J917" s="247"/>
      <c r="K917" s="247"/>
      <c r="L917" s="248"/>
      <c r="M917" s="248"/>
      <c r="N917" s="245"/>
      <c r="O917" s="249"/>
      <c r="P917" s="249"/>
    </row>
    <row r="918" spans="1:16" ht="15.75" hidden="1" outlineLevel="1" x14ac:dyDescent="0.25">
      <c r="A918" s="324">
        <v>42795</v>
      </c>
      <c r="B918" s="273">
        <v>2017</v>
      </c>
      <c r="C918" s="245"/>
      <c r="D918" s="246" t="s">
        <v>499</v>
      </c>
      <c r="E918" s="246"/>
      <c r="F918" s="247">
        <f>SUM(F931:F941)</f>
        <v>0</v>
      </c>
      <c r="G918" s="247"/>
      <c r="H918" s="217" t="e">
        <f t="shared" si="129"/>
        <v>#N/A</v>
      </c>
      <c r="I918" s="247" t="e">
        <f>SUM(I931:I941)</f>
        <v>#N/A</v>
      </c>
      <c r="J918" s="247"/>
      <c r="K918" s="247"/>
      <c r="L918" s="248"/>
      <c r="M918" s="248"/>
      <c r="N918" s="245"/>
      <c r="O918" s="249"/>
      <c r="P918" s="249"/>
    </row>
    <row r="919" spans="1:16" ht="15.75" hidden="1" outlineLevel="1" x14ac:dyDescent="0.25">
      <c r="A919" s="324">
        <v>42795</v>
      </c>
      <c r="B919" s="273">
        <v>2017</v>
      </c>
      <c r="C919" s="245"/>
      <c r="D919" s="246" t="s">
        <v>500</v>
      </c>
      <c r="E919" s="246"/>
      <c r="F919" s="247">
        <f>SUM(F942:F950)</f>
        <v>300</v>
      </c>
      <c r="G919" s="247"/>
      <c r="H919" s="217" t="e">
        <f t="shared" si="129"/>
        <v>#N/A</v>
      </c>
      <c r="I919" s="247"/>
      <c r="J919" s="247"/>
      <c r="K919" s="247"/>
      <c r="L919" s="248"/>
      <c r="M919" s="248"/>
      <c r="N919" s="245"/>
      <c r="O919" s="249"/>
      <c r="P919" s="249"/>
    </row>
    <row r="920" spans="1:16" ht="15.75" hidden="1" outlineLevel="1" x14ac:dyDescent="0.25">
      <c r="A920" s="324">
        <v>42795</v>
      </c>
      <c r="B920" s="273">
        <v>2017</v>
      </c>
      <c r="C920" s="245"/>
      <c r="D920" s="246" t="s">
        <v>501</v>
      </c>
      <c r="E920" s="246"/>
      <c r="F920" s="247"/>
      <c r="G920" s="247"/>
      <c r="H920" s="217" t="e">
        <f t="shared" si="129"/>
        <v>#N/A</v>
      </c>
      <c r="I920" s="247">
        <f>SUM(I951:I961)</f>
        <v>92000</v>
      </c>
      <c r="J920" s="247"/>
      <c r="K920" s="247"/>
      <c r="L920" s="248"/>
      <c r="M920" s="248"/>
      <c r="N920" s="245"/>
      <c r="O920" s="250"/>
      <c r="P920" s="250"/>
    </row>
    <row r="921" spans="1:16" ht="15.75" hidden="1" outlineLevel="1" x14ac:dyDescent="0.25">
      <c r="A921" s="324">
        <v>42795</v>
      </c>
      <c r="B921" s="273">
        <v>2017</v>
      </c>
      <c r="C921" s="251" t="s">
        <v>396</v>
      </c>
      <c r="D921" s="213" t="s">
        <v>33</v>
      </c>
      <c r="E921" s="252">
        <v>3000</v>
      </c>
      <c r="F921" s="253">
        <v>8</v>
      </c>
      <c r="G921" s="254">
        <f>F921*E921/1000</f>
        <v>24</v>
      </c>
      <c r="H921" s="217">
        <f t="shared" si="129"/>
        <v>8.661999999999999</v>
      </c>
      <c r="I921" s="254">
        <f>H921*G921</f>
        <v>207.88799999999998</v>
      </c>
      <c r="J921" s="253" t="s">
        <v>502</v>
      </c>
      <c r="K921" s="253"/>
      <c r="L921" s="253"/>
      <c r="M921" s="253"/>
      <c r="N921" s="253"/>
      <c r="O921" s="256"/>
      <c r="P921" s="256"/>
    </row>
    <row r="922" spans="1:16" ht="15.75" hidden="1" outlineLevel="2" x14ac:dyDescent="0.25">
      <c r="A922" s="324">
        <v>42795</v>
      </c>
      <c r="B922" s="273">
        <v>2017</v>
      </c>
      <c r="C922" s="251" t="s">
        <v>396</v>
      </c>
      <c r="D922" s="213"/>
      <c r="E922" s="252"/>
      <c r="F922" s="253"/>
      <c r="G922" s="254">
        <f t="shared" ref="G922:G924" si="130">F922*E922/1000</f>
        <v>0</v>
      </c>
      <c r="H922" s="217" t="e">
        <f t="shared" si="129"/>
        <v>#N/A</v>
      </c>
      <c r="I922" s="254" t="e">
        <f t="shared" ref="I922:I924" si="131">H922*G922</f>
        <v>#N/A</v>
      </c>
      <c r="J922" s="253" t="s">
        <v>521</v>
      </c>
      <c r="K922" s="253"/>
      <c r="L922" s="253"/>
      <c r="M922" s="253"/>
      <c r="N922" s="253"/>
      <c r="O922" s="256"/>
      <c r="P922" s="256"/>
    </row>
    <row r="923" spans="1:16" ht="15.75" hidden="1" outlineLevel="2" x14ac:dyDescent="0.25">
      <c r="A923" s="324">
        <v>42795</v>
      </c>
      <c r="B923" s="273">
        <v>2017</v>
      </c>
      <c r="C923" s="251" t="s">
        <v>396</v>
      </c>
      <c r="D923" s="213"/>
      <c r="E923" s="252"/>
      <c r="F923" s="253"/>
      <c r="G923" s="254">
        <f t="shared" si="130"/>
        <v>0</v>
      </c>
      <c r="H923" s="217" t="e">
        <f t="shared" si="129"/>
        <v>#N/A</v>
      </c>
      <c r="I923" s="254" t="e">
        <f t="shared" si="131"/>
        <v>#N/A</v>
      </c>
      <c r="J923" s="253" t="s">
        <v>502</v>
      </c>
      <c r="K923" s="253"/>
      <c r="L923" s="253"/>
      <c r="M923" s="253"/>
      <c r="N923" s="253"/>
      <c r="O923" s="256"/>
      <c r="P923" s="256"/>
    </row>
    <row r="924" spans="1:16" ht="15.75" hidden="1" outlineLevel="2" x14ac:dyDescent="0.25">
      <c r="A924" s="324">
        <v>42795</v>
      </c>
      <c r="B924" s="273">
        <v>2017</v>
      </c>
      <c r="C924" s="251" t="s">
        <v>396</v>
      </c>
      <c r="D924" s="213"/>
      <c r="E924" s="252"/>
      <c r="F924" s="253"/>
      <c r="G924" s="254">
        <f t="shared" si="130"/>
        <v>0</v>
      </c>
      <c r="H924" s="217" t="e">
        <f t="shared" si="129"/>
        <v>#N/A</v>
      </c>
      <c r="I924" s="254" t="e">
        <f t="shared" si="131"/>
        <v>#N/A</v>
      </c>
      <c r="J924" s="253" t="s">
        <v>502</v>
      </c>
      <c r="K924" s="253"/>
      <c r="L924" s="253"/>
      <c r="M924" s="253"/>
      <c r="N924" s="253"/>
      <c r="O924" s="256"/>
      <c r="P924" s="256"/>
    </row>
    <row r="925" spans="1:16" ht="15.75" hidden="1" outlineLevel="2" x14ac:dyDescent="0.25">
      <c r="A925" s="324">
        <v>42795</v>
      </c>
      <c r="B925" s="273">
        <v>2017</v>
      </c>
      <c r="C925" s="251" t="s">
        <v>396</v>
      </c>
      <c r="D925" s="213" t="s">
        <v>41</v>
      </c>
      <c r="E925" s="252">
        <v>6000</v>
      </c>
      <c r="F925" s="253">
        <v>1167</v>
      </c>
      <c r="G925" s="254">
        <f t="shared" ref="G925:G929" si="132">F925*E925/1000</f>
        <v>7002</v>
      </c>
      <c r="H925" s="217">
        <f t="shared" si="129"/>
        <v>0.65500000000000003</v>
      </c>
      <c r="I925" s="254">
        <f t="shared" ref="I925:I929" si="133">H925*G925</f>
        <v>4586.3100000000004</v>
      </c>
      <c r="J925" s="253" t="s">
        <v>502</v>
      </c>
      <c r="K925" s="255">
        <v>42726</v>
      </c>
      <c r="L925" s="253">
        <v>1018</v>
      </c>
      <c r="M925" s="253" t="s">
        <v>503</v>
      </c>
      <c r="N925" s="253" t="s">
        <v>512</v>
      </c>
      <c r="O925" s="256"/>
      <c r="P925" s="256"/>
    </row>
    <row r="926" spans="1:16" ht="15.75" hidden="1" outlineLevel="2" x14ac:dyDescent="0.25">
      <c r="A926" s="324">
        <v>42795</v>
      </c>
      <c r="B926" s="273">
        <v>2017</v>
      </c>
      <c r="C926" s="251" t="s">
        <v>396</v>
      </c>
      <c r="D926" s="213" t="s">
        <v>42</v>
      </c>
      <c r="E926" s="252">
        <v>6000</v>
      </c>
      <c r="F926" s="253">
        <v>417</v>
      </c>
      <c r="G926" s="254">
        <f t="shared" si="132"/>
        <v>2502</v>
      </c>
      <c r="H926" s="217">
        <f t="shared" si="129"/>
        <v>0.82199999999999995</v>
      </c>
      <c r="I926" s="254">
        <f t="shared" si="133"/>
        <v>2056.6439999999998</v>
      </c>
      <c r="J926" s="253" t="s">
        <v>502</v>
      </c>
      <c r="K926" s="255">
        <v>42726</v>
      </c>
      <c r="L926" s="253">
        <v>1018</v>
      </c>
      <c r="M926" s="253" t="s">
        <v>503</v>
      </c>
      <c r="N926" s="253"/>
      <c r="O926" s="256"/>
      <c r="P926" s="256"/>
    </row>
    <row r="927" spans="1:16" ht="15.75" hidden="1" outlineLevel="2" x14ac:dyDescent="0.25">
      <c r="A927" s="324">
        <v>42795</v>
      </c>
      <c r="B927" s="273">
        <v>2017</v>
      </c>
      <c r="C927" s="251" t="s">
        <v>396</v>
      </c>
      <c r="D927" s="213" t="s">
        <v>39</v>
      </c>
      <c r="E927" s="252">
        <v>6000</v>
      </c>
      <c r="F927" s="253">
        <v>250</v>
      </c>
      <c r="G927" s="254">
        <f t="shared" si="132"/>
        <v>1500</v>
      </c>
      <c r="H927" s="217">
        <f t="shared" si="129"/>
        <v>0.38</v>
      </c>
      <c r="I927" s="254">
        <f t="shared" si="133"/>
        <v>570</v>
      </c>
      <c r="J927" s="253" t="s">
        <v>502</v>
      </c>
      <c r="K927" s="255">
        <v>42726</v>
      </c>
      <c r="L927" s="253">
        <v>1018</v>
      </c>
      <c r="M927" s="253" t="s">
        <v>503</v>
      </c>
      <c r="N927" s="253"/>
      <c r="O927" s="256"/>
      <c r="P927" s="256"/>
    </row>
    <row r="928" spans="1:16" ht="15.75" hidden="1" outlineLevel="2" x14ac:dyDescent="0.25">
      <c r="A928" s="324">
        <v>42795</v>
      </c>
      <c r="B928" s="273">
        <v>2017</v>
      </c>
      <c r="C928" s="251" t="s">
        <v>396</v>
      </c>
      <c r="D928" s="213" t="s">
        <v>50</v>
      </c>
      <c r="E928" s="252">
        <v>6000</v>
      </c>
      <c r="F928" s="253">
        <v>84</v>
      </c>
      <c r="G928" s="254">
        <f t="shared" si="132"/>
        <v>504</v>
      </c>
      <c r="H928" s="217">
        <f t="shared" si="129"/>
        <v>0.53100000000000003</v>
      </c>
      <c r="I928" s="254">
        <f t="shared" si="133"/>
        <v>267.62400000000002</v>
      </c>
      <c r="J928" s="253" t="s">
        <v>502</v>
      </c>
      <c r="K928" s="255">
        <v>42726</v>
      </c>
      <c r="L928" s="253">
        <v>1018</v>
      </c>
      <c r="M928" s="253" t="s">
        <v>503</v>
      </c>
      <c r="N928" s="253"/>
      <c r="O928" s="256"/>
      <c r="P928" s="256"/>
    </row>
    <row r="929" spans="1:16" ht="15.75" hidden="1" outlineLevel="2" x14ac:dyDescent="0.25">
      <c r="A929" s="324">
        <v>42795</v>
      </c>
      <c r="B929" s="273">
        <v>2017</v>
      </c>
      <c r="C929" s="251" t="s">
        <v>396</v>
      </c>
      <c r="D929" s="213" t="s">
        <v>44</v>
      </c>
      <c r="E929" s="252">
        <v>6000</v>
      </c>
      <c r="F929" s="253">
        <v>84</v>
      </c>
      <c r="G929" s="254">
        <f t="shared" si="132"/>
        <v>504</v>
      </c>
      <c r="H929" s="217">
        <f t="shared" si="129"/>
        <v>1.1789999999999998</v>
      </c>
      <c r="I929" s="254">
        <f t="shared" si="133"/>
        <v>594.21599999999989</v>
      </c>
      <c r="J929" s="253" t="s">
        <v>502</v>
      </c>
      <c r="K929" s="255">
        <v>42726</v>
      </c>
      <c r="L929" s="253">
        <v>1018</v>
      </c>
      <c r="M929" s="253" t="s">
        <v>503</v>
      </c>
      <c r="N929" s="253" t="s">
        <v>512</v>
      </c>
      <c r="O929" s="256"/>
      <c r="P929" s="256"/>
    </row>
    <row r="930" spans="1:16" ht="15.75" hidden="1" outlineLevel="2" x14ac:dyDescent="0.25">
      <c r="A930" s="324">
        <v>42795</v>
      </c>
      <c r="B930" s="273">
        <v>2017</v>
      </c>
      <c r="C930" s="251" t="s">
        <v>396</v>
      </c>
      <c r="D930" s="213" t="s">
        <v>36</v>
      </c>
      <c r="E930" s="220">
        <v>4444</v>
      </c>
      <c r="F930" s="253">
        <v>55</v>
      </c>
      <c r="G930" s="254">
        <f t="shared" ref="G930" si="134">F930*E930/1000</f>
        <v>244.42</v>
      </c>
      <c r="H930" s="217">
        <f t="shared" si="129"/>
        <v>0.4</v>
      </c>
      <c r="I930" s="254">
        <f t="shared" ref="I930" si="135">H930*G930</f>
        <v>97.768000000000001</v>
      </c>
      <c r="J930" s="253"/>
      <c r="K930" s="253"/>
      <c r="L930" s="253"/>
      <c r="M930" s="253"/>
      <c r="N930" s="253"/>
      <c r="O930" s="256"/>
      <c r="P930" s="256"/>
    </row>
    <row r="931" spans="1:16" ht="15.75" hidden="1" outlineLevel="1" x14ac:dyDescent="0.25">
      <c r="A931" s="324">
        <v>42795</v>
      </c>
      <c r="B931" s="273">
        <v>2017</v>
      </c>
      <c r="C931" s="257" t="s">
        <v>397</v>
      </c>
      <c r="D931" s="258" t="s">
        <v>383</v>
      </c>
      <c r="E931" s="223"/>
      <c r="F931" s="253"/>
      <c r="G931" s="259"/>
      <c r="H931" s="217">
        <f t="shared" si="129"/>
        <v>8.2810000000000006</v>
      </c>
      <c r="I931" s="254">
        <f>H931*F931</f>
        <v>0</v>
      </c>
      <c r="J931" s="253" t="s">
        <v>502</v>
      </c>
      <c r="K931" s="253"/>
      <c r="L931" s="253"/>
      <c r="M931" s="253"/>
      <c r="N931" s="253"/>
      <c r="O931" s="256"/>
      <c r="P931" s="256"/>
    </row>
    <row r="932" spans="1:16" ht="15.75" hidden="1" outlineLevel="2" x14ac:dyDescent="0.25">
      <c r="A932" s="324">
        <v>42795</v>
      </c>
      <c r="B932" s="273">
        <v>2017</v>
      </c>
      <c r="C932" s="257" t="s">
        <v>397</v>
      </c>
      <c r="D932" s="258" t="s">
        <v>386</v>
      </c>
      <c r="E932" s="224"/>
      <c r="F932" s="253"/>
      <c r="G932" s="259"/>
      <c r="H932" s="217">
        <f t="shared" si="129"/>
        <v>11.587999999999999</v>
      </c>
      <c r="I932" s="254">
        <f t="shared" ref="I932:I937" si="136">H932*F932</f>
        <v>0</v>
      </c>
      <c r="J932" s="253" t="s">
        <v>502</v>
      </c>
      <c r="K932" s="253"/>
      <c r="L932" s="253"/>
      <c r="M932" s="253"/>
      <c r="N932" s="253"/>
      <c r="O932" s="256"/>
      <c r="P932" s="256"/>
    </row>
    <row r="933" spans="1:16" ht="15.75" hidden="1" outlineLevel="2" x14ac:dyDescent="0.25">
      <c r="A933" s="324">
        <v>42795</v>
      </c>
      <c r="B933" s="273">
        <v>2017</v>
      </c>
      <c r="C933" s="257" t="s">
        <v>397</v>
      </c>
      <c r="D933" s="258" t="s">
        <v>382</v>
      </c>
      <c r="E933" s="260"/>
      <c r="F933" s="253"/>
      <c r="G933" s="259"/>
      <c r="H933" s="217">
        <f t="shared" si="129"/>
        <v>7.4539999999999997</v>
      </c>
      <c r="I933" s="254">
        <f t="shared" si="136"/>
        <v>0</v>
      </c>
      <c r="J933" s="253"/>
      <c r="K933" s="253"/>
      <c r="L933" s="253"/>
      <c r="M933" s="253"/>
      <c r="N933" s="253"/>
      <c r="O933" s="256"/>
      <c r="P933" s="256"/>
    </row>
    <row r="934" spans="1:16" ht="15.75" hidden="1" outlineLevel="2" x14ac:dyDescent="0.25">
      <c r="A934" s="324">
        <v>42795</v>
      </c>
      <c r="B934" s="273">
        <v>2017</v>
      </c>
      <c r="C934" s="257" t="s">
        <v>397</v>
      </c>
      <c r="D934" s="258" t="s">
        <v>230</v>
      </c>
      <c r="E934" s="260"/>
      <c r="F934" s="253"/>
      <c r="G934" s="259"/>
      <c r="H934" s="217">
        <f t="shared" si="129"/>
        <v>5.0110000000000001</v>
      </c>
      <c r="I934" s="254">
        <f t="shared" si="136"/>
        <v>0</v>
      </c>
      <c r="J934" s="253"/>
      <c r="K934" s="253"/>
      <c r="L934" s="253"/>
      <c r="M934" s="253"/>
      <c r="N934" s="253"/>
      <c r="O934" s="256"/>
      <c r="P934" s="256"/>
    </row>
    <row r="935" spans="1:16" ht="15.75" hidden="1" outlineLevel="2" x14ac:dyDescent="0.25">
      <c r="A935" s="324">
        <v>42795</v>
      </c>
      <c r="B935" s="273">
        <v>2017</v>
      </c>
      <c r="C935" s="257" t="s">
        <v>397</v>
      </c>
      <c r="D935" s="258" t="s">
        <v>382</v>
      </c>
      <c r="E935" s="261"/>
      <c r="F935" s="253"/>
      <c r="G935" s="259"/>
      <c r="H935" s="217">
        <f t="shared" si="129"/>
        <v>7.4539999999999997</v>
      </c>
      <c r="I935" s="254">
        <f t="shared" si="136"/>
        <v>0</v>
      </c>
      <c r="J935" s="253"/>
      <c r="K935" s="253"/>
      <c r="L935" s="253"/>
      <c r="M935" s="253"/>
      <c r="N935" s="253"/>
      <c r="O935" s="256"/>
      <c r="P935" s="256"/>
    </row>
    <row r="936" spans="1:16" ht="15.75" hidden="1" outlineLevel="2" x14ac:dyDescent="0.25">
      <c r="A936" s="324">
        <v>42795</v>
      </c>
      <c r="B936" s="273">
        <v>2017</v>
      </c>
      <c r="C936" s="257" t="s">
        <v>397</v>
      </c>
      <c r="D936" s="258" t="s">
        <v>382</v>
      </c>
      <c r="E936" s="261"/>
      <c r="F936" s="253"/>
      <c r="G936" s="259"/>
      <c r="H936" s="217">
        <f t="shared" si="129"/>
        <v>7.4539999999999997</v>
      </c>
      <c r="I936" s="254">
        <f t="shared" si="136"/>
        <v>0</v>
      </c>
      <c r="J936" s="262"/>
      <c r="K936" s="262"/>
      <c r="L936" s="262"/>
      <c r="M936" s="262"/>
      <c r="N936" s="262"/>
      <c r="O936" s="256"/>
      <c r="P936" s="256"/>
    </row>
    <row r="937" spans="1:16" ht="15.75" hidden="1" outlineLevel="2" x14ac:dyDescent="0.25">
      <c r="A937" s="324">
        <v>42795</v>
      </c>
      <c r="B937" s="273">
        <v>2017</v>
      </c>
      <c r="C937" s="257" t="s">
        <v>397</v>
      </c>
      <c r="D937" s="258" t="s">
        <v>317</v>
      </c>
      <c r="E937" s="259"/>
      <c r="F937" s="253"/>
      <c r="G937" s="259"/>
      <c r="H937" s="217">
        <f t="shared" si="129"/>
        <v>2.7959999999999998</v>
      </c>
      <c r="I937" s="254">
        <f t="shared" si="136"/>
        <v>0</v>
      </c>
      <c r="J937" s="253" t="s">
        <v>502</v>
      </c>
      <c r="K937" s="253"/>
      <c r="L937" s="253">
        <v>7038</v>
      </c>
      <c r="M937" s="253"/>
      <c r="N937" s="253"/>
      <c r="O937" s="256"/>
      <c r="P937" s="256"/>
    </row>
    <row r="938" spans="1:16" ht="15.75" hidden="1" outlineLevel="2" x14ac:dyDescent="0.25">
      <c r="A938" s="324">
        <v>42795</v>
      </c>
      <c r="B938" s="273">
        <v>2017</v>
      </c>
      <c r="C938" s="257" t="s">
        <v>397</v>
      </c>
      <c r="D938" s="258" t="s">
        <v>447</v>
      </c>
      <c r="E938" s="264"/>
      <c r="F938" s="253"/>
      <c r="G938" s="265"/>
      <c r="H938" s="217">
        <f t="shared" si="129"/>
        <v>1.738</v>
      </c>
      <c r="I938" s="254">
        <f t="shared" ref="I938:I940" si="137">H938*F938</f>
        <v>0</v>
      </c>
      <c r="J938" s="262"/>
      <c r="K938" s="262"/>
      <c r="L938" s="253"/>
      <c r="M938" s="262"/>
      <c r="N938" s="262"/>
      <c r="O938" s="256"/>
      <c r="P938" s="256"/>
    </row>
    <row r="939" spans="1:16" ht="15.75" hidden="1" outlineLevel="2" x14ac:dyDescent="0.25">
      <c r="A939" s="324">
        <v>42795</v>
      </c>
      <c r="B939" s="273">
        <v>2017</v>
      </c>
      <c r="C939" s="257" t="s">
        <v>397</v>
      </c>
      <c r="D939" s="258"/>
      <c r="E939" s="264"/>
      <c r="F939" s="253"/>
      <c r="G939" s="265"/>
      <c r="H939" s="217" t="e">
        <f t="shared" si="129"/>
        <v>#N/A</v>
      </c>
      <c r="I939" s="254" t="e">
        <f t="shared" si="137"/>
        <v>#N/A</v>
      </c>
      <c r="J939" s="262"/>
      <c r="K939" s="262"/>
      <c r="L939" s="253"/>
      <c r="M939" s="262"/>
      <c r="N939" s="262"/>
      <c r="O939" s="256"/>
      <c r="P939" s="256"/>
    </row>
    <row r="940" spans="1:16" ht="15.75" hidden="1" outlineLevel="2" x14ac:dyDescent="0.25">
      <c r="A940" s="324">
        <v>42795</v>
      </c>
      <c r="B940" s="273">
        <v>2017</v>
      </c>
      <c r="C940" s="257" t="s">
        <v>397</v>
      </c>
      <c r="D940" s="258"/>
      <c r="E940" s="264"/>
      <c r="F940" s="253"/>
      <c r="G940" s="265"/>
      <c r="H940" s="217" t="e">
        <f t="shared" si="129"/>
        <v>#N/A</v>
      </c>
      <c r="I940" s="254" t="e">
        <f t="shared" si="137"/>
        <v>#N/A</v>
      </c>
      <c r="J940" s="262"/>
      <c r="K940" s="262"/>
      <c r="L940" s="253"/>
      <c r="M940" s="262"/>
      <c r="N940" s="262"/>
      <c r="O940" s="256"/>
      <c r="P940" s="256"/>
    </row>
    <row r="941" spans="1:16" ht="15.75" hidden="1" outlineLevel="2" x14ac:dyDescent="0.25">
      <c r="A941" s="324">
        <v>42795</v>
      </c>
      <c r="B941" s="273">
        <v>2017</v>
      </c>
      <c r="C941" s="257" t="s">
        <v>397</v>
      </c>
      <c r="D941" s="258"/>
      <c r="E941" s="264"/>
      <c r="F941" s="253"/>
      <c r="G941" s="265"/>
      <c r="H941" s="217" t="e">
        <f t="shared" si="129"/>
        <v>#N/A</v>
      </c>
      <c r="I941" s="254" t="e">
        <f>H941*F941</f>
        <v>#N/A</v>
      </c>
      <c r="J941" s="262"/>
      <c r="K941" s="262"/>
      <c r="L941" s="253"/>
      <c r="M941" s="262"/>
      <c r="N941" s="262"/>
      <c r="O941" s="256"/>
      <c r="P941" s="256"/>
    </row>
    <row r="942" spans="1:16" ht="15.75" hidden="1" outlineLevel="1" x14ac:dyDescent="0.25">
      <c r="A942" s="324">
        <v>42795</v>
      </c>
      <c r="B942" s="273">
        <v>2017</v>
      </c>
      <c r="C942" s="266" t="s">
        <v>391</v>
      </c>
      <c r="D942" s="267" t="s">
        <v>373</v>
      </c>
      <c r="E942" s="264"/>
      <c r="F942" s="253"/>
      <c r="G942" s="265"/>
      <c r="H942" s="217">
        <f t="shared" si="129"/>
        <v>0</v>
      </c>
      <c r="I942" s="254">
        <f t="shared" ref="I942:I950" si="138">H942*F942</f>
        <v>0</v>
      </c>
      <c r="J942" s="262" t="s">
        <v>502</v>
      </c>
      <c r="K942" s="262"/>
      <c r="L942" s="253">
        <v>7038</v>
      </c>
      <c r="M942" s="262"/>
      <c r="N942" s="262"/>
      <c r="O942" s="256"/>
      <c r="P942" s="256"/>
    </row>
    <row r="943" spans="1:16" ht="15.75" hidden="1" outlineLevel="2" x14ac:dyDescent="0.25">
      <c r="A943" s="324">
        <v>42795</v>
      </c>
      <c r="B943" s="273">
        <v>2017</v>
      </c>
      <c r="C943" s="266" t="s">
        <v>391</v>
      </c>
      <c r="D943" s="267" t="s">
        <v>374</v>
      </c>
      <c r="E943" s="264"/>
      <c r="F943" s="253"/>
      <c r="G943" s="265"/>
      <c r="H943" s="217">
        <f t="shared" si="129"/>
        <v>0</v>
      </c>
      <c r="I943" s="254">
        <f t="shared" si="138"/>
        <v>0</v>
      </c>
      <c r="J943" s="262" t="s">
        <v>502</v>
      </c>
      <c r="K943" s="255"/>
      <c r="L943" s="253">
        <v>7038</v>
      </c>
      <c r="M943" s="253"/>
      <c r="N943" s="253"/>
      <c r="O943" s="256"/>
      <c r="P943" s="256"/>
    </row>
    <row r="944" spans="1:16" ht="15.75" hidden="1" outlineLevel="2" x14ac:dyDescent="0.25">
      <c r="A944" s="324">
        <v>42795</v>
      </c>
      <c r="B944" s="273">
        <v>2017</v>
      </c>
      <c r="C944" s="266" t="s">
        <v>391</v>
      </c>
      <c r="D944" s="267" t="s">
        <v>375</v>
      </c>
      <c r="E944" s="264"/>
      <c r="F944" s="253"/>
      <c r="G944" s="265"/>
      <c r="H944" s="217">
        <f t="shared" si="129"/>
        <v>0</v>
      </c>
      <c r="I944" s="254">
        <f t="shared" si="138"/>
        <v>0</v>
      </c>
      <c r="J944" s="262" t="s">
        <v>502</v>
      </c>
      <c r="K944" s="255"/>
      <c r="L944" s="253">
        <v>7038</v>
      </c>
      <c r="M944" s="253"/>
      <c r="N944" s="253"/>
      <c r="O944" s="256"/>
      <c r="P944" s="256"/>
    </row>
    <row r="945" spans="1:16" ht="15.75" hidden="1" outlineLevel="2" x14ac:dyDescent="0.25">
      <c r="A945" s="324">
        <v>42795</v>
      </c>
      <c r="B945" s="273">
        <v>2017</v>
      </c>
      <c r="C945" s="266" t="s">
        <v>391</v>
      </c>
      <c r="D945" s="267" t="s">
        <v>376</v>
      </c>
      <c r="E945" s="264"/>
      <c r="F945" s="253"/>
      <c r="G945" s="265"/>
      <c r="H945" s="217">
        <f t="shared" si="129"/>
        <v>0</v>
      </c>
      <c r="I945" s="254">
        <f t="shared" si="138"/>
        <v>0</v>
      </c>
      <c r="J945" s="262" t="s">
        <v>502</v>
      </c>
      <c r="K945" s="262"/>
      <c r="L945" s="253">
        <v>7038</v>
      </c>
      <c r="M945" s="262"/>
      <c r="N945" s="262"/>
      <c r="O945" s="256"/>
      <c r="P945" s="256"/>
    </row>
    <row r="946" spans="1:16" ht="15.75" hidden="1" outlineLevel="2" x14ac:dyDescent="0.25">
      <c r="A946" s="324">
        <v>42795</v>
      </c>
      <c r="B946" s="273">
        <v>2017</v>
      </c>
      <c r="C946" s="266" t="s">
        <v>391</v>
      </c>
      <c r="D946" s="267" t="s">
        <v>394</v>
      </c>
      <c r="E946" s="264"/>
      <c r="F946" s="253">
        <v>300</v>
      </c>
      <c r="G946" s="265"/>
      <c r="H946" s="217">
        <f t="shared" si="129"/>
        <v>0</v>
      </c>
      <c r="I946" s="254">
        <f t="shared" si="138"/>
        <v>0</v>
      </c>
      <c r="J946" s="262" t="s">
        <v>502</v>
      </c>
      <c r="K946" s="263">
        <v>42726</v>
      </c>
      <c r="L946" s="253">
        <v>1018</v>
      </c>
      <c r="M946" s="262" t="s">
        <v>503</v>
      </c>
      <c r="N946" s="262"/>
      <c r="O946" s="256"/>
      <c r="P946" s="256"/>
    </row>
    <row r="947" spans="1:16" ht="15.75" hidden="1" outlineLevel="2" x14ac:dyDescent="0.25">
      <c r="A947" s="324">
        <v>42795</v>
      </c>
      <c r="B947" s="273">
        <v>2017</v>
      </c>
      <c r="C947" s="266" t="s">
        <v>391</v>
      </c>
      <c r="D947" s="267" t="s">
        <v>453</v>
      </c>
      <c r="E947" s="264"/>
      <c r="F947" s="253"/>
      <c r="G947" s="265"/>
      <c r="H947" s="217">
        <f t="shared" si="129"/>
        <v>0</v>
      </c>
      <c r="I947" s="254">
        <f t="shared" si="138"/>
        <v>0</v>
      </c>
      <c r="J947" s="262"/>
      <c r="K947" s="262"/>
      <c r="L947" s="253"/>
      <c r="M947" s="262"/>
      <c r="N947" s="262"/>
      <c r="O947" s="256"/>
      <c r="P947" s="256"/>
    </row>
    <row r="948" spans="1:16" ht="15.75" hidden="1" outlineLevel="2" x14ac:dyDescent="0.25">
      <c r="A948" s="324">
        <v>42795</v>
      </c>
      <c r="B948" s="273">
        <v>2017</v>
      </c>
      <c r="C948" s="266" t="s">
        <v>391</v>
      </c>
      <c r="D948" s="267"/>
      <c r="E948" s="264"/>
      <c r="F948" s="253"/>
      <c r="G948" s="265"/>
      <c r="H948" s="217" t="e">
        <f t="shared" si="129"/>
        <v>#N/A</v>
      </c>
      <c r="I948" s="254" t="e">
        <f t="shared" si="138"/>
        <v>#N/A</v>
      </c>
      <c r="J948" s="262"/>
      <c r="K948" s="262"/>
      <c r="L948" s="253"/>
      <c r="M948" s="262"/>
      <c r="N948" s="262"/>
      <c r="O948" s="256"/>
      <c r="P948" s="256"/>
    </row>
    <row r="949" spans="1:16" ht="15.75" hidden="1" outlineLevel="2" x14ac:dyDescent="0.25">
      <c r="A949" s="324">
        <v>42795</v>
      </c>
      <c r="B949" s="273">
        <v>2017</v>
      </c>
      <c r="C949" s="266" t="s">
        <v>391</v>
      </c>
      <c r="D949" s="267"/>
      <c r="E949" s="264"/>
      <c r="F949" s="253"/>
      <c r="G949" s="265"/>
      <c r="H949" s="217" t="e">
        <f t="shared" si="129"/>
        <v>#N/A</v>
      </c>
      <c r="I949" s="254" t="e">
        <f t="shared" si="138"/>
        <v>#N/A</v>
      </c>
      <c r="J949" s="262"/>
      <c r="K949" s="262"/>
      <c r="L949" s="253"/>
      <c r="M949" s="262"/>
      <c r="N949" s="262"/>
      <c r="O949" s="256"/>
      <c r="P949" s="256"/>
    </row>
    <row r="950" spans="1:16" ht="15.75" hidden="1" outlineLevel="2" x14ac:dyDescent="0.25">
      <c r="A950" s="324">
        <v>42795</v>
      </c>
      <c r="B950" s="273">
        <v>2017</v>
      </c>
      <c r="C950" s="266" t="s">
        <v>391</v>
      </c>
      <c r="D950" s="267"/>
      <c r="E950" s="264"/>
      <c r="F950" s="253"/>
      <c r="G950" s="265"/>
      <c r="H950" s="217" t="e">
        <f t="shared" si="129"/>
        <v>#N/A</v>
      </c>
      <c r="I950" s="254" t="e">
        <f t="shared" si="138"/>
        <v>#N/A</v>
      </c>
      <c r="J950" s="262"/>
      <c r="K950" s="262"/>
      <c r="L950" s="253"/>
      <c r="M950" s="262"/>
      <c r="N950" s="262"/>
      <c r="O950" s="256"/>
      <c r="P950" s="256"/>
    </row>
    <row r="951" spans="1:16" ht="15.75" hidden="1" outlineLevel="1" x14ac:dyDescent="0.25">
      <c r="A951" s="324">
        <v>42795</v>
      </c>
      <c r="B951" s="273">
        <v>2017</v>
      </c>
      <c r="C951" s="268" t="s">
        <v>398</v>
      </c>
      <c r="D951" s="274" t="s">
        <v>393</v>
      </c>
      <c r="E951" s="264"/>
      <c r="F951" s="270"/>
      <c r="G951" s="265"/>
      <c r="H951" s="217">
        <f t="shared" si="129"/>
        <v>0</v>
      </c>
      <c r="I951" s="262"/>
      <c r="J951" s="262" t="s">
        <v>502</v>
      </c>
      <c r="K951" s="262"/>
      <c r="L951" s="253">
        <v>7038</v>
      </c>
      <c r="M951" s="262"/>
      <c r="N951" s="262"/>
      <c r="O951" s="256"/>
      <c r="P951" s="256"/>
    </row>
    <row r="952" spans="1:16" ht="15.75" hidden="1" outlineLevel="2" x14ac:dyDescent="0.25">
      <c r="A952" s="324">
        <v>42795</v>
      </c>
      <c r="B952" s="273">
        <v>2017</v>
      </c>
      <c r="C952" s="268" t="s">
        <v>398</v>
      </c>
      <c r="D952" s="274" t="s">
        <v>393</v>
      </c>
      <c r="E952" s="264"/>
      <c r="F952" s="270"/>
      <c r="G952" s="265"/>
      <c r="H952" s="217">
        <f t="shared" si="129"/>
        <v>0</v>
      </c>
      <c r="I952" s="262">
        <v>46000</v>
      </c>
      <c r="J952" s="262" t="s">
        <v>502</v>
      </c>
      <c r="K952" s="263">
        <v>42735</v>
      </c>
      <c r="L952" s="253">
        <v>7038</v>
      </c>
      <c r="M952" s="262" t="s">
        <v>513</v>
      </c>
      <c r="N952" s="262"/>
      <c r="O952" s="256"/>
      <c r="P952" s="256"/>
    </row>
    <row r="953" spans="1:16" ht="15.75" hidden="1" outlineLevel="2" x14ac:dyDescent="0.25">
      <c r="A953" s="324">
        <v>42795</v>
      </c>
      <c r="B953" s="273">
        <v>2017</v>
      </c>
      <c r="C953" s="268" t="s">
        <v>398</v>
      </c>
      <c r="D953" s="274" t="s">
        <v>393</v>
      </c>
      <c r="E953" s="264"/>
      <c r="F953" s="270"/>
      <c r="G953" s="265"/>
      <c r="H953" s="217">
        <f t="shared" si="129"/>
        <v>0</v>
      </c>
      <c r="I953" s="262">
        <v>46000</v>
      </c>
      <c r="J953" s="262" t="s">
        <v>502</v>
      </c>
      <c r="K953" s="263">
        <v>42735</v>
      </c>
      <c r="L953" s="253">
        <v>7038</v>
      </c>
      <c r="M953" s="262" t="s">
        <v>513</v>
      </c>
      <c r="N953" s="262"/>
      <c r="O953" s="256"/>
      <c r="P953" s="256"/>
    </row>
    <row r="954" spans="1:16" ht="15.75" hidden="1" outlineLevel="2" x14ac:dyDescent="0.25">
      <c r="A954" s="324">
        <v>42795</v>
      </c>
      <c r="B954" s="273">
        <v>2017</v>
      </c>
      <c r="C954" s="268" t="s">
        <v>398</v>
      </c>
      <c r="D954" s="272" t="s">
        <v>516</v>
      </c>
      <c r="E954" s="264"/>
      <c r="F954" s="270"/>
      <c r="G954" s="265"/>
      <c r="H954" s="217" t="e">
        <f t="shared" si="129"/>
        <v>#N/A</v>
      </c>
      <c r="I954" s="262"/>
      <c r="J954" s="262" t="s">
        <v>502</v>
      </c>
      <c r="K954" s="262"/>
      <c r="L954" s="253">
        <v>7038</v>
      </c>
      <c r="M954" s="262"/>
      <c r="N954" s="262"/>
      <c r="O954" s="256"/>
      <c r="P954" s="256"/>
    </row>
    <row r="955" spans="1:16" ht="15.75" hidden="1" outlineLevel="2" x14ac:dyDescent="0.25">
      <c r="A955" s="324">
        <v>42795</v>
      </c>
      <c r="B955" s="273">
        <v>2017</v>
      </c>
      <c r="C955" s="268" t="s">
        <v>398</v>
      </c>
      <c r="D955" s="272" t="s">
        <v>517</v>
      </c>
      <c r="E955" s="264"/>
      <c r="F955" s="270"/>
      <c r="G955" s="265"/>
      <c r="H955" s="217" t="e">
        <f t="shared" si="129"/>
        <v>#N/A</v>
      </c>
      <c r="I955" s="262"/>
      <c r="J955" s="262" t="s">
        <v>502</v>
      </c>
      <c r="K955" s="262"/>
      <c r="L955" s="253">
        <v>7038</v>
      </c>
      <c r="M955" s="262"/>
      <c r="N955" s="262"/>
      <c r="O955" s="256"/>
      <c r="P955" s="256"/>
    </row>
    <row r="956" spans="1:16" ht="15.75" hidden="1" outlineLevel="2" x14ac:dyDescent="0.25">
      <c r="A956" s="324">
        <v>42795</v>
      </c>
      <c r="B956" s="273">
        <v>2017</v>
      </c>
      <c r="C956" s="268" t="s">
        <v>398</v>
      </c>
      <c r="D956" s="272" t="s">
        <v>518</v>
      </c>
      <c r="E956" s="264"/>
      <c r="F956" s="270"/>
      <c r="G956" s="265"/>
      <c r="H956" s="217" t="e">
        <f t="shared" si="129"/>
        <v>#N/A</v>
      </c>
      <c r="I956" s="262"/>
      <c r="J956" s="262" t="s">
        <v>502</v>
      </c>
      <c r="K956" s="262"/>
      <c r="L956" s="253">
        <v>7038</v>
      </c>
      <c r="M956" s="262"/>
      <c r="N956" s="262"/>
      <c r="O956" s="256"/>
      <c r="P956" s="256"/>
    </row>
    <row r="957" spans="1:16" ht="15.75" hidden="1" outlineLevel="2" x14ac:dyDescent="0.25">
      <c r="A957" s="324">
        <v>42795</v>
      </c>
      <c r="B957" s="273">
        <v>2017</v>
      </c>
      <c r="C957" s="268" t="s">
        <v>398</v>
      </c>
      <c r="D957" s="272" t="s">
        <v>519</v>
      </c>
      <c r="E957" s="264"/>
      <c r="F957" s="270"/>
      <c r="G957" s="265"/>
      <c r="H957" s="217" t="e">
        <f t="shared" si="129"/>
        <v>#N/A</v>
      </c>
      <c r="I957" s="262"/>
      <c r="J957" s="262" t="s">
        <v>502</v>
      </c>
      <c r="K957" s="262"/>
      <c r="L957" s="253">
        <v>7038</v>
      </c>
      <c r="M957" s="262"/>
      <c r="N957" s="262"/>
      <c r="O957" s="256"/>
      <c r="P957" s="256"/>
    </row>
    <row r="958" spans="1:16" ht="15.75" hidden="1" outlineLevel="2" x14ac:dyDescent="0.25">
      <c r="A958" s="324">
        <v>42795</v>
      </c>
      <c r="B958" s="273">
        <v>2017</v>
      </c>
      <c r="C958" s="268" t="s">
        <v>398</v>
      </c>
      <c r="D958" s="272" t="s">
        <v>520</v>
      </c>
      <c r="E958" s="264"/>
      <c r="F958" s="270"/>
      <c r="G958" s="265"/>
      <c r="H958" s="217" t="e">
        <f t="shared" si="129"/>
        <v>#N/A</v>
      </c>
      <c r="I958" s="262"/>
      <c r="J958" s="262" t="s">
        <v>502</v>
      </c>
      <c r="K958" s="262"/>
      <c r="L958" s="253">
        <v>7038</v>
      </c>
      <c r="M958" s="262"/>
      <c r="N958" s="262"/>
      <c r="O958" s="256"/>
      <c r="P958" s="256"/>
    </row>
    <row r="959" spans="1:16" ht="15.75" hidden="1" outlineLevel="2" x14ac:dyDescent="0.25">
      <c r="A959" s="324">
        <v>42795</v>
      </c>
      <c r="B959" s="273">
        <v>2017</v>
      </c>
      <c r="C959" s="268" t="s">
        <v>398</v>
      </c>
      <c r="D959" s="272"/>
      <c r="E959" s="264"/>
      <c r="F959" s="270"/>
      <c r="G959" s="265"/>
      <c r="H959" s="217" t="e">
        <f t="shared" ref="H959:H1022" si="139">VLOOKUP(D959,$D$5:$E$359,2,FALSE)</f>
        <v>#N/A</v>
      </c>
      <c r="I959" s="262"/>
      <c r="J959" s="262"/>
      <c r="K959" s="262"/>
      <c r="L959" s="253"/>
      <c r="M959" s="262"/>
      <c r="N959" s="262"/>
      <c r="O959" s="256"/>
      <c r="P959" s="256"/>
    </row>
    <row r="960" spans="1:16" ht="15.75" hidden="1" outlineLevel="2" x14ac:dyDescent="0.25">
      <c r="A960" s="324">
        <v>42795</v>
      </c>
      <c r="B960" s="273">
        <v>2017</v>
      </c>
      <c r="C960" s="268" t="s">
        <v>398</v>
      </c>
      <c r="D960" s="272"/>
      <c r="E960" s="264"/>
      <c r="F960" s="270"/>
      <c r="G960" s="265"/>
      <c r="H960" s="217" t="e">
        <f t="shared" si="139"/>
        <v>#N/A</v>
      </c>
      <c r="I960" s="262"/>
      <c r="J960" s="262"/>
      <c r="K960" s="262"/>
      <c r="L960" s="253"/>
      <c r="M960" s="262"/>
      <c r="N960" s="262"/>
      <c r="O960" s="256"/>
      <c r="P960" s="256"/>
    </row>
    <row r="961" spans="1:16" ht="15.75" hidden="1" outlineLevel="2" x14ac:dyDescent="0.25">
      <c r="A961" s="324">
        <v>42795</v>
      </c>
      <c r="B961" s="273">
        <v>2017</v>
      </c>
      <c r="C961" s="268" t="s">
        <v>398</v>
      </c>
      <c r="D961" s="272"/>
      <c r="E961" s="264"/>
      <c r="F961" s="270"/>
      <c r="G961" s="265"/>
      <c r="H961" s="217" t="e">
        <f t="shared" si="139"/>
        <v>#N/A</v>
      </c>
      <c r="I961" s="262"/>
      <c r="J961" s="262"/>
      <c r="K961" s="262"/>
      <c r="L961" s="253"/>
      <c r="M961" s="262"/>
      <c r="N961" s="262"/>
      <c r="O961" s="256"/>
      <c r="P961" s="256"/>
    </row>
    <row r="962" spans="1:16" hidden="1" x14ac:dyDescent="0.25">
      <c r="A962" s="313"/>
      <c r="H962" s="217" t="e">
        <f t="shared" si="139"/>
        <v>#N/A</v>
      </c>
    </row>
    <row r="963" spans="1:16" ht="15.75" hidden="1" x14ac:dyDescent="0.25">
      <c r="A963" s="324">
        <v>42826</v>
      </c>
      <c r="B963" s="273">
        <v>2017</v>
      </c>
      <c r="C963" s="245"/>
      <c r="D963" s="246" t="s">
        <v>498</v>
      </c>
      <c r="E963" s="246"/>
      <c r="F963" s="247"/>
      <c r="G963" s="247">
        <f>SUM(G967:G976)</f>
        <v>12280.42</v>
      </c>
      <c r="H963" s="217" t="e">
        <f t="shared" si="139"/>
        <v>#N/A</v>
      </c>
      <c r="I963" s="247"/>
      <c r="J963" s="247"/>
      <c r="K963" s="247"/>
      <c r="L963" s="248"/>
      <c r="M963" s="248"/>
      <c r="N963" s="245"/>
      <c r="O963" s="249"/>
      <c r="P963" s="249"/>
    </row>
    <row r="964" spans="1:16" ht="15.75" hidden="1" outlineLevel="1" x14ac:dyDescent="0.25">
      <c r="A964" s="324">
        <v>42826</v>
      </c>
      <c r="B964" s="273">
        <v>2017</v>
      </c>
      <c r="C964" s="245"/>
      <c r="D964" s="246" t="s">
        <v>499</v>
      </c>
      <c r="E964" s="246"/>
      <c r="F964" s="247">
        <f>SUM(F977:F987)</f>
        <v>0</v>
      </c>
      <c r="G964" s="247"/>
      <c r="H964" s="217" t="e">
        <f t="shared" si="139"/>
        <v>#N/A</v>
      </c>
      <c r="I964" s="247" t="e">
        <f>SUM(I977:I987)</f>
        <v>#N/A</v>
      </c>
      <c r="J964" s="247"/>
      <c r="K964" s="247"/>
      <c r="L964" s="248"/>
      <c r="M964" s="248"/>
      <c r="N964" s="245"/>
      <c r="O964" s="249"/>
      <c r="P964" s="249"/>
    </row>
    <row r="965" spans="1:16" ht="15.75" hidden="1" outlineLevel="1" x14ac:dyDescent="0.25">
      <c r="A965" s="324">
        <v>42826</v>
      </c>
      <c r="B965" s="273">
        <v>2017</v>
      </c>
      <c r="C965" s="245"/>
      <c r="D965" s="246" t="s">
        <v>500</v>
      </c>
      <c r="E965" s="246"/>
      <c r="F965" s="247">
        <f>SUM(F988:F996)</f>
        <v>300</v>
      </c>
      <c r="G965" s="247"/>
      <c r="H965" s="217" t="e">
        <f t="shared" si="139"/>
        <v>#N/A</v>
      </c>
      <c r="I965" s="247"/>
      <c r="J965" s="247"/>
      <c r="K965" s="247"/>
      <c r="L965" s="248"/>
      <c r="M965" s="248"/>
      <c r="N965" s="245"/>
      <c r="O965" s="249"/>
      <c r="P965" s="249"/>
    </row>
    <row r="966" spans="1:16" ht="15.75" hidden="1" outlineLevel="1" x14ac:dyDescent="0.25">
      <c r="A966" s="324">
        <v>42826</v>
      </c>
      <c r="B966" s="273">
        <v>2017</v>
      </c>
      <c r="C966" s="245"/>
      <c r="D966" s="246" t="s">
        <v>501</v>
      </c>
      <c r="E966" s="246"/>
      <c r="F966" s="247"/>
      <c r="G966" s="247"/>
      <c r="H966" s="217" t="e">
        <f t="shared" si="139"/>
        <v>#N/A</v>
      </c>
      <c r="I966" s="247">
        <f>SUM(I997:I1007)</f>
        <v>92000</v>
      </c>
      <c r="J966" s="247"/>
      <c r="K966" s="247"/>
      <c r="L966" s="248"/>
      <c r="M966" s="248"/>
      <c r="N966" s="245"/>
      <c r="O966" s="250"/>
      <c r="P966" s="250"/>
    </row>
    <row r="967" spans="1:16" ht="15.75" hidden="1" outlineLevel="1" x14ac:dyDescent="0.25">
      <c r="A967" s="324">
        <v>42826</v>
      </c>
      <c r="B967" s="273">
        <v>2017</v>
      </c>
      <c r="C967" s="251" t="s">
        <v>396</v>
      </c>
      <c r="D967" s="213" t="s">
        <v>33</v>
      </c>
      <c r="E967" s="252">
        <v>3000</v>
      </c>
      <c r="F967" s="253">
        <v>8</v>
      </c>
      <c r="G967" s="254">
        <f>F967*E967/1000</f>
        <v>24</v>
      </c>
      <c r="H967" s="217">
        <f t="shared" si="139"/>
        <v>8.661999999999999</v>
      </c>
      <c r="I967" s="254">
        <f>H967*G967</f>
        <v>207.88799999999998</v>
      </c>
      <c r="J967" s="253" t="s">
        <v>502</v>
      </c>
      <c r="K967" s="253"/>
      <c r="L967" s="253"/>
      <c r="M967" s="253"/>
      <c r="N967" s="253"/>
      <c r="O967" s="256"/>
      <c r="P967" s="256"/>
    </row>
    <row r="968" spans="1:16" ht="15.75" hidden="1" outlineLevel="2" x14ac:dyDescent="0.25">
      <c r="A968" s="324">
        <v>42826</v>
      </c>
      <c r="B968" s="273">
        <v>2017</v>
      </c>
      <c r="C968" s="251" t="s">
        <v>396</v>
      </c>
      <c r="D968" s="213"/>
      <c r="E968" s="252"/>
      <c r="F968" s="253"/>
      <c r="G968" s="254">
        <f t="shared" ref="G968:G970" si="140">F968*E968/1000</f>
        <v>0</v>
      </c>
      <c r="H968" s="217" t="e">
        <f t="shared" si="139"/>
        <v>#N/A</v>
      </c>
      <c r="I968" s="254" t="e">
        <f t="shared" ref="I968:I970" si="141">H968*G968</f>
        <v>#N/A</v>
      </c>
      <c r="J968" s="253" t="s">
        <v>521</v>
      </c>
      <c r="K968" s="253"/>
      <c r="L968" s="253"/>
      <c r="M968" s="253"/>
      <c r="N968" s="253"/>
      <c r="O968" s="256"/>
      <c r="P968" s="256"/>
    </row>
    <row r="969" spans="1:16" ht="15.75" hidden="1" outlineLevel="2" x14ac:dyDescent="0.25">
      <c r="A969" s="324">
        <v>42826</v>
      </c>
      <c r="B969" s="273">
        <v>2017</v>
      </c>
      <c r="C969" s="251" t="s">
        <v>396</v>
      </c>
      <c r="D969" s="213"/>
      <c r="E969" s="252"/>
      <c r="F969" s="253"/>
      <c r="G969" s="254">
        <f t="shared" si="140"/>
        <v>0</v>
      </c>
      <c r="H969" s="217" t="e">
        <f t="shared" si="139"/>
        <v>#N/A</v>
      </c>
      <c r="I969" s="254" t="e">
        <f t="shared" si="141"/>
        <v>#N/A</v>
      </c>
      <c r="J969" s="253" t="s">
        <v>502</v>
      </c>
      <c r="K969" s="253"/>
      <c r="L969" s="253"/>
      <c r="M969" s="253"/>
      <c r="N969" s="253"/>
      <c r="O969" s="256"/>
      <c r="P969" s="256"/>
    </row>
    <row r="970" spans="1:16" ht="15.75" hidden="1" outlineLevel="2" x14ac:dyDescent="0.25">
      <c r="A970" s="324">
        <v>42826</v>
      </c>
      <c r="B970" s="273">
        <v>2017</v>
      </c>
      <c r="C970" s="251" t="s">
        <v>396</v>
      </c>
      <c r="D970" s="213"/>
      <c r="E970" s="252"/>
      <c r="F970" s="253"/>
      <c r="G970" s="254">
        <f t="shared" si="140"/>
        <v>0</v>
      </c>
      <c r="H970" s="217" t="e">
        <f t="shared" si="139"/>
        <v>#N/A</v>
      </c>
      <c r="I970" s="254" t="e">
        <f t="shared" si="141"/>
        <v>#N/A</v>
      </c>
      <c r="J970" s="253" t="s">
        <v>502</v>
      </c>
      <c r="K970" s="253"/>
      <c r="L970" s="253"/>
      <c r="M970" s="253"/>
      <c r="N970" s="253"/>
      <c r="O970" s="256"/>
      <c r="P970" s="256"/>
    </row>
    <row r="971" spans="1:16" ht="15.75" hidden="1" outlineLevel="2" x14ac:dyDescent="0.25">
      <c r="A971" s="324">
        <v>42826</v>
      </c>
      <c r="B971" s="273">
        <v>2017</v>
      </c>
      <c r="C971" s="251" t="s">
        <v>396</v>
      </c>
      <c r="D971" s="213" t="s">
        <v>41</v>
      </c>
      <c r="E971" s="252">
        <v>6000</v>
      </c>
      <c r="F971" s="253">
        <v>1167</v>
      </c>
      <c r="G971" s="254">
        <f t="shared" ref="G971:G975" si="142">F971*E971/1000</f>
        <v>7002</v>
      </c>
      <c r="H971" s="217">
        <f t="shared" si="139"/>
        <v>0.65500000000000003</v>
      </c>
      <c r="I971" s="254">
        <f t="shared" ref="I971:I975" si="143">H971*G971</f>
        <v>4586.3100000000004</v>
      </c>
      <c r="J971" s="253" t="s">
        <v>502</v>
      </c>
      <c r="K971" s="255">
        <v>42726</v>
      </c>
      <c r="L971" s="253">
        <v>1018</v>
      </c>
      <c r="M971" s="253" t="s">
        <v>503</v>
      </c>
      <c r="N971" s="253" t="s">
        <v>512</v>
      </c>
      <c r="O971" s="256"/>
      <c r="P971" s="256"/>
    </row>
    <row r="972" spans="1:16" ht="15.75" hidden="1" outlineLevel="2" x14ac:dyDescent="0.25">
      <c r="A972" s="324">
        <v>42826</v>
      </c>
      <c r="B972" s="273">
        <v>2017</v>
      </c>
      <c r="C972" s="251" t="s">
        <v>396</v>
      </c>
      <c r="D972" s="213" t="s">
        <v>42</v>
      </c>
      <c r="E972" s="252">
        <v>6000</v>
      </c>
      <c r="F972" s="253">
        <v>417</v>
      </c>
      <c r="G972" s="254">
        <f t="shared" si="142"/>
        <v>2502</v>
      </c>
      <c r="H972" s="217">
        <f t="shared" si="139"/>
        <v>0.82199999999999995</v>
      </c>
      <c r="I972" s="254">
        <f t="shared" si="143"/>
        <v>2056.6439999999998</v>
      </c>
      <c r="J972" s="253" t="s">
        <v>502</v>
      </c>
      <c r="K972" s="255">
        <v>42726</v>
      </c>
      <c r="L972" s="253">
        <v>1018</v>
      </c>
      <c r="M972" s="253" t="s">
        <v>503</v>
      </c>
      <c r="N972" s="253"/>
      <c r="O972" s="256"/>
      <c r="P972" s="256"/>
    </row>
    <row r="973" spans="1:16" ht="15.75" hidden="1" outlineLevel="2" x14ac:dyDescent="0.25">
      <c r="A973" s="324">
        <v>42826</v>
      </c>
      <c r="B973" s="273">
        <v>2017</v>
      </c>
      <c r="C973" s="251" t="s">
        <v>396</v>
      </c>
      <c r="D973" s="213" t="s">
        <v>39</v>
      </c>
      <c r="E973" s="252">
        <v>6000</v>
      </c>
      <c r="F973" s="253">
        <v>250</v>
      </c>
      <c r="G973" s="254">
        <f t="shared" si="142"/>
        <v>1500</v>
      </c>
      <c r="H973" s="217">
        <f t="shared" si="139"/>
        <v>0.38</v>
      </c>
      <c r="I973" s="254">
        <f t="shared" si="143"/>
        <v>570</v>
      </c>
      <c r="J973" s="253" t="s">
        <v>502</v>
      </c>
      <c r="K973" s="255">
        <v>42726</v>
      </c>
      <c r="L973" s="253">
        <v>1018</v>
      </c>
      <c r="M973" s="253" t="s">
        <v>503</v>
      </c>
      <c r="N973" s="253"/>
      <c r="O973" s="256"/>
      <c r="P973" s="256"/>
    </row>
    <row r="974" spans="1:16" ht="15.75" hidden="1" outlineLevel="2" x14ac:dyDescent="0.25">
      <c r="A974" s="324">
        <v>42826</v>
      </c>
      <c r="B974" s="273">
        <v>2017</v>
      </c>
      <c r="C974" s="251" t="s">
        <v>396</v>
      </c>
      <c r="D974" s="213" t="s">
        <v>50</v>
      </c>
      <c r="E974" s="252">
        <v>6000</v>
      </c>
      <c r="F974" s="253">
        <v>84</v>
      </c>
      <c r="G974" s="254">
        <f t="shared" si="142"/>
        <v>504</v>
      </c>
      <c r="H974" s="217">
        <f t="shared" si="139"/>
        <v>0.53100000000000003</v>
      </c>
      <c r="I974" s="254">
        <f t="shared" si="143"/>
        <v>267.62400000000002</v>
      </c>
      <c r="J974" s="253" t="s">
        <v>502</v>
      </c>
      <c r="K974" s="255">
        <v>42726</v>
      </c>
      <c r="L974" s="253">
        <v>1018</v>
      </c>
      <c r="M974" s="253" t="s">
        <v>503</v>
      </c>
      <c r="N974" s="253"/>
      <c r="O974" s="256"/>
      <c r="P974" s="256"/>
    </row>
    <row r="975" spans="1:16" ht="15.75" hidden="1" outlineLevel="2" x14ac:dyDescent="0.25">
      <c r="A975" s="324">
        <v>42826</v>
      </c>
      <c r="B975" s="273">
        <v>2017</v>
      </c>
      <c r="C975" s="251" t="s">
        <v>396</v>
      </c>
      <c r="D975" s="213" t="s">
        <v>44</v>
      </c>
      <c r="E975" s="252">
        <v>6000</v>
      </c>
      <c r="F975" s="253">
        <v>84</v>
      </c>
      <c r="G975" s="254">
        <f t="shared" si="142"/>
        <v>504</v>
      </c>
      <c r="H975" s="217">
        <f t="shared" si="139"/>
        <v>1.1789999999999998</v>
      </c>
      <c r="I975" s="254">
        <f t="shared" si="143"/>
        <v>594.21599999999989</v>
      </c>
      <c r="J975" s="253" t="s">
        <v>502</v>
      </c>
      <c r="K975" s="255">
        <v>42726</v>
      </c>
      <c r="L975" s="253">
        <v>1018</v>
      </c>
      <c r="M975" s="253" t="s">
        <v>503</v>
      </c>
      <c r="N975" s="253" t="s">
        <v>512</v>
      </c>
      <c r="O975" s="256"/>
      <c r="P975" s="256"/>
    </row>
    <row r="976" spans="1:16" ht="15.75" hidden="1" outlineLevel="2" x14ac:dyDescent="0.25">
      <c r="A976" s="324">
        <v>42826</v>
      </c>
      <c r="B976" s="273">
        <v>2017</v>
      </c>
      <c r="C976" s="251" t="s">
        <v>396</v>
      </c>
      <c r="D976" s="213" t="s">
        <v>36</v>
      </c>
      <c r="E976" s="220">
        <v>4444</v>
      </c>
      <c r="F976" s="253">
        <v>55</v>
      </c>
      <c r="G976" s="254">
        <f t="shared" ref="G976" si="144">F976*E976/1000</f>
        <v>244.42</v>
      </c>
      <c r="H976" s="217">
        <f t="shared" si="139"/>
        <v>0.4</v>
      </c>
      <c r="I976" s="254">
        <f t="shared" ref="I976" si="145">H976*G976</f>
        <v>97.768000000000001</v>
      </c>
      <c r="J976" s="253"/>
      <c r="K976" s="253"/>
      <c r="L976" s="253"/>
      <c r="M976" s="253"/>
      <c r="N976" s="253"/>
      <c r="O976" s="256"/>
      <c r="P976" s="256"/>
    </row>
    <row r="977" spans="1:16" ht="15.75" hidden="1" outlineLevel="1" x14ac:dyDescent="0.25">
      <c r="A977" s="324">
        <v>42826</v>
      </c>
      <c r="B977" s="273">
        <v>2017</v>
      </c>
      <c r="C977" s="257" t="s">
        <v>397</v>
      </c>
      <c r="D977" s="258" t="s">
        <v>383</v>
      </c>
      <c r="E977" s="223"/>
      <c r="F977" s="253"/>
      <c r="G977" s="259"/>
      <c r="H977" s="217">
        <f t="shared" si="139"/>
        <v>8.2810000000000006</v>
      </c>
      <c r="I977" s="254">
        <f>H977*F977</f>
        <v>0</v>
      </c>
      <c r="J977" s="253" t="s">
        <v>502</v>
      </c>
      <c r="K977" s="253"/>
      <c r="L977" s="253"/>
      <c r="M977" s="253"/>
      <c r="N977" s="253"/>
      <c r="O977" s="256"/>
      <c r="P977" s="256"/>
    </row>
    <row r="978" spans="1:16" ht="15.75" hidden="1" outlineLevel="2" x14ac:dyDescent="0.25">
      <c r="A978" s="324">
        <v>42826</v>
      </c>
      <c r="B978" s="273">
        <v>2017</v>
      </c>
      <c r="C978" s="257" t="s">
        <v>397</v>
      </c>
      <c r="D978" s="258" t="s">
        <v>386</v>
      </c>
      <c r="E978" s="224"/>
      <c r="F978" s="253"/>
      <c r="G978" s="259"/>
      <c r="H978" s="217">
        <f t="shared" si="139"/>
        <v>11.587999999999999</v>
      </c>
      <c r="I978" s="254">
        <f t="shared" ref="I978:I983" si="146">H978*F978</f>
        <v>0</v>
      </c>
      <c r="J978" s="253" t="s">
        <v>502</v>
      </c>
      <c r="K978" s="253"/>
      <c r="L978" s="253"/>
      <c r="M978" s="253"/>
      <c r="N978" s="253"/>
      <c r="O978" s="256"/>
      <c r="P978" s="256"/>
    </row>
    <row r="979" spans="1:16" ht="15.75" hidden="1" outlineLevel="2" x14ac:dyDescent="0.25">
      <c r="A979" s="324">
        <v>42826</v>
      </c>
      <c r="B979" s="273">
        <v>2017</v>
      </c>
      <c r="C979" s="257" t="s">
        <v>397</v>
      </c>
      <c r="D979" s="258" t="s">
        <v>382</v>
      </c>
      <c r="E979" s="260"/>
      <c r="F979" s="253"/>
      <c r="G979" s="259"/>
      <c r="H979" s="217">
        <f t="shared" si="139"/>
        <v>7.4539999999999997</v>
      </c>
      <c r="I979" s="254">
        <f t="shared" si="146"/>
        <v>0</v>
      </c>
      <c r="J979" s="253"/>
      <c r="K979" s="253"/>
      <c r="L979" s="253"/>
      <c r="M979" s="253"/>
      <c r="N979" s="253"/>
      <c r="O979" s="256"/>
      <c r="P979" s="256"/>
    </row>
    <row r="980" spans="1:16" ht="15.75" hidden="1" outlineLevel="2" x14ac:dyDescent="0.25">
      <c r="A980" s="324">
        <v>42826</v>
      </c>
      <c r="B980" s="273">
        <v>2017</v>
      </c>
      <c r="C980" s="257" t="s">
        <v>397</v>
      </c>
      <c r="D980" s="258" t="s">
        <v>230</v>
      </c>
      <c r="E980" s="260"/>
      <c r="F980" s="253"/>
      <c r="G980" s="259"/>
      <c r="H980" s="217">
        <f t="shared" si="139"/>
        <v>5.0110000000000001</v>
      </c>
      <c r="I980" s="254">
        <f t="shared" si="146"/>
        <v>0</v>
      </c>
      <c r="J980" s="253"/>
      <c r="K980" s="253"/>
      <c r="L980" s="253"/>
      <c r="M980" s="253"/>
      <c r="N980" s="253"/>
      <c r="O980" s="256"/>
      <c r="P980" s="256"/>
    </row>
    <row r="981" spans="1:16" ht="15.75" hidden="1" outlineLevel="2" x14ac:dyDescent="0.25">
      <c r="A981" s="324">
        <v>42826</v>
      </c>
      <c r="B981" s="273">
        <v>2017</v>
      </c>
      <c r="C981" s="257" t="s">
        <v>397</v>
      </c>
      <c r="D981" s="258" t="s">
        <v>382</v>
      </c>
      <c r="E981" s="261"/>
      <c r="F981" s="253"/>
      <c r="G981" s="259"/>
      <c r="H981" s="217">
        <f t="shared" si="139"/>
        <v>7.4539999999999997</v>
      </c>
      <c r="I981" s="254">
        <f t="shared" si="146"/>
        <v>0</v>
      </c>
      <c r="J981" s="253"/>
      <c r="K981" s="253"/>
      <c r="L981" s="253"/>
      <c r="M981" s="253"/>
      <c r="N981" s="253"/>
      <c r="O981" s="256"/>
      <c r="P981" s="256"/>
    </row>
    <row r="982" spans="1:16" ht="15.75" hidden="1" outlineLevel="2" x14ac:dyDescent="0.25">
      <c r="A982" s="324">
        <v>42826</v>
      </c>
      <c r="B982" s="273">
        <v>2017</v>
      </c>
      <c r="C982" s="257" t="s">
        <v>397</v>
      </c>
      <c r="D982" s="258" t="s">
        <v>382</v>
      </c>
      <c r="E982" s="261"/>
      <c r="F982" s="253"/>
      <c r="G982" s="259"/>
      <c r="H982" s="217">
        <f t="shared" si="139"/>
        <v>7.4539999999999997</v>
      </c>
      <c r="I982" s="254">
        <f t="shared" si="146"/>
        <v>0</v>
      </c>
      <c r="J982" s="262"/>
      <c r="K982" s="262"/>
      <c r="L982" s="262"/>
      <c r="M982" s="262"/>
      <c r="N982" s="262"/>
      <c r="O982" s="256"/>
      <c r="P982" s="256"/>
    </row>
    <row r="983" spans="1:16" ht="15.75" hidden="1" outlineLevel="2" x14ac:dyDescent="0.25">
      <c r="A983" s="324">
        <v>42826</v>
      </c>
      <c r="B983" s="273">
        <v>2017</v>
      </c>
      <c r="C983" s="257" t="s">
        <v>397</v>
      </c>
      <c r="D983" s="258" t="s">
        <v>317</v>
      </c>
      <c r="E983" s="259"/>
      <c r="F983" s="253"/>
      <c r="G983" s="259"/>
      <c r="H983" s="217">
        <f t="shared" si="139"/>
        <v>2.7959999999999998</v>
      </c>
      <c r="I983" s="254">
        <f t="shared" si="146"/>
        <v>0</v>
      </c>
      <c r="J983" s="253" t="s">
        <v>502</v>
      </c>
      <c r="K983" s="253"/>
      <c r="L983" s="253">
        <v>7038</v>
      </c>
      <c r="M983" s="253"/>
      <c r="N983" s="253"/>
      <c r="O983" s="256"/>
      <c r="P983" s="256"/>
    </row>
    <row r="984" spans="1:16" ht="15.75" hidden="1" outlineLevel="2" x14ac:dyDescent="0.25">
      <c r="A984" s="324">
        <v>42826</v>
      </c>
      <c r="B984" s="273">
        <v>2017</v>
      </c>
      <c r="C984" s="257" t="s">
        <v>397</v>
      </c>
      <c r="D984" s="258" t="s">
        <v>447</v>
      </c>
      <c r="E984" s="264"/>
      <c r="F984" s="253"/>
      <c r="G984" s="265"/>
      <c r="H984" s="217">
        <f t="shared" si="139"/>
        <v>1.738</v>
      </c>
      <c r="I984" s="254">
        <f t="shared" ref="I984:I986" si="147">H984*F984</f>
        <v>0</v>
      </c>
      <c r="J984" s="262"/>
      <c r="K984" s="262"/>
      <c r="L984" s="253"/>
      <c r="M984" s="262"/>
      <c r="N984" s="262"/>
      <c r="O984" s="256"/>
      <c r="P984" s="256"/>
    </row>
    <row r="985" spans="1:16" ht="15.75" hidden="1" outlineLevel="2" x14ac:dyDescent="0.25">
      <c r="A985" s="324">
        <v>42826</v>
      </c>
      <c r="B985" s="273">
        <v>2017</v>
      </c>
      <c r="C985" s="257" t="s">
        <v>397</v>
      </c>
      <c r="D985" s="258"/>
      <c r="E985" s="264"/>
      <c r="F985" s="253"/>
      <c r="G985" s="265"/>
      <c r="H985" s="217" t="e">
        <f t="shared" si="139"/>
        <v>#N/A</v>
      </c>
      <c r="I985" s="254" t="e">
        <f t="shared" si="147"/>
        <v>#N/A</v>
      </c>
      <c r="J985" s="262"/>
      <c r="K985" s="262"/>
      <c r="L985" s="253"/>
      <c r="M985" s="262"/>
      <c r="N985" s="262"/>
      <c r="O985" s="256"/>
      <c r="P985" s="256"/>
    </row>
    <row r="986" spans="1:16" ht="15.75" hidden="1" outlineLevel="2" x14ac:dyDescent="0.25">
      <c r="A986" s="324">
        <v>42826</v>
      </c>
      <c r="B986" s="273">
        <v>2017</v>
      </c>
      <c r="C986" s="257" t="s">
        <v>397</v>
      </c>
      <c r="D986" s="258"/>
      <c r="E986" s="264"/>
      <c r="F986" s="253"/>
      <c r="G986" s="265"/>
      <c r="H986" s="217" t="e">
        <f t="shared" si="139"/>
        <v>#N/A</v>
      </c>
      <c r="I986" s="254" t="e">
        <f t="shared" si="147"/>
        <v>#N/A</v>
      </c>
      <c r="J986" s="262"/>
      <c r="K986" s="262"/>
      <c r="L986" s="253"/>
      <c r="M986" s="262"/>
      <c r="N986" s="262"/>
      <c r="O986" s="256"/>
      <c r="P986" s="256"/>
    </row>
    <row r="987" spans="1:16" ht="15.75" hidden="1" outlineLevel="2" x14ac:dyDescent="0.25">
      <c r="A987" s="324">
        <v>42826</v>
      </c>
      <c r="B987" s="273">
        <v>2017</v>
      </c>
      <c r="C987" s="257" t="s">
        <v>397</v>
      </c>
      <c r="D987" s="258"/>
      <c r="E987" s="264"/>
      <c r="F987" s="253"/>
      <c r="G987" s="265"/>
      <c r="H987" s="217" t="e">
        <f t="shared" si="139"/>
        <v>#N/A</v>
      </c>
      <c r="I987" s="254" t="e">
        <f>H987*F987</f>
        <v>#N/A</v>
      </c>
      <c r="J987" s="262"/>
      <c r="K987" s="262"/>
      <c r="L987" s="253"/>
      <c r="M987" s="262"/>
      <c r="N987" s="262"/>
      <c r="O987" s="256"/>
      <c r="P987" s="256"/>
    </row>
    <row r="988" spans="1:16" ht="15.75" hidden="1" outlineLevel="1" x14ac:dyDescent="0.25">
      <c r="A988" s="324">
        <v>42826</v>
      </c>
      <c r="B988" s="273">
        <v>2017</v>
      </c>
      <c r="C988" s="266" t="s">
        <v>391</v>
      </c>
      <c r="D988" s="267" t="s">
        <v>373</v>
      </c>
      <c r="E988" s="264"/>
      <c r="F988" s="253"/>
      <c r="G988" s="265"/>
      <c r="H988" s="217">
        <f t="shared" si="139"/>
        <v>0</v>
      </c>
      <c r="I988" s="254">
        <f t="shared" ref="I988:I996" si="148">H988*F988</f>
        <v>0</v>
      </c>
      <c r="J988" s="262" t="s">
        <v>502</v>
      </c>
      <c r="K988" s="262"/>
      <c r="L988" s="253">
        <v>7038</v>
      </c>
      <c r="M988" s="262"/>
      <c r="N988" s="262"/>
      <c r="O988" s="256"/>
      <c r="P988" s="256"/>
    </row>
    <row r="989" spans="1:16" ht="15.75" hidden="1" outlineLevel="2" x14ac:dyDescent="0.25">
      <c r="A989" s="324">
        <v>42826</v>
      </c>
      <c r="B989" s="273">
        <v>2017</v>
      </c>
      <c r="C989" s="266" t="s">
        <v>391</v>
      </c>
      <c r="D989" s="267" t="s">
        <v>374</v>
      </c>
      <c r="E989" s="264"/>
      <c r="F989" s="253"/>
      <c r="G989" s="265"/>
      <c r="H989" s="217">
        <f t="shared" si="139"/>
        <v>0</v>
      </c>
      <c r="I989" s="254">
        <f t="shared" si="148"/>
        <v>0</v>
      </c>
      <c r="J989" s="262" t="s">
        <v>502</v>
      </c>
      <c r="K989" s="255"/>
      <c r="L989" s="253">
        <v>7038</v>
      </c>
      <c r="M989" s="253"/>
      <c r="N989" s="253"/>
      <c r="O989" s="256"/>
      <c r="P989" s="256"/>
    </row>
    <row r="990" spans="1:16" ht="15.75" hidden="1" outlineLevel="2" x14ac:dyDescent="0.25">
      <c r="A990" s="324">
        <v>42826</v>
      </c>
      <c r="B990" s="273">
        <v>2017</v>
      </c>
      <c r="C990" s="266" t="s">
        <v>391</v>
      </c>
      <c r="D990" s="267" t="s">
        <v>375</v>
      </c>
      <c r="E990" s="264"/>
      <c r="F990" s="253"/>
      <c r="G990" s="265"/>
      <c r="H990" s="217">
        <f t="shared" si="139"/>
        <v>0</v>
      </c>
      <c r="I990" s="254">
        <f t="shared" si="148"/>
        <v>0</v>
      </c>
      <c r="J990" s="262" t="s">
        <v>502</v>
      </c>
      <c r="K990" s="255"/>
      <c r="L990" s="253">
        <v>7038</v>
      </c>
      <c r="M990" s="253"/>
      <c r="N990" s="253"/>
      <c r="O990" s="256"/>
      <c r="P990" s="256"/>
    </row>
    <row r="991" spans="1:16" ht="15.75" hidden="1" outlineLevel="2" x14ac:dyDescent="0.25">
      <c r="A991" s="324">
        <v>42826</v>
      </c>
      <c r="B991" s="273">
        <v>2017</v>
      </c>
      <c r="C991" s="266" t="s">
        <v>391</v>
      </c>
      <c r="D991" s="267" t="s">
        <v>376</v>
      </c>
      <c r="E991" s="264"/>
      <c r="F991" s="253"/>
      <c r="G991" s="265"/>
      <c r="H991" s="217">
        <f t="shared" si="139"/>
        <v>0</v>
      </c>
      <c r="I991" s="254">
        <f t="shared" si="148"/>
        <v>0</v>
      </c>
      <c r="J991" s="262" t="s">
        <v>502</v>
      </c>
      <c r="K991" s="262"/>
      <c r="L991" s="253">
        <v>7038</v>
      </c>
      <c r="M991" s="262"/>
      <c r="N991" s="262"/>
      <c r="O991" s="256"/>
      <c r="P991" s="256"/>
    </row>
    <row r="992" spans="1:16" ht="15.75" hidden="1" outlineLevel="2" x14ac:dyDescent="0.25">
      <c r="A992" s="324">
        <v>42826</v>
      </c>
      <c r="B992" s="273">
        <v>2017</v>
      </c>
      <c r="C992" s="266" t="s">
        <v>391</v>
      </c>
      <c r="D992" s="267" t="s">
        <v>394</v>
      </c>
      <c r="E992" s="264"/>
      <c r="F992" s="253">
        <v>300</v>
      </c>
      <c r="G992" s="265"/>
      <c r="H992" s="217">
        <f t="shared" si="139"/>
        <v>0</v>
      </c>
      <c r="I992" s="254">
        <f t="shared" si="148"/>
        <v>0</v>
      </c>
      <c r="J992" s="262" t="s">
        <v>502</v>
      </c>
      <c r="K992" s="263">
        <v>42726</v>
      </c>
      <c r="L992" s="253">
        <v>1018</v>
      </c>
      <c r="M992" s="262" t="s">
        <v>503</v>
      </c>
      <c r="N992" s="262"/>
      <c r="O992" s="256"/>
      <c r="P992" s="256"/>
    </row>
    <row r="993" spans="1:16" ht="15.75" hidden="1" outlineLevel="2" x14ac:dyDescent="0.25">
      <c r="A993" s="324">
        <v>42826</v>
      </c>
      <c r="B993" s="273">
        <v>2017</v>
      </c>
      <c r="C993" s="266" t="s">
        <v>391</v>
      </c>
      <c r="D993" s="267" t="s">
        <v>453</v>
      </c>
      <c r="E993" s="264"/>
      <c r="F993" s="253"/>
      <c r="G993" s="265"/>
      <c r="H993" s="217">
        <f t="shared" si="139"/>
        <v>0</v>
      </c>
      <c r="I993" s="254">
        <f t="shared" si="148"/>
        <v>0</v>
      </c>
      <c r="J993" s="262"/>
      <c r="K993" s="262"/>
      <c r="L993" s="253"/>
      <c r="M993" s="262"/>
      <c r="N993" s="262"/>
      <c r="O993" s="256"/>
      <c r="P993" s="256"/>
    </row>
    <row r="994" spans="1:16" ht="15.75" hidden="1" outlineLevel="2" x14ac:dyDescent="0.25">
      <c r="A994" s="324">
        <v>42826</v>
      </c>
      <c r="B994" s="273">
        <v>2017</v>
      </c>
      <c r="C994" s="266" t="s">
        <v>391</v>
      </c>
      <c r="D994" s="267"/>
      <c r="E994" s="264"/>
      <c r="F994" s="253"/>
      <c r="G994" s="265"/>
      <c r="H994" s="217" t="e">
        <f t="shared" si="139"/>
        <v>#N/A</v>
      </c>
      <c r="I994" s="254" t="e">
        <f t="shared" si="148"/>
        <v>#N/A</v>
      </c>
      <c r="J994" s="262"/>
      <c r="K994" s="262"/>
      <c r="L994" s="253"/>
      <c r="M994" s="262"/>
      <c r="N994" s="262"/>
      <c r="O994" s="256"/>
      <c r="P994" s="256"/>
    </row>
    <row r="995" spans="1:16" ht="15.75" hidden="1" outlineLevel="2" x14ac:dyDescent="0.25">
      <c r="A995" s="324">
        <v>42826</v>
      </c>
      <c r="B995" s="273">
        <v>2017</v>
      </c>
      <c r="C995" s="266" t="s">
        <v>391</v>
      </c>
      <c r="D995" s="267"/>
      <c r="E995" s="264"/>
      <c r="F995" s="253"/>
      <c r="G995" s="265"/>
      <c r="H995" s="217" t="e">
        <f t="shared" si="139"/>
        <v>#N/A</v>
      </c>
      <c r="I995" s="254" t="e">
        <f t="shared" si="148"/>
        <v>#N/A</v>
      </c>
      <c r="J995" s="262"/>
      <c r="K995" s="262"/>
      <c r="L995" s="253"/>
      <c r="M995" s="262"/>
      <c r="N995" s="262"/>
      <c r="O995" s="256"/>
      <c r="P995" s="256"/>
    </row>
    <row r="996" spans="1:16" ht="15.75" hidden="1" outlineLevel="2" x14ac:dyDescent="0.25">
      <c r="A996" s="324">
        <v>42826</v>
      </c>
      <c r="B996" s="273">
        <v>2017</v>
      </c>
      <c r="C996" s="266" t="s">
        <v>391</v>
      </c>
      <c r="D996" s="267"/>
      <c r="E996" s="264"/>
      <c r="F996" s="253"/>
      <c r="G996" s="265"/>
      <c r="H996" s="217" t="e">
        <f t="shared" si="139"/>
        <v>#N/A</v>
      </c>
      <c r="I996" s="254" t="e">
        <f t="shared" si="148"/>
        <v>#N/A</v>
      </c>
      <c r="J996" s="262"/>
      <c r="K996" s="262"/>
      <c r="L996" s="253"/>
      <c r="M996" s="262"/>
      <c r="N996" s="262"/>
      <c r="O996" s="256"/>
      <c r="P996" s="256"/>
    </row>
    <row r="997" spans="1:16" ht="15.75" hidden="1" outlineLevel="1" x14ac:dyDescent="0.25">
      <c r="A997" s="324">
        <v>42826</v>
      </c>
      <c r="B997" s="273">
        <v>2017</v>
      </c>
      <c r="C997" s="268" t="s">
        <v>398</v>
      </c>
      <c r="D997" s="274" t="s">
        <v>393</v>
      </c>
      <c r="E997" s="264"/>
      <c r="F997" s="270"/>
      <c r="G997" s="265"/>
      <c r="H997" s="217">
        <f t="shared" si="139"/>
        <v>0</v>
      </c>
      <c r="I997" s="262"/>
      <c r="J997" s="262" t="s">
        <v>502</v>
      </c>
      <c r="K997" s="262"/>
      <c r="L997" s="253">
        <v>7038</v>
      </c>
      <c r="M997" s="262"/>
      <c r="N997" s="262"/>
      <c r="O997" s="256"/>
      <c r="P997" s="256"/>
    </row>
    <row r="998" spans="1:16" ht="15.75" hidden="1" outlineLevel="2" x14ac:dyDescent="0.25">
      <c r="A998" s="324">
        <v>42826</v>
      </c>
      <c r="B998" s="273">
        <v>2017</v>
      </c>
      <c r="C998" s="268" t="s">
        <v>398</v>
      </c>
      <c r="D998" s="274" t="s">
        <v>393</v>
      </c>
      <c r="E998" s="264"/>
      <c r="F998" s="270"/>
      <c r="G998" s="265"/>
      <c r="H998" s="217">
        <f t="shared" si="139"/>
        <v>0</v>
      </c>
      <c r="I998" s="262">
        <v>46000</v>
      </c>
      <c r="J998" s="262" t="s">
        <v>502</v>
      </c>
      <c r="K998" s="263">
        <v>42735</v>
      </c>
      <c r="L998" s="253">
        <v>7038</v>
      </c>
      <c r="M998" s="262" t="s">
        <v>513</v>
      </c>
      <c r="N998" s="262"/>
      <c r="O998" s="256"/>
      <c r="P998" s="256"/>
    </row>
    <row r="999" spans="1:16" ht="15.75" hidden="1" outlineLevel="2" x14ac:dyDescent="0.25">
      <c r="A999" s="324">
        <v>42826</v>
      </c>
      <c r="B999" s="273">
        <v>2017</v>
      </c>
      <c r="C999" s="268" t="s">
        <v>398</v>
      </c>
      <c r="D999" s="274" t="s">
        <v>393</v>
      </c>
      <c r="E999" s="264"/>
      <c r="F999" s="270"/>
      <c r="G999" s="265"/>
      <c r="H999" s="217">
        <f t="shared" si="139"/>
        <v>0</v>
      </c>
      <c r="I999" s="262">
        <v>46000</v>
      </c>
      <c r="J999" s="262" t="s">
        <v>502</v>
      </c>
      <c r="K999" s="263">
        <v>42735</v>
      </c>
      <c r="L999" s="253">
        <v>7038</v>
      </c>
      <c r="M999" s="262" t="s">
        <v>513</v>
      </c>
      <c r="N999" s="262"/>
      <c r="O999" s="256"/>
      <c r="P999" s="256"/>
    </row>
    <row r="1000" spans="1:16" ht="15.75" hidden="1" outlineLevel="2" x14ac:dyDescent="0.25">
      <c r="A1000" s="324">
        <v>42826</v>
      </c>
      <c r="B1000" s="273">
        <v>2017</v>
      </c>
      <c r="C1000" s="268" t="s">
        <v>398</v>
      </c>
      <c r="D1000" s="272" t="s">
        <v>516</v>
      </c>
      <c r="E1000" s="264"/>
      <c r="F1000" s="270"/>
      <c r="G1000" s="265"/>
      <c r="H1000" s="217" t="e">
        <f t="shared" si="139"/>
        <v>#N/A</v>
      </c>
      <c r="I1000" s="262"/>
      <c r="J1000" s="262" t="s">
        <v>502</v>
      </c>
      <c r="K1000" s="262"/>
      <c r="L1000" s="253">
        <v>7038</v>
      </c>
      <c r="M1000" s="262"/>
      <c r="N1000" s="262"/>
      <c r="O1000" s="256"/>
      <c r="P1000" s="256"/>
    </row>
    <row r="1001" spans="1:16" ht="15.75" hidden="1" outlineLevel="2" x14ac:dyDescent="0.25">
      <c r="A1001" s="324">
        <v>42826</v>
      </c>
      <c r="B1001" s="273">
        <v>2017</v>
      </c>
      <c r="C1001" s="268" t="s">
        <v>398</v>
      </c>
      <c r="D1001" s="272" t="s">
        <v>517</v>
      </c>
      <c r="E1001" s="264"/>
      <c r="F1001" s="270"/>
      <c r="G1001" s="265"/>
      <c r="H1001" s="217" t="e">
        <f t="shared" si="139"/>
        <v>#N/A</v>
      </c>
      <c r="I1001" s="262"/>
      <c r="J1001" s="262" t="s">
        <v>502</v>
      </c>
      <c r="K1001" s="262"/>
      <c r="L1001" s="253">
        <v>7038</v>
      </c>
      <c r="M1001" s="262"/>
      <c r="N1001" s="262"/>
      <c r="O1001" s="256"/>
      <c r="P1001" s="256"/>
    </row>
    <row r="1002" spans="1:16" ht="15.75" hidden="1" outlineLevel="2" x14ac:dyDescent="0.25">
      <c r="A1002" s="324">
        <v>42826</v>
      </c>
      <c r="B1002" s="273">
        <v>2017</v>
      </c>
      <c r="C1002" s="268" t="s">
        <v>398</v>
      </c>
      <c r="D1002" s="272" t="s">
        <v>518</v>
      </c>
      <c r="E1002" s="264"/>
      <c r="F1002" s="270"/>
      <c r="G1002" s="265"/>
      <c r="H1002" s="217" t="e">
        <f t="shared" si="139"/>
        <v>#N/A</v>
      </c>
      <c r="I1002" s="262"/>
      <c r="J1002" s="262" t="s">
        <v>502</v>
      </c>
      <c r="K1002" s="262"/>
      <c r="L1002" s="253">
        <v>7038</v>
      </c>
      <c r="M1002" s="262"/>
      <c r="N1002" s="262"/>
      <c r="O1002" s="256"/>
      <c r="P1002" s="256"/>
    </row>
    <row r="1003" spans="1:16" ht="15.75" hidden="1" outlineLevel="2" x14ac:dyDescent="0.25">
      <c r="A1003" s="324">
        <v>42826</v>
      </c>
      <c r="B1003" s="273">
        <v>2017</v>
      </c>
      <c r="C1003" s="268" t="s">
        <v>398</v>
      </c>
      <c r="D1003" s="272" t="s">
        <v>519</v>
      </c>
      <c r="E1003" s="264"/>
      <c r="F1003" s="270"/>
      <c r="G1003" s="265"/>
      <c r="H1003" s="217" t="e">
        <f t="shared" si="139"/>
        <v>#N/A</v>
      </c>
      <c r="I1003" s="262"/>
      <c r="J1003" s="262" t="s">
        <v>502</v>
      </c>
      <c r="K1003" s="262"/>
      <c r="L1003" s="253">
        <v>7038</v>
      </c>
      <c r="M1003" s="262"/>
      <c r="N1003" s="262"/>
      <c r="O1003" s="256"/>
      <c r="P1003" s="256"/>
    </row>
    <row r="1004" spans="1:16" ht="15.75" hidden="1" outlineLevel="2" x14ac:dyDescent="0.25">
      <c r="A1004" s="324">
        <v>42826</v>
      </c>
      <c r="B1004" s="273">
        <v>2017</v>
      </c>
      <c r="C1004" s="268" t="s">
        <v>398</v>
      </c>
      <c r="D1004" s="272" t="s">
        <v>520</v>
      </c>
      <c r="E1004" s="264"/>
      <c r="F1004" s="270"/>
      <c r="G1004" s="265"/>
      <c r="H1004" s="217" t="e">
        <f t="shared" si="139"/>
        <v>#N/A</v>
      </c>
      <c r="I1004" s="262"/>
      <c r="J1004" s="262" t="s">
        <v>502</v>
      </c>
      <c r="K1004" s="262"/>
      <c r="L1004" s="253">
        <v>7038</v>
      </c>
      <c r="M1004" s="262"/>
      <c r="N1004" s="262"/>
      <c r="O1004" s="256"/>
      <c r="P1004" s="256"/>
    </row>
    <row r="1005" spans="1:16" ht="15.75" hidden="1" outlineLevel="2" x14ac:dyDescent="0.25">
      <c r="A1005" s="324">
        <v>42826</v>
      </c>
      <c r="B1005" s="273">
        <v>2017</v>
      </c>
      <c r="C1005" s="268" t="s">
        <v>398</v>
      </c>
      <c r="D1005" s="272"/>
      <c r="E1005" s="264"/>
      <c r="F1005" s="270"/>
      <c r="G1005" s="265"/>
      <c r="H1005" s="217" t="e">
        <f t="shared" si="139"/>
        <v>#N/A</v>
      </c>
      <c r="I1005" s="262"/>
      <c r="J1005" s="262"/>
      <c r="K1005" s="262"/>
      <c r="L1005" s="253"/>
      <c r="M1005" s="262"/>
      <c r="N1005" s="262"/>
      <c r="O1005" s="256"/>
      <c r="P1005" s="256"/>
    </row>
    <row r="1006" spans="1:16" ht="15.75" hidden="1" outlineLevel="2" x14ac:dyDescent="0.25">
      <c r="A1006" s="324">
        <v>42826</v>
      </c>
      <c r="B1006" s="273">
        <v>2017</v>
      </c>
      <c r="C1006" s="268" t="s">
        <v>398</v>
      </c>
      <c r="D1006" s="272"/>
      <c r="E1006" s="264"/>
      <c r="F1006" s="270"/>
      <c r="G1006" s="265"/>
      <c r="H1006" s="217" t="e">
        <f t="shared" si="139"/>
        <v>#N/A</v>
      </c>
      <c r="I1006" s="262"/>
      <c r="J1006" s="262"/>
      <c r="K1006" s="262"/>
      <c r="L1006" s="253"/>
      <c r="M1006" s="262"/>
      <c r="N1006" s="262"/>
      <c r="O1006" s="256"/>
      <c r="P1006" s="256"/>
    </row>
    <row r="1007" spans="1:16" ht="15.75" hidden="1" outlineLevel="2" x14ac:dyDescent="0.25">
      <c r="A1007" s="324">
        <v>42826</v>
      </c>
      <c r="B1007" s="273">
        <v>2017</v>
      </c>
      <c r="C1007" s="268" t="s">
        <v>398</v>
      </c>
      <c r="D1007" s="272"/>
      <c r="E1007" s="264"/>
      <c r="F1007" s="270"/>
      <c r="G1007" s="265"/>
      <c r="H1007" s="217" t="e">
        <f t="shared" si="139"/>
        <v>#N/A</v>
      </c>
      <c r="I1007" s="262"/>
      <c r="J1007" s="262"/>
      <c r="K1007" s="262"/>
      <c r="L1007" s="253"/>
      <c r="M1007" s="262"/>
      <c r="N1007" s="262"/>
      <c r="O1007" s="256"/>
      <c r="P1007" s="256"/>
    </row>
    <row r="1008" spans="1:16" hidden="1" x14ac:dyDescent="0.25">
      <c r="A1008" s="313"/>
      <c r="H1008" s="217" t="e">
        <f t="shared" si="139"/>
        <v>#N/A</v>
      </c>
    </row>
    <row r="1009" spans="1:16" ht="15.75" hidden="1" x14ac:dyDescent="0.25">
      <c r="A1009" s="324">
        <v>42856</v>
      </c>
      <c r="B1009" s="273">
        <v>2017</v>
      </c>
      <c r="C1009" s="245"/>
      <c r="D1009" s="246" t="s">
        <v>498</v>
      </c>
      <c r="E1009" s="246"/>
      <c r="F1009" s="247"/>
      <c r="G1009" s="247">
        <f>SUM(G1013:G1022)</f>
        <v>12280.42</v>
      </c>
      <c r="H1009" s="217" t="e">
        <f t="shared" si="139"/>
        <v>#N/A</v>
      </c>
      <c r="I1009" s="247"/>
      <c r="J1009" s="247"/>
      <c r="K1009" s="247"/>
      <c r="L1009" s="248"/>
      <c r="M1009" s="248"/>
      <c r="N1009" s="245"/>
      <c r="O1009" s="249"/>
      <c r="P1009" s="249"/>
    </row>
    <row r="1010" spans="1:16" ht="15.75" hidden="1" outlineLevel="1" x14ac:dyDescent="0.25">
      <c r="A1010" s="324">
        <v>42856</v>
      </c>
      <c r="B1010" s="273">
        <v>2017</v>
      </c>
      <c r="C1010" s="245"/>
      <c r="D1010" s="246" t="s">
        <v>499</v>
      </c>
      <c r="E1010" s="246"/>
      <c r="F1010" s="247">
        <f>SUM(F1023:F1032)</f>
        <v>0</v>
      </c>
      <c r="G1010" s="247"/>
      <c r="H1010" s="217" t="e">
        <f t="shared" si="139"/>
        <v>#N/A</v>
      </c>
      <c r="I1010" s="247" t="e">
        <f>SUM(I1023:I1032)</f>
        <v>#N/A</v>
      </c>
      <c r="J1010" s="247"/>
      <c r="K1010" s="247"/>
      <c r="L1010" s="248"/>
      <c r="M1010" s="248"/>
      <c r="N1010" s="245"/>
      <c r="O1010" s="249"/>
      <c r="P1010" s="249"/>
    </row>
    <row r="1011" spans="1:16" ht="15.75" hidden="1" outlineLevel="1" x14ac:dyDescent="0.25">
      <c r="A1011" s="324">
        <v>42856</v>
      </c>
      <c r="B1011" s="273">
        <v>2017</v>
      </c>
      <c r="C1011" s="245"/>
      <c r="D1011" s="246" t="s">
        <v>500</v>
      </c>
      <c r="E1011" s="246"/>
      <c r="F1011" s="247">
        <f>SUM(F1033:F1039)</f>
        <v>300</v>
      </c>
      <c r="G1011" s="247"/>
      <c r="H1011" s="217" t="e">
        <f t="shared" si="139"/>
        <v>#N/A</v>
      </c>
      <c r="I1011" s="247"/>
      <c r="J1011" s="247"/>
      <c r="K1011" s="247"/>
      <c r="L1011" s="248"/>
      <c r="M1011" s="248"/>
      <c r="N1011" s="245"/>
      <c r="O1011" s="249"/>
      <c r="P1011" s="249"/>
    </row>
    <row r="1012" spans="1:16" ht="15.75" hidden="1" outlineLevel="1" x14ac:dyDescent="0.25">
      <c r="A1012" s="324">
        <v>42856</v>
      </c>
      <c r="B1012" s="273">
        <v>2017</v>
      </c>
      <c r="C1012" s="245"/>
      <c r="D1012" s="246" t="s">
        <v>501</v>
      </c>
      <c r="E1012" s="246"/>
      <c r="F1012" s="247"/>
      <c r="G1012" s="247"/>
      <c r="H1012" s="217" t="e">
        <f t="shared" si="139"/>
        <v>#N/A</v>
      </c>
      <c r="I1012" s="247">
        <f>SUM(I1040:I1047)</f>
        <v>92000</v>
      </c>
      <c r="J1012" s="247"/>
      <c r="K1012" s="247"/>
      <c r="L1012" s="248"/>
      <c r="M1012" s="248"/>
      <c r="N1012" s="245"/>
      <c r="O1012" s="250"/>
      <c r="P1012" s="250"/>
    </row>
    <row r="1013" spans="1:16" ht="15.75" hidden="1" outlineLevel="1" x14ac:dyDescent="0.25">
      <c r="A1013" s="324">
        <v>42856</v>
      </c>
      <c r="B1013" s="273">
        <v>2017</v>
      </c>
      <c r="C1013" s="251" t="s">
        <v>396</v>
      </c>
      <c r="D1013" s="213" t="s">
        <v>33</v>
      </c>
      <c r="E1013" s="252">
        <v>3000</v>
      </c>
      <c r="F1013" s="253">
        <v>8</v>
      </c>
      <c r="G1013" s="254">
        <f>F1013*E1013/1000</f>
        <v>24</v>
      </c>
      <c r="H1013" s="217">
        <f t="shared" si="139"/>
        <v>8.661999999999999</v>
      </c>
      <c r="I1013" s="254">
        <f>H1013*G1013</f>
        <v>207.88799999999998</v>
      </c>
      <c r="J1013" s="253" t="s">
        <v>502</v>
      </c>
      <c r="K1013" s="253"/>
      <c r="L1013" s="253"/>
      <c r="M1013" s="253"/>
      <c r="N1013" s="253"/>
      <c r="O1013" s="256"/>
      <c r="P1013" s="256"/>
    </row>
    <row r="1014" spans="1:16" ht="15.75" hidden="1" outlineLevel="2" x14ac:dyDescent="0.25">
      <c r="A1014" s="324">
        <v>42856</v>
      </c>
      <c r="B1014" s="273">
        <v>2017</v>
      </c>
      <c r="C1014" s="251" t="s">
        <v>396</v>
      </c>
      <c r="D1014" s="213"/>
      <c r="E1014" s="252"/>
      <c r="F1014" s="253"/>
      <c r="G1014" s="254">
        <f t="shared" ref="G1014:G1016" si="149">F1014*E1014/1000</f>
        <v>0</v>
      </c>
      <c r="H1014" s="217" t="e">
        <f t="shared" si="139"/>
        <v>#N/A</v>
      </c>
      <c r="I1014" s="254" t="e">
        <f t="shared" ref="I1014:I1016" si="150">H1014*G1014</f>
        <v>#N/A</v>
      </c>
      <c r="J1014" s="253" t="s">
        <v>521</v>
      </c>
      <c r="K1014" s="253"/>
      <c r="L1014" s="253"/>
      <c r="M1014" s="253"/>
      <c r="N1014" s="253"/>
      <c r="O1014" s="256"/>
      <c r="P1014" s="256"/>
    </row>
    <row r="1015" spans="1:16" ht="15.75" hidden="1" outlineLevel="2" x14ac:dyDescent="0.25">
      <c r="A1015" s="324">
        <v>42856</v>
      </c>
      <c r="B1015" s="273">
        <v>2017</v>
      </c>
      <c r="C1015" s="251" t="s">
        <v>396</v>
      </c>
      <c r="D1015" s="213"/>
      <c r="E1015" s="252"/>
      <c r="F1015" s="253"/>
      <c r="G1015" s="254">
        <f t="shared" si="149"/>
        <v>0</v>
      </c>
      <c r="H1015" s="217" t="e">
        <f t="shared" si="139"/>
        <v>#N/A</v>
      </c>
      <c r="I1015" s="254" t="e">
        <f t="shared" si="150"/>
        <v>#N/A</v>
      </c>
      <c r="J1015" s="253" t="s">
        <v>502</v>
      </c>
      <c r="K1015" s="253"/>
      <c r="L1015" s="253"/>
      <c r="M1015" s="253"/>
      <c r="N1015" s="253"/>
      <c r="O1015" s="256"/>
      <c r="P1015" s="256"/>
    </row>
    <row r="1016" spans="1:16" ht="15.75" hidden="1" outlineLevel="2" x14ac:dyDescent="0.25">
      <c r="A1016" s="324">
        <v>42856</v>
      </c>
      <c r="B1016" s="273">
        <v>2017</v>
      </c>
      <c r="C1016" s="251" t="s">
        <v>396</v>
      </c>
      <c r="D1016" s="213"/>
      <c r="E1016" s="252"/>
      <c r="F1016" s="253"/>
      <c r="G1016" s="254">
        <f t="shared" si="149"/>
        <v>0</v>
      </c>
      <c r="H1016" s="217" t="e">
        <f t="shared" si="139"/>
        <v>#N/A</v>
      </c>
      <c r="I1016" s="254" t="e">
        <f t="shared" si="150"/>
        <v>#N/A</v>
      </c>
      <c r="J1016" s="253" t="s">
        <v>502</v>
      </c>
      <c r="K1016" s="253"/>
      <c r="L1016" s="253"/>
      <c r="M1016" s="253"/>
      <c r="N1016" s="253"/>
      <c r="O1016" s="256"/>
      <c r="P1016" s="256"/>
    </row>
    <row r="1017" spans="1:16" ht="15.75" hidden="1" outlineLevel="2" x14ac:dyDescent="0.25">
      <c r="A1017" s="324">
        <v>42856</v>
      </c>
      <c r="B1017" s="273">
        <v>2017</v>
      </c>
      <c r="C1017" s="251" t="s">
        <v>396</v>
      </c>
      <c r="D1017" s="213" t="s">
        <v>41</v>
      </c>
      <c r="E1017" s="252">
        <v>6000</v>
      </c>
      <c r="F1017" s="253">
        <v>1167</v>
      </c>
      <c r="G1017" s="254">
        <f t="shared" ref="G1017:G1021" si="151">F1017*E1017/1000</f>
        <v>7002</v>
      </c>
      <c r="H1017" s="217">
        <f t="shared" si="139"/>
        <v>0.65500000000000003</v>
      </c>
      <c r="I1017" s="254">
        <f t="shared" ref="I1017:I1021" si="152">H1017*G1017</f>
        <v>4586.3100000000004</v>
      </c>
      <c r="J1017" s="253" t="s">
        <v>502</v>
      </c>
      <c r="K1017" s="255">
        <v>42726</v>
      </c>
      <c r="L1017" s="253">
        <v>1018</v>
      </c>
      <c r="M1017" s="253" t="s">
        <v>503</v>
      </c>
      <c r="N1017" s="253" t="s">
        <v>512</v>
      </c>
      <c r="O1017" s="256"/>
      <c r="P1017" s="256"/>
    </row>
    <row r="1018" spans="1:16" ht="15.75" hidden="1" outlineLevel="2" x14ac:dyDescent="0.25">
      <c r="A1018" s="324">
        <v>42856</v>
      </c>
      <c r="B1018" s="273">
        <v>2017</v>
      </c>
      <c r="C1018" s="251" t="s">
        <v>396</v>
      </c>
      <c r="D1018" s="213" t="s">
        <v>42</v>
      </c>
      <c r="E1018" s="252">
        <v>6000</v>
      </c>
      <c r="F1018" s="253">
        <v>417</v>
      </c>
      <c r="G1018" s="254">
        <f t="shared" si="151"/>
        <v>2502</v>
      </c>
      <c r="H1018" s="217">
        <f t="shared" si="139"/>
        <v>0.82199999999999995</v>
      </c>
      <c r="I1018" s="254">
        <f t="shared" si="152"/>
        <v>2056.6439999999998</v>
      </c>
      <c r="J1018" s="253" t="s">
        <v>502</v>
      </c>
      <c r="K1018" s="255">
        <v>42726</v>
      </c>
      <c r="L1018" s="253">
        <v>1018</v>
      </c>
      <c r="M1018" s="253" t="s">
        <v>503</v>
      </c>
      <c r="N1018" s="253"/>
      <c r="O1018" s="256"/>
      <c r="P1018" s="256"/>
    </row>
    <row r="1019" spans="1:16" ht="15.75" hidden="1" outlineLevel="2" x14ac:dyDescent="0.25">
      <c r="A1019" s="324">
        <v>42856</v>
      </c>
      <c r="B1019" s="273">
        <v>2017</v>
      </c>
      <c r="C1019" s="251" t="s">
        <v>396</v>
      </c>
      <c r="D1019" s="213" t="s">
        <v>39</v>
      </c>
      <c r="E1019" s="252">
        <v>6000</v>
      </c>
      <c r="F1019" s="253">
        <v>250</v>
      </c>
      <c r="G1019" s="254">
        <f t="shared" si="151"/>
        <v>1500</v>
      </c>
      <c r="H1019" s="217">
        <f t="shared" si="139"/>
        <v>0.38</v>
      </c>
      <c r="I1019" s="254">
        <f t="shared" si="152"/>
        <v>570</v>
      </c>
      <c r="J1019" s="253" t="s">
        <v>502</v>
      </c>
      <c r="K1019" s="255">
        <v>42726</v>
      </c>
      <c r="L1019" s="253">
        <v>1018</v>
      </c>
      <c r="M1019" s="253" t="s">
        <v>503</v>
      </c>
      <c r="N1019" s="253"/>
      <c r="O1019" s="256"/>
      <c r="P1019" s="256"/>
    </row>
    <row r="1020" spans="1:16" ht="15.75" hidden="1" outlineLevel="2" x14ac:dyDescent="0.25">
      <c r="A1020" s="324">
        <v>42856</v>
      </c>
      <c r="B1020" s="273">
        <v>2017</v>
      </c>
      <c r="C1020" s="251" t="s">
        <v>396</v>
      </c>
      <c r="D1020" s="213" t="s">
        <v>50</v>
      </c>
      <c r="E1020" s="252">
        <v>6000</v>
      </c>
      <c r="F1020" s="253">
        <v>84</v>
      </c>
      <c r="G1020" s="254">
        <f t="shared" si="151"/>
        <v>504</v>
      </c>
      <c r="H1020" s="217">
        <f t="shared" si="139"/>
        <v>0.53100000000000003</v>
      </c>
      <c r="I1020" s="254">
        <f t="shared" si="152"/>
        <v>267.62400000000002</v>
      </c>
      <c r="J1020" s="253" t="s">
        <v>502</v>
      </c>
      <c r="K1020" s="255">
        <v>42726</v>
      </c>
      <c r="L1020" s="253">
        <v>1018</v>
      </c>
      <c r="M1020" s="253" t="s">
        <v>503</v>
      </c>
      <c r="N1020" s="253"/>
      <c r="O1020" s="256"/>
      <c r="P1020" s="256"/>
    </row>
    <row r="1021" spans="1:16" ht="15.75" hidden="1" outlineLevel="2" x14ac:dyDescent="0.25">
      <c r="A1021" s="324">
        <v>42856</v>
      </c>
      <c r="B1021" s="273">
        <v>2017</v>
      </c>
      <c r="C1021" s="251" t="s">
        <v>396</v>
      </c>
      <c r="D1021" s="213" t="s">
        <v>44</v>
      </c>
      <c r="E1021" s="252">
        <v>6000</v>
      </c>
      <c r="F1021" s="253">
        <v>84</v>
      </c>
      <c r="G1021" s="254">
        <f t="shared" si="151"/>
        <v>504</v>
      </c>
      <c r="H1021" s="217">
        <f t="shared" si="139"/>
        <v>1.1789999999999998</v>
      </c>
      <c r="I1021" s="254">
        <f t="shared" si="152"/>
        <v>594.21599999999989</v>
      </c>
      <c r="J1021" s="253" t="s">
        <v>502</v>
      </c>
      <c r="K1021" s="255">
        <v>42726</v>
      </c>
      <c r="L1021" s="253">
        <v>1018</v>
      </c>
      <c r="M1021" s="253" t="s">
        <v>503</v>
      </c>
      <c r="N1021" s="253" t="s">
        <v>512</v>
      </c>
      <c r="O1021" s="256"/>
      <c r="P1021" s="256"/>
    </row>
    <row r="1022" spans="1:16" ht="15.75" hidden="1" outlineLevel="2" x14ac:dyDescent="0.25">
      <c r="A1022" s="324">
        <v>42856</v>
      </c>
      <c r="B1022" s="273">
        <v>2017</v>
      </c>
      <c r="C1022" s="251" t="s">
        <v>396</v>
      </c>
      <c r="D1022" s="213" t="s">
        <v>36</v>
      </c>
      <c r="E1022" s="220">
        <v>4444</v>
      </c>
      <c r="F1022" s="253">
        <v>55</v>
      </c>
      <c r="G1022" s="254">
        <f t="shared" ref="G1022" si="153">F1022*E1022/1000</f>
        <v>244.42</v>
      </c>
      <c r="H1022" s="217">
        <f t="shared" si="139"/>
        <v>0.4</v>
      </c>
      <c r="I1022" s="254">
        <f t="shared" ref="I1022" si="154">H1022*G1022</f>
        <v>97.768000000000001</v>
      </c>
      <c r="J1022" s="253"/>
      <c r="K1022" s="253"/>
      <c r="L1022" s="253"/>
      <c r="M1022" s="253"/>
      <c r="N1022" s="253"/>
      <c r="O1022" s="256"/>
      <c r="P1022" s="256"/>
    </row>
    <row r="1023" spans="1:16" ht="15.75" hidden="1" outlineLevel="1" x14ac:dyDescent="0.25">
      <c r="A1023" s="324">
        <v>42856</v>
      </c>
      <c r="B1023" s="273">
        <v>2017</v>
      </c>
      <c r="C1023" s="257" t="s">
        <v>397</v>
      </c>
      <c r="D1023" s="258" t="s">
        <v>383</v>
      </c>
      <c r="E1023" s="223"/>
      <c r="F1023" s="253"/>
      <c r="G1023" s="259"/>
      <c r="H1023" s="217">
        <f t="shared" ref="H1023:H1086" si="155">VLOOKUP(D1023,$D$5:$E$359,2,FALSE)</f>
        <v>8.2810000000000006</v>
      </c>
      <c r="I1023" s="254">
        <f>H1023*F1023</f>
        <v>0</v>
      </c>
      <c r="J1023" s="253" t="s">
        <v>502</v>
      </c>
      <c r="K1023" s="253"/>
      <c r="L1023" s="253"/>
      <c r="M1023" s="253"/>
      <c r="N1023" s="253"/>
      <c r="O1023" s="256"/>
      <c r="P1023" s="256"/>
    </row>
    <row r="1024" spans="1:16" ht="15.75" hidden="1" outlineLevel="2" x14ac:dyDescent="0.25">
      <c r="A1024" s="324">
        <v>42856</v>
      </c>
      <c r="B1024" s="273">
        <v>2017</v>
      </c>
      <c r="C1024" s="257" t="s">
        <v>397</v>
      </c>
      <c r="D1024" s="258" t="s">
        <v>386</v>
      </c>
      <c r="E1024" s="224"/>
      <c r="F1024" s="253"/>
      <c r="G1024" s="259"/>
      <c r="H1024" s="217">
        <f t="shared" si="155"/>
        <v>11.587999999999999</v>
      </c>
      <c r="I1024" s="254">
        <f t="shared" ref="I1024:I1029" si="156">H1024*F1024</f>
        <v>0</v>
      </c>
      <c r="J1024" s="253" t="s">
        <v>502</v>
      </c>
      <c r="K1024" s="253"/>
      <c r="L1024" s="253"/>
      <c r="M1024" s="253"/>
      <c r="N1024" s="253"/>
      <c r="O1024" s="256"/>
      <c r="P1024" s="256"/>
    </row>
    <row r="1025" spans="1:16" ht="15.75" hidden="1" outlineLevel="2" x14ac:dyDescent="0.25">
      <c r="A1025" s="324">
        <v>42856</v>
      </c>
      <c r="B1025" s="273">
        <v>2017</v>
      </c>
      <c r="C1025" s="257" t="s">
        <v>397</v>
      </c>
      <c r="D1025" s="258" t="s">
        <v>382</v>
      </c>
      <c r="E1025" s="260"/>
      <c r="F1025" s="253"/>
      <c r="G1025" s="259"/>
      <c r="H1025" s="217">
        <f t="shared" si="155"/>
        <v>7.4539999999999997</v>
      </c>
      <c r="I1025" s="254">
        <f t="shared" si="156"/>
        <v>0</v>
      </c>
      <c r="J1025" s="253"/>
      <c r="K1025" s="253"/>
      <c r="L1025" s="253"/>
      <c r="M1025" s="253"/>
      <c r="N1025" s="253"/>
      <c r="O1025" s="256"/>
      <c r="P1025" s="256"/>
    </row>
    <row r="1026" spans="1:16" ht="15.75" hidden="1" outlineLevel="2" x14ac:dyDescent="0.25">
      <c r="A1026" s="324">
        <v>42856</v>
      </c>
      <c r="B1026" s="273">
        <v>2017</v>
      </c>
      <c r="C1026" s="257" t="s">
        <v>397</v>
      </c>
      <c r="D1026" s="258" t="s">
        <v>230</v>
      </c>
      <c r="E1026" s="260"/>
      <c r="F1026" s="253"/>
      <c r="G1026" s="259"/>
      <c r="H1026" s="217">
        <f t="shared" si="155"/>
        <v>5.0110000000000001</v>
      </c>
      <c r="I1026" s="254">
        <f t="shared" si="156"/>
        <v>0</v>
      </c>
      <c r="J1026" s="253"/>
      <c r="K1026" s="253"/>
      <c r="L1026" s="253"/>
      <c r="M1026" s="253"/>
      <c r="N1026" s="253"/>
      <c r="O1026" s="256"/>
      <c r="P1026" s="256"/>
    </row>
    <row r="1027" spans="1:16" ht="15.75" hidden="1" outlineLevel="2" x14ac:dyDescent="0.25">
      <c r="A1027" s="324">
        <v>42856</v>
      </c>
      <c r="B1027" s="273">
        <v>2017</v>
      </c>
      <c r="C1027" s="257" t="s">
        <v>397</v>
      </c>
      <c r="D1027" s="258" t="s">
        <v>382</v>
      </c>
      <c r="E1027" s="261"/>
      <c r="F1027" s="253"/>
      <c r="G1027" s="259"/>
      <c r="H1027" s="217">
        <f t="shared" si="155"/>
        <v>7.4539999999999997</v>
      </c>
      <c r="I1027" s="254">
        <f t="shared" si="156"/>
        <v>0</v>
      </c>
      <c r="J1027" s="253"/>
      <c r="K1027" s="253"/>
      <c r="L1027" s="253"/>
      <c r="M1027" s="253"/>
      <c r="N1027" s="253"/>
      <c r="O1027" s="256"/>
      <c r="P1027" s="256"/>
    </row>
    <row r="1028" spans="1:16" ht="15.75" hidden="1" outlineLevel="2" x14ac:dyDescent="0.25">
      <c r="A1028" s="324">
        <v>42856</v>
      </c>
      <c r="B1028" s="273">
        <v>2017</v>
      </c>
      <c r="C1028" s="257" t="s">
        <v>397</v>
      </c>
      <c r="D1028" s="258" t="s">
        <v>382</v>
      </c>
      <c r="E1028" s="261"/>
      <c r="F1028" s="253"/>
      <c r="G1028" s="259"/>
      <c r="H1028" s="217">
        <f t="shared" si="155"/>
        <v>7.4539999999999997</v>
      </c>
      <c r="I1028" s="254">
        <f t="shared" si="156"/>
        <v>0</v>
      </c>
      <c r="J1028" s="262"/>
      <c r="K1028" s="262"/>
      <c r="L1028" s="262"/>
      <c r="M1028" s="262"/>
      <c r="N1028" s="262"/>
      <c r="O1028" s="256"/>
      <c r="P1028" s="256"/>
    </row>
    <row r="1029" spans="1:16" ht="15.75" hidden="1" outlineLevel="2" x14ac:dyDescent="0.25">
      <c r="A1029" s="324">
        <v>42856</v>
      </c>
      <c r="B1029" s="273">
        <v>2017</v>
      </c>
      <c r="C1029" s="257" t="s">
        <v>397</v>
      </c>
      <c r="D1029" s="258" t="s">
        <v>317</v>
      </c>
      <c r="E1029" s="259"/>
      <c r="F1029" s="253"/>
      <c r="G1029" s="259"/>
      <c r="H1029" s="217">
        <f t="shared" si="155"/>
        <v>2.7959999999999998</v>
      </c>
      <c r="I1029" s="254">
        <f t="shared" si="156"/>
        <v>0</v>
      </c>
      <c r="J1029" s="253" t="s">
        <v>502</v>
      </c>
      <c r="K1029" s="253"/>
      <c r="L1029" s="253">
        <v>7038</v>
      </c>
      <c r="M1029" s="253"/>
      <c r="N1029" s="253"/>
      <c r="O1029" s="256"/>
      <c r="P1029" s="256"/>
    </row>
    <row r="1030" spans="1:16" ht="15.75" hidden="1" outlineLevel="2" x14ac:dyDescent="0.25">
      <c r="A1030" s="324">
        <v>42856</v>
      </c>
      <c r="B1030" s="273">
        <v>2017</v>
      </c>
      <c r="C1030" s="257" t="s">
        <v>397</v>
      </c>
      <c r="D1030" s="258" t="s">
        <v>447</v>
      </c>
      <c r="E1030" s="264"/>
      <c r="F1030" s="253"/>
      <c r="G1030" s="265"/>
      <c r="H1030" s="217">
        <f t="shared" si="155"/>
        <v>1.738</v>
      </c>
      <c r="I1030" s="254">
        <f t="shared" ref="I1030:I1031" si="157">H1030*F1030</f>
        <v>0</v>
      </c>
      <c r="J1030" s="262"/>
      <c r="K1030" s="262"/>
      <c r="L1030" s="253"/>
      <c r="M1030" s="262"/>
      <c r="N1030" s="262"/>
      <c r="O1030" s="256"/>
      <c r="P1030" s="256"/>
    </row>
    <row r="1031" spans="1:16" ht="15.75" hidden="1" outlineLevel="2" x14ac:dyDescent="0.25">
      <c r="A1031" s="324">
        <v>42856</v>
      </c>
      <c r="B1031" s="273">
        <v>2017</v>
      </c>
      <c r="C1031" s="257" t="s">
        <v>397</v>
      </c>
      <c r="D1031" s="258"/>
      <c r="E1031" s="264"/>
      <c r="F1031" s="253"/>
      <c r="G1031" s="265"/>
      <c r="H1031" s="217" t="e">
        <f t="shared" si="155"/>
        <v>#N/A</v>
      </c>
      <c r="I1031" s="254" t="e">
        <f t="shared" si="157"/>
        <v>#N/A</v>
      </c>
      <c r="J1031" s="262"/>
      <c r="K1031" s="262"/>
      <c r="L1031" s="253"/>
      <c r="M1031" s="262"/>
      <c r="N1031" s="262"/>
      <c r="O1031" s="256"/>
      <c r="P1031" s="256"/>
    </row>
    <row r="1032" spans="1:16" ht="15.75" hidden="1" outlineLevel="2" x14ac:dyDescent="0.25">
      <c r="A1032" s="324">
        <v>42856</v>
      </c>
      <c r="B1032" s="273">
        <v>2017</v>
      </c>
      <c r="C1032" s="257" t="s">
        <v>397</v>
      </c>
      <c r="D1032" s="258"/>
      <c r="E1032" s="264"/>
      <c r="F1032" s="253"/>
      <c r="G1032" s="265"/>
      <c r="H1032" s="217" t="e">
        <f t="shared" si="155"/>
        <v>#N/A</v>
      </c>
      <c r="I1032" s="254" t="e">
        <f>H1032*F1032</f>
        <v>#N/A</v>
      </c>
      <c r="J1032" s="262"/>
      <c r="K1032" s="262"/>
      <c r="L1032" s="253"/>
      <c r="M1032" s="262"/>
      <c r="N1032" s="262"/>
      <c r="O1032" s="256"/>
      <c r="P1032" s="256"/>
    </row>
    <row r="1033" spans="1:16" ht="15.75" hidden="1" outlineLevel="1" x14ac:dyDescent="0.25">
      <c r="A1033" s="324">
        <v>42856</v>
      </c>
      <c r="B1033" s="273">
        <v>2017</v>
      </c>
      <c r="C1033" s="266" t="s">
        <v>391</v>
      </c>
      <c r="D1033" s="267" t="s">
        <v>373</v>
      </c>
      <c r="E1033" s="264"/>
      <c r="F1033" s="253"/>
      <c r="G1033" s="265"/>
      <c r="H1033" s="217">
        <f t="shared" si="155"/>
        <v>0</v>
      </c>
      <c r="I1033" s="254">
        <f t="shared" ref="I1033:I1039" si="158">H1033*F1033</f>
        <v>0</v>
      </c>
      <c r="J1033" s="262" t="s">
        <v>502</v>
      </c>
      <c r="K1033" s="262"/>
      <c r="L1033" s="253">
        <v>7038</v>
      </c>
      <c r="M1033" s="262"/>
      <c r="N1033" s="262"/>
      <c r="O1033" s="256"/>
      <c r="P1033" s="256"/>
    </row>
    <row r="1034" spans="1:16" ht="15.75" hidden="1" outlineLevel="2" x14ac:dyDescent="0.25">
      <c r="A1034" s="324">
        <v>42856</v>
      </c>
      <c r="B1034" s="273">
        <v>2017</v>
      </c>
      <c r="C1034" s="266" t="s">
        <v>391</v>
      </c>
      <c r="D1034" s="267" t="s">
        <v>374</v>
      </c>
      <c r="E1034" s="264"/>
      <c r="F1034" s="253"/>
      <c r="G1034" s="265"/>
      <c r="H1034" s="217">
        <f t="shared" si="155"/>
        <v>0</v>
      </c>
      <c r="I1034" s="254">
        <f t="shared" si="158"/>
        <v>0</v>
      </c>
      <c r="J1034" s="262" t="s">
        <v>502</v>
      </c>
      <c r="K1034" s="255"/>
      <c r="L1034" s="253">
        <v>7038</v>
      </c>
      <c r="M1034" s="253"/>
      <c r="N1034" s="253"/>
      <c r="O1034" s="256"/>
      <c r="P1034" s="256"/>
    </row>
    <row r="1035" spans="1:16" ht="15.75" hidden="1" outlineLevel="2" x14ac:dyDescent="0.25">
      <c r="A1035" s="324">
        <v>42856</v>
      </c>
      <c r="B1035" s="273">
        <v>2017</v>
      </c>
      <c r="C1035" s="266" t="s">
        <v>391</v>
      </c>
      <c r="D1035" s="267" t="s">
        <v>375</v>
      </c>
      <c r="E1035" s="264"/>
      <c r="F1035" s="253"/>
      <c r="G1035" s="265"/>
      <c r="H1035" s="217">
        <f t="shared" si="155"/>
        <v>0</v>
      </c>
      <c r="I1035" s="254">
        <f t="shared" si="158"/>
        <v>0</v>
      </c>
      <c r="J1035" s="262" t="s">
        <v>502</v>
      </c>
      <c r="K1035" s="255"/>
      <c r="L1035" s="253">
        <v>7038</v>
      </c>
      <c r="M1035" s="253"/>
      <c r="N1035" s="253"/>
      <c r="O1035" s="256"/>
      <c r="P1035" s="256"/>
    </row>
    <row r="1036" spans="1:16" ht="15.75" hidden="1" outlineLevel="2" x14ac:dyDescent="0.25">
      <c r="A1036" s="324">
        <v>42856</v>
      </c>
      <c r="B1036" s="273">
        <v>2017</v>
      </c>
      <c r="C1036" s="266" t="s">
        <v>391</v>
      </c>
      <c r="D1036" s="267" t="s">
        <v>376</v>
      </c>
      <c r="E1036" s="264"/>
      <c r="F1036" s="253"/>
      <c r="G1036" s="265"/>
      <c r="H1036" s="217">
        <f t="shared" si="155"/>
        <v>0</v>
      </c>
      <c r="I1036" s="254">
        <f t="shared" si="158"/>
        <v>0</v>
      </c>
      <c r="J1036" s="262" t="s">
        <v>502</v>
      </c>
      <c r="K1036" s="262"/>
      <c r="L1036" s="253">
        <v>7038</v>
      </c>
      <c r="M1036" s="262"/>
      <c r="N1036" s="262"/>
      <c r="O1036" s="256"/>
      <c r="P1036" s="256"/>
    </row>
    <row r="1037" spans="1:16" ht="15.75" hidden="1" outlineLevel="2" x14ac:dyDescent="0.25">
      <c r="A1037" s="324">
        <v>42856</v>
      </c>
      <c r="B1037" s="273">
        <v>2017</v>
      </c>
      <c r="C1037" s="266" t="s">
        <v>391</v>
      </c>
      <c r="D1037" s="267" t="s">
        <v>394</v>
      </c>
      <c r="E1037" s="264"/>
      <c r="F1037" s="253">
        <v>300</v>
      </c>
      <c r="G1037" s="265"/>
      <c r="H1037" s="217">
        <f t="shared" si="155"/>
        <v>0</v>
      </c>
      <c r="I1037" s="254">
        <f t="shared" si="158"/>
        <v>0</v>
      </c>
      <c r="J1037" s="262" t="s">
        <v>502</v>
      </c>
      <c r="K1037" s="263">
        <v>42726</v>
      </c>
      <c r="L1037" s="253">
        <v>1018</v>
      </c>
      <c r="M1037" s="262" t="s">
        <v>503</v>
      </c>
      <c r="N1037" s="262"/>
      <c r="O1037" s="256"/>
      <c r="P1037" s="256"/>
    </row>
    <row r="1038" spans="1:16" ht="15.75" hidden="1" outlineLevel="2" x14ac:dyDescent="0.25">
      <c r="A1038" s="324">
        <v>42856</v>
      </c>
      <c r="B1038" s="273">
        <v>2017</v>
      </c>
      <c r="C1038" s="266" t="s">
        <v>391</v>
      </c>
      <c r="D1038" s="267" t="s">
        <v>453</v>
      </c>
      <c r="E1038" s="264"/>
      <c r="F1038" s="253"/>
      <c r="G1038" s="265"/>
      <c r="H1038" s="217">
        <f t="shared" si="155"/>
        <v>0</v>
      </c>
      <c r="I1038" s="254">
        <f t="shared" si="158"/>
        <v>0</v>
      </c>
      <c r="J1038" s="262"/>
      <c r="K1038" s="262"/>
      <c r="L1038" s="253"/>
      <c r="M1038" s="262"/>
      <c r="N1038" s="262"/>
      <c r="O1038" s="256"/>
      <c r="P1038" s="256"/>
    </row>
    <row r="1039" spans="1:16" ht="15.75" hidden="1" outlineLevel="2" x14ac:dyDescent="0.25">
      <c r="A1039" s="324">
        <v>42856</v>
      </c>
      <c r="B1039" s="273">
        <v>2017</v>
      </c>
      <c r="C1039" s="266" t="s">
        <v>391</v>
      </c>
      <c r="D1039" s="267"/>
      <c r="E1039" s="264"/>
      <c r="F1039" s="253"/>
      <c r="G1039" s="265"/>
      <c r="H1039" s="217" t="e">
        <f t="shared" si="155"/>
        <v>#N/A</v>
      </c>
      <c r="I1039" s="254" t="e">
        <f t="shared" si="158"/>
        <v>#N/A</v>
      </c>
      <c r="J1039" s="262"/>
      <c r="K1039" s="262"/>
      <c r="L1039" s="253"/>
      <c r="M1039" s="262"/>
      <c r="N1039" s="262"/>
      <c r="O1039" s="256"/>
      <c r="P1039" s="256"/>
    </row>
    <row r="1040" spans="1:16" ht="15.75" hidden="1" outlineLevel="1" x14ac:dyDescent="0.25">
      <c r="A1040" s="324">
        <v>42856</v>
      </c>
      <c r="B1040" s="273">
        <v>2017</v>
      </c>
      <c r="C1040" s="268" t="s">
        <v>398</v>
      </c>
      <c r="D1040" s="274" t="s">
        <v>393</v>
      </c>
      <c r="E1040" s="264"/>
      <c r="F1040" s="270"/>
      <c r="G1040" s="265"/>
      <c r="H1040" s="217">
        <f t="shared" si="155"/>
        <v>0</v>
      </c>
      <c r="I1040" s="262"/>
      <c r="J1040" s="262" t="s">
        <v>502</v>
      </c>
      <c r="K1040" s="262"/>
      <c r="L1040" s="253">
        <v>7038</v>
      </c>
      <c r="M1040" s="262"/>
      <c r="N1040" s="262"/>
      <c r="O1040" s="256"/>
      <c r="P1040" s="256"/>
    </row>
    <row r="1041" spans="1:16" ht="15.75" hidden="1" outlineLevel="2" x14ac:dyDescent="0.25">
      <c r="A1041" s="324">
        <v>42856</v>
      </c>
      <c r="B1041" s="273">
        <v>2017</v>
      </c>
      <c r="C1041" s="268" t="s">
        <v>398</v>
      </c>
      <c r="D1041" s="274" t="s">
        <v>393</v>
      </c>
      <c r="E1041" s="264"/>
      <c r="F1041" s="270"/>
      <c r="G1041" s="265"/>
      <c r="H1041" s="217">
        <f t="shared" si="155"/>
        <v>0</v>
      </c>
      <c r="I1041" s="262">
        <v>46000</v>
      </c>
      <c r="J1041" s="262" t="s">
        <v>502</v>
      </c>
      <c r="K1041" s="263">
        <v>42735</v>
      </c>
      <c r="L1041" s="253">
        <v>7038</v>
      </c>
      <c r="M1041" s="262" t="s">
        <v>513</v>
      </c>
      <c r="N1041" s="262"/>
      <c r="O1041" s="256"/>
      <c r="P1041" s="256"/>
    </row>
    <row r="1042" spans="1:16" ht="15.75" hidden="1" outlineLevel="2" x14ac:dyDescent="0.25">
      <c r="A1042" s="324">
        <v>42856</v>
      </c>
      <c r="B1042" s="273">
        <v>2017</v>
      </c>
      <c r="C1042" s="268" t="s">
        <v>398</v>
      </c>
      <c r="D1042" s="274" t="s">
        <v>393</v>
      </c>
      <c r="E1042" s="264"/>
      <c r="F1042" s="270"/>
      <c r="G1042" s="265"/>
      <c r="H1042" s="217">
        <f t="shared" si="155"/>
        <v>0</v>
      </c>
      <c r="I1042" s="262">
        <v>46000</v>
      </c>
      <c r="J1042" s="262" t="s">
        <v>502</v>
      </c>
      <c r="K1042" s="263">
        <v>42735</v>
      </c>
      <c r="L1042" s="253">
        <v>7038</v>
      </c>
      <c r="M1042" s="262" t="s">
        <v>513</v>
      </c>
      <c r="N1042" s="262"/>
      <c r="O1042" s="256"/>
      <c r="P1042" s="256"/>
    </row>
    <row r="1043" spans="1:16" ht="15.75" hidden="1" outlineLevel="2" x14ac:dyDescent="0.25">
      <c r="A1043" s="324">
        <v>42856</v>
      </c>
      <c r="B1043" s="273">
        <v>2017</v>
      </c>
      <c r="C1043" s="268" t="s">
        <v>398</v>
      </c>
      <c r="D1043" s="272" t="s">
        <v>516</v>
      </c>
      <c r="E1043" s="264"/>
      <c r="F1043" s="270"/>
      <c r="G1043" s="265"/>
      <c r="H1043" s="217" t="e">
        <f t="shared" si="155"/>
        <v>#N/A</v>
      </c>
      <c r="I1043" s="262"/>
      <c r="J1043" s="262" t="s">
        <v>502</v>
      </c>
      <c r="K1043" s="262"/>
      <c r="L1043" s="253">
        <v>7038</v>
      </c>
      <c r="M1043" s="262"/>
      <c r="N1043" s="262"/>
      <c r="O1043" s="256"/>
      <c r="P1043" s="256"/>
    </row>
    <row r="1044" spans="1:16" ht="15.75" hidden="1" outlineLevel="2" x14ac:dyDescent="0.25">
      <c r="A1044" s="324">
        <v>42856</v>
      </c>
      <c r="B1044" s="273">
        <v>2017</v>
      </c>
      <c r="C1044" s="268" t="s">
        <v>398</v>
      </c>
      <c r="D1044" s="272" t="s">
        <v>517</v>
      </c>
      <c r="E1044" s="264"/>
      <c r="F1044" s="270"/>
      <c r="G1044" s="265"/>
      <c r="H1044" s="217" t="e">
        <f t="shared" si="155"/>
        <v>#N/A</v>
      </c>
      <c r="I1044" s="262"/>
      <c r="J1044" s="262" t="s">
        <v>502</v>
      </c>
      <c r="K1044" s="262"/>
      <c r="L1044" s="253">
        <v>7038</v>
      </c>
      <c r="M1044" s="262"/>
      <c r="N1044" s="262"/>
      <c r="O1044" s="256"/>
      <c r="P1044" s="256"/>
    </row>
    <row r="1045" spans="1:16" ht="15.75" hidden="1" outlineLevel="2" x14ac:dyDescent="0.25">
      <c r="A1045" s="324">
        <v>42856</v>
      </c>
      <c r="B1045" s="273">
        <v>2017</v>
      </c>
      <c r="C1045" s="268" t="s">
        <v>398</v>
      </c>
      <c r="D1045" s="272" t="s">
        <v>518</v>
      </c>
      <c r="E1045" s="264"/>
      <c r="F1045" s="270"/>
      <c r="G1045" s="265"/>
      <c r="H1045" s="217" t="e">
        <f t="shared" si="155"/>
        <v>#N/A</v>
      </c>
      <c r="I1045" s="262"/>
      <c r="J1045" s="262" t="s">
        <v>502</v>
      </c>
      <c r="K1045" s="262"/>
      <c r="L1045" s="253">
        <v>7038</v>
      </c>
      <c r="M1045" s="262"/>
      <c r="N1045" s="262"/>
      <c r="O1045" s="256"/>
      <c r="P1045" s="256"/>
    </row>
    <row r="1046" spans="1:16" ht="15.75" hidden="1" outlineLevel="2" x14ac:dyDescent="0.25">
      <c r="A1046" s="324">
        <v>42856</v>
      </c>
      <c r="B1046" s="273">
        <v>2017</v>
      </c>
      <c r="C1046" s="268" t="s">
        <v>398</v>
      </c>
      <c r="D1046" s="272" t="s">
        <v>519</v>
      </c>
      <c r="E1046" s="264"/>
      <c r="F1046" s="270"/>
      <c r="G1046" s="265"/>
      <c r="H1046" s="217" t="e">
        <f t="shared" si="155"/>
        <v>#N/A</v>
      </c>
      <c r="I1046" s="262"/>
      <c r="J1046" s="262" t="s">
        <v>502</v>
      </c>
      <c r="K1046" s="262"/>
      <c r="L1046" s="253">
        <v>7038</v>
      </c>
      <c r="M1046" s="262"/>
      <c r="N1046" s="262"/>
      <c r="O1046" s="256"/>
      <c r="P1046" s="256"/>
    </row>
    <row r="1047" spans="1:16" ht="15.75" hidden="1" outlineLevel="2" x14ac:dyDescent="0.25">
      <c r="A1047" s="324">
        <v>42856</v>
      </c>
      <c r="B1047" s="273">
        <v>2017</v>
      </c>
      <c r="C1047" s="268" t="s">
        <v>398</v>
      </c>
      <c r="D1047" s="272" t="s">
        <v>520</v>
      </c>
      <c r="E1047" s="264"/>
      <c r="F1047" s="270"/>
      <c r="G1047" s="265"/>
      <c r="H1047" s="217" t="e">
        <f t="shared" si="155"/>
        <v>#N/A</v>
      </c>
      <c r="I1047" s="262"/>
      <c r="J1047" s="262" t="s">
        <v>502</v>
      </c>
      <c r="K1047" s="262"/>
      <c r="L1047" s="253">
        <v>7038</v>
      </c>
      <c r="M1047" s="262"/>
      <c r="N1047" s="262"/>
      <c r="O1047" s="256"/>
      <c r="P1047" s="256"/>
    </row>
    <row r="1048" spans="1:16" ht="15.75" hidden="1" x14ac:dyDescent="0.25">
      <c r="A1048" s="324">
        <v>42887</v>
      </c>
      <c r="B1048" s="273">
        <v>2017</v>
      </c>
      <c r="C1048" s="245"/>
      <c r="D1048" s="246" t="s">
        <v>498</v>
      </c>
      <c r="E1048" s="246"/>
      <c r="F1048" s="247"/>
      <c r="G1048" s="247">
        <f>SUM(G1052:G1058)</f>
        <v>12280.42</v>
      </c>
      <c r="H1048" s="217" t="e">
        <f t="shared" si="155"/>
        <v>#N/A</v>
      </c>
      <c r="I1048" s="247"/>
      <c r="J1048" s="247"/>
      <c r="K1048" s="247"/>
      <c r="L1048" s="248"/>
      <c r="M1048" s="248"/>
      <c r="N1048" s="245"/>
      <c r="O1048" s="249"/>
      <c r="P1048" s="249"/>
    </row>
    <row r="1049" spans="1:16" ht="15.75" hidden="1" outlineLevel="1" x14ac:dyDescent="0.25">
      <c r="A1049" s="324">
        <v>42887</v>
      </c>
      <c r="B1049" s="273">
        <v>2017</v>
      </c>
      <c r="C1049" s="245"/>
      <c r="D1049" s="246" t="s">
        <v>499</v>
      </c>
      <c r="E1049" s="246"/>
      <c r="F1049" s="247">
        <f>SUM(F1059:F1066)</f>
        <v>0</v>
      </c>
      <c r="G1049" s="247"/>
      <c r="H1049" s="217" t="e">
        <f t="shared" si="155"/>
        <v>#N/A</v>
      </c>
      <c r="I1049" s="247">
        <f>SUM(I1059:I1066)</f>
        <v>0</v>
      </c>
      <c r="J1049" s="247"/>
      <c r="K1049" s="247"/>
      <c r="L1049" s="248"/>
      <c r="M1049" s="248"/>
      <c r="N1049" s="245"/>
      <c r="O1049" s="249"/>
      <c r="P1049" s="249"/>
    </row>
    <row r="1050" spans="1:16" ht="15.75" hidden="1" outlineLevel="1" x14ac:dyDescent="0.25">
      <c r="A1050" s="324">
        <v>42887</v>
      </c>
      <c r="B1050" s="273">
        <v>2017</v>
      </c>
      <c r="C1050" s="245"/>
      <c r="D1050" s="246" t="s">
        <v>500</v>
      </c>
      <c r="E1050" s="246"/>
      <c r="F1050" s="247">
        <f>SUM(F1067:F1072)</f>
        <v>300</v>
      </c>
      <c r="G1050" s="247"/>
      <c r="H1050" s="217" t="e">
        <f t="shared" si="155"/>
        <v>#N/A</v>
      </c>
      <c r="I1050" s="247"/>
      <c r="J1050" s="247"/>
      <c r="K1050" s="247"/>
      <c r="L1050" s="248"/>
      <c r="M1050" s="248"/>
      <c r="N1050" s="245"/>
      <c r="O1050" s="249"/>
      <c r="P1050" s="249"/>
    </row>
    <row r="1051" spans="1:16" ht="15.75" hidden="1" outlineLevel="1" x14ac:dyDescent="0.25">
      <c r="A1051" s="324">
        <v>42887</v>
      </c>
      <c r="B1051" s="273">
        <v>2017</v>
      </c>
      <c r="C1051" s="245"/>
      <c r="D1051" s="246" t="s">
        <v>501</v>
      </c>
      <c r="E1051" s="246"/>
      <c r="F1051" s="247"/>
      <c r="G1051" s="247"/>
      <c r="H1051" s="217" t="e">
        <f t="shared" si="155"/>
        <v>#N/A</v>
      </c>
      <c r="I1051" s="247">
        <f>SUM(I1073:I1080)</f>
        <v>92000</v>
      </c>
      <c r="J1051" s="247"/>
      <c r="K1051" s="247"/>
      <c r="L1051" s="248"/>
      <c r="M1051" s="248"/>
      <c r="N1051" s="245"/>
      <c r="O1051" s="250"/>
      <c r="P1051" s="250"/>
    </row>
    <row r="1052" spans="1:16" ht="15.75" hidden="1" outlineLevel="1" x14ac:dyDescent="0.25">
      <c r="A1052" s="324">
        <v>42887</v>
      </c>
      <c r="B1052" s="273">
        <v>2017</v>
      </c>
      <c r="C1052" s="251" t="s">
        <v>396</v>
      </c>
      <c r="D1052" s="213" t="s">
        <v>33</v>
      </c>
      <c r="E1052" s="252">
        <v>3000</v>
      </c>
      <c r="F1052" s="253">
        <v>8</v>
      </c>
      <c r="G1052" s="254">
        <f>F1052*E1052/1000</f>
        <v>24</v>
      </c>
      <c r="H1052" s="217">
        <f t="shared" si="155"/>
        <v>8.661999999999999</v>
      </c>
      <c r="I1052" s="254">
        <f>H1052*G1052</f>
        <v>207.88799999999998</v>
      </c>
      <c r="J1052" s="253" t="s">
        <v>502</v>
      </c>
      <c r="K1052" s="253"/>
      <c r="L1052" s="253"/>
      <c r="M1052" s="253"/>
      <c r="N1052" s="253"/>
      <c r="O1052" s="256"/>
      <c r="P1052" s="256"/>
    </row>
    <row r="1053" spans="1:16" ht="15.75" hidden="1" outlineLevel="2" x14ac:dyDescent="0.25">
      <c r="A1053" s="324">
        <v>42887</v>
      </c>
      <c r="B1053" s="273">
        <v>2017</v>
      </c>
      <c r="C1053" s="251" t="s">
        <v>396</v>
      </c>
      <c r="D1053" s="213" t="s">
        <v>41</v>
      </c>
      <c r="E1053" s="252">
        <v>6000</v>
      </c>
      <c r="F1053" s="253">
        <v>1167</v>
      </c>
      <c r="G1053" s="254">
        <f t="shared" ref="G1053:G1057" si="159">F1053*E1053/1000</f>
        <v>7002</v>
      </c>
      <c r="H1053" s="217">
        <f t="shared" si="155"/>
        <v>0.65500000000000003</v>
      </c>
      <c r="I1053" s="254">
        <f t="shared" ref="I1053:I1057" si="160">H1053*G1053</f>
        <v>4586.3100000000004</v>
      </c>
      <c r="J1053" s="253" t="s">
        <v>502</v>
      </c>
      <c r="K1053" s="255">
        <v>42726</v>
      </c>
      <c r="L1053" s="253">
        <v>1018</v>
      </c>
      <c r="M1053" s="253" t="s">
        <v>503</v>
      </c>
      <c r="N1053" s="253" t="s">
        <v>512</v>
      </c>
      <c r="O1053" s="256"/>
      <c r="P1053" s="256"/>
    </row>
    <row r="1054" spans="1:16" ht="15.75" hidden="1" outlineLevel="2" x14ac:dyDescent="0.25">
      <c r="A1054" s="324">
        <v>42887</v>
      </c>
      <c r="B1054" s="273">
        <v>2017</v>
      </c>
      <c r="C1054" s="251" t="s">
        <v>396</v>
      </c>
      <c r="D1054" s="213" t="s">
        <v>42</v>
      </c>
      <c r="E1054" s="252">
        <v>6000</v>
      </c>
      <c r="F1054" s="253">
        <v>417</v>
      </c>
      <c r="G1054" s="254">
        <f t="shared" si="159"/>
        <v>2502</v>
      </c>
      <c r="H1054" s="217">
        <f t="shared" si="155"/>
        <v>0.82199999999999995</v>
      </c>
      <c r="I1054" s="254">
        <f t="shared" si="160"/>
        <v>2056.6439999999998</v>
      </c>
      <c r="J1054" s="253" t="s">
        <v>502</v>
      </c>
      <c r="K1054" s="255">
        <v>42726</v>
      </c>
      <c r="L1054" s="253">
        <v>1018</v>
      </c>
      <c r="M1054" s="253" t="s">
        <v>503</v>
      </c>
      <c r="N1054" s="253"/>
      <c r="O1054" s="256"/>
      <c r="P1054" s="256"/>
    </row>
    <row r="1055" spans="1:16" ht="15.75" hidden="1" outlineLevel="2" x14ac:dyDescent="0.25">
      <c r="A1055" s="324">
        <v>42887</v>
      </c>
      <c r="B1055" s="273">
        <v>2017</v>
      </c>
      <c r="C1055" s="251" t="s">
        <v>396</v>
      </c>
      <c r="D1055" s="213" t="s">
        <v>39</v>
      </c>
      <c r="E1055" s="252">
        <v>6000</v>
      </c>
      <c r="F1055" s="253">
        <v>250</v>
      </c>
      <c r="G1055" s="254">
        <f t="shared" si="159"/>
        <v>1500</v>
      </c>
      <c r="H1055" s="217">
        <f t="shared" si="155"/>
        <v>0.38</v>
      </c>
      <c r="I1055" s="254">
        <f t="shared" si="160"/>
        <v>570</v>
      </c>
      <c r="J1055" s="253" t="s">
        <v>502</v>
      </c>
      <c r="K1055" s="255">
        <v>42726</v>
      </c>
      <c r="L1055" s="253">
        <v>1018</v>
      </c>
      <c r="M1055" s="253" t="s">
        <v>503</v>
      </c>
      <c r="N1055" s="253"/>
      <c r="O1055" s="256"/>
      <c r="P1055" s="256"/>
    </row>
    <row r="1056" spans="1:16" ht="15.75" hidden="1" outlineLevel="2" x14ac:dyDescent="0.25">
      <c r="A1056" s="324">
        <v>42887</v>
      </c>
      <c r="B1056" s="273">
        <v>2017</v>
      </c>
      <c r="C1056" s="251" t="s">
        <v>396</v>
      </c>
      <c r="D1056" s="213" t="s">
        <v>50</v>
      </c>
      <c r="E1056" s="252">
        <v>6000</v>
      </c>
      <c r="F1056" s="253">
        <v>84</v>
      </c>
      <c r="G1056" s="254">
        <f t="shared" si="159"/>
        <v>504</v>
      </c>
      <c r="H1056" s="217">
        <f t="shared" si="155"/>
        <v>0.53100000000000003</v>
      </c>
      <c r="I1056" s="254">
        <f t="shared" si="160"/>
        <v>267.62400000000002</v>
      </c>
      <c r="J1056" s="253" t="s">
        <v>502</v>
      </c>
      <c r="K1056" s="255">
        <v>42726</v>
      </c>
      <c r="L1056" s="253">
        <v>1018</v>
      </c>
      <c r="M1056" s="253" t="s">
        <v>503</v>
      </c>
      <c r="N1056" s="253"/>
      <c r="O1056" s="256"/>
      <c r="P1056" s="256"/>
    </row>
    <row r="1057" spans="1:16" ht="15.75" hidden="1" outlineLevel="2" x14ac:dyDescent="0.25">
      <c r="A1057" s="324">
        <v>42887</v>
      </c>
      <c r="B1057" s="273">
        <v>2017</v>
      </c>
      <c r="C1057" s="251" t="s">
        <v>396</v>
      </c>
      <c r="D1057" s="213" t="s">
        <v>44</v>
      </c>
      <c r="E1057" s="252">
        <v>6000</v>
      </c>
      <c r="F1057" s="253">
        <v>84</v>
      </c>
      <c r="G1057" s="254">
        <f t="shared" si="159"/>
        <v>504</v>
      </c>
      <c r="H1057" s="217">
        <f t="shared" si="155"/>
        <v>1.1789999999999998</v>
      </c>
      <c r="I1057" s="254">
        <f t="shared" si="160"/>
        <v>594.21599999999989</v>
      </c>
      <c r="J1057" s="253" t="s">
        <v>502</v>
      </c>
      <c r="K1057" s="255">
        <v>42726</v>
      </c>
      <c r="L1057" s="253">
        <v>1018</v>
      </c>
      <c r="M1057" s="253" t="s">
        <v>503</v>
      </c>
      <c r="N1057" s="253" t="s">
        <v>512</v>
      </c>
      <c r="O1057" s="256"/>
      <c r="P1057" s="256"/>
    </row>
    <row r="1058" spans="1:16" ht="15.75" hidden="1" outlineLevel="2" x14ac:dyDescent="0.25">
      <c r="A1058" s="324">
        <v>42887</v>
      </c>
      <c r="B1058" s="273">
        <v>2017</v>
      </c>
      <c r="C1058" s="251" t="s">
        <v>396</v>
      </c>
      <c r="D1058" s="213" t="s">
        <v>36</v>
      </c>
      <c r="E1058" s="220">
        <v>4444</v>
      </c>
      <c r="F1058" s="253">
        <v>55</v>
      </c>
      <c r="G1058" s="254">
        <f t="shared" ref="G1058" si="161">F1058*E1058/1000</f>
        <v>244.42</v>
      </c>
      <c r="H1058" s="217">
        <f t="shared" si="155"/>
        <v>0.4</v>
      </c>
      <c r="I1058" s="254">
        <f t="shared" ref="I1058" si="162">H1058*G1058</f>
        <v>97.768000000000001</v>
      </c>
      <c r="J1058" s="253"/>
      <c r="K1058" s="253"/>
      <c r="L1058" s="253"/>
      <c r="M1058" s="253"/>
      <c r="N1058" s="253"/>
      <c r="O1058" s="256"/>
      <c r="P1058" s="256"/>
    </row>
    <row r="1059" spans="1:16" ht="15.75" hidden="1" outlineLevel="1" x14ac:dyDescent="0.25">
      <c r="A1059" s="324">
        <v>42887</v>
      </c>
      <c r="B1059" s="273">
        <v>2017</v>
      </c>
      <c r="C1059" s="257" t="s">
        <v>397</v>
      </c>
      <c r="D1059" s="258" t="s">
        <v>383</v>
      </c>
      <c r="E1059" s="223"/>
      <c r="F1059" s="253"/>
      <c r="G1059" s="259"/>
      <c r="H1059" s="217">
        <f t="shared" si="155"/>
        <v>8.2810000000000006</v>
      </c>
      <c r="I1059" s="254">
        <f>H1059*F1059</f>
        <v>0</v>
      </c>
      <c r="J1059" s="253" t="s">
        <v>502</v>
      </c>
      <c r="K1059" s="253"/>
      <c r="L1059" s="253"/>
      <c r="M1059" s="253"/>
      <c r="N1059" s="253"/>
      <c r="O1059" s="256"/>
      <c r="P1059" s="256"/>
    </row>
    <row r="1060" spans="1:16" ht="15.75" hidden="1" outlineLevel="2" x14ac:dyDescent="0.25">
      <c r="A1060" s="324">
        <v>42887</v>
      </c>
      <c r="B1060" s="273">
        <v>2017</v>
      </c>
      <c r="C1060" s="257" t="s">
        <v>397</v>
      </c>
      <c r="D1060" s="258" t="s">
        <v>386</v>
      </c>
      <c r="E1060" s="224"/>
      <c r="F1060" s="253"/>
      <c r="G1060" s="259"/>
      <c r="H1060" s="217">
        <f t="shared" si="155"/>
        <v>11.587999999999999</v>
      </c>
      <c r="I1060" s="254">
        <f t="shared" ref="I1060:I1065" si="163">H1060*F1060</f>
        <v>0</v>
      </c>
      <c r="J1060" s="253" t="s">
        <v>502</v>
      </c>
      <c r="K1060" s="253"/>
      <c r="L1060" s="253"/>
      <c r="M1060" s="253"/>
      <c r="N1060" s="253"/>
      <c r="O1060" s="256"/>
      <c r="P1060" s="256"/>
    </row>
    <row r="1061" spans="1:16" ht="15.75" hidden="1" outlineLevel="2" x14ac:dyDescent="0.25">
      <c r="A1061" s="324">
        <v>42887</v>
      </c>
      <c r="B1061" s="273">
        <v>2017</v>
      </c>
      <c r="C1061" s="257" t="s">
        <v>397</v>
      </c>
      <c r="D1061" s="258" t="s">
        <v>382</v>
      </c>
      <c r="E1061" s="260"/>
      <c r="F1061" s="253"/>
      <c r="G1061" s="259"/>
      <c r="H1061" s="217">
        <f t="shared" si="155"/>
        <v>7.4539999999999997</v>
      </c>
      <c r="I1061" s="254">
        <f t="shared" si="163"/>
        <v>0</v>
      </c>
      <c r="J1061" s="253"/>
      <c r="K1061" s="253"/>
      <c r="L1061" s="253"/>
      <c r="M1061" s="253"/>
      <c r="N1061" s="253"/>
      <c r="O1061" s="256"/>
      <c r="P1061" s="256"/>
    </row>
    <row r="1062" spans="1:16" ht="15.75" hidden="1" outlineLevel="2" x14ac:dyDescent="0.25">
      <c r="A1062" s="324">
        <v>42887</v>
      </c>
      <c r="B1062" s="273">
        <v>2017</v>
      </c>
      <c r="C1062" s="257" t="s">
        <v>397</v>
      </c>
      <c r="D1062" s="258" t="s">
        <v>230</v>
      </c>
      <c r="E1062" s="260"/>
      <c r="F1062" s="253"/>
      <c r="G1062" s="259"/>
      <c r="H1062" s="217">
        <f t="shared" si="155"/>
        <v>5.0110000000000001</v>
      </c>
      <c r="I1062" s="254">
        <f t="shared" si="163"/>
        <v>0</v>
      </c>
      <c r="J1062" s="253"/>
      <c r="K1062" s="253"/>
      <c r="L1062" s="253"/>
      <c r="M1062" s="253"/>
      <c r="N1062" s="253"/>
      <c r="O1062" s="256"/>
      <c r="P1062" s="256"/>
    </row>
    <row r="1063" spans="1:16" ht="15.75" hidden="1" outlineLevel="2" x14ac:dyDescent="0.25">
      <c r="A1063" s="324">
        <v>42887</v>
      </c>
      <c r="B1063" s="273">
        <v>2017</v>
      </c>
      <c r="C1063" s="257" t="s">
        <v>397</v>
      </c>
      <c r="D1063" s="258" t="s">
        <v>382</v>
      </c>
      <c r="E1063" s="261"/>
      <c r="F1063" s="253"/>
      <c r="G1063" s="259"/>
      <c r="H1063" s="217">
        <f t="shared" si="155"/>
        <v>7.4539999999999997</v>
      </c>
      <c r="I1063" s="254">
        <f t="shared" si="163"/>
        <v>0</v>
      </c>
      <c r="J1063" s="253"/>
      <c r="K1063" s="253"/>
      <c r="L1063" s="253"/>
      <c r="M1063" s="253"/>
      <c r="N1063" s="253"/>
      <c r="O1063" s="256"/>
      <c r="P1063" s="256"/>
    </row>
    <row r="1064" spans="1:16" ht="15.75" hidden="1" outlineLevel="2" x14ac:dyDescent="0.25">
      <c r="A1064" s="324">
        <v>42887</v>
      </c>
      <c r="B1064" s="273">
        <v>2017</v>
      </c>
      <c r="C1064" s="257" t="s">
        <v>397</v>
      </c>
      <c r="D1064" s="258" t="s">
        <v>382</v>
      </c>
      <c r="E1064" s="261"/>
      <c r="F1064" s="253"/>
      <c r="G1064" s="259"/>
      <c r="H1064" s="217">
        <f t="shared" si="155"/>
        <v>7.4539999999999997</v>
      </c>
      <c r="I1064" s="254">
        <f t="shared" si="163"/>
        <v>0</v>
      </c>
      <c r="J1064" s="262"/>
      <c r="K1064" s="262"/>
      <c r="L1064" s="262"/>
      <c r="M1064" s="262"/>
      <c r="N1064" s="262"/>
      <c r="O1064" s="256"/>
      <c r="P1064" s="256"/>
    </row>
    <row r="1065" spans="1:16" ht="15.75" hidden="1" outlineLevel="2" x14ac:dyDescent="0.25">
      <c r="A1065" s="324">
        <v>42887</v>
      </c>
      <c r="B1065" s="273">
        <v>2017</v>
      </c>
      <c r="C1065" s="257" t="s">
        <v>397</v>
      </c>
      <c r="D1065" s="258" t="s">
        <v>317</v>
      </c>
      <c r="E1065" s="259"/>
      <c r="F1065" s="253"/>
      <c r="G1065" s="259"/>
      <c r="H1065" s="217">
        <f t="shared" si="155"/>
        <v>2.7959999999999998</v>
      </c>
      <c r="I1065" s="254">
        <f t="shared" si="163"/>
        <v>0</v>
      </c>
      <c r="J1065" s="253" t="s">
        <v>502</v>
      </c>
      <c r="K1065" s="253"/>
      <c r="L1065" s="253">
        <v>7038</v>
      </c>
      <c r="M1065" s="253"/>
      <c r="N1065" s="253"/>
      <c r="O1065" s="256"/>
      <c r="P1065" s="256"/>
    </row>
    <row r="1066" spans="1:16" ht="15.75" hidden="1" outlineLevel="2" x14ac:dyDescent="0.25">
      <c r="A1066" s="324">
        <v>42887</v>
      </c>
      <c r="B1066" s="273">
        <v>2017</v>
      </c>
      <c r="C1066" s="257" t="s">
        <v>397</v>
      </c>
      <c r="D1066" s="258" t="s">
        <v>447</v>
      </c>
      <c r="E1066" s="264"/>
      <c r="F1066" s="253"/>
      <c r="G1066" s="265"/>
      <c r="H1066" s="217">
        <f t="shared" si="155"/>
        <v>1.738</v>
      </c>
      <c r="I1066" s="254">
        <f t="shared" ref="I1066" si="164">H1066*F1066</f>
        <v>0</v>
      </c>
      <c r="J1066" s="262"/>
      <c r="K1066" s="262"/>
      <c r="L1066" s="253"/>
      <c r="M1066" s="262"/>
      <c r="N1066" s="262"/>
      <c r="O1066" s="256"/>
      <c r="P1066" s="256"/>
    </row>
    <row r="1067" spans="1:16" ht="15.75" hidden="1" outlineLevel="1" x14ac:dyDescent="0.25">
      <c r="A1067" s="324">
        <v>42887</v>
      </c>
      <c r="B1067" s="273">
        <v>2017</v>
      </c>
      <c r="C1067" s="266" t="s">
        <v>391</v>
      </c>
      <c r="D1067" s="267" t="s">
        <v>373</v>
      </c>
      <c r="E1067" s="264"/>
      <c r="F1067" s="253"/>
      <c r="G1067" s="265"/>
      <c r="H1067" s="217">
        <f t="shared" si="155"/>
        <v>0</v>
      </c>
      <c r="I1067" s="254">
        <f t="shared" ref="I1067:I1072" si="165">H1067*F1067</f>
        <v>0</v>
      </c>
      <c r="J1067" s="262" t="s">
        <v>502</v>
      </c>
      <c r="K1067" s="262"/>
      <c r="L1067" s="253">
        <v>7038</v>
      </c>
      <c r="M1067" s="262"/>
      <c r="N1067" s="262"/>
      <c r="O1067" s="256"/>
      <c r="P1067" s="256"/>
    </row>
    <row r="1068" spans="1:16" ht="15.75" hidden="1" outlineLevel="2" x14ac:dyDescent="0.25">
      <c r="A1068" s="324">
        <v>42887</v>
      </c>
      <c r="B1068" s="273">
        <v>2017</v>
      </c>
      <c r="C1068" s="266" t="s">
        <v>391</v>
      </c>
      <c r="D1068" s="267" t="s">
        <v>374</v>
      </c>
      <c r="E1068" s="264"/>
      <c r="F1068" s="253"/>
      <c r="G1068" s="265"/>
      <c r="H1068" s="217">
        <f t="shared" si="155"/>
        <v>0</v>
      </c>
      <c r="I1068" s="254">
        <f t="shared" si="165"/>
        <v>0</v>
      </c>
      <c r="J1068" s="262" t="s">
        <v>502</v>
      </c>
      <c r="K1068" s="255"/>
      <c r="L1068" s="253">
        <v>7038</v>
      </c>
      <c r="M1068" s="253"/>
      <c r="N1068" s="253"/>
      <c r="O1068" s="256"/>
      <c r="P1068" s="256"/>
    </row>
    <row r="1069" spans="1:16" ht="15.75" hidden="1" outlineLevel="2" x14ac:dyDescent="0.25">
      <c r="A1069" s="324">
        <v>42887</v>
      </c>
      <c r="B1069" s="273">
        <v>2017</v>
      </c>
      <c r="C1069" s="266" t="s">
        <v>391</v>
      </c>
      <c r="D1069" s="267" t="s">
        <v>375</v>
      </c>
      <c r="E1069" s="264"/>
      <c r="F1069" s="253"/>
      <c r="G1069" s="265"/>
      <c r="H1069" s="217">
        <f t="shared" si="155"/>
        <v>0</v>
      </c>
      <c r="I1069" s="254">
        <f t="shared" si="165"/>
        <v>0</v>
      </c>
      <c r="J1069" s="262" t="s">
        <v>502</v>
      </c>
      <c r="K1069" s="255"/>
      <c r="L1069" s="253">
        <v>7038</v>
      </c>
      <c r="M1069" s="253"/>
      <c r="N1069" s="253"/>
      <c r="O1069" s="256"/>
      <c r="P1069" s="256"/>
    </row>
    <row r="1070" spans="1:16" ht="15.75" hidden="1" outlineLevel="2" x14ac:dyDescent="0.25">
      <c r="A1070" s="324">
        <v>42887</v>
      </c>
      <c r="B1070" s="273">
        <v>2017</v>
      </c>
      <c r="C1070" s="266" t="s">
        <v>391</v>
      </c>
      <c r="D1070" s="267" t="s">
        <v>376</v>
      </c>
      <c r="E1070" s="264"/>
      <c r="F1070" s="253"/>
      <c r="G1070" s="265"/>
      <c r="H1070" s="217">
        <f t="shared" si="155"/>
        <v>0</v>
      </c>
      <c r="I1070" s="254">
        <f t="shared" si="165"/>
        <v>0</v>
      </c>
      <c r="J1070" s="262" t="s">
        <v>502</v>
      </c>
      <c r="K1070" s="262"/>
      <c r="L1070" s="253">
        <v>7038</v>
      </c>
      <c r="M1070" s="262"/>
      <c r="N1070" s="262"/>
      <c r="O1070" s="256"/>
      <c r="P1070" s="256"/>
    </row>
    <row r="1071" spans="1:16" ht="15.75" hidden="1" outlineLevel="2" x14ac:dyDescent="0.25">
      <c r="A1071" s="324">
        <v>42887</v>
      </c>
      <c r="B1071" s="273">
        <v>2017</v>
      </c>
      <c r="C1071" s="266" t="s">
        <v>391</v>
      </c>
      <c r="D1071" s="267" t="s">
        <v>394</v>
      </c>
      <c r="E1071" s="264"/>
      <c r="F1071" s="253">
        <v>300</v>
      </c>
      <c r="G1071" s="265"/>
      <c r="H1071" s="217">
        <f t="shared" si="155"/>
        <v>0</v>
      </c>
      <c r="I1071" s="254">
        <f t="shared" si="165"/>
        <v>0</v>
      </c>
      <c r="J1071" s="262" t="s">
        <v>502</v>
      </c>
      <c r="K1071" s="263">
        <v>42726</v>
      </c>
      <c r="L1071" s="253">
        <v>1018</v>
      </c>
      <c r="M1071" s="262" t="s">
        <v>503</v>
      </c>
      <c r="N1071" s="262"/>
      <c r="O1071" s="256"/>
      <c r="P1071" s="256"/>
    </row>
    <row r="1072" spans="1:16" ht="15.75" hidden="1" outlineLevel="2" x14ac:dyDescent="0.25">
      <c r="A1072" s="324">
        <v>42887</v>
      </c>
      <c r="B1072" s="273">
        <v>2017</v>
      </c>
      <c r="C1072" s="266" t="s">
        <v>391</v>
      </c>
      <c r="D1072" s="267" t="s">
        <v>453</v>
      </c>
      <c r="E1072" s="264"/>
      <c r="F1072" s="253"/>
      <c r="G1072" s="265"/>
      <c r="H1072" s="217">
        <f t="shared" si="155"/>
        <v>0</v>
      </c>
      <c r="I1072" s="254">
        <f t="shared" si="165"/>
        <v>0</v>
      </c>
      <c r="J1072" s="262"/>
      <c r="K1072" s="262"/>
      <c r="L1072" s="253"/>
      <c r="M1072" s="262"/>
      <c r="N1072" s="262"/>
      <c r="O1072" s="256"/>
      <c r="P1072" s="256"/>
    </row>
    <row r="1073" spans="1:16" ht="15.75" hidden="1" outlineLevel="1" x14ac:dyDescent="0.25">
      <c r="A1073" s="324">
        <v>42887</v>
      </c>
      <c r="B1073" s="273">
        <v>2017</v>
      </c>
      <c r="C1073" s="268" t="s">
        <v>398</v>
      </c>
      <c r="D1073" s="274" t="s">
        <v>393</v>
      </c>
      <c r="E1073" s="264"/>
      <c r="F1073" s="270"/>
      <c r="G1073" s="265"/>
      <c r="H1073" s="217">
        <f t="shared" si="155"/>
        <v>0</v>
      </c>
      <c r="I1073" s="262"/>
      <c r="J1073" s="262" t="s">
        <v>502</v>
      </c>
      <c r="K1073" s="262"/>
      <c r="L1073" s="253">
        <v>7038</v>
      </c>
      <c r="M1073" s="262"/>
      <c r="N1073" s="262"/>
      <c r="O1073" s="256"/>
      <c r="P1073" s="256"/>
    </row>
    <row r="1074" spans="1:16" ht="15.75" hidden="1" outlineLevel="2" x14ac:dyDescent="0.25">
      <c r="A1074" s="324">
        <v>42887</v>
      </c>
      <c r="B1074" s="273">
        <v>2017</v>
      </c>
      <c r="C1074" s="268" t="s">
        <v>398</v>
      </c>
      <c r="D1074" s="274" t="s">
        <v>393</v>
      </c>
      <c r="E1074" s="264"/>
      <c r="F1074" s="270"/>
      <c r="G1074" s="265"/>
      <c r="H1074" s="217">
        <f t="shared" si="155"/>
        <v>0</v>
      </c>
      <c r="I1074" s="262">
        <v>46000</v>
      </c>
      <c r="J1074" s="262" t="s">
        <v>502</v>
      </c>
      <c r="K1074" s="263">
        <v>42735</v>
      </c>
      <c r="L1074" s="253">
        <v>7038</v>
      </c>
      <c r="M1074" s="262" t="s">
        <v>513</v>
      </c>
      <c r="N1074" s="262"/>
      <c r="O1074" s="256"/>
      <c r="P1074" s="256"/>
    </row>
    <row r="1075" spans="1:16" ht="15.75" hidden="1" outlineLevel="2" x14ac:dyDescent="0.25">
      <c r="A1075" s="324">
        <v>42887</v>
      </c>
      <c r="B1075" s="273">
        <v>2017</v>
      </c>
      <c r="C1075" s="268" t="s">
        <v>398</v>
      </c>
      <c r="D1075" s="274" t="s">
        <v>393</v>
      </c>
      <c r="E1075" s="264"/>
      <c r="F1075" s="270"/>
      <c r="G1075" s="265"/>
      <c r="H1075" s="217">
        <f t="shared" si="155"/>
        <v>0</v>
      </c>
      <c r="I1075" s="262">
        <v>46000</v>
      </c>
      <c r="J1075" s="262" t="s">
        <v>502</v>
      </c>
      <c r="K1075" s="263">
        <v>42735</v>
      </c>
      <c r="L1075" s="253">
        <v>7038</v>
      </c>
      <c r="M1075" s="262" t="s">
        <v>513</v>
      </c>
      <c r="N1075" s="262"/>
      <c r="O1075" s="256"/>
      <c r="P1075" s="256"/>
    </row>
    <row r="1076" spans="1:16" ht="15.75" hidden="1" outlineLevel="2" x14ac:dyDescent="0.25">
      <c r="A1076" s="324">
        <v>42887</v>
      </c>
      <c r="B1076" s="273">
        <v>2017</v>
      </c>
      <c r="C1076" s="268" t="s">
        <v>398</v>
      </c>
      <c r="D1076" s="272" t="s">
        <v>516</v>
      </c>
      <c r="E1076" s="264"/>
      <c r="F1076" s="270"/>
      <c r="G1076" s="265"/>
      <c r="H1076" s="217" t="e">
        <f t="shared" si="155"/>
        <v>#N/A</v>
      </c>
      <c r="I1076" s="262"/>
      <c r="J1076" s="262" t="s">
        <v>502</v>
      </c>
      <c r="K1076" s="262"/>
      <c r="L1076" s="253">
        <v>7038</v>
      </c>
      <c r="M1076" s="262"/>
      <c r="N1076" s="262"/>
      <c r="O1076" s="256"/>
      <c r="P1076" s="256"/>
    </row>
    <row r="1077" spans="1:16" ht="15.75" hidden="1" outlineLevel="2" x14ac:dyDescent="0.25">
      <c r="A1077" s="324">
        <v>42887</v>
      </c>
      <c r="B1077" s="273">
        <v>2017</v>
      </c>
      <c r="C1077" s="268" t="s">
        <v>398</v>
      </c>
      <c r="D1077" s="272" t="s">
        <v>517</v>
      </c>
      <c r="E1077" s="264"/>
      <c r="F1077" s="270"/>
      <c r="G1077" s="265"/>
      <c r="H1077" s="217" t="e">
        <f t="shared" si="155"/>
        <v>#N/A</v>
      </c>
      <c r="I1077" s="262"/>
      <c r="J1077" s="262" t="s">
        <v>502</v>
      </c>
      <c r="K1077" s="262"/>
      <c r="L1077" s="253">
        <v>7038</v>
      </c>
      <c r="M1077" s="262"/>
      <c r="N1077" s="262"/>
      <c r="O1077" s="256"/>
      <c r="P1077" s="256"/>
    </row>
    <row r="1078" spans="1:16" ht="15.75" hidden="1" outlineLevel="2" x14ac:dyDescent="0.25">
      <c r="A1078" s="324">
        <v>42887</v>
      </c>
      <c r="B1078" s="273">
        <v>2017</v>
      </c>
      <c r="C1078" s="268" t="s">
        <v>398</v>
      </c>
      <c r="D1078" s="272" t="s">
        <v>518</v>
      </c>
      <c r="E1078" s="264"/>
      <c r="F1078" s="270"/>
      <c r="G1078" s="265"/>
      <c r="H1078" s="217" t="e">
        <f t="shared" si="155"/>
        <v>#N/A</v>
      </c>
      <c r="I1078" s="262"/>
      <c r="J1078" s="262" t="s">
        <v>502</v>
      </c>
      <c r="K1078" s="262"/>
      <c r="L1078" s="253">
        <v>7038</v>
      </c>
      <c r="M1078" s="262"/>
      <c r="N1078" s="262"/>
      <c r="O1078" s="256"/>
      <c r="P1078" s="256"/>
    </row>
    <row r="1079" spans="1:16" ht="15.75" hidden="1" outlineLevel="2" x14ac:dyDescent="0.25">
      <c r="A1079" s="324">
        <v>42887</v>
      </c>
      <c r="B1079" s="273">
        <v>2017</v>
      </c>
      <c r="C1079" s="268" t="s">
        <v>398</v>
      </c>
      <c r="D1079" s="272" t="s">
        <v>519</v>
      </c>
      <c r="E1079" s="264"/>
      <c r="F1079" s="270"/>
      <c r="G1079" s="265"/>
      <c r="H1079" s="217" t="e">
        <f t="shared" si="155"/>
        <v>#N/A</v>
      </c>
      <c r="I1079" s="262"/>
      <c r="J1079" s="262" t="s">
        <v>502</v>
      </c>
      <c r="K1079" s="262"/>
      <c r="L1079" s="253">
        <v>7038</v>
      </c>
      <c r="M1079" s="262"/>
      <c r="N1079" s="262"/>
      <c r="O1079" s="256"/>
      <c r="P1079" s="256"/>
    </row>
    <row r="1080" spans="1:16" ht="15.75" hidden="1" outlineLevel="2" x14ac:dyDescent="0.25">
      <c r="A1080" s="324">
        <v>42887</v>
      </c>
      <c r="B1080" s="273">
        <v>2017</v>
      </c>
      <c r="C1080" s="268" t="s">
        <v>398</v>
      </c>
      <c r="D1080" s="272" t="s">
        <v>520</v>
      </c>
      <c r="E1080" s="264"/>
      <c r="F1080" s="270"/>
      <c r="G1080" s="265"/>
      <c r="H1080" s="217" t="e">
        <f t="shared" si="155"/>
        <v>#N/A</v>
      </c>
      <c r="I1080" s="262"/>
      <c r="J1080" s="262" t="s">
        <v>502</v>
      </c>
      <c r="K1080" s="262"/>
      <c r="L1080" s="253">
        <v>7038</v>
      </c>
      <c r="M1080" s="262"/>
      <c r="N1080" s="262"/>
      <c r="O1080" s="256"/>
      <c r="P1080" s="256"/>
    </row>
    <row r="1081" spans="1:16" ht="15.75" hidden="1" x14ac:dyDescent="0.25">
      <c r="A1081" s="324">
        <v>42917</v>
      </c>
      <c r="B1081" s="273">
        <v>2017</v>
      </c>
      <c r="C1081" s="245"/>
      <c r="D1081" s="246" t="s">
        <v>498</v>
      </c>
      <c r="E1081" s="246"/>
      <c r="F1081" s="247"/>
      <c r="G1081" s="247">
        <f>SUM(G1085:G1092)</f>
        <v>12280.42</v>
      </c>
      <c r="H1081" s="217" t="e">
        <f t="shared" si="155"/>
        <v>#N/A</v>
      </c>
      <c r="I1081" s="247"/>
      <c r="J1081" s="247"/>
      <c r="K1081" s="247"/>
      <c r="L1081" s="248"/>
      <c r="M1081" s="248"/>
      <c r="N1081" s="245"/>
      <c r="O1081" s="249"/>
      <c r="P1081" s="249"/>
    </row>
    <row r="1082" spans="1:16" ht="15.75" hidden="1" outlineLevel="1" x14ac:dyDescent="0.25">
      <c r="A1082" s="325">
        <v>42917</v>
      </c>
      <c r="B1082" s="273">
        <v>2017</v>
      </c>
      <c r="C1082" s="245"/>
      <c r="D1082" s="246" t="s">
        <v>499</v>
      </c>
      <c r="E1082" s="246"/>
      <c r="F1082" s="247">
        <f>SUM(F1093:F1100)</f>
        <v>0</v>
      </c>
      <c r="G1082" s="247"/>
      <c r="H1082" s="217" t="e">
        <f t="shared" si="155"/>
        <v>#N/A</v>
      </c>
      <c r="I1082" s="247">
        <f>SUM(I1093:I1100)</f>
        <v>0</v>
      </c>
      <c r="J1082" s="247"/>
      <c r="K1082" s="247"/>
      <c r="L1082" s="248"/>
      <c r="M1082" s="248"/>
      <c r="N1082" s="245"/>
      <c r="O1082" s="249"/>
      <c r="P1082" s="249"/>
    </row>
    <row r="1083" spans="1:16" ht="15.75" hidden="1" outlineLevel="1" x14ac:dyDescent="0.25">
      <c r="A1083" s="325">
        <v>42917</v>
      </c>
      <c r="B1083" s="273">
        <v>2017</v>
      </c>
      <c r="C1083" s="245"/>
      <c r="D1083" s="246" t="s">
        <v>500</v>
      </c>
      <c r="E1083" s="246"/>
      <c r="F1083" s="247">
        <f>SUM(F1101:F1106)</f>
        <v>300</v>
      </c>
      <c r="G1083" s="247"/>
      <c r="H1083" s="217" t="e">
        <f t="shared" si="155"/>
        <v>#N/A</v>
      </c>
      <c r="I1083" s="247"/>
      <c r="J1083" s="247"/>
      <c r="K1083" s="247"/>
      <c r="L1083" s="248"/>
      <c r="M1083" s="248"/>
      <c r="N1083" s="245"/>
      <c r="O1083" s="249"/>
      <c r="P1083" s="249"/>
    </row>
    <row r="1084" spans="1:16" ht="15.75" hidden="1" outlineLevel="1" x14ac:dyDescent="0.25">
      <c r="A1084" s="325">
        <v>42917</v>
      </c>
      <c r="B1084" s="273">
        <v>2017</v>
      </c>
      <c r="C1084" s="245"/>
      <c r="D1084" s="246" t="s">
        <v>501</v>
      </c>
      <c r="E1084" s="246"/>
      <c r="F1084" s="247"/>
      <c r="G1084" s="247"/>
      <c r="H1084" s="217" t="e">
        <f t="shared" si="155"/>
        <v>#N/A</v>
      </c>
      <c r="I1084" s="247">
        <f>SUM(I1107:I1114)</f>
        <v>92000</v>
      </c>
      <c r="J1084" s="247"/>
      <c r="K1084" s="247"/>
      <c r="L1084" s="248"/>
      <c r="M1084" s="248"/>
      <c r="N1084" s="245"/>
      <c r="O1084" s="250"/>
      <c r="P1084" s="250"/>
    </row>
    <row r="1085" spans="1:16" ht="15.75" hidden="1" outlineLevel="1" x14ac:dyDescent="0.25">
      <c r="A1085" s="325">
        <v>42917</v>
      </c>
      <c r="B1085" s="273">
        <v>2017</v>
      </c>
      <c r="C1085" s="251" t="s">
        <v>396</v>
      </c>
      <c r="D1085" s="213" t="s">
        <v>33</v>
      </c>
      <c r="E1085" s="252">
        <v>3000</v>
      </c>
      <c r="F1085" s="253">
        <v>8</v>
      </c>
      <c r="G1085" s="254">
        <f>F1085*E1085/1000</f>
        <v>24</v>
      </c>
      <c r="H1085" s="217">
        <f t="shared" si="155"/>
        <v>8.661999999999999</v>
      </c>
      <c r="I1085" s="254">
        <f>H1085*G1085</f>
        <v>207.88799999999998</v>
      </c>
      <c r="J1085" s="253" t="s">
        <v>502</v>
      </c>
      <c r="K1085" s="253"/>
      <c r="L1085" s="253">
        <v>1018</v>
      </c>
      <c r="M1085" s="253"/>
      <c r="N1085" s="253"/>
      <c r="O1085" s="256"/>
      <c r="P1085" s="256"/>
    </row>
    <row r="1086" spans="1:16" ht="15.75" hidden="1" outlineLevel="2" x14ac:dyDescent="0.25">
      <c r="A1086" s="325">
        <v>42917</v>
      </c>
      <c r="B1086" s="273">
        <v>2017</v>
      </c>
      <c r="C1086" s="251" t="s">
        <v>396</v>
      </c>
      <c r="D1086" s="213" t="s">
        <v>41</v>
      </c>
      <c r="E1086" s="252">
        <v>6000</v>
      </c>
      <c r="F1086" s="253">
        <v>1167</v>
      </c>
      <c r="G1086" s="254">
        <f t="shared" ref="G1086:G1092" si="166">F1086*E1086/1000</f>
        <v>7002</v>
      </c>
      <c r="H1086" s="217">
        <f t="shared" si="155"/>
        <v>0.65500000000000003</v>
      </c>
      <c r="I1086" s="254">
        <f t="shared" ref="I1086:I1092" si="167">H1086*G1086</f>
        <v>4586.3100000000004</v>
      </c>
      <c r="J1086" s="253" t="s">
        <v>502</v>
      </c>
      <c r="K1086" s="255">
        <v>42726</v>
      </c>
      <c r="L1086" s="253">
        <v>1018</v>
      </c>
      <c r="M1086" s="253" t="s">
        <v>503</v>
      </c>
      <c r="N1086" s="253" t="s">
        <v>512</v>
      </c>
      <c r="O1086" s="256"/>
      <c r="P1086" s="256"/>
    </row>
    <row r="1087" spans="1:16" ht="15.75" hidden="1" outlineLevel="2" x14ac:dyDescent="0.25">
      <c r="A1087" s="325">
        <v>42917</v>
      </c>
      <c r="B1087" s="273">
        <v>2017</v>
      </c>
      <c r="C1087" s="251" t="s">
        <v>396</v>
      </c>
      <c r="D1087" s="213" t="s">
        <v>42</v>
      </c>
      <c r="E1087" s="252">
        <v>6000</v>
      </c>
      <c r="F1087" s="253">
        <v>417</v>
      </c>
      <c r="G1087" s="254">
        <f t="shared" si="166"/>
        <v>2502</v>
      </c>
      <c r="H1087" s="217">
        <f t="shared" ref="H1087:H1114" si="168">VLOOKUP(D1087,$D$5:$E$359,2,FALSE)</f>
        <v>0.82199999999999995</v>
      </c>
      <c r="I1087" s="254">
        <f t="shared" si="167"/>
        <v>2056.6439999999998</v>
      </c>
      <c r="J1087" s="253" t="s">
        <v>502</v>
      </c>
      <c r="K1087" s="255">
        <v>42726</v>
      </c>
      <c r="L1087" s="253">
        <v>1018</v>
      </c>
      <c r="M1087" s="253" t="s">
        <v>503</v>
      </c>
      <c r="N1087" s="253"/>
      <c r="O1087" s="256"/>
      <c r="P1087" s="256"/>
    </row>
    <row r="1088" spans="1:16" ht="15.75" hidden="1" outlineLevel="2" x14ac:dyDescent="0.25">
      <c r="A1088" s="325">
        <v>42917</v>
      </c>
      <c r="B1088" s="273">
        <v>2017</v>
      </c>
      <c r="C1088" s="251" t="s">
        <v>396</v>
      </c>
      <c r="D1088" s="213" t="s">
        <v>39</v>
      </c>
      <c r="E1088" s="252">
        <v>6000</v>
      </c>
      <c r="F1088" s="253">
        <v>250</v>
      </c>
      <c r="G1088" s="254">
        <f t="shared" si="166"/>
        <v>1500</v>
      </c>
      <c r="H1088" s="217">
        <f t="shared" si="168"/>
        <v>0.38</v>
      </c>
      <c r="I1088" s="254">
        <f t="shared" si="167"/>
        <v>570</v>
      </c>
      <c r="J1088" s="253" t="s">
        <v>502</v>
      </c>
      <c r="K1088" s="255">
        <v>42726</v>
      </c>
      <c r="L1088" s="253">
        <v>1018</v>
      </c>
      <c r="M1088" s="253" t="s">
        <v>503</v>
      </c>
      <c r="N1088" s="253"/>
      <c r="O1088" s="256"/>
      <c r="P1088" s="256"/>
    </row>
    <row r="1089" spans="1:16" ht="15.75" hidden="1" outlineLevel="2" x14ac:dyDescent="0.25">
      <c r="A1089" s="325">
        <v>42917</v>
      </c>
      <c r="B1089" s="273">
        <v>2017</v>
      </c>
      <c r="C1089" s="251" t="s">
        <v>396</v>
      </c>
      <c r="D1089" s="213" t="s">
        <v>50</v>
      </c>
      <c r="E1089" s="252">
        <v>6000</v>
      </c>
      <c r="F1089" s="253">
        <v>84</v>
      </c>
      <c r="G1089" s="254">
        <f t="shared" si="166"/>
        <v>504</v>
      </c>
      <c r="H1089" s="217">
        <f t="shared" si="168"/>
        <v>0.53100000000000003</v>
      </c>
      <c r="I1089" s="254">
        <f t="shared" si="167"/>
        <v>267.62400000000002</v>
      </c>
      <c r="J1089" s="253" t="s">
        <v>502</v>
      </c>
      <c r="K1089" s="255">
        <v>42726</v>
      </c>
      <c r="L1089" s="253">
        <v>1018</v>
      </c>
      <c r="M1089" s="253" t="s">
        <v>503</v>
      </c>
      <c r="N1089" s="253"/>
      <c r="O1089" s="256"/>
      <c r="P1089" s="256"/>
    </row>
    <row r="1090" spans="1:16" ht="15.75" hidden="1" outlineLevel="2" x14ac:dyDescent="0.25">
      <c r="A1090" s="325">
        <v>42917</v>
      </c>
      <c r="B1090" s="273">
        <v>2017</v>
      </c>
      <c r="C1090" s="251" t="s">
        <v>396</v>
      </c>
      <c r="D1090" s="213" t="s">
        <v>44</v>
      </c>
      <c r="E1090" s="252">
        <v>6000</v>
      </c>
      <c r="F1090" s="253">
        <v>84</v>
      </c>
      <c r="G1090" s="254">
        <f t="shared" si="166"/>
        <v>504</v>
      </c>
      <c r="H1090" s="217">
        <f t="shared" si="168"/>
        <v>1.1789999999999998</v>
      </c>
      <c r="I1090" s="254">
        <f t="shared" si="167"/>
        <v>594.21599999999989</v>
      </c>
      <c r="J1090" s="253" t="s">
        <v>502</v>
      </c>
      <c r="K1090" s="255">
        <v>42726</v>
      </c>
      <c r="L1090" s="253">
        <v>1018</v>
      </c>
      <c r="M1090" s="253" t="s">
        <v>503</v>
      </c>
      <c r="N1090" s="253" t="s">
        <v>512</v>
      </c>
      <c r="O1090" s="256"/>
      <c r="P1090" s="256"/>
    </row>
    <row r="1091" spans="1:16" ht="15.75" hidden="1" outlineLevel="2" x14ac:dyDescent="0.25">
      <c r="A1091" s="325"/>
      <c r="B1091" s="273"/>
      <c r="C1091" s="251"/>
      <c r="D1091" s="213"/>
      <c r="E1091" s="252"/>
      <c r="F1091" s="253"/>
      <c r="G1091" s="254">
        <f t="shared" si="166"/>
        <v>0</v>
      </c>
      <c r="H1091" s="217" t="e">
        <f t="shared" si="168"/>
        <v>#N/A</v>
      </c>
      <c r="I1091" s="254" t="e">
        <f t="shared" si="167"/>
        <v>#N/A</v>
      </c>
      <c r="J1091" s="253"/>
      <c r="K1091" s="255"/>
      <c r="L1091" s="253"/>
      <c r="M1091" s="253"/>
      <c r="N1091" s="253"/>
      <c r="O1091" s="256"/>
      <c r="P1091" s="256"/>
    </row>
    <row r="1092" spans="1:16" ht="15.75" hidden="1" outlineLevel="2" x14ac:dyDescent="0.25">
      <c r="A1092" s="325">
        <v>42917</v>
      </c>
      <c r="B1092" s="273">
        <v>2017</v>
      </c>
      <c r="C1092" s="251" t="s">
        <v>396</v>
      </c>
      <c r="D1092" s="213" t="s">
        <v>36</v>
      </c>
      <c r="E1092" s="220">
        <v>4444</v>
      </c>
      <c r="F1092" s="253">
        <v>55</v>
      </c>
      <c r="G1092" s="254">
        <f t="shared" si="166"/>
        <v>244.42</v>
      </c>
      <c r="H1092" s="217">
        <f t="shared" si="168"/>
        <v>0.4</v>
      </c>
      <c r="I1092" s="254">
        <f t="shared" si="167"/>
        <v>97.768000000000001</v>
      </c>
      <c r="J1092" s="253"/>
      <c r="K1092" s="253"/>
      <c r="L1092" s="253"/>
      <c r="M1092" s="253"/>
      <c r="N1092" s="253"/>
      <c r="O1092" s="256"/>
      <c r="P1092" s="256"/>
    </row>
    <row r="1093" spans="1:16" ht="15.75" hidden="1" outlineLevel="1" x14ac:dyDescent="0.25">
      <c r="A1093" s="325">
        <v>42917</v>
      </c>
      <c r="B1093" s="273">
        <v>2017</v>
      </c>
      <c r="C1093" s="257" t="s">
        <v>397</v>
      </c>
      <c r="D1093" s="258" t="s">
        <v>383</v>
      </c>
      <c r="E1093" s="223"/>
      <c r="F1093" s="253"/>
      <c r="G1093" s="259"/>
      <c r="H1093" s="217">
        <f t="shared" si="168"/>
        <v>8.2810000000000006</v>
      </c>
      <c r="I1093" s="254">
        <f>H1093*F1093</f>
        <v>0</v>
      </c>
      <c r="J1093" s="253" t="s">
        <v>502</v>
      </c>
      <c r="K1093" s="253"/>
      <c r="L1093" s="253"/>
      <c r="M1093" s="253"/>
      <c r="N1093" s="253"/>
      <c r="O1093" s="256"/>
      <c r="P1093" s="256"/>
    </row>
    <row r="1094" spans="1:16" ht="15.75" hidden="1" outlineLevel="2" x14ac:dyDescent="0.25">
      <c r="A1094" s="325">
        <v>42917</v>
      </c>
      <c r="B1094" s="273">
        <v>2017</v>
      </c>
      <c r="C1094" s="257" t="s">
        <v>397</v>
      </c>
      <c r="D1094" s="258" t="s">
        <v>386</v>
      </c>
      <c r="E1094" s="224"/>
      <c r="F1094" s="253"/>
      <c r="G1094" s="259"/>
      <c r="H1094" s="217">
        <f t="shared" si="168"/>
        <v>11.587999999999999</v>
      </c>
      <c r="I1094" s="254">
        <f t="shared" ref="I1094:I1099" si="169">H1094*F1094</f>
        <v>0</v>
      </c>
      <c r="J1094" s="253" t="s">
        <v>502</v>
      </c>
      <c r="K1094" s="253"/>
      <c r="L1094" s="253"/>
      <c r="M1094" s="253"/>
      <c r="N1094" s="253"/>
      <c r="O1094" s="256"/>
      <c r="P1094" s="256"/>
    </row>
    <row r="1095" spans="1:16" ht="15.75" hidden="1" outlineLevel="2" x14ac:dyDescent="0.25">
      <c r="A1095" s="325">
        <v>42917</v>
      </c>
      <c r="B1095" s="273">
        <v>2017</v>
      </c>
      <c r="C1095" s="257" t="s">
        <v>397</v>
      </c>
      <c r="D1095" s="258" t="s">
        <v>382</v>
      </c>
      <c r="E1095" s="260"/>
      <c r="F1095" s="253"/>
      <c r="G1095" s="259"/>
      <c r="H1095" s="217">
        <f t="shared" si="168"/>
        <v>7.4539999999999997</v>
      </c>
      <c r="I1095" s="254">
        <f t="shared" si="169"/>
        <v>0</v>
      </c>
      <c r="J1095" s="253"/>
      <c r="K1095" s="253"/>
      <c r="L1095" s="253"/>
      <c r="M1095" s="253"/>
      <c r="N1095" s="253"/>
      <c r="O1095" s="256"/>
      <c r="P1095" s="256"/>
    </row>
    <row r="1096" spans="1:16" ht="15.75" hidden="1" outlineLevel="2" x14ac:dyDescent="0.25">
      <c r="A1096" s="325">
        <v>42917</v>
      </c>
      <c r="B1096" s="273">
        <v>2017</v>
      </c>
      <c r="C1096" s="257" t="s">
        <v>397</v>
      </c>
      <c r="D1096" s="258" t="s">
        <v>230</v>
      </c>
      <c r="E1096" s="260"/>
      <c r="F1096" s="253"/>
      <c r="G1096" s="259"/>
      <c r="H1096" s="217">
        <f t="shared" si="168"/>
        <v>5.0110000000000001</v>
      </c>
      <c r="I1096" s="254">
        <f t="shared" si="169"/>
        <v>0</v>
      </c>
      <c r="J1096" s="253"/>
      <c r="K1096" s="253"/>
      <c r="L1096" s="253"/>
      <c r="M1096" s="253"/>
      <c r="N1096" s="253"/>
      <c r="O1096" s="256"/>
      <c r="P1096" s="256"/>
    </row>
    <row r="1097" spans="1:16" ht="15.75" hidden="1" outlineLevel="2" x14ac:dyDescent="0.25">
      <c r="A1097" s="325">
        <v>42917</v>
      </c>
      <c r="B1097" s="273">
        <v>2017</v>
      </c>
      <c r="C1097" s="257" t="s">
        <v>397</v>
      </c>
      <c r="D1097" s="258" t="s">
        <v>382</v>
      </c>
      <c r="E1097" s="261"/>
      <c r="F1097" s="253"/>
      <c r="G1097" s="259"/>
      <c r="H1097" s="217">
        <f t="shared" si="168"/>
        <v>7.4539999999999997</v>
      </c>
      <c r="I1097" s="254">
        <f t="shared" si="169"/>
        <v>0</v>
      </c>
      <c r="J1097" s="253"/>
      <c r="K1097" s="253"/>
      <c r="L1097" s="253"/>
      <c r="M1097" s="253"/>
      <c r="N1097" s="253"/>
      <c r="O1097" s="256"/>
      <c r="P1097" s="256"/>
    </row>
    <row r="1098" spans="1:16" ht="15.75" hidden="1" outlineLevel="2" x14ac:dyDescent="0.25">
      <c r="A1098" s="325">
        <v>42917</v>
      </c>
      <c r="B1098" s="273">
        <v>2017</v>
      </c>
      <c r="C1098" s="257" t="s">
        <v>397</v>
      </c>
      <c r="D1098" s="258" t="s">
        <v>382</v>
      </c>
      <c r="E1098" s="261"/>
      <c r="F1098" s="253"/>
      <c r="G1098" s="259"/>
      <c r="H1098" s="217">
        <f t="shared" si="168"/>
        <v>7.4539999999999997</v>
      </c>
      <c r="I1098" s="254">
        <f t="shared" si="169"/>
        <v>0</v>
      </c>
      <c r="J1098" s="262"/>
      <c r="K1098" s="262"/>
      <c r="L1098" s="262"/>
      <c r="M1098" s="262"/>
      <c r="N1098" s="262"/>
      <c r="O1098" s="256"/>
      <c r="P1098" s="256"/>
    </row>
    <row r="1099" spans="1:16" ht="15.75" hidden="1" outlineLevel="2" x14ac:dyDescent="0.25">
      <c r="A1099" s="325">
        <v>42917</v>
      </c>
      <c r="B1099" s="273">
        <v>2017</v>
      </c>
      <c r="C1099" s="257" t="s">
        <v>397</v>
      </c>
      <c r="D1099" s="258" t="s">
        <v>317</v>
      </c>
      <c r="E1099" s="259"/>
      <c r="F1099" s="253"/>
      <c r="G1099" s="259"/>
      <c r="H1099" s="217">
        <f t="shared" si="168"/>
        <v>2.7959999999999998</v>
      </c>
      <c r="I1099" s="254">
        <f t="shared" si="169"/>
        <v>0</v>
      </c>
      <c r="J1099" s="253" t="s">
        <v>502</v>
      </c>
      <c r="K1099" s="253"/>
      <c r="L1099" s="253">
        <v>7038</v>
      </c>
      <c r="M1099" s="253"/>
      <c r="N1099" s="253"/>
      <c r="O1099" s="256"/>
      <c r="P1099" s="256"/>
    </row>
    <row r="1100" spans="1:16" ht="15.75" hidden="1" outlineLevel="2" x14ac:dyDescent="0.25">
      <c r="A1100" s="325">
        <v>42917</v>
      </c>
      <c r="B1100" s="273">
        <v>2017</v>
      </c>
      <c r="C1100" s="257" t="s">
        <v>397</v>
      </c>
      <c r="D1100" s="258" t="s">
        <v>447</v>
      </c>
      <c r="E1100" s="264"/>
      <c r="F1100" s="253"/>
      <c r="G1100" s="265"/>
      <c r="H1100" s="217">
        <f t="shared" si="168"/>
        <v>1.738</v>
      </c>
      <c r="I1100" s="254">
        <f t="shared" ref="I1100" si="170">H1100*F1100</f>
        <v>0</v>
      </c>
      <c r="J1100" s="262"/>
      <c r="K1100" s="262"/>
      <c r="L1100" s="253"/>
      <c r="M1100" s="262"/>
      <c r="N1100" s="262"/>
      <c r="O1100" s="256"/>
      <c r="P1100" s="256"/>
    </row>
    <row r="1101" spans="1:16" ht="15.75" hidden="1" outlineLevel="1" x14ac:dyDescent="0.25">
      <c r="A1101" s="325">
        <v>42917</v>
      </c>
      <c r="B1101" s="273">
        <v>2017</v>
      </c>
      <c r="C1101" s="266" t="s">
        <v>391</v>
      </c>
      <c r="D1101" s="267" t="s">
        <v>373</v>
      </c>
      <c r="E1101" s="264"/>
      <c r="F1101" s="253"/>
      <c r="G1101" s="265"/>
      <c r="H1101" s="217">
        <f t="shared" si="168"/>
        <v>0</v>
      </c>
      <c r="I1101" s="254">
        <f t="shared" ref="I1101:I1106" si="171">H1101*F1101</f>
        <v>0</v>
      </c>
      <c r="J1101" s="262" t="s">
        <v>502</v>
      </c>
      <c r="K1101" s="262"/>
      <c r="L1101" s="253">
        <v>7038</v>
      </c>
      <c r="M1101" s="262"/>
      <c r="N1101" s="262"/>
      <c r="O1101" s="256"/>
      <c r="P1101" s="256"/>
    </row>
    <row r="1102" spans="1:16" ht="15.75" hidden="1" outlineLevel="2" x14ac:dyDescent="0.25">
      <c r="A1102" s="325">
        <v>42917</v>
      </c>
      <c r="B1102" s="273">
        <v>2017</v>
      </c>
      <c r="C1102" s="266" t="s">
        <v>391</v>
      </c>
      <c r="D1102" s="267" t="s">
        <v>374</v>
      </c>
      <c r="E1102" s="264"/>
      <c r="F1102" s="253"/>
      <c r="G1102" s="265"/>
      <c r="H1102" s="217">
        <f t="shared" si="168"/>
        <v>0</v>
      </c>
      <c r="I1102" s="254">
        <f t="shared" si="171"/>
        <v>0</v>
      </c>
      <c r="J1102" s="262" t="s">
        <v>502</v>
      </c>
      <c r="K1102" s="255"/>
      <c r="L1102" s="253">
        <v>7038</v>
      </c>
      <c r="M1102" s="253"/>
      <c r="N1102" s="253"/>
      <c r="O1102" s="256"/>
      <c r="P1102" s="256"/>
    </row>
    <row r="1103" spans="1:16" ht="15.75" hidden="1" outlineLevel="2" x14ac:dyDescent="0.25">
      <c r="A1103" s="325">
        <v>42917</v>
      </c>
      <c r="B1103" s="273">
        <v>2017</v>
      </c>
      <c r="C1103" s="266" t="s">
        <v>391</v>
      </c>
      <c r="D1103" s="267" t="s">
        <v>375</v>
      </c>
      <c r="E1103" s="264"/>
      <c r="F1103" s="253"/>
      <c r="G1103" s="265"/>
      <c r="H1103" s="217">
        <f t="shared" si="168"/>
        <v>0</v>
      </c>
      <c r="I1103" s="254">
        <f t="shared" si="171"/>
        <v>0</v>
      </c>
      <c r="J1103" s="262" t="s">
        <v>502</v>
      </c>
      <c r="K1103" s="255"/>
      <c r="L1103" s="253">
        <v>7038</v>
      </c>
      <c r="M1103" s="253"/>
      <c r="N1103" s="253"/>
      <c r="O1103" s="256"/>
      <c r="P1103" s="256"/>
    </row>
    <row r="1104" spans="1:16" ht="15.75" hidden="1" outlineLevel="2" x14ac:dyDescent="0.25">
      <c r="A1104" s="325">
        <v>42917</v>
      </c>
      <c r="B1104" s="273">
        <v>2017</v>
      </c>
      <c r="C1104" s="266" t="s">
        <v>391</v>
      </c>
      <c r="D1104" s="267" t="s">
        <v>376</v>
      </c>
      <c r="E1104" s="264"/>
      <c r="F1104" s="253"/>
      <c r="G1104" s="265"/>
      <c r="H1104" s="217">
        <f t="shared" si="168"/>
        <v>0</v>
      </c>
      <c r="I1104" s="254">
        <f t="shared" si="171"/>
        <v>0</v>
      </c>
      <c r="J1104" s="262" t="s">
        <v>502</v>
      </c>
      <c r="K1104" s="262"/>
      <c r="L1104" s="253">
        <v>7038</v>
      </c>
      <c r="M1104" s="262"/>
      <c r="N1104" s="262"/>
      <c r="O1104" s="256"/>
      <c r="P1104" s="256"/>
    </row>
    <row r="1105" spans="1:16" ht="15.75" hidden="1" outlineLevel="2" x14ac:dyDescent="0.25">
      <c r="A1105" s="325">
        <v>42917</v>
      </c>
      <c r="B1105" s="273">
        <v>2017</v>
      </c>
      <c r="C1105" s="266" t="s">
        <v>391</v>
      </c>
      <c r="D1105" s="267" t="s">
        <v>394</v>
      </c>
      <c r="E1105" s="264"/>
      <c r="F1105" s="253">
        <v>300</v>
      </c>
      <c r="G1105" s="265"/>
      <c r="H1105" s="217">
        <f t="shared" si="168"/>
        <v>0</v>
      </c>
      <c r="I1105" s="254">
        <f t="shared" si="171"/>
        <v>0</v>
      </c>
      <c r="J1105" s="262" t="s">
        <v>502</v>
      </c>
      <c r="K1105" s="263">
        <v>42726</v>
      </c>
      <c r="L1105" s="253">
        <v>1018</v>
      </c>
      <c r="M1105" s="262" t="s">
        <v>503</v>
      </c>
      <c r="N1105" s="262"/>
      <c r="O1105" s="256"/>
      <c r="P1105" s="256"/>
    </row>
    <row r="1106" spans="1:16" ht="15.75" hidden="1" outlineLevel="2" x14ac:dyDescent="0.25">
      <c r="A1106" s="325">
        <v>42917</v>
      </c>
      <c r="B1106" s="273">
        <v>2017</v>
      </c>
      <c r="C1106" s="266" t="s">
        <v>391</v>
      </c>
      <c r="D1106" s="267" t="s">
        <v>453</v>
      </c>
      <c r="E1106" s="264"/>
      <c r="F1106" s="253"/>
      <c r="G1106" s="265"/>
      <c r="H1106" s="217">
        <f t="shared" si="168"/>
        <v>0</v>
      </c>
      <c r="I1106" s="254">
        <f t="shared" si="171"/>
        <v>0</v>
      </c>
      <c r="J1106" s="262"/>
      <c r="K1106" s="262"/>
      <c r="L1106" s="253"/>
      <c r="M1106" s="262"/>
      <c r="N1106" s="262"/>
      <c r="O1106" s="256"/>
      <c r="P1106" s="256"/>
    </row>
    <row r="1107" spans="1:16" ht="15.75" hidden="1" outlineLevel="1" x14ac:dyDescent="0.25">
      <c r="A1107" s="325">
        <v>42917</v>
      </c>
      <c r="B1107" s="273">
        <v>2017</v>
      </c>
      <c r="C1107" s="268" t="s">
        <v>398</v>
      </c>
      <c r="D1107" s="274" t="s">
        <v>393</v>
      </c>
      <c r="E1107" s="264"/>
      <c r="F1107" s="270"/>
      <c r="G1107" s="265"/>
      <c r="H1107" s="217">
        <f t="shared" si="168"/>
        <v>0</v>
      </c>
      <c r="I1107" s="262"/>
      <c r="J1107" s="262" t="s">
        <v>502</v>
      </c>
      <c r="K1107" s="262"/>
      <c r="L1107" s="253">
        <v>7038</v>
      </c>
      <c r="M1107" s="262"/>
      <c r="N1107" s="262"/>
      <c r="O1107" s="256"/>
      <c r="P1107" s="256"/>
    </row>
    <row r="1108" spans="1:16" ht="15.75" hidden="1" outlineLevel="2" x14ac:dyDescent="0.25">
      <c r="A1108" s="325">
        <v>42917</v>
      </c>
      <c r="B1108" s="273">
        <v>2017</v>
      </c>
      <c r="C1108" s="268" t="s">
        <v>398</v>
      </c>
      <c r="D1108" s="274" t="s">
        <v>393</v>
      </c>
      <c r="E1108" s="264"/>
      <c r="F1108" s="270"/>
      <c r="G1108" s="265"/>
      <c r="H1108" s="217">
        <f t="shared" si="168"/>
        <v>0</v>
      </c>
      <c r="I1108" s="262">
        <v>46000</v>
      </c>
      <c r="J1108" s="262" t="s">
        <v>502</v>
      </c>
      <c r="K1108" s="263">
        <v>42735</v>
      </c>
      <c r="L1108" s="253">
        <v>7038</v>
      </c>
      <c r="M1108" s="262" t="s">
        <v>513</v>
      </c>
      <c r="N1108" s="262"/>
      <c r="O1108" s="256"/>
      <c r="P1108" s="256"/>
    </row>
    <row r="1109" spans="1:16" ht="15.75" hidden="1" outlineLevel="2" x14ac:dyDescent="0.25">
      <c r="A1109" s="325">
        <v>42917</v>
      </c>
      <c r="B1109" s="273">
        <v>2017</v>
      </c>
      <c r="C1109" s="268" t="s">
        <v>398</v>
      </c>
      <c r="D1109" s="274" t="s">
        <v>393</v>
      </c>
      <c r="E1109" s="264"/>
      <c r="F1109" s="270"/>
      <c r="G1109" s="265"/>
      <c r="H1109" s="217">
        <f t="shared" si="168"/>
        <v>0</v>
      </c>
      <c r="I1109" s="262">
        <v>46000</v>
      </c>
      <c r="J1109" s="262" t="s">
        <v>502</v>
      </c>
      <c r="K1109" s="263">
        <v>42735</v>
      </c>
      <c r="L1109" s="253">
        <v>7038</v>
      </c>
      <c r="M1109" s="262" t="s">
        <v>513</v>
      </c>
      <c r="N1109" s="262"/>
      <c r="O1109" s="256"/>
      <c r="P1109" s="256"/>
    </row>
    <row r="1110" spans="1:16" ht="15.75" hidden="1" outlineLevel="2" x14ac:dyDescent="0.25">
      <c r="A1110" s="325">
        <v>42917</v>
      </c>
      <c r="B1110" s="273">
        <v>2017</v>
      </c>
      <c r="C1110" s="268" t="s">
        <v>398</v>
      </c>
      <c r="D1110" s="272" t="s">
        <v>516</v>
      </c>
      <c r="E1110" s="264"/>
      <c r="F1110" s="270"/>
      <c r="G1110" s="265"/>
      <c r="H1110" s="217" t="e">
        <f t="shared" si="168"/>
        <v>#N/A</v>
      </c>
      <c r="I1110" s="262"/>
      <c r="J1110" s="262" t="s">
        <v>502</v>
      </c>
      <c r="K1110" s="262"/>
      <c r="L1110" s="253">
        <v>7038</v>
      </c>
      <c r="M1110" s="262"/>
      <c r="N1110" s="262"/>
      <c r="O1110" s="256"/>
      <c r="P1110" s="256"/>
    </row>
    <row r="1111" spans="1:16" ht="15.75" hidden="1" outlineLevel="2" x14ac:dyDescent="0.25">
      <c r="A1111" s="325">
        <v>42917</v>
      </c>
      <c r="B1111" s="273">
        <v>2017</v>
      </c>
      <c r="C1111" s="268" t="s">
        <v>398</v>
      </c>
      <c r="D1111" s="272" t="s">
        <v>517</v>
      </c>
      <c r="E1111" s="264"/>
      <c r="F1111" s="270"/>
      <c r="G1111" s="265"/>
      <c r="H1111" s="217" t="e">
        <f t="shared" si="168"/>
        <v>#N/A</v>
      </c>
      <c r="I1111" s="262"/>
      <c r="J1111" s="262" t="s">
        <v>502</v>
      </c>
      <c r="K1111" s="262"/>
      <c r="L1111" s="253">
        <v>7038</v>
      </c>
      <c r="M1111" s="262"/>
      <c r="N1111" s="262"/>
      <c r="O1111" s="256"/>
      <c r="P1111" s="256"/>
    </row>
    <row r="1112" spans="1:16" ht="15.75" hidden="1" outlineLevel="2" x14ac:dyDescent="0.25">
      <c r="A1112" s="325">
        <v>42917</v>
      </c>
      <c r="B1112" s="273">
        <v>2017</v>
      </c>
      <c r="C1112" s="268" t="s">
        <v>398</v>
      </c>
      <c r="D1112" s="272" t="s">
        <v>518</v>
      </c>
      <c r="E1112" s="264"/>
      <c r="F1112" s="270"/>
      <c r="G1112" s="265"/>
      <c r="H1112" s="217" t="e">
        <f t="shared" si="168"/>
        <v>#N/A</v>
      </c>
      <c r="I1112" s="262"/>
      <c r="J1112" s="262" t="s">
        <v>502</v>
      </c>
      <c r="K1112" s="262"/>
      <c r="L1112" s="253">
        <v>7038</v>
      </c>
      <c r="M1112" s="262"/>
      <c r="N1112" s="262"/>
      <c r="O1112" s="256"/>
      <c r="P1112" s="256"/>
    </row>
    <row r="1113" spans="1:16" ht="15.75" hidden="1" outlineLevel="2" x14ac:dyDescent="0.25">
      <c r="A1113" s="325">
        <v>42917</v>
      </c>
      <c r="B1113" s="273">
        <v>2017</v>
      </c>
      <c r="C1113" s="268" t="s">
        <v>398</v>
      </c>
      <c r="D1113" s="272" t="s">
        <v>519</v>
      </c>
      <c r="E1113" s="264"/>
      <c r="F1113" s="270"/>
      <c r="G1113" s="265"/>
      <c r="H1113" s="217" t="e">
        <f t="shared" si="168"/>
        <v>#N/A</v>
      </c>
      <c r="I1113" s="262"/>
      <c r="J1113" s="262" t="s">
        <v>502</v>
      </c>
      <c r="K1113" s="262"/>
      <c r="L1113" s="253">
        <v>7038</v>
      </c>
      <c r="M1113" s="262"/>
      <c r="N1113" s="262"/>
      <c r="O1113" s="256"/>
      <c r="P1113" s="256"/>
    </row>
    <row r="1114" spans="1:16" ht="15.75" hidden="1" outlineLevel="2" x14ac:dyDescent="0.25">
      <c r="A1114" s="325">
        <v>42917</v>
      </c>
      <c r="B1114" s="273">
        <v>2017</v>
      </c>
      <c r="C1114" s="268" t="s">
        <v>398</v>
      </c>
      <c r="D1114" s="272" t="s">
        <v>520</v>
      </c>
      <c r="E1114" s="264"/>
      <c r="F1114" s="270"/>
      <c r="G1114" s="265"/>
      <c r="H1114" s="217" t="e">
        <f t="shared" si="168"/>
        <v>#N/A</v>
      </c>
      <c r="I1114" s="262"/>
      <c r="J1114" s="262" t="s">
        <v>502</v>
      </c>
      <c r="K1114" s="262"/>
      <c r="L1114" s="253">
        <v>7038</v>
      </c>
      <c r="M1114" s="262"/>
      <c r="N1114" s="262"/>
      <c r="O1114" s="256"/>
      <c r="P1114" s="256"/>
    </row>
    <row r="1116" spans="1:16" ht="15.75" x14ac:dyDescent="0.25">
      <c r="A1116" s="324">
        <v>42948</v>
      </c>
      <c r="B1116" s="273">
        <v>2017</v>
      </c>
      <c r="C1116" s="245"/>
      <c r="D1116" s="246" t="s">
        <v>498</v>
      </c>
      <c r="E1116" s="246"/>
      <c r="F1116" s="247"/>
      <c r="G1116" s="247">
        <f>SUM(G1120:G1127)</f>
        <v>0</v>
      </c>
      <c r="H1116" s="217" t="e">
        <f t="shared" ref="H1116:H1149" si="172">VLOOKUP(D1116,$D$5:$E$359,2,FALSE)</f>
        <v>#N/A</v>
      </c>
      <c r="I1116" s="247"/>
      <c r="J1116" s="247"/>
      <c r="K1116" s="247"/>
      <c r="L1116" s="248"/>
      <c r="M1116" s="248"/>
      <c r="N1116" s="245"/>
      <c r="O1116" s="249"/>
      <c r="P1116" s="249"/>
    </row>
    <row r="1117" spans="1:16" ht="15.75" outlineLevel="1" x14ac:dyDescent="0.25">
      <c r="A1117" s="324">
        <v>42948</v>
      </c>
      <c r="B1117" s="273">
        <v>2017</v>
      </c>
      <c r="C1117" s="245"/>
      <c r="D1117" s="246" t="s">
        <v>499</v>
      </c>
      <c r="E1117" s="246"/>
      <c r="F1117" s="247">
        <f>SUM(F1128:F1135)</f>
        <v>0</v>
      </c>
      <c r="G1117" s="247"/>
      <c r="H1117" s="217" t="e">
        <f t="shared" si="172"/>
        <v>#N/A</v>
      </c>
      <c r="I1117" s="247">
        <f>SUM(I1128:I1135)</f>
        <v>0</v>
      </c>
      <c r="J1117" s="247"/>
      <c r="K1117" s="247"/>
      <c r="L1117" s="248"/>
      <c r="M1117" s="248"/>
      <c r="N1117" s="245"/>
      <c r="O1117" s="249"/>
      <c r="P1117" s="249"/>
    </row>
    <row r="1118" spans="1:16" ht="15.75" outlineLevel="1" x14ac:dyDescent="0.25">
      <c r="A1118" s="324">
        <v>42948</v>
      </c>
      <c r="B1118" s="273">
        <v>2017</v>
      </c>
      <c r="C1118" s="245"/>
      <c r="D1118" s="246" t="s">
        <v>500</v>
      </c>
      <c r="E1118" s="246"/>
      <c r="F1118" s="247">
        <f>SUM(F1136:F1141)</f>
        <v>0</v>
      </c>
      <c r="G1118" s="247"/>
      <c r="H1118" s="217" t="e">
        <f t="shared" si="172"/>
        <v>#N/A</v>
      </c>
      <c r="I1118" s="247"/>
      <c r="J1118" s="247"/>
      <c r="K1118" s="247"/>
      <c r="L1118" s="248"/>
      <c r="M1118" s="248"/>
      <c r="N1118" s="245"/>
      <c r="O1118" s="249"/>
      <c r="P1118" s="249"/>
    </row>
    <row r="1119" spans="1:16" ht="15.75" outlineLevel="1" x14ac:dyDescent="0.25">
      <c r="A1119" s="324">
        <v>42948</v>
      </c>
      <c r="B1119" s="273">
        <v>2017</v>
      </c>
      <c r="C1119" s="245"/>
      <c r="D1119" s="246" t="s">
        <v>501</v>
      </c>
      <c r="E1119" s="246"/>
      <c r="F1119" s="247"/>
      <c r="G1119" s="247"/>
      <c r="H1119" s="217" t="e">
        <f t="shared" si="172"/>
        <v>#N/A</v>
      </c>
      <c r="I1119" s="247">
        <f>SUM(I1142:I1149)</f>
        <v>92000</v>
      </c>
      <c r="J1119" s="247"/>
      <c r="K1119" s="247"/>
      <c r="L1119" s="248"/>
      <c r="M1119" s="248"/>
      <c r="N1119" s="245"/>
      <c r="O1119" s="250"/>
      <c r="P1119" s="250"/>
    </row>
    <row r="1120" spans="1:16" ht="15.75" outlineLevel="1" x14ac:dyDescent="0.25">
      <c r="A1120" s="324">
        <v>42948</v>
      </c>
      <c r="B1120" s="273">
        <v>2017</v>
      </c>
      <c r="C1120" s="251" t="s">
        <v>396</v>
      </c>
      <c r="D1120" s="213" t="s">
        <v>33</v>
      </c>
      <c r="E1120" s="252">
        <v>3000</v>
      </c>
      <c r="F1120" s="253"/>
      <c r="G1120" s="254">
        <f>F1120*E1120/1000</f>
        <v>0</v>
      </c>
      <c r="H1120" s="217">
        <f t="shared" si="172"/>
        <v>8.661999999999999</v>
      </c>
      <c r="I1120" s="254">
        <f>H1120*G1120</f>
        <v>0</v>
      </c>
      <c r="J1120" s="253" t="s">
        <v>502</v>
      </c>
      <c r="K1120" s="253"/>
      <c r="L1120" s="253">
        <v>1018</v>
      </c>
      <c r="M1120" s="253"/>
      <c r="N1120" s="253"/>
      <c r="O1120" s="256"/>
      <c r="P1120" s="256"/>
    </row>
    <row r="1121" spans="1:16" ht="15.75" outlineLevel="2" x14ac:dyDescent="0.25">
      <c r="A1121" s="324">
        <v>42948</v>
      </c>
      <c r="B1121" s="273">
        <v>2017</v>
      </c>
      <c r="C1121" s="251" t="s">
        <v>396</v>
      </c>
      <c r="D1121" s="213" t="s">
        <v>41</v>
      </c>
      <c r="E1121" s="252">
        <v>6000</v>
      </c>
      <c r="F1121" s="253"/>
      <c r="G1121" s="254">
        <f t="shared" ref="G1121:G1127" si="173">F1121*E1121/1000</f>
        <v>0</v>
      </c>
      <c r="H1121" s="217">
        <f t="shared" si="172"/>
        <v>0.65500000000000003</v>
      </c>
      <c r="I1121" s="254">
        <f t="shared" ref="I1121:I1127" si="174">H1121*G1121</f>
        <v>0</v>
      </c>
      <c r="J1121" s="253" t="s">
        <v>502</v>
      </c>
      <c r="K1121" s="255">
        <v>42726</v>
      </c>
      <c r="L1121" s="253">
        <v>1018</v>
      </c>
      <c r="M1121" s="253" t="s">
        <v>503</v>
      </c>
      <c r="N1121" s="253" t="s">
        <v>512</v>
      </c>
      <c r="O1121" s="256"/>
      <c r="P1121" s="256"/>
    </row>
    <row r="1122" spans="1:16" ht="15.75" outlineLevel="2" x14ac:dyDescent="0.25">
      <c r="A1122" s="324">
        <v>42948</v>
      </c>
      <c r="B1122" s="273">
        <v>2017</v>
      </c>
      <c r="C1122" s="251" t="s">
        <v>396</v>
      </c>
      <c r="D1122" s="213" t="s">
        <v>42</v>
      </c>
      <c r="E1122" s="252">
        <v>6000</v>
      </c>
      <c r="F1122" s="253"/>
      <c r="G1122" s="254">
        <f t="shared" si="173"/>
        <v>0</v>
      </c>
      <c r="H1122" s="217">
        <f t="shared" si="172"/>
        <v>0.82199999999999995</v>
      </c>
      <c r="I1122" s="254">
        <f t="shared" si="174"/>
        <v>0</v>
      </c>
      <c r="J1122" s="253" t="s">
        <v>502</v>
      </c>
      <c r="K1122" s="255">
        <v>42726</v>
      </c>
      <c r="L1122" s="253">
        <v>1018</v>
      </c>
      <c r="M1122" s="253" t="s">
        <v>503</v>
      </c>
      <c r="N1122" s="253"/>
      <c r="O1122" s="256"/>
      <c r="P1122" s="256"/>
    </row>
    <row r="1123" spans="1:16" ht="15.75" outlineLevel="2" x14ac:dyDescent="0.25">
      <c r="A1123" s="324">
        <v>42948</v>
      </c>
      <c r="B1123" s="273">
        <v>2017</v>
      </c>
      <c r="C1123" s="251" t="s">
        <v>396</v>
      </c>
      <c r="D1123" s="213" t="s">
        <v>39</v>
      </c>
      <c r="E1123" s="252">
        <v>6000</v>
      </c>
      <c r="F1123" s="253"/>
      <c r="G1123" s="254">
        <f t="shared" si="173"/>
        <v>0</v>
      </c>
      <c r="H1123" s="217">
        <f t="shared" si="172"/>
        <v>0.38</v>
      </c>
      <c r="I1123" s="254">
        <f t="shared" si="174"/>
        <v>0</v>
      </c>
      <c r="J1123" s="253" t="s">
        <v>502</v>
      </c>
      <c r="K1123" s="255">
        <v>42726</v>
      </c>
      <c r="L1123" s="253">
        <v>1018</v>
      </c>
      <c r="M1123" s="253" t="s">
        <v>503</v>
      </c>
      <c r="N1123" s="253"/>
      <c r="O1123" s="256"/>
      <c r="P1123" s="256"/>
    </row>
    <row r="1124" spans="1:16" ht="15.75" outlineLevel="2" x14ac:dyDescent="0.25">
      <c r="A1124" s="324">
        <v>42948</v>
      </c>
      <c r="B1124" s="273">
        <v>2017</v>
      </c>
      <c r="C1124" s="251" t="s">
        <v>396</v>
      </c>
      <c r="D1124" s="213" t="s">
        <v>50</v>
      </c>
      <c r="E1124" s="252">
        <v>6000</v>
      </c>
      <c r="F1124" s="253"/>
      <c r="G1124" s="254">
        <f t="shared" si="173"/>
        <v>0</v>
      </c>
      <c r="H1124" s="217">
        <f t="shared" si="172"/>
        <v>0.53100000000000003</v>
      </c>
      <c r="I1124" s="254">
        <f t="shared" si="174"/>
        <v>0</v>
      </c>
      <c r="J1124" s="253" t="s">
        <v>502</v>
      </c>
      <c r="K1124" s="255">
        <v>42726</v>
      </c>
      <c r="L1124" s="253">
        <v>1018</v>
      </c>
      <c r="M1124" s="253" t="s">
        <v>503</v>
      </c>
      <c r="N1124" s="253"/>
      <c r="O1124" s="256"/>
      <c r="P1124" s="256"/>
    </row>
    <row r="1125" spans="1:16" ht="15.75" outlineLevel="2" x14ac:dyDescent="0.25">
      <c r="A1125" s="324">
        <v>42948</v>
      </c>
      <c r="B1125" s="273">
        <v>2017</v>
      </c>
      <c r="C1125" s="251" t="s">
        <v>396</v>
      </c>
      <c r="D1125" s="213" t="s">
        <v>44</v>
      </c>
      <c r="E1125" s="252">
        <v>6000</v>
      </c>
      <c r="F1125" s="253"/>
      <c r="G1125" s="254">
        <f t="shared" si="173"/>
        <v>0</v>
      </c>
      <c r="H1125" s="217">
        <f t="shared" si="172"/>
        <v>1.1789999999999998</v>
      </c>
      <c r="I1125" s="254">
        <f t="shared" si="174"/>
        <v>0</v>
      </c>
      <c r="J1125" s="253" t="s">
        <v>502</v>
      </c>
      <c r="K1125" s="255">
        <v>42726</v>
      </c>
      <c r="L1125" s="253">
        <v>1018</v>
      </c>
      <c r="M1125" s="253" t="s">
        <v>503</v>
      </c>
      <c r="N1125" s="253" t="s">
        <v>512</v>
      </c>
      <c r="O1125" s="256"/>
      <c r="P1125" s="256"/>
    </row>
    <row r="1126" spans="1:16" ht="15.75" outlineLevel="2" x14ac:dyDescent="0.25">
      <c r="A1126" s="324">
        <v>42948</v>
      </c>
      <c r="B1126" s="273"/>
      <c r="C1126" s="251"/>
      <c r="D1126" s="213"/>
      <c r="E1126" s="252"/>
      <c r="F1126" s="253"/>
      <c r="G1126" s="254">
        <f t="shared" si="173"/>
        <v>0</v>
      </c>
      <c r="H1126" s="217" t="e">
        <f t="shared" si="172"/>
        <v>#N/A</v>
      </c>
      <c r="I1126" s="254" t="e">
        <f t="shared" si="174"/>
        <v>#N/A</v>
      </c>
      <c r="J1126" s="253"/>
      <c r="K1126" s="255"/>
      <c r="L1126" s="253"/>
      <c r="M1126" s="253"/>
      <c r="N1126" s="253"/>
      <c r="O1126" s="256"/>
      <c r="P1126" s="256"/>
    </row>
    <row r="1127" spans="1:16" ht="15.75" outlineLevel="2" x14ac:dyDescent="0.25">
      <c r="A1127" s="324">
        <v>42948</v>
      </c>
      <c r="B1127" s="273">
        <v>2017</v>
      </c>
      <c r="C1127" s="251" t="s">
        <v>396</v>
      </c>
      <c r="D1127" s="213" t="s">
        <v>36</v>
      </c>
      <c r="E1127" s="220">
        <v>4444</v>
      </c>
      <c r="F1127" s="253"/>
      <c r="G1127" s="254">
        <f t="shared" si="173"/>
        <v>0</v>
      </c>
      <c r="H1127" s="217">
        <f t="shared" si="172"/>
        <v>0.4</v>
      </c>
      <c r="I1127" s="254">
        <f t="shared" si="174"/>
        <v>0</v>
      </c>
      <c r="J1127" s="253"/>
      <c r="K1127" s="253"/>
      <c r="L1127" s="253"/>
      <c r="M1127" s="253"/>
      <c r="N1127" s="253"/>
      <c r="O1127" s="256"/>
      <c r="P1127" s="256"/>
    </row>
    <row r="1128" spans="1:16" ht="15.75" outlineLevel="1" x14ac:dyDescent="0.25">
      <c r="A1128" s="324">
        <v>42948</v>
      </c>
      <c r="B1128" s="273">
        <v>2017</v>
      </c>
      <c r="C1128" s="257" t="s">
        <v>397</v>
      </c>
      <c r="D1128" s="258" t="s">
        <v>383</v>
      </c>
      <c r="E1128" s="223"/>
      <c r="F1128" s="253"/>
      <c r="G1128" s="259"/>
      <c r="H1128" s="217">
        <f t="shared" si="172"/>
        <v>8.2810000000000006</v>
      </c>
      <c r="I1128" s="254">
        <f>H1128*F1128</f>
        <v>0</v>
      </c>
      <c r="J1128" s="253" t="s">
        <v>502</v>
      </c>
      <c r="K1128" s="253"/>
      <c r="L1128" s="253"/>
      <c r="M1128" s="253"/>
      <c r="N1128" s="253"/>
      <c r="O1128" s="256"/>
      <c r="P1128" s="256"/>
    </row>
    <row r="1129" spans="1:16" ht="15.75" outlineLevel="2" x14ac:dyDescent="0.25">
      <c r="A1129" s="324">
        <v>42948</v>
      </c>
      <c r="B1129" s="273">
        <v>2017</v>
      </c>
      <c r="C1129" s="257" t="s">
        <v>397</v>
      </c>
      <c r="D1129" s="258" t="s">
        <v>386</v>
      </c>
      <c r="E1129" s="224"/>
      <c r="F1129" s="253"/>
      <c r="G1129" s="259"/>
      <c r="H1129" s="217">
        <f t="shared" si="172"/>
        <v>11.587999999999999</v>
      </c>
      <c r="I1129" s="254">
        <f t="shared" ref="I1129:I1141" si="175">H1129*F1129</f>
        <v>0</v>
      </c>
      <c r="J1129" s="253" t="s">
        <v>502</v>
      </c>
      <c r="K1129" s="253"/>
      <c r="L1129" s="253"/>
      <c r="M1129" s="253"/>
      <c r="N1129" s="253"/>
      <c r="O1129" s="256"/>
      <c r="P1129" s="256"/>
    </row>
    <row r="1130" spans="1:16" ht="15.75" outlineLevel="2" x14ac:dyDescent="0.25">
      <c r="A1130" s="324">
        <v>42948</v>
      </c>
      <c r="B1130" s="273">
        <v>2017</v>
      </c>
      <c r="C1130" s="257" t="s">
        <v>397</v>
      </c>
      <c r="D1130" s="258" t="s">
        <v>382</v>
      </c>
      <c r="E1130" s="260"/>
      <c r="F1130" s="253"/>
      <c r="G1130" s="259"/>
      <c r="H1130" s="217">
        <f t="shared" si="172"/>
        <v>7.4539999999999997</v>
      </c>
      <c r="I1130" s="254">
        <f t="shared" si="175"/>
        <v>0</v>
      </c>
      <c r="J1130" s="253"/>
      <c r="K1130" s="253"/>
      <c r="L1130" s="253"/>
      <c r="M1130" s="253"/>
      <c r="N1130" s="253"/>
      <c r="O1130" s="256"/>
      <c r="P1130" s="256"/>
    </row>
    <row r="1131" spans="1:16" ht="15.75" outlineLevel="2" x14ac:dyDescent="0.25">
      <c r="A1131" s="324">
        <v>42948</v>
      </c>
      <c r="B1131" s="273">
        <v>2017</v>
      </c>
      <c r="C1131" s="257" t="s">
        <v>397</v>
      </c>
      <c r="D1131" s="258" t="s">
        <v>230</v>
      </c>
      <c r="E1131" s="260"/>
      <c r="F1131" s="253"/>
      <c r="G1131" s="259"/>
      <c r="H1131" s="217">
        <f t="shared" si="172"/>
        <v>5.0110000000000001</v>
      </c>
      <c r="I1131" s="254">
        <f t="shared" si="175"/>
        <v>0</v>
      </c>
      <c r="J1131" s="253"/>
      <c r="K1131" s="253"/>
      <c r="L1131" s="253"/>
      <c r="M1131" s="253"/>
      <c r="N1131" s="253"/>
      <c r="O1131" s="256"/>
      <c r="P1131" s="256"/>
    </row>
    <row r="1132" spans="1:16" ht="15.75" outlineLevel="2" x14ac:dyDescent="0.25">
      <c r="A1132" s="324">
        <v>42948</v>
      </c>
      <c r="B1132" s="273">
        <v>2017</v>
      </c>
      <c r="C1132" s="257" t="s">
        <v>397</v>
      </c>
      <c r="D1132" s="258" t="s">
        <v>382</v>
      </c>
      <c r="E1132" s="261"/>
      <c r="F1132" s="253"/>
      <c r="G1132" s="259"/>
      <c r="H1132" s="217">
        <f t="shared" si="172"/>
        <v>7.4539999999999997</v>
      </c>
      <c r="I1132" s="254">
        <f t="shared" si="175"/>
        <v>0</v>
      </c>
      <c r="J1132" s="253"/>
      <c r="K1132" s="253"/>
      <c r="L1132" s="253"/>
      <c r="M1132" s="253"/>
      <c r="N1132" s="253"/>
      <c r="O1132" s="256"/>
      <c r="P1132" s="256"/>
    </row>
    <row r="1133" spans="1:16" ht="15.75" outlineLevel="2" x14ac:dyDescent="0.25">
      <c r="A1133" s="324">
        <v>42948</v>
      </c>
      <c r="B1133" s="273">
        <v>2017</v>
      </c>
      <c r="C1133" s="257" t="s">
        <v>397</v>
      </c>
      <c r="D1133" s="258" t="s">
        <v>382</v>
      </c>
      <c r="E1133" s="261"/>
      <c r="F1133" s="253"/>
      <c r="G1133" s="259"/>
      <c r="H1133" s="217">
        <f t="shared" si="172"/>
        <v>7.4539999999999997</v>
      </c>
      <c r="I1133" s="254">
        <f t="shared" si="175"/>
        <v>0</v>
      </c>
      <c r="J1133" s="262"/>
      <c r="K1133" s="262"/>
      <c r="L1133" s="262"/>
      <c r="M1133" s="262"/>
      <c r="N1133" s="262"/>
      <c r="O1133" s="256"/>
      <c r="P1133" s="256"/>
    </row>
    <row r="1134" spans="1:16" ht="15.75" outlineLevel="2" x14ac:dyDescent="0.25">
      <c r="A1134" s="324">
        <v>42948</v>
      </c>
      <c r="B1134" s="273">
        <v>2017</v>
      </c>
      <c r="C1134" s="257" t="s">
        <v>397</v>
      </c>
      <c r="D1134" s="258" t="s">
        <v>317</v>
      </c>
      <c r="E1134" s="259"/>
      <c r="F1134" s="253"/>
      <c r="G1134" s="259"/>
      <c r="H1134" s="217">
        <f t="shared" si="172"/>
        <v>2.7959999999999998</v>
      </c>
      <c r="I1134" s="254">
        <f t="shared" si="175"/>
        <v>0</v>
      </c>
      <c r="J1134" s="253" t="s">
        <v>502</v>
      </c>
      <c r="K1134" s="253"/>
      <c r="L1134" s="253">
        <v>7038</v>
      </c>
      <c r="M1134" s="253"/>
      <c r="N1134" s="253"/>
      <c r="O1134" s="256"/>
      <c r="P1134" s="256"/>
    </row>
    <row r="1135" spans="1:16" ht="15.75" outlineLevel="2" x14ac:dyDescent="0.25">
      <c r="A1135" s="324">
        <v>42948</v>
      </c>
      <c r="B1135" s="273">
        <v>2017</v>
      </c>
      <c r="C1135" s="257" t="s">
        <v>397</v>
      </c>
      <c r="D1135" s="258" t="s">
        <v>447</v>
      </c>
      <c r="E1135" s="264"/>
      <c r="F1135" s="253"/>
      <c r="G1135" s="265"/>
      <c r="H1135" s="217">
        <f t="shared" si="172"/>
        <v>1.738</v>
      </c>
      <c r="I1135" s="254">
        <f t="shared" si="175"/>
        <v>0</v>
      </c>
      <c r="J1135" s="262"/>
      <c r="K1135" s="262"/>
      <c r="L1135" s="253"/>
      <c r="M1135" s="262"/>
      <c r="N1135" s="262"/>
      <c r="O1135" s="256"/>
      <c r="P1135" s="256"/>
    </row>
    <row r="1136" spans="1:16" ht="15.75" outlineLevel="1" x14ac:dyDescent="0.25">
      <c r="A1136" s="324">
        <v>42948</v>
      </c>
      <c r="B1136" s="273">
        <v>2017</v>
      </c>
      <c r="C1136" s="266" t="s">
        <v>391</v>
      </c>
      <c r="D1136" s="267" t="s">
        <v>373</v>
      </c>
      <c r="E1136" s="264"/>
      <c r="F1136" s="253"/>
      <c r="G1136" s="265"/>
      <c r="H1136" s="217">
        <f t="shared" si="172"/>
        <v>0</v>
      </c>
      <c r="I1136" s="254">
        <f t="shared" si="175"/>
        <v>0</v>
      </c>
      <c r="J1136" s="262" t="s">
        <v>502</v>
      </c>
      <c r="K1136" s="262"/>
      <c r="L1136" s="253">
        <v>7038</v>
      </c>
      <c r="M1136" s="262"/>
      <c r="N1136" s="262"/>
      <c r="O1136" s="256"/>
      <c r="P1136" s="256"/>
    </row>
    <row r="1137" spans="1:16" ht="15.75" outlineLevel="2" x14ac:dyDescent="0.25">
      <c r="A1137" s="324">
        <v>42948</v>
      </c>
      <c r="B1137" s="273">
        <v>2017</v>
      </c>
      <c r="C1137" s="266" t="s">
        <v>391</v>
      </c>
      <c r="D1137" s="267" t="s">
        <v>374</v>
      </c>
      <c r="E1137" s="264"/>
      <c r="F1137" s="253"/>
      <c r="G1137" s="265"/>
      <c r="H1137" s="217">
        <f t="shared" si="172"/>
        <v>0</v>
      </c>
      <c r="I1137" s="254">
        <f t="shared" si="175"/>
        <v>0</v>
      </c>
      <c r="J1137" s="262" t="s">
        <v>502</v>
      </c>
      <c r="K1137" s="255"/>
      <c r="L1137" s="253">
        <v>7038</v>
      </c>
      <c r="M1137" s="253"/>
      <c r="N1137" s="253"/>
      <c r="O1137" s="256"/>
      <c r="P1137" s="256"/>
    </row>
    <row r="1138" spans="1:16" ht="15.75" outlineLevel="2" x14ac:dyDescent="0.25">
      <c r="A1138" s="324">
        <v>42948</v>
      </c>
      <c r="B1138" s="273">
        <v>2017</v>
      </c>
      <c r="C1138" s="266" t="s">
        <v>391</v>
      </c>
      <c r="D1138" s="267" t="s">
        <v>375</v>
      </c>
      <c r="E1138" s="264"/>
      <c r="F1138" s="253"/>
      <c r="G1138" s="265"/>
      <c r="H1138" s="217">
        <f t="shared" si="172"/>
        <v>0</v>
      </c>
      <c r="I1138" s="254">
        <f t="shared" si="175"/>
        <v>0</v>
      </c>
      <c r="J1138" s="262" t="s">
        <v>502</v>
      </c>
      <c r="K1138" s="255"/>
      <c r="L1138" s="253">
        <v>7038</v>
      </c>
      <c r="M1138" s="253"/>
      <c r="N1138" s="253"/>
      <c r="O1138" s="256"/>
      <c r="P1138" s="256"/>
    </row>
    <row r="1139" spans="1:16" ht="15.75" outlineLevel="2" x14ac:dyDescent="0.25">
      <c r="A1139" s="324">
        <v>42948</v>
      </c>
      <c r="B1139" s="273">
        <v>2017</v>
      </c>
      <c r="C1139" s="266" t="s">
        <v>391</v>
      </c>
      <c r="D1139" s="267" t="s">
        <v>376</v>
      </c>
      <c r="E1139" s="264"/>
      <c r="F1139" s="253"/>
      <c r="G1139" s="265"/>
      <c r="H1139" s="217">
        <f t="shared" si="172"/>
        <v>0</v>
      </c>
      <c r="I1139" s="254">
        <f t="shared" si="175"/>
        <v>0</v>
      </c>
      <c r="J1139" s="262" t="s">
        <v>502</v>
      </c>
      <c r="K1139" s="262"/>
      <c r="L1139" s="253">
        <v>7038</v>
      </c>
      <c r="M1139" s="262"/>
      <c r="N1139" s="262"/>
      <c r="O1139" s="256"/>
      <c r="P1139" s="256"/>
    </row>
    <row r="1140" spans="1:16" ht="15.75" outlineLevel="2" x14ac:dyDescent="0.25">
      <c r="A1140" s="324">
        <v>42948</v>
      </c>
      <c r="B1140" s="273">
        <v>2017</v>
      </c>
      <c r="C1140" s="266" t="s">
        <v>391</v>
      </c>
      <c r="D1140" s="267" t="s">
        <v>394</v>
      </c>
      <c r="E1140" s="264"/>
      <c r="F1140" s="253"/>
      <c r="G1140" s="265"/>
      <c r="H1140" s="217">
        <f t="shared" si="172"/>
        <v>0</v>
      </c>
      <c r="I1140" s="254">
        <f t="shared" si="175"/>
        <v>0</v>
      </c>
      <c r="J1140" s="262" t="s">
        <v>502</v>
      </c>
      <c r="K1140" s="263">
        <v>42726</v>
      </c>
      <c r="L1140" s="253">
        <v>1018</v>
      </c>
      <c r="M1140" s="262" t="s">
        <v>503</v>
      </c>
      <c r="N1140" s="262"/>
      <c r="O1140" s="256"/>
      <c r="P1140" s="256"/>
    </row>
    <row r="1141" spans="1:16" ht="15.75" outlineLevel="2" x14ac:dyDescent="0.25">
      <c r="A1141" s="324">
        <v>42948</v>
      </c>
      <c r="B1141" s="273">
        <v>2017</v>
      </c>
      <c r="C1141" s="266" t="s">
        <v>391</v>
      </c>
      <c r="D1141" s="267" t="s">
        <v>453</v>
      </c>
      <c r="E1141" s="264"/>
      <c r="F1141" s="253"/>
      <c r="G1141" s="265"/>
      <c r="H1141" s="217">
        <f t="shared" si="172"/>
        <v>0</v>
      </c>
      <c r="I1141" s="254">
        <f t="shared" si="175"/>
        <v>0</v>
      </c>
      <c r="J1141" s="262"/>
      <c r="K1141" s="262"/>
      <c r="L1141" s="253"/>
      <c r="M1141" s="262"/>
      <c r="N1141" s="262"/>
      <c r="O1141" s="256"/>
      <c r="P1141" s="256"/>
    </row>
    <row r="1142" spans="1:16" ht="15.75" outlineLevel="1" x14ac:dyDescent="0.25">
      <c r="A1142" s="324">
        <v>42948</v>
      </c>
      <c r="B1142" s="273">
        <v>2017</v>
      </c>
      <c r="C1142" s="268" t="s">
        <v>398</v>
      </c>
      <c r="D1142" s="274" t="s">
        <v>393</v>
      </c>
      <c r="E1142" s="264"/>
      <c r="F1142" s="270"/>
      <c r="G1142" s="265"/>
      <c r="H1142" s="217">
        <f t="shared" si="172"/>
        <v>0</v>
      </c>
      <c r="I1142" s="262"/>
      <c r="J1142" s="262" t="s">
        <v>502</v>
      </c>
      <c r="K1142" s="262"/>
      <c r="L1142" s="253">
        <v>7038</v>
      </c>
      <c r="M1142" s="262"/>
      <c r="N1142" s="262"/>
      <c r="O1142" s="256"/>
      <c r="P1142" s="256"/>
    </row>
    <row r="1143" spans="1:16" ht="15.75" outlineLevel="2" x14ac:dyDescent="0.25">
      <c r="A1143" s="324">
        <v>42948</v>
      </c>
      <c r="B1143" s="273">
        <v>2017</v>
      </c>
      <c r="C1143" s="268" t="s">
        <v>398</v>
      </c>
      <c r="D1143" s="274" t="s">
        <v>393</v>
      </c>
      <c r="E1143" s="264"/>
      <c r="F1143" s="270"/>
      <c r="G1143" s="265"/>
      <c r="H1143" s="217">
        <f t="shared" si="172"/>
        <v>0</v>
      </c>
      <c r="I1143" s="262">
        <v>46000</v>
      </c>
      <c r="J1143" s="262" t="s">
        <v>502</v>
      </c>
      <c r="K1143" s="263">
        <v>42735</v>
      </c>
      <c r="L1143" s="253">
        <v>7038</v>
      </c>
      <c r="M1143" s="262" t="s">
        <v>513</v>
      </c>
      <c r="N1143" s="262"/>
      <c r="O1143" s="256"/>
      <c r="P1143" s="256"/>
    </row>
    <row r="1144" spans="1:16" ht="15.75" outlineLevel="2" x14ac:dyDescent="0.25">
      <c r="A1144" s="324">
        <v>42948</v>
      </c>
      <c r="B1144" s="273">
        <v>2017</v>
      </c>
      <c r="C1144" s="268" t="s">
        <v>398</v>
      </c>
      <c r="D1144" s="274" t="s">
        <v>393</v>
      </c>
      <c r="E1144" s="264"/>
      <c r="F1144" s="270"/>
      <c r="G1144" s="265"/>
      <c r="H1144" s="217">
        <f t="shared" si="172"/>
        <v>0</v>
      </c>
      <c r="I1144" s="262">
        <v>46000</v>
      </c>
      <c r="J1144" s="262" t="s">
        <v>502</v>
      </c>
      <c r="K1144" s="263">
        <v>42735</v>
      </c>
      <c r="L1144" s="253">
        <v>7038</v>
      </c>
      <c r="M1144" s="262" t="s">
        <v>513</v>
      </c>
      <c r="N1144" s="262"/>
      <c r="O1144" s="256"/>
      <c r="P1144" s="256"/>
    </row>
    <row r="1145" spans="1:16" ht="15.75" outlineLevel="2" x14ac:dyDescent="0.25">
      <c r="A1145" s="324">
        <v>42948</v>
      </c>
      <c r="B1145" s="273">
        <v>2017</v>
      </c>
      <c r="C1145" s="268" t="s">
        <v>398</v>
      </c>
      <c r="D1145" s="272" t="s">
        <v>516</v>
      </c>
      <c r="E1145" s="264"/>
      <c r="F1145" s="270"/>
      <c r="G1145" s="265"/>
      <c r="H1145" s="217" t="e">
        <f t="shared" si="172"/>
        <v>#N/A</v>
      </c>
      <c r="I1145" s="262"/>
      <c r="J1145" s="262" t="s">
        <v>502</v>
      </c>
      <c r="K1145" s="262"/>
      <c r="L1145" s="253">
        <v>7038</v>
      </c>
      <c r="M1145" s="262"/>
      <c r="N1145" s="262"/>
      <c r="O1145" s="256"/>
      <c r="P1145" s="256"/>
    </row>
    <row r="1146" spans="1:16" ht="15.75" outlineLevel="2" x14ac:dyDescent="0.25">
      <c r="A1146" s="324">
        <v>42948</v>
      </c>
      <c r="B1146" s="273">
        <v>2017</v>
      </c>
      <c r="C1146" s="268" t="s">
        <v>398</v>
      </c>
      <c r="D1146" s="272" t="s">
        <v>517</v>
      </c>
      <c r="E1146" s="264"/>
      <c r="F1146" s="270"/>
      <c r="G1146" s="265"/>
      <c r="H1146" s="217" t="e">
        <f t="shared" si="172"/>
        <v>#N/A</v>
      </c>
      <c r="I1146" s="262"/>
      <c r="J1146" s="262" t="s">
        <v>502</v>
      </c>
      <c r="K1146" s="262"/>
      <c r="L1146" s="253">
        <v>7038</v>
      </c>
      <c r="M1146" s="262"/>
      <c r="N1146" s="262"/>
      <c r="O1146" s="256"/>
      <c r="P1146" s="256"/>
    </row>
    <row r="1147" spans="1:16" ht="15.75" outlineLevel="2" x14ac:dyDescent="0.25">
      <c r="A1147" s="324">
        <v>42948</v>
      </c>
      <c r="B1147" s="273">
        <v>2017</v>
      </c>
      <c r="C1147" s="268" t="s">
        <v>398</v>
      </c>
      <c r="D1147" s="272" t="s">
        <v>518</v>
      </c>
      <c r="E1147" s="264"/>
      <c r="F1147" s="270"/>
      <c r="G1147" s="265"/>
      <c r="H1147" s="217" t="e">
        <f t="shared" si="172"/>
        <v>#N/A</v>
      </c>
      <c r="I1147" s="262"/>
      <c r="J1147" s="262" t="s">
        <v>502</v>
      </c>
      <c r="K1147" s="262"/>
      <c r="L1147" s="253">
        <v>7038</v>
      </c>
      <c r="M1147" s="262"/>
      <c r="N1147" s="262"/>
      <c r="O1147" s="256"/>
      <c r="P1147" s="256"/>
    </row>
    <row r="1148" spans="1:16" ht="15.75" outlineLevel="2" x14ac:dyDescent="0.25">
      <c r="A1148" s="324">
        <v>42948</v>
      </c>
      <c r="B1148" s="273">
        <v>2017</v>
      </c>
      <c r="C1148" s="268" t="s">
        <v>398</v>
      </c>
      <c r="D1148" s="272" t="s">
        <v>519</v>
      </c>
      <c r="E1148" s="264"/>
      <c r="F1148" s="270"/>
      <c r="G1148" s="265"/>
      <c r="H1148" s="217" t="e">
        <f t="shared" si="172"/>
        <v>#N/A</v>
      </c>
      <c r="I1148" s="262"/>
      <c r="J1148" s="262" t="s">
        <v>502</v>
      </c>
      <c r="K1148" s="262"/>
      <c r="L1148" s="253">
        <v>7038</v>
      </c>
      <c r="M1148" s="262"/>
      <c r="N1148" s="262"/>
      <c r="O1148" s="256"/>
      <c r="P1148" s="256"/>
    </row>
    <row r="1149" spans="1:16" ht="15.75" outlineLevel="2" x14ac:dyDescent="0.25">
      <c r="A1149" s="324">
        <v>42948</v>
      </c>
      <c r="B1149" s="273">
        <v>2017</v>
      </c>
      <c r="C1149" s="268" t="s">
        <v>398</v>
      </c>
      <c r="D1149" s="272" t="s">
        <v>520</v>
      </c>
      <c r="E1149" s="264"/>
      <c r="F1149" s="270"/>
      <c r="G1149" s="265"/>
      <c r="H1149" s="217" t="e">
        <f t="shared" si="172"/>
        <v>#N/A</v>
      </c>
      <c r="I1149" s="262"/>
      <c r="J1149" s="262" t="s">
        <v>502</v>
      </c>
      <c r="K1149" s="262"/>
      <c r="L1149" s="253">
        <v>7038</v>
      </c>
      <c r="M1149" s="262"/>
      <c r="N1149" s="262"/>
      <c r="O1149" s="256"/>
      <c r="P1149" s="256"/>
    </row>
  </sheetData>
  <sheetProtection sort="0" autoFilter="0"/>
  <autoFilter ref="A367:Q1114">
    <filterColumn colId="0">
      <filters>
        <dateGroupItem year="2016" month="8" dateTimeGrouping="month"/>
        <dateGroupItem year="2016" month="9" dateTimeGrouping="month"/>
      </filters>
    </filterColumn>
    <filterColumn colId="1">
      <filters>
        <filter val="2016"/>
      </filters>
    </filterColumn>
  </autoFilter>
  <mergeCells count="17">
    <mergeCell ref="N365:N366"/>
    <mergeCell ref="O365:O366"/>
    <mergeCell ref="A365:A366"/>
    <mergeCell ref="B365:B366"/>
    <mergeCell ref="P365:P366"/>
    <mergeCell ref="K365:K366"/>
    <mergeCell ref="L365:L366"/>
    <mergeCell ref="M365:M366"/>
    <mergeCell ref="I362:J362"/>
    <mergeCell ref="I363:J363"/>
    <mergeCell ref="I364:J364"/>
    <mergeCell ref="C365:C366"/>
    <mergeCell ref="D365:D366"/>
    <mergeCell ref="E365:E366"/>
    <mergeCell ref="F365:G365"/>
    <mergeCell ref="H365:I365"/>
    <mergeCell ref="J365:J366"/>
  </mergeCells>
  <conditionalFormatting sqref="F1:Q1">
    <cfRule type="cellIs" dxfId="3" priority="1" operator="lessThan">
      <formula>$B$1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4" r:id="rId4" name="Button 516">
              <controlPr defaultSize="0" print="0" autoFill="0" autoPict="0" macro="[0]!dd">
                <anchor moveWithCells="1" sizeWithCells="1">
                  <from>
                    <xdr:col>3</xdr:col>
                    <xdr:colOff>3648075</xdr:colOff>
                    <xdr:row>361</xdr:row>
                    <xdr:rowOff>9525</xdr:rowOff>
                  </from>
                  <to>
                    <xdr:col>5</xdr:col>
                    <xdr:colOff>723900</xdr:colOff>
                    <xdr:row>363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[3]СВОД!#REF!</xm:f>
          </x14:formula1>
          <xm:sqref>J372:J493 J1120:J1149 J610:J666 J498:J605 J732:J775 J781:J819 J825:J866 J872:J915 J921:J961 J967:J1007 J1085:J1114 J1052:J1080 J1013:J1047 J672:J726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filterMode="1">
    <tabColor rgb="FF92D050"/>
  </sheetPr>
  <dimension ref="A1:T1292"/>
  <sheetViews>
    <sheetView topLeftCell="C1" zoomScale="70" zoomScaleNormal="70" workbookViewId="0">
      <pane ySplit="5" topLeftCell="A1255" activePane="bottomLeft" state="frozen"/>
      <selection pane="bottomLeft" activeCell="M1270" sqref="M1270"/>
    </sheetView>
  </sheetViews>
  <sheetFormatPr defaultRowHeight="15" x14ac:dyDescent="0.25"/>
  <cols>
    <col min="1" max="1" width="11.28515625" style="27" customWidth="1"/>
    <col min="2" max="2" width="38.140625" customWidth="1"/>
    <col min="3" max="3" width="50.28515625" customWidth="1"/>
    <col min="4" max="4" width="13.42578125" style="27" customWidth="1"/>
    <col min="5" max="5" width="11.85546875" customWidth="1"/>
    <col min="6" max="6" width="15.42578125" style="27" customWidth="1"/>
    <col min="7" max="8" width="13.5703125" style="27" customWidth="1"/>
    <col min="9" max="9" width="11.7109375" style="27" customWidth="1"/>
    <col min="10" max="10" width="14.42578125" customWidth="1"/>
    <col min="11" max="20" width="11.7109375" customWidth="1"/>
  </cols>
  <sheetData>
    <row r="1" spans="1:20" x14ac:dyDescent="0.25">
      <c r="B1" s="57" t="s">
        <v>450</v>
      </c>
    </row>
    <row r="2" spans="1:20" ht="30" x14ac:dyDescent="0.25">
      <c r="A2" s="180" t="s">
        <v>398</v>
      </c>
      <c r="B2" s="180" t="s">
        <v>387</v>
      </c>
      <c r="C2" s="180" t="s">
        <v>377</v>
      </c>
      <c r="D2" s="180" t="s">
        <v>567</v>
      </c>
      <c r="E2" s="180"/>
      <c r="F2" s="180" t="s">
        <v>465</v>
      </c>
      <c r="G2" s="180"/>
      <c r="H2" s="152" t="s">
        <v>390</v>
      </c>
      <c r="I2" s="315">
        <f>Продажи!F3</f>
        <v>42583</v>
      </c>
      <c r="J2" s="315">
        <f>Продажи!G3</f>
        <v>42614</v>
      </c>
      <c r="K2" s="315">
        <f>Продажи!H3</f>
        <v>42644</v>
      </c>
      <c r="L2" s="315">
        <f>Продажи!I3</f>
        <v>42675</v>
      </c>
      <c r="M2" s="315">
        <f>Продажи!J3</f>
        <v>42705</v>
      </c>
      <c r="N2" s="315">
        <f>Продажи!K3</f>
        <v>42736</v>
      </c>
      <c r="O2" s="315">
        <f>Продажи!L3</f>
        <v>42767</v>
      </c>
      <c r="P2" s="315">
        <f>Продажи!M3</f>
        <v>42795</v>
      </c>
      <c r="Q2" s="315">
        <f>Продажи!N3</f>
        <v>42826</v>
      </c>
      <c r="R2" s="315">
        <f>Продажи!O3</f>
        <v>42856</v>
      </c>
      <c r="S2" s="315">
        <f>Продажи!P3</f>
        <v>42887</v>
      </c>
      <c r="T2" s="315">
        <f>Продажи!Q3</f>
        <v>42917</v>
      </c>
    </row>
    <row r="3" spans="1:20" ht="18.75" x14ac:dyDescent="0.25">
      <c r="A3" s="151" t="s">
        <v>479</v>
      </c>
      <c r="B3" s="151" t="s">
        <v>133</v>
      </c>
      <c r="C3" s="181" t="s">
        <v>65</v>
      </c>
      <c r="D3" s="181" t="s">
        <v>4</v>
      </c>
      <c r="E3" s="151" t="s">
        <v>371</v>
      </c>
      <c r="F3" s="151" t="s">
        <v>67</v>
      </c>
      <c r="G3" s="151" t="s">
        <v>370</v>
      </c>
      <c r="H3" s="151" t="s">
        <v>372</v>
      </c>
      <c r="I3" s="315">
        <f>Продажи!F3</f>
        <v>42583</v>
      </c>
      <c r="J3" s="315">
        <f>Продажи!G3</f>
        <v>42614</v>
      </c>
      <c r="K3" s="315">
        <f>Продажи!H3</f>
        <v>42644</v>
      </c>
      <c r="L3" s="315">
        <f>Продажи!I3</f>
        <v>42675</v>
      </c>
      <c r="M3" s="315">
        <f>Продажи!J3</f>
        <v>42705</v>
      </c>
      <c r="N3" s="315">
        <f>Продажи!K3</f>
        <v>42736</v>
      </c>
      <c r="O3" s="315">
        <f>Продажи!L3</f>
        <v>42767</v>
      </c>
      <c r="P3" s="315">
        <f>Продажи!M3</f>
        <v>42795</v>
      </c>
      <c r="Q3" s="315">
        <f>Продажи!N3</f>
        <v>42826</v>
      </c>
      <c r="R3" s="315">
        <f>Продажи!O3</f>
        <v>42856</v>
      </c>
      <c r="S3" s="315">
        <f>Продажи!P3</f>
        <v>42887</v>
      </c>
      <c r="T3" s="315">
        <f>Продажи!Q3</f>
        <v>42917</v>
      </c>
    </row>
    <row r="4" spans="1:20" ht="38.25" customHeight="1" x14ac:dyDescent="0.25">
      <c r="A4" s="150" t="s">
        <v>391</v>
      </c>
      <c r="B4" s="150" t="s">
        <v>391</v>
      </c>
      <c r="C4" s="182" t="s">
        <v>90</v>
      </c>
      <c r="D4" s="182"/>
      <c r="E4" s="183" t="s">
        <v>66</v>
      </c>
      <c r="F4" s="183"/>
      <c r="G4" s="183"/>
      <c r="H4" s="183" t="s">
        <v>67</v>
      </c>
      <c r="I4" s="315">
        <f>Продажи!F3</f>
        <v>42583</v>
      </c>
      <c r="J4" s="315">
        <f>Продажи!G3</f>
        <v>42614</v>
      </c>
      <c r="K4" s="315">
        <f>Продажи!H3</f>
        <v>42644</v>
      </c>
      <c r="L4" s="315">
        <f>Продажи!I3</f>
        <v>42675</v>
      </c>
      <c r="M4" s="315">
        <f>Продажи!J3</f>
        <v>42705</v>
      </c>
      <c r="N4" s="315">
        <f>Продажи!K3</f>
        <v>42736</v>
      </c>
      <c r="O4" s="315">
        <f>Продажи!L3</f>
        <v>42767</v>
      </c>
      <c r="P4" s="315">
        <f>Продажи!M3</f>
        <v>42795</v>
      </c>
      <c r="Q4" s="315">
        <f>Продажи!N3</f>
        <v>42826</v>
      </c>
      <c r="R4" s="315">
        <f>Продажи!O3</f>
        <v>42856</v>
      </c>
      <c r="S4" s="315">
        <f>Продажи!P3</f>
        <v>42887</v>
      </c>
      <c r="T4" s="315">
        <f>Продажи!Q3</f>
        <v>42917</v>
      </c>
    </row>
    <row r="5" spans="1:20" ht="15.75" x14ac:dyDescent="0.25">
      <c r="A5" s="184"/>
      <c r="B5" s="185"/>
      <c r="C5" s="186"/>
      <c r="D5" s="186"/>
      <c r="E5" s="187"/>
      <c r="F5" s="187"/>
      <c r="G5" s="187"/>
      <c r="H5" s="187"/>
      <c r="I5" s="187">
        <f>Продажи!F4</f>
        <v>2016</v>
      </c>
      <c r="J5" s="187">
        <f>Продажи!G4</f>
        <v>2016</v>
      </c>
      <c r="K5" s="187">
        <f>Продажи!H4</f>
        <v>2016</v>
      </c>
      <c r="L5" s="187">
        <f>Продажи!I4</f>
        <v>2016</v>
      </c>
      <c r="M5" s="187">
        <f>Продажи!J4</f>
        <v>2016</v>
      </c>
      <c r="N5" s="187">
        <f>Продажи!K4</f>
        <v>2017</v>
      </c>
      <c r="O5" s="187">
        <f>Продажи!L4</f>
        <v>2017</v>
      </c>
      <c r="P5" s="187">
        <f>Продажи!M4</f>
        <v>2017</v>
      </c>
      <c r="Q5" s="187">
        <f>Продажи!N4</f>
        <v>2017</v>
      </c>
      <c r="R5" s="187">
        <f>Продажи!O4</f>
        <v>2017</v>
      </c>
      <c r="S5" s="187">
        <f>Продажи!P4</f>
        <v>2017</v>
      </c>
      <c r="T5" s="187">
        <f>Продажи!Q4</f>
        <v>2017</v>
      </c>
    </row>
    <row r="6" spans="1:20" ht="15.75" hidden="1" x14ac:dyDescent="0.25">
      <c r="A6" s="166" t="s">
        <v>391</v>
      </c>
      <c r="B6" s="167" t="s">
        <v>373</v>
      </c>
      <c r="C6" s="129" t="s">
        <v>43</v>
      </c>
      <c r="D6" s="168"/>
      <c r="E6" s="153" t="s">
        <v>68</v>
      </c>
      <c r="F6" s="154"/>
      <c r="G6" s="154"/>
      <c r="H6" s="154">
        <f>(1.5*9*103)/100</f>
        <v>13.904999999999999</v>
      </c>
      <c r="I6" s="166">
        <f>SUMIFS(Продажи!F$5:F$359,Продажи!$D$5:$D$359,Конструкторы!$B6,Продажи!$C$5:$C$359,Конструкторы!$A6)*$H6</f>
        <v>0</v>
      </c>
      <c r="J6" s="166">
        <f>SUMIFS(Продажи!G$5:G$359,Продажи!$D$5:$D$359,Конструкторы!$B6,Продажи!$C$5:$C$359,Конструкторы!$A6)*$H6</f>
        <v>6952.5</v>
      </c>
      <c r="K6" s="166">
        <f>SUMIFS(Продажи!H$5:H$359,Продажи!$D$5:$D$359,Конструкторы!$B6,Продажи!$C$5:$C$359,Конструкторы!$A6)*$H6</f>
        <v>0</v>
      </c>
      <c r="L6" s="166">
        <f>SUMIFS(Продажи!I$5:I$359,Продажи!$D$5:$D$359,Конструкторы!$B6,Продажи!$C$5:$C$359,Конструкторы!$A6)*$H6</f>
        <v>0</v>
      </c>
      <c r="M6" s="166">
        <f>SUMIFS(Продажи!J$5:J$359,Продажи!$D$5:$D$359,Конструкторы!$B6,Продажи!$C$5:$C$359,Конструкторы!$A6)*$H6</f>
        <v>0</v>
      </c>
      <c r="N6" s="166">
        <f>SUMIFS(Продажи!K$5:K$359,Продажи!$D$5:$D$359,Конструкторы!$B6,Продажи!$C$5:$C$359,Конструкторы!$A6)*$H6</f>
        <v>0</v>
      </c>
      <c r="O6" s="166">
        <f>SUMIFS(Продажи!L$5:L$359,Продажи!$D$5:$D$359,Конструкторы!$B6,Продажи!$C$5:$C$359,Конструкторы!$A6)*$H6</f>
        <v>0</v>
      </c>
      <c r="P6" s="166">
        <f>SUMIFS(Продажи!M$5:M$359,Продажи!$D$5:$D$359,Конструкторы!$B6,Продажи!$C$5:$C$359,Конструкторы!$A6)*$H6</f>
        <v>0</v>
      </c>
      <c r="Q6" s="166">
        <f>SUMIFS(Продажи!N$5:N$359,Продажи!$D$5:$D$359,Конструкторы!$B6,Продажи!$C$5:$C$359,Конструкторы!$A6)*$H6</f>
        <v>0</v>
      </c>
      <c r="R6" s="166">
        <f>SUMIFS(Продажи!O$5:O$359,Продажи!$D$5:$D$359,Конструкторы!$B6,Продажи!$C$5:$C$359,Конструкторы!$A6)*$H6</f>
        <v>0</v>
      </c>
      <c r="S6" s="166">
        <f>SUMIFS(Продажи!P$5:P$359,Продажи!$D$5:$D$359,Конструкторы!$B6,Продажи!$C$5:$C$359,Конструкторы!$A6)*$H6</f>
        <v>0</v>
      </c>
      <c r="T6" s="166">
        <f>SUMIFS(Продажи!Q$5:Q$359,Продажи!$D$5:$D$359,Конструкторы!$B6,Продажи!$C$5:$C$359,Конструкторы!$A6)*$H6</f>
        <v>0</v>
      </c>
    </row>
    <row r="7" spans="1:20" ht="15.75" hidden="1" x14ac:dyDescent="0.25">
      <c r="A7" s="166" t="s">
        <v>391</v>
      </c>
      <c r="B7" s="167" t="s">
        <v>373</v>
      </c>
      <c r="C7" s="32" t="s">
        <v>91</v>
      </c>
      <c r="D7" s="148"/>
      <c r="E7" s="153" t="s">
        <v>70</v>
      </c>
      <c r="F7" s="155"/>
      <c r="G7" s="155"/>
      <c r="H7" s="155">
        <v>2</v>
      </c>
      <c r="I7" s="166">
        <f>SUMIFS(Продажи!F$5:F$359,Продажи!$D$5:$D$359,Конструкторы!$B7,Продажи!$C$5:$C$359,Конструкторы!$A7)*$H7</f>
        <v>0</v>
      </c>
      <c r="J7" s="166">
        <f>SUMIFS(Продажи!G$5:G$359,Продажи!$D$5:$D$359,Конструкторы!$B7,Продажи!$C$5:$C$359,Конструкторы!$A7)*$H7</f>
        <v>1000</v>
      </c>
      <c r="K7" s="166">
        <f>SUMIFS(Продажи!H$5:H$359,Продажи!$D$5:$D$359,Конструкторы!$B7,Продажи!$C$5:$C$359,Конструкторы!$A7)*$H7</f>
        <v>0</v>
      </c>
      <c r="L7" s="166">
        <f>SUMIFS(Продажи!I$5:I$359,Продажи!$D$5:$D$359,Конструкторы!$B7,Продажи!$C$5:$C$359,Конструкторы!$A7)*$H7</f>
        <v>0</v>
      </c>
      <c r="M7" s="166">
        <f>SUMIFS(Продажи!J$5:J$359,Продажи!$D$5:$D$359,Конструкторы!$B7,Продажи!$C$5:$C$359,Конструкторы!$A7)*$H7</f>
        <v>0</v>
      </c>
      <c r="N7" s="166">
        <f>SUMIFS(Продажи!K$5:K$359,Продажи!$D$5:$D$359,Конструкторы!$B7,Продажи!$C$5:$C$359,Конструкторы!$A7)*$H7</f>
        <v>0</v>
      </c>
      <c r="O7" s="166">
        <f>SUMIFS(Продажи!L$5:L$359,Продажи!$D$5:$D$359,Конструкторы!$B7,Продажи!$C$5:$C$359,Конструкторы!$A7)*$H7</f>
        <v>0</v>
      </c>
      <c r="P7" s="166">
        <f>SUMIFS(Продажи!M$5:M$359,Продажи!$D$5:$D$359,Конструкторы!$B7,Продажи!$C$5:$C$359,Конструкторы!$A7)*$H7</f>
        <v>0</v>
      </c>
      <c r="Q7" s="166">
        <f>SUMIFS(Продажи!N$5:N$359,Продажи!$D$5:$D$359,Конструкторы!$B7,Продажи!$C$5:$C$359,Конструкторы!$A7)*$H7</f>
        <v>0</v>
      </c>
      <c r="R7" s="166">
        <f>SUMIFS(Продажи!O$5:O$359,Продажи!$D$5:$D$359,Конструкторы!$B7,Продажи!$C$5:$C$359,Конструкторы!$A7)*$H7</f>
        <v>0</v>
      </c>
      <c r="S7" s="166">
        <f>SUMIFS(Продажи!P$5:P$359,Продажи!$D$5:$D$359,Конструкторы!$B7,Продажи!$C$5:$C$359,Конструкторы!$A7)*$H7</f>
        <v>0</v>
      </c>
      <c r="T7" s="166">
        <f>SUMIFS(Продажи!Q$5:Q$359,Продажи!$D$5:$D$359,Конструкторы!$B7,Продажи!$C$5:$C$359,Конструкторы!$A7)*$H7</f>
        <v>0</v>
      </c>
    </row>
    <row r="8" spans="1:20" ht="15.75" hidden="1" x14ac:dyDescent="0.25">
      <c r="A8" s="166" t="s">
        <v>391</v>
      </c>
      <c r="B8" s="167" t="s">
        <v>373</v>
      </c>
      <c r="C8" s="32" t="s">
        <v>92</v>
      </c>
      <c r="D8" s="148"/>
      <c r="E8" s="153" t="s">
        <v>70</v>
      </c>
      <c r="F8" s="153"/>
      <c r="G8" s="153"/>
      <c r="H8" s="153">
        <v>36</v>
      </c>
      <c r="I8" s="166">
        <f>SUMIFS(Продажи!F$5:F$359,Продажи!$D$5:$D$359,Конструкторы!$B8,Продажи!$C$5:$C$359,Конструкторы!$A8)*$H8</f>
        <v>0</v>
      </c>
      <c r="J8" s="166">
        <f>SUMIFS(Продажи!G$5:G$359,Продажи!$D$5:$D$359,Конструкторы!$B8,Продажи!$C$5:$C$359,Конструкторы!$A8)*$H8</f>
        <v>18000</v>
      </c>
      <c r="K8" s="166">
        <f>SUMIFS(Продажи!H$5:H$359,Продажи!$D$5:$D$359,Конструкторы!$B8,Продажи!$C$5:$C$359,Конструкторы!$A8)*$H8</f>
        <v>0</v>
      </c>
      <c r="L8" s="166">
        <f>SUMIFS(Продажи!I$5:I$359,Продажи!$D$5:$D$359,Конструкторы!$B8,Продажи!$C$5:$C$359,Конструкторы!$A8)*$H8</f>
        <v>0</v>
      </c>
      <c r="M8" s="166">
        <f>SUMIFS(Продажи!J$5:J$359,Продажи!$D$5:$D$359,Конструкторы!$B8,Продажи!$C$5:$C$359,Конструкторы!$A8)*$H8</f>
        <v>0</v>
      </c>
      <c r="N8" s="166">
        <f>SUMIFS(Продажи!K$5:K$359,Продажи!$D$5:$D$359,Конструкторы!$B8,Продажи!$C$5:$C$359,Конструкторы!$A8)*$H8</f>
        <v>0</v>
      </c>
      <c r="O8" s="166">
        <f>SUMIFS(Продажи!L$5:L$359,Продажи!$D$5:$D$359,Конструкторы!$B8,Продажи!$C$5:$C$359,Конструкторы!$A8)*$H8</f>
        <v>0</v>
      </c>
      <c r="P8" s="166">
        <f>SUMIFS(Продажи!M$5:M$359,Продажи!$D$5:$D$359,Конструкторы!$B8,Продажи!$C$5:$C$359,Конструкторы!$A8)*$H8</f>
        <v>0</v>
      </c>
      <c r="Q8" s="166">
        <f>SUMIFS(Продажи!N$5:N$359,Продажи!$D$5:$D$359,Конструкторы!$B8,Продажи!$C$5:$C$359,Конструкторы!$A8)*$H8</f>
        <v>0</v>
      </c>
      <c r="R8" s="166">
        <f>SUMIFS(Продажи!O$5:O$359,Продажи!$D$5:$D$359,Конструкторы!$B8,Продажи!$C$5:$C$359,Конструкторы!$A8)*$H8</f>
        <v>0</v>
      </c>
      <c r="S8" s="166">
        <f>SUMIFS(Продажи!P$5:P$359,Продажи!$D$5:$D$359,Конструкторы!$B8,Продажи!$C$5:$C$359,Конструкторы!$A8)*$H8</f>
        <v>0</v>
      </c>
      <c r="T8" s="166">
        <f>SUMIFS(Продажи!Q$5:Q$359,Продажи!$D$5:$D$359,Конструкторы!$B8,Продажи!$C$5:$C$359,Конструкторы!$A8)*$H8</f>
        <v>0</v>
      </c>
    </row>
    <row r="9" spans="1:20" ht="15.75" hidden="1" x14ac:dyDescent="0.25">
      <c r="A9" s="166" t="s">
        <v>391</v>
      </c>
      <c r="B9" s="167" t="s">
        <v>373</v>
      </c>
      <c r="C9" s="32" t="s">
        <v>93</v>
      </c>
      <c r="D9" s="148"/>
      <c r="E9" s="153" t="s">
        <v>70</v>
      </c>
      <c r="F9" s="153"/>
      <c r="G9" s="153"/>
      <c r="H9" s="153">
        <v>36</v>
      </c>
      <c r="I9" s="166">
        <f>SUMIFS(Продажи!F$5:F$359,Продажи!$D$5:$D$359,Конструкторы!$B9,Продажи!$C$5:$C$359,Конструкторы!$A9)*$H9</f>
        <v>0</v>
      </c>
      <c r="J9" s="166">
        <f>SUMIFS(Продажи!G$5:G$359,Продажи!$D$5:$D$359,Конструкторы!$B9,Продажи!$C$5:$C$359,Конструкторы!$A9)*$H9</f>
        <v>18000</v>
      </c>
      <c r="K9" s="166">
        <f>SUMIFS(Продажи!H$5:H$359,Продажи!$D$5:$D$359,Конструкторы!$B9,Продажи!$C$5:$C$359,Конструкторы!$A9)*$H9</f>
        <v>0</v>
      </c>
      <c r="L9" s="166">
        <f>SUMIFS(Продажи!I$5:I$359,Продажи!$D$5:$D$359,Конструкторы!$B9,Продажи!$C$5:$C$359,Конструкторы!$A9)*$H9</f>
        <v>0</v>
      </c>
      <c r="M9" s="166">
        <f>SUMIFS(Продажи!J$5:J$359,Продажи!$D$5:$D$359,Конструкторы!$B9,Продажи!$C$5:$C$359,Конструкторы!$A9)*$H9</f>
        <v>0</v>
      </c>
      <c r="N9" s="166">
        <f>SUMIFS(Продажи!K$5:K$359,Продажи!$D$5:$D$359,Конструкторы!$B9,Продажи!$C$5:$C$359,Конструкторы!$A9)*$H9</f>
        <v>0</v>
      </c>
      <c r="O9" s="166">
        <f>SUMIFS(Продажи!L$5:L$359,Продажи!$D$5:$D$359,Конструкторы!$B9,Продажи!$C$5:$C$359,Конструкторы!$A9)*$H9</f>
        <v>0</v>
      </c>
      <c r="P9" s="166">
        <f>SUMIFS(Продажи!M$5:M$359,Продажи!$D$5:$D$359,Конструкторы!$B9,Продажи!$C$5:$C$359,Конструкторы!$A9)*$H9</f>
        <v>0</v>
      </c>
      <c r="Q9" s="166">
        <f>SUMIFS(Продажи!N$5:N$359,Продажи!$D$5:$D$359,Конструкторы!$B9,Продажи!$C$5:$C$359,Конструкторы!$A9)*$H9</f>
        <v>0</v>
      </c>
      <c r="R9" s="166">
        <f>SUMIFS(Продажи!O$5:O$359,Продажи!$D$5:$D$359,Конструкторы!$B9,Продажи!$C$5:$C$359,Конструкторы!$A9)*$H9</f>
        <v>0</v>
      </c>
      <c r="S9" s="166">
        <f>SUMIFS(Продажи!P$5:P$359,Продажи!$D$5:$D$359,Конструкторы!$B9,Продажи!$C$5:$C$359,Конструкторы!$A9)*$H9</f>
        <v>0</v>
      </c>
      <c r="T9" s="166">
        <f>SUMIFS(Продажи!Q$5:Q$359,Продажи!$D$5:$D$359,Конструкторы!$B9,Продажи!$C$5:$C$359,Конструкторы!$A9)*$H9</f>
        <v>0</v>
      </c>
    </row>
    <row r="10" spans="1:20" ht="15.75" hidden="1" x14ac:dyDescent="0.25">
      <c r="A10" s="166" t="s">
        <v>391</v>
      </c>
      <c r="B10" s="167" t="s">
        <v>373</v>
      </c>
      <c r="C10" s="32" t="s">
        <v>94</v>
      </c>
      <c r="D10" s="148"/>
      <c r="E10" s="153" t="s">
        <v>70</v>
      </c>
      <c r="F10" s="153"/>
      <c r="G10" s="153"/>
      <c r="H10" s="153">
        <v>36</v>
      </c>
      <c r="I10" s="166">
        <f>SUMIFS(Продажи!F$5:F$359,Продажи!$D$5:$D$359,Конструкторы!$B10,Продажи!$C$5:$C$359,Конструкторы!$A10)*$H10</f>
        <v>0</v>
      </c>
      <c r="J10" s="166">
        <f>SUMIFS(Продажи!G$5:G$359,Продажи!$D$5:$D$359,Конструкторы!$B10,Продажи!$C$5:$C$359,Конструкторы!$A10)*$H10</f>
        <v>18000</v>
      </c>
      <c r="K10" s="166">
        <f>SUMIFS(Продажи!H$5:H$359,Продажи!$D$5:$D$359,Конструкторы!$B10,Продажи!$C$5:$C$359,Конструкторы!$A10)*$H10</f>
        <v>0</v>
      </c>
      <c r="L10" s="166">
        <f>SUMIFS(Продажи!I$5:I$359,Продажи!$D$5:$D$359,Конструкторы!$B10,Продажи!$C$5:$C$359,Конструкторы!$A10)*$H10</f>
        <v>0</v>
      </c>
      <c r="M10" s="166">
        <f>SUMIFS(Продажи!J$5:J$359,Продажи!$D$5:$D$359,Конструкторы!$B10,Продажи!$C$5:$C$359,Конструкторы!$A10)*$H10</f>
        <v>0</v>
      </c>
      <c r="N10" s="166">
        <f>SUMIFS(Продажи!K$5:K$359,Продажи!$D$5:$D$359,Конструкторы!$B10,Продажи!$C$5:$C$359,Конструкторы!$A10)*$H10</f>
        <v>0</v>
      </c>
      <c r="O10" s="166">
        <f>SUMIFS(Продажи!L$5:L$359,Продажи!$D$5:$D$359,Конструкторы!$B10,Продажи!$C$5:$C$359,Конструкторы!$A10)*$H10</f>
        <v>0</v>
      </c>
      <c r="P10" s="166">
        <f>SUMIFS(Продажи!M$5:M$359,Продажи!$D$5:$D$359,Конструкторы!$B10,Продажи!$C$5:$C$359,Конструкторы!$A10)*$H10</f>
        <v>0</v>
      </c>
      <c r="Q10" s="166">
        <f>SUMIFS(Продажи!N$5:N$359,Продажи!$D$5:$D$359,Конструкторы!$B10,Продажи!$C$5:$C$359,Конструкторы!$A10)*$H10</f>
        <v>0</v>
      </c>
      <c r="R10" s="166">
        <f>SUMIFS(Продажи!O$5:O$359,Продажи!$D$5:$D$359,Конструкторы!$B10,Продажи!$C$5:$C$359,Конструкторы!$A10)*$H10</f>
        <v>0</v>
      </c>
      <c r="S10" s="166">
        <f>SUMIFS(Продажи!P$5:P$359,Продажи!$D$5:$D$359,Конструкторы!$B10,Продажи!$C$5:$C$359,Конструкторы!$A10)*$H10</f>
        <v>0</v>
      </c>
      <c r="T10" s="166">
        <f>SUMIFS(Продажи!Q$5:Q$359,Продажи!$D$5:$D$359,Конструкторы!$B10,Продажи!$C$5:$C$359,Конструкторы!$A10)*$H10</f>
        <v>0</v>
      </c>
    </row>
    <row r="11" spans="1:20" ht="15.75" hidden="1" customHeight="1" x14ac:dyDescent="0.25">
      <c r="A11" s="166" t="s">
        <v>391</v>
      </c>
      <c r="B11" s="167" t="s">
        <v>373</v>
      </c>
      <c r="C11" s="33" t="s">
        <v>95</v>
      </c>
      <c r="D11" s="149"/>
      <c r="E11" s="153" t="s">
        <v>70</v>
      </c>
      <c r="F11" s="153"/>
      <c r="G11" s="153"/>
      <c r="H11" s="153">
        <v>18</v>
      </c>
      <c r="I11" s="166">
        <f>SUMIFS(Продажи!F$5:F$359,Продажи!$D$5:$D$359,Конструкторы!$B11,Продажи!$C$5:$C$359,Конструкторы!$A11)*$H11</f>
        <v>0</v>
      </c>
      <c r="J11" s="166">
        <f>SUMIFS(Продажи!G$5:G$359,Продажи!$D$5:$D$359,Конструкторы!$B11,Продажи!$C$5:$C$359,Конструкторы!$A11)*$H11</f>
        <v>9000</v>
      </c>
      <c r="K11" s="166">
        <f>SUMIFS(Продажи!H$5:H$359,Продажи!$D$5:$D$359,Конструкторы!$B11,Продажи!$C$5:$C$359,Конструкторы!$A11)*$H11</f>
        <v>0</v>
      </c>
      <c r="L11" s="166">
        <f>SUMIFS(Продажи!I$5:I$359,Продажи!$D$5:$D$359,Конструкторы!$B11,Продажи!$C$5:$C$359,Конструкторы!$A11)*$H11</f>
        <v>0</v>
      </c>
      <c r="M11" s="166">
        <f>SUMIFS(Продажи!J$5:J$359,Продажи!$D$5:$D$359,Конструкторы!$B11,Продажи!$C$5:$C$359,Конструкторы!$A11)*$H11</f>
        <v>0</v>
      </c>
      <c r="N11" s="166">
        <f>SUMIFS(Продажи!K$5:K$359,Продажи!$D$5:$D$359,Конструкторы!$B11,Продажи!$C$5:$C$359,Конструкторы!$A11)*$H11</f>
        <v>0</v>
      </c>
      <c r="O11" s="166">
        <f>SUMIFS(Продажи!L$5:L$359,Продажи!$D$5:$D$359,Конструкторы!$B11,Продажи!$C$5:$C$359,Конструкторы!$A11)*$H11</f>
        <v>0</v>
      </c>
      <c r="P11" s="166">
        <f>SUMIFS(Продажи!M$5:M$359,Продажи!$D$5:$D$359,Конструкторы!$B11,Продажи!$C$5:$C$359,Конструкторы!$A11)*$H11</f>
        <v>0</v>
      </c>
      <c r="Q11" s="166">
        <f>SUMIFS(Продажи!N$5:N$359,Продажи!$D$5:$D$359,Конструкторы!$B11,Продажи!$C$5:$C$359,Конструкторы!$A11)*$H11</f>
        <v>0</v>
      </c>
      <c r="R11" s="166">
        <f>SUMIFS(Продажи!O$5:O$359,Продажи!$D$5:$D$359,Конструкторы!$B11,Продажи!$C$5:$C$359,Конструкторы!$A11)*$H11</f>
        <v>0</v>
      </c>
      <c r="S11" s="166">
        <f>SUMIFS(Продажи!P$5:P$359,Продажи!$D$5:$D$359,Конструкторы!$B11,Продажи!$C$5:$C$359,Конструкторы!$A11)*$H11</f>
        <v>0</v>
      </c>
      <c r="T11" s="166">
        <f>SUMIFS(Продажи!Q$5:Q$359,Продажи!$D$5:$D$359,Конструкторы!$B11,Продажи!$C$5:$C$359,Конструкторы!$A11)*$H11</f>
        <v>0</v>
      </c>
    </row>
    <row r="12" spans="1:20" ht="15.75" hidden="1" x14ac:dyDescent="0.25">
      <c r="A12" s="166" t="s">
        <v>391</v>
      </c>
      <c r="B12" s="167" t="s">
        <v>374</v>
      </c>
      <c r="C12" s="129" t="s">
        <v>43</v>
      </c>
      <c r="D12" s="168"/>
      <c r="E12" s="153" t="s">
        <v>68</v>
      </c>
      <c r="F12" s="156"/>
      <c r="G12" s="156"/>
      <c r="H12" s="156">
        <f>(1.04*2*103)/100</f>
        <v>2.1424000000000003</v>
      </c>
      <c r="I12" s="166">
        <f>SUMIFS(Продажи!F$5:F$359,Продажи!$D$5:$D$359,Конструкторы!$B12,Продажи!$C$5:$C$359,Конструкторы!$A12)*$H12</f>
        <v>0</v>
      </c>
      <c r="J12" s="166">
        <f>SUMIFS(Продажи!G$5:G$359,Продажи!$D$5:$D$359,Конструкторы!$B12,Продажи!$C$5:$C$359,Конструкторы!$A12)*$H12</f>
        <v>0</v>
      </c>
      <c r="K12" s="166">
        <f>SUMIFS(Продажи!H$5:H$359,Продажи!$D$5:$D$359,Конструкторы!$B12,Продажи!$C$5:$C$359,Конструкторы!$A12)*$H12</f>
        <v>0</v>
      </c>
      <c r="L12" s="166">
        <f>SUMIFS(Продажи!I$5:I$359,Продажи!$D$5:$D$359,Конструкторы!$B12,Продажи!$C$5:$C$359,Конструкторы!$A12)*$H12</f>
        <v>0</v>
      </c>
      <c r="M12" s="166">
        <f>SUMIFS(Продажи!J$5:J$359,Продажи!$D$5:$D$359,Конструкторы!$B12,Продажи!$C$5:$C$359,Конструкторы!$A12)*$H12</f>
        <v>0</v>
      </c>
      <c r="N12" s="166">
        <f>SUMIFS(Продажи!K$5:K$359,Продажи!$D$5:$D$359,Конструкторы!$B12,Продажи!$C$5:$C$359,Конструкторы!$A12)*$H12</f>
        <v>0</v>
      </c>
      <c r="O12" s="166">
        <f>SUMIFS(Продажи!L$5:L$359,Продажи!$D$5:$D$359,Конструкторы!$B12,Продажи!$C$5:$C$359,Конструкторы!$A12)*$H12</f>
        <v>0</v>
      </c>
      <c r="P12" s="166">
        <f>SUMIFS(Продажи!M$5:M$359,Продажи!$D$5:$D$359,Конструкторы!$B12,Продажи!$C$5:$C$359,Конструкторы!$A12)*$H12</f>
        <v>0</v>
      </c>
      <c r="Q12" s="166">
        <f>SUMIFS(Продажи!N$5:N$359,Продажи!$D$5:$D$359,Конструкторы!$B12,Продажи!$C$5:$C$359,Конструкторы!$A12)*$H12</f>
        <v>0</v>
      </c>
      <c r="R12" s="166">
        <f>SUMIFS(Продажи!O$5:O$359,Продажи!$D$5:$D$359,Конструкторы!$B12,Продажи!$C$5:$C$359,Конструкторы!$A12)*$H12</f>
        <v>0</v>
      </c>
      <c r="S12" s="166">
        <f>SUMIFS(Продажи!P$5:P$359,Продажи!$D$5:$D$359,Конструкторы!$B12,Продажи!$C$5:$C$359,Конструкторы!$A12)*$H12</f>
        <v>0</v>
      </c>
      <c r="T12" s="166">
        <f>SUMIFS(Продажи!Q$5:Q$359,Продажи!$D$5:$D$359,Конструкторы!$B12,Продажи!$C$5:$C$359,Конструкторы!$A12)*$H12</f>
        <v>0</v>
      </c>
    </row>
    <row r="13" spans="1:20" ht="15.75" hidden="1" x14ac:dyDescent="0.25">
      <c r="A13" s="166" t="s">
        <v>391</v>
      </c>
      <c r="B13" s="167" t="s">
        <v>374</v>
      </c>
      <c r="C13" s="129" t="s">
        <v>48</v>
      </c>
      <c r="D13" s="168"/>
      <c r="E13" s="153" t="s">
        <v>68</v>
      </c>
      <c r="F13" s="156"/>
      <c r="G13" s="156"/>
      <c r="H13" s="156">
        <f>(0.413*3*103)/100</f>
        <v>1.2761699999999998</v>
      </c>
      <c r="I13" s="166">
        <f>SUMIFS(Продажи!F$5:F$359,Продажи!$D$5:$D$359,Конструкторы!$B13,Продажи!$C$5:$C$359,Конструкторы!$A13)*$H13</f>
        <v>0</v>
      </c>
      <c r="J13" s="166">
        <f>SUMIFS(Продажи!G$5:G$359,Продажи!$D$5:$D$359,Конструкторы!$B13,Продажи!$C$5:$C$359,Конструкторы!$A13)*$H13</f>
        <v>0</v>
      </c>
      <c r="K13" s="166">
        <f>SUMIFS(Продажи!H$5:H$359,Продажи!$D$5:$D$359,Конструкторы!$B13,Продажи!$C$5:$C$359,Конструкторы!$A13)*$H13</f>
        <v>0</v>
      </c>
      <c r="L13" s="166">
        <f>SUMIFS(Продажи!I$5:I$359,Продажи!$D$5:$D$359,Конструкторы!$B13,Продажи!$C$5:$C$359,Конструкторы!$A13)*$H13</f>
        <v>0</v>
      </c>
      <c r="M13" s="166">
        <f>SUMIFS(Продажи!J$5:J$359,Продажи!$D$5:$D$359,Конструкторы!$B13,Продажи!$C$5:$C$359,Конструкторы!$A13)*$H13</f>
        <v>0</v>
      </c>
      <c r="N13" s="166">
        <f>SUMIFS(Продажи!K$5:K$359,Продажи!$D$5:$D$359,Конструкторы!$B13,Продажи!$C$5:$C$359,Конструкторы!$A13)*$H13</f>
        <v>0</v>
      </c>
      <c r="O13" s="166">
        <f>SUMIFS(Продажи!L$5:L$359,Продажи!$D$5:$D$359,Конструкторы!$B13,Продажи!$C$5:$C$359,Конструкторы!$A13)*$H13</f>
        <v>0</v>
      </c>
      <c r="P13" s="166">
        <f>SUMIFS(Продажи!M$5:M$359,Продажи!$D$5:$D$359,Конструкторы!$B13,Продажи!$C$5:$C$359,Конструкторы!$A13)*$H13</f>
        <v>0</v>
      </c>
      <c r="Q13" s="166">
        <f>SUMIFS(Продажи!N$5:N$359,Продажи!$D$5:$D$359,Конструкторы!$B13,Продажи!$C$5:$C$359,Конструкторы!$A13)*$H13</f>
        <v>0</v>
      </c>
      <c r="R13" s="166">
        <f>SUMIFS(Продажи!O$5:O$359,Продажи!$D$5:$D$359,Конструкторы!$B13,Продажи!$C$5:$C$359,Конструкторы!$A13)*$H13</f>
        <v>0</v>
      </c>
      <c r="S13" s="166">
        <f>SUMIFS(Продажи!P$5:P$359,Продажи!$D$5:$D$359,Конструкторы!$B13,Продажи!$C$5:$C$359,Конструкторы!$A13)*$H13</f>
        <v>0</v>
      </c>
      <c r="T13" s="166">
        <f>SUMIFS(Продажи!Q$5:Q$359,Продажи!$D$5:$D$359,Конструкторы!$B13,Продажи!$C$5:$C$359,Конструкторы!$A13)*$H13</f>
        <v>0</v>
      </c>
    </row>
    <row r="14" spans="1:20" ht="15.75" hidden="1" x14ac:dyDescent="0.25">
      <c r="A14" s="166" t="s">
        <v>391</v>
      </c>
      <c r="B14" s="167" t="s">
        <v>374</v>
      </c>
      <c r="C14" s="32" t="s">
        <v>96</v>
      </c>
      <c r="D14" s="148"/>
      <c r="E14" s="153" t="s">
        <v>70</v>
      </c>
      <c r="F14" s="148"/>
      <c r="G14" s="148"/>
      <c r="H14" s="148">
        <v>12</v>
      </c>
      <c r="I14" s="166">
        <f>SUMIFS(Продажи!F$5:F$359,Продажи!$D$5:$D$359,Конструкторы!$B14,Продажи!$C$5:$C$359,Конструкторы!$A14)*$H14</f>
        <v>0</v>
      </c>
      <c r="J14" s="166">
        <f>SUMIFS(Продажи!G$5:G$359,Продажи!$D$5:$D$359,Конструкторы!$B14,Продажи!$C$5:$C$359,Конструкторы!$A14)*$H14</f>
        <v>0</v>
      </c>
      <c r="K14" s="166">
        <f>SUMIFS(Продажи!H$5:H$359,Продажи!$D$5:$D$359,Конструкторы!$B14,Продажи!$C$5:$C$359,Конструкторы!$A14)*$H14</f>
        <v>0</v>
      </c>
      <c r="L14" s="166">
        <f>SUMIFS(Продажи!I$5:I$359,Продажи!$D$5:$D$359,Конструкторы!$B14,Продажи!$C$5:$C$359,Конструкторы!$A14)*$H14</f>
        <v>0</v>
      </c>
      <c r="M14" s="166">
        <f>SUMIFS(Продажи!J$5:J$359,Продажи!$D$5:$D$359,Конструкторы!$B14,Продажи!$C$5:$C$359,Конструкторы!$A14)*$H14</f>
        <v>0</v>
      </c>
      <c r="N14" s="166">
        <f>SUMIFS(Продажи!K$5:K$359,Продажи!$D$5:$D$359,Конструкторы!$B14,Продажи!$C$5:$C$359,Конструкторы!$A14)*$H14</f>
        <v>0</v>
      </c>
      <c r="O14" s="166">
        <f>SUMIFS(Продажи!L$5:L$359,Продажи!$D$5:$D$359,Конструкторы!$B14,Продажи!$C$5:$C$359,Конструкторы!$A14)*$H14</f>
        <v>0</v>
      </c>
      <c r="P14" s="166">
        <f>SUMIFS(Продажи!M$5:M$359,Продажи!$D$5:$D$359,Конструкторы!$B14,Продажи!$C$5:$C$359,Конструкторы!$A14)*$H14</f>
        <v>0</v>
      </c>
      <c r="Q14" s="166">
        <f>SUMIFS(Продажи!N$5:N$359,Продажи!$D$5:$D$359,Конструкторы!$B14,Продажи!$C$5:$C$359,Конструкторы!$A14)*$H14</f>
        <v>0</v>
      </c>
      <c r="R14" s="166">
        <f>SUMIFS(Продажи!O$5:O$359,Продажи!$D$5:$D$359,Конструкторы!$B14,Продажи!$C$5:$C$359,Конструкторы!$A14)*$H14</f>
        <v>0</v>
      </c>
      <c r="S14" s="166">
        <f>SUMIFS(Продажи!P$5:P$359,Продажи!$D$5:$D$359,Конструкторы!$B14,Продажи!$C$5:$C$359,Конструкторы!$A14)*$H14</f>
        <v>0</v>
      </c>
      <c r="T14" s="166">
        <f>SUMIFS(Продажи!Q$5:Q$359,Продажи!$D$5:$D$359,Конструкторы!$B14,Продажи!$C$5:$C$359,Конструкторы!$A14)*$H14</f>
        <v>0</v>
      </c>
    </row>
    <row r="15" spans="1:20" ht="15.75" hidden="1" x14ac:dyDescent="0.25">
      <c r="A15" s="166" t="s">
        <v>391</v>
      </c>
      <c r="B15" s="167" t="s">
        <v>374</v>
      </c>
      <c r="C15" s="32" t="s">
        <v>97</v>
      </c>
      <c r="D15" s="148"/>
      <c r="E15" s="153" t="s">
        <v>70</v>
      </c>
      <c r="F15" s="148"/>
      <c r="G15" s="148"/>
      <c r="H15" s="148">
        <v>4</v>
      </c>
      <c r="I15" s="166">
        <f>SUMIFS(Продажи!F$5:F$359,Продажи!$D$5:$D$359,Конструкторы!$B15,Продажи!$C$5:$C$359,Конструкторы!$A15)*$H15</f>
        <v>0</v>
      </c>
      <c r="J15" s="166">
        <f>SUMIFS(Продажи!G$5:G$359,Продажи!$D$5:$D$359,Конструкторы!$B15,Продажи!$C$5:$C$359,Конструкторы!$A15)*$H15</f>
        <v>0</v>
      </c>
      <c r="K15" s="166">
        <f>SUMIFS(Продажи!H$5:H$359,Продажи!$D$5:$D$359,Конструкторы!$B15,Продажи!$C$5:$C$359,Конструкторы!$A15)*$H15</f>
        <v>0</v>
      </c>
      <c r="L15" s="166">
        <f>SUMIFS(Продажи!I$5:I$359,Продажи!$D$5:$D$359,Конструкторы!$B15,Продажи!$C$5:$C$359,Конструкторы!$A15)*$H15</f>
        <v>0</v>
      </c>
      <c r="M15" s="166">
        <f>SUMIFS(Продажи!J$5:J$359,Продажи!$D$5:$D$359,Конструкторы!$B15,Продажи!$C$5:$C$359,Конструкторы!$A15)*$H15</f>
        <v>0</v>
      </c>
      <c r="N15" s="166">
        <f>SUMIFS(Продажи!K$5:K$359,Продажи!$D$5:$D$359,Конструкторы!$B15,Продажи!$C$5:$C$359,Конструкторы!$A15)*$H15</f>
        <v>0</v>
      </c>
      <c r="O15" s="166">
        <f>SUMIFS(Продажи!L$5:L$359,Продажи!$D$5:$D$359,Конструкторы!$B15,Продажи!$C$5:$C$359,Конструкторы!$A15)*$H15</f>
        <v>0</v>
      </c>
      <c r="P15" s="166">
        <f>SUMIFS(Продажи!M$5:M$359,Продажи!$D$5:$D$359,Конструкторы!$B15,Продажи!$C$5:$C$359,Конструкторы!$A15)*$H15</f>
        <v>0</v>
      </c>
      <c r="Q15" s="166">
        <f>SUMIFS(Продажи!N$5:N$359,Продажи!$D$5:$D$359,Конструкторы!$B15,Продажи!$C$5:$C$359,Конструкторы!$A15)*$H15</f>
        <v>0</v>
      </c>
      <c r="R15" s="166">
        <f>SUMIFS(Продажи!O$5:O$359,Продажи!$D$5:$D$359,Конструкторы!$B15,Продажи!$C$5:$C$359,Конструкторы!$A15)*$H15</f>
        <v>0</v>
      </c>
      <c r="S15" s="166">
        <f>SUMIFS(Продажи!P$5:P$359,Продажи!$D$5:$D$359,Конструкторы!$B15,Продажи!$C$5:$C$359,Конструкторы!$A15)*$H15</f>
        <v>0</v>
      </c>
      <c r="T15" s="166">
        <f>SUMIFS(Продажи!Q$5:Q$359,Продажи!$D$5:$D$359,Конструкторы!$B15,Продажи!$C$5:$C$359,Конструкторы!$A15)*$H15</f>
        <v>0</v>
      </c>
    </row>
    <row r="16" spans="1:20" ht="15.75" hidden="1" x14ac:dyDescent="0.25">
      <c r="A16" s="166" t="s">
        <v>391</v>
      </c>
      <c r="B16" s="167" t="s">
        <v>375</v>
      </c>
      <c r="C16" s="129" t="s">
        <v>43</v>
      </c>
      <c r="D16" s="168"/>
      <c r="E16" s="153" t="s">
        <v>68</v>
      </c>
      <c r="F16" s="156"/>
      <c r="G16" s="156"/>
      <c r="H16" s="156">
        <f>(3.83*2*103)/100</f>
        <v>7.8898000000000001</v>
      </c>
      <c r="I16" s="166">
        <f>SUMIFS(Продажи!F$5:F$359,Продажи!$D$5:$D$359,Конструкторы!$B16,Продажи!$C$5:$C$359,Конструкторы!$A16)*$H16</f>
        <v>0</v>
      </c>
      <c r="J16" s="166">
        <f>SUMIFS(Продажи!G$5:G$359,Продажи!$D$5:$D$359,Конструкторы!$B16,Продажи!$C$5:$C$359,Конструкторы!$A16)*$H16</f>
        <v>0</v>
      </c>
      <c r="K16" s="166">
        <f>SUMIFS(Продажи!H$5:H$359,Продажи!$D$5:$D$359,Конструкторы!$B16,Продажи!$C$5:$C$359,Конструкторы!$A16)*$H16</f>
        <v>0</v>
      </c>
      <c r="L16" s="166">
        <f>SUMIFS(Продажи!I$5:I$359,Продажи!$D$5:$D$359,Конструкторы!$B16,Продажи!$C$5:$C$359,Конструкторы!$A16)*$H16</f>
        <v>0</v>
      </c>
      <c r="M16" s="166">
        <f>SUMIFS(Продажи!J$5:J$359,Продажи!$D$5:$D$359,Конструкторы!$B16,Продажи!$C$5:$C$359,Конструкторы!$A16)*$H16</f>
        <v>0</v>
      </c>
      <c r="N16" s="166">
        <f>SUMIFS(Продажи!K$5:K$359,Продажи!$D$5:$D$359,Конструкторы!$B16,Продажи!$C$5:$C$359,Конструкторы!$A16)*$H16</f>
        <v>0</v>
      </c>
      <c r="O16" s="166">
        <f>SUMIFS(Продажи!L$5:L$359,Продажи!$D$5:$D$359,Конструкторы!$B16,Продажи!$C$5:$C$359,Конструкторы!$A16)*$H16</f>
        <v>0</v>
      </c>
      <c r="P16" s="166">
        <f>SUMIFS(Продажи!M$5:M$359,Продажи!$D$5:$D$359,Конструкторы!$B16,Продажи!$C$5:$C$359,Конструкторы!$A16)*$H16</f>
        <v>0</v>
      </c>
      <c r="Q16" s="166">
        <f>SUMIFS(Продажи!N$5:N$359,Продажи!$D$5:$D$359,Конструкторы!$B16,Продажи!$C$5:$C$359,Конструкторы!$A16)*$H16</f>
        <v>0</v>
      </c>
      <c r="R16" s="166">
        <f>SUMIFS(Продажи!O$5:O$359,Продажи!$D$5:$D$359,Конструкторы!$B16,Продажи!$C$5:$C$359,Конструкторы!$A16)*$H16</f>
        <v>0</v>
      </c>
      <c r="S16" s="166">
        <f>SUMIFS(Продажи!P$5:P$359,Продажи!$D$5:$D$359,Конструкторы!$B16,Продажи!$C$5:$C$359,Конструкторы!$A16)*$H16</f>
        <v>0</v>
      </c>
      <c r="T16" s="166">
        <f>SUMIFS(Продажи!Q$5:Q$359,Продажи!$D$5:$D$359,Конструкторы!$B16,Продажи!$C$5:$C$359,Конструкторы!$A16)*$H16</f>
        <v>0</v>
      </c>
    </row>
    <row r="17" spans="1:20" ht="15.75" hidden="1" x14ac:dyDescent="0.25">
      <c r="A17" s="166" t="s">
        <v>391</v>
      </c>
      <c r="B17" s="167" t="s">
        <v>375</v>
      </c>
      <c r="C17" s="129" t="s">
        <v>48</v>
      </c>
      <c r="D17" s="168"/>
      <c r="E17" s="153" t="s">
        <v>68</v>
      </c>
      <c r="F17" s="156"/>
      <c r="G17" s="156"/>
      <c r="H17" s="156">
        <f>(0.413*12*103)/100</f>
        <v>5.1046799999999992</v>
      </c>
      <c r="I17" s="166">
        <f>SUMIFS(Продажи!F$5:F$359,Продажи!$D$5:$D$359,Конструкторы!$B17,Продажи!$C$5:$C$359,Конструкторы!$A17)*$H17</f>
        <v>0</v>
      </c>
      <c r="J17" s="166">
        <f>SUMIFS(Продажи!G$5:G$359,Продажи!$D$5:$D$359,Конструкторы!$B17,Продажи!$C$5:$C$359,Конструкторы!$A17)*$H17</f>
        <v>0</v>
      </c>
      <c r="K17" s="166">
        <f>SUMIFS(Продажи!H$5:H$359,Продажи!$D$5:$D$359,Конструкторы!$B17,Продажи!$C$5:$C$359,Конструкторы!$A17)*$H17</f>
        <v>0</v>
      </c>
      <c r="L17" s="166">
        <f>SUMIFS(Продажи!I$5:I$359,Продажи!$D$5:$D$359,Конструкторы!$B17,Продажи!$C$5:$C$359,Конструкторы!$A17)*$H17</f>
        <v>0</v>
      </c>
      <c r="M17" s="166">
        <f>SUMIFS(Продажи!J$5:J$359,Продажи!$D$5:$D$359,Конструкторы!$B17,Продажи!$C$5:$C$359,Конструкторы!$A17)*$H17</f>
        <v>0</v>
      </c>
      <c r="N17" s="166">
        <f>SUMIFS(Продажи!K$5:K$359,Продажи!$D$5:$D$359,Конструкторы!$B17,Продажи!$C$5:$C$359,Конструкторы!$A17)*$H17</f>
        <v>0</v>
      </c>
      <c r="O17" s="166">
        <f>SUMIFS(Продажи!L$5:L$359,Продажи!$D$5:$D$359,Конструкторы!$B17,Продажи!$C$5:$C$359,Конструкторы!$A17)*$H17</f>
        <v>0</v>
      </c>
      <c r="P17" s="166">
        <f>SUMIFS(Продажи!M$5:M$359,Продажи!$D$5:$D$359,Конструкторы!$B17,Продажи!$C$5:$C$359,Конструкторы!$A17)*$H17</f>
        <v>0</v>
      </c>
      <c r="Q17" s="166">
        <f>SUMIFS(Продажи!N$5:N$359,Продажи!$D$5:$D$359,Конструкторы!$B17,Продажи!$C$5:$C$359,Конструкторы!$A17)*$H17</f>
        <v>0</v>
      </c>
      <c r="R17" s="166">
        <f>SUMIFS(Продажи!O$5:O$359,Продажи!$D$5:$D$359,Конструкторы!$B17,Продажи!$C$5:$C$359,Конструкторы!$A17)*$H17</f>
        <v>0</v>
      </c>
      <c r="S17" s="166">
        <f>SUMIFS(Продажи!P$5:P$359,Продажи!$D$5:$D$359,Конструкторы!$B17,Продажи!$C$5:$C$359,Конструкторы!$A17)*$H17</f>
        <v>0</v>
      </c>
      <c r="T17" s="166">
        <f>SUMIFS(Продажи!Q$5:Q$359,Продажи!$D$5:$D$359,Конструкторы!$B17,Продажи!$C$5:$C$359,Конструкторы!$A17)*$H17</f>
        <v>0</v>
      </c>
    </row>
    <row r="18" spans="1:20" ht="15.75" hidden="1" x14ac:dyDescent="0.25">
      <c r="A18" s="166" t="s">
        <v>391</v>
      </c>
      <c r="B18" s="167" t="s">
        <v>375</v>
      </c>
      <c r="C18" s="129" t="s">
        <v>30</v>
      </c>
      <c r="D18" s="168"/>
      <c r="E18" s="153" t="s">
        <v>68</v>
      </c>
      <c r="F18" s="156"/>
      <c r="G18" s="156"/>
      <c r="H18" s="156">
        <f>(0.175*6*103)/100</f>
        <v>1.0814999999999997</v>
      </c>
      <c r="I18" s="166">
        <f>SUMIFS(Продажи!F$5:F$359,Продажи!$D$5:$D$359,Конструкторы!$B18,Продажи!$C$5:$C$359,Конструкторы!$A18)*$H18</f>
        <v>0</v>
      </c>
      <c r="J18" s="166">
        <f>SUMIFS(Продажи!G$5:G$359,Продажи!$D$5:$D$359,Конструкторы!$B18,Продажи!$C$5:$C$359,Конструкторы!$A18)*$H18</f>
        <v>0</v>
      </c>
      <c r="K18" s="166">
        <f>SUMIFS(Продажи!H$5:H$359,Продажи!$D$5:$D$359,Конструкторы!$B18,Продажи!$C$5:$C$359,Конструкторы!$A18)*$H18</f>
        <v>0</v>
      </c>
      <c r="L18" s="166">
        <f>SUMIFS(Продажи!I$5:I$359,Продажи!$D$5:$D$359,Конструкторы!$B18,Продажи!$C$5:$C$359,Конструкторы!$A18)*$H18</f>
        <v>0</v>
      </c>
      <c r="M18" s="166">
        <f>SUMIFS(Продажи!J$5:J$359,Продажи!$D$5:$D$359,Конструкторы!$B18,Продажи!$C$5:$C$359,Конструкторы!$A18)*$H18</f>
        <v>0</v>
      </c>
      <c r="N18" s="166">
        <f>SUMIFS(Продажи!K$5:K$359,Продажи!$D$5:$D$359,Конструкторы!$B18,Продажи!$C$5:$C$359,Конструкторы!$A18)*$H18</f>
        <v>0</v>
      </c>
      <c r="O18" s="166">
        <f>SUMIFS(Продажи!L$5:L$359,Продажи!$D$5:$D$359,Конструкторы!$B18,Продажи!$C$5:$C$359,Конструкторы!$A18)*$H18</f>
        <v>0</v>
      </c>
      <c r="P18" s="166">
        <f>SUMIFS(Продажи!M$5:M$359,Продажи!$D$5:$D$359,Конструкторы!$B18,Продажи!$C$5:$C$359,Конструкторы!$A18)*$H18</f>
        <v>0</v>
      </c>
      <c r="Q18" s="166">
        <f>SUMIFS(Продажи!N$5:N$359,Продажи!$D$5:$D$359,Конструкторы!$B18,Продажи!$C$5:$C$359,Конструкторы!$A18)*$H18</f>
        <v>0</v>
      </c>
      <c r="R18" s="166">
        <f>SUMIFS(Продажи!O$5:O$359,Продажи!$D$5:$D$359,Конструкторы!$B18,Продажи!$C$5:$C$359,Конструкторы!$A18)*$H18</f>
        <v>0</v>
      </c>
      <c r="S18" s="166">
        <f>SUMIFS(Продажи!P$5:P$359,Продажи!$D$5:$D$359,Конструкторы!$B18,Продажи!$C$5:$C$359,Конструкторы!$A18)*$H18</f>
        <v>0</v>
      </c>
      <c r="T18" s="166">
        <f>SUMIFS(Продажи!Q$5:Q$359,Продажи!$D$5:$D$359,Конструкторы!$B18,Продажи!$C$5:$C$359,Конструкторы!$A18)*$H18</f>
        <v>0</v>
      </c>
    </row>
    <row r="19" spans="1:20" ht="15.75" hidden="1" x14ac:dyDescent="0.25">
      <c r="A19" s="166" t="s">
        <v>391</v>
      </c>
      <c r="B19" s="167" t="s">
        <v>375</v>
      </c>
      <c r="C19" s="32" t="s">
        <v>96</v>
      </c>
      <c r="D19" s="148"/>
      <c r="E19" s="153" t="s">
        <v>70</v>
      </c>
      <c r="F19" s="148"/>
      <c r="G19" s="148"/>
      <c r="H19" s="148">
        <v>48</v>
      </c>
      <c r="I19" s="166">
        <f>SUMIFS(Продажи!F$5:F$359,Продажи!$D$5:$D$359,Конструкторы!$B19,Продажи!$C$5:$C$359,Конструкторы!$A19)*$H19</f>
        <v>0</v>
      </c>
      <c r="J19" s="166">
        <f>SUMIFS(Продажи!G$5:G$359,Продажи!$D$5:$D$359,Конструкторы!$B19,Продажи!$C$5:$C$359,Конструкторы!$A19)*$H19</f>
        <v>0</v>
      </c>
      <c r="K19" s="166">
        <f>SUMIFS(Продажи!H$5:H$359,Продажи!$D$5:$D$359,Конструкторы!$B19,Продажи!$C$5:$C$359,Конструкторы!$A19)*$H19</f>
        <v>0</v>
      </c>
      <c r="L19" s="166">
        <f>SUMIFS(Продажи!I$5:I$359,Продажи!$D$5:$D$359,Конструкторы!$B19,Продажи!$C$5:$C$359,Конструкторы!$A19)*$H19</f>
        <v>0</v>
      </c>
      <c r="M19" s="166">
        <f>SUMIFS(Продажи!J$5:J$359,Продажи!$D$5:$D$359,Конструкторы!$B19,Продажи!$C$5:$C$359,Конструкторы!$A19)*$H19</f>
        <v>0</v>
      </c>
      <c r="N19" s="166">
        <f>SUMIFS(Продажи!K$5:K$359,Продажи!$D$5:$D$359,Конструкторы!$B19,Продажи!$C$5:$C$359,Конструкторы!$A19)*$H19</f>
        <v>0</v>
      </c>
      <c r="O19" s="166">
        <f>SUMIFS(Продажи!L$5:L$359,Продажи!$D$5:$D$359,Конструкторы!$B19,Продажи!$C$5:$C$359,Конструкторы!$A19)*$H19</f>
        <v>0</v>
      </c>
      <c r="P19" s="166">
        <f>SUMIFS(Продажи!M$5:M$359,Продажи!$D$5:$D$359,Конструкторы!$B19,Продажи!$C$5:$C$359,Конструкторы!$A19)*$H19</f>
        <v>0</v>
      </c>
      <c r="Q19" s="166">
        <f>SUMIFS(Продажи!N$5:N$359,Продажи!$D$5:$D$359,Конструкторы!$B19,Продажи!$C$5:$C$359,Конструкторы!$A19)*$H19</f>
        <v>0</v>
      </c>
      <c r="R19" s="166">
        <f>SUMIFS(Продажи!O$5:O$359,Продажи!$D$5:$D$359,Конструкторы!$B19,Продажи!$C$5:$C$359,Конструкторы!$A19)*$H19</f>
        <v>0</v>
      </c>
      <c r="S19" s="166">
        <f>SUMIFS(Продажи!P$5:P$359,Продажи!$D$5:$D$359,Конструкторы!$B19,Продажи!$C$5:$C$359,Конструкторы!$A19)*$H19</f>
        <v>0</v>
      </c>
      <c r="T19" s="166">
        <f>SUMIFS(Продажи!Q$5:Q$359,Продажи!$D$5:$D$359,Конструкторы!$B19,Продажи!$C$5:$C$359,Конструкторы!$A19)*$H19</f>
        <v>0</v>
      </c>
    </row>
    <row r="20" spans="1:20" ht="15.75" hidden="1" x14ac:dyDescent="0.25">
      <c r="A20" s="166" t="s">
        <v>391</v>
      </c>
      <c r="B20" s="167" t="s">
        <v>375</v>
      </c>
      <c r="C20" s="32" t="s">
        <v>98</v>
      </c>
      <c r="D20" s="148"/>
      <c r="E20" s="153" t="s">
        <v>70</v>
      </c>
      <c r="F20" s="148"/>
      <c r="G20" s="148"/>
      <c r="H20" s="148">
        <v>12</v>
      </c>
      <c r="I20" s="166">
        <f>SUMIFS(Продажи!F$5:F$359,Продажи!$D$5:$D$359,Конструкторы!$B20,Продажи!$C$5:$C$359,Конструкторы!$A20)*$H20</f>
        <v>0</v>
      </c>
      <c r="J20" s="166">
        <f>SUMIFS(Продажи!G$5:G$359,Продажи!$D$5:$D$359,Конструкторы!$B20,Продажи!$C$5:$C$359,Конструкторы!$A20)*$H20</f>
        <v>0</v>
      </c>
      <c r="K20" s="166">
        <f>SUMIFS(Продажи!H$5:H$359,Продажи!$D$5:$D$359,Конструкторы!$B20,Продажи!$C$5:$C$359,Конструкторы!$A20)*$H20</f>
        <v>0</v>
      </c>
      <c r="L20" s="166">
        <f>SUMIFS(Продажи!I$5:I$359,Продажи!$D$5:$D$359,Конструкторы!$B20,Продажи!$C$5:$C$359,Конструкторы!$A20)*$H20</f>
        <v>0</v>
      </c>
      <c r="M20" s="166">
        <f>SUMIFS(Продажи!J$5:J$359,Продажи!$D$5:$D$359,Конструкторы!$B20,Продажи!$C$5:$C$359,Конструкторы!$A20)*$H20</f>
        <v>0</v>
      </c>
      <c r="N20" s="166">
        <f>SUMIFS(Продажи!K$5:K$359,Продажи!$D$5:$D$359,Конструкторы!$B20,Продажи!$C$5:$C$359,Конструкторы!$A20)*$H20</f>
        <v>0</v>
      </c>
      <c r="O20" s="166">
        <f>SUMIFS(Продажи!L$5:L$359,Продажи!$D$5:$D$359,Конструкторы!$B20,Продажи!$C$5:$C$359,Конструкторы!$A20)*$H20</f>
        <v>0</v>
      </c>
      <c r="P20" s="166">
        <f>SUMIFS(Продажи!M$5:M$359,Продажи!$D$5:$D$359,Конструкторы!$B20,Продажи!$C$5:$C$359,Конструкторы!$A20)*$H20</f>
        <v>0</v>
      </c>
      <c r="Q20" s="166">
        <f>SUMIFS(Продажи!N$5:N$359,Продажи!$D$5:$D$359,Конструкторы!$B20,Продажи!$C$5:$C$359,Конструкторы!$A20)*$H20</f>
        <v>0</v>
      </c>
      <c r="R20" s="166">
        <f>SUMIFS(Продажи!O$5:O$359,Продажи!$D$5:$D$359,Конструкторы!$B20,Продажи!$C$5:$C$359,Конструкторы!$A20)*$H20</f>
        <v>0</v>
      </c>
      <c r="S20" s="166">
        <f>SUMIFS(Продажи!P$5:P$359,Продажи!$D$5:$D$359,Конструкторы!$B20,Продажи!$C$5:$C$359,Конструкторы!$A20)*$H20</f>
        <v>0</v>
      </c>
      <c r="T20" s="166">
        <f>SUMIFS(Продажи!Q$5:Q$359,Продажи!$D$5:$D$359,Конструкторы!$B20,Продажи!$C$5:$C$359,Конструкторы!$A20)*$H20</f>
        <v>0</v>
      </c>
    </row>
    <row r="21" spans="1:20" ht="15.75" hidden="1" x14ac:dyDescent="0.25">
      <c r="A21" s="166" t="s">
        <v>391</v>
      </c>
      <c r="B21" s="167" t="s">
        <v>375</v>
      </c>
      <c r="C21" s="32" t="s">
        <v>99</v>
      </c>
      <c r="D21" s="148"/>
      <c r="E21" s="153" t="s">
        <v>70</v>
      </c>
      <c r="F21" s="148"/>
      <c r="G21" s="148"/>
      <c r="H21" s="148">
        <v>12</v>
      </c>
      <c r="I21" s="166">
        <f>SUMIFS(Продажи!F$5:F$359,Продажи!$D$5:$D$359,Конструкторы!$B21,Продажи!$C$5:$C$359,Конструкторы!$A21)*$H21</f>
        <v>0</v>
      </c>
      <c r="J21" s="166">
        <f>SUMIFS(Продажи!G$5:G$359,Продажи!$D$5:$D$359,Конструкторы!$B21,Продажи!$C$5:$C$359,Конструкторы!$A21)*$H21</f>
        <v>0</v>
      </c>
      <c r="K21" s="166">
        <f>SUMIFS(Продажи!H$5:H$359,Продажи!$D$5:$D$359,Конструкторы!$B21,Продажи!$C$5:$C$359,Конструкторы!$A21)*$H21</f>
        <v>0</v>
      </c>
      <c r="L21" s="166">
        <f>SUMIFS(Продажи!I$5:I$359,Продажи!$D$5:$D$359,Конструкторы!$B21,Продажи!$C$5:$C$359,Конструкторы!$A21)*$H21</f>
        <v>0</v>
      </c>
      <c r="M21" s="166">
        <f>SUMIFS(Продажи!J$5:J$359,Продажи!$D$5:$D$359,Конструкторы!$B21,Продажи!$C$5:$C$359,Конструкторы!$A21)*$H21</f>
        <v>0</v>
      </c>
      <c r="N21" s="166">
        <f>SUMIFS(Продажи!K$5:K$359,Продажи!$D$5:$D$359,Конструкторы!$B21,Продажи!$C$5:$C$359,Конструкторы!$A21)*$H21</f>
        <v>0</v>
      </c>
      <c r="O21" s="166">
        <f>SUMIFS(Продажи!L$5:L$359,Продажи!$D$5:$D$359,Конструкторы!$B21,Продажи!$C$5:$C$359,Конструкторы!$A21)*$H21</f>
        <v>0</v>
      </c>
      <c r="P21" s="166">
        <f>SUMIFS(Продажи!M$5:M$359,Продажи!$D$5:$D$359,Конструкторы!$B21,Продажи!$C$5:$C$359,Конструкторы!$A21)*$H21</f>
        <v>0</v>
      </c>
      <c r="Q21" s="166">
        <f>SUMIFS(Продажи!N$5:N$359,Продажи!$D$5:$D$359,Конструкторы!$B21,Продажи!$C$5:$C$359,Конструкторы!$A21)*$H21</f>
        <v>0</v>
      </c>
      <c r="R21" s="166">
        <f>SUMIFS(Продажи!O$5:O$359,Продажи!$D$5:$D$359,Конструкторы!$B21,Продажи!$C$5:$C$359,Конструкторы!$A21)*$H21</f>
        <v>0</v>
      </c>
      <c r="S21" s="166">
        <f>SUMIFS(Продажи!P$5:P$359,Продажи!$D$5:$D$359,Конструкторы!$B21,Продажи!$C$5:$C$359,Конструкторы!$A21)*$H21</f>
        <v>0</v>
      </c>
      <c r="T21" s="166">
        <f>SUMIFS(Продажи!Q$5:Q$359,Продажи!$D$5:$D$359,Конструкторы!$B21,Продажи!$C$5:$C$359,Конструкторы!$A21)*$H21</f>
        <v>0</v>
      </c>
    </row>
    <row r="22" spans="1:20" ht="15.75" hidden="1" x14ac:dyDescent="0.25">
      <c r="A22" s="166" t="s">
        <v>391</v>
      </c>
      <c r="B22" s="167" t="s">
        <v>375</v>
      </c>
      <c r="C22" s="32" t="s">
        <v>100</v>
      </c>
      <c r="D22" s="148"/>
      <c r="E22" s="153" t="s">
        <v>70</v>
      </c>
      <c r="F22" s="148"/>
      <c r="G22" s="148"/>
      <c r="H22" s="148">
        <v>24</v>
      </c>
      <c r="I22" s="166">
        <f>SUMIFS(Продажи!F$5:F$359,Продажи!$D$5:$D$359,Конструкторы!$B22,Продажи!$C$5:$C$359,Конструкторы!$A22)*$H22</f>
        <v>0</v>
      </c>
      <c r="J22" s="166">
        <f>SUMIFS(Продажи!G$5:G$359,Продажи!$D$5:$D$359,Конструкторы!$B22,Продажи!$C$5:$C$359,Конструкторы!$A22)*$H22</f>
        <v>0</v>
      </c>
      <c r="K22" s="166">
        <f>SUMIFS(Продажи!H$5:H$359,Продажи!$D$5:$D$359,Конструкторы!$B22,Продажи!$C$5:$C$359,Конструкторы!$A22)*$H22</f>
        <v>0</v>
      </c>
      <c r="L22" s="166">
        <f>SUMIFS(Продажи!I$5:I$359,Продажи!$D$5:$D$359,Конструкторы!$B22,Продажи!$C$5:$C$359,Конструкторы!$A22)*$H22</f>
        <v>0</v>
      </c>
      <c r="M22" s="166">
        <f>SUMIFS(Продажи!J$5:J$359,Продажи!$D$5:$D$359,Конструкторы!$B22,Продажи!$C$5:$C$359,Конструкторы!$A22)*$H22</f>
        <v>0</v>
      </c>
      <c r="N22" s="166">
        <f>SUMIFS(Продажи!K$5:K$359,Продажи!$D$5:$D$359,Конструкторы!$B22,Продажи!$C$5:$C$359,Конструкторы!$A22)*$H22</f>
        <v>0</v>
      </c>
      <c r="O22" s="166">
        <f>SUMIFS(Продажи!L$5:L$359,Продажи!$D$5:$D$359,Конструкторы!$B22,Продажи!$C$5:$C$359,Конструкторы!$A22)*$H22</f>
        <v>0</v>
      </c>
      <c r="P22" s="166">
        <f>SUMIFS(Продажи!M$5:M$359,Продажи!$D$5:$D$359,Конструкторы!$B22,Продажи!$C$5:$C$359,Конструкторы!$A22)*$H22</f>
        <v>0</v>
      </c>
      <c r="Q22" s="166">
        <f>SUMIFS(Продажи!N$5:N$359,Продажи!$D$5:$D$359,Конструкторы!$B22,Продажи!$C$5:$C$359,Конструкторы!$A22)*$H22</f>
        <v>0</v>
      </c>
      <c r="R22" s="166">
        <f>SUMIFS(Продажи!O$5:O$359,Продажи!$D$5:$D$359,Конструкторы!$B22,Продажи!$C$5:$C$359,Конструкторы!$A22)*$H22</f>
        <v>0</v>
      </c>
      <c r="S22" s="166">
        <f>SUMIFS(Продажи!P$5:P$359,Продажи!$D$5:$D$359,Конструкторы!$B22,Продажи!$C$5:$C$359,Конструкторы!$A22)*$H22</f>
        <v>0</v>
      </c>
      <c r="T22" s="166">
        <f>SUMIFS(Продажи!Q$5:Q$359,Продажи!$D$5:$D$359,Конструкторы!$B22,Продажи!$C$5:$C$359,Конструкторы!$A22)*$H22</f>
        <v>0</v>
      </c>
    </row>
    <row r="23" spans="1:20" ht="15.75" hidden="1" x14ac:dyDescent="0.25">
      <c r="A23" s="166" t="s">
        <v>391</v>
      </c>
      <c r="B23" s="167" t="s">
        <v>375</v>
      </c>
      <c r="C23" s="32" t="s">
        <v>97</v>
      </c>
      <c r="D23" s="148"/>
      <c r="E23" s="153" t="s">
        <v>70</v>
      </c>
      <c r="F23" s="148"/>
      <c r="G23" s="148"/>
      <c r="H23" s="148">
        <v>4</v>
      </c>
      <c r="I23" s="166">
        <f>SUMIFS(Продажи!F$5:F$359,Продажи!$D$5:$D$359,Конструкторы!$B23,Продажи!$C$5:$C$359,Конструкторы!$A23)*$H23</f>
        <v>0</v>
      </c>
      <c r="J23" s="166">
        <f>SUMIFS(Продажи!G$5:G$359,Продажи!$D$5:$D$359,Конструкторы!$B23,Продажи!$C$5:$C$359,Конструкторы!$A23)*$H23</f>
        <v>0</v>
      </c>
      <c r="K23" s="166">
        <f>SUMIFS(Продажи!H$5:H$359,Продажи!$D$5:$D$359,Конструкторы!$B23,Продажи!$C$5:$C$359,Конструкторы!$A23)*$H23</f>
        <v>0</v>
      </c>
      <c r="L23" s="166">
        <f>SUMIFS(Продажи!I$5:I$359,Продажи!$D$5:$D$359,Конструкторы!$B23,Продажи!$C$5:$C$359,Конструкторы!$A23)*$H23</f>
        <v>0</v>
      </c>
      <c r="M23" s="166">
        <f>SUMIFS(Продажи!J$5:J$359,Продажи!$D$5:$D$359,Конструкторы!$B23,Продажи!$C$5:$C$359,Конструкторы!$A23)*$H23</f>
        <v>0</v>
      </c>
      <c r="N23" s="166">
        <f>SUMIFS(Продажи!K$5:K$359,Продажи!$D$5:$D$359,Конструкторы!$B23,Продажи!$C$5:$C$359,Конструкторы!$A23)*$H23</f>
        <v>0</v>
      </c>
      <c r="O23" s="166">
        <f>SUMIFS(Продажи!L$5:L$359,Продажи!$D$5:$D$359,Конструкторы!$B23,Продажи!$C$5:$C$359,Конструкторы!$A23)*$H23</f>
        <v>0</v>
      </c>
      <c r="P23" s="166">
        <f>SUMIFS(Продажи!M$5:M$359,Продажи!$D$5:$D$359,Конструкторы!$B23,Продажи!$C$5:$C$359,Конструкторы!$A23)*$H23</f>
        <v>0</v>
      </c>
      <c r="Q23" s="166">
        <f>SUMIFS(Продажи!N$5:N$359,Продажи!$D$5:$D$359,Конструкторы!$B23,Продажи!$C$5:$C$359,Конструкторы!$A23)*$H23</f>
        <v>0</v>
      </c>
      <c r="R23" s="166">
        <f>SUMIFS(Продажи!O$5:O$359,Продажи!$D$5:$D$359,Конструкторы!$B23,Продажи!$C$5:$C$359,Конструкторы!$A23)*$H23</f>
        <v>0</v>
      </c>
      <c r="S23" s="166">
        <f>SUMIFS(Продажи!P$5:P$359,Продажи!$D$5:$D$359,Конструкторы!$B23,Продажи!$C$5:$C$359,Конструкторы!$A23)*$H23</f>
        <v>0</v>
      </c>
      <c r="T23" s="166">
        <f>SUMIFS(Продажи!Q$5:Q$359,Продажи!$D$5:$D$359,Конструкторы!$B23,Продажи!$C$5:$C$359,Конструкторы!$A23)*$H23</f>
        <v>0</v>
      </c>
    </row>
    <row r="24" spans="1:20" ht="15.75" hidden="1" x14ac:dyDescent="0.25">
      <c r="A24" s="166" t="s">
        <v>391</v>
      </c>
      <c r="B24" s="167" t="s">
        <v>376</v>
      </c>
      <c r="C24" s="129" t="s">
        <v>43</v>
      </c>
      <c r="D24" s="168"/>
      <c r="E24" s="153" t="s">
        <v>68</v>
      </c>
      <c r="F24" s="156"/>
      <c r="G24" s="156"/>
      <c r="H24" s="156">
        <f>(1.795*2*103)/100</f>
        <v>3.6976999999999998</v>
      </c>
      <c r="I24" s="166">
        <f>SUMIFS(Продажи!F$5:F$359,Продажи!$D$5:$D$359,Конструкторы!$B24,Продажи!$C$5:$C$359,Конструкторы!$A24)*$H24</f>
        <v>0</v>
      </c>
      <c r="J24" s="166">
        <f>SUMIFS(Продажи!G$5:G$359,Продажи!$D$5:$D$359,Конструкторы!$B24,Продажи!$C$5:$C$359,Конструкторы!$A24)*$H24</f>
        <v>0</v>
      </c>
      <c r="K24" s="166">
        <f>SUMIFS(Продажи!H$5:H$359,Продажи!$D$5:$D$359,Конструкторы!$B24,Продажи!$C$5:$C$359,Конструкторы!$A24)*$H24</f>
        <v>0</v>
      </c>
      <c r="L24" s="166">
        <f>SUMIFS(Продажи!I$5:I$359,Продажи!$D$5:$D$359,Конструкторы!$B24,Продажи!$C$5:$C$359,Конструкторы!$A24)*$H24</f>
        <v>0</v>
      </c>
      <c r="M24" s="166">
        <f>SUMIFS(Продажи!J$5:J$359,Продажи!$D$5:$D$359,Конструкторы!$B24,Продажи!$C$5:$C$359,Конструкторы!$A24)*$H24</f>
        <v>0</v>
      </c>
      <c r="N24" s="166">
        <f>SUMIFS(Продажи!K$5:K$359,Продажи!$D$5:$D$359,Конструкторы!$B24,Продажи!$C$5:$C$359,Конструкторы!$A24)*$H24</f>
        <v>0</v>
      </c>
      <c r="O24" s="166">
        <f>SUMIFS(Продажи!L$5:L$359,Продажи!$D$5:$D$359,Конструкторы!$B24,Продажи!$C$5:$C$359,Конструкторы!$A24)*$H24</f>
        <v>0</v>
      </c>
      <c r="P24" s="166">
        <f>SUMIFS(Продажи!M$5:M$359,Продажи!$D$5:$D$359,Конструкторы!$B24,Продажи!$C$5:$C$359,Конструкторы!$A24)*$H24</f>
        <v>0</v>
      </c>
      <c r="Q24" s="166">
        <f>SUMIFS(Продажи!N$5:N$359,Продажи!$D$5:$D$359,Конструкторы!$B24,Продажи!$C$5:$C$359,Конструкторы!$A24)*$H24</f>
        <v>0</v>
      </c>
      <c r="R24" s="166">
        <f>SUMIFS(Продажи!O$5:O$359,Продажи!$D$5:$D$359,Конструкторы!$B24,Продажи!$C$5:$C$359,Конструкторы!$A24)*$H24</f>
        <v>0</v>
      </c>
      <c r="S24" s="166">
        <f>SUMIFS(Продажи!P$5:P$359,Продажи!$D$5:$D$359,Конструкторы!$B24,Продажи!$C$5:$C$359,Конструкторы!$A24)*$H24</f>
        <v>0</v>
      </c>
      <c r="T24" s="166">
        <f>SUMIFS(Продажи!Q$5:Q$359,Продажи!$D$5:$D$359,Конструкторы!$B24,Продажи!$C$5:$C$359,Конструкторы!$A24)*$H24</f>
        <v>0</v>
      </c>
    </row>
    <row r="25" spans="1:20" ht="15.75" hidden="1" x14ac:dyDescent="0.25">
      <c r="A25" s="166" t="s">
        <v>391</v>
      </c>
      <c r="B25" s="167" t="s">
        <v>376</v>
      </c>
      <c r="C25" s="129" t="s">
        <v>48</v>
      </c>
      <c r="D25" s="168"/>
      <c r="E25" s="153" t="s">
        <v>68</v>
      </c>
      <c r="F25" s="156"/>
      <c r="G25" s="156"/>
      <c r="H25" s="156">
        <f>(0.413*6*103)/100</f>
        <v>2.5523399999999996</v>
      </c>
      <c r="I25" s="166">
        <f>SUMIFS(Продажи!F$5:F$359,Продажи!$D$5:$D$359,Конструкторы!$B25,Продажи!$C$5:$C$359,Конструкторы!$A25)*$H25</f>
        <v>0</v>
      </c>
      <c r="J25" s="166">
        <f>SUMIFS(Продажи!G$5:G$359,Продажи!$D$5:$D$359,Конструкторы!$B25,Продажи!$C$5:$C$359,Конструкторы!$A25)*$H25</f>
        <v>0</v>
      </c>
      <c r="K25" s="166">
        <f>SUMIFS(Продажи!H$5:H$359,Продажи!$D$5:$D$359,Конструкторы!$B25,Продажи!$C$5:$C$359,Конструкторы!$A25)*$H25</f>
        <v>0</v>
      </c>
      <c r="L25" s="166">
        <f>SUMIFS(Продажи!I$5:I$359,Продажи!$D$5:$D$359,Конструкторы!$B25,Продажи!$C$5:$C$359,Конструкторы!$A25)*$H25</f>
        <v>0</v>
      </c>
      <c r="M25" s="166">
        <f>SUMIFS(Продажи!J$5:J$359,Продажи!$D$5:$D$359,Конструкторы!$B25,Продажи!$C$5:$C$359,Конструкторы!$A25)*$H25</f>
        <v>0</v>
      </c>
      <c r="N25" s="166">
        <f>SUMIFS(Продажи!K$5:K$359,Продажи!$D$5:$D$359,Конструкторы!$B25,Продажи!$C$5:$C$359,Конструкторы!$A25)*$H25</f>
        <v>0</v>
      </c>
      <c r="O25" s="166">
        <f>SUMIFS(Продажи!L$5:L$359,Продажи!$D$5:$D$359,Конструкторы!$B25,Продажи!$C$5:$C$359,Конструкторы!$A25)*$H25</f>
        <v>0</v>
      </c>
      <c r="P25" s="166">
        <f>SUMIFS(Продажи!M$5:M$359,Продажи!$D$5:$D$359,Конструкторы!$B25,Продажи!$C$5:$C$359,Конструкторы!$A25)*$H25</f>
        <v>0</v>
      </c>
      <c r="Q25" s="166">
        <f>SUMIFS(Продажи!N$5:N$359,Продажи!$D$5:$D$359,Конструкторы!$B25,Продажи!$C$5:$C$359,Конструкторы!$A25)*$H25</f>
        <v>0</v>
      </c>
      <c r="R25" s="166">
        <f>SUMIFS(Продажи!O$5:O$359,Продажи!$D$5:$D$359,Конструкторы!$B25,Продажи!$C$5:$C$359,Конструкторы!$A25)*$H25</f>
        <v>0</v>
      </c>
      <c r="S25" s="166">
        <f>SUMIFS(Продажи!P$5:P$359,Продажи!$D$5:$D$359,Конструкторы!$B25,Продажи!$C$5:$C$359,Конструкторы!$A25)*$H25</f>
        <v>0</v>
      </c>
      <c r="T25" s="166">
        <f>SUMIFS(Продажи!Q$5:Q$359,Продажи!$D$5:$D$359,Конструкторы!$B25,Продажи!$C$5:$C$359,Конструкторы!$A25)*$H25</f>
        <v>0</v>
      </c>
    </row>
    <row r="26" spans="1:20" ht="15.75" hidden="1" x14ac:dyDescent="0.25">
      <c r="A26" s="166" t="s">
        <v>391</v>
      </c>
      <c r="B26" s="167" t="s">
        <v>376</v>
      </c>
      <c r="C26" s="129" t="s">
        <v>30</v>
      </c>
      <c r="D26" s="168"/>
      <c r="E26" s="153" t="s">
        <v>68</v>
      </c>
      <c r="F26" s="156"/>
      <c r="G26" s="156"/>
      <c r="H26" s="156">
        <f>(0.175*2*103)/100</f>
        <v>0.36049999999999999</v>
      </c>
      <c r="I26" s="166">
        <f>SUMIFS(Продажи!F$5:F$359,Продажи!$D$5:$D$359,Конструкторы!$B26,Продажи!$C$5:$C$359,Конструкторы!$A26)*$H26</f>
        <v>0</v>
      </c>
      <c r="J26" s="166">
        <f>SUMIFS(Продажи!G$5:G$359,Продажи!$D$5:$D$359,Конструкторы!$B26,Продажи!$C$5:$C$359,Конструкторы!$A26)*$H26</f>
        <v>0</v>
      </c>
      <c r="K26" s="166">
        <f>SUMIFS(Продажи!H$5:H$359,Продажи!$D$5:$D$359,Конструкторы!$B26,Продажи!$C$5:$C$359,Конструкторы!$A26)*$H26</f>
        <v>0</v>
      </c>
      <c r="L26" s="166">
        <f>SUMIFS(Продажи!I$5:I$359,Продажи!$D$5:$D$359,Конструкторы!$B26,Продажи!$C$5:$C$359,Конструкторы!$A26)*$H26</f>
        <v>0</v>
      </c>
      <c r="M26" s="166">
        <f>SUMIFS(Продажи!J$5:J$359,Продажи!$D$5:$D$359,Конструкторы!$B26,Продажи!$C$5:$C$359,Конструкторы!$A26)*$H26</f>
        <v>0</v>
      </c>
      <c r="N26" s="166">
        <f>SUMIFS(Продажи!K$5:K$359,Продажи!$D$5:$D$359,Конструкторы!$B26,Продажи!$C$5:$C$359,Конструкторы!$A26)*$H26</f>
        <v>0</v>
      </c>
      <c r="O26" s="166">
        <f>SUMIFS(Продажи!L$5:L$359,Продажи!$D$5:$D$359,Конструкторы!$B26,Продажи!$C$5:$C$359,Конструкторы!$A26)*$H26</f>
        <v>0</v>
      </c>
      <c r="P26" s="166">
        <f>SUMIFS(Продажи!M$5:M$359,Продажи!$D$5:$D$359,Конструкторы!$B26,Продажи!$C$5:$C$359,Конструкторы!$A26)*$H26</f>
        <v>0</v>
      </c>
      <c r="Q26" s="166">
        <f>SUMIFS(Продажи!N$5:N$359,Продажи!$D$5:$D$359,Конструкторы!$B26,Продажи!$C$5:$C$359,Конструкторы!$A26)*$H26</f>
        <v>0</v>
      </c>
      <c r="R26" s="166">
        <f>SUMIFS(Продажи!O$5:O$359,Продажи!$D$5:$D$359,Конструкторы!$B26,Продажи!$C$5:$C$359,Конструкторы!$A26)*$H26</f>
        <v>0</v>
      </c>
      <c r="S26" s="166">
        <f>SUMIFS(Продажи!P$5:P$359,Продажи!$D$5:$D$359,Конструкторы!$B26,Продажи!$C$5:$C$359,Конструкторы!$A26)*$H26</f>
        <v>0</v>
      </c>
      <c r="T26" s="166">
        <f>SUMIFS(Продажи!Q$5:Q$359,Продажи!$D$5:$D$359,Конструкторы!$B26,Продажи!$C$5:$C$359,Конструкторы!$A26)*$H26</f>
        <v>0</v>
      </c>
    </row>
    <row r="27" spans="1:20" ht="15.75" hidden="1" x14ac:dyDescent="0.25">
      <c r="A27" s="166" t="s">
        <v>391</v>
      </c>
      <c r="B27" s="167" t="s">
        <v>376</v>
      </c>
      <c r="C27" s="32" t="s">
        <v>96</v>
      </c>
      <c r="D27" s="148"/>
      <c r="E27" s="153" t="s">
        <v>70</v>
      </c>
      <c r="F27" s="148"/>
      <c r="G27" s="148"/>
      <c r="H27" s="148">
        <v>24</v>
      </c>
      <c r="I27" s="166">
        <f>SUMIFS(Продажи!F$5:F$359,Продажи!$D$5:$D$359,Конструкторы!$B27,Продажи!$C$5:$C$359,Конструкторы!$A27)*$H27</f>
        <v>0</v>
      </c>
      <c r="J27" s="166">
        <f>SUMIFS(Продажи!G$5:G$359,Продажи!$D$5:$D$359,Конструкторы!$B27,Продажи!$C$5:$C$359,Конструкторы!$A27)*$H27</f>
        <v>0</v>
      </c>
      <c r="K27" s="166">
        <f>SUMIFS(Продажи!H$5:H$359,Продажи!$D$5:$D$359,Конструкторы!$B27,Продажи!$C$5:$C$359,Конструкторы!$A27)*$H27</f>
        <v>0</v>
      </c>
      <c r="L27" s="166">
        <f>SUMIFS(Продажи!I$5:I$359,Продажи!$D$5:$D$359,Конструкторы!$B27,Продажи!$C$5:$C$359,Конструкторы!$A27)*$H27</f>
        <v>0</v>
      </c>
      <c r="M27" s="166">
        <f>SUMIFS(Продажи!J$5:J$359,Продажи!$D$5:$D$359,Конструкторы!$B27,Продажи!$C$5:$C$359,Конструкторы!$A27)*$H27</f>
        <v>0</v>
      </c>
      <c r="N27" s="166">
        <f>SUMIFS(Продажи!K$5:K$359,Продажи!$D$5:$D$359,Конструкторы!$B27,Продажи!$C$5:$C$359,Конструкторы!$A27)*$H27</f>
        <v>0</v>
      </c>
      <c r="O27" s="166">
        <f>SUMIFS(Продажи!L$5:L$359,Продажи!$D$5:$D$359,Конструкторы!$B27,Продажи!$C$5:$C$359,Конструкторы!$A27)*$H27</f>
        <v>0</v>
      </c>
      <c r="P27" s="166">
        <f>SUMIFS(Продажи!M$5:M$359,Продажи!$D$5:$D$359,Конструкторы!$B27,Продажи!$C$5:$C$359,Конструкторы!$A27)*$H27</f>
        <v>0</v>
      </c>
      <c r="Q27" s="166">
        <f>SUMIFS(Продажи!N$5:N$359,Продажи!$D$5:$D$359,Конструкторы!$B27,Продажи!$C$5:$C$359,Конструкторы!$A27)*$H27</f>
        <v>0</v>
      </c>
      <c r="R27" s="166">
        <f>SUMIFS(Продажи!O$5:O$359,Продажи!$D$5:$D$359,Конструкторы!$B27,Продажи!$C$5:$C$359,Конструкторы!$A27)*$H27</f>
        <v>0</v>
      </c>
      <c r="S27" s="166">
        <f>SUMIFS(Продажи!P$5:P$359,Продажи!$D$5:$D$359,Конструкторы!$B27,Продажи!$C$5:$C$359,Конструкторы!$A27)*$H27</f>
        <v>0</v>
      </c>
      <c r="T27" s="166">
        <f>SUMIFS(Продажи!Q$5:Q$359,Продажи!$D$5:$D$359,Конструкторы!$B27,Продажи!$C$5:$C$359,Конструкторы!$A27)*$H27</f>
        <v>0</v>
      </c>
    </row>
    <row r="28" spans="1:20" ht="15.75" hidden="1" x14ac:dyDescent="0.25">
      <c r="A28" s="166" t="s">
        <v>391</v>
      </c>
      <c r="B28" s="167" t="s">
        <v>376</v>
      </c>
      <c r="C28" s="32" t="s">
        <v>98</v>
      </c>
      <c r="D28" s="148"/>
      <c r="E28" s="153" t="s">
        <v>70</v>
      </c>
      <c r="F28" s="148"/>
      <c r="G28" s="148"/>
      <c r="H28" s="148">
        <v>4</v>
      </c>
      <c r="I28" s="166">
        <f>SUMIFS(Продажи!F$5:F$359,Продажи!$D$5:$D$359,Конструкторы!$B28,Продажи!$C$5:$C$359,Конструкторы!$A28)*$H28</f>
        <v>0</v>
      </c>
      <c r="J28" s="166">
        <f>SUMIFS(Продажи!G$5:G$359,Продажи!$D$5:$D$359,Конструкторы!$B28,Продажи!$C$5:$C$359,Конструкторы!$A28)*$H28</f>
        <v>0</v>
      </c>
      <c r="K28" s="166">
        <f>SUMIFS(Продажи!H$5:H$359,Продажи!$D$5:$D$359,Конструкторы!$B28,Продажи!$C$5:$C$359,Конструкторы!$A28)*$H28</f>
        <v>0</v>
      </c>
      <c r="L28" s="166">
        <f>SUMIFS(Продажи!I$5:I$359,Продажи!$D$5:$D$359,Конструкторы!$B28,Продажи!$C$5:$C$359,Конструкторы!$A28)*$H28</f>
        <v>0</v>
      </c>
      <c r="M28" s="166">
        <f>SUMIFS(Продажи!J$5:J$359,Продажи!$D$5:$D$359,Конструкторы!$B28,Продажи!$C$5:$C$359,Конструкторы!$A28)*$H28</f>
        <v>0</v>
      </c>
      <c r="N28" s="166">
        <f>SUMIFS(Продажи!K$5:K$359,Продажи!$D$5:$D$359,Конструкторы!$B28,Продажи!$C$5:$C$359,Конструкторы!$A28)*$H28</f>
        <v>0</v>
      </c>
      <c r="O28" s="166">
        <f>SUMIFS(Продажи!L$5:L$359,Продажи!$D$5:$D$359,Конструкторы!$B28,Продажи!$C$5:$C$359,Конструкторы!$A28)*$H28</f>
        <v>0</v>
      </c>
      <c r="P28" s="166">
        <f>SUMIFS(Продажи!M$5:M$359,Продажи!$D$5:$D$359,Конструкторы!$B28,Продажи!$C$5:$C$359,Конструкторы!$A28)*$H28</f>
        <v>0</v>
      </c>
      <c r="Q28" s="166">
        <f>SUMIFS(Продажи!N$5:N$359,Продажи!$D$5:$D$359,Конструкторы!$B28,Продажи!$C$5:$C$359,Конструкторы!$A28)*$H28</f>
        <v>0</v>
      </c>
      <c r="R28" s="166">
        <f>SUMIFS(Продажи!O$5:O$359,Продажи!$D$5:$D$359,Конструкторы!$B28,Продажи!$C$5:$C$359,Конструкторы!$A28)*$H28</f>
        <v>0</v>
      </c>
      <c r="S28" s="166">
        <f>SUMIFS(Продажи!P$5:P$359,Продажи!$D$5:$D$359,Конструкторы!$B28,Продажи!$C$5:$C$359,Конструкторы!$A28)*$H28</f>
        <v>0</v>
      </c>
      <c r="T28" s="166">
        <f>SUMIFS(Продажи!Q$5:Q$359,Продажи!$D$5:$D$359,Конструкторы!$B28,Продажи!$C$5:$C$359,Конструкторы!$A28)*$H28</f>
        <v>0</v>
      </c>
    </row>
    <row r="29" spans="1:20" ht="15.75" hidden="1" x14ac:dyDescent="0.25">
      <c r="A29" s="166" t="s">
        <v>391</v>
      </c>
      <c r="B29" s="167" t="s">
        <v>376</v>
      </c>
      <c r="C29" s="32" t="s">
        <v>99</v>
      </c>
      <c r="D29" s="148"/>
      <c r="E29" s="153" t="s">
        <v>70</v>
      </c>
      <c r="F29" s="148"/>
      <c r="G29" s="148"/>
      <c r="H29" s="148">
        <v>4</v>
      </c>
      <c r="I29" s="166">
        <f>SUMIFS(Продажи!F$5:F$359,Продажи!$D$5:$D$359,Конструкторы!$B29,Продажи!$C$5:$C$359,Конструкторы!$A29)*$H29</f>
        <v>0</v>
      </c>
      <c r="J29" s="166">
        <f>SUMIFS(Продажи!G$5:G$359,Продажи!$D$5:$D$359,Конструкторы!$B29,Продажи!$C$5:$C$359,Конструкторы!$A29)*$H29</f>
        <v>0</v>
      </c>
      <c r="K29" s="166">
        <f>SUMIFS(Продажи!H$5:H$359,Продажи!$D$5:$D$359,Конструкторы!$B29,Продажи!$C$5:$C$359,Конструкторы!$A29)*$H29</f>
        <v>0</v>
      </c>
      <c r="L29" s="166">
        <f>SUMIFS(Продажи!I$5:I$359,Продажи!$D$5:$D$359,Конструкторы!$B29,Продажи!$C$5:$C$359,Конструкторы!$A29)*$H29</f>
        <v>0</v>
      </c>
      <c r="M29" s="166">
        <f>SUMIFS(Продажи!J$5:J$359,Продажи!$D$5:$D$359,Конструкторы!$B29,Продажи!$C$5:$C$359,Конструкторы!$A29)*$H29</f>
        <v>0</v>
      </c>
      <c r="N29" s="166">
        <f>SUMIFS(Продажи!K$5:K$359,Продажи!$D$5:$D$359,Конструкторы!$B29,Продажи!$C$5:$C$359,Конструкторы!$A29)*$H29</f>
        <v>0</v>
      </c>
      <c r="O29" s="166">
        <f>SUMIFS(Продажи!L$5:L$359,Продажи!$D$5:$D$359,Конструкторы!$B29,Продажи!$C$5:$C$359,Конструкторы!$A29)*$H29</f>
        <v>0</v>
      </c>
      <c r="P29" s="166">
        <f>SUMIFS(Продажи!M$5:M$359,Продажи!$D$5:$D$359,Конструкторы!$B29,Продажи!$C$5:$C$359,Конструкторы!$A29)*$H29</f>
        <v>0</v>
      </c>
      <c r="Q29" s="166">
        <f>SUMIFS(Продажи!N$5:N$359,Продажи!$D$5:$D$359,Конструкторы!$B29,Продажи!$C$5:$C$359,Конструкторы!$A29)*$H29</f>
        <v>0</v>
      </c>
      <c r="R29" s="166">
        <f>SUMIFS(Продажи!O$5:O$359,Продажи!$D$5:$D$359,Конструкторы!$B29,Продажи!$C$5:$C$359,Конструкторы!$A29)*$H29</f>
        <v>0</v>
      </c>
      <c r="S29" s="166">
        <f>SUMIFS(Продажи!P$5:P$359,Продажи!$D$5:$D$359,Конструкторы!$B29,Продажи!$C$5:$C$359,Конструкторы!$A29)*$H29</f>
        <v>0</v>
      </c>
      <c r="T29" s="166">
        <f>SUMIFS(Продажи!Q$5:Q$359,Продажи!$D$5:$D$359,Конструкторы!$B29,Продажи!$C$5:$C$359,Конструкторы!$A29)*$H29</f>
        <v>0</v>
      </c>
    </row>
    <row r="30" spans="1:20" ht="15.75" hidden="1" x14ac:dyDescent="0.25">
      <c r="A30" s="166" t="s">
        <v>391</v>
      </c>
      <c r="B30" s="167" t="s">
        <v>376</v>
      </c>
      <c r="C30" s="32" t="s">
        <v>100</v>
      </c>
      <c r="D30" s="148"/>
      <c r="E30" s="153" t="s">
        <v>70</v>
      </c>
      <c r="F30" s="148"/>
      <c r="G30" s="148"/>
      <c r="H30" s="148">
        <v>8</v>
      </c>
      <c r="I30" s="166">
        <f>SUMIFS(Продажи!F$5:F$359,Продажи!$D$5:$D$359,Конструкторы!$B30,Продажи!$C$5:$C$359,Конструкторы!$A30)*$H30</f>
        <v>0</v>
      </c>
      <c r="J30" s="166">
        <f>SUMIFS(Продажи!G$5:G$359,Продажи!$D$5:$D$359,Конструкторы!$B30,Продажи!$C$5:$C$359,Конструкторы!$A30)*$H30</f>
        <v>0</v>
      </c>
      <c r="K30" s="166">
        <f>SUMIFS(Продажи!H$5:H$359,Продажи!$D$5:$D$359,Конструкторы!$B30,Продажи!$C$5:$C$359,Конструкторы!$A30)*$H30</f>
        <v>0</v>
      </c>
      <c r="L30" s="166">
        <f>SUMIFS(Продажи!I$5:I$359,Продажи!$D$5:$D$359,Конструкторы!$B30,Продажи!$C$5:$C$359,Конструкторы!$A30)*$H30</f>
        <v>0</v>
      </c>
      <c r="M30" s="166">
        <f>SUMIFS(Продажи!J$5:J$359,Продажи!$D$5:$D$359,Конструкторы!$B30,Продажи!$C$5:$C$359,Конструкторы!$A30)*$H30</f>
        <v>0</v>
      </c>
      <c r="N30" s="166">
        <f>SUMIFS(Продажи!K$5:K$359,Продажи!$D$5:$D$359,Конструкторы!$B30,Продажи!$C$5:$C$359,Конструкторы!$A30)*$H30</f>
        <v>0</v>
      </c>
      <c r="O30" s="166">
        <f>SUMIFS(Продажи!L$5:L$359,Продажи!$D$5:$D$359,Конструкторы!$B30,Продажи!$C$5:$C$359,Конструкторы!$A30)*$H30</f>
        <v>0</v>
      </c>
      <c r="P30" s="166">
        <f>SUMIFS(Продажи!M$5:M$359,Продажи!$D$5:$D$359,Конструкторы!$B30,Продажи!$C$5:$C$359,Конструкторы!$A30)*$H30</f>
        <v>0</v>
      </c>
      <c r="Q30" s="166">
        <f>SUMIFS(Продажи!N$5:N$359,Продажи!$D$5:$D$359,Конструкторы!$B30,Продажи!$C$5:$C$359,Конструкторы!$A30)*$H30</f>
        <v>0</v>
      </c>
      <c r="R30" s="166">
        <f>SUMIFS(Продажи!O$5:O$359,Продажи!$D$5:$D$359,Конструкторы!$B30,Продажи!$C$5:$C$359,Конструкторы!$A30)*$H30</f>
        <v>0</v>
      </c>
      <c r="S30" s="166">
        <f>SUMIFS(Продажи!P$5:P$359,Продажи!$D$5:$D$359,Конструкторы!$B30,Продажи!$C$5:$C$359,Конструкторы!$A30)*$H30</f>
        <v>0</v>
      </c>
      <c r="T30" s="166">
        <f>SUMIFS(Продажи!Q$5:Q$359,Продажи!$D$5:$D$359,Конструкторы!$B30,Продажи!$C$5:$C$359,Конструкторы!$A30)*$H30</f>
        <v>0</v>
      </c>
    </row>
    <row r="31" spans="1:20" ht="15.75" hidden="1" x14ac:dyDescent="0.25">
      <c r="A31" s="166" t="s">
        <v>391</v>
      </c>
      <c r="B31" s="167" t="s">
        <v>376</v>
      </c>
      <c r="C31" s="32" t="s">
        <v>97</v>
      </c>
      <c r="D31" s="148"/>
      <c r="E31" s="153" t="s">
        <v>70</v>
      </c>
      <c r="F31" s="148"/>
      <c r="G31" s="148"/>
      <c r="H31" s="148">
        <v>4</v>
      </c>
      <c r="I31" s="166">
        <f>SUMIFS(Продажи!F$5:F$359,Продажи!$D$5:$D$359,Конструкторы!$B31,Продажи!$C$5:$C$359,Конструкторы!$A31)*$H31</f>
        <v>0</v>
      </c>
      <c r="J31" s="166">
        <f>SUMIFS(Продажи!G$5:G$359,Продажи!$D$5:$D$359,Конструкторы!$B31,Продажи!$C$5:$C$359,Конструкторы!$A31)*$H31</f>
        <v>0</v>
      </c>
      <c r="K31" s="166">
        <f>SUMIFS(Продажи!H$5:H$359,Продажи!$D$5:$D$359,Конструкторы!$B31,Продажи!$C$5:$C$359,Конструкторы!$A31)*$H31</f>
        <v>0</v>
      </c>
      <c r="L31" s="166">
        <f>SUMIFS(Продажи!I$5:I$359,Продажи!$D$5:$D$359,Конструкторы!$B31,Продажи!$C$5:$C$359,Конструкторы!$A31)*$H31</f>
        <v>0</v>
      </c>
      <c r="M31" s="166">
        <f>SUMIFS(Продажи!J$5:J$359,Продажи!$D$5:$D$359,Конструкторы!$B31,Продажи!$C$5:$C$359,Конструкторы!$A31)*$H31</f>
        <v>0</v>
      </c>
      <c r="N31" s="166">
        <f>SUMIFS(Продажи!K$5:K$359,Продажи!$D$5:$D$359,Конструкторы!$B31,Продажи!$C$5:$C$359,Конструкторы!$A31)*$H31</f>
        <v>0</v>
      </c>
      <c r="O31" s="166">
        <f>SUMIFS(Продажи!L$5:L$359,Продажи!$D$5:$D$359,Конструкторы!$B31,Продажи!$C$5:$C$359,Конструкторы!$A31)*$H31</f>
        <v>0</v>
      </c>
      <c r="P31" s="166">
        <f>SUMIFS(Продажи!M$5:M$359,Продажи!$D$5:$D$359,Конструкторы!$B31,Продажи!$C$5:$C$359,Конструкторы!$A31)*$H31</f>
        <v>0</v>
      </c>
      <c r="Q31" s="166">
        <f>SUMIFS(Продажи!N$5:N$359,Продажи!$D$5:$D$359,Конструкторы!$B31,Продажи!$C$5:$C$359,Конструкторы!$A31)*$H31</f>
        <v>0</v>
      </c>
      <c r="R31" s="166">
        <f>SUMIFS(Продажи!O$5:O$359,Продажи!$D$5:$D$359,Конструкторы!$B31,Продажи!$C$5:$C$359,Конструкторы!$A31)*$H31</f>
        <v>0</v>
      </c>
      <c r="S31" s="166">
        <f>SUMIFS(Продажи!P$5:P$359,Продажи!$D$5:$D$359,Конструкторы!$B31,Продажи!$C$5:$C$359,Конструкторы!$A31)*$H31</f>
        <v>0</v>
      </c>
      <c r="T31" s="166">
        <f>SUMIFS(Продажи!Q$5:Q$359,Продажи!$D$5:$D$359,Конструкторы!$B31,Продажи!$C$5:$C$359,Конструкторы!$A31)*$H31</f>
        <v>0</v>
      </c>
    </row>
    <row r="32" spans="1:20" ht="15.75" hidden="1" x14ac:dyDescent="0.25">
      <c r="A32" s="166" t="s">
        <v>391</v>
      </c>
      <c r="B32" s="40" t="s">
        <v>394</v>
      </c>
      <c r="C32" s="169" t="s">
        <v>41</v>
      </c>
      <c r="D32" s="168"/>
      <c r="E32" s="153" t="s">
        <v>68</v>
      </c>
      <c r="F32" s="166"/>
      <c r="G32" s="166"/>
      <c r="H32" s="166">
        <v>1</v>
      </c>
      <c r="I32" s="166">
        <f>SUMIFS(Продажи!F$5:F$359,Продажи!$D$5:$D$359,Конструкторы!$B32,Продажи!$C$5:$C$359,Конструкторы!$A32)*$H32</f>
        <v>0</v>
      </c>
      <c r="J32" s="166">
        <f>SUMIFS(Продажи!G$5:G$359,Продажи!$D$5:$D$359,Конструкторы!$B32,Продажи!$C$5:$C$359,Конструкторы!$A32)*$H32</f>
        <v>500</v>
      </c>
      <c r="K32" s="166">
        <f>SUMIFS(Продажи!H$5:H$359,Продажи!$D$5:$D$359,Конструкторы!$B32,Продажи!$C$5:$C$359,Конструкторы!$A32)*$H32</f>
        <v>0</v>
      </c>
      <c r="L32" s="166">
        <f>SUMIFS(Продажи!I$5:I$359,Продажи!$D$5:$D$359,Конструкторы!$B32,Продажи!$C$5:$C$359,Конструкторы!$A32)*$H32</f>
        <v>500</v>
      </c>
      <c r="M32" s="166">
        <f>SUMIFS(Продажи!J$5:J$359,Продажи!$D$5:$D$359,Конструкторы!$B32,Продажи!$C$5:$C$359,Конструкторы!$A32)*$H32</f>
        <v>300</v>
      </c>
      <c r="N32" s="166">
        <f>SUMIFS(Продажи!K$5:K$359,Продажи!$D$5:$D$359,Конструкторы!$B32,Продажи!$C$5:$C$359,Конструкторы!$A32)*$H32</f>
        <v>300</v>
      </c>
      <c r="O32" s="166">
        <f>SUMIFS(Продажи!L$5:L$359,Продажи!$D$5:$D$359,Конструкторы!$B32,Продажи!$C$5:$C$359,Конструкторы!$A32)*$H32</f>
        <v>300</v>
      </c>
      <c r="P32" s="166">
        <f>SUMIFS(Продажи!M$5:M$359,Продажи!$D$5:$D$359,Конструкторы!$B32,Продажи!$C$5:$C$359,Конструкторы!$A32)*$H32</f>
        <v>300</v>
      </c>
      <c r="Q32" s="166">
        <f>SUMIFS(Продажи!N$5:N$359,Продажи!$D$5:$D$359,Конструкторы!$B32,Продажи!$C$5:$C$359,Конструкторы!$A32)*$H32</f>
        <v>300</v>
      </c>
      <c r="R32" s="166">
        <f>SUMIFS(Продажи!O$5:O$359,Продажи!$D$5:$D$359,Конструкторы!$B32,Продажи!$C$5:$C$359,Конструкторы!$A32)*$H32</f>
        <v>300</v>
      </c>
      <c r="S32" s="166">
        <f>SUMIFS(Продажи!P$5:P$359,Продажи!$D$5:$D$359,Конструкторы!$B32,Продажи!$C$5:$C$359,Конструкторы!$A32)*$H32</f>
        <v>300</v>
      </c>
      <c r="T32" s="166">
        <f>SUMIFS(Продажи!Q$5:Q$359,Продажи!$D$5:$D$359,Конструкторы!$B32,Продажи!$C$5:$C$359,Конструкторы!$A32)*$H32</f>
        <v>300</v>
      </c>
    </row>
    <row r="33" spans="1:20" ht="15.75" hidden="1" x14ac:dyDescent="0.25">
      <c r="A33" s="166" t="s">
        <v>391</v>
      </c>
      <c r="B33" s="40" t="s">
        <v>394</v>
      </c>
      <c r="C33" s="41" t="s">
        <v>395</v>
      </c>
      <c r="D33" s="148"/>
      <c r="E33" s="153" t="s">
        <v>70</v>
      </c>
      <c r="F33" s="148"/>
      <c r="G33" s="148"/>
      <c r="H33" s="148">
        <v>4</v>
      </c>
      <c r="I33" s="166">
        <f>SUMIFS(Продажи!F$5:F$359,Продажи!$D$5:$D$359,Конструкторы!$B33,Продажи!$C$5:$C$359,Конструкторы!$A33)*$H33</f>
        <v>0</v>
      </c>
      <c r="J33" s="166">
        <f>SUMIFS(Продажи!G$5:G$359,Продажи!$D$5:$D$359,Конструкторы!$B33,Продажи!$C$5:$C$359,Конструкторы!$A33)*$H33</f>
        <v>2000</v>
      </c>
      <c r="K33" s="166">
        <f>SUMIFS(Продажи!H$5:H$359,Продажи!$D$5:$D$359,Конструкторы!$B33,Продажи!$C$5:$C$359,Конструкторы!$A33)*$H33</f>
        <v>0</v>
      </c>
      <c r="L33" s="166">
        <f>SUMIFS(Продажи!I$5:I$359,Продажи!$D$5:$D$359,Конструкторы!$B33,Продажи!$C$5:$C$359,Конструкторы!$A33)*$H33</f>
        <v>2000</v>
      </c>
      <c r="M33" s="166">
        <f>SUMIFS(Продажи!J$5:J$359,Продажи!$D$5:$D$359,Конструкторы!$B33,Продажи!$C$5:$C$359,Конструкторы!$A33)*$H33</f>
        <v>1200</v>
      </c>
      <c r="N33" s="166">
        <f>SUMIFS(Продажи!K$5:K$359,Продажи!$D$5:$D$359,Конструкторы!$B33,Продажи!$C$5:$C$359,Конструкторы!$A33)*$H33</f>
        <v>1200</v>
      </c>
      <c r="O33" s="166">
        <f>SUMIFS(Продажи!L$5:L$359,Продажи!$D$5:$D$359,Конструкторы!$B33,Продажи!$C$5:$C$359,Конструкторы!$A33)*$H33</f>
        <v>1200</v>
      </c>
      <c r="P33" s="166">
        <f>SUMIFS(Продажи!M$5:M$359,Продажи!$D$5:$D$359,Конструкторы!$B33,Продажи!$C$5:$C$359,Конструкторы!$A33)*$H33</f>
        <v>1200</v>
      </c>
      <c r="Q33" s="166">
        <f>SUMIFS(Продажи!N$5:N$359,Продажи!$D$5:$D$359,Конструкторы!$B33,Продажи!$C$5:$C$359,Конструкторы!$A33)*$H33</f>
        <v>1200</v>
      </c>
      <c r="R33" s="166">
        <f>SUMIFS(Продажи!O$5:O$359,Продажи!$D$5:$D$359,Конструкторы!$B33,Продажи!$C$5:$C$359,Конструкторы!$A33)*$H33</f>
        <v>1200</v>
      </c>
      <c r="S33" s="166">
        <f>SUMIFS(Продажи!P$5:P$359,Продажи!$D$5:$D$359,Конструкторы!$B33,Продажи!$C$5:$C$359,Конструкторы!$A33)*$H33</f>
        <v>1200</v>
      </c>
      <c r="T33" s="166">
        <f>SUMIFS(Продажи!Q$5:Q$359,Продажи!$D$5:$D$359,Конструкторы!$B33,Продажи!$C$5:$C$359,Конструкторы!$A33)*$H33</f>
        <v>1200</v>
      </c>
    </row>
    <row r="34" spans="1:20" hidden="1" x14ac:dyDescent="0.25">
      <c r="A34" s="170" t="s">
        <v>391</v>
      </c>
      <c r="B34" s="171"/>
      <c r="C34" s="171"/>
      <c r="D34" s="170"/>
      <c r="E34" s="171"/>
      <c r="F34" s="170"/>
      <c r="G34" s="170"/>
      <c r="H34" s="170"/>
      <c r="I34" s="166">
        <f>SUMIFS(Продажи!F$5:F$359,Продажи!$D$5:$D$359,Конструкторы!$B34,Продажи!$C$5:$C$359,Конструкторы!$A34)</f>
        <v>0</v>
      </c>
      <c r="J34" s="166">
        <f>SUMIFS(Продажи!G$5:G$359,Продажи!$D$5:$D$359,Конструкторы!$B34,Продажи!$C$5:$C$359,Конструкторы!$A34)</f>
        <v>0</v>
      </c>
      <c r="K34" s="166">
        <f>SUMIFS(Продажи!H$5:H$359,Продажи!$D$5:$D$359,Конструкторы!$B34,Продажи!$C$5:$C$359,Конструкторы!$A34)</f>
        <v>0</v>
      </c>
      <c r="L34" s="166">
        <f>SUMIFS(Продажи!I$5:I$359,Продажи!$D$5:$D$359,Конструкторы!$B34,Продажи!$C$5:$C$359,Конструкторы!$A34)</f>
        <v>0</v>
      </c>
      <c r="M34" s="166">
        <f>SUMIFS(Продажи!J$5:J$359,Продажи!$D$5:$D$359,Конструкторы!$B34,Продажи!$C$5:$C$359,Конструкторы!$A34)</f>
        <v>0</v>
      </c>
      <c r="N34" s="166">
        <f>SUMIFS(Продажи!K$5:K$359,Продажи!$D$5:$D$359,Конструкторы!$B34,Продажи!$C$5:$C$359,Конструкторы!$A34)</f>
        <v>0</v>
      </c>
      <c r="O34" s="166">
        <f>SUMIFS(Продажи!L$5:L$359,Продажи!$D$5:$D$359,Конструкторы!$B34,Продажи!$C$5:$C$359,Конструкторы!$A34)</f>
        <v>0</v>
      </c>
      <c r="P34" s="166">
        <f>SUMIFS(Продажи!M$5:M$359,Продажи!$D$5:$D$359,Конструкторы!$B34,Продажи!$C$5:$C$359,Конструкторы!$A34)</f>
        <v>0</v>
      </c>
      <c r="Q34" s="166">
        <f>SUMIFS(Продажи!N$5:N$359,Продажи!$D$5:$D$359,Конструкторы!$B34,Продажи!$C$5:$C$359,Конструкторы!$A34)</f>
        <v>0</v>
      </c>
      <c r="R34" s="166">
        <f>SUMIFS(Продажи!O$5:O$359,Продажи!$D$5:$D$359,Конструкторы!$B34,Продажи!$C$5:$C$359,Конструкторы!$A34)</f>
        <v>0</v>
      </c>
      <c r="S34" s="166">
        <f>SUMIFS(Продажи!P$5:P$359,Продажи!$D$5:$D$359,Конструкторы!$B34,Продажи!$C$5:$C$359,Конструкторы!$A34)</f>
        <v>0</v>
      </c>
      <c r="T34" s="166">
        <f>SUMIFS(Продажи!Q$5:Q$359,Продажи!$D$5:$D$359,Конструкторы!$B34,Продажи!$C$5:$C$359,Конструкторы!$A34)</f>
        <v>0</v>
      </c>
    </row>
    <row r="35" spans="1:20" ht="15.75" hidden="1" x14ac:dyDescent="0.25">
      <c r="A35" s="166" t="s">
        <v>397</v>
      </c>
      <c r="B35" s="172" t="s">
        <v>382</v>
      </c>
      <c r="C35" s="129" t="s">
        <v>53</v>
      </c>
      <c r="D35" s="149"/>
      <c r="E35" s="153" t="s">
        <v>68</v>
      </c>
      <c r="F35" s="148">
        <v>6</v>
      </c>
      <c r="G35" s="148">
        <f>F35*0.03</f>
        <v>0.18</v>
      </c>
      <c r="H35" s="156">
        <f t="shared" ref="H35:H73" si="0">F35+G35</f>
        <v>6.18</v>
      </c>
      <c r="I35" s="166">
        <f>SUMIFS(Продажи!F$5:F$359,Продажи!$D$5:$D$359,Конструкторы!$B35,Продажи!$C$5:$C$359,Конструкторы!$A35)</f>
        <v>0</v>
      </c>
      <c r="J35" s="166">
        <f>SUMIFS(Продажи!G$5:G$359,Продажи!$D$5:$D$359,Конструкторы!$B35,Продажи!$C$5:$C$359,Конструкторы!$A35)</f>
        <v>0</v>
      </c>
      <c r="K35" s="166">
        <f>SUMIFS(Продажи!H$5:H$359,Продажи!$D$5:$D$359,Конструкторы!$B35,Продажи!$C$5:$C$359,Конструкторы!$A35)</f>
        <v>0</v>
      </c>
      <c r="L35" s="166">
        <f>SUMIFS(Продажи!I$5:I$359,Продажи!$D$5:$D$359,Конструкторы!$B35,Продажи!$C$5:$C$359,Конструкторы!$A35)</f>
        <v>0</v>
      </c>
      <c r="M35" s="166">
        <f>SUMIFS(Продажи!J$5:J$359,Продажи!$D$5:$D$359,Конструкторы!$B35,Продажи!$C$5:$C$359,Конструкторы!$A35)</f>
        <v>0</v>
      </c>
      <c r="N35" s="166">
        <f>SUMIFS(Продажи!K$5:K$359,Продажи!$D$5:$D$359,Конструкторы!$B35,Продажи!$C$5:$C$359,Конструкторы!$A35)</f>
        <v>0</v>
      </c>
      <c r="O35" s="166">
        <f>SUMIFS(Продажи!L$5:L$359,Продажи!$D$5:$D$359,Конструкторы!$B35,Продажи!$C$5:$C$359,Конструкторы!$A35)</f>
        <v>0</v>
      </c>
      <c r="P35" s="166">
        <f>SUMIFS(Продажи!M$5:M$359,Продажи!$D$5:$D$359,Конструкторы!$B35,Продажи!$C$5:$C$359,Конструкторы!$A35)</f>
        <v>0</v>
      </c>
      <c r="Q35" s="166">
        <f>SUMIFS(Продажи!N$5:N$359,Продажи!$D$5:$D$359,Конструкторы!$B35,Продажи!$C$5:$C$359,Конструкторы!$A35)</f>
        <v>0</v>
      </c>
      <c r="R35" s="166">
        <f>SUMIFS(Продажи!O$5:O$359,Продажи!$D$5:$D$359,Конструкторы!$B35,Продажи!$C$5:$C$359,Конструкторы!$A35)</f>
        <v>0</v>
      </c>
      <c r="S35" s="166">
        <f>SUMIFS(Продажи!P$5:P$359,Продажи!$D$5:$D$359,Конструкторы!$B35,Продажи!$C$5:$C$359,Конструкторы!$A35)</f>
        <v>0</v>
      </c>
      <c r="T35" s="166">
        <f>SUMIFS(Продажи!Q$5:Q$359,Продажи!$D$5:$D$359,Конструкторы!$B35,Продажи!$C$5:$C$359,Конструкторы!$A35)</f>
        <v>0</v>
      </c>
    </row>
    <row r="36" spans="1:20" ht="15.75" hidden="1" x14ac:dyDescent="0.25">
      <c r="A36" s="166" t="s">
        <v>397</v>
      </c>
      <c r="B36" s="172" t="s">
        <v>382</v>
      </c>
      <c r="C36" s="129" t="s">
        <v>52</v>
      </c>
      <c r="D36" s="149"/>
      <c r="E36" s="153" t="s">
        <v>68</v>
      </c>
      <c r="F36" s="148">
        <v>1</v>
      </c>
      <c r="G36" s="148">
        <f>F36*0.03</f>
        <v>0.03</v>
      </c>
      <c r="H36" s="156">
        <f t="shared" si="0"/>
        <v>1.03</v>
      </c>
      <c r="I36" s="166">
        <f>SUMIFS(Продажи!F$5:F$359,Продажи!$D$5:$D$359,Конструкторы!$B36,Продажи!$C$5:$C$359,Конструкторы!$A36)</f>
        <v>0</v>
      </c>
      <c r="J36" s="166">
        <f>SUMIFS(Продажи!G$5:G$359,Продажи!$D$5:$D$359,Конструкторы!$B36,Продажи!$C$5:$C$359,Конструкторы!$A36)</f>
        <v>0</v>
      </c>
      <c r="K36" s="166">
        <f>SUMIFS(Продажи!H$5:H$359,Продажи!$D$5:$D$359,Конструкторы!$B36,Продажи!$C$5:$C$359,Конструкторы!$A36)</f>
        <v>0</v>
      </c>
      <c r="L36" s="166">
        <f>SUMIFS(Продажи!I$5:I$359,Продажи!$D$5:$D$359,Конструкторы!$B36,Продажи!$C$5:$C$359,Конструкторы!$A36)</f>
        <v>0</v>
      </c>
      <c r="M36" s="166">
        <f>SUMIFS(Продажи!J$5:J$359,Продажи!$D$5:$D$359,Конструкторы!$B36,Продажи!$C$5:$C$359,Конструкторы!$A36)</f>
        <v>0</v>
      </c>
      <c r="N36" s="166">
        <f>SUMIFS(Продажи!K$5:K$359,Продажи!$D$5:$D$359,Конструкторы!$B36,Продажи!$C$5:$C$359,Конструкторы!$A36)</f>
        <v>0</v>
      </c>
      <c r="O36" s="166">
        <f>SUMIFS(Продажи!L$5:L$359,Продажи!$D$5:$D$359,Конструкторы!$B36,Продажи!$C$5:$C$359,Конструкторы!$A36)</f>
        <v>0</v>
      </c>
      <c r="P36" s="166">
        <f>SUMIFS(Продажи!M$5:M$359,Продажи!$D$5:$D$359,Конструкторы!$B36,Продажи!$C$5:$C$359,Конструкторы!$A36)</f>
        <v>0</v>
      </c>
      <c r="Q36" s="166">
        <f>SUMIFS(Продажи!N$5:N$359,Продажи!$D$5:$D$359,Конструкторы!$B36,Продажи!$C$5:$C$359,Конструкторы!$A36)</f>
        <v>0</v>
      </c>
      <c r="R36" s="166">
        <f>SUMIFS(Продажи!O$5:O$359,Продажи!$D$5:$D$359,Конструкторы!$B36,Продажи!$C$5:$C$359,Конструкторы!$A36)</f>
        <v>0</v>
      </c>
      <c r="S36" s="166">
        <f>SUMIFS(Продажи!P$5:P$359,Продажи!$D$5:$D$359,Конструкторы!$B36,Продажи!$C$5:$C$359,Конструкторы!$A36)</f>
        <v>0</v>
      </c>
      <c r="T36" s="166">
        <f>SUMIFS(Продажи!Q$5:Q$359,Продажи!$D$5:$D$359,Конструкторы!$B36,Продажи!$C$5:$C$359,Конструкторы!$A36)</f>
        <v>0</v>
      </c>
    </row>
    <row r="37" spans="1:20" ht="15.75" hidden="1" x14ac:dyDescent="0.25">
      <c r="A37" s="166" t="s">
        <v>397</v>
      </c>
      <c r="B37" s="172" t="s">
        <v>382</v>
      </c>
      <c r="C37" s="33" t="s">
        <v>76</v>
      </c>
      <c r="D37" s="149"/>
      <c r="E37" s="153" t="s">
        <v>70</v>
      </c>
      <c r="F37" s="148">
        <v>4</v>
      </c>
      <c r="G37" s="148"/>
      <c r="H37" s="156">
        <f t="shared" si="0"/>
        <v>4</v>
      </c>
      <c r="I37" s="166">
        <f>SUMIFS(Продажи!F$5:F$359,Продажи!$D$5:$D$359,Конструкторы!$B37,Продажи!$C$5:$C$359,Конструкторы!$A37)</f>
        <v>0</v>
      </c>
      <c r="J37" s="166">
        <f>SUMIFS(Продажи!G$5:G$359,Продажи!$D$5:$D$359,Конструкторы!$B37,Продажи!$C$5:$C$359,Конструкторы!$A37)</f>
        <v>0</v>
      </c>
      <c r="K37" s="166">
        <f>SUMIFS(Продажи!H$5:H$359,Продажи!$D$5:$D$359,Конструкторы!$B37,Продажи!$C$5:$C$359,Конструкторы!$A37)</f>
        <v>0</v>
      </c>
      <c r="L37" s="166">
        <f>SUMIFS(Продажи!I$5:I$359,Продажи!$D$5:$D$359,Конструкторы!$B37,Продажи!$C$5:$C$359,Конструкторы!$A37)</f>
        <v>0</v>
      </c>
      <c r="M37" s="166">
        <f>SUMIFS(Продажи!J$5:J$359,Продажи!$D$5:$D$359,Конструкторы!$B37,Продажи!$C$5:$C$359,Конструкторы!$A37)</f>
        <v>0</v>
      </c>
      <c r="N37" s="166">
        <f>SUMIFS(Продажи!K$5:K$359,Продажи!$D$5:$D$359,Конструкторы!$B37,Продажи!$C$5:$C$359,Конструкторы!$A37)</f>
        <v>0</v>
      </c>
      <c r="O37" s="166">
        <f>SUMIFS(Продажи!L$5:L$359,Продажи!$D$5:$D$359,Конструкторы!$B37,Продажи!$C$5:$C$359,Конструкторы!$A37)</f>
        <v>0</v>
      </c>
      <c r="P37" s="166">
        <f>SUMIFS(Продажи!M$5:M$359,Продажи!$D$5:$D$359,Конструкторы!$B37,Продажи!$C$5:$C$359,Конструкторы!$A37)</f>
        <v>0</v>
      </c>
      <c r="Q37" s="166">
        <f>SUMIFS(Продажи!N$5:N$359,Продажи!$D$5:$D$359,Конструкторы!$B37,Продажи!$C$5:$C$359,Конструкторы!$A37)</f>
        <v>0</v>
      </c>
      <c r="R37" s="166">
        <f>SUMIFS(Продажи!O$5:O$359,Продажи!$D$5:$D$359,Конструкторы!$B37,Продажи!$C$5:$C$359,Конструкторы!$A37)</f>
        <v>0</v>
      </c>
      <c r="S37" s="166">
        <f>SUMIFS(Продажи!P$5:P$359,Продажи!$D$5:$D$359,Конструкторы!$B37,Продажи!$C$5:$C$359,Конструкторы!$A37)</f>
        <v>0</v>
      </c>
      <c r="T37" s="166">
        <f>SUMIFS(Продажи!Q$5:Q$359,Продажи!$D$5:$D$359,Конструкторы!$B37,Продажи!$C$5:$C$359,Конструкторы!$A37)</f>
        <v>0</v>
      </c>
    </row>
    <row r="38" spans="1:20" ht="15.75" hidden="1" x14ac:dyDescent="0.25">
      <c r="A38" s="166" t="s">
        <v>397</v>
      </c>
      <c r="B38" s="172" t="s">
        <v>382</v>
      </c>
      <c r="C38" s="33" t="s">
        <v>75</v>
      </c>
      <c r="D38" s="149"/>
      <c r="E38" s="153" t="s">
        <v>70</v>
      </c>
      <c r="F38" s="148">
        <v>20</v>
      </c>
      <c r="G38" s="148"/>
      <c r="H38" s="156">
        <f t="shared" si="0"/>
        <v>20</v>
      </c>
      <c r="I38" s="166">
        <f>SUMIFS(Продажи!F$5:F$359,Продажи!$D$5:$D$359,Конструкторы!$B38,Продажи!$C$5:$C$359,Конструкторы!$A38)</f>
        <v>0</v>
      </c>
      <c r="J38" s="166">
        <f>SUMIFS(Продажи!G$5:G$359,Продажи!$D$5:$D$359,Конструкторы!$B38,Продажи!$C$5:$C$359,Конструкторы!$A38)</f>
        <v>0</v>
      </c>
      <c r="K38" s="166">
        <f>SUMIFS(Продажи!H$5:H$359,Продажи!$D$5:$D$359,Конструкторы!$B38,Продажи!$C$5:$C$359,Конструкторы!$A38)</f>
        <v>0</v>
      </c>
      <c r="L38" s="166">
        <f>SUMIFS(Продажи!I$5:I$359,Продажи!$D$5:$D$359,Конструкторы!$B38,Продажи!$C$5:$C$359,Конструкторы!$A38)</f>
        <v>0</v>
      </c>
      <c r="M38" s="166">
        <f>SUMIFS(Продажи!J$5:J$359,Продажи!$D$5:$D$359,Конструкторы!$B38,Продажи!$C$5:$C$359,Конструкторы!$A38)</f>
        <v>0</v>
      </c>
      <c r="N38" s="166">
        <f>SUMIFS(Продажи!K$5:K$359,Продажи!$D$5:$D$359,Конструкторы!$B38,Продажи!$C$5:$C$359,Конструкторы!$A38)</f>
        <v>0</v>
      </c>
      <c r="O38" s="166">
        <f>SUMIFS(Продажи!L$5:L$359,Продажи!$D$5:$D$359,Конструкторы!$B38,Продажи!$C$5:$C$359,Конструкторы!$A38)</f>
        <v>0</v>
      </c>
      <c r="P38" s="166">
        <f>SUMIFS(Продажи!M$5:M$359,Продажи!$D$5:$D$359,Конструкторы!$B38,Продажи!$C$5:$C$359,Конструкторы!$A38)</f>
        <v>0</v>
      </c>
      <c r="Q38" s="166">
        <f>SUMIFS(Продажи!N$5:N$359,Продажи!$D$5:$D$359,Конструкторы!$B38,Продажи!$C$5:$C$359,Конструкторы!$A38)</f>
        <v>0</v>
      </c>
      <c r="R38" s="166">
        <f>SUMIFS(Продажи!O$5:O$359,Продажи!$D$5:$D$359,Конструкторы!$B38,Продажи!$C$5:$C$359,Конструкторы!$A38)</f>
        <v>0</v>
      </c>
      <c r="S38" s="166">
        <f>SUMIFS(Продажи!P$5:P$359,Продажи!$D$5:$D$359,Конструкторы!$B38,Продажи!$C$5:$C$359,Конструкторы!$A38)</f>
        <v>0</v>
      </c>
      <c r="T38" s="166">
        <f>SUMIFS(Продажи!Q$5:Q$359,Продажи!$D$5:$D$359,Конструкторы!$B38,Продажи!$C$5:$C$359,Конструкторы!$A38)</f>
        <v>0</v>
      </c>
    </row>
    <row r="39" spans="1:20" ht="15.75" hidden="1" x14ac:dyDescent="0.25">
      <c r="A39" s="166" t="s">
        <v>397</v>
      </c>
      <c r="B39" s="172" t="s">
        <v>383</v>
      </c>
      <c r="C39" s="129" t="s">
        <v>53</v>
      </c>
      <c r="D39" s="149"/>
      <c r="E39" s="153" t="s">
        <v>68</v>
      </c>
      <c r="F39" s="148">
        <v>6</v>
      </c>
      <c r="G39" s="148">
        <f>F39*0.03</f>
        <v>0.18</v>
      </c>
      <c r="H39" s="156">
        <f t="shared" si="0"/>
        <v>6.18</v>
      </c>
      <c r="I39" s="166">
        <f>SUMIFS(Продажи!F$5:F$359,Продажи!$D$5:$D$359,Конструкторы!$B39,Продажи!$C$5:$C$359,Конструкторы!$A39)</f>
        <v>0</v>
      </c>
      <c r="J39" s="166">
        <f>SUMIFS(Продажи!G$5:G$359,Продажи!$D$5:$D$359,Конструкторы!$B39,Продажи!$C$5:$C$359,Конструкторы!$A39)</f>
        <v>100</v>
      </c>
      <c r="K39" s="166">
        <f>SUMIFS(Продажи!H$5:H$359,Продажи!$D$5:$D$359,Конструкторы!$B39,Продажи!$C$5:$C$359,Конструкторы!$A39)</f>
        <v>30</v>
      </c>
      <c r="L39" s="166">
        <f>SUMIFS(Продажи!I$5:I$359,Продажи!$D$5:$D$359,Конструкторы!$B39,Продажи!$C$5:$C$359,Конструкторы!$A39)</f>
        <v>2000</v>
      </c>
      <c r="M39" s="166">
        <f>SUMIFS(Продажи!J$5:J$359,Продажи!$D$5:$D$359,Конструкторы!$B39,Продажи!$C$5:$C$359,Конструкторы!$A39)</f>
        <v>0</v>
      </c>
      <c r="N39" s="166">
        <f>SUMIFS(Продажи!K$5:K$359,Продажи!$D$5:$D$359,Конструкторы!$B39,Продажи!$C$5:$C$359,Конструкторы!$A39)</f>
        <v>0</v>
      </c>
      <c r="O39" s="166">
        <f>SUMIFS(Продажи!L$5:L$359,Продажи!$D$5:$D$359,Конструкторы!$B39,Продажи!$C$5:$C$359,Конструкторы!$A39)</f>
        <v>0</v>
      </c>
      <c r="P39" s="166">
        <f>SUMIFS(Продажи!M$5:M$359,Продажи!$D$5:$D$359,Конструкторы!$B39,Продажи!$C$5:$C$359,Конструкторы!$A39)</f>
        <v>0</v>
      </c>
      <c r="Q39" s="166">
        <f>SUMIFS(Продажи!N$5:N$359,Продажи!$D$5:$D$359,Конструкторы!$B39,Продажи!$C$5:$C$359,Конструкторы!$A39)</f>
        <v>0</v>
      </c>
      <c r="R39" s="166">
        <f>SUMIFS(Продажи!O$5:O$359,Продажи!$D$5:$D$359,Конструкторы!$B39,Продажи!$C$5:$C$359,Конструкторы!$A39)</f>
        <v>0</v>
      </c>
      <c r="S39" s="166">
        <f>SUMIFS(Продажи!P$5:P$359,Продажи!$D$5:$D$359,Конструкторы!$B39,Продажи!$C$5:$C$359,Конструкторы!$A39)</f>
        <v>0</v>
      </c>
      <c r="T39" s="166">
        <f>SUMIFS(Продажи!Q$5:Q$359,Продажи!$D$5:$D$359,Конструкторы!$B39,Продажи!$C$5:$C$359,Конструкторы!$A39)</f>
        <v>0</v>
      </c>
    </row>
    <row r="40" spans="1:20" ht="15.75" hidden="1" x14ac:dyDescent="0.25">
      <c r="A40" s="166" t="s">
        <v>397</v>
      </c>
      <c r="B40" s="172" t="s">
        <v>383</v>
      </c>
      <c r="C40" s="129" t="s">
        <v>52</v>
      </c>
      <c r="D40" s="149"/>
      <c r="E40" s="153" t="s">
        <v>68</v>
      </c>
      <c r="F40" s="148">
        <v>2</v>
      </c>
      <c r="G40" s="148">
        <f>F40*0.03</f>
        <v>0.06</v>
      </c>
      <c r="H40" s="156">
        <f t="shared" si="0"/>
        <v>2.06</v>
      </c>
      <c r="I40" s="166">
        <f>SUMIFS(Продажи!F$5:F$359,Продажи!$D$5:$D$359,Конструкторы!$B40,Продажи!$C$5:$C$359,Конструкторы!$A40)</f>
        <v>0</v>
      </c>
      <c r="J40" s="166">
        <f>SUMIFS(Продажи!G$5:G$359,Продажи!$D$5:$D$359,Конструкторы!$B40,Продажи!$C$5:$C$359,Конструкторы!$A40)</f>
        <v>100</v>
      </c>
      <c r="K40" s="166">
        <f>SUMIFS(Продажи!H$5:H$359,Продажи!$D$5:$D$359,Конструкторы!$B40,Продажи!$C$5:$C$359,Конструкторы!$A40)</f>
        <v>30</v>
      </c>
      <c r="L40" s="166">
        <f>SUMIFS(Продажи!I$5:I$359,Продажи!$D$5:$D$359,Конструкторы!$B40,Продажи!$C$5:$C$359,Конструкторы!$A40)</f>
        <v>2000</v>
      </c>
      <c r="M40" s="166">
        <f>SUMIFS(Продажи!J$5:J$359,Продажи!$D$5:$D$359,Конструкторы!$B40,Продажи!$C$5:$C$359,Конструкторы!$A40)</f>
        <v>0</v>
      </c>
      <c r="N40" s="166">
        <f>SUMIFS(Продажи!K$5:K$359,Продажи!$D$5:$D$359,Конструкторы!$B40,Продажи!$C$5:$C$359,Конструкторы!$A40)</f>
        <v>0</v>
      </c>
      <c r="O40" s="166">
        <f>SUMIFS(Продажи!L$5:L$359,Продажи!$D$5:$D$359,Конструкторы!$B40,Продажи!$C$5:$C$359,Конструкторы!$A40)</f>
        <v>0</v>
      </c>
      <c r="P40" s="166">
        <f>SUMIFS(Продажи!M$5:M$359,Продажи!$D$5:$D$359,Конструкторы!$B40,Продажи!$C$5:$C$359,Конструкторы!$A40)</f>
        <v>0</v>
      </c>
      <c r="Q40" s="166">
        <f>SUMIFS(Продажи!N$5:N$359,Продажи!$D$5:$D$359,Конструкторы!$B40,Продажи!$C$5:$C$359,Конструкторы!$A40)</f>
        <v>0</v>
      </c>
      <c r="R40" s="166">
        <f>SUMIFS(Продажи!O$5:O$359,Продажи!$D$5:$D$359,Конструкторы!$B40,Продажи!$C$5:$C$359,Конструкторы!$A40)</f>
        <v>0</v>
      </c>
      <c r="S40" s="166">
        <f>SUMIFS(Продажи!P$5:P$359,Продажи!$D$5:$D$359,Конструкторы!$B40,Продажи!$C$5:$C$359,Конструкторы!$A40)</f>
        <v>0</v>
      </c>
      <c r="T40" s="166">
        <f>SUMIFS(Продажи!Q$5:Q$359,Продажи!$D$5:$D$359,Конструкторы!$B40,Продажи!$C$5:$C$359,Конструкторы!$A40)</f>
        <v>0</v>
      </c>
    </row>
    <row r="41" spans="1:20" ht="15.75" hidden="1" x14ac:dyDescent="0.25">
      <c r="A41" s="166" t="s">
        <v>397</v>
      </c>
      <c r="B41" s="172" t="s">
        <v>383</v>
      </c>
      <c r="C41" s="33" t="s">
        <v>76</v>
      </c>
      <c r="D41" s="149"/>
      <c r="E41" s="153" t="s">
        <v>70</v>
      </c>
      <c r="F41" s="148">
        <v>4</v>
      </c>
      <c r="G41" s="148"/>
      <c r="H41" s="156">
        <f t="shared" si="0"/>
        <v>4</v>
      </c>
      <c r="I41" s="166">
        <f>SUMIFS(Продажи!F$5:F$359,Продажи!$D$5:$D$359,Конструкторы!$B41,Продажи!$C$5:$C$359,Конструкторы!$A41)</f>
        <v>0</v>
      </c>
      <c r="J41" s="166">
        <f>SUMIFS(Продажи!G$5:G$359,Продажи!$D$5:$D$359,Конструкторы!$B41,Продажи!$C$5:$C$359,Конструкторы!$A41)</f>
        <v>100</v>
      </c>
      <c r="K41" s="166">
        <f>SUMIFS(Продажи!H$5:H$359,Продажи!$D$5:$D$359,Конструкторы!$B41,Продажи!$C$5:$C$359,Конструкторы!$A41)</f>
        <v>30</v>
      </c>
      <c r="L41" s="166">
        <f>SUMIFS(Продажи!I$5:I$359,Продажи!$D$5:$D$359,Конструкторы!$B41,Продажи!$C$5:$C$359,Конструкторы!$A41)</f>
        <v>2000</v>
      </c>
      <c r="M41" s="166">
        <f>SUMIFS(Продажи!J$5:J$359,Продажи!$D$5:$D$359,Конструкторы!$B41,Продажи!$C$5:$C$359,Конструкторы!$A41)</f>
        <v>0</v>
      </c>
      <c r="N41" s="166">
        <f>SUMIFS(Продажи!K$5:K$359,Продажи!$D$5:$D$359,Конструкторы!$B41,Продажи!$C$5:$C$359,Конструкторы!$A41)</f>
        <v>0</v>
      </c>
      <c r="O41" s="166">
        <f>SUMIFS(Продажи!L$5:L$359,Продажи!$D$5:$D$359,Конструкторы!$B41,Продажи!$C$5:$C$359,Конструкторы!$A41)</f>
        <v>0</v>
      </c>
      <c r="P41" s="166">
        <f>SUMIFS(Продажи!M$5:M$359,Продажи!$D$5:$D$359,Конструкторы!$B41,Продажи!$C$5:$C$359,Конструкторы!$A41)</f>
        <v>0</v>
      </c>
      <c r="Q41" s="166">
        <f>SUMIFS(Продажи!N$5:N$359,Продажи!$D$5:$D$359,Конструкторы!$B41,Продажи!$C$5:$C$359,Конструкторы!$A41)</f>
        <v>0</v>
      </c>
      <c r="R41" s="166">
        <f>SUMIFS(Продажи!O$5:O$359,Продажи!$D$5:$D$359,Конструкторы!$B41,Продажи!$C$5:$C$359,Конструкторы!$A41)</f>
        <v>0</v>
      </c>
      <c r="S41" s="166">
        <f>SUMIFS(Продажи!P$5:P$359,Продажи!$D$5:$D$359,Конструкторы!$B41,Продажи!$C$5:$C$359,Конструкторы!$A41)</f>
        <v>0</v>
      </c>
      <c r="T41" s="166">
        <f>SUMIFS(Продажи!Q$5:Q$359,Продажи!$D$5:$D$359,Конструкторы!$B41,Продажи!$C$5:$C$359,Конструкторы!$A41)</f>
        <v>0</v>
      </c>
    </row>
    <row r="42" spans="1:20" ht="15.75" hidden="1" x14ac:dyDescent="0.25">
      <c r="A42" s="166" t="s">
        <v>397</v>
      </c>
      <c r="B42" s="172" t="s">
        <v>383</v>
      </c>
      <c r="C42" s="33" t="s">
        <v>75</v>
      </c>
      <c r="D42" s="149"/>
      <c r="E42" s="153" t="s">
        <v>70</v>
      </c>
      <c r="F42" s="148">
        <v>20</v>
      </c>
      <c r="G42" s="148"/>
      <c r="H42" s="156">
        <f t="shared" si="0"/>
        <v>20</v>
      </c>
      <c r="I42" s="166">
        <f>SUMIFS(Продажи!F$5:F$359,Продажи!$D$5:$D$359,Конструкторы!$B42,Продажи!$C$5:$C$359,Конструкторы!$A42)</f>
        <v>0</v>
      </c>
      <c r="J42" s="166">
        <f>SUMIFS(Продажи!G$5:G$359,Продажи!$D$5:$D$359,Конструкторы!$B42,Продажи!$C$5:$C$359,Конструкторы!$A42)</f>
        <v>100</v>
      </c>
      <c r="K42" s="166">
        <f>SUMIFS(Продажи!H$5:H$359,Продажи!$D$5:$D$359,Конструкторы!$B42,Продажи!$C$5:$C$359,Конструкторы!$A42)</f>
        <v>30</v>
      </c>
      <c r="L42" s="166">
        <f>SUMIFS(Продажи!I$5:I$359,Продажи!$D$5:$D$359,Конструкторы!$B42,Продажи!$C$5:$C$359,Конструкторы!$A42)</f>
        <v>2000</v>
      </c>
      <c r="M42" s="166">
        <f>SUMIFS(Продажи!J$5:J$359,Продажи!$D$5:$D$359,Конструкторы!$B42,Продажи!$C$5:$C$359,Конструкторы!$A42)</f>
        <v>0</v>
      </c>
      <c r="N42" s="166">
        <f>SUMIFS(Продажи!K$5:K$359,Продажи!$D$5:$D$359,Конструкторы!$B42,Продажи!$C$5:$C$359,Конструкторы!$A42)</f>
        <v>0</v>
      </c>
      <c r="O42" s="166">
        <f>SUMIFS(Продажи!L$5:L$359,Продажи!$D$5:$D$359,Конструкторы!$B42,Продажи!$C$5:$C$359,Конструкторы!$A42)</f>
        <v>0</v>
      </c>
      <c r="P42" s="166">
        <f>SUMIFS(Продажи!M$5:M$359,Продажи!$D$5:$D$359,Конструкторы!$B42,Продажи!$C$5:$C$359,Конструкторы!$A42)</f>
        <v>0</v>
      </c>
      <c r="Q42" s="166">
        <f>SUMIFS(Продажи!N$5:N$359,Продажи!$D$5:$D$359,Конструкторы!$B42,Продажи!$C$5:$C$359,Конструкторы!$A42)</f>
        <v>0</v>
      </c>
      <c r="R42" s="166">
        <f>SUMIFS(Продажи!O$5:O$359,Продажи!$D$5:$D$359,Конструкторы!$B42,Продажи!$C$5:$C$359,Конструкторы!$A42)</f>
        <v>0</v>
      </c>
      <c r="S42" s="166">
        <f>SUMIFS(Продажи!P$5:P$359,Продажи!$D$5:$D$359,Конструкторы!$B42,Продажи!$C$5:$C$359,Конструкторы!$A42)</f>
        <v>0</v>
      </c>
      <c r="T42" s="166">
        <f>SUMIFS(Продажи!Q$5:Q$359,Продажи!$D$5:$D$359,Конструкторы!$B42,Продажи!$C$5:$C$359,Конструкторы!$A42)</f>
        <v>0</v>
      </c>
    </row>
    <row r="43" spans="1:20" ht="15.75" hidden="1" x14ac:dyDescent="0.25">
      <c r="A43" s="166" t="s">
        <v>397</v>
      </c>
      <c r="B43" s="172" t="s">
        <v>384</v>
      </c>
      <c r="C43" s="129" t="s">
        <v>53</v>
      </c>
      <c r="D43" s="149"/>
      <c r="E43" s="153" t="s">
        <v>68</v>
      </c>
      <c r="F43" s="148">
        <v>6</v>
      </c>
      <c r="G43" s="148">
        <f>F43*0.03</f>
        <v>0.18</v>
      </c>
      <c r="H43" s="156">
        <f t="shared" si="0"/>
        <v>6.18</v>
      </c>
      <c r="I43" s="166">
        <f>SUMIFS(Продажи!F$5:F$359,Продажи!$D$5:$D$359,Конструкторы!$B43,Продажи!$C$5:$C$359,Конструкторы!$A43)</f>
        <v>0</v>
      </c>
      <c r="J43" s="166">
        <f>SUMIFS(Продажи!G$5:G$359,Продажи!$D$5:$D$359,Конструкторы!$B43,Продажи!$C$5:$C$359,Конструкторы!$A43)</f>
        <v>0</v>
      </c>
      <c r="K43" s="166">
        <f>SUMIFS(Продажи!H$5:H$359,Продажи!$D$5:$D$359,Конструкторы!$B43,Продажи!$C$5:$C$359,Конструкторы!$A43)</f>
        <v>0</v>
      </c>
      <c r="L43" s="166">
        <f>SUMIFS(Продажи!I$5:I$359,Продажи!$D$5:$D$359,Конструкторы!$B43,Продажи!$C$5:$C$359,Конструкторы!$A43)</f>
        <v>0</v>
      </c>
      <c r="M43" s="166">
        <f>SUMIFS(Продажи!J$5:J$359,Продажи!$D$5:$D$359,Конструкторы!$B43,Продажи!$C$5:$C$359,Конструкторы!$A43)</f>
        <v>0</v>
      </c>
      <c r="N43" s="166">
        <f>SUMIFS(Продажи!K$5:K$359,Продажи!$D$5:$D$359,Конструкторы!$B43,Продажи!$C$5:$C$359,Конструкторы!$A43)</f>
        <v>0</v>
      </c>
      <c r="O43" s="166">
        <f>SUMIFS(Продажи!L$5:L$359,Продажи!$D$5:$D$359,Конструкторы!$B43,Продажи!$C$5:$C$359,Конструкторы!$A43)</f>
        <v>0</v>
      </c>
      <c r="P43" s="166">
        <f>SUMIFS(Продажи!M$5:M$359,Продажи!$D$5:$D$359,Конструкторы!$B43,Продажи!$C$5:$C$359,Конструкторы!$A43)</f>
        <v>0</v>
      </c>
      <c r="Q43" s="166">
        <f>SUMIFS(Продажи!N$5:N$359,Продажи!$D$5:$D$359,Конструкторы!$B43,Продажи!$C$5:$C$359,Конструкторы!$A43)</f>
        <v>0</v>
      </c>
      <c r="R43" s="166">
        <f>SUMIFS(Продажи!O$5:O$359,Продажи!$D$5:$D$359,Конструкторы!$B43,Продажи!$C$5:$C$359,Конструкторы!$A43)</f>
        <v>0</v>
      </c>
      <c r="S43" s="166">
        <f>SUMIFS(Продажи!P$5:P$359,Продажи!$D$5:$D$359,Конструкторы!$B43,Продажи!$C$5:$C$359,Конструкторы!$A43)</f>
        <v>0</v>
      </c>
      <c r="T43" s="166">
        <f>SUMIFS(Продажи!Q$5:Q$359,Продажи!$D$5:$D$359,Конструкторы!$B43,Продажи!$C$5:$C$359,Конструкторы!$A43)</f>
        <v>0</v>
      </c>
    </row>
    <row r="44" spans="1:20" ht="15.75" hidden="1" x14ac:dyDescent="0.25">
      <c r="A44" s="166" t="s">
        <v>397</v>
      </c>
      <c r="B44" s="172" t="s">
        <v>384</v>
      </c>
      <c r="C44" s="129" t="s">
        <v>52</v>
      </c>
      <c r="D44" s="149"/>
      <c r="E44" s="153" t="s">
        <v>68</v>
      </c>
      <c r="F44" s="148">
        <v>3</v>
      </c>
      <c r="G44" s="148">
        <f>F44*0.03</f>
        <v>0.09</v>
      </c>
      <c r="H44" s="156">
        <f t="shared" si="0"/>
        <v>3.09</v>
      </c>
      <c r="I44" s="166">
        <f>SUMIFS(Продажи!F$5:F$359,Продажи!$D$5:$D$359,Конструкторы!$B44,Продажи!$C$5:$C$359,Конструкторы!$A44)</f>
        <v>0</v>
      </c>
      <c r="J44" s="166">
        <f>SUMIFS(Продажи!G$5:G$359,Продажи!$D$5:$D$359,Конструкторы!$B44,Продажи!$C$5:$C$359,Конструкторы!$A44)</f>
        <v>0</v>
      </c>
      <c r="K44" s="166">
        <f>SUMIFS(Продажи!H$5:H$359,Продажи!$D$5:$D$359,Конструкторы!$B44,Продажи!$C$5:$C$359,Конструкторы!$A44)</f>
        <v>0</v>
      </c>
      <c r="L44" s="166">
        <f>SUMIFS(Продажи!I$5:I$359,Продажи!$D$5:$D$359,Конструкторы!$B44,Продажи!$C$5:$C$359,Конструкторы!$A44)</f>
        <v>0</v>
      </c>
      <c r="M44" s="166">
        <f>SUMIFS(Продажи!J$5:J$359,Продажи!$D$5:$D$359,Конструкторы!$B44,Продажи!$C$5:$C$359,Конструкторы!$A44)</f>
        <v>0</v>
      </c>
      <c r="N44" s="166">
        <f>SUMIFS(Продажи!K$5:K$359,Продажи!$D$5:$D$359,Конструкторы!$B44,Продажи!$C$5:$C$359,Конструкторы!$A44)</f>
        <v>0</v>
      </c>
      <c r="O44" s="166">
        <f>SUMIFS(Продажи!L$5:L$359,Продажи!$D$5:$D$359,Конструкторы!$B44,Продажи!$C$5:$C$359,Конструкторы!$A44)</f>
        <v>0</v>
      </c>
      <c r="P44" s="166">
        <f>SUMIFS(Продажи!M$5:M$359,Продажи!$D$5:$D$359,Конструкторы!$B44,Продажи!$C$5:$C$359,Конструкторы!$A44)</f>
        <v>0</v>
      </c>
      <c r="Q44" s="166">
        <f>SUMIFS(Продажи!N$5:N$359,Продажи!$D$5:$D$359,Конструкторы!$B44,Продажи!$C$5:$C$359,Конструкторы!$A44)</f>
        <v>0</v>
      </c>
      <c r="R44" s="166">
        <f>SUMIFS(Продажи!O$5:O$359,Продажи!$D$5:$D$359,Конструкторы!$B44,Продажи!$C$5:$C$359,Конструкторы!$A44)</f>
        <v>0</v>
      </c>
      <c r="S44" s="166">
        <f>SUMIFS(Продажи!P$5:P$359,Продажи!$D$5:$D$359,Конструкторы!$B44,Продажи!$C$5:$C$359,Конструкторы!$A44)</f>
        <v>0</v>
      </c>
      <c r="T44" s="166">
        <f>SUMIFS(Продажи!Q$5:Q$359,Продажи!$D$5:$D$359,Конструкторы!$B44,Продажи!$C$5:$C$359,Конструкторы!$A44)</f>
        <v>0</v>
      </c>
    </row>
    <row r="45" spans="1:20" ht="15.75" hidden="1" x14ac:dyDescent="0.25">
      <c r="A45" s="166" t="s">
        <v>397</v>
      </c>
      <c r="B45" s="172" t="s">
        <v>384</v>
      </c>
      <c r="C45" s="33" t="s">
        <v>76</v>
      </c>
      <c r="D45" s="149"/>
      <c r="E45" s="153" t="s">
        <v>70</v>
      </c>
      <c r="F45" s="148">
        <v>4</v>
      </c>
      <c r="G45" s="148"/>
      <c r="H45" s="156">
        <f t="shared" si="0"/>
        <v>4</v>
      </c>
      <c r="I45" s="166">
        <f>SUMIFS(Продажи!F$5:F$359,Продажи!$D$5:$D$359,Конструкторы!$B45,Продажи!$C$5:$C$359,Конструкторы!$A45)</f>
        <v>0</v>
      </c>
      <c r="J45" s="166">
        <f>SUMIFS(Продажи!G$5:G$359,Продажи!$D$5:$D$359,Конструкторы!$B45,Продажи!$C$5:$C$359,Конструкторы!$A45)</f>
        <v>0</v>
      </c>
      <c r="K45" s="166">
        <f>SUMIFS(Продажи!H$5:H$359,Продажи!$D$5:$D$359,Конструкторы!$B45,Продажи!$C$5:$C$359,Конструкторы!$A45)</f>
        <v>0</v>
      </c>
      <c r="L45" s="166">
        <f>SUMIFS(Продажи!I$5:I$359,Продажи!$D$5:$D$359,Конструкторы!$B45,Продажи!$C$5:$C$359,Конструкторы!$A45)</f>
        <v>0</v>
      </c>
      <c r="M45" s="166">
        <f>SUMIFS(Продажи!J$5:J$359,Продажи!$D$5:$D$359,Конструкторы!$B45,Продажи!$C$5:$C$359,Конструкторы!$A45)</f>
        <v>0</v>
      </c>
      <c r="N45" s="166">
        <f>SUMIFS(Продажи!K$5:K$359,Продажи!$D$5:$D$359,Конструкторы!$B45,Продажи!$C$5:$C$359,Конструкторы!$A45)</f>
        <v>0</v>
      </c>
      <c r="O45" s="166">
        <f>SUMIFS(Продажи!L$5:L$359,Продажи!$D$5:$D$359,Конструкторы!$B45,Продажи!$C$5:$C$359,Конструкторы!$A45)</f>
        <v>0</v>
      </c>
      <c r="P45" s="166">
        <f>SUMIFS(Продажи!M$5:M$359,Продажи!$D$5:$D$359,Конструкторы!$B45,Продажи!$C$5:$C$359,Конструкторы!$A45)</f>
        <v>0</v>
      </c>
      <c r="Q45" s="166">
        <f>SUMIFS(Продажи!N$5:N$359,Продажи!$D$5:$D$359,Конструкторы!$B45,Продажи!$C$5:$C$359,Конструкторы!$A45)</f>
        <v>0</v>
      </c>
      <c r="R45" s="166">
        <f>SUMIFS(Продажи!O$5:O$359,Продажи!$D$5:$D$359,Конструкторы!$B45,Продажи!$C$5:$C$359,Конструкторы!$A45)</f>
        <v>0</v>
      </c>
      <c r="S45" s="166">
        <f>SUMIFS(Продажи!P$5:P$359,Продажи!$D$5:$D$359,Конструкторы!$B45,Продажи!$C$5:$C$359,Конструкторы!$A45)</f>
        <v>0</v>
      </c>
      <c r="T45" s="166">
        <f>SUMIFS(Продажи!Q$5:Q$359,Продажи!$D$5:$D$359,Конструкторы!$B45,Продажи!$C$5:$C$359,Конструкторы!$A45)</f>
        <v>0</v>
      </c>
    </row>
    <row r="46" spans="1:20" ht="15.75" hidden="1" x14ac:dyDescent="0.25">
      <c r="A46" s="166" t="s">
        <v>397</v>
      </c>
      <c r="B46" s="172" t="s">
        <v>384</v>
      </c>
      <c r="C46" s="33" t="s">
        <v>75</v>
      </c>
      <c r="D46" s="149"/>
      <c r="E46" s="153" t="s">
        <v>70</v>
      </c>
      <c r="F46" s="148">
        <v>20</v>
      </c>
      <c r="G46" s="148"/>
      <c r="H46" s="156">
        <f t="shared" si="0"/>
        <v>20</v>
      </c>
      <c r="I46" s="166">
        <f>SUMIFS(Продажи!F$5:F$359,Продажи!$D$5:$D$359,Конструкторы!$B46,Продажи!$C$5:$C$359,Конструкторы!$A46)</f>
        <v>0</v>
      </c>
      <c r="J46" s="166">
        <f>SUMIFS(Продажи!G$5:G$359,Продажи!$D$5:$D$359,Конструкторы!$B46,Продажи!$C$5:$C$359,Конструкторы!$A46)</f>
        <v>0</v>
      </c>
      <c r="K46" s="166">
        <f>SUMIFS(Продажи!H$5:H$359,Продажи!$D$5:$D$359,Конструкторы!$B46,Продажи!$C$5:$C$359,Конструкторы!$A46)</f>
        <v>0</v>
      </c>
      <c r="L46" s="166">
        <f>SUMIFS(Продажи!I$5:I$359,Продажи!$D$5:$D$359,Конструкторы!$B46,Продажи!$C$5:$C$359,Конструкторы!$A46)</f>
        <v>0</v>
      </c>
      <c r="M46" s="166">
        <f>SUMIFS(Продажи!J$5:J$359,Продажи!$D$5:$D$359,Конструкторы!$B46,Продажи!$C$5:$C$359,Конструкторы!$A46)</f>
        <v>0</v>
      </c>
      <c r="N46" s="166">
        <f>SUMIFS(Продажи!K$5:K$359,Продажи!$D$5:$D$359,Конструкторы!$B46,Продажи!$C$5:$C$359,Конструкторы!$A46)</f>
        <v>0</v>
      </c>
      <c r="O46" s="166">
        <f>SUMIFS(Продажи!L$5:L$359,Продажи!$D$5:$D$359,Конструкторы!$B46,Продажи!$C$5:$C$359,Конструкторы!$A46)</f>
        <v>0</v>
      </c>
      <c r="P46" s="166">
        <f>SUMIFS(Продажи!M$5:M$359,Продажи!$D$5:$D$359,Конструкторы!$B46,Продажи!$C$5:$C$359,Конструкторы!$A46)</f>
        <v>0</v>
      </c>
      <c r="Q46" s="166">
        <f>SUMIFS(Продажи!N$5:N$359,Продажи!$D$5:$D$359,Конструкторы!$B46,Продажи!$C$5:$C$359,Конструкторы!$A46)</f>
        <v>0</v>
      </c>
      <c r="R46" s="166">
        <f>SUMIFS(Продажи!O$5:O$359,Продажи!$D$5:$D$359,Конструкторы!$B46,Продажи!$C$5:$C$359,Конструкторы!$A46)</f>
        <v>0</v>
      </c>
      <c r="S46" s="166">
        <f>SUMIFS(Продажи!P$5:P$359,Продажи!$D$5:$D$359,Конструкторы!$B46,Продажи!$C$5:$C$359,Конструкторы!$A46)</f>
        <v>0</v>
      </c>
      <c r="T46" s="166">
        <f>SUMIFS(Продажи!Q$5:Q$359,Продажи!$D$5:$D$359,Конструкторы!$B46,Продажи!$C$5:$C$359,Конструкторы!$A46)</f>
        <v>0</v>
      </c>
    </row>
    <row r="47" spans="1:20" ht="15.75" hidden="1" x14ac:dyDescent="0.25">
      <c r="A47" s="166" t="s">
        <v>397</v>
      </c>
      <c r="B47" s="172" t="s">
        <v>385</v>
      </c>
      <c r="C47" s="129" t="s">
        <v>53</v>
      </c>
      <c r="D47" s="149"/>
      <c r="E47" s="153" t="s">
        <v>68</v>
      </c>
      <c r="F47" s="148">
        <v>6</v>
      </c>
      <c r="G47" s="148">
        <f>F47*0.03</f>
        <v>0.18</v>
      </c>
      <c r="H47" s="156">
        <f t="shared" si="0"/>
        <v>6.18</v>
      </c>
      <c r="I47" s="166">
        <f>SUMIFS(Продажи!F$5:F$359,Продажи!$D$5:$D$359,Конструкторы!$B47,Продажи!$C$5:$C$359,Конструкторы!$A47)</f>
        <v>0</v>
      </c>
      <c r="J47" s="166">
        <f>SUMIFS(Продажи!G$5:G$359,Продажи!$D$5:$D$359,Конструкторы!$B47,Продажи!$C$5:$C$359,Конструкторы!$A47)</f>
        <v>0</v>
      </c>
      <c r="K47" s="166">
        <f>SUMIFS(Продажи!H$5:H$359,Продажи!$D$5:$D$359,Конструкторы!$B47,Продажи!$C$5:$C$359,Конструкторы!$A47)</f>
        <v>125</v>
      </c>
      <c r="L47" s="166">
        <f>SUMIFS(Продажи!I$5:I$359,Продажи!$D$5:$D$359,Конструкторы!$B47,Продажи!$C$5:$C$359,Конструкторы!$A47)</f>
        <v>0</v>
      </c>
      <c r="M47" s="166">
        <f>SUMIFS(Продажи!J$5:J$359,Продажи!$D$5:$D$359,Конструкторы!$B47,Продажи!$C$5:$C$359,Конструкторы!$A47)</f>
        <v>0</v>
      </c>
      <c r="N47" s="166">
        <f>SUMIFS(Продажи!K$5:K$359,Продажи!$D$5:$D$359,Конструкторы!$B47,Продажи!$C$5:$C$359,Конструкторы!$A47)</f>
        <v>0</v>
      </c>
      <c r="O47" s="166">
        <f>SUMIFS(Продажи!L$5:L$359,Продажи!$D$5:$D$359,Конструкторы!$B47,Продажи!$C$5:$C$359,Конструкторы!$A47)</f>
        <v>0</v>
      </c>
      <c r="P47" s="166">
        <f>SUMIFS(Продажи!M$5:M$359,Продажи!$D$5:$D$359,Конструкторы!$B47,Продажи!$C$5:$C$359,Конструкторы!$A47)</f>
        <v>0</v>
      </c>
      <c r="Q47" s="166">
        <f>SUMIFS(Продажи!N$5:N$359,Продажи!$D$5:$D$359,Конструкторы!$B47,Продажи!$C$5:$C$359,Конструкторы!$A47)</f>
        <v>0</v>
      </c>
      <c r="R47" s="166">
        <f>SUMIFS(Продажи!O$5:O$359,Продажи!$D$5:$D$359,Конструкторы!$B47,Продажи!$C$5:$C$359,Конструкторы!$A47)</f>
        <v>0</v>
      </c>
      <c r="S47" s="166">
        <f>SUMIFS(Продажи!P$5:P$359,Продажи!$D$5:$D$359,Конструкторы!$B47,Продажи!$C$5:$C$359,Конструкторы!$A47)</f>
        <v>0</v>
      </c>
      <c r="T47" s="166">
        <f>SUMIFS(Продажи!Q$5:Q$359,Продажи!$D$5:$D$359,Конструкторы!$B47,Продажи!$C$5:$C$359,Конструкторы!$A47)</f>
        <v>0</v>
      </c>
    </row>
    <row r="48" spans="1:20" ht="15.75" hidden="1" x14ac:dyDescent="0.25">
      <c r="A48" s="166" t="s">
        <v>397</v>
      </c>
      <c r="B48" s="172" t="s">
        <v>385</v>
      </c>
      <c r="C48" s="129" t="s">
        <v>52</v>
      </c>
      <c r="D48" s="149"/>
      <c r="E48" s="153" t="s">
        <v>68</v>
      </c>
      <c r="F48" s="148">
        <v>4</v>
      </c>
      <c r="G48" s="148">
        <f>F48*0.03</f>
        <v>0.12</v>
      </c>
      <c r="H48" s="156">
        <f t="shared" si="0"/>
        <v>4.12</v>
      </c>
      <c r="I48" s="166">
        <f>SUMIFS(Продажи!F$5:F$359,Продажи!$D$5:$D$359,Конструкторы!$B48,Продажи!$C$5:$C$359,Конструкторы!$A48)</f>
        <v>0</v>
      </c>
      <c r="J48" s="166">
        <f>SUMIFS(Продажи!G$5:G$359,Продажи!$D$5:$D$359,Конструкторы!$B48,Продажи!$C$5:$C$359,Конструкторы!$A48)</f>
        <v>0</v>
      </c>
      <c r="K48" s="166">
        <f>SUMIFS(Продажи!H$5:H$359,Продажи!$D$5:$D$359,Конструкторы!$B48,Продажи!$C$5:$C$359,Конструкторы!$A48)</f>
        <v>125</v>
      </c>
      <c r="L48" s="166">
        <f>SUMIFS(Продажи!I$5:I$359,Продажи!$D$5:$D$359,Конструкторы!$B48,Продажи!$C$5:$C$359,Конструкторы!$A48)</f>
        <v>0</v>
      </c>
      <c r="M48" s="166">
        <f>SUMIFS(Продажи!J$5:J$359,Продажи!$D$5:$D$359,Конструкторы!$B48,Продажи!$C$5:$C$359,Конструкторы!$A48)</f>
        <v>0</v>
      </c>
      <c r="N48" s="166">
        <f>SUMIFS(Продажи!K$5:K$359,Продажи!$D$5:$D$359,Конструкторы!$B48,Продажи!$C$5:$C$359,Конструкторы!$A48)</f>
        <v>0</v>
      </c>
      <c r="O48" s="166">
        <f>SUMIFS(Продажи!L$5:L$359,Продажи!$D$5:$D$359,Конструкторы!$B48,Продажи!$C$5:$C$359,Конструкторы!$A48)</f>
        <v>0</v>
      </c>
      <c r="P48" s="166">
        <f>SUMIFS(Продажи!M$5:M$359,Продажи!$D$5:$D$359,Конструкторы!$B48,Продажи!$C$5:$C$359,Конструкторы!$A48)</f>
        <v>0</v>
      </c>
      <c r="Q48" s="166">
        <f>SUMIFS(Продажи!N$5:N$359,Продажи!$D$5:$D$359,Конструкторы!$B48,Продажи!$C$5:$C$359,Конструкторы!$A48)</f>
        <v>0</v>
      </c>
      <c r="R48" s="166">
        <f>SUMIFS(Продажи!O$5:O$359,Продажи!$D$5:$D$359,Конструкторы!$B48,Продажи!$C$5:$C$359,Конструкторы!$A48)</f>
        <v>0</v>
      </c>
      <c r="S48" s="166">
        <f>SUMIFS(Продажи!P$5:P$359,Продажи!$D$5:$D$359,Конструкторы!$B48,Продажи!$C$5:$C$359,Конструкторы!$A48)</f>
        <v>0</v>
      </c>
      <c r="T48" s="166">
        <f>SUMIFS(Продажи!Q$5:Q$359,Продажи!$D$5:$D$359,Конструкторы!$B48,Продажи!$C$5:$C$359,Конструкторы!$A48)</f>
        <v>0</v>
      </c>
    </row>
    <row r="49" spans="1:20" ht="15.75" hidden="1" x14ac:dyDescent="0.25">
      <c r="A49" s="166" t="s">
        <v>397</v>
      </c>
      <c r="B49" s="172" t="s">
        <v>385</v>
      </c>
      <c r="C49" s="33" t="s">
        <v>76</v>
      </c>
      <c r="D49" s="149"/>
      <c r="E49" s="153" t="s">
        <v>70</v>
      </c>
      <c r="F49" s="148">
        <v>4</v>
      </c>
      <c r="G49" s="148"/>
      <c r="H49" s="156">
        <f t="shared" si="0"/>
        <v>4</v>
      </c>
      <c r="I49" s="166">
        <f>SUMIFS(Продажи!F$5:F$359,Продажи!$D$5:$D$359,Конструкторы!$B49,Продажи!$C$5:$C$359,Конструкторы!$A49)</f>
        <v>0</v>
      </c>
      <c r="J49" s="166">
        <f>SUMIFS(Продажи!G$5:G$359,Продажи!$D$5:$D$359,Конструкторы!$B49,Продажи!$C$5:$C$359,Конструкторы!$A49)</f>
        <v>0</v>
      </c>
      <c r="K49" s="166">
        <f>SUMIFS(Продажи!H$5:H$359,Продажи!$D$5:$D$359,Конструкторы!$B49,Продажи!$C$5:$C$359,Конструкторы!$A49)</f>
        <v>125</v>
      </c>
      <c r="L49" s="166">
        <f>SUMIFS(Продажи!I$5:I$359,Продажи!$D$5:$D$359,Конструкторы!$B49,Продажи!$C$5:$C$359,Конструкторы!$A49)</f>
        <v>0</v>
      </c>
      <c r="M49" s="166">
        <f>SUMIFS(Продажи!J$5:J$359,Продажи!$D$5:$D$359,Конструкторы!$B49,Продажи!$C$5:$C$359,Конструкторы!$A49)</f>
        <v>0</v>
      </c>
      <c r="N49" s="166">
        <f>SUMIFS(Продажи!K$5:K$359,Продажи!$D$5:$D$359,Конструкторы!$B49,Продажи!$C$5:$C$359,Конструкторы!$A49)</f>
        <v>0</v>
      </c>
      <c r="O49" s="166">
        <f>SUMIFS(Продажи!L$5:L$359,Продажи!$D$5:$D$359,Конструкторы!$B49,Продажи!$C$5:$C$359,Конструкторы!$A49)</f>
        <v>0</v>
      </c>
      <c r="P49" s="166">
        <f>SUMIFS(Продажи!M$5:M$359,Продажи!$D$5:$D$359,Конструкторы!$B49,Продажи!$C$5:$C$359,Конструкторы!$A49)</f>
        <v>0</v>
      </c>
      <c r="Q49" s="166">
        <f>SUMIFS(Продажи!N$5:N$359,Продажи!$D$5:$D$359,Конструкторы!$B49,Продажи!$C$5:$C$359,Конструкторы!$A49)</f>
        <v>0</v>
      </c>
      <c r="R49" s="166">
        <f>SUMIFS(Продажи!O$5:O$359,Продажи!$D$5:$D$359,Конструкторы!$B49,Продажи!$C$5:$C$359,Конструкторы!$A49)</f>
        <v>0</v>
      </c>
      <c r="S49" s="166">
        <f>SUMIFS(Продажи!P$5:P$359,Продажи!$D$5:$D$359,Конструкторы!$B49,Продажи!$C$5:$C$359,Конструкторы!$A49)</f>
        <v>0</v>
      </c>
      <c r="T49" s="166">
        <f>SUMIFS(Продажи!Q$5:Q$359,Продажи!$D$5:$D$359,Конструкторы!$B49,Продажи!$C$5:$C$359,Конструкторы!$A49)</f>
        <v>0</v>
      </c>
    </row>
    <row r="50" spans="1:20" ht="15.75" hidden="1" x14ac:dyDescent="0.25">
      <c r="A50" s="166" t="s">
        <v>397</v>
      </c>
      <c r="B50" s="172" t="s">
        <v>385</v>
      </c>
      <c r="C50" s="33" t="s">
        <v>75</v>
      </c>
      <c r="D50" s="149"/>
      <c r="E50" s="153" t="s">
        <v>70</v>
      </c>
      <c r="F50" s="148">
        <v>20</v>
      </c>
      <c r="G50" s="148"/>
      <c r="H50" s="156">
        <f t="shared" si="0"/>
        <v>20</v>
      </c>
      <c r="I50" s="166">
        <f>SUMIFS(Продажи!F$5:F$359,Продажи!$D$5:$D$359,Конструкторы!$B50,Продажи!$C$5:$C$359,Конструкторы!$A50)</f>
        <v>0</v>
      </c>
      <c r="J50" s="166">
        <f>SUMIFS(Продажи!G$5:G$359,Продажи!$D$5:$D$359,Конструкторы!$B50,Продажи!$C$5:$C$359,Конструкторы!$A50)</f>
        <v>0</v>
      </c>
      <c r="K50" s="166">
        <f>SUMIFS(Продажи!H$5:H$359,Продажи!$D$5:$D$359,Конструкторы!$B50,Продажи!$C$5:$C$359,Конструкторы!$A50)</f>
        <v>125</v>
      </c>
      <c r="L50" s="166">
        <f>SUMIFS(Продажи!I$5:I$359,Продажи!$D$5:$D$359,Конструкторы!$B50,Продажи!$C$5:$C$359,Конструкторы!$A50)</f>
        <v>0</v>
      </c>
      <c r="M50" s="166">
        <f>SUMIFS(Продажи!J$5:J$359,Продажи!$D$5:$D$359,Конструкторы!$B50,Продажи!$C$5:$C$359,Конструкторы!$A50)</f>
        <v>0</v>
      </c>
      <c r="N50" s="166">
        <f>SUMIFS(Продажи!K$5:K$359,Продажи!$D$5:$D$359,Конструкторы!$B50,Продажи!$C$5:$C$359,Конструкторы!$A50)</f>
        <v>0</v>
      </c>
      <c r="O50" s="166">
        <f>SUMIFS(Продажи!L$5:L$359,Продажи!$D$5:$D$359,Конструкторы!$B50,Продажи!$C$5:$C$359,Конструкторы!$A50)</f>
        <v>0</v>
      </c>
      <c r="P50" s="166">
        <f>SUMIFS(Продажи!M$5:M$359,Продажи!$D$5:$D$359,Конструкторы!$B50,Продажи!$C$5:$C$359,Конструкторы!$A50)</f>
        <v>0</v>
      </c>
      <c r="Q50" s="166">
        <f>SUMIFS(Продажи!N$5:N$359,Продажи!$D$5:$D$359,Конструкторы!$B50,Продажи!$C$5:$C$359,Конструкторы!$A50)</f>
        <v>0</v>
      </c>
      <c r="R50" s="166">
        <f>SUMIFS(Продажи!O$5:O$359,Продажи!$D$5:$D$359,Конструкторы!$B50,Продажи!$C$5:$C$359,Конструкторы!$A50)</f>
        <v>0</v>
      </c>
      <c r="S50" s="166">
        <f>SUMIFS(Продажи!P$5:P$359,Продажи!$D$5:$D$359,Конструкторы!$B50,Продажи!$C$5:$C$359,Конструкторы!$A50)</f>
        <v>0</v>
      </c>
      <c r="T50" s="166">
        <f>SUMIFS(Продажи!Q$5:Q$359,Продажи!$D$5:$D$359,Конструкторы!$B50,Продажи!$C$5:$C$359,Конструкторы!$A50)</f>
        <v>0</v>
      </c>
    </row>
    <row r="51" spans="1:20" ht="15.75" hidden="1" x14ac:dyDescent="0.25">
      <c r="A51" s="166" t="s">
        <v>397</v>
      </c>
      <c r="B51" s="172" t="s">
        <v>386</v>
      </c>
      <c r="C51" s="129" t="s">
        <v>53</v>
      </c>
      <c r="D51" s="149"/>
      <c r="E51" s="153" t="s">
        <v>68</v>
      </c>
      <c r="F51" s="148">
        <v>6</v>
      </c>
      <c r="G51" s="148">
        <f>F51*0.03</f>
        <v>0.18</v>
      </c>
      <c r="H51" s="156">
        <f t="shared" si="0"/>
        <v>6.18</v>
      </c>
      <c r="I51" s="166">
        <f>SUMIFS(Продажи!F$5:F$359,Продажи!$D$5:$D$359,Конструкторы!$B51,Продажи!$C$5:$C$359,Конструкторы!$A51)</f>
        <v>0</v>
      </c>
      <c r="J51" s="166">
        <f>SUMIFS(Продажи!G$5:G$359,Продажи!$D$5:$D$359,Конструкторы!$B51,Продажи!$C$5:$C$359,Конструкторы!$A51)</f>
        <v>0</v>
      </c>
      <c r="K51" s="166">
        <f>SUMIFS(Продажи!H$5:H$359,Продажи!$D$5:$D$359,Конструкторы!$B51,Продажи!$C$5:$C$359,Конструкторы!$A51)</f>
        <v>20</v>
      </c>
      <c r="L51" s="166">
        <f>SUMIFS(Продажи!I$5:I$359,Продажи!$D$5:$D$359,Конструкторы!$B51,Продажи!$C$5:$C$359,Конструкторы!$A51)</f>
        <v>0</v>
      </c>
      <c r="M51" s="166">
        <f>SUMIFS(Продажи!J$5:J$359,Продажи!$D$5:$D$359,Конструкторы!$B51,Продажи!$C$5:$C$359,Конструкторы!$A51)</f>
        <v>0</v>
      </c>
      <c r="N51" s="166">
        <f>SUMIFS(Продажи!K$5:K$359,Продажи!$D$5:$D$359,Конструкторы!$B51,Продажи!$C$5:$C$359,Конструкторы!$A51)</f>
        <v>0</v>
      </c>
      <c r="O51" s="166">
        <f>SUMIFS(Продажи!L$5:L$359,Продажи!$D$5:$D$359,Конструкторы!$B51,Продажи!$C$5:$C$359,Конструкторы!$A51)</f>
        <v>0</v>
      </c>
      <c r="P51" s="166">
        <f>SUMIFS(Продажи!M$5:M$359,Продажи!$D$5:$D$359,Конструкторы!$B51,Продажи!$C$5:$C$359,Конструкторы!$A51)</f>
        <v>0</v>
      </c>
      <c r="Q51" s="166">
        <f>SUMIFS(Продажи!N$5:N$359,Продажи!$D$5:$D$359,Конструкторы!$B51,Продажи!$C$5:$C$359,Конструкторы!$A51)</f>
        <v>0</v>
      </c>
      <c r="R51" s="166">
        <f>SUMIFS(Продажи!O$5:O$359,Продажи!$D$5:$D$359,Конструкторы!$B51,Продажи!$C$5:$C$359,Конструкторы!$A51)</f>
        <v>0</v>
      </c>
      <c r="S51" s="166">
        <f>SUMIFS(Продажи!P$5:P$359,Продажи!$D$5:$D$359,Конструкторы!$B51,Продажи!$C$5:$C$359,Конструкторы!$A51)</f>
        <v>0</v>
      </c>
      <c r="T51" s="166">
        <f>SUMIFS(Продажи!Q$5:Q$359,Продажи!$D$5:$D$359,Конструкторы!$B51,Продажи!$C$5:$C$359,Конструкторы!$A51)</f>
        <v>0</v>
      </c>
    </row>
    <row r="52" spans="1:20" ht="15.75" hidden="1" x14ac:dyDescent="0.25">
      <c r="A52" s="166" t="s">
        <v>397</v>
      </c>
      <c r="B52" s="172" t="s">
        <v>386</v>
      </c>
      <c r="C52" s="129" t="s">
        <v>52</v>
      </c>
      <c r="D52" s="149"/>
      <c r="E52" s="153" t="s">
        <v>68</v>
      </c>
      <c r="F52" s="148">
        <v>6</v>
      </c>
      <c r="G52" s="148">
        <f>F52*0.03</f>
        <v>0.18</v>
      </c>
      <c r="H52" s="156">
        <f t="shared" si="0"/>
        <v>6.18</v>
      </c>
      <c r="I52" s="166">
        <f>SUMIFS(Продажи!F$5:F$359,Продажи!$D$5:$D$359,Конструкторы!$B52,Продажи!$C$5:$C$359,Конструкторы!$A52)</f>
        <v>0</v>
      </c>
      <c r="J52" s="166">
        <f>SUMIFS(Продажи!G$5:G$359,Продажи!$D$5:$D$359,Конструкторы!$B52,Продажи!$C$5:$C$359,Конструкторы!$A52)</f>
        <v>0</v>
      </c>
      <c r="K52" s="166">
        <f>SUMIFS(Продажи!H$5:H$359,Продажи!$D$5:$D$359,Конструкторы!$B52,Продажи!$C$5:$C$359,Конструкторы!$A52)</f>
        <v>20</v>
      </c>
      <c r="L52" s="166">
        <f>SUMIFS(Продажи!I$5:I$359,Продажи!$D$5:$D$359,Конструкторы!$B52,Продажи!$C$5:$C$359,Конструкторы!$A52)</f>
        <v>0</v>
      </c>
      <c r="M52" s="166">
        <f>SUMIFS(Продажи!J$5:J$359,Продажи!$D$5:$D$359,Конструкторы!$B52,Продажи!$C$5:$C$359,Конструкторы!$A52)</f>
        <v>0</v>
      </c>
      <c r="N52" s="166">
        <f>SUMIFS(Продажи!K$5:K$359,Продажи!$D$5:$D$359,Конструкторы!$B52,Продажи!$C$5:$C$359,Конструкторы!$A52)</f>
        <v>0</v>
      </c>
      <c r="O52" s="166">
        <f>SUMIFS(Продажи!L$5:L$359,Продажи!$D$5:$D$359,Конструкторы!$B52,Продажи!$C$5:$C$359,Конструкторы!$A52)</f>
        <v>0</v>
      </c>
      <c r="P52" s="166">
        <f>SUMIFS(Продажи!M$5:M$359,Продажи!$D$5:$D$359,Конструкторы!$B52,Продажи!$C$5:$C$359,Конструкторы!$A52)</f>
        <v>0</v>
      </c>
      <c r="Q52" s="166">
        <f>SUMIFS(Продажи!N$5:N$359,Продажи!$D$5:$D$359,Конструкторы!$B52,Продажи!$C$5:$C$359,Конструкторы!$A52)</f>
        <v>0</v>
      </c>
      <c r="R52" s="166">
        <f>SUMIFS(Продажи!O$5:O$359,Продажи!$D$5:$D$359,Конструкторы!$B52,Продажи!$C$5:$C$359,Конструкторы!$A52)</f>
        <v>0</v>
      </c>
      <c r="S52" s="166">
        <f>SUMIFS(Продажи!P$5:P$359,Продажи!$D$5:$D$359,Конструкторы!$B52,Продажи!$C$5:$C$359,Конструкторы!$A52)</f>
        <v>0</v>
      </c>
      <c r="T52" s="166">
        <f>SUMIFS(Продажи!Q$5:Q$359,Продажи!$D$5:$D$359,Конструкторы!$B52,Продажи!$C$5:$C$359,Конструкторы!$A52)</f>
        <v>0</v>
      </c>
    </row>
    <row r="53" spans="1:20" ht="15.75" hidden="1" x14ac:dyDescent="0.25">
      <c r="A53" s="166" t="s">
        <v>397</v>
      </c>
      <c r="B53" s="172" t="s">
        <v>386</v>
      </c>
      <c r="C53" s="33" t="s">
        <v>76</v>
      </c>
      <c r="D53" s="149"/>
      <c r="E53" s="153" t="s">
        <v>70</v>
      </c>
      <c r="F53" s="148">
        <v>4</v>
      </c>
      <c r="G53" s="148"/>
      <c r="H53" s="156">
        <f t="shared" si="0"/>
        <v>4</v>
      </c>
      <c r="I53" s="166">
        <f>SUMIFS(Продажи!F$5:F$359,Продажи!$D$5:$D$359,Конструкторы!$B53,Продажи!$C$5:$C$359,Конструкторы!$A53)</f>
        <v>0</v>
      </c>
      <c r="J53" s="166">
        <f>SUMIFS(Продажи!G$5:G$359,Продажи!$D$5:$D$359,Конструкторы!$B53,Продажи!$C$5:$C$359,Конструкторы!$A53)</f>
        <v>0</v>
      </c>
      <c r="K53" s="166">
        <f>SUMIFS(Продажи!H$5:H$359,Продажи!$D$5:$D$359,Конструкторы!$B53,Продажи!$C$5:$C$359,Конструкторы!$A53)</f>
        <v>20</v>
      </c>
      <c r="L53" s="166">
        <f>SUMIFS(Продажи!I$5:I$359,Продажи!$D$5:$D$359,Конструкторы!$B53,Продажи!$C$5:$C$359,Конструкторы!$A53)</f>
        <v>0</v>
      </c>
      <c r="M53" s="166">
        <f>SUMIFS(Продажи!J$5:J$359,Продажи!$D$5:$D$359,Конструкторы!$B53,Продажи!$C$5:$C$359,Конструкторы!$A53)</f>
        <v>0</v>
      </c>
      <c r="N53" s="166">
        <f>SUMIFS(Продажи!K$5:K$359,Продажи!$D$5:$D$359,Конструкторы!$B53,Продажи!$C$5:$C$359,Конструкторы!$A53)</f>
        <v>0</v>
      </c>
      <c r="O53" s="166">
        <f>SUMIFS(Продажи!L$5:L$359,Продажи!$D$5:$D$359,Конструкторы!$B53,Продажи!$C$5:$C$359,Конструкторы!$A53)</f>
        <v>0</v>
      </c>
      <c r="P53" s="166">
        <f>SUMIFS(Продажи!M$5:M$359,Продажи!$D$5:$D$359,Конструкторы!$B53,Продажи!$C$5:$C$359,Конструкторы!$A53)</f>
        <v>0</v>
      </c>
      <c r="Q53" s="166">
        <f>SUMIFS(Продажи!N$5:N$359,Продажи!$D$5:$D$359,Конструкторы!$B53,Продажи!$C$5:$C$359,Конструкторы!$A53)</f>
        <v>0</v>
      </c>
      <c r="R53" s="166">
        <f>SUMIFS(Продажи!O$5:O$359,Продажи!$D$5:$D$359,Конструкторы!$B53,Продажи!$C$5:$C$359,Конструкторы!$A53)</f>
        <v>0</v>
      </c>
      <c r="S53" s="166">
        <f>SUMIFS(Продажи!P$5:P$359,Продажи!$D$5:$D$359,Конструкторы!$B53,Продажи!$C$5:$C$359,Конструкторы!$A53)</f>
        <v>0</v>
      </c>
      <c r="T53" s="166">
        <f>SUMIFS(Продажи!Q$5:Q$359,Продажи!$D$5:$D$359,Конструкторы!$B53,Продажи!$C$5:$C$359,Конструкторы!$A53)</f>
        <v>0</v>
      </c>
    </row>
    <row r="54" spans="1:20" ht="15.75" hidden="1" x14ac:dyDescent="0.25">
      <c r="A54" s="166" t="s">
        <v>397</v>
      </c>
      <c r="B54" s="172" t="s">
        <v>386</v>
      </c>
      <c r="C54" s="33" t="s">
        <v>75</v>
      </c>
      <c r="D54" s="149"/>
      <c r="E54" s="153" t="s">
        <v>70</v>
      </c>
      <c r="F54" s="148">
        <v>20</v>
      </c>
      <c r="G54" s="148"/>
      <c r="H54" s="156">
        <f t="shared" si="0"/>
        <v>20</v>
      </c>
      <c r="I54" s="166">
        <f>SUMIFS(Продажи!F$5:F$359,Продажи!$D$5:$D$359,Конструкторы!$B54,Продажи!$C$5:$C$359,Конструкторы!$A54)</f>
        <v>0</v>
      </c>
      <c r="J54" s="166">
        <f>SUMIFS(Продажи!G$5:G$359,Продажи!$D$5:$D$359,Конструкторы!$B54,Продажи!$C$5:$C$359,Конструкторы!$A54)</f>
        <v>0</v>
      </c>
      <c r="K54" s="166">
        <f>SUMIFS(Продажи!H$5:H$359,Продажи!$D$5:$D$359,Конструкторы!$B54,Продажи!$C$5:$C$359,Конструкторы!$A54)</f>
        <v>20</v>
      </c>
      <c r="L54" s="166">
        <f>SUMIFS(Продажи!I$5:I$359,Продажи!$D$5:$D$359,Конструкторы!$B54,Продажи!$C$5:$C$359,Конструкторы!$A54)</f>
        <v>0</v>
      </c>
      <c r="M54" s="166">
        <f>SUMIFS(Продажи!J$5:J$359,Продажи!$D$5:$D$359,Конструкторы!$B54,Продажи!$C$5:$C$359,Конструкторы!$A54)</f>
        <v>0</v>
      </c>
      <c r="N54" s="166">
        <f>SUMIFS(Продажи!K$5:K$359,Продажи!$D$5:$D$359,Конструкторы!$B54,Продажи!$C$5:$C$359,Конструкторы!$A54)</f>
        <v>0</v>
      </c>
      <c r="O54" s="166">
        <f>SUMIFS(Продажи!L$5:L$359,Продажи!$D$5:$D$359,Конструкторы!$B54,Продажи!$C$5:$C$359,Конструкторы!$A54)</f>
        <v>0</v>
      </c>
      <c r="P54" s="166">
        <f>SUMIFS(Продажи!M$5:M$359,Продажи!$D$5:$D$359,Конструкторы!$B54,Продажи!$C$5:$C$359,Конструкторы!$A54)</f>
        <v>0</v>
      </c>
      <c r="Q54" s="166">
        <f>SUMIFS(Продажи!N$5:N$359,Продажи!$D$5:$D$359,Конструкторы!$B54,Продажи!$C$5:$C$359,Конструкторы!$A54)</f>
        <v>0</v>
      </c>
      <c r="R54" s="166">
        <f>SUMIFS(Продажи!O$5:O$359,Продажи!$D$5:$D$359,Конструкторы!$B54,Продажи!$C$5:$C$359,Конструкторы!$A54)</f>
        <v>0</v>
      </c>
      <c r="S54" s="166">
        <f>SUMIFS(Продажи!P$5:P$359,Продажи!$D$5:$D$359,Конструкторы!$B54,Продажи!$C$5:$C$359,Конструкторы!$A54)</f>
        <v>0</v>
      </c>
      <c r="T54" s="166">
        <f>SUMIFS(Продажи!Q$5:Q$359,Продажи!$D$5:$D$359,Конструкторы!$B54,Продажи!$C$5:$C$359,Конструкторы!$A54)</f>
        <v>0</v>
      </c>
    </row>
    <row r="55" spans="1:20" ht="15.75" hidden="1" x14ac:dyDescent="0.25">
      <c r="A55" s="166" t="s">
        <v>397</v>
      </c>
      <c r="B55" s="167" t="s">
        <v>130</v>
      </c>
      <c r="C55" s="129" t="s">
        <v>53</v>
      </c>
      <c r="D55" s="130">
        <v>7038</v>
      </c>
      <c r="E55" s="153" t="s">
        <v>68</v>
      </c>
      <c r="F55" s="156">
        <f>(12*103)/100</f>
        <v>12.36</v>
      </c>
      <c r="G55" s="156">
        <v>0.35999999999999943</v>
      </c>
      <c r="H55" s="156">
        <f t="shared" si="0"/>
        <v>12.719999999999999</v>
      </c>
      <c r="I55" s="166">
        <f>SUMIFS(Продажи!F$5:F$359,Продажи!$D$5:$D$359,Конструкторы!$B55,Продажи!$C$5:$C$359,Конструкторы!$A55)</f>
        <v>93</v>
      </c>
      <c r="J55" s="166">
        <f>SUMIFS(Продажи!G$5:G$359,Продажи!$D$5:$D$359,Конструкторы!$B55,Продажи!$C$5:$C$359,Конструкторы!$A55)</f>
        <v>0</v>
      </c>
      <c r="K55" s="166">
        <f>SUMIFS(Продажи!H$5:H$359,Продажи!$D$5:$D$359,Конструкторы!$B55,Продажи!$C$5:$C$359,Конструкторы!$A55)</f>
        <v>0</v>
      </c>
      <c r="L55" s="166">
        <f>SUMIFS(Продажи!I$5:I$359,Продажи!$D$5:$D$359,Конструкторы!$B55,Продажи!$C$5:$C$359,Конструкторы!$A55)</f>
        <v>0</v>
      </c>
      <c r="M55" s="166">
        <f>SUMIFS(Продажи!J$5:J$359,Продажи!$D$5:$D$359,Конструкторы!$B55,Продажи!$C$5:$C$359,Конструкторы!$A55)</f>
        <v>0</v>
      </c>
      <c r="N55" s="166">
        <f>SUMIFS(Продажи!K$5:K$359,Продажи!$D$5:$D$359,Конструкторы!$B55,Продажи!$C$5:$C$359,Конструкторы!$A55)</f>
        <v>0</v>
      </c>
      <c r="O55" s="166">
        <f>SUMIFS(Продажи!L$5:L$359,Продажи!$D$5:$D$359,Конструкторы!$B55,Продажи!$C$5:$C$359,Конструкторы!$A55)</f>
        <v>0</v>
      </c>
      <c r="P55" s="166">
        <f>SUMIFS(Продажи!M$5:M$359,Продажи!$D$5:$D$359,Конструкторы!$B55,Продажи!$C$5:$C$359,Конструкторы!$A55)</f>
        <v>0</v>
      </c>
      <c r="Q55" s="166">
        <f>SUMIFS(Продажи!N$5:N$359,Продажи!$D$5:$D$359,Конструкторы!$B55,Продажи!$C$5:$C$359,Конструкторы!$A55)</f>
        <v>0</v>
      </c>
      <c r="R55" s="166">
        <f>SUMIFS(Продажи!O$5:O$359,Продажи!$D$5:$D$359,Конструкторы!$B55,Продажи!$C$5:$C$359,Конструкторы!$A55)</f>
        <v>0</v>
      </c>
      <c r="S55" s="166">
        <f>SUMIFS(Продажи!P$5:P$359,Продажи!$D$5:$D$359,Конструкторы!$B55,Продажи!$C$5:$C$359,Конструкторы!$A55)</f>
        <v>0</v>
      </c>
      <c r="T55" s="166">
        <f>SUMIFS(Продажи!Q$5:Q$359,Продажи!$D$5:$D$359,Конструкторы!$B55,Продажи!$C$5:$C$359,Конструкторы!$A55)</f>
        <v>0</v>
      </c>
    </row>
    <row r="56" spans="1:20" ht="15.75" hidden="1" x14ac:dyDescent="0.25">
      <c r="A56" s="166" t="s">
        <v>397</v>
      </c>
      <c r="B56" s="167" t="s">
        <v>130</v>
      </c>
      <c r="C56" s="129" t="s">
        <v>52</v>
      </c>
      <c r="D56" s="157"/>
      <c r="E56" s="153" t="s">
        <v>68</v>
      </c>
      <c r="F56" s="156">
        <f>(2*103)/100</f>
        <v>2.06</v>
      </c>
      <c r="G56" s="156">
        <v>6.0000000000000053E-2</v>
      </c>
      <c r="H56" s="156">
        <f t="shared" si="0"/>
        <v>2.12</v>
      </c>
      <c r="I56" s="166">
        <f>SUMIFS(Продажи!F$5:F$359,Продажи!$D$5:$D$359,Конструкторы!$B56,Продажи!$C$5:$C$359,Конструкторы!$A56)</f>
        <v>93</v>
      </c>
      <c r="J56" s="166">
        <f>SUMIFS(Продажи!G$5:G$359,Продажи!$D$5:$D$359,Конструкторы!$B56,Продажи!$C$5:$C$359,Конструкторы!$A56)</f>
        <v>0</v>
      </c>
      <c r="K56" s="166">
        <f>SUMIFS(Продажи!H$5:H$359,Продажи!$D$5:$D$359,Конструкторы!$B56,Продажи!$C$5:$C$359,Конструкторы!$A56)</f>
        <v>0</v>
      </c>
      <c r="L56" s="166">
        <f>SUMIFS(Продажи!I$5:I$359,Продажи!$D$5:$D$359,Конструкторы!$B56,Продажи!$C$5:$C$359,Конструкторы!$A56)</f>
        <v>0</v>
      </c>
      <c r="M56" s="166">
        <f>SUMIFS(Продажи!J$5:J$359,Продажи!$D$5:$D$359,Конструкторы!$B56,Продажи!$C$5:$C$359,Конструкторы!$A56)</f>
        <v>0</v>
      </c>
      <c r="N56" s="166">
        <f>SUMIFS(Продажи!K$5:K$359,Продажи!$D$5:$D$359,Конструкторы!$B56,Продажи!$C$5:$C$359,Конструкторы!$A56)</f>
        <v>0</v>
      </c>
      <c r="O56" s="166">
        <f>SUMIFS(Продажи!L$5:L$359,Продажи!$D$5:$D$359,Конструкторы!$B56,Продажи!$C$5:$C$359,Конструкторы!$A56)</f>
        <v>0</v>
      </c>
      <c r="P56" s="166">
        <f>SUMIFS(Продажи!M$5:M$359,Продажи!$D$5:$D$359,Конструкторы!$B56,Продажи!$C$5:$C$359,Конструкторы!$A56)</f>
        <v>0</v>
      </c>
      <c r="Q56" s="166">
        <f>SUMIFS(Продажи!N$5:N$359,Продажи!$D$5:$D$359,Конструкторы!$B56,Продажи!$C$5:$C$359,Конструкторы!$A56)</f>
        <v>0</v>
      </c>
      <c r="R56" s="166">
        <f>SUMIFS(Продажи!O$5:O$359,Продажи!$D$5:$D$359,Конструкторы!$B56,Продажи!$C$5:$C$359,Конструкторы!$A56)</f>
        <v>0</v>
      </c>
      <c r="S56" s="166">
        <f>SUMIFS(Продажи!P$5:P$359,Продажи!$D$5:$D$359,Конструкторы!$B56,Продажи!$C$5:$C$359,Конструкторы!$A56)</f>
        <v>0</v>
      </c>
      <c r="T56" s="166">
        <f>SUMIFS(Продажи!Q$5:Q$359,Продажи!$D$5:$D$359,Конструкторы!$B56,Продажи!$C$5:$C$359,Конструкторы!$A56)</f>
        <v>0</v>
      </c>
    </row>
    <row r="57" spans="1:20" ht="15.75" hidden="1" x14ac:dyDescent="0.25">
      <c r="A57" s="166" t="s">
        <v>397</v>
      </c>
      <c r="B57" s="167" t="s">
        <v>130</v>
      </c>
      <c r="C57" s="158" t="s">
        <v>69</v>
      </c>
      <c r="D57" s="157"/>
      <c r="E57" s="153" t="s">
        <v>70</v>
      </c>
      <c r="F57" s="148">
        <v>40</v>
      </c>
      <c r="G57" s="156">
        <v>2</v>
      </c>
      <c r="H57" s="156">
        <f t="shared" si="0"/>
        <v>42</v>
      </c>
      <c r="I57" s="166">
        <f>SUMIFS(Продажи!F$5:F$359,Продажи!$D$5:$D$359,Конструкторы!$B57,Продажи!$C$5:$C$359,Конструкторы!$A57)</f>
        <v>93</v>
      </c>
      <c r="J57" s="166">
        <f>SUMIFS(Продажи!G$5:G$359,Продажи!$D$5:$D$359,Конструкторы!$B57,Продажи!$C$5:$C$359,Конструкторы!$A57)</f>
        <v>0</v>
      </c>
      <c r="K57" s="166">
        <f>SUMIFS(Продажи!H$5:H$359,Продажи!$D$5:$D$359,Конструкторы!$B57,Продажи!$C$5:$C$359,Конструкторы!$A57)</f>
        <v>0</v>
      </c>
      <c r="L57" s="166">
        <f>SUMIFS(Продажи!I$5:I$359,Продажи!$D$5:$D$359,Конструкторы!$B57,Продажи!$C$5:$C$359,Конструкторы!$A57)</f>
        <v>0</v>
      </c>
      <c r="M57" s="166">
        <f>SUMIFS(Продажи!J$5:J$359,Продажи!$D$5:$D$359,Конструкторы!$B57,Продажи!$C$5:$C$359,Конструкторы!$A57)</f>
        <v>0</v>
      </c>
      <c r="N57" s="166">
        <f>SUMIFS(Продажи!K$5:K$359,Продажи!$D$5:$D$359,Конструкторы!$B57,Продажи!$C$5:$C$359,Конструкторы!$A57)</f>
        <v>0</v>
      </c>
      <c r="O57" s="166">
        <f>SUMIFS(Продажи!L$5:L$359,Продажи!$D$5:$D$359,Конструкторы!$B57,Продажи!$C$5:$C$359,Конструкторы!$A57)</f>
        <v>0</v>
      </c>
      <c r="P57" s="166">
        <f>SUMIFS(Продажи!M$5:M$359,Продажи!$D$5:$D$359,Конструкторы!$B57,Продажи!$C$5:$C$359,Конструкторы!$A57)</f>
        <v>0</v>
      </c>
      <c r="Q57" s="166">
        <f>SUMIFS(Продажи!N$5:N$359,Продажи!$D$5:$D$359,Конструкторы!$B57,Продажи!$C$5:$C$359,Конструкторы!$A57)</f>
        <v>0</v>
      </c>
      <c r="R57" s="166">
        <f>SUMIFS(Продажи!O$5:O$359,Продажи!$D$5:$D$359,Конструкторы!$B57,Продажи!$C$5:$C$359,Конструкторы!$A57)</f>
        <v>0</v>
      </c>
      <c r="S57" s="166">
        <f>SUMIFS(Продажи!P$5:P$359,Продажи!$D$5:$D$359,Конструкторы!$B57,Продажи!$C$5:$C$359,Конструкторы!$A57)</f>
        <v>0</v>
      </c>
      <c r="T57" s="166">
        <f>SUMIFS(Продажи!Q$5:Q$359,Продажи!$D$5:$D$359,Конструкторы!$B57,Продажи!$C$5:$C$359,Конструкторы!$A57)</f>
        <v>0</v>
      </c>
    </row>
    <row r="58" spans="1:20" ht="15.75" hidden="1" x14ac:dyDescent="0.25">
      <c r="A58" s="166" t="s">
        <v>397</v>
      </c>
      <c r="B58" s="167" t="s">
        <v>131</v>
      </c>
      <c r="C58" s="129" t="s">
        <v>53</v>
      </c>
      <c r="D58" s="130">
        <v>7038</v>
      </c>
      <c r="E58" s="153" t="s">
        <v>68</v>
      </c>
      <c r="F58" s="156">
        <f>(12*103)/100</f>
        <v>12.36</v>
      </c>
      <c r="G58" s="156">
        <v>0.35999999999999943</v>
      </c>
      <c r="H58" s="156">
        <f t="shared" si="0"/>
        <v>12.719999999999999</v>
      </c>
      <c r="I58" s="166">
        <f>SUMIFS(Продажи!F$5:F$359,Продажи!$D$5:$D$359,Конструкторы!$B58,Продажи!$C$5:$C$359,Конструкторы!$A58)</f>
        <v>63</v>
      </c>
      <c r="J58" s="166">
        <f>SUMIFS(Продажи!G$5:G$359,Продажи!$D$5:$D$359,Конструкторы!$B58,Продажи!$C$5:$C$359,Конструкторы!$A58)</f>
        <v>0</v>
      </c>
      <c r="K58" s="166">
        <f>SUMIFS(Продажи!H$5:H$359,Продажи!$D$5:$D$359,Конструкторы!$B58,Продажи!$C$5:$C$359,Конструкторы!$A58)</f>
        <v>0</v>
      </c>
      <c r="L58" s="166">
        <f>SUMIFS(Продажи!I$5:I$359,Продажи!$D$5:$D$359,Конструкторы!$B58,Продажи!$C$5:$C$359,Конструкторы!$A58)</f>
        <v>0</v>
      </c>
      <c r="M58" s="166">
        <f>SUMIFS(Продажи!J$5:J$359,Продажи!$D$5:$D$359,Конструкторы!$B58,Продажи!$C$5:$C$359,Конструкторы!$A58)</f>
        <v>0</v>
      </c>
      <c r="N58" s="166">
        <f>SUMIFS(Продажи!K$5:K$359,Продажи!$D$5:$D$359,Конструкторы!$B58,Продажи!$C$5:$C$359,Конструкторы!$A58)</f>
        <v>0</v>
      </c>
      <c r="O58" s="166">
        <f>SUMIFS(Продажи!L$5:L$359,Продажи!$D$5:$D$359,Конструкторы!$B58,Продажи!$C$5:$C$359,Конструкторы!$A58)</f>
        <v>0</v>
      </c>
      <c r="P58" s="166">
        <f>SUMIFS(Продажи!M$5:M$359,Продажи!$D$5:$D$359,Конструкторы!$B58,Продажи!$C$5:$C$359,Конструкторы!$A58)</f>
        <v>0</v>
      </c>
      <c r="Q58" s="166">
        <f>SUMIFS(Продажи!N$5:N$359,Продажи!$D$5:$D$359,Конструкторы!$B58,Продажи!$C$5:$C$359,Конструкторы!$A58)</f>
        <v>0</v>
      </c>
      <c r="R58" s="166">
        <f>SUMIFS(Продажи!O$5:O$359,Продажи!$D$5:$D$359,Конструкторы!$B58,Продажи!$C$5:$C$359,Конструкторы!$A58)</f>
        <v>0</v>
      </c>
      <c r="S58" s="166">
        <f>SUMIFS(Продажи!P$5:P$359,Продажи!$D$5:$D$359,Конструкторы!$B58,Продажи!$C$5:$C$359,Конструкторы!$A58)</f>
        <v>0</v>
      </c>
      <c r="T58" s="166">
        <f>SUMIFS(Продажи!Q$5:Q$359,Продажи!$D$5:$D$359,Конструкторы!$B58,Продажи!$C$5:$C$359,Конструкторы!$A58)</f>
        <v>0</v>
      </c>
    </row>
    <row r="59" spans="1:20" ht="15.75" hidden="1" x14ac:dyDescent="0.25">
      <c r="A59" s="166" t="s">
        <v>397</v>
      </c>
      <c r="B59" s="167" t="s">
        <v>131</v>
      </c>
      <c r="C59" s="129" t="s">
        <v>52</v>
      </c>
      <c r="D59" s="157"/>
      <c r="E59" s="153" t="s">
        <v>68</v>
      </c>
      <c r="F59" s="156">
        <f>(4*103)/100</f>
        <v>4.12</v>
      </c>
      <c r="G59" s="156">
        <v>0.12000000000000011</v>
      </c>
      <c r="H59" s="156">
        <f t="shared" si="0"/>
        <v>4.24</v>
      </c>
      <c r="I59" s="166">
        <f>SUMIFS(Продажи!F$5:F$359,Продажи!$D$5:$D$359,Конструкторы!$B59,Продажи!$C$5:$C$359,Конструкторы!$A59)</f>
        <v>63</v>
      </c>
      <c r="J59" s="166">
        <f>SUMIFS(Продажи!G$5:G$359,Продажи!$D$5:$D$359,Конструкторы!$B59,Продажи!$C$5:$C$359,Конструкторы!$A59)</f>
        <v>0</v>
      </c>
      <c r="K59" s="166">
        <f>SUMIFS(Продажи!H$5:H$359,Продажи!$D$5:$D$359,Конструкторы!$B59,Продажи!$C$5:$C$359,Конструкторы!$A59)</f>
        <v>0</v>
      </c>
      <c r="L59" s="166">
        <f>SUMIFS(Продажи!I$5:I$359,Продажи!$D$5:$D$359,Конструкторы!$B59,Продажи!$C$5:$C$359,Конструкторы!$A59)</f>
        <v>0</v>
      </c>
      <c r="M59" s="166">
        <f>SUMIFS(Продажи!J$5:J$359,Продажи!$D$5:$D$359,Конструкторы!$B59,Продажи!$C$5:$C$359,Конструкторы!$A59)</f>
        <v>0</v>
      </c>
      <c r="N59" s="166">
        <f>SUMIFS(Продажи!K$5:K$359,Продажи!$D$5:$D$359,Конструкторы!$B59,Продажи!$C$5:$C$359,Конструкторы!$A59)</f>
        <v>0</v>
      </c>
      <c r="O59" s="166">
        <f>SUMIFS(Продажи!L$5:L$359,Продажи!$D$5:$D$359,Конструкторы!$B59,Продажи!$C$5:$C$359,Конструкторы!$A59)</f>
        <v>0</v>
      </c>
      <c r="P59" s="166">
        <f>SUMIFS(Продажи!M$5:M$359,Продажи!$D$5:$D$359,Конструкторы!$B59,Продажи!$C$5:$C$359,Конструкторы!$A59)</f>
        <v>0</v>
      </c>
      <c r="Q59" s="166">
        <f>SUMIFS(Продажи!N$5:N$359,Продажи!$D$5:$D$359,Конструкторы!$B59,Продажи!$C$5:$C$359,Конструкторы!$A59)</f>
        <v>0</v>
      </c>
      <c r="R59" s="166">
        <f>SUMIFS(Продажи!O$5:O$359,Продажи!$D$5:$D$359,Конструкторы!$B59,Продажи!$C$5:$C$359,Конструкторы!$A59)</f>
        <v>0</v>
      </c>
      <c r="S59" s="166">
        <f>SUMIFS(Продажи!P$5:P$359,Продажи!$D$5:$D$359,Конструкторы!$B59,Продажи!$C$5:$C$359,Конструкторы!$A59)</f>
        <v>0</v>
      </c>
      <c r="T59" s="166">
        <f>SUMIFS(Продажи!Q$5:Q$359,Продажи!$D$5:$D$359,Конструкторы!$B59,Продажи!$C$5:$C$359,Конструкторы!$A59)</f>
        <v>0</v>
      </c>
    </row>
    <row r="60" spans="1:20" ht="15.75" hidden="1" x14ac:dyDescent="0.25">
      <c r="A60" s="166" t="s">
        <v>397</v>
      </c>
      <c r="B60" s="167" t="s">
        <v>131</v>
      </c>
      <c r="C60" s="158" t="s">
        <v>69</v>
      </c>
      <c r="D60" s="157"/>
      <c r="E60" s="153" t="s">
        <v>70</v>
      </c>
      <c r="F60" s="148">
        <v>40</v>
      </c>
      <c r="G60" s="156">
        <v>2</v>
      </c>
      <c r="H60" s="156">
        <f t="shared" si="0"/>
        <v>42</v>
      </c>
      <c r="I60" s="166">
        <f>SUMIFS(Продажи!F$5:F$359,Продажи!$D$5:$D$359,Конструкторы!$B60,Продажи!$C$5:$C$359,Конструкторы!$A60)</f>
        <v>63</v>
      </c>
      <c r="J60" s="166">
        <f>SUMIFS(Продажи!G$5:G$359,Продажи!$D$5:$D$359,Конструкторы!$B60,Продажи!$C$5:$C$359,Конструкторы!$A60)</f>
        <v>0</v>
      </c>
      <c r="K60" s="166">
        <f>SUMIFS(Продажи!H$5:H$359,Продажи!$D$5:$D$359,Конструкторы!$B60,Продажи!$C$5:$C$359,Конструкторы!$A60)</f>
        <v>0</v>
      </c>
      <c r="L60" s="166">
        <f>SUMIFS(Продажи!I$5:I$359,Продажи!$D$5:$D$359,Конструкторы!$B60,Продажи!$C$5:$C$359,Конструкторы!$A60)</f>
        <v>0</v>
      </c>
      <c r="M60" s="166">
        <f>SUMIFS(Продажи!J$5:J$359,Продажи!$D$5:$D$359,Конструкторы!$B60,Продажи!$C$5:$C$359,Конструкторы!$A60)</f>
        <v>0</v>
      </c>
      <c r="N60" s="166">
        <f>SUMIFS(Продажи!K$5:K$359,Продажи!$D$5:$D$359,Конструкторы!$B60,Продажи!$C$5:$C$359,Конструкторы!$A60)</f>
        <v>0</v>
      </c>
      <c r="O60" s="166">
        <f>SUMIFS(Продажи!L$5:L$359,Продажи!$D$5:$D$359,Конструкторы!$B60,Продажи!$C$5:$C$359,Конструкторы!$A60)</f>
        <v>0</v>
      </c>
      <c r="P60" s="166">
        <f>SUMIFS(Продажи!M$5:M$359,Продажи!$D$5:$D$359,Конструкторы!$B60,Продажи!$C$5:$C$359,Конструкторы!$A60)</f>
        <v>0</v>
      </c>
      <c r="Q60" s="166">
        <f>SUMIFS(Продажи!N$5:N$359,Продажи!$D$5:$D$359,Конструкторы!$B60,Продажи!$C$5:$C$359,Конструкторы!$A60)</f>
        <v>0</v>
      </c>
      <c r="R60" s="166">
        <f>SUMIFS(Продажи!O$5:O$359,Продажи!$D$5:$D$359,Конструкторы!$B60,Продажи!$C$5:$C$359,Конструкторы!$A60)</f>
        <v>0</v>
      </c>
      <c r="S60" s="166">
        <f>SUMIFS(Продажи!P$5:P$359,Продажи!$D$5:$D$359,Конструкторы!$B60,Продажи!$C$5:$C$359,Конструкторы!$A60)</f>
        <v>0</v>
      </c>
      <c r="T60" s="166">
        <f>SUMIFS(Продажи!Q$5:Q$359,Продажи!$D$5:$D$359,Конструкторы!$B60,Продажи!$C$5:$C$359,Конструкторы!$A60)</f>
        <v>0</v>
      </c>
    </row>
    <row r="61" spans="1:20" ht="15.75" hidden="1" x14ac:dyDescent="0.25">
      <c r="A61" s="166" t="s">
        <v>397</v>
      </c>
      <c r="B61" s="167" t="s">
        <v>132</v>
      </c>
      <c r="C61" s="129" t="s">
        <v>53</v>
      </c>
      <c r="D61" s="130">
        <v>7038</v>
      </c>
      <c r="E61" s="153" t="s">
        <v>68</v>
      </c>
      <c r="F61" s="156">
        <f>(12*103)/100</f>
        <v>12.36</v>
      </c>
      <c r="G61" s="156">
        <v>0.35999999999999943</v>
      </c>
      <c r="H61" s="156">
        <f t="shared" si="0"/>
        <v>12.719999999999999</v>
      </c>
      <c r="I61" s="166">
        <f>SUMIFS(Продажи!F$5:F$359,Продажи!$D$5:$D$359,Конструкторы!$B61,Продажи!$C$5:$C$359,Конструкторы!$A61)</f>
        <v>0</v>
      </c>
      <c r="J61" s="166">
        <f>SUMIFS(Продажи!G$5:G$359,Продажи!$D$5:$D$359,Конструкторы!$B61,Продажи!$C$5:$C$359,Конструкторы!$A61)</f>
        <v>0</v>
      </c>
      <c r="K61" s="166">
        <f>SUMIFS(Продажи!H$5:H$359,Продажи!$D$5:$D$359,Конструкторы!$B61,Продажи!$C$5:$C$359,Конструкторы!$A61)</f>
        <v>0</v>
      </c>
      <c r="L61" s="166">
        <f>SUMIFS(Продажи!I$5:I$359,Продажи!$D$5:$D$359,Конструкторы!$B61,Продажи!$C$5:$C$359,Конструкторы!$A61)</f>
        <v>0</v>
      </c>
      <c r="M61" s="166">
        <f>SUMIFS(Продажи!J$5:J$359,Продажи!$D$5:$D$359,Конструкторы!$B61,Продажи!$C$5:$C$359,Конструкторы!$A61)</f>
        <v>0</v>
      </c>
      <c r="N61" s="166">
        <f>SUMIFS(Продажи!K$5:K$359,Продажи!$D$5:$D$359,Конструкторы!$B61,Продажи!$C$5:$C$359,Конструкторы!$A61)</f>
        <v>0</v>
      </c>
      <c r="O61" s="166">
        <f>SUMIFS(Продажи!L$5:L$359,Продажи!$D$5:$D$359,Конструкторы!$B61,Продажи!$C$5:$C$359,Конструкторы!$A61)</f>
        <v>0</v>
      </c>
      <c r="P61" s="166">
        <f>SUMIFS(Продажи!M$5:M$359,Продажи!$D$5:$D$359,Конструкторы!$B61,Продажи!$C$5:$C$359,Конструкторы!$A61)</f>
        <v>0</v>
      </c>
      <c r="Q61" s="166">
        <f>SUMIFS(Продажи!N$5:N$359,Продажи!$D$5:$D$359,Конструкторы!$B61,Продажи!$C$5:$C$359,Конструкторы!$A61)</f>
        <v>0</v>
      </c>
      <c r="R61" s="166">
        <f>SUMIFS(Продажи!O$5:O$359,Продажи!$D$5:$D$359,Конструкторы!$B61,Продажи!$C$5:$C$359,Конструкторы!$A61)</f>
        <v>0</v>
      </c>
      <c r="S61" s="166">
        <f>SUMIFS(Продажи!P$5:P$359,Продажи!$D$5:$D$359,Конструкторы!$B61,Продажи!$C$5:$C$359,Конструкторы!$A61)</f>
        <v>0</v>
      </c>
      <c r="T61" s="166">
        <f>SUMIFS(Продажи!Q$5:Q$359,Продажи!$D$5:$D$359,Конструкторы!$B61,Продажи!$C$5:$C$359,Конструкторы!$A61)</f>
        <v>0</v>
      </c>
    </row>
    <row r="62" spans="1:20" ht="15.75" hidden="1" x14ac:dyDescent="0.25">
      <c r="A62" s="166" t="s">
        <v>397</v>
      </c>
      <c r="B62" s="167" t="s">
        <v>132</v>
      </c>
      <c r="C62" s="129" t="s">
        <v>52</v>
      </c>
      <c r="D62" s="157"/>
      <c r="E62" s="153" t="s">
        <v>68</v>
      </c>
      <c r="F62" s="156">
        <f>(6*103)/100</f>
        <v>6.18</v>
      </c>
      <c r="G62" s="156">
        <v>0.17999999999999972</v>
      </c>
      <c r="H62" s="156">
        <f t="shared" si="0"/>
        <v>6.3599999999999994</v>
      </c>
      <c r="I62" s="166">
        <f>SUMIFS(Продажи!F$5:F$359,Продажи!$D$5:$D$359,Конструкторы!$B62,Продажи!$C$5:$C$359,Конструкторы!$A62)</f>
        <v>0</v>
      </c>
      <c r="J62" s="166">
        <f>SUMIFS(Продажи!G$5:G$359,Продажи!$D$5:$D$359,Конструкторы!$B62,Продажи!$C$5:$C$359,Конструкторы!$A62)</f>
        <v>0</v>
      </c>
      <c r="K62" s="166">
        <f>SUMIFS(Продажи!H$5:H$359,Продажи!$D$5:$D$359,Конструкторы!$B62,Продажи!$C$5:$C$359,Конструкторы!$A62)</f>
        <v>0</v>
      </c>
      <c r="L62" s="166">
        <f>SUMIFS(Продажи!I$5:I$359,Продажи!$D$5:$D$359,Конструкторы!$B62,Продажи!$C$5:$C$359,Конструкторы!$A62)</f>
        <v>0</v>
      </c>
      <c r="M62" s="166">
        <f>SUMIFS(Продажи!J$5:J$359,Продажи!$D$5:$D$359,Конструкторы!$B62,Продажи!$C$5:$C$359,Конструкторы!$A62)</f>
        <v>0</v>
      </c>
      <c r="N62" s="166">
        <f>SUMIFS(Продажи!K$5:K$359,Продажи!$D$5:$D$359,Конструкторы!$B62,Продажи!$C$5:$C$359,Конструкторы!$A62)</f>
        <v>0</v>
      </c>
      <c r="O62" s="166">
        <f>SUMIFS(Продажи!L$5:L$359,Продажи!$D$5:$D$359,Конструкторы!$B62,Продажи!$C$5:$C$359,Конструкторы!$A62)</f>
        <v>0</v>
      </c>
      <c r="P62" s="166">
        <f>SUMIFS(Продажи!M$5:M$359,Продажи!$D$5:$D$359,Конструкторы!$B62,Продажи!$C$5:$C$359,Конструкторы!$A62)</f>
        <v>0</v>
      </c>
      <c r="Q62" s="166">
        <f>SUMIFS(Продажи!N$5:N$359,Продажи!$D$5:$D$359,Конструкторы!$B62,Продажи!$C$5:$C$359,Конструкторы!$A62)</f>
        <v>0</v>
      </c>
      <c r="R62" s="166">
        <f>SUMIFS(Продажи!O$5:O$359,Продажи!$D$5:$D$359,Конструкторы!$B62,Продажи!$C$5:$C$359,Конструкторы!$A62)</f>
        <v>0</v>
      </c>
      <c r="S62" s="166">
        <f>SUMIFS(Продажи!P$5:P$359,Продажи!$D$5:$D$359,Конструкторы!$B62,Продажи!$C$5:$C$359,Конструкторы!$A62)</f>
        <v>0</v>
      </c>
      <c r="T62" s="166">
        <f>SUMIFS(Продажи!Q$5:Q$359,Продажи!$D$5:$D$359,Конструкторы!$B62,Продажи!$C$5:$C$359,Конструкторы!$A62)</f>
        <v>0</v>
      </c>
    </row>
    <row r="63" spans="1:20" ht="15.75" hidden="1" x14ac:dyDescent="0.25">
      <c r="A63" s="166" t="s">
        <v>397</v>
      </c>
      <c r="B63" s="167" t="s">
        <v>132</v>
      </c>
      <c r="C63" s="158" t="s">
        <v>69</v>
      </c>
      <c r="D63" s="157"/>
      <c r="E63" s="153" t="s">
        <v>70</v>
      </c>
      <c r="F63" s="148">
        <v>40</v>
      </c>
      <c r="G63" s="156">
        <v>2</v>
      </c>
      <c r="H63" s="156">
        <f t="shared" si="0"/>
        <v>42</v>
      </c>
      <c r="I63" s="166">
        <f>SUMIFS(Продажи!F$5:F$359,Продажи!$D$5:$D$359,Конструкторы!$B63,Продажи!$C$5:$C$359,Конструкторы!$A63)</f>
        <v>0</v>
      </c>
      <c r="J63" s="166">
        <f>SUMIFS(Продажи!G$5:G$359,Продажи!$D$5:$D$359,Конструкторы!$B63,Продажи!$C$5:$C$359,Конструкторы!$A63)</f>
        <v>0</v>
      </c>
      <c r="K63" s="166">
        <f>SUMIFS(Продажи!H$5:H$359,Продажи!$D$5:$D$359,Конструкторы!$B63,Продажи!$C$5:$C$359,Конструкторы!$A63)</f>
        <v>0</v>
      </c>
      <c r="L63" s="166">
        <f>SUMIFS(Продажи!I$5:I$359,Продажи!$D$5:$D$359,Конструкторы!$B63,Продажи!$C$5:$C$359,Конструкторы!$A63)</f>
        <v>0</v>
      </c>
      <c r="M63" s="166">
        <f>SUMIFS(Продажи!J$5:J$359,Продажи!$D$5:$D$359,Конструкторы!$B63,Продажи!$C$5:$C$359,Конструкторы!$A63)</f>
        <v>0</v>
      </c>
      <c r="N63" s="166">
        <f>SUMIFS(Продажи!K$5:K$359,Продажи!$D$5:$D$359,Конструкторы!$B63,Продажи!$C$5:$C$359,Конструкторы!$A63)</f>
        <v>0</v>
      </c>
      <c r="O63" s="166">
        <f>SUMIFS(Продажи!L$5:L$359,Продажи!$D$5:$D$359,Конструкторы!$B63,Продажи!$C$5:$C$359,Конструкторы!$A63)</f>
        <v>0</v>
      </c>
      <c r="P63" s="166">
        <f>SUMIFS(Продажи!M$5:M$359,Продажи!$D$5:$D$359,Конструкторы!$B63,Продажи!$C$5:$C$359,Конструкторы!$A63)</f>
        <v>0</v>
      </c>
      <c r="Q63" s="166">
        <f>SUMIFS(Продажи!N$5:N$359,Продажи!$D$5:$D$359,Конструкторы!$B63,Продажи!$C$5:$C$359,Конструкторы!$A63)</f>
        <v>0</v>
      </c>
      <c r="R63" s="166">
        <f>SUMIFS(Продажи!O$5:O$359,Продажи!$D$5:$D$359,Конструкторы!$B63,Продажи!$C$5:$C$359,Конструкторы!$A63)</f>
        <v>0</v>
      </c>
      <c r="S63" s="166">
        <f>SUMIFS(Продажи!P$5:P$359,Продажи!$D$5:$D$359,Конструкторы!$B63,Продажи!$C$5:$C$359,Конструкторы!$A63)</f>
        <v>0</v>
      </c>
      <c r="T63" s="166">
        <f>SUMIFS(Продажи!Q$5:Q$359,Продажи!$D$5:$D$359,Конструкторы!$B63,Продажи!$C$5:$C$359,Конструкторы!$A63)</f>
        <v>0</v>
      </c>
    </row>
    <row r="64" spans="1:20" ht="15.75" hidden="1" x14ac:dyDescent="0.25">
      <c r="A64" s="166" t="s">
        <v>397</v>
      </c>
      <c r="B64" s="167" t="s">
        <v>134</v>
      </c>
      <c r="C64" s="129" t="s">
        <v>53</v>
      </c>
      <c r="D64" s="130">
        <v>7038</v>
      </c>
      <c r="E64" s="153" t="s">
        <v>68</v>
      </c>
      <c r="F64" s="156">
        <f>(12*103)/100</f>
        <v>12.36</v>
      </c>
      <c r="G64" s="156">
        <v>0.35999999999999943</v>
      </c>
      <c r="H64" s="156">
        <f t="shared" si="0"/>
        <v>12.719999999999999</v>
      </c>
      <c r="I64" s="166">
        <f>SUMIFS(Продажи!F$5:F$359,Продажи!$D$5:$D$359,Конструкторы!$B64,Продажи!$C$5:$C$359,Конструкторы!$A64)</f>
        <v>56</v>
      </c>
      <c r="J64" s="166">
        <f>SUMIFS(Продажи!G$5:G$359,Продажи!$D$5:$D$359,Конструкторы!$B64,Продажи!$C$5:$C$359,Конструкторы!$A64)</f>
        <v>0</v>
      </c>
      <c r="K64" s="166">
        <f>SUMIFS(Продажи!H$5:H$359,Продажи!$D$5:$D$359,Конструкторы!$B64,Продажи!$C$5:$C$359,Конструкторы!$A64)</f>
        <v>0</v>
      </c>
      <c r="L64" s="166">
        <f>SUMIFS(Продажи!I$5:I$359,Продажи!$D$5:$D$359,Конструкторы!$B64,Продажи!$C$5:$C$359,Конструкторы!$A64)</f>
        <v>0</v>
      </c>
      <c r="M64" s="166">
        <f>SUMIFS(Продажи!J$5:J$359,Продажи!$D$5:$D$359,Конструкторы!$B64,Продажи!$C$5:$C$359,Конструкторы!$A64)</f>
        <v>0</v>
      </c>
      <c r="N64" s="166">
        <f>SUMIFS(Продажи!K$5:K$359,Продажи!$D$5:$D$359,Конструкторы!$B64,Продажи!$C$5:$C$359,Конструкторы!$A64)</f>
        <v>0</v>
      </c>
      <c r="O64" s="166">
        <f>SUMIFS(Продажи!L$5:L$359,Продажи!$D$5:$D$359,Конструкторы!$B64,Продажи!$C$5:$C$359,Конструкторы!$A64)</f>
        <v>0</v>
      </c>
      <c r="P64" s="166">
        <f>SUMIFS(Продажи!M$5:M$359,Продажи!$D$5:$D$359,Конструкторы!$B64,Продажи!$C$5:$C$359,Конструкторы!$A64)</f>
        <v>0</v>
      </c>
      <c r="Q64" s="166">
        <f>SUMIFS(Продажи!N$5:N$359,Продажи!$D$5:$D$359,Конструкторы!$B64,Продажи!$C$5:$C$359,Конструкторы!$A64)</f>
        <v>0</v>
      </c>
      <c r="R64" s="166">
        <f>SUMIFS(Продажи!O$5:O$359,Продажи!$D$5:$D$359,Конструкторы!$B64,Продажи!$C$5:$C$359,Конструкторы!$A64)</f>
        <v>0</v>
      </c>
      <c r="S64" s="166">
        <f>SUMIFS(Продажи!P$5:P$359,Продажи!$D$5:$D$359,Конструкторы!$B64,Продажи!$C$5:$C$359,Конструкторы!$A64)</f>
        <v>0</v>
      </c>
      <c r="T64" s="166">
        <f>SUMIFS(Продажи!Q$5:Q$359,Продажи!$D$5:$D$359,Конструкторы!$B64,Продажи!$C$5:$C$359,Конструкторы!$A64)</f>
        <v>0</v>
      </c>
    </row>
    <row r="65" spans="1:20" ht="15.75" hidden="1" x14ac:dyDescent="0.25">
      <c r="A65" s="166" t="s">
        <v>397</v>
      </c>
      <c r="B65" s="167" t="s">
        <v>134</v>
      </c>
      <c r="C65" s="129" t="s">
        <v>52</v>
      </c>
      <c r="D65" s="157"/>
      <c r="E65" s="153" t="s">
        <v>68</v>
      </c>
      <c r="F65" s="156">
        <f>(8*103)/100</f>
        <v>8.24</v>
      </c>
      <c r="G65" s="156">
        <v>0.24000000000000021</v>
      </c>
      <c r="H65" s="156">
        <f t="shared" si="0"/>
        <v>8.48</v>
      </c>
      <c r="I65" s="166">
        <f>SUMIFS(Продажи!F$5:F$359,Продажи!$D$5:$D$359,Конструкторы!$B65,Продажи!$C$5:$C$359,Конструкторы!$A65)</f>
        <v>56</v>
      </c>
      <c r="J65" s="166">
        <f>SUMIFS(Продажи!G$5:G$359,Продажи!$D$5:$D$359,Конструкторы!$B65,Продажи!$C$5:$C$359,Конструкторы!$A65)</f>
        <v>0</v>
      </c>
      <c r="K65" s="166">
        <f>SUMIFS(Продажи!H$5:H$359,Продажи!$D$5:$D$359,Конструкторы!$B65,Продажи!$C$5:$C$359,Конструкторы!$A65)</f>
        <v>0</v>
      </c>
      <c r="L65" s="166">
        <f>SUMIFS(Продажи!I$5:I$359,Продажи!$D$5:$D$359,Конструкторы!$B65,Продажи!$C$5:$C$359,Конструкторы!$A65)</f>
        <v>0</v>
      </c>
      <c r="M65" s="166">
        <f>SUMIFS(Продажи!J$5:J$359,Продажи!$D$5:$D$359,Конструкторы!$B65,Продажи!$C$5:$C$359,Конструкторы!$A65)</f>
        <v>0</v>
      </c>
      <c r="N65" s="166">
        <f>SUMIFS(Продажи!K$5:K$359,Продажи!$D$5:$D$359,Конструкторы!$B65,Продажи!$C$5:$C$359,Конструкторы!$A65)</f>
        <v>0</v>
      </c>
      <c r="O65" s="166">
        <f>SUMIFS(Продажи!L$5:L$359,Продажи!$D$5:$D$359,Конструкторы!$B65,Продажи!$C$5:$C$359,Конструкторы!$A65)</f>
        <v>0</v>
      </c>
      <c r="P65" s="166">
        <f>SUMIFS(Продажи!M$5:M$359,Продажи!$D$5:$D$359,Конструкторы!$B65,Продажи!$C$5:$C$359,Конструкторы!$A65)</f>
        <v>0</v>
      </c>
      <c r="Q65" s="166">
        <f>SUMIFS(Продажи!N$5:N$359,Продажи!$D$5:$D$359,Конструкторы!$B65,Продажи!$C$5:$C$359,Конструкторы!$A65)</f>
        <v>0</v>
      </c>
      <c r="R65" s="166">
        <f>SUMIFS(Продажи!O$5:O$359,Продажи!$D$5:$D$359,Конструкторы!$B65,Продажи!$C$5:$C$359,Конструкторы!$A65)</f>
        <v>0</v>
      </c>
      <c r="S65" s="166">
        <f>SUMIFS(Продажи!P$5:P$359,Продажи!$D$5:$D$359,Конструкторы!$B65,Продажи!$C$5:$C$359,Конструкторы!$A65)</f>
        <v>0</v>
      </c>
      <c r="T65" s="166">
        <f>SUMIFS(Продажи!Q$5:Q$359,Продажи!$D$5:$D$359,Конструкторы!$B65,Продажи!$C$5:$C$359,Конструкторы!$A65)</f>
        <v>0</v>
      </c>
    </row>
    <row r="66" spans="1:20" ht="15.75" hidden="1" x14ac:dyDescent="0.25">
      <c r="A66" s="166" t="s">
        <v>397</v>
      </c>
      <c r="B66" s="167" t="s">
        <v>134</v>
      </c>
      <c r="C66" s="158" t="s">
        <v>69</v>
      </c>
      <c r="D66" s="157"/>
      <c r="E66" s="153" t="s">
        <v>70</v>
      </c>
      <c r="F66" s="148">
        <v>40</v>
      </c>
      <c r="G66" s="156">
        <v>2</v>
      </c>
      <c r="H66" s="156">
        <f t="shared" si="0"/>
        <v>42</v>
      </c>
      <c r="I66" s="166">
        <f>SUMIFS(Продажи!F$5:F$359,Продажи!$D$5:$D$359,Конструкторы!$B66,Продажи!$C$5:$C$359,Конструкторы!$A66)</f>
        <v>56</v>
      </c>
      <c r="J66" s="166">
        <f>SUMIFS(Продажи!G$5:G$359,Продажи!$D$5:$D$359,Конструкторы!$B66,Продажи!$C$5:$C$359,Конструкторы!$A66)</f>
        <v>0</v>
      </c>
      <c r="K66" s="166">
        <f>SUMIFS(Продажи!H$5:H$359,Продажи!$D$5:$D$359,Конструкторы!$B66,Продажи!$C$5:$C$359,Конструкторы!$A66)</f>
        <v>0</v>
      </c>
      <c r="L66" s="166">
        <f>SUMIFS(Продажи!I$5:I$359,Продажи!$D$5:$D$359,Конструкторы!$B66,Продажи!$C$5:$C$359,Конструкторы!$A66)</f>
        <v>0</v>
      </c>
      <c r="M66" s="166">
        <f>SUMIFS(Продажи!J$5:J$359,Продажи!$D$5:$D$359,Конструкторы!$B66,Продажи!$C$5:$C$359,Конструкторы!$A66)</f>
        <v>0</v>
      </c>
      <c r="N66" s="166">
        <f>SUMIFS(Продажи!K$5:K$359,Продажи!$D$5:$D$359,Конструкторы!$B66,Продажи!$C$5:$C$359,Конструкторы!$A66)</f>
        <v>0</v>
      </c>
      <c r="O66" s="166">
        <f>SUMIFS(Продажи!L$5:L$359,Продажи!$D$5:$D$359,Конструкторы!$B66,Продажи!$C$5:$C$359,Конструкторы!$A66)</f>
        <v>0</v>
      </c>
      <c r="P66" s="166">
        <f>SUMIFS(Продажи!M$5:M$359,Продажи!$D$5:$D$359,Конструкторы!$B66,Продажи!$C$5:$C$359,Конструкторы!$A66)</f>
        <v>0</v>
      </c>
      <c r="Q66" s="166">
        <f>SUMIFS(Продажи!N$5:N$359,Продажи!$D$5:$D$359,Конструкторы!$B66,Продажи!$C$5:$C$359,Конструкторы!$A66)</f>
        <v>0</v>
      </c>
      <c r="R66" s="166">
        <f>SUMIFS(Продажи!O$5:O$359,Продажи!$D$5:$D$359,Конструкторы!$B66,Продажи!$C$5:$C$359,Конструкторы!$A66)</f>
        <v>0</v>
      </c>
      <c r="S66" s="166">
        <f>SUMIFS(Продажи!P$5:P$359,Продажи!$D$5:$D$359,Конструкторы!$B66,Продажи!$C$5:$C$359,Конструкторы!$A66)</f>
        <v>0</v>
      </c>
      <c r="T66" s="166">
        <f>SUMIFS(Продажи!Q$5:Q$359,Продажи!$D$5:$D$359,Конструкторы!$B66,Продажи!$C$5:$C$359,Конструкторы!$A66)</f>
        <v>0</v>
      </c>
    </row>
    <row r="67" spans="1:20" ht="15.75" hidden="1" x14ac:dyDescent="0.25">
      <c r="A67" s="166" t="s">
        <v>397</v>
      </c>
      <c r="B67" s="172" t="s">
        <v>386</v>
      </c>
      <c r="C67" s="129" t="s">
        <v>53</v>
      </c>
      <c r="D67" s="149"/>
      <c r="E67" s="153" t="s">
        <v>68</v>
      </c>
      <c r="F67" s="148">
        <v>6</v>
      </c>
      <c r="G67" s="148">
        <f>F67*0.03</f>
        <v>0.18</v>
      </c>
      <c r="H67" s="156">
        <f t="shared" si="0"/>
        <v>6.18</v>
      </c>
      <c r="I67" s="166">
        <f>SUMIFS(Продажи!F$5:F$359,Продажи!$D$5:$D$359,Конструкторы!$B67,Продажи!$C$5:$C$359,Конструкторы!$A67)</f>
        <v>0</v>
      </c>
      <c r="J67" s="166">
        <f>SUMIFS(Продажи!G$5:G$359,Продажи!$D$5:$D$359,Конструкторы!$B67,Продажи!$C$5:$C$359,Конструкторы!$A67)</f>
        <v>0</v>
      </c>
      <c r="K67" s="166">
        <f>SUMIFS(Продажи!H$5:H$359,Продажи!$D$5:$D$359,Конструкторы!$B67,Продажи!$C$5:$C$359,Конструкторы!$A67)</f>
        <v>20</v>
      </c>
      <c r="L67" s="166">
        <f>SUMIFS(Продажи!I$5:I$359,Продажи!$D$5:$D$359,Конструкторы!$B67,Продажи!$C$5:$C$359,Конструкторы!$A67)</f>
        <v>0</v>
      </c>
      <c r="M67" s="166">
        <f>SUMIFS(Продажи!J$5:J$359,Продажи!$D$5:$D$359,Конструкторы!$B67,Продажи!$C$5:$C$359,Конструкторы!$A67)</f>
        <v>0</v>
      </c>
      <c r="N67" s="166">
        <f>SUMIFS(Продажи!K$5:K$359,Продажи!$D$5:$D$359,Конструкторы!$B67,Продажи!$C$5:$C$359,Конструкторы!$A67)</f>
        <v>0</v>
      </c>
      <c r="O67" s="166">
        <f>SUMIFS(Продажи!L$5:L$359,Продажи!$D$5:$D$359,Конструкторы!$B67,Продажи!$C$5:$C$359,Конструкторы!$A67)</f>
        <v>0</v>
      </c>
      <c r="P67" s="166">
        <f>SUMIFS(Продажи!M$5:M$359,Продажи!$D$5:$D$359,Конструкторы!$B67,Продажи!$C$5:$C$359,Конструкторы!$A67)</f>
        <v>0</v>
      </c>
      <c r="Q67" s="166">
        <f>SUMIFS(Продажи!N$5:N$359,Продажи!$D$5:$D$359,Конструкторы!$B67,Продажи!$C$5:$C$359,Конструкторы!$A67)</f>
        <v>0</v>
      </c>
      <c r="R67" s="166">
        <f>SUMIFS(Продажи!O$5:O$359,Продажи!$D$5:$D$359,Конструкторы!$B67,Продажи!$C$5:$C$359,Конструкторы!$A67)</f>
        <v>0</v>
      </c>
      <c r="S67" s="166">
        <f>SUMIFS(Продажи!P$5:P$359,Продажи!$D$5:$D$359,Конструкторы!$B67,Продажи!$C$5:$C$359,Конструкторы!$A67)</f>
        <v>0</v>
      </c>
      <c r="T67" s="166">
        <f>SUMIFS(Продажи!Q$5:Q$359,Продажи!$D$5:$D$359,Конструкторы!$B67,Продажи!$C$5:$C$359,Конструкторы!$A67)</f>
        <v>0</v>
      </c>
    </row>
    <row r="68" spans="1:20" ht="15.75" hidden="1" x14ac:dyDescent="0.25">
      <c r="A68" s="166" t="s">
        <v>397</v>
      </c>
      <c r="B68" s="172" t="s">
        <v>386</v>
      </c>
      <c r="C68" s="129" t="s">
        <v>52</v>
      </c>
      <c r="D68" s="149"/>
      <c r="E68" s="153" t="s">
        <v>68</v>
      </c>
      <c r="F68" s="148">
        <v>5</v>
      </c>
      <c r="G68" s="148">
        <f>F68*0.03</f>
        <v>0.15</v>
      </c>
      <c r="H68" s="156">
        <f t="shared" si="0"/>
        <v>5.15</v>
      </c>
      <c r="I68" s="166">
        <f>SUMIFS(Продажи!F$5:F$359,Продажи!$D$5:$D$359,Конструкторы!$B68,Продажи!$C$5:$C$359,Конструкторы!$A68)</f>
        <v>0</v>
      </c>
      <c r="J68" s="166">
        <f>SUMIFS(Продажи!G$5:G$359,Продажи!$D$5:$D$359,Конструкторы!$B68,Продажи!$C$5:$C$359,Конструкторы!$A68)</f>
        <v>0</v>
      </c>
      <c r="K68" s="166">
        <f>SUMIFS(Продажи!H$5:H$359,Продажи!$D$5:$D$359,Конструкторы!$B68,Продажи!$C$5:$C$359,Конструкторы!$A68)</f>
        <v>20</v>
      </c>
      <c r="L68" s="166">
        <f>SUMIFS(Продажи!I$5:I$359,Продажи!$D$5:$D$359,Конструкторы!$B68,Продажи!$C$5:$C$359,Конструкторы!$A68)</f>
        <v>0</v>
      </c>
      <c r="M68" s="166">
        <f>SUMIFS(Продажи!J$5:J$359,Продажи!$D$5:$D$359,Конструкторы!$B68,Продажи!$C$5:$C$359,Конструкторы!$A68)</f>
        <v>0</v>
      </c>
      <c r="N68" s="166">
        <f>SUMIFS(Продажи!K$5:K$359,Продажи!$D$5:$D$359,Конструкторы!$B68,Продажи!$C$5:$C$359,Конструкторы!$A68)</f>
        <v>0</v>
      </c>
      <c r="O68" s="166">
        <f>SUMIFS(Продажи!L$5:L$359,Продажи!$D$5:$D$359,Конструкторы!$B68,Продажи!$C$5:$C$359,Конструкторы!$A68)</f>
        <v>0</v>
      </c>
      <c r="P68" s="166">
        <f>SUMIFS(Продажи!M$5:M$359,Продажи!$D$5:$D$359,Конструкторы!$B68,Продажи!$C$5:$C$359,Конструкторы!$A68)</f>
        <v>0</v>
      </c>
      <c r="Q68" s="166">
        <f>SUMIFS(Продажи!N$5:N$359,Продажи!$D$5:$D$359,Конструкторы!$B68,Продажи!$C$5:$C$359,Конструкторы!$A68)</f>
        <v>0</v>
      </c>
      <c r="R68" s="166">
        <f>SUMIFS(Продажи!O$5:O$359,Продажи!$D$5:$D$359,Конструкторы!$B68,Продажи!$C$5:$C$359,Конструкторы!$A68)</f>
        <v>0</v>
      </c>
      <c r="S68" s="166">
        <f>SUMIFS(Продажи!P$5:P$359,Продажи!$D$5:$D$359,Конструкторы!$B68,Продажи!$C$5:$C$359,Конструкторы!$A68)</f>
        <v>0</v>
      </c>
      <c r="T68" s="166">
        <f>SUMIFS(Продажи!Q$5:Q$359,Продажи!$D$5:$D$359,Конструкторы!$B68,Продажи!$C$5:$C$359,Конструкторы!$A68)</f>
        <v>0</v>
      </c>
    </row>
    <row r="69" spans="1:20" ht="15.75" hidden="1" x14ac:dyDescent="0.25">
      <c r="A69" s="166" t="s">
        <v>397</v>
      </c>
      <c r="B69" s="172" t="s">
        <v>386</v>
      </c>
      <c r="C69" s="33" t="s">
        <v>76</v>
      </c>
      <c r="D69" s="149"/>
      <c r="E69" s="153" t="s">
        <v>70</v>
      </c>
      <c r="F69" s="148">
        <v>4</v>
      </c>
      <c r="G69" s="148"/>
      <c r="H69" s="156">
        <f t="shared" si="0"/>
        <v>4</v>
      </c>
      <c r="I69" s="166">
        <f>SUMIFS(Продажи!F$5:F$359,Продажи!$D$5:$D$359,Конструкторы!$B69,Продажи!$C$5:$C$359,Конструкторы!$A69)</f>
        <v>0</v>
      </c>
      <c r="J69" s="166">
        <f>SUMIFS(Продажи!G$5:G$359,Продажи!$D$5:$D$359,Конструкторы!$B69,Продажи!$C$5:$C$359,Конструкторы!$A69)</f>
        <v>0</v>
      </c>
      <c r="K69" s="166">
        <f>SUMIFS(Продажи!H$5:H$359,Продажи!$D$5:$D$359,Конструкторы!$B69,Продажи!$C$5:$C$359,Конструкторы!$A69)</f>
        <v>20</v>
      </c>
      <c r="L69" s="166">
        <f>SUMIFS(Продажи!I$5:I$359,Продажи!$D$5:$D$359,Конструкторы!$B69,Продажи!$C$5:$C$359,Конструкторы!$A69)</f>
        <v>0</v>
      </c>
      <c r="M69" s="166">
        <f>SUMIFS(Продажи!J$5:J$359,Продажи!$D$5:$D$359,Конструкторы!$B69,Продажи!$C$5:$C$359,Конструкторы!$A69)</f>
        <v>0</v>
      </c>
      <c r="N69" s="166">
        <f>SUMIFS(Продажи!K$5:K$359,Продажи!$D$5:$D$359,Конструкторы!$B69,Продажи!$C$5:$C$359,Конструкторы!$A69)</f>
        <v>0</v>
      </c>
      <c r="O69" s="166">
        <f>SUMIFS(Продажи!L$5:L$359,Продажи!$D$5:$D$359,Конструкторы!$B69,Продажи!$C$5:$C$359,Конструкторы!$A69)</f>
        <v>0</v>
      </c>
      <c r="P69" s="166">
        <f>SUMIFS(Продажи!M$5:M$359,Продажи!$D$5:$D$359,Конструкторы!$B69,Продажи!$C$5:$C$359,Конструкторы!$A69)</f>
        <v>0</v>
      </c>
      <c r="Q69" s="166">
        <f>SUMIFS(Продажи!N$5:N$359,Продажи!$D$5:$D$359,Конструкторы!$B69,Продажи!$C$5:$C$359,Конструкторы!$A69)</f>
        <v>0</v>
      </c>
      <c r="R69" s="166">
        <f>SUMIFS(Продажи!O$5:O$359,Продажи!$D$5:$D$359,Конструкторы!$B69,Продажи!$C$5:$C$359,Конструкторы!$A69)</f>
        <v>0</v>
      </c>
      <c r="S69" s="166">
        <f>SUMIFS(Продажи!P$5:P$359,Продажи!$D$5:$D$359,Конструкторы!$B69,Продажи!$C$5:$C$359,Конструкторы!$A69)</f>
        <v>0</v>
      </c>
      <c r="T69" s="166">
        <f>SUMIFS(Продажи!Q$5:Q$359,Продажи!$D$5:$D$359,Конструкторы!$B69,Продажи!$C$5:$C$359,Конструкторы!$A69)</f>
        <v>0</v>
      </c>
    </row>
    <row r="70" spans="1:20" ht="15.75" hidden="1" x14ac:dyDescent="0.25">
      <c r="A70" s="166" t="s">
        <v>397</v>
      </c>
      <c r="B70" s="172" t="s">
        <v>386</v>
      </c>
      <c r="C70" s="33" t="s">
        <v>75</v>
      </c>
      <c r="D70" s="149"/>
      <c r="E70" s="153" t="s">
        <v>70</v>
      </c>
      <c r="F70" s="148">
        <v>20</v>
      </c>
      <c r="G70" s="148"/>
      <c r="H70" s="156">
        <f t="shared" si="0"/>
        <v>20</v>
      </c>
      <c r="I70" s="166">
        <f>SUMIFS(Продажи!F$5:F$359,Продажи!$D$5:$D$359,Конструкторы!$B70,Продажи!$C$5:$C$359,Конструкторы!$A70)</f>
        <v>0</v>
      </c>
      <c r="J70" s="166">
        <f>SUMIFS(Продажи!G$5:G$359,Продажи!$D$5:$D$359,Конструкторы!$B70,Продажи!$C$5:$C$359,Конструкторы!$A70)</f>
        <v>0</v>
      </c>
      <c r="K70" s="166">
        <f>SUMIFS(Продажи!H$5:H$359,Продажи!$D$5:$D$359,Конструкторы!$B70,Продажи!$C$5:$C$359,Конструкторы!$A70)</f>
        <v>20</v>
      </c>
      <c r="L70" s="166">
        <f>SUMIFS(Продажи!I$5:I$359,Продажи!$D$5:$D$359,Конструкторы!$B70,Продажи!$C$5:$C$359,Конструкторы!$A70)</f>
        <v>0</v>
      </c>
      <c r="M70" s="166">
        <f>SUMIFS(Продажи!J$5:J$359,Продажи!$D$5:$D$359,Конструкторы!$B70,Продажи!$C$5:$C$359,Конструкторы!$A70)</f>
        <v>0</v>
      </c>
      <c r="N70" s="166">
        <f>SUMIFS(Продажи!K$5:K$359,Продажи!$D$5:$D$359,Конструкторы!$B70,Продажи!$C$5:$C$359,Конструкторы!$A70)</f>
        <v>0</v>
      </c>
      <c r="O70" s="166">
        <f>SUMIFS(Продажи!L$5:L$359,Продажи!$D$5:$D$359,Конструкторы!$B70,Продажи!$C$5:$C$359,Конструкторы!$A70)</f>
        <v>0</v>
      </c>
      <c r="P70" s="166">
        <f>SUMIFS(Продажи!M$5:M$359,Продажи!$D$5:$D$359,Конструкторы!$B70,Продажи!$C$5:$C$359,Конструкторы!$A70)</f>
        <v>0</v>
      </c>
      <c r="Q70" s="166">
        <f>SUMIFS(Продажи!N$5:N$359,Продажи!$D$5:$D$359,Конструкторы!$B70,Продажи!$C$5:$C$359,Конструкторы!$A70)</f>
        <v>0</v>
      </c>
      <c r="R70" s="166">
        <f>SUMIFS(Продажи!O$5:O$359,Продажи!$D$5:$D$359,Конструкторы!$B70,Продажи!$C$5:$C$359,Конструкторы!$A70)</f>
        <v>0</v>
      </c>
      <c r="S70" s="166">
        <f>SUMIFS(Продажи!P$5:P$359,Продажи!$D$5:$D$359,Конструкторы!$B70,Продажи!$C$5:$C$359,Конструкторы!$A70)</f>
        <v>0</v>
      </c>
      <c r="T70" s="166">
        <f>SUMIFS(Продажи!Q$5:Q$359,Продажи!$D$5:$D$359,Конструкторы!$B70,Продажи!$C$5:$C$359,Конструкторы!$A70)</f>
        <v>0</v>
      </c>
    </row>
    <row r="71" spans="1:20" ht="15.75" hidden="1" x14ac:dyDescent="0.25">
      <c r="A71" s="166" t="s">
        <v>397</v>
      </c>
      <c r="B71" s="167" t="s">
        <v>135</v>
      </c>
      <c r="C71" s="129" t="s">
        <v>53</v>
      </c>
      <c r="D71" s="130">
        <v>7038</v>
      </c>
      <c r="E71" s="153" t="s">
        <v>68</v>
      </c>
      <c r="F71" s="156">
        <f>(12*103)/100</f>
        <v>12.36</v>
      </c>
      <c r="G71" s="156">
        <v>0.35999999999999943</v>
      </c>
      <c r="H71" s="156">
        <f t="shared" si="0"/>
        <v>12.719999999999999</v>
      </c>
      <c r="I71" s="166">
        <f>SUMIFS(Продажи!F$5:F$359,Продажи!$D$5:$D$359,Конструкторы!$B71,Продажи!$C$5:$C$359,Конструкторы!$A71)</f>
        <v>1229</v>
      </c>
      <c r="J71" s="166">
        <f>SUMIFS(Продажи!G$5:G$359,Продажи!$D$5:$D$359,Конструкторы!$B71,Продажи!$C$5:$C$359,Конструкторы!$A71)</f>
        <v>0</v>
      </c>
      <c r="K71" s="166">
        <f>SUMIFS(Продажи!H$5:H$359,Продажи!$D$5:$D$359,Конструкторы!$B71,Продажи!$C$5:$C$359,Конструкторы!$A71)</f>
        <v>0</v>
      </c>
      <c r="L71" s="166">
        <f>SUMIFS(Продажи!I$5:I$359,Продажи!$D$5:$D$359,Конструкторы!$B71,Продажи!$C$5:$C$359,Конструкторы!$A71)</f>
        <v>0</v>
      </c>
      <c r="M71" s="166">
        <f>SUMIFS(Продажи!J$5:J$359,Продажи!$D$5:$D$359,Конструкторы!$B71,Продажи!$C$5:$C$359,Конструкторы!$A71)</f>
        <v>0</v>
      </c>
      <c r="N71" s="166">
        <f>SUMIFS(Продажи!K$5:K$359,Продажи!$D$5:$D$359,Конструкторы!$B71,Продажи!$C$5:$C$359,Конструкторы!$A71)</f>
        <v>0</v>
      </c>
      <c r="O71" s="166">
        <f>SUMIFS(Продажи!L$5:L$359,Продажи!$D$5:$D$359,Конструкторы!$B71,Продажи!$C$5:$C$359,Конструкторы!$A71)</f>
        <v>0</v>
      </c>
      <c r="P71" s="166">
        <f>SUMIFS(Продажи!M$5:M$359,Продажи!$D$5:$D$359,Конструкторы!$B71,Продажи!$C$5:$C$359,Конструкторы!$A71)</f>
        <v>0</v>
      </c>
      <c r="Q71" s="166">
        <f>SUMIFS(Продажи!N$5:N$359,Продажи!$D$5:$D$359,Конструкторы!$B71,Продажи!$C$5:$C$359,Конструкторы!$A71)</f>
        <v>0</v>
      </c>
      <c r="R71" s="166">
        <f>SUMIFS(Продажи!O$5:O$359,Продажи!$D$5:$D$359,Конструкторы!$B71,Продажи!$C$5:$C$359,Конструкторы!$A71)</f>
        <v>0</v>
      </c>
      <c r="S71" s="166">
        <f>SUMIFS(Продажи!P$5:P$359,Продажи!$D$5:$D$359,Конструкторы!$B71,Продажи!$C$5:$C$359,Конструкторы!$A71)</f>
        <v>0</v>
      </c>
      <c r="T71" s="166">
        <f>SUMIFS(Продажи!Q$5:Q$359,Продажи!$D$5:$D$359,Конструкторы!$B71,Продажи!$C$5:$C$359,Конструкторы!$A71)</f>
        <v>0</v>
      </c>
    </row>
    <row r="72" spans="1:20" ht="15.75" hidden="1" x14ac:dyDescent="0.25">
      <c r="A72" s="166" t="s">
        <v>397</v>
      </c>
      <c r="B72" s="167" t="s">
        <v>135</v>
      </c>
      <c r="C72" s="129" t="s">
        <v>52</v>
      </c>
      <c r="D72" s="157"/>
      <c r="E72" s="153" t="s">
        <v>68</v>
      </c>
      <c r="F72" s="156">
        <f>(12*103)/100</f>
        <v>12.36</v>
      </c>
      <c r="G72" s="156">
        <v>0.35999999999999943</v>
      </c>
      <c r="H72" s="156">
        <f t="shared" si="0"/>
        <v>12.719999999999999</v>
      </c>
      <c r="I72" s="166">
        <f>SUMIFS(Продажи!F$5:F$359,Продажи!$D$5:$D$359,Конструкторы!$B72,Продажи!$C$5:$C$359,Конструкторы!$A72)</f>
        <v>1229</v>
      </c>
      <c r="J72" s="166">
        <f>SUMIFS(Продажи!G$5:G$359,Продажи!$D$5:$D$359,Конструкторы!$B72,Продажи!$C$5:$C$359,Конструкторы!$A72)</f>
        <v>0</v>
      </c>
      <c r="K72" s="166">
        <f>SUMIFS(Продажи!H$5:H$359,Продажи!$D$5:$D$359,Конструкторы!$B72,Продажи!$C$5:$C$359,Конструкторы!$A72)</f>
        <v>0</v>
      </c>
      <c r="L72" s="166">
        <f>SUMIFS(Продажи!I$5:I$359,Продажи!$D$5:$D$359,Конструкторы!$B72,Продажи!$C$5:$C$359,Конструкторы!$A72)</f>
        <v>0</v>
      </c>
      <c r="M72" s="166">
        <f>SUMIFS(Продажи!J$5:J$359,Продажи!$D$5:$D$359,Конструкторы!$B72,Продажи!$C$5:$C$359,Конструкторы!$A72)</f>
        <v>0</v>
      </c>
      <c r="N72" s="166">
        <f>SUMIFS(Продажи!K$5:K$359,Продажи!$D$5:$D$359,Конструкторы!$B72,Продажи!$C$5:$C$359,Конструкторы!$A72)</f>
        <v>0</v>
      </c>
      <c r="O72" s="166">
        <f>SUMIFS(Продажи!L$5:L$359,Продажи!$D$5:$D$359,Конструкторы!$B72,Продажи!$C$5:$C$359,Конструкторы!$A72)</f>
        <v>0</v>
      </c>
      <c r="P72" s="166">
        <f>SUMIFS(Продажи!M$5:M$359,Продажи!$D$5:$D$359,Конструкторы!$B72,Продажи!$C$5:$C$359,Конструкторы!$A72)</f>
        <v>0</v>
      </c>
      <c r="Q72" s="166">
        <f>SUMIFS(Продажи!N$5:N$359,Продажи!$D$5:$D$359,Конструкторы!$B72,Продажи!$C$5:$C$359,Конструкторы!$A72)</f>
        <v>0</v>
      </c>
      <c r="R72" s="166">
        <f>SUMIFS(Продажи!O$5:O$359,Продажи!$D$5:$D$359,Конструкторы!$B72,Продажи!$C$5:$C$359,Конструкторы!$A72)</f>
        <v>0</v>
      </c>
      <c r="S72" s="166">
        <f>SUMIFS(Продажи!P$5:P$359,Продажи!$D$5:$D$359,Конструкторы!$B72,Продажи!$C$5:$C$359,Конструкторы!$A72)</f>
        <v>0</v>
      </c>
      <c r="T72" s="166">
        <f>SUMIFS(Продажи!Q$5:Q$359,Продажи!$D$5:$D$359,Конструкторы!$B72,Продажи!$C$5:$C$359,Конструкторы!$A72)</f>
        <v>0</v>
      </c>
    </row>
    <row r="73" spans="1:20" ht="15.75" hidden="1" x14ac:dyDescent="0.25">
      <c r="A73" s="166" t="s">
        <v>397</v>
      </c>
      <c r="B73" s="167" t="s">
        <v>135</v>
      </c>
      <c r="C73" s="158" t="s">
        <v>69</v>
      </c>
      <c r="D73" s="157"/>
      <c r="E73" s="153" t="s">
        <v>70</v>
      </c>
      <c r="F73" s="148">
        <v>40</v>
      </c>
      <c r="G73" s="156">
        <v>2</v>
      </c>
      <c r="H73" s="156">
        <f t="shared" si="0"/>
        <v>42</v>
      </c>
      <c r="I73" s="166">
        <f>SUMIFS(Продажи!F$5:F$359,Продажи!$D$5:$D$359,Конструкторы!$B73,Продажи!$C$5:$C$359,Конструкторы!$A73)</f>
        <v>1229</v>
      </c>
      <c r="J73" s="166">
        <f>SUMIFS(Продажи!G$5:G$359,Продажи!$D$5:$D$359,Конструкторы!$B73,Продажи!$C$5:$C$359,Конструкторы!$A73)</f>
        <v>0</v>
      </c>
      <c r="K73" s="166">
        <f>SUMIFS(Продажи!H$5:H$359,Продажи!$D$5:$D$359,Конструкторы!$B73,Продажи!$C$5:$C$359,Конструкторы!$A73)</f>
        <v>0</v>
      </c>
      <c r="L73" s="166">
        <f>SUMIFS(Продажи!I$5:I$359,Продажи!$D$5:$D$359,Конструкторы!$B73,Продажи!$C$5:$C$359,Конструкторы!$A73)</f>
        <v>0</v>
      </c>
      <c r="M73" s="166">
        <f>SUMIFS(Продажи!J$5:J$359,Продажи!$D$5:$D$359,Конструкторы!$B73,Продажи!$C$5:$C$359,Конструкторы!$A73)</f>
        <v>0</v>
      </c>
      <c r="N73" s="166">
        <f>SUMIFS(Продажи!K$5:K$359,Продажи!$D$5:$D$359,Конструкторы!$B73,Продажи!$C$5:$C$359,Конструкторы!$A73)</f>
        <v>0</v>
      </c>
      <c r="O73" s="166">
        <f>SUMIFS(Продажи!L$5:L$359,Продажи!$D$5:$D$359,Конструкторы!$B73,Продажи!$C$5:$C$359,Конструкторы!$A73)</f>
        <v>0</v>
      </c>
      <c r="P73" s="166">
        <f>SUMIFS(Продажи!M$5:M$359,Продажи!$D$5:$D$359,Конструкторы!$B73,Продажи!$C$5:$C$359,Конструкторы!$A73)</f>
        <v>0</v>
      </c>
      <c r="Q73" s="166">
        <f>SUMIFS(Продажи!N$5:N$359,Продажи!$D$5:$D$359,Конструкторы!$B73,Продажи!$C$5:$C$359,Конструкторы!$A73)</f>
        <v>0</v>
      </c>
      <c r="R73" s="166">
        <f>SUMIFS(Продажи!O$5:O$359,Продажи!$D$5:$D$359,Конструкторы!$B73,Продажи!$C$5:$C$359,Конструкторы!$A73)</f>
        <v>0</v>
      </c>
      <c r="S73" s="166">
        <f>SUMIFS(Продажи!P$5:P$359,Продажи!$D$5:$D$359,Конструкторы!$B73,Продажи!$C$5:$C$359,Конструкторы!$A73)</f>
        <v>0</v>
      </c>
      <c r="T73" s="166">
        <f>SUMIFS(Продажи!Q$5:Q$359,Продажи!$D$5:$D$359,Конструкторы!$B73,Продажи!$C$5:$C$359,Конструкторы!$A73)</f>
        <v>0</v>
      </c>
    </row>
    <row r="74" spans="1:20" ht="15.75" hidden="1" x14ac:dyDescent="0.25">
      <c r="A74" s="166" t="s">
        <v>397</v>
      </c>
      <c r="B74" s="173" t="s">
        <v>446</v>
      </c>
      <c r="C74" s="173" t="s">
        <v>56</v>
      </c>
      <c r="D74" s="157"/>
      <c r="E74" s="153" t="s">
        <v>68</v>
      </c>
      <c r="F74" s="148"/>
      <c r="G74" s="156"/>
      <c r="H74" s="156">
        <v>1</v>
      </c>
      <c r="I74" s="166">
        <f>SUMIFS(Продажи!F$5:F$359,Продажи!$D$5:$D$359,Конструкторы!$B74,Продажи!$C$5:$C$359,Конструкторы!$A74)</f>
        <v>0</v>
      </c>
      <c r="J74" s="166">
        <f>SUMIFS(Продажи!G$5:G$359,Продажи!$D$5:$D$359,Конструкторы!$B74,Продажи!$C$5:$C$359,Конструкторы!$A74)</f>
        <v>0</v>
      </c>
      <c r="K74" s="166">
        <f>SUMIFS(Продажи!H$5:H$359,Продажи!$D$5:$D$359,Конструкторы!$B74,Продажи!$C$5:$C$359,Конструкторы!$A74)</f>
        <v>850</v>
      </c>
      <c r="L74" s="166">
        <f>SUMIFS(Продажи!I$5:I$359,Продажи!$D$5:$D$359,Конструкторы!$B74,Продажи!$C$5:$C$359,Конструкторы!$A74)</f>
        <v>0</v>
      </c>
      <c r="M74" s="166">
        <f>SUMIFS(Продажи!J$5:J$359,Продажи!$D$5:$D$359,Конструкторы!$B74,Продажи!$C$5:$C$359,Конструкторы!$A74)</f>
        <v>0</v>
      </c>
      <c r="N74" s="166">
        <f>SUMIFS(Продажи!K$5:K$359,Продажи!$D$5:$D$359,Конструкторы!$B74,Продажи!$C$5:$C$359,Конструкторы!$A74)</f>
        <v>0</v>
      </c>
      <c r="O74" s="166">
        <f>SUMIFS(Продажи!L$5:L$359,Продажи!$D$5:$D$359,Конструкторы!$B74,Продажи!$C$5:$C$359,Конструкторы!$A74)</f>
        <v>0</v>
      </c>
      <c r="P74" s="166">
        <f>SUMIFS(Продажи!M$5:M$359,Продажи!$D$5:$D$359,Конструкторы!$B74,Продажи!$C$5:$C$359,Конструкторы!$A74)</f>
        <v>0</v>
      </c>
      <c r="Q74" s="166">
        <f>SUMIFS(Продажи!N$5:N$359,Продажи!$D$5:$D$359,Конструкторы!$B74,Продажи!$C$5:$C$359,Конструкторы!$A74)</f>
        <v>0</v>
      </c>
      <c r="R74" s="166">
        <f>SUMIFS(Продажи!O$5:O$359,Продажи!$D$5:$D$359,Конструкторы!$B74,Продажи!$C$5:$C$359,Конструкторы!$A74)</f>
        <v>0</v>
      </c>
      <c r="S74" s="166">
        <f>SUMIFS(Продажи!P$5:P$359,Продажи!$D$5:$D$359,Конструкторы!$B74,Продажи!$C$5:$C$359,Конструкторы!$A74)</f>
        <v>0</v>
      </c>
      <c r="T74" s="166">
        <f>SUMIFS(Продажи!Q$5:Q$359,Продажи!$D$5:$D$359,Конструкторы!$B74,Продажи!$C$5:$C$359,Конструкторы!$A74)</f>
        <v>0</v>
      </c>
    </row>
    <row r="75" spans="1:20" ht="15.75" hidden="1" x14ac:dyDescent="0.25">
      <c r="A75" s="166" t="s">
        <v>397</v>
      </c>
      <c r="B75" s="173" t="s">
        <v>447</v>
      </c>
      <c r="C75" s="173" t="s">
        <v>57</v>
      </c>
      <c r="D75" s="157"/>
      <c r="E75" s="153" t="s">
        <v>68</v>
      </c>
      <c r="F75" s="148"/>
      <c r="G75" s="156"/>
      <c r="H75" s="156">
        <v>1</v>
      </c>
      <c r="I75" s="166">
        <f>SUMIFS(Продажи!F$5:F$359,Продажи!$D$5:$D$359,Конструкторы!$B75,Продажи!$C$5:$C$359,Конструкторы!$A75)</f>
        <v>0</v>
      </c>
      <c r="J75" s="166">
        <f>SUMIFS(Продажи!G$5:G$359,Продажи!$D$5:$D$359,Конструкторы!$B75,Продажи!$C$5:$C$359,Конструкторы!$A75)</f>
        <v>0</v>
      </c>
      <c r="K75" s="166">
        <f>SUMIFS(Продажи!H$5:H$359,Продажи!$D$5:$D$359,Конструкторы!$B75,Продажи!$C$5:$C$359,Конструкторы!$A75)</f>
        <v>260</v>
      </c>
      <c r="L75" s="166">
        <f>SUMIFS(Продажи!I$5:I$359,Продажи!$D$5:$D$359,Конструкторы!$B75,Продажи!$C$5:$C$359,Конструкторы!$A75)</f>
        <v>0</v>
      </c>
      <c r="M75" s="166">
        <f>SUMIFS(Продажи!J$5:J$359,Продажи!$D$5:$D$359,Конструкторы!$B75,Продажи!$C$5:$C$359,Конструкторы!$A75)</f>
        <v>0</v>
      </c>
      <c r="N75" s="166">
        <f>SUMIFS(Продажи!K$5:K$359,Продажи!$D$5:$D$359,Конструкторы!$B75,Продажи!$C$5:$C$359,Конструкторы!$A75)</f>
        <v>0</v>
      </c>
      <c r="O75" s="166">
        <f>SUMIFS(Продажи!L$5:L$359,Продажи!$D$5:$D$359,Конструкторы!$B75,Продажи!$C$5:$C$359,Конструкторы!$A75)</f>
        <v>0</v>
      </c>
      <c r="P75" s="166">
        <f>SUMIFS(Продажи!M$5:M$359,Продажи!$D$5:$D$359,Конструкторы!$B75,Продажи!$C$5:$C$359,Конструкторы!$A75)</f>
        <v>0</v>
      </c>
      <c r="Q75" s="166">
        <f>SUMIFS(Продажи!N$5:N$359,Продажи!$D$5:$D$359,Конструкторы!$B75,Продажи!$C$5:$C$359,Конструкторы!$A75)</f>
        <v>0</v>
      </c>
      <c r="R75" s="166">
        <f>SUMIFS(Продажи!O$5:O$359,Продажи!$D$5:$D$359,Конструкторы!$B75,Продажи!$C$5:$C$359,Конструкторы!$A75)</f>
        <v>0</v>
      </c>
      <c r="S75" s="166">
        <f>SUMIFS(Продажи!P$5:P$359,Продажи!$D$5:$D$359,Конструкторы!$B75,Продажи!$C$5:$C$359,Конструкторы!$A75)</f>
        <v>0</v>
      </c>
      <c r="T75" s="166">
        <f>SUMIFS(Продажи!Q$5:Q$359,Продажи!$D$5:$D$359,Конструкторы!$B75,Продажи!$C$5:$C$359,Конструкторы!$A75)</f>
        <v>0</v>
      </c>
    </row>
    <row r="76" spans="1:20" ht="15.75" hidden="1" x14ac:dyDescent="0.25">
      <c r="A76" s="166" t="s">
        <v>397</v>
      </c>
      <c r="B76" s="173" t="s">
        <v>448</v>
      </c>
      <c r="C76" s="173" t="s">
        <v>58</v>
      </c>
      <c r="D76" s="157"/>
      <c r="E76" s="153" t="s">
        <v>68</v>
      </c>
      <c r="F76" s="148"/>
      <c r="G76" s="156"/>
      <c r="H76" s="156">
        <v>1</v>
      </c>
      <c r="I76" s="166">
        <f>SUMIFS(Продажи!F$5:F$359,Продажи!$D$5:$D$359,Конструкторы!$B76,Продажи!$C$5:$C$359,Конструкторы!$A76)</f>
        <v>0</v>
      </c>
      <c r="J76" s="166">
        <f>SUMIFS(Продажи!G$5:G$359,Продажи!$D$5:$D$359,Конструкторы!$B76,Продажи!$C$5:$C$359,Конструкторы!$A76)</f>
        <v>0</v>
      </c>
      <c r="K76" s="166">
        <f>SUMIFS(Продажи!H$5:H$359,Продажи!$D$5:$D$359,Конструкторы!$B76,Продажи!$C$5:$C$359,Конструкторы!$A76)</f>
        <v>0</v>
      </c>
      <c r="L76" s="166">
        <f>SUMIFS(Продажи!I$5:I$359,Продажи!$D$5:$D$359,Конструкторы!$B76,Продажи!$C$5:$C$359,Конструкторы!$A76)</f>
        <v>0</v>
      </c>
      <c r="M76" s="166">
        <f>SUMIFS(Продажи!J$5:J$359,Продажи!$D$5:$D$359,Конструкторы!$B76,Продажи!$C$5:$C$359,Конструкторы!$A76)</f>
        <v>0</v>
      </c>
      <c r="N76" s="166">
        <f>SUMIFS(Продажи!K$5:K$359,Продажи!$D$5:$D$359,Конструкторы!$B76,Продажи!$C$5:$C$359,Конструкторы!$A76)</f>
        <v>0</v>
      </c>
      <c r="O76" s="166">
        <f>SUMIFS(Продажи!L$5:L$359,Продажи!$D$5:$D$359,Конструкторы!$B76,Продажи!$C$5:$C$359,Конструкторы!$A76)</f>
        <v>0</v>
      </c>
      <c r="P76" s="166">
        <f>SUMIFS(Продажи!M$5:M$359,Продажи!$D$5:$D$359,Конструкторы!$B76,Продажи!$C$5:$C$359,Конструкторы!$A76)</f>
        <v>0</v>
      </c>
      <c r="Q76" s="166">
        <f>SUMIFS(Продажи!N$5:N$359,Продажи!$D$5:$D$359,Конструкторы!$B76,Продажи!$C$5:$C$359,Конструкторы!$A76)</f>
        <v>0</v>
      </c>
      <c r="R76" s="166">
        <f>SUMIFS(Продажи!O$5:O$359,Продажи!$D$5:$D$359,Конструкторы!$B76,Продажи!$C$5:$C$359,Конструкторы!$A76)</f>
        <v>0</v>
      </c>
      <c r="S76" s="166">
        <f>SUMIFS(Продажи!P$5:P$359,Продажи!$D$5:$D$359,Конструкторы!$B76,Продажи!$C$5:$C$359,Конструкторы!$A76)</f>
        <v>0</v>
      </c>
      <c r="T76" s="166">
        <f>SUMIFS(Продажи!Q$5:Q$359,Продажи!$D$5:$D$359,Конструкторы!$B76,Продажи!$C$5:$C$359,Конструкторы!$A76)</f>
        <v>0</v>
      </c>
    </row>
    <row r="77" spans="1:20" ht="15.75" hidden="1" x14ac:dyDescent="0.25">
      <c r="A77" s="166" t="s">
        <v>397</v>
      </c>
      <c r="B77" s="173" t="s">
        <v>449</v>
      </c>
      <c r="C77" s="173" t="s">
        <v>59</v>
      </c>
      <c r="D77" s="157"/>
      <c r="E77" s="153" t="s">
        <v>68</v>
      </c>
      <c r="F77" s="148"/>
      <c r="G77" s="156"/>
      <c r="H77" s="156">
        <v>1</v>
      </c>
      <c r="I77" s="166">
        <f>SUMIFS(Продажи!F$5:F$359,Продажи!$D$5:$D$359,Конструкторы!$B77,Продажи!$C$5:$C$359,Конструкторы!$A77)</f>
        <v>0</v>
      </c>
      <c r="J77" s="166">
        <f>SUMIFS(Продажи!G$5:G$359,Продажи!$D$5:$D$359,Конструкторы!$B77,Продажи!$C$5:$C$359,Конструкторы!$A77)</f>
        <v>744</v>
      </c>
      <c r="K77" s="166">
        <f>SUMIFS(Продажи!H$5:H$359,Продажи!$D$5:$D$359,Конструкторы!$B77,Продажи!$C$5:$C$359,Конструкторы!$A77)</f>
        <v>52</v>
      </c>
      <c r="L77" s="166">
        <f>SUMIFS(Продажи!I$5:I$359,Продажи!$D$5:$D$359,Конструкторы!$B77,Продажи!$C$5:$C$359,Конструкторы!$A77)</f>
        <v>0</v>
      </c>
      <c r="M77" s="166">
        <f>SUMIFS(Продажи!J$5:J$359,Продажи!$D$5:$D$359,Конструкторы!$B77,Продажи!$C$5:$C$359,Конструкторы!$A77)</f>
        <v>0</v>
      </c>
      <c r="N77" s="166">
        <f>SUMIFS(Продажи!K$5:K$359,Продажи!$D$5:$D$359,Конструкторы!$B77,Продажи!$C$5:$C$359,Конструкторы!$A77)</f>
        <v>0</v>
      </c>
      <c r="O77" s="166">
        <f>SUMIFS(Продажи!L$5:L$359,Продажи!$D$5:$D$359,Конструкторы!$B77,Продажи!$C$5:$C$359,Конструкторы!$A77)</f>
        <v>0</v>
      </c>
      <c r="P77" s="166">
        <f>SUMIFS(Продажи!M$5:M$359,Продажи!$D$5:$D$359,Конструкторы!$B77,Продажи!$C$5:$C$359,Конструкторы!$A77)</f>
        <v>0</v>
      </c>
      <c r="Q77" s="166">
        <f>SUMIFS(Продажи!N$5:N$359,Продажи!$D$5:$D$359,Конструкторы!$B77,Продажи!$C$5:$C$359,Конструкторы!$A77)</f>
        <v>0</v>
      </c>
      <c r="R77" s="166">
        <f>SUMIFS(Продажи!O$5:O$359,Продажи!$D$5:$D$359,Конструкторы!$B77,Продажи!$C$5:$C$359,Конструкторы!$A77)</f>
        <v>0</v>
      </c>
      <c r="S77" s="166">
        <f>SUMIFS(Продажи!P$5:P$359,Продажи!$D$5:$D$359,Конструкторы!$B77,Продажи!$C$5:$C$359,Конструкторы!$A77)</f>
        <v>0</v>
      </c>
      <c r="T77" s="166">
        <f>SUMIFS(Продажи!Q$5:Q$359,Продажи!$D$5:$D$359,Конструкторы!$B77,Продажи!$C$5:$C$359,Конструкторы!$A77)</f>
        <v>0</v>
      </c>
    </row>
    <row r="78" spans="1:20" ht="15.75" hidden="1" x14ac:dyDescent="0.25">
      <c r="A78" s="166" t="s">
        <v>397</v>
      </c>
      <c r="B78" s="57" t="s">
        <v>450</v>
      </c>
      <c r="C78" s="129" t="s">
        <v>53</v>
      </c>
      <c r="D78" s="130">
        <v>7038</v>
      </c>
      <c r="E78" s="153" t="s">
        <v>68</v>
      </c>
      <c r="F78" s="156">
        <v>1</v>
      </c>
      <c r="G78" s="156">
        <v>3.6000000000000032E-2</v>
      </c>
      <c r="H78" s="156">
        <f>F78+G78</f>
        <v>1.036</v>
      </c>
      <c r="I78" s="166">
        <f>SUMIFS(Продажи!F$5:F$359,Продажи!$D$5:$D$359,Конструкторы!$B78,Продажи!$C$5:$C$359,Конструкторы!$A78)</f>
        <v>0</v>
      </c>
      <c r="J78" s="166">
        <f>SUMIFS(Продажи!G$5:G$359,Продажи!$D$5:$D$359,Конструкторы!$B78,Продажи!$C$5:$C$359,Конструкторы!$A78)</f>
        <v>0</v>
      </c>
      <c r="K78" s="166">
        <f>SUMIFS(Продажи!H$5:H$359,Продажи!$D$5:$D$359,Конструкторы!$B78,Продажи!$C$5:$C$359,Конструкторы!$A78)</f>
        <v>0</v>
      </c>
      <c r="L78" s="166">
        <f>SUMIFS(Продажи!I$5:I$359,Продажи!$D$5:$D$359,Конструкторы!$B78,Продажи!$C$5:$C$359,Конструкторы!$A78)</f>
        <v>0</v>
      </c>
      <c r="M78" s="166">
        <f>SUMIFS(Продажи!J$5:J$359,Продажи!$D$5:$D$359,Конструкторы!$B78,Продажи!$C$5:$C$359,Конструкторы!$A78)</f>
        <v>0</v>
      </c>
      <c r="N78" s="166">
        <f>SUMIFS(Продажи!K$5:K$359,Продажи!$D$5:$D$359,Конструкторы!$B78,Продажи!$C$5:$C$359,Конструкторы!$A78)</f>
        <v>0</v>
      </c>
      <c r="O78" s="166">
        <f>SUMIFS(Продажи!L$5:L$359,Продажи!$D$5:$D$359,Конструкторы!$B78,Продажи!$C$5:$C$359,Конструкторы!$A78)</f>
        <v>0</v>
      </c>
      <c r="P78" s="166">
        <f>SUMIFS(Продажи!M$5:M$359,Продажи!$D$5:$D$359,Конструкторы!$B78,Продажи!$C$5:$C$359,Конструкторы!$A78)</f>
        <v>0</v>
      </c>
      <c r="Q78" s="166">
        <f>SUMIFS(Продажи!N$5:N$359,Продажи!$D$5:$D$359,Конструкторы!$B78,Продажи!$C$5:$C$359,Конструкторы!$A78)</f>
        <v>0</v>
      </c>
      <c r="R78" s="166">
        <f>SUMIFS(Продажи!O$5:O$359,Продажи!$D$5:$D$359,Конструкторы!$B78,Продажи!$C$5:$C$359,Конструкторы!$A78)</f>
        <v>0</v>
      </c>
      <c r="S78" s="166">
        <f>SUMIFS(Продажи!P$5:P$359,Продажи!$D$5:$D$359,Конструкторы!$B78,Продажи!$C$5:$C$359,Конструкторы!$A78)</f>
        <v>0</v>
      </c>
      <c r="T78" s="166">
        <f>SUMIFS(Продажи!Q$5:Q$359,Продажи!$D$5:$D$359,Конструкторы!$B78,Продажи!$C$5:$C$359,Конструкторы!$A78)</f>
        <v>0</v>
      </c>
    </row>
    <row r="79" spans="1:20" ht="15.75" hidden="1" x14ac:dyDescent="0.25">
      <c r="A79" s="166" t="s">
        <v>397</v>
      </c>
      <c r="B79" s="57" t="s">
        <v>450</v>
      </c>
      <c r="C79" s="129" t="s">
        <v>52</v>
      </c>
      <c r="D79" s="149"/>
      <c r="E79" s="153" t="s">
        <v>68</v>
      </c>
      <c r="F79" s="156">
        <v>1</v>
      </c>
      <c r="G79" s="156">
        <v>0.03</v>
      </c>
      <c r="H79" s="156">
        <f>F79+G79</f>
        <v>1.03</v>
      </c>
      <c r="I79" s="166">
        <f>SUMIFS(Продажи!F$5:F$359,Продажи!$D$5:$D$359,Конструкторы!$B79,Продажи!$C$5:$C$359,Конструкторы!$A79)</f>
        <v>0</v>
      </c>
      <c r="J79" s="166">
        <f>SUMIFS(Продажи!G$5:G$359,Продажи!$D$5:$D$359,Конструкторы!$B79,Продажи!$C$5:$C$359,Конструкторы!$A79)</f>
        <v>0</v>
      </c>
      <c r="K79" s="166">
        <f>SUMIFS(Продажи!H$5:H$359,Продажи!$D$5:$D$359,Конструкторы!$B79,Продажи!$C$5:$C$359,Конструкторы!$A79)</f>
        <v>0</v>
      </c>
      <c r="L79" s="166">
        <f>SUMIFS(Продажи!I$5:I$359,Продажи!$D$5:$D$359,Конструкторы!$B79,Продажи!$C$5:$C$359,Конструкторы!$A79)</f>
        <v>0</v>
      </c>
      <c r="M79" s="166">
        <f>SUMIFS(Продажи!J$5:J$359,Продажи!$D$5:$D$359,Конструкторы!$B79,Продажи!$C$5:$C$359,Конструкторы!$A79)</f>
        <v>0</v>
      </c>
      <c r="N79" s="166">
        <f>SUMIFS(Продажи!K$5:K$359,Продажи!$D$5:$D$359,Конструкторы!$B79,Продажи!$C$5:$C$359,Конструкторы!$A79)</f>
        <v>0</v>
      </c>
      <c r="O79" s="166">
        <f>SUMIFS(Продажи!L$5:L$359,Продажи!$D$5:$D$359,Конструкторы!$B79,Продажи!$C$5:$C$359,Конструкторы!$A79)</f>
        <v>0</v>
      </c>
      <c r="P79" s="166">
        <f>SUMIFS(Продажи!M$5:M$359,Продажи!$D$5:$D$359,Конструкторы!$B79,Продажи!$C$5:$C$359,Конструкторы!$A79)</f>
        <v>0</v>
      </c>
      <c r="Q79" s="166">
        <f>SUMIFS(Продажи!N$5:N$359,Продажи!$D$5:$D$359,Конструкторы!$B79,Продажи!$C$5:$C$359,Конструкторы!$A79)</f>
        <v>0</v>
      </c>
      <c r="R79" s="166">
        <f>SUMIFS(Продажи!O$5:O$359,Продажи!$D$5:$D$359,Конструкторы!$B79,Продажи!$C$5:$C$359,Конструкторы!$A79)</f>
        <v>0</v>
      </c>
      <c r="S79" s="166">
        <f>SUMIFS(Продажи!P$5:P$359,Продажи!$D$5:$D$359,Конструкторы!$B79,Продажи!$C$5:$C$359,Конструкторы!$A79)</f>
        <v>0</v>
      </c>
      <c r="T79" s="166">
        <f>SUMIFS(Продажи!Q$5:Q$359,Продажи!$D$5:$D$359,Конструкторы!$B79,Продажи!$C$5:$C$359,Конструкторы!$A79)</f>
        <v>0</v>
      </c>
    </row>
    <row r="80" spans="1:20" ht="15.75" hidden="1" x14ac:dyDescent="0.25">
      <c r="A80" s="166" t="s">
        <v>397</v>
      </c>
      <c r="B80" s="57" t="s">
        <v>450</v>
      </c>
      <c r="C80" s="33" t="s">
        <v>77</v>
      </c>
      <c r="D80" s="149"/>
      <c r="E80" s="153" t="s">
        <v>70</v>
      </c>
      <c r="F80" s="148">
        <v>2</v>
      </c>
      <c r="G80" s="156" t="s">
        <v>71</v>
      </c>
      <c r="H80" s="156">
        <f>F80</f>
        <v>2</v>
      </c>
      <c r="I80" s="166">
        <f>SUMIFS(Продажи!F$5:F$359,Продажи!$D$5:$D$359,Конструкторы!$B80,Продажи!$C$5:$C$359,Конструкторы!$A80)</f>
        <v>0</v>
      </c>
      <c r="J80" s="166">
        <f>SUMIFS(Продажи!G$5:G$359,Продажи!$D$5:$D$359,Конструкторы!$B80,Продажи!$C$5:$C$359,Конструкторы!$A80)</f>
        <v>0</v>
      </c>
      <c r="K80" s="166">
        <f>SUMIFS(Продажи!H$5:H$359,Продажи!$D$5:$D$359,Конструкторы!$B80,Продажи!$C$5:$C$359,Конструкторы!$A80)</f>
        <v>0</v>
      </c>
      <c r="L80" s="166">
        <f>SUMIFS(Продажи!I$5:I$359,Продажи!$D$5:$D$359,Конструкторы!$B80,Продажи!$C$5:$C$359,Конструкторы!$A80)</f>
        <v>0</v>
      </c>
      <c r="M80" s="166">
        <f>SUMIFS(Продажи!J$5:J$359,Продажи!$D$5:$D$359,Конструкторы!$B80,Продажи!$C$5:$C$359,Конструкторы!$A80)</f>
        <v>0</v>
      </c>
      <c r="N80" s="166">
        <f>SUMIFS(Продажи!K$5:K$359,Продажи!$D$5:$D$359,Конструкторы!$B80,Продажи!$C$5:$C$359,Конструкторы!$A80)</f>
        <v>0</v>
      </c>
      <c r="O80" s="166">
        <f>SUMIFS(Продажи!L$5:L$359,Продажи!$D$5:$D$359,Конструкторы!$B80,Продажи!$C$5:$C$359,Конструкторы!$A80)</f>
        <v>0</v>
      </c>
      <c r="P80" s="166">
        <f>SUMIFS(Продажи!M$5:M$359,Продажи!$D$5:$D$359,Конструкторы!$B80,Продажи!$C$5:$C$359,Конструкторы!$A80)</f>
        <v>0</v>
      </c>
      <c r="Q80" s="166">
        <f>SUMIFS(Продажи!N$5:N$359,Продажи!$D$5:$D$359,Конструкторы!$B80,Продажи!$C$5:$C$359,Конструкторы!$A80)</f>
        <v>0</v>
      </c>
      <c r="R80" s="166">
        <f>SUMIFS(Продажи!O$5:O$359,Продажи!$D$5:$D$359,Конструкторы!$B80,Продажи!$C$5:$C$359,Конструкторы!$A80)</f>
        <v>0</v>
      </c>
      <c r="S80" s="166">
        <f>SUMIFS(Продажи!P$5:P$359,Продажи!$D$5:$D$359,Конструкторы!$B80,Продажи!$C$5:$C$359,Конструкторы!$A80)</f>
        <v>0</v>
      </c>
      <c r="T80" s="166">
        <f>SUMIFS(Продажи!Q$5:Q$359,Продажи!$D$5:$D$359,Конструкторы!$B80,Продажи!$C$5:$C$359,Конструкторы!$A80)</f>
        <v>0</v>
      </c>
    </row>
    <row r="81" spans="1:20" ht="15.75" hidden="1" x14ac:dyDescent="0.25">
      <c r="A81" s="166" t="s">
        <v>397</v>
      </c>
      <c r="B81" s="57" t="s">
        <v>450</v>
      </c>
      <c r="C81" s="33" t="s">
        <v>75</v>
      </c>
      <c r="D81" s="149"/>
      <c r="E81" s="153" t="s">
        <v>70</v>
      </c>
      <c r="F81" s="148">
        <v>12</v>
      </c>
      <c r="G81" s="156" t="s">
        <v>71</v>
      </c>
      <c r="H81" s="156">
        <f>F81</f>
        <v>12</v>
      </c>
      <c r="I81" s="166">
        <f>SUMIFS(Продажи!F$5:F$359,Продажи!$D$5:$D$359,Конструкторы!$B81,Продажи!$C$5:$C$359,Конструкторы!$A81)</f>
        <v>0</v>
      </c>
      <c r="J81" s="166">
        <f>SUMIFS(Продажи!G$5:G$359,Продажи!$D$5:$D$359,Конструкторы!$B81,Продажи!$C$5:$C$359,Конструкторы!$A81)</f>
        <v>0</v>
      </c>
      <c r="K81" s="166">
        <f>SUMIFS(Продажи!H$5:H$359,Продажи!$D$5:$D$359,Конструкторы!$B81,Продажи!$C$5:$C$359,Конструкторы!$A81)</f>
        <v>0</v>
      </c>
      <c r="L81" s="166">
        <f>SUMIFS(Продажи!I$5:I$359,Продажи!$D$5:$D$359,Конструкторы!$B81,Продажи!$C$5:$C$359,Конструкторы!$A81)</f>
        <v>0</v>
      </c>
      <c r="M81" s="166">
        <f>SUMIFS(Продажи!J$5:J$359,Продажи!$D$5:$D$359,Конструкторы!$B81,Продажи!$C$5:$C$359,Конструкторы!$A81)</f>
        <v>0</v>
      </c>
      <c r="N81" s="166">
        <f>SUMIFS(Продажи!K$5:K$359,Продажи!$D$5:$D$359,Конструкторы!$B81,Продажи!$C$5:$C$359,Конструкторы!$A81)</f>
        <v>0</v>
      </c>
      <c r="O81" s="166">
        <f>SUMIFS(Продажи!L$5:L$359,Продажи!$D$5:$D$359,Конструкторы!$B81,Продажи!$C$5:$C$359,Конструкторы!$A81)</f>
        <v>0</v>
      </c>
      <c r="P81" s="166">
        <f>SUMIFS(Продажи!M$5:M$359,Продажи!$D$5:$D$359,Конструкторы!$B81,Продажи!$C$5:$C$359,Конструкторы!$A81)</f>
        <v>0</v>
      </c>
      <c r="Q81" s="166">
        <f>SUMIFS(Продажи!N$5:N$359,Продажи!$D$5:$D$359,Конструкторы!$B81,Продажи!$C$5:$C$359,Конструкторы!$A81)</f>
        <v>0</v>
      </c>
      <c r="R81" s="166">
        <f>SUMIFS(Продажи!O$5:O$359,Продажи!$D$5:$D$359,Конструкторы!$B81,Продажи!$C$5:$C$359,Конструкторы!$A81)</f>
        <v>0</v>
      </c>
      <c r="S81" s="166">
        <f>SUMIFS(Продажи!P$5:P$359,Продажи!$D$5:$D$359,Конструкторы!$B81,Продажи!$C$5:$C$359,Конструкторы!$A81)</f>
        <v>0</v>
      </c>
      <c r="T81" s="166">
        <f>SUMIFS(Продажи!Q$5:Q$359,Продажи!$D$5:$D$359,Конструкторы!$B81,Продажи!$C$5:$C$359,Конструкторы!$A81)</f>
        <v>0</v>
      </c>
    </row>
    <row r="82" spans="1:20" ht="15.75" hidden="1" x14ac:dyDescent="0.25">
      <c r="A82" s="166" t="s">
        <v>397</v>
      </c>
      <c r="B82" s="57" t="s">
        <v>450</v>
      </c>
      <c r="C82" s="33" t="s">
        <v>69</v>
      </c>
      <c r="D82" s="149"/>
      <c r="E82" s="153" t="s">
        <v>70</v>
      </c>
      <c r="F82" s="148">
        <v>4</v>
      </c>
      <c r="G82" s="156" t="s">
        <v>71</v>
      </c>
      <c r="H82" s="156">
        <f>F82</f>
        <v>4</v>
      </c>
      <c r="I82" s="166">
        <f>SUMIFS(Продажи!F$5:F$359,Продажи!$D$5:$D$359,Конструкторы!$B82,Продажи!$C$5:$C$359,Конструкторы!$A82)</f>
        <v>0</v>
      </c>
      <c r="J82" s="166">
        <f>SUMIFS(Продажи!G$5:G$359,Продажи!$D$5:$D$359,Конструкторы!$B82,Продажи!$C$5:$C$359,Конструкторы!$A82)</f>
        <v>0</v>
      </c>
      <c r="K82" s="166">
        <f>SUMIFS(Продажи!H$5:H$359,Продажи!$D$5:$D$359,Конструкторы!$B82,Продажи!$C$5:$C$359,Конструкторы!$A82)</f>
        <v>0</v>
      </c>
      <c r="L82" s="166">
        <f>SUMIFS(Продажи!I$5:I$359,Продажи!$D$5:$D$359,Конструкторы!$B82,Продажи!$C$5:$C$359,Конструкторы!$A82)</f>
        <v>0</v>
      </c>
      <c r="M82" s="166">
        <f>SUMIFS(Продажи!J$5:J$359,Продажи!$D$5:$D$359,Конструкторы!$B82,Продажи!$C$5:$C$359,Конструкторы!$A82)</f>
        <v>0</v>
      </c>
      <c r="N82" s="166">
        <f>SUMIFS(Продажи!K$5:K$359,Продажи!$D$5:$D$359,Конструкторы!$B82,Продажи!$C$5:$C$359,Конструкторы!$A82)</f>
        <v>0</v>
      </c>
      <c r="O82" s="166">
        <f>SUMIFS(Продажи!L$5:L$359,Продажи!$D$5:$D$359,Конструкторы!$B82,Продажи!$C$5:$C$359,Конструкторы!$A82)</f>
        <v>0</v>
      </c>
      <c r="P82" s="166">
        <f>SUMIFS(Продажи!M$5:M$359,Продажи!$D$5:$D$359,Конструкторы!$B82,Продажи!$C$5:$C$359,Конструкторы!$A82)</f>
        <v>0</v>
      </c>
      <c r="Q82" s="166">
        <f>SUMIFS(Продажи!N$5:N$359,Продажи!$D$5:$D$359,Конструкторы!$B82,Продажи!$C$5:$C$359,Конструкторы!$A82)</f>
        <v>0</v>
      </c>
      <c r="R82" s="166">
        <f>SUMIFS(Продажи!O$5:O$359,Продажи!$D$5:$D$359,Конструкторы!$B82,Продажи!$C$5:$C$359,Конструкторы!$A82)</f>
        <v>0</v>
      </c>
      <c r="S82" s="166">
        <f>SUMIFS(Продажи!P$5:P$359,Продажи!$D$5:$D$359,Конструкторы!$B82,Продажи!$C$5:$C$359,Конструкторы!$A82)</f>
        <v>0</v>
      </c>
      <c r="T82" s="166">
        <f>SUMIFS(Продажи!Q$5:Q$359,Продажи!$D$5:$D$359,Конструкторы!$B82,Продажи!$C$5:$C$359,Конструкторы!$A82)</f>
        <v>0</v>
      </c>
    </row>
    <row r="83" spans="1:20" ht="15.75" hidden="1" x14ac:dyDescent="0.25">
      <c r="A83" s="166" t="s">
        <v>397</v>
      </c>
      <c r="B83" s="167" t="s">
        <v>451</v>
      </c>
      <c r="C83" s="129" t="s">
        <v>53</v>
      </c>
      <c r="D83" s="130">
        <v>7038</v>
      </c>
      <c r="E83" s="153" t="s">
        <v>68</v>
      </c>
      <c r="F83" s="156">
        <v>2.048</v>
      </c>
      <c r="G83" s="156">
        <v>6.1440000000000161E-2</v>
      </c>
      <c r="H83" s="174">
        <f>SUM(F83:G83)</f>
        <v>2.1094400000000002</v>
      </c>
      <c r="I83" s="166">
        <f>SUMIFS(Продажи!F$5:F$359,Продажи!$D$5:$D$359,Конструкторы!$B83,Продажи!$C$5:$C$359,Конструкторы!$A83)</f>
        <v>0</v>
      </c>
      <c r="J83" s="166">
        <f>SUMIFS(Продажи!G$5:G$359,Продажи!$D$5:$D$359,Конструкторы!$B83,Продажи!$C$5:$C$359,Конструкторы!$A83)</f>
        <v>0</v>
      </c>
      <c r="K83" s="166">
        <f>SUMIFS(Продажи!H$5:H$359,Продажи!$D$5:$D$359,Конструкторы!$B83,Продажи!$C$5:$C$359,Конструкторы!$A83)</f>
        <v>0</v>
      </c>
      <c r="L83" s="166">
        <f>SUMIFS(Продажи!I$5:I$359,Продажи!$D$5:$D$359,Конструкторы!$B83,Продажи!$C$5:$C$359,Конструкторы!$A83)</f>
        <v>0</v>
      </c>
      <c r="M83" s="166">
        <f>SUMIFS(Продажи!J$5:J$359,Продажи!$D$5:$D$359,Конструкторы!$B83,Продажи!$C$5:$C$359,Конструкторы!$A83)</f>
        <v>0</v>
      </c>
      <c r="N83" s="166">
        <f>SUMIFS(Продажи!K$5:K$359,Продажи!$D$5:$D$359,Конструкторы!$B83,Продажи!$C$5:$C$359,Конструкторы!$A83)</f>
        <v>0</v>
      </c>
      <c r="O83" s="166">
        <f>SUMIFS(Продажи!L$5:L$359,Продажи!$D$5:$D$359,Конструкторы!$B83,Продажи!$C$5:$C$359,Конструкторы!$A83)</f>
        <v>0</v>
      </c>
      <c r="P83" s="166">
        <f>SUMIFS(Продажи!M$5:M$359,Продажи!$D$5:$D$359,Конструкторы!$B83,Продажи!$C$5:$C$359,Конструкторы!$A83)</f>
        <v>0</v>
      </c>
      <c r="Q83" s="166">
        <f>SUMIFS(Продажи!N$5:N$359,Продажи!$D$5:$D$359,Конструкторы!$B83,Продажи!$C$5:$C$359,Конструкторы!$A83)</f>
        <v>0</v>
      </c>
      <c r="R83" s="166">
        <f>SUMIFS(Продажи!O$5:O$359,Продажи!$D$5:$D$359,Конструкторы!$B83,Продажи!$C$5:$C$359,Конструкторы!$A83)</f>
        <v>0</v>
      </c>
      <c r="S83" s="166">
        <f>SUMIFS(Продажи!P$5:P$359,Продажи!$D$5:$D$359,Конструкторы!$B83,Продажи!$C$5:$C$359,Конструкторы!$A83)</f>
        <v>0</v>
      </c>
      <c r="T83" s="166">
        <f>SUMIFS(Продажи!Q$5:Q$359,Продажи!$D$5:$D$359,Конструкторы!$B83,Продажи!$C$5:$C$359,Конструкторы!$A83)</f>
        <v>0</v>
      </c>
    </row>
    <row r="84" spans="1:20" ht="15.75" hidden="1" x14ac:dyDescent="0.25">
      <c r="A84" s="166" t="s">
        <v>397</v>
      </c>
      <c r="B84" s="167" t="s">
        <v>451</v>
      </c>
      <c r="C84" s="129" t="s">
        <v>52</v>
      </c>
      <c r="D84" s="149"/>
      <c r="E84" s="153" t="s">
        <v>68</v>
      </c>
      <c r="F84" s="156">
        <v>1.5</v>
      </c>
      <c r="G84" s="156">
        <v>4.4999999999999998E-2</v>
      </c>
      <c r="H84" s="174">
        <f>SUM(F84:G84)</f>
        <v>1.5449999999999999</v>
      </c>
      <c r="I84" s="166">
        <f>SUMIFS(Продажи!F$5:F$359,Продажи!$D$5:$D$359,Конструкторы!$B84,Продажи!$C$5:$C$359,Конструкторы!$A84)</f>
        <v>0</v>
      </c>
      <c r="J84" s="166">
        <f>SUMIFS(Продажи!G$5:G$359,Продажи!$D$5:$D$359,Конструкторы!$B84,Продажи!$C$5:$C$359,Конструкторы!$A84)</f>
        <v>0</v>
      </c>
      <c r="K84" s="166">
        <f>SUMIFS(Продажи!H$5:H$359,Продажи!$D$5:$D$359,Конструкторы!$B84,Продажи!$C$5:$C$359,Конструкторы!$A84)</f>
        <v>0</v>
      </c>
      <c r="L84" s="166">
        <f>SUMIFS(Продажи!I$5:I$359,Продажи!$D$5:$D$359,Конструкторы!$B84,Продажи!$C$5:$C$359,Конструкторы!$A84)</f>
        <v>0</v>
      </c>
      <c r="M84" s="166">
        <f>SUMIFS(Продажи!J$5:J$359,Продажи!$D$5:$D$359,Конструкторы!$B84,Продажи!$C$5:$C$359,Конструкторы!$A84)</f>
        <v>0</v>
      </c>
      <c r="N84" s="166">
        <f>SUMIFS(Продажи!K$5:K$359,Продажи!$D$5:$D$359,Конструкторы!$B84,Продажи!$C$5:$C$359,Конструкторы!$A84)</f>
        <v>0</v>
      </c>
      <c r="O84" s="166">
        <f>SUMIFS(Продажи!L$5:L$359,Продажи!$D$5:$D$359,Конструкторы!$B84,Продажи!$C$5:$C$359,Конструкторы!$A84)</f>
        <v>0</v>
      </c>
      <c r="P84" s="166">
        <f>SUMIFS(Продажи!M$5:M$359,Продажи!$D$5:$D$359,Конструкторы!$B84,Продажи!$C$5:$C$359,Конструкторы!$A84)</f>
        <v>0</v>
      </c>
      <c r="Q84" s="166">
        <f>SUMIFS(Продажи!N$5:N$359,Продажи!$D$5:$D$359,Конструкторы!$B84,Продажи!$C$5:$C$359,Конструкторы!$A84)</f>
        <v>0</v>
      </c>
      <c r="R84" s="166">
        <f>SUMIFS(Продажи!O$5:O$359,Продажи!$D$5:$D$359,Конструкторы!$B84,Продажи!$C$5:$C$359,Конструкторы!$A84)</f>
        <v>0</v>
      </c>
      <c r="S84" s="166">
        <f>SUMIFS(Продажи!P$5:P$359,Продажи!$D$5:$D$359,Конструкторы!$B84,Продажи!$C$5:$C$359,Конструкторы!$A84)</f>
        <v>0</v>
      </c>
      <c r="T84" s="166">
        <f>SUMIFS(Продажи!Q$5:Q$359,Продажи!$D$5:$D$359,Конструкторы!$B84,Продажи!$C$5:$C$359,Конструкторы!$A84)</f>
        <v>0</v>
      </c>
    </row>
    <row r="85" spans="1:20" ht="15.75" hidden="1" x14ac:dyDescent="0.25">
      <c r="A85" s="166" t="s">
        <v>397</v>
      </c>
      <c r="B85" s="167" t="s">
        <v>451</v>
      </c>
      <c r="C85" s="33" t="s">
        <v>77</v>
      </c>
      <c r="D85" s="149"/>
      <c r="E85" s="153" t="s">
        <v>70</v>
      </c>
      <c r="F85" s="148">
        <v>4</v>
      </c>
      <c r="G85" s="156" t="s">
        <v>71</v>
      </c>
      <c r="H85" s="174">
        <f>SUM(F85:G85)</f>
        <v>4</v>
      </c>
      <c r="I85" s="166">
        <f>SUMIFS(Продажи!F$5:F$359,Продажи!$D$5:$D$359,Конструкторы!$B85,Продажи!$C$5:$C$359,Конструкторы!$A85)</f>
        <v>0</v>
      </c>
      <c r="J85" s="166">
        <f>SUMIFS(Продажи!G$5:G$359,Продажи!$D$5:$D$359,Конструкторы!$B85,Продажи!$C$5:$C$359,Конструкторы!$A85)</f>
        <v>0</v>
      </c>
      <c r="K85" s="166">
        <f>SUMIFS(Продажи!H$5:H$359,Продажи!$D$5:$D$359,Конструкторы!$B85,Продажи!$C$5:$C$359,Конструкторы!$A85)</f>
        <v>0</v>
      </c>
      <c r="L85" s="166">
        <f>SUMIFS(Продажи!I$5:I$359,Продажи!$D$5:$D$359,Конструкторы!$B85,Продажи!$C$5:$C$359,Конструкторы!$A85)</f>
        <v>0</v>
      </c>
      <c r="M85" s="166">
        <f>SUMIFS(Продажи!J$5:J$359,Продажи!$D$5:$D$359,Конструкторы!$B85,Продажи!$C$5:$C$359,Конструкторы!$A85)</f>
        <v>0</v>
      </c>
      <c r="N85" s="166">
        <f>SUMIFS(Продажи!K$5:K$359,Продажи!$D$5:$D$359,Конструкторы!$B85,Продажи!$C$5:$C$359,Конструкторы!$A85)</f>
        <v>0</v>
      </c>
      <c r="O85" s="166">
        <f>SUMIFS(Продажи!L$5:L$359,Продажи!$D$5:$D$359,Конструкторы!$B85,Продажи!$C$5:$C$359,Конструкторы!$A85)</f>
        <v>0</v>
      </c>
      <c r="P85" s="166">
        <f>SUMIFS(Продажи!M$5:M$359,Продажи!$D$5:$D$359,Конструкторы!$B85,Продажи!$C$5:$C$359,Конструкторы!$A85)</f>
        <v>0</v>
      </c>
      <c r="Q85" s="166">
        <f>SUMIFS(Продажи!N$5:N$359,Продажи!$D$5:$D$359,Конструкторы!$B85,Продажи!$C$5:$C$359,Конструкторы!$A85)</f>
        <v>0</v>
      </c>
      <c r="R85" s="166">
        <f>SUMIFS(Продажи!O$5:O$359,Продажи!$D$5:$D$359,Конструкторы!$B85,Продажи!$C$5:$C$359,Конструкторы!$A85)</f>
        <v>0</v>
      </c>
      <c r="S85" s="166">
        <f>SUMIFS(Продажи!P$5:P$359,Продажи!$D$5:$D$359,Конструкторы!$B85,Продажи!$C$5:$C$359,Конструкторы!$A85)</f>
        <v>0</v>
      </c>
      <c r="T85" s="166">
        <f>SUMIFS(Продажи!Q$5:Q$359,Продажи!$D$5:$D$359,Конструкторы!$B85,Продажи!$C$5:$C$359,Конструкторы!$A85)</f>
        <v>0</v>
      </c>
    </row>
    <row r="86" spans="1:20" ht="15.75" hidden="1" x14ac:dyDescent="0.25">
      <c r="A86" s="166" t="s">
        <v>397</v>
      </c>
      <c r="B86" s="167" t="s">
        <v>451</v>
      </c>
      <c r="C86" s="33" t="s">
        <v>75</v>
      </c>
      <c r="D86" s="149"/>
      <c r="E86" s="153" t="s">
        <v>70</v>
      </c>
      <c r="F86" s="148">
        <v>24</v>
      </c>
      <c r="G86" s="156" t="s">
        <v>71</v>
      </c>
      <c r="H86" s="174">
        <f>SUM(F86:G86)</f>
        <v>24</v>
      </c>
      <c r="I86" s="166">
        <f>SUMIFS(Продажи!F$5:F$359,Продажи!$D$5:$D$359,Конструкторы!$B86,Продажи!$C$5:$C$359,Конструкторы!$A86)</f>
        <v>0</v>
      </c>
      <c r="J86" s="166">
        <f>SUMIFS(Продажи!G$5:G$359,Продажи!$D$5:$D$359,Конструкторы!$B86,Продажи!$C$5:$C$359,Конструкторы!$A86)</f>
        <v>0</v>
      </c>
      <c r="K86" s="166">
        <f>SUMIFS(Продажи!H$5:H$359,Продажи!$D$5:$D$359,Конструкторы!$B86,Продажи!$C$5:$C$359,Конструкторы!$A86)</f>
        <v>0</v>
      </c>
      <c r="L86" s="166">
        <f>SUMIFS(Продажи!I$5:I$359,Продажи!$D$5:$D$359,Конструкторы!$B86,Продажи!$C$5:$C$359,Конструкторы!$A86)</f>
        <v>0</v>
      </c>
      <c r="M86" s="166">
        <f>SUMIFS(Продажи!J$5:J$359,Продажи!$D$5:$D$359,Конструкторы!$B86,Продажи!$C$5:$C$359,Конструкторы!$A86)</f>
        <v>0</v>
      </c>
      <c r="N86" s="166">
        <f>SUMIFS(Продажи!K$5:K$359,Продажи!$D$5:$D$359,Конструкторы!$B86,Продажи!$C$5:$C$359,Конструкторы!$A86)</f>
        <v>0</v>
      </c>
      <c r="O86" s="166">
        <f>SUMIFS(Продажи!L$5:L$359,Продажи!$D$5:$D$359,Конструкторы!$B86,Продажи!$C$5:$C$359,Конструкторы!$A86)</f>
        <v>0</v>
      </c>
      <c r="P86" s="166">
        <f>SUMIFS(Продажи!M$5:M$359,Продажи!$D$5:$D$359,Конструкторы!$B86,Продажи!$C$5:$C$359,Конструкторы!$A86)</f>
        <v>0</v>
      </c>
      <c r="Q86" s="166">
        <f>SUMIFS(Продажи!N$5:N$359,Продажи!$D$5:$D$359,Конструкторы!$B86,Продажи!$C$5:$C$359,Конструкторы!$A86)</f>
        <v>0</v>
      </c>
      <c r="R86" s="166">
        <f>SUMIFS(Продажи!O$5:O$359,Продажи!$D$5:$D$359,Конструкторы!$B86,Продажи!$C$5:$C$359,Конструкторы!$A86)</f>
        <v>0</v>
      </c>
      <c r="S86" s="166">
        <f>SUMIFS(Продажи!P$5:P$359,Продажи!$D$5:$D$359,Конструкторы!$B86,Продажи!$C$5:$C$359,Конструкторы!$A86)</f>
        <v>0</v>
      </c>
      <c r="T86" s="166">
        <f>SUMIFS(Продажи!Q$5:Q$359,Продажи!$D$5:$D$359,Конструкторы!$B86,Продажи!$C$5:$C$359,Конструкторы!$A86)</f>
        <v>0</v>
      </c>
    </row>
    <row r="87" spans="1:20" ht="15.75" hidden="1" x14ac:dyDescent="0.25">
      <c r="A87" s="166" t="s">
        <v>397</v>
      </c>
      <c r="B87" s="167" t="s">
        <v>451</v>
      </c>
      <c r="C87" s="33" t="s">
        <v>69</v>
      </c>
      <c r="D87" s="149"/>
      <c r="E87" s="153" t="s">
        <v>70</v>
      </c>
      <c r="F87" s="148">
        <v>6</v>
      </c>
      <c r="G87" s="156" t="s">
        <v>71</v>
      </c>
      <c r="H87" s="174">
        <f>SUM(F87:G87)</f>
        <v>6</v>
      </c>
      <c r="I87" s="166">
        <f>SUMIFS(Продажи!F$5:F$359,Продажи!$D$5:$D$359,Конструкторы!$B87,Продажи!$C$5:$C$359,Конструкторы!$A87)</f>
        <v>0</v>
      </c>
      <c r="J87" s="166">
        <f>SUMIFS(Продажи!G$5:G$359,Продажи!$D$5:$D$359,Конструкторы!$B87,Продажи!$C$5:$C$359,Конструкторы!$A87)</f>
        <v>0</v>
      </c>
      <c r="K87" s="166">
        <f>SUMIFS(Продажи!H$5:H$359,Продажи!$D$5:$D$359,Конструкторы!$B87,Продажи!$C$5:$C$359,Конструкторы!$A87)</f>
        <v>0</v>
      </c>
      <c r="L87" s="166">
        <f>SUMIFS(Продажи!I$5:I$359,Продажи!$D$5:$D$359,Конструкторы!$B87,Продажи!$C$5:$C$359,Конструкторы!$A87)</f>
        <v>0</v>
      </c>
      <c r="M87" s="166">
        <f>SUMIFS(Продажи!J$5:J$359,Продажи!$D$5:$D$359,Конструкторы!$B87,Продажи!$C$5:$C$359,Конструкторы!$A87)</f>
        <v>0</v>
      </c>
      <c r="N87" s="166">
        <f>SUMIFS(Продажи!K$5:K$359,Продажи!$D$5:$D$359,Конструкторы!$B87,Продажи!$C$5:$C$359,Конструкторы!$A87)</f>
        <v>0</v>
      </c>
      <c r="O87" s="166">
        <f>SUMIFS(Продажи!L$5:L$359,Продажи!$D$5:$D$359,Конструкторы!$B87,Продажи!$C$5:$C$359,Конструкторы!$A87)</f>
        <v>0</v>
      </c>
      <c r="P87" s="166">
        <f>SUMIFS(Продажи!M$5:M$359,Продажи!$D$5:$D$359,Конструкторы!$B87,Продажи!$C$5:$C$359,Конструкторы!$A87)</f>
        <v>0</v>
      </c>
      <c r="Q87" s="166">
        <f>SUMIFS(Продажи!N$5:N$359,Продажи!$D$5:$D$359,Конструкторы!$B87,Продажи!$C$5:$C$359,Конструкторы!$A87)</f>
        <v>0</v>
      </c>
      <c r="R87" s="166">
        <f>SUMIFS(Продажи!O$5:O$359,Продажи!$D$5:$D$359,Конструкторы!$B87,Продажи!$C$5:$C$359,Конструкторы!$A87)</f>
        <v>0</v>
      </c>
      <c r="S87" s="166">
        <f>SUMIFS(Продажи!P$5:P$359,Продажи!$D$5:$D$359,Конструкторы!$B87,Продажи!$C$5:$C$359,Конструкторы!$A87)</f>
        <v>0</v>
      </c>
      <c r="T87" s="166">
        <f>SUMIFS(Продажи!Q$5:Q$359,Продажи!$D$5:$D$359,Конструкторы!$B87,Продажи!$C$5:$C$359,Конструкторы!$A87)</f>
        <v>0</v>
      </c>
    </row>
    <row r="88" spans="1:20" ht="15.75" hidden="1" x14ac:dyDescent="0.25">
      <c r="A88" s="166" t="s">
        <v>397</v>
      </c>
      <c r="B88" s="167" t="s">
        <v>224</v>
      </c>
      <c r="C88" s="129" t="s">
        <v>53</v>
      </c>
      <c r="D88" s="130">
        <v>7038</v>
      </c>
      <c r="E88" s="153" t="s">
        <v>68</v>
      </c>
      <c r="F88" s="156">
        <v>2.048</v>
      </c>
      <c r="G88" s="156">
        <v>6.1440000000000161E-2</v>
      </c>
      <c r="H88" s="156">
        <f>F88+G88</f>
        <v>2.1094400000000002</v>
      </c>
      <c r="I88" s="166">
        <f>SUMIFS(Продажи!F$5:F$359,Продажи!$D$5:$D$359,Конструкторы!$B88,Продажи!$C$5:$C$359,Конструкторы!$A88)</f>
        <v>3</v>
      </c>
      <c r="J88" s="166">
        <f>SUMIFS(Продажи!G$5:G$359,Продажи!$D$5:$D$359,Конструкторы!$B88,Продажи!$C$5:$C$359,Конструкторы!$A88)</f>
        <v>0</v>
      </c>
      <c r="K88" s="166">
        <f>SUMIFS(Продажи!H$5:H$359,Продажи!$D$5:$D$359,Конструкторы!$B88,Продажи!$C$5:$C$359,Конструкторы!$A88)</f>
        <v>0</v>
      </c>
      <c r="L88" s="166">
        <f>SUMIFS(Продажи!I$5:I$359,Продажи!$D$5:$D$359,Конструкторы!$B88,Продажи!$C$5:$C$359,Конструкторы!$A88)</f>
        <v>0</v>
      </c>
      <c r="M88" s="166">
        <f>SUMIFS(Продажи!J$5:J$359,Продажи!$D$5:$D$359,Конструкторы!$B88,Продажи!$C$5:$C$359,Конструкторы!$A88)</f>
        <v>0</v>
      </c>
      <c r="N88" s="166">
        <f>SUMIFS(Продажи!K$5:K$359,Продажи!$D$5:$D$359,Конструкторы!$B88,Продажи!$C$5:$C$359,Конструкторы!$A88)</f>
        <v>0</v>
      </c>
      <c r="O88" s="166">
        <f>SUMIFS(Продажи!L$5:L$359,Продажи!$D$5:$D$359,Конструкторы!$B88,Продажи!$C$5:$C$359,Конструкторы!$A88)</f>
        <v>0</v>
      </c>
      <c r="P88" s="166">
        <f>SUMIFS(Продажи!M$5:M$359,Продажи!$D$5:$D$359,Конструкторы!$B88,Продажи!$C$5:$C$359,Конструкторы!$A88)</f>
        <v>0</v>
      </c>
      <c r="Q88" s="166">
        <f>SUMIFS(Продажи!N$5:N$359,Продажи!$D$5:$D$359,Конструкторы!$B88,Продажи!$C$5:$C$359,Конструкторы!$A88)</f>
        <v>0</v>
      </c>
      <c r="R88" s="166">
        <f>SUMIFS(Продажи!O$5:O$359,Продажи!$D$5:$D$359,Конструкторы!$B88,Продажи!$C$5:$C$359,Конструкторы!$A88)</f>
        <v>0</v>
      </c>
      <c r="S88" s="166">
        <f>SUMIFS(Продажи!P$5:P$359,Продажи!$D$5:$D$359,Конструкторы!$B88,Продажи!$C$5:$C$359,Конструкторы!$A88)</f>
        <v>0</v>
      </c>
      <c r="T88" s="166">
        <f>SUMIFS(Продажи!Q$5:Q$359,Продажи!$D$5:$D$359,Конструкторы!$B88,Продажи!$C$5:$C$359,Конструкторы!$A88)</f>
        <v>0</v>
      </c>
    </row>
    <row r="89" spans="1:20" ht="15.75" hidden="1" x14ac:dyDescent="0.25">
      <c r="A89" s="166" t="s">
        <v>397</v>
      </c>
      <c r="B89" s="167" t="s">
        <v>224</v>
      </c>
      <c r="C89" s="129" t="s">
        <v>52</v>
      </c>
      <c r="D89" s="149"/>
      <c r="E89" s="153" t="s">
        <v>68</v>
      </c>
      <c r="F89" s="156">
        <v>1.5</v>
      </c>
      <c r="G89" s="156">
        <v>4.4999999999999998E-2</v>
      </c>
      <c r="H89" s="156">
        <f>F89+G89</f>
        <v>1.5449999999999999</v>
      </c>
      <c r="I89" s="166">
        <f>SUMIFS(Продажи!F$5:F$359,Продажи!$D$5:$D$359,Конструкторы!$B89,Продажи!$C$5:$C$359,Конструкторы!$A89)</f>
        <v>3</v>
      </c>
      <c r="J89" s="166">
        <f>SUMIFS(Продажи!G$5:G$359,Продажи!$D$5:$D$359,Конструкторы!$B89,Продажи!$C$5:$C$359,Конструкторы!$A89)</f>
        <v>0</v>
      </c>
      <c r="K89" s="166">
        <f>SUMIFS(Продажи!H$5:H$359,Продажи!$D$5:$D$359,Конструкторы!$B89,Продажи!$C$5:$C$359,Конструкторы!$A89)</f>
        <v>0</v>
      </c>
      <c r="L89" s="166">
        <f>SUMIFS(Продажи!I$5:I$359,Продажи!$D$5:$D$359,Конструкторы!$B89,Продажи!$C$5:$C$359,Конструкторы!$A89)</f>
        <v>0</v>
      </c>
      <c r="M89" s="166">
        <f>SUMIFS(Продажи!J$5:J$359,Продажи!$D$5:$D$359,Конструкторы!$B89,Продажи!$C$5:$C$359,Конструкторы!$A89)</f>
        <v>0</v>
      </c>
      <c r="N89" s="166">
        <f>SUMIFS(Продажи!K$5:K$359,Продажи!$D$5:$D$359,Конструкторы!$B89,Продажи!$C$5:$C$359,Конструкторы!$A89)</f>
        <v>0</v>
      </c>
      <c r="O89" s="166">
        <f>SUMIFS(Продажи!L$5:L$359,Продажи!$D$5:$D$359,Конструкторы!$B89,Продажи!$C$5:$C$359,Конструкторы!$A89)</f>
        <v>0</v>
      </c>
      <c r="P89" s="166">
        <f>SUMIFS(Продажи!M$5:M$359,Продажи!$D$5:$D$359,Конструкторы!$B89,Продажи!$C$5:$C$359,Конструкторы!$A89)</f>
        <v>0</v>
      </c>
      <c r="Q89" s="166">
        <f>SUMIFS(Продажи!N$5:N$359,Продажи!$D$5:$D$359,Конструкторы!$B89,Продажи!$C$5:$C$359,Конструкторы!$A89)</f>
        <v>0</v>
      </c>
      <c r="R89" s="166">
        <f>SUMIFS(Продажи!O$5:O$359,Продажи!$D$5:$D$359,Конструкторы!$B89,Продажи!$C$5:$C$359,Конструкторы!$A89)</f>
        <v>0</v>
      </c>
      <c r="S89" s="166">
        <f>SUMIFS(Продажи!P$5:P$359,Продажи!$D$5:$D$359,Конструкторы!$B89,Продажи!$C$5:$C$359,Конструкторы!$A89)</f>
        <v>0</v>
      </c>
      <c r="T89" s="166">
        <f>SUMIFS(Продажи!Q$5:Q$359,Продажи!$D$5:$D$359,Конструкторы!$B89,Продажи!$C$5:$C$359,Конструкторы!$A89)</f>
        <v>0</v>
      </c>
    </row>
    <row r="90" spans="1:20" ht="15.75" hidden="1" x14ac:dyDescent="0.25">
      <c r="A90" s="166" t="s">
        <v>397</v>
      </c>
      <c r="B90" s="167" t="s">
        <v>224</v>
      </c>
      <c r="C90" s="33" t="s">
        <v>77</v>
      </c>
      <c r="D90" s="149"/>
      <c r="E90" s="153" t="s">
        <v>70</v>
      </c>
      <c r="F90" s="148">
        <v>4</v>
      </c>
      <c r="G90" s="156" t="s">
        <v>71</v>
      </c>
      <c r="H90" s="156">
        <f>F90</f>
        <v>4</v>
      </c>
      <c r="I90" s="166">
        <f>SUMIFS(Продажи!F$5:F$359,Продажи!$D$5:$D$359,Конструкторы!$B90,Продажи!$C$5:$C$359,Конструкторы!$A90)</f>
        <v>3</v>
      </c>
      <c r="J90" s="166">
        <f>SUMIFS(Продажи!G$5:G$359,Продажи!$D$5:$D$359,Конструкторы!$B90,Продажи!$C$5:$C$359,Конструкторы!$A90)</f>
        <v>0</v>
      </c>
      <c r="K90" s="166">
        <f>SUMIFS(Продажи!H$5:H$359,Продажи!$D$5:$D$359,Конструкторы!$B90,Продажи!$C$5:$C$359,Конструкторы!$A90)</f>
        <v>0</v>
      </c>
      <c r="L90" s="166">
        <f>SUMIFS(Продажи!I$5:I$359,Продажи!$D$5:$D$359,Конструкторы!$B90,Продажи!$C$5:$C$359,Конструкторы!$A90)</f>
        <v>0</v>
      </c>
      <c r="M90" s="166">
        <f>SUMIFS(Продажи!J$5:J$359,Продажи!$D$5:$D$359,Конструкторы!$B90,Продажи!$C$5:$C$359,Конструкторы!$A90)</f>
        <v>0</v>
      </c>
      <c r="N90" s="166">
        <f>SUMIFS(Продажи!K$5:K$359,Продажи!$D$5:$D$359,Конструкторы!$B90,Продажи!$C$5:$C$359,Конструкторы!$A90)</f>
        <v>0</v>
      </c>
      <c r="O90" s="166">
        <f>SUMIFS(Продажи!L$5:L$359,Продажи!$D$5:$D$359,Конструкторы!$B90,Продажи!$C$5:$C$359,Конструкторы!$A90)</f>
        <v>0</v>
      </c>
      <c r="P90" s="166">
        <f>SUMIFS(Продажи!M$5:M$359,Продажи!$D$5:$D$359,Конструкторы!$B90,Продажи!$C$5:$C$359,Конструкторы!$A90)</f>
        <v>0</v>
      </c>
      <c r="Q90" s="166">
        <f>SUMIFS(Продажи!N$5:N$359,Продажи!$D$5:$D$359,Конструкторы!$B90,Продажи!$C$5:$C$359,Конструкторы!$A90)</f>
        <v>0</v>
      </c>
      <c r="R90" s="166">
        <f>SUMIFS(Продажи!O$5:O$359,Продажи!$D$5:$D$359,Конструкторы!$B90,Продажи!$C$5:$C$359,Конструкторы!$A90)</f>
        <v>0</v>
      </c>
      <c r="S90" s="166">
        <f>SUMIFS(Продажи!P$5:P$359,Продажи!$D$5:$D$359,Конструкторы!$B90,Продажи!$C$5:$C$359,Конструкторы!$A90)</f>
        <v>0</v>
      </c>
      <c r="T90" s="166">
        <f>SUMIFS(Продажи!Q$5:Q$359,Продажи!$D$5:$D$359,Конструкторы!$B90,Продажи!$C$5:$C$359,Конструкторы!$A90)</f>
        <v>0</v>
      </c>
    </row>
    <row r="91" spans="1:20" ht="15.75" hidden="1" x14ac:dyDescent="0.25">
      <c r="A91" s="166" t="s">
        <v>397</v>
      </c>
      <c r="B91" s="167" t="s">
        <v>224</v>
      </c>
      <c r="C91" s="33" t="s">
        <v>75</v>
      </c>
      <c r="D91" s="149"/>
      <c r="E91" s="153" t="s">
        <v>70</v>
      </c>
      <c r="F91" s="148">
        <v>24</v>
      </c>
      <c r="G91" s="156" t="s">
        <v>71</v>
      </c>
      <c r="H91" s="156">
        <f>F91</f>
        <v>24</v>
      </c>
      <c r="I91" s="166">
        <f>SUMIFS(Продажи!F$5:F$359,Продажи!$D$5:$D$359,Конструкторы!$B91,Продажи!$C$5:$C$359,Конструкторы!$A91)</f>
        <v>3</v>
      </c>
      <c r="J91" s="166">
        <f>SUMIFS(Продажи!G$5:G$359,Продажи!$D$5:$D$359,Конструкторы!$B91,Продажи!$C$5:$C$359,Конструкторы!$A91)</f>
        <v>0</v>
      </c>
      <c r="K91" s="166">
        <f>SUMIFS(Продажи!H$5:H$359,Продажи!$D$5:$D$359,Конструкторы!$B91,Продажи!$C$5:$C$359,Конструкторы!$A91)</f>
        <v>0</v>
      </c>
      <c r="L91" s="166">
        <f>SUMIFS(Продажи!I$5:I$359,Продажи!$D$5:$D$359,Конструкторы!$B91,Продажи!$C$5:$C$359,Конструкторы!$A91)</f>
        <v>0</v>
      </c>
      <c r="M91" s="166">
        <f>SUMIFS(Продажи!J$5:J$359,Продажи!$D$5:$D$359,Конструкторы!$B91,Продажи!$C$5:$C$359,Конструкторы!$A91)</f>
        <v>0</v>
      </c>
      <c r="N91" s="166">
        <f>SUMIFS(Продажи!K$5:K$359,Продажи!$D$5:$D$359,Конструкторы!$B91,Продажи!$C$5:$C$359,Конструкторы!$A91)</f>
        <v>0</v>
      </c>
      <c r="O91" s="166">
        <f>SUMIFS(Продажи!L$5:L$359,Продажи!$D$5:$D$359,Конструкторы!$B91,Продажи!$C$5:$C$359,Конструкторы!$A91)</f>
        <v>0</v>
      </c>
      <c r="P91" s="166">
        <f>SUMIFS(Продажи!M$5:M$359,Продажи!$D$5:$D$359,Конструкторы!$B91,Продажи!$C$5:$C$359,Конструкторы!$A91)</f>
        <v>0</v>
      </c>
      <c r="Q91" s="166">
        <f>SUMIFS(Продажи!N$5:N$359,Продажи!$D$5:$D$359,Конструкторы!$B91,Продажи!$C$5:$C$359,Конструкторы!$A91)</f>
        <v>0</v>
      </c>
      <c r="R91" s="166">
        <f>SUMIFS(Продажи!O$5:O$359,Продажи!$D$5:$D$359,Конструкторы!$B91,Продажи!$C$5:$C$359,Конструкторы!$A91)</f>
        <v>0</v>
      </c>
      <c r="S91" s="166">
        <f>SUMIFS(Продажи!P$5:P$359,Продажи!$D$5:$D$359,Конструкторы!$B91,Продажи!$C$5:$C$359,Конструкторы!$A91)</f>
        <v>0</v>
      </c>
      <c r="T91" s="166">
        <f>SUMIFS(Продажи!Q$5:Q$359,Продажи!$D$5:$D$359,Конструкторы!$B91,Продажи!$C$5:$C$359,Конструкторы!$A91)</f>
        <v>0</v>
      </c>
    </row>
    <row r="92" spans="1:20" ht="15.75" hidden="1" x14ac:dyDescent="0.25">
      <c r="A92" s="166" t="s">
        <v>397</v>
      </c>
      <c r="B92" s="167" t="s">
        <v>224</v>
      </c>
      <c r="C92" s="33" t="s">
        <v>69</v>
      </c>
      <c r="D92" s="149"/>
      <c r="E92" s="153" t="s">
        <v>70</v>
      </c>
      <c r="F92" s="148">
        <v>6</v>
      </c>
      <c r="G92" s="156" t="s">
        <v>71</v>
      </c>
      <c r="H92" s="156">
        <f>F92</f>
        <v>6</v>
      </c>
      <c r="I92" s="166">
        <f>SUMIFS(Продажи!F$5:F$359,Продажи!$D$5:$D$359,Конструкторы!$B92,Продажи!$C$5:$C$359,Конструкторы!$A92)</f>
        <v>3</v>
      </c>
      <c r="J92" s="166">
        <f>SUMIFS(Продажи!G$5:G$359,Продажи!$D$5:$D$359,Конструкторы!$B92,Продажи!$C$5:$C$359,Конструкторы!$A92)</f>
        <v>0</v>
      </c>
      <c r="K92" s="166">
        <f>SUMIFS(Продажи!H$5:H$359,Продажи!$D$5:$D$359,Конструкторы!$B92,Продажи!$C$5:$C$359,Конструкторы!$A92)</f>
        <v>0</v>
      </c>
      <c r="L92" s="166">
        <f>SUMIFS(Продажи!I$5:I$359,Продажи!$D$5:$D$359,Конструкторы!$B92,Продажи!$C$5:$C$359,Конструкторы!$A92)</f>
        <v>0</v>
      </c>
      <c r="M92" s="166">
        <f>SUMIFS(Продажи!J$5:J$359,Продажи!$D$5:$D$359,Конструкторы!$B92,Продажи!$C$5:$C$359,Конструкторы!$A92)</f>
        <v>0</v>
      </c>
      <c r="N92" s="166">
        <f>SUMIFS(Продажи!K$5:K$359,Продажи!$D$5:$D$359,Конструкторы!$B92,Продажи!$C$5:$C$359,Конструкторы!$A92)</f>
        <v>0</v>
      </c>
      <c r="O92" s="166">
        <f>SUMIFS(Продажи!L$5:L$359,Продажи!$D$5:$D$359,Конструкторы!$B92,Продажи!$C$5:$C$359,Конструкторы!$A92)</f>
        <v>0</v>
      </c>
      <c r="P92" s="166">
        <f>SUMIFS(Продажи!M$5:M$359,Продажи!$D$5:$D$359,Конструкторы!$B92,Продажи!$C$5:$C$359,Конструкторы!$A92)</f>
        <v>0</v>
      </c>
      <c r="Q92" s="166">
        <f>SUMIFS(Продажи!N$5:N$359,Продажи!$D$5:$D$359,Конструкторы!$B92,Продажи!$C$5:$C$359,Конструкторы!$A92)</f>
        <v>0</v>
      </c>
      <c r="R92" s="166">
        <f>SUMIFS(Продажи!O$5:O$359,Продажи!$D$5:$D$359,Конструкторы!$B92,Продажи!$C$5:$C$359,Конструкторы!$A92)</f>
        <v>0</v>
      </c>
      <c r="S92" s="166">
        <f>SUMIFS(Продажи!P$5:P$359,Продажи!$D$5:$D$359,Конструкторы!$B92,Продажи!$C$5:$C$359,Конструкторы!$A92)</f>
        <v>0</v>
      </c>
      <c r="T92" s="166">
        <f>SUMIFS(Продажи!Q$5:Q$359,Продажи!$D$5:$D$359,Конструкторы!$B92,Продажи!$C$5:$C$359,Конструкторы!$A92)</f>
        <v>0</v>
      </c>
    </row>
    <row r="93" spans="1:20" ht="15.75" hidden="1" x14ac:dyDescent="0.25">
      <c r="A93" s="166" t="s">
        <v>397</v>
      </c>
      <c r="B93" s="57" t="s">
        <v>445</v>
      </c>
      <c r="C93" s="129" t="s">
        <v>53</v>
      </c>
      <c r="D93" s="130">
        <v>7038</v>
      </c>
      <c r="E93" s="153" t="s">
        <v>68</v>
      </c>
      <c r="F93" s="156">
        <v>12</v>
      </c>
      <c r="G93" s="156">
        <v>0.35999999999999943</v>
      </c>
      <c r="H93" s="156">
        <f>F93+G93</f>
        <v>12.36</v>
      </c>
      <c r="I93" s="166">
        <f>SUMIFS(Продажи!F$5:F$359,Продажи!$D$5:$D$359,Конструкторы!$B93,Продажи!$C$5:$C$359,Конструкторы!$A93)</f>
        <v>0</v>
      </c>
      <c r="J93" s="166">
        <f>SUMIFS(Продажи!G$5:G$359,Продажи!$D$5:$D$359,Конструкторы!$B93,Продажи!$C$5:$C$359,Конструкторы!$A93)</f>
        <v>0</v>
      </c>
      <c r="K93" s="166">
        <f>SUMIFS(Продажи!H$5:H$359,Продажи!$D$5:$D$359,Конструкторы!$B93,Продажи!$C$5:$C$359,Конструкторы!$A93)</f>
        <v>0</v>
      </c>
      <c r="L93" s="166">
        <f>SUMIFS(Продажи!I$5:I$359,Продажи!$D$5:$D$359,Конструкторы!$B93,Продажи!$C$5:$C$359,Конструкторы!$A93)</f>
        <v>0</v>
      </c>
      <c r="M93" s="166">
        <f>SUMIFS(Продажи!J$5:J$359,Продажи!$D$5:$D$359,Конструкторы!$B93,Продажи!$C$5:$C$359,Конструкторы!$A93)</f>
        <v>0</v>
      </c>
      <c r="N93" s="166">
        <f>SUMIFS(Продажи!K$5:K$359,Продажи!$D$5:$D$359,Конструкторы!$B93,Продажи!$C$5:$C$359,Конструкторы!$A93)</f>
        <v>0</v>
      </c>
      <c r="O93" s="166">
        <f>SUMIFS(Продажи!L$5:L$359,Продажи!$D$5:$D$359,Конструкторы!$B93,Продажи!$C$5:$C$359,Конструкторы!$A93)</f>
        <v>0</v>
      </c>
      <c r="P93" s="166">
        <f>SUMIFS(Продажи!M$5:M$359,Продажи!$D$5:$D$359,Конструкторы!$B93,Продажи!$C$5:$C$359,Конструкторы!$A93)</f>
        <v>0</v>
      </c>
      <c r="Q93" s="166">
        <f>SUMIFS(Продажи!N$5:N$359,Продажи!$D$5:$D$359,Конструкторы!$B93,Продажи!$C$5:$C$359,Конструкторы!$A93)</f>
        <v>0</v>
      </c>
      <c r="R93" s="166">
        <f>SUMIFS(Продажи!O$5:O$359,Продажи!$D$5:$D$359,Конструкторы!$B93,Продажи!$C$5:$C$359,Конструкторы!$A93)</f>
        <v>0</v>
      </c>
      <c r="S93" s="166">
        <f>SUMIFS(Продажи!P$5:P$359,Продажи!$D$5:$D$359,Конструкторы!$B93,Продажи!$C$5:$C$359,Конструкторы!$A93)</f>
        <v>0</v>
      </c>
      <c r="T93" s="166">
        <f>SUMIFS(Продажи!Q$5:Q$359,Продажи!$D$5:$D$359,Конструкторы!$B93,Продажи!$C$5:$C$359,Конструкторы!$A93)</f>
        <v>0</v>
      </c>
    </row>
    <row r="94" spans="1:20" ht="15.75" hidden="1" x14ac:dyDescent="0.25">
      <c r="A94" s="166" t="s">
        <v>397</v>
      </c>
      <c r="B94" s="57" t="s">
        <v>445</v>
      </c>
      <c r="C94" s="129" t="s">
        <v>52</v>
      </c>
      <c r="D94" s="157"/>
      <c r="E94" s="153" t="s">
        <v>68</v>
      </c>
      <c r="F94" s="156">
        <v>10</v>
      </c>
      <c r="G94" s="156">
        <v>0.3</v>
      </c>
      <c r="H94" s="156">
        <f>F94+G94</f>
        <v>10.3</v>
      </c>
      <c r="I94" s="166">
        <f>SUMIFS(Продажи!F$5:F$359,Продажи!$D$5:$D$359,Конструкторы!$B94,Продажи!$C$5:$C$359,Конструкторы!$A94)</f>
        <v>0</v>
      </c>
      <c r="J94" s="166">
        <f>SUMIFS(Продажи!G$5:G$359,Продажи!$D$5:$D$359,Конструкторы!$B94,Продажи!$C$5:$C$359,Конструкторы!$A94)</f>
        <v>0</v>
      </c>
      <c r="K94" s="166">
        <f>SUMIFS(Продажи!H$5:H$359,Продажи!$D$5:$D$359,Конструкторы!$B94,Продажи!$C$5:$C$359,Конструкторы!$A94)</f>
        <v>0</v>
      </c>
      <c r="L94" s="166">
        <f>SUMIFS(Продажи!I$5:I$359,Продажи!$D$5:$D$359,Конструкторы!$B94,Продажи!$C$5:$C$359,Конструкторы!$A94)</f>
        <v>0</v>
      </c>
      <c r="M94" s="166">
        <f>SUMIFS(Продажи!J$5:J$359,Продажи!$D$5:$D$359,Конструкторы!$B94,Продажи!$C$5:$C$359,Конструкторы!$A94)</f>
        <v>0</v>
      </c>
      <c r="N94" s="166">
        <f>SUMIFS(Продажи!K$5:K$359,Продажи!$D$5:$D$359,Конструкторы!$B94,Продажи!$C$5:$C$359,Конструкторы!$A94)</f>
        <v>0</v>
      </c>
      <c r="O94" s="166">
        <f>SUMIFS(Продажи!L$5:L$359,Продажи!$D$5:$D$359,Конструкторы!$B94,Продажи!$C$5:$C$359,Конструкторы!$A94)</f>
        <v>0</v>
      </c>
      <c r="P94" s="166">
        <f>SUMIFS(Продажи!M$5:M$359,Продажи!$D$5:$D$359,Конструкторы!$B94,Продажи!$C$5:$C$359,Конструкторы!$A94)</f>
        <v>0</v>
      </c>
      <c r="Q94" s="166">
        <f>SUMIFS(Продажи!N$5:N$359,Продажи!$D$5:$D$359,Конструкторы!$B94,Продажи!$C$5:$C$359,Конструкторы!$A94)</f>
        <v>0</v>
      </c>
      <c r="R94" s="166">
        <f>SUMIFS(Продажи!O$5:O$359,Продажи!$D$5:$D$359,Конструкторы!$B94,Продажи!$C$5:$C$359,Конструкторы!$A94)</f>
        <v>0</v>
      </c>
      <c r="S94" s="166">
        <f>SUMIFS(Продажи!P$5:P$359,Продажи!$D$5:$D$359,Конструкторы!$B94,Продажи!$C$5:$C$359,Конструкторы!$A94)</f>
        <v>0</v>
      </c>
      <c r="T94" s="166">
        <f>SUMIFS(Продажи!Q$5:Q$359,Продажи!$D$5:$D$359,Конструкторы!$B94,Продажи!$C$5:$C$359,Конструкторы!$A94)</f>
        <v>0</v>
      </c>
    </row>
    <row r="95" spans="1:20" ht="15.75" hidden="1" x14ac:dyDescent="0.25">
      <c r="A95" s="166" t="s">
        <v>397</v>
      </c>
      <c r="B95" s="57" t="s">
        <v>445</v>
      </c>
      <c r="C95" s="158" t="s">
        <v>69</v>
      </c>
      <c r="D95" s="157"/>
      <c r="E95" s="153" t="s">
        <v>70</v>
      </c>
      <c r="F95" s="148">
        <v>40</v>
      </c>
      <c r="G95" s="156">
        <v>2</v>
      </c>
      <c r="H95" s="156">
        <f>F95+G95</f>
        <v>42</v>
      </c>
      <c r="I95" s="166">
        <f>SUMIFS(Продажи!F$5:F$359,Продажи!$D$5:$D$359,Конструкторы!$B95,Продажи!$C$5:$C$359,Конструкторы!$A95)</f>
        <v>0</v>
      </c>
      <c r="J95" s="166">
        <f>SUMIFS(Продажи!G$5:G$359,Продажи!$D$5:$D$359,Конструкторы!$B95,Продажи!$C$5:$C$359,Конструкторы!$A95)</f>
        <v>0</v>
      </c>
      <c r="K95" s="166">
        <f>SUMIFS(Продажи!H$5:H$359,Продажи!$D$5:$D$359,Конструкторы!$B95,Продажи!$C$5:$C$359,Конструкторы!$A95)</f>
        <v>0</v>
      </c>
      <c r="L95" s="166">
        <f>SUMIFS(Продажи!I$5:I$359,Продажи!$D$5:$D$359,Конструкторы!$B95,Продажи!$C$5:$C$359,Конструкторы!$A95)</f>
        <v>0</v>
      </c>
      <c r="M95" s="166">
        <f>SUMIFS(Продажи!J$5:J$359,Продажи!$D$5:$D$359,Конструкторы!$B95,Продажи!$C$5:$C$359,Конструкторы!$A95)</f>
        <v>0</v>
      </c>
      <c r="N95" s="166">
        <f>SUMIFS(Продажи!K$5:K$359,Продажи!$D$5:$D$359,Конструкторы!$B95,Продажи!$C$5:$C$359,Конструкторы!$A95)</f>
        <v>0</v>
      </c>
      <c r="O95" s="166">
        <f>SUMIFS(Продажи!L$5:L$359,Продажи!$D$5:$D$359,Конструкторы!$B95,Продажи!$C$5:$C$359,Конструкторы!$A95)</f>
        <v>0</v>
      </c>
      <c r="P95" s="166">
        <f>SUMIFS(Продажи!M$5:M$359,Продажи!$D$5:$D$359,Конструкторы!$B95,Продажи!$C$5:$C$359,Конструкторы!$A95)</f>
        <v>0</v>
      </c>
      <c r="Q95" s="166">
        <f>SUMIFS(Продажи!N$5:N$359,Продажи!$D$5:$D$359,Конструкторы!$B95,Продажи!$C$5:$C$359,Конструкторы!$A95)</f>
        <v>0</v>
      </c>
      <c r="R95" s="166">
        <f>SUMIFS(Продажи!O$5:O$359,Продажи!$D$5:$D$359,Конструкторы!$B95,Продажи!$C$5:$C$359,Конструкторы!$A95)</f>
        <v>0</v>
      </c>
      <c r="S95" s="166">
        <f>SUMIFS(Продажи!P$5:P$359,Продажи!$D$5:$D$359,Конструкторы!$B95,Продажи!$C$5:$C$359,Конструкторы!$A95)</f>
        <v>0</v>
      </c>
      <c r="T95" s="166">
        <f>SUMIFS(Продажи!Q$5:Q$359,Продажи!$D$5:$D$359,Конструкторы!$B95,Продажи!$C$5:$C$359,Конструкторы!$A95)</f>
        <v>0</v>
      </c>
    </row>
    <row r="96" spans="1:20" ht="15.75" hidden="1" x14ac:dyDescent="0.25">
      <c r="A96" s="166" t="s">
        <v>397</v>
      </c>
      <c r="B96" s="167" t="s">
        <v>293</v>
      </c>
      <c r="C96" s="129" t="s">
        <v>25</v>
      </c>
      <c r="D96" s="149"/>
      <c r="E96" s="153" t="s">
        <v>68</v>
      </c>
      <c r="F96" s="156">
        <f>(0.2*103)/100</f>
        <v>0.20600000000000002</v>
      </c>
      <c r="G96" s="156">
        <v>6.0000000000000053E-3</v>
      </c>
      <c r="H96" s="156">
        <f t="shared" ref="H96:H97" si="1">F96+G96</f>
        <v>0.21200000000000002</v>
      </c>
      <c r="I96" s="166">
        <f>SUMIFS(Продажи!F$5:F$359,Продажи!$D$5:$D$359,Конструкторы!$B96,Продажи!$C$5:$C$359,Конструкторы!$A96)</f>
        <v>0</v>
      </c>
      <c r="J96" s="166">
        <f>SUMIFS(Продажи!G$5:G$359,Продажи!$D$5:$D$359,Конструкторы!$B96,Продажи!$C$5:$C$359,Конструкторы!$A96)</f>
        <v>0</v>
      </c>
      <c r="K96" s="166">
        <f>SUMIFS(Продажи!H$5:H$359,Продажи!$D$5:$D$359,Конструкторы!$B96,Продажи!$C$5:$C$359,Конструкторы!$A96)</f>
        <v>0</v>
      </c>
      <c r="L96" s="166">
        <f>SUMIFS(Продажи!I$5:I$359,Продажи!$D$5:$D$359,Конструкторы!$B96,Продажи!$C$5:$C$359,Конструкторы!$A96)</f>
        <v>0</v>
      </c>
      <c r="M96" s="166">
        <f>SUMIFS(Продажи!J$5:J$359,Продажи!$D$5:$D$359,Конструкторы!$B96,Продажи!$C$5:$C$359,Конструкторы!$A96)</f>
        <v>0</v>
      </c>
      <c r="N96" s="166">
        <f>SUMIFS(Продажи!K$5:K$359,Продажи!$D$5:$D$359,Конструкторы!$B96,Продажи!$C$5:$C$359,Конструкторы!$A96)</f>
        <v>0</v>
      </c>
      <c r="O96" s="166">
        <f>SUMIFS(Продажи!L$5:L$359,Продажи!$D$5:$D$359,Конструкторы!$B96,Продажи!$C$5:$C$359,Конструкторы!$A96)</f>
        <v>0</v>
      </c>
      <c r="P96" s="166">
        <f>SUMIFS(Продажи!M$5:M$359,Продажи!$D$5:$D$359,Конструкторы!$B96,Продажи!$C$5:$C$359,Конструкторы!$A96)</f>
        <v>0</v>
      </c>
      <c r="Q96" s="166">
        <f>SUMIFS(Продажи!N$5:N$359,Продажи!$D$5:$D$359,Конструкторы!$B96,Продажи!$C$5:$C$359,Конструкторы!$A96)</f>
        <v>0</v>
      </c>
      <c r="R96" s="166">
        <f>SUMIFS(Продажи!O$5:O$359,Продажи!$D$5:$D$359,Конструкторы!$B96,Продажи!$C$5:$C$359,Конструкторы!$A96)</f>
        <v>0</v>
      </c>
      <c r="S96" s="166">
        <f>SUMIFS(Продажи!P$5:P$359,Продажи!$D$5:$D$359,Конструкторы!$B96,Продажи!$C$5:$C$359,Конструкторы!$A96)</f>
        <v>0</v>
      </c>
      <c r="T96" s="166">
        <f>SUMIFS(Продажи!Q$5:Q$359,Продажи!$D$5:$D$359,Конструкторы!$B96,Продажи!$C$5:$C$359,Конструкторы!$A96)</f>
        <v>0</v>
      </c>
    </row>
    <row r="97" spans="1:20" ht="15.75" hidden="1" x14ac:dyDescent="0.25">
      <c r="A97" s="166" t="s">
        <v>397</v>
      </c>
      <c r="B97" s="167" t="s">
        <v>293</v>
      </c>
      <c r="C97" s="129" t="s">
        <v>26</v>
      </c>
      <c r="D97" s="149"/>
      <c r="E97" s="153" t="s">
        <v>68</v>
      </c>
      <c r="F97" s="156">
        <f>(0.204*103)/100</f>
        <v>0.21011999999999997</v>
      </c>
      <c r="G97" s="156">
        <v>6.1199999999999866E-3</v>
      </c>
      <c r="H97" s="156">
        <f t="shared" si="1"/>
        <v>0.21623999999999996</v>
      </c>
      <c r="I97" s="166">
        <f>SUMIFS(Продажи!F$5:F$359,Продажи!$D$5:$D$359,Конструкторы!$B97,Продажи!$C$5:$C$359,Конструкторы!$A97)</f>
        <v>0</v>
      </c>
      <c r="J97" s="166">
        <f>SUMIFS(Продажи!G$5:G$359,Продажи!$D$5:$D$359,Конструкторы!$B97,Продажи!$C$5:$C$359,Конструкторы!$A97)</f>
        <v>0</v>
      </c>
      <c r="K97" s="166">
        <f>SUMIFS(Продажи!H$5:H$359,Продажи!$D$5:$D$359,Конструкторы!$B97,Продажи!$C$5:$C$359,Конструкторы!$A97)</f>
        <v>0</v>
      </c>
      <c r="L97" s="166">
        <f>SUMIFS(Продажи!I$5:I$359,Продажи!$D$5:$D$359,Конструкторы!$B97,Продажи!$C$5:$C$359,Конструкторы!$A97)</f>
        <v>0</v>
      </c>
      <c r="M97" s="166">
        <f>SUMIFS(Продажи!J$5:J$359,Продажи!$D$5:$D$359,Конструкторы!$B97,Продажи!$C$5:$C$359,Конструкторы!$A97)</f>
        <v>0</v>
      </c>
      <c r="N97" s="166">
        <f>SUMIFS(Продажи!K$5:K$359,Продажи!$D$5:$D$359,Конструкторы!$B97,Продажи!$C$5:$C$359,Конструкторы!$A97)</f>
        <v>0</v>
      </c>
      <c r="O97" s="166">
        <f>SUMIFS(Продажи!L$5:L$359,Продажи!$D$5:$D$359,Конструкторы!$B97,Продажи!$C$5:$C$359,Конструкторы!$A97)</f>
        <v>0</v>
      </c>
      <c r="P97" s="166">
        <f>SUMIFS(Продажи!M$5:M$359,Продажи!$D$5:$D$359,Конструкторы!$B97,Продажи!$C$5:$C$359,Конструкторы!$A97)</f>
        <v>0</v>
      </c>
      <c r="Q97" s="166">
        <f>SUMIFS(Продажи!N$5:N$359,Продажи!$D$5:$D$359,Конструкторы!$B97,Продажи!$C$5:$C$359,Конструкторы!$A97)</f>
        <v>0</v>
      </c>
      <c r="R97" s="166">
        <f>SUMIFS(Продажи!O$5:O$359,Продажи!$D$5:$D$359,Конструкторы!$B97,Продажи!$C$5:$C$359,Конструкторы!$A97)</f>
        <v>0</v>
      </c>
      <c r="S97" s="166">
        <f>SUMIFS(Продажи!P$5:P$359,Продажи!$D$5:$D$359,Конструкторы!$B97,Продажи!$C$5:$C$359,Конструкторы!$A97)</f>
        <v>0</v>
      </c>
      <c r="T97" s="166">
        <f>SUMIFS(Продажи!Q$5:Q$359,Продажи!$D$5:$D$359,Конструкторы!$B97,Продажи!$C$5:$C$359,Конструкторы!$A97)</f>
        <v>0</v>
      </c>
    </row>
    <row r="98" spans="1:20" ht="15.75" hidden="1" x14ac:dyDescent="0.25">
      <c r="A98" s="166" t="s">
        <v>397</v>
      </c>
      <c r="B98" s="167" t="s">
        <v>293</v>
      </c>
      <c r="C98" s="33" t="s">
        <v>78</v>
      </c>
      <c r="D98" s="149"/>
      <c r="E98" s="153" t="s">
        <v>70</v>
      </c>
      <c r="F98" s="148">
        <v>4</v>
      </c>
      <c r="G98" s="156" t="s">
        <v>71</v>
      </c>
      <c r="H98" s="156">
        <f>F98</f>
        <v>4</v>
      </c>
      <c r="I98" s="166">
        <f>SUMIFS(Продажи!F$5:F$359,Продажи!$D$5:$D$359,Конструкторы!$B98,Продажи!$C$5:$C$359,Конструкторы!$A98)</f>
        <v>0</v>
      </c>
      <c r="J98" s="166">
        <f>SUMIFS(Продажи!G$5:G$359,Продажи!$D$5:$D$359,Конструкторы!$B98,Продажи!$C$5:$C$359,Конструкторы!$A98)</f>
        <v>0</v>
      </c>
      <c r="K98" s="166">
        <f>SUMIFS(Продажи!H$5:H$359,Продажи!$D$5:$D$359,Конструкторы!$B98,Продажи!$C$5:$C$359,Конструкторы!$A98)</f>
        <v>0</v>
      </c>
      <c r="L98" s="166">
        <f>SUMIFS(Продажи!I$5:I$359,Продажи!$D$5:$D$359,Конструкторы!$B98,Продажи!$C$5:$C$359,Конструкторы!$A98)</f>
        <v>0</v>
      </c>
      <c r="M98" s="166">
        <f>SUMIFS(Продажи!J$5:J$359,Продажи!$D$5:$D$359,Конструкторы!$B98,Продажи!$C$5:$C$359,Конструкторы!$A98)</f>
        <v>0</v>
      </c>
      <c r="N98" s="166">
        <f>SUMIFS(Продажи!K$5:K$359,Продажи!$D$5:$D$359,Конструкторы!$B98,Продажи!$C$5:$C$359,Конструкторы!$A98)</f>
        <v>0</v>
      </c>
      <c r="O98" s="166">
        <f>SUMIFS(Продажи!L$5:L$359,Продажи!$D$5:$D$359,Конструкторы!$B98,Продажи!$C$5:$C$359,Конструкторы!$A98)</f>
        <v>0</v>
      </c>
      <c r="P98" s="166">
        <f>SUMIFS(Продажи!M$5:M$359,Продажи!$D$5:$D$359,Конструкторы!$B98,Продажи!$C$5:$C$359,Конструкторы!$A98)</f>
        <v>0</v>
      </c>
      <c r="Q98" s="166">
        <f>SUMIFS(Продажи!N$5:N$359,Продажи!$D$5:$D$359,Конструкторы!$B98,Продажи!$C$5:$C$359,Конструкторы!$A98)</f>
        <v>0</v>
      </c>
      <c r="R98" s="166">
        <f>SUMIFS(Продажи!O$5:O$359,Продажи!$D$5:$D$359,Конструкторы!$B98,Продажи!$C$5:$C$359,Конструкторы!$A98)</f>
        <v>0</v>
      </c>
      <c r="S98" s="166">
        <f>SUMIFS(Продажи!P$5:P$359,Продажи!$D$5:$D$359,Конструкторы!$B98,Продажи!$C$5:$C$359,Конструкторы!$A98)</f>
        <v>0</v>
      </c>
      <c r="T98" s="166">
        <f>SUMIFS(Продажи!Q$5:Q$359,Продажи!$D$5:$D$359,Конструкторы!$B98,Продажи!$C$5:$C$359,Конструкторы!$A98)</f>
        <v>0</v>
      </c>
    </row>
    <row r="99" spans="1:20" ht="15.75" hidden="1" x14ac:dyDescent="0.25">
      <c r="A99" s="166" t="s">
        <v>397</v>
      </c>
      <c r="B99" s="167" t="s">
        <v>294</v>
      </c>
      <c r="C99" s="129" t="s">
        <v>25</v>
      </c>
      <c r="D99" s="149"/>
      <c r="E99" s="153" t="s">
        <v>68</v>
      </c>
      <c r="F99" s="156">
        <f>(0.2*103)/100</f>
        <v>0.20600000000000002</v>
      </c>
      <c r="G99" s="156">
        <v>6.0000000000000053E-3</v>
      </c>
      <c r="H99" s="156">
        <f>F99+G99</f>
        <v>0.21200000000000002</v>
      </c>
      <c r="I99" s="166">
        <f>SUMIFS(Продажи!F$5:F$359,Продажи!$D$5:$D$359,Конструкторы!$B99,Продажи!$C$5:$C$359,Конструкторы!$A99)</f>
        <v>0</v>
      </c>
      <c r="J99" s="166">
        <f>SUMIFS(Продажи!G$5:G$359,Продажи!$D$5:$D$359,Конструкторы!$B99,Продажи!$C$5:$C$359,Конструкторы!$A99)</f>
        <v>0</v>
      </c>
      <c r="K99" s="166">
        <f>SUMIFS(Продажи!H$5:H$359,Продажи!$D$5:$D$359,Конструкторы!$B99,Продажи!$C$5:$C$359,Конструкторы!$A99)</f>
        <v>0</v>
      </c>
      <c r="L99" s="166">
        <f>SUMIFS(Продажи!I$5:I$359,Продажи!$D$5:$D$359,Конструкторы!$B99,Продажи!$C$5:$C$359,Конструкторы!$A99)</f>
        <v>0</v>
      </c>
      <c r="M99" s="166">
        <f>SUMIFS(Продажи!J$5:J$359,Продажи!$D$5:$D$359,Конструкторы!$B99,Продажи!$C$5:$C$359,Конструкторы!$A99)</f>
        <v>0</v>
      </c>
      <c r="N99" s="166">
        <f>SUMIFS(Продажи!K$5:K$359,Продажи!$D$5:$D$359,Конструкторы!$B99,Продажи!$C$5:$C$359,Конструкторы!$A99)</f>
        <v>0</v>
      </c>
      <c r="O99" s="166">
        <f>SUMIFS(Продажи!L$5:L$359,Продажи!$D$5:$D$359,Конструкторы!$B99,Продажи!$C$5:$C$359,Конструкторы!$A99)</f>
        <v>0</v>
      </c>
      <c r="P99" s="166">
        <f>SUMIFS(Продажи!M$5:M$359,Продажи!$D$5:$D$359,Конструкторы!$B99,Продажи!$C$5:$C$359,Конструкторы!$A99)</f>
        <v>0</v>
      </c>
      <c r="Q99" s="166">
        <f>SUMIFS(Продажи!N$5:N$359,Продажи!$D$5:$D$359,Конструкторы!$B99,Продажи!$C$5:$C$359,Конструкторы!$A99)</f>
        <v>0</v>
      </c>
      <c r="R99" s="166">
        <f>SUMIFS(Продажи!O$5:O$359,Продажи!$D$5:$D$359,Конструкторы!$B99,Продажи!$C$5:$C$359,Конструкторы!$A99)</f>
        <v>0</v>
      </c>
      <c r="S99" s="166">
        <f>SUMIFS(Продажи!P$5:P$359,Продажи!$D$5:$D$359,Конструкторы!$B99,Продажи!$C$5:$C$359,Конструкторы!$A99)</f>
        <v>0</v>
      </c>
      <c r="T99" s="166">
        <f>SUMIFS(Продажи!Q$5:Q$359,Продажи!$D$5:$D$359,Конструкторы!$B99,Продажи!$C$5:$C$359,Конструкторы!$A99)</f>
        <v>0</v>
      </c>
    </row>
    <row r="100" spans="1:20" ht="15.75" hidden="1" x14ac:dyDescent="0.25">
      <c r="A100" s="166" t="s">
        <v>397</v>
      </c>
      <c r="B100" s="167" t="s">
        <v>294</v>
      </c>
      <c r="C100" s="129" t="s">
        <v>26</v>
      </c>
      <c r="D100" s="149"/>
      <c r="E100" s="153" t="s">
        <v>68</v>
      </c>
      <c r="F100" s="156">
        <f>(0.304*103)/100</f>
        <v>0.31311999999999995</v>
      </c>
      <c r="G100" s="156">
        <v>9.1199999999999615E-3</v>
      </c>
      <c r="H100" s="156">
        <f>F100+G100</f>
        <v>0.32223999999999992</v>
      </c>
      <c r="I100" s="166">
        <f>SUMIFS(Продажи!F$5:F$359,Продажи!$D$5:$D$359,Конструкторы!$B100,Продажи!$C$5:$C$359,Конструкторы!$A100)</f>
        <v>0</v>
      </c>
      <c r="J100" s="166">
        <f>SUMIFS(Продажи!G$5:G$359,Продажи!$D$5:$D$359,Конструкторы!$B100,Продажи!$C$5:$C$359,Конструкторы!$A100)</f>
        <v>0</v>
      </c>
      <c r="K100" s="166">
        <f>SUMIFS(Продажи!H$5:H$359,Продажи!$D$5:$D$359,Конструкторы!$B100,Продажи!$C$5:$C$359,Конструкторы!$A100)</f>
        <v>0</v>
      </c>
      <c r="L100" s="166">
        <f>SUMIFS(Продажи!I$5:I$359,Продажи!$D$5:$D$359,Конструкторы!$B100,Продажи!$C$5:$C$359,Конструкторы!$A100)</f>
        <v>0</v>
      </c>
      <c r="M100" s="166">
        <f>SUMIFS(Продажи!J$5:J$359,Продажи!$D$5:$D$359,Конструкторы!$B100,Продажи!$C$5:$C$359,Конструкторы!$A100)</f>
        <v>0</v>
      </c>
      <c r="N100" s="166">
        <f>SUMIFS(Продажи!K$5:K$359,Продажи!$D$5:$D$359,Конструкторы!$B100,Продажи!$C$5:$C$359,Конструкторы!$A100)</f>
        <v>0</v>
      </c>
      <c r="O100" s="166">
        <f>SUMIFS(Продажи!L$5:L$359,Продажи!$D$5:$D$359,Конструкторы!$B100,Продажи!$C$5:$C$359,Конструкторы!$A100)</f>
        <v>0</v>
      </c>
      <c r="P100" s="166">
        <f>SUMIFS(Продажи!M$5:M$359,Продажи!$D$5:$D$359,Конструкторы!$B100,Продажи!$C$5:$C$359,Конструкторы!$A100)</f>
        <v>0</v>
      </c>
      <c r="Q100" s="166">
        <f>SUMIFS(Продажи!N$5:N$359,Продажи!$D$5:$D$359,Конструкторы!$B100,Продажи!$C$5:$C$359,Конструкторы!$A100)</f>
        <v>0</v>
      </c>
      <c r="R100" s="166">
        <f>SUMIFS(Продажи!O$5:O$359,Продажи!$D$5:$D$359,Конструкторы!$B100,Продажи!$C$5:$C$359,Конструкторы!$A100)</f>
        <v>0</v>
      </c>
      <c r="S100" s="166">
        <f>SUMIFS(Продажи!P$5:P$359,Продажи!$D$5:$D$359,Конструкторы!$B100,Продажи!$C$5:$C$359,Конструкторы!$A100)</f>
        <v>0</v>
      </c>
      <c r="T100" s="166">
        <f>SUMIFS(Продажи!Q$5:Q$359,Продажи!$D$5:$D$359,Конструкторы!$B100,Продажи!$C$5:$C$359,Конструкторы!$A100)</f>
        <v>0</v>
      </c>
    </row>
    <row r="101" spans="1:20" ht="15.75" hidden="1" x14ac:dyDescent="0.25">
      <c r="A101" s="166" t="s">
        <v>397</v>
      </c>
      <c r="B101" s="167" t="s">
        <v>294</v>
      </c>
      <c r="C101" s="33" t="s">
        <v>78</v>
      </c>
      <c r="D101" s="149"/>
      <c r="E101" s="153" t="s">
        <v>70</v>
      </c>
      <c r="F101" s="148">
        <v>4</v>
      </c>
      <c r="G101" s="156" t="s">
        <v>71</v>
      </c>
      <c r="H101" s="156">
        <f>F101</f>
        <v>4</v>
      </c>
      <c r="I101" s="166">
        <f>SUMIFS(Продажи!F$5:F$359,Продажи!$D$5:$D$359,Конструкторы!$B101,Продажи!$C$5:$C$359,Конструкторы!$A101)</f>
        <v>0</v>
      </c>
      <c r="J101" s="166">
        <f>SUMIFS(Продажи!G$5:G$359,Продажи!$D$5:$D$359,Конструкторы!$B101,Продажи!$C$5:$C$359,Конструкторы!$A101)</f>
        <v>0</v>
      </c>
      <c r="K101" s="166">
        <f>SUMIFS(Продажи!H$5:H$359,Продажи!$D$5:$D$359,Конструкторы!$B101,Продажи!$C$5:$C$359,Конструкторы!$A101)</f>
        <v>0</v>
      </c>
      <c r="L101" s="166">
        <f>SUMIFS(Продажи!I$5:I$359,Продажи!$D$5:$D$359,Конструкторы!$B101,Продажи!$C$5:$C$359,Конструкторы!$A101)</f>
        <v>0</v>
      </c>
      <c r="M101" s="166">
        <f>SUMIFS(Продажи!J$5:J$359,Продажи!$D$5:$D$359,Конструкторы!$B101,Продажи!$C$5:$C$359,Конструкторы!$A101)</f>
        <v>0</v>
      </c>
      <c r="N101" s="166">
        <f>SUMIFS(Продажи!K$5:K$359,Продажи!$D$5:$D$359,Конструкторы!$B101,Продажи!$C$5:$C$359,Конструкторы!$A101)</f>
        <v>0</v>
      </c>
      <c r="O101" s="166">
        <f>SUMIFS(Продажи!L$5:L$359,Продажи!$D$5:$D$359,Конструкторы!$B101,Продажи!$C$5:$C$359,Конструкторы!$A101)</f>
        <v>0</v>
      </c>
      <c r="P101" s="166">
        <f>SUMIFS(Продажи!M$5:M$359,Продажи!$D$5:$D$359,Конструкторы!$B101,Продажи!$C$5:$C$359,Конструкторы!$A101)</f>
        <v>0</v>
      </c>
      <c r="Q101" s="166">
        <f>SUMIFS(Продажи!N$5:N$359,Продажи!$D$5:$D$359,Конструкторы!$B101,Продажи!$C$5:$C$359,Конструкторы!$A101)</f>
        <v>0</v>
      </c>
      <c r="R101" s="166">
        <f>SUMIFS(Продажи!O$5:O$359,Продажи!$D$5:$D$359,Конструкторы!$B101,Продажи!$C$5:$C$359,Конструкторы!$A101)</f>
        <v>0</v>
      </c>
      <c r="S101" s="166">
        <f>SUMIFS(Продажи!P$5:P$359,Продажи!$D$5:$D$359,Конструкторы!$B101,Продажи!$C$5:$C$359,Конструкторы!$A101)</f>
        <v>0</v>
      </c>
      <c r="T101" s="166">
        <f>SUMIFS(Продажи!Q$5:Q$359,Продажи!$D$5:$D$359,Конструкторы!$B101,Продажи!$C$5:$C$359,Конструкторы!$A101)</f>
        <v>0</v>
      </c>
    </row>
    <row r="102" spans="1:20" ht="15.75" hidden="1" x14ac:dyDescent="0.25">
      <c r="A102" s="166" t="s">
        <v>397</v>
      </c>
      <c r="B102" s="167" t="s">
        <v>295</v>
      </c>
      <c r="C102" s="129" t="s">
        <v>25</v>
      </c>
      <c r="D102" s="149"/>
      <c r="E102" s="153" t="s">
        <v>68</v>
      </c>
      <c r="F102" s="156">
        <f>(0.704*103)/100</f>
        <v>0.72511999999999999</v>
      </c>
      <c r="G102" s="156">
        <v>2.1120000000000028E-2</v>
      </c>
      <c r="H102" s="156">
        <f>F102+G102</f>
        <v>0.74624000000000001</v>
      </c>
      <c r="I102" s="166">
        <f>SUMIFS(Продажи!F$5:F$359,Продажи!$D$5:$D$359,Конструкторы!$B102,Продажи!$C$5:$C$359,Конструкторы!$A102)</f>
        <v>0</v>
      </c>
      <c r="J102" s="166">
        <f>SUMIFS(Продажи!G$5:G$359,Продажи!$D$5:$D$359,Конструкторы!$B102,Продажи!$C$5:$C$359,Конструкторы!$A102)</f>
        <v>0</v>
      </c>
      <c r="K102" s="166">
        <f>SUMIFS(Продажи!H$5:H$359,Продажи!$D$5:$D$359,Конструкторы!$B102,Продажи!$C$5:$C$359,Конструкторы!$A102)</f>
        <v>0</v>
      </c>
      <c r="L102" s="166">
        <f>SUMIFS(Продажи!I$5:I$359,Продажи!$D$5:$D$359,Конструкторы!$B102,Продажи!$C$5:$C$359,Конструкторы!$A102)</f>
        <v>0</v>
      </c>
      <c r="M102" s="166">
        <f>SUMIFS(Продажи!J$5:J$359,Продажи!$D$5:$D$359,Конструкторы!$B102,Продажи!$C$5:$C$359,Конструкторы!$A102)</f>
        <v>0</v>
      </c>
      <c r="N102" s="166">
        <f>SUMIFS(Продажи!K$5:K$359,Продажи!$D$5:$D$359,Конструкторы!$B102,Продажи!$C$5:$C$359,Конструкторы!$A102)</f>
        <v>0</v>
      </c>
      <c r="O102" s="166">
        <f>SUMIFS(Продажи!L$5:L$359,Продажи!$D$5:$D$359,Конструкторы!$B102,Продажи!$C$5:$C$359,Конструкторы!$A102)</f>
        <v>0</v>
      </c>
      <c r="P102" s="166">
        <f>SUMIFS(Продажи!M$5:M$359,Продажи!$D$5:$D$359,Конструкторы!$B102,Продажи!$C$5:$C$359,Конструкторы!$A102)</f>
        <v>0</v>
      </c>
      <c r="Q102" s="166">
        <f>SUMIFS(Продажи!N$5:N$359,Продажи!$D$5:$D$359,Конструкторы!$B102,Продажи!$C$5:$C$359,Конструкторы!$A102)</f>
        <v>0</v>
      </c>
      <c r="R102" s="166">
        <f>SUMIFS(Продажи!O$5:O$359,Продажи!$D$5:$D$359,Конструкторы!$B102,Продажи!$C$5:$C$359,Конструкторы!$A102)</f>
        <v>0</v>
      </c>
      <c r="S102" s="166">
        <f>SUMIFS(Продажи!P$5:P$359,Продажи!$D$5:$D$359,Конструкторы!$B102,Продажи!$C$5:$C$359,Конструкторы!$A102)</f>
        <v>0</v>
      </c>
      <c r="T102" s="166">
        <f>SUMIFS(Продажи!Q$5:Q$359,Продажи!$D$5:$D$359,Конструкторы!$B102,Продажи!$C$5:$C$359,Конструкторы!$A102)</f>
        <v>0</v>
      </c>
    </row>
    <row r="103" spans="1:20" ht="15.75" hidden="1" x14ac:dyDescent="0.25">
      <c r="A103" s="166" t="s">
        <v>397</v>
      </c>
      <c r="B103" s="167" t="s">
        <v>295</v>
      </c>
      <c r="C103" s="129" t="s">
        <v>41</v>
      </c>
      <c r="D103" s="149"/>
      <c r="E103" s="153" t="s">
        <v>68</v>
      </c>
      <c r="F103" s="156">
        <f>(0.492*103)/100</f>
        <v>0.50675999999999999</v>
      </c>
      <c r="G103" s="156">
        <v>1.4759999999999995E-2</v>
      </c>
      <c r="H103" s="156">
        <f>F103+G103</f>
        <v>0.52151999999999998</v>
      </c>
      <c r="I103" s="166">
        <f>SUMIFS(Продажи!F$5:F$359,Продажи!$D$5:$D$359,Конструкторы!$B103,Продажи!$C$5:$C$359,Конструкторы!$A103)</f>
        <v>0</v>
      </c>
      <c r="J103" s="166">
        <f>SUMIFS(Продажи!G$5:G$359,Продажи!$D$5:$D$359,Конструкторы!$B103,Продажи!$C$5:$C$359,Конструкторы!$A103)</f>
        <v>0</v>
      </c>
      <c r="K103" s="166">
        <f>SUMIFS(Продажи!H$5:H$359,Продажи!$D$5:$D$359,Конструкторы!$B103,Продажи!$C$5:$C$359,Конструкторы!$A103)</f>
        <v>0</v>
      </c>
      <c r="L103" s="166">
        <f>SUMIFS(Продажи!I$5:I$359,Продажи!$D$5:$D$359,Конструкторы!$B103,Продажи!$C$5:$C$359,Конструкторы!$A103)</f>
        <v>0</v>
      </c>
      <c r="M103" s="166">
        <f>SUMIFS(Продажи!J$5:J$359,Продажи!$D$5:$D$359,Конструкторы!$B103,Продажи!$C$5:$C$359,Конструкторы!$A103)</f>
        <v>0</v>
      </c>
      <c r="N103" s="166">
        <f>SUMIFS(Продажи!K$5:K$359,Продажи!$D$5:$D$359,Конструкторы!$B103,Продажи!$C$5:$C$359,Конструкторы!$A103)</f>
        <v>0</v>
      </c>
      <c r="O103" s="166">
        <f>SUMIFS(Продажи!L$5:L$359,Продажи!$D$5:$D$359,Конструкторы!$B103,Продажи!$C$5:$C$359,Конструкторы!$A103)</f>
        <v>0</v>
      </c>
      <c r="P103" s="166">
        <f>SUMIFS(Продажи!M$5:M$359,Продажи!$D$5:$D$359,Конструкторы!$B103,Продажи!$C$5:$C$359,Конструкторы!$A103)</f>
        <v>0</v>
      </c>
      <c r="Q103" s="166">
        <f>SUMIFS(Продажи!N$5:N$359,Продажи!$D$5:$D$359,Конструкторы!$B103,Продажи!$C$5:$C$359,Конструкторы!$A103)</f>
        <v>0</v>
      </c>
      <c r="R103" s="166">
        <f>SUMIFS(Продажи!O$5:O$359,Продажи!$D$5:$D$359,Конструкторы!$B103,Продажи!$C$5:$C$359,Конструкторы!$A103)</f>
        <v>0</v>
      </c>
      <c r="S103" s="166">
        <f>SUMIFS(Продажи!P$5:P$359,Продажи!$D$5:$D$359,Конструкторы!$B103,Продажи!$C$5:$C$359,Конструкторы!$A103)</f>
        <v>0</v>
      </c>
      <c r="T103" s="166">
        <f>SUMIFS(Продажи!Q$5:Q$359,Продажи!$D$5:$D$359,Конструкторы!$B103,Продажи!$C$5:$C$359,Конструкторы!$A103)</f>
        <v>0</v>
      </c>
    </row>
    <row r="104" spans="1:20" ht="15.75" hidden="1" x14ac:dyDescent="0.25">
      <c r="A104" s="166" t="s">
        <v>397</v>
      </c>
      <c r="B104" s="167" t="s">
        <v>295</v>
      </c>
      <c r="C104" s="33" t="s">
        <v>78</v>
      </c>
      <c r="D104" s="149"/>
      <c r="E104" s="153" t="s">
        <v>70</v>
      </c>
      <c r="F104" s="148">
        <v>12</v>
      </c>
      <c r="G104" s="156" t="s">
        <v>71</v>
      </c>
      <c r="H104" s="156">
        <f>F104</f>
        <v>12</v>
      </c>
      <c r="I104" s="166">
        <f>SUMIFS(Продажи!F$5:F$359,Продажи!$D$5:$D$359,Конструкторы!$B104,Продажи!$C$5:$C$359,Конструкторы!$A104)</f>
        <v>0</v>
      </c>
      <c r="J104" s="166">
        <f>SUMIFS(Продажи!G$5:G$359,Продажи!$D$5:$D$359,Конструкторы!$B104,Продажи!$C$5:$C$359,Конструкторы!$A104)</f>
        <v>0</v>
      </c>
      <c r="K104" s="166">
        <f>SUMIFS(Продажи!H$5:H$359,Продажи!$D$5:$D$359,Конструкторы!$B104,Продажи!$C$5:$C$359,Конструкторы!$A104)</f>
        <v>0</v>
      </c>
      <c r="L104" s="166">
        <f>SUMIFS(Продажи!I$5:I$359,Продажи!$D$5:$D$359,Конструкторы!$B104,Продажи!$C$5:$C$359,Конструкторы!$A104)</f>
        <v>0</v>
      </c>
      <c r="M104" s="166">
        <f>SUMIFS(Продажи!J$5:J$359,Продажи!$D$5:$D$359,Конструкторы!$B104,Продажи!$C$5:$C$359,Конструкторы!$A104)</f>
        <v>0</v>
      </c>
      <c r="N104" s="166">
        <f>SUMIFS(Продажи!K$5:K$359,Продажи!$D$5:$D$359,Конструкторы!$B104,Продажи!$C$5:$C$359,Конструкторы!$A104)</f>
        <v>0</v>
      </c>
      <c r="O104" s="166">
        <f>SUMIFS(Продажи!L$5:L$359,Продажи!$D$5:$D$359,Конструкторы!$B104,Продажи!$C$5:$C$359,Конструкторы!$A104)</f>
        <v>0</v>
      </c>
      <c r="P104" s="166">
        <f>SUMIFS(Продажи!M$5:M$359,Продажи!$D$5:$D$359,Конструкторы!$B104,Продажи!$C$5:$C$359,Конструкторы!$A104)</f>
        <v>0</v>
      </c>
      <c r="Q104" s="166">
        <f>SUMIFS(Продажи!N$5:N$359,Продажи!$D$5:$D$359,Конструкторы!$B104,Продажи!$C$5:$C$359,Конструкторы!$A104)</f>
        <v>0</v>
      </c>
      <c r="R104" s="166">
        <f>SUMIFS(Продажи!O$5:O$359,Продажи!$D$5:$D$359,Конструкторы!$B104,Продажи!$C$5:$C$359,Конструкторы!$A104)</f>
        <v>0</v>
      </c>
      <c r="S104" s="166">
        <f>SUMIFS(Продажи!P$5:P$359,Продажи!$D$5:$D$359,Конструкторы!$B104,Продажи!$C$5:$C$359,Конструкторы!$A104)</f>
        <v>0</v>
      </c>
      <c r="T104" s="166">
        <f>SUMIFS(Продажи!Q$5:Q$359,Продажи!$D$5:$D$359,Конструкторы!$B104,Продажи!$C$5:$C$359,Конструкторы!$A104)</f>
        <v>0</v>
      </c>
    </row>
    <row r="105" spans="1:20" ht="15.75" hidden="1" x14ac:dyDescent="0.25">
      <c r="A105" s="166" t="s">
        <v>397</v>
      </c>
      <c r="B105" s="167" t="s">
        <v>296</v>
      </c>
      <c r="C105" s="129" t="s">
        <v>25</v>
      </c>
      <c r="D105" s="149"/>
      <c r="E105" s="153" t="s">
        <v>68</v>
      </c>
      <c r="F105" s="156">
        <f>(0.854*103)/100</f>
        <v>0.87962000000000007</v>
      </c>
      <c r="G105" s="156">
        <v>2.5620000000000087E-2</v>
      </c>
      <c r="H105" s="156">
        <f>F105+G105</f>
        <v>0.90524000000000016</v>
      </c>
      <c r="I105" s="166">
        <f>SUMIFS(Продажи!F$5:F$359,Продажи!$D$5:$D$359,Конструкторы!$B105,Продажи!$C$5:$C$359,Конструкторы!$A105)</f>
        <v>0</v>
      </c>
      <c r="J105" s="166">
        <f>SUMIFS(Продажи!G$5:G$359,Продажи!$D$5:$D$359,Конструкторы!$B105,Продажи!$C$5:$C$359,Конструкторы!$A105)</f>
        <v>0</v>
      </c>
      <c r="K105" s="166">
        <f>SUMIFS(Продажи!H$5:H$359,Продажи!$D$5:$D$359,Конструкторы!$B105,Продажи!$C$5:$C$359,Конструкторы!$A105)</f>
        <v>0</v>
      </c>
      <c r="L105" s="166">
        <f>SUMIFS(Продажи!I$5:I$359,Продажи!$D$5:$D$359,Конструкторы!$B105,Продажи!$C$5:$C$359,Конструкторы!$A105)</f>
        <v>0</v>
      </c>
      <c r="M105" s="166">
        <f>SUMIFS(Продажи!J$5:J$359,Продажи!$D$5:$D$359,Конструкторы!$B105,Продажи!$C$5:$C$359,Конструкторы!$A105)</f>
        <v>0</v>
      </c>
      <c r="N105" s="166">
        <f>SUMIFS(Продажи!K$5:K$359,Продажи!$D$5:$D$359,Конструкторы!$B105,Продажи!$C$5:$C$359,Конструкторы!$A105)</f>
        <v>0</v>
      </c>
      <c r="O105" s="166">
        <f>SUMIFS(Продажи!L$5:L$359,Продажи!$D$5:$D$359,Конструкторы!$B105,Продажи!$C$5:$C$359,Конструкторы!$A105)</f>
        <v>0</v>
      </c>
      <c r="P105" s="166">
        <f>SUMIFS(Продажи!M$5:M$359,Продажи!$D$5:$D$359,Конструкторы!$B105,Продажи!$C$5:$C$359,Конструкторы!$A105)</f>
        <v>0</v>
      </c>
      <c r="Q105" s="166">
        <f>SUMIFS(Продажи!N$5:N$359,Продажи!$D$5:$D$359,Конструкторы!$B105,Продажи!$C$5:$C$359,Конструкторы!$A105)</f>
        <v>0</v>
      </c>
      <c r="R105" s="166">
        <f>SUMIFS(Продажи!O$5:O$359,Продажи!$D$5:$D$359,Конструкторы!$B105,Продажи!$C$5:$C$359,Конструкторы!$A105)</f>
        <v>0</v>
      </c>
      <c r="S105" s="166">
        <f>SUMIFS(Продажи!P$5:P$359,Продажи!$D$5:$D$359,Конструкторы!$B105,Продажи!$C$5:$C$359,Конструкторы!$A105)</f>
        <v>0</v>
      </c>
      <c r="T105" s="166">
        <f>SUMIFS(Продажи!Q$5:Q$359,Продажи!$D$5:$D$359,Конструкторы!$B105,Продажи!$C$5:$C$359,Конструкторы!$A105)</f>
        <v>0</v>
      </c>
    </row>
    <row r="106" spans="1:20" ht="15.75" hidden="1" x14ac:dyDescent="0.25">
      <c r="A106" s="166" t="s">
        <v>397</v>
      </c>
      <c r="B106" s="167" t="s">
        <v>296</v>
      </c>
      <c r="C106" s="129" t="s">
        <v>41</v>
      </c>
      <c r="D106" s="149"/>
      <c r="E106" s="153" t="s">
        <v>68</v>
      </c>
      <c r="F106" s="156">
        <f>(0.592*103)/100</f>
        <v>0.60975999999999997</v>
      </c>
      <c r="G106" s="156">
        <v>1.7759999999999998E-2</v>
      </c>
      <c r="H106" s="156">
        <f>F106+G106</f>
        <v>0.62751999999999997</v>
      </c>
      <c r="I106" s="166">
        <f>SUMIFS(Продажи!F$5:F$359,Продажи!$D$5:$D$359,Конструкторы!$B106,Продажи!$C$5:$C$359,Конструкторы!$A106)</f>
        <v>0</v>
      </c>
      <c r="J106" s="166">
        <f>SUMIFS(Продажи!G$5:G$359,Продажи!$D$5:$D$359,Конструкторы!$B106,Продажи!$C$5:$C$359,Конструкторы!$A106)</f>
        <v>0</v>
      </c>
      <c r="K106" s="166">
        <f>SUMIFS(Продажи!H$5:H$359,Продажи!$D$5:$D$359,Конструкторы!$B106,Продажи!$C$5:$C$359,Конструкторы!$A106)</f>
        <v>0</v>
      </c>
      <c r="L106" s="166">
        <f>SUMIFS(Продажи!I$5:I$359,Продажи!$D$5:$D$359,Конструкторы!$B106,Продажи!$C$5:$C$359,Конструкторы!$A106)</f>
        <v>0</v>
      </c>
      <c r="M106" s="166">
        <f>SUMIFS(Продажи!J$5:J$359,Продажи!$D$5:$D$359,Конструкторы!$B106,Продажи!$C$5:$C$359,Конструкторы!$A106)</f>
        <v>0</v>
      </c>
      <c r="N106" s="166">
        <f>SUMIFS(Продажи!K$5:K$359,Продажи!$D$5:$D$359,Конструкторы!$B106,Продажи!$C$5:$C$359,Конструкторы!$A106)</f>
        <v>0</v>
      </c>
      <c r="O106" s="166">
        <f>SUMIFS(Продажи!L$5:L$359,Продажи!$D$5:$D$359,Конструкторы!$B106,Продажи!$C$5:$C$359,Конструкторы!$A106)</f>
        <v>0</v>
      </c>
      <c r="P106" s="166">
        <f>SUMIFS(Продажи!M$5:M$359,Продажи!$D$5:$D$359,Конструкторы!$B106,Продажи!$C$5:$C$359,Конструкторы!$A106)</f>
        <v>0</v>
      </c>
      <c r="Q106" s="166">
        <f>SUMIFS(Продажи!N$5:N$359,Продажи!$D$5:$D$359,Конструкторы!$B106,Продажи!$C$5:$C$359,Конструкторы!$A106)</f>
        <v>0</v>
      </c>
      <c r="R106" s="166">
        <f>SUMIFS(Продажи!O$5:O$359,Продажи!$D$5:$D$359,Конструкторы!$B106,Продажи!$C$5:$C$359,Конструкторы!$A106)</f>
        <v>0</v>
      </c>
      <c r="S106" s="166">
        <f>SUMIFS(Продажи!P$5:P$359,Продажи!$D$5:$D$359,Конструкторы!$B106,Продажи!$C$5:$C$359,Конструкторы!$A106)</f>
        <v>0</v>
      </c>
      <c r="T106" s="166">
        <f>SUMIFS(Продажи!Q$5:Q$359,Продажи!$D$5:$D$359,Конструкторы!$B106,Продажи!$C$5:$C$359,Конструкторы!$A106)</f>
        <v>0</v>
      </c>
    </row>
    <row r="107" spans="1:20" ht="15.75" hidden="1" x14ac:dyDescent="0.25">
      <c r="A107" s="166" t="s">
        <v>397</v>
      </c>
      <c r="B107" s="167" t="s">
        <v>296</v>
      </c>
      <c r="C107" s="33" t="s">
        <v>78</v>
      </c>
      <c r="D107" s="149"/>
      <c r="E107" s="153" t="s">
        <v>70</v>
      </c>
      <c r="F107" s="148">
        <v>12</v>
      </c>
      <c r="G107" s="156" t="s">
        <v>71</v>
      </c>
      <c r="H107" s="156">
        <f>F107</f>
        <v>12</v>
      </c>
      <c r="I107" s="166">
        <f>SUMIFS(Продажи!F$5:F$359,Продажи!$D$5:$D$359,Конструкторы!$B107,Продажи!$C$5:$C$359,Конструкторы!$A107)</f>
        <v>0</v>
      </c>
      <c r="J107" s="166">
        <f>SUMIFS(Продажи!G$5:G$359,Продажи!$D$5:$D$359,Конструкторы!$B107,Продажи!$C$5:$C$359,Конструкторы!$A107)</f>
        <v>0</v>
      </c>
      <c r="K107" s="166">
        <f>SUMIFS(Продажи!H$5:H$359,Продажи!$D$5:$D$359,Конструкторы!$B107,Продажи!$C$5:$C$359,Конструкторы!$A107)</f>
        <v>0</v>
      </c>
      <c r="L107" s="166">
        <f>SUMIFS(Продажи!I$5:I$359,Продажи!$D$5:$D$359,Конструкторы!$B107,Продажи!$C$5:$C$359,Конструкторы!$A107)</f>
        <v>0</v>
      </c>
      <c r="M107" s="166">
        <f>SUMIFS(Продажи!J$5:J$359,Продажи!$D$5:$D$359,Конструкторы!$B107,Продажи!$C$5:$C$359,Конструкторы!$A107)</f>
        <v>0</v>
      </c>
      <c r="N107" s="166">
        <f>SUMIFS(Продажи!K$5:K$359,Продажи!$D$5:$D$359,Конструкторы!$B107,Продажи!$C$5:$C$359,Конструкторы!$A107)</f>
        <v>0</v>
      </c>
      <c r="O107" s="166">
        <f>SUMIFS(Продажи!L$5:L$359,Продажи!$D$5:$D$359,Конструкторы!$B107,Продажи!$C$5:$C$359,Конструкторы!$A107)</f>
        <v>0</v>
      </c>
      <c r="P107" s="166">
        <f>SUMIFS(Продажи!M$5:M$359,Продажи!$D$5:$D$359,Конструкторы!$B107,Продажи!$C$5:$C$359,Конструкторы!$A107)</f>
        <v>0</v>
      </c>
      <c r="Q107" s="166">
        <f>SUMIFS(Продажи!N$5:N$359,Продажи!$D$5:$D$359,Конструкторы!$B107,Продажи!$C$5:$C$359,Конструкторы!$A107)</f>
        <v>0</v>
      </c>
      <c r="R107" s="166">
        <f>SUMIFS(Продажи!O$5:O$359,Продажи!$D$5:$D$359,Конструкторы!$B107,Продажи!$C$5:$C$359,Конструкторы!$A107)</f>
        <v>0</v>
      </c>
      <c r="S107" s="166">
        <f>SUMIFS(Продажи!P$5:P$359,Продажи!$D$5:$D$359,Конструкторы!$B107,Продажи!$C$5:$C$359,Конструкторы!$A107)</f>
        <v>0</v>
      </c>
      <c r="T107" s="166">
        <f>SUMIFS(Продажи!Q$5:Q$359,Продажи!$D$5:$D$359,Конструкторы!$B107,Продажи!$C$5:$C$359,Конструкторы!$A107)</f>
        <v>0</v>
      </c>
    </row>
    <row r="108" spans="1:20" ht="15.75" hidden="1" x14ac:dyDescent="0.25">
      <c r="A108" s="166" t="s">
        <v>397</v>
      </c>
      <c r="B108" s="167" t="s">
        <v>297</v>
      </c>
      <c r="C108" s="129" t="s">
        <v>25</v>
      </c>
      <c r="D108" s="149"/>
      <c r="E108" s="153" t="s">
        <v>68</v>
      </c>
      <c r="F108" s="156">
        <f>(1.154*103)/100</f>
        <v>1.18862</v>
      </c>
      <c r="G108" s="156">
        <v>3.4620000000000095E-2</v>
      </c>
      <c r="H108" s="156">
        <f>F108+G108</f>
        <v>1.2232400000000001</v>
      </c>
      <c r="I108" s="166">
        <f>SUMIFS(Продажи!F$5:F$359,Продажи!$D$5:$D$359,Конструкторы!$B108,Продажи!$C$5:$C$359,Конструкторы!$A108)</f>
        <v>0</v>
      </c>
      <c r="J108" s="166">
        <f>SUMIFS(Продажи!G$5:G$359,Продажи!$D$5:$D$359,Конструкторы!$B108,Продажи!$C$5:$C$359,Конструкторы!$A108)</f>
        <v>0</v>
      </c>
      <c r="K108" s="166">
        <f>SUMIFS(Продажи!H$5:H$359,Продажи!$D$5:$D$359,Конструкторы!$B108,Продажи!$C$5:$C$359,Конструкторы!$A108)</f>
        <v>0</v>
      </c>
      <c r="L108" s="166">
        <f>SUMIFS(Продажи!I$5:I$359,Продажи!$D$5:$D$359,Конструкторы!$B108,Продажи!$C$5:$C$359,Конструкторы!$A108)</f>
        <v>0</v>
      </c>
      <c r="M108" s="166">
        <f>SUMIFS(Продажи!J$5:J$359,Продажи!$D$5:$D$359,Конструкторы!$B108,Продажи!$C$5:$C$359,Конструкторы!$A108)</f>
        <v>0</v>
      </c>
      <c r="N108" s="166">
        <f>SUMIFS(Продажи!K$5:K$359,Продажи!$D$5:$D$359,Конструкторы!$B108,Продажи!$C$5:$C$359,Конструкторы!$A108)</f>
        <v>0</v>
      </c>
      <c r="O108" s="166">
        <f>SUMIFS(Продажи!L$5:L$359,Продажи!$D$5:$D$359,Конструкторы!$B108,Продажи!$C$5:$C$359,Конструкторы!$A108)</f>
        <v>0</v>
      </c>
      <c r="P108" s="166">
        <f>SUMIFS(Продажи!M$5:M$359,Продажи!$D$5:$D$359,Конструкторы!$B108,Продажи!$C$5:$C$359,Конструкторы!$A108)</f>
        <v>0</v>
      </c>
      <c r="Q108" s="166">
        <f>SUMIFS(Продажи!N$5:N$359,Продажи!$D$5:$D$359,Конструкторы!$B108,Продажи!$C$5:$C$359,Конструкторы!$A108)</f>
        <v>0</v>
      </c>
      <c r="R108" s="166">
        <f>SUMIFS(Продажи!O$5:O$359,Продажи!$D$5:$D$359,Конструкторы!$B108,Продажи!$C$5:$C$359,Конструкторы!$A108)</f>
        <v>0</v>
      </c>
      <c r="S108" s="166">
        <f>SUMIFS(Продажи!P$5:P$359,Продажи!$D$5:$D$359,Конструкторы!$B108,Продажи!$C$5:$C$359,Конструкторы!$A108)</f>
        <v>0</v>
      </c>
      <c r="T108" s="166">
        <f>SUMIFS(Продажи!Q$5:Q$359,Продажи!$D$5:$D$359,Конструкторы!$B108,Продажи!$C$5:$C$359,Конструкторы!$A108)</f>
        <v>0</v>
      </c>
    </row>
    <row r="109" spans="1:20" ht="15.75" hidden="1" x14ac:dyDescent="0.25">
      <c r="A109" s="166" t="s">
        <v>397</v>
      </c>
      <c r="B109" s="167" t="s">
        <v>297</v>
      </c>
      <c r="C109" s="129" t="s">
        <v>42</v>
      </c>
      <c r="D109" s="149"/>
      <c r="E109" s="153" t="s">
        <v>68</v>
      </c>
      <c r="F109" s="156">
        <f>(0.682*103)/100</f>
        <v>0.70246000000000008</v>
      </c>
      <c r="G109" s="156">
        <v>2.0460000000000034E-2</v>
      </c>
      <c r="H109" s="156">
        <f>F109+G109</f>
        <v>0.72292000000000012</v>
      </c>
      <c r="I109" s="166">
        <f>SUMIFS(Продажи!F$5:F$359,Продажи!$D$5:$D$359,Конструкторы!$B109,Продажи!$C$5:$C$359,Конструкторы!$A109)</f>
        <v>0</v>
      </c>
      <c r="J109" s="166">
        <f>SUMIFS(Продажи!G$5:G$359,Продажи!$D$5:$D$359,Конструкторы!$B109,Продажи!$C$5:$C$359,Конструкторы!$A109)</f>
        <v>0</v>
      </c>
      <c r="K109" s="166">
        <f>SUMIFS(Продажи!H$5:H$359,Продажи!$D$5:$D$359,Конструкторы!$B109,Продажи!$C$5:$C$359,Конструкторы!$A109)</f>
        <v>0</v>
      </c>
      <c r="L109" s="166">
        <f>SUMIFS(Продажи!I$5:I$359,Продажи!$D$5:$D$359,Конструкторы!$B109,Продажи!$C$5:$C$359,Конструкторы!$A109)</f>
        <v>0</v>
      </c>
      <c r="M109" s="166">
        <f>SUMIFS(Продажи!J$5:J$359,Продажи!$D$5:$D$359,Конструкторы!$B109,Продажи!$C$5:$C$359,Конструкторы!$A109)</f>
        <v>0</v>
      </c>
      <c r="N109" s="166">
        <f>SUMIFS(Продажи!K$5:K$359,Продажи!$D$5:$D$359,Конструкторы!$B109,Продажи!$C$5:$C$359,Конструкторы!$A109)</f>
        <v>0</v>
      </c>
      <c r="O109" s="166">
        <f>SUMIFS(Продажи!L$5:L$359,Продажи!$D$5:$D$359,Конструкторы!$B109,Продажи!$C$5:$C$359,Конструкторы!$A109)</f>
        <v>0</v>
      </c>
      <c r="P109" s="166">
        <f>SUMIFS(Продажи!M$5:M$359,Продажи!$D$5:$D$359,Конструкторы!$B109,Продажи!$C$5:$C$359,Конструкторы!$A109)</f>
        <v>0</v>
      </c>
      <c r="Q109" s="166">
        <f>SUMIFS(Продажи!N$5:N$359,Продажи!$D$5:$D$359,Конструкторы!$B109,Продажи!$C$5:$C$359,Конструкторы!$A109)</f>
        <v>0</v>
      </c>
      <c r="R109" s="166">
        <f>SUMIFS(Продажи!O$5:O$359,Продажи!$D$5:$D$359,Конструкторы!$B109,Продажи!$C$5:$C$359,Конструкторы!$A109)</f>
        <v>0</v>
      </c>
      <c r="S109" s="166">
        <f>SUMIFS(Продажи!P$5:P$359,Продажи!$D$5:$D$359,Конструкторы!$B109,Продажи!$C$5:$C$359,Конструкторы!$A109)</f>
        <v>0</v>
      </c>
      <c r="T109" s="166">
        <f>SUMIFS(Продажи!Q$5:Q$359,Продажи!$D$5:$D$359,Конструкторы!$B109,Продажи!$C$5:$C$359,Конструкторы!$A109)</f>
        <v>0</v>
      </c>
    </row>
    <row r="110" spans="1:20" ht="15.75" hidden="1" x14ac:dyDescent="0.25">
      <c r="A110" s="166" t="s">
        <v>397</v>
      </c>
      <c r="B110" s="167" t="s">
        <v>297</v>
      </c>
      <c r="C110" s="129" t="s">
        <v>41</v>
      </c>
      <c r="D110" s="149"/>
      <c r="E110" s="153" t="s">
        <v>68</v>
      </c>
      <c r="F110" s="156">
        <f>(0.11*103)/100</f>
        <v>0.1133</v>
      </c>
      <c r="G110" s="156">
        <v>3.2999999999999974E-3</v>
      </c>
      <c r="H110" s="156">
        <f>F110+G110</f>
        <v>0.1166</v>
      </c>
      <c r="I110" s="166">
        <f>SUMIFS(Продажи!F$5:F$359,Продажи!$D$5:$D$359,Конструкторы!$B110,Продажи!$C$5:$C$359,Конструкторы!$A110)</f>
        <v>0</v>
      </c>
      <c r="J110" s="166">
        <f>SUMIFS(Продажи!G$5:G$359,Продажи!$D$5:$D$359,Конструкторы!$B110,Продажи!$C$5:$C$359,Конструкторы!$A110)</f>
        <v>0</v>
      </c>
      <c r="K110" s="166">
        <f>SUMIFS(Продажи!H$5:H$359,Продажи!$D$5:$D$359,Конструкторы!$B110,Продажи!$C$5:$C$359,Конструкторы!$A110)</f>
        <v>0</v>
      </c>
      <c r="L110" s="166">
        <f>SUMIFS(Продажи!I$5:I$359,Продажи!$D$5:$D$359,Конструкторы!$B110,Продажи!$C$5:$C$359,Конструкторы!$A110)</f>
        <v>0</v>
      </c>
      <c r="M110" s="166">
        <f>SUMIFS(Продажи!J$5:J$359,Продажи!$D$5:$D$359,Конструкторы!$B110,Продажи!$C$5:$C$359,Конструкторы!$A110)</f>
        <v>0</v>
      </c>
      <c r="N110" s="166">
        <f>SUMIFS(Продажи!K$5:K$359,Продажи!$D$5:$D$359,Конструкторы!$B110,Продажи!$C$5:$C$359,Конструкторы!$A110)</f>
        <v>0</v>
      </c>
      <c r="O110" s="166">
        <f>SUMIFS(Продажи!L$5:L$359,Продажи!$D$5:$D$359,Конструкторы!$B110,Продажи!$C$5:$C$359,Конструкторы!$A110)</f>
        <v>0</v>
      </c>
      <c r="P110" s="166">
        <f>SUMIFS(Продажи!M$5:M$359,Продажи!$D$5:$D$359,Конструкторы!$B110,Продажи!$C$5:$C$359,Конструкторы!$A110)</f>
        <v>0</v>
      </c>
      <c r="Q110" s="166">
        <f>SUMIFS(Продажи!N$5:N$359,Продажи!$D$5:$D$359,Конструкторы!$B110,Продажи!$C$5:$C$359,Конструкторы!$A110)</f>
        <v>0</v>
      </c>
      <c r="R110" s="166">
        <f>SUMIFS(Продажи!O$5:O$359,Продажи!$D$5:$D$359,Конструкторы!$B110,Продажи!$C$5:$C$359,Конструкторы!$A110)</f>
        <v>0</v>
      </c>
      <c r="S110" s="166">
        <f>SUMIFS(Продажи!P$5:P$359,Продажи!$D$5:$D$359,Конструкторы!$B110,Продажи!$C$5:$C$359,Конструкторы!$A110)</f>
        <v>0</v>
      </c>
      <c r="T110" s="166">
        <f>SUMIFS(Продажи!Q$5:Q$359,Продажи!$D$5:$D$359,Конструкторы!$B110,Продажи!$C$5:$C$359,Конструкторы!$A110)</f>
        <v>0</v>
      </c>
    </row>
    <row r="111" spans="1:20" ht="15.75" hidden="1" x14ac:dyDescent="0.25">
      <c r="A111" s="166" t="s">
        <v>397</v>
      </c>
      <c r="B111" s="167" t="s">
        <v>297</v>
      </c>
      <c r="C111" s="33" t="s">
        <v>78</v>
      </c>
      <c r="D111" s="149"/>
      <c r="E111" s="153" t="s">
        <v>70</v>
      </c>
      <c r="F111" s="148">
        <v>12</v>
      </c>
      <c r="G111" s="156" t="s">
        <v>71</v>
      </c>
      <c r="H111" s="156">
        <f>F111</f>
        <v>12</v>
      </c>
      <c r="I111" s="166">
        <f>SUMIFS(Продажи!F$5:F$359,Продажи!$D$5:$D$359,Конструкторы!$B111,Продажи!$C$5:$C$359,Конструкторы!$A111)</f>
        <v>0</v>
      </c>
      <c r="J111" s="166">
        <f>SUMIFS(Продажи!G$5:G$359,Продажи!$D$5:$D$359,Конструкторы!$B111,Продажи!$C$5:$C$359,Конструкторы!$A111)</f>
        <v>0</v>
      </c>
      <c r="K111" s="166">
        <f>SUMIFS(Продажи!H$5:H$359,Продажи!$D$5:$D$359,Конструкторы!$B111,Продажи!$C$5:$C$359,Конструкторы!$A111)</f>
        <v>0</v>
      </c>
      <c r="L111" s="166">
        <f>SUMIFS(Продажи!I$5:I$359,Продажи!$D$5:$D$359,Конструкторы!$B111,Продажи!$C$5:$C$359,Конструкторы!$A111)</f>
        <v>0</v>
      </c>
      <c r="M111" s="166">
        <f>SUMIFS(Продажи!J$5:J$359,Продажи!$D$5:$D$359,Конструкторы!$B111,Продажи!$C$5:$C$359,Конструкторы!$A111)</f>
        <v>0</v>
      </c>
      <c r="N111" s="166">
        <f>SUMIFS(Продажи!K$5:K$359,Продажи!$D$5:$D$359,Конструкторы!$B111,Продажи!$C$5:$C$359,Конструкторы!$A111)</f>
        <v>0</v>
      </c>
      <c r="O111" s="166">
        <f>SUMIFS(Продажи!L$5:L$359,Продажи!$D$5:$D$359,Конструкторы!$B111,Продажи!$C$5:$C$359,Конструкторы!$A111)</f>
        <v>0</v>
      </c>
      <c r="P111" s="166">
        <f>SUMIFS(Продажи!M$5:M$359,Продажи!$D$5:$D$359,Конструкторы!$B111,Продажи!$C$5:$C$359,Конструкторы!$A111)</f>
        <v>0</v>
      </c>
      <c r="Q111" s="166">
        <f>SUMIFS(Продажи!N$5:N$359,Продажи!$D$5:$D$359,Конструкторы!$B111,Продажи!$C$5:$C$359,Конструкторы!$A111)</f>
        <v>0</v>
      </c>
      <c r="R111" s="166">
        <f>SUMIFS(Продажи!O$5:O$359,Продажи!$D$5:$D$359,Конструкторы!$B111,Продажи!$C$5:$C$359,Конструкторы!$A111)</f>
        <v>0</v>
      </c>
      <c r="S111" s="166">
        <f>SUMIFS(Продажи!P$5:P$359,Продажи!$D$5:$D$359,Конструкторы!$B111,Продажи!$C$5:$C$359,Конструкторы!$A111)</f>
        <v>0</v>
      </c>
      <c r="T111" s="166">
        <f>SUMIFS(Продажи!Q$5:Q$359,Продажи!$D$5:$D$359,Конструкторы!$B111,Продажи!$C$5:$C$359,Конструкторы!$A111)</f>
        <v>0</v>
      </c>
    </row>
    <row r="112" spans="1:20" ht="15.75" hidden="1" x14ac:dyDescent="0.25">
      <c r="A112" s="166" t="s">
        <v>397</v>
      </c>
      <c r="B112" s="167" t="s">
        <v>288</v>
      </c>
      <c r="C112" s="129" t="s">
        <v>25</v>
      </c>
      <c r="D112" s="149"/>
      <c r="E112" s="153" t="s">
        <v>68</v>
      </c>
      <c r="F112" s="156">
        <f>(0.295*103)/100</f>
        <v>0.30384999999999995</v>
      </c>
      <c r="G112" s="156">
        <v>8.849999999999969E-3</v>
      </c>
      <c r="H112" s="156">
        <f>F112+G112</f>
        <v>0.31269999999999992</v>
      </c>
      <c r="I112" s="166">
        <f>SUMIFS(Продажи!F$5:F$359,Продажи!$D$5:$D$359,Конструкторы!$B112,Продажи!$C$5:$C$359,Конструкторы!$A112)</f>
        <v>0</v>
      </c>
      <c r="J112" s="166">
        <f>SUMIFS(Продажи!G$5:G$359,Продажи!$D$5:$D$359,Конструкторы!$B112,Продажи!$C$5:$C$359,Конструкторы!$A112)</f>
        <v>0</v>
      </c>
      <c r="K112" s="166">
        <f>SUMIFS(Продажи!H$5:H$359,Продажи!$D$5:$D$359,Конструкторы!$B112,Продажи!$C$5:$C$359,Конструкторы!$A112)</f>
        <v>0</v>
      </c>
      <c r="L112" s="166">
        <f>SUMIFS(Продажи!I$5:I$359,Продажи!$D$5:$D$359,Конструкторы!$B112,Продажи!$C$5:$C$359,Конструкторы!$A112)</f>
        <v>0</v>
      </c>
      <c r="M112" s="166">
        <f>SUMIFS(Продажи!J$5:J$359,Продажи!$D$5:$D$359,Конструкторы!$B112,Продажи!$C$5:$C$359,Конструкторы!$A112)</f>
        <v>0</v>
      </c>
      <c r="N112" s="166">
        <f>SUMIFS(Продажи!K$5:K$359,Продажи!$D$5:$D$359,Конструкторы!$B112,Продажи!$C$5:$C$359,Конструкторы!$A112)</f>
        <v>0</v>
      </c>
      <c r="O112" s="166">
        <f>SUMIFS(Продажи!L$5:L$359,Продажи!$D$5:$D$359,Конструкторы!$B112,Продажи!$C$5:$C$359,Конструкторы!$A112)</f>
        <v>0</v>
      </c>
      <c r="P112" s="166">
        <f>SUMIFS(Продажи!M$5:M$359,Продажи!$D$5:$D$359,Конструкторы!$B112,Продажи!$C$5:$C$359,Конструкторы!$A112)</f>
        <v>0</v>
      </c>
      <c r="Q112" s="166">
        <f>SUMIFS(Продажи!N$5:N$359,Продажи!$D$5:$D$359,Конструкторы!$B112,Продажи!$C$5:$C$359,Конструкторы!$A112)</f>
        <v>0</v>
      </c>
      <c r="R112" s="166">
        <f>SUMIFS(Продажи!O$5:O$359,Продажи!$D$5:$D$359,Конструкторы!$B112,Продажи!$C$5:$C$359,Конструкторы!$A112)</f>
        <v>0</v>
      </c>
      <c r="S112" s="166">
        <f>SUMIFS(Продажи!P$5:P$359,Продажи!$D$5:$D$359,Конструкторы!$B112,Продажи!$C$5:$C$359,Конструкторы!$A112)</f>
        <v>0</v>
      </c>
      <c r="T112" s="166">
        <f>SUMIFS(Продажи!Q$5:Q$359,Продажи!$D$5:$D$359,Конструкторы!$B112,Продажи!$C$5:$C$359,Конструкторы!$A112)</f>
        <v>0</v>
      </c>
    </row>
    <row r="113" spans="1:20" ht="15.75" hidden="1" x14ac:dyDescent="0.25">
      <c r="A113" s="166" t="s">
        <v>397</v>
      </c>
      <c r="B113" s="167" t="s">
        <v>288</v>
      </c>
      <c r="C113" s="129" t="s">
        <v>29</v>
      </c>
      <c r="D113" s="149"/>
      <c r="E113" s="153" t="s">
        <v>68</v>
      </c>
      <c r="F113" s="156">
        <f>(1.4*103)/100</f>
        <v>1.4419999999999999</v>
      </c>
      <c r="G113" s="156">
        <v>4.2000000000000037E-2</v>
      </c>
      <c r="H113" s="156">
        <f>F113+G113</f>
        <v>1.484</v>
      </c>
      <c r="I113" s="166">
        <f>SUMIFS(Продажи!F$5:F$359,Продажи!$D$5:$D$359,Конструкторы!$B113,Продажи!$C$5:$C$359,Конструкторы!$A113)</f>
        <v>0</v>
      </c>
      <c r="J113" s="166">
        <f>SUMIFS(Продажи!G$5:G$359,Продажи!$D$5:$D$359,Конструкторы!$B113,Продажи!$C$5:$C$359,Конструкторы!$A113)</f>
        <v>0</v>
      </c>
      <c r="K113" s="166">
        <f>SUMIFS(Продажи!H$5:H$359,Продажи!$D$5:$D$359,Конструкторы!$B113,Продажи!$C$5:$C$359,Конструкторы!$A113)</f>
        <v>0</v>
      </c>
      <c r="L113" s="166">
        <f>SUMIFS(Продажи!I$5:I$359,Продажи!$D$5:$D$359,Конструкторы!$B113,Продажи!$C$5:$C$359,Конструкторы!$A113)</f>
        <v>0</v>
      </c>
      <c r="M113" s="166">
        <f>SUMIFS(Продажи!J$5:J$359,Продажи!$D$5:$D$359,Конструкторы!$B113,Продажи!$C$5:$C$359,Конструкторы!$A113)</f>
        <v>0</v>
      </c>
      <c r="N113" s="166">
        <f>SUMIFS(Продажи!K$5:K$359,Продажи!$D$5:$D$359,Конструкторы!$B113,Продажи!$C$5:$C$359,Конструкторы!$A113)</f>
        <v>0</v>
      </c>
      <c r="O113" s="166">
        <f>SUMIFS(Продажи!L$5:L$359,Продажи!$D$5:$D$359,Конструкторы!$B113,Продажи!$C$5:$C$359,Конструкторы!$A113)</f>
        <v>0</v>
      </c>
      <c r="P113" s="166">
        <f>SUMIFS(Продажи!M$5:M$359,Продажи!$D$5:$D$359,Конструкторы!$B113,Продажи!$C$5:$C$359,Конструкторы!$A113)</f>
        <v>0</v>
      </c>
      <c r="Q113" s="166">
        <f>SUMIFS(Продажи!N$5:N$359,Продажи!$D$5:$D$359,Конструкторы!$B113,Продажи!$C$5:$C$359,Конструкторы!$A113)</f>
        <v>0</v>
      </c>
      <c r="R113" s="166">
        <f>SUMIFS(Продажи!O$5:O$359,Продажи!$D$5:$D$359,Конструкторы!$B113,Продажи!$C$5:$C$359,Конструкторы!$A113)</f>
        <v>0</v>
      </c>
      <c r="S113" s="166">
        <f>SUMIFS(Продажи!P$5:P$359,Продажи!$D$5:$D$359,Конструкторы!$B113,Продажи!$C$5:$C$359,Конструкторы!$A113)</f>
        <v>0</v>
      </c>
      <c r="T113" s="166">
        <f>SUMIFS(Продажи!Q$5:Q$359,Продажи!$D$5:$D$359,Конструкторы!$B113,Продажи!$C$5:$C$359,Конструкторы!$A113)</f>
        <v>0</v>
      </c>
    </row>
    <row r="114" spans="1:20" ht="15.75" hidden="1" x14ac:dyDescent="0.25">
      <c r="A114" s="166" t="s">
        <v>397</v>
      </c>
      <c r="B114" s="167" t="s">
        <v>288</v>
      </c>
      <c r="C114" s="33" t="s">
        <v>83</v>
      </c>
      <c r="D114" s="149"/>
      <c r="E114" s="153" t="s">
        <v>70</v>
      </c>
      <c r="F114" s="159">
        <v>2</v>
      </c>
      <c r="G114" s="156" t="s">
        <v>71</v>
      </c>
      <c r="H114" s="156">
        <f>F114</f>
        <v>2</v>
      </c>
      <c r="I114" s="166">
        <f>SUMIFS(Продажи!F$5:F$359,Продажи!$D$5:$D$359,Конструкторы!$B114,Продажи!$C$5:$C$359,Конструкторы!$A114)</f>
        <v>0</v>
      </c>
      <c r="J114" s="166">
        <f>SUMIFS(Продажи!G$5:G$359,Продажи!$D$5:$D$359,Конструкторы!$B114,Продажи!$C$5:$C$359,Конструкторы!$A114)</f>
        <v>0</v>
      </c>
      <c r="K114" s="166">
        <f>SUMIFS(Продажи!H$5:H$359,Продажи!$D$5:$D$359,Конструкторы!$B114,Продажи!$C$5:$C$359,Конструкторы!$A114)</f>
        <v>0</v>
      </c>
      <c r="L114" s="166">
        <f>SUMIFS(Продажи!I$5:I$359,Продажи!$D$5:$D$359,Конструкторы!$B114,Продажи!$C$5:$C$359,Конструкторы!$A114)</f>
        <v>0</v>
      </c>
      <c r="M114" s="166">
        <f>SUMIFS(Продажи!J$5:J$359,Продажи!$D$5:$D$359,Конструкторы!$B114,Продажи!$C$5:$C$359,Конструкторы!$A114)</f>
        <v>0</v>
      </c>
      <c r="N114" s="166">
        <f>SUMIFS(Продажи!K$5:K$359,Продажи!$D$5:$D$359,Конструкторы!$B114,Продажи!$C$5:$C$359,Конструкторы!$A114)</f>
        <v>0</v>
      </c>
      <c r="O114" s="166">
        <f>SUMIFS(Продажи!L$5:L$359,Продажи!$D$5:$D$359,Конструкторы!$B114,Продажи!$C$5:$C$359,Конструкторы!$A114)</f>
        <v>0</v>
      </c>
      <c r="P114" s="166">
        <f>SUMIFS(Продажи!M$5:M$359,Продажи!$D$5:$D$359,Конструкторы!$B114,Продажи!$C$5:$C$359,Конструкторы!$A114)</f>
        <v>0</v>
      </c>
      <c r="Q114" s="166">
        <f>SUMIFS(Продажи!N$5:N$359,Продажи!$D$5:$D$359,Конструкторы!$B114,Продажи!$C$5:$C$359,Конструкторы!$A114)</f>
        <v>0</v>
      </c>
      <c r="R114" s="166">
        <f>SUMIFS(Продажи!O$5:O$359,Продажи!$D$5:$D$359,Конструкторы!$B114,Продажи!$C$5:$C$359,Конструкторы!$A114)</f>
        <v>0</v>
      </c>
      <c r="S114" s="166">
        <f>SUMIFS(Продажи!P$5:P$359,Продажи!$D$5:$D$359,Конструкторы!$B114,Продажи!$C$5:$C$359,Конструкторы!$A114)</f>
        <v>0</v>
      </c>
      <c r="T114" s="166">
        <f>SUMIFS(Продажи!Q$5:Q$359,Продажи!$D$5:$D$359,Конструкторы!$B114,Продажи!$C$5:$C$359,Конструкторы!$A114)</f>
        <v>0</v>
      </c>
    </row>
    <row r="115" spans="1:20" ht="15.75" hidden="1" x14ac:dyDescent="0.25">
      <c r="A115" s="166" t="s">
        <v>397</v>
      </c>
      <c r="B115" s="167" t="s">
        <v>288</v>
      </c>
      <c r="C115" s="33" t="s">
        <v>84</v>
      </c>
      <c r="D115" s="149"/>
      <c r="E115" s="153" t="s">
        <v>70</v>
      </c>
      <c r="F115" s="159">
        <v>4</v>
      </c>
      <c r="G115" s="156" t="s">
        <v>71</v>
      </c>
      <c r="H115" s="156">
        <f>F115</f>
        <v>4</v>
      </c>
      <c r="I115" s="166">
        <f>SUMIFS(Продажи!F$5:F$359,Продажи!$D$5:$D$359,Конструкторы!$B115,Продажи!$C$5:$C$359,Конструкторы!$A115)</f>
        <v>0</v>
      </c>
      <c r="J115" s="166">
        <f>SUMIFS(Продажи!G$5:G$359,Продажи!$D$5:$D$359,Конструкторы!$B115,Продажи!$C$5:$C$359,Конструкторы!$A115)</f>
        <v>0</v>
      </c>
      <c r="K115" s="166">
        <f>SUMIFS(Продажи!H$5:H$359,Продажи!$D$5:$D$359,Конструкторы!$B115,Продажи!$C$5:$C$359,Конструкторы!$A115)</f>
        <v>0</v>
      </c>
      <c r="L115" s="166">
        <f>SUMIFS(Продажи!I$5:I$359,Продажи!$D$5:$D$359,Конструкторы!$B115,Продажи!$C$5:$C$359,Конструкторы!$A115)</f>
        <v>0</v>
      </c>
      <c r="M115" s="166">
        <f>SUMIFS(Продажи!J$5:J$359,Продажи!$D$5:$D$359,Конструкторы!$B115,Продажи!$C$5:$C$359,Конструкторы!$A115)</f>
        <v>0</v>
      </c>
      <c r="N115" s="166">
        <f>SUMIFS(Продажи!K$5:K$359,Продажи!$D$5:$D$359,Конструкторы!$B115,Продажи!$C$5:$C$359,Конструкторы!$A115)</f>
        <v>0</v>
      </c>
      <c r="O115" s="166">
        <f>SUMIFS(Продажи!L$5:L$359,Продажи!$D$5:$D$359,Конструкторы!$B115,Продажи!$C$5:$C$359,Конструкторы!$A115)</f>
        <v>0</v>
      </c>
      <c r="P115" s="166">
        <f>SUMIFS(Продажи!M$5:M$359,Продажи!$D$5:$D$359,Конструкторы!$B115,Продажи!$C$5:$C$359,Конструкторы!$A115)</f>
        <v>0</v>
      </c>
      <c r="Q115" s="166">
        <f>SUMIFS(Продажи!N$5:N$359,Продажи!$D$5:$D$359,Конструкторы!$B115,Продажи!$C$5:$C$359,Конструкторы!$A115)</f>
        <v>0</v>
      </c>
      <c r="R115" s="166">
        <f>SUMIFS(Продажи!O$5:O$359,Продажи!$D$5:$D$359,Конструкторы!$B115,Продажи!$C$5:$C$359,Конструкторы!$A115)</f>
        <v>0</v>
      </c>
      <c r="S115" s="166">
        <f>SUMIFS(Продажи!P$5:P$359,Продажи!$D$5:$D$359,Конструкторы!$B115,Продажи!$C$5:$C$359,Конструкторы!$A115)</f>
        <v>0</v>
      </c>
      <c r="T115" s="166">
        <f>SUMIFS(Продажи!Q$5:Q$359,Продажи!$D$5:$D$359,Конструкторы!$B115,Продажи!$C$5:$C$359,Конструкторы!$A115)</f>
        <v>0</v>
      </c>
    </row>
    <row r="116" spans="1:20" ht="15.75" hidden="1" x14ac:dyDescent="0.25">
      <c r="A116" s="166" t="s">
        <v>397</v>
      </c>
      <c r="B116" s="167" t="s">
        <v>288</v>
      </c>
      <c r="C116" s="33" t="s">
        <v>85</v>
      </c>
      <c r="D116" s="149"/>
      <c r="E116" s="153" t="s">
        <v>70</v>
      </c>
      <c r="F116" s="159">
        <v>8</v>
      </c>
      <c r="G116" s="156" t="s">
        <v>71</v>
      </c>
      <c r="H116" s="156">
        <f>F116</f>
        <v>8</v>
      </c>
      <c r="I116" s="166">
        <f>SUMIFS(Продажи!F$5:F$359,Продажи!$D$5:$D$359,Конструкторы!$B116,Продажи!$C$5:$C$359,Конструкторы!$A116)</f>
        <v>0</v>
      </c>
      <c r="J116" s="166">
        <f>SUMIFS(Продажи!G$5:G$359,Продажи!$D$5:$D$359,Конструкторы!$B116,Продажи!$C$5:$C$359,Конструкторы!$A116)</f>
        <v>0</v>
      </c>
      <c r="K116" s="166">
        <f>SUMIFS(Продажи!H$5:H$359,Продажи!$D$5:$D$359,Конструкторы!$B116,Продажи!$C$5:$C$359,Конструкторы!$A116)</f>
        <v>0</v>
      </c>
      <c r="L116" s="166">
        <f>SUMIFS(Продажи!I$5:I$359,Продажи!$D$5:$D$359,Конструкторы!$B116,Продажи!$C$5:$C$359,Конструкторы!$A116)</f>
        <v>0</v>
      </c>
      <c r="M116" s="166">
        <f>SUMIFS(Продажи!J$5:J$359,Продажи!$D$5:$D$359,Конструкторы!$B116,Продажи!$C$5:$C$359,Конструкторы!$A116)</f>
        <v>0</v>
      </c>
      <c r="N116" s="166">
        <f>SUMIFS(Продажи!K$5:K$359,Продажи!$D$5:$D$359,Конструкторы!$B116,Продажи!$C$5:$C$359,Конструкторы!$A116)</f>
        <v>0</v>
      </c>
      <c r="O116" s="166">
        <f>SUMIFS(Продажи!L$5:L$359,Продажи!$D$5:$D$359,Конструкторы!$B116,Продажи!$C$5:$C$359,Конструкторы!$A116)</f>
        <v>0</v>
      </c>
      <c r="P116" s="166">
        <f>SUMIFS(Продажи!M$5:M$359,Продажи!$D$5:$D$359,Конструкторы!$B116,Продажи!$C$5:$C$359,Конструкторы!$A116)</f>
        <v>0</v>
      </c>
      <c r="Q116" s="166">
        <f>SUMIFS(Продажи!N$5:N$359,Продажи!$D$5:$D$359,Конструкторы!$B116,Продажи!$C$5:$C$359,Конструкторы!$A116)</f>
        <v>0</v>
      </c>
      <c r="R116" s="166">
        <f>SUMIFS(Продажи!O$5:O$359,Продажи!$D$5:$D$359,Конструкторы!$B116,Продажи!$C$5:$C$359,Конструкторы!$A116)</f>
        <v>0</v>
      </c>
      <c r="S116" s="166">
        <f>SUMIFS(Продажи!P$5:P$359,Продажи!$D$5:$D$359,Конструкторы!$B116,Продажи!$C$5:$C$359,Конструкторы!$A116)</f>
        <v>0</v>
      </c>
      <c r="T116" s="166">
        <f>SUMIFS(Продажи!Q$5:Q$359,Продажи!$D$5:$D$359,Конструкторы!$B116,Продажи!$C$5:$C$359,Конструкторы!$A116)</f>
        <v>0</v>
      </c>
    </row>
    <row r="117" spans="1:20" ht="15.75" hidden="1" x14ac:dyDescent="0.25">
      <c r="A117" s="166" t="s">
        <v>397</v>
      </c>
      <c r="B117" s="167" t="s">
        <v>288</v>
      </c>
      <c r="C117" s="33" t="s">
        <v>86</v>
      </c>
      <c r="D117" s="149"/>
      <c r="E117" s="153" t="s">
        <v>70</v>
      </c>
      <c r="F117" s="159">
        <v>8</v>
      </c>
      <c r="G117" s="156" t="s">
        <v>71</v>
      </c>
      <c r="H117" s="156">
        <f>F117</f>
        <v>8</v>
      </c>
      <c r="I117" s="166">
        <f>SUMIFS(Продажи!F$5:F$359,Продажи!$D$5:$D$359,Конструкторы!$B117,Продажи!$C$5:$C$359,Конструкторы!$A117)</f>
        <v>0</v>
      </c>
      <c r="J117" s="166">
        <f>SUMIFS(Продажи!G$5:G$359,Продажи!$D$5:$D$359,Конструкторы!$B117,Продажи!$C$5:$C$359,Конструкторы!$A117)</f>
        <v>0</v>
      </c>
      <c r="K117" s="166">
        <f>SUMIFS(Продажи!H$5:H$359,Продажи!$D$5:$D$359,Конструкторы!$B117,Продажи!$C$5:$C$359,Конструкторы!$A117)</f>
        <v>0</v>
      </c>
      <c r="L117" s="166">
        <f>SUMIFS(Продажи!I$5:I$359,Продажи!$D$5:$D$359,Конструкторы!$B117,Продажи!$C$5:$C$359,Конструкторы!$A117)</f>
        <v>0</v>
      </c>
      <c r="M117" s="166">
        <f>SUMIFS(Продажи!J$5:J$359,Продажи!$D$5:$D$359,Конструкторы!$B117,Продажи!$C$5:$C$359,Конструкторы!$A117)</f>
        <v>0</v>
      </c>
      <c r="N117" s="166">
        <f>SUMIFS(Продажи!K$5:K$359,Продажи!$D$5:$D$359,Конструкторы!$B117,Продажи!$C$5:$C$359,Конструкторы!$A117)</f>
        <v>0</v>
      </c>
      <c r="O117" s="166">
        <f>SUMIFS(Продажи!L$5:L$359,Продажи!$D$5:$D$359,Конструкторы!$B117,Продажи!$C$5:$C$359,Конструкторы!$A117)</f>
        <v>0</v>
      </c>
      <c r="P117" s="166">
        <f>SUMIFS(Продажи!M$5:M$359,Продажи!$D$5:$D$359,Конструкторы!$B117,Продажи!$C$5:$C$359,Конструкторы!$A117)</f>
        <v>0</v>
      </c>
      <c r="Q117" s="166">
        <f>SUMIFS(Продажи!N$5:N$359,Продажи!$D$5:$D$359,Конструкторы!$B117,Продажи!$C$5:$C$359,Конструкторы!$A117)</f>
        <v>0</v>
      </c>
      <c r="R117" s="166">
        <f>SUMIFS(Продажи!O$5:O$359,Продажи!$D$5:$D$359,Конструкторы!$B117,Продажи!$C$5:$C$359,Конструкторы!$A117)</f>
        <v>0</v>
      </c>
      <c r="S117" s="166">
        <f>SUMIFS(Продажи!P$5:P$359,Продажи!$D$5:$D$359,Конструкторы!$B117,Продажи!$C$5:$C$359,Конструкторы!$A117)</f>
        <v>0</v>
      </c>
      <c r="T117" s="166">
        <f>SUMIFS(Продажи!Q$5:Q$359,Продажи!$D$5:$D$359,Конструкторы!$B117,Продажи!$C$5:$C$359,Конструкторы!$A117)</f>
        <v>0</v>
      </c>
    </row>
    <row r="118" spans="1:20" ht="15.75" hidden="1" x14ac:dyDescent="0.25">
      <c r="A118" s="166" t="s">
        <v>397</v>
      </c>
      <c r="B118" s="167" t="s">
        <v>288</v>
      </c>
      <c r="C118" s="33" t="s">
        <v>78</v>
      </c>
      <c r="D118" s="149"/>
      <c r="E118" s="153" t="s">
        <v>70</v>
      </c>
      <c r="F118" s="148">
        <v>4</v>
      </c>
      <c r="G118" s="156" t="s">
        <v>71</v>
      </c>
      <c r="H118" s="156">
        <f>F118</f>
        <v>4</v>
      </c>
      <c r="I118" s="166">
        <f>SUMIFS(Продажи!F$5:F$359,Продажи!$D$5:$D$359,Конструкторы!$B118,Продажи!$C$5:$C$359,Конструкторы!$A118)</f>
        <v>0</v>
      </c>
      <c r="J118" s="166">
        <f>SUMIFS(Продажи!G$5:G$359,Продажи!$D$5:$D$359,Конструкторы!$B118,Продажи!$C$5:$C$359,Конструкторы!$A118)</f>
        <v>0</v>
      </c>
      <c r="K118" s="166">
        <f>SUMIFS(Продажи!H$5:H$359,Продажи!$D$5:$D$359,Конструкторы!$B118,Продажи!$C$5:$C$359,Конструкторы!$A118)</f>
        <v>0</v>
      </c>
      <c r="L118" s="166">
        <f>SUMIFS(Продажи!I$5:I$359,Продажи!$D$5:$D$359,Конструкторы!$B118,Продажи!$C$5:$C$359,Конструкторы!$A118)</f>
        <v>0</v>
      </c>
      <c r="M118" s="166">
        <f>SUMIFS(Продажи!J$5:J$359,Продажи!$D$5:$D$359,Конструкторы!$B118,Продажи!$C$5:$C$359,Конструкторы!$A118)</f>
        <v>0</v>
      </c>
      <c r="N118" s="166">
        <f>SUMIFS(Продажи!K$5:K$359,Продажи!$D$5:$D$359,Конструкторы!$B118,Продажи!$C$5:$C$359,Конструкторы!$A118)</f>
        <v>0</v>
      </c>
      <c r="O118" s="166">
        <f>SUMIFS(Продажи!L$5:L$359,Продажи!$D$5:$D$359,Конструкторы!$B118,Продажи!$C$5:$C$359,Конструкторы!$A118)</f>
        <v>0</v>
      </c>
      <c r="P118" s="166">
        <f>SUMIFS(Продажи!M$5:M$359,Продажи!$D$5:$D$359,Конструкторы!$B118,Продажи!$C$5:$C$359,Конструкторы!$A118)</f>
        <v>0</v>
      </c>
      <c r="Q118" s="166">
        <f>SUMIFS(Продажи!N$5:N$359,Продажи!$D$5:$D$359,Конструкторы!$B118,Продажи!$C$5:$C$359,Конструкторы!$A118)</f>
        <v>0</v>
      </c>
      <c r="R118" s="166">
        <f>SUMIFS(Продажи!O$5:O$359,Продажи!$D$5:$D$359,Конструкторы!$B118,Продажи!$C$5:$C$359,Конструкторы!$A118)</f>
        <v>0</v>
      </c>
      <c r="S118" s="166">
        <f>SUMIFS(Продажи!P$5:P$359,Продажи!$D$5:$D$359,Конструкторы!$B118,Продажи!$C$5:$C$359,Конструкторы!$A118)</f>
        <v>0</v>
      </c>
      <c r="T118" s="166">
        <f>SUMIFS(Продажи!Q$5:Q$359,Продажи!$D$5:$D$359,Конструкторы!$B118,Продажи!$C$5:$C$359,Конструкторы!$A118)</f>
        <v>0</v>
      </c>
    </row>
    <row r="119" spans="1:20" ht="15.75" hidden="1" x14ac:dyDescent="0.25">
      <c r="A119" s="166" t="s">
        <v>397</v>
      </c>
      <c r="B119" s="167" t="s">
        <v>289</v>
      </c>
      <c r="C119" s="129" t="s">
        <v>25</v>
      </c>
      <c r="D119" s="149"/>
      <c r="E119" s="153" t="s">
        <v>68</v>
      </c>
      <c r="F119" s="156">
        <f>(0.395*103)/100</f>
        <v>0.40685000000000004</v>
      </c>
      <c r="G119" s="156">
        <v>1.1850000000000027E-2</v>
      </c>
      <c r="H119" s="156">
        <f>F119+G119</f>
        <v>0.41870000000000007</v>
      </c>
      <c r="I119" s="166">
        <f>SUMIFS(Продажи!F$5:F$359,Продажи!$D$5:$D$359,Конструкторы!$B119,Продажи!$C$5:$C$359,Конструкторы!$A119)</f>
        <v>0</v>
      </c>
      <c r="J119" s="166">
        <f>SUMIFS(Продажи!G$5:G$359,Продажи!$D$5:$D$359,Конструкторы!$B119,Продажи!$C$5:$C$359,Конструкторы!$A119)</f>
        <v>0</v>
      </c>
      <c r="K119" s="166">
        <f>SUMIFS(Продажи!H$5:H$359,Продажи!$D$5:$D$359,Конструкторы!$B119,Продажи!$C$5:$C$359,Конструкторы!$A119)</f>
        <v>0</v>
      </c>
      <c r="L119" s="166">
        <f>SUMIFS(Продажи!I$5:I$359,Продажи!$D$5:$D$359,Конструкторы!$B119,Продажи!$C$5:$C$359,Конструкторы!$A119)</f>
        <v>0</v>
      </c>
      <c r="M119" s="166">
        <f>SUMIFS(Продажи!J$5:J$359,Продажи!$D$5:$D$359,Конструкторы!$B119,Продажи!$C$5:$C$359,Конструкторы!$A119)</f>
        <v>0</v>
      </c>
      <c r="N119" s="166">
        <f>SUMIFS(Продажи!K$5:K$359,Продажи!$D$5:$D$359,Конструкторы!$B119,Продажи!$C$5:$C$359,Конструкторы!$A119)</f>
        <v>0</v>
      </c>
      <c r="O119" s="166">
        <f>SUMIFS(Продажи!L$5:L$359,Продажи!$D$5:$D$359,Конструкторы!$B119,Продажи!$C$5:$C$359,Конструкторы!$A119)</f>
        <v>0</v>
      </c>
      <c r="P119" s="166">
        <f>SUMIFS(Продажи!M$5:M$359,Продажи!$D$5:$D$359,Конструкторы!$B119,Продажи!$C$5:$C$359,Конструкторы!$A119)</f>
        <v>0</v>
      </c>
      <c r="Q119" s="166">
        <f>SUMIFS(Продажи!N$5:N$359,Продажи!$D$5:$D$359,Конструкторы!$B119,Продажи!$C$5:$C$359,Конструкторы!$A119)</f>
        <v>0</v>
      </c>
      <c r="R119" s="166">
        <f>SUMIFS(Продажи!O$5:O$359,Продажи!$D$5:$D$359,Конструкторы!$B119,Продажи!$C$5:$C$359,Конструкторы!$A119)</f>
        <v>0</v>
      </c>
      <c r="S119" s="166">
        <f>SUMIFS(Продажи!P$5:P$359,Продажи!$D$5:$D$359,Конструкторы!$B119,Продажи!$C$5:$C$359,Конструкторы!$A119)</f>
        <v>0</v>
      </c>
      <c r="T119" s="166">
        <f>SUMIFS(Продажи!Q$5:Q$359,Продажи!$D$5:$D$359,Конструкторы!$B119,Продажи!$C$5:$C$359,Конструкторы!$A119)</f>
        <v>0</v>
      </c>
    </row>
    <row r="120" spans="1:20" ht="15.75" hidden="1" x14ac:dyDescent="0.25">
      <c r="A120" s="166" t="s">
        <v>397</v>
      </c>
      <c r="B120" s="167" t="s">
        <v>289</v>
      </c>
      <c r="C120" s="129" t="s">
        <v>29</v>
      </c>
      <c r="D120" s="149"/>
      <c r="E120" s="153" t="s">
        <v>68</v>
      </c>
      <c r="F120" s="156">
        <f>(1.4*103)/100</f>
        <v>1.4419999999999999</v>
      </c>
      <c r="G120" s="156">
        <v>4.2000000000000037E-2</v>
      </c>
      <c r="H120" s="156">
        <f>F120+G120</f>
        <v>1.484</v>
      </c>
      <c r="I120" s="166">
        <f>SUMIFS(Продажи!F$5:F$359,Продажи!$D$5:$D$359,Конструкторы!$B120,Продажи!$C$5:$C$359,Конструкторы!$A120)</f>
        <v>0</v>
      </c>
      <c r="J120" s="166">
        <f>SUMIFS(Продажи!G$5:G$359,Продажи!$D$5:$D$359,Конструкторы!$B120,Продажи!$C$5:$C$359,Конструкторы!$A120)</f>
        <v>0</v>
      </c>
      <c r="K120" s="166">
        <f>SUMIFS(Продажи!H$5:H$359,Продажи!$D$5:$D$359,Конструкторы!$B120,Продажи!$C$5:$C$359,Конструкторы!$A120)</f>
        <v>0</v>
      </c>
      <c r="L120" s="166">
        <f>SUMIFS(Продажи!I$5:I$359,Продажи!$D$5:$D$359,Конструкторы!$B120,Продажи!$C$5:$C$359,Конструкторы!$A120)</f>
        <v>0</v>
      </c>
      <c r="M120" s="166">
        <f>SUMIFS(Продажи!J$5:J$359,Продажи!$D$5:$D$359,Конструкторы!$B120,Продажи!$C$5:$C$359,Конструкторы!$A120)</f>
        <v>0</v>
      </c>
      <c r="N120" s="166">
        <f>SUMIFS(Продажи!K$5:K$359,Продажи!$D$5:$D$359,Конструкторы!$B120,Продажи!$C$5:$C$359,Конструкторы!$A120)</f>
        <v>0</v>
      </c>
      <c r="O120" s="166">
        <f>SUMIFS(Продажи!L$5:L$359,Продажи!$D$5:$D$359,Конструкторы!$B120,Продажи!$C$5:$C$359,Конструкторы!$A120)</f>
        <v>0</v>
      </c>
      <c r="P120" s="166">
        <f>SUMIFS(Продажи!M$5:M$359,Продажи!$D$5:$D$359,Конструкторы!$B120,Продажи!$C$5:$C$359,Конструкторы!$A120)</f>
        <v>0</v>
      </c>
      <c r="Q120" s="166">
        <f>SUMIFS(Продажи!N$5:N$359,Продажи!$D$5:$D$359,Конструкторы!$B120,Продажи!$C$5:$C$359,Конструкторы!$A120)</f>
        <v>0</v>
      </c>
      <c r="R120" s="166">
        <f>SUMIFS(Продажи!O$5:O$359,Продажи!$D$5:$D$359,Конструкторы!$B120,Продажи!$C$5:$C$359,Конструкторы!$A120)</f>
        <v>0</v>
      </c>
      <c r="S120" s="166">
        <f>SUMIFS(Продажи!P$5:P$359,Продажи!$D$5:$D$359,Конструкторы!$B120,Продажи!$C$5:$C$359,Конструкторы!$A120)</f>
        <v>0</v>
      </c>
      <c r="T120" s="166">
        <f>SUMIFS(Продажи!Q$5:Q$359,Продажи!$D$5:$D$359,Конструкторы!$B120,Продажи!$C$5:$C$359,Конструкторы!$A120)</f>
        <v>0</v>
      </c>
    </row>
    <row r="121" spans="1:20" ht="15.75" hidden="1" x14ac:dyDescent="0.25">
      <c r="A121" s="166" t="s">
        <v>397</v>
      </c>
      <c r="B121" s="167" t="s">
        <v>289</v>
      </c>
      <c r="C121" s="33" t="s">
        <v>83</v>
      </c>
      <c r="D121" s="149"/>
      <c r="E121" s="153" t="s">
        <v>70</v>
      </c>
      <c r="F121" s="159">
        <v>2</v>
      </c>
      <c r="G121" s="156" t="s">
        <v>71</v>
      </c>
      <c r="H121" s="156">
        <f>F121</f>
        <v>2</v>
      </c>
      <c r="I121" s="166">
        <f>SUMIFS(Продажи!F$5:F$359,Продажи!$D$5:$D$359,Конструкторы!$B121,Продажи!$C$5:$C$359,Конструкторы!$A121)</f>
        <v>0</v>
      </c>
      <c r="J121" s="166">
        <f>SUMIFS(Продажи!G$5:G$359,Продажи!$D$5:$D$359,Конструкторы!$B121,Продажи!$C$5:$C$359,Конструкторы!$A121)</f>
        <v>0</v>
      </c>
      <c r="K121" s="166">
        <f>SUMIFS(Продажи!H$5:H$359,Продажи!$D$5:$D$359,Конструкторы!$B121,Продажи!$C$5:$C$359,Конструкторы!$A121)</f>
        <v>0</v>
      </c>
      <c r="L121" s="166">
        <f>SUMIFS(Продажи!I$5:I$359,Продажи!$D$5:$D$359,Конструкторы!$B121,Продажи!$C$5:$C$359,Конструкторы!$A121)</f>
        <v>0</v>
      </c>
      <c r="M121" s="166">
        <f>SUMIFS(Продажи!J$5:J$359,Продажи!$D$5:$D$359,Конструкторы!$B121,Продажи!$C$5:$C$359,Конструкторы!$A121)</f>
        <v>0</v>
      </c>
      <c r="N121" s="166">
        <f>SUMIFS(Продажи!K$5:K$359,Продажи!$D$5:$D$359,Конструкторы!$B121,Продажи!$C$5:$C$359,Конструкторы!$A121)</f>
        <v>0</v>
      </c>
      <c r="O121" s="166">
        <f>SUMIFS(Продажи!L$5:L$359,Продажи!$D$5:$D$359,Конструкторы!$B121,Продажи!$C$5:$C$359,Конструкторы!$A121)</f>
        <v>0</v>
      </c>
      <c r="P121" s="166">
        <f>SUMIFS(Продажи!M$5:M$359,Продажи!$D$5:$D$359,Конструкторы!$B121,Продажи!$C$5:$C$359,Конструкторы!$A121)</f>
        <v>0</v>
      </c>
      <c r="Q121" s="166">
        <f>SUMIFS(Продажи!N$5:N$359,Продажи!$D$5:$D$359,Конструкторы!$B121,Продажи!$C$5:$C$359,Конструкторы!$A121)</f>
        <v>0</v>
      </c>
      <c r="R121" s="166">
        <f>SUMIFS(Продажи!O$5:O$359,Продажи!$D$5:$D$359,Конструкторы!$B121,Продажи!$C$5:$C$359,Конструкторы!$A121)</f>
        <v>0</v>
      </c>
      <c r="S121" s="166">
        <f>SUMIFS(Продажи!P$5:P$359,Продажи!$D$5:$D$359,Конструкторы!$B121,Продажи!$C$5:$C$359,Конструкторы!$A121)</f>
        <v>0</v>
      </c>
      <c r="T121" s="166">
        <f>SUMIFS(Продажи!Q$5:Q$359,Продажи!$D$5:$D$359,Конструкторы!$B121,Продажи!$C$5:$C$359,Конструкторы!$A121)</f>
        <v>0</v>
      </c>
    </row>
    <row r="122" spans="1:20" ht="15.75" hidden="1" x14ac:dyDescent="0.25">
      <c r="A122" s="166" t="s">
        <v>397</v>
      </c>
      <c r="B122" s="167" t="s">
        <v>289</v>
      </c>
      <c r="C122" s="33" t="s">
        <v>84</v>
      </c>
      <c r="D122" s="149"/>
      <c r="E122" s="153" t="s">
        <v>70</v>
      </c>
      <c r="F122" s="159">
        <v>4</v>
      </c>
      <c r="G122" s="156" t="s">
        <v>71</v>
      </c>
      <c r="H122" s="156">
        <f>F122</f>
        <v>4</v>
      </c>
      <c r="I122" s="166">
        <f>SUMIFS(Продажи!F$5:F$359,Продажи!$D$5:$D$359,Конструкторы!$B122,Продажи!$C$5:$C$359,Конструкторы!$A122)</f>
        <v>0</v>
      </c>
      <c r="J122" s="166">
        <f>SUMIFS(Продажи!G$5:G$359,Продажи!$D$5:$D$359,Конструкторы!$B122,Продажи!$C$5:$C$359,Конструкторы!$A122)</f>
        <v>0</v>
      </c>
      <c r="K122" s="166">
        <f>SUMIFS(Продажи!H$5:H$359,Продажи!$D$5:$D$359,Конструкторы!$B122,Продажи!$C$5:$C$359,Конструкторы!$A122)</f>
        <v>0</v>
      </c>
      <c r="L122" s="166">
        <f>SUMIFS(Продажи!I$5:I$359,Продажи!$D$5:$D$359,Конструкторы!$B122,Продажи!$C$5:$C$359,Конструкторы!$A122)</f>
        <v>0</v>
      </c>
      <c r="M122" s="166">
        <f>SUMIFS(Продажи!J$5:J$359,Продажи!$D$5:$D$359,Конструкторы!$B122,Продажи!$C$5:$C$359,Конструкторы!$A122)</f>
        <v>0</v>
      </c>
      <c r="N122" s="166">
        <f>SUMIFS(Продажи!K$5:K$359,Продажи!$D$5:$D$359,Конструкторы!$B122,Продажи!$C$5:$C$359,Конструкторы!$A122)</f>
        <v>0</v>
      </c>
      <c r="O122" s="166">
        <f>SUMIFS(Продажи!L$5:L$359,Продажи!$D$5:$D$359,Конструкторы!$B122,Продажи!$C$5:$C$359,Конструкторы!$A122)</f>
        <v>0</v>
      </c>
      <c r="P122" s="166">
        <f>SUMIFS(Продажи!M$5:M$359,Продажи!$D$5:$D$359,Конструкторы!$B122,Продажи!$C$5:$C$359,Конструкторы!$A122)</f>
        <v>0</v>
      </c>
      <c r="Q122" s="166">
        <f>SUMIFS(Продажи!N$5:N$359,Продажи!$D$5:$D$359,Конструкторы!$B122,Продажи!$C$5:$C$359,Конструкторы!$A122)</f>
        <v>0</v>
      </c>
      <c r="R122" s="166">
        <f>SUMIFS(Продажи!O$5:O$359,Продажи!$D$5:$D$359,Конструкторы!$B122,Продажи!$C$5:$C$359,Конструкторы!$A122)</f>
        <v>0</v>
      </c>
      <c r="S122" s="166">
        <f>SUMIFS(Продажи!P$5:P$359,Продажи!$D$5:$D$359,Конструкторы!$B122,Продажи!$C$5:$C$359,Конструкторы!$A122)</f>
        <v>0</v>
      </c>
      <c r="T122" s="166">
        <f>SUMIFS(Продажи!Q$5:Q$359,Продажи!$D$5:$D$359,Конструкторы!$B122,Продажи!$C$5:$C$359,Конструкторы!$A122)</f>
        <v>0</v>
      </c>
    </row>
    <row r="123" spans="1:20" ht="15.75" hidden="1" x14ac:dyDescent="0.25">
      <c r="A123" s="166" t="s">
        <v>397</v>
      </c>
      <c r="B123" s="167" t="s">
        <v>289</v>
      </c>
      <c r="C123" s="33" t="s">
        <v>85</v>
      </c>
      <c r="D123" s="149"/>
      <c r="E123" s="153" t="s">
        <v>70</v>
      </c>
      <c r="F123" s="159">
        <v>8</v>
      </c>
      <c r="G123" s="156" t="s">
        <v>71</v>
      </c>
      <c r="H123" s="156">
        <f>F123</f>
        <v>8</v>
      </c>
      <c r="I123" s="166">
        <f>SUMIFS(Продажи!F$5:F$359,Продажи!$D$5:$D$359,Конструкторы!$B123,Продажи!$C$5:$C$359,Конструкторы!$A123)</f>
        <v>0</v>
      </c>
      <c r="J123" s="166">
        <f>SUMIFS(Продажи!G$5:G$359,Продажи!$D$5:$D$359,Конструкторы!$B123,Продажи!$C$5:$C$359,Конструкторы!$A123)</f>
        <v>0</v>
      </c>
      <c r="K123" s="166">
        <f>SUMIFS(Продажи!H$5:H$359,Продажи!$D$5:$D$359,Конструкторы!$B123,Продажи!$C$5:$C$359,Конструкторы!$A123)</f>
        <v>0</v>
      </c>
      <c r="L123" s="166">
        <f>SUMIFS(Продажи!I$5:I$359,Продажи!$D$5:$D$359,Конструкторы!$B123,Продажи!$C$5:$C$359,Конструкторы!$A123)</f>
        <v>0</v>
      </c>
      <c r="M123" s="166">
        <f>SUMIFS(Продажи!J$5:J$359,Продажи!$D$5:$D$359,Конструкторы!$B123,Продажи!$C$5:$C$359,Конструкторы!$A123)</f>
        <v>0</v>
      </c>
      <c r="N123" s="166">
        <f>SUMIFS(Продажи!K$5:K$359,Продажи!$D$5:$D$359,Конструкторы!$B123,Продажи!$C$5:$C$359,Конструкторы!$A123)</f>
        <v>0</v>
      </c>
      <c r="O123" s="166">
        <f>SUMIFS(Продажи!L$5:L$359,Продажи!$D$5:$D$359,Конструкторы!$B123,Продажи!$C$5:$C$359,Конструкторы!$A123)</f>
        <v>0</v>
      </c>
      <c r="P123" s="166">
        <f>SUMIFS(Продажи!M$5:M$359,Продажи!$D$5:$D$359,Конструкторы!$B123,Продажи!$C$5:$C$359,Конструкторы!$A123)</f>
        <v>0</v>
      </c>
      <c r="Q123" s="166">
        <f>SUMIFS(Продажи!N$5:N$359,Продажи!$D$5:$D$359,Конструкторы!$B123,Продажи!$C$5:$C$359,Конструкторы!$A123)</f>
        <v>0</v>
      </c>
      <c r="R123" s="166">
        <f>SUMIFS(Продажи!O$5:O$359,Продажи!$D$5:$D$359,Конструкторы!$B123,Продажи!$C$5:$C$359,Конструкторы!$A123)</f>
        <v>0</v>
      </c>
      <c r="S123" s="166">
        <f>SUMIFS(Продажи!P$5:P$359,Продажи!$D$5:$D$359,Конструкторы!$B123,Продажи!$C$5:$C$359,Конструкторы!$A123)</f>
        <v>0</v>
      </c>
      <c r="T123" s="166">
        <f>SUMIFS(Продажи!Q$5:Q$359,Продажи!$D$5:$D$359,Конструкторы!$B123,Продажи!$C$5:$C$359,Конструкторы!$A123)</f>
        <v>0</v>
      </c>
    </row>
    <row r="124" spans="1:20" ht="15.75" hidden="1" x14ac:dyDescent="0.25">
      <c r="A124" s="166" t="s">
        <v>397</v>
      </c>
      <c r="B124" s="167" t="s">
        <v>289</v>
      </c>
      <c r="C124" s="33" t="s">
        <v>86</v>
      </c>
      <c r="D124" s="149"/>
      <c r="E124" s="153" t="s">
        <v>70</v>
      </c>
      <c r="F124" s="159">
        <v>8</v>
      </c>
      <c r="G124" s="156" t="s">
        <v>71</v>
      </c>
      <c r="H124" s="156">
        <f>F124</f>
        <v>8</v>
      </c>
      <c r="I124" s="166">
        <f>SUMIFS(Продажи!F$5:F$359,Продажи!$D$5:$D$359,Конструкторы!$B124,Продажи!$C$5:$C$359,Конструкторы!$A124)</f>
        <v>0</v>
      </c>
      <c r="J124" s="166">
        <f>SUMIFS(Продажи!G$5:G$359,Продажи!$D$5:$D$359,Конструкторы!$B124,Продажи!$C$5:$C$359,Конструкторы!$A124)</f>
        <v>0</v>
      </c>
      <c r="K124" s="166">
        <f>SUMIFS(Продажи!H$5:H$359,Продажи!$D$5:$D$359,Конструкторы!$B124,Продажи!$C$5:$C$359,Конструкторы!$A124)</f>
        <v>0</v>
      </c>
      <c r="L124" s="166">
        <f>SUMIFS(Продажи!I$5:I$359,Продажи!$D$5:$D$359,Конструкторы!$B124,Продажи!$C$5:$C$359,Конструкторы!$A124)</f>
        <v>0</v>
      </c>
      <c r="M124" s="166">
        <f>SUMIFS(Продажи!J$5:J$359,Продажи!$D$5:$D$359,Конструкторы!$B124,Продажи!$C$5:$C$359,Конструкторы!$A124)</f>
        <v>0</v>
      </c>
      <c r="N124" s="166">
        <f>SUMIFS(Продажи!K$5:K$359,Продажи!$D$5:$D$359,Конструкторы!$B124,Продажи!$C$5:$C$359,Конструкторы!$A124)</f>
        <v>0</v>
      </c>
      <c r="O124" s="166">
        <f>SUMIFS(Продажи!L$5:L$359,Продажи!$D$5:$D$359,Конструкторы!$B124,Продажи!$C$5:$C$359,Конструкторы!$A124)</f>
        <v>0</v>
      </c>
      <c r="P124" s="166">
        <f>SUMIFS(Продажи!M$5:M$359,Продажи!$D$5:$D$359,Конструкторы!$B124,Продажи!$C$5:$C$359,Конструкторы!$A124)</f>
        <v>0</v>
      </c>
      <c r="Q124" s="166">
        <f>SUMIFS(Продажи!N$5:N$359,Продажи!$D$5:$D$359,Конструкторы!$B124,Продажи!$C$5:$C$359,Конструкторы!$A124)</f>
        <v>0</v>
      </c>
      <c r="R124" s="166">
        <f>SUMIFS(Продажи!O$5:O$359,Продажи!$D$5:$D$359,Конструкторы!$B124,Продажи!$C$5:$C$359,Конструкторы!$A124)</f>
        <v>0</v>
      </c>
      <c r="S124" s="166">
        <f>SUMIFS(Продажи!P$5:P$359,Продажи!$D$5:$D$359,Конструкторы!$B124,Продажи!$C$5:$C$359,Конструкторы!$A124)</f>
        <v>0</v>
      </c>
      <c r="T124" s="166">
        <f>SUMIFS(Продажи!Q$5:Q$359,Продажи!$D$5:$D$359,Конструкторы!$B124,Продажи!$C$5:$C$359,Конструкторы!$A124)</f>
        <v>0</v>
      </c>
    </row>
    <row r="125" spans="1:20" ht="15.75" hidden="1" x14ac:dyDescent="0.25">
      <c r="A125" s="166" t="s">
        <v>397</v>
      </c>
      <c r="B125" s="167" t="s">
        <v>289</v>
      </c>
      <c r="C125" s="33" t="s">
        <v>78</v>
      </c>
      <c r="D125" s="149"/>
      <c r="E125" s="153" t="s">
        <v>70</v>
      </c>
      <c r="F125" s="148">
        <v>4</v>
      </c>
      <c r="G125" s="156" t="s">
        <v>71</v>
      </c>
      <c r="H125" s="156">
        <f>F125</f>
        <v>4</v>
      </c>
      <c r="I125" s="166">
        <f>SUMIFS(Продажи!F$5:F$359,Продажи!$D$5:$D$359,Конструкторы!$B125,Продажи!$C$5:$C$359,Конструкторы!$A125)</f>
        <v>0</v>
      </c>
      <c r="J125" s="166">
        <f>SUMIFS(Продажи!G$5:G$359,Продажи!$D$5:$D$359,Конструкторы!$B125,Продажи!$C$5:$C$359,Конструкторы!$A125)</f>
        <v>0</v>
      </c>
      <c r="K125" s="166">
        <f>SUMIFS(Продажи!H$5:H$359,Продажи!$D$5:$D$359,Конструкторы!$B125,Продажи!$C$5:$C$359,Конструкторы!$A125)</f>
        <v>0</v>
      </c>
      <c r="L125" s="166">
        <f>SUMIFS(Продажи!I$5:I$359,Продажи!$D$5:$D$359,Конструкторы!$B125,Продажи!$C$5:$C$359,Конструкторы!$A125)</f>
        <v>0</v>
      </c>
      <c r="M125" s="166">
        <f>SUMIFS(Продажи!J$5:J$359,Продажи!$D$5:$D$359,Конструкторы!$B125,Продажи!$C$5:$C$359,Конструкторы!$A125)</f>
        <v>0</v>
      </c>
      <c r="N125" s="166">
        <f>SUMIFS(Продажи!K$5:K$359,Продажи!$D$5:$D$359,Конструкторы!$B125,Продажи!$C$5:$C$359,Конструкторы!$A125)</f>
        <v>0</v>
      </c>
      <c r="O125" s="166">
        <f>SUMIFS(Продажи!L$5:L$359,Продажи!$D$5:$D$359,Конструкторы!$B125,Продажи!$C$5:$C$359,Конструкторы!$A125)</f>
        <v>0</v>
      </c>
      <c r="P125" s="166">
        <f>SUMIFS(Продажи!M$5:M$359,Продажи!$D$5:$D$359,Конструкторы!$B125,Продажи!$C$5:$C$359,Конструкторы!$A125)</f>
        <v>0</v>
      </c>
      <c r="Q125" s="166">
        <f>SUMIFS(Продажи!N$5:N$359,Продажи!$D$5:$D$359,Конструкторы!$B125,Продажи!$C$5:$C$359,Конструкторы!$A125)</f>
        <v>0</v>
      </c>
      <c r="R125" s="166">
        <f>SUMIFS(Продажи!O$5:O$359,Продажи!$D$5:$D$359,Конструкторы!$B125,Продажи!$C$5:$C$359,Конструкторы!$A125)</f>
        <v>0</v>
      </c>
      <c r="S125" s="166">
        <f>SUMIFS(Продажи!P$5:P$359,Продажи!$D$5:$D$359,Конструкторы!$B125,Продажи!$C$5:$C$359,Конструкторы!$A125)</f>
        <v>0</v>
      </c>
      <c r="T125" s="166">
        <f>SUMIFS(Продажи!Q$5:Q$359,Продажи!$D$5:$D$359,Конструкторы!$B125,Продажи!$C$5:$C$359,Конструкторы!$A125)</f>
        <v>0</v>
      </c>
    </row>
    <row r="126" spans="1:20" ht="15.75" hidden="1" x14ac:dyDescent="0.25">
      <c r="A126" s="166" t="s">
        <v>397</v>
      </c>
      <c r="B126" s="167" t="s">
        <v>290</v>
      </c>
      <c r="C126" s="129" t="s">
        <v>25</v>
      </c>
      <c r="D126" s="149"/>
      <c r="E126" s="153" t="s">
        <v>68</v>
      </c>
      <c r="F126" s="156">
        <f>(0.495*103)/100</f>
        <v>0.50985000000000003</v>
      </c>
      <c r="G126" s="156">
        <v>1.485000000000003E-2</v>
      </c>
      <c r="H126" s="156">
        <f>F126+G126</f>
        <v>0.52470000000000006</v>
      </c>
      <c r="I126" s="166">
        <f>SUMIFS(Продажи!F$5:F$359,Продажи!$D$5:$D$359,Конструкторы!$B126,Продажи!$C$5:$C$359,Конструкторы!$A126)</f>
        <v>0</v>
      </c>
      <c r="J126" s="166">
        <f>SUMIFS(Продажи!G$5:G$359,Продажи!$D$5:$D$359,Конструкторы!$B126,Продажи!$C$5:$C$359,Конструкторы!$A126)</f>
        <v>0</v>
      </c>
      <c r="K126" s="166">
        <f>SUMIFS(Продажи!H$5:H$359,Продажи!$D$5:$D$359,Конструкторы!$B126,Продажи!$C$5:$C$359,Конструкторы!$A126)</f>
        <v>0</v>
      </c>
      <c r="L126" s="166">
        <f>SUMIFS(Продажи!I$5:I$359,Продажи!$D$5:$D$359,Конструкторы!$B126,Продажи!$C$5:$C$359,Конструкторы!$A126)</f>
        <v>0</v>
      </c>
      <c r="M126" s="166">
        <f>SUMIFS(Продажи!J$5:J$359,Продажи!$D$5:$D$359,Конструкторы!$B126,Продажи!$C$5:$C$359,Конструкторы!$A126)</f>
        <v>0</v>
      </c>
      <c r="N126" s="166">
        <f>SUMIFS(Продажи!K$5:K$359,Продажи!$D$5:$D$359,Конструкторы!$B126,Продажи!$C$5:$C$359,Конструкторы!$A126)</f>
        <v>0</v>
      </c>
      <c r="O126" s="166">
        <f>SUMIFS(Продажи!L$5:L$359,Продажи!$D$5:$D$359,Конструкторы!$B126,Продажи!$C$5:$C$359,Конструкторы!$A126)</f>
        <v>0</v>
      </c>
      <c r="P126" s="166">
        <f>SUMIFS(Продажи!M$5:M$359,Продажи!$D$5:$D$359,Конструкторы!$B126,Продажи!$C$5:$C$359,Конструкторы!$A126)</f>
        <v>0</v>
      </c>
      <c r="Q126" s="166">
        <f>SUMIFS(Продажи!N$5:N$359,Продажи!$D$5:$D$359,Конструкторы!$B126,Продажи!$C$5:$C$359,Конструкторы!$A126)</f>
        <v>0</v>
      </c>
      <c r="R126" s="166">
        <f>SUMIFS(Продажи!O$5:O$359,Продажи!$D$5:$D$359,Конструкторы!$B126,Продажи!$C$5:$C$359,Конструкторы!$A126)</f>
        <v>0</v>
      </c>
      <c r="S126" s="166">
        <f>SUMIFS(Продажи!P$5:P$359,Продажи!$D$5:$D$359,Конструкторы!$B126,Продажи!$C$5:$C$359,Конструкторы!$A126)</f>
        <v>0</v>
      </c>
      <c r="T126" s="166">
        <f>SUMIFS(Продажи!Q$5:Q$359,Продажи!$D$5:$D$359,Конструкторы!$B126,Продажи!$C$5:$C$359,Конструкторы!$A126)</f>
        <v>0</v>
      </c>
    </row>
    <row r="127" spans="1:20" ht="15.75" hidden="1" x14ac:dyDescent="0.25">
      <c r="A127" s="166" t="s">
        <v>397</v>
      </c>
      <c r="B127" s="167" t="s">
        <v>290</v>
      </c>
      <c r="C127" s="129" t="s">
        <v>29</v>
      </c>
      <c r="D127" s="149"/>
      <c r="E127" s="153" t="s">
        <v>68</v>
      </c>
      <c r="F127" s="156">
        <f>(1.4*103)/100</f>
        <v>1.4419999999999999</v>
      </c>
      <c r="G127" s="156">
        <v>4.2000000000000037E-2</v>
      </c>
      <c r="H127" s="156">
        <f>F127+G127</f>
        <v>1.484</v>
      </c>
      <c r="I127" s="166">
        <f>SUMIFS(Продажи!F$5:F$359,Продажи!$D$5:$D$359,Конструкторы!$B127,Продажи!$C$5:$C$359,Конструкторы!$A127)</f>
        <v>0</v>
      </c>
      <c r="J127" s="166">
        <f>SUMIFS(Продажи!G$5:G$359,Продажи!$D$5:$D$359,Конструкторы!$B127,Продажи!$C$5:$C$359,Конструкторы!$A127)</f>
        <v>0</v>
      </c>
      <c r="K127" s="166">
        <f>SUMIFS(Продажи!H$5:H$359,Продажи!$D$5:$D$359,Конструкторы!$B127,Продажи!$C$5:$C$359,Конструкторы!$A127)</f>
        <v>0</v>
      </c>
      <c r="L127" s="166">
        <f>SUMIFS(Продажи!I$5:I$359,Продажи!$D$5:$D$359,Конструкторы!$B127,Продажи!$C$5:$C$359,Конструкторы!$A127)</f>
        <v>0</v>
      </c>
      <c r="M127" s="166">
        <f>SUMIFS(Продажи!J$5:J$359,Продажи!$D$5:$D$359,Конструкторы!$B127,Продажи!$C$5:$C$359,Конструкторы!$A127)</f>
        <v>0</v>
      </c>
      <c r="N127" s="166">
        <f>SUMIFS(Продажи!K$5:K$359,Продажи!$D$5:$D$359,Конструкторы!$B127,Продажи!$C$5:$C$359,Конструкторы!$A127)</f>
        <v>0</v>
      </c>
      <c r="O127" s="166">
        <f>SUMIFS(Продажи!L$5:L$359,Продажи!$D$5:$D$359,Конструкторы!$B127,Продажи!$C$5:$C$359,Конструкторы!$A127)</f>
        <v>0</v>
      </c>
      <c r="P127" s="166">
        <f>SUMIFS(Продажи!M$5:M$359,Продажи!$D$5:$D$359,Конструкторы!$B127,Продажи!$C$5:$C$359,Конструкторы!$A127)</f>
        <v>0</v>
      </c>
      <c r="Q127" s="166">
        <f>SUMIFS(Продажи!N$5:N$359,Продажи!$D$5:$D$359,Конструкторы!$B127,Продажи!$C$5:$C$359,Конструкторы!$A127)</f>
        <v>0</v>
      </c>
      <c r="R127" s="166">
        <f>SUMIFS(Продажи!O$5:O$359,Продажи!$D$5:$D$359,Конструкторы!$B127,Продажи!$C$5:$C$359,Конструкторы!$A127)</f>
        <v>0</v>
      </c>
      <c r="S127" s="166">
        <f>SUMIFS(Продажи!P$5:P$359,Продажи!$D$5:$D$359,Конструкторы!$B127,Продажи!$C$5:$C$359,Конструкторы!$A127)</f>
        <v>0</v>
      </c>
      <c r="T127" s="166">
        <f>SUMIFS(Продажи!Q$5:Q$359,Продажи!$D$5:$D$359,Конструкторы!$B127,Продажи!$C$5:$C$359,Конструкторы!$A127)</f>
        <v>0</v>
      </c>
    </row>
    <row r="128" spans="1:20" ht="15.75" hidden="1" x14ac:dyDescent="0.25">
      <c r="A128" s="166" t="s">
        <v>397</v>
      </c>
      <c r="B128" s="167" t="s">
        <v>290</v>
      </c>
      <c r="C128" s="33" t="s">
        <v>83</v>
      </c>
      <c r="D128" s="149"/>
      <c r="E128" s="153" t="s">
        <v>70</v>
      </c>
      <c r="F128" s="159">
        <v>2</v>
      </c>
      <c r="G128" s="156" t="s">
        <v>71</v>
      </c>
      <c r="H128" s="156">
        <f>F128</f>
        <v>2</v>
      </c>
      <c r="I128" s="166">
        <f>SUMIFS(Продажи!F$5:F$359,Продажи!$D$5:$D$359,Конструкторы!$B128,Продажи!$C$5:$C$359,Конструкторы!$A128)</f>
        <v>0</v>
      </c>
      <c r="J128" s="166">
        <f>SUMIFS(Продажи!G$5:G$359,Продажи!$D$5:$D$359,Конструкторы!$B128,Продажи!$C$5:$C$359,Конструкторы!$A128)</f>
        <v>0</v>
      </c>
      <c r="K128" s="166">
        <f>SUMIFS(Продажи!H$5:H$359,Продажи!$D$5:$D$359,Конструкторы!$B128,Продажи!$C$5:$C$359,Конструкторы!$A128)</f>
        <v>0</v>
      </c>
      <c r="L128" s="166">
        <f>SUMIFS(Продажи!I$5:I$359,Продажи!$D$5:$D$359,Конструкторы!$B128,Продажи!$C$5:$C$359,Конструкторы!$A128)</f>
        <v>0</v>
      </c>
      <c r="M128" s="166">
        <f>SUMIFS(Продажи!J$5:J$359,Продажи!$D$5:$D$359,Конструкторы!$B128,Продажи!$C$5:$C$359,Конструкторы!$A128)</f>
        <v>0</v>
      </c>
      <c r="N128" s="166">
        <f>SUMIFS(Продажи!K$5:K$359,Продажи!$D$5:$D$359,Конструкторы!$B128,Продажи!$C$5:$C$359,Конструкторы!$A128)</f>
        <v>0</v>
      </c>
      <c r="O128" s="166">
        <f>SUMIFS(Продажи!L$5:L$359,Продажи!$D$5:$D$359,Конструкторы!$B128,Продажи!$C$5:$C$359,Конструкторы!$A128)</f>
        <v>0</v>
      </c>
      <c r="P128" s="166">
        <f>SUMIFS(Продажи!M$5:M$359,Продажи!$D$5:$D$359,Конструкторы!$B128,Продажи!$C$5:$C$359,Конструкторы!$A128)</f>
        <v>0</v>
      </c>
      <c r="Q128" s="166">
        <f>SUMIFS(Продажи!N$5:N$359,Продажи!$D$5:$D$359,Конструкторы!$B128,Продажи!$C$5:$C$359,Конструкторы!$A128)</f>
        <v>0</v>
      </c>
      <c r="R128" s="166">
        <f>SUMIFS(Продажи!O$5:O$359,Продажи!$D$5:$D$359,Конструкторы!$B128,Продажи!$C$5:$C$359,Конструкторы!$A128)</f>
        <v>0</v>
      </c>
      <c r="S128" s="166">
        <f>SUMIFS(Продажи!P$5:P$359,Продажи!$D$5:$D$359,Конструкторы!$B128,Продажи!$C$5:$C$359,Конструкторы!$A128)</f>
        <v>0</v>
      </c>
      <c r="T128" s="166">
        <f>SUMIFS(Продажи!Q$5:Q$359,Продажи!$D$5:$D$359,Конструкторы!$B128,Продажи!$C$5:$C$359,Конструкторы!$A128)</f>
        <v>0</v>
      </c>
    </row>
    <row r="129" spans="1:20" ht="15.75" hidden="1" x14ac:dyDescent="0.25">
      <c r="A129" s="166" t="s">
        <v>397</v>
      </c>
      <c r="B129" s="167" t="s">
        <v>290</v>
      </c>
      <c r="C129" s="33" t="s">
        <v>84</v>
      </c>
      <c r="D129" s="149"/>
      <c r="E129" s="153" t="s">
        <v>70</v>
      </c>
      <c r="F129" s="159">
        <v>4</v>
      </c>
      <c r="G129" s="156" t="s">
        <v>71</v>
      </c>
      <c r="H129" s="156">
        <f>F129</f>
        <v>4</v>
      </c>
      <c r="I129" s="166">
        <f>SUMIFS(Продажи!F$5:F$359,Продажи!$D$5:$D$359,Конструкторы!$B129,Продажи!$C$5:$C$359,Конструкторы!$A129)</f>
        <v>0</v>
      </c>
      <c r="J129" s="166">
        <f>SUMIFS(Продажи!G$5:G$359,Продажи!$D$5:$D$359,Конструкторы!$B129,Продажи!$C$5:$C$359,Конструкторы!$A129)</f>
        <v>0</v>
      </c>
      <c r="K129" s="166">
        <f>SUMIFS(Продажи!H$5:H$359,Продажи!$D$5:$D$359,Конструкторы!$B129,Продажи!$C$5:$C$359,Конструкторы!$A129)</f>
        <v>0</v>
      </c>
      <c r="L129" s="166">
        <f>SUMIFS(Продажи!I$5:I$359,Продажи!$D$5:$D$359,Конструкторы!$B129,Продажи!$C$5:$C$359,Конструкторы!$A129)</f>
        <v>0</v>
      </c>
      <c r="M129" s="166">
        <f>SUMIFS(Продажи!J$5:J$359,Продажи!$D$5:$D$359,Конструкторы!$B129,Продажи!$C$5:$C$359,Конструкторы!$A129)</f>
        <v>0</v>
      </c>
      <c r="N129" s="166">
        <f>SUMIFS(Продажи!K$5:K$359,Продажи!$D$5:$D$359,Конструкторы!$B129,Продажи!$C$5:$C$359,Конструкторы!$A129)</f>
        <v>0</v>
      </c>
      <c r="O129" s="166">
        <f>SUMIFS(Продажи!L$5:L$359,Продажи!$D$5:$D$359,Конструкторы!$B129,Продажи!$C$5:$C$359,Конструкторы!$A129)</f>
        <v>0</v>
      </c>
      <c r="P129" s="166">
        <f>SUMIFS(Продажи!M$5:M$359,Продажи!$D$5:$D$359,Конструкторы!$B129,Продажи!$C$5:$C$359,Конструкторы!$A129)</f>
        <v>0</v>
      </c>
      <c r="Q129" s="166">
        <f>SUMIFS(Продажи!N$5:N$359,Продажи!$D$5:$D$359,Конструкторы!$B129,Продажи!$C$5:$C$359,Конструкторы!$A129)</f>
        <v>0</v>
      </c>
      <c r="R129" s="166">
        <f>SUMIFS(Продажи!O$5:O$359,Продажи!$D$5:$D$359,Конструкторы!$B129,Продажи!$C$5:$C$359,Конструкторы!$A129)</f>
        <v>0</v>
      </c>
      <c r="S129" s="166">
        <f>SUMIFS(Продажи!P$5:P$359,Продажи!$D$5:$D$359,Конструкторы!$B129,Продажи!$C$5:$C$359,Конструкторы!$A129)</f>
        <v>0</v>
      </c>
      <c r="T129" s="166">
        <f>SUMIFS(Продажи!Q$5:Q$359,Продажи!$D$5:$D$359,Конструкторы!$B129,Продажи!$C$5:$C$359,Конструкторы!$A129)</f>
        <v>0</v>
      </c>
    </row>
    <row r="130" spans="1:20" ht="15.75" hidden="1" x14ac:dyDescent="0.25">
      <c r="A130" s="166" t="s">
        <v>397</v>
      </c>
      <c r="B130" s="167" t="s">
        <v>290</v>
      </c>
      <c r="C130" s="33" t="s">
        <v>85</v>
      </c>
      <c r="D130" s="149"/>
      <c r="E130" s="153" t="s">
        <v>70</v>
      </c>
      <c r="F130" s="159">
        <v>8</v>
      </c>
      <c r="G130" s="156" t="s">
        <v>71</v>
      </c>
      <c r="H130" s="156">
        <f>F130</f>
        <v>8</v>
      </c>
      <c r="I130" s="166">
        <f>SUMIFS(Продажи!F$5:F$359,Продажи!$D$5:$D$359,Конструкторы!$B130,Продажи!$C$5:$C$359,Конструкторы!$A130)</f>
        <v>0</v>
      </c>
      <c r="J130" s="166">
        <f>SUMIFS(Продажи!G$5:G$359,Продажи!$D$5:$D$359,Конструкторы!$B130,Продажи!$C$5:$C$359,Конструкторы!$A130)</f>
        <v>0</v>
      </c>
      <c r="K130" s="166">
        <f>SUMIFS(Продажи!H$5:H$359,Продажи!$D$5:$D$359,Конструкторы!$B130,Продажи!$C$5:$C$359,Конструкторы!$A130)</f>
        <v>0</v>
      </c>
      <c r="L130" s="166">
        <f>SUMIFS(Продажи!I$5:I$359,Продажи!$D$5:$D$359,Конструкторы!$B130,Продажи!$C$5:$C$359,Конструкторы!$A130)</f>
        <v>0</v>
      </c>
      <c r="M130" s="166">
        <f>SUMIFS(Продажи!J$5:J$359,Продажи!$D$5:$D$359,Конструкторы!$B130,Продажи!$C$5:$C$359,Конструкторы!$A130)</f>
        <v>0</v>
      </c>
      <c r="N130" s="166">
        <f>SUMIFS(Продажи!K$5:K$359,Продажи!$D$5:$D$359,Конструкторы!$B130,Продажи!$C$5:$C$359,Конструкторы!$A130)</f>
        <v>0</v>
      </c>
      <c r="O130" s="166">
        <f>SUMIFS(Продажи!L$5:L$359,Продажи!$D$5:$D$359,Конструкторы!$B130,Продажи!$C$5:$C$359,Конструкторы!$A130)</f>
        <v>0</v>
      </c>
      <c r="P130" s="166">
        <f>SUMIFS(Продажи!M$5:M$359,Продажи!$D$5:$D$359,Конструкторы!$B130,Продажи!$C$5:$C$359,Конструкторы!$A130)</f>
        <v>0</v>
      </c>
      <c r="Q130" s="166">
        <f>SUMIFS(Продажи!N$5:N$359,Продажи!$D$5:$D$359,Конструкторы!$B130,Продажи!$C$5:$C$359,Конструкторы!$A130)</f>
        <v>0</v>
      </c>
      <c r="R130" s="166">
        <f>SUMIFS(Продажи!O$5:O$359,Продажи!$D$5:$D$359,Конструкторы!$B130,Продажи!$C$5:$C$359,Конструкторы!$A130)</f>
        <v>0</v>
      </c>
      <c r="S130" s="166">
        <f>SUMIFS(Продажи!P$5:P$359,Продажи!$D$5:$D$359,Конструкторы!$B130,Продажи!$C$5:$C$359,Конструкторы!$A130)</f>
        <v>0</v>
      </c>
      <c r="T130" s="166">
        <f>SUMIFS(Продажи!Q$5:Q$359,Продажи!$D$5:$D$359,Конструкторы!$B130,Продажи!$C$5:$C$359,Конструкторы!$A130)</f>
        <v>0</v>
      </c>
    </row>
    <row r="131" spans="1:20" ht="15.75" hidden="1" x14ac:dyDescent="0.25">
      <c r="A131" s="166" t="s">
        <v>397</v>
      </c>
      <c r="B131" s="167" t="s">
        <v>290</v>
      </c>
      <c r="C131" s="33" t="s">
        <v>86</v>
      </c>
      <c r="D131" s="149"/>
      <c r="E131" s="153" t="s">
        <v>70</v>
      </c>
      <c r="F131" s="159">
        <v>8</v>
      </c>
      <c r="G131" s="156" t="s">
        <v>71</v>
      </c>
      <c r="H131" s="156">
        <f>F131</f>
        <v>8</v>
      </c>
      <c r="I131" s="166">
        <f>SUMIFS(Продажи!F$5:F$359,Продажи!$D$5:$D$359,Конструкторы!$B131,Продажи!$C$5:$C$359,Конструкторы!$A131)</f>
        <v>0</v>
      </c>
      <c r="J131" s="166">
        <f>SUMIFS(Продажи!G$5:G$359,Продажи!$D$5:$D$359,Конструкторы!$B131,Продажи!$C$5:$C$359,Конструкторы!$A131)</f>
        <v>0</v>
      </c>
      <c r="K131" s="166">
        <f>SUMIFS(Продажи!H$5:H$359,Продажи!$D$5:$D$359,Конструкторы!$B131,Продажи!$C$5:$C$359,Конструкторы!$A131)</f>
        <v>0</v>
      </c>
      <c r="L131" s="166">
        <f>SUMIFS(Продажи!I$5:I$359,Продажи!$D$5:$D$359,Конструкторы!$B131,Продажи!$C$5:$C$359,Конструкторы!$A131)</f>
        <v>0</v>
      </c>
      <c r="M131" s="166">
        <f>SUMIFS(Продажи!J$5:J$359,Продажи!$D$5:$D$359,Конструкторы!$B131,Продажи!$C$5:$C$359,Конструкторы!$A131)</f>
        <v>0</v>
      </c>
      <c r="N131" s="166">
        <f>SUMIFS(Продажи!K$5:K$359,Продажи!$D$5:$D$359,Конструкторы!$B131,Продажи!$C$5:$C$359,Конструкторы!$A131)</f>
        <v>0</v>
      </c>
      <c r="O131" s="166">
        <f>SUMIFS(Продажи!L$5:L$359,Продажи!$D$5:$D$359,Конструкторы!$B131,Продажи!$C$5:$C$359,Конструкторы!$A131)</f>
        <v>0</v>
      </c>
      <c r="P131" s="166">
        <f>SUMIFS(Продажи!M$5:M$359,Продажи!$D$5:$D$359,Конструкторы!$B131,Продажи!$C$5:$C$359,Конструкторы!$A131)</f>
        <v>0</v>
      </c>
      <c r="Q131" s="166">
        <f>SUMIFS(Продажи!N$5:N$359,Продажи!$D$5:$D$359,Конструкторы!$B131,Продажи!$C$5:$C$359,Конструкторы!$A131)</f>
        <v>0</v>
      </c>
      <c r="R131" s="166">
        <f>SUMIFS(Продажи!O$5:O$359,Продажи!$D$5:$D$359,Конструкторы!$B131,Продажи!$C$5:$C$359,Конструкторы!$A131)</f>
        <v>0</v>
      </c>
      <c r="S131" s="166">
        <f>SUMIFS(Продажи!P$5:P$359,Продажи!$D$5:$D$359,Конструкторы!$B131,Продажи!$C$5:$C$359,Конструкторы!$A131)</f>
        <v>0</v>
      </c>
      <c r="T131" s="166">
        <f>SUMIFS(Продажи!Q$5:Q$359,Продажи!$D$5:$D$359,Конструкторы!$B131,Продажи!$C$5:$C$359,Конструкторы!$A131)</f>
        <v>0</v>
      </c>
    </row>
    <row r="132" spans="1:20" ht="15.75" hidden="1" x14ac:dyDescent="0.25">
      <c r="A132" s="166" t="s">
        <v>397</v>
      </c>
      <c r="B132" s="167" t="s">
        <v>290</v>
      </c>
      <c r="C132" s="33" t="s">
        <v>78</v>
      </c>
      <c r="D132" s="149"/>
      <c r="E132" s="153" t="s">
        <v>70</v>
      </c>
      <c r="F132" s="148">
        <v>4</v>
      </c>
      <c r="G132" s="156" t="s">
        <v>71</v>
      </c>
      <c r="H132" s="156">
        <f>F132</f>
        <v>4</v>
      </c>
      <c r="I132" s="166">
        <f>SUMIFS(Продажи!F$5:F$359,Продажи!$D$5:$D$359,Конструкторы!$B132,Продажи!$C$5:$C$359,Конструкторы!$A132)</f>
        <v>0</v>
      </c>
      <c r="J132" s="166">
        <f>SUMIFS(Продажи!G$5:G$359,Продажи!$D$5:$D$359,Конструкторы!$B132,Продажи!$C$5:$C$359,Конструкторы!$A132)</f>
        <v>0</v>
      </c>
      <c r="K132" s="166">
        <f>SUMIFS(Продажи!H$5:H$359,Продажи!$D$5:$D$359,Конструкторы!$B132,Продажи!$C$5:$C$359,Конструкторы!$A132)</f>
        <v>0</v>
      </c>
      <c r="L132" s="166">
        <f>SUMIFS(Продажи!I$5:I$359,Продажи!$D$5:$D$359,Конструкторы!$B132,Продажи!$C$5:$C$359,Конструкторы!$A132)</f>
        <v>0</v>
      </c>
      <c r="M132" s="166">
        <f>SUMIFS(Продажи!J$5:J$359,Продажи!$D$5:$D$359,Конструкторы!$B132,Продажи!$C$5:$C$359,Конструкторы!$A132)</f>
        <v>0</v>
      </c>
      <c r="N132" s="166">
        <f>SUMIFS(Продажи!K$5:K$359,Продажи!$D$5:$D$359,Конструкторы!$B132,Продажи!$C$5:$C$359,Конструкторы!$A132)</f>
        <v>0</v>
      </c>
      <c r="O132" s="166">
        <f>SUMIFS(Продажи!L$5:L$359,Продажи!$D$5:$D$359,Конструкторы!$B132,Продажи!$C$5:$C$359,Конструкторы!$A132)</f>
        <v>0</v>
      </c>
      <c r="P132" s="166">
        <f>SUMIFS(Продажи!M$5:M$359,Продажи!$D$5:$D$359,Конструкторы!$B132,Продажи!$C$5:$C$359,Конструкторы!$A132)</f>
        <v>0</v>
      </c>
      <c r="Q132" s="166">
        <f>SUMIFS(Продажи!N$5:N$359,Продажи!$D$5:$D$359,Конструкторы!$B132,Продажи!$C$5:$C$359,Конструкторы!$A132)</f>
        <v>0</v>
      </c>
      <c r="R132" s="166">
        <f>SUMIFS(Продажи!O$5:O$359,Продажи!$D$5:$D$359,Конструкторы!$B132,Продажи!$C$5:$C$359,Конструкторы!$A132)</f>
        <v>0</v>
      </c>
      <c r="S132" s="166">
        <f>SUMIFS(Продажи!P$5:P$359,Продажи!$D$5:$D$359,Конструкторы!$B132,Продажи!$C$5:$C$359,Конструкторы!$A132)</f>
        <v>0</v>
      </c>
      <c r="T132" s="166">
        <f>SUMIFS(Продажи!Q$5:Q$359,Продажи!$D$5:$D$359,Конструкторы!$B132,Продажи!$C$5:$C$359,Конструкторы!$A132)</f>
        <v>0</v>
      </c>
    </row>
    <row r="133" spans="1:20" ht="15.75" hidden="1" x14ac:dyDescent="0.25">
      <c r="A133" s="166" t="s">
        <v>397</v>
      </c>
      <c r="B133" s="167" t="s">
        <v>291</v>
      </c>
      <c r="C133" s="129" t="s">
        <v>25</v>
      </c>
      <c r="D133" s="149"/>
      <c r="E133" s="153" t="s">
        <v>68</v>
      </c>
      <c r="F133" s="156">
        <f>(0.595*103)/100</f>
        <v>0.61285000000000001</v>
      </c>
      <c r="G133" s="156">
        <v>1.7850000000000033E-2</v>
      </c>
      <c r="H133" s="156">
        <f>F133+G133</f>
        <v>0.63070000000000004</v>
      </c>
      <c r="I133" s="166">
        <f>SUMIFS(Продажи!F$5:F$359,Продажи!$D$5:$D$359,Конструкторы!$B133,Продажи!$C$5:$C$359,Конструкторы!$A133)</f>
        <v>0</v>
      </c>
      <c r="J133" s="166">
        <f>SUMIFS(Продажи!G$5:G$359,Продажи!$D$5:$D$359,Конструкторы!$B133,Продажи!$C$5:$C$359,Конструкторы!$A133)</f>
        <v>0</v>
      </c>
      <c r="K133" s="166">
        <f>SUMIFS(Продажи!H$5:H$359,Продажи!$D$5:$D$359,Конструкторы!$B133,Продажи!$C$5:$C$359,Конструкторы!$A133)</f>
        <v>0</v>
      </c>
      <c r="L133" s="166">
        <f>SUMIFS(Продажи!I$5:I$359,Продажи!$D$5:$D$359,Конструкторы!$B133,Продажи!$C$5:$C$359,Конструкторы!$A133)</f>
        <v>0</v>
      </c>
      <c r="M133" s="166">
        <f>SUMIFS(Продажи!J$5:J$359,Продажи!$D$5:$D$359,Конструкторы!$B133,Продажи!$C$5:$C$359,Конструкторы!$A133)</f>
        <v>0</v>
      </c>
      <c r="N133" s="166">
        <f>SUMIFS(Продажи!K$5:K$359,Продажи!$D$5:$D$359,Конструкторы!$B133,Продажи!$C$5:$C$359,Конструкторы!$A133)</f>
        <v>0</v>
      </c>
      <c r="O133" s="166">
        <f>SUMIFS(Продажи!L$5:L$359,Продажи!$D$5:$D$359,Конструкторы!$B133,Продажи!$C$5:$C$359,Конструкторы!$A133)</f>
        <v>0</v>
      </c>
      <c r="P133" s="166">
        <f>SUMIFS(Продажи!M$5:M$359,Продажи!$D$5:$D$359,Конструкторы!$B133,Продажи!$C$5:$C$359,Конструкторы!$A133)</f>
        <v>0</v>
      </c>
      <c r="Q133" s="166">
        <f>SUMIFS(Продажи!N$5:N$359,Продажи!$D$5:$D$359,Конструкторы!$B133,Продажи!$C$5:$C$359,Конструкторы!$A133)</f>
        <v>0</v>
      </c>
      <c r="R133" s="166">
        <f>SUMIFS(Продажи!O$5:O$359,Продажи!$D$5:$D$359,Конструкторы!$B133,Продажи!$C$5:$C$359,Конструкторы!$A133)</f>
        <v>0</v>
      </c>
      <c r="S133" s="166">
        <f>SUMIFS(Продажи!P$5:P$359,Продажи!$D$5:$D$359,Конструкторы!$B133,Продажи!$C$5:$C$359,Конструкторы!$A133)</f>
        <v>0</v>
      </c>
      <c r="T133" s="166">
        <f>SUMIFS(Продажи!Q$5:Q$359,Продажи!$D$5:$D$359,Конструкторы!$B133,Продажи!$C$5:$C$359,Конструкторы!$A133)</f>
        <v>0</v>
      </c>
    </row>
    <row r="134" spans="1:20" ht="15.75" hidden="1" x14ac:dyDescent="0.25">
      <c r="A134" s="166" t="s">
        <v>397</v>
      </c>
      <c r="B134" s="167" t="s">
        <v>291</v>
      </c>
      <c r="C134" s="129" t="s">
        <v>29</v>
      </c>
      <c r="D134" s="149"/>
      <c r="E134" s="153" t="s">
        <v>68</v>
      </c>
      <c r="F134" s="156">
        <f>(1.4*103)/100</f>
        <v>1.4419999999999999</v>
      </c>
      <c r="G134" s="156">
        <v>4.2000000000000037E-2</v>
      </c>
      <c r="H134" s="156">
        <f>F134+G134</f>
        <v>1.484</v>
      </c>
      <c r="I134" s="166">
        <f>SUMIFS(Продажи!F$5:F$359,Продажи!$D$5:$D$359,Конструкторы!$B134,Продажи!$C$5:$C$359,Конструкторы!$A134)</f>
        <v>0</v>
      </c>
      <c r="J134" s="166">
        <f>SUMIFS(Продажи!G$5:G$359,Продажи!$D$5:$D$359,Конструкторы!$B134,Продажи!$C$5:$C$359,Конструкторы!$A134)</f>
        <v>0</v>
      </c>
      <c r="K134" s="166">
        <f>SUMIFS(Продажи!H$5:H$359,Продажи!$D$5:$D$359,Конструкторы!$B134,Продажи!$C$5:$C$359,Конструкторы!$A134)</f>
        <v>0</v>
      </c>
      <c r="L134" s="166">
        <f>SUMIFS(Продажи!I$5:I$359,Продажи!$D$5:$D$359,Конструкторы!$B134,Продажи!$C$5:$C$359,Конструкторы!$A134)</f>
        <v>0</v>
      </c>
      <c r="M134" s="166">
        <f>SUMIFS(Продажи!J$5:J$359,Продажи!$D$5:$D$359,Конструкторы!$B134,Продажи!$C$5:$C$359,Конструкторы!$A134)</f>
        <v>0</v>
      </c>
      <c r="N134" s="166">
        <f>SUMIFS(Продажи!K$5:K$359,Продажи!$D$5:$D$359,Конструкторы!$B134,Продажи!$C$5:$C$359,Конструкторы!$A134)</f>
        <v>0</v>
      </c>
      <c r="O134" s="166">
        <f>SUMIFS(Продажи!L$5:L$359,Продажи!$D$5:$D$359,Конструкторы!$B134,Продажи!$C$5:$C$359,Конструкторы!$A134)</f>
        <v>0</v>
      </c>
      <c r="P134" s="166">
        <f>SUMIFS(Продажи!M$5:M$359,Продажи!$D$5:$D$359,Конструкторы!$B134,Продажи!$C$5:$C$359,Конструкторы!$A134)</f>
        <v>0</v>
      </c>
      <c r="Q134" s="166">
        <f>SUMIFS(Продажи!N$5:N$359,Продажи!$D$5:$D$359,Конструкторы!$B134,Продажи!$C$5:$C$359,Конструкторы!$A134)</f>
        <v>0</v>
      </c>
      <c r="R134" s="166">
        <f>SUMIFS(Продажи!O$5:O$359,Продажи!$D$5:$D$359,Конструкторы!$B134,Продажи!$C$5:$C$359,Конструкторы!$A134)</f>
        <v>0</v>
      </c>
      <c r="S134" s="166">
        <f>SUMIFS(Продажи!P$5:P$359,Продажи!$D$5:$D$359,Конструкторы!$B134,Продажи!$C$5:$C$359,Конструкторы!$A134)</f>
        <v>0</v>
      </c>
      <c r="T134" s="166">
        <f>SUMIFS(Продажи!Q$5:Q$359,Продажи!$D$5:$D$359,Конструкторы!$B134,Продажи!$C$5:$C$359,Конструкторы!$A134)</f>
        <v>0</v>
      </c>
    </row>
    <row r="135" spans="1:20" ht="15.75" hidden="1" x14ac:dyDescent="0.25">
      <c r="A135" s="166" t="s">
        <v>397</v>
      </c>
      <c r="B135" s="167" t="s">
        <v>291</v>
      </c>
      <c r="C135" s="33" t="s">
        <v>83</v>
      </c>
      <c r="D135" s="149"/>
      <c r="E135" s="153" t="s">
        <v>70</v>
      </c>
      <c r="F135" s="159">
        <v>2</v>
      </c>
      <c r="G135" s="156" t="s">
        <v>71</v>
      </c>
      <c r="H135" s="156">
        <f>F135</f>
        <v>2</v>
      </c>
      <c r="I135" s="166">
        <f>SUMIFS(Продажи!F$5:F$359,Продажи!$D$5:$D$359,Конструкторы!$B135,Продажи!$C$5:$C$359,Конструкторы!$A135)</f>
        <v>0</v>
      </c>
      <c r="J135" s="166">
        <f>SUMIFS(Продажи!G$5:G$359,Продажи!$D$5:$D$359,Конструкторы!$B135,Продажи!$C$5:$C$359,Конструкторы!$A135)</f>
        <v>0</v>
      </c>
      <c r="K135" s="166">
        <f>SUMIFS(Продажи!H$5:H$359,Продажи!$D$5:$D$359,Конструкторы!$B135,Продажи!$C$5:$C$359,Конструкторы!$A135)</f>
        <v>0</v>
      </c>
      <c r="L135" s="166">
        <f>SUMIFS(Продажи!I$5:I$359,Продажи!$D$5:$D$359,Конструкторы!$B135,Продажи!$C$5:$C$359,Конструкторы!$A135)</f>
        <v>0</v>
      </c>
      <c r="M135" s="166">
        <f>SUMIFS(Продажи!J$5:J$359,Продажи!$D$5:$D$359,Конструкторы!$B135,Продажи!$C$5:$C$359,Конструкторы!$A135)</f>
        <v>0</v>
      </c>
      <c r="N135" s="166">
        <f>SUMIFS(Продажи!K$5:K$359,Продажи!$D$5:$D$359,Конструкторы!$B135,Продажи!$C$5:$C$359,Конструкторы!$A135)</f>
        <v>0</v>
      </c>
      <c r="O135" s="166">
        <f>SUMIFS(Продажи!L$5:L$359,Продажи!$D$5:$D$359,Конструкторы!$B135,Продажи!$C$5:$C$359,Конструкторы!$A135)</f>
        <v>0</v>
      </c>
      <c r="P135" s="166">
        <f>SUMIFS(Продажи!M$5:M$359,Продажи!$D$5:$D$359,Конструкторы!$B135,Продажи!$C$5:$C$359,Конструкторы!$A135)</f>
        <v>0</v>
      </c>
      <c r="Q135" s="166">
        <f>SUMIFS(Продажи!N$5:N$359,Продажи!$D$5:$D$359,Конструкторы!$B135,Продажи!$C$5:$C$359,Конструкторы!$A135)</f>
        <v>0</v>
      </c>
      <c r="R135" s="166">
        <f>SUMIFS(Продажи!O$5:O$359,Продажи!$D$5:$D$359,Конструкторы!$B135,Продажи!$C$5:$C$359,Конструкторы!$A135)</f>
        <v>0</v>
      </c>
      <c r="S135" s="166">
        <f>SUMIFS(Продажи!P$5:P$359,Продажи!$D$5:$D$359,Конструкторы!$B135,Продажи!$C$5:$C$359,Конструкторы!$A135)</f>
        <v>0</v>
      </c>
      <c r="T135" s="166">
        <f>SUMIFS(Продажи!Q$5:Q$359,Продажи!$D$5:$D$359,Конструкторы!$B135,Продажи!$C$5:$C$359,Конструкторы!$A135)</f>
        <v>0</v>
      </c>
    </row>
    <row r="136" spans="1:20" ht="15.75" hidden="1" x14ac:dyDescent="0.25">
      <c r="A136" s="166" t="s">
        <v>397</v>
      </c>
      <c r="B136" s="167" t="s">
        <v>291</v>
      </c>
      <c r="C136" s="33" t="s">
        <v>84</v>
      </c>
      <c r="D136" s="149"/>
      <c r="E136" s="153" t="s">
        <v>70</v>
      </c>
      <c r="F136" s="159">
        <v>4</v>
      </c>
      <c r="G136" s="156" t="s">
        <v>71</v>
      </c>
      <c r="H136" s="156">
        <f>F136</f>
        <v>4</v>
      </c>
      <c r="I136" s="166">
        <f>SUMIFS(Продажи!F$5:F$359,Продажи!$D$5:$D$359,Конструкторы!$B136,Продажи!$C$5:$C$359,Конструкторы!$A136)</f>
        <v>0</v>
      </c>
      <c r="J136" s="166">
        <f>SUMIFS(Продажи!G$5:G$359,Продажи!$D$5:$D$359,Конструкторы!$B136,Продажи!$C$5:$C$359,Конструкторы!$A136)</f>
        <v>0</v>
      </c>
      <c r="K136" s="166">
        <f>SUMIFS(Продажи!H$5:H$359,Продажи!$D$5:$D$359,Конструкторы!$B136,Продажи!$C$5:$C$359,Конструкторы!$A136)</f>
        <v>0</v>
      </c>
      <c r="L136" s="166">
        <f>SUMIFS(Продажи!I$5:I$359,Продажи!$D$5:$D$359,Конструкторы!$B136,Продажи!$C$5:$C$359,Конструкторы!$A136)</f>
        <v>0</v>
      </c>
      <c r="M136" s="166">
        <f>SUMIFS(Продажи!J$5:J$359,Продажи!$D$5:$D$359,Конструкторы!$B136,Продажи!$C$5:$C$359,Конструкторы!$A136)</f>
        <v>0</v>
      </c>
      <c r="N136" s="166">
        <f>SUMIFS(Продажи!K$5:K$359,Продажи!$D$5:$D$359,Конструкторы!$B136,Продажи!$C$5:$C$359,Конструкторы!$A136)</f>
        <v>0</v>
      </c>
      <c r="O136" s="166">
        <f>SUMIFS(Продажи!L$5:L$359,Продажи!$D$5:$D$359,Конструкторы!$B136,Продажи!$C$5:$C$359,Конструкторы!$A136)</f>
        <v>0</v>
      </c>
      <c r="P136" s="166">
        <f>SUMIFS(Продажи!M$5:M$359,Продажи!$D$5:$D$359,Конструкторы!$B136,Продажи!$C$5:$C$359,Конструкторы!$A136)</f>
        <v>0</v>
      </c>
      <c r="Q136" s="166">
        <f>SUMIFS(Продажи!N$5:N$359,Продажи!$D$5:$D$359,Конструкторы!$B136,Продажи!$C$5:$C$359,Конструкторы!$A136)</f>
        <v>0</v>
      </c>
      <c r="R136" s="166">
        <f>SUMIFS(Продажи!O$5:O$359,Продажи!$D$5:$D$359,Конструкторы!$B136,Продажи!$C$5:$C$359,Конструкторы!$A136)</f>
        <v>0</v>
      </c>
      <c r="S136" s="166">
        <f>SUMIFS(Продажи!P$5:P$359,Продажи!$D$5:$D$359,Конструкторы!$B136,Продажи!$C$5:$C$359,Конструкторы!$A136)</f>
        <v>0</v>
      </c>
      <c r="T136" s="166">
        <f>SUMIFS(Продажи!Q$5:Q$359,Продажи!$D$5:$D$359,Конструкторы!$B136,Продажи!$C$5:$C$359,Конструкторы!$A136)</f>
        <v>0</v>
      </c>
    </row>
    <row r="137" spans="1:20" ht="15.75" hidden="1" x14ac:dyDescent="0.25">
      <c r="A137" s="166" t="s">
        <v>397</v>
      </c>
      <c r="B137" s="167" t="s">
        <v>291</v>
      </c>
      <c r="C137" s="33" t="s">
        <v>85</v>
      </c>
      <c r="D137" s="149"/>
      <c r="E137" s="153" t="s">
        <v>70</v>
      </c>
      <c r="F137" s="159">
        <v>8</v>
      </c>
      <c r="G137" s="156" t="s">
        <v>71</v>
      </c>
      <c r="H137" s="156">
        <f>F137</f>
        <v>8</v>
      </c>
      <c r="I137" s="166">
        <f>SUMIFS(Продажи!F$5:F$359,Продажи!$D$5:$D$359,Конструкторы!$B137,Продажи!$C$5:$C$359,Конструкторы!$A137)</f>
        <v>0</v>
      </c>
      <c r="J137" s="166">
        <f>SUMIFS(Продажи!G$5:G$359,Продажи!$D$5:$D$359,Конструкторы!$B137,Продажи!$C$5:$C$359,Конструкторы!$A137)</f>
        <v>0</v>
      </c>
      <c r="K137" s="166">
        <f>SUMIFS(Продажи!H$5:H$359,Продажи!$D$5:$D$359,Конструкторы!$B137,Продажи!$C$5:$C$359,Конструкторы!$A137)</f>
        <v>0</v>
      </c>
      <c r="L137" s="166">
        <f>SUMIFS(Продажи!I$5:I$359,Продажи!$D$5:$D$359,Конструкторы!$B137,Продажи!$C$5:$C$359,Конструкторы!$A137)</f>
        <v>0</v>
      </c>
      <c r="M137" s="166">
        <f>SUMIFS(Продажи!J$5:J$359,Продажи!$D$5:$D$359,Конструкторы!$B137,Продажи!$C$5:$C$359,Конструкторы!$A137)</f>
        <v>0</v>
      </c>
      <c r="N137" s="166">
        <f>SUMIFS(Продажи!K$5:K$359,Продажи!$D$5:$D$359,Конструкторы!$B137,Продажи!$C$5:$C$359,Конструкторы!$A137)</f>
        <v>0</v>
      </c>
      <c r="O137" s="166">
        <f>SUMIFS(Продажи!L$5:L$359,Продажи!$D$5:$D$359,Конструкторы!$B137,Продажи!$C$5:$C$359,Конструкторы!$A137)</f>
        <v>0</v>
      </c>
      <c r="P137" s="166">
        <f>SUMIFS(Продажи!M$5:M$359,Продажи!$D$5:$D$359,Конструкторы!$B137,Продажи!$C$5:$C$359,Конструкторы!$A137)</f>
        <v>0</v>
      </c>
      <c r="Q137" s="166">
        <f>SUMIFS(Продажи!N$5:N$359,Продажи!$D$5:$D$359,Конструкторы!$B137,Продажи!$C$5:$C$359,Конструкторы!$A137)</f>
        <v>0</v>
      </c>
      <c r="R137" s="166">
        <f>SUMIFS(Продажи!O$5:O$359,Продажи!$D$5:$D$359,Конструкторы!$B137,Продажи!$C$5:$C$359,Конструкторы!$A137)</f>
        <v>0</v>
      </c>
      <c r="S137" s="166">
        <f>SUMIFS(Продажи!P$5:P$359,Продажи!$D$5:$D$359,Конструкторы!$B137,Продажи!$C$5:$C$359,Конструкторы!$A137)</f>
        <v>0</v>
      </c>
      <c r="T137" s="166">
        <f>SUMIFS(Продажи!Q$5:Q$359,Продажи!$D$5:$D$359,Конструкторы!$B137,Продажи!$C$5:$C$359,Конструкторы!$A137)</f>
        <v>0</v>
      </c>
    </row>
    <row r="138" spans="1:20" ht="15.75" hidden="1" x14ac:dyDescent="0.25">
      <c r="A138" s="166" t="s">
        <v>397</v>
      </c>
      <c r="B138" s="167" t="s">
        <v>291</v>
      </c>
      <c r="C138" s="33" t="s">
        <v>86</v>
      </c>
      <c r="D138" s="149"/>
      <c r="E138" s="153" t="s">
        <v>70</v>
      </c>
      <c r="F138" s="159">
        <v>8</v>
      </c>
      <c r="G138" s="156" t="s">
        <v>71</v>
      </c>
      <c r="H138" s="156">
        <f>F138</f>
        <v>8</v>
      </c>
      <c r="I138" s="166">
        <f>SUMIFS(Продажи!F$5:F$359,Продажи!$D$5:$D$359,Конструкторы!$B138,Продажи!$C$5:$C$359,Конструкторы!$A138)</f>
        <v>0</v>
      </c>
      <c r="J138" s="166">
        <f>SUMIFS(Продажи!G$5:G$359,Продажи!$D$5:$D$359,Конструкторы!$B138,Продажи!$C$5:$C$359,Конструкторы!$A138)</f>
        <v>0</v>
      </c>
      <c r="K138" s="166">
        <f>SUMIFS(Продажи!H$5:H$359,Продажи!$D$5:$D$359,Конструкторы!$B138,Продажи!$C$5:$C$359,Конструкторы!$A138)</f>
        <v>0</v>
      </c>
      <c r="L138" s="166">
        <f>SUMIFS(Продажи!I$5:I$359,Продажи!$D$5:$D$359,Конструкторы!$B138,Продажи!$C$5:$C$359,Конструкторы!$A138)</f>
        <v>0</v>
      </c>
      <c r="M138" s="166">
        <f>SUMIFS(Продажи!J$5:J$359,Продажи!$D$5:$D$359,Конструкторы!$B138,Продажи!$C$5:$C$359,Конструкторы!$A138)</f>
        <v>0</v>
      </c>
      <c r="N138" s="166">
        <f>SUMIFS(Продажи!K$5:K$359,Продажи!$D$5:$D$359,Конструкторы!$B138,Продажи!$C$5:$C$359,Конструкторы!$A138)</f>
        <v>0</v>
      </c>
      <c r="O138" s="166">
        <f>SUMIFS(Продажи!L$5:L$359,Продажи!$D$5:$D$359,Конструкторы!$B138,Продажи!$C$5:$C$359,Конструкторы!$A138)</f>
        <v>0</v>
      </c>
      <c r="P138" s="166">
        <f>SUMIFS(Продажи!M$5:M$359,Продажи!$D$5:$D$359,Конструкторы!$B138,Продажи!$C$5:$C$359,Конструкторы!$A138)</f>
        <v>0</v>
      </c>
      <c r="Q138" s="166">
        <f>SUMIFS(Продажи!N$5:N$359,Продажи!$D$5:$D$359,Конструкторы!$B138,Продажи!$C$5:$C$359,Конструкторы!$A138)</f>
        <v>0</v>
      </c>
      <c r="R138" s="166">
        <f>SUMIFS(Продажи!O$5:O$359,Продажи!$D$5:$D$359,Конструкторы!$B138,Продажи!$C$5:$C$359,Конструкторы!$A138)</f>
        <v>0</v>
      </c>
      <c r="S138" s="166">
        <f>SUMIFS(Продажи!P$5:P$359,Продажи!$D$5:$D$359,Конструкторы!$B138,Продажи!$C$5:$C$359,Конструкторы!$A138)</f>
        <v>0</v>
      </c>
      <c r="T138" s="166">
        <f>SUMIFS(Продажи!Q$5:Q$359,Продажи!$D$5:$D$359,Конструкторы!$B138,Продажи!$C$5:$C$359,Конструкторы!$A138)</f>
        <v>0</v>
      </c>
    </row>
    <row r="139" spans="1:20" ht="15.75" hidden="1" x14ac:dyDescent="0.25">
      <c r="A139" s="166" t="s">
        <v>397</v>
      </c>
      <c r="B139" s="167" t="s">
        <v>291</v>
      </c>
      <c r="C139" s="33" t="s">
        <v>78</v>
      </c>
      <c r="D139" s="149"/>
      <c r="E139" s="153" t="s">
        <v>70</v>
      </c>
      <c r="F139" s="148">
        <v>4</v>
      </c>
      <c r="G139" s="156" t="s">
        <v>71</v>
      </c>
      <c r="H139" s="156">
        <f>F139</f>
        <v>4</v>
      </c>
      <c r="I139" s="166">
        <f>SUMIFS(Продажи!F$5:F$359,Продажи!$D$5:$D$359,Конструкторы!$B139,Продажи!$C$5:$C$359,Конструкторы!$A139)</f>
        <v>0</v>
      </c>
      <c r="J139" s="166">
        <f>SUMIFS(Продажи!G$5:G$359,Продажи!$D$5:$D$359,Конструкторы!$B139,Продажи!$C$5:$C$359,Конструкторы!$A139)</f>
        <v>0</v>
      </c>
      <c r="K139" s="166">
        <f>SUMIFS(Продажи!H$5:H$359,Продажи!$D$5:$D$359,Конструкторы!$B139,Продажи!$C$5:$C$359,Конструкторы!$A139)</f>
        <v>0</v>
      </c>
      <c r="L139" s="166">
        <f>SUMIFS(Продажи!I$5:I$359,Продажи!$D$5:$D$359,Конструкторы!$B139,Продажи!$C$5:$C$359,Конструкторы!$A139)</f>
        <v>0</v>
      </c>
      <c r="M139" s="166">
        <f>SUMIFS(Продажи!J$5:J$359,Продажи!$D$5:$D$359,Конструкторы!$B139,Продажи!$C$5:$C$359,Конструкторы!$A139)</f>
        <v>0</v>
      </c>
      <c r="N139" s="166">
        <f>SUMIFS(Продажи!K$5:K$359,Продажи!$D$5:$D$359,Конструкторы!$B139,Продажи!$C$5:$C$359,Конструкторы!$A139)</f>
        <v>0</v>
      </c>
      <c r="O139" s="166">
        <f>SUMIFS(Продажи!L$5:L$359,Продажи!$D$5:$D$359,Конструкторы!$B139,Продажи!$C$5:$C$359,Конструкторы!$A139)</f>
        <v>0</v>
      </c>
      <c r="P139" s="166">
        <f>SUMIFS(Продажи!M$5:M$359,Продажи!$D$5:$D$359,Конструкторы!$B139,Продажи!$C$5:$C$359,Конструкторы!$A139)</f>
        <v>0</v>
      </c>
      <c r="Q139" s="166">
        <f>SUMIFS(Продажи!N$5:N$359,Продажи!$D$5:$D$359,Конструкторы!$B139,Продажи!$C$5:$C$359,Конструкторы!$A139)</f>
        <v>0</v>
      </c>
      <c r="R139" s="166">
        <f>SUMIFS(Продажи!O$5:O$359,Продажи!$D$5:$D$359,Конструкторы!$B139,Продажи!$C$5:$C$359,Конструкторы!$A139)</f>
        <v>0</v>
      </c>
      <c r="S139" s="166">
        <f>SUMIFS(Продажи!P$5:P$359,Продажи!$D$5:$D$359,Конструкторы!$B139,Продажи!$C$5:$C$359,Конструкторы!$A139)</f>
        <v>0</v>
      </c>
      <c r="T139" s="166">
        <f>SUMIFS(Продажи!Q$5:Q$359,Продажи!$D$5:$D$359,Конструкторы!$B139,Продажи!$C$5:$C$359,Конструкторы!$A139)</f>
        <v>0</v>
      </c>
    </row>
    <row r="140" spans="1:20" ht="15.75" hidden="1" x14ac:dyDescent="0.25">
      <c r="A140" s="166" t="s">
        <v>397</v>
      </c>
      <c r="B140" s="167" t="s">
        <v>292</v>
      </c>
      <c r="C140" s="129" t="s">
        <v>25</v>
      </c>
      <c r="D140" s="149"/>
      <c r="E140" s="153" t="s">
        <v>68</v>
      </c>
      <c r="F140" s="156">
        <f>(0.795*103)/100</f>
        <v>0.81885000000000008</v>
      </c>
      <c r="G140" s="156">
        <v>2.3850000000000038E-2</v>
      </c>
      <c r="H140" s="156">
        <f>F140+G140</f>
        <v>0.84270000000000012</v>
      </c>
      <c r="I140" s="166">
        <f>SUMIFS(Продажи!F$5:F$359,Продажи!$D$5:$D$359,Конструкторы!$B140,Продажи!$C$5:$C$359,Конструкторы!$A140)</f>
        <v>0</v>
      </c>
      <c r="J140" s="166">
        <f>SUMIFS(Продажи!G$5:G$359,Продажи!$D$5:$D$359,Конструкторы!$B140,Продажи!$C$5:$C$359,Конструкторы!$A140)</f>
        <v>0</v>
      </c>
      <c r="K140" s="166">
        <f>SUMIFS(Продажи!H$5:H$359,Продажи!$D$5:$D$359,Конструкторы!$B140,Продажи!$C$5:$C$359,Конструкторы!$A140)</f>
        <v>0</v>
      </c>
      <c r="L140" s="166">
        <f>SUMIFS(Продажи!I$5:I$359,Продажи!$D$5:$D$359,Конструкторы!$B140,Продажи!$C$5:$C$359,Конструкторы!$A140)</f>
        <v>0</v>
      </c>
      <c r="M140" s="166">
        <f>SUMIFS(Продажи!J$5:J$359,Продажи!$D$5:$D$359,Конструкторы!$B140,Продажи!$C$5:$C$359,Конструкторы!$A140)</f>
        <v>0</v>
      </c>
      <c r="N140" s="166">
        <f>SUMIFS(Продажи!K$5:K$359,Продажи!$D$5:$D$359,Конструкторы!$B140,Продажи!$C$5:$C$359,Конструкторы!$A140)</f>
        <v>0</v>
      </c>
      <c r="O140" s="166">
        <f>SUMIFS(Продажи!L$5:L$359,Продажи!$D$5:$D$359,Конструкторы!$B140,Продажи!$C$5:$C$359,Конструкторы!$A140)</f>
        <v>0</v>
      </c>
      <c r="P140" s="166">
        <f>SUMIFS(Продажи!M$5:M$359,Продажи!$D$5:$D$359,Конструкторы!$B140,Продажи!$C$5:$C$359,Конструкторы!$A140)</f>
        <v>0</v>
      </c>
      <c r="Q140" s="166">
        <f>SUMIFS(Продажи!N$5:N$359,Продажи!$D$5:$D$359,Конструкторы!$B140,Продажи!$C$5:$C$359,Конструкторы!$A140)</f>
        <v>0</v>
      </c>
      <c r="R140" s="166">
        <f>SUMIFS(Продажи!O$5:O$359,Продажи!$D$5:$D$359,Конструкторы!$B140,Продажи!$C$5:$C$359,Конструкторы!$A140)</f>
        <v>0</v>
      </c>
      <c r="S140" s="166">
        <f>SUMIFS(Продажи!P$5:P$359,Продажи!$D$5:$D$359,Конструкторы!$B140,Продажи!$C$5:$C$359,Конструкторы!$A140)</f>
        <v>0</v>
      </c>
      <c r="T140" s="166">
        <f>SUMIFS(Продажи!Q$5:Q$359,Продажи!$D$5:$D$359,Конструкторы!$B140,Продажи!$C$5:$C$359,Конструкторы!$A140)</f>
        <v>0</v>
      </c>
    </row>
    <row r="141" spans="1:20" ht="15.75" hidden="1" x14ac:dyDescent="0.25">
      <c r="A141" s="166" t="s">
        <v>397</v>
      </c>
      <c r="B141" s="167" t="s">
        <v>292</v>
      </c>
      <c r="C141" s="129" t="s">
        <v>29</v>
      </c>
      <c r="D141" s="149"/>
      <c r="E141" s="153" t="s">
        <v>68</v>
      </c>
      <c r="F141" s="156">
        <f>(1.4*103)/100</f>
        <v>1.4419999999999999</v>
      </c>
      <c r="G141" s="156">
        <v>4.2000000000000037E-2</v>
      </c>
      <c r="H141" s="156">
        <f>F141+G141</f>
        <v>1.484</v>
      </c>
      <c r="I141" s="166">
        <f>SUMIFS(Продажи!F$5:F$359,Продажи!$D$5:$D$359,Конструкторы!$B141,Продажи!$C$5:$C$359,Конструкторы!$A141)</f>
        <v>0</v>
      </c>
      <c r="J141" s="166">
        <f>SUMIFS(Продажи!G$5:G$359,Продажи!$D$5:$D$359,Конструкторы!$B141,Продажи!$C$5:$C$359,Конструкторы!$A141)</f>
        <v>0</v>
      </c>
      <c r="K141" s="166">
        <f>SUMIFS(Продажи!H$5:H$359,Продажи!$D$5:$D$359,Конструкторы!$B141,Продажи!$C$5:$C$359,Конструкторы!$A141)</f>
        <v>0</v>
      </c>
      <c r="L141" s="166">
        <f>SUMIFS(Продажи!I$5:I$359,Продажи!$D$5:$D$359,Конструкторы!$B141,Продажи!$C$5:$C$359,Конструкторы!$A141)</f>
        <v>0</v>
      </c>
      <c r="M141" s="166">
        <f>SUMIFS(Продажи!J$5:J$359,Продажи!$D$5:$D$359,Конструкторы!$B141,Продажи!$C$5:$C$359,Конструкторы!$A141)</f>
        <v>0</v>
      </c>
      <c r="N141" s="166">
        <f>SUMIFS(Продажи!K$5:K$359,Продажи!$D$5:$D$359,Конструкторы!$B141,Продажи!$C$5:$C$359,Конструкторы!$A141)</f>
        <v>0</v>
      </c>
      <c r="O141" s="166">
        <f>SUMIFS(Продажи!L$5:L$359,Продажи!$D$5:$D$359,Конструкторы!$B141,Продажи!$C$5:$C$359,Конструкторы!$A141)</f>
        <v>0</v>
      </c>
      <c r="P141" s="166">
        <f>SUMIFS(Продажи!M$5:M$359,Продажи!$D$5:$D$359,Конструкторы!$B141,Продажи!$C$5:$C$359,Конструкторы!$A141)</f>
        <v>0</v>
      </c>
      <c r="Q141" s="166">
        <f>SUMIFS(Продажи!N$5:N$359,Продажи!$D$5:$D$359,Конструкторы!$B141,Продажи!$C$5:$C$359,Конструкторы!$A141)</f>
        <v>0</v>
      </c>
      <c r="R141" s="166">
        <f>SUMIFS(Продажи!O$5:O$359,Продажи!$D$5:$D$359,Конструкторы!$B141,Продажи!$C$5:$C$359,Конструкторы!$A141)</f>
        <v>0</v>
      </c>
      <c r="S141" s="166">
        <f>SUMIFS(Продажи!P$5:P$359,Продажи!$D$5:$D$359,Конструкторы!$B141,Продажи!$C$5:$C$359,Конструкторы!$A141)</f>
        <v>0</v>
      </c>
      <c r="T141" s="166">
        <f>SUMIFS(Продажи!Q$5:Q$359,Продажи!$D$5:$D$359,Конструкторы!$B141,Продажи!$C$5:$C$359,Конструкторы!$A141)</f>
        <v>0</v>
      </c>
    </row>
    <row r="142" spans="1:20" ht="15.75" hidden="1" x14ac:dyDescent="0.25">
      <c r="A142" s="166" t="s">
        <v>397</v>
      </c>
      <c r="B142" s="167" t="s">
        <v>292</v>
      </c>
      <c r="C142" s="33" t="s">
        <v>83</v>
      </c>
      <c r="D142" s="149"/>
      <c r="E142" s="153" t="s">
        <v>70</v>
      </c>
      <c r="F142" s="159">
        <v>2</v>
      </c>
      <c r="G142" s="156" t="s">
        <v>71</v>
      </c>
      <c r="H142" s="156">
        <f>F142</f>
        <v>2</v>
      </c>
      <c r="I142" s="166">
        <f>SUMIFS(Продажи!F$5:F$359,Продажи!$D$5:$D$359,Конструкторы!$B142,Продажи!$C$5:$C$359,Конструкторы!$A142)</f>
        <v>0</v>
      </c>
      <c r="J142" s="166">
        <f>SUMIFS(Продажи!G$5:G$359,Продажи!$D$5:$D$359,Конструкторы!$B142,Продажи!$C$5:$C$359,Конструкторы!$A142)</f>
        <v>0</v>
      </c>
      <c r="K142" s="166">
        <f>SUMIFS(Продажи!H$5:H$359,Продажи!$D$5:$D$359,Конструкторы!$B142,Продажи!$C$5:$C$359,Конструкторы!$A142)</f>
        <v>0</v>
      </c>
      <c r="L142" s="166">
        <f>SUMIFS(Продажи!I$5:I$359,Продажи!$D$5:$D$359,Конструкторы!$B142,Продажи!$C$5:$C$359,Конструкторы!$A142)</f>
        <v>0</v>
      </c>
      <c r="M142" s="166">
        <f>SUMIFS(Продажи!J$5:J$359,Продажи!$D$5:$D$359,Конструкторы!$B142,Продажи!$C$5:$C$359,Конструкторы!$A142)</f>
        <v>0</v>
      </c>
      <c r="N142" s="166">
        <f>SUMIFS(Продажи!K$5:K$359,Продажи!$D$5:$D$359,Конструкторы!$B142,Продажи!$C$5:$C$359,Конструкторы!$A142)</f>
        <v>0</v>
      </c>
      <c r="O142" s="166">
        <f>SUMIFS(Продажи!L$5:L$359,Продажи!$D$5:$D$359,Конструкторы!$B142,Продажи!$C$5:$C$359,Конструкторы!$A142)</f>
        <v>0</v>
      </c>
      <c r="P142" s="166">
        <f>SUMIFS(Продажи!M$5:M$359,Продажи!$D$5:$D$359,Конструкторы!$B142,Продажи!$C$5:$C$359,Конструкторы!$A142)</f>
        <v>0</v>
      </c>
      <c r="Q142" s="166">
        <f>SUMIFS(Продажи!N$5:N$359,Продажи!$D$5:$D$359,Конструкторы!$B142,Продажи!$C$5:$C$359,Конструкторы!$A142)</f>
        <v>0</v>
      </c>
      <c r="R142" s="166">
        <f>SUMIFS(Продажи!O$5:O$359,Продажи!$D$5:$D$359,Конструкторы!$B142,Продажи!$C$5:$C$359,Конструкторы!$A142)</f>
        <v>0</v>
      </c>
      <c r="S142" s="166">
        <f>SUMIFS(Продажи!P$5:P$359,Продажи!$D$5:$D$359,Конструкторы!$B142,Продажи!$C$5:$C$359,Конструкторы!$A142)</f>
        <v>0</v>
      </c>
      <c r="T142" s="166">
        <f>SUMIFS(Продажи!Q$5:Q$359,Продажи!$D$5:$D$359,Конструкторы!$B142,Продажи!$C$5:$C$359,Конструкторы!$A142)</f>
        <v>0</v>
      </c>
    </row>
    <row r="143" spans="1:20" ht="15.75" hidden="1" x14ac:dyDescent="0.25">
      <c r="A143" s="166" t="s">
        <v>397</v>
      </c>
      <c r="B143" s="167" t="s">
        <v>292</v>
      </c>
      <c r="C143" s="33" t="s">
        <v>84</v>
      </c>
      <c r="D143" s="149"/>
      <c r="E143" s="153" t="s">
        <v>70</v>
      </c>
      <c r="F143" s="159">
        <v>4</v>
      </c>
      <c r="G143" s="156" t="s">
        <v>71</v>
      </c>
      <c r="H143" s="156">
        <f>F143</f>
        <v>4</v>
      </c>
      <c r="I143" s="166">
        <f>SUMIFS(Продажи!F$5:F$359,Продажи!$D$5:$D$359,Конструкторы!$B143,Продажи!$C$5:$C$359,Конструкторы!$A143)</f>
        <v>0</v>
      </c>
      <c r="J143" s="166">
        <f>SUMIFS(Продажи!G$5:G$359,Продажи!$D$5:$D$359,Конструкторы!$B143,Продажи!$C$5:$C$359,Конструкторы!$A143)</f>
        <v>0</v>
      </c>
      <c r="K143" s="166">
        <f>SUMIFS(Продажи!H$5:H$359,Продажи!$D$5:$D$359,Конструкторы!$B143,Продажи!$C$5:$C$359,Конструкторы!$A143)</f>
        <v>0</v>
      </c>
      <c r="L143" s="166">
        <f>SUMIFS(Продажи!I$5:I$359,Продажи!$D$5:$D$359,Конструкторы!$B143,Продажи!$C$5:$C$359,Конструкторы!$A143)</f>
        <v>0</v>
      </c>
      <c r="M143" s="166">
        <f>SUMIFS(Продажи!J$5:J$359,Продажи!$D$5:$D$359,Конструкторы!$B143,Продажи!$C$5:$C$359,Конструкторы!$A143)</f>
        <v>0</v>
      </c>
      <c r="N143" s="166">
        <f>SUMIFS(Продажи!K$5:K$359,Продажи!$D$5:$D$359,Конструкторы!$B143,Продажи!$C$5:$C$359,Конструкторы!$A143)</f>
        <v>0</v>
      </c>
      <c r="O143" s="166">
        <f>SUMIFS(Продажи!L$5:L$359,Продажи!$D$5:$D$359,Конструкторы!$B143,Продажи!$C$5:$C$359,Конструкторы!$A143)</f>
        <v>0</v>
      </c>
      <c r="P143" s="166">
        <f>SUMIFS(Продажи!M$5:M$359,Продажи!$D$5:$D$359,Конструкторы!$B143,Продажи!$C$5:$C$359,Конструкторы!$A143)</f>
        <v>0</v>
      </c>
      <c r="Q143" s="166">
        <f>SUMIFS(Продажи!N$5:N$359,Продажи!$D$5:$D$359,Конструкторы!$B143,Продажи!$C$5:$C$359,Конструкторы!$A143)</f>
        <v>0</v>
      </c>
      <c r="R143" s="166">
        <f>SUMIFS(Продажи!O$5:O$359,Продажи!$D$5:$D$359,Конструкторы!$B143,Продажи!$C$5:$C$359,Конструкторы!$A143)</f>
        <v>0</v>
      </c>
      <c r="S143" s="166">
        <f>SUMIFS(Продажи!P$5:P$359,Продажи!$D$5:$D$359,Конструкторы!$B143,Продажи!$C$5:$C$359,Конструкторы!$A143)</f>
        <v>0</v>
      </c>
      <c r="T143" s="166">
        <f>SUMIFS(Продажи!Q$5:Q$359,Продажи!$D$5:$D$359,Конструкторы!$B143,Продажи!$C$5:$C$359,Конструкторы!$A143)</f>
        <v>0</v>
      </c>
    </row>
    <row r="144" spans="1:20" ht="15.75" hidden="1" x14ac:dyDescent="0.25">
      <c r="A144" s="166" t="s">
        <v>397</v>
      </c>
      <c r="B144" s="167" t="s">
        <v>292</v>
      </c>
      <c r="C144" s="33" t="s">
        <v>85</v>
      </c>
      <c r="D144" s="149"/>
      <c r="E144" s="153" t="s">
        <v>70</v>
      </c>
      <c r="F144" s="159">
        <v>8</v>
      </c>
      <c r="G144" s="156" t="s">
        <v>71</v>
      </c>
      <c r="H144" s="156">
        <f>F144</f>
        <v>8</v>
      </c>
      <c r="I144" s="166">
        <f>SUMIFS(Продажи!F$5:F$359,Продажи!$D$5:$D$359,Конструкторы!$B144,Продажи!$C$5:$C$359,Конструкторы!$A144)</f>
        <v>0</v>
      </c>
      <c r="J144" s="166">
        <f>SUMIFS(Продажи!G$5:G$359,Продажи!$D$5:$D$359,Конструкторы!$B144,Продажи!$C$5:$C$359,Конструкторы!$A144)</f>
        <v>0</v>
      </c>
      <c r="K144" s="166">
        <f>SUMIFS(Продажи!H$5:H$359,Продажи!$D$5:$D$359,Конструкторы!$B144,Продажи!$C$5:$C$359,Конструкторы!$A144)</f>
        <v>0</v>
      </c>
      <c r="L144" s="166">
        <f>SUMIFS(Продажи!I$5:I$359,Продажи!$D$5:$D$359,Конструкторы!$B144,Продажи!$C$5:$C$359,Конструкторы!$A144)</f>
        <v>0</v>
      </c>
      <c r="M144" s="166">
        <f>SUMIFS(Продажи!J$5:J$359,Продажи!$D$5:$D$359,Конструкторы!$B144,Продажи!$C$5:$C$359,Конструкторы!$A144)</f>
        <v>0</v>
      </c>
      <c r="N144" s="166">
        <f>SUMIFS(Продажи!K$5:K$359,Продажи!$D$5:$D$359,Конструкторы!$B144,Продажи!$C$5:$C$359,Конструкторы!$A144)</f>
        <v>0</v>
      </c>
      <c r="O144" s="166">
        <f>SUMIFS(Продажи!L$5:L$359,Продажи!$D$5:$D$359,Конструкторы!$B144,Продажи!$C$5:$C$359,Конструкторы!$A144)</f>
        <v>0</v>
      </c>
      <c r="P144" s="166">
        <f>SUMIFS(Продажи!M$5:M$359,Продажи!$D$5:$D$359,Конструкторы!$B144,Продажи!$C$5:$C$359,Конструкторы!$A144)</f>
        <v>0</v>
      </c>
      <c r="Q144" s="166">
        <f>SUMIFS(Продажи!N$5:N$359,Продажи!$D$5:$D$359,Конструкторы!$B144,Продажи!$C$5:$C$359,Конструкторы!$A144)</f>
        <v>0</v>
      </c>
      <c r="R144" s="166">
        <f>SUMIFS(Продажи!O$5:O$359,Продажи!$D$5:$D$359,Конструкторы!$B144,Продажи!$C$5:$C$359,Конструкторы!$A144)</f>
        <v>0</v>
      </c>
      <c r="S144" s="166">
        <f>SUMIFS(Продажи!P$5:P$359,Продажи!$D$5:$D$359,Конструкторы!$B144,Продажи!$C$5:$C$359,Конструкторы!$A144)</f>
        <v>0</v>
      </c>
      <c r="T144" s="166">
        <f>SUMIFS(Продажи!Q$5:Q$359,Продажи!$D$5:$D$359,Конструкторы!$B144,Продажи!$C$5:$C$359,Конструкторы!$A144)</f>
        <v>0</v>
      </c>
    </row>
    <row r="145" spans="1:20" ht="15.75" hidden="1" x14ac:dyDescent="0.25">
      <c r="A145" s="166" t="s">
        <v>397</v>
      </c>
      <c r="B145" s="167" t="s">
        <v>292</v>
      </c>
      <c r="C145" s="33" t="s">
        <v>86</v>
      </c>
      <c r="D145" s="149"/>
      <c r="E145" s="153" t="s">
        <v>70</v>
      </c>
      <c r="F145" s="159">
        <v>8</v>
      </c>
      <c r="G145" s="156" t="s">
        <v>71</v>
      </c>
      <c r="H145" s="156">
        <f>F145</f>
        <v>8</v>
      </c>
      <c r="I145" s="166">
        <f>SUMIFS(Продажи!F$5:F$359,Продажи!$D$5:$D$359,Конструкторы!$B145,Продажи!$C$5:$C$359,Конструкторы!$A145)</f>
        <v>0</v>
      </c>
      <c r="J145" s="166">
        <f>SUMIFS(Продажи!G$5:G$359,Продажи!$D$5:$D$359,Конструкторы!$B145,Продажи!$C$5:$C$359,Конструкторы!$A145)</f>
        <v>0</v>
      </c>
      <c r="K145" s="166">
        <f>SUMIFS(Продажи!H$5:H$359,Продажи!$D$5:$D$359,Конструкторы!$B145,Продажи!$C$5:$C$359,Конструкторы!$A145)</f>
        <v>0</v>
      </c>
      <c r="L145" s="166">
        <f>SUMIFS(Продажи!I$5:I$359,Продажи!$D$5:$D$359,Конструкторы!$B145,Продажи!$C$5:$C$359,Конструкторы!$A145)</f>
        <v>0</v>
      </c>
      <c r="M145" s="166">
        <f>SUMIFS(Продажи!J$5:J$359,Продажи!$D$5:$D$359,Конструкторы!$B145,Продажи!$C$5:$C$359,Конструкторы!$A145)</f>
        <v>0</v>
      </c>
      <c r="N145" s="166">
        <f>SUMIFS(Продажи!K$5:K$359,Продажи!$D$5:$D$359,Конструкторы!$B145,Продажи!$C$5:$C$359,Конструкторы!$A145)</f>
        <v>0</v>
      </c>
      <c r="O145" s="166">
        <f>SUMIFS(Продажи!L$5:L$359,Продажи!$D$5:$D$359,Конструкторы!$B145,Продажи!$C$5:$C$359,Конструкторы!$A145)</f>
        <v>0</v>
      </c>
      <c r="P145" s="166">
        <f>SUMIFS(Продажи!M$5:M$359,Продажи!$D$5:$D$359,Конструкторы!$B145,Продажи!$C$5:$C$359,Конструкторы!$A145)</f>
        <v>0</v>
      </c>
      <c r="Q145" s="166">
        <f>SUMIFS(Продажи!N$5:N$359,Продажи!$D$5:$D$359,Конструкторы!$B145,Продажи!$C$5:$C$359,Конструкторы!$A145)</f>
        <v>0</v>
      </c>
      <c r="R145" s="166">
        <f>SUMIFS(Продажи!O$5:O$359,Продажи!$D$5:$D$359,Конструкторы!$B145,Продажи!$C$5:$C$359,Конструкторы!$A145)</f>
        <v>0</v>
      </c>
      <c r="S145" s="166">
        <f>SUMIFS(Продажи!P$5:P$359,Продажи!$D$5:$D$359,Конструкторы!$B145,Продажи!$C$5:$C$359,Конструкторы!$A145)</f>
        <v>0</v>
      </c>
      <c r="T145" s="166">
        <f>SUMIFS(Продажи!Q$5:Q$359,Продажи!$D$5:$D$359,Конструкторы!$B145,Продажи!$C$5:$C$359,Конструкторы!$A145)</f>
        <v>0</v>
      </c>
    </row>
    <row r="146" spans="1:20" ht="15.75" hidden="1" x14ac:dyDescent="0.25">
      <c r="A146" s="166" t="s">
        <v>397</v>
      </c>
      <c r="B146" s="167" t="s">
        <v>292</v>
      </c>
      <c r="C146" s="33" t="s">
        <v>78</v>
      </c>
      <c r="D146" s="149"/>
      <c r="E146" s="153" t="s">
        <v>70</v>
      </c>
      <c r="F146" s="148">
        <v>4</v>
      </c>
      <c r="G146" s="156" t="s">
        <v>71</v>
      </c>
      <c r="H146" s="156">
        <f>F146</f>
        <v>4</v>
      </c>
      <c r="I146" s="166">
        <f>SUMIFS(Продажи!F$5:F$359,Продажи!$D$5:$D$359,Конструкторы!$B146,Продажи!$C$5:$C$359,Конструкторы!$A146)</f>
        <v>0</v>
      </c>
      <c r="J146" s="166">
        <f>SUMIFS(Продажи!G$5:G$359,Продажи!$D$5:$D$359,Конструкторы!$B146,Продажи!$C$5:$C$359,Конструкторы!$A146)</f>
        <v>0</v>
      </c>
      <c r="K146" s="166">
        <f>SUMIFS(Продажи!H$5:H$359,Продажи!$D$5:$D$359,Конструкторы!$B146,Продажи!$C$5:$C$359,Конструкторы!$A146)</f>
        <v>0</v>
      </c>
      <c r="L146" s="166">
        <f>SUMIFS(Продажи!I$5:I$359,Продажи!$D$5:$D$359,Конструкторы!$B146,Продажи!$C$5:$C$359,Конструкторы!$A146)</f>
        <v>0</v>
      </c>
      <c r="M146" s="166">
        <f>SUMIFS(Продажи!J$5:J$359,Продажи!$D$5:$D$359,Конструкторы!$B146,Продажи!$C$5:$C$359,Конструкторы!$A146)</f>
        <v>0</v>
      </c>
      <c r="N146" s="166">
        <f>SUMIFS(Продажи!K$5:K$359,Продажи!$D$5:$D$359,Конструкторы!$B146,Продажи!$C$5:$C$359,Конструкторы!$A146)</f>
        <v>0</v>
      </c>
      <c r="O146" s="166">
        <f>SUMIFS(Продажи!L$5:L$359,Продажи!$D$5:$D$359,Конструкторы!$B146,Продажи!$C$5:$C$359,Конструкторы!$A146)</f>
        <v>0</v>
      </c>
      <c r="P146" s="166">
        <f>SUMIFS(Продажи!M$5:M$359,Продажи!$D$5:$D$359,Конструкторы!$B146,Продажи!$C$5:$C$359,Конструкторы!$A146)</f>
        <v>0</v>
      </c>
      <c r="Q146" s="166">
        <f>SUMIFS(Продажи!N$5:N$359,Продажи!$D$5:$D$359,Конструкторы!$B146,Продажи!$C$5:$C$359,Конструкторы!$A146)</f>
        <v>0</v>
      </c>
      <c r="R146" s="166">
        <f>SUMIFS(Продажи!O$5:O$359,Продажи!$D$5:$D$359,Конструкторы!$B146,Продажи!$C$5:$C$359,Конструкторы!$A146)</f>
        <v>0</v>
      </c>
      <c r="S146" s="166">
        <f>SUMIFS(Продажи!P$5:P$359,Продажи!$D$5:$D$359,Конструкторы!$B146,Продажи!$C$5:$C$359,Конструкторы!$A146)</f>
        <v>0</v>
      </c>
      <c r="T146" s="166">
        <f>SUMIFS(Продажи!Q$5:Q$359,Продажи!$D$5:$D$359,Конструкторы!$B146,Продажи!$C$5:$C$359,Конструкторы!$A146)</f>
        <v>0</v>
      </c>
    </row>
    <row r="147" spans="1:20" ht="15.75" hidden="1" x14ac:dyDescent="0.25">
      <c r="A147" s="166" t="s">
        <v>397</v>
      </c>
      <c r="B147" s="167" t="s">
        <v>283</v>
      </c>
      <c r="C147" s="129" t="s">
        <v>30</v>
      </c>
      <c r="D147" s="149"/>
      <c r="E147" s="153" t="s">
        <v>68</v>
      </c>
      <c r="F147" s="156">
        <f>(0.305*103)/100</f>
        <v>0.31414999999999998</v>
      </c>
      <c r="G147" s="156">
        <v>9.1499999999999915E-3</v>
      </c>
      <c r="H147" s="156">
        <f>F147+G147</f>
        <v>0.32329999999999998</v>
      </c>
      <c r="I147" s="166">
        <f>SUMIFS(Продажи!F$5:F$359,Продажи!$D$5:$D$359,Конструкторы!$B147,Продажи!$C$5:$C$359,Конструкторы!$A147)</f>
        <v>0</v>
      </c>
      <c r="J147" s="166">
        <f>SUMIFS(Продажи!G$5:G$359,Продажи!$D$5:$D$359,Конструкторы!$B147,Продажи!$C$5:$C$359,Конструкторы!$A147)</f>
        <v>0</v>
      </c>
      <c r="K147" s="166">
        <f>SUMIFS(Продажи!H$5:H$359,Продажи!$D$5:$D$359,Конструкторы!$B147,Продажи!$C$5:$C$359,Конструкторы!$A147)</f>
        <v>0</v>
      </c>
      <c r="L147" s="166">
        <f>SUMIFS(Продажи!I$5:I$359,Продажи!$D$5:$D$359,Конструкторы!$B147,Продажи!$C$5:$C$359,Конструкторы!$A147)</f>
        <v>0</v>
      </c>
      <c r="M147" s="166">
        <f>SUMIFS(Продажи!J$5:J$359,Продажи!$D$5:$D$359,Конструкторы!$B147,Продажи!$C$5:$C$359,Конструкторы!$A147)</f>
        <v>0</v>
      </c>
      <c r="N147" s="166">
        <f>SUMIFS(Продажи!K$5:K$359,Продажи!$D$5:$D$359,Конструкторы!$B147,Продажи!$C$5:$C$359,Конструкторы!$A147)</f>
        <v>0</v>
      </c>
      <c r="O147" s="166">
        <f>SUMIFS(Продажи!L$5:L$359,Продажи!$D$5:$D$359,Конструкторы!$B147,Продажи!$C$5:$C$359,Конструкторы!$A147)</f>
        <v>0</v>
      </c>
      <c r="P147" s="166">
        <f>SUMIFS(Продажи!M$5:M$359,Продажи!$D$5:$D$359,Конструкторы!$B147,Продажи!$C$5:$C$359,Конструкторы!$A147)</f>
        <v>0</v>
      </c>
      <c r="Q147" s="166">
        <f>SUMIFS(Продажи!N$5:N$359,Продажи!$D$5:$D$359,Конструкторы!$B147,Продажи!$C$5:$C$359,Конструкторы!$A147)</f>
        <v>0</v>
      </c>
      <c r="R147" s="166">
        <f>SUMIFS(Продажи!O$5:O$359,Продажи!$D$5:$D$359,Конструкторы!$B147,Продажи!$C$5:$C$359,Конструкторы!$A147)</f>
        <v>0</v>
      </c>
      <c r="S147" s="166">
        <f>SUMIFS(Продажи!P$5:P$359,Продажи!$D$5:$D$359,Конструкторы!$B147,Продажи!$C$5:$C$359,Конструкторы!$A147)</f>
        <v>0</v>
      </c>
      <c r="T147" s="166">
        <f>SUMIFS(Продажи!Q$5:Q$359,Продажи!$D$5:$D$359,Конструкторы!$B147,Продажи!$C$5:$C$359,Конструкторы!$A147)</f>
        <v>0</v>
      </c>
    </row>
    <row r="148" spans="1:20" ht="15.75" hidden="1" x14ac:dyDescent="0.25">
      <c r="A148" s="166" t="s">
        <v>397</v>
      </c>
      <c r="B148" s="167" t="s">
        <v>283</v>
      </c>
      <c r="C148" s="33" t="s">
        <v>79</v>
      </c>
      <c r="D148" s="149"/>
      <c r="E148" s="153" t="s">
        <v>70</v>
      </c>
      <c r="F148" s="159">
        <v>2</v>
      </c>
      <c r="G148" s="156" t="s">
        <v>71</v>
      </c>
      <c r="H148" s="156">
        <f>F148</f>
        <v>2</v>
      </c>
      <c r="I148" s="166">
        <f>SUMIFS(Продажи!F$5:F$359,Продажи!$D$5:$D$359,Конструкторы!$B148,Продажи!$C$5:$C$359,Конструкторы!$A148)</f>
        <v>0</v>
      </c>
      <c r="J148" s="166">
        <f>SUMIFS(Продажи!G$5:G$359,Продажи!$D$5:$D$359,Конструкторы!$B148,Продажи!$C$5:$C$359,Конструкторы!$A148)</f>
        <v>0</v>
      </c>
      <c r="K148" s="166">
        <f>SUMIFS(Продажи!H$5:H$359,Продажи!$D$5:$D$359,Конструкторы!$B148,Продажи!$C$5:$C$359,Конструкторы!$A148)</f>
        <v>0</v>
      </c>
      <c r="L148" s="166">
        <f>SUMIFS(Продажи!I$5:I$359,Продажи!$D$5:$D$359,Конструкторы!$B148,Продажи!$C$5:$C$359,Конструкторы!$A148)</f>
        <v>0</v>
      </c>
      <c r="M148" s="166">
        <f>SUMIFS(Продажи!J$5:J$359,Продажи!$D$5:$D$359,Конструкторы!$B148,Продажи!$C$5:$C$359,Конструкторы!$A148)</f>
        <v>0</v>
      </c>
      <c r="N148" s="166">
        <f>SUMIFS(Продажи!K$5:K$359,Продажи!$D$5:$D$359,Конструкторы!$B148,Продажи!$C$5:$C$359,Конструкторы!$A148)</f>
        <v>0</v>
      </c>
      <c r="O148" s="166">
        <f>SUMIFS(Продажи!L$5:L$359,Продажи!$D$5:$D$359,Конструкторы!$B148,Продажи!$C$5:$C$359,Конструкторы!$A148)</f>
        <v>0</v>
      </c>
      <c r="P148" s="166">
        <f>SUMIFS(Продажи!M$5:M$359,Продажи!$D$5:$D$359,Конструкторы!$B148,Продажи!$C$5:$C$359,Конструкторы!$A148)</f>
        <v>0</v>
      </c>
      <c r="Q148" s="166">
        <f>SUMIFS(Продажи!N$5:N$359,Продажи!$D$5:$D$359,Конструкторы!$B148,Продажи!$C$5:$C$359,Конструкторы!$A148)</f>
        <v>0</v>
      </c>
      <c r="R148" s="166">
        <f>SUMIFS(Продажи!O$5:O$359,Продажи!$D$5:$D$359,Конструкторы!$B148,Продажи!$C$5:$C$359,Конструкторы!$A148)</f>
        <v>0</v>
      </c>
      <c r="S148" s="166">
        <f>SUMIFS(Продажи!P$5:P$359,Продажи!$D$5:$D$359,Конструкторы!$B148,Продажи!$C$5:$C$359,Конструкторы!$A148)</f>
        <v>0</v>
      </c>
      <c r="T148" s="166">
        <f>SUMIFS(Продажи!Q$5:Q$359,Продажи!$D$5:$D$359,Конструкторы!$B148,Продажи!$C$5:$C$359,Конструкторы!$A148)</f>
        <v>0</v>
      </c>
    </row>
    <row r="149" spans="1:20" ht="15.75" hidden="1" x14ac:dyDescent="0.25">
      <c r="A149" s="166" t="s">
        <v>397</v>
      </c>
      <c r="B149" s="167" t="s">
        <v>283</v>
      </c>
      <c r="C149" s="33" t="s">
        <v>80</v>
      </c>
      <c r="D149" s="149"/>
      <c r="E149" s="153" t="s">
        <v>70</v>
      </c>
      <c r="F149" s="159">
        <v>2</v>
      </c>
      <c r="G149" s="156" t="s">
        <v>71</v>
      </c>
      <c r="H149" s="156">
        <f>F149</f>
        <v>2</v>
      </c>
      <c r="I149" s="166">
        <f>SUMIFS(Продажи!F$5:F$359,Продажи!$D$5:$D$359,Конструкторы!$B149,Продажи!$C$5:$C$359,Конструкторы!$A149)</f>
        <v>0</v>
      </c>
      <c r="J149" s="166">
        <f>SUMIFS(Продажи!G$5:G$359,Продажи!$D$5:$D$359,Конструкторы!$B149,Продажи!$C$5:$C$359,Конструкторы!$A149)</f>
        <v>0</v>
      </c>
      <c r="K149" s="166">
        <f>SUMIFS(Продажи!H$5:H$359,Продажи!$D$5:$D$359,Конструкторы!$B149,Продажи!$C$5:$C$359,Конструкторы!$A149)</f>
        <v>0</v>
      </c>
      <c r="L149" s="166">
        <f>SUMIFS(Продажи!I$5:I$359,Продажи!$D$5:$D$359,Конструкторы!$B149,Продажи!$C$5:$C$359,Конструкторы!$A149)</f>
        <v>0</v>
      </c>
      <c r="M149" s="166">
        <f>SUMIFS(Продажи!J$5:J$359,Продажи!$D$5:$D$359,Конструкторы!$B149,Продажи!$C$5:$C$359,Конструкторы!$A149)</f>
        <v>0</v>
      </c>
      <c r="N149" s="166">
        <f>SUMIFS(Продажи!K$5:K$359,Продажи!$D$5:$D$359,Конструкторы!$B149,Продажи!$C$5:$C$359,Конструкторы!$A149)</f>
        <v>0</v>
      </c>
      <c r="O149" s="166">
        <f>SUMIFS(Продажи!L$5:L$359,Продажи!$D$5:$D$359,Конструкторы!$B149,Продажи!$C$5:$C$359,Конструкторы!$A149)</f>
        <v>0</v>
      </c>
      <c r="P149" s="166">
        <f>SUMIFS(Продажи!M$5:M$359,Продажи!$D$5:$D$359,Конструкторы!$B149,Продажи!$C$5:$C$359,Конструкторы!$A149)</f>
        <v>0</v>
      </c>
      <c r="Q149" s="166">
        <f>SUMIFS(Продажи!N$5:N$359,Продажи!$D$5:$D$359,Конструкторы!$B149,Продажи!$C$5:$C$359,Конструкторы!$A149)</f>
        <v>0</v>
      </c>
      <c r="R149" s="166">
        <f>SUMIFS(Продажи!O$5:O$359,Продажи!$D$5:$D$359,Конструкторы!$B149,Продажи!$C$5:$C$359,Конструкторы!$A149)</f>
        <v>0</v>
      </c>
      <c r="S149" s="166">
        <f>SUMIFS(Продажи!P$5:P$359,Продажи!$D$5:$D$359,Конструкторы!$B149,Продажи!$C$5:$C$359,Конструкторы!$A149)</f>
        <v>0</v>
      </c>
      <c r="T149" s="166">
        <f>SUMIFS(Продажи!Q$5:Q$359,Продажи!$D$5:$D$359,Конструкторы!$B149,Продажи!$C$5:$C$359,Конструкторы!$A149)</f>
        <v>0</v>
      </c>
    </row>
    <row r="150" spans="1:20" ht="15.75" hidden="1" x14ac:dyDescent="0.25">
      <c r="A150" s="166" t="s">
        <v>397</v>
      </c>
      <c r="B150" s="167" t="s">
        <v>283</v>
      </c>
      <c r="C150" s="33" t="s">
        <v>81</v>
      </c>
      <c r="D150" s="149"/>
      <c r="E150" s="153" t="s">
        <v>70</v>
      </c>
      <c r="F150" s="159">
        <v>6</v>
      </c>
      <c r="G150" s="156" t="s">
        <v>71</v>
      </c>
      <c r="H150" s="156">
        <f>F150</f>
        <v>6</v>
      </c>
      <c r="I150" s="166">
        <f>SUMIFS(Продажи!F$5:F$359,Продажи!$D$5:$D$359,Конструкторы!$B150,Продажи!$C$5:$C$359,Конструкторы!$A150)</f>
        <v>0</v>
      </c>
      <c r="J150" s="166">
        <f>SUMIFS(Продажи!G$5:G$359,Продажи!$D$5:$D$359,Конструкторы!$B150,Продажи!$C$5:$C$359,Конструкторы!$A150)</f>
        <v>0</v>
      </c>
      <c r="K150" s="166">
        <f>SUMIFS(Продажи!H$5:H$359,Продажи!$D$5:$D$359,Конструкторы!$B150,Продажи!$C$5:$C$359,Конструкторы!$A150)</f>
        <v>0</v>
      </c>
      <c r="L150" s="166">
        <f>SUMIFS(Продажи!I$5:I$359,Продажи!$D$5:$D$359,Конструкторы!$B150,Продажи!$C$5:$C$359,Конструкторы!$A150)</f>
        <v>0</v>
      </c>
      <c r="M150" s="166">
        <f>SUMIFS(Продажи!J$5:J$359,Продажи!$D$5:$D$359,Конструкторы!$B150,Продажи!$C$5:$C$359,Конструкторы!$A150)</f>
        <v>0</v>
      </c>
      <c r="N150" s="166">
        <f>SUMIFS(Продажи!K$5:K$359,Продажи!$D$5:$D$359,Конструкторы!$B150,Продажи!$C$5:$C$359,Конструкторы!$A150)</f>
        <v>0</v>
      </c>
      <c r="O150" s="166">
        <f>SUMIFS(Продажи!L$5:L$359,Продажи!$D$5:$D$359,Конструкторы!$B150,Продажи!$C$5:$C$359,Конструкторы!$A150)</f>
        <v>0</v>
      </c>
      <c r="P150" s="166">
        <f>SUMIFS(Продажи!M$5:M$359,Продажи!$D$5:$D$359,Конструкторы!$B150,Продажи!$C$5:$C$359,Конструкторы!$A150)</f>
        <v>0</v>
      </c>
      <c r="Q150" s="166">
        <f>SUMIFS(Продажи!N$5:N$359,Продажи!$D$5:$D$359,Конструкторы!$B150,Продажи!$C$5:$C$359,Конструкторы!$A150)</f>
        <v>0</v>
      </c>
      <c r="R150" s="166">
        <f>SUMIFS(Продажи!O$5:O$359,Продажи!$D$5:$D$359,Конструкторы!$B150,Продажи!$C$5:$C$359,Конструкторы!$A150)</f>
        <v>0</v>
      </c>
      <c r="S150" s="166">
        <f>SUMIFS(Продажи!P$5:P$359,Продажи!$D$5:$D$359,Конструкторы!$B150,Продажи!$C$5:$C$359,Конструкторы!$A150)</f>
        <v>0</v>
      </c>
      <c r="T150" s="166">
        <f>SUMIFS(Продажи!Q$5:Q$359,Продажи!$D$5:$D$359,Конструкторы!$B150,Продажи!$C$5:$C$359,Конструкторы!$A150)</f>
        <v>0</v>
      </c>
    </row>
    <row r="151" spans="1:20" ht="15.75" hidden="1" x14ac:dyDescent="0.25">
      <c r="A151" s="166" t="s">
        <v>397</v>
      </c>
      <c r="B151" s="167" t="s">
        <v>283</v>
      </c>
      <c r="C151" s="33" t="s">
        <v>82</v>
      </c>
      <c r="D151" s="149"/>
      <c r="E151" s="153" t="s">
        <v>70</v>
      </c>
      <c r="F151" s="159">
        <v>4</v>
      </c>
      <c r="G151" s="156" t="s">
        <v>71</v>
      </c>
      <c r="H151" s="156">
        <f>F151</f>
        <v>4</v>
      </c>
      <c r="I151" s="166">
        <f>SUMIFS(Продажи!F$5:F$359,Продажи!$D$5:$D$359,Конструкторы!$B151,Продажи!$C$5:$C$359,Конструкторы!$A151)</f>
        <v>0</v>
      </c>
      <c r="J151" s="166">
        <f>SUMIFS(Продажи!G$5:G$359,Продажи!$D$5:$D$359,Конструкторы!$B151,Продажи!$C$5:$C$359,Конструкторы!$A151)</f>
        <v>0</v>
      </c>
      <c r="K151" s="166">
        <f>SUMIFS(Продажи!H$5:H$359,Продажи!$D$5:$D$359,Конструкторы!$B151,Продажи!$C$5:$C$359,Конструкторы!$A151)</f>
        <v>0</v>
      </c>
      <c r="L151" s="166">
        <f>SUMIFS(Продажи!I$5:I$359,Продажи!$D$5:$D$359,Конструкторы!$B151,Продажи!$C$5:$C$359,Конструкторы!$A151)</f>
        <v>0</v>
      </c>
      <c r="M151" s="166">
        <f>SUMIFS(Продажи!J$5:J$359,Продажи!$D$5:$D$359,Конструкторы!$B151,Продажи!$C$5:$C$359,Конструкторы!$A151)</f>
        <v>0</v>
      </c>
      <c r="N151" s="166">
        <f>SUMIFS(Продажи!K$5:K$359,Продажи!$D$5:$D$359,Конструкторы!$B151,Продажи!$C$5:$C$359,Конструкторы!$A151)</f>
        <v>0</v>
      </c>
      <c r="O151" s="166">
        <f>SUMIFS(Продажи!L$5:L$359,Продажи!$D$5:$D$359,Конструкторы!$B151,Продажи!$C$5:$C$359,Конструкторы!$A151)</f>
        <v>0</v>
      </c>
      <c r="P151" s="166">
        <f>SUMIFS(Продажи!M$5:M$359,Продажи!$D$5:$D$359,Конструкторы!$B151,Продажи!$C$5:$C$359,Конструкторы!$A151)</f>
        <v>0</v>
      </c>
      <c r="Q151" s="166">
        <f>SUMIFS(Продажи!N$5:N$359,Продажи!$D$5:$D$359,Конструкторы!$B151,Продажи!$C$5:$C$359,Конструкторы!$A151)</f>
        <v>0</v>
      </c>
      <c r="R151" s="166">
        <f>SUMIFS(Продажи!O$5:O$359,Продажи!$D$5:$D$359,Конструкторы!$B151,Продажи!$C$5:$C$359,Конструкторы!$A151)</f>
        <v>0</v>
      </c>
      <c r="S151" s="166">
        <f>SUMIFS(Продажи!P$5:P$359,Продажи!$D$5:$D$359,Конструкторы!$B151,Продажи!$C$5:$C$359,Конструкторы!$A151)</f>
        <v>0</v>
      </c>
      <c r="T151" s="166">
        <f>SUMIFS(Продажи!Q$5:Q$359,Продажи!$D$5:$D$359,Конструкторы!$B151,Продажи!$C$5:$C$359,Конструкторы!$A151)</f>
        <v>0</v>
      </c>
    </row>
    <row r="152" spans="1:20" ht="15.75" hidden="1" x14ac:dyDescent="0.25">
      <c r="A152" s="166" t="s">
        <v>397</v>
      </c>
      <c r="B152" s="167" t="s">
        <v>284</v>
      </c>
      <c r="C152" s="129" t="s">
        <v>30</v>
      </c>
      <c r="D152" s="149"/>
      <c r="E152" s="153" t="s">
        <v>68</v>
      </c>
      <c r="F152" s="156">
        <f>(0.405*103)/100</f>
        <v>0.41715000000000002</v>
      </c>
      <c r="G152" s="156">
        <v>1.2149999999999994E-2</v>
      </c>
      <c r="H152" s="156">
        <f>F152+G152</f>
        <v>0.42930000000000001</v>
      </c>
      <c r="I152" s="166">
        <f>SUMIFS(Продажи!F$5:F$359,Продажи!$D$5:$D$359,Конструкторы!$B152,Продажи!$C$5:$C$359,Конструкторы!$A152)</f>
        <v>0</v>
      </c>
      <c r="J152" s="166">
        <f>SUMIFS(Продажи!G$5:G$359,Продажи!$D$5:$D$359,Конструкторы!$B152,Продажи!$C$5:$C$359,Конструкторы!$A152)</f>
        <v>0</v>
      </c>
      <c r="K152" s="166">
        <f>SUMIFS(Продажи!H$5:H$359,Продажи!$D$5:$D$359,Конструкторы!$B152,Продажи!$C$5:$C$359,Конструкторы!$A152)</f>
        <v>0</v>
      </c>
      <c r="L152" s="166">
        <f>SUMIFS(Продажи!I$5:I$359,Продажи!$D$5:$D$359,Конструкторы!$B152,Продажи!$C$5:$C$359,Конструкторы!$A152)</f>
        <v>0</v>
      </c>
      <c r="M152" s="166">
        <f>SUMIFS(Продажи!J$5:J$359,Продажи!$D$5:$D$359,Конструкторы!$B152,Продажи!$C$5:$C$359,Конструкторы!$A152)</f>
        <v>0</v>
      </c>
      <c r="N152" s="166">
        <f>SUMIFS(Продажи!K$5:K$359,Продажи!$D$5:$D$359,Конструкторы!$B152,Продажи!$C$5:$C$359,Конструкторы!$A152)</f>
        <v>0</v>
      </c>
      <c r="O152" s="166">
        <f>SUMIFS(Продажи!L$5:L$359,Продажи!$D$5:$D$359,Конструкторы!$B152,Продажи!$C$5:$C$359,Конструкторы!$A152)</f>
        <v>0</v>
      </c>
      <c r="P152" s="166">
        <f>SUMIFS(Продажи!M$5:M$359,Продажи!$D$5:$D$359,Конструкторы!$B152,Продажи!$C$5:$C$359,Конструкторы!$A152)</f>
        <v>0</v>
      </c>
      <c r="Q152" s="166">
        <f>SUMIFS(Продажи!N$5:N$359,Продажи!$D$5:$D$359,Конструкторы!$B152,Продажи!$C$5:$C$359,Конструкторы!$A152)</f>
        <v>0</v>
      </c>
      <c r="R152" s="166">
        <f>SUMIFS(Продажи!O$5:O$359,Продажи!$D$5:$D$359,Конструкторы!$B152,Продажи!$C$5:$C$359,Конструкторы!$A152)</f>
        <v>0</v>
      </c>
      <c r="S152" s="166">
        <f>SUMIFS(Продажи!P$5:P$359,Продажи!$D$5:$D$359,Конструкторы!$B152,Продажи!$C$5:$C$359,Конструкторы!$A152)</f>
        <v>0</v>
      </c>
      <c r="T152" s="166">
        <f>SUMIFS(Продажи!Q$5:Q$359,Продажи!$D$5:$D$359,Конструкторы!$B152,Продажи!$C$5:$C$359,Конструкторы!$A152)</f>
        <v>0</v>
      </c>
    </row>
    <row r="153" spans="1:20" ht="15.75" hidden="1" x14ac:dyDescent="0.25">
      <c r="A153" s="166" t="s">
        <v>397</v>
      </c>
      <c r="B153" s="167" t="s">
        <v>284</v>
      </c>
      <c r="C153" s="33" t="s">
        <v>79</v>
      </c>
      <c r="D153" s="149"/>
      <c r="E153" s="153" t="s">
        <v>70</v>
      </c>
      <c r="F153" s="159">
        <v>2</v>
      </c>
      <c r="G153" s="156" t="s">
        <v>71</v>
      </c>
      <c r="H153" s="156">
        <f>F153</f>
        <v>2</v>
      </c>
      <c r="I153" s="166">
        <f>SUMIFS(Продажи!F$5:F$359,Продажи!$D$5:$D$359,Конструкторы!$B153,Продажи!$C$5:$C$359,Конструкторы!$A153)</f>
        <v>0</v>
      </c>
      <c r="J153" s="166">
        <f>SUMIFS(Продажи!G$5:G$359,Продажи!$D$5:$D$359,Конструкторы!$B153,Продажи!$C$5:$C$359,Конструкторы!$A153)</f>
        <v>0</v>
      </c>
      <c r="K153" s="166">
        <f>SUMIFS(Продажи!H$5:H$359,Продажи!$D$5:$D$359,Конструкторы!$B153,Продажи!$C$5:$C$359,Конструкторы!$A153)</f>
        <v>0</v>
      </c>
      <c r="L153" s="166">
        <f>SUMIFS(Продажи!I$5:I$359,Продажи!$D$5:$D$359,Конструкторы!$B153,Продажи!$C$5:$C$359,Конструкторы!$A153)</f>
        <v>0</v>
      </c>
      <c r="M153" s="166">
        <f>SUMIFS(Продажи!J$5:J$359,Продажи!$D$5:$D$359,Конструкторы!$B153,Продажи!$C$5:$C$359,Конструкторы!$A153)</f>
        <v>0</v>
      </c>
      <c r="N153" s="166">
        <f>SUMIFS(Продажи!K$5:K$359,Продажи!$D$5:$D$359,Конструкторы!$B153,Продажи!$C$5:$C$359,Конструкторы!$A153)</f>
        <v>0</v>
      </c>
      <c r="O153" s="166">
        <f>SUMIFS(Продажи!L$5:L$359,Продажи!$D$5:$D$359,Конструкторы!$B153,Продажи!$C$5:$C$359,Конструкторы!$A153)</f>
        <v>0</v>
      </c>
      <c r="P153" s="166">
        <f>SUMIFS(Продажи!M$5:M$359,Продажи!$D$5:$D$359,Конструкторы!$B153,Продажи!$C$5:$C$359,Конструкторы!$A153)</f>
        <v>0</v>
      </c>
      <c r="Q153" s="166">
        <f>SUMIFS(Продажи!N$5:N$359,Продажи!$D$5:$D$359,Конструкторы!$B153,Продажи!$C$5:$C$359,Конструкторы!$A153)</f>
        <v>0</v>
      </c>
      <c r="R153" s="166">
        <f>SUMIFS(Продажи!O$5:O$359,Продажи!$D$5:$D$359,Конструкторы!$B153,Продажи!$C$5:$C$359,Конструкторы!$A153)</f>
        <v>0</v>
      </c>
      <c r="S153" s="166">
        <f>SUMIFS(Продажи!P$5:P$359,Продажи!$D$5:$D$359,Конструкторы!$B153,Продажи!$C$5:$C$359,Конструкторы!$A153)</f>
        <v>0</v>
      </c>
      <c r="T153" s="166">
        <f>SUMIFS(Продажи!Q$5:Q$359,Продажи!$D$5:$D$359,Конструкторы!$B153,Продажи!$C$5:$C$359,Конструкторы!$A153)</f>
        <v>0</v>
      </c>
    </row>
    <row r="154" spans="1:20" ht="15.75" hidden="1" x14ac:dyDescent="0.25">
      <c r="A154" s="166" t="s">
        <v>397</v>
      </c>
      <c r="B154" s="167" t="s">
        <v>284</v>
      </c>
      <c r="C154" s="33" t="s">
        <v>80</v>
      </c>
      <c r="D154" s="149"/>
      <c r="E154" s="153" t="s">
        <v>70</v>
      </c>
      <c r="F154" s="159">
        <v>2</v>
      </c>
      <c r="G154" s="156" t="s">
        <v>71</v>
      </c>
      <c r="H154" s="156">
        <f>F154</f>
        <v>2</v>
      </c>
      <c r="I154" s="166">
        <f>SUMIFS(Продажи!F$5:F$359,Продажи!$D$5:$D$359,Конструкторы!$B154,Продажи!$C$5:$C$359,Конструкторы!$A154)</f>
        <v>0</v>
      </c>
      <c r="J154" s="166">
        <f>SUMIFS(Продажи!G$5:G$359,Продажи!$D$5:$D$359,Конструкторы!$B154,Продажи!$C$5:$C$359,Конструкторы!$A154)</f>
        <v>0</v>
      </c>
      <c r="K154" s="166">
        <f>SUMIFS(Продажи!H$5:H$359,Продажи!$D$5:$D$359,Конструкторы!$B154,Продажи!$C$5:$C$359,Конструкторы!$A154)</f>
        <v>0</v>
      </c>
      <c r="L154" s="166">
        <f>SUMIFS(Продажи!I$5:I$359,Продажи!$D$5:$D$359,Конструкторы!$B154,Продажи!$C$5:$C$359,Конструкторы!$A154)</f>
        <v>0</v>
      </c>
      <c r="M154" s="166">
        <f>SUMIFS(Продажи!J$5:J$359,Продажи!$D$5:$D$359,Конструкторы!$B154,Продажи!$C$5:$C$359,Конструкторы!$A154)</f>
        <v>0</v>
      </c>
      <c r="N154" s="166">
        <f>SUMIFS(Продажи!K$5:K$359,Продажи!$D$5:$D$359,Конструкторы!$B154,Продажи!$C$5:$C$359,Конструкторы!$A154)</f>
        <v>0</v>
      </c>
      <c r="O154" s="166">
        <f>SUMIFS(Продажи!L$5:L$359,Продажи!$D$5:$D$359,Конструкторы!$B154,Продажи!$C$5:$C$359,Конструкторы!$A154)</f>
        <v>0</v>
      </c>
      <c r="P154" s="166">
        <f>SUMIFS(Продажи!M$5:M$359,Продажи!$D$5:$D$359,Конструкторы!$B154,Продажи!$C$5:$C$359,Конструкторы!$A154)</f>
        <v>0</v>
      </c>
      <c r="Q154" s="166">
        <f>SUMIFS(Продажи!N$5:N$359,Продажи!$D$5:$D$359,Конструкторы!$B154,Продажи!$C$5:$C$359,Конструкторы!$A154)</f>
        <v>0</v>
      </c>
      <c r="R154" s="166">
        <f>SUMIFS(Продажи!O$5:O$359,Продажи!$D$5:$D$359,Конструкторы!$B154,Продажи!$C$5:$C$359,Конструкторы!$A154)</f>
        <v>0</v>
      </c>
      <c r="S154" s="166">
        <f>SUMIFS(Продажи!P$5:P$359,Продажи!$D$5:$D$359,Конструкторы!$B154,Продажи!$C$5:$C$359,Конструкторы!$A154)</f>
        <v>0</v>
      </c>
      <c r="T154" s="166">
        <f>SUMIFS(Продажи!Q$5:Q$359,Продажи!$D$5:$D$359,Конструкторы!$B154,Продажи!$C$5:$C$359,Конструкторы!$A154)</f>
        <v>0</v>
      </c>
    </row>
    <row r="155" spans="1:20" ht="15.75" hidden="1" x14ac:dyDescent="0.25">
      <c r="A155" s="166" t="s">
        <v>397</v>
      </c>
      <c r="B155" s="167" t="s">
        <v>284</v>
      </c>
      <c r="C155" s="33" t="s">
        <v>81</v>
      </c>
      <c r="D155" s="149"/>
      <c r="E155" s="153" t="s">
        <v>70</v>
      </c>
      <c r="F155" s="159">
        <v>6</v>
      </c>
      <c r="G155" s="156" t="s">
        <v>71</v>
      </c>
      <c r="H155" s="156">
        <f>F155</f>
        <v>6</v>
      </c>
      <c r="I155" s="166">
        <f>SUMIFS(Продажи!F$5:F$359,Продажи!$D$5:$D$359,Конструкторы!$B155,Продажи!$C$5:$C$359,Конструкторы!$A155)</f>
        <v>0</v>
      </c>
      <c r="J155" s="166">
        <f>SUMIFS(Продажи!G$5:G$359,Продажи!$D$5:$D$359,Конструкторы!$B155,Продажи!$C$5:$C$359,Конструкторы!$A155)</f>
        <v>0</v>
      </c>
      <c r="K155" s="166">
        <f>SUMIFS(Продажи!H$5:H$359,Продажи!$D$5:$D$359,Конструкторы!$B155,Продажи!$C$5:$C$359,Конструкторы!$A155)</f>
        <v>0</v>
      </c>
      <c r="L155" s="166">
        <f>SUMIFS(Продажи!I$5:I$359,Продажи!$D$5:$D$359,Конструкторы!$B155,Продажи!$C$5:$C$359,Конструкторы!$A155)</f>
        <v>0</v>
      </c>
      <c r="M155" s="166">
        <f>SUMIFS(Продажи!J$5:J$359,Продажи!$D$5:$D$359,Конструкторы!$B155,Продажи!$C$5:$C$359,Конструкторы!$A155)</f>
        <v>0</v>
      </c>
      <c r="N155" s="166">
        <f>SUMIFS(Продажи!K$5:K$359,Продажи!$D$5:$D$359,Конструкторы!$B155,Продажи!$C$5:$C$359,Конструкторы!$A155)</f>
        <v>0</v>
      </c>
      <c r="O155" s="166">
        <f>SUMIFS(Продажи!L$5:L$359,Продажи!$D$5:$D$359,Конструкторы!$B155,Продажи!$C$5:$C$359,Конструкторы!$A155)</f>
        <v>0</v>
      </c>
      <c r="P155" s="166">
        <f>SUMIFS(Продажи!M$5:M$359,Продажи!$D$5:$D$359,Конструкторы!$B155,Продажи!$C$5:$C$359,Конструкторы!$A155)</f>
        <v>0</v>
      </c>
      <c r="Q155" s="166">
        <f>SUMIFS(Продажи!N$5:N$359,Продажи!$D$5:$D$359,Конструкторы!$B155,Продажи!$C$5:$C$359,Конструкторы!$A155)</f>
        <v>0</v>
      </c>
      <c r="R155" s="166">
        <f>SUMIFS(Продажи!O$5:O$359,Продажи!$D$5:$D$359,Конструкторы!$B155,Продажи!$C$5:$C$359,Конструкторы!$A155)</f>
        <v>0</v>
      </c>
      <c r="S155" s="166">
        <f>SUMIFS(Продажи!P$5:P$359,Продажи!$D$5:$D$359,Конструкторы!$B155,Продажи!$C$5:$C$359,Конструкторы!$A155)</f>
        <v>0</v>
      </c>
      <c r="T155" s="166">
        <f>SUMIFS(Продажи!Q$5:Q$359,Продажи!$D$5:$D$359,Конструкторы!$B155,Продажи!$C$5:$C$359,Конструкторы!$A155)</f>
        <v>0</v>
      </c>
    </row>
    <row r="156" spans="1:20" ht="15.75" hidden="1" x14ac:dyDescent="0.25">
      <c r="A156" s="166" t="s">
        <v>397</v>
      </c>
      <c r="B156" s="167" t="s">
        <v>284</v>
      </c>
      <c r="C156" s="33" t="s">
        <v>82</v>
      </c>
      <c r="D156" s="149"/>
      <c r="E156" s="153" t="s">
        <v>70</v>
      </c>
      <c r="F156" s="159">
        <v>4</v>
      </c>
      <c r="G156" s="156" t="s">
        <v>71</v>
      </c>
      <c r="H156" s="156">
        <f>F156</f>
        <v>4</v>
      </c>
      <c r="I156" s="166">
        <f>SUMIFS(Продажи!F$5:F$359,Продажи!$D$5:$D$359,Конструкторы!$B156,Продажи!$C$5:$C$359,Конструкторы!$A156)</f>
        <v>0</v>
      </c>
      <c r="J156" s="166">
        <f>SUMIFS(Продажи!G$5:G$359,Продажи!$D$5:$D$359,Конструкторы!$B156,Продажи!$C$5:$C$359,Конструкторы!$A156)</f>
        <v>0</v>
      </c>
      <c r="K156" s="166">
        <f>SUMIFS(Продажи!H$5:H$359,Продажи!$D$5:$D$359,Конструкторы!$B156,Продажи!$C$5:$C$359,Конструкторы!$A156)</f>
        <v>0</v>
      </c>
      <c r="L156" s="166">
        <f>SUMIFS(Продажи!I$5:I$359,Продажи!$D$5:$D$359,Конструкторы!$B156,Продажи!$C$5:$C$359,Конструкторы!$A156)</f>
        <v>0</v>
      </c>
      <c r="M156" s="166">
        <f>SUMIFS(Продажи!J$5:J$359,Продажи!$D$5:$D$359,Конструкторы!$B156,Продажи!$C$5:$C$359,Конструкторы!$A156)</f>
        <v>0</v>
      </c>
      <c r="N156" s="166">
        <f>SUMIFS(Продажи!K$5:K$359,Продажи!$D$5:$D$359,Конструкторы!$B156,Продажи!$C$5:$C$359,Конструкторы!$A156)</f>
        <v>0</v>
      </c>
      <c r="O156" s="166">
        <f>SUMIFS(Продажи!L$5:L$359,Продажи!$D$5:$D$359,Конструкторы!$B156,Продажи!$C$5:$C$359,Конструкторы!$A156)</f>
        <v>0</v>
      </c>
      <c r="P156" s="166">
        <f>SUMIFS(Продажи!M$5:M$359,Продажи!$D$5:$D$359,Конструкторы!$B156,Продажи!$C$5:$C$359,Конструкторы!$A156)</f>
        <v>0</v>
      </c>
      <c r="Q156" s="166">
        <f>SUMIFS(Продажи!N$5:N$359,Продажи!$D$5:$D$359,Конструкторы!$B156,Продажи!$C$5:$C$359,Конструкторы!$A156)</f>
        <v>0</v>
      </c>
      <c r="R156" s="166">
        <f>SUMIFS(Продажи!O$5:O$359,Продажи!$D$5:$D$359,Конструкторы!$B156,Продажи!$C$5:$C$359,Конструкторы!$A156)</f>
        <v>0</v>
      </c>
      <c r="S156" s="166">
        <f>SUMIFS(Продажи!P$5:P$359,Продажи!$D$5:$D$359,Конструкторы!$B156,Продажи!$C$5:$C$359,Конструкторы!$A156)</f>
        <v>0</v>
      </c>
      <c r="T156" s="166">
        <f>SUMIFS(Продажи!Q$5:Q$359,Продажи!$D$5:$D$359,Конструкторы!$B156,Продажи!$C$5:$C$359,Конструкторы!$A156)</f>
        <v>0</v>
      </c>
    </row>
    <row r="157" spans="1:20" ht="15.75" hidden="1" x14ac:dyDescent="0.25">
      <c r="A157" s="166" t="s">
        <v>397</v>
      </c>
      <c r="B157" s="167" t="s">
        <v>285</v>
      </c>
      <c r="C157" s="129" t="s">
        <v>30</v>
      </c>
      <c r="D157" s="149"/>
      <c r="E157" s="153" t="s">
        <v>68</v>
      </c>
      <c r="F157" s="156">
        <f>(0.505*103)/100</f>
        <v>0.52015</v>
      </c>
      <c r="G157" s="156">
        <v>1.5149999999999997E-2</v>
      </c>
      <c r="H157" s="156">
        <f>F157+G157</f>
        <v>0.5353</v>
      </c>
      <c r="I157" s="166">
        <f>SUMIFS(Продажи!F$5:F$359,Продажи!$D$5:$D$359,Конструкторы!$B157,Продажи!$C$5:$C$359,Конструкторы!$A157)</f>
        <v>0</v>
      </c>
      <c r="J157" s="166">
        <f>SUMIFS(Продажи!G$5:G$359,Продажи!$D$5:$D$359,Конструкторы!$B157,Продажи!$C$5:$C$359,Конструкторы!$A157)</f>
        <v>0</v>
      </c>
      <c r="K157" s="166">
        <f>SUMIFS(Продажи!H$5:H$359,Продажи!$D$5:$D$359,Конструкторы!$B157,Продажи!$C$5:$C$359,Конструкторы!$A157)</f>
        <v>0</v>
      </c>
      <c r="L157" s="166">
        <f>SUMIFS(Продажи!I$5:I$359,Продажи!$D$5:$D$359,Конструкторы!$B157,Продажи!$C$5:$C$359,Конструкторы!$A157)</f>
        <v>0</v>
      </c>
      <c r="M157" s="166">
        <f>SUMIFS(Продажи!J$5:J$359,Продажи!$D$5:$D$359,Конструкторы!$B157,Продажи!$C$5:$C$359,Конструкторы!$A157)</f>
        <v>0</v>
      </c>
      <c r="N157" s="166">
        <f>SUMIFS(Продажи!K$5:K$359,Продажи!$D$5:$D$359,Конструкторы!$B157,Продажи!$C$5:$C$359,Конструкторы!$A157)</f>
        <v>0</v>
      </c>
      <c r="O157" s="166">
        <f>SUMIFS(Продажи!L$5:L$359,Продажи!$D$5:$D$359,Конструкторы!$B157,Продажи!$C$5:$C$359,Конструкторы!$A157)</f>
        <v>0</v>
      </c>
      <c r="P157" s="166">
        <f>SUMIFS(Продажи!M$5:M$359,Продажи!$D$5:$D$359,Конструкторы!$B157,Продажи!$C$5:$C$359,Конструкторы!$A157)</f>
        <v>0</v>
      </c>
      <c r="Q157" s="166">
        <f>SUMIFS(Продажи!N$5:N$359,Продажи!$D$5:$D$359,Конструкторы!$B157,Продажи!$C$5:$C$359,Конструкторы!$A157)</f>
        <v>0</v>
      </c>
      <c r="R157" s="166">
        <f>SUMIFS(Продажи!O$5:O$359,Продажи!$D$5:$D$359,Конструкторы!$B157,Продажи!$C$5:$C$359,Конструкторы!$A157)</f>
        <v>0</v>
      </c>
      <c r="S157" s="166">
        <f>SUMIFS(Продажи!P$5:P$359,Продажи!$D$5:$D$359,Конструкторы!$B157,Продажи!$C$5:$C$359,Конструкторы!$A157)</f>
        <v>0</v>
      </c>
      <c r="T157" s="166">
        <f>SUMIFS(Продажи!Q$5:Q$359,Продажи!$D$5:$D$359,Конструкторы!$B157,Продажи!$C$5:$C$359,Конструкторы!$A157)</f>
        <v>0</v>
      </c>
    </row>
    <row r="158" spans="1:20" ht="15.75" hidden="1" x14ac:dyDescent="0.25">
      <c r="A158" s="166" t="s">
        <v>397</v>
      </c>
      <c r="B158" s="167" t="s">
        <v>285</v>
      </c>
      <c r="C158" s="33" t="s">
        <v>79</v>
      </c>
      <c r="D158" s="149"/>
      <c r="E158" s="153" t="s">
        <v>70</v>
      </c>
      <c r="F158" s="159">
        <v>2</v>
      </c>
      <c r="G158" s="156" t="s">
        <v>71</v>
      </c>
      <c r="H158" s="156">
        <f>F158</f>
        <v>2</v>
      </c>
      <c r="I158" s="166">
        <f>SUMIFS(Продажи!F$5:F$359,Продажи!$D$5:$D$359,Конструкторы!$B158,Продажи!$C$5:$C$359,Конструкторы!$A158)</f>
        <v>0</v>
      </c>
      <c r="J158" s="166">
        <f>SUMIFS(Продажи!G$5:G$359,Продажи!$D$5:$D$359,Конструкторы!$B158,Продажи!$C$5:$C$359,Конструкторы!$A158)</f>
        <v>0</v>
      </c>
      <c r="K158" s="166">
        <f>SUMIFS(Продажи!H$5:H$359,Продажи!$D$5:$D$359,Конструкторы!$B158,Продажи!$C$5:$C$359,Конструкторы!$A158)</f>
        <v>0</v>
      </c>
      <c r="L158" s="166">
        <f>SUMIFS(Продажи!I$5:I$359,Продажи!$D$5:$D$359,Конструкторы!$B158,Продажи!$C$5:$C$359,Конструкторы!$A158)</f>
        <v>0</v>
      </c>
      <c r="M158" s="166">
        <f>SUMIFS(Продажи!J$5:J$359,Продажи!$D$5:$D$359,Конструкторы!$B158,Продажи!$C$5:$C$359,Конструкторы!$A158)</f>
        <v>0</v>
      </c>
      <c r="N158" s="166">
        <f>SUMIFS(Продажи!K$5:K$359,Продажи!$D$5:$D$359,Конструкторы!$B158,Продажи!$C$5:$C$359,Конструкторы!$A158)</f>
        <v>0</v>
      </c>
      <c r="O158" s="166">
        <f>SUMIFS(Продажи!L$5:L$359,Продажи!$D$5:$D$359,Конструкторы!$B158,Продажи!$C$5:$C$359,Конструкторы!$A158)</f>
        <v>0</v>
      </c>
      <c r="P158" s="166">
        <f>SUMIFS(Продажи!M$5:M$359,Продажи!$D$5:$D$359,Конструкторы!$B158,Продажи!$C$5:$C$359,Конструкторы!$A158)</f>
        <v>0</v>
      </c>
      <c r="Q158" s="166">
        <f>SUMIFS(Продажи!N$5:N$359,Продажи!$D$5:$D$359,Конструкторы!$B158,Продажи!$C$5:$C$359,Конструкторы!$A158)</f>
        <v>0</v>
      </c>
      <c r="R158" s="166">
        <f>SUMIFS(Продажи!O$5:O$359,Продажи!$D$5:$D$359,Конструкторы!$B158,Продажи!$C$5:$C$359,Конструкторы!$A158)</f>
        <v>0</v>
      </c>
      <c r="S158" s="166">
        <f>SUMIFS(Продажи!P$5:P$359,Продажи!$D$5:$D$359,Конструкторы!$B158,Продажи!$C$5:$C$359,Конструкторы!$A158)</f>
        <v>0</v>
      </c>
      <c r="T158" s="166">
        <f>SUMIFS(Продажи!Q$5:Q$359,Продажи!$D$5:$D$359,Конструкторы!$B158,Продажи!$C$5:$C$359,Конструкторы!$A158)</f>
        <v>0</v>
      </c>
    </row>
    <row r="159" spans="1:20" ht="15.75" hidden="1" x14ac:dyDescent="0.25">
      <c r="A159" s="166" t="s">
        <v>397</v>
      </c>
      <c r="B159" s="167" t="s">
        <v>285</v>
      </c>
      <c r="C159" s="33" t="s">
        <v>80</v>
      </c>
      <c r="D159" s="149"/>
      <c r="E159" s="153" t="s">
        <v>70</v>
      </c>
      <c r="F159" s="159">
        <v>2</v>
      </c>
      <c r="G159" s="156" t="s">
        <v>71</v>
      </c>
      <c r="H159" s="156">
        <f>F159</f>
        <v>2</v>
      </c>
      <c r="I159" s="166">
        <f>SUMIFS(Продажи!F$5:F$359,Продажи!$D$5:$D$359,Конструкторы!$B159,Продажи!$C$5:$C$359,Конструкторы!$A159)</f>
        <v>0</v>
      </c>
      <c r="J159" s="166">
        <f>SUMIFS(Продажи!G$5:G$359,Продажи!$D$5:$D$359,Конструкторы!$B159,Продажи!$C$5:$C$359,Конструкторы!$A159)</f>
        <v>0</v>
      </c>
      <c r="K159" s="166">
        <f>SUMIFS(Продажи!H$5:H$359,Продажи!$D$5:$D$359,Конструкторы!$B159,Продажи!$C$5:$C$359,Конструкторы!$A159)</f>
        <v>0</v>
      </c>
      <c r="L159" s="166">
        <f>SUMIFS(Продажи!I$5:I$359,Продажи!$D$5:$D$359,Конструкторы!$B159,Продажи!$C$5:$C$359,Конструкторы!$A159)</f>
        <v>0</v>
      </c>
      <c r="M159" s="166">
        <f>SUMIFS(Продажи!J$5:J$359,Продажи!$D$5:$D$359,Конструкторы!$B159,Продажи!$C$5:$C$359,Конструкторы!$A159)</f>
        <v>0</v>
      </c>
      <c r="N159" s="166">
        <f>SUMIFS(Продажи!K$5:K$359,Продажи!$D$5:$D$359,Конструкторы!$B159,Продажи!$C$5:$C$359,Конструкторы!$A159)</f>
        <v>0</v>
      </c>
      <c r="O159" s="166">
        <f>SUMIFS(Продажи!L$5:L$359,Продажи!$D$5:$D$359,Конструкторы!$B159,Продажи!$C$5:$C$359,Конструкторы!$A159)</f>
        <v>0</v>
      </c>
      <c r="P159" s="166">
        <f>SUMIFS(Продажи!M$5:M$359,Продажи!$D$5:$D$359,Конструкторы!$B159,Продажи!$C$5:$C$359,Конструкторы!$A159)</f>
        <v>0</v>
      </c>
      <c r="Q159" s="166">
        <f>SUMIFS(Продажи!N$5:N$359,Продажи!$D$5:$D$359,Конструкторы!$B159,Продажи!$C$5:$C$359,Конструкторы!$A159)</f>
        <v>0</v>
      </c>
      <c r="R159" s="166">
        <f>SUMIFS(Продажи!O$5:O$359,Продажи!$D$5:$D$359,Конструкторы!$B159,Продажи!$C$5:$C$359,Конструкторы!$A159)</f>
        <v>0</v>
      </c>
      <c r="S159" s="166">
        <f>SUMIFS(Продажи!P$5:P$359,Продажи!$D$5:$D$359,Конструкторы!$B159,Продажи!$C$5:$C$359,Конструкторы!$A159)</f>
        <v>0</v>
      </c>
      <c r="T159" s="166">
        <f>SUMIFS(Продажи!Q$5:Q$359,Продажи!$D$5:$D$359,Конструкторы!$B159,Продажи!$C$5:$C$359,Конструкторы!$A159)</f>
        <v>0</v>
      </c>
    </row>
    <row r="160" spans="1:20" ht="15.75" hidden="1" x14ac:dyDescent="0.25">
      <c r="A160" s="166" t="s">
        <v>397</v>
      </c>
      <c r="B160" s="167" t="s">
        <v>285</v>
      </c>
      <c r="C160" s="33" t="s">
        <v>81</v>
      </c>
      <c r="D160" s="149"/>
      <c r="E160" s="153" t="s">
        <v>70</v>
      </c>
      <c r="F160" s="159">
        <v>6</v>
      </c>
      <c r="G160" s="156" t="s">
        <v>71</v>
      </c>
      <c r="H160" s="156">
        <f>F160</f>
        <v>6</v>
      </c>
      <c r="I160" s="166">
        <f>SUMIFS(Продажи!F$5:F$359,Продажи!$D$5:$D$359,Конструкторы!$B160,Продажи!$C$5:$C$359,Конструкторы!$A160)</f>
        <v>0</v>
      </c>
      <c r="J160" s="166">
        <f>SUMIFS(Продажи!G$5:G$359,Продажи!$D$5:$D$359,Конструкторы!$B160,Продажи!$C$5:$C$359,Конструкторы!$A160)</f>
        <v>0</v>
      </c>
      <c r="K160" s="166">
        <f>SUMIFS(Продажи!H$5:H$359,Продажи!$D$5:$D$359,Конструкторы!$B160,Продажи!$C$5:$C$359,Конструкторы!$A160)</f>
        <v>0</v>
      </c>
      <c r="L160" s="166">
        <f>SUMIFS(Продажи!I$5:I$359,Продажи!$D$5:$D$359,Конструкторы!$B160,Продажи!$C$5:$C$359,Конструкторы!$A160)</f>
        <v>0</v>
      </c>
      <c r="M160" s="166">
        <f>SUMIFS(Продажи!J$5:J$359,Продажи!$D$5:$D$359,Конструкторы!$B160,Продажи!$C$5:$C$359,Конструкторы!$A160)</f>
        <v>0</v>
      </c>
      <c r="N160" s="166">
        <f>SUMIFS(Продажи!K$5:K$359,Продажи!$D$5:$D$359,Конструкторы!$B160,Продажи!$C$5:$C$359,Конструкторы!$A160)</f>
        <v>0</v>
      </c>
      <c r="O160" s="166">
        <f>SUMIFS(Продажи!L$5:L$359,Продажи!$D$5:$D$359,Конструкторы!$B160,Продажи!$C$5:$C$359,Конструкторы!$A160)</f>
        <v>0</v>
      </c>
      <c r="P160" s="166">
        <f>SUMIFS(Продажи!M$5:M$359,Продажи!$D$5:$D$359,Конструкторы!$B160,Продажи!$C$5:$C$359,Конструкторы!$A160)</f>
        <v>0</v>
      </c>
      <c r="Q160" s="166">
        <f>SUMIFS(Продажи!N$5:N$359,Продажи!$D$5:$D$359,Конструкторы!$B160,Продажи!$C$5:$C$359,Конструкторы!$A160)</f>
        <v>0</v>
      </c>
      <c r="R160" s="166">
        <f>SUMIFS(Продажи!O$5:O$359,Продажи!$D$5:$D$359,Конструкторы!$B160,Продажи!$C$5:$C$359,Конструкторы!$A160)</f>
        <v>0</v>
      </c>
      <c r="S160" s="166">
        <f>SUMIFS(Продажи!P$5:P$359,Продажи!$D$5:$D$359,Конструкторы!$B160,Продажи!$C$5:$C$359,Конструкторы!$A160)</f>
        <v>0</v>
      </c>
      <c r="T160" s="166">
        <f>SUMIFS(Продажи!Q$5:Q$359,Продажи!$D$5:$D$359,Конструкторы!$B160,Продажи!$C$5:$C$359,Конструкторы!$A160)</f>
        <v>0</v>
      </c>
    </row>
    <row r="161" spans="1:20" ht="15.75" hidden="1" x14ac:dyDescent="0.25">
      <c r="A161" s="166" t="s">
        <v>397</v>
      </c>
      <c r="B161" s="167" t="s">
        <v>285</v>
      </c>
      <c r="C161" s="33" t="s">
        <v>82</v>
      </c>
      <c r="D161" s="149"/>
      <c r="E161" s="153" t="s">
        <v>70</v>
      </c>
      <c r="F161" s="159">
        <v>4</v>
      </c>
      <c r="G161" s="156" t="s">
        <v>71</v>
      </c>
      <c r="H161" s="156">
        <f>F161</f>
        <v>4</v>
      </c>
      <c r="I161" s="166">
        <f>SUMIFS(Продажи!F$5:F$359,Продажи!$D$5:$D$359,Конструкторы!$B161,Продажи!$C$5:$C$359,Конструкторы!$A161)</f>
        <v>0</v>
      </c>
      <c r="J161" s="166">
        <f>SUMIFS(Продажи!G$5:G$359,Продажи!$D$5:$D$359,Конструкторы!$B161,Продажи!$C$5:$C$359,Конструкторы!$A161)</f>
        <v>0</v>
      </c>
      <c r="K161" s="166">
        <f>SUMIFS(Продажи!H$5:H$359,Продажи!$D$5:$D$359,Конструкторы!$B161,Продажи!$C$5:$C$359,Конструкторы!$A161)</f>
        <v>0</v>
      </c>
      <c r="L161" s="166">
        <f>SUMIFS(Продажи!I$5:I$359,Продажи!$D$5:$D$359,Конструкторы!$B161,Продажи!$C$5:$C$359,Конструкторы!$A161)</f>
        <v>0</v>
      </c>
      <c r="M161" s="166">
        <f>SUMIFS(Продажи!J$5:J$359,Продажи!$D$5:$D$359,Конструкторы!$B161,Продажи!$C$5:$C$359,Конструкторы!$A161)</f>
        <v>0</v>
      </c>
      <c r="N161" s="166">
        <f>SUMIFS(Продажи!K$5:K$359,Продажи!$D$5:$D$359,Конструкторы!$B161,Продажи!$C$5:$C$359,Конструкторы!$A161)</f>
        <v>0</v>
      </c>
      <c r="O161" s="166">
        <f>SUMIFS(Продажи!L$5:L$359,Продажи!$D$5:$D$359,Конструкторы!$B161,Продажи!$C$5:$C$359,Конструкторы!$A161)</f>
        <v>0</v>
      </c>
      <c r="P161" s="166">
        <f>SUMIFS(Продажи!M$5:M$359,Продажи!$D$5:$D$359,Конструкторы!$B161,Продажи!$C$5:$C$359,Конструкторы!$A161)</f>
        <v>0</v>
      </c>
      <c r="Q161" s="166">
        <f>SUMIFS(Продажи!N$5:N$359,Продажи!$D$5:$D$359,Конструкторы!$B161,Продажи!$C$5:$C$359,Конструкторы!$A161)</f>
        <v>0</v>
      </c>
      <c r="R161" s="166">
        <f>SUMIFS(Продажи!O$5:O$359,Продажи!$D$5:$D$359,Конструкторы!$B161,Продажи!$C$5:$C$359,Конструкторы!$A161)</f>
        <v>0</v>
      </c>
      <c r="S161" s="166">
        <f>SUMIFS(Продажи!P$5:P$359,Продажи!$D$5:$D$359,Конструкторы!$B161,Продажи!$C$5:$C$359,Конструкторы!$A161)</f>
        <v>0</v>
      </c>
      <c r="T161" s="166">
        <f>SUMIFS(Продажи!Q$5:Q$359,Продажи!$D$5:$D$359,Конструкторы!$B161,Продажи!$C$5:$C$359,Конструкторы!$A161)</f>
        <v>0</v>
      </c>
    </row>
    <row r="162" spans="1:20" ht="15.75" hidden="1" x14ac:dyDescent="0.25">
      <c r="A162" s="166" t="s">
        <v>397</v>
      </c>
      <c r="B162" s="167" t="s">
        <v>286</v>
      </c>
      <c r="C162" s="129" t="s">
        <v>30</v>
      </c>
      <c r="D162" s="149"/>
      <c r="E162" s="153" t="s">
        <v>68</v>
      </c>
      <c r="F162" s="156">
        <f>(0.605*103)/100</f>
        <v>0.62314999999999998</v>
      </c>
      <c r="G162" s="156">
        <v>1.8149999999999999E-2</v>
      </c>
      <c r="H162" s="156">
        <f>F162+G162</f>
        <v>0.64129999999999998</v>
      </c>
      <c r="I162" s="166">
        <f>SUMIFS(Продажи!F$5:F$359,Продажи!$D$5:$D$359,Конструкторы!$B162,Продажи!$C$5:$C$359,Конструкторы!$A162)</f>
        <v>0</v>
      </c>
      <c r="J162" s="166">
        <f>SUMIFS(Продажи!G$5:G$359,Продажи!$D$5:$D$359,Конструкторы!$B162,Продажи!$C$5:$C$359,Конструкторы!$A162)</f>
        <v>0</v>
      </c>
      <c r="K162" s="166">
        <f>SUMIFS(Продажи!H$5:H$359,Продажи!$D$5:$D$359,Конструкторы!$B162,Продажи!$C$5:$C$359,Конструкторы!$A162)</f>
        <v>0</v>
      </c>
      <c r="L162" s="166">
        <f>SUMIFS(Продажи!I$5:I$359,Продажи!$D$5:$D$359,Конструкторы!$B162,Продажи!$C$5:$C$359,Конструкторы!$A162)</f>
        <v>0</v>
      </c>
      <c r="M162" s="166">
        <f>SUMIFS(Продажи!J$5:J$359,Продажи!$D$5:$D$359,Конструкторы!$B162,Продажи!$C$5:$C$359,Конструкторы!$A162)</f>
        <v>0</v>
      </c>
      <c r="N162" s="166">
        <f>SUMIFS(Продажи!K$5:K$359,Продажи!$D$5:$D$359,Конструкторы!$B162,Продажи!$C$5:$C$359,Конструкторы!$A162)</f>
        <v>0</v>
      </c>
      <c r="O162" s="166">
        <f>SUMIFS(Продажи!L$5:L$359,Продажи!$D$5:$D$359,Конструкторы!$B162,Продажи!$C$5:$C$359,Конструкторы!$A162)</f>
        <v>0</v>
      </c>
      <c r="P162" s="166">
        <f>SUMIFS(Продажи!M$5:M$359,Продажи!$D$5:$D$359,Конструкторы!$B162,Продажи!$C$5:$C$359,Конструкторы!$A162)</f>
        <v>0</v>
      </c>
      <c r="Q162" s="166">
        <f>SUMIFS(Продажи!N$5:N$359,Продажи!$D$5:$D$359,Конструкторы!$B162,Продажи!$C$5:$C$359,Конструкторы!$A162)</f>
        <v>0</v>
      </c>
      <c r="R162" s="166">
        <f>SUMIFS(Продажи!O$5:O$359,Продажи!$D$5:$D$359,Конструкторы!$B162,Продажи!$C$5:$C$359,Конструкторы!$A162)</f>
        <v>0</v>
      </c>
      <c r="S162" s="166">
        <f>SUMIFS(Продажи!P$5:P$359,Продажи!$D$5:$D$359,Конструкторы!$B162,Продажи!$C$5:$C$359,Конструкторы!$A162)</f>
        <v>0</v>
      </c>
      <c r="T162" s="166">
        <f>SUMIFS(Продажи!Q$5:Q$359,Продажи!$D$5:$D$359,Конструкторы!$B162,Продажи!$C$5:$C$359,Конструкторы!$A162)</f>
        <v>0</v>
      </c>
    </row>
    <row r="163" spans="1:20" ht="15.75" hidden="1" x14ac:dyDescent="0.25">
      <c r="A163" s="166" t="s">
        <v>397</v>
      </c>
      <c r="B163" s="167" t="s">
        <v>286</v>
      </c>
      <c r="C163" s="33" t="s">
        <v>79</v>
      </c>
      <c r="D163" s="149"/>
      <c r="E163" s="153" t="s">
        <v>70</v>
      </c>
      <c r="F163" s="159">
        <v>2</v>
      </c>
      <c r="G163" s="156" t="s">
        <v>71</v>
      </c>
      <c r="H163" s="156">
        <f>F163</f>
        <v>2</v>
      </c>
      <c r="I163" s="166">
        <f>SUMIFS(Продажи!F$5:F$359,Продажи!$D$5:$D$359,Конструкторы!$B163,Продажи!$C$5:$C$359,Конструкторы!$A163)</f>
        <v>0</v>
      </c>
      <c r="J163" s="166">
        <f>SUMIFS(Продажи!G$5:G$359,Продажи!$D$5:$D$359,Конструкторы!$B163,Продажи!$C$5:$C$359,Конструкторы!$A163)</f>
        <v>0</v>
      </c>
      <c r="K163" s="166">
        <f>SUMIFS(Продажи!H$5:H$359,Продажи!$D$5:$D$359,Конструкторы!$B163,Продажи!$C$5:$C$359,Конструкторы!$A163)</f>
        <v>0</v>
      </c>
      <c r="L163" s="166">
        <f>SUMIFS(Продажи!I$5:I$359,Продажи!$D$5:$D$359,Конструкторы!$B163,Продажи!$C$5:$C$359,Конструкторы!$A163)</f>
        <v>0</v>
      </c>
      <c r="M163" s="166">
        <f>SUMIFS(Продажи!J$5:J$359,Продажи!$D$5:$D$359,Конструкторы!$B163,Продажи!$C$5:$C$359,Конструкторы!$A163)</f>
        <v>0</v>
      </c>
      <c r="N163" s="166">
        <f>SUMIFS(Продажи!K$5:K$359,Продажи!$D$5:$D$359,Конструкторы!$B163,Продажи!$C$5:$C$359,Конструкторы!$A163)</f>
        <v>0</v>
      </c>
      <c r="O163" s="166">
        <f>SUMIFS(Продажи!L$5:L$359,Продажи!$D$5:$D$359,Конструкторы!$B163,Продажи!$C$5:$C$359,Конструкторы!$A163)</f>
        <v>0</v>
      </c>
      <c r="P163" s="166">
        <f>SUMIFS(Продажи!M$5:M$359,Продажи!$D$5:$D$359,Конструкторы!$B163,Продажи!$C$5:$C$359,Конструкторы!$A163)</f>
        <v>0</v>
      </c>
      <c r="Q163" s="166">
        <f>SUMIFS(Продажи!N$5:N$359,Продажи!$D$5:$D$359,Конструкторы!$B163,Продажи!$C$5:$C$359,Конструкторы!$A163)</f>
        <v>0</v>
      </c>
      <c r="R163" s="166">
        <f>SUMIFS(Продажи!O$5:O$359,Продажи!$D$5:$D$359,Конструкторы!$B163,Продажи!$C$5:$C$359,Конструкторы!$A163)</f>
        <v>0</v>
      </c>
      <c r="S163" s="166">
        <f>SUMIFS(Продажи!P$5:P$359,Продажи!$D$5:$D$359,Конструкторы!$B163,Продажи!$C$5:$C$359,Конструкторы!$A163)</f>
        <v>0</v>
      </c>
      <c r="T163" s="166">
        <f>SUMIFS(Продажи!Q$5:Q$359,Продажи!$D$5:$D$359,Конструкторы!$B163,Продажи!$C$5:$C$359,Конструкторы!$A163)</f>
        <v>0</v>
      </c>
    </row>
    <row r="164" spans="1:20" ht="15.75" hidden="1" x14ac:dyDescent="0.25">
      <c r="A164" s="166" t="s">
        <v>397</v>
      </c>
      <c r="B164" s="167" t="s">
        <v>286</v>
      </c>
      <c r="C164" s="33" t="s">
        <v>80</v>
      </c>
      <c r="D164" s="149"/>
      <c r="E164" s="153" t="s">
        <v>70</v>
      </c>
      <c r="F164" s="159">
        <v>2</v>
      </c>
      <c r="G164" s="156" t="s">
        <v>71</v>
      </c>
      <c r="H164" s="156">
        <f>F164</f>
        <v>2</v>
      </c>
      <c r="I164" s="166">
        <f>SUMIFS(Продажи!F$5:F$359,Продажи!$D$5:$D$359,Конструкторы!$B164,Продажи!$C$5:$C$359,Конструкторы!$A164)</f>
        <v>0</v>
      </c>
      <c r="J164" s="166">
        <f>SUMIFS(Продажи!G$5:G$359,Продажи!$D$5:$D$359,Конструкторы!$B164,Продажи!$C$5:$C$359,Конструкторы!$A164)</f>
        <v>0</v>
      </c>
      <c r="K164" s="166">
        <f>SUMIFS(Продажи!H$5:H$359,Продажи!$D$5:$D$359,Конструкторы!$B164,Продажи!$C$5:$C$359,Конструкторы!$A164)</f>
        <v>0</v>
      </c>
      <c r="L164" s="166">
        <f>SUMIFS(Продажи!I$5:I$359,Продажи!$D$5:$D$359,Конструкторы!$B164,Продажи!$C$5:$C$359,Конструкторы!$A164)</f>
        <v>0</v>
      </c>
      <c r="M164" s="166">
        <f>SUMIFS(Продажи!J$5:J$359,Продажи!$D$5:$D$359,Конструкторы!$B164,Продажи!$C$5:$C$359,Конструкторы!$A164)</f>
        <v>0</v>
      </c>
      <c r="N164" s="166">
        <f>SUMIFS(Продажи!K$5:K$359,Продажи!$D$5:$D$359,Конструкторы!$B164,Продажи!$C$5:$C$359,Конструкторы!$A164)</f>
        <v>0</v>
      </c>
      <c r="O164" s="166">
        <f>SUMIFS(Продажи!L$5:L$359,Продажи!$D$5:$D$359,Конструкторы!$B164,Продажи!$C$5:$C$359,Конструкторы!$A164)</f>
        <v>0</v>
      </c>
      <c r="P164" s="166">
        <f>SUMIFS(Продажи!M$5:M$359,Продажи!$D$5:$D$359,Конструкторы!$B164,Продажи!$C$5:$C$359,Конструкторы!$A164)</f>
        <v>0</v>
      </c>
      <c r="Q164" s="166">
        <f>SUMIFS(Продажи!N$5:N$359,Продажи!$D$5:$D$359,Конструкторы!$B164,Продажи!$C$5:$C$359,Конструкторы!$A164)</f>
        <v>0</v>
      </c>
      <c r="R164" s="166">
        <f>SUMIFS(Продажи!O$5:O$359,Продажи!$D$5:$D$359,Конструкторы!$B164,Продажи!$C$5:$C$359,Конструкторы!$A164)</f>
        <v>0</v>
      </c>
      <c r="S164" s="166">
        <f>SUMIFS(Продажи!P$5:P$359,Продажи!$D$5:$D$359,Конструкторы!$B164,Продажи!$C$5:$C$359,Конструкторы!$A164)</f>
        <v>0</v>
      </c>
      <c r="T164" s="166">
        <f>SUMIFS(Продажи!Q$5:Q$359,Продажи!$D$5:$D$359,Конструкторы!$B164,Продажи!$C$5:$C$359,Конструкторы!$A164)</f>
        <v>0</v>
      </c>
    </row>
    <row r="165" spans="1:20" ht="15.75" hidden="1" x14ac:dyDescent="0.25">
      <c r="A165" s="166" t="s">
        <v>397</v>
      </c>
      <c r="B165" s="167" t="s">
        <v>286</v>
      </c>
      <c r="C165" s="33" t="s">
        <v>81</v>
      </c>
      <c r="D165" s="149"/>
      <c r="E165" s="153" t="s">
        <v>70</v>
      </c>
      <c r="F165" s="159">
        <v>6</v>
      </c>
      <c r="G165" s="156" t="s">
        <v>71</v>
      </c>
      <c r="H165" s="156">
        <f>F165</f>
        <v>6</v>
      </c>
      <c r="I165" s="166">
        <f>SUMIFS(Продажи!F$5:F$359,Продажи!$D$5:$D$359,Конструкторы!$B165,Продажи!$C$5:$C$359,Конструкторы!$A165)</f>
        <v>0</v>
      </c>
      <c r="J165" s="166">
        <f>SUMIFS(Продажи!G$5:G$359,Продажи!$D$5:$D$359,Конструкторы!$B165,Продажи!$C$5:$C$359,Конструкторы!$A165)</f>
        <v>0</v>
      </c>
      <c r="K165" s="166">
        <f>SUMIFS(Продажи!H$5:H$359,Продажи!$D$5:$D$359,Конструкторы!$B165,Продажи!$C$5:$C$359,Конструкторы!$A165)</f>
        <v>0</v>
      </c>
      <c r="L165" s="166">
        <f>SUMIFS(Продажи!I$5:I$359,Продажи!$D$5:$D$359,Конструкторы!$B165,Продажи!$C$5:$C$359,Конструкторы!$A165)</f>
        <v>0</v>
      </c>
      <c r="M165" s="166">
        <f>SUMIFS(Продажи!J$5:J$359,Продажи!$D$5:$D$359,Конструкторы!$B165,Продажи!$C$5:$C$359,Конструкторы!$A165)</f>
        <v>0</v>
      </c>
      <c r="N165" s="166">
        <f>SUMIFS(Продажи!K$5:K$359,Продажи!$D$5:$D$359,Конструкторы!$B165,Продажи!$C$5:$C$359,Конструкторы!$A165)</f>
        <v>0</v>
      </c>
      <c r="O165" s="166">
        <f>SUMIFS(Продажи!L$5:L$359,Продажи!$D$5:$D$359,Конструкторы!$B165,Продажи!$C$5:$C$359,Конструкторы!$A165)</f>
        <v>0</v>
      </c>
      <c r="P165" s="166">
        <f>SUMIFS(Продажи!M$5:M$359,Продажи!$D$5:$D$359,Конструкторы!$B165,Продажи!$C$5:$C$359,Конструкторы!$A165)</f>
        <v>0</v>
      </c>
      <c r="Q165" s="166">
        <f>SUMIFS(Продажи!N$5:N$359,Продажи!$D$5:$D$359,Конструкторы!$B165,Продажи!$C$5:$C$359,Конструкторы!$A165)</f>
        <v>0</v>
      </c>
      <c r="R165" s="166">
        <f>SUMIFS(Продажи!O$5:O$359,Продажи!$D$5:$D$359,Конструкторы!$B165,Продажи!$C$5:$C$359,Конструкторы!$A165)</f>
        <v>0</v>
      </c>
      <c r="S165" s="166">
        <f>SUMIFS(Продажи!P$5:P$359,Продажи!$D$5:$D$359,Конструкторы!$B165,Продажи!$C$5:$C$359,Конструкторы!$A165)</f>
        <v>0</v>
      </c>
      <c r="T165" s="166">
        <f>SUMIFS(Продажи!Q$5:Q$359,Продажи!$D$5:$D$359,Конструкторы!$B165,Продажи!$C$5:$C$359,Конструкторы!$A165)</f>
        <v>0</v>
      </c>
    </row>
    <row r="166" spans="1:20" ht="15.75" hidden="1" x14ac:dyDescent="0.25">
      <c r="A166" s="166" t="s">
        <v>397</v>
      </c>
      <c r="B166" s="167" t="s">
        <v>286</v>
      </c>
      <c r="C166" s="33" t="s">
        <v>82</v>
      </c>
      <c r="D166" s="149"/>
      <c r="E166" s="153" t="s">
        <v>70</v>
      </c>
      <c r="F166" s="159">
        <v>4</v>
      </c>
      <c r="G166" s="156" t="s">
        <v>71</v>
      </c>
      <c r="H166" s="156">
        <f>F166</f>
        <v>4</v>
      </c>
      <c r="I166" s="166">
        <f>SUMIFS(Продажи!F$5:F$359,Продажи!$D$5:$D$359,Конструкторы!$B166,Продажи!$C$5:$C$359,Конструкторы!$A166)</f>
        <v>0</v>
      </c>
      <c r="J166" s="166">
        <f>SUMIFS(Продажи!G$5:G$359,Продажи!$D$5:$D$359,Конструкторы!$B166,Продажи!$C$5:$C$359,Конструкторы!$A166)</f>
        <v>0</v>
      </c>
      <c r="K166" s="166">
        <f>SUMIFS(Продажи!H$5:H$359,Продажи!$D$5:$D$359,Конструкторы!$B166,Продажи!$C$5:$C$359,Конструкторы!$A166)</f>
        <v>0</v>
      </c>
      <c r="L166" s="166">
        <f>SUMIFS(Продажи!I$5:I$359,Продажи!$D$5:$D$359,Конструкторы!$B166,Продажи!$C$5:$C$359,Конструкторы!$A166)</f>
        <v>0</v>
      </c>
      <c r="M166" s="166">
        <f>SUMIFS(Продажи!J$5:J$359,Продажи!$D$5:$D$359,Конструкторы!$B166,Продажи!$C$5:$C$359,Конструкторы!$A166)</f>
        <v>0</v>
      </c>
      <c r="N166" s="166">
        <f>SUMIFS(Продажи!K$5:K$359,Продажи!$D$5:$D$359,Конструкторы!$B166,Продажи!$C$5:$C$359,Конструкторы!$A166)</f>
        <v>0</v>
      </c>
      <c r="O166" s="166">
        <f>SUMIFS(Продажи!L$5:L$359,Продажи!$D$5:$D$359,Конструкторы!$B166,Продажи!$C$5:$C$359,Конструкторы!$A166)</f>
        <v>0</v>
      </c>
      <c r="P166" s="166">
        <f>SUMIFS(Продажи!M$5:M$359,Продажи!$D$5:$D$359,Конструкторы!$B166,Продажи!$C$5:$C$359,Конструкторы!$A166)</f>
        <v>0</v>
      </c>
      <c r="Q166" s="166">
        <f>SUMIFS(Продажи!N$5:N$359,Продажи!$D$5:$D$359,Конструкторы!$B166,Продажи!$C$5:$C$359,Конструкторы!$A166)</f>
        <v>0</v>
      </c>
      <c r="R166" s="166">
        <f>SUMIFS(Продажи!O$5:O$359,Продажи!$D$5:$D$359,Конструкторы!$B166,Продажи!$C$5:$C$359,Конструкторы!$A166)</f>
        <v>0</v>
      </c>
      <c r="S166" s="166">
        <f>SUMIFS(Продажи!P$5:P$359,Продажи!$D$5:$D$359,Конструкторы!$B166,Продажи!$C$5:$C$359,Конструкторы!$A166)</f>
        <v>0</v>
      </c>
      <c r="T166" s="166">
        <f>SUMIFS(Продажи!Q$5:Q$359,Продажи!$D$5:$D$359,Конструкторы!$B166,Продажи!$C$5:$C$359,Конструкторы!$A166)</f>
        <v>0</v>
      </c>
    </row>
    <row r="167" spans="1:20" ht="15.75" hidden="1" x14ac:dyDescent="0.25">
      <c r="A167" s="166" t="s">
        <v>397</v>
      </c>
      <c r="B167" s="167" t="s">
        <v>287</v>
      </c>
      <c r="C167" s="129" t="s">
        <v>30</v>
      </c>
      <c r="D167" s="149"/>
      <c r="E167" s="153" t="s">
        <v>68</v>
      </c>
      <c r="F167" s="156">
        <f>(0.805*103)/100</f>
        <v>0.82915000000000005</v>
      </c>
      <c r="G167" s="156">
        <v>2.4150000000000005E-2</v>
      </c>
      <c r="H167" s="156">
        <f>F167+G167</f>
        <v>0.85330000000000006</v>
      </c>
      <c r="I167" s="166">
        <f>SUMIFS(Продажи!F$5:F$359,Продажи!$D$5:$D$359,Конструкторы!$B167,Продажи!$C$5:$C$359,Конструкторы!$A167)</f>
        <v>0</v>
      </c>
      <c r="J167" s="166">
        <f>SUMIFS(Продажи!G$5:G$359,Продажи!$D$5:$D$359,Конструкторы!$B167,Продажи!$C$5:$C$359,Конструкторы!$A167)</f>
        <v>0</v>
      </c>
      <c r="K167" s="166">
        <f>SUMIFS(Продажи!H$5:H$359,Продажи!$D$5:$D$359,Конструкторы!$B167,Продажи!$C$5:$C$359,Конструкторы!$A167)</f>
        <v>0</v>
      </c>
      <c r="L167" s="166">
        <f>SUMIFS(Продажи!I$5:I$359,Продажи!$D$5:$D$359,Конструкторы!$B167,Продажи!$C$5:$C$359,Конструкторы!$A167)</f>
        <v>0</v>
      </c>
      <c r="M167" s="166">
        <f>SUMIFS(Продажи!J$5:J$359,Продажи!$D$5:$D$359,Конструкторы!$B167,Продажи!$C$5:$C$359,Конструкторы!$A167)</f>
        <v>0</v>
      </c>
      <c r="N167" s="166">
        <f>SUMIFS(Продажи!K$5:K$359,Продажи!$D$5:$D$359,Конструкторы!$B167,Продажи!$C$5:$C$359,Конструкторы!$A167)</f>
        <v>0</v>
      </c>
      <c r="O167" s="166">
        <f>SUMIFS(Продажи!L$5:L$359,Продажи!$D$5:$D$359,Конструкторы!$B167,Продажи!$C$5:$C$359,Конструкторы!$A167)</f>
        <v>0</v>
      </c>
      <c r="P167" s="166">
        <f>SUMIFS(Продажи!M$5:M$359,Продажи!$D$5:$D$359,Конструкторы!$B167,Продажи!$C$5:$C$359,Конструкторы!$A167)</f>
        <v>0</v>
      </c>
      <c r="Q167" s="166">
        <f>SUMIFS(Продажи!N$5:N$359,Продажи!$D$5:$D$359,Конструкторы!$B167,Продажи!$C$5:$C$359,Конструкторы!$A167)</f>
        <v>0</v>
      </c>
      <c r="R167" s="166">
        <f>SUMIFS(Продажи!O$5:O$359,Продажи!$D$5:$D$359,Конструкторы!$B167,Продажи!$C$5:$C$359,Конструкторы!$A167)</f>
        <v>0</v>
      </c>
      <c r="S167" s="166">
        <f>SUMIFS(Продажи!P$5:P$359,Продажи!$D$5:$D$359,Конструкторы!$B167,Продажи!$C$5:$C$359,Конструкторы!$A167)</f>
        <v>0</v>
      </c>
      <c r="T167" s="166">
        <f>SUMIFS(Продажи!Q$5:Q$359,Продажи!$D$5:$D$359,Конструкторы!$B167,Продажи!$C$5:$C$359,Конструкторы!$A167)</f>
        <v>0</v>
      </c>
    </row>
    <row r="168" spans="1:20" ht="15.75" hidden="1" x14ac:dyDescent="0.25">
      <c r="A168" s="166" t="s">
        <v>397</v>
      </c>
      <c r="B168" s="167" t="s">
        <v>287</v>
      </c>
      <c r="C168" s="33" t="s">
        <v>79</v>
      </c>
      <c r="D168" s="149"/>
      <c r="E168" s="153" t="s">
        <v>70</v>
      </c>
      <c r="F168" s="159">
        <v>2</v>
      </c>
      <c r="G168" s="156" t="s">
        <v>71</v>
      </c>
      <c r="H168" s="156">
        <f>F168</f>
        <v>2</v>
      </c>
      <c r="I168" s="166">
        <f>SUMIFS(Продажи!F$5:F$359,Продажи!$D$5:$D$359,Конструкторы!$B168,Продажи!$C$5:$C$359,Конструкторы!$A168)</f>
        <v>0</v>
      </c>
      <c r="J168" s="166">
        <f>SUMIFS(Продажи!G$5:G$359,Продажи!$D$5:$D$359,Конструкторы!$B168,Продажи!$C$5:$C$359,Конструкторы!$A168)</f>
        <v>0</v>
      </c>
      <c r="K168" s="166">
        <f>SUMIFS(Продажи!H$5:H$359,Продажи!$D$5:$D$359,Конструкторы!$B168,Продажи!$C$5:$C$359,Конструкторы!$A168)</f>
        <v>0</v>
      </c>
      <c r="L168" s="166">
        <f>SUMIFS(Продажи!I$5:I$359,Продажи!$D$5:$D$359,Конструкторы!$B168,Продажи!$C$5:$C$359,Конструкторы!$A168)</f>
        <v>0</v>
      </c>
      <c r="M168" s="166">
        <f>SUMIFS(Продажи!J$5:J$359,Продажи!$D$5:$D$359,Конструкторы!$B168,Продажи!$C$5:$C$359,Конструкторы!$A168)</f>
        <v>0</v>
      </c>
      <c r="N168" s="166">
        <f>SUMIFS(Продажи!K$5:K$359,Продажи!$D$5:$D$359,Конструкторы!$B168,Продажи!$C$5:$C$359,Конструкторы!$A168)</f>
        <v>0</v>
      </c>
      <c r="O168" s="166">
        <f>SUMIFS(Продажи!L$5:L$359,Продажи!$D$5:$D$359,Конструкторы!$B168,Продажи!$C$5:$C$359,Конструкторы!$A168)</f>
        <v>0</v>
      </c>
      <c r="P168" s="166">
        <f>SUMIFS(Продажи!M$5:M$359,Продажи!$D$5:$D$359,Конструкторы!$B168,Продажи!$C$5:$C$359,Конструкторы!$A168)</f>
        <v>0</v>
      </c>
      <c r="Q168" s="166">
        <f>SUMIFS(Продажи!N$5:N$359,Продажи!$D$5:$D$359,Конструкторы!$B168,Продажи!$C$5:$C$359,Конструкторы!$A168)</f>
        <v>0</v>
      </c>
      <c r="R168" s="166">
        <f>SUMIFS(Продажи!O$5:O$359,Продажи!$D$5:$D$359,Конструкторы!$B168,Продажи!$C$5:$C$359,Конструкторы!$A168)</f>
        <v>0</v>
      </c>
      <c r="S168" s="166">
        <f>SUMIFS(Продажи!P$5:P$359,Продажи!$D$5:$D$359,Конструкторы!$B168,Продажи!$C$5:$C$359,Конструкторы!$A168)</f>
        <v>0</v>
      </c>
      <c r="T168" s="166">
        <f>SUMIFS(Продажи!Q$5:Q$359,Продажи!$D$5:$D$359,Конструкторы!$B168,Продажи!$C$5:$C$359,Конструкторы!$A168)</f>
        <v>0</v>
      </c>
    </row>
    <row r="169" spans="1:20" ht="15.75" hidden="1" x14ac:dyDescent="0.25">
      <c r="A169" s="166" t="s">
        <v>397</v>
      </c>
      <c r="B169" s="167" t="s">
        <v>287</v>
      </c>
      <c r="C169" s="33" t="s">
        <v>80</v>
      </c>
      <c r="D169" s="149"/>
      <c r="E169" s="153" t="s">
        <v>70</v>
      </c>
      <c r="F169" s="159">
        <v>2</v>
      </c>
      <c r="G169" s="156" t="s">
        <v>71</v>
      </c>
      <c r="H169" s="156">
        <f>F169</f>
        <v>2</v>
      </c>
      <c r="I169" s="166">
        <f>SUMIFS(Продажи!F$5:F$359,Продажи!$D$5:$D$359,Конструкторы!$B169,Продажи!$C$5:$C$359,Конструкторы!$A169)</f>
        <v>0</v>
      </c>
      <c r="J169" s="166">
        <f>SUMIFS(Продажи!G$5:G$359,Продажи!$D$5:$D$359,Конструкторы!$B169,Продажи!$C$5:$C$359,Конструкторы!$A169)</f>
        <v>0</v>
      </c>
      <c r="K169" s="166">
        <f>SUMIFS(Продажи!H$5:H$359,Продажи!$D$5:$D$359,Конструкторы!$B169,Продажи!$C$5:$C$359,Конструкторы!$A169)</f>
        <v>0</v>
      </c>
      <c r="L169" s="166">
        <f>SUMIFS(Продажи!I$5:I$359,Продажи!$D$5:$D$359,Конструкторы!$B169,Продажи!$C$5:$C$359,Конструкторы!$A169)</f>
        <v>0</v>
      </c>
      <c r="M169" s="166">
        <f>SUMIFS(Продажи!J$5:J$359,Продажи!$D$5:$D$359,Конструкторы!$B169,Продажи!$C$5:$C$359,Конструкторы!$A169)</f>
        <v>0</v>
      </c>
      <c r="N169" s="166">
        <f>SUMIFS(Продажи!K$5:K$359,Продажи!$D$5:$D$359,Конструкторы!$B169,Продажи!$C$5:$C$359,Конструкторы!$A169)</f>
        <v>0</v>
      </c>
      <c r="O169" s="166">
        <f>SUMIFS(Продажи!L$5:L$359,Продажи!$D$5:$D$359,Конструкторы!$B169,Продажи!$C$5:$C$359,Конструкторы!$A169)</f>
        <v>0</v>
      </c>
      <c r="P169" s="166">
        <f>SUMIFS(Продажи!M$5:M$359,Продажи!$D$5:$D$359,Конструкторы!$B169,Продажи!$C$5:$C$359,Конструкторы!$A169)</f>
        <v>0</v>
      </c>
      <c r="Q169" s="166">
        <f>SUMIFS(Продажи!N$5:N$359,Продажи!$D$5:$D$359,Конструкторы!$B169,Продажи!$C$5:$C$359,Конструкторы!$A169)</f>
        <v>0</v>
      </c>
      <c r="R169" s="166">
        <f>SUMIFS(Продажи!O$5:O$359,Продажи!$D$5:$D$359,Конструкторы!$B169,Продажи!$C$5:$C$359,Конструкторы!$A169)</f>
        <v>0</v>
      </c>
      <c r="S169" s="166">
        <f>SUMIFS(Продажи!P$5:P$359,Продажи!$D$5:$D$359,Конструкторы!$B169,Продажи!$C$5:$C$359,Конструкторы!$A169)</f>
        <v>0</v>
      </c>
      <c r="T169" s="166">
        <f>SUMIFS(Продажи!Q$5:Q$359,Продажи!$D$5:$D$359,Конструкторы!$B169,Продажи!$C$5:$C$359,Конструкторы!$A169)</f>
        <v>0</v>
      </c>
    </row>
    <row r="170" spans="1:20" ht="15.75" hidden="1" x14ac:dyDescent="0.25">
      <c r="A170" s="166" t="s">
        <v>397</v>
      </c>
      <c r="B170" s="167" t="s">
        <v>287</v>
      </c>
      <c r="C170" s="33" t="s">
        <v>81</v>
      </c>
      <c r="D170" s="149"/>
      <c r="E170" s="153" t="s">
        <v>70</v>
      </c>
      <c r="F170" s="159">
        <v>6</v>
      </c>
      <c r="G170" s="156" t="s">
        <v>71</v>
      </c>
      <c r="H170" s="156">
        <f>F170</f>
        <v>6</v>
      </c>
      <c r="I170" s="166">
        <f>SUMIFS(Продажи!F$5:F$359,Продажи!$D$5:$D$359,Конструкторы!$B170,Продажи!$C$5:$C$359,Конструкторы!$A170)</f>
        <v>0</v>
      </c>
      <c r="J170" s="166">
        <f>SUMIFS(Продажи!G$5:G$359,Продажи!$D$5:$D$359,Конструкторы!$B170,Продажи!$C$5:$C$359,Конструкторы!$A170)</f>
        <v>0</v>
      </c>
      <c r="K170" s="166">
        <f>SUMIFS(Продажи!H$5:H$359,Продажи!$D$5:$D$359,Конструкторы!$B170,Продажи!$C$5:$C$359,Конструкторы!$A170)</f>
        <v>0</v>
      </c>
      <c r="L170" s="166">
        <f>SUMIFS(Продажи!I$5:I$359,Продажи!$D$5:$D$359,Конструкторы!$B170,Продажи!$C$5:$C$359,Конструкторы!$A170)</f>
        <v>0</v>
      </c>
      <c r="M170" s="166">
        <f>SUMIFS(Продажи!J$5:J$359,Продажи!$D$5:$D$359,Конструкторы!$B170,Продажи!$C$5:$C$359,Конструкторы!$A170)</f>
        <v>0</v>
      </c>
      <c r="N170" s="166">
        <f>SUMIFS(Продажи!K$5:K$359,Продажи!$D$5:$D$359,Конструкторы!$B170,Продажи!$C$5:$C$359,Конструкторы!$A170)</f>
        <v>0</v>
      </c>
      <c r="O170" s="166">
        <f>SUMIFS(Продажи!L$5:L$359,Продажи!$D$5:$D$359,Конструкторы!$B170,Продажи!$C$5:$C$359,Конструкторы!$A170)</f>
        <v>0</v>
      </c>
      <c r="P170" s="166">
        <f>SUMIFS(Продажи!M$5:M$359,Продажи!$D$5:$D$359,Конструкторы!$B170,Продажи!$C$5:$C$359,Конструкторы!$A170)</f>
        <v>0</v>
      </c>
      <c r="Q170" s="166">
        <f>SUMIFS(Продажи!N$5:N$359,Продажи!$D$5:$D$359,Конструкторы!$B170,Продажи!$C$5:$C$359,Конструкторы!$A170)</f>
        <v>0</v>
      </c>
      <c r="R170" s="166">
        <f>SUMIFS(Продажи!O$5:O$359,Продажи!$D$5:$D$359,Конструкторы!$B170,Продажи!$C$5:$C$359,Конструкторы!$A170)</f>
        <v>0</v>
      </c>
      <c r="S170" s="166">
        <f>SUMIFS(Продажи!P$5:P$359,Продажи!$D$5:$D$359,Конструкторы!$B170,Продажи!$C$5:$C$359,Конструкторы!$A170)</f>
        <v>0</v>
      </c>
      <c r="T170" s="166">
        <f>SUMIFS(Продажи!Q$5:Q$359,Продажи!$D$5:$D$359,Конструкторы!$B170,Продажи!$C$5:$C$359,Конструкторы!$A170)</f>
        <v>0</v>
      </c>
    </row>
    <row r="171" spans="1:20" ht="15.75" hidden="1" x14ac:dyDescent="0.25">
      <c r="A171" s="166" t="s">
        <v>397</v>
      </c>
      <c r="B171" s="167" t="s">
        <v>287</v>
      </c>
      <c r="C171" s="33" t="s">
        <v>82</v>
      </c>
      <c r="D171" s="149"/>
      <c r="E171" s="153" t="s">
        <v>70</v>
      </c>
      <c r="F171" s="159">
        <v>4</v>
      </c>
      <c r="G171" s="156" t="s">
        <v>71</v>
      </c>
      <c r="H171" s="156">
        <f>F171</f>
        <v>4</v>
      </c>
      <c r="I171" s="166">
        <f>SUMIFS(Продажи!F$5:F$359,Продажи!$D$5:$D$359,Конструкторы!$B171,Продажи!$C$5:$C$359,Конструкторы!$A171)</f>
        <v>0</v>
      </c>
      <c r="J171" s="166">
        <f>SUMIFS(Продажи!G$5:G$359,Продажи!$D$5:$D$359,Конструкторы!$B171,Продажи!$C$5:$C$359,Конструкторы!$A171)</f>
        <v>0</v>
      </c>
      <c r="K171" s="166">
        <f>SUMIFS(Продажи!H$5:H$359,Продажи!$D$5:$D$359,Конструкторы!$B171,Продажи!$C$5:$C$359,Конструкторы!$A171)</f>
        <v>0</v>
      </c>
      <c r="L171" s="166">
        <f>SUMIFS(Продажи!I$5:I$359,Продажи!$D$5:$D$359,Конструкторы!$B171,Продажи!$C$5:$C$359,Конструкторы!$A171)</f>
        <v>0</v>
      </c>
      <c r="M171" s="166">
        <f>SUMIFS(Продажи!J$5:J$359,Продажи!$D$5:$D$359,Конструкторы!$B171,Продажи!$C$5:$C$359,Конструкторы!$A171)</f>
        <v>0</v>
      </c>
      <c r="N171" s="166">
        <f>SUMIFS(Продажи!K$5:K$359,Продажи!$D$5:$D$359,Конструкторы!$B171,Продажи!$C$5:$C$359,Конструкторы!$A171)</f>
        <v>0</v>
      </c>
      <c r="O171" s="166">
        <f>SUMIFS(Продажи!L$5:L$359,Продажи!$D$5:$D$359,Конструкторы!$B171,Продажи!$C$5:$C$359,Конструкторы!$A171)</f>
        <v>0</v>
      </c>
      <c r="P171" s="166">
        <f>SUMIFS(Продажи!M$5:M$359,Продажи!$D$5:$D$359,Конструкторы!$B171,Продажи!$C$5:$C$359,Конструкторы!$A171)</f>
        <v>0</v>
      </c>
      <c r="Q171" s="166">
        <f>SUMIFS(Продажи!N$5:N$359,Продажи!$D$5:$D$359,Конструкторы!$B171,Продажи!$C$5:$C$359,Конструкторы!$A171)</f>
        <v>0</v>
      </c>
      <c r="R171" s="166">
        <f>SUMIFS(Продажи!O$5:O$359,Продажи!$D$5:$D$359,Конструкторы!$B171,Продажи!$C$5:$C$359,Конструкторы!$A171)</f>
        <v>0</v>
      </c>
      <c r="S171" s="166">
        <f>SUMIFS(Продажи!P$5:P$359,Продажи!$D$5:$D$359,Конструкторы!$B171,Продажи!$C$5:$C$359,Конструкторы!$A171)</f>
        <v>0</v>
      </c>
      <c r="T171" s="166">
        <f>SUMIFS(Продажи!Q$5:Q$359,Продажи!$D$5:$D$359,Конструкторы!$B171,Продажи!$C$5:$C$359,Конструкторы!$A171)</f>
        <v>0</v>
      </c>
    </row>
    <row r="172" spans="1:20" ht="15.75" hidden="1" x14ac:dyDescent="0.25">
      <c r="A172" s="166" t="s">
        <v>397</v>
      </c>
      <c r="B172" s="167" t="s">
        <v>275</v>
      </c>
      <c r="C172" s="129" t="s">
        <v>44</v>
      </c>
      <c r="D172" s="149"/>
      <c r="E172" s="153" t="s">
        <v>68</v>
      </c>
      <c r="F172" s="156">
        <f>(6*103)/100</f>
        <v>6.18</v>
      </c>
      <c r="G172" s="156">
        <v>0.17999999999999972</v>
      </c>
      <c r="H172" s="156">
        <f>F172+G172</f>
        <v>6.3599999999999994</v>
      </c>
      <c r="I172" s="166">
        <f>SUMIFS(Продажи!F$5:F$359,Продажи!$D$5:$D$359,Конструкторы!$B172,Продажи!$C$5:$C$359,Конструкторы!$A172)</f>
        <v>0</v>
      </c>
      <c r="J172" s="166">
        <f>SUMIFS(Продажи!G$5:G$359,Продажи!$D$5:$D$359,Конструкторы!$B172,Продажи!$C$5:$C$359,Конструкторы!$A172)</f>
        <v>0</v>
      </c>
      <c r="K172" s="166">
        <f>SUMIFS(Продажи!H$5:H$359,Продажи!$D$5:$D$359,Конструкторы!$B172,Продажи!$C$5:$C$359,Конструкторы!$A172)</f>
        <v>0</v>
      </c>
      <c r="L172" s="166">
        <f>SUMIFS(Продажи!I$5:I$359,Продажи!$D$5:$D$359,Конструкторы!$B172,Продажи!$C$5:$C$359,Конструкторы!$A172)</f>
        <v>0</v>
      </c>
      <c r="M172" s="166">
        <f>SUMIFS(Продажи!J$5:J$359,Продажи!$D$5:$D$359,Конструкторы!$B172,Продажи!$C$5:$C$359,Конструкторы!$A172)</f>
        <v>0</v>
      </c>
      <c r="N172" s="166">
        <f>SUMIFS(Продажи!K$5:K$359,Продажи!$D$5:$D$359,Конструкторы!$B172,Продажи!$C$5:$C$359,Конструкторы!$A172)</f>
        <v>0</v>
      </c>
      <c r="O172" s="166">
        <f>SUMIFS(Продажи!L$5:L$359,Продажи!$D$5:$D$359,Конструкторы!$B172,Продажи!$C$5:$C$359,Конструкторы!$A172)</f>
        <v>0</v>
      </c>
      <c r="P172" s="166">
        <f>SUMIFS(Продажи!M$5:M$359,Продажи!$D$5:$D$359,Конструкторы!$B172,Продажи!$C$5:$C$359,Конструкторы!$A172)</f>
        <v>0</v>
      </c>
      <c r="Q172" s="166">
        <f>SUMIFS(Продажи!N$5:N$359,Продажи!$D$5:$D$359,Конструкторы!$B172,Продажи!$C$5:$C$359,Конструкторы!$A172)</f>
        <v>0</v>
      </c>
      <c r="R172" s="166">
        <f>SUMIFS(Продажи!O$5:O$359,Продажи!$D$5:$D$359,Конструкторы!$B172,Продажи!$C$5:$C$359,Конструкторы!$A172)</f>
        <v>0</v>
      </c>
      <c r="S172" s="166">
        <f>SUMIFS(Продажи!P$5:P$359,Продажи!$D$5:$D$359,Конструкторы!$B172,Продажи!$C$5:$C$359,Конструкторы!$A172)</f>
        <v>0</v>
      </c>
      <c r="T172" s="166">
        <f>SUMIFS(Продажи!Q$5:Q$359,Продажи!$D$5:$D$359,Конструкторы!$B172,Продажи!$C$5:$C$359,Конструкторы!$A172)</f>
        <v>0</v>
      </c>
    </row>
    <row r="173" spans="1:20" ht="15.75" hidden="1" x14ac:dyDescent="0.25">
      <c r="A173" s="166" t="s">
        <v>397</v>
      </c>
      <c r="B173" s="167" t="s">
        <v>275</v>
      </c>
      <c r="C173" s="129" t="s">
        <v>26</v>
      </c>
      <c r="D173" s="149"/>
      <c r="E173" s="153" t="s">
        <v>68</v>
      </c>
      <c r="F173" s="156">
        <f>(0.41*103)/100</f>
        <v>0.42229999999999995</v>
      </c>
      <c r="G173" s="156">
        <v>1.2299999999999978E-2</v>
      </c>
      <c r="H173" s="156">
        <f>F173+G173</f>
        <v>0.43459999999999993</v>
      </c>
      <c r="I173" s="166">
        <f>SUMIFS(Продажи!F$5:F$359,Продажи!$D$5:$D$359,Конструкторы!$B173,Продажи!$C$5:$C$359,Конструкторы!$A173)</f>
        <v>0</v>
      </c>
      <c r="J173" s="166">
        <f>SUMIFS(Продажи!G$5:G$359,Продажи!$D$5:$D$359,Конструкторы!$B173,Продажи!$C$5:$C$359,Конструкторы!$A173)</f>
        <v>0</v>
      </c>
      <c r="K173" s="166">
        <f>SUMIFS(Продажи!H$5:H$359,Продажи!$D$5:$D$359,Конструкторы!$B173,Продажи!$C$5:$C$359,Конструкторы!$A173)</f>
        <v>0</v>
      </c>
      <c r="L173" s="166">
        <f>SUMIFS(Продажи!I$5:I$359,Продажи!$D$5:$D$359,Конструкторы!$B173,Продажи!$C$5:$C$359,Конструкторы!$A173)</f>
        <v>0</v>
      </c>
      <c r="M173" s="166">
        <f>SUMIFS(Продажи!J$5:J$359,Продажи!$D$5:$D$359,Конструкторы!$B173,Продажи!$C$5:$C$359,Конструкторы!$A173)</f>
        <v>0</v>
      </c>
      <c r="N173" s="166">
        <f>SUMIFS(Продажи!K$5:K$359,Продажи!$D$5:$D$359,Конструкторы!$B173,Продажи!$C$5:$C$359,Конструкторы!$A173)</f>
        <v>0</v>
      </c>
      <c r="O173" s="166">
        <f>SUMIFS(Продажи!L$5:L$359,Продажи!$D$5:$D$359,Конструкторы!$B173,Продажи!$C$5:$C$359,Конструкторы!$A173)</f>
        <v>0</v>
      </c>
      <c r="P173" s="166">
        <f>SUMIFS(Продажи!M$5:M$359,Продажи!$D$5:$D$359,Конструкторы!$B173,Продажи!$C$5:$C$359,Конструкторы!$A173)</f>
        <v>0</v>
      </c>
      <c r="Q173" s="166">
        <f>SUMIFS(Продажи!N$5:N$359,Продажи!$D$5:$D$359,Конструкторы!$B173,Продажи!$C$5:$C$359,Конструкторы!$A173)</f>
        <v>0</v>
      </c>
      <c r="R173" s="166">
        <f>SUMIFS(Продажи!O$5:O$359,Продажи!$D$5:$D$359,Конструкторы!$B173,Продажи!$C$5:$C$359,Конструкторы!$A173)</f>
        <v>0</v>
      </c>
      <c r="S173" s="166">
        <f>SUMIFS(Продажи!P$5:P$359,Продажи!$D$5:$D$359,Конструкторы!$B173,Продажи!$C$5:$C$359,Конструкторы!$A173)</f>
        <v>0</v>
      </c>
      <c r="T173" s="166">
        <f>SUMIFS(Продажи!Q$5:Q$359,Продажи!$D$5:$D$359,Конструкторы!$B173,Продажи!$C$5:$C$359,Конструкторы!$A173)</f>
        <v>0</v>
      </c>
    </row>
    <row r="174" spans="1:20" ht="15.75" hidden="1" x14ac:dyDescent="0.25">
      <c r="A174" s="166" t="s">
        <v>397</v>
      </c>
      <c r="B174" s="167" t="s">
        <v>275</v>
      </c>
      <c r="C174" s="129" t="s">
        <v>25</v>
      </c>
      <c r="D174" s="149"/>
      <c r="E174" s="153" t="s">
        <v>68</v>
      </c>
      <c r="F174" s="156">
        <f>(2.46*103)/100</f>
        <v>2.5337999999999998</v>
      </c>
      <c r="G174" s="156">
        <v>7.3799999999999866E-2</v>
      </c>
      <c r="H174" s="156">
        <f>F174+G174</f>
        <v>2.6075999999999997</v>
      </c>
      <c r="I174" s="166">
        <f>SUMIFS(Продажи!F$5:F$359,Продажи!$D$5:$D$359,Конструкторы!$B174,Продажи!$C$5:$C$359,Конструкторы!$A174)</f>
        <v>0</v>
      </c>
      <c r="J174" s="166">
        <f>SUMIFS(Продажи!G$5:G$359,Продажи!$D$5:$D$359,Конструкторы!$B174,Продажи!$C$5:$C$359,Конструкторы!$A174)</f>
        <v>0</v>
      </c>
      <c r="K174" s="166">
        <f>SUMIFS(Продажи!H$5:H$359,Продажи!$D$5:$D$359,Конструкторы!$B174,Продажи!$C$5:$C$359,Конструкторы!$A174)</f>
        <v>0</v>
      </c>
      <c r="L174" s="166">
        <f>SUMIFS(Продажи!I$5:I$359,Продажи!$D$5:$D$359,Конструкторы!$B174,Продажи!$C$5:$C$359,Конструкторы!$A174)</f>
        <v>0</v>
      </c>
      <c r="M174" s="166">
        <f>SUMIFS(Продажи!J$5:J$359,Продажи!$D$5:$D$359,Конструкторы!$B174,Продажи!$C$5:$C$359,Конструкторы!$A174)</f>
        <v>0</v>
      </c>
      <c r="N174" s="166">
        <f>SUMIFS(Продажи!K$5:K$359,Продажи!$D$5:$D$359,Конструкторы!$B174,Продажи!$C$5:$C$359,Конструкторы!$A174)</f>
        <v>0</v>
      </c>
      <c r="O174" s="166">
        <f>SUMIFS(Продажи!L$5:L$359,Продажи!$D$5:$D$359,Конструкторы!$B174,Продажи!$C$5:$C$359,Конструкторы!$A174)</f>
        <v>0</v>
      </c>
      <c r="P174" s="166">
        <f>SUMIFS(Продажи!M$5:M$359,Продажи!$D$5:$D$359,Конструкторы!$B174,Продажи!$C$5:$C$359,Конструкторы!$A174)</f>
        <v>0</v>
      </c>
      <c r="Q174" s="166">
        <f>SUMIFS(Продажи!N$5:N$359,Продажи!$D$5:$D$359,Конструкторы!$B174,Продажи!$C$5:$C$359,Конструкторы!$A174)</f>
        <v>0</v>
      </c>
      <c r="R174" s="166">
        <f>SUMIFS(Продажи!O$5:O$359,Продажи!$D$5:$D$359,Конструкторы!$B174,Продажи!$C$5:$C$359,Конструкторы!$A174)</f>
        <v>0</v>
      </c>
      <c r="S174" s="166">
        <f>SUMIFS(Продажи!P$5:P$359,Продажи!$D$5:$D$359,Конструкторы!$B174,Продажи!$C$5:$C$359,Конструкторы!$A174)</f>
        <v>0</v>
      </c>
      <c r="T174" s="166">
        <f>SUMIFS(Продажи!Q$5:Q$359,Продажи!$D$5:$D$359,Конструкторы!$B174,Продажи!$C$5:$C$359,Конструкторы!$A174)</f>
        <v>0</v>
      </c>
    </row>
    <row r="175" spans="1:20" ht="15.75" hidden="1" x14ac:dyDescent="0.25">
      <c r="A175" s="166" t="s">
        <v>397</v>
      </c>
      <c r="B175" s="167" t="s">
        <v>275</v>
      </c>
      <c r="C175" s="33" t="s">
        <v>78</v>
      </c>
      <c r="D175" s="149"/>
      <c r="E175" s="153" t="s">
        <v>70</v>
      </c>
      <c r="F175" s="148">
        <v>56</v>
      </c>
      <c r="G175" s="156" t="s">
        <v>71</v>
      </c>
      <c r="H175" s="156">
        <f>F175</f>
        <v>56</v>
      </c>
      <c r="I175" s="166">
        <f>SUMIFS(Продажи!F$5:F$359,Продажи!$D$5:$D$359,Конструкторы!$B175,Продажи!$C$5:$C$359,Конструкторы!$A175)</f>
        <v>0</v>
      </c>
      <c r="J175" s="166">
        <f>SUMIFS(Продажи!G$5:G$359,Продажи!$D$5:$D$359,Конструкторы!$B175,Продажи!$C$5:$C$359,Конструкторы!$A175)</f>
        <v>0</v>
      </c>
      <c r="K175" s="166">
        <f>SUMIFS(Продажи!H$5:H$359,Продажи!$D$5:$D$359,Конструкторы!$B175,Продажи!$C$5:$C$359,Конструкторы!$A175)</f>
        <v>0</v>
      </c>
      <c r="L175" s="166">
        <f>SUMIFS(Продажи!I$5:I$359,Продажи!$D$5:$D$359,Конструкторы!$B175,Продажи!$C$5:$C$359,Конструкторы!$A175)</f>
        <v>0</v>
      </c>
      <c r="M175" s="166">
        <f>SUMIFS(Продажи!J$5:J$359,Продажи!$D$5:$D$359,Конструкторы!$B175,Продажи!$C$5:$C$359,Конструкторы!$A175)</f>
        <v>0</v>
      </c>
      <c r="N175" s="166">
        <f>SUMIFS(Продажи!K$5:K$359,Продажи!$D$5:$D$359,Конструкторы!$B175,Продажи!$C$5:$C$359,Конструкторы!$A175)</f>
        <v>0</v>
      </c>
      <c r="O175" s="166">
        <f>SUMIFS(Продажи!L$5:L$359,Продажи!$D$5:$D$359,Конструкторы!$B175,Продажи!$C$5:$C$359,Конструкторы!$A175)</f>
        <v>0</v>
      </c>
      <c r="P175" s="166">
        <f>SUMIFS(Продажи!M$5:M$359,Продажи!$D$5:$D$359,Конструкторы!$B175,Продажи!$C$5:$C$359,Конструкторы!$A175)</f>
        <v>0</v>
      </c>
      <c r="Q175" s="166">
        <f>SUMIFS(Продажи!N$5:N$359,Продажи!$D$5:$D$359,Конструкторы!$B175,Продажи!$C$5:$C$359,Конструкторы!$A175)</f>
        <v>0</v>
      </c>
      <c r="R175" s="166">
        <f>SUMIFS(Продажи!O$5:O$359,Продажи!$D$5:$D$359,Конструкторы!$B175,Продажи!$C$5:$C$359,Конструкторы!$A175)</f>
        <v>0</v>
      </c>
      <c r="S175" s="166">
        <f>SUMIFS(Продажи!P$5:P$359,Продажи!$D$5:$D$359,Конструкторы!$B175,Продажи!$C$5:$C$359,Конструкторы!$A175)</f>
        <v>0</v>
      </c>
      <c r="T175" s="166">
        <f>SUMIFS(Продажи!Q$5:Q$359,Продажи!$D$5:$D$359,Конструкторы!$B175,Продажи!$C$5:$C$359,Конструкторы!$A175)</f>
        <v>0</v>
      </c>
    </row>
    <row r="176" spans="1:20" ht="15.75" hidden="1" x14ac:dyDescent="0.25">
      <c r="A176" s="166" t="s">
        <v>397</v>
      </c>
      <c r="B176" s="167" t="s">
        <v>276</v>
      </c>
      <c r="C176" s="129" t="s">
        <v>44</v>
      </c>
      <c r="D176" s="149"/>
      <c r="E176" s="153" t="s">
        <v>68</v>
      </c>
      <c r="F176" s="156">
        <f>(6*103)/100</f>
        <v>6.18</v>
      </c>
      <c r="G176" s="156">
        <v>0.17999999999999972</v>
      </c>
      <c r="H176" s="156">
        <f>F176+G176</f>
        <v>6.3599999999999994</v>
      </c>
      <c r="I176" s="166">
        <f>SUMIFS(Продажи!F$5:F$359,Продажи!$D$5:$D$359,Конструкторы!$B176,Продажи!$C$5:$C$359,Конструкторы!$A176)</f>
        <v>0</v>
      </c>
      <c r="J176" s="166">
        <f>SUMIFS(Продажи!G$5:G$359,Продажи!$D$5:$D$359,Конструкторы!$B176,Продажи!$C$5:$C$359,Конструкторы!$A176)</f>
        <v>0</v>
      </c>
      <c r="K176" s="166">
        <f>SUMIFS(Продажи!H$5:H$359,Продажи!$D$5:$D$359,Конструкторы!$B176,Продажи!$C$5:$C$359,Конструкторы!$A176)</f>
        <v>0</v>
      </c>
      <c r="L176" s="166">
        <f>SUMIFS(Продажи!I$5:I$359,Продажи!$D$5:$D$359,Конструкторы!$B176,Продажи!$C$5:$C$359,Конструкторы!$A176)</f>
        <v>0</v>
      </c>
      <c r="M176" s="166">
        <f>SUMIFS(Продажи!J$5:J$359,Продажи!$D$5:$D$359,Конструкторы!$B176,Продажи!$C$5:$C$359,Конструкторы!$A176)</f>
        <v>0</v>
      </c>
      <c r="N176" s="166">
        <f>SUMIFS(Продажи!K$5:K$359,Продажи!$D$5:$D$359,Конструкторы!$B176,Продажи!$C$5:$C$359,Конструкторы!$A176)</f>
        <v>0</v>
      </c>
      <c r="O176" s="166">
        <f>SUMIFS(Продажи!L$5:L$359,Продажи!$D$5:$D$359,Конструкторы!$B176,Продажи!$C$5:$C$359,Конструкторы!$A176)</f>
        <v>0</v>
      </c>
      <c r="P176" s="166">
        <f>SUMIFS(Продажи!M$5:M$359,Продажи!$D$5:$D$359,Конструкторы!$B176,Продажи!$C$5:$C$359,Конструкторы!$A176)</f>
        <v>0</v>
      </c>
      <c r="Q176" s="166">
        <f>SUMIFS(Продажи!N$5:N$359,Продажи!$D$5:$D$359,Конструкторы!$B176,Продажи!$C$5:$C$359,Конструкторы!$A176)</f>
        <v>0</v>
      </c>
      <c r="R176" s="166">
        <f>SUMIFS(Продажи!O$5:O$359,Продажи!$D$5:$D$359,Конструкторы!$B176,Продажи!$C$5:$C$359,Конструкторы!$A176)</f>
        <v>0</v>
      </c>
      <c r="S176" s="166">
        <f>SUMIFS(Продажи!P$5:P$359,Продажи!$D$5:$D$359,Конструкторы!$B176,Продажи!$C$5:$C$359,Конструкторы!$A176)</f>
        <v>0</v>
      </c>
      <c r="T176" s="166">
        <f>SUMIFS(Продажи!Q$5:Q$359,Продажи!$D$5:$D$359,Конструкторы!$B176,Продажи!$C$5:$C$359,Конструкторы!$A176)</f>
        <v>0</v>
      </c>
    </row>
    <row r="177" spans="1:20" ht="15.75" hidden="1" x14ac:dyDescent="0.25">
      <c r="A177" s="166" t="s">
        <v>397</v>
      </c>
      <c r="B177" s="167" t="s">
        <v>276</v>
      </c>
      <c r="C177" s="129" t="s">
        <v>26</v>
      </c>
      <c r="D177" s="149"/>
      <c r="E177" s="153" t="s">
        <v>68</v>
      </c>
      <c r="F177" s="156">
        <f>(0.61*103)/100</f>
        <v>0.62829999999999997</v>
      </c>
      <c r="G177" s="156">
        <v>1.8299999999999983E-2</v>
      </c>
      <c r="H177" s="156">
        <f>F177+G177</f>
        <v>0.64659999999999995</v>
      </c>
      <c r="I177" s="166">
        <f>SUMIFS(Продажи!F$5:F$359,Продажи!$D$5:$D$359,Конструкторы!$B177,Продажи!$C$5:$C$359,Конструкторы!$A177)</f>
        <v>0</v>
      </c>
      <c r="J177" s="166">
        <f>SUMIFS(Продажи!G$5:G$359,Продажи!$D$5:$D$359,Конструкторы!$B177,Продажи!$C$5:$C$359,Конструкторы!$A177)</f>
        <v>0</v>
      </c>
      <c r="K177" s="166">
        <f>SUMIFS(Продажи!H$5:H$359,Продажи!$D$5:$D$359,Конструкторы!$B177,Продажи!$C$5:$C$359,Конструкторы!$A177)</f>
        <v>0</v>
      </c>
      <c r="L177" s="166">
        <f>SUMIFS(Продажи!I$5:I$359,Продажи!$D$5:$D$359,Конструкторы!$B177,Продажи!$C$5:$C$359,Конструкторы!$A177)</f>
        <v>0</v>
      </c>
      <c r="M177" s="166">
        <f>SUMIFS(Продажи!J$5:J$359,Продажи!$D$5:$D$359,Конструкторы!$B177,Продажи!$C$5:$C$359,Конструкторы!$A177)</f>
        <v>0</v>
      </c>
      <c r="N177" s="166">
        <f>SUMIFS(Продажи!K$5:K$359,Продажи!$D$5:$D$359,Конструкторы!$B177,Продажи!$C$5:$C$359,Конструкторы!$A177)</f>
        <v>0</v>
      </c>
      <c r="O177" s="166">
        <f>SUMIFS(Продажи!L$5:L$359,Продажи!$D$5:$D$359,Конструкторы!$B177,Продажи!$C$5:$C$359,Конструкторы!$A177)</f>
        <v>0</v>
      </c>
      <c r="P177" s="166">
        <f>SUMIFS(Продажи!M$5:M$359,Продажи!$D$5:$D$359,Конструкторы!$B177,Продажи!$C$5:$C$359,Конструкторы!$A177)</f>
        <v>0</v>
      </c>
      <c r="Q177" s="166">
        <f>SUMIFS(Продажи!N$5:N$359,Продажи!$D$5:$D$359,Конструкторы!$B177,Продажи!$C$5:$C$359,Конструкторы!$A177)</f>
        <v>0</v>
      </c>
      <c r="R177" s="166">
        <f>SUMIFS(Продажи!O$5:O$359,Продажи!$D$5:$D$359,Конструкторы!$B177,Продажи!$C$5:$C$359,Конструкторы!$A177)</f>
        <v>0</v>
      </c>
      <c r="S177" s="166">
        <f>SUMIFS(Продажи!P$5:P$359,Продажи!$D$5:$D$359,Конструкторы!$B177,Продажи!$C$5:$C$359,Конструкторы!$A177)</f>
        <v>0</v>
      </c>
      <c r="T177" s="166">
        <f>SUMIFS(Продажи!Q$5:Q$359,Продажи!$D$5:$D$359,Конструкторы!$B177,Продажи!$C$5:$C$359,Конструкторы!$A177)</f>
        <v>0</v>
      </c>
    </row>
    <row r="178" spans="1:20" ht="15.75" hidden="1" x14ac:dyDescent="0.25">
      <c r="A178" s="166" t="s">
        <v>397</v>
      </c>
      <c r="B178" s="167" t="s">
        <v>276</v>
      </c>
      <c r="C178" s="129" t="s">
        <v>25</v>
      </c>
      <c r="D178" s="149"/>
      <c r="E178" s="153" t="s">
        <v>68</v>
      </c>
      <c r="F178" s="156">
        <f>(3.66*103)/100</f>
        <v>3.7698</v>
      </c>
      <c r="G178" s="156">
        <v>0.1097999999999999</v>
      </c>
      <c r="H178" s="156">
        <f>F178+G178</f>
        <v>3.8795999999999999</v>
      </c>
      <c r="I178" s="166">
        <f>SUMIFS(Продажи!F$5:F$359,Продажи!$D$5:$D$359,Конструкторы!$B178,Продажи!$C$5:$C$359,Конструкторы!$A178)</f>
        <v>0</v>
      </c>
      <c r="J178" s="166">
        <f>SUMIFS(Продажи!G$5:G$359,Продажи!$D$5:$D$359,Конструкторы!$B178,Продажи!$C$5:$C$359,Конструкторы!$A178)</f>
        <v>0</v>
      </c>
      <c r="K178" s="166">
        <f>SUMIFS(Продажи!H$5:H$359,Продажи!$D$5:$D$359,Конструкторы!$B178,Продажи!$C$5:$C$359,Конструкторы!$A178)</f>
        <v>0</v>
      </c>
      <c r="L178" s="166">
        <f>SUMIFS(Продажи!I$5:I$359,Продажи!$D$5:$D$359,Конструкторы!$B178,Продажи!$C$5:$C$359,Конструкторы!$A178)</f>
        <v>0</v>
      </c>
      <c r="M178" s="166">
        <f>SUMIFS(Продажи!J$5:J$359,Продажи!$D$5:$D$359,Конструкторы!$B178,Продажи!$C$5:$C$359,Конструкторы!$A178)</f>
        <v>0</v>
      </c>
      <c r="N178" s="166">
        <f>SUMIFS(Продажи!K$5:K$359,Продажи!$D$5:$D$359,Конструкторы!$B178,Продажи!$C$5:$C$359,Конструкторы!$A178)</f>
        <v>0</v>
      </c>
      <c r="O178" s="166">
        <f>SUMIFS(Продажи!L$5:L$359,Продажи!$D$5:$D$359,Конструкторы!$B178,Продажи!$C$5:$C$359,Конструкторы!$A178)</f>
        <v>0</v>
      </c>
      <c r="P178" s="166">
        <f>SUMIFS(Продажи!M$5:M$359,Продажи!$D$5:$D$359,Конструкторы!$B178,Продажи!$C$5:$C$359,Конструкторы!$A178)</f>
        <v>0</v>
      </c>
      <c r="Q178" s="166">
        <f>SUMIFS(Продажи!N$5:N$359,Продажи!$D$5:$D$359,Конструкторы!$B178,Продажи!$C$5:$C$359,Конструкторы!$A178)</f>
        <v>0</v>
      </c>
      <c r="R178" s="166">
        <f>SUMIFS(Продажи!O$5:O$359,Продажи!$D$5:$D$359,Конструкторы!$B178,Продажи!$C$5:$C$359,Конструкторы!$A178)</f>
        <v>0</v>
      </c>
      <c r="S178" s="166">
        <f>SUMIFS(Продажи!P$5:P$359,Продажи!$D$5:$D$359,Конструкторы!$B178,Продажи!$C$5:$C$359,Конструкторы!$A178)</f>
        <v>0</v>
      </c>
      <c r="T178" s="166">
        <f>SUMIFS(Продажи!Q$5:Q$359,Продажи!$D$5:$D$359,Конструкторы!$B178,Продажи!$C$5:$C$359,Конструкторы!$A178)</f>
        <v>0</v>
      </c>
    </row>
    <row r="179" spans="1:20" ht="15.75" hidden="1" x14ac:dyDescent="0.25">
      <c r="A179" s="166" t="s">
        <v>397</v>
      </c>
      <c r="B179" s="167" t="s">
        <v>276</v>
      </c>
      <c r="C179" s="33" t="s">
        <v>78</v>
      </c>
      <c r="D179" s="149"/>
      <c r="E179" s="153" t="s">
        <v>70</v>
      </c>
      <c r="F179" s="148">
        <v>56</v>
      </c>
      <c r="G179" s="156" t="s">
        <v>71</v>
      </c>
      <c r="H179" s="156">
        <f>F179</f>
        <v>56</v>
      </c>
      <c r="I179" s="166">
        <f>SUMIFS(Продажи!F$5:F$359,Продажи!$D$5:$D$359,Конструкторы!$B179,Продажи!$C$5:$C$359,Конструкторы!$A179)</f>
        <v>0</v>
      </c>
      <c r="J179" s="166">
        <f>SUMIFS(Продажи!G$5:G$359,Продажи!$D$5:$D$359,Конструкторы!$B179,Продажи!$C$5:$C$359,Конструкторы!$A179)</f>
        <v>0</v>
      </c>
      <c r="K179" s="166">
        <f>SUMIFS(Продажи!H$5:H$359,Продажи!$D$5:$D$359,Конструкторы!$B179,Продажи!$C$5:$C$359,Конструкторы!$A179)</f>
        <v>0</v>
      </c>
      <c r="L179" s="166">
        <f>SUMIFS(Продажи!I$5:I$359,Продажи!$D$5:$D$359,Конструкторы!$B179,Продажи!$C$5:$C$359,Конструкторы!$A179)</f>
        <v>0</v>
      </c>
      <c r="M179" s="166">
        <f>SUMIFS(Продажи!J$5:J$359,Продажи!$D$5:$D$359,Конструкторы!$B179,Продажи!$C$5:$C$359,Конструкторы!$A179)</f>
        <v>0</v>
      </c>
      <c r="N179" s="166">
        <f>SUMIFS(Продажи!K$5:K$359,Продажи!$D$5:$D$359,Конструкторы!$B179,Продажи!$C$5:$C$359,Конструкторы!$A179)</f>
        <v>0</v>
      </c>
      <c r="O179" s="166">
        <f>SUMIFS(Продажи!L$5:L$359,Продажи!$D$5:$D$359,Конструкторы!$B179,Продажи!$C$5:$C$359,Конструкторы!$A179)</f>
        <v>0</v>
      </c>
      <c r="P179" s="166">
        <f>SUMIFS(Продажи!M$5:M$359,Продажи!$D$5:$D$359,Конструкторы!$B179,Продажи!$C$5:$C$359,Конструкторы!$A179)</f>
        <v>0</v>
      </c>
      <c r="Q179" s="166">
        <f>SUMIFS(Продажи!N$5:N$359,Продажи!$D$5:$D$359,Конструкторы!$B179,Продажи!$C$5:$C$359,Конструкторы!$A179)</f>
        <v>0</v>
      </c>
      <c r="R179" s="166">
        <f>SUMIFS(Продажи!O$5:O$359,Продажи!$D$5:$D$359,Конструкторы!$B179,Продажи!$C$5:$C$359,Конструкторы!$A179)</f>
        <v>0</v>
      </c>
      <c r="S179" s="166">
        <f>SUMIFS(Продажи!P$5:P$359,Продажи!$D$5:$D$359,Конструкторы!$B179,Продажи!$C$5:$C$359,Конструкторы!$A179)</f>
        <v>0</v>
      </c>
      <c r="T179" s="166">
        <f>SUMIFS(Продажи!Q$5:Q$359,Продажи!$D$5:$D$359,Конструкторы!$B179,Продажи!$C$5:$C$359,Конструкторы!$A179)</f>
        <v>0</v>
      </c>
    </row>
    <row r="180" spans="1:20" ht="15.75" hidden="1" x14ac:dyDescent="0.25">
      <c r="A180" s="166" t="s">
        <v>397</v>
      </c>
      <c r="B180" s="167" t="s">
        <v>277</v>
      </c>
      <c r="C180" s="129" t="s">
        <v>44</v>
      </c>
      <c r="D180" s="149"/>
      <c r="E180" s="153" t="s">
        <v>68</v>
      </c>
      <c r="F180" s="156">
        <f>(6*103)/100</f>
        <v>6.18</v>
      </c>
      <c r="G180" s="156">
        <v>0.17999999999999972</v>
      </c>
      <c r="H180" s="156">
        <f>F180+G180</f>
        <v>6.3599999999999994</v>
      </c>
      <c r="I180" s="166">
        <f>SUMIFS(Продажи!F$5:F$359,Продажи!$D$5:$D$359,Конструкторы!$B180,Продажи!$C$5:$C$359,Конструкторы!$A180)</f>
        <v>0</v>
      </c>
      <c r="J180" s="166">
        <f>SUMIFS(Продажи!G$5:G$359,Продажи!$D$5:$D$359,Конструкторы!$B180,Продажи!$C$5:$C$359,Конструкторы!$A180)</f>
        <v>0</v>
      </c>
      <c r="K180" s="166">
        <f>SUMIFS(Продажи!H$5:H$359,Продажи!$D$5:$D$359,Конструкторы!$B180,Продажи!$C$5:$C$359,Конструкторы!$A180)</f>
        <v>0</v>
      </c>
      <c r="L180" s="166">
        <f>SUMIFS(Продажи!I$5:I$359,Продажи!$D$5:$D$359,Конструкторы!$B180,Продажи!$C$5:$C$359,Конструкторы!$A180)</f>
        <v>0</v>
      </c>
      <c r="M180" s="166">
        <f>SUMIFS(Продажи!J$5:J$359,Продажи!$D$5:$D$359,Конструкторы!$B180,Продажи!$C$5:$C$359,Конструкторы!$A180)</f>
        <v>0</v>
      </c>
      <c r="N180" s="166">
        <f>SUMIFS(Продажи!K$5:K$359,Продажи!$D$5:$D$359,Конструкторы!$B180,Продажи!$C$5:$C$359,Конструкторы!$A180)</f>
        <v>0</v>
      </c>
      <c r="O180" s="166">
        <f>SUMIFS(Продажи!L$5:L$359,Продажи!$D$5:$D$359,Конструкторы!$B180,Продажи!$C$5:$C$359,Конструкторы!$A180)</f>
        <v>0</v>
      </c>
      <c r="P180" s="166">
        <f>SUMIFS(Продажи!M$5:M$359,Продажи!$D$5:$D$359,Конструкторы!$B180,Продажи!$C$5:$C$359,Конструкторы!$A180)</f>
        <v>0</v>
      </c>
      <c r="Q180" s="166">
        <f>SUMIFS(Продажи!N$5:N$359,Продажи!$D$5:$D$359,Конструкторы!$B180,Продажи!$C$5:$C$359,Конструкторы!$A180)</f>
        <v>0</v>
      </c>
      <c r="R180" s="166">
        <f>SUMIFS(Продажи!O$5:O$359,Продажи!$D$5:$D$359,Конструкторы!$B180,Продажи!$C$5:$C$359,Конструкторы!$A180)</f>
        <v>0</v>
      </c>
      <c r="S180" s="166">
        <f>SUMIFS(Продажи!P$5:P$359,Продажи!$D$5:$D$359,Конструкторы!$B180,Продажи!$C$5:$C$359,Конструкторы!$A180)</f>
        <v>0</v>
      </c>
      <c r="T180" s="166">
        <f>SUMIFS(Продажи!Q$5:Q$359,Продажи!$D$5:$D$359,Конструкторы!$B180,Продажи!$C$5:$C$359,Конструкторы!$A180)</f>
        <v>0</v>
      </c>
    </row>
    <row r="181" spans="1:20" ht="15.75" hidden="1" x14ac:dyDescent="0.25">
      <c r="A181" s="166" t="s">
        <v>397</v>
      </c>
      <c r="B181" s="167" t="s">
        <v>277</v>
      </c>
      <c r="C181" s="129" t="s">
        <v>26</v>
      </c>
      <c r="D181" s="149"/>
      <c r="E181" s="153" t="s">
        <v>68</v>
      </c>
      <c r="F181" s="156">
        <f>(0.81*103)/100</f>
        <v>0.83430000000000004</v>
      </c>
      <c r="G181" s="156">
        <v>2.4299999999999988E-2</v>
      </c>
      <c r="H181" s="156">
        <f>F181+G181</f>
        <v>0.85860000000000003</v>
      </c>
      <c r="I181" s="166">
        <f>SUMIFS(Продажи!F$5:F$359,Продажи!$D$5:$D$359,Конструкторы!$B181,Продажи!$C$5:$C$359,Конструкторы!$A181)</f>
        <v>0</v>
      </c>
      <c r="J181" s="166">
        <f>SUMIFS(Продажи!G$5:G$359,Продажи!$D$5:$D$359,Конструкторы!$B181,Продажи!$C$5:$C$359,Конструкторы!$A181)</f>
        <v>0</v>
      </c>
      <c r="K181" s="166">
        <f>SUMIFS(Продажи!H$5:H$359,Продажи!$D$5:$D$359,Конструкторы!$B181,Продажи!$C$5:$C$359,Конструкторы!$A181)</f>
        <v>0</v>
      </c>
      <c r="L181" s="166">
        <f>SUMIFS(Продажи!I$5:I$359,Продажи!$D$5:$D$359,Конструкторы!$B181,Продажи!$C$5:$C$359,Конструкторы!$A181)</f>
        <v>0</v>
      </c>
      <c r="M181" s="166">
        <f>SUMIFS(Продажи!J$5:J$359,Продажи!$D$5:$D$359,Конструкторы!$B181,Продажи!$C$5:$C$359,Конструкторы!$A181)</f>
        <v>0</v>
      </c>
      <c r="N181" s="166">
        <f>SUMIFS(Продажи!K$5:K$359,Продажи!$D$5:$D$359,Конструкторы!$B181,Продажи!$C$5:$C$359,Конструкторы!$A181)</f>
        <v>0</v>
      </c>
      <c r="O181" s="166">
        <f>SUMIFS(Продажи!L$5:L$359,Продажи!$D$5:$D$359,Конструкторы!$B181,Продажи!$C$5:$C$359,Конструкторы!$A181)</f>
        <v>0</v>
      </c>
      <c r="P181" s="166">
        <f>SUMIFS(Продажи!M$5:M$359,Продажи!$D$5:$D$359,Конструкторы!$B181,Продажи!$C$5:$C$359,Конструкторы!$A181)</f>
        <v>0</v>
      </c>
      <c r="Q181" s="166">
        <f>SUMIFS(Продажи!N$5:N$359,Продажи!$D$5:$D$359,Конструкторы!$B181,Продажи!$C$5:$C$359,Конструкторы!$A181)</f>
        <v>0</v>
      </c>
      <c r="R181" s="166">
        <f>SUMIFS(Продажи!O$5:O$359,Продажи!$D$5:$D$359,Конструкторы!$B181,Продажи!$C$5:$C$359,Конструкторы!$A181)</f>
        <v>0</v>
      </c>
      <c r="S181" s="166">
        <f>SUMIFS(Продажи!P$5:P$359,Продажи!$D$5:$D$359,Конструкторы!$B181,Продажи!$C$5:$C$359,Конструкторы!$A181)</f>
        <v>0</v>
      </c>
      <c r="T181" s="166">
        <f>SUMIFS(Продажи!Q$5:Q$359,Продажи!$D$5:$D$359,Конструкторы!$B181,Продажи!$C$5:$C$359,Конструкторы!$A181)</f>
        <v>0</v>
      </c>
    </row>
    <row r="182" spans="1:20" ht="15.75" hidden="1" x14ac:dyDescent="0.25">
      <c r="A182" s="166" t="s">
        <v>397</v>
      </c>
      <c r="B182" s="167" t="s">
        <v>277</v>
      </c>
      <c r="C182" s="129" t="s">
        <v>25</v>
      </c>
      <c r="D182" s="149"/>
      <c r="E182" s="153" t="s">
        <v>68</v>
      </c>
      <c r="F182" s="156">
        <f>(4.86*103)/100</f>
        <v>5.0058000000000007</v>
      </c>
      <c r="G182" s="156">
        <v>0.14580000000000037</v>
      </c>
      <c r="H182" s="156">
        <f>F182+G182</f>
        <v>5.1516000000000011</v>
      </c>
      <c r="I182" s="166">
        <f>SUMIFS(Продажи!F$5:F$359,Продажи!$D$5:$D$359,Конструкторы!$B182,Продажи!$C$5:$C$359,Конструкторы!$A182)</f>
        <v>0</v>
      </c>
      <c r="J182" s="166">
        <f>SUMIFS(Продажи!G$5:G$359,Продажи!$D$5:$D$359,Конструкторы!$B182,Продажи!$C$5:$C$359,Конструкторы!$A182)</f>
        <v>0</v>
      </c>
      <c r="K182" s="166">
        <f>SUMIFS(Продажи!H$5:H$359,Продажи!$D$5:$D$359,Конструкторы!$B182,Продажи!$C$5:$C$359,Конструкторы!$A182)</f>
        <v>0</v>
      </c>
      <c r="L182" s="166">
        <f>SUMIFS(Продажи!I$5:I$359,Продажи!$D$5:$D$359,Конструкторы!$B182,Продажи!$C$5:$C$359,Конструкторы!$A182)</f>
        <v>0</v>
      </c>
      <c r="M182" s="166">
        <f>SUMIFS(Продажи!J$5:J$359,Продажи!$D$5:$D$359,Конструкторы!$B182,Продажи!$C$5:$C$359,Конструкторы!$A182)</f>
        <v>0</v>
      </c>
      <c r="N182" s="166">
        <f>SUMIFS(Продажи!K$5:K$359,Продажи!$D$5:$D$359,Конструкторы!$B182,Продажи!$C$5:$C$359,Конструкторы!$A182)</f>
        <v>0</v>
      </c>
      <c r="O182" s="166">
        <f>SUMIFS(Продажи!L$5:L$359,Продажи!$D$5:$D$359,Конструкторы!$B182,Продажи!$C$5:$C$359,Конструкторы!$A182)</f>
        <v>0</v>
      </c>
      <c r="P182" s="166">
        <f>SUMIFS(Продажи!M$5:M$359,Продажи!$D$5:$D$359,Конструкторы!$B182,Продажи!$C$5:$C$359,Конструкторы!$A182)</f>
        <v>0</v>
      </c>
      <c r="Q182" s="166">
        <f>SUMIFS(Продажи!N$5:N$359,Продажи!$D$5:$D$359,Конструкторы!$B182,Продажи!$C$5:$C$359,Конструкторы!$A182)</f>
        <v>0</v>
      </c>
      <c r="R182" s="166">
        <f>SUMIFS(Продажи!O$5:O$359,Продажи!$D$5:$D$359,Конструкторы!$B182,Продажи!$C$5:$C$359,Конструкторы!$A182)</f>
        <v>0</v>
      </c>
      <c r="S182" s="166">
        <f>SUMIFS(Продажи!P$5:P$359,Продажи!$D$5:$D$359,Конструкторы!$B182,Продажи!$C$5:$C$359,Конструкторы!$A182)</f>
        <v>0</v>
      </c>
      <c r="T182" s="166">
        <f>SUMIFS(Продажи!Q$5:Q$359,Продажи!$D$5:$D$359,Конструкторы!$B182,Продажи!$C$5:$C$359,Конструкторы!$A182)</f>
        <v>0</v>
      </c>
    </row>
    <row r="183" spans="1:20" ht="15.75" hidden="1" x14ac:dyDescent="0.25">
      <c r="A183" s="166" t="s">
        <v>397</v>
      </c>
      <c r="B183" s="167" t="s">
        <v>277</v>
      </c>
      <c r="C183" s="33" t="s">
        <v>78</v>
      </c>
      <c r="D183" s="149"/>
      <c r="E183" s="153" t="s">
        <v>70</v>
      </c>
      <c r="F183" s="148">
        <v>56</v>
      </c>
      <c r="G183" s="156" t="s">
        <v>71</v>
      </c>
      <c r="H183" s="156">
        <f>F183</f>
        <v>56</v>
      </c>
      <c r="I183" s="166">
        <f>SUMIFS(Продажи!F$5:F$359,Продажи!$D$5:$D$359,Конструкторы!$B183,Продажи!$C$5:$C$359,Конструкторы!$A183)</f>
        <v>0</v>
      </c>
      <c r="J183" s="166">
        <f>SUMIFS(Продажи!G$5:G$359,Продажи!$D$5:$D$359,Конструкторы!$B183,Продажи!$C$5:$C$359,Конструкторы!$A183)</f>
        <v>0</v>
      </c>
      <c r="K183" s="166">
        <f>SUMIFS(Продажи!H$5:H$359,Продажи!$D$5:$D$359,Конструкторы!$B183,Продажи!$C$5:$C$359,Конструкторы!$A183)</f>
        <v>0</v>
      </c>
      <c r="L183" s="166">
        <f>SUMIFS(Продажи!I$5:I$359,Продажи!$D$5:$D$359,Конструкторы!$B183,Продажи!$C$5:$C$359,Конструкторы!$A183)</f>
        <v>0</v>
      </c>
      <c r="M183" s="166">
        <f>SUMIFS(Продажи!J$5:J$359,Продажи!$D$5:$D$359,Конструкторы!$B183,Продажи!$C$5:$C$359,Конструкторы!$A183)</f>
        <v>0</v>
      </c>
      <c r="N183" s="166">
        <f>SUMIFS(Продажи!K$5:K$359,Продажи!$D$5:$D$359,Конструкторы!$B183,Продажи!$C$5:$C$359,Конструкторы!$A183)</f>
        <v>0</v>
      </c>
      <c r="O183" s="166">
        <f>SUMIFS(Продажи!L$5:L$359,Продажи!$D$5:$D$359,Конструкторы!$B183,Продажи!$C$5:$C$359,Конструкторы!$A183)</f>
        <v>0</v>
      </c>
      <c r="P183" s="166">
        <f>SUMIFS(Продажи!M$5:M$359,Продажи!$D$5:$D$359,Конструкторы!$B183,Продажи!$C$5:$C$359,Конструкторы!$A183)</f>
        <v>0</v>
      </c>
      <c r="Q183" s="166">
        <f>SUMIFS(Продажи!N$5:N$359,Продажи!$D$5:$D$359,Конструкторы!$B183,Продажи!$C$5:$C$359,Конструкторы!$A183)</f>
        <v>0</v>
      </c>
      <c r="R183" s="166">
        <f>SUMIFS(Продажи!O$5:O$359,Продажи!$D$5:$D$359,Конструкторы!$B183,Продажи!$C$5:$C$359,Конструкторы!$A183)</f>
        <v>0</v>
      </c>
      <c r="S183" s="166">
        <f>SUMIFS(Продажи!P$5:P$359,Продажи!$D$5:$D$359,Конструкторы!$B183,Продажи!$C$5:$C$359,Конструкторы!$A183)</f>
        <v>0</v>
      </c>
      <c r="T183" s="166">
        <f>SUMIFS(Продажи!Q$5:Q$359,Продажи!$D$5:$D$359,Конструкторы!$B183,Продажи!$C$5:$C$359,Конструкторы!$A183)</f>
        <v>0</v>
      </c>
    </row>
    <row r="184" spans="1:20" ht="15.75" hidden="1" x14ac:dyDescent="0.25">
      <c r="A184" s="166" t="s">
        <v>397</v>
      </c>
      <c r="B184" s="167" t="s">
        <v>278</v>
      </c>
      <c r="C184" s="129" t="s">
        <v>44</v>
      </c>
      <c r="D184" s="149"/>
      <c r="E184" s="153" t="s">
        <v>68</v>
      </c>
      <c r="F184" s="156">
        <f>(6*103)/100</f>
        <v>6.18</v>
      </c>
      <c r="G184" s="156">
        <v>0.17999999999999972</v>
      </c>
      <c r="H184" s="156">
        <f>F184+G184</f>
        <v>6.3599999999999994</v>
      </c>
      <c r="I184" s="166">
        <f>SUMIFS(Продажи!F$5:F$359,Продажи!$D$5:$D$359,Конструкторы!$B184,Продажи!$C$5:$C$359,Конструкторы!$A184)</f>
        <v>0</v>
      </c>
      <c r="J184" s="166">
        <f>SUMIFS(Продажи!G$5:G$359,Продажи!$D$5:$D$359,Конструкторы!$B184,Продажи!$C$5:$C$359,Конструкторы!$A184)</f>
        <v>0</v>
      </c>
      <c r="K184" s="166">
        <f>SUMIFS(Продажи!H$5:H$359,Продажи!$D$5:$D$359,Конструкторы!$B184,Продажи!$C$5:$C$359,Конструкторы!$A184)</f>
        <v>0</v>
      </c>
      <c r="L184" s="166">
        <f>SUMIFS(Продажи!I$5:I$359,Продажи!$D$5:$D$359,Конструкторы!$B184,Продажи!$C$5:$C$359,Конструкторы!$A184)</f>
        <v>0</v>
      </c>
      <c r="M184" s="166">
        <f>SUMIFS(Продажи!J$5:J$359,Продажи!$D$5:$D$359,Конструкторы!$B184,Продажи!$C$5:$C$359,Конструкторы!$A184)</f>
        <v>0</v>
      </c>
      <c r="N184" s="166">
        <f>SUMIFS(Продажи!K$5:K$359,Продажи!$D$5:$D$359,Конструкторы!$B184,Продажи!$C$5:$C$359,Конструкторы!$A184)</f>
        <v>0</v>
      </c>
      <c r="O184" s="166">
        <f>SUMIFS(Продажи!L$5:L$359,Продажи!$D$5:$D$359,Конструкторы!$B184,Продажи!$C$5:$C$359,Конструкторы!$A184)</f>
        <v>0</v>
      </c>
      <c r="P184" s="166">
        <f>SUMIFS(Продажи!M$5:M$359,Продажи!$D$5:$D$359,Конструкторы!$B184,Продажи!$C$5:$C$359,Конструкторы!$A184)</f>
        <v>0</v>
      </c>
      <c r="Q184" s="166">
        <f>SUMIFS(Продажи!N$5:N$359,Продажи!$D$5:$D$359,Конструкторы!$B184,Продажи!$C$5:$C$359,Конструкторы!$A184)</f>
        <v>0</v>
      </c>
      <c r="R184" s="166">
        <f>SUMIFS(Продажи!O$5:O$359,Продажи!$D$5:$D$359,Конструкторы!$B184,Продажи!$C$5:$C$359,Конструкторы!$A184)</f>
        <v>0</v>
      </c>
      <c r="S184" s="166">
        <f>SUMIFS(Продажи!P$5:P$359,Продажи!$D$5:$D$359,Конструкторы!$B184,Продажи!$C$5:$C$359,Конструкторы!$A184)</f>
        <v>0</v>
      </c>
      <c r="T184" s="166">
        <f>SUMIFS(Продажи!Q$5:Q$359,Продажи!$D$5:$D$359,Конструкторы!$B184,Продажи!$C$5:$C$359,Конструкторы!$A184)</f>
        <v>0</v>
      </c>
    </row>
    <row r="185" spans="1:20" ht="15.75" hidden="1" x14ac:dyDescent="0.25">
      <c r="A185" s="166" t="s">
        <v>397</v>
      </c>
      <c r="B185" s="167" t="s">
        <v>278</v>
      </c>
      <c r="C185" s="129" t="s">
        <v>26</v>
      </c>
      <c r="D185" s="149"/>
      <c r="E185" s="153" t="s">
        <v>68</v>
      </c>
      <c r="F185" s="156">
        <f>(1.01*103)/100</f>
        <v>1.0403</v>
      </c>
      <c r="G185" s="156">
        <v>3.0299999999999994E-2</v>
      </c>
      <c r="H185" s="156">
        <f>F185+G185</f>
        <v>1.0706</v>
      </c>
      <c r="I185" s="166">
        <f>SUMIFS(Продажи!F$5:F$359,Продажи!$D$5:$D$359,Конструкторы!$B185,Продажи!$C$5:$C$359,Конструкторы!$A185)</f>
        <v>0</v>
      </c>
      <c r="J185" s="166">
        <f>SUMIFS(Продажи!G$5:G$359,Продажи!$D$5:$D$359,Конструкторы!$B185,Продажи!$C$5:$C$359,Конструкторы!$A185)</f>
        <v>0</v>
      </c>
      <c r="K185" s="166">
        <f>SUMIFS(Продажи!H$5:H$359,Продажи!$D$5:$D$359,Конструкторы!$B185,Продажи!$C$5:$C$359,Конструкторы!$A185)</f>
        <v>0</v>
      </c>
      <c r="L185" s="166">
        <f>SUMIFS(Продажи!I$5:I$359,Продажи!$D$5:$D$359,Конструкторы!$B185,Продажи!$C$5:$C$359,Конструкторы!$A185)</f>
        <v>0</v>
      </c>
      <c r="M185" s="166">
        <f>SUMIFS(Продажи!J$5:J$359,Продажи!$D$5:$D$359,Конструкторы!$B185,Продажи!$C$5:$C$359,Конструкторы!$A185)</f>
        <v>0</v>
      </c>
      <c r="N185" s="166">
        <f>SUMIFS(Продажи!K$5:K$359,Продажи!$D$5:$D$359,Конструкторы!$B185,Продажи!$C$5:$C$359,Конструкторы!$A185)</f>
        <v>0</v>
      </c>
      <c r="O185" s="166">
        <f>SUMIFS(Продажи!L$5:L$359,Продажи!$D$5:$D$359,Конструкторы!$B185,Продажи!$C$5:$C$359,Конструкторы!$A185)</f>
        <v>0</v>
      </c>
      <c r="P185" s="166">
        <f>SUMIFS(Продажи!M$5:M$359,Продажи!$D$5:$D$359,Конструкторы!$B185,Продажи!$C$5:$C$359,Конструкторы!$A185)</f>
        <v>0</v>
      </c>
      <c r="Q185" s="166">
        <f>SUMIFS(Продажи!N$5:N$359,Продажи!$D$5:$D$359,Конструкторы!$B185,Продажи!$C$5:$C$359,Конструкторы!$A185)</f>
        <v>0</v>
      </c>
      <c r="R185" s="166">
        <f>SUMIFS(Продажи!O$5:O$359,Продажи!$D$5:$D$359,Конструкторы!$B185,Продажи!$C$5:$C$359,Конструкторы!$A185)</f>
        <v>0</v>
      </c>
      <c r="S185" s="166">
        <f>SUMIFS(Продажи!P$5:P$359,Продажи!$D$5:$D$359,Конструкторы!$B185,Продажи!$C$5:$C$359,Конструкторы!$A185)</f>
        <v>0</v>
      </c>
      <c r="T185" s="166">
        <f>SUMIFS(Продажи!Q$5:Q$359,Продажи!$D$5:$D$359,Конструкторы!$B185,Продажи!$C$5:$C$359,Конструкторы!$A185)</f>
        <v>0</v>
      </c>
    </row>
    <row r="186" spans="1:20" ht="15.75" hidden="1" x14ac:dyDescent="0.25">
      <c r="A186" s="166" t="s">
        <v>397</v>
      </c>
      <c r="B186" s="167" t="s">
        <v>278</v>
      </c>
      <c r="C186" s="129" t="s">
        <v>25</v>
      </c>
      <c r="D186" s="149"/>
      <c r="E186" s="153" t="s">
        <v>68</v>
      </c>
      <c r="F186" s="156">
        <f>(6.06*103)/100</f>
        <v>6.2417999999999996</v>
      </c>
      <c r="G186" s="156">
        <v>0.18179999999999996</v>
      </c>
      <c r="H186" s="156">
        <f>F186+G186</f>
        <v>6.4235999999999995</v>
      </c>
      <c r="I186" s="166">
        <f>SUMIFS(Продажи!F$5:F$359,Продажи!$D$5:$D$359,Конструкторы!$B186,Продажи!$C$5:$C$359,Конструкторы!$A186)</f>
        <v>0</v>
      </c>
      <c r="J186" s="166">
        <f>SUMIFS(Продажи!G$5:G$359,Продажи!$D$5:$D$359,Конструкторы!$B186,Продажи!$C$5:$C$359,Конструкторы!$A186)</f>
        <v>0</v>
      </c>
      <c r="K186" s="166">
        <f>SUMIFS(Продажи!H$5:H$359,Продажи!$D$5:$D$359,Конструкторы!$B186,Продажи!$C$5:$C$359,Конструкторы!$A186)</f>
        <v>0</v>
      </c>
      <c r="L186" s="166">
        <f>SUMIFS(Продажи!I$5:I$359,Продажи!$D$5:$D$359,Конструкторы!$B186,Продажи!$C$5:$C$359,Конструкторы!$A186)</f>
        <v>0</v>
      </c>
      <c r="M186" s="166">
        <f>SUMIFS(Продажи!J$5:J$359,Продажи!$D$5:$D$359,Конструкторы!$B186,Продажи!$C$5:$C$359,Конструкторы!$A186)</f>
        <v>0</v>
      </c>
      <c r="N186" s="166">
        <f>SUMIFS(Продажи!K$5:K$359,Продажи!$D$5:$D$359,Конструкторы!$B186,Продажи!$C$5:$C$359,Конструкторы!$A186)</f>
        <v>0</v>
      </c>
      <c r="O186" s="166">
        <f>SUMIFS(Продажи!L$5:L$359,Продажи!$D$5:$D$359,Конструкторы!$B186,Продажи!$C$5:$C$359,Конструкторы!$A186)</f>
        <v>0</v>
      </c>
      <c r="P186" s="166">
        <f>SUMIFS(Продажи!M$5:M$359,Продажи!$D$5:$D$359,Конструкторы!$B186,Продажи!$C$5:$C$359,Конструкторы!$A186)</f>
        <v>0</v>
      </c>
      <c r="Q186" s="166">
        <f>SUMIFS(Продажи!N$5:N$359,Продажи!$D$5:$D$359,Конструкторы!$B186,Продажи!$C$5:$C$359,Конструкторы!$A186)</f>
        <v>0</v>
      </c>
      <c r="R186" s="166">
        <f>SUMIFS(Продажи!O$5:O$359,Продажи!$D$5:$D$359,Конструкторы!$B186,Продажи!$C$5:$C$359,Конструкторы!$A186)</f>
        <v>0</v>
      </c>
      <c r="S186" s="166">
        <f>SUMIFS(Продажи!P$5:P$359,Продажи!$D$5:$D$359,Конструкторы!$B186,Продажи!$C$5:$C$359,Конструкторы!$A186)</f>
        <v>0</v>
      </c>
      <c r="T186" s="166">
        <f>SUMIFS(Продажи!Q$5:Q$359,Продажи!$D$5:$D$359,Конструкторы!$B186,Продажи!$C$5:$C$359,Конструкторы!$A186)</f>
        <v>0</v>
      </c>
    </row>
    <row r="187" spans="1:20" ht="15.75" hidden="1" x14ac:dyDescent="0.25">
      <c r="A187" s="166" t="s">
        <v>397</v>
      </c>
      <c r="B187" s="167" t="s">
        <v>278</v>
      </c>
      <c r="C187" s="33" t="s">
        <v>78</v>
      </c>
      <c r="D187" s="149"/>
      <c r="E187" s="153" t="s">
        <v>70</v>
      </c>
      <c r="F187" s="148">
        <v>56</v>
      </c>
      <c r="G187" s="156" t="s">
        <v>71</v>
      </c>
      <c r="H187" s="156">
        <f>F187</f>
        <v>56</v>
      </c>
      <c r="I187" s="166">
        <f>SUMIFS(Продажи!F$5:F$359,Продажи!$D$5:$D$359,Конструкторы!$B187,Продажи!$C$5:$C$359,Конструкторы!$A187)</f>
        <v>0</v>
      </c>
      <c r="J187" s="166">
        <f>SUMIFS(Продажи!G$5:G$359,Продажи!$D$5:$D$359,Конструкторы!$B187,Продажи!$C$5:$C$359,Конструкторы!$A187)</f>
        <v>0</v>
      </c>
      <c r="K187" s="166">
        <f>SUMIFS(Продажи!H$5:H$359,Продажи!$D$5:$D$359,Конструкторы!$B187,Продажи!$C$5:$C$359,Конструкторы!$A187)</f>
        <v>0</v>
      </c>
      <c r="L187" s="166">
        <f>SUMIFS(Продажи!I$5:I$359,Продажи!$D$5:$D$359,Конструкторы!$B187,Продажи!$C$5:$C$359,Конструкторы!$A187)</f>
        <v>0</v>
      </c>
      <c r="M187" s="166">
        <f>SUMIFS(Продажи!J$5:J$359,Продажи!$D$5:$D$359,Конструкторы!$B187,Продажи!$C$5:$C$359,Конструкторы!$A187)</f>
        <v>0</v>
      </c>
      <c r="N187" s="166">
        <f>SUMIFS(Продажи!K$5:K$359,Продажи!$D$5:$D$359,Конструкторы!$B187,Продажи!$C$5:$C$359,Конструкторы!$A187)</f>
        <v>0</v>
      </c>
      <c r="O187" s="166">
        <f>SUMIFS(Продажи!L$5:L$359,Продажи!$D$5:$D$359,Конструкторы!$B187,Продажи!$C$5:$C$359,Конструкторы!$A187)</f>
        <v>0</v>
      </c>
      <c r="P187" s="166">
        <f>SUMIFS(Продажи!M$5:M$359,Продажи!$D$5:$D$359,Конструкторы!$B187,Продажи!$C$5:$C$359,Конструкторы!$A187)</f>
        <v>0</v>
      </c>
      <c r="Q187" s="166">
        <f>SUMIFS(Продажи!N$5:N$359,Продажи!$D$5:$D$359,Конструкторы!$B187,Продажи!$C$5:$C$359,Конструкторы!$A187)</f>
        <v>0</v>
      </c>
      <c r="R187" s="166">
        <f>SUMIFS(Продажи!O$5:O$359,Продажи!$D$5:$D$359,Конструкторы!$B187,Продажи!$C$5:$C$359,Конструкторы!$A187)</f>
        <v>0</v>
      </c>
      <c r="S187" s="166">
        <f>SUMIFS(Продажи!P$5:P$359,Продажи!$D$5:$D$359,Конструкторы!$B187,Продажи!$C$5:$C$359,Конструкторы!$A187)</f>
        <v>0</v>
      </c>
      <c r="T187" s="166">
        <f>SUMIFS(Продажи!Q$5:Q$359,Продажи!$D$5:$D$359,Конструкторы!$B187,Продажи!$C$5:$C$359,Конструкторы!$A187)</f>
        <v>0</v>
      </c>
    </row>
    <row r="188" spans="1:20" ht="15.75" hidden="1" x14ac:dyDescent="0.25">
      <c r="A188" s="166" t="s">
        <v>397</v>
      </c>
      <c r="B188" s="167" t="s">
        <v>279</v>
      </c>
      <c r="C188" s="129" t="s">
        <v>44</v>
      </c>
      <c r="D188" s="149"/>
      <c r="E188" s="153" t="s">
        <v>68</v>
      </c>
      <c r="F188" s="156">
        <f>(6*103)/100</f>
        <v>6.18</v>
      </c>
      <c r="G188" s="156">
        <v>0.17999999999999972</v>
      </c>
      <c r="H188" s="156">
        <f>F188+G188</f>
        <v>6.3599999999999994</v>
      </c>
      <c r="I188" s="166">
        <f>SUMIFS(Продажи!F$5:F$359,Продажи!$D$5:$D$359,Конструкторы!$B188,Продажи!$C$5:$C$359,Конструкторы!$A188)</f>
        <v>0</v>
      </c>
      <c r="J188" s="166">
        <f>SUMIFS(Продажи!G$5:G$359,Продажи!$D$5:$D$359,Конструкторы!$B188,Продажи!$C$5:$C$359,Конструкторы!$A188)</f>
        <v>0</v>
      </c>
      <c r="K188" s="166">
        <f>SUMIFS(Продажи!H$5:H$359,Продажи!$D$5:$D$359,Конструкторы!$B188,Продажи!$C$5:$C$359,Конструкторы!$A188)</f>
        <v>0</v>
      </c>
      <c r="L188" s="166">
        <f>SUMIFS(Продажи!I$5:I$359,Продажи!$D$5:$D$359,Конструкторы!$B188,Продажи!$C$5:$C$359,Конструкторы!$A188)</f>
        <v>0</v>
      </c>
      <c r="M188" s="166">
        <f>SUMIFS(Продажи!J$5:J$359,Продажи!$D$5:$D$359,Конструкторы!$B188,Продажи!$C$5:$C$359,Конструкторы!$A188)</f>
        <v>0</v>
      </c>
      <c r="N188" s="166">
        <f>SUMIFS(Продажи!K$5:K$359,Продажи!$D$5:$D$359,Конструкторы!$B188,Продажи!$C$5:$C$359,Конструкторы!$A188)</f>
        <v>0</v>
      </c>
      <c r="O188" s="166">
        <f>SUMIFS(Продажи!L$5:L$359,Продажи!$D$5:$D$359,Конструкторы!$B188,Продажи!$C$5:$C$359,Конструкторы!$A188)</f>
        <v>0</v>
      </c>
      <c r="P188" s="166">
        <f>SUMIFS(Продажи!M$5:M$359,Продажи!$D$5:$D$359,Конструкторы!$B188,Продажи!$C$5:$C$359,Конструкторы!$A188)</f>
        <v>0</v>
      </c>
      <c r="Q188" s="166">
        <f>SUMIFS(Продажи!N$5:N$359,Продажи!$D$5:$D$359,Конструкторы!$B188,Продажи!$C$5:$C$359,Конструкторы!$A188)</f>
        <v>0</v>
      </c>
      <c r="R188" s="166">
        <f>SUMIFS(Продажи!O$5:O$359,Продажи!$D$5:$D$359,Конструкторы!$B188,Продажи!$C$5:$C$359,Конструкторы!$A188)</f>
        <v>0</v>
      </c>
      <c r="S188" s="166">
        <f>SUMIFS(Продажи!P$5:P$359,Продажи!$D$5:$D$359,Конструкторы!$B188,Продажи!$C$5:$C$359,Конструкторы!$A188)</f>
        <v>0</v>
      </c>
      <c r="T188" s="166">
        <f>SUMIFS(Продажи!Q$5:Q$359,Продажи!$D$5:$D$359,Конструкторы!$B188,Продажи!$C$5:$C$359,Конструкторы!$A188)</f>
        <v>0</v>
      </c>
    </row>
    <row r="189" spans="1:20" ht="15.75" hidden="1" x14ac:dyDescent="0.25">
      <c r="A189" s="166" t="s">
        <v>397</v>
      </c>
      <c r="B189" s="167" t="s">
        <v>279</v>
      </c>
      <c r="C189" s="129" t="s">
        <v>26</v>
      </c>
      <c r="D189" s="149"/>
      <c r="E189" s="153" t="s">
        <v>68</v>
      </c>
      <c r="F189" s="156">
        <f>(1.41*103)/100</f>
        <v>1.4522999999999999</v>
      </c>
      <c r="G189" s="156">
        <v>4.2300000000000004E-2</v>
      </c>
      <c r="H189" s="156">
        <f>F189+G189</f>
        <v>1.4945999999999999</v>
      </c>
      <c r="I189" s="166">
        <f>SUMIFS(Продажи!F$5:F$359,Продажи!$D$5:$D$359,Конструкторы!$B189,Продажи!$C$5:$C$359,Конструкторы!$A189)</f>
        <v>0</v>
      </c>
      <c r="J189" s="166">
        <f>SUMIFS(Продажи!G$5:G$359,Продажи!$D$5:$D$359,Конструкторы!$B189,Продажи!$C$5:$C$359,Конструкторы!$A189)</f>
        <v>0</v>
      </c>
      <c r="K189" s="166">
        <f>SUMIFS(Продажи!H$5:H$359,Продажи!$D$5:$D$359,Конструкторы!$B189,Продажи!$C$5:$C$359,Конструкторы!$A189)</f>
        <v>0</v>
      </c>
      <c r="L189" s="166">
        <f>SUMIFS(Продажи!I$5:I$359,Продажи!$D$5:$D$359,Конструкторы!$B189,Продажи!$C$5:$C$359,Конструкторы!$A189)</f>
        <v>0</v>
      </c>
      <c r="M189" s="166">
        <f>SUMIFS(Продажи!J$5:J$359,Продажи!$D$5:$D$359,Конструкторы!$B189,Продажи!$C$5:$C$359,Конструкторы!$A189)</f>
        <v>0</v>
      </c>
      <c r="N189" s="166">
        <f>SUMIFS(Продажи!K$5:K$359,Продажи!$D$5:$D$359,Конструкторы!$B189,Продажи!$C$5:$C$359,Конструкторы!$A189)</f>
        <v>0</v>
      </c>
      <c r="O189" s="166">
        <f>SUMIFS(Продажи!L$5:L$359,Продажи!$D$5:$D$359,Конструкторы!$B189,Продажи!$C$5:$C$359,Конструкторы!$A189)</f>
        <v>0</v>
      </c>
      <c r="P189" s="166">
        <f>SUMIFS(Продажи!M$5:M$359,Продажи!$D$5:$D$359,Конструкторы!$B189,Продажи!$C$5:$C$359,Конструкторы!$A189)</f>
        <v>0</v>
      </c>
      <c r="Q189" s="166">
        <f>SUMIFS(Продажи!N$5:N$359,Продажи!$D$5:$D$359,Конструкторы!$B189,Продажи!$C$5:$C$359,Конструкторы!$A189)</f>
        <v>0</v>
      </c>
      <c r="R189" s="166">
        <f>SUMIFS(Продажи!O$5:O$359,Продажи!$D$5:$D$359,Конструкторы!$B189,Продажи!$C$5:$C$359,Конструкторы!$A189)</f>
        <v>0</v>
      </c>
      <c r="S189" s="166">
        <f>SUMIFS(Продажи!P$5:P$359,Продажи!$D$5:$D$359,Конструкторы!$B189,Продажи!$C$5:$C$359,Конструкторы!$A189)</f>
        <v>0</v>
      </c>
      <c r="T189" s="166">
        <f>SUMIFS(Продажи!Q$5:Q$359,Продажи!$D$5:$D$359,Конструкторы!$B189,Продажи!$C$5:$C$359,Конструкторы!$A189)</f>
        <v>0</v>
      </c>
    </row>
    <row r="190" spans="1:20" ht="15.75" hidden="1" x14ac:dyDescent="0.25">
      <c r="A190" s="166" t="s">
        <v>397</v>
      </c>
      <c r="B190" s="167" t="s">
        <v>279</v>
      </c>
      <c r="C190" s="129" t="s">
        <v>25</v>
      </c>
      <c r="D190" s="149"/>
      <c r="E190" s="153" t="s">
        <v>68</v>
      </c>
      <c r="F190" s="156">
        <f>(8.46*103)/100</f>
        <v>8.7138000000000009</v>
      </c>
      <c r="G190" s="156">
        <v>0.25380000000000003</v>
      </c>
      <c r="H190" s="156">
        <f>F190+G190</f>
        <v>8.9676000000000009</v>
      </c>
      <c r="I190" s="166">
        <f>SUMIFS(Продажи!F$5:F$359,Продажи!$D$5:$D$359,Конструкторы!$B190,Продажи!$C$5:$C$359,Конструкторы!$A190)</f>
        <v>0</v>
      </c>
      <c r="J190" s="166">
        <f>SUMIFS(Продажи!G$5:G$359,Продажи!$D$5:$D$359,Конструкторы!$B190,Продажи!$C$5:$C$359,Конструкторы!$A190)</f>
        <v>0</v>
      </c>
      <c r="K190" s="166">
        <f>SUMIFS(Продажи!H$5:H$359,Продажи!$D$5:$D$359,Конструкторы!$B190,Продажи!$C$5:$C$359,Конструкторы!$A190)</f>
        <v>0</v>
      </c>
      <c r="L190" s="166">
        <f>SUMIFS(Продажи!I$5:I$359,Продажи!$D$5:$D$359,Конструкторы!$B190,Продажи!$C$5:$C$359,Конструкторы!$A190)</f>
        <v>0</v>
      </c>
      <c r="M190" s="166">
        <f>SUMIFS(Продажи!J$5:J$359,Продажи!$D$5:$D$359,Конструкторы!$B190,Продажи!$C$5:$C$359,Конструкторы!$A190)</f>
        <v>0</v>
      </c>
      <c r="N190" s="166">
        <f>SUMIFS(Продажи!K$5:K$359,Продажи!$D$5:$D$359,Конструкторы!$B190,Продажи!$C$5:$C$359,Конструкторы!$A190)</f>
        <v>0</v>
      </c>
      <c r="O190" s="166">
        <f>SUMIFS(Продажи!L$5:L$359,Продажи!$D$5:$D$359,Конструкторы!$B190,Продажи!$C$5:$C$359,Конструкторы!$A190)</f>
        <v>0</v>
      </c>
      <c r="P190" s="166">
        <f>SUMIFS(Продажи!M$5:M$359,Продажи!$D$5:$D$359,Конструкторы!$B190,Продажи!$C$5:$C$359,Конструкторы!$A190)</f>
        <v>0</v>
      </c>
      <c r="Q190" s="166">
        <f>SUMIFS(Продажи!N$5:N$359,Продажи!$D$5:$D$359,Конструкторы!$B190,Продажи!$C$5:$C$359,Конструкторы!$A190)</f>
        <v>0</v>
      </c>
      <c r="R190" s="166">
        <f>SUMIFS(Продажи!O$5:O$359,Продажи!$D$5:$D$359,Конструкторы!$B190,Продажи!$C$5:$C$359,Конструкторы!$A190)</f>
        <v>0</v>
      </c>
      <c r="S190" s="166">
        <f>SUMIFS(Продажи!P$5:P$359,Продажи!$D$5:$D$359,Конструкторы!$B190,Продажи!$C$5:$C$359,Конструкторы!$A190)</f>
        <v>0</v>
      </c>
      <c r="T190" s="166">
        <f>SUMIFS(Продажи!Q$5:Q$359,Продажи!$D$5:$D$359,Конструкторы!$B190,Продажи!$C$5:$C$359,Конструкторы!$A190)</f>
        <v>0</v>
      </c>
    </row>
    <row r="191" spans="1:20" ht="15.75" hidden="1" x14ac:dyDescent="0.25">
      <c r="A191" s="166" t="s">
        <v>397</v>
      </c>
      <c r="B191" s="167" t="s">
        <v>279</v>
      </c>
      <c r="C191" s="33" t="s">
        <v>78</v>
      </c>
      <c r="D191" s="149"/>
      <c r="E191" s="153" t="s">
        <v>70</v>
      </c>
      <c r="F191" s="148">
        <v>56</v>
      </c>
      <c r="G191" s="156" t="s">
        <v>71</v>
      </c>
      <c r="H191" s="156">
        <f>F191</f>
        <v>56</v>
      </c>
      <c r="I191" s="166">
        <f>SUMIFS(Продажи!F$5:F$359,Продажи!$D$5:$D$359,Конструкторы!$B191,Продажи!$C$5:$C$359,Конструкторы!$A191)</f>
        <v>0</v>
      </c>
      <c r="J191" s="166">
        <f>SUMIFS(Продажи!G$5:G$359,Продажи!$D$5:$D$359,Конструкторы!$B191,Продажи!$C$5:$C$359,Конструкторы!$A191)</f>
        <v>0</v>
      </c>
      <c r="K191" s="166">
        <f>SUMIFS(Продажи!H$5:H$359,Продажи!$D$5:$D$359,Конструкторы!$B191,Продажи!$C$5:$C$359,Конструкторы!$A191)</f>
        <v>0</v>
      </c>
      <c r="L191" s="166">
        <f>SUMIFS(Продажи!I$5:I$359,Продажи!$D$5:$D$359,Конструкторы!$B191,Продажи!$C$5:$C$359,Конструкторы!$A191)</f>
        <v>0</v>
      </c>
      <c r="M191" s="166">
        <f>SUMIFS(Продажи!J$5:J$359,Продажи!$D$5:$D$359,Конструкторы!$B191,Продажи!$C$5:$C$359,Конструкторы!$A191)</f>
        <v>0</v>
      </c>
      <c r="N191" s="166">
        <f>SUMIFS(Продажи!K$5:K$359,Продажи!$D$5:$D$359,Конструкторы!$B191,Продажи!$C$5:$C$359,Конструкторы!$A191)</f>
        <v>0</v>
      </c>
      <c r="O191" s="166">
        <f>SUMIFS(Продажи!L$5:L$359,Продажи!$D$5:$D$359,Конструкторы!$B191,Продажи!$C$5:$C$359,Конструкторы!$A191)</f>
        <v>0</v>
      </c>
      <c r="P191" s="166">
        <f>SUMIFS(Продажи!M$5:M$359,Продажи!$D$5:$D$359,Конструкторы!$B191,Продажи!$C$5:$C$359,Конструкторы!$A191)</f>
        <v>0</v>
      </c>
      <c r="Q191" s="166">
        <f>SUMIFS(Продажи!N$5:N$359,Продажи!$D$5:$D$359,Конструкторы!$B191,Продажи!$C$5:$C$359,Конструкторы!$A191)</f>
        <v>0</v>
      </c>
      <c r="R191" s="166">
        <f>SUMIFS(Продажи!O$5:O$359,Продажи!$D$5:$D$359,Конструкторы!$B191,Продажи!$C$5:$C$359,Конструкторы!$A191)</f>
        <v>0</v>
      </c>
      <c r="S191" s="166">
        <f>SUMIFS(Продажи!P$5:P$359,Продажи!$D$5:$D$359,Конструкторы!$B191,Продажи!$C$5:$C$359,Конструкторы!$A191)</f>
        <v>0</v>
      </c>
      <c r="T191" s="166">
        <f>SUMIFS(Продажи!Q$5:Q$359,Продажи!$D$5:$D$359,Конструкторы!$B191,Продажи!$C$5:$C$359,Конструкторы!$A191)</f>
        <v>0</v>
      </c>
    </row>
    <row r="192" spans="1:20" ht="15.75" hidden="1" x14ac:dyDescent="0.25">
      <c r="A192" s="166" t="s">
        <v>397</v>
      </c>
      <c r="B192" s="167" t="s">
        <v>146</v>
      </c>
      <c r="C192" s="129" t="s">
        <v>53</v>
      </c>
      <c r="D192" s="130">
        <v>7038</v>
      </c>
      <c r="E192" s="153" t="s">
        <v>68</v>
      </c>
      <c r="F192" s="156">
        <f>(2.336*103)/100</f>
        <v>2.4060799999999998</v>
      </c>
      <c r="G192" s="156">
        <v>7.007999999999992E-2</v>
      </c>
      <c r="H192" s="156">
        <f>F192+G192</f>
        <v>2.4761599999999997</v>
      </c>
      <c r="I192" s="166">
        <f>SUMIFS(Продажи!F$5:F$359,Продажи!$D$5:$D$359,Конструкторы!$B192,Продажи!$C$5:$C$359,Конструкторы!$A192)</f>
        <v>0</v>
      </c>
      <c r="J192" s="166">
        <f>SUMIFS(Продажи!G$5:G$359,Продажи!$D$5:$D$359,Конструкторы!$B192,Продажи!$C$5:$C$359,Конструкторы!$A192)</f>
        <v>0</v>
      </c>
      <c r="K192" s="166">
        <f>SUMIFS(Продажи!H$5:H$359,Продажи!$D$5:$D$359,Конструкторы!$B192,Продажи!$C$5:$C$359,Конструкторы!$A192)</f>
        <v>0</v>
      </c>
      <c r="L192" s="166">
        <f>SUMIFS(Продажи!I$5:I$359,Продажи!$D$5:$D$359,Конструкторы!$B192,Продажи!$C$5:$C$359,Конструкторы!$A192)</f>
        <v>0</v>
      </c>
      <c r="M192" s="166">
        <f>SUMIFS(Продажи!J$5:J$359,Продажи!$D$5:$D$359,Конструкторы!$B192,Продажи!$C$5:$C$359,Конструкторы!$A192)</f>
        <v>0</v>
      </c>
      <c r="N192" s="166">
        <f>SUMIFS(Продажи!K$5:K$359,Продажи!$D$5:$D$359,Конструкторы!$B192,Продажи!$C$5:$C$359,Конструкторы!$A192)</f>
        <v>0</v>
      </c>
      <c r="O192" s="166">
        <f>SUMIFS(Продажи!L$5:L$359,Продажи!$D$5:$D$359,Конструкторы!$B192,Продажи!$C$5:$C$359,Конструкторы!$A192)</f>
        <v>0</v>
      </c>
      <c r="P192" s="166">
        <f>SUMIFS(Продажи!M$5:M$359,Продажи!$D$5:$D$359,Конструкторы!$B192,Продажи!$C$5:$C$359,Конструкторы!$A192)</f>
        <v>0</v>
      </c>
      <c r="Q192" s="166">
        <f>SUMIFS(Продажи!N$5:N$359,Продажи!$D$5:$D$359,Конструкторы!$B192,Продажи!$C$5:$C$359,Конструкторы!$A192)</f>
        <v>0</v>
      </c>
      <c r="R192" s="166">
        <f>SUMIFS(Продажи!O$5:O$359,Продажи!$D$5:$D$359,Конструкторы!$B192,Продажи!$C$5:$C$359,Конструкторы!$A192)</f>
        <v>0</v>
      </c>
      <c r="S192" s="166">
        <f>SUMIFS(Продажи!P$5:P$359,Продажи!$D$5:$D$359,Конструкторы!$B192,Продажи!$C$5:$C$359,Конструкторы!$A192)</f>
        <v>0</v>
      </c>
      <c r="T192" s="166">
        <f>SUMIFS(Продажи!Q$5:Q$359,Продажи!$D$5:$D$359,Конструкторы!$B192,Продажи!$C$5:$C$359,Конструкторы!$A192)</f>
        <v>0</v>
      </c>
    </row>
    <row r="193" spans="1:20" ht="15.75" hidden="1" x14ac:dyDescent="0.25">
      <c r="A193" s="166" t="s">
        <v>397</v>
      </c>
      <c r="B193" s="167" t="s">
        <v>146</v>
      </c>
      <c r="C193" s="129" t="s">
        <v>52</v>
      </c>
      <c r="D193" s="149"/>
      <c r="E193" s="153" t="s">
        <v>68</v>
      </c>
      <c r="F193" s="156">
        <f>(0.902*103)/100</f>
        <v>0.92906000000000011</v>
      </c>
      <c r="G193" s="156">
        <v>2.7060000000000084E-2</v>
      </c>
      <c r="H193" s="156">
        <f>F193+G193</f>
        <v>0.95612000000000019</v>
      </c>
      <c r="I193" s="166">
        <f>SUMIFS(Продажи!F$5:F$359,Продажи!$D$5:$D$359,Конструкторы!$B193,Продажи!$C$5:$C$359,Конструкторы!$A193)</f>
        <v>0</v>
      </c>
      <c r="J193" s="166">
        <f>SUMIFS(Продажи!G$5:G$359,Продажи!$D$5:$D$359,Конструкторы!$B193,Продажи!$C$5:$C$359,Конструкторы!$A193)</f>
        <v>0</v>
      </c>
      <c r="K193" s="166">
        <f>SUMIFS(Продажи!H$5:H$359,Продажи!$D$5:$D$359,Конструкторы!$B193,Продажи!$C$5:$C$359,Конструкторы!$A193)</f>
        <v>0</v>
      </c>
      <c r="L193" s="166">
        <f>SUMIFS(Продажи!I$5:I$359,Продажи!$D$5:$D$359,Конструкторы!$B193,Продажи!$C$5:$C$359,Конструкторы!$A193)</f>
        <v>0</v>
      </c>
      <c r="M193" s="166">
        <f>SUMIFS(Продажи!J$5:J$359,Продажи!$D$5:$D$359,Конструкторы!$B193,Продажи!$C$5:$C$359,Конструкторы!$A193)</f>
        <v>0</v>
      </c>
      <c r="N193" s="166">
        <f>SUMIFS(Продажи!K$5:K$359,Продажи!$D$5:$D$359,Конструкторы!$B193,Продажи!$C$5:$C$359,Конструкторы!$A193)</f>
        <v>0</v>
      </c>
      <c r="O193" s="166">
        <f>SUMIFS(Продажи!L$5:L$359,Продажи!$D$5:$D$359,Конструкторы!$B193,Продажи!$C$5:$C$359,Конструкторы!$A193)</f>
        <v>0</v>
      </c>
      <c r="P193" s="166">
        <f>SUMIFS(Продажи!M$5:M$359,Продажи!$D$5:$D$359,Конструкторы!$B193,Продажи!$C$5:$C$359,Конструкторы!$A193)</f>
        <v>0</v>
      </c>
      <c r="Q193" s="166">
        <f>SUMIFS(Продажи!N$5:N$359,Продажи!$D$5:$D$359,Конструкторы!$B193,Продажи!$C$5:$C$359,Конструкторы!$A193)</f>
        <v>0</v>
      </c>
      <c r="R193" s="166">
        <f>SUMIFS(Продажи!O$5:O$359,Продажи!$D$5:$D$359,Конструкторы!$B193,Продажи!$C$5:$C$359,Конструкторы!$A193)</f>
        <v>0</v>
      </c>
      <c r="S193" s="166">
        <f>SUMIFS(Продажи!P$5:P$359,Продажи!$D$5:$D$359,Конструкторы!$B193,Продажи!$C$5:$C$359,Конструкторы!$A193)</f>
        <v>0</v>
      </c>
      <c r="T193" s="166">
        <f>SUMIFS(Продажи!Q$5:Q$359,Продажи!$D$5:$D$359,Конструкторы!$B193,Продажи!$C$5:$C$359,Конструкторы!$A193)</f>
        <v>0</v>
      </c>
    </row>
    <row r="194" spans="1:20" ht="15.75" hidden="1" x14ac:dyDescent="0.25">
      <c r="A194" s="166" t="s">
        <v>397</v>
      </c>
      <c r="B194" s="167" t="s">
        <v>146</v>
      </c>
      <c r="C194" s="33" t="s">
        <v>73</v>
      </c>
      <c r="D194" s="149"/>
      <c r="E194" s="153" t="s">
        <v>70</v>
      </c>
      <c r="F194" s="148">
        <v>8</v>
      </c>
      <c r="G194" s="156" t="s">
        <v>71</v>
      </c>
      <c r="H194" s="156">
        <f>F194</f>
        <v>8</v>
      </c>
      <c r="I194" s="166">
        <f>SUMIFS(Продажи!F$5:F$359,Продажи!$D$5:$D$359,Конструкторы!$B194,Продажи!$C$5:$C$359,Конструкторы!$A194)</f>
        <v>0</v>
      </c>
      <c r="J194" s="166">
        <f>SUMIFS(Продажи!G$5:G$359,Продажи!$D$5:$D$359,Конструкторы!$B194,Продажи!$C$5:$C$359,Конструкторы!$A194)</f>
        <v>0</v>
      </c>
      <c r="K194" s="166">
        <f>SUMIFS(Продажи!H$5:H$359,Продажи!$D$5:$D$359,Конструкторы!$B194,Продажи!$C$5:$C$359,Конструкторы!$A194)</f>
        <v>0</v>
      </c>
      <c r="L194" s="166">
        <f>SUMIFS(Продажи!I$5:I$359,Продажи!$D$5:$D$359,Конструкторы!$B194,Продажи!$C$5:$C$359,Конструкторы!$A194)</f>
        <v>0</v>
      </c>
      <c r="M194" s="166">
        <f>SUMIFS(Продажи!J$5:J$359,Продажи!$D$5:$D$359,Конструкторы!$B194,Продажи!$C$5:$C$359,Конструкторы!$A194)</f>
        <v>0</v>
      </c>
      <c r="N194" s="166">
        <f>SUMIFS(Продажи!K$5:K$359,Продажи!$D$5:$D$359,Конструкторы!$B194,Продажи!$C$5:$C$359,Конструкторы!$A194)</f>
        <v>0</v>
      </c>
      <c r="O194" s="166">
        <f>SUMIFS(Продажи!L$5:L$359,Продажи!$D$5:$D$359,Конструкторы!$B194,Продажи!$C$5:$C$359,Конструкторы!$A194)</f>
        <v>0</v>
      </c>
      <c r="P194" s="166">
        <f>SUMIFS(Продажи!M$5:M$359,Продажи!$D$5:$D$359,Конструкторы!$B194,Продажи!$C$5:$C$359,Конструкторы!$A194)</f>
        <v>0</v>
      </c>
      <c r="Q194" s="166">
        <f>SUMIFS(Продажи!N$5:N$359,Продажи!$D$5:$D$359,Конструкторы!$B194,Продажи!$C$5:$C$359,Конструкторы!$A194)</f>
        <v>0</v>
      </c>
      <c r="R194" s="166">
        <f>SUMIFS(Продажи!O$5:O$359,Продажи!$D$5:$D$359,Конструкторы!$B194,Продажи!$C$5:$C$359,Конструкторы!$A194)</f>
        <v>0</v>
      </c>
      <c r="S194" s="166">
        <f>SUMIFS(Продажи!P$5:P$359,Продажи!$D$5:$D$359,Конструкторы!$B194,Продажи!$C$5:$C$359,Конструкторы!$A194)</f>
        <v>0</v>
      </c>
      <c r="T194" s="166">
        <f>SUMIFS(Продажи!Q$5:Q$359,Продажи!$D$5:$D$359,Конструкторы!$B194,Продажи!$C$5:$C$359,Конструкторы!$A194)</f>
        <v>0</v>
      </c>
    </row>
    <row r="195" spans="1:20" ht="15.75" hidden="1" x14ac:dyDescent="0.25">
      <c r="A195" s="166" t="s">
        <v>397</v>
      </c>
      <c r="B195" s="167" t="s">
        <v>146</v>
      </c>
      <c r="C195" s="33" t="s">
        <v>74</v>
      </c>
      <c r="D195" s="149"/>
      <c r="E195" s="153" t="s">
        <v>70</v>
      </c>
      <c r="F195" s="148">
        <v>1</v>
      </c>
      <c r="G195" s="156" t="s">
        <v>71</v>
      </c>
      <c r="H195" s="156">
        <f>F195</f>
        <v>1</v>
      </c>
      <c r="I195" s="166">
        <f>SUMIFS(Продажи!F$5:F$359,Продажи!$D$5:$D$359,Конструкторы!$B195,Продажи!$C$5:$C$359,Конструкторы!$A195)</f>
        <v>0</v>
      </c>
      <c r="J195" s="166">
        <f>SUMIFS(Продажи!G$5:G$359,Продажи!$D$5:$D$359,Конструкторы!$B195,Продажи!$C$5:$C$359,Конструкторы!$A195)</f>
        <v>0</v>
      </c>
      <c r="K195" s="166">
        <f>SUMIFS(Продажи!H$5:H$359,Продажи!$D$5:$D$359,Конструкторы!$B195,Продажи!$C$5:$C$359,Конструкторы!$A195)</f>
        <v>0</v>
      </c>
      <c r="L195" s="166">
        <f>SUMIFS(Продажи!I$5:I$359,Продажи!$D$5:$D$359,Конструкторы!$B195,Продажи!$C$5:$C$359,Конструкторы!$A195)</f>
        <v>0</v>
      </c>
      <c r="M195" s="166">
        <f>SUMIFS(Продажи!J$5:J$359,Продажи!$D$5:$D$359,Конструкторы!$B195,Продажи!$C$5:$C$359,Конструкторы!$A195)</f>
        <v>0</v>
      </c>
      <c r="N195" s="166">
        <f>SUMIFS(Продажи!K$5:K$359,Продажи!$D$5:$D$359,Конструкторы!$B195,Продажи!$C$5:$C$359,Конструкторы!$A195)</f>
        <v>0</v>
      </c>
      <c r="O195" s="166">
        <f>SUMIFS(Продажи!L$5:L$359,Продажи!$D$5:$D$359,Конструкторы!$B195,Продажи!$C$5:$C$359,Конструкторы!$A195)</f>
        <v>0</v>
      </c>
      <c r="P195" s="166">
        <f>SUMIFS(Продажи!M$5:M$359,Продажи!$D$5:$D$359,Конструкторы!$B195,Продажи!$C$5:$C$359,Конструкторы!$A195)</f>
        <v>0</v>
      </c>
      <c r="Q195" s="166">
        <f>SUMIFS(Продажи!N$5:N$359,Продажи!$D$5:$D$359,Конструкторы!$B195,Продажи!$C$5:$C$359,Конструкторы!$A195)</f>
        <v>0</v>
      </c>
      <c r="R195" s="166">
        <f>SUMIFS(Продажи!O$5:O$359,Продажи!$D$5:$D$359,Конструкторы!$B195,Продажи!$C$5:$C$359,Конструкторы!$A195)</f>
        <v>0</v>
      </c>
      <c r="S195" s="166">
        <f>SUMIFS(Продажи!P$5:P$359,Продажи!$D$5:$D$359,Конструкторы!$B195,Продажи!$C$5:$C$359,Конструкторы!$A195)</f>
        <v>0</v>
      </c>
      <c r="T195" s="166">
        <f>SUMIFS(Продажи!Q$5:Q$359,Продажи!$D$5:$D$359,Конструкторы!$B195,Продажи!$C$5:$C$359,Конструкторы!$A195)</f>
        <v>0</v>
      </c>
    </row>
    <row r="196" spans="1:20" ht="15.75" hidden="1" x14ac:dyDescent="0.25">
      <c r="A196" s="166" t="s">
        <v>397</v>
      </c>
      <c r="B196" s="167" t="s">
        <v>146</v>
      </c>
      <c r="C196" s="33" t="s">
        <v>75</v>
      </c>
      <c r="D196" s="149"/>
      <c r="E196" s="153" t="s">
        <v>70</v>
      </c>
      <c r="F196" s="148">
        <f>32</f>
        <v>32</v>
      </c>
      <c r="G196" s="156" t="s">
        <v>71</v>
      </c>
      <c r="H196" s="156">
        <f>F196</f>
        <v>32</v>
      </c>
      <c r="I196" s="166">
        <f>SUMIFS(Продажи!F$5:F$359,Продажи!$D$5:$D$359,Конструкторы!$B196,Продажи!$C$5:$C$359,Конструкторы!$A196)</f>
        <v>0</v>
      </c>
      <c r="J196" s="166">
        <f>SUMIFS(Продажи!G$5:G$359,Продажи!$D$5:$D$359,Конструкторы!$B196,Продажи!$C$5:$C$359,Конструкторы!$A196)</f>
        <v>0</v>
      </c>
      <c r="K196" s="166">
        <f>SUMIFS(Продажи!H$5:H$359,Продажи!$D$5:$D$359,Конструкторы!$B196,Продажи!$C$5:$C$359,Конструкторы!$A196)</f>
        <v>0</v>
      </c>
      <c r="L196" s="166">
        <f>SUMIFS(Продажи!I$5:I$359,Продажи!$D$5:$D$359,Конструкторы!$B196,Продажи!$C$5:$C$359,Конструкторы!$A196)</f>
        <v>0</v>
      </c>
      <c r="M196" s="166">
        <f>SUMIFS(Продажи!J$5:J$359,Продажи!$D$5:$D$359,Конструкторы!$B196,Продажи!$C$5:$C$359,Конструкторы!$A196)</f>
        <v>0</v>
      </c>
      <c r="N196" s="166">
        <f>SUMIFS(Продажи!K$5:K$359,Продажи!$D$5:$D$359,Конструкторы!$B196,Продажи!$C$5:$C$359,Конструкторы!$A196)</f>
        <v>0</v>
      </c>
      <c r="O196" s="166">
        <f>SUMIFS(Продажи!L$5:L$359,Продажи!$D$5:$D$359,Конструкторы!$B196,Продажи!$C$5:$C$359,Конструкторы!$A196)</f>
        <v>0</v>
      </c>
      <c r="P196" s="166">
        <f>SUMIFS(Продажи!M$5:M$359,Продажи!$D$5:$D$359,Конструкторы!$B196,Продажи!$C$5:$C$359,Конструкторы!$A196)</f>
        <v>0</v>
      </c>
      <c r="Q196" s="166">
        <f>SUMIFS(Продажи!N$5:N$359,Продажи!$D$5:$D$359,Конструкторы!$B196,Продажи!$C$5:$C$359,Конструкторы!$A196)</f>
        <v>0</v>
      </c>
      <c r="R196" s="166">
        <f>SUMIFS(Продажи!O$5:O$359,Продажи!$D$5:$D$359,Конструкторы!$B196,Продажи!$C$5:$C$359,Конструкторы!$A196)</f>
        <v>0</v>
      </c>
      <c r="S196" s="166">
        <f>SUMIFS(Продажи!P$5:P$359,Продажи!$D$5:$D$359,Конструкторы!$B196,Продажи!$C$5:$C$359,Конструкторы!$A196)</f>
        <v>0</v>
      </c>
      <c r="T196" s="166">
        <f>SUMIFS(Продажи!Q$5:Q$359,Продажи!$D$5:$D$359,Конструкторы!$B196,Продажи!$C$5:$C$359,Конструкторы!$A196)</f>
        <v>0</v>
      </c>
    </row>
    <row r="197" spans="1:20" ht="15.75" hidden="1" x14ac:dyDescent="0.25">
      <c r="A197" s="166" t="s">
        <v>397</v>
      </c>
      <c r="B197" s="167" t="s">
        <v>146</v>
      </c>
      <c r="C197" s="33" t="s">
        <v>69</v>
      </c>
      <c r="D197" s="149"/>
      <c r="E197" s="153" t="s">
        <v>70</v>
      </c>
      <c r="F197" s="148">
        <f>15</f>
        <v>15</v>
      </c>
      <c r="G197" s="156" t="s">
        <v>71</v>
      </c>
      <c r="H197" s="156">
        <f>F197</f>
        <v>15</v>
      </c>
      <c r="I197" s="166">
        <f>SUMIFS(Продажи!F$5:F$359,Продажи!$D$5:$D$359,Конструкторы!$B197,Продажи!$C$5:$C$359,Конструкторы!$A197)</f>
        <v>0</v>
      </c>
      <c r="J197" s="166">
        <f>SUMIFS(Продажи!G$5:G$359,Продажи!$D$5:$D$359,Конструкторы!$B197,Продажи!$C$5:$C$359,Конструкторы!$A197)</f>
        <v>0</v>
      </c>
      <c r="K197" s="166">
        <f>SUMIFS(Продажи!H$5:H$359,Продажи!$D$5:$D$359,Конструкторы!$B197,Продажи!$C$5:$C$359,Конструкторы!$A197)</f>
        <v>0</v>
      </c>
      <c r="L197" s="166">
        <f>SUMIFS(Продажи!I$5:I$359,Продажи!$D$5:$D$359,Конструкторы!$B197,Продажи!$C$5:$C$359,Конструкторы!$A197)</f>
        <v>0</v>
      </c>
      <c r="M197" s="166">
        <f>SUMIFS(Продажи!J$5:J$359,Продажи!$D$5:$D$359,Конструкторы!$B197,Продажи!$C$5:$C$359,Конструкторы!$A197)</f>
        <v>0</v>
      </c>
      <c r="N197" s="166">
        <f>SUMIFS(Продажи!K$5:K$359,Продажи!$D$5:$D$359,Конструкторы!$B197,Продажи!$C$5:$C$359,Конструкторы!$A197)</f>
        <v>0</v>
      </c>
      <c r="O197" s="166">
        <f>SUMIFS(Продажи!L$5:L$359,Продажи!$D$5:$D$359,Конструкторы!$B197,Продажи!$C$5:$C$359,Конструкторы!$A197)</f>
        <v>0</v>
      </c>
      <c r="P197" s="166">
        <f>SUMIFS(Продажи!M$5:M$359,Продажи!$D$5:$D$359,Конструкторы!$B197,Продажи!$C$5:$C$359,Конструкторы!$A197)</f>
        <v>0</v>
      </c>
      <c r="Q197" s="166">
        <f>SUMIFS(Продажи!N$5:N$359,Продажи!$D$5:$D$359,Конструкторы!$B197,Продажи!$C$5:$C$359,Конструкторы!$A197)</f>
        <v>0</v>
      </c>
      <c r="R197" s="166">
        <f>SUMIFS(Продажи!O$5:O$359,Продажи!$D$5:$D$359,Конструкторы!$B197,Продажи!$C$5:$C$359,Конструкторы!$A197)</f>
        <v>0</v>
      </c>
      <c r="S197" s="166">
        <f>SUMIFS(Продажи!P$5:P$359,Продажи!$D$5:$D$359,Конструкторы!$B197,Продажи!$C$5:$C$359,Конструкторы!$A197)</f>
        <v>0</v>
      </c>
      <c r="T197" s="166">
        <f>SUMIFS(Продажи!Q$5:Q$359,Продажи!$D$5:$D$359,Конструкторы!$B197,Продажи!$C$5:$C$359,Конструкторы!$A197)</f>
        <v>0</v>
      </c>
    </row>
    <row r="198" spans="1:20" ht="15.75" hidden="1" x14ac:dyDescent="0.25">
      <c r="A198" s="166" t="s">
        <v>397</v>
      </c>
      <c r="B198" s="167" t="s">
        <v>147</v>
      </c>
      <c r="C198" s="129" t="s">
        <v>53</v>
      </c>
      <c r="D198" s="130">
        <v>7038</v>
      </c>
      <c r="E198" s="153" t="s">
        <v>68</v>
      </c>
      <c r="F198" s="156">
        <f>(2.336*103)/100</f>
        <v>2.4060799999999998</v>
      </c>
      <c r="G198" s="156">
        <v>7.007999999999992E-2</v>
      </c>
      <c r="H198" s="156">
        <f>F198+G198</f>
        <v>2.4761599999999997</v>
      </c>
      <c r="I198" s="166">
        <f>SUMIFS(Продажи!F$5:F$359,Продажи!$D$5:$D$359,Конструкторы!$B198,Продажи!$C$5:$C$359,Конструкторы!$A198)</f>
        <v>0</v>
      </c>
      <c r="J198" s="166">
        <f>SUMIFS(Продажи!G$5:G$359,Продажи!$D$5:$D$359,Конструкторы!$B198,Продажи!$C$5:$C$359,Конструкторы!$A198)</f>
        <v>0</v>
      </c>
      <c r="K198" s="166">
        <f>SUMIFS(Продажи!H$5:H$359,Продажи!$D$5:$D$359,Конструкторы!$B198,Продажи!$C$5:$C$359,Конструкторы!$A198)</f>
        <v>0</v>
      </c>
      <c r="L198" s="166">
        <f>SUMIFS(Продажи!I$5:I$359,Продажи!$D$5:$D$359,Конструкторы!$B198,Продажи!$C$5:$C$359,Конструкторы!$A198)</f>
        <v>0</v>
      </c>
      <c r="M198" s="166">
        <f>SUMIFS(Продажи!J$5:J$359,Продажи!$D$5:$D$359,Конструкторы!$B198,Продажи!$C$5:$C$359,Конструкторы!$A198)</f>
        <v>0</v>
      </c>
      <c r="N198" s="166">
        <f>SUMIFS(Продажи!K$5:K$359,Продажи!$D$5:$D$359,Конструкторы!$B198,Продажи!$C$5:$C$359,Конструкторы!$A198)</f>
        <v>0</v>
      </c>
      <c r="O198" s="166">
        <f>SUMIFS(Продажи!L$5:L$359,Продажи!$D$5:$D$359,Конструкторы!$B198,Продажи!$C$5:$C$359,Конструкторы!$A198)</f>
        <v>0</v>
      </c>
      <c r="P198" s="166">
        <f>SUMIFS(Продажи!M$5:M$359,Продажи!$D$5:$D$359,Конструкторы!$B198,Продажи!$C$5:$C$359,Конструкторы!$A198)</f>
        <v>0</v>
      </c>
      <c r="Q198" s="166">
        <f>SUMIFS(Продажи!N$5:N$359,Продажи!$D$5:$D$359,Конструкторы!$B198,Продажи!$C$5:$C$359,Конструкторы!$A198)</f>
        <v>0</v>
      </c>
      <c r="R198" s="166">
        <f>SUMIFS(Продажи!O$5:O$359,Продажи!$D$5:$D$359,Конструкторы!$B198,Продажи!$C$5:$C$359,Конструкторы!$A198)</f>
        <v>0</v>
      </c>
      <c r="S198" s="166">
        <f>SUMIFS(Продажи!P$5:P$359,Продажи!$D$5:$D$359,Конструкторы!$B198,Продажи!$C$5:$C$359,Конструкторы!$A198)</f>
        <v>0</v>
      </c>
      <c r="T198" s="166">
        <f>SUMIFS(Продажи!Q$5:Q$359,Продажи!$D$5:$D$359,Конструкторы!$B198,Продажи!$C$5:$C$359,Конструкторы!$A198)</f>
        <v>0</v>
      </c>
    </row>
    <row r="199" spans="1:20" ht="15.75" hidden="1" x14ac:dyDescent="0.25">
      <c r="A199" s="166" t="s">
        <v>397</v>
      </c>
      <c r="B199" s="167" t="s">
        <v>147</v>
      </c>
      <c r="C199" s="129" t="s">
        <v>52</v>
      </c>
      <c r="D199" s="149"/>
      <c r="E199" s="153" t="s">
        <v>68</v>
      </c>
      <c r="F199" s="156">
        <f>(0.838*103)/100</f>
        <v>0.86313999999999991</v>
      </c>
      <c r="G199" s="156">
        <v>2.513999999999994E-2</v>
      </c>
      <c r="H199" s="156">
        <f>F199+G199</f>
        <v>0.88827999999999985</v>
      </c>
      <c r="I199" s="166">
        <f>SUMIFS(Продажи!F$5:F$359,Продажи!$D$5:$D$359,Конструкторы!$B199,Продажи!$C$5:$C$359,Конструкторы!$A199)</f>
        <v>0</v>
      </c>
      <c r="J199" s="166">
        <f>SUMIFS(Продажи!G$5:G$359,Продажи!$D$5:$D$359,Конструкторы!$B199,Продажи!$C$5:$C$359,Конструкторы!$A199)</f>
        <v>0</v>
      </c>
      <c r="K199" s="166">
        <f>SUMIFS(Продажи!H$5:H$359,Продажи!$D$5:$D$359,Конструкторы!$B199,Продажи!$C$5:$C$359,Конструкторы!$A199)</f>
        <v>0</v>
      </c>
      <c r="L199" s="166">
        <f>SUMIFS(Продажи!I$5:I$359,Продажи!$D$5:$D$359,Конструкторы!$B199,Продажи!$C$5:$C$359,Конструкторы!$A199)</f>
        <v>0</v>
      </c>
      <c r="M199" s="166">
        <f>SUMIFS(Продажи!J$5:J$359,Продажи!$D$5:$D$359,Конструкторы!$B199,Продажи!$C$5:$C$359,Конструкторы!$A199)</f>
        <v>0</v>
      </c>
      <c r="N199" s="166">
        <f>SUMIFS(Продажи!K$5:K$359,Продажи!$D$5:$D$359,Конструкторы!$B199,Продажи!$C$5:$C$359,Конструкторы!$A199)</f>
        <v>0</v>
      </c>
      <c r="O199" s="166">
        <f>SUMIFS(Продажи!L$5:L$359,Продажи!$D$5:$D$359,Конструкторы!$B199,Продажи!$C$5:$C$359,Конструкторы!$A199)</f>
        <v>0</v>
      </c>
      <c r="P199" s="166">
        <f>SUMIFS(Продажи!M$5:M$359,Продажи!$D$5:$D$359,Конструкторы!$B199,Продажи!$C$5:$C$359,Конструкторы!$A199)</f>
        <v>0</v>
      </c>
      <c r="Q199" s="166">
        <f>SUMIFS(Продажи!N$5:N$359,Продажи!$D$5:$D$359,Конструкторы!$B199,Продажи!$C$5:$C$359,Конструкторы!$A199)</f>
        <v>0</v>
      </c>
      <c r="R199" s="166">
        <f>SUMIFS(Продажи!O$5:O$359,Продажи!$D$5:$D$359,Конструкторы!$B199,Продажи!$C$5:$C$359,Конструкторы!$A199)</f>
        <v>0</v>
      </c>
      <c r="S199" s="166">
        <f>SUMIFS(Продажи!P$5:P$359,Продажи!$D$5:$D$359,Конструкторы!$B199,Продажи!$C$5:$C$359,Конструкторы!$A199)</f>
        <v>0</v>
      </c>
      <c r="T199" s="166">
        <f>SUMIFS(Продажи!Q$5:Q$359,Продажи!$D$5:$D$359,Конструкторы!$B199,Продажи!$C$5:$C$359,Конструкторы!$A199)</f>
        <v>0</v>
      </c>
    </row>
    <row r="200" spans="1:20" ht="15.75" hidden="1" x14ac:dyDescent="0.25">
      <c r="A200" s="166" t="s">
        <v>397</v>
      </c>
      <c r="B200" s="167" t="s">
        <v>147</v>
      </c>
      <c r="C200" s="33" t="s">
        <v>73</v>
      </c>
      <c r="D200" s="149"/>
      <c r="E200" s="153" t="s">
        <v>70</v>
      </c>
      <c r="F200" s="148">
        <v>8</v>
      </c>
      <c r="G200" s="156" t="s">
        <v>71</v>
      </c>
      <c r="H200" s="156">
        <f>F200</f>
        <v>8</v>
      </c>
      <c r="I200" s="166">
        <f>SUMIFS(Продажи!F$5:F$359,Продажи!$D$5:$D$359,Конструкторы!$B200,Продажи!$C$5:$C$359,Конструкторы!$A200)</f>
        <v>0</v>
      </c>
      <c r="J200" s="166">
        <f>SUMIFS(Продажи!G$5:G$359,Продажи!$D$5:$D$359,Конструкторы!$B200,Продажи!$C$5:$C$359,Конструкторы!$A200)</f>
        <v>0</v>
      </c>
      <c r="K200" s="166">
        <f>SUMIFS(Продажи!H$5:H$359,Продажи!$D$5:$D$359,Конструкторы!$B200,Продажи!$C$5:$C$359,Конструкторы!$A200)</f>
        <v>0</v>
      </c>
      <c r="L200" s="166">
        <f>SUMIFS(Продажи!I$5:I$359,Продажи!$D$5:$D$359,Конструкторы!$B200,Продажи!$C$5:$C$359,Конструкторы!$A200)</f>
        <v>0</v>
      </c>
      <c r="M200" s="166">
        <f>SUMIFS(Продажи!J$5:J$359,Продажи!$D$5:$D$359,Конструкторы!$B200,Продажи!$C$5:$C$359,Конструкторы!$A200)</f>
        <v>0</v>
      </c>
      <c r="N200" s="166">
        <f>SUMIFS(Продажи!K$5:K$359,Продажи!$D$5:$D$359,Конструкторы!$B200,Продажи!$C$5:$C$359,Конструкторы!$A200)</f>
        <v>0</v>
      </c>
      <c r="O200" s="166">
        <f>SUMIFS(Продажи!L$5:L$359,Продажи!$D$5:$D$359,Конструкторы!$B200,Продажи!$C$5:$C$359,Конструкторы!$A200)</f>
        <v>0</v>
      </c>
      <c r="P200" s="166">
        <f>SUMIFS(Продажи!M$5:M$359,Продажи!$D$5:$D$359,Конструкторы!$B200,Продажи!$C$5:$C$359,Конструкторы!$A200)</f>
        <v>0</v>
      </c>
      <c r="Q200" s="166">
        <f>SUMIFS(Продажи!N$5:N$359,Продажи!$D$5:$D$359,Конструкторы!$B200,Продажи!$C$5:$C$359,Конструкторы!$A200)</f>
        <v>0</v>
      </c>
      <c r="R200" s="166">
        <f>SUMIFS(Продажи!O$5:O$359,Продажи!$D$5:$D$359,Конструкторы!$B200,Продажи!$C$5:$C$359,Конструкторы!$A200)</f>
        <v>0</v>
      </c>
      <c r="S200" s="166">
        <f>SUMIFS(Продажи!P$5:P$359,Продажи!$D$5:$D$359,Конструкторы!$B200,Продажи!$C$5:$C$359,Конструкторы!$A200)</f>
        <v>0</v>
      </c>
      <c r="T200" s="166">
        <f>SUMIFS(Продажи!Q$5:Q$359,Продажи!$D$5:$D$359,Конструкторы!$B200,Продажи!$C$5:$C$359,Конструкторы!$A200)</f>
        <v>0</v>
      </c>
    </row>
    <row r="201" spans="1:20" ht="15.75" hidden="1" x14ac:dyDescent="0.25">
      <c r="A201" s="166" t="s">
        <v>397</v>
      </c>
      <c r="B201" s="167" t="s">
        <v>147</v>
      </c>
      <c r="C201" s="33" t="s">
        <v>74</v>
      </c>
      <c r="D201" s="149"/>
      <c r="E201" s="153" t="s">
        <v>70</v>
      </c>
      <c r="F201" s="148">
        <v>1</v>
      </c>
      <c r="G201" s="156" t="s">
        <v>71</v>
      </c>
      <c r="H201" s="156">
        <f>F201</f>
        <v>1</v>
      </c>
      <c r="I201" s="166">
        <f>SUMIFS(Продажи!F$5:F$359,Продажи!$D$5:$D$359,Конструкторы!$B201,Продажи!$C$5:$C$359,Конструкторы!$A201)</f>
        <v>0</v>
      </c>
      <c r="J201" s="166">
        <f>SUMIFS(Продажи!G$5:G$359,Продажи!$D$5:$D$359,Конструкторы!$B201,Продажи!$C$5:$C$359,Конструкторы!$A201)</f>
        <v>0</v>
      </c>
      <c r="K201" s="166">
        <f>SUMIFS(Продажи!H$5:H$359,Продажи!$D$5:$D$359,Конструкторы!$B201,Продажи!$C$5:$C$359,Конструкторы!$A201)</f>
        <v>0</v>
      </c>
      <c r="L201" s="166">
        <f>SUMIFS(Продажи!I$5:I$359,Продажи!$D$5:$D$359,Конструкторы!$B201,Продажи!$C$5:$C$359,Конструкторы!$A201)</f>
        <v>0</v>
      </c>
      <c r="M201" s="166">
        <f>SUMIFS(Продажи!J$5:J$359,Продажи!$D$5:$D$359,Конструкторы!$B201,Продажи!$C$5:$C$359,Конструкторы!$A201)</f>
        <v>0</v>
      </c>
      <c r="N201" s="166">
        <f>SUMIFS(Продажи!K$5:K$359,Продажи!$D$5:$D$359,Конструкторы!$B201,Продажи!$C$5:$C$359,Конструкторы!$A201)</f>
        <v>0</v>
      </c>
      <c r="O201" s="166">
        <f>SUMIFS(Продажи!L$5:L$359,Продажи!$D$5:$D$359,Конструкторы!$B201,Продажи!$C$5:$C$359,Конструкторы!$A201)</f>
        <v>0</v>
      </c>
      <c r="P201" s="166">
        <f>SUMIFS(Продажи!M$5:M$359,Продажи!$D$5:$D$359,Конструкторы!$B201,Продажи!$C$5:$C$359,Конструкторы!$A201)</f>
        <v>0</v>
      </c>
      <c r="Q201" s="166">
        <f>SUMIFS(Продажи!N$5:N$359,Продажи!$D$5:$D$359,Конструкторы!$B201,Продажи!$C$5:$C$359,Конструкторы!$A201)</f>
        <v>0</v>
      </c>
      <c r="R201" s="166">
        <f>SUMIFS(Продажи!O$5:O$359,Продажи!$D$5:$D$359,Конструкторы!$B201,Продажи!$C$5:$C$359,Конструкторы!$A201)</f>
        <v>0</v>
      </c>
      <c r="S201" s="166">
        <f>SUMIFS(Продажи!P$5:P$359,Продажи!$D$5:$D$359,Конструкторы!$B201,Продажи!$C$5:$C$359,Конструкторы!$A201)</f>
        <v>0</v>
      </c>
      <c r="T201" s="166">
        <f>SUMIFS(Продажи!Q$5:Q$359,Продажи!$D$5:$D$359,Конструкторы!$B201,Продажи!$C$5:$C$359,Конструкторы!$A201)</f>
        <v>0</v>
      </c>
    </row>
    <row r="202" spans="1:20" ht="15.75" hidden="1" x14ac:dyDescent="0.25">
      <c r="A202" s="166" t="s">
        <v>397</v>
      </c>
      <c r="B202" s="167" t="s">
        <v>147</v>
      </c>
      <c r="C202" s="33" t="s">
        <v>75</v>
      </c>
      <c r="D202" s="149"/>
      <c r="E202" s="153" t="s">
        <v>70</v>
      </c>
      <c r="F202" s="148">
        <f>32</f>
        <v>32</v>
      </c>
      <c r="G202" s="156" t="s">
        <v>71</v>
      </c>
      <c r="H202" s="156">
        <f>F202</f>
        <v>32</v>
      </c>
      <c r="I202" s="166">
        <f>SUMIFS(Продажи!F$5:F$359,Продажи!$D$5:$D$359,Конструкторы!$B202,Продажи!$C$5:$C$359,Конструкторы!$A202)</f>
        <v>0</v>
      </c>
      <c r="J202" s="166">
        <f>SUMIFS(Продажи!G$5:G$359,Продажи!$D$5:$D$359,Конструкторы!$B202,Продажи!$C$5:$C$359,Конструкторы!$A202)</f>
        <v>0</v>
      </c>
      <c r="K202" s="166">
        <f>SUMIFS(Продажи!H$5:H$359,Продажи!$D$5:$D$359,Конструкторы!$B202,Продажи!$C$5:$C$359,Конструкторы!$A202)</f>
        <v>0</v>
      </c>
      <c r="L202" s="166">
        <f>SUMIFS(Продажи!I$5:I$359,Продажи!$D$5:$D$359,Конструкторы!$B202,Продажи!$C$5:$C$359,Конструкторы!$A202)</f>
        <v>0</v>
      </c>
      <c r="M202" s="166">
        <f>SUMIFS(Продажи!J$5:J$359,Продажи!$D$5:$D$359,Конструкторы!$B202,Продажи!$C$5:$C$359,Конструкторы!$A202)</f>
        <v>0</v>
      </c>
      <c r="N202" s="166">
        <f>SUMIFS(Продажи!K$5:K$359,Продажи!$D$5:$D$359,Конструкторы!$B202,Продажи!$C$5:$C$359,Конструкторы!$A202)</f>
        <v>0</v>
      </c>
      <c r="O202" s="166">
        <f>SUMIFS(Продажи!L$5:L$359,Продажи!$D$5:$D$359,Конструкторы!$B202,Продажи!$C$5:$C$359,Конструкторы!$A202)</f>
        <v>0</v>
      </c>
      <c r="P202" s="166">
        <f>SUMIFS(Продажи!M$5:M$359,Продажи!$D$5:$D$359,Конструкторы!$B202,Продажи!$C$5:$C$359,Конструкторы!$A202)</f>
        <v>0</v>
      </c>
      <c r="Q202" s="166">
        <f>SUMIFS(Продажи!N$5:N$359,Продажи!$D$5:$D$359,Конструкторы!$B202,Продажи!$C$5:$C$359,Конструкторы!$A202)</f>
        <v>0</v>
      </c>
      <c r="R202" s="166">
        <f>SUMIFS(Продажи!O$5:O$359,Продажи!$D$5:$D$359,Конструкторы!$B202,Продажи!$C$5:$C$359,Конструкторы!$A202)</f>
        <v>0</v>
      </c>
      <c r="S202" s="166">
        <f>SUMIFS(Продажи!P$5:P$359,Продажи!$D$5:$D$359,Конструкторы!$B202,Продажи!$C$5:$C$359,Конструкторы!$A202)</f>
        <v>0</v>
      </c>
      <c r="T202" s="166">
        <f>SUMIFS(Продажи!Q$5:Q$359,Продажи!$D$5:$D$359,Конструкторы!$B202,Продажи!$C$5:$C$359,Конструкторы!$A202)</f>
        <v>0</v>
      </c>
    </row>
    <row r="203" spans="1:20" ht="15.75" hidden="1" x14ac:dyDescent="0.25">
      <c r="A203" s="166" t="s">
        <v>397</v>
      </c>
      <c r="B203" s="167" t="s">
        <v>147</v>
      </c>
      <c r="C203" s="33" t="s">
        <v>69</v>
      </c>
      <c r="D203" s="149"/>
      <c r="E203" s="153" t="s">
        <v>70</v>
      </c>
      <c r="F203" s="148">
        <f>15</f>
        <v>15</v>
      </c>
      <c r="G203" s="156" t="s">
        <v>71</v>
      </c>
      <c r="H203" s="156">
        <f>F203</f>
        <v>15</v>
      </c>
      <c r="I203" s="166">
        <f>SUMIFS(Продажи!F$5:F$359,Продажи!$D$5:$D$359,Конструкторы!$B203,Продажи!$C$5:$C$359,Конструкторы!$A203)</f>
        <v>0</v>
      </c>
      <c r="J203" s="166">
        <f>SUMIFS(Продажи!G$5:G$359,Продажи!$D$5:$D$359,Конструкторы!$B203,Продажи!$C$5:$C$359,Конструкторы!$A203)</f>
        <v>0</v>
      </c>
      <c r="K203" s="166">
        <f>SUMIFS(Продажи!H$5:H$359,Продажи!$D$5:$D$359,Конструкторы!$B203,Продажи!$C$5:$C$359,Конструкторы!$A203)</f>
        <v>0</v>
      </c>
      <c r="L203" s="166">
        <f>SUMIFS(Продажи!I$5:I$359,Продажи!$D$5:$D$359,Конструкторы!$B203,Продажи!$C$5:$C$359,Конструкторы!$A203)</f>
        <v>0</v>
      </c>
      <c r="M203" s="166">
        <f>SUMIFS(Продажи!J$5:J$359,Продажи!$D$5:$D$359,Конструкторы!$B203,Продажи!$C$5:$C$359,Конструкторы!$A203)</f>
        <v>0</v>
      </c>
      <c r="N203" s="166">
        <f>SUMIFS(Продажи!K$5:K$359,Продажи!$D$5:$D$359,Конструкторы!$B203,Продажи!$C$5:$C$359,Конструкторы!$A203)</f>
        <v>0</v>
      </c>
      <c r="O203" s="166">
        <f>SUMIFS(Продажи!L$5:L$359,Продажи!$D$5:$D$359,Конструкторы!$B203,Продажи!$C$5:$C$359,Конструкторы!$A203)</f>
        <v>0</v>
      </c>
      <c r="P203" s="166">
        <f>SUMIFS(Продажи!M$5:M$359,Продажи!$D$5:$D$359,Конструкторы!$B203,Продажи!$C$5:$C$359,Конструкторы!$A203)</f>
        <v>0</v>
      </c>
      <c r="Q203" s="166">
        <f>SUMIFS(Продажи!N$5:N$359,Продажи!$D$5:$D$359,Конструкторы!$B203,Продажи!$C$5:$C$359,Конструкторы!$A203)</f>
        <v>0</v>
      </c>
      <c r="R203" s="166">
        <f>SUMIFS(Продажи!O$5:O$359,Продажи!$D$5:$D$359,Конструкторы!$B203,Продажи!$C$5:$C$359,Конструкторы!$A203)</f>
        <v>0</v>
      </c>
      <c r="S203" s="166">
        <f>SUMIFS(Продажи!P$5:P$359,Продажи!$D$5:$D$359,Конструкторы!$B203,Продажи!$C$5:$C$359,Конструкторы!$A203)</f>
        <v>0</v>
      </c>
      <c r="T203" s="166">
        <f>SUMIFS(Продажи!Q$5:Q$359,Продажи!$D$5:$D$359,Конструкторы!$B203,Продажи!$C$5:$C$359,Конструкторы!$A203)</f>
        <v>0</v>
      </c>
    </row>
    <row r="204" spans="1:20" ht="15.75" hidden="1" x14ac:dyDescent="0.25">
      <c r="A204" s="166" t="s">
        <v>397</v>
      </c>
      <c r="B204" s="167" t="s">
        <v>148</v>
      </c>
      <c r="C204" s="129" t="s">
        <v>53</v>
      </c>
      <c r="D204" s="130">
        <v>7038</v>
      </c>
      <c r="E204" s="153" t="s">
        <v>68</v>
      </c>
      <c r="F204" s="156">
        <f>(2.336*103)/100</f>
        <v>2.4060799999999998</v>
      </c>
      <c r="G204" s="156">
        <v>7.007999999999992E-2</v>
      </c>
      <c r="H204" s="156">
        <f>F204+G204</f>
        <v>2.4761599999999997</v>
      </c>
      <c r="I204" s="166">
        <f>SUMIFS(Продажи!F$5:F$359,Продажи!$D$5:$D$359,Конструкторы!$B204,Продажи!$C$5:$C$359,Конструкторы!$A204)</f>
        <v>0</v>
      </c>
      <c r="J204" s="166">
        <f>SUMIFS(Продажи!G$5:G$359,Продажи!$D$5:$D$359,Конструкторы!$B204,Продажи!$C$5:$C$359,Конструкторы!$A204)</f>
        <v>0</v>
      </c>
      <c r="K204" s="166">
        <f>SUMIFS(Продажи!H$5:H$359,Продажи!$D$5:$D$359,Конструкторы!$B204,Продажи!$C$5:$C$359,Конструкторы!$A204)</f>
        <v>0</v>
      </c>
      <c r="L204" s="166">
        <f>SUMIFS(Продажи!I$5:I$359,Продажи!$D$5:$D$359,Конструкторы!$B204,Продажи!$C$5:$C$359,Конструкторы!$A204)</f>
        <v>0</v>
      </c>
      <c r="M204" s="166">
        <f>SUMIFS(Продажи!J$5:J$359,Продажи!$D$5:$D$359,Конструкторы!$B204,Продажи!$C$5:$C$359,Конструкторы!$A204)</f>
        <v>0</v>
      </c>
      <c r="N204" s="166">
        <f>SUMIFS(Продажи!K$5:K$359,Продажи!$D$5:$D$359,Конструкторы!$B204,Продажи!$C$5:$C$359,Конструкторы!$A204)</f>
        <v>0</v>
      </c>
      <c r="O204" s="166">
        <f>SUMIFS(Продажи!L$5:L$359,Продажи!$D$5:$D$359,Конструкторы!$B204,Продажи!$C$5:$C$359,Конструкторы!$A204)</f>
        <v>0</v>
      </c>
      <c r="P204" s="166">
        <f>SUMIFS(Продажи!M$5:M$359,Продажи!$D$5:$D$359,Конструкторы!$B204,Продажи!$C$5:$C$359,Конструкторы!$A204)</f>
        <v>0</v>
      </c>
      <c r="Q204" s="166">
        <f>SUMIFS(Продажи!N$5:N$359,Продажи!$D$5:$D$359,Конструкторы!$B204,Продажи!$C$5:$C$359,Конструкторы!$A204)</f>
        <v>0</v>
      </c>
      <c r="R204" s="166">
        <f>SUMIFS(Продажи!O$5:O$359,Продажи!$D$5:$D$359,Конструкторы!$B204,Продажи!$C$5:$C$359,Конструкторы!$A204)</f>
        <v>0</v>
      </c>
      <c r="S204" s="166">
        <f>SUMIFS(Продажи!P$5:P$359,Продажи!$D$5:$D$359,Конструкторы!$B204,Продажи!$C$5:$C$359,Конструкторы!$A204)</f>
        <v>0</v>
      </c>
      <c r="T204" s="166">
        <f>SUMIFS(Продажи!Q$5:Q$359,Продажи!$D$5:$D$359,Конструкторы!$B204,Продажи!$C$5:$C$359,Конструкторы!$A204)</f>
        <v>0</v>
      </c>
    </row>
    <row r="205" spans="1:20" ht="15.75" hidden="1" x14ac:dyDescent="0.25">
      <c r="A205" s="166" t="s">
        <v>397</v>
      </c>
      <c r="B205" s="167" t="s">
        <v>148</v>
      </c>
      <c r="C205" s="129" t="s">
        <v>52</v>
      </c>
      <c r="D205" s="149"/>
      <c r="E205" s="153" t="s">
        <v>68</v>
      </c>
      <c r="F205" s="156">
        <f>(1.586*103)/100</f>
        <v>1.63358</v>
      </c>
      <c r="G205" s="156">
        <v>4.7579999999999956E-2</v>
      </c>
      <c r="H205" s="156">
        <f>F205+G205</f>
        <v>1.68116</v>
      </c>
      <c r="I205" s="166">
        <f>SUMIFS(Продажи!F$5:F$359,Продажи!$D$5:$D$359,Конструкторы!$B205,Продажи!$C$5:$C$359,Конструкторы!$A205)</f>
        <v>0</v>
      </c>
      <c r="J205" s="166">
        <f>SUMIFS(Продажи!G$5:G$359,Продажи!$D$5:$D$359,Конструкторы!$B205,Продажи!$C$5:$C$359,Конструкторы!$A205)</f>
        <v>0</v>
      </c>
      <c r="K205" s="166">
        <f>SUMIFS(Продажи!H$5:H$359,Продажи!$D$5:$D$359,Конструкторы!$B205,Продажи!$C$5:$C$359,Конструкторы!$A205)</f>
        <v>0</v>
      </c>
      <c r="L205" s="166">
        <f>SUMIFS(Продажи!I$5:I$359,Продажи!$D$5:$D$359,Конструкторы!$B205,Продажи!$C$5:$C$359,Конструкторы!$A205)</f>
        <v>0</v>
      </c>
      <c r="M205" s="166">
        <f>SUMIFS(Продажи!J$5:J$359,Продажи!$D$5:$D$359,Конструкторы!$B205,Продажи!$C$5:$C$359,Конструкторы!$A205)</f>
        <v>0</v>
      </c>
      <c r="N205" s="166">
        <f>SUMIFS(Продажи!K$5:K$359,Продажи!$D$5:$D$359,Конструкторы!$B205,Продажи!$C$5:$C$359,Конструкторы!$A205)</f>
        <v>0</v>
      </c>
      <c r="O205" s="166">
        <f>SUMIFS(Продажи!L$5:L$359,Продажи!$D$5:$D$359,Конструкторы!$B205,Продажи!$C$5:$C$359,Конструкторы!$A205)</f>
        <v>0</v>
      </c>
      <c r="P205" s="166">
        <f>SUMIFS(Продажи!M$5:M$359,Продажи!$D$5:$D$359,Конструкторы!$B205,Продажи!$C$5:$C$359,Конструкторы!$A205)</f>
        <v>0</v>
      </c>
      <c r="Q205" s="166">
        <f>SUMIFS(Продажи!N$5:N$359,Продажи!$D$5:$D$359,Конструкторы!$B205,Продажи!$C$5:$C$359,Конструкторы!$A205)</f>
        <v>0</v>
      </c>
      <c r="R205" s="166">
        <f>SUMIFS(Продажи!O$5:O$359,Продажи!$D$5:$D$359,Конструкторы!$B205,Продажи!$C$5:$C$359,Конструкторы!$A205)</f>
        <v>0</v>
      </c>
      <c r="S205" s="166">
        <f>SUMIFS(Продажи!P$5:P$359,Продажи!$D$5:$D$359,Конструкторы!$B205,Продажи!$C$5:$C$359,Конструкторы!$A205)</f>
        <v>0</v>
      </c>
      <c r="T205" s="166">
        <f>SUMIFS(Продажи!Q$5:Q$359,Продажи!$D$5:$D$359,Конструкторы!$B205,Продажи!$C$5:$C$359,Конструкторы!$A205)</f>
        <v>0</v>
      </c>
    </row>
    <row r="206" spans="1:20" ht="15.75" hidden="1" x14ac:dyDescent="0.25">
      <c r="A206" s="166" t="s">
        <v>397</v>
      </c>
      <c r="B206" s="167" t="s">
        <v>148</v>
      </c>
      <c r="C206" s="33" t="s">
        <v>73</v>
      </c>
      <c r="D206" s="149"/>
      <c r="E206" s="153" t="s">
        <v>70</v>
      </c>
      <c r="F206" s="148">
        <v>8</v>
      </c>
      <c r="G206" s="156" t="s">
        <v>71</v>
      </c>
      <c r="H206" s="156">
        <f>F206</f>
        <v>8</v>
      </c>
      <c r="I206" s="166">
        <f>SUMIFS(Продажи!F$5:F$359,Продажи!$D$5:$D$359,Конструкторы!$B206,Продажи!$C$5:$C$359,Конструкторы!$A206)</f>
        <v>0</v>
      </c>
      <c r="J206" s="166">
        <f>SUMIFS(Продажи!G$5:G$359,Продажи!$D$5:$D$359,Конструкторы!$B206,Продажи!$C$5:$C$359,Конструкторы!$A206)</f>
        <v>0</v>
      </c>
      <c r="K206" s="166">
        <f>SUMIFS(Продажи!H$5:H$359,Продажи!$D$5:$D$359,Конструкторы!$B206,Продажи!$C$5:$C$359,Конструкторы!$A206)</f>
        <v>0</v>
      </c>
      <c r="L206" s="166">
        <f>SUMIFS(Продажи!I$5:I$359,Продажи!$D$5:$D$359,Конструкторы!$B206,Продажи!$C$5:$C$359,Конструкторы!$A206)</f>
        <v>0</v>
      </c>
      <c r="M206" s="166">
        <f>SUMIFS(Продажи!J$5:J$359,Продажи!$D$5:$D$359,Конструкторы!$B206,Продажи!$C$5:$C$359,Конструкторы!$A206)</f>
        <v>0</v>
      </c>
      <c r="N206" s="166">
        <f>SUMIFS(Продажи!K$5:K$359,Продажи!$D$5:$D$359,Конструкторы!$B206,Продажи!$C$5:$C$359,Конструкторы!$A206)</f>
        <v>0</v>
      </c>
      <c r="O206" s="166">
        <f>SUMIFS(Продажи!L$5:L$359,Продажи!$D$5:$D$359,Конструкторы!$B206,Продажи!$C$5:$C$359,Конструкторы!$A206)</f>
        <v>0</v>
      </c>
      <c r="P206" s="166">
        <f>SUMIFS(Продажи!M$5:M$359,Продажи!$D$5:$D$359,Конструкторы!$B206,Продажи!$C$5:$C$359,Конструкторы!$A206)</f>
        <v>0</v>
      </c>
      <c r="Q206" s="166">
        <f>SUMIFS(Продажи!N$5:N$359,Продажи!$D$5:$D$359,Конструкторы!$B206,Продажи!$C$5:$C$359,Конструкторы!$A206)</f>
        <v>0</v>
      </c>
      <c r="R206" s="166">
        <f>SUMIFS(Продажи!O$5:O$359,Продажи!$D$5:$D$359,Конструкторы!$B206,Продажи!$C$5:$C$359,Конструкторы!$A206)</f>
        <v>0</v>
      </c>
      <c r="S206" s="166">
        <f>SUMIFS(Продажи!P$5:P$359,Продажи!$D$5:$D$359,Конструкторы!$B206,Продажи!$C$5:$C$359,Конструкторы!$A206)</f>
        <v>0</v>
      </c>
      <c r="T206" s="166">
        <f>SUMIFS(Продажи!Q$5:Q$359,Продажи!$D$5:$D$359,Конструкторы!$B206,Продажи!$C$5:$C$359,Конструкторы!$A206)</f>
        <v>0</v>
      </c>
    </row>
    <row r="207" spans="1:20" ht="15.75" hidden="1" x14ac:dyDescent="0.25">
      <c r="A207" s="166" t="s">
        <v>397</v>
      </c>
      <c r="B207" s="167" t="s">
        <v>148</v>
      </c>
      <c r="C207" s="33" t="s">
        <v>74</v>
      </c>
      <c r="D207" s="149"/>
      <c r="E207" s="153" t="s">
        <v>70</v>
      </c>
      <c r="F207" s="148">
        <v>1</v>
      </c>
      <c r="G207" s="156" t="s">
        <v>71</v>
      </c>
      <c r="H207" s="156">
        <f>F207</f>
        <v>1</v>
      </c>
      <c r="I207" s="166">
        <f>SUMIFS(Продажи!F$5:F$359,Продажи!$D$5:$D$359,Конструкторы!$B207,Продажи!$C$5:$C$359,Конструкторы!$A207)</f>
        <v>0</v>
      </c>
      <c r="J207" s="166">
        <f>SUMIFS(Продажи!G$5:G$359,Продажи!$D$5:$D$359,Конструкторы!$B207,Продажи!$C$5:$C$359,Конструкторы!$A207)</f>
        <v>0</v>
      </c>
      <c r="K207" s="166">
        <f>SUMIFS(Продажи!H$5:H$359,Продажи!$D$5:$D$359,Конструкторы!$B207,Продажи!$C$5:$C$359,Конструкторы!$A207)</f>
        <v>0</v>
      </c>
      <c r="L207" s="166">
        <f>SUMIFS(Продажи!I$5:I$359,Продажи!$D$5:$D$359,Конструкторы!$B207,Продажи!$C$5:$C$359,Конструкторы!$A207)</f>
        <v>0</v>
      </c>
      <c r="M207" s="166">
        <f>SUMIFS(Продажи!J$5:J$359,Продажи!$D$5:$D$359,Конструкторы!$B207,Продажи!$C$5:$C$359,Конструкторы!$A207)</f>
        <v>0</v>
      </c>
      <c r="N207" s="166">
        <f>SUMIFS(Продажи!K$5:K$359,Продажи!$D$5:$D$359,Конструкторы!$B207,Продажи!$C$5:$C$359,Конструкторы!$A207)</f>
        <v>0</v>
      </c>
      <c r="O207" s="166">
        <f>SUMIFS(Продажи!L$5:L$359,Продажи!$D$5:$D$359,Конструкторы!$B207,Продажи!$C$5:$C$359,Конструкторы!$A207)</f>
        <v>0</v>
      </c>
      <c r="P207" s="166">
        <f>SUMIFS(Продажи!M$5:M$359,Продажи!$D$5:$D$359,Конструкторы!$B207,Продажи!$C$5:$C$359,Конструкторы!$A207)</f>
        <v>0</v>
      </c>
      <c r="Q207" s="166">
        <f>SUMIFS(Продажи!N$5:N$359,Продажи!$D$5:$D$359,Конструкторы!$B207,Продажи!$C$5:$C$359,Конструкторы!$A207)</f>
        <v>0</v>
      </c>
      <c r="R207" s="166">
        <f>SUMIFS(Продажи!O$5:O$359,Продажи!$D$5:$D$359,Конструкторы!$B207,Продажи!$C$5:$C$359,Конструкторы!$A207)</f>
        <v>0</v>
      </c>
      <c r="S207" s="166">
        <f>SUMIFS(Продажи!P$5:P$359,Продажи!$D$5:$D$359,Конструкторы!$B207,Продажи!$C$5:$C$359,Конструкторы!$A207)</f>
        <v>0</v>
      </c>
      <c r="T207" s="166">
        <f>SUMIFS(Продажи!Q$5:Q$359,Продажи!$D$5:$D$359,Конструкторы!$B207,Продажи!$C$5:$C$359,Конструкторы!$A207)</f>
        <v>0</v>
      </c>
    </row>
    <row r="208" spans="1:20" ht="15.75" hidden="1" x14ac:dyDescent="0.25">
      <c r="A208" s="166" t="s">
        <v>397</v>
      </c>
      <c r="B208" s="167" t="s">
        <v>148</v>
      </c>
      <c r="C208" s="33" t="s">
        <v>75</v>
      </c>
      <c r="D208" s="149"/>
      <c r="E208" s="153" t="s">
        <v>70</v>
      </c>
      <c r="F208" s="148">
        <f>32</f>
        <v>32</v>
      </c>
      <c r="G208" s="156" t="s">
        <v>71</v>
      </c>
      <c r="H208" s="156">
        <f>F208</f>
        <v>32</v>
      </c>
      <c r="I208" s="166">
        <f>SUMIFS(Продажи!F$5:F$359,Продажи!$D$5:$D$359,Конструкторы!$B208,Продажи!$C$5:$C$359,Конструкторы!$A208)</f>
        <v>0</v>
      </c>
      <c r="J208" s="166">
        <f>SUMIFS(Продажи!G$5:G$359,Продажи!$D$5:$D$359,Конструкторы!$B208,Продажи!$C$5:$C$359,Конструкторы!$A208)</f>
        <v>0</v>
      </c>
      <c r="K208" s="166">
        <f>SUMIFS(Продажи!H$5:H$359,Продажи!$D$5:$D$359,Конструкторы!$B208,Продажи!$C$5:$C$359,Конструкторы!$A208)</f>
        <v>0</v>
      </c>
      <c r="L208" s="166">
        <f>SUMIFS(Продажи!I$5:I$359,Продажи!$D$5:$D$359,Конструкторы!$B208,Продажи!$C$5:$C$359,Конструкторы!$A208)</f>
        <v>0</v>
      </c>
      <c r="M208" s="166">
        <f>SUMIFS(Продажи!J$5:J$359,Продажи!$D$5:$D$359,Конструкторы!$B208,Продажи!$C$5:$C$359,Конструкторы!$A208)</f>
        <v>0</v>
      </c>
      <c r="N208" s="166">
        <f>SUMIFS(Продажи!K$5:K$359,Продажи!$D$5:$D$359,Конструкторы!$B208,Продажи!$C$5:$C$359,Конструкторы!$A208)</f>
        <v>0</v>
      </c>
      <c r="O208" s="166">
        <f>SUMIFS(Продажи!L$5:L$359,Продажи!$D$5:$D$359,Конструкторы!$B208,Продажи!$C$5:$C$359,Конструкторы!$A208)</f>
        <v>0</v>
      </c>
      <c r="P208" s="166">
        <f>SUMIFS(Продажи!M$5:M$359,Продажи!$D$5:$D$359,Конструкторы!$B208,Продажи!$C$5:$C$359,Конструкторы!$A208)</f>
        <v>0</v>
      </c>
      <c r="Q208" s="166">
        <f>SUMIFS(Продажи!N$5:N$359,Продажи!$D$5:$D$359,Конструкторы!$B208,Продажи!$C$5:$C$359,Конструкторы!$A208)</f>
        <v>0</v>
      </c>
      <c r="R208" s="166">
        <f>SUMIFS(Продажи!O$5:O$359,Продажи!$D$5:$D$359,Конструкторы!$B208,Продажи!$C$5:$C$359,Конструкторы!$A208)</f>
        <v>0</v>
      </c>
      <c r="S208" s="166">
        <f>SUMIFS(Продажи!P$5:P$359,Продажи!$D$5:$D$359,Конструкторы!$B208,Продажи!$C$5:$C$359,Конструкторы!$A208)</f>
        <v>0</v>
      </c>
      <c r="T208" s="166">
        <f>SUMIFS(Продажи!Q$5:Q$359,Продажи!$D$5:$D$359,Конструкторы!$B208,Продажи!$C$5:$C$359,Конструкторы!$A208)</f>
        <v>0</v>
      </c>
    </row>
    <row r="209" spans="1:20" ht="15.75" hidden="1" x14ac:dyDescent="0.25">
      <c r="A209" s="166" t="s">
        <v>397</v>
      </c>
      <c r="B209" s="167" t="s">
        <v>148</v>
      </c>
      <c r="C209" s="33" t="s">
        <v>69</v>
      </c>
      <c r="D209" s="149"/>
      <c r="E209" s="153" t="s">
        <v>70</v>
      </c>
      <c r="F209" s="148">
        <f>15</f>
        <v>15</v>
      </c>
      <c r="G209" s="156" t="s">
        <v>71</v>
      </c>
      <c r="H209" s="156">
        <f>F209</f>
        <v>15</v>
      </c>
      <c r="I209" s="166">
        <f>SUMIFS(Продажи!F$5:F$359,Продажи!$D$5:$D$359,Конструкторы!$B209,Продажи!$C$5:$C$359,Конструкторы!$A209)</f>
        <v>0</v>
      </c>
      <c r="J209" s="166">
        <f>SUMIFS(Продажи!G$5:G$359,Продажи!$D$5:$D$359,Конструкторы!$B209,Продажи!$C$5:$C$359,Конструкторы!$A209)</f>
        <v>0</v>
      </c>
      <c r="K209" s="166">
        <f>SUMIFS(Продажи!H$5:H$359,Продажи!$D$5:$D$359,Конструкторы!$B209,Продажи!$C$5:$C$359,Конструкторы!$A209)</f>
        <v>0</v>
      </c>
      <c r="L209" s="166">
        <f>SUMIFS(Продажи!I$5:I$359,Продажи!$D$5:$D$359,Конструкторы!$B209,Продажи!$C$5:$C$359,Конструкторы!$A209)</f>
        <v>0</v>
      </c>
      <c r="M209" s="166">
        <f>SUMIFS(Продажи!J$5:J$359,Продажи!$D$5:$D$359,Конструкторы!$B209,Продажи!$C$5:$C$359,Конструкторы!$A209)</f>
        <v>0</v>
      </c>
      <c r="N209" s="166">
        <f>SUMIFS(Продажи!K$5:K$359,Продажи!$D$5:$D$359,Конструкторы!$B209,Продажи!$C$5:$C$359,Конструкторы!$A209)</f>
        <v>0</v>
      </c>
      <c r="O209" s="166">
        <f>SUMIFS(Продажи!L$5:L$359,Продажи!$D$5:$D$359,Конструкторы!$B209,Продажи!$C$5:$C$359,Конструкторы!$A209)</f>
        <v>0</v>
      </c>
      <c r="P209" s="166">
        <f>SUMIFS(Продажи!M$5:M$359,Продажи!$D$5:$D$359,Конструкторы!$B209,Продажи!$C$5:$C$359,Конструкторы!$A209)</f>
        <v>0</v>
      </c>
      <c r="Q209" s="166">
        <f>SUMIFS(Продажи!N$5:N$359,Продажи!$D$5:$D$359,Конструкторы!$B209,Продажи!$C$5:$C$359,Конструкторы!$A209)</f>
        <v>0</v>
      </c>
      <c r="R209" s="166">
        <f>SUMIFS(Продажи!O$5:O$359,Продажи!$D$5:$D$359,Конструкторы!$B209,Продажи!$C$5:$C$359,Конструкторы!$A209)</f>
        <v>0</v>
      </c>
      <c r="S209" s="166">
        <f>SUMIFS(Продажи!P$5:P$359,Продажи!$D$5:$D$359,Конструкторы!$B209,Продажи!$C$5:$C$359,Конструкторы!$A209)</f>
        <v>0</v>
      </c>
      <c r="T209" s="166">
        <f>SUMIFS(Продажи!Q$5:Q$359,Продажи!$D$5:$D$359,Конструкторы!$B209,Продажи!$C$5:$C$359,Конструкторы!$A209)</f>
        <v>0</v>
      </c>
    </row>
    <row r="210" spans="1:20" ht="15.75" hidden="1" x14ac:dyDescent="0.25">
      <c r="A210" s="166" t="s">
        <v>397</v>
      </c>
      <c r="B210" s="167" t="s">
        <v>149</v>
      </c>
      <c r="C210" s="129" t="s">
        <v>53</v>
      </c>
      <c r="D210" s="130">
        <v>7038</v>
      </c>
      <c r="E210" s="153" t="s">
        <v>68</v>
      </c>
      <c r="F210" s="156">
        <f>(2.336*103)/100</f>
        <v>2.4060799999999998</v>
      </c>
      <c r="G210" s="156">
        <v>7.007999999999992E-2</v>
      </c>
      <c r="H210" s="156">
        <f>F210+G210</f>
        <v>2.4761599999999997</v>
      </c>
      <c r="I210" s="166">
        <f>SUMIFS(Продажи!F$5:F$359,Продажи!$D$5:$D$359,Конструкторы!$B210,Продажи!$C$5:$C$359,Конструкторы!$A210)</f>
        <v>0</v>
      </c>
      <c r="J210" s="166">
        <f>SUMIFS(Продажи!G$5:G$359,Продажи!$D$5:$D$359,Конструкторы!$B210,Продажи!$C$5:$C$359,Конструкторы!$A210)</f>
        <v>0</v>
      </c>
      <c r="K210" s="166">
        <f>SUMIFS(Продажи!H$5:H$359,Продажи!$D$5:$D$359,Конструкторы!$B210,Продажи!$C$5:$C$359,Конструкторы!$A210)</f>
        <v>0</v>
      </c>
      <c r="L210" s="166">
        <f>SUMIFS(Продажи!I$5:I$359,Продажи!$D$5:$D$359,Конструкторы!$B210,Продажи!$C$5:$C$359,Конструкторы!$A210)</f>
        <v>0</v>
      </c>
      <c r="M210" s="166">
        <f>SUMIFS(Продажи!J$5:J$359,Продажи!$D$5:$D$359,Конструкторы!$B210,Продажи!$C$5:$C$359,Конструкторы!$A210)</f>
        <v>0</v>
      </c>
      <c r="N210" s="166">
        <f>SUMIFS(Продажи!K$5:K$359,Продажи!$D$5:$D$359,Конструкторы!$B210,Продажи!$C$5:$C$359,Конструкторы!$A210)</f>
        <v>0</v>
      </c>
      <c r="O210" s="166">
        <f>SUMIFS(Продажи!L$5:L$359,Продажи!$D$5:$D$359,Конструкторы!$B210,Продажи!$C$5:$C$359,Конструкторы!$A210)</f>
        <v>0</v>
      </c>
      <c r="P210" s="166">
        <f>SUMIFS(Продажи!M$5:M$359,Продажи!$D$5:$D$359,Конструкторы!$B210,Продажи!$C$5:$C$359,Конструкторы!$A210)</f>
        <v>0</v>
      </c>
      <c r="Q210" s="166">
        <f>SUMIFS(Продажи!N$5:N$359,Продажи!$D$5:$D$359,Конструкторы!$B210,Продажи!$C$5:$C$359,Конструкторы!$A210)</f>
        <v>0</v>
      </c>
      <c r="R210" s="166">
        <f>SUMIFS(Продажи!O$5:O$359,Продажи!$D$5:$D$359,Конструкторы!$B210,Продажи!$C$5:$C$359,Конструкторы!$A210)</f>
        <v>0</v>
      </c>
      <c r="S210" s="166">
        <f>SUMIFS(Продажи!P$5:P$359,Продажи!$D$5:$D$359,Конструкторы!$B210,Продажи!$C$5:$C$359,Конструкторы!$A210)</f>
        <v>0</v>
      </c>
      <c r="T210" s="166">
        <f>SUMIFS(Продажи!Q$5:Q$359,Продажи!$D$5:$D$359,Конструкторы!$B210,Продажи!$C$5:$C$359,Конструкторы!$A210)</f>
        <v>0</v>
      </c>
    </row>
    <row r="211" spans="1:20" ht="15.75" hidden="1" x14ac:dyDescent="0.25">
      <c r="A211" s="166" t="s">
        <v>397</v>
      </c>
      <c r="B211" s="167" t="s">
        <v>149</v>
      </c>
      <c r="C211" s="129" t="s">
        <v>52</v>
      </c>
      <c r="D211" s="149"/>
      <c r="E211" s="153" t="s">
        <v>68</v>
      </c>
      <c r="F211" s="156">
        <f>(1.016*103)/100</f>
        <v>1.0464799999999999</v>
      </c>
      <c r="G211" s="156">
        <v>3.0479999999999841E-2</v>
      </c>
      <c r="H211" s="156">
        <f>F211+G211</f>
        <v>1.0769599999999997</v>
      </c>
      <c r="I211" s="166">
        <f>SUMIFS(Продажи!F$5:F$359,Продажи!$D$5:$D$359,Конструкторы!$B211,Продажи!$C$5:$C$359,Конструкторы!$A211)</f>
        <v>0</v>
      </c>
      <c r="J211" s="166">
        <f>SUMIFS(Продажи!G$5:G$359,Продажи!$D$5:$D$359,Конструкторы!$B211,Продажи!$C$5:$C$359,Конструкторы!$A211)</f>
        <v>0</v>
      </c>
      <c r="K211" s="166">
        <f>SUMIFS(Продажи!H$5:H$359,Продажи!$D$5:$D$359,Конструкторы!$B211,Продажи!$C$5:$C$359,Конструкторы!$A211)</f>
        <v>0</v>
      </c>
      <c r="L211" s="166">
        <f>SUMIFS(Продажи!I$5:I$359,Продажи!$D$5:$D$359,Конструкторы!$B211,Продажи!$C$5:$C$359,Конструкторы!$A211)</f>
        <v>0</v>
      </c>
      <c r="M211" s="166">
        <f>SUMIFS(Продажи!J$5:J$359,Продажи!$D$5:$D$359,Конструкторы!$B211,Продажи!$C$5:$C$359,Конструкторы!$A211)</f>
        <v>0</v>
      </c>
      <c r="N211" s="166">
        <f>SUMIFS(Продажи!K$5:K$359,Продажи!$D$5:$D$359,Конструкторы!$B211,Продажи!$C$5:$C$359,Конструкторы!$A211)</f>
        <v>0</v>
      </c>
      <c r="O211" s="166">
        <f>SUMIFS(Продажи!L$5:L$359,Продажи!$D$5:$D$359,Конструкторы!$B211,Продажи!$C$5:$C$359,Конструкторы!$A211)</f>
        <v>0</v>
      </c>
      <c r="P211" s="166">
        <f>SUMIFS(Продажи!M$5:M$359,Продажи!$D$5:$D$359,Конструкторы!$B211,Продажи!$C$5:$C$359,Конструкторы!$A211)</f>
        <v>0</v>
      </c>
      <c r="Q211" s="166">
        <f>SUMIFS(Продажи!N$5:N$359,Продажи!$D$5:$D$359,Конструкторы!$B211,Продажи!$C$5:$C$359,Конструкторы!$A211)</f>
        <v>0</v>
      </c>
      <c r="R211" s="166">
        <f>SUMIFS(Продажи!O$5:O$359,Продажи!$D$5:$D$359,Конструкторы!$B211,Продажи!$C$5:$C$359,Конструкторы!$A211)</f>
        <v>0</v>
      </c>
      <c r="S211" s="166">
        <f>SUMIFS(Продажи!P$5:P$359,Продажи!$D$5:$D$359,Конструкторы!$B211,Продажи!$C$5:$C$359,Конструкторы!$A211)</f>
        <v>0</v>
      </c>
      <c r="T211" s="166">
        <f>SUMIFS(Продажи!Q$5:Q$359,Продажи!$D$5:$D$359,Конструкторы!$B211,Продажи!$C$5:$C$359,Конструкторы!$A211)</f>
        <v>0</v>
      </c>
    </row>
    <row r="212" spans="1:20" ht="15.75" hidden="1" x14ac:dyDescent="0.25">
      <c r="A212" s="166" t="s">
        <v>397</v>
      </c>
      <c r="B212" s="167" t="s">
        <v>149</v>
      </c>
      <c r="C212" s="33" t="s">
        <v>73</v>
      </c>
      <c r="D212" s="149"/>
      <c r="E212" s="153" t="s">
        <v>70</v>
      </c>
      <c r="F212" s="148">
        <v>8</v>
      </c>
      <c r="G212" s="156" t="s">
        <v>71</v>
      </c>
      <c r="H212" s="156">
        <f>F212</f>
        <v>8</v>
      </c>
      <c r="I212" s="166">
        <f>SUMIFS(Продажи!F$5:F$359,Продажи!$D$5:$D$359,Конструкторы!$B212,Продажи!$C$5:$C$359,Конструкторы!$A212)</f>
        <v>0</v>
      </c>
      <c r="J212" s="166">
        <f>SUMIFS(Продажи!G$5:G$359,Продажи!$D$5:$D$359,Конструкторы!$B212,Продажи!$C$5:$C$359,Конструкторы!$A212)</f>
        <v>0</v>
      </c>
      <c r="K212" s="166">
        <f>SUMIFS(Продажи!H$5:H$359,Продажи!$D$5:$D$359,Конструкторы!$B212,Продажи!$C$5:$C$359,Конструкторы!$A212)</f>
        <v>0</v>
      </c>
      <c r="L212" s="166">
        <f>SUMIFS(Продажи!I$5:I$359,Продажи!$D$5:$D$359,Конструкторы!$B212,Продажи!$C$5:$C$359,Конструкторы!$A212)</f>
        <v>0</v>
      </c>
      <c r="M212" s="166">
        <f>SUMIFS(Продажи!J$5:J$359,Продажи!$D$5:$D$359,Конструкторы!$B212,Продажи!$C$5:$C$359,Конструкторы!$A212)</f>
        <v>0</v>
      </c>
      <c r="N212" s="166">
        <f>SUMIFS(Продажи!K$5:K$359,Продажи!$D$5:$D$359,Конструкторы!$B212,Продажи!$C$5:$C$359,Конструкторы!$A212)</f>
        <v>0</v>
      </c>
      <c r="O212" s="166">
        <f>SUMIFS(Продажи!L$5:L$359,Продажи!$D$5:$D$359,Конструкторы!$B212,Продажи!$C$5:$C$359,Конструкторы!$A212)</f>
        <v>0</v>
      </c>
      <c r="P212" s="166">
        <f>SUMIFS(Продажи!M$5:M$359,Продажи!$D$5:$D$359,Конструкторы!$B212,Продажи!$C$5:$C$359,Конструкторы!$A212)</f>
        <v>0</v>
      </c>
      <c r="Q212" s="166">
        <f>SUMIFS(Продажи!N$5:N$359,Продажи!$D$5:$D$359,Конструкторы!$B212,Продажи!$C$5:$C$359,Конструкторы!$A212)</f>
        <v>0</v>
      </c>
      <c r="R212" s="166">
        <f>SUMIFS(Продажи!O$5:O$359,Продажи!$D$5:$D$359,Конструкторы!$B212,Продажи!$C$5:$C$359,Конструкторы!$A212)</f>
        <v>0</v>
      </c>
      <c r="S212" s="166">
        <f>SUMIFS(Продажи!P$5:P$359,Продажи!$D$5:$D$359,Конструкторы!$B212,Продажи!$C$5:$C$359,Конструкторы!$A212)</f>
        <v>0</v>
      </c>
      <c r="T212" s="166">
        <f>SUMIFS(Продажи!Q$5:Q$359,Продажи!$D$5:$D$359,Конструкторы!$B212,Продажи!$C$5:$C$359,Конструкторы!$A212)</f>
        <v>0</v>
      </c>
    </row>
    <row r="213" spans="1:20" ht="15.75" hidden="1" x14ac:dyDescent="0.25">
      <c r="A213" s="166" t="s">
        <v>397</v>
      </c>
      <c r="B213" s="167" t="s">
        <v>149</v>
      </c>
      <c r="C213" s="33" t="s">
        <v>74</v>
      </c>
      <c r="D213" s="149"/>
      <c r="E213" s="153" t="s">
        <v>70</v>
      </c>
      <c r="F213" s="148">
        <v>1</v>
      </c>
      <c r="G213" s="156" t="s">
        <v>71</v>
      </c>
      <c r="H213" s="156">
        <f>F213</f>
        <v>1</v>
      </c>
      <c r="I213" s="166">
        <f>SUMIFS(Продажи!F$5:F$359,Продажи!$D$5:$D$359,Конструкторы!$B213,Продажи!$C$5:$C$359,Конструкторы!$A213)</f>
        <v>0</v>
      </c>
      <c r="J213" s="166">
        <f>SUMIFS(Продажи!G$5:G$359,Продажи!$D$5:$D$359,Конструкторы!$B213,Продажи!$C$5:$C$359,Конструкторы!$A213)</f>
        <v>0</v>
      </c>
      <c r="K213" s="166">
        <f>SUMIFS(Продажи!H$5:H$359,Продажи!$D$5:$D$359,Конструкторы!$B213,Продажи!$C$5:$C$359,Конструкторы!$A213)</f>
        <v>0</v>
      </c>
      <c r="L213" s="166">
        <f>SUMIFS(Продажи!I$5:I$359,Продажи!$D$5:$D$359,Конструкторы!$B213,Продажи!$C$5:$C$359,Конструкторы!$A213)</f>
        <v>0</v>
      </c>
      <c r="M213" s="166">
        <f>SUMIFS(Продажи!J$5:J$359,Продажи!$D$5:$D$359,Конструкторы!$B213,Продажи!$C$5:$C$359,Конструкторы!$A213)</f>
        <v>0</v>
      </c>
      <c r="N213" s="166">
        <f>SUMIFS(Продажи!K$5:K$359,Продажи!$D$5:$D$359,Конструкторы!$B213,Продажи!$C$5:$C$359,Конструкторы!$A213)</f>
        <v>0</v>
      </c>
      <c r="O213" s="166">
        <f>SUMIFS(Продажи!L$5:L$359,Продажи!$D$5:$D$359,Конструкторы!$B213,Продажи!$C$5:$C$359,Конструкторы!$A213)</f>
        <v>0</v>
      </c>
      <c r="P213" s="166">
        <f>SUMIFS(Продажи!M$5:M$359,Продажи!$D$5:$D$359,Конструкторы!$B213,Продажи!$C$5:$C$359,Конструкторы!$A213)</f>
        <v>0</v>
      </c>
      <c r="Q213" s="166">
        <f>SUMIFS(Продажи!N$5:N$359,Продажи!$D$5:$D$359,Конструкторы!$B213,Продажи!$C$5:$C$359,Конструкторы!$A213)</f>
        <v>0</v>
      </c>
      <c r="R213" s="166">
        <f>SUMIFS(Продажи!O$5:O$359,Продажи!$D$5:$D$359,Конструкторы!$B213,Продажи!$C$5:$C$359,Конструкторы!$A213)</f>
        <v>0</v>
      </c>
      <c r="S213" s="166">
        <f>SUMIFS(Продажи!P$5:P$359,Продажи!$D$5:$D$359,Конструкторы!$B213,Продажи!$C$5:$C$359,Конструкторы!$A213)</f>
        <v>0</v>
      </c>
      <c r="T213" s="166">
        <f>SUMIFS(Продажи!Q$5:Q$359,Продажи!$D$5:$D$359,Конструкторы!$B213,Продажи!$C$5:$C$359,Конструкторы!$A213)</f>
        <v>0</v>
      </c>
    </row>
    <row r="214" spans="1:20" ht="15.75" hidden="1" x14ac:dyDescent="0.25">
      <c r="A214" s="166" t="s">
        <v>397</v>
      </c>
      <c r="B214" s="167" t="s">
        <v>149</v>
      </c>
      <c r="C214" s="33" t="s">
        <v>75</v>
      </c>
      <c r="D214" s="149"/>
      <c r="E214" s="153" t="s">
        <v>70</v>
      </c>
      <c r="F214" s="148">
        <f>32</f>
        <v>32</v>
      </c>
      <c r="G214" s="156" t="s">
        <v>71</v>
      </c>
      <c r="H214" s="156">
        <f>F214</f>
        <v>32</v>
      </c>
      <c r="I214" s="166">
        <f>SUMIFS(Продажи!F$5:F$359,Продажи!$D$5:$D$359,Конструкторы!$B214,Продажи!$C$5:$C$359,Конструкторы!$A214)</f>
        <v>0</v>
      </c>
      <c r="J214" s="166">
        <f>SUMIFS(Продажи!G$5:G$359,Продажи!$D$5:$D$359,Конструкторы!$B214,Продажи!$C$5:$C$359,Конструкторы!$A214)</f>
        <v>0</v>
      </c>
      <c r="K214" s="166">
        <f>SUMIFS(Продажи!H$5:H$359,Продажи!$D$5:$D$359,Конструкторы!$B214,Продажи!$C$5:$C$359,Конструкторы!$A214)</f>
        <v>0</v>
      </c>
      <c r="L214" s="166">
        <f>SUMIFS(Продажи!I$5:I$359,Продажи!$D$5:$D$359,Конструкторы!$B214,Продажи!$C$5:$C$359,Конструкторы!$A214)</f>
        <v>0</v>
      </c>
      <c r="M214" s="166">
        <f>SUMIFS(Продажи!J$5:J$359,Продажи!$D$5:$D$359,Конструкторы!$B214,Продажи!$C$5:$C$359,Конструкторы!$A214)</f>
        <v>0</v>
      </c>
      <c r="N214" s="166">
        <f>SUMIFS(Продажи!K$5:K$359,Продажи!$D$5:$D$359,Конструкторы!$B214,Продажи!$C$5:$C$359,Конструкторы!$A214)</f>
        <v>0</v>
      </c>
      <c r="O214" s="166">
        <f>SUMIFS(Продажи!L$5:L$359,Продажи!$D$5:$D$359,Конструкторы!$B214,Продажи!$C$5:$C$359,Конструкторы!$A214)</f>
        <v>0</v>
      </c>
      <c r="P214" s="166">
        <f>SUMIFS(Продажи!M$5:M$359,Продажи!$D$5:$D$359,Конструкторы!$B214,Продажи!$C$5:$C$359,Конструкторы!$A214)</f>
        <v>0</v>
      </c>
      <c r="Q214" s="166">
        <f>SUMIFS(Продажи!N$5:N$359,Продажи!$D$5:$D$359,Конструкторы!$B214,Продажи!$C$5:$C$359,Конструкторы!$A214)</f>
        <v>0</v>
      </c>
      <c r="R214" s="166">
        <f>SUMIFS(Продажи!O$5:O$359,Продажи!$D$5:$D$359,Конструкторы!$B214,Продажи!$C$5:$C$359,Конструкторы!$A214)</f>
        <v>0</v>
      </c>
      <c r="S214" s="166">
        <f>SUMIFS(Продажи!P$5:P$359,Продажи!$D$5:$D$359,Конструкторы!$B214,Продажи!$C$5:$C$359,Конструкторы!$A214)</f>
        <v>0</v>
      </c>
      <c r="T214" s="166">
        <f>SUMIFS(Продажи!Q$5:Q$359,Продажи!$D$5:$D$359,Конструкторы!$B214,Продажи!$C$5:$C$359,Конструкторы!$A214)</f>
        <v>0</v>
      </c>
    </row>
    <row r="215" spans="1:20" ht="15.75" hidden="1" x14ac:dyDescent="0.25">
      <c r="A215" s="166" t="s">
        <v>397</v>
      </c>
      <c r="B215" s="167" t="s">
        <v>149</v>
      </c>
      <c r="C215" s="33" t="s">
        <v>69</v>
      </c>
      <c r="D215" s="149"/>
      <c r="E215" s="153" t="s">
        <v>70</v>
      </c>
      <c r="F215" s="148">
        <f>15</f>
        <v>15</v>
      </c>
      <c r="G215" s="156" t="s">
        <v>71</v>
      </c>
      <c r="H215" s="156">
        <f>F215</f>
        <v>15</v>
      </c>
      <c r="I215" s="166">
        <f>SUMIFS(Продажи!F$5:F$359,Продажи!$D$5:$D$359,Конструкторы!$B215,Продажи!$C$5:$C$359,Конструкторы!$A215)</f>
        <v>0</v>
      </c>
      <c r="J215" s="166">
        <f>SUMIFS(Продажи!G$5:G$359,Продажи!$D$5:$D$359,Конструкторы!$B215,Продажи!$C$5:$C$359,Конструкторы!$A215)</f>
        <v>0</v>
      </c>
      <c r="K215" s="166">
        <f>SUMIFS(Продажи!H$5:H$359,Продажи!$D$5:$D$359,Конструкторы!$B215,Продажи!$C$5:$C$359,Конструкторы!$A215)</f>
        <v>0</v>
      </c>
      <c r="L215" s="166">
        <f>SUMIFS(Продажи!I$5:I$359,Продажи!$D$5:$D$359,Конструкторы!$B215,Продажи!$C$5:$C$359,Конструкторы!$A215)</f>
        <v>0</v>
      </c>
      <c r="M215" s="166">
        <f>SUMIFS(Продажи!J$5:J$359,Продажи!$D$5:$D$359,Конструкторы!$B215,Продажи!$C$5:$C$359,Конструкторы!$A215)</f>
        <v>0</v>
      </c>
      <c r="N215" s="166">
        <f>SUMIFS(Продажи!K$5:K$359,Продажи!$D$5:$D$359,Конструкторы!$B215,Продажи!$C$5:$C$359,Конструкторы!$A215)</f>
        <v>0</v>
      </c>
      <c r="O215" s="166">
        <f>SUMIFS(Продажи!L$5:L$359,Продажи!$D$5:$D$359,Конструкторы!$B215,Продажи!$C$5:$C$359,Конструкторы!$A215)</f>
        <v>0</v>
      </c>
      <c r="P215" s="166">
        <f>SUMIFS(Продажи!M$5:M$359,Продажи!$D$5:$D$359,Конструкторы!$B215,Продажи!$C$5:$C$359,Конструкторы!$A215)</f>
        <v>0</v>
      </c>
      <c r="Q215" s="166">
        <f>SUMIFS(Продажи!N$5:N$359,Продажи!$D$5:$D$359,Конструкторы!$B215,Продажи!$C$5:$C$359,Конструкторы!$A215)</f>
        <v>0</v>
      </c>
      <c r="R215" s="166">
        <f>SUMIFS(Продажи!O$5:O$359,Продажи!$D$5:$D$359,Конструкторы!$B215,Продажи!$C$5:$C$359,Конструкторы!$A215)</f>
        <v>0</v>
      </c>
      <c r="S215" s="166">
        <f>SUMIFS(Продажи!P$5:P$359,Продажи!$D$5:$D$359,Конструкторы!$B215,Продажи!$C$5:$C$359,Конструкторы!$A215)</f>
        <v>0</v>
      </c>
      <c r="T215" s="166">
        <f>SUMIFS(Продажи!Q$5:Q$359,Продажи!$D$5:$D$359,Конструкторы!$B215,Продажи!$C$5:$C$359,Конструкторы!$A215)</f>
        <v>0</v>
      </c>
    </row>
    <row r="216" spans="1:20" ht="15.75" hidden="1" x14ac:dyDescent="0.25">
      <c r="A216" s="166" t="s">
        <v>397</v>
      </c>
      <c r="B216" s="167" t="s">
        <v>150</v>
      </c>
      <c r="C216" s="129" t="s">
        <v>53</v>
      </c>
      <c r="D216" s="130">
        <v>7038</v>
      </c>
      <c r="E216" s="153" t="s">
        <v>68</v>
      </c>
      <c r="F216" s="156">
        <f>(2.336*103)/100</f>
        <v>2.4060799999999998</v>
      </c>
      <c r="G216" s="156">
        <v>7.007999999999992E-2</v>
      </c>
      <c r="H216" s="156">
        <f>F216+G216</f>
        <v>2.4761599999999997</v>
      </c>
      <c r="I216" s="166">
        <f>SUMIFS(Продажи!F$5:F$359,Продажи!$D$5:$D$359,Конструкторы!$B216,Продажи!$C$5:$C$359,Конструкторы!$A216)</f>
        <v>0</v>
      </c>
      <c r="J216" s="166">
        <f>SUMIFS(Продажи!G$5:G$359,Продажи!$D$5:$D$359,Конструкторы!$B216,Продажи!$C$5:$C$359,Конструкторы!$A216)</f>
        <v>0</v>
      </c>
      <c r="K216" s="166">
        <f>SUMIFS(Продажи!H$5:H$359,Продажи!$D$5:$D$359,Конструкторы!$B216,Продажи!$C$5:$C$359,Конструкторы!$A216)</f>
        <v>0</v>
      </c>
      <c r="L216" s="166">
        <f>SUMIFS(Продажи!I$5:I$359,Продажи!$D$5:$D$359,Конструкторы!$B216,Продажи!$C$5:$C$359,Конструкторы!$A216)</f>
        <v>0</v>
      </c>
      <c r="M216" s="166">
        <f>SUMIFS(Продажи!J$5:J$359,Продажи!$D$5:$D$359,Конструкторы!$B216,Продажи!$C$5:$C$359,Конструкторы!$A216)</f>
        <v>0</v>
      </c>
      <c r="N216" s="166">
        <f>SUMIFS(Продажи!K$5:K$359,Продажи!$D$5:$D$359,Конструкторы!$B216,Продажи!$C$5:$C$359,Конструкторы!$A216)</f>
        <v>0</v>
      </c>
      <c r="O216" s="166">
        <f>SUMIFS(Продажи!L$5:L$359,Продажи!$D$5:$D$359,Конструкторы!$B216,Продажи!$C$5:$C$359,Конструкторы!$A216)</f>
        <v>0</v>
      </c>
      <c r="P216" s="166">
        <f>SUMIFS(Продажи!M$5:M$359,Продажи!$D$5:$D$359,Конструкторы!$B216,Продажи!$C$5:$C$359,Конструкторы!$A216)</f>
        <v>0</v>
      </c>
      <c r="Q216" s="166">
        <f>SUMIFS(Продажи!N$5:N$359,Продажи!$D$5:$D$359,Конструкторы!$B216,Продажи!$C$5:$C$359,Конструкторы!$A216)</f>
        <v>0</v>
      </c>
      <c r="R216" s="166">
        <f>SUMIFS(Продажи!O$5:O$359,Продажи!$D$5:$D$359,Конструкторы!$B216,Продажи!$C$5:$C$359,Конструкторы!$A216)</f>
        <v>0</v>
      </c>
      <c r="S216" s="166">
        <f>SUMIFS(Продажи!P$5:P$359,Продажи!$D$5:$D$359,Конструкторы!$B216,Продажи!$C$5:$C$359,Конструкторы!$A216)</f>
        <v>0</v>
      </c>
      <c r="T216" s="166">
        <f>SUMIFS(Продажи!Q$5:Q$359,Продажи!$D$5:$D$359,Конструкторы!$B216,Продажи!$C$5:$C$359,Конструкторы!$A216)</f>
        <v>0</v>
      </c>
    </row>
    <row r="217" spans="1:20" ht="15.75" hidden="1" x14ac:dyDescent="0.25">
      <c r="A217" s="166" t="s">
        <v>397</v>
      </c>
      <c r="B217" s="167" t="s">
        <v>150</v>
      </c>
      <c r="C217" s="129" t="s">
        <v>52</v>
      </c>
      <c r="D217" s="149"/>
      <c r="E217" s="153" t="s">
        <v>68</v>
      </c>
      <c r="F217" s="156">
        <f>(1.929*103)/100</f>
        <v>1.9868700000000001</v>
      </c>
      <c r="G217" s="156">
        <v>5.7870000000000088E-2</v>
      </c>
      <c r="H217" s="156">
        <f>F217+G217</f>
        <v>2.04474</v>
      </c>
      <c r="I217" s="166">
        <f>SUMIFS(Продажи!F$5:F$359,Продажи!$D$5:$D$359,Конструкторы!$B217,Продажи!$C$5:$C$359,Конструкторы!$A217)</f>
        <v>0</v>
      </c>
      <c r="J217" s="166">
        <f>SUMIFS(Продажи!G$5:G$359,Продажи!$D$5:$D$359,Конструкторы!$B217,Продажи!$C$5:$C$359,Конструкторы!$A217)</f>
        <v>0</v>
      </c>
      <c r="K217" s="166">
        <f>SUMIFS(Продажи!H$5:H$359,Продажи!$D$5:$D$359,Конструкторы!$B217,Продажи!$C$5:$C$359,Конструкторы!$A217)</f>
        <v>0</v>
      </c>
      <c r="L217" s="166">
        <f>SUMIFS(Продажи!I$5:I$359,Продажи!$D$5:$D$359,Конструкторы!$B217,Продажи!$C$5:$C$359,Конструкторы!$A217)</f>
        <v>0</v>
      </c>
      <c r="M217" s="166">
        <f>SUMIFS(Продажи!J$5:J$359,Продажи!$D$5:$D$359,Конструкторы!$B217,Продажи!$C$5:$C$359,Конструкторы!$A217)</f>
        <v>0</v>
      </c>
      <c r="N217" s="166">
        <f>SUMIFS(Продажи!K$5:K$359,Продажи!$D$5:$D$359,Конструкторы!$B217,Продажи!$C$5:$C$359,Конструкторы!$A217)</f>
        <v>0</v>
      </c>
      <c r="O217" s="166">
        <f>SUMIFS(Продажи!L$5:L$359,Продажи!$D$5:$D$359,Конструкторы!$B217,Продажи!$C$5:$C$359,Конструкторы!$A217)</f>
        <v>0</v>
      </c>
      <c r="P217" s="166">
        <f>SUMIFS(Продажи!M$5:M$359,Продажи!$D$5:$D$359,Конструкторы!$B217,Продажи!$C$5:$C$359,Конструкторы!$A217)</f>
        <v>0</v>
      </c>
      <c r="Q217" s="166">
        <f>SUMIFS(Продажи!N$5:N$359,Продажи!$D$5:$D$359,Конструкторы!$B217,Продажи!$C$5:$C$359,Конструкторы!$A217)</f>
        <v>0</v>
      </c>
      <c r="R217" s="166">
        <f>SUMIFS(Продажи!O$5:O$359,Продажи!$D$5:$D$359,Конструкторы!$B217,Продажи!$C$5:$C$359,Конструкторы!$A217)</f>
        <v>0</v>
      </c>
      <c r="S217" s="166">
        <f>SUMIFS(Продажи!P$5:P$359,Продажи!$D$5:$D$359,Конструкторы!$B217,Продажи!$C$5:$C$359,Конструкторы!$A217)</f>
        <v>0</v>
      </c>
      <c r="T217" s="166">
        <f>SUMIFS(Продажи!Q$5:Q$359,Продажи!$D$5:$D$359,Конструкторы!$B217,Продажи!$C$5:$C$359,Конструкторы!$A217)</f>
        <v>0</v>
      </c>
    </row>
    <row r="218" spans="1:20" ht="15.75" hidden="1" x14ac:dyDescent="0.25">
      <c r="A218" s="166" t="s">
        <v>397</v>
      </c>
      <c r="B218" s="167" t="s">
        <v>150</v>
      </c>
      <c r="C218" s="33" t="s">
        <v>73</v>
      </c>
      <c r="D218" s="149"/>
      <c r="E218" s="153" t="s">
        <v>70</v>
      </c>
      <c r="F218" s="148">
        <v>8</v>
      </c>
      <c r="G218" s="156" t="s">
        <v>71</v>
      </c>
      <c r="H218" s="156">
        <f>F218</f>
        <v>8</v>
      </c>
      <c r="I218" s="166">
        <f>SUMIFS(Продажи!F$5:F$359,Продажи!$D$5:$D$359,Конструкторы!$B218,Продажи!$C$5:$C$359,Конструкторы!$A218)</f>
        <v>0</v>
      </c>
      <c r="J218" s="166">
        <f>SUMIFS(Продажи!G$5:G$359,Продажи!$D$5:$D$359,Конструкторы!$B218,Продажи!$C$5:$C$359,Конструкторы!$A218)</f>
        <v>0</v>
      </c>
      <c r="K218" s="166">
        <f>SUMIFS(Продажи!H$5:H$359,Продажи!$D$5:$D$359,Конструкторы!$B218,Продажи!$C$5:$C$359,Конструкторы!$A218)</f>
        <v>0</v>
      </c>
      <c r="L218" s="166">
        <f>SUMIFS(Продажи!I$5:I$359,Продажи!$D$5:$D$359,Конструкторы!$B218,Продажи!$C$5:$C$359,Конструкторы!$A218)</f>
        <v>0</v>
      </c>
      <c r="M218" s="166">
        <f>SUMIFS(Продажи!J$5:J$359,Продажи!$D$5:$D$359,Конструкторы!$B218,Продажи!$C$5:$C$359,Конструкторы!$A218)</f>
        <v>0</v>
      </c>
      <c r="N218" s="166">
        <f>SUMIFS(Продажи!K$5:K$359,Продажи!$D$5:$D$359,Конструкторы!$B218,Продажи!$C$5:$C$359,Конструкторы!$A218)</f>
        <v>0</v>
      </c>
      <c r="O218" s="166">
        <f>SUMIFS(Продажи!L$5:L$359,Продажи!$D$5:$D$359,Конструкторы!$B218,Продажи!$C$5:$C$359,Конструкторы!$A218)</f>
        <v>0</v>
      </c>
      <c r="P218" s="166">
        <f>SUMIFS(Продажи!M$5:M$359,Продажи!$D$5:$D$359,Конструкторы!$B218,Продажи!$C$5:$C$359,Конструкторы!$A218)</f>
        <v>0</v>
      </c>
      <c r="Q218" s="166">
        <f>SUMIFS(Продажи!N$5:N$359,Продажи!$D$5:$D$359,Конструкторы!$B218,Продажи!$C$5:$C$359,Конструкторы!$A218)</f>
        <v>0</v>
      </c>
      <c r="R218" s="166">
        <f>SUMIFS(Продажи!O$5:O$359,Продажи!$D$5:$D$359,Конструкторы!$B218,Продажи!$C$5:$C$359,Конструкторы!$A218)</f>
        <v>0</v>
      </c>
      <c r="S218" s="166">
        <f>SUMIFS(Продажи!P$5:P$359,Продажи!$D$5:$D$359,Конструкторы!$B218,Продажи!$C$5:$C$359,Конструкторы!$A218)</f>
        <v>0</v>
      </c>
      <c r="T218" s="166">
        <f>SUMIFS(Продажи!Q$5:Q$359,Продажи!$D$5:$D$359,Конструкторы!$B218,Продажи!$C$5:$C$359,Конструкторы!$A218)</f>
        <v>0</v>
      </c>
    </row>
    <row r="219" spans="1:20" ht="15.75" hidden="1" x14ac:dyDescent="0.25">
      <c r="A219" s="166" t="s">
        <v>397</v>
      </c>
      <c r="B219" s="167" t="s">
        <v>150</v>
      </c>
      <c r="C219" s="33" t="s">
        <v>74</v>
      </c>
      <c r="D219" s="149"/>
      <c r="E219" s="153" t="s">
        <v>70</v>
      </c>
      <c r="F219" s="148">
        <v>1</v>
      </c>
      <c r="G219" s="156" t="s">
        <v>71</v>
      </c>
      <c r="H219" s="156">
        <f>F219</f>
        <v>1</v>
      </c>
      <c r="I219" s="166">
        <f>SUMIFS(Продажи!F$5:F$359,Продажи!$D$5:$D$359,Конструкторы!$B219,Продажи!$C$5:$C$359,Конструкторы!$A219)</f>
        <v>0</v>
      </c>
      <c r="J219" s="166">
        <f>SUMIFS(Продажи!G$5:G$359,Продажи!$D$5:$D$359,Конструкторы!$B219,Продажи!$C$5:$C$359,Конструкторы!$A219)</f>
        <v>0</v>
      </c>
      <c r="K219" s="166">
        <f>SUMIFS(Продажи!H$5:H$359,Продажи!$D$5:$D$359,Конструкторы!$B219,Продажи!$C$5:$C$359,Конструкторы!$A219)</f>
        <v>0</v>
      </c>
      <c r="L219" s="166">
        <f>SUMIFS(Продажи!I$5:I$359,Продажи!$D$5:$D$359,Конструкторы!$B219,Продажи!$C$5:$C$359,Конструкторы!$A219)</f>
        <v>0</v>
      </c>
      <c r="M219" s="166">
        <f>SUMIFS(Продажи!J$5:J$359,Продажи!$D$5:$D$359,Конструкторы!$B219,Продажи!$C$5:$C$359,Конструкторы!$A219)</f>
        <v>0</v>
      </c>
      <c r="N219" s="166">
        <f>SUMIFS(Продажи!K$5:K$359,Продажи!$D$5:$D$359,Конструкторы!$B219,Продажи!$C$5:$C$359,Конструкторы!$A219)</f>
        <v>0</v>
      </c>
      <c r="O219" s="166">
        <f>SUMIFS(Продажи!L$5:L$359,Продажи!$D$5:$D$359,Конструкторы!$B219,Продажи!$C$5:$C$359,Конструкторы!$A219)</f>
        <v>0</v>
      </c>
      <c r="P219" s="166">
        <f>SUMIFS(Продажи!M$5:M$359,Продажи!$D$5:$D$359,Конструкторы!$B219,Продажи!$C$5:$C$359,Конструкторы!$A219)</f>
        <v>0</v>
      </c>
      <c r="Q219" s="166">
        <f>SUMIFS(Продажи!N$5:N$359,Продажи!$D$5:$D$359,Конструкторы!$B219,Продажи!$C$5:$C$359,Конструкторы!$A219)</f>
        <v>0</v>
      </c>
      <c r="R219" s="166">
        <f>SUMIFS(Продажи!O$5:O$359,Продажи!$D$5:$D$359,Конструкторы!$B219,Продажи!$C$5:$C$359,Конструкторы!$A219)</f>
        <v>0</v>
      </c>
      <c r="S219" s="166">
        <f>SUMIFS(Продажи!P$5:P$359,Продажи!$D$5:$D$359,Конструкторы!$B219,Продажи!$C$5:$C$359,Конструкторы!$A219)</f>
        <v>0</v>
      </c>
      <c r="T219" s="166">
        <f>SUMIFS(Продажи!Q$5:Q$359,Продажи!$D$5:$D$359,Конструкторы!$B219,Продажи!$C$5:$C$359,Конструкторы!$A219)</f>
        <v>0</v>
      </c>
    </row>
    <row r="220" spans="1:20" ht="15.75" hidden="1" x14ac:dyDescent="0.25">
      <c r="A220" s="166" t="s">
        <v>397</v>
      </c>
      <c r="B220" s="167" t="s">
        <v>150</v>
      </c>
      <c r="C220" s="33" t="s">
        <v>75</v>
      </c>
      <c r="D220" s="149"/>
      <c r="E220" s="153" t="s">
        <v>70</v>
      </c>
      <c r="F220" s="148">
        <f>32</f>
        <v>32</v>
      </c>
      <c r="G220" s="156" t="s">
        <v>71</v>
      </c>
      <c r="H220" s="156">
        <f>F220</f>
        <v>32</v>
      </c>
      <c r="I220" s="166">
        <f>SUMIFS(Продажи!F$5:F$359,Продажи!$D$5:$D$359,Конструкторы!$B220,Продажи!$C$5:$C$359,Конструкторы!$A220)</f>
        <v>0</v>
      </c>
      <c r="J220" s="166">
        <f>SUMIFS(Продажи!G$5:G$359,Продажи!$D$5:$D$359,Конструкторы!$B220,Продажи!$C$5:$C$359,Конструкторы!$A220)</f>
        <v>0</v>
      </c>
      <c r="K220" s="166">
        <f>SUMIFS(Продажи!H$5:H$359,Продажи!$D$5:$D$359,Конструкторы!$B220,Продажи!$C$5:$C$359,Конструкторы!$A220)</f>
        <v>0</v>
      </c>
      <c r="L220" s="166">
        <f>SUMIFS(Продажи!I$5:I$359,Продажи!$D$5:$D$359,Конструкторы!$B220,Продажи!$C$5:$C$359,Конструкторы!$A220)</f>
        <v>0</v>
      </c>
      <c r="M220" s="166">
        <f>SUMIFS(Продажи!J$5:J$359,Продажи!$D$5:$D$359,Конструкторы!$B220,Продажи!$C$5:$C$359,Конструкторы!$A220)</f>
        <v>0</v>
      </c>
      <c r="N220" s="166">
        <f>SUMIFS(Продажи!K$5:K$359,Продажи!$D$5:$D$359,Конструкторы!$B220,Продажи!$C$5:$C$359,Конструкторы!$A220)</f>
        <v>0</v>
      </c>
      <c r="O220" s="166">
        <f>SUMIFS(Продажи!L$5:L$359,Продажи!$D$5:$D$359,Конструкторы!$B220,Продажи!$C$5:$C$359,Конструкторы!$A220)</f>
        <v>0</v>
      </c>
      <c r="P220" s="166">
        <f>SUMIFS(Продажи!M$5:M$359,Продажи!$D$5:$D$359,Конструкторы!$B220,Продажи!$C$5:$C$359,Конструкторы!$A220)</f>
        <v>0</v>
      </c>
      <c r="Q220" s="166">
        <f>SUMIFS(Продажи!N$5:N$359,Продажи!$D$5:$D$359,Конструкторы!$B220,Продажи!$C$5:$C$359,Конструкторы!$A220)</f>
        <v>0</v>
      </c>
      <c r="R220" s="166">
        <f>SUMIFS(Продажи!O$5:O$359,Продажи!$D$5:$D$359,Конструкторы!$B220,Продажи!$C$5:$C$359,Конструкторы!$A220)</f>
        <v>0</v>
      </c>
      <c r="S220" s="166">
        <f>SUMIFS(Продажи!P$5:P$359,Продажи!$D$5:$D$359,Конструкторы!$B220,Продажи!$C$5:$C$359,Конструкторы!$A220)</f>
        <v>0</v>
      </c>
      <c r="T220" s="166">
        <f>SUMIFS(Продажи!Q$5:Q$359,Продажи!$D$5:$D$359,Конструкторы!$B220,Продажи!$C$5:$C$359,Конструкторы!$A220)</f>
        <v>0</v>
      </c>
    </row>
    <row r="221" spans="1:20" ht="15.75" hidden="1" x14ac:dyDescent="0.25">
      <c r="A221" s="166" t="s">
        <v>397</v>
      </c>
      <c r="B221" s="167" t="s">
        <v>150</v>
      </c>
      <c r="C221" s="33" t="s">
        <v>69</v>
      </c>
      <c r="D221" s="149"/>
      <c r="E221" s="153" t="s">
        <v>70</v>
      </c>
      <c r="F221" s="148">
        <f>15</f>
        <v>15</v>
      </c>
      <c r="G221" s="156" t="s">
        <v>71</v>
      </c>
      <c r="H221" s="156">
        <f>F221</f>
        <v>15</v>
      </c>
      <c r="I221" s="166">
        <f>SUMIFS(Продажи!F$5:F$359,Продажи!$D$5:$D$359,Конструкторы!$B221,Продажи!$C$5:$C$359,Конструкторы!$A221)</f>
        <v>0</v>
      </c>
      <c r="J221" s="166">
        <f>SUMIFS(Продажи!G$5:G$359,Продажи!$D$5:$D$359,Конструкторы!$B221,Продажи!$C$5:$C$359,Конструкторы!$A221)</f>
        <v>0</v>
      </c>
      <c r="K221" s="166">
        <f>SUMIFS(Продажи!H$5:H$359,Продажи!$D$5:$D$359,Конструкторы!$B221,Продажи!$C$5:$C$359,Конструкторы!$A221)</f>
        <v>0</v>
      </c>
      <c r="L221" s="166">
        <f>SUMIFS(Продажи!I$5:I$359,Продажи!$D$5:$D$359,Конструкторы!$B221,Продажи!$C$5:$C$359,Конструкторы!$A221)</f>
        <v>0</v>
      </c>
      <c r="M221" s="166">
        <f>SUMIFS(Продажи!J$5:J$359,Продажи!$D$5:$D$359,Конструкторы!$B221,Продажи!$C$5:$C$359,Конструкторы!$A221)</f>
        <v>0</v>
      </c>
      <c r="N221" s="166">
        <f>SUMIFS(Продажи!K$5:K$359,Продажи!$D$5:$D$359,Конструкторы!$B221,Продажи!$C$5:$C$359,Конструкторы!$A221)</f>
        <v>0</v>
      </c>
      <c r="O221" s="166">
        <f>SUMIFS(Продажи!L$5:L$359,Продажи!$D$5:$D$359,Конструкторы!$B221,Продажи!$C$5:$C$359,Конструкторы!$A221)</f>
        <v>0</v>
      </c>
      <c r="P221" s="166">
        <f>SUMIFS(Продажи!M$5:M$359,Продажи!$D$5:$D$359,Конструкторы!$B221,Продажи!$C$5:$C$359,Конструкторы!$A221)</f>
        <v>0</v>
      </c>
      <c r="Q221" s="166">
        <f>SUMIFS(Продажи!N$5:N$359,Продажи!$D$5:$D$359,Конструкторы!$B221,Продажи!$C$5:$C$359,Конструкторы!$A221)</f>
        <v>0</v>
      </c>
      <c r="R221" s="166">
        <f>SUMIFS(Продажи!O$5:O$359,Продажи!$D$5:$D$359,Конструкторы!$B221,Продажи!$C$5:$C$359,Конструкторы!$A221)</f>
        <v>0</v>
      </c>
      <c r="S221" s="166">
        <f>SUMIFS(Продажи!P$5:P$359,Продажи!$D$5:$D$359,Конструкторы!$B221,Продажи!$C$5:$C$359,Конструкторы!$A221)</f>
        <v>0</v>
      </c>
      <c r="T221" s="166">
        <f>SUMIFS(Продажи!Q$5:Q$359,Продажи!$D$5:$D$359,Конструкторы!$B221,Продажи!$C$5:$C$359,Конструкторы!$A221)</f>
        <v>0</v>
      </c>
    </row>
    <row r="222" spans="1:20" ht="15.75" hidden="1" x14ac:dyDescent="0.25">
      <c r="A222" s="166" t="s">
        <v>397</v>
      </c>
      <c r="B222" s="167" t="s">
        <v>151</v>
      </c>
      <c r="C222" s="129" t="s">
        <v>53</v>
      </c>
      <c r="D222" s="130">
        <v>7038</v>
      </c>
      <c r="E222" s="153" t="s">
        <v>68</v>
      </c>
      <c r="F222" s="156">
        <f>(2.336*103)/100</f>
        <v>2.4060799999999998</v>
      </c>
      <c r="G222" s="156">
        <v>7.007999999999992E-2</v>
      </c>
      <c r="H222" s="156">
        <f>F222+G222</f>
        <v>2.4761599999999997</v>
      </c>
      <c r="I222" s="166">
        <f>SUMIFS(Продажи!F$5:F$359,Продажи!$D$5:$D$359,Конструкторы!$B222,Продажи!$C$5:$C$359,Конструкторы!$A222)</f>
        <v>0</v>
      </c>
      <c r="J222" s="166">
        <f>SUMIFS(Продажи!G$5:G$359,Продажи!$D$5:$D$359,Конструкторы!$B222,Продажи!$C$5:$C$359,Конструкторы!$A222)</f>
        <v>0</v>
      </c>
      <c r="K222" s="166">
        <f>SUMIFS(Продажи!H$5:H$359,Продажи!$D$5:$D$359,Конструкторы!$B222,Продажи!$C$5:$C$359,Конструкторы!$A222)</f>
        <v>0</v>
      </c>
      <c r="L222" s="166">
        <f>SUMIFS(Продажи!I$5:I$359,Продажи!$D$5:$D$359,Конструкторы!$B222,Продажи!$C$5:$C$359,Конструкторы!$A222)</f>
        <v>0</v>
      </c>
      <c r="M222" s="166">
        <f>SUMIFS(Продажи!J$5:J$359,Продажи!$D$5:$D$359,Конструкторы!$B222,Продажи!$C$5:$C$359,Конструкторы!$A222)</f>
        <v>0</v>
      </c>
      <c r="N222" s="166">
        <f>SUMIFS(Продажи!K$5:K$359,Продажи!$D$5:$D$359,Конструкторы!$B222,Продажи!$C$5:$C$359,Конструкторы!$A222)</f>
        <v>0</v>
      </c>
      <c r="O222" s="166">
        <f>SUMIFS(Продажи!L$5:L$359,Продажи!$D$5:$D$359,Конструкторы!$B222,Продажи!$C$5:$C$359,Конструкторы!$A222)</f>
        <v>0</v>
      </c>
      <c r="P222" s="166">
        <f>SUMIFS(Продажи!M$5:M$359,Продажи!$D$5:$D$359,Конструкторы!$B222,Продажи!$C$5:$C$359,Конструкторы!$A222)</f>
        <v>0</v>
      </c>
      <c r="Q222" s="166">
        <f>SUMIFS(Продажи!N$5:N$359,Продажи!$D$5:$D$359,Конструкторы!$B222,Продажи!$C$5:$C$359,Конструкторы!$A222)</f>
        <v>0</v>
      </c>
      <c r="R222" s="166">
        <f>SUMIFS(Продажи!O$5:O$359,Продажи!$D$5:$D$359,Конструкторы!$B222,Продажи!$C$5:$C$359,Конструкторы!$A222)</f>
        <v>0</v>
      </c>
      <c r="S222" s="166">
        <f>SUMIFS(Продажи!P$5:P$359,Продажи!$D$5:$D$359,Конструкторы!$B222,Продажи!$C$5:$C$359,Конструкторы!$A222)</f>
        <v>0</v>
      </c>
      <c r="T222" s="166">
        <f>SUMIFS(Продажи!Q$5:Q$359,Продажи!$D$5:$D$359,Конструкторы!$B222,Продажи!$C$5:$C$359,Конструкторы!$A222)</f>
        <v>0</v>
      </c>
    </row>
    <row r="223" spans="1:20" ht="15.75" hidden="1" x14ac:dyDescent="0.25">
      <c r="A223" s="166" t="s">
        <v>397</v>
      </c>
      <c r="B223" s="167" t="s">
        <v>151</v>
      </c>
      <c r="C223" s="129" t="s">
        <v>52</v>
      </c>
      <c r="D223" s="149"/>
      <c r="E223" s="153" t="s">
        <v>68</v>
      </c>
      <c r="F223" s="156">
        <f>(2.262*103)/100</f>
        <v>2.32986</v>
      </c>
      <c r="G223" s="156">
        <v>6.7860000000000031E-2</v>
      </c>
      <c r="H223" s="156">
        <f>F223+G223</f>
        <v>2.3977200000000001</v>
      </c>
      <c r="I223" s="166">
        <f>SUMIFS(Продажи!F$5:F$359,Продажи!$D$5:$D$359,Конструкторы!$B223,Продажи!$C$5:$C$359,Конструкторы!$A223)</f>
        <v>0</v>
      </c>
      <c r="J223" s="166">
        <f>SUMIFS(Продажи!G$5:G$359,Продажи!$D$5:$D$359,Конструкторы!$B223,Продажи!$C$5:$C$359,Конструкторы!$A223)</f>
        <v>0</v>
      </c>
      <c r="K223" s="166">
        <f>SUMIFS(Продажи!H$5:H$359,Продажи!$D$5:$D$359,Конструкторы!$B223,Продажи!$C$5:$C$359,Конструкторы!$A223)</f>
        <v>0</v>
      </c>
      <c r="L223" s="166">
        <f>SUMIFS(Продажи!I$5:I$359,Продажи!$D$5:$D$359,Конструкторы!$B223,Продажи!$C$5:$C$359,Конструкторы!$A223)</f>
        <v>0</v>
      </c>
      <c r="M223" s="166">
        <f>SUMIFS(Продажи!J$5:J$359,Продажи!$D$5:$D$359,Конструкторы!$B223,Продажи!$C$5:$C$359,Конструкторы!$A223)</f>
        <v>0</v>
      </c>
      <c r="N223" s="166">
        <f>SUMIFS(Продажи!K$5:K$359,Продажи!$D$5:$D$359,Конструкторы!$B223,Продажи!$C$5:$C$359,Конструкторы!$A223)</f>
        <v>0</v>
      </c>
      <c r="O223" s="166">
        <f>SUMIFS(Продажи!L$5:L$359,Продажи!$D$5:$D$359,Конструкторы!$B223,Продажи!$C$5:$C$359,Конструкторы!$A223)</f>
        <v>0</v>
      </c>
      <c r="P223" s="166">
        <f>SUMIFS(Продажи!M$5:M$359,Продажи!$D$5:$D$359,Конструкторы!$B223,Продажи!$C$5:$C$359,Конструкторы!$A223)</f>
        <v>0</v>
      </c>
      <c r="Q223" s="166">
        <f>SUMIFS(Продажи!N$5:N$359,Продажи!$D$5:$D$359,Конструкторы!$B223,Продажи!$C$5:$C$359,Конструкторы!$A223)</f>
        <v>0</v>
      </c>
      <c r="R223" s="166">
        <f>SUMIFS(Продажи!O$5:O$359,Продажи!$D$5:$D$359,Конструкторы!$B223,Продажи!$C$5:$C$359,Конструкторы!$A223)</f>
        <v>0</v>
      </c>
      <c r="S223" s="166">
        <f>SUMIFS(Продажи!P$5:P$359,Продажи!$D$5:$D$359,Конструкторы!$B223,Продажи!$C$5:$C$359,Конструкторы!$A223)</f>
        <v>0</v>
      </c>
      <c r="T223" s="166">
        <f>SUMIFS(Продажи!Q$5:Q$359,Продажи!$D$5:$D$359,Конструкторы!$B223,Продажи!$C$5:$C$359,Конструкторы!$A223)</f>
        <v>0</v>
      </c>
    </row>
    <row r="224" spans="1:20" ht="15.75" hidden="1" x14ac:dyDescent="0.25">
      <c r="A224" s="166" t="s">
        <v>397</v>
      </c>
      <c r="B224" s="167" t="s">
        <v>151</v>
      </c>
      <c r="C224" s="33" t="s">
        <v>73</v>
      </c>
      <c r="D224" s="149"/>
      <c r="E224" s="153" t="s">
        <v>70</v>
      </c>
      <c r="F224" s="148">
        <v>8</v>
      </c>
      <c r="G224" s="156" t="s">
        <v>71</v>
      </c>
      <c r="H224" s="156">
        <f>F224</f>
        <v>8</v>
      </c>
      <c r="I224" s="166">
        <f>SUMIFS(Продажи!F$5:F$359,Продажи!$D$5:$D$359,Конструкторы!$B224,Продажи!$C$5:$C$359,Конструкторы!$A224)</f>
        <v>0</v>
      </c>
      <c r="J224" s="166">
        <f>SUMIFS(Продажи!G$5:G$359,Продажи!$D$5:$D$359,Конструкторы!$B224,Продажи!$C$5:$C$359,Конструкторы!$A224)</f>
        <v>0</v>
      </c>
      <c r="K224" s="166">
        <f>SUMIFS(Продажи!H$5:H$359,Продажи!$D$5:$D$359,Конструкторы!$B224,Продажи!$C$5:$C$359,Конструкторы!$A224)</f>
        <v>0</v>
      </c>
      <c r="L224" s="166">
        <f>SUMIFS(Продажи!I$5:I$359,Продажи!$D$5:$D$359,Конструкторы!$B224,Продажи!$C$5:$C$359,Конструкторы!$A224)</f>
        <v>0</v>
      </c>
      <c r="M224" s="166">
        <f>SUMIFS(Продажи!J$5:J$359,Продажи!$D$5:$D$359,Конструкторы!$B224,Продажи!$C$5:$C$359,Конструкторы!$A224)</f>
        <v>0</v>
      </c>
      <c r="N224" s="166">
        <f>SUMIFS(Продажи!K$5:K$359,Продажи!$D$5:$D$359,Конструкторы!$B224,Продажи!$C$5:$C$359,Конструкторы!$A224)</f>
        <v>0</v>
      </c>
      <c r="O224" s="166">
        <f>SUMIFS(Продажи!L$5:L$359,Продажи!$D$5:$D$359,Конструкторы!$B224,Продажи!$C$5:$C$359,Конструкторы!$A224)</f>
        <v>0</v>
      </c>
      <c r="P224" s="166">
        <f>SUMIFS(Продажи!M$5:M$359,Продажи!$D$5:$D$359,Конструкторы!$B224,Продажи!$C$5:$C$359,Конструкторы!$A224)</f>
        <v>0</v>
      </c>
      <c r="Q224" s="166">
        <f>SUMIFS(Продажи!N$5:N$359,Продажи!$D$5:$D$359,Конструкторы!$B224,Продажи!$C$5:$C$359,Конструкторы!$A224)</f>
        <v>0</v>
      </c>
      <c r="R224" s="166">
        <f>SUMIFS(Продажи!O$5:O$359,Продажи!$D$5:$D$359,Конструкторы!$B224,Продажи!$C$5:$C$359,Конструкторы!$A224)</f>
        <v>0</v>
      </c>
      <c r="S224" s="166">
        <f>SUMIFS(Продажи!P$5:P$359,Продажи!$D$5:$D$359,Конструкторы!$B224,Продажи!$C$5:$C$359,Конструкторы!$A224)</f>
        <v>0</v>
      </c>
      <c r="T224" s="166">
        <f>SUMIFS(Продажи!Q$5:Q$359,Продажи!$D$5:$D$359,Конструкторы!$B224,Продажи!$C$5:$C$359,Конструкторы!$A224)</f>
        <v>0</v>
      </c>
    </row>
    <row r="225" spans="1:20" ht="15.75" hidden="1" x14ac:dyDescent="0.25">
      <c r="A225" s="166" t="s">
        <v>397</v>
      </c>
      <c r="B225" s="167" t="s">
        <v>151</v>
      </c>
      <c r="C225" s="33" t="s">
        <v>74</v>
      </c>
      <c r="D225" s="149"/>
      <c r="E225" s="153" t="s">
        <v>70</v>
      </c>
      <c r="F225" s="148">
        <v>1</v>
      </c>
      <c r="G225" s="156" t="s">
        <v>71</v>
      </c>
      <c r="H225" s="156">
        <f>F225</f>
        <v>1</v>
      </c>
      <c r="I225" s="166">
        <f>SUMIFS(Продажи!F$5:F$359,Продажи!$D$5:$D$359,Конструкторы!$B225,Продажи!$C$5:$C$359,Конструкторы!$A225)</f>
        <v>0</v>
      </c>
      <c r="J225" s="166">
        <f>SUMIFS(Продажи!G$5:G$359,Продажи!$D$5:$D$359,Конструкторы!$B225,Продажи!$C$5:$C$359,Конструкторы!$A225)</f>
        <v>0</v>
      </c>
      <c r="K225" s="166">
        <f>SUMIFS(Продажи!H$5:H$359,Продажи!$D$5:$D$359,Конструкторы!$B225,Продажи!$C$5:$C$359,Конструкторы!$A225)</f>
        <v>0</v>
      </c>
      <c r="L225" s="166">
        <f>SUMIFS(Продажи!I$5:I$359,Продажи!$D$5:$D$359,Конструкторы!$B225,Продажи!$C$5:$C$359,Конструкторы!$A225)</f>
        <v>0</v>
      </c>
      <c r="M225" s="166">
        <f>SUMIFS(Продажи!J$5:J$359,Продажи!$D$5:$D$359,Конструкторы!$B225,Продажи!$C$5:$C$359,Конструкторы!$A225)</f>
        <v>0</v>
      </c>
      <c r="N225" s="166">
        <f>SUMIFS(Продажи!K$5:K$359,Продажи!$D$5:$D$359,Конструкторы!$B225,Продажи!$C$5:$C$359,Конструкторы!$A225)</f>
        <v>0</v>
      </c>
      <c r="O225" s="166">
        <f>SUMIFS(Продажи!L$5:L$359,Продажи!$D$5:$D$359,Конструкторы!$B225,Продажи!$C$5:$C$359,Конструкторы!$A225)</f>
        <v>0</v>
      </c>
      <c r="P225" s="166">
        <f>SUMIFS(Продажи!M$5:M$359,Продажи!$D$5:$D$359,Конструкторы!$B225,Продажи!$C$5:$C$359,Конструкторы!$A225)</f>
        <v>0</v>
      </c>
      <c r="Q225" s="166">
        <f>SUMIFS(Продажи!N$5:N$359,Продажи!$D$5:$D$359,Конструкторы!$B225,Продажи!$C$5:$C$359,Конструкторы!$A225)</f>
        <v>0</v>
      </c>
      <c r="R225" s="166">
        <f>SUMIFS(Продажи!O$5:O$359,Продажи!$D$5:$D$359,Конструкторы!$B225,Продажи!$C$5:$C$359,Конструкторы!$A225)</f>
        <v>0</v>
      </c>
      <c r="S225" s="166">
        <f>SUMIFS(Продажи!P$5:P$359,Продажи!$D$5:$D$359,Конструкторы!$B225,Продажи!$C$5:$C$359,Конструкторы!$A225)</f>
        <v>0</v>
      </c>
      <c r="T225" s="166">
        <f>SUMIFS(Продажи!Q$5:Q$359,Продажи!$D$5:$D$359,Конструкторы!$B225,Продажи!$C$5:$C$359,Конструкторы!$A225)</f>
        <v>0</v>
      </c>
    </row>
    <row r="226" spans="1:20" ht="15.75" hidden="1" x14ac:dyDescent="0.25">
      <c r="A226" s="166" t="s">
        <v>397</v>
      </c>
      <c r="B226" s="167" t="s">
        <v>151</v>
      </c>
      <c r="C226" s="33" t="s">
        <v>75</v>
      </c>
      <c r="D226" s="149"/>
      <c r="E226" s="153" t="s">
        <v>70</v>
      </c>
      <c r="F226" s="148">
        <f>32</f>
        <v>32</v>
      </c>
      <c r="G226" s="156" t="s">
        <v>71</v>
      </c>
      <c r="H226" s="156">
        <f>F226</f>
        <v>32</v>
      </c>
      <c r="I226" s="166">
        <f>SUMIFS(Продажи!F$5:F$359,Продажи!$D$5:$D$359,Конструкторы!$B226,Продажи!$C$5:$C$359,Конструкторы!$A226)</f>
        <v>0</v>
      </c>
      <c r="J226" s="166">
        <f>SUMIFS(Продажи!G$5:G$359,Продажи!$D$5:$D$359,Конструкторы!$B226,Продажи!$C$5:$C$359,Конструкторы!$A226)</f>
        <v>0</v>
      </c>
      <c r="K226" s="166">
        <f>SUMIFS(Продажи!H$5:H$359,Продажи!$D$5:$D$359,Конструкторы!$B226,Продажи!$C$5:$C$359,Конструкторы!$A226)</f>
        <v>0</v>
      </c>
      <c r="L226" s="166">
        <f>SUMIFS(Продажи!I$5:I$359,Продажи!$D$5:$D$359,Конструкторы!$B226,Продажи!$C$5:$C$359,Конструкторы!$A226)</f>
        <v>0</v>
      </c>
      <c r="M226" s="166">
        <f>SUMIFS(Продажи!J$5:J$359,Продажи!$D$5:$D$359,Конструкторы!$B226,Продажи!$C$5:$C$359,Конструкторы!$A226)</f>
        <v>0</v>
      </c>
      <c r="N226" s="166">
        <f>SUMIFS(Продажи!K$5:K$359,Продажи!$D$5:$D$359,Конструкторы!$B226,Продажи!$C$5:$C$359,Конструкторы!$A226)</f>
        <v>0</v>
      </c>
      <c r="O226" s="166">
        <f>SUMIFS(Продажи!L$5:L$359,Продажи!$D$5:$D$359,Конструкторы!$B226,Продажи!$C$5:$C$359,Конструкторы!$A226)</f>
        <v>0</v>
      </c>
      <c r="P226" s="166">
        <f>SUMIFS(Продажи!M$5:M$359,Продажи!$D$5:$D$359,Конструкторы!$B226,Продажи!$C$5:$C$359,Конструкторы!$A226)</f>
        <v>0</v>
      </c>
      <c r="Q226" s="166">
        <f>SUMIFS(Продажи!N$5:N$359,Продажи!$D$5:$D$359,Конструкторы!$B226,Продажи!$C$5:$C$359,Конструкторы!$A226)</f>
        <v>0</v>
      </c>
      <c r="R226" s="166">
        <f>SUMIFS(Продажи!O$5:O$359,Продажи!$D$5:$D$359,Конструкторы!$B226,Продажи!$C$5:$C$359,Конструкторы!$A226)</f>
        <v>0</v>
      </c>
      <c r="S226" s="166">
        <f>SUMIFS(Продажи!P$5:P$359,Продажи!$D$5:$D$359,Конструкторы!$B226,Продажи!$C$5:$C$359,Конструкторы!$A226)</f>
        <v>0</v>
      </c>
      <c r="T226" s="166">
        <f>SUMIFS(Продажи!Q$5:Q$359,Продажи!$D$5:$D$359,Конструкторы!$B226,Продажи!$C$5:$C$359,Конструкторы!$A226)</f>
        <v>0</v>
      </c>
    </row>
    <row r="227" spans="1:20" ht="15.75" hidden="1" x14ac:dyDescent="0.25">
      <c r="A227" s="166" t="s">
        <v>397</v>
      </c>
      <c r="B227" s="167" t="s">
        <v>151</v>
      </c>
      <c r="C227" s="33" t="s">
        <v>69</v>
      </c>
      <c r="D227" s="149"/>
      <c r="E227" s="153" t="s">
        <v>70</v>
      </c>
      <c r="F227" s="148">
        <f>15</f>
        <v>15</v>
      </c>
      <c r="G227" s="156" t="s">
        <v>71</v>
      </c>
      <c r="H227" s="156">
        <f>F227</f>
        <v>15</v>
      </c>
      <c r="I227" s="166">
        <f>SUMIFS(Продажи!F$5:F$359,Продажи!$D$5:$D$359,Конструкторы!$B227,Продажи!$C$5:$C$359,Конструкторы!$A227)</f>
        <v>0</v>
      </c>
      <c r="J227" s="166">
        <f>SUMIFS(Продажи!G$5:G$359,Продажи!$D$5:$D$359,Конструкторы!$B227,Продажи!$C$5:$C$359,Конструкторы!$A227)</f>
        <v>0</v>
      </c>
      <c r="K227" s="166">
        <f>SUMIFS(Продажи!H$5:H$359,Продажи!$D$5:$D$359,Конструкторы!$B227,Продажи!$C$5:$C$359,Конструкторы!$A227)</f>
        <v>0</v>
      </c>
      <c r="L227" s="166">
        <f>SUMIFS(Продажи!I$5:I$359,Продажи!$D$5:$D$359,Конструкторы!$B227,Продажи!$C$5:$C$359,Конструкторы!$A227)</f>
        <v>0</v>
      </c>
      <c r="M227" s="166">
        <f>SUMIFS(Продажи!J$5:J$359,Продажи!$D$5:$D$359,Конструкторы!$B227,Продажи!$C$5:$C$359,Конструкторы!$A227)</f>
        <v>0</v>
      </c>
      <c r="N227" s="166">
        <f>SUMIFS(Продажи!K$5:K$359,Продажи!$D$5:$D$359,Конструкторы!$B227,Продажи!$C$5:$C$359,Конструкторы!$A227)</f>
        <v>0</v>
      </c>
      <c r="O227" s="166">
        <f>SUMIFS(Продажи!L$5:L$359,Продажи!$D$5:$D$359,Конструкторы!$B227,Продажи!$C$5:$C$359,Конструкторы!$A227)</f>
        <v>0</v>
      </c>
      <c r="P227" s="166">
        <f>SUMIFS(Продажи!M$5:M$359,Продажи!$D$5:$D$359,Конструкторы!$B227,Продажи!$C$5:$C$359,Конструкторы!$A227)</f>
        <v>0</v>
      </c>
      <c r="Q227" s="166">
        <f>SUMIFS(Продажи!N$5:N$359,Продажи!$D$5:$D$359,Конструкторы!$B227,Продажи!$C$5:$C$359,Конструкторы!$A227)</f>
        <v>0</v>
      </c>
      <c r="R227" s="166">
        <f>SUMIFS(Продажи!O$5:O$359,Продажи!$D$5:$D$359,Конструкторы!$B227,Продажи!$C$5:$C$359,Конструкторы!$A227)</f>
        <v>0</v>
      </c>
      <c r="S227" s="166">
        <f>SUMIFS(Продажи!P$5:P$359,Продажи!$D$5:$D$359,Конструкторы!$B227,Продажи!$C$5:$C$359,Конструкторы!$A227)</f>
        <v>0</v>
      </c>
      <c r="T227" s="166">
        <f>SUMIFS(Продажи!Q$5:Q$359,Продажи!$D$5:$D$359,Конструкторы!$B227,Продажи!$C$5:$C$359,Конструкторы!$A227)</f>
        <v>0</v>
      </c>
    </row>
    <row r="228" spans="1:20" ht="15.75" hidden="1" x14ac:dyDescent="0.25">
      <c r="A228" s="166" t="s">
        <v>397</v>
      </c>
      <c r="B228" s="167" t="s">
        <v>152</v>
      </c>
      <c r="C228" s="129" t="s">
        <v>53</v>
      </c>
      <c r="D228" s="130">
        <v>7038</v>
      </c>
      <c r="E228" s="153" t="s">
        <v>68</v>
      </c>
      <c r="F228" s="156">
        <f>(2.336*103)/100</f>
        <v>2.4060799999999998</v>
      </c>
      <c r="G228" s="156">
        <v>7.007999999999992E-2</v>
      </c>
      <c r="H228" s="156">
        <f>F228+G228</f>
        <v>2.4761599999999997</v>
      </c>
      <c r="I228" s="166">
        <f>SUMIFS(Продажи!F$5:F$359,Продажи!$D$5:$D$359,Конструкторы!$B228,Продажи!$C$5:$C$359,Конструкторы!$A228)</f>
        <v>0</v>
      </c>
      <c r="J228" s="166">
        <f>SUMIFS(Продажи!G$5:G$359,Продажи!$D$5:$D$359,Конструкторы!$B228,Продажи!$C$5:$C$359,Конструкторы!$A228)</f>
        <v>0</v>
      </c>
      <c r="K228" s="166">
        <f>SUMIFS(Продажи!H$5:H$359,Продажи!$D$5:$D$359,Конструкторы!$B228,Продажи!$C$5:$C$359,Конструкторы!$A228)</f>
        <v>0</v>
      </c>
      <c r="L228" s="166">
        <f>SUMIFS(Продажи!I$5:I$359,Продажи!$D$5:$D$359,Конструкторы!$B228,Продажи!$C$5:$C$359,Конструкторы!$A228)</f>
        <v>0</v>
      </c>
      <c r="M228" s="166">
        <f>SUMIFS(Продажи!J$5:J$359,Продажи!$D$5:$D$359,Конструкторы!$B228,Продажи!$C$5:$C$359,Конструкторы!$A228)</f>
        <v>0</v>
      </c>
      <c r="N228" s="166">
        <f>SUMIFS(Продажи!K$5:K$359,Продажи!$D$5:$D$359,Конструкторы!$B228,Продажи!$C$5:$C$359,Конструкторы!$A228)</f>
        <v>0</v>
      </c>
      <c r="O228" s="166">
        <f>SUMIFS(Продажи!L$5:L$359,Продажи!$D$5:$D$359,Конструкторы!$B228,Продажи!$C$5:$C$359,Конструкторы!$A228)</f>
        <v>0</v>
      </c>
      <c r="P228" s="166">
        <f>SUMIFS(Продажи!M$5:M$359,Продажи!$D$5:$D$359,Конструкторы!$B228,Продажи!$C$5:$C$359,Конструкторы!$A228)</f>
        <v>0</v>
      </c>
      <c r="Q228" s="166">
        <f>SUMIFS(Продажи!N$5:N$359,Продажи!$D$5:$D$359,Конструкторы!$B228,Продажи!$C$5:$C$359,Конструкторы!$A228)</f>
        <v>0</v>
      </c>
      <c r="R228" s="166">
        <f>SUMIFS(Продажи!O$5:O$359,Продажи!$D$5:$D$359,Конструкторы!$B228,Продажи!$C$5:$C$359,Конструкторы!$A228)</f>
        <v>0</v>
      </c>
      <c r="S228" s="166">
        <f>SUMIFS(Продажи!P$5:P$359,Продажи!$D$5:$D$359,Конструкторы!$B228,Продажи!$C$5:$C$359,Конструкторы!$A228)</f>
        <v>0</v>
      </c>
      <c r="T228" s="166">
        <f>SUMIFS(Продажи!Q$5:Q$359,Продажи!$D$5:$D$359,Конструкторы!$B228,Продажи!$C$5:$C$359,Конструкторы!$A228)</f>
        <v>0</v>
      </c>
    </row>
    <row r="229" spans="1:20" ht="15.75" hidden="1" x14ac:dyDescent="0.25">
      <c r="A229" s="166" t="s">
        <v>397</v>
      </c>
      <c r="B229" s="167" t="s">
        <v>152</v>
      </c>
      <c r="C229" s="129" t="s">
        <v>52</v>
      </c>
      <c r="D229" s="149"/>
      <c r="E229" s="153" t="s">
        <v>68</v>
      </c>
      <c r="F229" s="156">
        <f>(2.605*103)/100</f>
        <v>2.6831499999999999</v>
      </c>
      <c r="G229" s="156">
        <v>7.8149999999999942E-2</v>
      </c>
      <c r="H229" s="156">
        <f>F229+G229</f>
        <v>2.7612999999999999</v>
      </c>
      <c r="I229" s="166">
        <f>SUMIFS(Продажи!F$5:F$359,Продажи!$D$5:$D$359,Конструкторы!$B229,Продажи!$C$5:$C$359,Конструкторы!$A229)</f>
        <v>0</v>
      </c>
      <c r="J229" s="166">
        <f>SUMIFS(Продажи!G$5:G$359,Продажи!$D$5:$D$359,Конструкторы!$B229,Продажи!$C$5:$C$359,Конструкторы!$A229)</f>
        <v>0</v>
      </c>
      <c r="K229" s="166">
        <f>SUMIFS(Продажи!H$5:H$359,Продажи!$D$5:$D$359,Конструкторы!$B229,Продажи!$C$5:$C$359,Конструкторы!$A229)</f>
        <v>0</v>
      </c>
      <c r="L229" s="166">
        <f>SUMIFS(Продажи!I$5:I$359,Продажи!$D$5:$D$359,Конструкторы!$B229,Продажи!$C$5:$C$359,Конструкторы!$A229)</f>
        <v>0</v>
      </c>
      <c r="M229" s="166">
        <f>SUMIFS(Продажи!J$5:J$359,Продажи!$D$5:$D$359,Конструкторы!$B229,Продажи!$C$5:$C$359,Конструкторы!$A229)</f>
        <v>0</v>
      </c>
      <c r="N229" s="166">
        <f>SUMIFS(Продажи!K$5:K$359,Продажи!$D$5:$D$359,Конструкторы!$B229,Продажи!$C$5:$C$359,Конструкторы!$A229)</f>
        <v>0</v>
      </c>
      <c r="O229" s="166">
        <f>SUMIFS(Продажи!L$5:L$359,Продажи!$D$5:$D$359,Конструкторы!$B229,Продажи!$C$5:$C$359,Конструкторы!$A229)</f>
        <v>0</v>
      </c>
      <c r="P229" s="166">
        <f>SUMIFS(Продажи!M$5:M$359,Продажи!$D$5:$D$359,Конструкторы!$B229,Продажи!$C$5:$C$359,Конструкторы!$A229)</f>
        <v>0</v>
      </c>
      <c r="Q229" s="166">
        <f>SUMIFS(Продажи!N$5:N$359,Продажи!$D$5:$D$359,Конструкторы!$B229,Продажи!$C$5:$C$359,Конструкторы!$A229)</f>
        <v>0</v>
      </c>
      <c r="R229" s="166">
        <f>SUMIFS(Продажи!O$5:O$359,Продажи!$D$5:$D$359,Конструкторы!$B229,Продажи!$C$5:$C$359,Конструкторы!$A229)</f>
        <v>0</v>
      </c>
      <c r="S229" s="166">
        <f>SUMIFS(Продажи!P$5:P$359,Продажи!$D$5:$D$359,Конструкторы!$B229,Продажи!$C$5:$C$359,Конструкторы!$A229)</f>
        <v>0</v>
      </c>
      <c r="T229" s="166">
        <f>SUMIFS(Продажи!Q$5:Q$359,Продажи!$D$5:$D$359,Конструкторы!$B229,Продажи!$C$5:$C$359,Конструкторы!$A229)</f>
        <v>0</v>
      </c>
    </row>
    <row r="230" spans="1:20" ht="15.75" hidden="1" x14ac:dyDescent="0.25">
      <c r="A230" s="166" t="s">
        <v>397</v>
      </c>
      <c r="B230" s="167" t="s">
        <v>152</v>
      </c>
      <c r="C230" s="33" t="s">
        <v>73</v>
      </c>
      <c r="D230" s="149"/>
      <c r="E230" s="153" t="s">
        <v>70</v>
      </c>
      <c r="F230" s="148">
        <v>8</v>
      </c>
      <c r="G230" s="156" t="s">
        <v>71</v>
      </c>
      <c r="H230" s="156">
        <f>F230</f>
        <v>8</v>
      </c>
      <c r="I230" s="166">
        <f>SUMIFS(Продажи!F$5:F$359,Продажи!$D$5:$D$359,Конструкторы!$B230,Продажи!$C$5:$C$359,Конструкторы!$A230)</f>
        <v>0</v>
      </c>
      <c r="J230" s="166">
        <f>SUMIFS(Продажи!G$5:G$359,Продажи!$D$5:$D$359,Конструкторы!$B230,Продажи!$C$5:$C$359,Конструкторы!$A230)</f>
        <v>0</v>
      </c>
      <c r="K230" s="166">
        <f>SUMIFS(Продажи!H$5:H$359,Продажи!$D$5:$D$359,Конструкторы!$B230,Продажи!$C$5:$C$359,Конструкторы!$A230)</f>
        <v>0</v>
      </c>
      <c r="L230" s="166">
        <f>SUMIFS(Продажи!I$5:I$359,Продажи!$D$5:$D$359,Конструкторы!$B230,Продажи!$C$5:$C$359,Конструкторы!$A230)</f>
        <v>0</v>
      </c>
      <c r="M230" s="166">
        <f>SUMIFS(Продажи!J$5:J$359,Продажи!$D$5:$D$359,Конструкторы!$B230,Продажи!$C$5:$C$359,Конструкторы!$A230)</f>
        <v>0</v>
      </c>
      <c r="N230" s="166">
        <f>SUMIFS(Продажи!K$5:K$359,Продажи!$D$5:$D$359,Конструкторы!$B230,Продажи!$C$5:$C$359,Конструкторы!$A230)</f>
        <v>0</v>
      </c>
      <c r="O230" s="166">
        <f>SUMIFS(Продажи!L$5:L$359,Продажи!$D$5:$D$359,Конструкторы!$B230,Продажи!$C$5:$C$359,Конструкторы!$A230)</f>
        <v>0</v>
      </c>
      <c r="P230" s="166">
        <f>SUMIFS(Продажи!M$5:M$359,Продажи!$D$5:$D$359,Конструкторы!$B230,Продажи!$C$5:$C$359,Конструкторы!$A230)</f>
        <v>0</v>
      </c>
      <c r="Q230" s="166">
        <f>SUMIFS(Продажи!N$5:N$359,Продажи!$D$5:$D$359,Конструкторы!$B230,Продажи!$C$5:$C$359,Конструкторы!$A230)</f>
        <v>0</v>
      </c>
      <c r="R230" s="166">
        <f>SUMIFS(Продажи!O$5:O$359,Продажи!$D$5:$D$359,Конструкторы!$B230,Продажи!$C$5:$C$359,Конструкторы!$A230)</f>
        <v>0</v>
      </c>
      <c r="S230" s="166">
        <f>SUMIFS(Продажи!P$5:P$359,Продажи!$D$5:$D$359,Конструкторы!$B230,Продажи!$C$5:$C$359,Конструкторы!$A230)</f>
        <v>0</v>
      </c>
      <c r="T230" s="166">
        <f>SUMIFS(Продажи!Q$5:Q$359,Продажи!$D$5:$D$359,Конструкторы!$B230,Продажи!$C$5:$C$359,Конструкторы!$A230)</f>
        <v>0</v>
      </c>
    </row>
    <row r="231" spans="1:20" ht="15.75" hidden="1" x14ac:dyDescent="0.25">
      <c r="A231" s="166" t="s">
        <v>397</v>
      </c>
      <c r="B231" s="167" t="s">
        <v>152</v>
      </c>
      <c r="C231" s="33" t="s">
        <v>74</v>
      </c>
      <c r="D231" s="149"/>
      <c r="E231" s="153" t="s">
        <v>70</v>
      </c>
      <c r="F231" s="148">
        <v>1</v>
      </c>
      <c r="G231" s="156" t="s">
        <v>71</v>
      </c>
      <c r="H231" s="156">
        <f>F231</f>
        <v>1</v>
      </c>
      <c r="I231" s="166">
        <f>SUMIFS(Продажи!F$5:F$359,Продажи!$D$5:$D$359,Конструкторы!$B231,Продажи!$C$5:$C$359,Конструкторы!$A231)</f>
        <v>0</v>
      </c>
      <c r="J231" s="166">
        <f>SUMIFS(Продажи!G$5:G$359,Продажи!$D$5:$D$359,Конструкторы!$B231,Продажи!$C$5:$C$359,Конструкторы!$A231)</f>
        <v>0</v>
      </c>
      <c r="K231" s="166">
        <f>SUMIFS(Продажи!H$5:H$359,Продажи!$D$5:$D$359,Конструкторы!$B231,Продажи!$C$5:$C$359,Конструкторы!$A231)</f>
        <v>0</v>
      </c>
      <c r="L231" s="166">
        <f>SUMIFS(Продажи!I$5:I$359,Продажи!$D$5:$D$359,Конструкторы!$B231,Продажи!$C$5:$C$359,Конструкторы!$A231)</f>
        <v>0</v>
      </c>
      <c r="M231" s="166">
        <f>SUMIFS(Продажи!J$5:J$359,Продажи!$D$5:$D$359,Конструкторы!$B231,Продажи!$C$5:$C$359,Конструкторы!$A231)</f>
        <v>0</v>
      </c>
      <c r="N231" s="166">
        <f>SUMIFS(Продажи!K$5:K$359,Продажи!$D$5:$D$359,Конструкторы!$B231,Продажи!$C$5:$C$359,Конструкторы!$A231)</f>
        <v>0</v>
      </c>
      <c r="O231" s="166">
        <f>SUMIFS(Продажи!L$5:L$359,Продажи!$D$5:$D$359,Конструкторы!$B231,Продажи!$C$5:$C$359,Конструкторы!$A231)</f>
        <v>0</v>
      </c>
      <c r="P231" s="166">
        <f>SUMIFS(Продажи!M$5:M$359,Продажи!$D$5:$D$359,Конструкторы!$B231,Продажи!$C$5:$C$359,Конструкторы!$A231)</f>
        <v>0</v>
      </c>
      <c r="Q231" s="166">
        <f>SUMIFS(Продажи!N$5:N$359,Продажи!$D$5:$D$359,Конструкторы!$B231,Продажи!$C$5:$C$359,Конструкторы!$A231)</f>
        <v>0</v>
      </c>
      <c r="R231" s="166">
        <f>SUMIFS(Продажи!O$5:O$359,Продажи!$D$5:$D$359,Конструкторы!$B231,Продажи!$C$5:$C$359,Конструкторы!$A231)</f>
        <v>0</v>
      </c>
      <c r="S231" s="166">
        <f>SUMIFS(Продажи!P$5:P$359,Продажи!$D$5:$D$359,Конструкторы!$B231,Продажи!$C$5:$C$359,Конструкторы!$A231)</f>
        <v>0</v>
      </c>
      <c r="T231" s="166">
        <f>SUMIFS(Продажи!Q$5:Q$359,Продажи!$D$5:$D$359,Конструкторы!$B231,Продажи!$C$5:$C$359,Конструкторы!$A231)</f>
        <v>0</v>
      </c>
    </row>
    <row r="232" spans="1:20" ht="15.75" hidden="1" x14ac:dyDescent="0.25">
      <c r="A232" s="166" t="s">
        <v>397</v>
      </c>
      <c r="B232" s="167" t="s">
        <v>152</v>
      </c>
      <c r="C232" s="33" t="s">
        <v>75</v>
      </c>
      <c r="D232" s="149"/>
      <c r="E232" s="153" t="s">
        <v>70</v>
      </c>
      <c r="F232" s="148">
        <f>32</f>
        <v>32</v>
      </c>
      <c r="G232" s="156" t="s">
        <v>71</v>
      </c>
      <c r="H232" s="156">
        <f>F232</f>
        <v>32</v>
      </c>
      <c r="I232" s="166">
        <f>SUMIFS(Продажи!F$5:F$359,Продажи!$D$5:$D$359,Конструкторы!$B232,Продажи!$C$5:$C$359,Конструкторы!$A232)</f>
        <v>0</v>
      </c>
      <c r="J232" s="166">
        <f>SUMIFS(Продажи!G$5:G$359,Продажи!$D$5:$D$359,Конструкторы!$B232,Продажи!$C$5:$C$359,Конструкторы!$A232)</f>
        <v>0</v>
      </c>
      <c r="K232" s="166">
        <f>SUMIFS(Продажи!H$5:H$359,Продажи!$D$5:$D$359,Конструкторы!$B232,Продажи!$C$5:$C$359,Конструкторы!$A232)</f>
        <v>0</v>
      </c>
      <c r="L232" s="166">
        <f>SUMIFS(Продажи!I$5:I$359,Продажи!$D$5:$D$359,Конструкторы!$B232,Продажи!$C$5:$C$359,Конструкторы!$A232)</f>
        <v>0</v>
      </c>
      <c r="M232" s="166">
        <f>SUMIFS(Продажи!J$5:J$359,Продажи!$D$5:$D$359,Конструкторы!$B232,Продажи!$C$5:$C$359,Конструкторы!$A232)</f>
        <v>0</v>
      </c>
      <c r="N232" s="166">
        <f>SUMIFS(Продажи!K$5:K$359,Продажи!$D$5:$D$359,Конструкторы!$B232,Продажи!$C$5:$C$359,Конструкторы!$A232)</f>
        <v>0</v>
      </c>
      <c r="O232" s="166">
        <f>SUMIFS(Продажи!L$5:L$359,Продажи!$D$5:$D$359,Конструкторы!$B232,Продажи!$C$5:$C$359,Конструкторы!$A232)</f>
        <v>0</v>
      </c>
      <c r="P232" s="166">
        <f>SUMIFS(Продажи!M$5:M$359,Продажи!$D$5:$D$359,Конструкторы!$B232,Продажи!$C$5:$C$359,Конструкторы!$A232)</f>
        <v>0</v>
      </c>
      <c r="Q232" s="166">
        <f>SUMIFS(Продажи!N$5:N$359,Продажи!$D$5:$D$359,Конструкторы!$B232,Продажи!$C$5:$C$359,Конструкторы!$A232)</f>
        <v>0</v>
      </c>
      <c r="R232" s="166">
        <f>SUMIFS(Продажи!O$5:O$359,Продажи!$D$5:$D$359,Конструкторы!$B232,Продажи!$C$5:$C$359,Конструкторы!$A232)</f>
        <v>0</v>
      </c>
      <c r="S232" s="166">
        <f>SUMIFS(Продажи!P$5:P$359,Продажи!$D$5:$D$359,Конструкторы!$B232,Продажи!$C$5:$C$359,Конструкторы!$A232)</f>
        <v>0</v>
      </c>
      <c r="T232" s="166">
        <f>SUMIFS(Продажи!Q$5:Q$359,Продажи!$D$5:$D$359,Конструкторы!$B232,Продажи!$C$5:$C$359,Конструкторы!$A232)</f>
        <v>0</v>
      </c>
    </row>
    <row r="233" spans="1:20" ht="15.75" hidden="1" x14ac:dyDescent="0.25">
      <c r="A233" s="166" t="s">
        <v>397</v>
      </c>
      <c r="B233" s="167" t="s">
        <v>152</v>
      </c>
      <c r="C233" s="33" t="s">
        <v>69</v>
      </c>
      <c r="D233" s="149"/>
      <c r="E233" s="153" t="s">
        <v>70</v>
      </c>
      <c r="F233" s="148">
        <f>15</f>
        <v>15</v>
      </c>
      <c r="G233" s="156" t="s">
        <v>71</v>
      </c>
      <c r="H233" s="156">
        <f>F233</f>
        <v>15</v>
      </c>
      <c r="I233" s="166">
        <f>SUMIFS(Продажи!F$5:F$359,Продажи!$D$5:$D$359,Конструкторы!$B233,Продажи!$C$5:$C$359,Конструкторы!$A233)</f>
        <v>0</v>
      </c>
      <c r="J233" s="166">
        <f>SUMIFS(Продажи!G$5:G$359,Продажи!$D$5:$D$359,Конструкторы!$B233,Продажи!$C$5:$C$359,Конструкторы!$A233)</f>
        <v>0</v>
      </c>
      <c r="K233" s="166">
        <f>SUMIFS(Продажи!H$5:H$359,Продажи!$D$5:$D$359,Конструкторы!$B233,Продажи!$C$5:$C$359,Конструкторы!$A233)</f>
        <v>0</v>
      </c>
      <c r="L233" s="166">
        <f>SUMIFS(Продажи!I$5:I$359,Продажи!$D$5:$D$359,Конструкторы!$B233,Продажи!$C$5:$C$359,Конструкторы!$A233)</f>
        <v>0</v>
      </c>
      <c r="M233" s="166">
        <f>SUMIFS(Продажи!J$5:J$359,Продажи!$D$5:$D$359,Конструкторы!$B233,Продажи!$C$5:$C$359,Конструкторы!$A233)</f>
        <v>0</v>
      </c>
      <c r="N233" s="166">
        <f>SUMIFS(Продажи!K$5:K$359,Продажи!$D$5:$D$359,Конструкторы!$B233,Продажи!$C$5:$C$359,Конструкторы!$A233)</f>
        <v>0</v>
      </c>
      <c r="O233" s="166">
        <f>SUMIFS(Продажи!L$5:L$359,Продажи!$D$5:$D$359,Конструкторы!$B233,Продажи!$C$5:$C$359,Конструкторы!$A233)</f>
        <v>0</v>
      </c>
      <c r="P233" s="166">
        <f>SUMIFS(Продажи!M$5:M$359,Продажи!$D$5:$D$359,Конструкторы!$B233,Продажи!$C$5:$C$359,Конструкторы!$A233)</f>
        <v>0</v>
      </c>
      <c r="Q233" s="166">
        <f>SUMIFS(Продажи!N$5:N$359,Продажи!$D$5:$D$359,Конструкторы!$B233,Продажи!$C$5:$C$359,Конструкторы!$A233)</f>
        <v>0</v>
      </c>
      <c r="R233" s="166">
        <f>SUMIFS(Продажи!O$5:O$359,Продажи!$D$5:$D$359,Конструкторы!$B233,Продажи!$C$5:$C$359,Конструкторы!$A233)</f>
        <v>0</v>
      </c>
      <c r="S233" s="166">
        <f>SUMIFS(Продажи!P$5:P$359,Продажи!$D$5:$D$359,Конструкторы!$B233,Продажи!$C$5:$C$359,Конструкторы!$A233)</f>
        <v>0</v>
      </c>
      <c r="T233" s="166">
        <f>SUMIFS(Продажи!Q$5:Q$359,Продажи!$D$5:$D$359,Конструкторы!$B233,Продажи!$C$5:$C$359,Конструкторы!$A233)</f>
        <v>0</v>
      </c>
    </row>
    <row r="234" spans="1:20" ht="15.75" hidden="1" x14ac:dyDescent="0.25">
      <c r="A234" s="166" t="s">
        <v>397</v>
      </c>
      <c r="B234" s="167" t="s">
        <v>153</v>
      </c>
      <c r="C234" s="129" t="s">
        <v>53</v>
      </c>
      <c r="D234" s="130">
        <v>7038</v>
      </c>
      <c r="E234" s="153" t="s">
        <v>68</v>
      </c>
      <c r="F234" s="156">
        <f>(2.336*103)/100</f>
        <v>2.4060799999999998</v>
      </c>
      <c r="G234" s="156">
        <v>7.007999999999992E-2</v>
      </c>
      <c r="H234" s="156">
        <f>F234+G234</f>
        <v>2.4761599999999997</v>
      </c>
      <c r="I234" s="166">
        <f>SUMIFS(Продажи!F$5:F$359,Продажи!$D$5:$D$359,Конструкторы!$B234,Продажи!$C$5:$C$359,Конструкторы!$A234)</f>
        <v>0</v>
      </c>
      <c r="J234" s="166">
        <f>SUMIFS(Продажи!G$5:G$359,Продажи!$D$5:$D$359,Конструкторы!$B234,Продажи!$C$5:$C$359,Конструкторы!$A234)</f>
        <v>0</v>
      </c>
      <c r="K234" s="166">
        <f>SUMIFS(Продажи!H$5:H$359,Продажи!$D$5:$D$359,Конструкторы!$B234,Продажи!$C$5:$C$359,Конструкторы!$A234)</f>
        <v>0</v>
      </c>
      <c r="L234" s="166">
        <f>SUMIFS(Продажи!I$5:I$359,Продажи!$D$5:$D$359,Конструкторы!$B234,Продажи!$C$5:$C$359,Конструкторы!$A234)</f>
        <v>0</v>
      </c>
      <c r="M234" s="166">
        <f>SUMIFS(Продажи!J$5:J$359,Продажи!$D$5:$D$359,Конструкторы!$B234,Продажи!$C$5:$C$359,Конструкторы!$A234)</f>
        <v>0</v>
      </c>
      <c r="N234" s="166">
        <f>SUMIFS(Продажи!K$5:K$359,Продажи!$D$5:$D$359,Конструкторы!$B234,Продажи!$C$5:$C$359,Конструкторы!$A234)</f>
        <v>0</v>
      </c>
      <c r="O234" s="166">
        <f>SUMIFS(Продажи!L$5:L$359,Продажи!$D$5:$D$359,Конструкторы!$B234,Продажи!$C$5:$C$359,Конструкторы!$A234)</f>
        <v>0</v>
      </c>
      <c r="P234" s="166">
        <f>SUMIFS(Продажи!M$5:M$359,Продажи!$D$5:$D$359,Конструкторы!$B234,Продажи!$C$5:$C$359,Конструкторы!$A234)</f>
        <v>0</v>
      </c>
      <c r="Q234" s="166">
        <f>SUMIFS(Продажи!N$5:N$359,Продажи!$D$5:$D$359,Конструкторы!$B234,Продажи!$C$5:$C$359,Конструкторы!$A234)</f>
        <v>0</v>
      </c>
      <c r="R234" s="166">
        <f>SUMIFS(Продажи!O$5:O$359,Продажи!$D$5:$D$359,Конструкторы!$B234,Продажи!$C$5:$C$359,Конструкторы!$A234)</f>
        <v>0</v>
      </c>
      <c r="S234" s="166">
        <f>SUMIFS(Продажи!P$5:P$359,Продажи!$D$5:$D$359,Конструкторы!$B234,Продажи!$C$5:$C$359,Конструкторы!$A234)</f>
        <v>0</v>
      </c>
      <c r="T234" s="166">
        <f>SUMIFS(Продажи!Q$5:Q$359,Продажи!$D$5:$D$359,Конструкторы!$B234,Продажи!$C$5:$C$359,Конструкторы!$A234)</f>
        <v>0</v>
      </c>
    </row>
    <row r="235" spans="1:20" ht="15.75" hidden="1" x14ac:dyDescent="0.25">
      <c r="A235" s="166" t="s">
        <v>397</v>
      </c>
      <c r="B235" s="167" t="s">
        <v>153</v>
      </c>
      <c r="C235" s="129" t="s">
        <v>52</v>
      </c>
      <c r="D235" s="149"/>
      <c r="E235" s="153" t="s">
        <v>68</v>
      </c>
      <c r="F235" s="156">
        <f>(2.312*103)/100</f>
        <v>2.3813599999999999</v>
      </c>
      <c r="G235" s="156">
        <v>6.9360000000000088E-2</v>
      </c>
      <c r="H235" s="156">
        <f>F235+G235</f>
        <v>2.45072</v>
      </c>
      <c r="I235" s="166">
        <f>SUMIFS(Продажи!F$5:F$359,Продажи!$D$5:$D$359,Конструкторы!$B235,Продажи!$C$5:$C$359,Конструкторы!$A235)</f>
        <v>0</v>
      </c>
      <c r="J235" s="166">
        <f>SUMIFS(Продажи!G$5:G$359,Продажи!$D$5:$D$359,Конструкторы!$B235,Продажи!$C$5:$C$359,Конструкторы!$A235)</f>
        <v>0</v>
      </c>
      <c r="K235" s="166">
        <f>SUMIFS(Продажи!H$5:H$359,Продажи!$D$5:$D$359,Конструкторы!$B235,Продажи!$C$5:$C$359,Конструкторы!$A235)</f>
        <v>0</v>
      </c>
      <c r="L235" s="166">
        <f>SUMIFS(Продажи!I$5:I$359,Продажи!$D$5:$D$359,Конструкторы!$B235,Продажи!$C$5:$C$359,Конструкторы!$A235)</f>
        <v>0</v>
      </c>
      <c r="M235" s="166">
        <f>SUMIFS(Продажи!J$5:J$359,Продажи!$D$5:$D$359,Конструкторы!$B235,Продажи!$C$5:$C$359,Конструкторы!$A235)</f>
        <v>0</v>
      </c>
      <c r="N235" s="166">
        <f>SUMIFS(Продажи!K$5:K$359,Продажи!$D$5:$D$359,Конструкторы!$B235,Продажи!$C$5:$C$359,Конструкторы!$A235)</f>
        <v>0</v>
      </c>
      <c r="O235" s="166">
        <f>SUMIFS(Продажи!L$5:L$359,Продажи!$D$5:$D$359,Конструкторы!$B235,Продажи!$C$5:$C$359,Конструкторы!$A235)</f>
        <v>0</v>
      </c>
      <c r="P235" s="166">
        <f>SUMIFS(Продажи!M$5:M$359,Продажи!$D$5:$D$359,Конструкторы!$B235,Продажи!$C$5:$C$359,Конструкторы!$A235)</f>
        <v>0</v>
      </c>
      <c r="Q235" s="166">
        <f>SUMIFS(Продажи!N$5:N$359,Продажи!$D$5:$D$359,Конструкторы!$B235,Продажи!$C$5:$C$359,Конструкторы!$A235)</f>
        <v>0</v>
      </c>
      <c r="R235" s="166">
        <f>SUMIFS(Продажи!O$5:O$359,Продажи!$D$5:$D$359,Конструкторы!$B235,Продажи!$C$5:$C$359,Конструкторы!$A235)</f>
        <v>0</v>
      </c>
      <c r="S235" s="166">
        <f>SUMIFS(Продажи!P$5:P$359,Продажи!$D$5:$D$359,Конструкторы!$B235,Продажи!$C$5:$C$359,Конструкторы!$A235)</f>
        <v>0</v>
      </c>
      <c r="T235" s="166">
        <f>SUMIFS(Продажи!Q$5:Q$359,Продажи!$D$5:$D$359,Конструкторы!$B235,Продажи!$C$5:$C$359,Конструкторы!$A235)</f>
        <v>0</v>
      </c>
    </row>
    <row r="236" spans="1:20" ht="15.75" hidden="1" x14ac:dyDescent="0.25">
      <c r="A236" s="166" t="s">
        <v>397</v>
      </c>
      <c r="B236" s="167" t="s">
        <v>153</v>
      </c>
      <c r="C236" s="33" t="s">
        <v>73</v>
      </c>
      <c r="D236" s="149"/>
      <c r="E236" s="153" t="s">
        <v>70</v>
      </c>
      <c r="F236" s="148">
        <v>8</v>
      </c>
      <c r="G236" s="156" t="s">
        <v>71</v>
      </c>
      <c r="H236" s="156">
        <f>F236</f>
        <v>8</v>
      </c>
      <c r="I236" s="166">
        <f>SUMIFS(Продажи!F$5:F$359,Продажи!$D$5:$D$359,Конструкторы!$B236,Продажи!$C$5:$C$359,Конструкторы!$A236)</f>
        <v>0</v>
      </c>
      <c r="J236" s="166">
        <f>SUMIFS(Продажи!G$5:G$359,Продажи!$D$5:$D$359,Конструкторы!$B236,Продажи!$C$5:$C$359,Конструкторы!$A236)</f>
        <v>0</v>
      </c>
      <c r="K236" s="166">
        <f>SUMIFS(Продажи!H$5:H$359,Продажи!$D$5:$D$359,Конструкторы!$B236,Продажи!$C$5:$C$359,Конструкторы!$A236)</f>
        <v>0</v>
      </c>
      <c r="L236" s="166">
        <f>SUMIFS(Продажи!I$5:I$359,Продажи!$D$5:$D$359,Конструкторы!$B236,Продажи!$C$5:$C$359,Конструкторы!$A236)</f>
        <v>0</v>
      </c>
      <c r="M236" s="166">
        <f>SUMIFS(Продажи!J$5:J$359,Продажи!$D$5:$D$359,Конструкторы!$B236,Продажи!$C$5:$C$359,Конструкторы!$A236)</f>
        <v>0</v>
      </c>
      <c r="N236" s="166">
        <f>SUMIFS(Продажи!K$5:K$359,Продажи!$D$5:$D$359,Конструкторы!$B236,Продажи!$C$5:$C$359,Конструкторы!$A236)</f>
        <v>0</v>
      </c>
      <c r="O236" s="166">
        <f>SUMIFS(Продажи!L$5:L$359,Продажи!$D$5:$D$359,Конструкторы!$B236,Продажи!$C$5:$C$359,Конструкторы!$A236)</f>
        <v>0</v>
      </c>
      <c r="P236" s="166">
        <f>SUMIFS(Продажи!M$5:M$359,Продажи!$D$5:$D$359,Конструкторы!$B236,Продажи!$C$5:$C$359,Конструкторы!$A236)</f>
        <v>0</v>
      </c>
      <c r="Q236" s="166">
        <f>SUMIFS(Продажи!N$5:N$359,Продажи!$D$5:$D$359,Конструкторы!$B236,Продажи!$C$5:$C$359,Конструкторы!$A236)</f>
        <v>0</v>
      </c>
      <c r="R236" s="166">
        <f>SUMIFS(Продажи!O$5:O$359,Продажи!$D$5:$D$359,Конструкторы!$B236,Продажи!$C$5:$C$359,Конструкторы!$A236)</f>
        <v>0</v>
      </c>
      <c r="S236" s="166">
        <f>SUMIFS(Продажи!P$5:P$359,Продажи!$D$5:$D$359,Конструкторы!$B236,Продажи!$C$5:$C$359,Конструкторы!$A236)</f>
        <v>0</v>
      </c>
      <c r="T236" s="166">
        <f>SUMIFS(Продажи!Q$5:Q$359,Продажи!$D$5:$D$359,Конструкторы!$B236,Продажи!$C$5:$C$359,Конструкторы!$A236)</f>
        <v>0</v>
      </c>
    </row>
    <row r="237" spans="1:20" ht="15.75" hidden="1" x14ac:dyDescent="0.25">
      <c r="A237" s="166" t="s">
        <v>397</v>
      </c>
      <c r="B237" s="167" t="s">
        <v>153</v>
      </c>
      <c r="C237" s="33" t="s">
        <v>74</v>
      </c>
      <c r="D237" s="149"/>
      <c r="E237" s="153" t="s">
        <v>70</v>
      </c>
      <c r="F237" s="148">
        <v>1</v>
      </c>
      <c r="G237" s="156" t="s">
        <v>71</v>
      </c>
      <c r="H237" s="156">
        <f>F237</f>
        <v>1</v>
      </c>
      <c r="I237" s="166">
        <f>SUMIFS(Продажи!F$5:F$359,Продажи!$D$5:$D$359,Конструкторы!$B237,Продажи!$C$5:$C$359,Конструкторы!$A237)</f>
        <v>0</v>
      </c>
      <c r="J237" s="166">
        <f>SUMIFS(Продажи!G$5:G$359,Продажи!$D$5:$D$359,Конструкторы!$B237,Продажи!$C$5:$C$359,Конструкторы!$A237)</f>
        <v>0</v>
      </c>
      <c r="K237" s="166">
        <f>SUMIFS(Продажи!H$5:H$359,Продажи!$D$5:$D$359,Конструкторы!$B237,Продажи!$C$5:$C$359,Конструкторы!$A237)</f>
        <v>0</v>
      </c>
      <c r="L237" s="166">
        <f>SUMIFS(Продажи!I$5:I$359,Продажи!$D$5:$D$359,Конструкторы!$B237,Продажи!$C$5:$C$359,Конструкторы!$A237)</f>
        <v>0</v>
      </c>
      <c r="M237" s="166">
        <f>SUMIFS(Продажи!J$5:J$359,Продажи!$D$5:$D$359,Конструкторы!$B237,Продажи!$C$5:$C$359,Конструкторы!$A237)</f>
        <v>0</v>
      </c>
      <c r="N237" s="166">
        <f>SUMIFS(Продажи!K$5:K$359,Продажи!$D$5:$D$359,Конструкторы!$B237,Продажи!$C$5:$C$359,Конструкторы!$A237)</f>
        <v>0</v>
      </c>
      <c r="O237" s="166">
        <f>SUMIFS(Продажи!L$5:L$359,Продажи!$D$5:$D$359,Конструкторы!$B237,Продажи!$C$5:$C$359,Конструкторы!$A237)</f>
        <v>0</v>
      </c>
      <c r="P237" s="166">
        <f>SUMIFS(Продажи!M$5:M$359,Продажи!$D$5:$D$359,Конструкторы!$B237,Продажи!$C$5:$C$359,Конструкторы!$A237)</f>
        <v>0</v>
      </c>
      <c r="Q237" s="166">
        <f>SUMIFS(Продажи!N$5:N$359,Продажи!$D$5:$D$359,Конструкторы!$B237,Продажи!$C$5:$C$359,Конструкторы!$A237)</f>
        <v>0</v>
      </c>
      <c r="R237" s="166">
        <f>SUMIFS(Продажи!O$5:O$359,Продажи!$D$5:$D$359,Конструкторы!$B237,Продажи!$C$5:$C$359,Конструкторы!$A237)</f>
        <v>0</v>
      </c>
      <c r="S237" s="166">
        <f>SUMIFS(Продажи!P$5:P$359,Продажи!$D$5:$D$359,Конструкторы!$B237,Продажи!$C$5:$C$359,Конструкторы!$A237)</f>
        <v>0</v>
      </c>
      <c r="T237" s="166">
        <f>SUMIFS(Продажи!Q$5:Q$359,Продажи!$D$5:$D$359,Конструкторы!$B237,Продажи!$C$5:$C$359,Конструкторы!$A237)</f>
        <v>0</v>
      </c>
    </row>
    <row r="238" spans="1:20" ht="15.75" hidden="1" x14ac:dyDescent="0.25">
      <c r="A238" s="166" t="s">
        <v>397</v>
      </c>
      <c r="B238" s="167" t="s">
        <v>153</v>
      </c>
      <c r="C238" s="33" t="s">
        <v>75</v>
      </c>
      <c r="D238" s="149"/>
      <c r="E238" s="153" t="s">
        <v>70</v>
      </c>
      <c r="F238" s="148">
        <f>32</f>
        <v>32</v>
      </c>
      <c r="G238" s="156" t="s">
        <v>71</v>
      </c>
      <c r="H238" s="156">
        <f>F238</f>
        <v>32</v>
      </c>
      <c r="I238" s="166">
        <f>SUMIFS(Продажи!F$5:F$359,Продажи!$D$5:$D$359,Конструкторы!$B238,Продажи!$C$5:$C$359,Конструкторы!$A238)</f>
        <v>0</v>
      </c>
      <c r="J238" s="166">
        <f>SUMIFS(Продажи!G$5:G$359,Продажи!$D$5:$D$359,Конструкторы!$B238,Продажи!$C$5:$C$359,Конструкторы!$A238)</f>
        <v>0</v>
      </c>
      <c r="K238" s="166">
        <f>SUMIFS(Продажи!H$5:H$359,Продажи!$D$5:$D$359,Конструкторы!$B238,Продажи!$C$5:$C$359,Конструкторы!$A238)</f>
        <v>0</v>
      </c>
      <c r="L238" s="166">
        <f>SUMIFS(Продажи!I$5:I$359,Продажи!$D$5:$D$359,Конструкторы!$B238,Продажи!$C$5:$C$359,Конструкторы!$A238)</f>
        <v>0</v>
      </c>
      <c r="M238" s="166">
        <f>SUMIFS(Продажи!J$5:J$359,Продажи!$D$5:$D$359,Конструкторы!$B238,Продажи!$C$5:$C$359,Конструкторы!$A238)</f>
        <v>0</v>
      </c>
      <c r="N238" s="166">
        <f>SUMIFS(Продажи!K$5:K$359,Продажи!$D$5:$D$359,Конструкторы!$B238,Продажи!$C$5:$C$359,Конструкторы!$A238)</f>
        <v>0</v>
      </c>
      <c r="O238" s="166">
        <f>SUMIFS(Продажи!L$5:L$359,Продажи!$D$5:$D$359,Конструкторы!$B238,Продажи!$C$5:$C$359,Конструкторы!$A238)</f>
        <v>0</v>
      </c>
      <c r="P238" s="166">
        <f>SUMIFS(Продажи!M$5:M$359,Продажи!$D$5:$D$359,Конструкторы!$B238,Продажи!$C$5:$C$359,Конструкторы!$A238)</f>
        <v>0</v>
      </c>
      <c r="Q238" s="166">
        <f>SUMIFS(Продажи!N$5:N$359,Продажи!$D$5:$D$359,Конструкторы!$B238,Продажи!$C$5:$C$359,Конструкторы!$A238)</f>
        <v>0</v>
      </c>
      <c r="R238" s="166">
        <f>SUMIFS(Продажи!O$5:O$359,Продажи!$D$5:$D$359,Конструкторы!$B238,Продажи!$C$5:$C$359,Конструкторы!$A238)</f>
        <v>0</v>
      </c>
      <c r="S238" s="166">
        <f>SUMIFS(Продажи!P$5:P$359,Продажи!$D$5:$D$359,Конструкторы!$B238,Продажи!$C$5:$C$359,Конструкторы!$A238)</f>
        <v>0</v>
      </c>
      <c r="T238" s="166">
        <f>SUMIFS(Продажи!Q$5:Q$359,Продажи!$D$5:$D$359,Конструкторы!$B238,Продажи!$C$5:$C$359,Конструкторы!$A238)</f>
        <v>0</v>
      </c>
    </row>
    <row r="239" spans="1:20" ht="15.75" hidden="1" x14ac:dyDescent="0.25">
      <c r="A239" s="166" t="s">
        <v>397</v>
      </c>
      <c r="B239" s="167" t="s">
        <v>153</v>
      </c>
      <c r="C239" s="33" t="s">
        <v>69</v>
      </c>
      <c r="D239" s="149"/>
      <c r="E239" s="153" t="s">
        <v>70</v>
      </c>
      <c r="F239" s="148">
        <f>15</f>
        <v>15</v>
      </c>
      <c r="G239" s="156" t="s">
        <v>71</v>
      </c>
      <c r="H239" s="156">
        <f>F239</f>
        <v>15</v>
      </c>
      <c r="I239" s="166">
        <f>SUMIFS(Продажи!F$5:F$359,Продажи!$D$5:$D$359,Конструкторы!$B239,Продажи!$C$5:$C$359,Конструкторы!$A239)</f>
        <v>0</v>
      </c>
      <c r="J239" s="166">
        <f>SUMIFS(Продажи!G$5:G$359,Продажи!$D$5:$D$359,Конструкторы!$B239,Продажи!$C$5:$C$359,Конструкторы!$A239)</f>
        <v>0</v>
      </c>
      <c r="K239" s="166">
        <f>SUMIFS(Продажи!H$5:H$359,Продажи!$D$5:$D$359,Конструкторы!$B239,Продажи!$C$5:$C$359,Конструкторы!$A239)</f>
        <v>0</v>
      </c>
      <c r="L239" s="166">
        <f>SUMIFS(Продажи!I$5:I$359,Продажи!$D$5:$D$359,Конструкторы!$B239,Продажи!$C$5:$C$359,Конструкторы!$A239)</f>
        <v>0</v>
      </c>
      <c r="M239" s="166">
        <f>SUMIFS(Продажи!J$5:J$359,Продажи!$D$5:$D$359,Конструкторы!$B239,Продажи!$C$5:$C$359,Конструкторы!$A239)</f>
        <v>0</v>
      </c>
      <c r="N239" s="166">
        <f>SUMIFS(Продажи!K$5:K$359,Продажи!$D$5:$D$359,Конструкторы!$B239,Продажи!$C$5:$C$359,Конструкторы!$A239)</f>
        <v>0</v>
      </c>
      <c r="O239" s="166">
        <f>SUMIFS(Продажи!L$5:L$359,Продажи!$D$5:$D$359,Конструкторы!$B239,Продажи!$C$5:$C$359,Конструкторы!$A239)</f>
        <v>0</v>
      </c>
      <c r="P239" s="166">
        <f>SUMIFS(Продажи!M$5:M$359,Продажи!$D$5:$D$359,Конструкторы!$B239,Продажи!$C$5:$C$359,Конструкторы!$A239)</f>
        <v>0</v>
      </c>
      <c r="Q239" s="166">
        <f>SUMIFS(Продажи!N$5:N$359,Продажи!$D$5:$D$359,Конструкторы!$B239,Продажи!$C$5:$C$359,Конструкторы!$A239)</f>
        <v>0</v>
      </c>
      <c r="R239" s="166">
        <f>SUMIFS(Продажи!O$5:O$359,Продажи!$D$5:$D$359,Конструкторы!$B239,Продажи!$C$5:$C$359,Конструкторы!$A239)</f>
        <v>0</v>
      </c>
      <c r="S239" s="166">
        <f>SUMIFS(Продажи!P$5:P$359,Продажи!$D$5:$D$359,Конструкторы!$B239,Продажи!$C$5:$C$359,Конструкторы!$A239)</f>
        <v>0</v>
      </c>
      <c r="T239" s="166">
        <f>SUMIFS(Продажи!Q$5:Q$359,Продажи!$D$5:$D$359,Конструкторы!$B239,Продажи!$C$5:$C$359,Конструкторы!$A239)</f>
        <v>0</v>
      </c>
    </row>
    <row r="240" spans="1:20" ht="15.75" hidden="1" x14ac:dyDescent="0.25">
      <c r="A240" s="166" t="s">
        <v>397</v>
      </c>
      <c r="B240" s="167" t="s">
        <v>154</v>
      </c>
      <c r="C240" s="129" t="s">
        <v>53</v>
      </c>
      <c r="D240" s="130">
        <v>7038</v>
      </c>
      <c r="E240" s="153" t="s">
        <v>68</v>
      </c>
      <c r="F240" s="156">
        <f>(2.336*103)/100</f>
        <v>2.4060799999999998</v>
      </c>
      <c r="G240" s="156">
        <v>7.007999999999992E-2</v>
      </c>
      <c r="H240" s="156">
        <f>F240+G240</f>
        <v>2.4761599999999997</v>
      </c>
      <c r="I240" s="166">
        <f>SUMIFS(Продажи!F$5:F$359,Продажи!$D$5:$D$359,Конструкторы!$B240,Продажи!$C$5:$C$359,Конструкторы!$A240)</f>
        <v>0</v>
      </c>
      <c r="J240" s="166">
        <f>SUMIFS(Продажи!G$5:G$359,Продажи!$D$5:$D$359,Конструкторы!$B240,Продажи!$C$5:$C$359,Конструкторы!$A240)</f>
        <v>0</v>
      </c>
      <c r="K240" s="166">
        <f>SUMIFS(Продажи!H$5:H$359,Продажи!$D$5:$D$359,Конструкторы!$B240,Продажи!$C$5:$C$359,Конструкторы!$A240)</f>
        <v>0</v>
      </c>
      <c r="L240" s="166">
        <f>SUMIFS(Продажи!I$5:I$359,Продажи!$D$5:$D$359,Конструкторы!$B240,Продажи!$C$5:$C$359,Конструкторы!$A240)</f>
        <v>0</v>
      </c>
      <c r="M240" s="166">
        <f>SUMIFS(Продажи!J$5:J$359,Продажи!$D$5:$D$359,Конструкторы!$B240,Продажи!$C$5:$C$359,Конструкторы!$A240)</f>
        <v>0</v>
      </c>
      <c r="N240" s="166">
        <f>SUMIFS(Продажи!K$5:K$359,Продажи!$D$5:$D$359,Конструкторы!$B240,Продажи!$C$5:$C$359,Конструкторы!$A240)</f>
        <v>0</v>
      </c>
      <c r="O240" s="166">
        <f>SUMIFS(Продажи!L$5:L$359,Продажи!$D$5:$D$359,Конструкторы!$B240,Продажи!$C$5:$C$359,Конструкторы!$A240)</f>
        <v>0</v>
      </c>
      <c r="P240" s="166">
        <f>SUMIFS(Продажи!M$5:M$359,Продажи!$D$5:$D$359,Конструкторы!$B240,Продажи!$C$5:$C$359,Конструкторы!$A240)</f>
        <v>0</v>
      </c>
      <c r="Q240" s="166">
        <f>SUMIFS(Продажи!N$5:N$359,Продажи!$D$5:$D$359,Конструкторы!$B240,Продажи!$C$5:$C$359,Конструкторы!$A240)</f>
        <v>0</v>
      </c>
      <c r="R240" s="166">
        <f>SUMIFS(Продажи!O$5:O$359,Продажи!$D$5:$D$359,Конструкторы!$B240,Продажи!$C$5:$C$359,Конструкторы!$A240)</f>
        <v>0</v>
      </c>
      <c r="S240" s="166">
        <f>SUMIFS(Продажи!P$5:P$359,Продажи!$D$5:$D$359,Конструкторы!$B240,Продажи!$C$5:$C$359,Конструкторы!$A240)</f>
        <v>0</v>
      </c>
      <c r="T240" s="166">
        <f>SUMIFS(Продажи!Q$5:Q$359,Продажи!$D$5:$D$359,Конструкторы!$B240,Продажи!$C$5:$C$359,Конструкторы!$A240)</f>
        <v>0</v>
      </c>
    </row>
    <row r="241" spans="1:20" ht="15.75" hidden="1" x14ac:dyDescent="0.25">
      <c r="A241" s="166" t="s">
        <v>397</v>
      </c>
      <c r="B241" s="167" t="s">
        <v>154</v>
      </c>
      <c r="C241" s="129" t="s">
        <v>52</v>
      </c>
      <c r="D241" s="149"/>
      <c r="E241" s="153" t="s">
        <v>68</v>
      </c>
      <c r="F241" s="156">
        <f>(2.945*103)/100</f>
        <v>3.03335</v>
      </c>
      <c r="G241" s="156">
        <v>8.8350000000000151E-2</v>
      </c>
      <c r="H241" s="156">
        <f>F241+G241</f>
        <v>3.1217000000000001</v>
      </c>
      <c r="I241" s="166">
        <f>SUMIFS(Продажи!F$5:F$359,Продажи!$D$5:$D$359,Конструкторы!$B241,Продажи!$C$5:$C$359,Конструкторы!$A241)</f>
        <v>0</v>
      </c>
      <c r="J241" s="166">
        <f>SUMIFS(Продажи!G$5:G$359,Продажи!$D$5:$D$359,Конструкторы!$B241,Продажи!$C$5:$C$359,Конструкторы!$A241)</f>
        <v>0</v>
      </c>
      <c r="K241" s="166">
        <f>SUMIFS(Продажи!H$5:H$359,Продажи!$D$5:$D$359,Конструкторы!$B241,Продажи!$C$5:$C$359,Конструкторы!$A241)</f>
        <v>0</v>
      </c>
      <c r="L241" s="166">
        <f>SUMIFS(Продажи!I$5:I$359,Продажи!$D$5:$D$359,Конструкторы!$B241,Продажи!$C$5:$C$359,Конструкторы!$A241)</f>
        <v>0</v>
      </c>
      <c r="M241" s="166">
        <f>SUMIFS(Продажи!J$5:J$359,Продажи!$D$5:$D$359,Конструкторы!$B241,Продажи!$C$5:$C$359,Конструкторы!$A241)</f>
        <v>0</v>
      </c>
      <c r="N241" s="166">
        <f>SUMIFS(Продажи!K$5:K$359,Продажи!$D$5:$D$359,Конструкторы!$B241,Продажи!$C$5:$C$359,Конструкторы!$A241)</f>
        <v>0</v>
      </c>
      <c r="O241" s="166">
        <f>SUMIFS(Продажи!L$5:L$359,Продажи!$D$5:$D$359,Конструкторы!$B241,Продажи!$C$5:$C$359,Конструкторы!$A241)</f>
        <v>0</v>
      </c>
      <c r="P241" s="166">
        <f>SUMIFS(Продажи!M$5:M$359,Продажи!$D$5:$D$359,Конструкторы!$B241,Продажи!$C$5:$C$359,Конструкторы!$A241)</f>
        <v>0</v>
      </c>
      <c r="Q241" s="166">
        <f>SUMIFS(Продажи!N$5:N$359,Продажи!$D$5:$D$359,Конструкторы!$B241,Продажи!$C$5:$C$359,Конструкторы!$A241)</f>
        <v>0</v>
      </c>
      <c r="R241" s="166">
        <f>SUMIFS(Продажи!O$5:O$359,Продажи!$D$5:$D$359,Конструкторы!$B241,Продажи!$C$5:$C$359,Конструкторы!$A241)</f>
        <v>0</v>
      </c>
      <c r="S241" s="166">
        <f>SUMIFS(Продажи!P$5:P$359,Продажи!$D$5:$D$359,Конструкторы!$B241,Продажи!$C$5:$C$359,Конструкторы!$A241)</f>
        <v>0</v>
      </c>
      <c r="T241" s="166">
        <f>SUMIFS(Продажи!Q$5:Q$359,Продажи!$D$5:$D$359,Конструкторы!$B241,Продажи!$C$5:$C$359,Конструкторы!$A241)</f>
        <v>0</v>
      </c>
    </row>
    <row r="242" spans="1:20" ht="15.75" hidden="1" x14ac:dyDescent="0.25">
      <c r="A242" s="166" t="s">
        <v>397</v>
      </c>
      <c r="B242" s="167" t="s">
        <v>154</v>
      </c>
      <c r="C242" s="33" t="s">
        <v>73</v>
      </c>
      <c r="D242" s="149"/>
      <c r="E242" s="153" t="s">
        <v>70</v>
      </c>
      <c r="F242" s="148">
        <v>8</v>
      </c>
      <c r="G242" s="156" t="s">
        <v>71</v>
      </c>
      <c r="H242" s="156">
        <f>F242</f>
        <v>8</v>
      </c>
      <c r="I242" s="166">
        <f>SUMIFS(Продажи!F$5:F$359,Продажи!$D$5:$D$359,Конструкторы!$B242,Продажи!$C$5:$C$359,Конструкторы!$A242)</f>
        <v>0</v>
      </c>
      <c r="J242" s="166">
        <f>SUMIFS(Продажи!G$5:G$359,Продажи!$D$5:$D$359,Конструкторы!$B242,Продажи!$C$5:$C$359,Конструкторы!$A242)</f>
        <v>0</v>
      </c>
      <c r="K242" s="166">
        <f>SUMIFS(Продажи!H$5:H$359,Продажи!$D$5:$D$359,Конструкторы!$B242,Продажи!$C$5:$C$359,Конструкторы!$A242)</f>
        <v>0</v>
      </c>
      <c r="L242" s="166">
        <f>SUMIFS(Продажи!I$5:I$359,Продажи!$D$5:$D$359,Конструкторы!$B242,Продажи!$C$5:$C$359,Конструкторы!$A242)</f>
        <v>0</v>
      </c>
      <c r="M242" s="166">
        <f>SUMIFS(Продажи!J$5:J$359,Продажи!$D$5:$D$359,Конструкторы!$B242,Продажи!$C$5:$C$359,Конструкторы!$A242)</f>
        <v>0</v>
      </c>
      <c r="N242" s="166">
        <f>SUMIFS(Продажи!K$5:K$359,Продажи!$D$5:$D$359,Конструкторы!$B242,Продажи!$C$5:$C$359,Конструкторы!$A242)</f>
        <v>0</v>
      </c>
      <c r="O242" s="166">
        <f>SUMIFS(Продажи!L$5:L$359,Продажи!$D$5:$D$359,Конструкторы!$B242,Продажи!$C$5:$C$359,Конструкторы!$A242)</f>
        <v>0</v>
      </c>
      <c r="P242" s="166">
        <f>SUMIFS(Продажи!M$5:M$359,Продажи!$D$5:$D$359,Конструкторы!$B242,Продажи!$C$5:$C$359,Конструкторы!$A242)</f>
        <v>0</v>
      </c>
      <c r="Q242" s="166">
        <f>SUMIFS(Продажи!N$5:N$359,Продажи!$D$5:$D$359,Конструкторы!$B242,Продажи!$C$5:$C$359,Конструкторы!$A242)</f>
        <v>0</v>
      </c>
      <c r="R242" s="166">
        <f>SUMIFS(Продажи!O$5:O$359,Продажи!$D$5:$D$359,Конструкторы!$B242,Продажи!$C$5:$C$359,Конструкторы!$A242)</f>
        <v>0</v>
      </c>
      <c r="S242" s="166">
        <f>SUMIFS(Продажи!P$5:P$359,Продажи!$D$5:$D$359,Конструкторы!$B242,Продажи!$C$5:$C$359,Конструкторы!$A242)</f>
        <v>0</v>
      </c>
      <c r="T242" s="166">
        <f>SUMIFS(Продажи!Q$5:Q$359,Продажи!$D$5:$D$359,Конструкторы!$B242,Продажи!$C$5:$C$359,Конструкторы!$A242)</f>
        <v>0</v>
      </c>
    </row>
    <row r="243" spans="1:20" ht="15.75" hidden="1" x14ac:dyDescent="0.25">
      <c r="A243" s="166" t="s">
        <v>397</v>
      </c>
      <c r="B243" s="167" t="s">
        <v>154</v>
      </c>
      <c r="C243" s="33" t="s">
        <v>74</v>
      </c>
      <c r="D243" s="149"/>
      <c r="E243" s="153" t="s">
        <v>70</v>
      </c>
      <c r="F243" s="148">
        <v>1</v>
      </c>
      <c r="G243" s="156" t="s">
        <v>71</v>
      </c>
      <c r="H243" s="156">
        <f>F243</f>
        <v>1</v>
      </c>
      <c r="I243" s="166">
        <f>SUMIFS(Продажи!F$5:F$359,Продажи!$D$5:$D$359,Конструкторы!$B243,Продажи!$C$5:$C$359,Конструкторы!$A243)</f>
        <v>0</v>
      </c>
      <c r="J243" s="166">
        <f>SUMIFS(Продажи!G$5:G$359,Продажи!$D$5:$D$359,Конструкторы!$B243,Продажи!$C$5:$C$359,Конструкторы!$A243)</f>
        <v>0</v>
      </c>
      <c r="K243" s="166">
        <f>SUMIFS(Продажи!H$5:H$359,Продажи!$D$5:$D$359,Конструкторы!$B243,Продажи!$C$5:$C$359,Конструкторы!$A243)</f>
        <v>0</v>
      </c>
      <c r="L243" s="166">
        <f>SUMIFS(Продажи!I$5:I$359,Продажи!$D$5:$D$359,Конструкторы!$B243,Продажи!$C$5:$C$359,Конструкторы!$A243)</f>
        <v>0</v>
      </c>
      <c r="M243" s="166">
        <f>SUMIFS(Продажи!J$5:J$359,Продажи!$D$5:$D$359,Конструкторы!$B243,Продажи!$C$5:$C$359,Конструкторы!$A243)</f>
        <v>0</v>
      </c>
      <c r="N243" s="166">
        <f>SUMIFS(Продажи!K$5:K$359,Продажи!$D$5:$D$359,Конструкторы!$B243,Продажи!$C$5:$C$359,Конструкторы!$A243)</f>
        <v>0</v>
      </c>
      <c r="O243" s="166">
        <f>SUMIFS(Продажи!L$5:L$359,Продажи!$D$5:$D$359,Конструкторы!$B243,Продажи!$C$5:$C$359,Конструкторы!$A243)</f>
        <v>0</v>
      </c>
      <c r="P243" s="166">
        <f>SUMIFS(Продажи!M$5:M$359,Продажи!$D$5:$D$359,Конструкторы!$B243,Продажи!$C$5:$C$359,Конструкторы!$A243)</f>
        <v>0</v>
      </c>
      <c r="Q243" s="166">
        <f>SUMIFS(Продажи!N$5:N$359,Продажи!$D$5:$D$359,Конструкторы!$B243,Продажи!$C$5:$C$359,Конструкторы!$A243)</f>
        <v>0</v>
      </c>
      <c r="R243" s="166">
        <f>SUMIFS(Продажи!O$5:O$359,Продажи!$D$5:$D$359,Конструкторы!$B243,Продажи!$C$5:$C$359,Конструкторы!$A243)</f>
        <v>0</v>
      </c>
      <c r="S243" s="166">
        <f>SUMIFS(Продажи!P$5:P$359,Продажи!$D$5:$D$359,Конструкторы!$B243,Продажи!$C$5:$C$359,Конструкторы!$A243)</f>
        <v>0</v>
      </c>
      <c r="T243" s="166">
        <f>SUMIFS(Продажи!Q$5:Q$359,Продажи!$D$5:$D$359,Конструкторы!$B243,Продажи!$C$5:$C$359,Конструкторы!$A243)</f>
        <v>0</v>
      </c>
    </row>
    <row r="244" spans="1:20" ht="15.75" hidden="1" x14ac:dyDescent="0.25">
      <c r="A244" s="166" t="s">
        <v>397</v>
      </c>
      <c r="B244" s="167" t="s">
        <v>154</v>
      </c>
      <c r="C244" s="33" t="s">
        <v>75</v>
      </c>
      <c r="D244" s="149"/>
      <c r="E244" s="153" t="s">
        <v>70</v>
      </c>
      <c r="F244" s="148">
        <f>32</f>
        <v>32</v>
      </c>
      <c r="G244" s="156" t="s">
        <v>71</v>
      </c>
      <c r="H244" s="156">
        <f>F244</f>
        <v>32</v>
      </c>
      <c r="I244" s="166">
        <f>SUMIFS(Продажи!F$5:F$359,Продажи!$D$5:$D$359,Конструкторы!$B244,Продажи!$C$5:$C$359,Конструкторы!$A244)</f>
        <v>0</v>
      </c>
      <c r="J244" s="166">
        <f>SUMIFS(Продажи!G$5:G$359,Продажи!$D$5:$D$359,Конструкторы!$B244,Продажи!$C$5:$C$359,Конструкторы!$A244)</f>
        <v>0</v>
      </c>
      <c r="K244" s="166">
        <f>SUMIFS(Продажи!H$5:H$359,Продажи!$D$5:$D$359,Конструкторы!$B244,Продажи!$C$5:$C$359,Конструкторы!$A244)</f>
        <v>0</v>
      </c>
      <c r="L244" s="166">
        <f>SUMIFS(Продажи!I$5:I$359,Продажи!$D$5:$D$359,Конструкторы!$B244,Продажи!$C$5:$C$359,Конструкторы!$A244)</f>
        <v>0</v>
      </c>
      <c r="M244" s="166">
        <f>SUMIFS(Продажи!J$5:J$359,Продажи!$D$5:$D$359,Конструкторы!$B244,Продажи!$C$5:$C$359,Конструкторы!$A244)</f>
        <v>0</v>
      </c>
      <c r="N244" s="166">
        <f>SUMIFS(Продажи!K$5:K$359,Продажи!$D$5:$D$359,Конструкторы!$B244,Продажи!$C$5:$C$359,Конструкторы!$A244)</f>
        <v>0</v>
      </c>
      <c r="O244" s="166">
        <f>SUMIFS(Продажи!L$5:L$359,Продажи!$D$5:$D$359,Конструкторы!$B244,Продажи!$C$5:$C$359,Конструкторы!$A244)</f>
        <v>0</v>
      </c>
      <c r="P244" s="166">
        <f>SUMIFS(Продажи!M$5:M$359,Продажи!$D$5:$D$359,Конструкторы!$B244,Продажи!$C$5:$C$359,Конструкторы!$A244)</f>
        <v>0</v>
      </c>
      <c r="Q244" s="166">
        <f>SUMIFS(Продажи!N$5:N$359,Продажи!$D$5:$D$359,Конструкторы!$B244,Продажи!$C$5:$C$359,Конструкторы!$A244)</f>
        <v>0</v>
      </c>
      <c r="R244" s="166">
        <f>SUMIFS(Продажи!O$5:O$359,Продажи!$D$5:$D$359,Конструкторы!$B244,Продажи!$C$5:$C$359,Конструкторы!$A244)</f>
        <v>0</v>
      </c>
      <c r="S244" s="166">
        <f>SUMIFS(Продажи!P$5:P$359,Продажи!$D$5:$D$359,Конструкторы!$B244,Продажи!$C$5:$C$359,Конструкторы!$A244)</f>
        <v>0</v>
      </c>
      <c r="T244" s="166">
        <f>SUMIFS(Продажи!Q$5:Q$359,Продажи!$D$5:$D$359,Конструкторы!$B244,Продажи!$C$5:$C$359,Конструкторы!$A244)</f>
        <v>0</v>
      </c>
    </row>
    <row r="245" spans="1:20" ht="15.75" hidden="1" x14ac:dyDescent="0.25">
      <c r="A245" s="166" t="s">
        <v>397</v>
      </c>
      <c r="B245" s="167" t="s">
        <v>154</v>
      </c>
      <c r="C245" s="33" t="s">
        <v>69</v>
      </c>
      <c r="D245" s="149"/>
      <c r="E245" s="153" t="s">
        <v>70</v>
      </c>
      <c r="F245" s="148">
        <f>15</f>
        <v>15</v>
      </c>
      <c r="G245" s="156" t="s">
        <v>71</v>
      </c>
      <c r="H245" s="156">
        <f>F245</f>
        <v>15</v>
      </c>
      <c r="I245" s="166">
        <f>SUMIFS(Продажи!F$5:F$359,Продажи!$D$5:$D$359,Конструкторы!$B245,Продажи!$C$5:$C$359,Конструкторы!$A245)</f>
        <v>0</v>
      </c>
      <c r="J245" s="166">
        <f>SUMIFS(Продажи!G$5:G$359,Продажи!$D$5:$D$359,Конструкторы!$B245,Продажи!$C$5:$C$359,Конструкторы!$A245)</f>
        <v>0</v>
      </c>
      <c r="K245" s="166">
        <f>SUMIFS(Продажи!H$5:H$359,Продажи!$D$5:$D$359,Конструкторы!$B245,Продажи!$C$5:$C$359,Конструкторы!$A245)</f>
        <v>0</v>
      </c>
      <c r="L245" s="166">
        <f>SUMIFS(Продажи!I$5:I$359,Продажи!$D$5:$D$359,Конструкторы!$B245,Продажи!$C$5:$C$359,Конструкторы!$A245)</f>
        <v>0</v>
      </c>
      <c r="M245" s="166">
        <f>SUMIFS(Продажи!J$5:J$359,Продажи!$D$5:$D$359,Конструкторы!$B245,Продажи!$C$5:$C$359,Конструкторы!$A245)</f>
        <v>0</v>
      </c>
      <c r="N245" s="166">
        <f>SUMIFS(Продажи!K$5:K$359,Продажи!$D$5:$D$359,Конструкторы!$B245,Продажи!$C$5:$C$359,Конструкторы!$A245)</f>
        <v>0</v>
      </c>
      <c r="O245" s="166">
        <f>SUMIFS(Продажи!L$5:L$359,Продажи!$D$5:$D$359,Конструкторы!$B245,Продажи!$C$5:$C$359,Конструкторы!$A245)</f>
        <v>0</v>
      </c>
      <c r="P245" s="166">
        <f>SUMIFS(Продажи!M$5:M$359,Продажи!$D$5:$D$359,Конструкторы!$B245,Продажи!$C$5:$C$359,Конструкторы!$A245)</f>
        <v>0</v>
      </c>
      <c r="Q245" s="166">
        <f>SUMIFS(Продажи!N$5:N$359,Продажи!$D$5:$D$359,Конструкторы!$B245,Продажи!$C$5:$C$359,Конструкторы!$A245)</f>
        <v>0</v>
      </c>
      <c r="R245" s="166">
        <f>SUMIFS(Продажи!O$5:O$359,Продажи!$D$5:$D$359,Конструкторы!$B245,Продажи!$C$5:$C$359,Конструкторы!$A245)</f>
        <v>0</v>
      </c>
      <c r="S245" s="166">
        <f>SUMIFS(Продажи!P$5:P$359,Продажи!$D$5:$D$359,Конструкторы!$B245,Продажи!$C$5:$C$359,Конструкторы!$A245)</f>
        <v>0</v>
      </c>
      <c r="T245" s="166">
        <f>SUMIFS(Продажи!Q$5:Q$359,Продажи!$D$5:$D$359,Конструкторы!$B245,Продажи!$C$5:$C$359,Конструкторы!$A245)</f>
        <v>0</v>
      </c>
    </row>
    <row r="246" spans="1:20" ht="15.75" hidden="1" x14ac:dyDescent="0.25">
      <c r="A246" s="166" t="s">
        <v>397</v>
      </c>
      <c r="B246" s="167" t="s">
        <v>155</v>
      </c>
      <c r="C246" s="129" t="s">
        <v>53</v>
      </c>
      <c r="D246" s="130">
        <v>7038</v>
      </c>
      <c r="E246" s="153" t="s">
        <v>68</v>
      </c>
      <c r="F246" s="156">
        <f>(2.336*103)/100</f>
        <v>2.4060799999999998</v>
      </c>
      <c r="G246" s="156">
        <v>7.007999999999992E-2</v>
      </c>
      <c r="H246" s="156">
        <f>F246+G246</f>
        <v>2.4761599999999997</v>
      </c>
      <c r="I246" s="166">
        <f>SUMIFS(Продажи!F$5:F$359,Продажи!$D$5:$D$359,Конструкторы!$B246,Продажи!$C$5:$C$359,Конструкторы!$A246)</f>
        <v>0</v>
      </c>
      <c r="J246" s="166">
        <f>SUMIFS(Продажи!G$5:G$359,Продажи!$D$5:$D$359,Конструкторы!$B246,Продажи!$C$5:$C$359,Конструкторы!$A246)</f>
        <v>0</v>
      </c>
      <c r="K246" s="166">
        <f>SUMIFS(Продажи!H$5:H$359,Продажи!$D$5:$D$359,Конструкторы!$B246,Продажи!$C$5:$C$359,Конструкторы!$A246)</f>
        <v>0</v>
      </c>
      <c r="L246" s="166">
        <f>SUMIFS(Продажи!I$5:I$359,Продажи!$D$5:$D$359,Конструкторы!$B246,Продажи!$C$5:$C$359,Конструкторы!$A246)</f>
        <v>0</v>
      </c>
      <c r="M246" s="166">
        <f>SUMIFS(Продажи!J$5:J$359,Продажи!$D$5:$D$359,Конструкторы!$B246,Продажи!$C$5:$C$359,Конструкторы!$A246)</f>
        <v>0</v>
      </c>
      <c r="N246" s="166">
        <f>SUMIFS(Продажи!K$5:K$359,Продажи!$D$5:$D$359,Конструкторы!$B246,Продажи!$C$5:$C$359,Конструкторы!$A246)</f>
        <v>0</v>
      </c>
      <c r="O246" s="166">
        <f>SUMIFS(Продажи!L$5:L$359,Продажи!$D$5:$D$359,Конструкторы!$B246,Продажи!$C$5:$C$359,Конструкторы!$A246)</f>
        <v>0</v>
      </c>
      <c r="P246" s="166">
        <f>SUMIFS(Продажи!M$5:M$359,Продажи!$D$5:$D$359,Конструкторы!$B246,Продажи!$C$5:$C$359,Конструкторы!$A246)</f>
        <v>0</v>
      </c>
      <c r="Q246" s="166">
        <f>SUMIFS(Продажи!N$5:N$359,Продажи!$D$5:$D$359,Конструкторы!$B246,Продажи!$C$5:$C$359,Конструкторы!$A246)</f>
        <v>0</v>
      </c>
      <c r="R246" s="166">
        <f>SUMIFS(Продажи!O$5:O$359,Продажи!$D$5:$D$359,Конструкторы!$B246,Продажи!$C$5:$C$359,Конструкторы!$A246)</f>
        <v>0</v>
      </c>
      <c r="S246" s="166">
        <f>SUMIFS(Продажи!P$5:P$359,Продажи!$D$5:$D$359,Конструкторы!$B246,Продажи!$C$5:$C$359,Конструкторы!$A246)</f>
        <v>0</v>
      </c>
      <c r="T246" s="166">
        <f>SUMIFS(Продажи!Q$5:Q$359,Продажи!$D$5:$D$359,Конструкторы!$B246,Продажи!$C$5:$C$359,Конструкторы!$A246)</f>
        <v>0</v>
      </c>
    </row>
    <row r="247" spans="1:20" ht="15.75" hidden="1" x14ac:dyDescent="0.25">
      <c r="A247" s="166" t="s">
        <v>397</v>
      </c>
      <c r="B247" s="167" t="s">
        <v>155</v>
      </c>
      <c r="C247" s="129" t="s">
        <v>52</v>
      </c>
      <c r="D247" s="149"/>
      <c r="E247" s="153" t="s">
        <v>68</v>
      </c>
      <c r="F247" s="156">
        <f>(2.881*103)/100</f>
        <v>2.9674299999999998</v>
      </c>
      <c r="G247" s="156">
        <v>8.6430000000000007E-2</v>
      </c>
      <c r="H247" s="156">
        <f>F247+G247</f>
        <v>3.0538599999999998</v>
      </c>
      <c r="I247" s="166">
        <f>SUMIFS(Продажи!F$5:F$359,Продажи!$D$5:$D$359,Конструкторы!$B247,Продажи!$C$5:$C$359,Конструкторы!$A247)</f>
        <v>0</v>
      </c>
      <c r="J247" s="166">
        <f>SUMIFS(Продажи!G$5:G$359,Продажи!$D$5:$D$359,Конструкторы!$B247,Продажи!$C$5:$C$359,Конструкторы!$A247)</f>
        <v>0</v>
      </c>
      <c r="K247" s="166">
        <f>SUMIFS(Продажи!H$5:H$359,Продажи!$D$5:$D$359,Конструкторы!$B247,Продажи!$C$5:$C$359,Конструкторы!$A247)</f>
        <v>0</v>
      </c>
      <c r="L247" s="166">
        <f>SUMIFS(Продажи!I$5:I$359,Продажи!$D$5:$D$359,Конструкторы!$B247,Продажи!$C$5:$C$359,Конструкторы!$A247)</f>
        <v>0</v>
      </c>
      <c r="M247" s="166">
        <f>SUMIFS(Продажи!J$5:J$359,Продажи!$D$5:$D$359,Конструкторы!$B247,Продажи!$C$5:$C$359,Конструкторы!$A247)</f>
        <v>0</v>
      </c>
      <c r="N247" s="166">
        <f>SUMIFS(Продажи!K$5:K$359,Продажи!$D$5:$D$359,Конструкторы!$B247,Продажи!$C$5:$C$359,Конструкторы!$A247)</f>
        <v>0</v>
      </c>
      <c r="O247" s="166">
        <f>SUMIFS(Продажи!L$5:L$359,Продажи!$D$5:$D$359,Конструкторы!$B247,Продажи!$C$5:$C$359,Конструкторы!$A247)</f>
        <v>0</v>
      </c>
      <c r="P247" s="166">
        <f>SUMIFS(Продажи!M$5:M$359,Продажи!$D$5:$D$359,Конструкторы!$B247,Продажи!$C$5:$C$359,Конструкторы!$A247)</f>
        <v>0</v>
      </c>
      <c r="Q247" s="166">
        <f>SUMIFS(Продажи!N$5:N$359,Продажи!$D$5:$D$359,Конструкторы!$B247,Продажи!$C$5:$C$359,Конструкторы!$A247)</f>
        <v>0</v>
      </c>
      <c r="R247" s="166">
        <f>SUMIFS(Продажи!O$5:O$359,Продажи!$D$5:$D$359,Конструкторы!$B247,Продажи!$C$5:$C$359,Конструкторы!$A247)</f>
        <v>0</v>
      </c>
      <c r="S247" s="166">
        <f>SUMIFS(Продажи!P$5:P$359,Продажи!$D$5:$D$359,Конструкторы!$B247,Продажи!$C$5:$C$359,Конструкторы!$A247)</f>
        <v>0</v>
      </c>
      <c r="T247" s="166">
        <f>SUMIFS(Продажи!Q$5:Q$359,Продажи!$D$5:$D$359,Конструкторы!$B247,Продажи!$C$5:$C$359,Конструкторы!$A247)</f>
        <v>0</v>
      </c>
    </row>
    <row r="248" spans="1:20" ht="15.75" hidden="1" x14ac:dyDescent="0.25">
      <c r="A248" s="166" t="s">
        <v>397</v>
      </c>
      <c r="B248" s="167" t="s">
        <v>155</v>
      </c>
      <c r="C248" s="33" t="s">
        <v>73</v>
      </c>
      <c r="D248" s="149"/>
      <c r="E248" s="153" t="s">
        <v>70</v>
      </c>
      <c r="F248" s="148">
        <v>8</v>
      </c>
      <c r="G248" s="156" t="s">
        <v>71</v>
      </c>
      <c r="H248" s="156">
        <f>F248</f>
        <v>8</v>
      </c>
      <c r="I248" s="166">
        <f>SUMIFS(Продажи!F$5:F$359,Продажи!$D$5:$D$359,Конструкторы!$B248,Продажи!$C$5:$C$359,Конструкторы!$A248)</f>
        <v>0</v>
      </c>
      <c r="J248" s="166">
        <f>SUMIFS(Продажи!G$5:G$359,Продажи!$D$5:$D$359,Конструкторы!$B248,Продажи!$C$5:$C$359,Конструкторы!$A248)</f>
        <v>0</v>
      </c>
      <c r="K248" s="166">
        <f>SUMIFS(Продажи!H$5:H$359,Продажи!$D$5:$D$359,Конструкторы!$B248,Продажи!$C$5:$C$359,Конструкторы!$A248)</f>
        <v>0</v>
      </c>
      <c r="L248" s="166">
        <f>SUMIFS(Продажи!I$5:I$359,Продажи!$D$5:$D$359,Конструкторы!$B248,Продажи!$C$5:$C$359,Конструкторы!$A248)</f>
        <v>0</v>
      </c>
      <c r="M248" s="166">
        <f>SUMIFS(Продажи!J$5:J$359,Продажи!$D$5:$D$359,Конструкторы!$B248,Продажи!$C$5:$C$359,Конструкторы!$A248)</f>
        <v>0</v>
      </c>
      <c r="N248" s="166">
        <f>SUMIFS(Продажи!K$5:K$359,Продажи!$D$5:$D$359,Конструкторы!$B248,Продажи!$C$5:$C$359,Конструкторы!$A248)</f>
        <v>0</v>
      </c>
      <c r="O248" s="166">
        <f>SUMIFS(Продажи!L$5:L$359,Продажи!$D$5:$D$359,Конструкторы!$B248,Продажи!$C$5:$C$359,Конструкторы!$A248)</f>
        <v>0</v>
      </c>
      <c r="P248" s="166">
        <f>SUMIFS(Продажи!M$5:M$359,Продажи!$D$5:$D$359,Конструкторы!$B248,Продажи!$C$5:$C$359,Конструкторы!$A248)</f>
        <v>0</v>
      </c>
      <c r="Q248" s="166">
        <f>SUMIFS(Продажи!N$5:N$359,Продажи!$D$5:$D$359,Конструкторы!$B248,Продажи!$C$5:$C$359,Конструкторы!$A248)</f>
        <v>0</v>
      </c>
      <c r="R248" s="166">
        <f>SUMIFS(Продажи!O$5:O$359,Продажи!$D$5:$D$359,Конструкторы!$B248,Продажи!$C$5:$C$359,Конструкторы!$A248)</f>
        <v>0</v>
      </c>
      <c r="S248" s="166">
        <f>SUMIFS(Продажи!P$5:P$359,Продажи!$D$5:$D$359,Конструкторы!$B248,Продажи!$C$5:$C$359,Конструкторы!$A248)</f>
        <v>0</v>
      </c>
      <c r="T248" s="166">
        <f>SUMIFS(Продажи!Q$5:Q$359,Продажи!$D$5:$D$359,Конструкторы!$B248,Продажи!$C$5:$C$359,Конструкторы!$A248)</f>
        <v>0</v>
      </c>
    </row>
    <row r="249" spans="1:20" ht="15.75" hidden="1" x14ac:dyDescent="0.25">
      <c r="A249" s="166" t="s">
        <v>397</v>
      </c>
      <c r="B249" s="167" t="s">
        <v>155</v>
      </c>
      <c r="C249" s="33" t="s">
        <v>74</v>
      </c>
      <c r="D249" s="149"/>
      <c r="E249" s="153" t="s">
        <v>70</v>
      </c>
      <c r="F249" s="148">
        <v>1</v>
      </c>
      <c r="G249" s="156" t="s">
        <v>71</v>
      </c>
      <c r="H249" s="156">
        <f>F249</f>
        <v>1</v>
      </c>
      <c r="I249" s="166">
        <f>SUMIFS(Продажи!F$5:F$359,Продажи!$D$5:$D$359,Конструкторы!$B249,Продажи!$C$5:$C$359,Конструкторы!$A249)</f>
        <v>0</v>
      </c>
      <c r="J249" s="166">
        <f>SUMIFS(Продажи!G$5:G$359,Продажи!$D$5:$D$359,Конструкторы!$B249,Продажи!$C$5:$C$359,Конструкторы!$A249)</f>
        <v>0</v>
      </c>
      <c r="K249" s="166">
        <f>SUMIFS(Продажи!H$5:H$359,Продажи!$D$5:$D$359,Конструкторы!$B249,Продажи!$C$5:$C$359,Конструкторы!$A249)</f>
        <v>0</v>
      </c>
      <c r="L249" s="166">
        <f>SUMIFS(Продажи!I$5:I$359,Продажи!$D$5:$D$359,Конструкторы!$B249,Продажи!$C$5:$C$359,Конструкторы!$A249)</f>
        <v>0</v>
      </c>
      <c r="M249" s="166">
        <f>SUMIFS(Продажи!J$5:J$359,Продажи!$D$5:$D$359,Конструкторы!$B249,Продажи!$C$5:$C$359,Конструкторы!$A249)</f>
        <v>0</v>
      </c>
      <c r="N249" s="166">
        <f>SUMIFS(Продажи!K$5:K$359,Продажи!$D$5:$D$359,Конструкторы!$B249,Продажи!$C$5:$C$359,Конструкторы!$A249)</f>
        <v>0</v>
      </c>
      <c r="O249" s="166">
        <f>SUMIFS(Продажи!L$5:L$359,Продажи!$D$5:$D$359,Конструкторы!$B249,Продажи!$C$5:$C$359,Конструкторы!$A249)</f>
        <v>0</v>
      </c>
      <c r="P249" s="166">
        <f>SUMIFS(Продажи!M$5:M$359,Продажи!$D$5:$D$359,Конструкторы!$B249,Продажи!$C$5:$C$359,Конструкторы!$A249)</f>
        <v>0</v>
      </c>
      <c r="Q249" s="166">
        <f>SUMIFS(Продажи!N$5:N$359,Продажи!$D$5:$D$359,Конструкторы!$B249,Продажи!$C$5:$C$359,Конструкторы!$A249)</f>
        <v>0</v>
      </c>
      <c r="R249" s="166">
        <f>SUMIFS(Продажи!O$5:O$359,Продажи!$D$5:$D$359,Конструкторы!$B249,Продажи!$C$5:$C$359,Конструкторы!$A249)</f>
        <v>0</v>
      </c>
      <c r="S249" s="166">
        <f>SUMIFS(Продажи!P$5:P$359,Продажи!$D$5:$D$359,Конструкторы!$B249,Продажи!$C$5:$C$359,Конструкторы!$A249)</f>
        <v>0</v>
      </c>
      <c r="T249" s="166">
        <f>SUMIFS(Продажи!Q$5:Q$359,Продажи!$D$5:$D$359,Конструкторы!$B249,Продажи!$C$5:$C$359,Конструкторы!$A249)</f>
        <v>0</v>
      </c>
    </row>
    <row r="250" spans="1:20" ht="15.75" hidden="1" x14ac:dyDescent="0.25">
      <c r="A250" s="166" t="s">
        <v>397</v>
      </c>
      <c r="B250" s="167" t="s">
        <v>155</v>
      </c>
      <c r="C250" s="33" t="s">
        <v>75</v>
      </c>
      <c r="D250" s="149"/>
      <c r="E250" s="153" t="s">
        <v>70</v>
      </c>
      <c r="F250" s="148">
        <f>32</f>
        <v>32</v>
      </c>
      <c r="G250" s="156" t="s">
        <v>71</v>
      </c>
      <c r="H250" s="156">
        <f>F250</f>
        <v>32</v>
      </c>
      <c r="I250" s="166">
        <f>SUMIFS(Продажи!F$5:F$359,Продажи!$D$5:$D$359,Конструкторы!$B250,Продажи!$C$5:$C$359,Конструкторы!$A250)</f>
        <v>0</v>
      </c>
      <c r="J250" s="166">
        <f>SUMIFS(Продажи!G$5:G$359,Продажи!$D$5:$D$359,Конструкторы!$B250,Продажи!$C$5:$C$359,Конструкторы!$A250)</f>
        <v>0</v>
      </c>
      <c r="K250" s="166">
        <f>SUMIFS(Продажи!H$5:H$359,Продажи!$D$5:$D$359,Конструкторы!$B250,Продажи!$C$5:$C$359,Конструкторы!$A250)</f>
        <v>0</v>
      </c>
      <c r="L250" s="166">
        <f>SUMIFS(Продажи!I$5:I$359,Продажи!$D$5:$D$359,Конструкторы!$B250,Продажи!$C$5:$C$359,Конструкторы!$A250)</f>
        <v>0</v>
      </c>
      <c r="M250" s="166">
        <f>SUMIFS(Продажи!J$5:J$359,Продажи!$D$5:$D$359,Конструкторы!$B250,Продажи!$C$5:$C$359,Конструкторы!$A250)</f>
        <v>0</v>
      </c>
      <c r="N250" s="166">
        <f>SUMIFS(Продажи!K$5:K$359,Продажи!$D$5:$D$359,Конструкторы!$B250,Продажи!$C$5:$C$359,Конструкторы!$A250)</f>
        <v>0</v>
      </c>
      <c r="O250" s="166">
        <f>SUMIFS(Продажи!L$5:L$359,Продажи!$D$5:$D$359,Конструкторы!$B250,Продажи!$C$5:$C$359,Конструкторы!$A250)</f>
        <v>0</v>
      </c>
      <c r="P250" s="166">
        <f>SUMIFS(Продажи!M$5:M$359,Продажи!$D$5:$D$359,Конструкторы!$B250,Продажи!$C$5:$C$359,Конструкторы!$A250)</f>
        <v>0</v>
      </c>
      <c r="Q250" s="166">
        <f>SUMIFS(Продажи!N$5:N$359,Продажи!$D$5:$D$359,Конструкторы!$B250,Продажи!$C$5:$C$359,Конструкторы!$A250)</f>
        <v>0</v>
      </c>
      <c r="R250" s="166">
        <f>SUMIFS(Продажи!O$5:O$359,Продажи!$D$5:$D$359,Конструкторы!$B250,Продажи!$C$5:$C$359,Конструкторы!$A250)</f>
        <v>0</v>
      </c>
      <c r="S250" s="166">
        <f>SUMIFS(Продажи!P$5:P$359,Продажи!$D$5:$D$359,Конструкторы!$B250,Продажи!$C$5:$C$359,Конструкторы!$A250)</f>
        <v>0</v>
      </c>
      <c r="T250" s="166">
        <f>SUMIFS(Продажи!Q$5:Q$359,Продажи!$D$5:$D$359,Конструкторы!$B250,Продажи!$C$5:$C$359,Конструкторы!$A250)</f>
        <v>0</v>
      </c>
    </row>
    <row r="251" spans="1:20" ht="15.75" hidden="1" x14ac:dyDescent="0.25">
      <c r="A251" s="166" t="s">
        <v>397</v>
      </c>
      <c r="B251" s="167" t="s">
        <v>155</v>
      </c>
      <c r="C251" s="33" t="s">
        <v>69</v>
      </c>
      <c r="D251" s="149"/>
      <c r="E251" s="153" t="s">
        <v>70</v>
      </c>
      <c r="F251" s="148">
        <f>15</f>
        <v>15</v>
      </c>
      <c r="G251" s="156" t="s">
        <v>71</v>
      </c>
      <c r="H251" s="156">
        <f>F251</f>
        <v>15</v>
      </c>
      <c r="I251" s="166">
        <f>SUMIFS(Продажи!F$5:F$359,Продажи!$D$5:$D$359,Конструкторы!$B251,Продажи!$C$5:$C$359,Конструкторы!$A251)</f>
        <v>0</v>
      </c>
      <c r="J251" s="166">
        <f>SUMIFS(Продажи!G$5:G$359,Продажи!$D$5:$D$359,Конструкторы!$B251,Продажи!$C$5:$C$359,Конструкторы!$A251)</f>
        <v>0</v>
      </c>
      <c r="K251" s="166">
        <f>SUMIFS(Продажи!H$5:H$359,Продажи!$D$5:$D$359,Конструкторы!$B251,Продажи!$C$5:$C$359,Конструкторы!$A251)</f>
        <v>0</v>
      </c>
      <c r="L251" s="166">
        <f>SUMIFS(Продажи!I$5:I$359,Продажи!$D$5:$D$359,Конструкторы!$B251,Продажи!$C$5:$C$359,Конструкторы!$A251)</f>
        <v>0</v>
      </c>
      <c r="M251" s="166">
        <f>SUMIFS(Продажи!J$5:J$359,Продажи!$D$5:$D$359,Конструкторы!$B251,Продажи!$C$5:$C$359,Конструкторы!$A251)</f>
        <v>0</v>
      </c>
      <c r="N251" s="166">
        <f>SUMIFS(Продажи!K$5:K$359,Продажи!$D$5:$D$359,Конструкторы!$B251,Продажи!$C$5:$C$359,Конструкторы!$A251)</f>
        <v>0</v>
      </c>
      <c r="O251" s="166">
        <f>SUMIFS(Продажи!L$5:L$359,Продажи!$D$5:$D$359,Конструкторы!$B251,Продажи!$C$5:$C$359,Конструкторы!$A251)</f>
        <v>0</v>
      </c>
      <c r="P251" s="166">
        <f>SUMIFS(Продажи!M$5:M$359,Продажи!$D$5:$D$359,Конструкторы!$B251,Продажи!$C$5:$C$359,Конструкторы!$A251)</f>
        <v>0</v>
      </c>
      <c r="Q251" s="166">
        <f>SUMIFS(Продажи!N$5:N$359,Продажи!$D$5:$D$359,Конструкторы!$B251,Продажи!$C$5:$C$359,Конструкторы!$A251)</f>
        <v>0</v>
      </c>
      <c r="R251" s="166">
        <f>SUMIFS(Продажи!O$5:O$359,Продажи!$D$5:$D$359,Конструкторы!$B251,Продажи!$C$5:$C$359,Конструкторы!$A251)</f>
        <v>0</v>
      </c>
      <c r="S251" s="166">
        <f>SUMIFS(Продажи!P$5:P$359,Продажи!$D$5:$D$359,Конструкторы!$B251,Продажи!$C$5:$C$359,Конструкторы!$A251)</f>
        <v>0</v>
      </c>
      <c r="T251" s="166">
        <f>SUMIFS(Продажи!Q$5:Q$359,Продажи!$D$5:$D$359,Конструкторы!$B251,Продажи!$C$5:$C$359,Конструкторы!$A251)</f>
        <v>0</v>
      </c>
    </row>
    <row r="252" spans="1:20" ht="15.75" hidden="1" x14ac:dyDescent="0.25">
      <c r="A252" s="166" t="s">
        <v>397</v>
      </c>
      <c r="B252" s="167" t="s">
        <v>156</v>
      </c>
      <c r="C252" s="129" t="s">
        <v>53</v>
      </c>
      <c r="D252" s="130">
        <v>7038</v>
      </c>
      <c r="E252" s="153" t="s">
        <v>68</v>
      </c>
      <c r="F252" s="156">
        <f>(2.336*103)/100</f>
        <v>2.4060799999999998</v>
      </c>
      <c r="G252" s="156">
        <v>7.007999999999992E-2</v>
      </c>
      <c r="H252" s="156">
        <f>F252+G252</f>
        <v>2.4761599999999997</v>
      </c>
      <c r="I252" s="166">
        <f>SUMIFS(Продажи!F$5:F$359,Продажи!$D$5:$D$359,Конструкторы!$B252,Продажи!$C$5:$C$359,Конструкторы!$A252)</f>
        <v>0</v>
      </c>
      <c r="J252" s="166">
        <f>SUMIFS(Продажи!G$5:G$359,Продажи!$D$5:$D$359,Конструкторы!$B252,Продажи!$C$5:$C$359,Конструкторы!$A252)</f>
        <v>0</v>
      </c>
      <c r="K252" s="166">
        <f>SUMIFS(Продажи!H$5:H$359,Продажи!$D$5:$D$359,Конструкторы!$B252,Продажи!$C$5:$C$359,Конструкторы!$A252)</f>
        <v>0</v>
      </c>
      <c r="L252" s="166">
        <f>SUMIFS(Продажи!I$5:I$359,Продажи!$D$5:$D$359,Конструкторы!$B252,Продажи!$C$5:$C$359,Конструкторы!$A252)</f>
        <v>0</v>
      </c>
      <c r="M252" s="166">
        <f>SUMIFS(Продажи!J$5:J$359,Продажи!$D$5:$D$359,Конструкторы!$B252,Продажи!$C$5:$C$359,Конструкторы!$A252)</f>
        <v>0</v>
      </c>
      <c r="N252" s="166">
        <f>SUMIFS(Продажи!K$5:K$359,Продажи!$D$5:$D$359,Конструкторы!$B252,Продажи!$C$5:$C$359,Конструкторы!$A252)</f>
        <v>0</v>
      </c>
      <c r="O252" s="166">
        <f>SUMIFS(Продажи!L$5:L$359,Продажи!$D$5:$D$359,Конструкторы!$B252,Продажи!$C$5:$C$359,Конструкторы!$A252)</f>
        <v>0</v>
      </c>
      <c r="P252" s="166">
        <f>SUMIFS(Продажи!M$5:M$359,Продажи!$D$5:$D$359,Конструкторы!$B252,Продажи!$C$5:$C$359,Конструкторы!$A252)</f>
        <v>0</v>
      </c>
      <c r="Q252" s="166">
        <f>SUMIFS(Продажи!N$5:N$359,Продажи!$D$5:$D$359,Конструкторы!$B252,Продажи!$C$5:$C$359,Конструкторы!$A252)</f>
        <v>0</v>
      </c>
      <c r="R252" s="166">
        <f>SUMIFS(Продажи!O$5:O$359,Продажи!$D$5:$D$359,Конструкторы!$B252,Продажи!$C$5:$C$359,Конструкторы!$A252)</f>
        <v>0</v>
      </c>
      <c r="S252" s="166">
        <f>SUMIFS(Продажи!P$5:P$359,Продажи!$D$5:$D$359,Конструкторы!$B252,Продажи!$C$5:$C$359,Конструкторы!$A252)</f>
        <v>0</v>
      </c>
      <c r="T252" s="166">
        <f>SUMIFS(Продажи!Q$5:Q$359,Продажи!$D$5:$D$359,Конструкторы!$B252,Продажи!$C$5:$C$359,Конструкторы!$A252)</f>
        <v>0</v>
      </c>
    </row>
    <row r="253" spans="1:20" ht="15.75" hidden="1" x14ac:dyDescent="0.25">
      <c r="A253" s="166" t="s">
        <v>397</v>
      </c>
      <c r="B253" s="167" t="s">
        <v>156</v>
      </c>
      <c r="C253" s="129" t="s">
        <v>52</v>
      </c>
      <c r="D253" s="149"/>
      <c r="E253" s="153" t="s">
        <v>68</v>
      </c>
      <c r="F253" s="156">
        <f>(4.31*103)/100</f>
        <v>4.4392999999999994</v>
      </c>
      <c r="G253" s="156">
        <v>0.12929999999999975</v>
      </c>
      <c r="H253" s="156">
        <f>F253+G253</f>
        <v>4.5685999999999991</v>
      </c>
      <c r="I253" s="166">
        <f>SUMIFS(Продажи!F$5:F$359,Продажи!$D$5:$D$359,Конструкторы!$B253,Продажи!$C$5:$C$359,Конструкторы!$A253)</f>
        <v>0</v>
      </c>
      <c r="J253" s="166">
        <f>SUMIFS(Продажи!G$5:G$359,Продажи!$D$5:$D$359,Конструкторы!$B253,Продажи!$C$5:$C$359,Конструкторы!$A253)</f>
        <v>0</v>
      </c>
      <c r="K253" s="166">
        <f>SUMIFS(Продажи!H$5:H$359,Продажи!$D$5:$D$359,Конструкторы!$B253,Продажи!$C$5:$C$359,Конструкторы!$A253)</f>
        <v>0</v>
      </c>
      <c r="L253" s="166">
        <f>SUMIFS(Продажи!I$5:I$359,Продажи!$D$5:$D$359,Конструкторы!$B253,Продажи!$C$5:$C$359,Конструкторы!$A253)</f>
        <v>0</v>
      </c>
      <c r="M253" s="166">
        <f>SUMIFS(Продажи!J$5:J$359,Продажи!$D$5:$D$359,Конструкторы!$B253,Продажи!$C$5:$C$359,Конструкторы!$A253)</f>
        <v>0</v>
      </c>
      <c r="N253" s="166">
        <f>SUMIFS(Продажи!K$5:K$359,Продажи!$D$5:$D$359,Конструкторы!$B253,Продажи!$C$5:$C$359,Конструкторы!$A253)</f>
        <v>0</v>
      </c>
      <c r="O253" s="166">
        <f>SUMIFS(Продажи!L$5:L$359,Продажи!$D$5:$D$359,Конструкторы!$B253,Продажи!$C$5:$C$359,Конструкторы!$A253)</f>
        <v>0</v>
      </c>
      <c r="P253" s="166">
        <f>SUMIFS(Продажи!M$5:M$359,Продажи!$D$5:$D$359,Конструкторы!$B253,Продажи!$C$5:$C$359,Конструкторы!$A253)</f>
        <v>0</v>
      </c>
      <c r="Q253" s="166">
        <f>SUMIFS(Продажи!N$5:N$359,Продажи!$D$5:$D$359,Конструкторы!$B253,Продажи!$C$5:$C$359,Конструкторы!$A253)</f>
        <v>0</v>
      </c>
      <c r="R253" s="166">
        <f>SUMIFS(Продажи!O$5:O$359,Продажи!$D$5:$D$359,Конструкторы!$B253,Продажи!$C$5:$C$359,Конструкторы!$A253)</f>
        <v>0</v>
      </c>
      <c r="S253" s="166">
        <f>SUMIFS(Продажи!P$5:P$359,Продажи!$D$5:$D$359,Конструкторы!$B253,Продажи!$C$5:$C$359,Конструкторы!$A253)</f>
        <v>0</v>
      </c>
      <c r="T253" s="166">
        <f>SUMIFS(Продажи!Q$5:Q$359,Продажи!$D$5:$D$359,Конструкторы!$B253,Продажи!$C$5:$C$359,Конструкторы!$A253)</f>
        <v>0</v>
      </c>
    </row>
    <row r="254" spans="1:20" ht="15.75" hidden="1" x14ac:dyDescent="0.25">
      <c r="A254" s="166" t="s">
        <v>397</v>
      </c>
      <c r="B254" s="167" t="s">
        <v>156</v>
      </c>
      <c r="C254" s="33" t="s">
        <v>73</v>
      </c>
      <c r="D254" s="149"/>
      <c r="E254" s="153" t="s">
        <v>70</v>
      </c>
      <c r="F254" s="148">
        <v>8</v>
      </c>
      <c r="G254" s="156" t="s">
        <v>71</v>
      </c>
      <c r="H254" s="156">
        <f>F254</f>
        <v>8</v>
      </c>
      <c r="I254" s="166">
        <f>SUMIFS(Продажи!F$5:F$359,Продажи!$D$5:$D$359,Конструкторы!$B254,Продажи!$C$5:$C$359,Конструкторы!$A254)</f>
        <v>0</v>
      </c>
      <c r="J254" s="166">
        <f>SUMIFS(Продажи!G$5:G$359,Продажи!$D$5:$D$359,Конструкторы!$B254,Продажи!$C$5:$C$359,Конструкторы!$A254)</f>
        <v>0</v>
      </c>
      <c r="K254" s="166">
        <f>SUMIFS(Продажи!H$5:H$359,Продажи!$D$5:$D$359,Конструкторы!$B254,Продажи!$C$5:$C$359,Конструкторы!$A254)</f>
        <v>0</v>
      </c>
      <c r="L254" s="166">
        <f>SUMIFS(Продажи!I$5:I$359,Продажи!$D$5:$D$359,Конструкторы!$B254,Продажи!$C$5:$C$359,Конструкторы!$A254)</f>
        <v>0</v>
      </c>
      <c r="M254" s="166">
        <f>SUMIFS(Продажи!J$5:J$359,Продажи!$D$5:$D$359,Конструкторы!$B254,Продажи!$C$5:$C$359,Конструкторы!$A254)</f>
        <v>0</v>
      </c>
      <c r="N254" s="166">
        <f>SUMIFS(Продажи!K$5:K$359,Продажи!$D$5:$D$359,Конструкторы!$B254,Продажи!$C$5:$C$359,Конструкторы!$A254)</f>
        <v>0</v>
      </c>
      <c r="O254" s="166">
        <f>SUMIFS(Продажи!L$5:L$359,Продажи!$D$5:$D$359,Конструкторы!$B254,Продажи!$C$5:$C$359,Конструкторы!$A254)</f>
        <v>0</v>
      </c>
      <c r="P254" s="166">
        <f>SUMIFS(Продажи!M$5:M$359,Продажи!$D$5:$D$359,Конструкторы!$B254,Продажи!$C$5:$C$359,Конструкторы!$A254)</f>
        <v>0</v>
      </c>
      <c r="Q254" s="166">
        <f>SUMIFS(Продажи!N$5:N$359,Продажи!$D$5:$D$359,Конструкторы!$B254,Продажи!$C$5:$C$359,Конструкторы!$A254)</f>
        <v>0</v>
      </c>
      <c r="R254" s="166">
        <f>SUMIFS(Продажи!O$5:O$359,Продажи!$D$5:$D$359,Конструкторы!$B254,Продажи!$C$5:$C$359,Конструкторы!$A254)</f>
        <v>0</v>
      </c>
      <c r="S254" s="166">
        <f>SUMIFS(Продажи!P$5:P$359,Продажи!$D$5:$D$359,Конструкторы!$B254,Продажи!$C$5:$C$359,Конструкторы!$A254)</f>
        <v>0</v>
      </c>
      <c r="T254" s="166">
        <f>SUMIFS(Продажи!Q$5:Q$359,Продажи!$D$5:$D$359,Конструкторы!$B254,Продажи!$C$5:$C$359,Конструкторы!$A254)</f>
        <v>0</v>
      </c>
    </row>
    <row r="255" spans="1:20" ht="15.75" hidden="1" x14ac:dyDescent="0.25">
      <c r="A255" s="166" t="s">
        <v>397</v>
      </c>
      <c r="B255" s="167" t="s">
        <v>156</v>
      </c>
      <c r="C255" s="33" t="s">
        <v>74</v>
      </c>
      <c r="D255" s="149"/>
      <c r="E255" s="153" t="s">
        <v>70</v>
      </c>
      <c r="F255" s="148">
        <v>1</v>
      </c>
      <c r="G255" s="156" t="s">
        <v>71</v>
      </c>
      <c r="H255" s="156">
        <f>F255</f>
        <v>1</v>
      </c>
      <c r="I255" s="166">
        <f>SUMIFS(Продажи!F$5:F$359,Продажи!$D$5:$D$359,Конструкторы!$B255,Продажи!$C$5:$C$359,Конструкторы!$A255)</f>
        <v>0</v>
      </c>
      <c r="J255" s="166">
        <f>SUMIFS(Продажи!G$5:G$359,Продажи!$D$5:$D$359,Конструкторы!$B255,Продажи!$C$5:$C$359,Конструкторы!$A255)</f>
        <v>0</v>
      </c>
      <c r="K255" s="166">
        <f>SUMIFS(Продажи!H$5:H$359,Продажи!$D$5:$D$359,Конструкторы!$B255,Продажи!$C$5:$C$359,Конструкторы!$A255)</f>
        <v>0</v>
      </c>
      <c r="L255" s="166">
        <f>SUMIFS(Продажи!I$5:I$359,Продажи!$D$5:$D$359,Конструкторы!$B255,Продажи!$C$5:$C$359,Конструкторы!$A255)</f>
        <v>0</v>
      </c>
      <c r="M255" s="166">
        <f>SUMIFS(Продажи!J$5:J$359,Продажи!$D$5:$D$359,Конструкторы!$B255,Продажи!$C$5:$C$359,Конструкторы!$A255)</f>
        <v>0</v>
      </c>
      <c r="N255" s="166">
        <f>SUMIFS(Продажи!K$5:K$359,Продажи!$D$5:$D$359,Конструкторы!$B255,Продажи!$C$5:$C$359,Конструкторы!$A255)</f>
        <v>0</v>
      </c>
      <c r="O255" s="166">
        <f>SUMIFS(Продажи!L$5:L$359,Продажи!$D$5:$D$359,Конструкторы!$B255,Продажи!$C$5:$C$359,Конструкторы!$A255)</f>
        <v>0</v>
      </c>
      <c r="P255" s="166">
        <f>SUMIFS(Продажи!M$5:M$359,Продажи!$D$5:$D$359,Конструкторы!$B255,Продажи!$C$5:$C$359,Конструкторы!$A255)</f>
        <v>0</v>
      </c>
      <c r="Q255" s="166">
        <f>SUMIFS(Продажи!N$5:N$359,Продажи!$D$5:$D$359,Конструкторы!$B255,Продажи!$C$5:$C$359,Конструкторы!$A255)</f>
        <v>0</v>
      </c>
      <c r="R255" s="166">
        <f>SUMIFS(Продажи!O$5:O$359,Продажи!$D$5:$D$359,Конструкторы!$B255,Продажи!$C$5:$C$359,Конструкторы!$A255)</f>
        <v>0</v>
      </c>
      <c r="S255" s="166">
        <f>SUMIFS(Продажи!P$5:P$359,Продажи!$D$5:$D$359,Конструкторы!$B255,Продажи!$C$5:$C$359,Конструкторы!$A255)</f>
        <v>0</v>
      </c>
      <c r="T255" s="166">
        <f>SUMIFS(Продажи!Q$5:Q$359,Продажи!$D$5:$D$359,Конструкторы!$B255,Продажи!$C$5:$C$359,Конструкторы!$A255)</f>
        <v>0</v>
      </c>
    </row>
    <row r="256" spans="1:20" ht="15.75" hidden="1" x14ac:dyDescent="0.25">
      <c r="A256" s="166" t="s">
        <v>397</v>
      </c>
      <c r="B256" s="167" t="s">
        <v>156</v>
      </c>
      <c r="C256" s="33" t="s">
        <v>75</v>
      </c>
      <c r="D256" s="149"/>
      <c r="E256" s="153" t="s">
        <v>70</v>
      </c>
      <c r="F256" s="148">
        <f>32</f>
        <v>32</v>
      </c>
      <c r="G256" s="156" t="s">
        <v>71</v>
      </c>
      <c r="H256" s="156">
        <f>F256</f>
        <v>32</v>
      </c>
      <c r="I256" s="166">
        <f>SUMIFS(Продажи!F$5:F$359,Продажи!$D$5:$D$359,Конструкторы!$B256,Продажи!$C$5:$C$359,Конструкторы!$A256)</f>
        <v>0</v>
      </c>
      <c r="J256" s="166">
        <f>SUMIFS(Продажи!G$5:G$359,Продажи!$D$5:$D$359,Конструкторы!$B256,Продажи!$C$5:$C$359,Конструкторы!$A256)</f>
        <v>0</v>
      </c>
      <c r="K256" s="166">
        <f>SUMIFS(Продажи!H$5:H$359,Продажи!$D$5:$D$359,Конструкторы!$B256,Продажи!$C$5:$C$359,Конструкторы!$A256)</f>
        <v>0</v>
      </c>
      <c r="L256" s="166">
        <f>SUMIFS(Продажи!I$5:I$359,Продажи!$D$5:$D$359,Конструкторы!$B256,Продажи!$C$5:$C$359,Конструкторы!$A256)</f>
        <v>0</v>
      </c>
      <c r="M256" s="166">
        <f>SUMIFS(Продажи!J$5:J$359,Продажи!$D$5:$D$359,Конструкторы!$B256,Продажи!$C$5:$C$359,Конструкторы!$A256)</f>
        <v>0</v>
      </c>
      <c r="N256" s="166">
        <f>SUMIFS(Продажи!K$5:K$359,Продажи!$D$5:$D$359,Конструкторы!$B256,Продажи!$C$5:$C$359,Конструкторы!$A256)</f>
        <v>0</v>
      </c>
      <c r="O256" s="166">
        <f>SUMIFS(Продажи!L$5:L$359,Продажи!$D$5:$D$359,Конструкторы!$B256,Продажи!$C$5:$C$359,Конструкторы!$A256)</f>
        <v>0</v>
      </c>
      <c r="P256" s="166">
        <f>SUMIFS(Продажи!M$5:M$359,Продажи!$D$5:$D$359,Конструкторы!$B256,Продажи!$C$5:$C$359,Конструкторы!$A256)</f>
        <v>0</v>
      </c>
      <c r="Q256" s="166">
        <f>SUMIFS(Продажи!N$5:N$359,Продажи!$D$5:$D$359,Конструкторы!$B256,Продажи!$C$5:$C$359,Конструкторы!$A256)</f>
        <v>0</v>
      </c>
      <c r="R256" s="166">
        <f>SUMIFS(Продажи!O$5:O$359,Продажи!$D$5:$D$359,Конструкторы!$B256,Продажи!$C$5:$C$359,Конструкторы!$A256)</f>
        <v>0</v>
      </c>
      <c r="S256" s="166">
        <f>SUMIFS(Продажи!P$5:P$359,Продажи!$D$5:$D$359,Конструкторы!$B256,Продажи!$C$5:$C$359,Конструкторы!$A256)</f>
        <v>0</v>
      </c>
      <c r="T256" s="166">
        <f>SUMIFS(Продажи!Q$5:Q$359,Продажи!$D$5:$D$359,Конструкторы!$B256,Продажи!$C$5:$C$359,Конструкторы!$A256)</f>
        <v>0</v>
      </c>
    </row>
    <row r="257" spans="1:20" ht="15.75" hidden="1" x14ac:dyDescent="0.25">
      <c r="A257" s="166" t="s">
        <v>397</v>
      </c>
      <c r="B257" s="167" t="s">
        <v>156</v>
      </c>
      <c r="C257" s="33" t="s">
        <v>69</v>
      </c>
      <c r="D257" s="149"/>
      <c r="E257" s="153" t="s">
        <v>70</v>
      </c>
      <c r="F257" s="148">
        <f>15</f>
        <v>15</v>
      </c>
      <c r="G257" s="156" t="s">
        <v>71</v>
      </c>
      <c r="H257" s="156">
        <f>F257</f>
        <v>15</v>
      </c>
      <c r="I257" s="166">
        <f>SUMIFS(Продажи!F$5:F$359,Продажи!$D$5:$D$359,Конструкторы!$B257,Продажи!$C$5:$C$359,Конструкторы!$A257)</f>
        <v>0</v>
      </c>
      <c r="J257" s="166">
        <f>SUMIFS(Продажи!G$5:G$359,Продажи!$D$5:$D$359,Конструкторы!$B257,Продажи!$C$5:$C$359,Конструкторы!$A257)</f>
        <v>0</v>
      </c>
      <c r="K257" s="166">
        <f>SUMIFS(Продажи!H$5:H$359,Продажи!$D$5:$D$359,Конструкторы!$B257,Продажи!$C$5:$C$359,Конструкторы!$A257)</f>
        <v>0</v>
      </c>
      <c r="L257" s="166">
        <f>SUMIFS(Продажи!I$5:I$359,Продажи!$D$5:$D$359,Конструкторы!$B257,Продажи!$C$5:$C$359,Конструкторы!$A257)</f>
        <v>0</v>
      </c>
      <c r="M257" s="166">
        <f>SUMIFS(Продажи!J$5:J$359,Продажи!$D$5:$D$359,Конструкторы!$B257,Продажи!$C$5:$C$359,Конструкторы!$A257)</f>
        <v>0</v>
      </c>
      <c r="N257" s="166">
        <f>SUMIFS(Продажи!K$5:K$359,Продажи!$D$5:$D$359,Конструкторы!$B257,Продажи!$C$5:$C$359,Конструкторы!$A257)</f>
        <v>0</v>
      </c>
      <c r="O257" s="166">
        <f>SUMIFS(Продажи!L$5:L$359,Продажи!$D$5:$D$359,Конструкторы!$B257,Продажи!$C$5:$C$359,Конструкторы!$A257)</f>
        <v>0</v>
      </c>
      <c r="P257" s="166">
        <f>SUMIFS(Продажи!M$5:M$359,Продажи!$D$5:$D$359,Конструкторы!$B257,Продажи!$C$5:$C$359,Конструкторы!$A257)</f>
        <v>0</v>
      </c>
      <c r="Q257" s="166">
        <f>SUMIFS(Продажи!N$5:N$359,Продажи!$D$5:$D$359,Конструкторы!$B257,Продажи!$C$5:$C$359,Конструкторы!$A257)</f>
        <v>0</v>
      </c>
      <c r="R257" s="166">
        <f>SUMIFS(Продажи!O$5:O$359,Продажи!$D$5:$D$359,Конструкторы!$B257,Продажи!$C$5:$C$359,Конструкторы!$A257)</f>
        <v>0</v>
      </c>
      <c r="S257" s="166">
        <f>SUMIFS(Продажи!P$5:P$359,Продажи!$D$5:$D$359,Конструкторы!$B257,Продажи!$C$5:$C$359,Конструкторы!$A257)</f>
        <v>0</v>
      </c>
      <c r="T257" s="166">
        <f>SUMIFS(Продажи!Q$5:Q$359,Продажи!$D$5:$D$359,Конструкторы!$B257,Продажи!$C$5:$C$359,Конструкторы!$A257)</f>
        <v>0</v>
      </c>
    </row>
    <row r="258" spans="1:20" ht="15.75" hidden="1" x14ac:dyDescent="0.25">
      <c r="A258" s="166" t="s">
        <v>397</v>
      </c>
      <c r="B258" s="167" t="s">
        <v>280</v>
      </c>
      <c r="C258" s="129" t="s">
        <v>28</v>
      </c>
      <c r="D258" s="149"/>
      <c r="E258" s="153" t="s">
        <v>68</v>
      </c>
      <c r="F258" s="156">
        <f>(0.15*103)/100</f>
        <v>0.1545</v>
      </c>
      <c r="G258" s="156">
        <v>4.500000000000004E-3</v>
      </c>
      <c r="H258" s="156">
        <f t="shared" ref="H258:H263" si="2">F258+G258</f>
        <v>0.159</v>
      </c>
      <c r="I258" s="166">
        <f>SUMIFS(Продажи!F$5:F$359,Продажи!$D$5:$D$359,Конструкторы!$B258,Продажи!$C$5:$C$359,Конструкторы!$A258)</f>
        <v>0</v>
      </c>
      <c r="J258" s="166">
        <f>SUMIFS(Продажи!G$5:G$359,Продажи!$D$5:$D$359,Конструкторы!$B258,Продажи!$C$5:$C$359,Конструкторы!$A258)</f>
        <v>0</v>
      </c>
      <c r="K258" s="166">
        <f>SUMIFS(Продажи!H$5:H$359,Продажи!$D$5:$D$359,Конструкторы!$B258,Продажи!$C$5:$C$359,Конструкторы!$A258)</f>
        <v>0</v>
      </c>
      <c r="L258" s="166">
        <f>SUMIFS(Продажи!I$5:I$359,Продажи!$D$5:$D$359,Конструкторы!$B258,Продажи!$C$5:$C$359,Конструкторы!$A258)</f>
        <v>0</v>
      </c>
      <c r="M258" s="166">
        <f>SUMIFS(Продажи!J$5:J$359,Продажи!$D$5:$D$359,Конструкторы!$B258,Продажи!$C$5:$C$359,Конструкторы!$A258)</f>
        <v>0</v>
      </c>
      <c r="N258" s="166">
        <f>SUMIFS(Продажи!K$5:K$359,Продажи!$D$5:$D$359,Конструкторы!$B258,Продажи!$C$5:$C$359,Конструкторы!$A258)</f>
        <v>0</v>
      </c>
      <c r="O258" s="166">
        <f>SUMIFS(Продажи!L$5:L$359,Продажи!$D$5:$D$359,Конструкторы!$B258,Продажи!$C$5:$C$359,Конструкторы!$A258)</f>
        <v>0</v>
      </c>
      <c r="P258" s="166">
        <f>SUMIFS(Продажи!M$5:M$359,Продажи!$D$5:$D$359,Конструкторы!$B258,Продажи!$C$5:$C$359,Конструкторы!$A258)</f>
        <v>0</v>
      </c>
      <c r="Q258" s="166">
        <f>SUMIFS(Продажи!N$5:N$359,Продажи!$D$5:$D$359,Конструкторы!$B258,Продажи!$C$5:$C$359,Конструкторы!$A258)</f>
        <v>0</v>
      </c>
      <c r="R258" s="166">
        <f>SUMIFS(Продажи!O$5:O$359,Продажи!$D$5:$D$359,Конструкторы!$B258,Продажи!$C$5:$C$359,Конструкторы!$A258)</f>
        <v>0</v>
      </c>
      <c r="S258" s="166">
        <f>SUMIFS(Продажи!P$5:P$359,Продажи!$D$5:$D$359,Конструкторы!$B258,Продажи!$C$5:$C$359,Конструкторы!$A258)</f>
        <v>0</v>
      </c>
      <c r="T258" s="166">
        <f>SUMIFS(Продажи!Q$5:Q$359,Продажи!$D$5:$D$359,Конструкторы!$B258,Продажи!$C$5:$C$359,Конструкторы!$A258)</f>
        <v>0</v>
      </c>
    </row>
    <row r="259" spans="1:20" ht="15.75" hidden="1" x14ac:dyDescent="0.25">
      <c r="A259" s="166" t="s">
        <v>397</v>
      </c>
      <c r="B259" s="167" t="s">
        <v>281</v>
      </c>
      <c r="C259" s="129" t="s">
        <v>28</v>
      </c>
      <c r="D259" s="149"/>
      <c r="E259" s="153" t="s">
        <v>68</v>
      </c>
      <c r="F259" s="156">
        <f>(0.15*103)/100</f>
        <v>0.1545</v>
      </c>
      <c r="G259" s="156">
        <v>4.500000000000004E-3</v>
      </c>
      <c r="H259" s="156">
        <f t="shared" si="2"/>
        <v>0.159</v>
      </c>
      <c r="I259" s="166">
        <f>SUMIFS(Продажи!F$5:F$359,Продажи!$D$5:$D$359,Конструкторы!$B259,Продажи!$C$5:$C$359,Конструкторы!$A259)</f>
        <v>0</v>
      </c>
      <c r="J259" s="166">
        <f>SUMIFS(Продажи!G$5:G$359,Продажи!$D$5:$D$359,Конструкторы!$B259,Продажи!$C$5:$C$359,Конструкторы!$A259)</f>
        <v>0</v>
      </c>
      <c r="K259" s="166">
        <f>SUMIFS(Продажи!H$5:H$359,Продажи!$D$5:$D$359,Конструкторы!$B259,Продажи!$C$5:$C$359,Конструкторы!$A259)</f>
        <v>0</v>
      </c>
      <c r="L259" s="166">
        <f>SUMIFS(Продажи!I$5:I$359,Продажи!$D$5:$D$359,Конструкторы!$B259,Продажи!$C$5:$C$359,Конструкторы!$A259)</f>
        <v>0</v>
      </c>
      <c r="M259" s="166">
        <f>SUMIFS(Продажи!J$5:J$359,Продажи!$D$5:$D$359,Конструкторы!$B259,Продажи!$C$5:$C$359,Конструкторы!$A259)</f>
        <v>0</v>
      </c>
      <c r="N259" s="166">
        <f>SUMIFS(Продажи!K$5:K$359,Продажи!$D$5:$D$359,Конструкторы!$B259,Продажи!$C$5:$C$359,Конструкторы!$A259)</f>
        <v>0</v>
      </c>
      <c r="O259" s="166">
        <f>SUMIFS(Продажи!L$5:L$359,Продажи!$D$5:$D$359,Конструкторы!$B259,Продажи!$C$5:$C$359,Конструкторы!$A259)</f>
        <v>0</v>
      </c>
      <c r="P259" s="166">
        <f>SUMIFS(Продажи!M$5:M$359,Продажи!$D$5:$D$359,Конструкторы!$B259,Продажи!$C$5:$C$359,Конструкторы!$A259)</f>
        <v>0</v>
      </c>
      <c r="Q259" s="166">
        <f>SUMIFS(Продажи!N$5:N$359,Продажи!$D$5:$D$359,Конструкторы!$B259,Продажи!$C$5:$C$359,Конструкторы!$A259)</f>
        <v>0</v>
      </c>
      <c r="R259" s="166">
        <f>SUMIFS(Продажи!O$5:O$359,Продажи!$D$5:$D$359,Конструкторы!$B259,Продажи!$C$5:$C$359,Конструкторы!$A259)</f>
        <v>0</v>
      </c>
      <c r="S259" s="166">
        <f>SUMIFS(Продажи!P$5:P$359,Продажи!$D$5:$D$359,Конструкторы!$B259,Продажи!$C$5:$C$359,Конструкторы!$A259)</f>
        <v>0</v>
      </c>
      <c r="T259" s="166">
        <f>SUMIFS(Продажи!Q$5:Q$359,Продажи!$D$5:$D$359,Конструкторы!$B259,Продажи!$C$5:$C$359,Конструкторы!$A259)</f>
        <v>0</v>
      </c>
    </row>
    <row r="260" spans="1:20" ht="15.75" hidden="1" x14ac:dyDescent="0.25">
      <c r="A260" s="166" t="s">
        <v>397</v>
      </c>
      <c r="B260" s="167" t="s">
        <v>129</v>
      </c>
      <c r="C260" s="129" t="s">
        <v>28</v>
      </c>
      <c r="D260" s="149"/>
      <c r="E260" s="153" t="s">
        <v>68</v>
      </c>
      <c r="F260" s="156">
        <f>(0.15*103)/100</f>
        <v>0.1545</v>
      </c>
      <c r="G260" s="156">
        <v>4.500000000000004E-3</v>
      </c>
      <c r="H260" s="156">
        <f t="shared" si="2"/>
        <v>0.159</v>
      </c>
      <c r="I260" s="166">
        <f>SUMIFS(Продажи!F$5:F$359,Продажи!$D$5:$D$359,Конструкторы!$B260,Продажи!$C$5:$C$359,Конструкторы!$A260)</f>
        <v>0</v>
      </c>
      <c r="J260" s="166">
        <f>SUMIFS(Продажи!G$5:G$359,Продажи!$D$5:$D$359,Конструкторы!$B260,Продажи!$C$5:$C$359,Конструкторы!$A260)</f>
        <v>0</v>
      </c>
      <c r="K260" s="166">
        <f>SUMIFS(Продажи!H$5:H$359,Продажи!$D$5:$D$359,Конструкторы!$B260,Продажи!$C$5:$C$359,Конструкторы!$A260)</f>
        <v>0</v>
      </c>
      <c r="L260" s="166">
        <f>SUMIFS(Продажи!I$5:I$359,Продажи!$D$5:$D$359,Конструкторы!$B260,Продажи!$C$5:$C$359,Конструкторы!$A260)</f>
        <v>0</v>
      </c>
      <c r="M260" s="166">
        <f>SUMIFS(Продажи!J$5:J$359,Продажи!$D$5:$D$359,Конструкторы!$B260,Продажи!$C$5:$C$359,Конструкторы!$A260)</f>
        <v>0</v>
      </c>
      <c r="N260" s="166">
        <f>SUMIFS(Продажи!K$5:K$359,Продажи!$D$5:$D$359,Конструкторы!$B260,Продажи!$C$5:$C$359,Конструкторы!$A260)</f>
        <v>0</v>
      </c>
      <c r="O260" s="166">
        <f>SUMIFS(Продажи!L$5:L$359,Продажи!$D$5:$D$359,Конструкторы!$B260,Продажи!$C$5:$C$359,Конструкторы!$A260)</f>
        <v>0</v>
      </c>
      <c r="P260" s="166">
        <f>SUMIFS(Продажи!M$5:M$359,Продажи!$D$5:$D$359,Конструкторы!$B260,Продажи!$C$5:$C$359,Конструкторы!$A260)</f>
        <v>0</v>
      </c>
      <c r="Q260" s="166">
        <f>SUMIFS(Продажи!N$5:N$359,Продажи!$D$5:$D$359,Конструкторы!$B260,Продажи!$C$5:$C$359,Конструкторы!$A260)</f>
        <v>0</v>
      </c>
      <c r="R260" s="166">
        <f>SUMIFS(Продажи!O$5:O$359,Продажи!$D$5:$D$359,Конструкторы!$B260,Продажи!$C$5:$C$359,Конструкторы!$A260)</f>
        <v>0</v>
      </c>
      <c r="S260" s="166">
        <f>SUMIFS(Продажи!P$5:P$359,Продажи!$D$5:$D$359,Конструкторы!$B260,Продажи!$C$5:$C$359,Конструкторы!$A260)</f>
        <v>0</v>
      </c>
      <c r="T260" s="166">
        <f>SUMIFS(Продажи!Q$5:Q$359,Продажи!$D$5:$D$359,Конструкторы!$B260,Продажи!$C$5:$C$359,Конструкторы!$A260)</f>
        <v>0</v>
      </c>
    </row>
    <row r="261" spans="1:20" ht="15.75" hidden="1" x14ac:dyDescent="0.25">
      <c r="A261" s="166" t="s">
        <v>397</v>
      </c>
      <c r="B261" s="167" t="s">
        <v>282</v>
      </c>
      <c r="C261" s="129" t="s">
        <v>28</v>
      </c>
      <c r="D261" s="149"/>
      <c r="E261" s="153" t="s">
        <v>68</v>
      </c>
      <c r="F261" s="156">
        <f>(0.15*103)/100</f>
        <v>0.1545</v>
      </c>
      <c r="G261" s="156">
        <v>4.500000000000004E-3</v>
      </c>
      <c r="H261" s="156">
        <f t="shared" si="2"/>
        <v>0.159</v>
      </c>
      <c r="I261" s="166">
        <f>SUMIFS(Продажи!F$5:F$359,Продажи!$D$5:$D$359,Конструкторы!$B261,Продажи!$C$5:$C$359,Конструкторы!$A261)</f>
        <v>0</v>
      </c>
      <c r="J261" s="166">
        <f>SUMIFS(Продажи!G$5:G$359,Продажи!$D$5:$D$359,Конструкторы!$B261,Продажи!$C$5:$C$359,Конструкторы!$A261)</f>
        <v>0</v>
      </c>
      <c r="K261" s="166">
        <f>SUMIFS(Продажи!H$5:H$359,Продажи!$D$5:$D$359,Конструкторы!$B261,Продажи!$C$5:$C$359,Конструкторы!$A261)</f>
        <v>0</v>
      </c>
      <c r="L261" s="166">
        <f>SUMIFS(Продажи!I$5:I$359,Продажи!$D$5:$D$359,Конструкторы!$B261,Продажи!$C$5:$C$359,Конструкторы!$A261)</f>
        <v>0</v>
      </c>
      <c r="M261" s="166">
        <f>SUMIFS(Продажи!J$5:J$359,Продажи!$D$5:$D$359,Конструкторы!$B261,Продажи!$C$5:$C$359,Конструкторы!$A261)</f>
        <v>0</v>
      </c>
      <c r="N261" s="166">
        <f>SUMIFS(Продажи!K$5:K$359,Продажи!$D$5:$D$359,Конструкторы!$B261,Продажи!$C$5:$C$359,Конструкторы!$A261)</f>
        <v>0</v>
      </c>
      <c r="O261" s="166">
        <f>SUMIFS(Продажи!L$5:L$359,Продажи!$D$5:$D$359,Конструкторы!$B261,Продажи!$C$5:$C$359,Конструкторы!$A261)</f>
        <v>0</v>
      </c>
      <c r="P261" s="166">
        <f>SUMIFS(Продажи!M$5:M$359,Продажи!$D$5:$D$359,Конструкторы!$B261,Продажи!$C$5:$C$359,Конструкторы!$A261)</f>
        <v>0</v>
      </c>
      <c r="Q261" s="166">
        <f>SUMIFS(Продажи!N$5:N$359,Продажи!$D$5:$D$359,Конструкторы!$B261,Продажи!$C$5:$C$359,Конструкторы!$A261)</f>
        <v>0</v>
      </c>
      <c r="R261" s="166">
        <f>SUMIFS(Продажи!O$5:O$359,Продажи!$D$5:$D$359,Конструкторы!$B261,Продажи!$C$5:$C$359,Конструкторы!$A261)</f>
        <v>0</v>
      </c>
      <c r="S261" s="166">
        <f>SUMIFS(Продажи!P$5:P$359,Продажи!$D$5:$D$359,Конструкторы!$B261,Продажи!$C$5:$C$359,Конструкторы!$A261)</f>
        <v>0</v>
      </c>
      <c r="T261" s="166">
        <f>SUMIFS(Продажи!Q$5:Q$359,Продажи!$D$5:$D$359,Конструкторы!$B261,Продажи!$C$5:$C$359,Конструкторы!$A261)</f>
        <v>0</v>
      </c>
    </row>
    <row r="262" spans="1:20" ht="15.75" hidden="1" x14ac:dyDescent="0.25">
      <c r="A262" s="166" t="s">
        <v>397</v>
      </c>
      <c r="B262" s="167" t="s">
        <v>136</v>
      </c>
      <c r="C262" s="129" t="s">
        <v>60</v>
      </c>
      <c r="D262" s="149"/>
      <c r="E262" s="153" t="s">
        <v>68</v>
      </c>
      <c r="F262" s="156">
        <f>(1.294*103)/100</f>
        <v>1.3328200000000001</v>
      </c>
      <c r="G262" s="156">
        <v>3.8820000000000077E-2</v>
      </c>
      <c r="H262" s="156">
        <f t="shared" si="2"/>
        <v>1.3716400000000002</v>
      </c>
      <c r="I262" s="166">
        <f>SUMIFS(Продажи!F$5:F$359,Продажи!$D$5:$D$359,Конструкторы!$B262,Продажи!$C$5:$C$359,Конструкторы!$A262)</f>
        <v>0</v>
      </c>
      <c r="J262" s="166">
        <f>SUMIFS(Продажи!G$5:G$359,Продажи!$D$5:$D$359,Конструкторы!$B262,Продажи!$C$5:$C$359,Конструкторы!$A262)</f>
        <v>0</v>
      </c>
      <c r="K262" s="166">
        <f>SUMIFS(Продажи!H$5:H$359,Продажи!$D$5:$D$359,Конструкторы!$B262,Продажи!$C$5:$C$359,Конструкторы!$A262)</f>
        <v>0</v>
      </c>
      <c r="L262" s="166">
        <f>SUMIFS(Продажи!I$5:I$359,Продажи!$D$5:$D$359,Конструкторы!$B262,Продажи!$C$5:$C$359,Конструкторы!$A262)</f>
        <v>0</v>
      </c>
      <c r="M262" s="166">
        <f>SUMIFS(Продажи!J$5:J$359,Продажи!$D$5:$D$359,Конструкторы!$B262,Продажи!$C$5:$C$359,Конструкторы!$A262)</f>
        <v>0</v>
      </c>
      <c r="N262" s="166">
        <f>SUMIFS(Продажи!K$5:K$359,Продажи!$D$5:$D$359,Конструкторы!$B262,Продажи!$C$5:$C$359,Конструкторы!$A262)</f>
        <v>0</v>
      </c>
      <c r="O262" s="166">
        <f>SUMIFS(Продажи!L$5:L$359,Продажи!$D$5:$D$359,Конструкторы!$B262,Продажи!$C$5:$C$359,Конструкторы!$A262)</f>
        <v>0</v>
      </c>
      <c r="P262" s="166">
        <f>SUMIFS(Продажи!M$5:M$359,Продажи!$D$5:$D$359,Конструкторы!$B262,Продажи!$C$5:$C$359,Конструкторы!$A262)</f>
        <v>0</v>
      </c>
      <c r="Q262" s="166">
        <f>SUMIFS(Продажи!N$5:N$359,Продажи!$D$5:$D$359,Конструкторы!$B262,Продажи!$C$5:$C$359,Конструкторы!$A262)</f>
        <v>0</v>
      </c>
      <c r="R262" s="166">
        <f>SUMIFS(Продажи!O$5:O$359,Продажи!$D$5:$D$359,Конструкторы!$B262,Продажи!$C$5:$C$359,Конструкторы!$A262)</f>
        <v>0</v>
      </c>
      <c r="S262" s="166">
        <f>SUMIFS(Продажи!P$5:P$359,Продажи!$D$5:$D$359,Конструкторы!$B262,Продажи!$C$5:$C$359,Конструкторы!$A262)</f>
        <v>0</v>
      </c>
      <c r="T262" s="166">
        <f>SUMIFS(Продажи!Q$5:Q$359,Продажи!$D$5:$D$359,Конструкторы!$B262,Продажи!$C$5:$C$359,Конструкторы!$A262)</f>
        <v>0</v>
      </c>
    </row>
    <row r="263" spans="1:20" ht="15.75" hidden="1" x14ac:dyDescent="0.25">
      <c r="A263" s="166" t="s">
        <v>397</v>
      </c>
      <c r="B263" s="167" t="s">
        <v>136</v>
      </c>
      <c r="C263" s="129" t="s">
        <v>60</v>
      </c>
      <c r="D263" s="149"/>
      <c r="E263" s="153" t="s">
        <v>68</v>
      </c>
      <c r="F263" s="156">
        <f>(1.072*103)/100</f>
        <v>1.10416</v>
      </c>
      <c r="G263" s="156">
        <v>3.2159999999999966E-2</v>
      </c>
      <c r="H263" s="156">
        <f t="shared" si="2"/>
        <v>1.13632</v>
      </c>
      <c r="I263" s="166">
        <f>SUMIFS(Продажи!F$5:F$359,Продажи!$D$5:$D$359,Конструкторы!$B263,Продажи!$C$5:$C$359,Конструкторы!$A263)</f>
        <v>0</v>
      </c>
      <c r="J263" s="166">
        <f>SUMIFS(Продажи!G$5:G$359,Продажи!$D$5:$D$359,Конструкторы!$B263,Продажи!$C$5:$C$359,Конструкторы!$A263)</f>
        <v>0</v>
      </c>
      <c r="K263" s="166">
        <f>SUMIFS(Продажи!H$5:H$359,Продажи!$D$5:$D$359,Конструкторы!$B263,Продажи!$C$5:$C$359,Конструкторы!$A263)</f>
        <v>0</v>
      </c>
      <c r="L263" s="166">
        <f>SUMIFS(Продажи!I$5:I$359,Продажи!$D$5:$D$359,Конструкторы!$B263,Продажи!$C$5:$C$359,Конструкторы!$A263)</f>
        <v>0</v>
      </c>
      <c r="M263" s="166">
        <f>SUMIFS(Продажи!J$5:J$359,Продажи!$D$5:$D$359,Конструкторы!$B263,Продажи!$C$5:$C$359,Конструкторы!$A263)</f>
        <v>0</v>
      </c>
      <c r="N263" s="166">
        <f>SUMIFS(Продажи!K$5:K$359,Продажи!$D$5:$D$359,Конструкторы!$B263,Продажи!$C$5:$C$359,Конструкторы!$A263)</f>
        <v>0</v>
      </c>
      <c r="O263" s="166">
        <f>SUMIFS(Продажи!L$5:L$359,Продажи!$D$5:$D$359,Конструкторы!$B263,Продажи!$C$5:$C$359,Конструкторы!$A263)</f>
        <v>0</v>
      </c>
      <c r="P263" s="166">
        <f>SUMIFS(Продажи!M$5:M$359,Продажи!$D$5:$D$359,Конструкторы!$B263,Продажи!$C$5:$C$359,Конструкторы!$A263)</f>
        <v>0</v>
      </c>
      <c r="Q263" s="166">
        <f>SUMIFS(Продажи!N$5:N$359,Продажи!$D$5:$D$359,Конструкторы!$B263,Продажи!$C$5:$C$359,Конструкторы!$A263)</f>
        <v>0</v>
      </c>
      <c r="R263" s="166">
        <f>SUMIFS(Продажи!O$5:O$359,Продажи!$D$5:$D$359,Конструкторы!$B263,Продажи!$C$5:$C$359,Конструкторы!$A263)</f>
        <v>0</v>
      </c>
      <c r="S263" s="166">
        <f>SUMIFS(Продажи!P$5:P$359,Продажи!$D$5:$D$359,Конструкторы!$B263,Продажи!$C$5:$C$359,Конструкторы!$A263)</f>
        <v>0</v>
      </c>
      <c r="T263" s="166">
        <f>SUMIFS(Продажи!Q$5:Q$359,Продажи!$D$5:$D$359,Конструкторы!$B263,Продажи!$C$5:$C$359,Конструкторы!$A263)</f>
        <v>0</v>
      </c>
    </row>
    <row r="264" spans="1:20" ht="15.75" hidden="1" x14ac:dyDescent="0.25">
      <c r="A264" s="166" t="s">
        <v>397</v>
      </c>
      <c r="B264" s="167" t="s">
        <v>136</v>
      </c>
      <c r="C264" s="33" t="s">
        <v>72</v>
      </c>
      <c r="D264" s="149"/>
      <c r="E264" s="153" t="s">
        <v>70</v>
      </c>
      <c r="F264" s="148">
        <v>4</v>
      </c>
      <c r="G264" s="156" t="s">
        <v>71</v>
      </c>
      <c r="H264" s="156">
        <f>F264</f>
        <v>4</v>
      </c>
      <c r="I264" s="166">
        <f>SUMIFS(Продажи!F$5:F$359,Продажи!$D$5:$D$359,Конструкторы!$B264,Продажи!$C$5:$C$359,Конструкторы!$A264)</f>
        <v>0</v>
      </c>
      <c r="J264" s="166">
        <f>SUMIFS(Продажи!G$5:G$359,Продажи!$D$5:$D$359,Конструкторы!$B264,Продажи!$C$5:$C$359,Конструкторы!$A264)</f>
        <v>0</v>
      </c>
      <c r="K264" s="166">
        <f>SUMIFS(Продажи!H$5:H$359,Продажи!$D$5:$D$359,Конструкторы!$B264,Продажи!$C$5:$C$359,Конструкторы!$A264)</f>
        <v>0</v>
      </c>
      <c r="L264" s="166">
        <f>SUMIFS(Продажи!I$5:I$359,Продажи!$D$5:$D$359,Конструкторы!$B264,Продажи!$C$5:$C$359,Конструкторы!$A264)</f>
        <v>0</v>
      </c>
      <c r="M264" s="166">
        <f>SUMIFS(Продажи!J$5:J$359,Продажи!$D$5:$D$359,Конструкторы!$B264,Продажи!$C$5:$C$359,Конструкторы!$A264)</f>
        <v>0</v>
      </c>
      <c r="N264" s="166">
        <f>SUMIFS(Продажи!K$5:K$359,Продажи!$D$5:$D$359,Конструкторы!$B264,Продажи!$C$5:$C$359,Конструкторы!$A264)</f>
        <v>0</v>
      </c>
      <c r="O264" s="166">
        <f>SUMIFS(Продажи!L$5:L$359,Продажи!$D$5:$D$359,Конструкторы!$B264,Продажи!$C$5:$C$359,Конструкторы!$A264)</f>
        <v>0</v>
      </c>
      <c r="P264" s="166">
        <f>SUMIFS(Продажи!M$5:M$359,Продажи!$D$5:$D$359,Конструкторы!$B264,Продажи!$C$5:$C$359,Конструкторы!$A264)</f>
        <v>0</v>
      </c>
      <c r="Q264" s="166">
        <f>SUMIFS(Продажи!N$5:N$359,Продажи!$D$5:$D$359,Конструкторы!$B264,Продажи!$C$5:$C$359,Конструкторы!$A264)</f>
        <v>0</v>
      </c>
      <c r="R264" s="166">
        <f>SUMIFS(Продажи!O$5:O$359,Продажи!$D$5:$D$359,Конструкторы!$B264,Продажи!$C$5:$C$359,Конструкторы!$A264)</f>
        <v>0</v>
      </c>
      <c r="S264" s="166">
        <f>SUMIFS(Продажи!P$5:P$359,Продажи!$D$5:$D$359,Конструкторы!$B264,Продажи!$C$5:$C$359,Конструкторы!$A264)</f>
        <v>0</v>
      </c>
      <c r="T264" s="166">
        <f>SUMIFS(Продажи!Q$5:Q$359,Продажи!$D$5:$D$359,Конструкторы!$B264,Продажи!$C$5:$C$359,Конструкторы!$A264)</f>
        <v>0</v>
      </c>
    </row>
    <row r="265" spans="1:20" ht="15.75" hidden="1" x14ac:dyDescent="0.25">
      <c r="A265" s="166" t="s">
        <v>397</v>
      </c>
      <c r="B265" s="167" t="s">
        <v>136</v>
      </c>
      <c r="C265" s="33" t="s">
        <v>76</v>
      </c>
      <c r="D265" s="149"/>
      <c r="E265" s="153" t="s">
        <v>70</v>
      </c>
      <c r="F265" s="148">
        <v>12</v>
      </c>
      <c r="G265" s="156" t="s">
        <v>71</v>
      </c>
      <c r="H265" s="156">
        <f>F265</f>
        <v>12</v>
      </c>
      <c r="I265" s="166">
        <f>SUMIFS(Продажи!F$5:F$359,Продажи!$D$5:$D$359,Конструкторы!$B265,Продажи!$C$5:$C$359,Конструкторы!$A265)</f>
        <v>0</v>
      </c>
      <c r="J265" s="166">
        <f>SUMIFS(Продажи!G$5:G$359,Продажи!$D$5:$D$359,Конструкторы!$B265,Продажи!$C$5:$C$359,Конструкторы!$A265)</f>
        <v>0</v>
      </c>
      <c r="K265" s="166">
        <f>SUMIFS(Продажи!H$5:H$359,Продажи!$D$5:$D$359,Конструкторы!$B265,Продажи!$C$5:$C$359,Конструкторы!$A265)</f>
        <v>0</v>
      </c>
      <c r="L265" s="166">
        <f>SUMIFS(Продажи!I$5:I$359,Продажи!$D$5:$D$359,Конструкторы!$B265,Продажи!$C$5:$C$359,Конструкторы!$A265)</f>
        <v>0</v>
      </c>
      <c r="M265" s="166">
        <f>SUMIFS(Продажи!J$5:J$359,Продажи!$D$5:$D$359,Конструкторы!$B265,Продажи!$C$5:$C$359,Конструкторы!$A265)</f>
        <v>0</v>
      </c>
      <c r="N265" s="166">
        <f>SUMIFS(Продажи!K$5:K$359,Продажи!$D$5:$D$359,Конструкторы!$B265,Продажи!$C$5:$C$359,Конструкторы!$A265)</f>
        <v>0</v>
      </c>
      <c r="O265" s="166">
        <f>SUMIFS(Продажи!L$5:L$359,Продажи!$D$5:$D$359,Конструкторы!$B265,Продажи!$C$5:$C$359,Конструкторы!$A265)</f>
        <v>0</v>
      </c>
      <c r="P265" s="166">
        <f>SUMIFS(Продажи!M$5:M$359,Продажи!$D$5:$D$359,Конструкторы!$B265,Продажи!$C$5:$C$359,Конструкторы!$A265)</f>
        <v>0</v>
      </c>
      <c r="Q265" s="166">
        <f>SUMIFS(Продажи!N$5:N$359,Продажи!$D$5:$D$359,Конструкторы!$B265,Продажи!$C$5:$C$359,Конструкторы!$A265)</f>
        <v>0</v>
      </c>
      <c r="R265" s="166">
        <f>SUMIFS(Продажи!O$5:O$359,Продажи!$D$5:$D$359,Конструкторы!$B265,Продажи!$C$5:$C$359,Конструкторы!$A265)</f>
        <v>0</v>
      </c>
      <c r="S265" s="166">
        <f>SUMIFS(Продажи!P$5:P$359,Продажи!$D$5:$D$359,Конструкторы!$B265,Продажи!$C$5:$C$359,Конструкторы!$A265)</f>
        <v>0</v>
      </c>
      <c r="T265" s="166">
        <f>SUMIFS(Продажи!Q$5:Q$359,Продажи!$D$5:$D$359,Конструкторы!$B265,Продажи!$C$5:$C$359,Конструкторы!$A265)</f>
        <v>0</v>
      </c>
    </row>
    <row r="266" spans="1:20" ht="15.75" hidden="1" x14ac:dyDescent="0.25">
      <c r="A266" s="166" t="s">
        <v>397</v>
      </c>
      <c r="B266" s="167" t="s">
        <v>137</v>
      </c>
      <c r="C266" s="129" t="s">
        <v>60</v>
      </c>
      <c r="D266" s="149"/>
      <c r="E266" s="153" t="s">
        <v>68</v>
      </c>
      <c r="F266" s="156">
        <f>(1.394*103)/100</f>
        <v>1.4358199999999999</v>
      </c>
      <c r="G266" s="156">
        <v>4.1819999999999968E-2</v>
      </c>
      <c r="H266" s="156">
        <f>F266+G266</f>
        <v>1.4776399999999998</v>
      </c>
      <c r="I266" s="166">
        <f>SUMIFS(Продажи!F$5:F$359,Продажи!$D$5:$D$359,Конструкторы!$B266,Продажи!$C$5:$C$359,Конструкторы!$A266)</f>
        <v>0</v>
      </c>
      <c r="J266" s="166">
        <f>SUMIFS(Продажи!G$5:G$359,Продажи!$D$5:$D$359,Конструкторы!$B266,Продажи!$C$5:$C$359,Конструкторы!$A266)</f>
        <v>0</v>
      </c>
      <c r="K266" s="166">
        <f>SUMIFS(Продажи!H$5:H$359,Продажи!$D$5:$D$359,Конструкторы!$B266,Продажи!$C$5:$C$359,Конструкторы!$A266)</f>
        <v>0</v>
      </c>
      <c r="L266" s="166">
        <f>SUMIFS(Продажи!I$5:I$359,Продажи!$D$5:$D$359,Конструкторы!$B266,Продажи!$C$5:$C$359,Конструкторы!$A266)</f>
        <v>0</v>
      </c>
      <c r="M266" s="166">
        <f>SUMIFS(Продажи!J$5:J$359,Продажи!$D$5:$D$359,Конструкторы!$B266,Продажи!$C$5:$C$359,Конструкторы!$A266)</f>
        <v>0</v>
      </c>
      <c r="N266" s="166">
        <f>SUMIFS(Продажи!K$5:K$359,Продажи!$D$5:$D$359,Конструкторы!$B266,Продажи!$C$5:$C$359,Конструкторы!$A266)</f>
        <v>0</v>
      </c>
      <c r="O266" s="166">
        <f>SUMIFS(Продажи!L$5:L$359,Продажи!$D$5:$D$359,Конструкторы!$B266,Продажи!$C$5:$C$359,Конструкторы!$A266)</f>
        <v>0</v>
      </c>
      <c r="P266" s="166">
        <f>SUMIFS(Продажи!M$5:M$359,Продажи!$D$5:$D$359,Конструкторы!$B266,Продажи!$C$5:$C$359,Конструкторы!$A266)</f>
        <v>0</v>
      </c>
      <c r="Q266" s="166">
        <f>SUMIFS(Продажи!N$5:N$359,Продажи!$D$5:$D$359,Конструкторы!$B266,Продажи!$C$5:$C$359,Конструкторы!$A266)</f>
        <v>0</v>
      </c>
      <c r="R266" s="166">
        <f>SUMIFS(Продажи!O$5:O$359,Продажи!$D$5:$D$359,Конструкторы!$B266,Продажи!$C$5:$C$359,Конструкторы!$A266)</f>
        <v>0</v>
      </c>
      <c r="S266" s="166">
        <f>SUMIFS(Продажи!P$5:P$359,Продажи!$D$5:$D$359,Конструкторы!$B266,Продажи!$C$5:$C$359,Конструкторы!$A266)</f>
        <v>0</v>
      </c>
      <c r="T266" s="166">
        <f>SUMIFS(Продажи!Q$5:Q$359,Продажи!$D$5:$D$359,Конструкторы!$B266,Продажи!$C$5:$C$359,Конструкторы!$A266)</f>
        <v>0</v>
      </c>
    </row>
    <row r="267" spans="1:20" ht="15.75" hidden="1" x14ac:dyDescent="0.25">
      <c r="A267" s="166" t="s">
        <v>397</v>
      </c>
      <c r="B267" s="167" t="s">
        <v>137</v>
      </c>
      <c r="C267" s="129" t="s">
        <v>60</v>
      </c>
      <c r="D267" s="149"/>
      <c r="E267" s="153" t="s">
        <v>68</v>
      </c>
      <c r="F267" s="156">
        <f>(1.072*103)/100</f>
        <v>1.10416</v>
      </c>
      <c r="G267" s="156">
        <v>3.2159999999999966E-2</v>
      </c>
      <c r="H267" s="156">
        <f>F267+G267</f>
        <v>1.13632</v>
      </c>
      <c r="I267" s="166">
        <f>SUMIFS(Продажи!F$5:F$359,Продажи!$D$5:$D$359,Конструкторы!$B267,Продажи!$C$5:$C$359,Конструкторы!$A267)</f>
        <v>0</v>
      </c>
      <c r="J267" s="166">
        <f>SUMIFS(Продажи!G$5:G$359,Продажи!$D$5:$D$359,Конструкторы!$B267,Продажи!$C$5:$C$359,Конструкторы!$A267)</f>
        <v>0</v>
      </c>
      <c r="K267" s="166">
        <f>SUMIFS(Продажи!H$5:H$359,Продажи!$D$5:$D$359,Конструкторы!$B267,Продажи!$C$5:$C$359,Конструкторы!$A267)</f>
        <v>0</v>
      </c>
      <c r="L267" s="166">
        <f>SUMIFS(Продажи!I$5:I$359,Продажи!$D$5:$D$359,Конструкторы!$B267,Продажи!$C$5:$C$359,Конструкторы!$A267)</f>
        <v>0</v>
      </c>
      <c r="M267" s="166">
        <f>SUMIFS(Продажи!J$5:J$359,Продажи!$D$5:$D$359,Конструкторы!$B267,Продажи!$C$5:$C$359,Конструкторы!$A267)</f>
        <v>0</v>
      </c>
      <c r="N267" s="166">
        <f>SUMIFS(Продажи!K$5:K$359,Продажи!$D$5:$D$359,Конструкторы!$B267,Продажи!$C$5:$C$359,Конструкторы!$A267)</f>
        <v>0</v>
      </c>
      <c r="O267" s="166">
        <f>SUMIFS(Продажи!L$5:L$359,Продажи!$D$5:$D$359,Конструкторы!$B267,Продажи!$C$5:$C$359,Конструкторы!$A267)</f>
        <v>0</v>
      </c>
      <c r="P267" s="166">
        <f>SUMIFS(Продажи!M$5:M$359,Продажи!$D$5:$D$359,Конструкторы!$B267,Продажи!$C$5:$C$359,Конструкторы!$A267)</f>
        <v>0</v>
      </c>
      <c r="Q267" s="166">
        <f>SUMIFS(Продажи!N$5:N$359,Продажи!$D$5:$D$359,Конструкторы!$B267,Продажи!$C$5:$C$359,Конструкторы!$A267)</f>
        <v>0</v>
      </c>
      <c r="R267" s="166">
        <f>SUMIFS(Продажи!O$5:O$359,Продажи!$D$5:$D$359,Конструкторы!$B267,Продажи!$C$5:$C$359,Конструкторы!$A267)</f>
        <v>0</v>
      </c>
      <c r="S267" s="166">
        <f>SUMIFS(Продажи!P$5:P$359,Продажи!$D$5:$D$359,Конструкторы!$B267,Продажи!$C$5:$C$359,Конструкторы!$A267)</f>
        <v>0</v>
      </c>
      <c r="T267" s="166">
        <f>SUMIFS(Продажи!Q$5:Q$359,Продажи!$D$5:$D$359,Конструкторы!$B267,Продажи!$C$5:$C$359,Конструкторы!$A267)</f>
        <v>0</v>
      </c>
    </row>
    <row r="268" spans="1:20" ht="15.75" hidden="1" x14ac:dyDescent="0.25">
      <c r="A268" s="166" t="s">
        <v>397</v>
      </c>
      <c r="B268" s="167" t="s">
        <v>137</v>
      </c>
      <c r="C268" s="33" t="s">
        <v>72</v>
      </c>
      <c r="D268" s="149"/>
      <c r="E268" s="153" t="s">
        <v>70</v>
      </c>
      <c r="F268" s="148">
        <v>4</v>
      </c>
      <c r="G268" s="156" t="s">
        <v>71</v>
      </c>
      <c r="H268" s="156">
        <f>F268</f>
        <v>4</v>
      </c>
      <c r="I268" s="166">
        <f>SUMIFS(Продажи!F$5:F$359,Продажи!$D$5:$D$359,Конструкторы!$B268,Продажи!$C$5:$C$359,Конструкторы!$A268)</f>
        <v>0</v>
      </c>
      <c r="J268" s="166">
        <f>SUMIFS(Продажи!G$5:G$359,Продажи!$D$5:$D$359,Конструкторы!$B268,Продажи!$C$5:$C$359,Конструкторы!$A268)</f>
        <v>0</v>
      </c>
      <c r="K268" s="166">
        <f>SUMIFS(Продажи!H$5:H$359,Продажи!$D$5:$D$359,Конструкторы!$B268,Продажи!$C$5:$C$359,Конструкторы!$A268)</f>
        <v>0</v>
      </c>
      <c r="L268" s="166">
        <f>SUMIFS(Продажи!I$5:I$359,Продажи!$D$5:$D$359,Конструкторы!$B268,Продажи!$C$5:$C$359,Конструкторы!$A268)</f>
        <v>0</v>
      </c>
      <c r="M268" s="166">
        <f>SUMIFS(Продажи!J$5:J$359,Продажи!$D$5:$D$359,Конструкторы!$B268,Продажи!$C$5:$C$359,Конструкторы!$A268)</f>
        <v>0</v>
      </c>
      <c r="N268" s="166">
        <f>SUMIFS(Продажи!K$5:K$359,Продажи!$D$5:$D$359,Конструкторы!$B268,Продажи!$C$5:$C$359,Конструкторы!$A268)</f>
        <v>0</v>
      </c>
      <c r="O268" s="166">
        <f>SUMIFS(Продажи!L$5:L$359,Продажи!$D$5:$D$359,Конструкторы!$B268,Продажи!$C$5:$C$359,Конструкторы!$A268)</f>
        <v>0</v>
      </c>
      <c r="P268" s="166">
        <f>SUMIFS(Продажи!M$5:M$359,Продажи!$D$5:$D$359,Конструкторы!$B268,Продажи!$C$5:$C$359,Конструкторы!$A268)</f>
        <v>0</v>
      </c>
      <c r="Q268" s="166">
        <f>SUMIFS(Продажи!N$5:N$359,Продажи!$D$5:$D$359,Конструкторы!$B268,Продажи!$C$5:$C$359,Конструкторы!$A268)</f>
        <v>0</v>
      </c>
      <c r="R268" s="166">
        <f>SUMIFS(Продажи!O$5:O$359,Продажи!$D$5:$D$359,Конструкторы!$B268,Продажи!$C$5:$C$359,Конструкторы!$A268)</f>
        <v>0</v>
      </c>
      <c r="S268" s="166">
        <f>SUMIFS(Продажи!P$5:P$359,Продажи!$D$5:$D$359,Конструкторы!$B268,Продажи!$C$5:$C$359,Конструкторы!$A268)</f>
        <v>0</v>
      </c>
      <c r="T268" s="166">
        <f>SUMIFS(Продажи!Q$5:Q$359,Продажи!$D$5:$D$359,Конструкторы!$B268,Продажи!$C$5:$C$359,Конструкторы!$A268)</f>
        <v>0</v>
      </c>
    </row>
    <row r="269" spans="1:20" ht="15.75" hidden="1" x14ac:dyDescent="0.25">
      <c r="A269" s="166" t="s">
        <v>397</v>
      </c>
      <c r="B269" s="167" t="s">
        <v>137</v>
      </c>
      <c r="C269" s="33" t="s">
        <v>76</v>
      </c>
      <c r="D269" s="149"/>
      <c r="E269" s="153" t="s">
        <v>70</v>
      </c>
      <c r="F269" s="148">
        <v>12</v>
      </c>
      <c r="G269" s="156" t="s">
        <v>71</v>
      </c>
      <c r="H269" s="156">
        <f>F269</f>
        <v>12</v>
      </c>
      <c r="I269" s="166">
        <f>SUMIFS(Продажи!F$5:F$359,Продажи!$D$5:$D$359,Конструкторы!$B269,Продажи!$C$5:$C$359,Конструкторы!$A269)</f>
        <v>0</v>
      </c>
      <c r="J269" s="166">
        <f>SUMIFS(Продажи!G$5:G$359,Продажи!$D$5:$D$359,Конструкторы!$B269,Продажи!$C$5:$C$359,Конструкторы!$A269)</f>
        <v>0</v>
      </c>
      <c r="K269" s="166">
        <f>SUMIFS(Продажи!H$5:H$359,Продажи!$D$5:$D$359,Конструкторы!$B269,Продажи!$C$5:$C$359,Конструкторы!$A269)</f>
        <v>0</v>
      </c>
      <c r="L269" s="166">
        <f>SUMIFS(Продажи!I$5:I$359,Продажи!$D$5:$D$359,Конструкторы!$B269,Продажи!$C$5:$C$359,Конструкторы!$A269)</f>
        <v>0</v>
      </c>
      <c r="M269" s="166">
        <f>SUMIFS(Продажи!J$5:J$359,Продажи!$D$5:$D$359,Конструкторы!$B269,Продажи!$C$5:$C$359,Конструкторы!$A269)</f>
        <v>0</v>
      </c>
      <c r="N269" s="166">
        <f>SUMIFS(Продажи!K$5:K$359,Продажи!$D$5:$D$359,Конструкторы!$B269,Продажи!$C$5:$C$359,Конструкторы!$A269)</f>
        <v>0</v>
      </c>
      <c r="O269" s="166">
        <f>SUMIFS(Продажи!L$5:L$359,Продажи!$D$5:$D$359,Конструкторы!$B269,Продажи!$C$5:$C$359,Конструкторы!$A269)</f>
        <v>0</v>
      </c>
      <c r="P269" s="166">
        <f>SUMIFS(Продажи!M$5:M$359,Продажи!$D$5:$D$359,Конструкторы!$B269,Продажи!$C$5:$C$359,Конструкторы!$A269)</f>
        <v>0</v>
      </c>
      <c r="Q269" s="166">
        <f>SUMIFS(Продажи!N$5:N$359,Продажи!$D$5:$D$359,Конструкторы!$B269,Продажи!$C$5:$C$359,Конструкторы!$A269)</f>
        <v>0</v>
      </c>
      <c r="R269" s="166">
        <f>SUMIFS(Продажи!O$5:O$359,Продажи!$D$5:$D$359,Конструкторы!$B269,Продажи!$C$5:$C$359,Конструкторы!$A269)</f>
        <v>0</v>
      </c>
      <c r="S269" s="166">
        <f>SUMIFS(Продажи!P$5:P$359,Продажи!$D$5:$D$359,Конструкторы!$B269,Продажи!$C$5:$C$359,Конструкторы!$A269)</f>
        <v>0</v>
      </c>
      <c r="T269" s="166">
        <f>SUMIFS(Продажи!Q$5:Q$359,Продажи!$D$5:$D$359,Конструкторы!$B269,Продажи!$C$5:$C$359,Конструкторы!$A269)</f>
        <v>0</v>
      </c>
    </row>
    <row r="270" spans="1:20" ht="15.75" hidden="1" x14ac:dyDescent="0.25">
      <c r="A270" s="166" t="s">
        <v>397</v>
      </c>
      <c r="B270" s="167" t="s">
        <v>138</v>
      </c>
      <c r="C270" s="129" t="s">
        <v>61</v>
      </c>
      <c r="D270" s="149"/>
      <c r="E270" s="153" t="s">
        <v>68</v>
      </c>
      <c r="F270" s="156">
        <f>(1.394*103)/100</f>
        <v>1.4358199999999999</v>
      </c>
      <c r="G270" s="156">
        <v>4.1819999999999968E-2</v>
      </c>
      <c r="H270" s="156">
        <f>F270+G270</f>
        <v>1.4776399999999998</v>
      </c>
      <c r="I270" s="166">
        <f>SUMIFS(Продажи!F$5:F$359,Продажи!$D$5:$D$359,Конструкторы!$B270,Продажи!$C$5:$C$359,Конструкторы!$A270)</f>
        <v>0</v>
      </c>
      <c r="J270" s="166">
        <f>SUMIFS(Продажи!G$5:G$359,Продажи!$D$5:$D$359,Конструкторы!$B270,Продажи!$C$5:$C$359,Конструкторы!$A270)</f>
        <v>0</v>
      </c>
      <c r="K270" s="166">
        <f>SUMIFS(Продажи!H$5:H$359,Продажи!$D$5:$D$359,Конструкторы!$B270,Продажи!$C$5:$C$359,Конструкторы!$A270)</f>
        <v>0</v>
      </c>
      <c r="L270" s="166">
        <f>SUMIFS(Продажи!I$5:I$359,Продажи!$D$5:$D$359,Конструкторы!$B270,Продажи!$C$5:$C$359,Конструкторы!$A270)</f>
        <v>0</v>
      </c>
      <c r="M270" s="166">
        <f>SUMIFS(Продажи!J$5:J$359,Продажи!$D$5:$D$359,Конструкторы!$B270,Продажи!$C$5:$C$359,Конструкторы!$A270)</f>
        <v>0</v>
      </c>
      <c r="N270" s="166">
        <f>SUMIFS(Продажи!K$5:K$359,Продажи!$D$5:$D$359,Конструкторы!$B270,Продажи!$C$5:$C$359,Конструкторы!$A270)</f>
        <v>0</v>
      </c>
      <c r="O270" s="166">
        <f>SUMIFS(Продажи!L$5:L$359,Продажи!$D$5:$D$359,Конструкторы!$B270,Продажи!$C$5:$C$359,Конструкторы!$A270)</f>
        <v>0</v>
      </c>
      <c r="P270" s="166">
        <f>SUMIFS(Продажи!M$5:M$359,Продажи!$D$5:$D$359,Конструкторы!$B270,Продажи!$C$5:$C$359,Конструкторы!$A270)</f>
        <v>0</v>
      </c>
      <c r="Q270" s="166">
        <f>SUMIFS(Продажи!N$5:N$359,Продажи!$D$5:$D$359,Конструкторы!$B270,Продажи!$C$5:$C$359,Конструкторы!$A270)</f>
        <v>0</v>
      </c>
      <c r="R270" s="166">
        <f>SUMIFS(Продажи!O$5:O$359,Продажи!$D$5:$D$359,Конструкторы!$B270,Продажи!$C$5:$C$359,Конструкторы!$A270)</f>
        <v>0</v>
      </c>
      <c r="S270" s="166">
        <f>SUMIFS(Продажи!P$5:P$359,Продажи!$D$5:$D$359,Конструкторы!$B270,Продажи!$C$5:$C$359,Конструкторы!$A270)</f>
        <v>0</v>
      </c>
      <c r="T270" s="166">
        <f>SUMIFS(Продажи!Q$5:Q$359,Продажи!$D$5:$D$359,Конструкторы!$B270,Продажи!$C$5:$C$359,Конструкторы!$A270)</f>
        <v>0</v>
      </c>
    </row>
    <row r="271" spans="1:20" ht="15.75" hidden="1" x14ac:dyDescent="0.25">
      <c r="A271" s="166" t="s">
        <v>397</v>
      </c>
      <c r="B271" s="167" t="s">
        <v>138</v>
      </c>
      <c r="C271" s="129" t="s">
        <v>60</v>
      </c>
      <c r="D271" s="149"/>
      <c r="E271" s="153" t="s">
        <v>68</v>
      </c>
      <c r="F271" s="156">
        <f>(1.072*103)/100</f>
        <v>1.10416</v>
      </c>
      <c r="G271" s="156">
        <v>3.2159999999999966E-2</v>
      </c>
      <c r="H271" s="156">
        <f>F271+G271</f>
        <v>1.13632</v>
      </c>
      <c r="I271" s="166">
        <f>SUMIFS(Продажи!F$5:F$359,Продажи!$D$5:$D$359,Конструкторы!$B271,Продажи!$C$5:$C$359,Конструкторы!$A271)</f>
        <v>0</v>
      </c>
      <c r="J271" s="166">
        <f>SUMIFS(Продажи!G$5:G$359,Продажи!$D$5:$D$359,Конструкторы!$B271,Продажи!$C$5:$C$359,Конструкторы!$A271)</f>
        <v>0</v>
      </c>
      <c r="K271" s="166">
        <f>SUMIFS(Продажи!H$5:H$359,Продажи!$D$5:$D$359,Конструкторы!$B271,Продажи!$C$5:$C$359,Конструкторы!$A271)</f>
        <v>0</v>
      </c>
      <c r="L271" s="166">
        <f>SUMIFS(Продажи!I$5:I$359,Продажи!$D$5:$D$359,Конструкторы!$B271,Продажи!$C$5:$C$359,Конструкторы!$A271)</f>
        <v>0</v>
      </c>
      <c r="M271" s="166">
        <f>SUMIFS(Продажи!J$5:J$359,Продажи!$D$5:$D$359,Конструкторы!$B271,Продажи!$C$5:$C$359,Конструкторы!$A271)</f>
        <v>0</v>
      </c>
      <c r="N271" s="166">
        <f>SUMIFS(Продажи!K$5:K$359,Продажи!$D$5:$D$359,Конструкторы!$B271,Продажи!$C$5:$C$359,Конструкторы!$A271)</f>
        <v>0</v>
      </c>
      <c r="O271" s="166">
        <f>SUMIFS(Продажи!L$5:L$359,Продажи!$D$5:$D$359,Конструкторы!$B271,Продажи!$C$5:$C$359,Конструкторы!$A271)</f>
        <v>0</v>
      </c>
      <c r="P271" s="166">
        <f>SUMIFS(Продажи!M$5:M$359,Продажи!$D$5:$D$359,Конструкторы!$B271,Продажи!$C$5:$C$359,Конструкторы!$A271)</f>
        <v>0</v>
      </c>
      <c r="Q271" s="166">
        <f>SUMIFS(Продажи!N$5:N$359,Продажи!$D$5:$D$359,Конструкторы!$B271,Продажи!$C$5:$C$359,Конструкторы!$A271)</f>
        <v>0</v>
      </c>
      <c r="R271" s="166">
        <f>SUMIFS(Продажи!O$5:O$359,Продажи!$D$5:$D$359,Конструкторы!$B271,Продажи!$C$5:$C$359,Конструкторы!$A271)</f>
        <v>0</v>
      </c>
      <c r="S271" s="166">
        <f>SUMIFS(Продажи!P$5:P$359,Продажи!$D$5:$D$359,Конструкторы!$B271,Продажи!$C$5:$C$359,Конструкторы!$A271)</f>
        <v>0</v>
      </c>
      <c r="T271" s="166">
        <f>SUMIFS(Продажи!Q$5:Q$359,Продажи!$D$5:$D$359,Конструкторы!$B271,Продажи!$C$5:$C$359,Конструкторы!$A271)</f>
        <v>0</v>
      </c>
    </row>
    <row r="272" spans="1:20" ht="15.75" hidden="1" x14ac:dyDescent="0.25">
      <c r="A272" s="166" t="s">
        <v>397</v>
      </c>
      <c r="B272" s="167" t="s">
        <v>138</v>
      </c>
      <c r="C272" s="33" t="s">
        <v>72</v>
      </c>
      <c r="D272" s="149"/>
      <c r="E272" s="153" t="s">
        <v>70</v>
      </c>
      <c r="F272" s="148">
        <v>4</v>
      </c>
      <c r="G272" s="156" t="s">
        <v>71</v>
      </c>
      <c r="H272" s="156">
        <f>F272</f>
        <v>4</v>
      </c>
      <c r="I272" s="166">
        <f>SUMIFS(Продажи!F$5:F$359,Продажи!$D$5:$D$359,Конструкторы!$B272,Продажи!$C$5:$C$359,Конструкторы!$A272)</f>
        <v>0</v>
      </c>
      <c r="J272" s="166">
        <f>SUMIFS(Продажи!G$5:G$359,Продажи!$D$5:$D$359,Конструкторы!$B272,Продажи!$C$5:$C$359,Конструкторы!$A272)</f>
        <v>0</v>
      </c>
      <c r="K272" s="166">
        <f>SUMIFS(Продажи!H$5:H$359,Продажи!$D$5:$D$359,Конструкторы!$B272,Продажи!$C$5:$C$359,Конструкторы!$A272)</f>
        <v>0</v>
      </c>
      <c r="L272" s="166">
        <f>SUMIFS(Продажи!I$5:I$359,Продажи!$D$5:$D$359,Конструкторы!$B272,Продажи!$C$5:$C$359,Конструкторы!$A272)</f>
        <v>0</v>
      </c>
      <c r="M272" s="166">
        <f>SUMIFS(Продажи!J$5:J$359,Продажи!$D$5:$D$359,Конструкторы!$B272,Продажи!$C$5:$C$359,Конструкторы!$A272)</f>
        <v>0</v>
      </c>
      <c r="N272" s="166">
        <f>SUMIFS(Продажи!K$5:K$359,Продажи!$D$5:$D$359,Конструкторы!$B272,Продажи!$C$5:$C$359,Конструкторы!$A272)</f>
        <v>0</v>
      </c>
      <c r="O272" s="166">
        <f>SUMIFS(Продажи!L$5:L$359,Продажи!$D$5:$D$359,Конструкторы!$B272,Продажи!$C$5:$C$359,Конструкторы!$A272)</f>
        <v>0</v>
      </c>
      <c r="P272" s="166">
        <f>SUMIFS(Продажи!M$5:M$359,Продажи!$D$5:$D$359,Конструкторы!$B272,Продажи!$C$5:$C$359,Конструкторы!$A272)</f>
        <v>0</v>
      </c>
      <c r="Q272" s="166">
        <f>SUMIFS(Продажи!N$5:N$359,Продажи!$D$5:$D$359,Конструкторы!$B272,Продажи!$C$5:$C$359,Конструкторы!$A272)</f>
        <v>0</v>
      </c>
      <c r="R272" s="166">
        <f>SUMIFS(Продажи!O$5:O$359,Продажи!$D$5:$D$359,Конструкторы!$B272,Продажи!$C$5:$C$359,Конструкторы!$A272)</f>
        <v>0</v>
      </c>
      <c r="S272" s="166">
        <f>SUMIFS(Продажи!P$5:P$359,Продажи!$D$5:$D$359,Конструкторы!$B272,Продажи!$C$5:$C$359,Конструкторы!$A272)</f>
        <v>0</v>
      </c>
      <c r="T272" s="166">
        <f>SUMIFS(Продажи!Q$5:Q$359,Продажи!$D$5:$D$359,Конструкторы!$B272,Продажи!$C$5:$C$359,Конструкторы!$A272)</f>
        <v>0</v>
      </c>
    </row>
    <row r="273" spans="1:20" ht="15.75" hidden="1" x14ac:dyDescent="0.25">
      <c r="A273" s="166" t="s">
        <v>397</v>
      </c>
      <c r="B273" s="167" t="s">
        <v>138</v>
      </c>
      <c r="C273" s="33" t="s">
        <v>76</v>
      </c>
      <c r="D273" s="149"/>
      <c r="E273" s="153" t="s">
        <v>70</v>
      </c>
      <c r="F273" s="148">
        <v>12</v>
      </c>
      <c r="G273" s="156" t="s">
        <v>71</v>
      </c>
      <c r="H273" s="156">
        <f>F273</f>
        <v>12</v>
      </c>
      <c r="I273" s="166">
        <f>SUMIFS(Продажи!F$5:F$359,Продажи!$D$5:$D$359,Конструкторы!$B273,Продажи!$C$5:$C$359,Конструкторы!$A273)</f>
        <v>0</v>
      </c>
      <c r="J273" s="166">
        <f>SUMIFS(Продажи!G$5:G$359,Продажи!$D$5:$D$359,Конструкторы!$B273,Продажи!$C$5:$C$359,Конструкторы!$A273)</f>
        <v>0</v>
      </c>
      <c r="K273" s="166">
        <f>SUMIFS(Продажи!H$5:H$359,Продажи!$D$5:$D$359,Конструкторы!$B273,Продажи!$C$5:$C$359,Конструкторы!$A273)</f>
        <v>0</v>
      </c>
      <c r="L273" s="166">
        <f>SUMIFS(Продажи!I$5:I$359,Продажи!$D$5:$D$359,Конструкторы!$B273,Продажи!$C$5:$C$359,Конструкторы!$A273)</f>
        <v>0</v>
      </c>
      <c r="M273" s="166">
        <f>SUMIFS(Продажи!J$5:J$359,Продажи!$D$5:$D$359,Конструкторы!$B273,Продажи!$C$5:$C$359,Конструкторы!$A273)</f>
        <v>0</v>
      </c>
      <c r="N273" s="166">
        <f>SUMIFS(Продажи!K$5:K$359,Продажи!$D$5:$D$359,Конструкторы!$B273,Продажи!$C$5:$C$359,Конструкторы!$A273)</f>
        <v>0</v>
      </c>
      <c r="O273" s="166">
        <f>SUMIFS(Продажи!L$5:L$359,Продажи!$D$5:$D$359,Конструкторы!$B273,Продажи!$C$5:$C$359,Конструкторы!$A273)</f>
        <v>0</v>
      </c>
      <c r="P273" s="166">
        <f>SUMIFS(Продажи!M$5:M$359,Продажи!$D$5:$D$359,Конструкторы!$B273,Продажи!$C$5:$C$359,Конструкторы!$A273)</f>
        <v>0</v>
      </c>
      <c r="Q273" s="166">
        <f>SUMIFS(Продажи!N$5:N$359,Продажи!$D$5:$D$359,Конструкторы!$B273,Продажи!$C$5:$C$359,Конструкторы!$A273)</f>
        <v>0</v>
      </c>
      <c r="R273" s="166">
        <f>SUMIFS(Продажи!O$5:O$359,Продажи!$D$5:$D$359,Конструкторы!$B273,Продажи!$C$5:$C$359,Конструкторы!$A273)</f>
        <v>0</v>
      </c>
      <c r="S273" s="166">
        <f>SUMIFS(Продажи!P$5:P$359,Продажи!$D$5:$D$359,Конструкторы!$B273,Продажи!$C$5:$C$359,Конструкторы!$A273)</f>
        <v>0</v>
      </c>
      <c r="T273" s="166">
        <f>SUMIFS(Продажи!Q$5:Q$359,Продажи!$D$5:$D$359,Конструкторы!$B273,Продажи!$C$5:$C$359,Конструкторы!$A273)</f>
        <v>0</v>
      </c>
    </row>
    <row r="274" spans="1:20" ht="15.75" hidden="1" x14ac:dyDescent="0.25">
      <c r="A274" s="166" t="s">
        <v>397</v>
      </c>
      <c r="B274" s="167" t="s">
        <v>139</v>
      </c>
      <c r="C274" s="129" t="s">
        <v>60</v>
      </c>
      <c r="D274" s="149"/>
      <c r="E274" s="153" t="s">
        <v>68</v>
      </c>
      <c r="F274" s="156">
        <f>(0.9*103)/100</f>
        <v>0.92700000000000005</v>
      </c>
      <c r="G274" s="156">
        <v>2.7000000000000024E-2</v>
      </c>
      <c r="H274" s="156">
        <f>F274+G274</f>
        <v>0.95400000000000007</v>
      </c>
      <c r="I274" s="166">
        <f>SUMIFS(Продажи!F$5:F$359,Продажи!$D$5:$D$359,Конструкторы!$B274,Продажи!$C$5:$C$359,Конструкторы!$A274)</f>
        <v>0</v>
      </c>
      <c r="J274" s="166">
        <f>SUMIFS(Продажи!G$5:G$359,Продажи!$D$5:$D$359,Конструкторы!$B274,Продажи!$C$5:$C$359,Конструкторы!$A274)</f>
        <v>0</v>
      </c>
      <c r="K274" s="166">
        <f>SUMIFS(Продажи!H$5:H$359,Продажи!$D$5:$D$359,Конструкторы!$B274,Продажи!$C$5:$C$359,Конструкторы!$A274)</f>
        <v>0</v>
      </c>
      <c r="L274" s="166">
        <f>SUMIFS(Продажи!I$5:I$359,Продажи!$D$5:$D$359,Конструкторы!$B274,Продажи!$C$5:$C$359,Конструкторы!$A274)</f>
        <v>0</v>
      </c>
      <c r="M274" s="166">
        <f>SUMIFS(Продажи!J$5:J$359,Продажи!$D$5:$D$359,Конструкторы!$B274,Продажи!$C$5:$C$359,Конструкторы!$A274)</f>
        <v>0</v>
      </c>
      <c r="N274" s="166">
        <f>SUMIFS(Продажи!K$5:K$359,Продажи!$D$5:$D$359,Конструкторы!$B274,Продажи!$C$5:$C$359,Конструкторы!$A274)</f>
        <v>0</v>
      </c>
      <c r="O274" s="166">
        <f>SUMIFS(Продажи!L$5:L$359,Продажи!$D$5:$D$359,Конструкторы!$B274,Продажи!$C$5:$C$359,Конструкторы!$A274)</f>
        <v>0</v>
      </c>
      <c r="P274" s="166">
        <f>SUMIFS(Продажи!M$5:M$359,Продажи!$D$5:$D$359,Конструкторы!$B274,Продажи!$C$5:$C$359,Конструкторы!$A274)</f>
        <v>0</v>
      </c>
      <c r="Q274" s="166">
        <f>SUMIFS(Продажи!N$5:N$359,Продажи!$D$5:$D$359,Конструкторы!$B274,Продажи!$C$5:$C$359,Конструкторы!$A274)</f>
        <v>0</v>
      </c>
      <c r="R274" s="166">
        <f>SUMIFS(Продажи!O$5:O$359,Продажи!$D$5:$D$359,Конструкторы!$B274,Продажи!$C$5:$C$359,Конструкторы!$A274)</f>
        <v>0</v>
      </c>
      <c r="S274" s="166">
        <f>SUMIFS(Продажи!P$5:P$359,Продажи!$D$5:$D$359,Конструкторы!$B274,Продажи!$C$5:$C$359,Конструкторы!$A274)</f>
        <v>0</v>
      </c>
      <c r="T274" s="166">
        <f>SUMIFS(Продажи!Q$5:Q$359,Продажи!$D$5:$D$359,Конструкторы!$B274,Продажи!$C$5:$C$359,Конструкторы!$A274)</f>
        <v>0</v>
      </c>
    </row>
    <row r="275" spans="1:20" ht="15.75" hidden="1" x14ac:dyDescent="0.25">
      <c r="A275" s="166" t="s">
        <v>397</v>
      </c>
      <c r="B275" s="167" t="s">
        <v>139</v>
      </c>
      <c r="C275" s="129" t="s">
        <v>62</v>
      </c>
      <c r="D275" s="149"/>
      <c r="E275" s="153" t="s">
        <v>68</v>
      </c>
      <c r="F275" s="156">
        <f>(0.594*103)/100</f>
        <v>0.61181999999999992</v>
      </c>
      <c r="G275" s="156">
        <v>1.7819999999999947E-2</v>
      </c>
      <c r="H275" s="156">
        <f>F275+G275</f>
        <v>0.62963999999999987</v>
      </c>
      <c r="I275" s="166">
        <f>SUMIFS(Продажи!F$5:F$359,Продажи!$D$5:$D$359,Конструкторы!$B275,Продажи!$C$5:$C$359,Конструкторы!$A275)</f>
        <v>0</v>
      </c>
      <c r="J275" s="166">
        <f>SUMIFS(Продажи!G$5:G$359,Продажи!$D$5:$D$359,Конструкторы!$B275,Продажи!$C$5:$C$359,Конструкторы!$A275)</f>
        <v>0</v>
      </c>
      <c r="K275" s="166">
        <f>SUMIFS(Продажи!H$5:H$359,Продажи!$D$5:$D$359,Конструкторы!$B275,Продажи!$C$5:$C$359,Конструкторы!$A275)</f>
        <v>0</v>
      </c>
      <c r="L275" s="166">
        <f>SUMIFS(Продажи!I$5:I$359,Продажи!$D$5:$D$359,Конструкторы!$B275,Продажи!$C$5:$C$359,Конструкторы!$A275)</f>
        <v>0</v>
      </c>
      <c r="M275" s="166">
        <f>SUMIFS(Продажи!J$5:J$359,Продажи!$D$5:$D$359,Конструкторы!$B275,Продажи!$C$5:$C$359,Конструкторы!$A275)</f>
        <v>0</v>
      </c>
      <c r="N275" s="166">
        <f>SUMIFS(Продажи!K$5:K$359,Продажи!$D$5:$D$359,Конструкторы!$B275,Продажи!$C$5:$C$359,Конструкторы!$A275)</f>
        <v>0</v>
      </c>
      <c r="O275" s="166">
        <f>SUMIFS(Продажи!L$5:L$359,Продажи!$D$5:$D$359,Конструкторы!$B275,Продажи!$C$5:$C$359,Конструкторы!$A275)</f>
        <v>0</v>
      </c>
      <c r="P275" s="166">
        <f>SUMIFS(Продажи!M$5:M$359,Продажи!$D$5:$D$359,Конструкторы!$B275,Продажи!$C$5:$C$359,Конструкторы!$A275)</f>
        <v>0</v>
      </c>
      <c r="Q275" s="166">
        <f>SUMIFS(Продажи!N$5:N$359,Продажи!$D$5:$D$359,Конструкторы!$B275,Продажи!$C$5:$C$359,Конструкторы!$A275)</f>
        <v>0</v>
      </c>
      <c r="R275" s="166">
        <f>SUMIFS(Продажи!O$5:O$359,Продажи!$D$5:$D$359,Конструкторы!$B275,Продажи!$C$5:$C$359,Конструкторы!$A275)</f>
        <v>0</v>
      </c>
      <c r="S275" s="166">
        <f>SUMIFS(Продажи!P$5:P$359,Продажи!$D$5:$D$359,Конструкторы!$B275,Продажи!$C$5:$C$359,Конструкторы!$A275)</f>
        <v>0</v>
      </c>
      <c r="T275" s="166">
        <f>SUMIFS(Продажи!Q$5:Q$359,Продажи!$D$5:$D$359,Конструкторы!$B275,Продажи!$C$5:$C$359,Конструкторы!$A275)</f>
        <v>0</v>
      </c>
    </row>
    <row r="276" spans="1:20" ht="15.75" hidden="1" x14ac:dyDescent="0.25">
      <c r="A276" s="166" t="s">
        <v>397</v>
      </c>
      <c r="B276" s="167" t="s">
        <v>139</v>
      </c>
      <c r="C276" s="129" t="s">
        <v>60</v>
      </c>
      <c r="D276" s="149"/>
      <c r="E276" s="153" t="s">
        <v>68</v>
      </c>
      <c r="F276" s="156">
        <f>(1.072*103)/100</f>
        <v>1.10416</v>
      </c>
      <c r="G276" s="156">
        <v>3.2159999999999966E-2</v>
      </c>
      <c r="H276" s="156">
        <f>F276+G276</f>
        <v>1.13632</v>
      </c>
      <c r="I276" s="166">
        <f>SUMIFS(Продажи!F$5:F$359,Продажи!$D$5:$D$359,Конструкторы!$B276,Продажи!$C$5:$C$359,Конструкторы!$A276)</f>
        <v>0</v>
      </c>
      <c r="J276" s="166">
        <f>SUMIFS(Продажи!G$5:G$359,Продажи!$D$5:$D$359,Конструкторы!$B276,Продажи!$C$5:$C$359,Конструкторы!$A276)</f>
        <v>0</v>
      </c>
      <c r="K276" s="166">
        <f>SUMIFS(Продажи!H$5:H$359,Продажи!$D$5:$D$359,Конструкторы!$B276,Продажи!$C$5:$C$359,Конструкторы!$A276)</f>
        <v>0</v>
      </c>
      <c r="L276" s="166">
        <f>SUMIFS(Продажи!I$5:I$359,Продажи!$D$5:$D$359,Конструкторы!$B276,Продажи!$C$5:$C$359,Конструкторы!$A276)</f>
        <v>0</v>
      </c>
      <c r="M276" s="166">
        <f>SUMIFS(Продажи!J$5:J$359,Продажи!$D$5:$D$359,Конструкторы!$B276,Продажи!$C$5:$C$359,Конструкторы!$A276)</f>
        <v>0</v>
      </c>
      <c r="N276" s="166">
        <f>SUMIFS(Продажи!K$5:K$359,Продажи!$D$5:$D$359,Конструкторы!$B276,Продажи!$C$5:$C$359,Конструкторы!$A276)</f>
        <v>0</v>
      </c>
      <c r="O276" s="166">
        <f>SUMIFS(Продажи!L$5:L$359,Продажи!$D$5:$D$359,Конструкторы!$B276,Продажи!$C$5:$C$359,Конструкторы!$A276)</f>
        <v>0</v>
      </c>
      <c r="P276" s="166">
        <f>SUMIFS(Продажи!M$5:M$359,Продажи!$D$5:$D$359,Конструкторы!$B276,Продажи!$C$5:$C$359,Конструкторы!$A276)</f>
        <v>0</v>
      </c>
      <c r="Q276" s="166">
        <f>SUMIFS(Продажи!N$5:N$359,Продажи!$D$5:$D$359,Конструкторы!$B276,Продажи!$C$5:$C$359,Конструкторы!$A276)</f>
        <v>0</v>
      </c>
      <c r="R276" s="166">
        <f>SUMIFS(Продажи!O$5:O$359,Продажи!$D$5:$D$359,Конструкторы!$B276,Продажи!$C$5:$C$359,Конструкторы!$A276)</f>
        <v>0</v>
      </c>
      <c r="S276" s="166">
        <f>SUMIFS(Продажи!P$5:P$359,Продажи!$D$5:$D$359,Конструкторы!$B276,Продажи!$C$5:$C$359,Конструкторы!$A276)</f>
        <v>0</v>
      </c>
      <c r="T276" s="166">
        <f>SUMIFS(Продажи!Q$5:Q$359,Продажи!$D$5:$D$359,Конструкторы!$B276,Продажи!$C$5:$C$359,Конструкторы!$A276)</f>
        <v>0</v>
      </c>
    </row>
    <row r="277" spans="1:20" ht="15.75" hidden="1" x14ac:dyDescent="0.25">
      <c r="A277" s="166" t="s">
        <v>397</v>
      </c>
      <c r="B277" s="167" t="s">
        <v>139</v>
      </c>
      <c r="C277" s="33" t="s">
        <v>72</v>
      </c>
      <c r="D277" s="149"/>
      <c r="E277" s="153" t="s">
        <v>70</v>
      </c>
      <c r="F277" s="148">
        <v>4</v>
      </c>
      <c r="G277" s="156" t="s">
        <v>71</v>
      </c>
      <c r="H277" s="156">
        <f>F277</f>
        <v>4</v>
      </c>
      <c r="I277" s="166">
        <f>SUMIFS(Продажи!F$5:F$359,Продажи!$D$5:$D$359,Конструкторы!$B277,Продажи!$C$5:$C$359,Конструкторы!$A277)</f>
        <v>0</v>
      </c>
      <c r="J277" s="166">
        <f>SUMIFS(Продажи!G$5:G$359,Продажи!$D$5:$D$359,Конструкторы!$B277,Продажи!$C$5:$C$359,Конструкторы!$A277)</f>
        <v>0</v>
      </c>
      <c r="K277" s="166">
        <f>SUMIFS(Продажи!H$5:H$359,Продажи!$D$5:$D$359,Конструкторы!$B277,Продажи!$C$5:$C$359,Конструкторы!$A277)</f>
        <v>0</v>
      </c>
      <c r="L277" s="166">
        <f>SUMIFS(Продажи!I$5:I$359,Продажи!$D$5:$D$359,Конструкторы!$B277,Продажи!$C$5:$C$359,Конструкторы!$A277)</f>
        <v>0</v>
      </c>
      <c r="M277" s="166">
        <f>SUMIFS(Продажи!J$5:J$359,Продажи!$D$5:$D$359,Конструкторы!$B277,Продажи!$C$5:$C$359,Конструкторы!$A277)</f>
        <v>0</v>
      </c>
      <c r="N277" s="166">
        <f>SUMIFS(Продажи!K$5:K$359,Продажи!$D$5:$D$359,Конструкторы!$B277,Продажи!$C$5:$C$359,Конструкторы!$A277)</f>
        <v>0</v>
      </c>
      <c r="O277" s="166">
        <f>SUMIFS(Продажи!L$5:L$359,Продажи!$D$5:$D$359,Конструкторы!$B277,Продажи!$C$5:$C$359,Конструкторы!$A277)</f>
        <v>0</v>
      </c>
      <c r="P277" s="166">
        <f>SUMIFS(Продажи!M$5:M$359,Продажи!$D$5:$D$359,Конструкторы!$B277,Продажи!$C$5:$C$359,Конструкторы!$A277)</f>
        <v>0</v>
      </c>
      <c r="Q277" s="166">
        <f>SUMIFS(Продажи!N$5:N$359,Продажи!$D$5:$D$359,Конструкторы!$B277,Продажи!$C$5:$C$359,Конструкторы!$A277)</f>
        <v>0</v>
      </c>
      <c r="R277" s="166">
        <f>SUMIFS(Продажи!O$5:O$359,Продажи!$D$5:$D$359,Конструкторы!$B277,Продажи!$C$5:$C$359,Конструкторы!$A277)</f>
        <v>0</v>
      </c>
      <c r="S277" s="166">
        <f>SUMIFS(Продажи!P$5:P$359,Продажи!$D$5:$D$359,Конструкторы!$B277,Продажи!$C$5:$C$359,Конструкторы!$A277)</f>
        <v>0</v>
      </c>
      <c r="T277" s="166">
        <f>SUMIFS(Продажи!Q$5:Q$359,Продажи!$D$5:$D$359,Конструкторы!$B277,Продажи!$C$5:$C$359,Конструкторы!$A277)</f>
        <v>0</v>
      </c>
    </row>
    <row r="278" spans="1:20" ht="15.75" hidden="1" x14ac:dyDescent="0.25">
      <c r="A278" s="166" t="s">
        <v>397</v>
      </c>
      <c r="B278" s="167" t="s">
        <v>139</v>
      </c>
      <c r="C278" s="33" t="s">
        <v>76</v>
      </c>
      <c r="D278" s="149"/>
      <c r="E278" s="153" t="s">
        <v>70</v>
      </c>
      <c r="F278" s="148">
        <v>12</v>
      </c>
      <c r="G278" s="156" t="s">
        <v>71</v>
      </c>
      <c r="H278" s="156">
        <f>F278</f>
        <v>12</v>
      </c>
      <c r="I278" s="166">
        <f>SUMIFS(Продажи!F$5:F$359,Продажи!$D$5:$D$359,Конструкторы!$B278,Продажи!$C$5:$C$359,Конструкторы!$A278)</f>
        <v>0</v>
      </c>
      <c r="J278" s="166">
        <f>SUMIFS(Продажи!G$5:G$359,Продажи!$D$5:$D$359,Конструкторы!$B278,Продажи!$C$5:$C$359,Конструкторы!$A278)</f>
        <v>0</v>
      </c>
      <c r="K278" s="166">
        <f>SUMIFS(Продажи!H$5:H$359,Продажи!$D$5:$D$359,Конструкторы!$B278,Продажи!$C$5:$C$359,Конструкторы!$A278)</f>
        <v>0</v>
      </c>
      <c r="L278" s="166">
        <f>SUMIFS(Продажи!I$5:I$359,Продажи!$D$5:$D$359,Конструкторы!$B278,Продажи!$C$5:$C$359,Конструкторы!$A278)</f>
        <v>0</v>
      </c>
      <c r="M278" s="166">
        <f>SUMIFS(Продажи!J$5:J$359,Продажи!$D$5:$D$359,Конструкторы!$B278,Продажи!$C$5:$C$359,Конструкторы!$A278)</f>
        <v>0</v>
      </c>
      <c r="N278" s="166">
        <f>SUMIFS(Продажи!K$5:K$359,Продажи!$D$5:$D$359,Конструкторы!$B278,Продажи!$C$5:$C$359,Конструкторы!$A278)</f>
        <v>0</v>
      </c>
      <c r="O278" s="166">
        <f>SUMIFS(Продажи!L$5:L$359,Продажи!$D$5:$D$359,Конструкторы!$B278,Продажи!$C$5:$C$359,Конструкторы!$A278)</f>
        <v>0</v>
      </c>
      <c r="P278" s="166">
        <f>SUMIFS(Продажи!M$5:M$359,Продажи!$D$5:$D$359,Конструкторы!$B278,Продажи!$C$5:$C$359,Конструкторы!$A278)</f>
        <v>0</v>
      </c>
      <c r="Q278" s="166">
        <f>SUMIFS(Продажи!N$5:N$359,Продажи!$D$5:$D$359,Конструкторы!$B278,Продажи!$C$5:$C$359,Конструкторы!$A278)</f>
        <v>0</v>
      </c>
      <c r="R278" s="166">
        <f>SUMIFS(Продажи!O$5:O$359,Продажи!$D$5:$D$359,Конструкторы!$B278,Продажи!$C$5:$C$359,Конструкторы!$A278)</f>
        <v>0</v>
      </c>
      <c r="S278" s="166">
        <f>SUMIFS(Продажи!P$5:P$359,Продажи!$D$5:$D$359,Конструкторы!$B278,Продажи!$C$5:$C$359,Конструкторы!$A278)</f>
        <v>0</v>
      </c>
      <c r="T278" s="166">
        <f>SUMIFS(Продажи!Q$5:Q$359,Продажи!$D$5:$D$359,Конструкторы!$B278,Продажи!$C$5:$C$359,Конструкторы!$A278)</f>
        <v>0</v>
      </c>
    </row>
    <row r="279" spans="1:20" ht="15.75" hidden="1" x14ac:dyDescent="0.25">
      <c r="A279" s="166" t="s">
        <v>397</v>
      </c>
      <c r="B279" s="167" t="s">
        <v>140</v>
      </c>
      <c r="C279" s="129" t="s">
        <v>61</v>
      </c>
      <c r="D279" s="149"/>
      <c r="E279" s="153" t="s">
        <v>68</v>
      </c>
      <c r="F279" s="156">
        <f>(0.9*103)/100</f>
        <v>0.92700000000000005</v>
      </c>
      <c r="G279" s="156">
        <v>2.7000000000000024E-2</v>
      </c>
      <c r="H279" s="156">
        <f>F279+G279</f>
        <v>0.95400000000000007</v>
      </c>
      <c r="I279" s="166">
        <f>SUMIFS(Продажи!F$5:F$359,Продажи!$D$5:$D$359,Конструкторы!$B279,Продажи!$C$5:$C$359,Конструкторы!$A279)</f>
        <v>0</v>
      </c>
      <c r="J279" s="166">
        <f>SUMIFS(Продажи!G$5:G$359,Продажи!$D$5:$D$359,Конструкторы!$B279,Продажи!$C$5:$C$359,Конструкторы!$A279)</f>
        <v>0</v>
      </c>
      <c r="K279" s="166">
        <f>SUMIFS(Продажи!H$5:H$359,Продажи!$D$5:$D$359,Конструкторы!$B279,Продажи!$C$5:$C$359,Конструкторы!$A279)</f>
        <v>0</v>
      </c>
      <c r="L279" s="166">
        <f>SUMIFS(Продажи!I$5:I$359,Продажи!$D$5:$D$359,Конструкторы!$B279,Продажи!$C$5:$C$359,Конструкторы!$A279)</f>
        <v>0</v>
      </c>
      <c r="M279" s="166">
        <f>SUMIFS(Продажи!J$5:J$359,Продажи!$D$5:$D$359,Конструкторы!$B279,Продажи!$C$5:$C$359,Конструкторы!$A279)</f>
        <v>0</v>
      </c>
      <c r="N279" s="166">
        <f>SUMIFS(Продажи!K$5:K$359,Продажи!$D$5:$D$359,Конструкторы!$B279,Продажи!$C$5:$C$359,Конструкторы!$A279)</f>
        <v>0</v>
      </c>
      <c r="O279" s="166">
        <f>SUMIFS(Продажи!L$5:L$359,Продажи!$D$5:$D$359,Конструкторы!$B279,Продажи!$C$5:$C$359,Конструкторы!$A279)</f>
        <v>0</v>
      </c>
      <c r="P279" s="166">
        <f>SUMIFS(Продажи!M$5:M$359,Продажи!$D$5:$D$359,Конструкторы!$B279,Продажи!$C$5:$C$359,Конструкторы!$A279)</f>
        <v>0</v>
      </c>
      <c r="Q279" s="166">
        <f>SUMIFS(Продажи!N$5:N$359,Продажи!$D$5:$D$359,Конструкторы!$B279,Продажи!$C$5:$C$359,Конструкторы!$A279)</f>
        <v>0</v>
      </c>
      <c r="R279" s="166">
        <f>SUMIFS(Продажи!O$5:O$359,Продажи!$D$5:$D$359,Конструкторы!$B279,Продажи!$C$5:$C$359,Конструкторы!$A279)</f>
        <v>0</v>
      </c>
      <c r="S279" s="166">
        <f>SUMIFS(Продажи!P$5:P$359,Продажи!$D$5:$D$359,Конструкторы!$B279,Продажи!$C$5:$C$359,Конструкторы!$A279)</f>
        <v>0</v>
      </c>
      <c r="T279" s="166">
        <f>SUMIFS(Продажи!Q$5:Q$359,Продажи!$D$5:$D$359,Конструкторы!$B279,Продажи!$C$5:$C$359,Конструкторы!$A279)</f>
        <v>0</v>
      </c>
    </row>
    <row r="280" spans="1:20" ht="15.75" hidden="1" x14ac:dyDescent="0.25">
      <c r="A280" s="166" t="s">
        <v>397</v>
      </c>
      <c r="B280" s="167" t="s">
        <v>140</v>
      </c>
      <c r="C280" s="129" t="s">
        <v>62</v>
      </c>
      <c r="D280" s="149"/>
      <c r="E280" s="153" t="s">
        <v>68</v>
      </c>
      <c r="F280" s="156">
        <f>(0.594*103)/100</f>
        <v>0.61181999999999992</v>
      </c>
      <c r="G280" s="156">
        <v>1.7819999999999947E-2</v>
      </c>
      <c r="H280" s="156">
        <f>F280+G280</f>
        <v>0.62963999999999987</v>
      </c>
      <c r="I280" s="166">
        <f>SUMIFS(Продажи!F$5:F$359,Продажи!$D$5:$D$359,Конструкторы!$B280,Продажи!$C$5:$C$359,Конструкторы!$A280)</f>
        <v>0</v>
      </c>
      <c r="J280" s="166">
        <f>SUMIFS(Продажи!G$5:G$359,Продажи!$D$5:$D$359,Конструкторы!$B280,Продажи!$C$5:$C$359,Конструкторы!$A280)</f>
        <v>0</v>
      </c>
      <c r="K280" s="166">
        <f>SUMIFS(Продажи!H$5:H$359,Продажи!$D$5:$D$359,Конструкторы!$B280,Продажи!$C$5:$C$359,Конструкторы!$A280)</f>
        <v>0</v>
      </c>
      <c r="L280" s="166">
        <f>SUMIFS(Продажи!I$5:I$359,Продажи!$D$5:$D$359,Конструкторы!$B280,Продажи!$C$5:$C$359,Конструкторы!$A280)</f>
        <v>0</v>
      </c>
      <c r="M280" s="166">
        <f>SUMIFS(Продажи!J$5:J$359,Продажи!$D$5:$D$359,Конструкторы!$B280,Продажи!$C$5:$C$359,Конструкторы!$A280)</f>
        <v>0</v>
      </c>
      <c r="N280" s="166">
        <f>SUMIFS(Продажи!K$5:K$359,Продажи!$D$5:$D$359,Конструкторы!$B280,Продажи!$C$5:$C$359,Конструкторы!$A280)</f>
        <v>0</v>
      </c>
      <c r="O280" s="166">
        <f>SUMIFS(Продажи!L$5:L$359,Продажи!$D$5:$D$359,Конструкторы!$B280,Продажи!$C$5:$C$359,Конструкторы!$A280)</f>
        <v>0</v>
      </c>
      <c r="P280" s="166">
        <f>SUMIFS(Продажи!M$5:M$359,Продажи!$D$5:$D$359,Конструкторы!$B280,Продажи!$C$5:$C$359,Конструкторы!$A280)</f>
        <v>0</v>
      </c>
      <c r="Q280" s="166">
        <f>SUMIFS(Продажи!N$5:N$359,Продажи!$D$5:$D$359,Конструкторы!$B280,Продажи!$C$5:$C$359,Конструкторы!$A280)</f>
        <v>0</v>
      </c>
      <c r="R280" s="166">
        <f>SUMIFS(Продажи!O$5:O$359,Продажи!$D$5:$D$359,Конструкторы!$B280,Продажи!$C$5:$C$359,Конструкторы!$A280)</f>
        <v>0</v>
      </c>
      <c r="S280" s="166">
        <f>SUMIFS(Продажи!P$5:P$359,Продажи!$D$5:$D$359,Конструкторы!$B280,Продажи!$C$5:$C$359,Конструкторы!$A280)</f>
        <v>0</v>
      </c>
      <c r="T280" s="166">
        <f>SUMIFS(Продажи!Q$5:Q$359,Продажи!$D$5:$D$359,Конструкторы!$B280,Продажи!$C$5:$C$359,Конструкторы!$A280)</f>
        <v>0</v>
      </c>
    </row>
    <row r="281" spans="1:20" ht="15.75" hidden="1" x14ac:dyDescent="0.25">
      <c r="A281" s="166" t="s">
        <v>397</v>
      </c>
      <c r="B281" s="167" t="s">
        <v>140</v>
      </c>
      <c r="C281" s="129" t="s">
        <v>60</v>
      </c>
      <c r="D281" s="149"/>
      <c r="E281" s="153" t="s">
        <v>68</v>
      </c>
      <c r="F281" s="156">
        <f>(1.072*103)/100</f>
        <v>1.10416</v>
      </c>
      <c r="G281" s="156">
        <v>3.2159999999999966E-2</v>
      </c>
      <c r="H281" s="156">
        <f>F281+G281</f>
        <v>1.13632</v>
      </c>
      <c r="I281" s="166">
        <f>SUMIFS(Продажи!F$5:F$359,Продажи!$D$5:$D$359,Конструкторы!$B281,Продажи!$C$5:$C$359,Конструкторы!$A281)</f>
        <v>0</v>
      </c>
      <c r="J281" s="166">
        <f>SUMIFS(Продажи!G$5:G$359,Продажи!$D$5:$D$359,Конструкторы!$B281,Продажи!$C$5:$C$359,Конструкторы!$A281)</f>
        <v>0</v>
      </c>
      <c r="K281" s="166">
        <f>SUMIFS(Продажи!H$5:H$359,Продажи!$D$5:$D$359,Конструкторы!$B281,Продажи!$C$5:$C$359,Конструкторы!$A281)</f>
        <v>0</v>
      </c>
      <c r="L281" s="166">
        <f>SUMIFS(Продажи!I$5:I$359,Продажи!$D$5:$D$359,Конструкторы!$B281,Продажи!$C$5:$C$359,Конструкторы!$A281)</f>
        <v>0</v>
      </c>
      <c r="M281" s="166">
        <f>SUMIFS(Продажи!J$5:J$359,Продажи!$D$5:$D$359,Конструкторы!$B281,Продажи!$C$5:$C$359,Конструкторы!$A281)</f>
        <v>0</v>
      </c>
      <c r="N281" s="166">
        <f>SUMIFS(Продажи!K$5:K$359,Продажи!$D$5:$D$359,Конструкторы!$B281,Продажи!$C$5:$C$359,Конструкторы!$A281)</f>
        <v>0</v>
      </c>
      <c r="O281" s="166">
        <f>SUMIFS(Продажи!L$5:L$359,Продажи!$D$5:$D$359,Конструкторы!$B281,Продажи!$C$5:$C$359,Конструкторы!$A281)</f>
        <v>0</v>
      </c>
      <c r="P281" s="166">
        <f>SUMIFS(Продажи!M$5:M$359,Продажи!$D$5:$D$359,Конструкторы!$B281,Продажи!$C$5:$C$359,Конструкторы!$A281)</f>
        <v>0</v>
      </c>
      <c r="Q281" s="166">
        <f>SUMIFS(Продажи!N$5:N$359,Продажи!$D$5:$D$359,Конструкторы!$B281,Продажи!$C$5:$C$359,Конструкторы!$A281)</f>
        <v>0</v>
      </c>
      <c r="R281" s="166">
        <f>SUMIFS(Продажи!O$5:O$359,Продажи!$D$5:$D$359,Конструкторы!$B281,Продажи!$C$5:$C$359,Конструкторы!$A281)</f>
        <v>0</v>
      </c>
      <c r="S281" s="166">
        <f>SUMIFS(Продажи!P$5:P$359,Продажи!$D$5:$D$359,Конструкторы!$B281,Продажи!$C$5:$C$359,Конструкторы!$A281)</f>
        <v>0</v>
      </c>
      <c r="T281" s="166">
        <f>SUMIFS(Продажи!Q$5:Q$359,Продажи!$D$5:$D$359,Конструкторы!$B281,Продажи!$C$5:$C$359,Конструкторы!$A281)</f>
        <v>0</v>
      </c>
    </row>
    <row r="282" spans="1:20" ht="15.75" hidden="1" x14ac:dyDescent="0.25">
      <c r="A282" s="166" t="s">
        <v>397</v>
      </c>
      <c r="B282" s="167" t="s">
        <v>140</v>
      </c>
      <c r="C282" s="33" t="s">
        <v>72</v>
      </c>
      <c r="D282" s="149"/>
      <c r="E282" s="153" t="s">
        <v>70</v>
      </c>
      <c r="F282" s="148">
        <v>4</v>
      </c>
      <c r="G282" s="156" t="s">
        <v>71</v>
      </c>
      <c r="H282" s="156">
        <f>F282</f>
        <v>4</v>
      </c>
      <c r="I282" s="166">
        <f>SUMIFS(Продажи!F$5:F$359,Продажи!$D$5:$D$359,Конструкторы!$B282,Продажи!$C$5:$C$359,Конструкторы!$A282)</f>
        <v>0</v>
      </c>
      <c r="J282" s="166">
        <f>SUMIFS(Продажи!G$5:G$359,Продажи!$D$5:$D$359,Конструкторы!$B282,Продажи!$C$5:$C$359,Конструкторы!$A282)</f>
        <v>0</v>
      </c>
      <c r="K282" s="166">
        <f>SUMIFS(Продажи!H$5:H$359,Продажи!$D$5:$D$359,Конструкторы!$B282,Продажи!$C$5:$C$359,Конструкторы!$A282)</f>
        <v>0</v>
      </c>
      <c r="L282" s="166">
        <f>SUMIFS(Продажи!I$5:I$359,Продажи!$D$5:$D$359,Конструкторы!$B282,Продажи!$C$5:$C$359,Конструкторы!$A282)</f>
        <v>0</v>
      </c>
      <c r="M282" s="166">
        <f>SUMIFS(Продажи!J$5:J$359,Продажи!$D$5:$D$359,Конструкторы!$B282,Продажи!$C$5:$C$359,Конструкторы!$A282)</f>
        <v>0</v>
      </c>
      <c r="N282" s="166">
        <f>SUMIFS(Продажи!K$5:K$359,Продажи!$D$5:$D$359,Конструкторы!$B282,Продажи!$C$5:$C$359,Конструкторы!$A282)</f>
        <v>0</v>
      </c>
      <c r="O282" s="166">
        <f>SUMIFS(Продажи!L$5:L$359,Продажи!$D$5:$D$359,Конструкторы!$B282,Продажи!$C$5:$C$359,Конструкторы!$A282)</f>
        <v>0</v>
      </c>
      <c r="P282" s="166">
        <f>SUMIFS(Продажи!M$5:M$359,Продажи!$D$5:$D$359,Конструкторы!$B282,Продажи!$C$5:$C$359,Конструкторы!$A282)</f>
        <v>0</v>
      </c>
      <c r="Q282" s="166">
        <f>SUMIFS(Продажи!N$5:N$359,Продажи!$D$5:$D$359,Конструкторы!$B282,Продажи!$C$5:$C$359,Конструкторы!$A282)</f>
        <v>0</v>
      </c>
      <c r="R282" s="166">
        <f>SUMIFS(Продажи!O$5:O$359,Продажи!$D$5:$D$359,Конструкторы!$B282,Продажи!$C$5:$C$359,Конструкторы!$A282)</f>
        <v>0</v>
      </c>
      <c r="S282" s="166">
        <f>SUMIFS(Продажи!P$5:P$359,Продажи!$D$5:$D$359,Конструкторы!$B282,Продажи!$C$5:$C$359,Конструкторы!$A282)</f>
        <v>0</v>
      </c>
      <c r="T282" s="166">
        <f>SUMIFS(Продажи!Q$5:Q$359,Продажи!$D$5:$D$359,Конструкторы!$B282,Продажи!$C$5:$C$359,Конструкторы!$A282)</f>
        <v>0</v>
      </c>
    </row>
    <row r="283" spans="1:20" ht="15.75" hidden="1" x14ac:dyDescent="0.25">
      <c r="A283" s="166" t="s">
        <v>397</v>
      </c>
      <c r="B283" s="167" t="s">
        <v>140</v>
      </c>
      <c r="C283" s="33" t="s">
        <v>76</v>
      </c>
      <c r="D283" s="149"/>
      <c r="E283" s="153" t="s">
        <v>70</v>
      </c>
      <c r="F283" s="148">
        <v>12</v>
      </c>
      <c r="G283" s="156" t="s">
        <v>71</v>
      </c>
      <c r="H283" s="156">
        <f>F283</f>
        <v>12</v>
      </c>
      <c r="I283" s="166">
        <f>SUMIFS(Продажи!F$5:F$359,Продажи!$D$5:$D$359,Конструкторы!$B283,Продажи!$C$5:$C$359,Конструкторы!$A283)</f>
        <v>0</v>
      </c>
      <c r="J283" s="166">
        <f>SUMIFS(Продажи!G$5:G$359,Продажи!$D$5:$D$359,Конструкторы!$B283,Продажи!$C$5:$C$359,Конструкторы!$A283)</f>
        <v>0</v>
      </c>
      <c r="K283" s="166">
        <f>SUMIFS(Продажи!H$5:H$359,Продажи!$D$5:$D$359,Конструкторы!$B283,Продажи!$C$5:$C$359,Конструкторы!$A283)</f>
        <v>0</v>
      </c>
      <c r="L283" s="166">
        <f>SUMIFS(Продажи!I$5:I$359,Продажи!$D$5:$D$359,Конструкторы!$B283,Продажи!$C$5:$C$359,Конструкторы!$A283)</f>
        <v>0</v>
      </c>
      <c r="M283" s="166">
        <f>SUMIFS(Продажи!J$5:J$359,Продажи!$D$5:$D$359,Конструкторы!$B283,Продажи!$C$5:$C$359,Конструкторы!$A283)</f>
        <v>0</v>
      </c>
      <c r="N283" s="166">
        <f>SUMIFS(Продажи!K$5:K$359,Продажи!$D$5:$D$359,Конструкторы!$B283,Продажи!$C$5:$C$359,Конструкторы!$A283)</f>
        <v>0</v>
      </c>
      <c r="O283" s="166">
        <f>SUMIFS(Продажи!L$5:L$359,Продажи!$D$5:$D$359,Конструкторы!$B283,Продажи!$C$5:$C$359,Конструкторы!$A283)</f>
        <v>0</v>
      </c>
      <c r="P283" s="166">
        <f>SUMIFS(Продажи!M$5:M$359,Продажи!$D$5:$D$359,Конструкторы!$B283,Продажи!$C$5:$C$359,Конструкторы!$A283)</f>
        <v>0</v>
      </c>
      <c r="Q283" s="166">
        <f>SUMIFS(Продажи!N$5:N$359,Продажи!$D$5:$D$359,Конструкторы!$B283,Продажи!$C$5:$C$359,Конструкторы!$A283)</f>
        <v>0</v>
      </c>
      <c r="R283" s="166">
        <f>SUMIFS(Продажи!O$5:O$359,Продажи!$D$5:$D$359,Конструкторы!$B283,Продажи!$C$5:$C$359,Конструкторы!$A283)</f>
        <v>0</v>
      </c>
      <c r="S283" s="166">
        <f>SUMIFS(Продажи!P$5:P$359,Продажи!$D$5:$D$359,Конструкторы!$B283,Продажи!$C$5:$C$359,Конструкторы!$A283)</f>
        <v>0</v>
      </c>
      <c r="T283" s="166">
        <f>SUMIFS(Продажи!Q$5:Q$359,Продажи!$D$5:$D$359,Конструкторы!$B283,Продажи!$C$5:$C$359,Конструкторы!$A283)</f>
        <v>0</v>
      </c>
    </row>
    <row r="284" spans="1:20" ht="15.75" hidden="1" x14ac:dyDescent="0.25">
      <c r="A284" s="166" t="s">
        <v>397</v>
      </c>
      <c r="B284" s="167" t="s">
        <v>378</v>
      </c>
      <c r="C284" s="129" t="s">
        <v>62</v>
      </c>
      <c r="D284" s="149"/>
      <c r="E284" s="153" t="s">
        <v>68</v>
      </c>
      <c r="F284" s="156">
        <f>(1.494*103)/100</f>
        <v>1.5388200000000001</v>
      </c>
      <c r="G284" s="156">
        <v>4.4820000000000082E-2</v>
      </c>
      <c r="H284" s="156">
        <f>F284+G284</f>
        <v>1.5836400000000002</v>
      </c>
      <c r="I284" s="166">
        <f>SUMIFS(Продажи!F$5:F$359,Продажи!$D$5:$D$359,Конструкторы!$B284,Продажи!$C$5:$C$359,Конструкторы!$A284)</f>
        <v>0</v>
      </c>
      <c r="J284" s="166">
        <f>SUMIFS(Продажи!G$5:G$359,Продажи!$D$5:$D$359,Конструкторы!$B284,Продажи!$C$5:$C$359,Конструкторы!$A284)</f>
        <v>0</v>
      </c>
      <c r="K284" s="166">
        <f>SUMIFS(Продажи!H$5:H$359,Продажи!$D$5:$D$359,Конструкторы!$B284,Продажи!$C$5:$C$359,Конструкторы!$A284)</f>
        <v>0</v>
      </c>
      <c r="L284" s="166">
        <f>SUMIFS(Продажи!I$5:I$359,Продажи!$D$5:$D$359,Конструкторы!$B284,Продажи!$C$5:$C$359,Конструкторы!$A284)</f>
        <v>0</v>
      </c>
      <c r="M284" s="166">
        <f>SUMIFS(Продажи!J$5:J$359,Продажи!$D$5:$D$359,Конструкторы!$B284,Продажи!$C$5:$C$359,Конструкторы!$A284)</f>
        <v>0</v>
      </c>
      <c r="N284" s="166">
        <f>SUMIFS(Продажи!K$5:K$359,Продажи!$D$5:$D$359,Конструкторы!$B284,Продажи!$C$5:$C$359,Конструкторы!$A284)</f>
        <v>0</v>
      </c>
      <c r="O284" s="166">
        <f>SUMIFS(Продажи!L$5:L$359,Продажи!$D$5:$D$359,Конструкторы!$B284,Продажи!$C$5:$C$359,Конструкторы!$A284)</f>
        <v>0</v>
      </c>
      <c r="P284" s="166">
        <f>SUMIFS(Продажи!M$5:M$359,Продажи!$D$5:$D$359,Конструкторы!$B284,Продажи!$C$5:$C$359,Конструкторы!$A284)</f>
        <v>0</v>
      </c>
      <c r="Q284" s="166">
        <f>SUMIFS(Продажи!N$5:N$359,Продажи!$D$5:$D$359,Конструкторы!$B284,Продажи!$C$5:$C$359,Конструкторы!$A284)</f>
        <v>0</v>
      </c>
      <c r="R284" s="166">
        <f>SUMIFS(Продажи!O$5:O$359,Продажи!$D$5:$D$359,Конструкторы!$B284,Продажи!$C$5:$C$359,Конструкторы!$A284)</f>
        <v>0</v>
      </c>
      <c r="S284" s="166">
        <f>SUMIFS(Продажи!P$5:P$359,Продажи!$D$5:$D$359,Конструкторы!$B284,Продажи!$C$5:$C$359,Конструкторы!$A284)</f>
        <v>0</v>
      </c>
      <c r="T284" s="166">
        <f>SUMIFS(Продажи!Q$5:Q$359,Продажи!$D$5:$D$359,Конструкторы!$B284,Продажи!$C$5:$C$359,Конструкторы!$A284)</f>
        <v>0</v>
      </c>
    </row>
    <row r="285" spans="1:20" ht="15.75" hidden="1" x14ac:dyDescent="0.25">
      <c r="A285" s="166" t="s">
        <v>397</v>
      </c>
      <c r="B285" s="167" t="s">
        <v>378</v>
      </c>
      <c r="C285" s="129" t="s">
        <v>60</v>
      </c>
      <c r="D285" s="149"/>
      <c r="E285" s="153" t="s">
        <v>68</v>
      </c>
      <c r="F285" s="156">
        <f>(1.072*103)/100</f>
        <v>1.10416</v>
      </c>
      <c r="G285" s="156">
        <v>3.2159999999999966E-2</v>
      </c>
      <c r="H285" s="156">
        <f>F285+G285</f>
        <v>1.13632</v>
      </c>
      <c r="I285" s="166">
        <f>SUMIFS(Продажи!F$5:F$359,Продажи!$D$5:$D$359,Конструкторы!$B285,Продажи!$C$5:$C$359,Конструкторы!$A285)</f>
        <v>0</v>
      </c>
      <c r="J285" s="166">
        <f>SUMIFS(Продажи!G$5:G$359,Продажи!$D$5:$D$359,Конструкторы!$B285,Продажи!$C$5:$C$359,Конструкторы!$A285)</f>
        <v>0</v>
      </c>
      <c r="K285" s="166">
        <f>SUMIFS(Продажи!H$5:H$359,Продажи!$D$5:$D$359,Конструкторы!$B285,Продажи!$C$5:$C$359,Конструкторы!$A285)</f>
        <v>0</v>
      </c>
      <c r="L285" s="166">
        <f>SUMIFS(Продажи!I$5:I$359,Продажи!$D$5:$D$359,Конструкторы!$B285,Продажи!$C$5:$C$359,Конструкторы!$A285)</f>
        <v>0</v>
      </c>
      <c r="M285" s="166">
        <f>SUMIFS(Продажи!J$5:J$359,Продажи!$D$5:$D$359,Конструкторы!$B285,Продажи!$C$5:$C$359,Конструкторы!$A285)</f>
        <v>0</v>
      </c>
      <c r="N285" s="166">
        <f>SUMIFS(Продажи!K$5:K$359,Продажи!$D$5:$D$359,Конструкторы!$B285,Продажи!$C$5:$C$359,Конструкторы!$A285)</f>
        <v>0</v>
      </c>
      <c r="O285" s="166">
        <f>SUMIFS(Продажи!L$5:L$359,Продажи!$D$5:$D$359,Конструкторы!$B285,Продажи!$C$5:$C$359,Конструкторы!$A285)</f>
        <v>0</v>
      </c>
      <c r="P285" s="166">
        <f>SUMIFS(Продажи!M$5:M$359,Продажи!$D$5:$D$359,Конструкторы!$B285,Продажи!$C$5:$C$359,Конструкторы!$A285)</f>
        <v>0</v>
      </c>
      <c r="Q285" s="166">
        <f>SUMIFS(Продажи!N$5:N$359,Продажи!$D$5:$D$359,Конструкторы!$B285,Продажи!$C$5:$C$359,Конструкторы!$A285)</f>
        <v>0</v>
      </c>
      <c r="R285" s="166">
        <f>SUMIFS(Продажи!O$5:O$359,Продажи!$D$5:$D$359,Конструкторы!$B285,Продажи!$C$5:$C$359,Конструкторы!$A285)</f>
        <v>0</v>
      </c>
      <c r="S285" s="166">
        <f>SUMIFS(Продажи!P$5:P$359,Продажи!$D$5:$D$359,Конструкторы!$B285,Продажи!$C$5:$C$359,Конструкторы!$A285)</f>
        <v>0</v>
      </c>
      <c r="T285" s="166">
        <f>SUMIFS(Продажи!Q$5:Q$359,Продажи!$D$5:$D$359,Конструкторы!$B285,Продажи!$C$5:$C$359,Конструкторы!$A285)</f>
        <v>0</v>
      </c>
    </row>
    <row r="286" spans="1:20" ht="15.75" hidden="1" x14ac:dyDescent="0.25">
      <c r="A286" s="166" t="s">
        <v>397</v>
      </c>
      <c r="B286" s="167" t="s">
        <v>378</v>
      </c>
      <c r="C286" s="33" t="s">
        <v>72</v>
      </c>
      <c r="D286" s="149"/>
      <c r="E286" s="153" t="s">
        <v>70</v>
      </c>
      <c r="F286" s="148">
        <v>4</v>
      </c>
      <c r="G286" s="156" t="s">
        <v>71</v>
      </c>
      <c r="H286" s="156">
        <f>F286</f>
        <v>4</v>
      </c>
      <c r="I286" s="166">
        <f>SUMIFS(Продажи!F$5:F$359,Продажи!$D$5:$D$359,Конструкторы!$B286,Продажи!$C$5:$C$359,Конструкторы!$A286)</f>
        <v>0</v>
      </c>
      <c r="J286" s="166">
        <f>SUMIFS(Продажи!G$5:G$359,Продажи!$D$5:$D$359,Конструкторы!$B286,Продажи!$C$5:$C$359,Конструкторы!$A286)</f>
        <v>0</v>
      </c>
      <c r="K286" s="166">
        <f>SUMIFS(Продажи!H$5:H$359,Продажи!$D$5:$D$359,Конструкторы!$B286,Продажи!$C$5:$C$359,Конструкторы!$A286)</f>
        <v>0</v>
      </c>
      <c r="L286" s="166">
        <f>SUMIFS(Продажи!I$5:I$359,Продажи!$D$5:$D$359,Конструкторы!$B286,Продажи!$C$5:$C$359,Конструкторы!$A286)</f>
        <v>0</v>
      </c>
      <c r="M286" s="166">
        <f>SUMIFS(Продажи!J$5:J$359,Продажи!$D$5:$D$359,Конструкторы!$B286,Продажи!$C$5:$C$359,Конструкторы!$A286)</f>
        <v>0</v>
      </c>
      <c r="N286" s="166">
        <f>SUMIFS(Продажи!K$5:K$359,Продажи!$D$5:$D$359,Конструкторы!$B286,Продажи!$C$5:$C$359,Конструкторы!$A286)</f>
        <v>0</v>
      </c>
      <c r="O286" s="166">
        <f>SUMIFS(Продажи!L$5:L$359,Продажи!$D$5:$D$359,Конструкторы!$B286,Продажи!$C$5:$C$359,Конструкторы!$A286)</f>
        <v>0</v>
      </c>
      <c r="P286" s="166">
        <f>SUMIFS(Продажи!M$5:M$359,Продажи!$D$5:$D$359,Конструкторы!$B286,Продажи!$C$5:$C$359,Конструкторы!$A286)</f>
        <v>0</v>
      </c>
      <c r="Q286" s="166">
        <f>SUMIFS(Продажи!N$5:N$359,Продажи!$D$5:$D$359,Конструкторы!$B286,Продажи!$C$5:$C$359,Конструкторы!$A286)</f>
        <v>0</v>
      </c>
      <c r="R286" s="166">
        <f>SUMIFS(Продажи!O$5:O$359,Продажи!$D$5:$D$359,Конструкторы!$B286,Продажи!$C$5:$C$359,Конструкторы!$A286)</f>
        <v>0</v>
      </c>
      <c r="S286" s="166">
        <f>SUMIFS(Продажи!P$5:P$359,Продажи!$D$5:$D$359,Конструкторы!$B286,Продажи!$C$5:$C$359,Конструкторы!$A286)</f>
        <v>0</v>
      </c>
      <c r="T286" s="166">
        <f>SUMIFS(Продажи!Q$5:Q$359,Продажи!$D$5:$D$359,Конструкторы!$B286,Продажи!$C$5:$C$359,Конструкторы!$A286)</f>
        <v>0</v>
      </c>
    </row>
    <row r="287" spans="1:20" ht="15.75" hidden="1" x14ac:dyDescent="0.25">
      <c r="A287" s="166" t="s">
        <v>397</v>
      </c>
      <c r="B287" s="167" t="s">
        <v>378</v>
      </c>
      <c r="C287" s="33" t="s">
        <v>76</v>
      </c>
      <c r="D287" s="149"/>
      <c r="E287" s="153" t="s">
        <v>70</v>
      </c>
      <c r="F287" s="148">
        <v>12</v>
      </c>
      <c r="G287" s="156" t="s">
        <v>71</v>
      </c>
      <c r="H287" s="156">
        <f>F287</f>
        <v>12</v>
      </c>
      <c r="I287" s="166">
        <f>SUMIFS(Продажи!F$5:F$359,Продажи!$D$5:$D$359,Конструкторы!$B287,Продажи!$C$5:$C$359,Конструкторы!$A287)</f>
        <v>0</v>
      </c>
      <c r="J287" s="166">
        <f>SUMIFS(Продажи!G$5:G$359,Продажи!$D$5:$D$359,Конструкторы!$B287,Продажи!$C$5:$C$359,Конструкторы!$A287)</f>
        <v>0</v>
      </c>
      <c r="K287" s="166">
        <f>SUMIFS(Продажи!H$5:H$359,Продажи!$D$5:$D$359,Конструкторы!$B287,Продажи!$C$5:$C$359,Конструкторы!$A287)</f>
        <v>0</v>
      </c>
      <c r="L287" s="166">
        <f>SUMIFS(Продажи!I$5:I$359,Продажи!$D$5:$D$359,Конструкторы!$B287,Продажи!$C$5:$C$359,Конструкторы!$A287)</f>
        <v>0</v>
      </c>
      <c r="M287" s="166">
        <f>SUMIFS(Продажи!J$5:J$359,Продажи!$D$5:$D$359,Конструкторы!$B287,Продажи!$C$5:$C$359,Конструкторы!$A287)</f>
        <v>0</v>
      </c>
      <c r="N287" s="166">
        <f>SUMIFS(Продажи!K$5:K$359,Продажи!$D$5:$D$359,Конструкторы!$B287,Продажи!$C$5:$C$359,Конструкторы!$A287)</f>
        <v>0</v>
      </c>
      <c r="O287" s="166">
        <f>SUMIFS(Продажи!L$5:L$359,Продажи!$D$5:$D$359,Конструкторы!$B287,Продажи!$C$5:$C$359,Конструкторы!$A287)</f>
        <v>0</v>
      </c>
      <c r="P287" s="166">
        <f>SUMIFS(Продажи!M$5:M$359,Продажи!$D$5:$D$359,Конструкторы!$B287,Продажи!$C$5:$C$359,Конструкторы!$A287)</f>
        <v>0</v>
      </c>
      <c r="Q287" s="166">
        <f>SUMIFS(Продажи!N$5:N$359,Продажи!$D$5:$D$359,Конструкторы!$B287,Продажи!$C$5:$C$359,Конструкторы!$A287)</f>
        <v>0</v>
      </c>
      <c r="R287" s="166">
        <f>SUMIFS(Продажи!O$5:O$359,Продажи!$D$5:$D$359,Конструкторы!$B287,Продажи!$C$5:$C$359,Конструкторы!$A287)</f>
        <v>0</v>
      </c>
      <c r="S287" s="166">
        <f>SUMIFS(Продажи!P$5:P$359,Продажи!$D$5:$D$359,Конструкторы!$B287,Продажи!$C$5:$C$359,Конструкторы!$A287)</f>
        <v>0</v>
      </c>
      <c r="T287" s="166">
        <f>SUMIFS(Продажи!Q$5:Q$359,Продажи!$D$5:$D$359,Конструкторы!$B287,Продажи!$C$5:$C$359,Конструкторы!$A287)</f>
        <v>0</v>
      </c>
    </row>
    <row r="288" spans="1:20" ht="15.75" hidden="1" x14ac:dyDescent="0.25">
      <c r="A288" s="166" t="s">
        <v>397</v>
      </c>
      <c r="B288" s="167" t="s">
        <v>141</v>
      </c>
      <c r="C288" s="129" t="s">
        <v>63</v>
      </c>
      <c r="D288" s="149"/>
      <c r="E288" s="153" t="s">
        <v>68</v>
      </c>
      <c r="F288" s="156">
        <f>(0.9*103)/100</f>
        <v>0.92700000000000005</v>
      </c>
      <c r="G288" s="156">
        <v>2.7000000000000024E-2</v>
      </c>
      <c r="H288" s="156">
        <f>F288+G288</f>
        <v>0.95400000000000007</v>
      </c>
      <c r="I288" s="166">
        <f>SUMIFS(Продажи!F$5:F$359,Продажи!$D$5:$D$359,Конструкторы!$B288,Продажи!$C$5:$C$359,Конструкторы!$A288)</f>
        <v>0</v>
      </c>
      <c r="J288" s="166">
        <f>SUMIFS(Продажи!G$5:G$359,Продажи!$D$5:$D$359,Конструкторы!$B288,Продажи!$C$5:$C$359,Конструкторы!$A288)</f>
        <v>0</v>
      </c>
      <c r="K288" s="166">
        <f>SUMIFS(Продажи!H$5:H$359,Продажи!$D$5:$D$359,Конструкторы!$B288,Продажи!$C$5:$C$359,Конструкторы!$A288)</f>
        <v>0</v>
      </c>
      <c r="L288" s="166">
        <f>SUMIFS(Продажи!I$5:I$359,Продажи!$D$5:$D$359,Конструкторы!$B288,Продажи!$C$5:$C$359,Конструкторы!$A288)</f>
        <v>0</v>
      </c>
      <c r="M288" s="166">
        <f>SUMIFS(Продажи!J$5:J$359,Продажи!$D$5:$D$359,Конструкторы!$B288,Продажи!$C$5:$C$359,Конструкторы!$A288)</f>
        <v>0</v>
      </c>
      <c r="N288" s="166">
        <f>SUMIFS(Продажи!K$5:K$359,Продажи!$D$5:$D$359,Конструкторы!$B288,Продажи!$C$5:$C$359,Конструкторы!$A288)</f>
        <v>0</v>
      </c>
      <c r="O288" s="166">
        <f>SUMIFS(Продажи!L$5:L$359,Продажи!$D$5:$D$359,Конструкторы!$B288,Продажи!$C$5:$C$359,Конструкторы!$A288)</f>
        <v>0</v>
      </c>
      <c r="P288" s="166">
        <f>SUMIFS(Продажи!M$5:M$359,Продажи!$D$5:$D$359,Конструкторы!$B288,Продажи!$C$5:$C$359,Конструкторы!$A288)</f>
        <v>0</v>
      </c>
      <c r="Q288" s="166">
        <f>SUMIFS(Продажи!N$5:N$359,Продажи!$D$5:$D$359,Конструкторы!$B288,Продажи!$C$5:$C$359,Конструкторы!$A288)</f>
        <v>0</v>
      </c>
      <c r="R288" s="166">
        <f>SUMIFS(Продажи!O$5:O$359,Продажи!$D$5:$D$359,Конструкторы!$B288,Продажи!$C$5:$C$359,Конструкторы!$A288)</f>
        <v>0</v>
      </c>
      <c r="S288" s="166">
        <f>SUMIFS(Продажи!P$5:P$359,Продажи!$D$5:$D$359,Конструкторы!$B288,Продажи!$C$5:$C$359,Конструкторы!$A288)</f>
        <v>0</v>
      </c>
      <c r="T288" s="166">
        <f>SUMIFS(Продажи!Q$5:Q$359,Продажи!$D$5:$D$359,Конструкторы!$B288,Продажи!$C$5:$C$359,Конструкторы!$A288)</f>
        <v>0</v>
      </c>
    </row>
    <row r="289" spans="1:20" ht="15.75" hidden="1" x14ac:dyDescent="0.25">
      <c r="A289" s="166" t="s">
        <v>397</v>
      </c>
      <c r="B289" s="167" t="s">
        <v>141</v>
      </c>
      <c r="C289" s="129" t="s">
        <v>62</v>
      </c>
      <c r="D289" s="149"/>
      <c r="E289" s="153" t="s">
        <v>68</v>
      </c>
      <c r="F289" s="156">
        <f>(0.594*103)/100</f>
        <v>0.61181999999999992</v>
      </c>
      <c r="G289" s="156">
        <v>1.7819999999999947E-2</v>
      </c>
      <c r="H289" s="156">
        <f>F289+G289</f>
        <v>0.62963999999999987</v>
      </c>
      <c r="I289" s="166">
        <f>SUMIFS(Продажи!F$5:F$359,Продажи!$D$5:$D$359,Конструкторы!$B289,Продажи!$C$5:$C$359,Конструкторы!$A289)</f>
        <v>0</v>
      </c>
      <c r="J289" s="166">
        <f>SUMIFS(Продажи!G$5:G$359,Продажи!$D$5:$D$359,Конструкторы!$B289,Продажи!$C$5:$C$359,Конструкторы!$A289)</f>
        <v>0</v>
      </c>
      <c r="K289" s="166">
        <f>SUMIFS(Продажи!H$5:H$359,Продажи!$D$5:$D$359,Конструкторы!$B289,Продажи!$C$5:$C$359,Конструкторы!$A289)</f>
        <v>0</v>
      </c>
      <c r="L289" s="166">
        <f>SUMIFS(Продажи!I$5:I$359,Продажи!$D$5:$D$359,Конструкторы!$B289,Продажи!$C$5:$C$359,Конструкторы!$A289)</f>
        <v>0</v>
      </c>
      <c r="M289" s="166">
        <f>SUMIFS(Продажи!J$5:J$359,Продажи!$D$5:$D$359,Конструкторы!$B289,Продажи!$C$5:$C$359,Конструкторы!$A289)</f>
        <v>0</v>
      </c>
      <c r="N289" s="166">
        <f>SUMIFS(Продажи!K$5:K$359,Продажи!$D$5:$D$359,Конструкторы!$B289,Продажи!$C$5:$C$359,Конструкторы!$A289)</f>
        <v>0</v>
      </c>
      <c r="O289" s="166">
        <f>SUMIFS(Продажи!L$5:L$359,Продажи!$D$5:$D$359,Конструкторы!$B289,Продажи!$C$5:$C$359,Конструкторы!$A289)</f>
        <v>0</v>
      </c>
      <c r="P289" s="166">
        <f>SUMIFS(Продажи!M$5:M$359,Продажи!$D$5:$D$359,Конструкторы!$B289,Продажи!$C$5:$C$359,Конструкторы!$A289)</f>
        <v>0</v>
      </c>
      <c r="Q289" s="166">
        <f>SUMIFS(Продажи!N$5:N$359,Продажи!$D$5:$D$359,Конструкторы!$B289,Продажи!$C$5:$C$359,Конструкторы!$A289)</f>
        <v>0</v>
      </c>
      <c r="R289" s="166">
        <f>SUMIFS(Продажи!O$5:O$359,Продажи!$D$5:$D$359,Конструкторы!$B289,Продажи!$C$5:$C$359,Конструкторы!$A289)</f>
        <v>0</v>
      </c>
      <c r="S289" s="166">
        <f>SUMIFS(Продажи!P$5:P$359,Продажи!$D$5:$D$359,Конструкторы!$B289,Продажи!$C$5:$C$359,Конструкторы!$A289)</f>
        <v>0</v>
      </c>
      <c r="T289" s="166">
        <f>SUMIFS(Продажи!Q$5:Q$359,Продажи!$D$5:$D$359,Конструкторы!$B289,Продажи!$C$5:$C$359,Конструкторы!$A289)</f>
        <v>0</v>
      </c>
    </row>
    <row r="290" spans="1:20" ht="15.75" hidden="1" x14ac:dyDescent="0.25">
      <c r="A290" s="166" t="s">
        <v>397</v>
      </c>
      <c r="B290" s="167" t="s">
        <v>141</v>
      </c>
      <c r="C290" s="129" t="s">
        <v>60</v>
      </c>
      <c r="D290" s="149"/>
      <c r="E290" s="153" t="s">
        <v>68</v>
      </c>
      <c r="F290" s="156">
        <f>(1.072*103)/100</f>
        <v>1.10416</v>
      </c>
      <c r="G290" s="156">
        <v>3.2159999999999966E-2</v>
      </c>
      <c r="H290" s="156">
        <f>F290+G290</f>
        <v>1.13632</v>
      </c>
      <c r="I290" s="166">
        <f>SUMIFS(Продажи!F$5:F$359,Продажи!$D$5:$D$359,Конструкторы!$B290,Продажи!$C$5:$C$359,Конструкторы!$A290)</f>
        <v>0</v>
      </c>
      <c r="J290" s="166">
        <f>SUMIFS(Продажи!G$5:G$359,Продажи!$D$5:$D$359,Конструкторы!$B290,Продажи!$C$5:$C$359,Конструкторы!$A290)</f>
        <v>0</v>
      </c>
      <c r="K290" s="166">
        <f>SUMIFS(Продажи!H$5:H$359,Продажи!$D$5:$D$359,Конструкторы!$B290,Продажи!$C$5:$C$359,Конструкторы!$A290)</f>
        <v>0</v>
      </c>
      <c r="L290" s="166">
        <f>SUMIFS(Продажи!I$5:I$359,Продажи!$D$5:$D$359,Конструкторы!$B290,Продажи!$C$5:$C$359,Конструкторы!$A290)</f>
        <v>0</v>
      </c>
      <c r="M290" s="166">
        <f>SUMIFS(Продажи!J$5:J$359,Продажи!$D$5:$D$359,Конструкторы!$B290,Продажи!$C$5:$C$359,Конструкторы!$A290)</f>
        <v>0</v>
      </c>
      <c r="N290" s="166">
        <f>SUMIFS(Продажи!K$5:K$359,Продажи!$D$5:$D$359,Конструкторы!$B290,Продажи!$C$5:$C$359,Конструкторы!$A290)</f>
        <v>0</v>
      </c>
      <c r="O290" s="166">
        <f>SUMIFS(Продажи!L$5:L$359,Продажи!$D$5:$D$359,Конструкторы!$B290,Продажи!$C$5:$C$359,Конструкторы!$A290)</f>
        <v>0</v>
      </c>
      <c r="P290" s="166">
        <f>SUMIFS(Продажи!M$5:M$359,Продажи!$D$5:$D$359,Конструкторы!$B290,Продажи!$C$5:$C$359,Конструкторы!$A290)</f>
        <v>0</v>
      </c>
      <c r="Q290" s="166">
        <f>SUMIFS(Продажи!N$5:N$359,Продажи!$D$5:$D$359,Конструкторы!$B290,Продажи!$C$5:$C$359,Конструкторы!$A290)</f>
        <v>0</v>
      </c>
      <c r="R290" s="166">
        <f>SUMIFS(Продажи!O$5:O$359,Продажи!$D$5:$D$359,Конструкторы!$B290,Продажи!$C$5:$C$359,Конструкторы!$A290)</f>
        <v>0</v>
      </c>
      <c r="S290" s="166">
        <f>SUMIFS(Продажи!P$5:P$359,Продажи!$D$5:$D$359,Конструкторы!$B290,Продажи!$C$5:$C$359,Конструкторы!$A290)</f>
        <v>0</v>
      </c>
      <c r="T290" s="166">
        <f>SUMIFS(Продажи!Q$5:Q$359,Продажи!$D$5:$D$359,Конструкторы!$B290,Продажи!$C$5:$C$359,Конструкторы!$A290)</f>
        <v>0</v>
      </c>
    </row>
    <row r="291" spans="1:20" ht="15.75" hidden="1" x14ac:dyDescent="0.25">
      <c r="A291" s="166" t="s">
        <v>397</v>
      </c>
      <c r="B291" s="167" t="s">
        <v>141</v>
      </c>
      <c r="C291" s="33" t="s">
        <v>72</v>
      </c>
      <c r="D291" s="149"/>
      <c r="E291" s="153" t="s">
        <v>70</v>
      </c>
      <c r="F291" s="148">
        <v>4</v>
      </c>
      <c r="G291" s="156" t="s">
        <v>71</v>
      </c>
      <c r="H291" s="156">
        <f>F291</f>
        <v>4</v>
      </c>
      <c r="I291" s="166">
        <f>SUMIFS(Продажи!F$5:F$359,Продажи!$D$5:$D$359,Конструкторы!$B291,Продажи!$C$5:$C$359,Конструкторы!$A291)</f>
        <v>0</v>
      </c>
      <c r="J291" s="166">
        <f>SUMIFS(Продажи!G$5:G$359,Продажи!$D$5:$D$359,Конструкторы!$B291,Продажи!$C$5:$C$359,Конструкторы!$A291)</f>
        <v>0</v>
      </c>
      <c r="K291" s="166">
        <f>SUMIFS(Продажи!H$5:H$359,Продажи!$D$5:$D$359,Конструкторы!$B291,Продажи!$C$5:$C$359,Конструкторы!$A291)</f>
        <v>0</v>
      </c>
      <c r="L291" s="166">
        <f>SUMIFS(Продажи!I$5:I$359,Продажи!$D$5:$D$359,Конструкторы!$B291,Продажи!$C$5:$C$359,Конструкторы!$A291)</f>
        <v>0</v>
      </c>
      <c r="M291" s="166">
        <f>SUMIFS(Продажи!J$5:J$359,Продажи!$D$5:$D$359,Конструкторы!$B291,Продажи!$C$5:$C$359,Конструкторы!$A291)</f>
        <v>0</v>
      </c>
      <c r="N291" s="166">
        <f>SUMIFS(Продажи!K$5:K$359,Продажи!$D$5:$D$359,Конструкторы!$B291,Продажи!$C$5:$C$359,Конструкторы!$A291)</f>
        <v>0</v>
      </c>
      <c r="O291" s="166">
        <f>SUMIFS(Продажи!L$5:L$359,Продажи!$D$5:$D$359,Конструкторы!$B291,Продажи!$C$5:$C$359,Конструкторы!$A291)</f>
        <v>0</v>
      </c>
      <c r="P291" s="166">
        <f>SUMIFS(Продажи!M$5:M$359,Продажи!$D$5:$D$359,Конструкторы!$B291,Продажи!$C$5:$C$359,Конструкторы!$A291)</f>
        <v>0</v>
      </c>
      <c r="Q291" s="166">
        <f>SUMIFS(Продажи!N$5:N$359,Продажи!$D$5:$D$359,Конструкторы!$B291,Продажи!$C$5:$C$359,Конструкторы!$A291)</f>
        <v>0</v>
      </c>
      <c r="R291" s="166">
        <f>SUMIFS(Продажи!O$5:O$359,Продажи!$D$5:$D$359,Конструкторы!$B291,Продажи!$C$5:$C$359,Конструкторы!$A291)</f>
        <v>0</v>
      </c>
      <c r="S291" s="166">
        <f>SUMIFS(Продажи!P$5:P$359,Продажи!$D$5:$D$359,Конструкторы!$B291,Продажи!$C$5:$C$359,Конструкторы!$A291)</f>
        <v>0</v>
      </c>
      <c r="T291" s="166">
        <f>SUMIFS(Продажи!Q$5:Q$359,Продажи!$D$5:$D$359,Конструкторы!$B291,Продажи!$C$5:$C$359,Конструкторы!$A291)</f>
        <v>0</v>
      </c>
    </row>
    <row r="292" spans="1:20" ht="15.75" hidden="1" x14ac:dyDescent="0.25">
      <c r="A292" s="166" t="s">
        <v>397</v>
      </c>
      <c r="B292" s="167" t="s">
        <v>141</v>
      </c>
      <c r="C292" s="33" t="s">
        <v>76</v>
      </c>
      <c r="D292" s="149"/>
      <c r="E292" s="153" t="s">
        <v>70</v>
      </c>
      <c r="F292" s="148">
        <v>12</v>
      </c>
      <c r="G292" s="156" t="s">
        <v>71</v>
      </c>
      <c r="H292" s="156">
        <f>F292</f>
        <v>12</v>
      </c>
      <c r="I292" s="166">
        <f>SUMIFS(Продажи!F$5:F$359,Продажи!$D$5:$D$359,Конструкторы!$B292,Продажи!$C$5:$C$359,Конструкторы!$A292)</f>
        <v>0</v>
      </c>
      <c r="J292" s="166">
        <f>SUMIFS(Продажи!G$5:G$359,Продажи!$D$5:$D$359,Конструкторы!$B292,Продажи!$C$5:$C$359,Конструкторы!$A292)</f>
        <v>0</v>
      </c>
      <c r="K292" s="166">
        <f>SUMIFS(Продажи!H$5:H$359,Продажи!$D$5:$D$359,Конструкторы!$B292,Продажи!$C$5:$C$359,Конструкторы!$A292)</f>
        <v>0</v>
      </c>
      <c r="L292" s="166">
        <f>SUMIFS(Продажи!I$5:I$359,Продажи!$D$5:$D$359,Конструкторы!$B292,Продажи!$C$5:$C$359,Конструкторы!$A292)</f>
        <v>0</v>
      </c>
      <c r="M292" s="166">
        <f>SUMIFS(Продажи!J$5:J$359,Продажи!$D$5:$D$359,Конструкторы!$B292,Продажи!$C$5:$C$359,Конструкторы!$A292)</f>
        <v>0</v>
      </c>
      <c r="N292" s="166">
        <f>SUMIFS(Продажи!K$5:K$359,Продажи!$D$5:$D$359,Конструкторы!$B292,Продажи!$C$5:$C$359,Конструкторы!$A292)</f>
        <v>0</v>
      </c>
      <c r="O292" s="166">
        <f>SUMIFS(Продажи!L$5:L$359,Продажи!$D$5:$D$359,Конструкторы!$B292,Продажи!$C$5:$C$359,Конструкторы!$A292)</f>
        <v>0</v>
      </c>
      <c r="P292" s="166">
        <f>SUMIFS(Продажи!M$5:M$359,Продажи!$D$5:$D$359,Конструкторы!$B292,Продажи!$C$5:$C$359,Конструкторы!$A292)</f>
        <v>0</v>
      </c>
      <c r="Q292" s="166">
        <f>SUMIFS(Продажи!N$5:N$359,Продажи!$D$5:$D$359,Конструкторы!$B292,Продажи!$C$5:$C$359,Конструкторы!$A292)</f>
        <v>0</v>
      </c>
      <c r="R292" s="166">
        <f>SUMIFS(Продажи!O$5:O$359,Продажи!$D$5:$D$359,Конструкторы!$B292,Продажи!$C$5:$C$359,Конструкторы!$A292)</f>
        <v>0</v>
      </c>
      <c r="S292" s="166">
        <f>SUMIFS(Продажи!P$5:P$359,Продажи!$D$5:$D$359,Конструкторы!$B292,Продажи!$C$5:$C$359,Конструкторы!$A292)</f>
        <v>0</v>
      </c>
      <c r="T292" s="166">
        <f>SUMIFS(Продажи!Q$5:Q$359,Продажи!$D$5:$D$359,Конструкторы!$B292,Продажи!$C$5:$C$359,Конструкторы!$A292)</f>
        <v>0</v>
      </c>
    </row>
    <row r="293" spans="1:20" ht="15.75" hidden="1" x14ac:dyDescent="0.25">
      <c r="A293" s="166" t="s">
        <v>397</v>
      </c>
      <c r="B293" s="167" t="s">
        <v>142</v>
      </c>
      <c r="C293" s="129" t="s">
        <v>61</v>
      </c>
      <c r="D293" s="149"/>
      <c r="E293" s="153" t="s">
        <v>68</v>
      </c>
      <c r="F293" s="156">
        <f>(1*103)/100</f>
        <v>1.03</v>
      </c>
      <c r="G293" s="156">
        <v>3.0000000000000027E-2</v>
      </c>
      <c r="H293" s="156">
        <f>F293+G293</f>
        <v>1.06</v>
      </c>
      <c r="I293" s="166">
        <f>SUMIFS(Продажи!F$5:F$359,Продажи!$D$5:$D$359,Конструкторы!$B293,Продажи!$C$5:$C$359,Конструкторы!$A293)</f>
        <v>0</v>
      </c>
      <c r="J293" s="166">
        <f>SUMIFS(Продажи!G$5:G$359,Продажи!$D$5:$D$359,Конструкторы!$B293,Продажи!$C$5:$C$359,Конструкторы!$A293)</f>
        <v>0</v>
      </c>
      <c r="K293" s="166">
        <f>SUMIFS(Продажи!H$5:H$359,Продажи!$D$5:$D$359,Конструкторы!$B293,Продажи!$C$5:$C$359,Конструкторы!$A293)</f>
        <v>0</v>
      </c>
      <c r="L293" s="166">
        <f>SUMIFS(Продажи!I$5:I$359,Продажи!$D$5:$D$359,Конструкторы!$B293,Продажи!$C$5:$C$359,Конструкторы!$A293)</f>
        <v>0</v>
      </c>
      <c r="M293" s="166">
        <f>SUMIFS(Продажи!J$5:J$359,Продажи!$D$5:$D$359,Конструкторы!$B293,Продажи!$C$5:$C$359,Конструкторы!$A293)</f>
        <v>0</v>
      </c>
      <c r="N293" s="166">
        <f>SUMIFS(Продажи!K$5:K$359,Продажи!$D$5:$D$359,Конструкторы!$B293,Продажи!$C$5:$C$359,Конструкторы!$A293)</f>
        <v>0</v>
      </c>
      <c r="O293" s="166">
        <f>SUMIFS(Продажи!L$5:L$359,Продажи!$D$5:$D$359,Конструкторы!$B293,Продажи!$C$5:$C$359,Конструкторы!$A293)</f>
        <v>0</v>
      </c>
      <c r="P293" s="166">
        <f>SUMIFS(Продажи!M$5:M$359,Продажи!$D$5:$D$359,Конструкторы!$B293,Продажи!$C$5:$C$359,Конструкторы!$A293)</f>
        <v>0</v>
      </c>
      <c r="Q293" s="166">
        <f>SUMIFS(Продажи!N$5:N$359,Продажи!$D$5:$D$359,Конструкторы!$B293,Продажи!$C$5:$C$359,Конструкторы!$A293)</f>
        <v>0</v>
      </c>
      <c r="R293" s="166">
        <f>SUMIFS(Продажи!O$5:O$359,Продажи!$D$5:$D$359,Конструкторы!$B293,Продажи!$C$5:$C$359,Конструкторы!$A293)</f>
        <v>0</v>
      </c>
      <c r="S293" s="166">
        <f>SUMIFS(Продажи!P$5:P$359,Продажи!$D$5:$D$359,Конструкторы!$B293,Продажи!$C$5:$C$359,Конструкторы!$A293)</f>
        <v>0</v>
      </c>
      <c r="T293" s="166">
        <f>SUMIFS(Продажи!Q$5:Q$359,Продажи!$D$5:$D$359,Конструкторы!$B293,Продажи!$C$5:$C$359,Конструкторы!$A293)</f>
        <v>0</v>
      </c>
    </row>
    <row r="294" spans="1:20" ht="15.75" hidden="1" x14ac:dyDescent="0.25">
      <c r="A294" s="166" t="s">
        <v>397</v>
      </c>
      <c r="B294" s="167" t="s">
        <v>142</v>
      </c>
      <c r="C294" s="129" t="s">
        <v>63</v>
      </c>
      <c r="D294" s="149"/>
      <c r="E294" s="153" t="s">
        <v>68</v>
      </c>
      <c r="F294" s="156">
        <f>(0.594*103)/100</f>
        <v>0.61181999999999992</v>
      </c>
      <c r="G294" s="156">
        <v>1.7819999999999947E-2</v>
      </c>
      <c r="H294" s="156">
        <f>F294+G294</f>
        <v>0.62963999999999987</v>
      </c>
      <c r="I294" s="166">
        <f>SUMIFS(Продажи!F$5:F$359,Продажи!$D$5:$D$359,Конструкторы!$B294,Продажи!$C$5:$C$359,Конструкторы!$A294)</f>
        <v>0</v>
      </c>
      <c r="J294" s="166">
        <f>SUMIFS(Продажи!G$5:G$359,Продажи!$D$5:$D$359,Конструкторы!$B294,Продажи!$C$5:$C$359,Конструкторы!$A294)</f>
        <v>0</v>
      </c>
      <c r="K294" s="166">
        <f>SUMIFS(Продажи!H$5:H$359,Продажи!$D$5:$D$359,Конструкторы!$B294,Продажи!$C$5:$C$359,Конструкторы!$A294)</f>
        <v>0</v>
      </c>
      <c r="L294" s="166">
        <f>SUMIFS(Продажи!I$5:I$359,Продажи!$D$5:$D$359,Конструкторы!$B294,Продажи!$C$5:$C$359,Конструкторы!$A294)</f>
        <v>0</v>
      </c>
      <c r="M294" s="166">
        <f>SUMIFS(Продажи!J$5:J$359,Продажи!$D$5:$D$359,Конструкторы!$B294,Продажи!$C$5:$C$359,Конструкторы!$A294)</f>
        <v>0</v>
      </c>
      <c r="N294" s="166">
        <f>SUMIFS(Продажи!K$5:K$359,Продажи!$D$5:$D$359,Конструкторы!$B294,Продажи!$C$5:$C$359,Конструкторы!$A294)</f>
        <v>0</v>
      </c>
      <c r="O294" s="166">
        <f>SUMIFS(Продажи!L$5:L$359,Продажи!$D$5:$D$359,Конструкторы!$B294,Продажи!$C$5:$C$359,Конструкторы!$A294)</f>
        <v>0</v>
      </c>
      <c r="P294" s="166">
        <f>SUMIFS(Продажи!M$5:M$359,Продажи!$D$5:$D$359,Конструкторы!$B294,Продажи!$C$5:$C$359,Конструкторы!$A294)</f>
        <v>0</v>
      </c>
      <c r="Q294" s="166">
        <f>SUMIFS(Продажи!N$5:N$359,Продажи!$D$5:$D$359,Конструкторы!$B294,Продажи!$C$5:$C$359,Конструкторы!$A294)</f>
        <v>0</v>
      </c>
      <c r="R294" s="166">
        <f>SUMIFS(Продажи!O$5:O$359,Продажи!$D$5:$D$359,Конструкторы!$B294,Продажи!$C$5:$C$359,Конструкторы!$A294)</f>
        <v>0</v>
      </c>
      <c r="S294" s="166">
        <f>SUMIFS(Продажи!P$5:P$359,Продажи!$D$5:$D$359,Конструкторы!$B294,Продажи!$C$5:$C$359,Конструкторы!$A294)</f>
        <v>0</v>
      </c>
      <c r="T294" s="166">
        <f>SUMIFS(Продажи!Q$5:Q$359,Продажи!$D$5:$D$359,Конструкторы!$B294,Продажи!$C$5:$C$359,Конструкторы!$A294)</f>
        <v>0</v>
      </c>
    </row>
    <row r="295" spans="1:20" ht="15.75" hidden="1" x14ac:dyDescent="0.25">
      <c r="A295" s="166" t="s">
        <v>397</v>
      </c>
      <c r="B295" s="167" t="s">
        <v>142</v>
      </c>
      <c r="C295" s="129" t="s">
        <v>60</v>
      </c>
      <c r="D295" s="149"/>
      <c r="E295" s="153" t="s">
        <v>68</v>
      </c>
      <c r="F295" s="156">
        <f>(1.072*103)/100</f>
        <v>1.10416</v>
      </c>
      <c r="G295" s="156">
        <v>3.2159999999999966E-2</v>
      </c>
      <c r="H295" s="156">
        <f>F295+G295</f>
        <v>1.13632</v>
      </c>
      <c r="I295" s="166">
        <f>SUMIFS(Продажи!F$5:F$359,Продажи!$D$5:$D$359,Конструкторы!$B295,Продажи!$C$5:$C$359,Конструкторы!$A295)</f>
        <v>0</v>
      </c>
      <c r="J295" s="166">
        <f>SUMIFS(Продажи!G$5:G$359,Продажи!$D$5:$D$359,Конструкторы!$B295,Продажи!$C$5:$C$359,Конструкторы!$A295)</f>
        <v>0</v>
      </c>
      <c r="K295" s="166">
        <f>SUMIFS(Продажи!H$5:H$359,Продажи!$D$5:$D$359,Конструкторы!$B295,Продажи!$C$5:$C$359,Конструкторы!$A295)</f>
        <v>0</v>
      </c>
      <c r="L295" s="166">
        <f>SUMIFS(Продажи!I$5:I$359,Продажи!$D$5:$D$359,Конструкторы!$B295,Продажи!$C$5:$C$359,Конструкторы!$A295)</f>
        <v>0</v>
      </c>
      <c r="M295" s="166">
        <f>SUMIFS(Продажи!J$5:J$359,Продажи!$D$5:$D$359,Конструкторы!$B295,Продажи!$C$5:$C$359,Конструкторы!$A295)</f>
        <v>0</v>
      </c>
      <c r="N295" s="166">
        <f>SUMIFS(Продажи!K$5:K$359,Продажи!$D$5:$D$359,Конструкторы!$B295,Продажи!$C$5:$C$359,Конструкторы!$A295)</f>
        <v>0</v>
      </c>
      <c r="O295" s="166">
        <f>SUMIFS(Продажи!L$5:L$359,Продажи!$D$5:$D$359,Конструкторы!$B295,Продажи!$C$5:$C$359,Конструкторы!$A295)</f>
        <v>0</v>
      </c>
      <c r="P295" s="166">
        <f>SUMIFS(Продажи!M$5:M$359,Продажи!$D$5:$D$359,Конструкторы!$B295,Продажи!$C$5:$C$359,Конструкторы!$A295)</f>
        <v>0</v>
      </c>
      <c r="Q295" s="166">
        <f>SUMIFS(Продажи!N$5:N$359,Продажи!$D$5:$D$359,Конструкторы!$B295,Продажи!$C$5:$C$359,Конструкторы!$A295)</f>
        <v>0</v>
      </c>
      <c r="R295" s="166">
        <f>SUMIFS(Продажи!O$5:O$359,Продажи!$D$5:$D$359,Конструкторы!$B295,Продажи!$C$5:$C$359,Конструкторы!$A295)</f>
        <v>0</v>
      </c>
      <c r="S295" s="166">
        <f>SUMIFS(Продажи!P$5:P$359,Продажи!$D$5:$D$359,Конструкторы!$B295,Продажи!$C$5:$C$359,Конструкторы!$A295)</f>
        <v>0</v>
      </c>
      <c r="T295" s="166">
        <f>SUMIFS(Продажи!Q$5:Q$359,Продажи!$D$5:$D$359,Конструкторы!$B295,Продажи!$C$5:$C$359,Конструкторы!$A295)</f>
        <v>0</v>
      </c>
    </row>
    <row r="296" spans="1:20" ht="15.75" hidden="1" x14ac:dyDescent="0.25">
      <c r="A296" s="166" t="s">
        <v>397</v>
      </c>
      <c r="B296" s="167" t="s">
        <v>142</v>
      </c>
      <c r="C296" s="33" t="s">
        <v>72</v>
      </c>
      <c r="D296" s="149"/>
      <c r="E296" s="153" t="s">
        <v>70</v>
      </c>
      <c r="F296" s="148">
        <v>4</v>
      </c>
      <c r="G296" s="156" t="s">
        <v>71</v>
      </c>
      <c r="H296" s="156">
        <f>F296</f>
        <v>4</v>
      </c>
      <c r="I296" s="166">
        <f>SUMIFS(Продажи!F$5:F$359,Продажи!$D$5:$D$359,Конструкторы!$B296,Продажи!$C$5:$C$359,Конструкторы!$A296)</f>
        <v>0</v>
      </c>
      <c r="J296" s="166">
        <f>SUMIFS(Продажи!G$5:G$359,Продажи!$D$5:$D$359,Конструкторы!$B296,Продажи!$C$5:$C$359,Конструкторы!$A296)</f>
        <v>0</v>
      </c>
      <c r="K296" s="166">
        <f>SUMIFS(Продажи!H$5:H$359,Продажи!$D$5:$D$359,Конструкторы!$B296,Продажи!$C$5:$C$359,Конструкторы!$A296)</f>
        <v>0</v>
      </c>
      <c r="L296" s="166">
        <f>SUMIFS(Продажи!I$5:I$359,Продажи!$D$5:$D$359,Конструкторы!$B296,Продажи!$C$5:$C$359,Конструкторы!$A296)</f>
        <v>0</v>
      </c>
      <c r="M296" s="166">
        <f>SUMIFS(Продажи!J$5:J$359,Продажи!$D$5:$D$359,Конструкторы!$B296,Продажи!$C$5:$C$359,Конструкторы!$A296)</f>
        <v>0</v>
      </c>
      <c r="N296" s="166">
        <f>SUMIFS(Продажи!K$5:K$359,Продажи!$D$5:$D$359,Конструкторы!$B296,Продажи!$C$5:$C$359,Конструкторы!$A296)</f>
        <v>0</v>
      </c>
      <c r="O296" s="166">
        <f>SUMIFS(Продажи!L$5:L$359,Продажи!$D$5:$D$359,Конструкторы!$B296,Продажи!$C$5:$C$359,Конструкторы!$A296)</f>
        <v>0</v>
      </c>
      <c r="P296" s="166">
        <f>SUMIFS(Продажи!M$5:M$359,Продажи!$D$5:$D$359,Конструкторы!$B296,Продажи!$C$5:$C$359,Конструкторы!$A296)</f>
        <v>0</v>
      </c>
      <c r="Q296" s="166">
        <f>SUMIFS(Продажи!N$5:N$359,Продажи!$D$5:$D$359,Конструкторы!$B296,Продажи!$C$5:$C$359,Конструкторы!$A296)</f>
        <v>0</v>
      </c>
      <c r="R296" s="166">
        <f>SUMIFS(Продажи!O$5:O$359,Продажи!$D$5:$D$359,Конструкторы!$B296,Продажи!$C$5:$C$359,Конструкторы!$A296)</f>
        <v>0</v>
      </c>
      <c r="S296" s="166">
        <f>SUMIFS(Продажи!P$5:P$359,Продажи!$D$5:$D$359,Конструкторы!$B296,Продажи!$C$5:$C$359,Конструкторы!$A296)</f>
        <v>0</v>
      </c>
      <c r="T296" s="166">
        <f>SUMIFS(Продажи!Q$5:Q$359,Продажи!$D$5:$D$359,Конструкторы!$B296,Продажи!$C$5:$C$359,Конструкторы!$A296)</f>
        <v>0</v>
      </c>
    </row>
    <row r="297" spans="1:20" ht="15.75" hidden="1" x14ac:dyDescent="0.25">
      <c r="A297" s="166" t="s">
        <v>397</v>
      </c>
      <c r="B297" s="167" t="s">
        <v>142</v>
      </c>
      <c r="C297" s="33" t="s">
        <v>76</v>
      </c>
      <c r="D297" s="149"/>
      <c r="E297" s="153" t="s">
        <v>70</v>
      </c>
      <c r="F297" s="148">
        <v>12</v>
      </c>
      <c r="G297" s="156" t="s">
        <v>71</v>
      </c>
      <c r="H297" s="156">
        <f>F297</f>
        <v>12</v>
      </c>
      <c r="I297" s="166">
        <f>SUMIFS(Продажи!F$5:F$359,Продажи!$D$5:$D$359,Конструкторы!$B297,Продажи!$C$5:$C$359,Конструкторы!$A297)</f>
        <v>0</v>
      </c>
      <c r="J297" s="166">
        <f>SUMIFS(Продажи!G$5:G$359,Продажи!$D$5:$D$359,Конструкторы!$B297,Продажи!$C$5:$C$359,Конструкторы!$A297)</f>
        <v>0</v>
      </c>
      <c r="K297" s="166">
        <f>SUMIFS(Продажи!H$5:H$359,Продажи!$D$5:$D$359,Конструкторы!$B297,Продажи!$C$5:$C$359,Конструкторы!$A297)</f>
        <v>0</v>
      </c>
      <c r="L297" s="166">
        <f>SUMIFS(Продажи!I$5:I$359,Продажи!$D$5:$D$359,Конструкторы!$B297,Продажи!$C$5:$C$359,Конструкторы!$A297)</f>
        <v>0</v>
      </c>
      <c r="M297" s="166">
        <f>SUMIFS(Продажи!J$5:J$359,Продажи!$D$5:$D$359,Конструкторы!$B297,Продажи!$C$5:$C$359,Конструкторы!$A297)</f>
        <v>0</v>
      </c>
      <c r="N297" s="166">
        <f>SUMIFS(Продажи!K$5:K$359,Продажи!$D$5:$D$359,Конструкторы!$B297,Продажи!$C$5:$C$359,Конструкторы!$A297)</f>
        <v>0</v>
      </c>
      <c r="O297" s="166">
        <f>SUMIFS(Продажи!L$5:L$359,Продажи!$D$5:$D$359,Конструкторы!$B297,Продажи!$C$5:$C$359,Конструкторы!$A297)</f>
        <v>0</v>
      </c>
      <c r="P297" s="166">
        <f>SUMIFS(Продажи!M$5:M$359,Продажи!$D$5:$D$359,Конструкторы!$B297,Продажи!$C$5:$C$359,Конструкторы!$A297)</f>
        <v>0</v>
      </c>
      <c r="Q297" s="166">
        <f>SUMIFS(Продажи!N$5:N$359,Продажи!$D$5:$D$359,Конструкторы!$B297,Продажи!$C$5:$C$359,Конструкторы!$A297)</f>
        <v>0</v>
      </c>
      <c r="R297" s="166">
        <f>SUMIFS(Продажи!O$5:O$359,Продажи!$D$5:$D$359,Конструкторы!$B297,Продажи!$C$5:$C$359,Конструкторы!$A297)</f>
        <v>0</v>
      </c>
      <c r="S297" s="166">
        <f>SUMIFS(Продажи!P$5:P$359,Продажи!$D$5:$D$359,Конструкторы!$B297,Продажи!$C$5:$C$359,Конструкторы!$A297)</f>
        <v>0</v>
      </c>
      <c r="T297" s="166">
        <f>SUMIFS(Продажи!Q$5:Q$359,Продажи!$D$5:$D$359,Конструкторы!$B297,Продажи!$C$5:$C$359,Конструкторы!$A297)</f>
        <v>0</v>
      </c>
    </row>
    <row r="298" spans="1:20" ht="15.75" hidden="1" x14ac:dyDescent="0.25">
      <c r="A298" s="166" t="s">
        <v>397</v>
      </c>
      <c r="B298" s="167" t="s">
        <v>143</v>
      </c>
      <c r="C298" s="129" t="s">
        <v>63</v>
      </c>
      <c r="D298" s="149"/>
      <c r="E298" s="153" t="s">
        <v>68</v>
      </c>
      <c r="F298" s="156">
        <f>(1.594*103)/100</f>
        <v>1.6418200000000001</v>
      </c>
      <c r="G298" s="156">
        <v>4.7819999999999974E-2</v>
      </c>
      <c r="H298" s="156">
        <f>F298+G298</f>
        <v>1.68964</v>
      </c>
      <c r="I298" s="166">
        <f>SUMIFS(Продажи!F$5:F$359,Продажи!$D$5:$D$359,Конструкторы!$B298,Продажи!$C$5:$C$359,Конструкторы!$A298)</f>
        <v>0</v>
      </c>
      <c r="J298" s="166">
        <f>SUMIFS(Продажи!G$5:G$359,Продажи!$D$5:$D$359,Конструкторы!$B298,Продажи!$C$5:$C$359,Конструкторы!$A298)</f>
        <v>0</v>
      </c>
      <c r="K298" s="166">
        <f>SUMIFS(Продажи!H$5:H$359,Продажи!$D$5:$D$359,Конструкторы!$B298,Продажи!$C$5:$C$359,Конструкторы!$A298)</f>
        <v>0</v>
      </c>
      <c r="L298" s="166">
        <f>SUMIFS(Продажи!I$5:I$359,Продажи!$D$5:$D$359,Конструкторы!$B298,Продажи!$C$5:$C$359,Конструкторы!$A298)</f>
        <v>0</v>
      </c>
      <c r="M298" s="166">
        <f>SUMIFS(Продажи!J$5:J$359,Продажи!$D$5:$D$359,Конструкторы!$B298,Продажи!$C$5:$C$359,Конструкторы!$A298)</f>
        <v>0</v>
      </c>
      <c r="N298" s="166">
        <f>SUMIFS(Продажи!K$5:K$359,Продажи!$D$5:$D$359,Конструкторы!$B298,Продажи!$C$5:$C$359,Конструкторы!$A298)</f>
        <v>0</v>
      </c>
      <c r="O298" s="166">
        <f>SUMIFS(Продажи!L$5:L$359,Продажи!$D$5:$D$359,Конструкторы!$B298,Продажи!$C$5:$C$359,Конструкторы!$A298)</f>
        <v>0</v>
      </c>
      <c r="P298" s="166">
        <f>SUMIFS(Продажи!M$5:M$359,Продажи!$D$5:$D$359,Конструкторы!$B298,Продажи!$C$5:$C$359,Конструкторы!$A298)</f>
        <v>0</v>
      </c>
      <c r="Q298" s="166">
        <f>SUMIFS(Продажи!N$5:N$359,Продажи!$D$5:$D$359,Конструкторы!$B298,Продажи!$C$5:$C$359,Конструкторы!$A298)</f>
        <v>0</v>
      </c>
      <c r="R298" s="166">
        <f>SUMIFS(Продажи!O$5:O$359,Продажи!$D$5:$D$359,Конструкторы!$B298,Продажи!$C$5:$C$359,Конструкторы!$A298)</f>
        <v>0</v>
      </c>
      <c r="S298" s="166">
        <f>SUMIFS(Продажи!P$5:P$359,Продажи!$D$5:$D$359,Конструкторы!$B298,Продажи!$C$5:$C$359,Конструкторы!$A298)</f>
        <v>0</v>
      </c>
      <c r="T298" s="166">
        <f>SUMIFS(Продажи!Q$5:Q$359,Продажи!$D$5:$D$359,Конструкторы!$B298,Продажи!$C$5:$C$359,Конструкторы!$A298)</f>
        <v>0</v>
      </c>
    </row>
    <row r="299" spans="1:20" ht="15.75" hidden="1" x14ac:dyDescent="0.25">
      <c r="A299" s="166" t="s">
        <v>397</v>
      </c>
      <c r="B299" s="167" t="s">
        <v>143</v>
      </c>
      <c r="C299" s="129" t="s">
        <v>60</v>
      </c>
      <c r="D299" s="149"/>
      <c r="E299" s="153" t="s">
        <v>68</v>
      </c>
      <c r="F299" s="156">
        <f>(1.072*103)/100</f>
        <v>1.10416</v>
      </c>
      <c r="G299" s="156">
        <v>3.2159999999999966E-2</v>
      </c>
      <c r="H299" s="156">
        <f>F299+G299</f>
        <v>1.13632</v>
      </c>
      <c r="I299" s="166">
        <f>SUMIFS(Продажи!F$5:F$359,Продажи!$D$5:$D$359,Конструкторы!$B299,Продажи!$C$5:$C$359,Конструкторы!$A299)</f>
        <v>0</v>
      </c>
      <c r="J299" s="166">
        <f>SUMIFS(Продажи!G$5:G$359,Продажи!$D$5:$D$359,Конструкторы!$B299,Продажи!$C$5:$C$359,Конструкторы!$A299)</f>
        <v>0</v>
      </c>
      <c r="K299" s="166">
        <f>SUMIFS(Продажи!H$5:H$359,Продажи!$D$5:$D$359,Конструкторы!$B299,Продажи!$C$5:$C$359,Конструкторы!$A299)</f>
        <v>0</v>
      </c>
      <c r="L299" s="166">
        <f>SUMIFS(Продажи!I$5:I$359,Продажи!$D$5:$D$359,Конструкторы!$B299,Продажи!$C$5:$C$359,Конструкторы!$A299)</f>
        <v>0</v>
      </c>
      <c r="M299" s="166">
        <f>SUMIFS(Продажи!J$5:J$359,Продажи!$D$5:$D$359,Конструкторы!$B299,Продажи!$C$5:$C$359,Конструкторы!$A299)</f>
        <v>0</v>
      </c>
      <c r="N299" s="166">
        <f>SUMIFS(Продажи!K$5:K$359,Продажи!$D$5:$D$359,Конструкторы!$B299,Продажи!$C$5:$C$359,Конструкторы!$A299)</f>
        <v>0</v>
      </c>
      <c r="O299" s="166">
        <f>SUMIFS(Продажи!L$5:L$359,Продажи!$D$5:$D$359,Конструкторы!$B299,Продажи!$C$5:$C$359,Конструкторы!$A299)</f>
        <v>0</v>
      </c>
      <c r="P299" s="166">
        <f>SUMIFS(Продажи!M$5:M$359,Продажи!$D$5:$D$359,Конструкторы!$B299,Продажи!$C$5:$C$359,Конструкторы!$A299)</f>
        <v>0</v>
      </c>
      <c r="Q299" s="166">
        <f>SUMIFS(Продажи!N$5:N$359,Продажи!$D$5:$D$359,Конструкторы!$B299,Продажи!$C$5:$C$359,Конструкторы!$A299)</f>
        <v>0</v>
      </c>
      <c r="R299" s="166">
        <f>SUMIFS(Продажи!O$5:O$359,Продажи!$D$5:$D$359,Конструкторы!$B299,Продажи!$C$5:$C$359,Конструкторы!$A299)</f>
        <v>0</v>
      </c>
      <c r="S299" s="166">
        <f>SUMIFS(Продажи!P$5:P$359,Продажи!$D$5:$D$359,Конструкторы!$B299,Продажи!$C$5:$C$359,Конструкторы!$A299)</f>
        <v>0</v>
      </c>
      <c r="T299" s="166">
        <f>SUMIFS(Продажи!Q$5:Q$359,Продажи!$D$5:$D$359,Конструкторы!$B299,Продажи!$C$5:$C$359,Конструкторы!$A299)</f>
        <v>0</v>
      </c>
    </row>
    <row r="300" spans="1:20" ht="15.75" hidden="1" x14ac:dyDescent="0.25">
      <c r="A300" s="166" t="s">
        <v>397</v>
      </c>
      <c r="B300" s="167" t="s">
        <v>143</v>
      </c>
      <c r="C300" s="33" t="s">
        <v>72</v>
      </c>
      <c r="D300" s="149"/>
      <c r="E300" s="153" t="s">
        <v>70</v>
      </c>
      <c r="F300" s="148">
        <v>4</v>
      </c>
      <c r="G300" s="156" t="s">
        <v>71</v>
      </c>
      <c r="H300" s="156">
        <f>F300</f>
        <v>4</v>
      </c>
      <c r="I300" s="166">
        <f>SUMIFS(Продажи!F$5:F$359,Продажи!$D$5:$D$359,Конструкторы!$B300,Продажи!$C$5:$C$359,Конструкторы!$A300)</f>
        <v>0</v>
      </c>
      <c r="J300" s="166">
        <f>SUMIFS(Продажи!G$5:G$359,Продажи!$D$5:$D$359,Конструкторы!$B300,Продажи!$C$5:$C$359,Конструкторы!$A300)</f>
        <v>0</v>
      </c>
      <c r="K300" s="166">
        <f>SUMIFS(Продажи!H$5:H$359,Продажи!$D$5:$D$359,Конструкторы!$B300,Продажи!$C$5:$C$359,Конструкторы!$A300)</f>
        <v>0</v>
      </c>
      <c r="L300" s="166">
        <f>SUMIFS(Продажи!I$5:I$359,Продажи!$D$5:$D$359,Конструкторы!$B300,Продажи!$C$5:$C$359,Конструкторы!$A300)</f>
        <v>0</v>
      </c>
      <c r="M300" s="166">
        <f>SUMIFS(Продажи!J$5:J$359,Продажи!$D$5:$D$359,Конструкторы!$B300,Продажи!$C$5:$C$359,Конструкторы!$A300)</f>
        <v>0</v>
      </c>
      <c r="N300" s="166">
        <f>SUMIFS(Продажи!K$5:K$359,Продажи!$D$5:$D$359,Конструкторы!$B300,Продажи!$C$5:$C$359,Конструкторы!$A300)</f>
        <v>0</v>
      </c>
      <c r="O300" s="166">
        <f>SUMIFS(Продажи!L$5:L$359,Продажи!$D$5:$D$359,Конструкторы!$B300,Продажи!$C$5:$C$359,Конструкторы!$A300)</f>
        <v>0</v>
      </c>
      <c r="P300" s="166">
        <f>SUMIFS(Продажи!M$5:M$359,Продажи!$D$5:$D$359,Конструкторы!$B300,Продажи!$C$5:$C$359,Конструкторы!$A300)</f>
        <v>0</v>
      </c>
      <c r="Q300" s="166">
        <f>SUMIFS(Продажи!N$5:N$359,Продажи!$D$5:$D$359,Конструкторы!$B300,Продажи!$C$5:$C$359,Конструкторы!$A300)</f>
        <v>0</v>
      </c>
      <c r="R300" s="166">
        <f>SUMIFS(Продажи!O$5:O$359,Продажи!$D$5:$D$359,Конструкторы!$B300,Продажи!$C$5:$C$359,Конструкторы!$A300)</f>
        <v>0</v>
      </c>
      <c r="S300" s="166">
        <f>SUMIFS(Продажи!P$5:P$359,Продажи!$D$5:$D$359,Конструкторы!$B300,Продажи!$C$5:$C$359,Конструкторы!$A300)</f>
        <v>0</v>
      </c>
      <c r="T300" s="166">
        <f>SUMIFS(Продажи!Q$5:Q$359,Продажи!$D$5:$D$359,Конструкторы!$B300,Продажи!$C$5:$C$359,Конструкторы!$A300)</f>
        <v>0</v>
      </c>
    </row>
    <row r="301" spans="1:20" ht="15.75" hidden="1" x14ac:dyDescent="0.25">
      <c r="A301" s="166" t="s">
        <v>397</v>
      </c>
      <c r="B301" s="167" t="s">
        <v>143</v>
      </c>
      <c r="C301" s="33" t="s">
        <v>76</v>
      </c>
      <c r="D301" s="149"/>
      <c r="E301" s="153" t="s">
        <v>70</v>
      </c>
      <c r="F301" s="148">
        <v>12</v>
      </c>
      <c r="G301" s="156" t="s">
        <v>71</v>
      </c>
      <c r="H301" s="156">
        <f>F301</f>
        <v>12</v>
      </c>
      <c r="I301" s="166">
        <f>SUMIFS(Продажи!F$5:F$359,Продажи!$D$5:$D$359,Конструкторы!$B301,Продажи!$C$5:$C$359,Конструкторы!$A301)</f>
        <v>0</v>
      </c>
      <c r="J301" s="166">
        <f>SUMIFS(Продажи!G$5:G$359,Продажи!$D$5:$D$359,Конструкторы!$B301,Продажи!$C$5:$C$359,Конструкторы!$A301)</f>
        <v>0</v>
      </c>
      <c r="K301" s="166">
        <f>SUMIFS(Продажи!H$5:H$359,Продажи!$D$5:$D$359,Конструкторы!$B301,Продажи!$C$5:$C$359,Конструкторы!$A301)</f>
        <v>0</v>
      </c>
      <c r="L301" s="166">
        <f>SUMIFS(Продажи!I$5:I$359,Продажи!$D$5:$D$359,Конструкторы!$B301,Продажи!$C$5:$C$359,Конструкторы!$A301)</f>
        <v>0</v>
      </c>
      <c r="M301" s="166">
        <f>SUMIFS(Продажи!J$5:J$359,Продажи!$D$5:$D$359,Конструкторы!$B301,Продажи!$C$5:$C$359,Конструкторы!$A301)</f>
        <v>0</v>
      </c>
      <c r="N301" s="166">
        <f>SUMIFS(Продажи!K$5:K$359,Продажи!$D$5:$D$359,Конструкторы!$B301,Продажи!$C$5:$C$359,Конструкторы!$A301)</f>
        <v>0</v>
      </c>
      <c r="O301" s="166">
        <f>SUMIFS(Продажи!L$5:L$359,Продажи!$D$5:$D$359,Конструкторы!$B301,Продажи!$C$5:$C$359,Конструкторы!$A301)</f>
        <v>0</v>
      </c>
      <c r="P301" s="166">
        <f>SUMIFS(Продажи!M$5:M$359,Продажи!$D$5:$D$359,Конструкторы!$B301,Продажи!$C$5:$C$359,Конструкторы!$A301)</f>
        <v>0</v>
      </c>
      <c r="Q301" s="166">
        <f>SUMIFS(Продажи!N$5:N$359,Продажи!$D$5:$D$359,Конструкторы!$B301,Продажи!$C$5:$C$359,Конструкторы!$A301)</f>
        <v>0</v>
      </c>
      <c r="R301" s="166">
        <f>SUMIFS(Продажи!O$5:O$359,Продажи!$D$5:$D$359,Конструкторы!$B301,Продажи!$C$5:$C$359,Конструкторы!$A301)</f>
        <v>0</v>
      </c>
      <c r="S301" s="166">
        <f>SUMIFS(Продажи!P$5:P$359,Продажи!$D$5:$D$359,Конструкторы!$B301,Продажи!$C$5:$C$359,Конструкторы!$A301)</f>
        <v>0</v>
      </c>
      <c r="T301" s="166">
        <f>SUMIFS(Продажи!Q$5:Q$359,Продажи!$D$5:$D$359,Конструкторы!$B301,Продажи!$C$5:$C$359,Конструкторы!$A301)</f>
        <v>0</v>
      </c>
    </row>
    <row r="302" spans="1:20" ht="15.75" hidden="1" x14ac:dyDescent="0.25">
      <c r="A302" s="166" t="s">
        <v>397</v>
      </c>
      <c r="B302" s="167" t="s">
        <v>144</v>
      </c>
      <c r="C302" s="129" t="s">
        <v>63</v>
      </c>
      <c r="D302" s="149"/>
      <c r="E302" s="153" t="s">
        <v>68</v>
      </c>
      <c r="F302" s="156">
        <f>(1.2*103)/100</f>
        <v>1.236</v>
      </c>
      <c r="G302" s="156">
        <v>3.6000000000000032E-2</v>
      </c>
      <c r="H302" s="156">
        <f>F302+G302</f>
        <v>1.272</v>
      </c>
      <c r="I302" s="166">
        <f>SUMIFS(Продажи!F$5:F$359,Продажи!$D$5:$D$359,Конструкторы!$B302,Продажи!$C$5:$C$359,Конструкторы!$A302)</f>
        <v>0</v>
      </c>
      <c r="J302" s="166">
        <f>SUMIFS(Продажи!G$5:G$359,Продажи!$D$5:$D$359,Конструкторы!$B302,Продажи!$C$5:$C$359,Конструкторы!$A302)</f>
        <v>0</v>
      </c>
      <c r="K302" s="166">
        <f>SUMIFS(Продажи!H$5:H$359,Продажи!$D$5:$D$359,Конструкторы!$B302,Продажи!$C$5:$C$359,Конструкторы!$A302)</f>
        <v>0</v>
      </c>
      <c r="L302" s="166">
        <f>SUMIFS(Продажи!I$5:I$359,Продажи!$D$5:$D$359,Конструкторы!$B302,Продажи!$C$5:$C$359,Конструкторы!$A302)</f>
        <v>0</v>
      </c>
      <c r="M302" s="166">
        <f>SUMIFS(Продажи!J$5:J$359,Продажи!$D$5:$D$359,Конструкторы!$B302,Продажи!$C$5:$C$359,Конструкторы!$A302)</f>
        <v>0</v>
      </c>
      <c r="N302" s="166">
        <f>SUMIFS(Продажи!K$5:K$359,Продажи!$D$5:$D$359,Конструкторы!$B302,Продажи!$C$5:$C$359,Конструкторы!$A302)</f>
        <v>0</v>
      </c>
      <c r="O302" s="166">
        <f>SUMIFS(Продажи!L$5:L$359,Продажи!$D$5:$D$359,Конструкторы!$B302,Продажи!$C$5:$C$359,Конструкторы!$A302)</f>
        <v>0</v>
      </c>
      <c r="P302" s="166">
        <f>SUMIFS(Продажи!M$5:M$359,Продажи!$D$5:$D$359,Конструкторы!$B302,Продажи!$C$5:$C$359,Конструкторы!$A302)</f>
        <v>0</v>
      </c>
      <c r="Q302" s="166">
        <f>SUMIFS(Продажи!N$5:N$359,Продажи!$D$5:$D$359,Конструкторы!$B302,Продажи!$C$5:$C$359,Конструкторы!$A302)</f>
        <v>0</v>
      </c>
      <c r="R302" s="166">
        <f>SUMIFS(Продажи!O$5:O$359,Продажи!$D$5:$D$359,Конструкторы!$B302,Продажи!$C$5:$C$359,Конструкторы!$A302)</f>
        <v>0</v>
      </c>
      <c r="S302" s="166">
        <f>SUMIFS(Продажи!P$5:P$359,Продажи!$D$5:$D$359,Конструкторы!$B302,Продажи!$C$5:$C$359,Конструкторы!$A302)</f>
        <v>0</v>
      </c>
      <c r="T302" s="166">
        <f>SUMIFS(Продажи!Q$5:Q$359,Продажи!$D$5:$D$359,Конструкторы!$B302,Продажи!$C$5:$C$359,Конструкторы!$A302)</f>
        <v>0</v>
      </c>
    </row>
    <row r="303" spans="1:20" ht="15.75" hidden="1" x14ac:dyDescent="0.25">
      <c r="A303" s="166" t="s">
        <v>397</v>
      </c>
      <c r="B303" s="167" t="s">
        <v>144</v>
      </c>
      <c r="C303" s="129" t="s">
        <v>64</v>
      </c>
      <c r="D303" s="149"/>
      <c r="E303" s="153" t="s">
        <v>68</v>
      </c>
      <c r="F303" s="156">
        <f>(0.594*103)/100</f>
        <v>0.61181999999999992</v>
      </c>
      <c r="G303" s="156">
        <v>1.7819999999999947E-2</v>
      </c>
      <c r="H303" s="156">
        <f>F303+G303</f>
        <v>0.62963999999999987</v>
      </c>
      <c r="I303" s="166">
        <f>SUMIFS(Продажи!F$5:F$359,Продажи!$D$5:$D$359,Конструкторы!$B303,Продажи!$C$5:$C$359,Конструкторы!$A303)</f>
        <v>0</v>
      </c>
      <c r="J303" s="166">
        <f>SUMIFS(Продажи!G$5:G$359,Продажи!$D$5:$D$359,Конструкторы!$B303,Продажи!$C$5:$C$359,Конструкторы!$A303)</f>
        <v>0</v>
      </c>
      <c r="K303" s="166">
        <f>SUMIFS(Продажи!H$5:H$359,Продажи!$D$5:$D$359,Конструкторы!$B303,Продажи!$C$5:$C$359,Конструкторы!$A303)</f>
        <v>0</v>
      </c>
      <c r="L303" s="166">
        <f>SUMIFS(Продажи!I$5:I$359,Продажи!$D$5:$D$359,Конструкторы!$B303,Продажи!$C$5:$C$359,Конструкторы!$A303)</f>
        <v>0</v>
      </c>
      <c r="M303" s="166">
        <f>SUMIFS(Продажи!J$5:J$359,Продажи!$D$5:$D$359,Конструкторы!$B303,Продажи!$C$5:$C$359,Конструкторы!$A303)</f>
        <v>0</v>
      </c>
      <c r="N303" s="166">
        <f>SUMIFS(Продажи!K$5:K$359,Продажи!$D$5:$D$359,Конструкторы!$B303,Продажи!$C$5:$C$359,Конструкторы!$A303)</f>
        <v>0</v>
      </c>
      <c r="O303" s="166">
        <f>SUMIFS(Продажи!L$5:L$359,Продажи!$D$5:$D$359,Конструкторы!$B303,Продажи!$C$5:$C$359,Конструкторы!$A303)</f>
        <v>0</v>
      </c>
      <c r="P303" s="166">
        <f>SUMIFS(Продажи!M$5:M$359,Продажи!$D$5:$D$359,Конструкторы!$B303,Продажи!$C$5:$C$359,Конструкторы!$A303)</f>
        <v>0</v>
      </c>
      <c r="Q303" s="166">
        <f>SUMIFS(Продажи!N$5:N$359,Продажи!$D$5:$D$359,Конструкторы!$B303,Продажи!$C$5:$C$359,Конструкторы!$A303)</f>
        <v>0</v>
      </c>
      <c r="R303" s="166">
        <f>SUMIFS(Продажи!O$5:O$359,Продажи!$D$5:$D$359,Конструкторы!$B303,Продажи!$C$5:$C$359,Конструкторы!$A303)</f>
        <v>0</v>
      </c>
      <c r="S303" s="166">
        <f>SUMIFS(Продажи!P$5:P$359,Продажи!$D$5:$D$359,Конструкторы!$B303,Продажи!$C$5:$C$359,Конструкторы!$A303)</f>
        <v>0</v>
      </c>
      <c r="T303" s="166">
        <f>SUMIFS(Продажи!Q$5:Q$359,Продажи!$D$5:$D$359,Конструкторы!$B303,Продажи!$C$5:$C$359,Конструкторы!$A303)</f>
        <v>0</v>
      </c>
    </row>
    <row r="304" spans="1:20" ht="15.75" hidden="1" x14ac:dyDescent="0.25">
      <c r="A304" s="166" t="s">
        <v>397</v>
      </c>
      <c r="B304" s="167" t="s">
        <v>144</v>
      </c>
      <c r="C304" s="129" t="s">
        <v>60</v>
      </c>
      <c r="D304" s="149"/>
      <c r="E304" s="153" t="s">
        <v>68</v>
      </c>
      <c r="F304" s="156">
        <f>(1.072*103)/100</f>
        <v>1.10416</v>
      </c>
      <c r="G304" s="156">
        <v>3.2159999999999966E-2</v>
      </c>
      <c r="H304" s="156">
        <f>F304+G304</f>
        <v>1.13632</v>
      </c>
      <c r="I304" s="166">
        <f>SUMIFS(Продажи!F$5:F$359,Продажи!$D$5:$D$359,Конструкторы!$B304,Продажи!$C$5:$C$359,Конструкторы!$A304)</f>
        <v>0</v>
      </c>
      <c r="J304" s="166">
        <f>SUMIFS(Продажи!G$5:G$359,Продажи!$D$5:$D$359,Конструкторы!$B304,Продажи!$C$5:$C$359,Конструкторы!$A304)</f>
        <v>0</v>
      </c>
      <c r="K304" s="166">
        <f>SUMIFS(Продажи!H$5:H$359,Продажи!$D$5:$D$359,Конструкторы!$B304,Продажи!$C$5:$C$359,Конструкторы!$A304)</f>
        <v>0</v>
      </c>
      <c r="L304" s="166">
        <f>SUMIFS(Продажи!I$5:I$359,Продажи!$D$5:$D$359,Конструкторы!$B304,Продажи!$C$5:$C$359,Конструкторы!$A304)</f>
        <v>0</v>
      </c>
      <c r="M304" s="166">
        <f>SUMIFS(Продажи!J$5:J$359,Продажи!$D$5:$D$359,Конструкторы!$B304,Продажи!$C$5:$C$359,Конструкторы!$A304)</f>
        <v>0</v>
      </c>
      <c r="N304" s="166">
        <f>SUMIFS(Продажи!K$5:K$359,Продажи!$D$5:$D$359,Конструкторы!$B304,Продажи!$C$5:$C$359,Конструкторы!$A304)</f>
        <v>0</v>
      </c>
      <c r="O304" s="166">
        <f>SUMIFS(Продажи!L$5:L$359,Продажи!$D$5:$D$359,Конструкторы!$B304,Продажи!$C$5:$C$359,Конструкторы!$A304)</f>
        <v>0</v>
      </c>
      <c r="P304" s="166">
        <f>SUMIFS(Продажи!M$5:M$359,Продажи!$D$5:$D$359,Конструкторы!$B304,Продажи!$C$5:$C$359,Конструкторы!$A304)</f>
        <v>0</v>
      </c>
      <c r="Q304" s="166">
        <f>SUMIFS(Продажи!N$5:N$359,Продажи!$D$5:$D$359,Конструкторы!$B304,Продажи!$C$5:$C$359,Конструкторы!$A304)</f>
        <v>0</v>
      </c>
      <c r="R304" s="166">
        <f>SUMIFS(Продажи!O$5:O$359,Продажи!$D$5:$D$359,Конструкторы!$B304,Продажи!$C$5:$C$359,Конструкторы!$A304)</f>
        <v>0</v>
      </c>
      <c r="S304" s="166">
        <f>SUMIFS(Продажи!P$5:P$359,Продажи!$D$5:$D$359,Конструкторы!$B304,Продажи!$C$5:$C$359,Конструкторы!$A304)</f>
        <v>0</v>
      </c>
      <c r="T304" s="166">
        <f>SUMIFS(Продажи!Q$5:Q$359,Продажи!$D$5:$D$359,Конструкторы!$B304,Продажи!$C$5:$C$359,Конструкторы!$A304)</f>
        <v>0</v>
      </c>
    </row>
    <row r="305" spans="1:20" ht="15.75" hidden="1" x14ac:dyDescent="0.25">
      <c r="A305" s="166" t="s">
        <v>397</v>
      </c>
      <c r="B305" s="167" t="s">
        <v>144</v>
      </c>
      <c r="C305" s="33" t="s">
        <v>72</v>
      </c>
      <c r="D305" s="149"/>
      <c r="E305" s="153" t="s">
        <v>70</v>
      </c>
      <c r="F305" s="148">
        <v>4</v>
      </c>
      <c r="G305" s="156" t="s">
        <v>71</v>
      </c>
      <c r="H305" s="156">
        <f>F305</f>
        <v>4</v>
      </c>
      <c r="I305" s="166">
        <f>SUMIFS(Продажи!F$5:F$359,Продажи!$D$5:$D$359,Конструкторы!$B305,Продажи!$C$5:$C$359,Конструкторы!$A305)</f>
        <v>0</v>
      </c>
      <c r="J305" s="166">
        <f>SUMIFS(Продажи!G$5:G$359,Продажи!$D$5:$D$359,Конструкторы!$B305,Продажи!$C$5:$C$359,Конструкторы!$A305)</f>
        <v>0</v>
      </c>
      <c r="K305" s="166">
        <f>SUMIFS(Продажи!H$5:H$359,Продажи!$D$5:$D$359,Конструкторы!$B305,Продажи!$C$5:$C$359,Конструкторы!$A305)</f>
        <v>0</v>
      </c>
      <c r="L305" s="166">
        <f>SUMIFS(Продажи!I$5:I$359,Продажи!$D$5:$D$359,Конструкторы!$B305,Продажи!$C$5:$C$359,Конструкторы!$A305)</f>
        <v>0</v>
      </c>
      <c r="M305" s="166">
        <f>SUMIFS(Продажи!J$5:J$359,Продажи!$D$5:$D$359,Конструкторы!$B305,Продажи!$C$5:$C$359,Конструкторы!$A305)</f>
        <v>0</v>
      </c>
      <c r="N305" s="166">
        <f>SUMIFS(Продажи!K$5:K$359,Продажи!$D$5:$D$359,Конструкторы!$B305,Продажи!$C$5:$C$359,Конструкторы!$A305)</f>
        <v>0</v>
      </c>
      <c r="O305" s="166">
        <f>SUMIFS(Продажи!L$5:L$359,Продажи!$D$5:$D$359,Конструкторы!$B305,Продажи!$C$5:$C$359,Конструкторы!$A305)</f>
        <v>0</v>
      </c>
      <c r="P305" s="166">
        <f>SUMIFS(Продажи!M$5:M$359,Продажи!$D$5:$D$359,Конструкторы!$B305,Продажи!$C$5:$C$359,Конструкторы!$A305)</f>
        <v>0</v>
      </c>
      <c r="Q305" s="166">
        <f>SUMIFS(Продажи!N$5:N$359,Продажи!$D$5:$D$359,Конструкторы!$B305,Продажи!$C$5:$C$359,Конструкторы!$A305)</f>
        <v>0</v>
      </c>
      <c r="R305" s="166">
        <f>SUMIFS(Продажи!O$5:O$359,Продажи!$D$5:$D$359,Конструкторы!$B305,Продажи!$C$5:$C$359,Конструкторы!$A305)</f>
        <v>0</v>
      </c>
      <c r="S305" s="166">
        <f>SUMIFS(Продажи!P$5:P$359,Продажи!$D$5:$D$359,Конструкторы!$B305,Продажи!$C$5:$C$359,Конструкторы!$A305)</f>
        <v>0</v>
      </c>
      <c r="T305" s="166">
        <f>SUMIFS(Продажи!Q$5:Q$359,Продажи!$D$5:$D$359,Конструкторы!$B305,Продажи!$C$5:$C$359,Конструкторы!$A305)</f>
        <v>0</v>
      </c>
    </row>
    <row r="306" spans="1:20" ht="15.75" hidden="1" x14ac:dyDescent="0.25">
      <c r="A306" s="166" t="s">
        <v>397</v>
      </c>
      <c r="B306" s="167" t="s">
        <v>144</v>
      </c>
      <c r="C306" s="33" t="s">
        <v>76</v>
      </c>
      <c r="D306" s="149"/>
      <c r="E306" s="153" t="s">
        <v>70</v>
      </c>
      <c r="F306" s="148">
        <v>12</v>
      </c>
      <c r="G306" s="156" t="s">
        <v>71</v>
      </c>
      <c r="H306" s="156">
        <f>F306</f>
        <v>12</v>
      </c>
      <c r="I306" s="166">
        <f>SUMIFS(Продажи!F$5:F$359,Продажи!$D$5:$D$359,Конструкторы!$B306,Продажи!$C$5:$C$359,Конструкторы!$A306)</f>
        <v>0</v>
      </c>
      <c r="J306" s="166">
        <f>SUMIFS(Продажи!G$5:G$359,Продажи!$D$5:$D$359,Конструкторы!$B306,Продажи!$C$5:$C$359,Конструкторы!$A306)</f>
        <v>0</v>
      </c>
      <c r="K306" s="166">
        <f>SUMIFS(Продажи!H$5:H$359,Продажи!$D$5:$D$359,Конструкторы!$B306,Продажи!$C$5:$C$359,Конструкторы!$A306)</f>
        <v>0</v>
      </c>
      <c r="L306" s="166">
        <f>SUMIFS(Продажи!I$5:I$359,Продажи!$D$5:$D$359,Конструкторы!$B306,Продажи!$C$5:$C$359,Конструкторы!$A306)</f>
        <v>0</v>
      </c>
      <c r="M306" s="166">
        <f>SUMIFS(Продажи!J$5:J$359,Продажи!$D$5:$D$359,Конструкторы!$B306,Продажи!$C$5:$C$359,Конструкторы!$A306)</f>
        <v>0</v>
      </c>
      <c r="N306" s="166">
        <f>SUMIFS(Продажи!K$5:K$359,Продажи!$D$5:$D$359,Конструкторы!$B306,Продажи!$C$5:$C$359,Конструкторы!$A306)</f>
        <v>0</v>
      </c>
      <c r="O306" s="166">
        <f>SUMIFS(Продажи!L$5:L$359,Продажи!$D$5:$D$359,Конструкторы!$B306,Продажи!$C$5:$C$359,Конструкторы!$A306)</f>
        <v>0</v>
      </c>
      <c r="P306" s="166">
        <f>SUMIFS(Продажи!M$5:M$359,Продажи!$D$5:$D$359,Конструкторы!$B306,Продажи!$C$5:$C$359,Конструкторы!$A306)</f>
        <v>0</v>
      </c>
      <c r="Q306" s="166">
        <f>SUMIFS(Продажи!N$5:N$359,Продажи!$D$5:$D$359,Конструкторы!$B306,Продажи!$C$5:$C$359,Конструкторы!$A306)</f>
        <v>0</v>
      </c>
      <c r="R306" s="166">
        <f>SUMIFS(Продажи!O$5:O$359,Продажи!$D$5:$D$359,Конструкторы!$B306,Продажи!$C$5:$C$359,Конструкторы!$A306)</f>
        <v>0</v>
      </c>
      <c r="S306" s="166">
        <f>SUMIFS(Продажи!P$5:P$359,Продажи!$D$5:$D$359,Конструкторы!$B306,Продажи!$C$5:$C$359,Конструкторы!$A306)</f>
        <v>0</v>
      </c>
      <c r="T306" s="166">
        <f>SUMIFS(Продажи!Q$5:Q$359,Продажи!$D$5:$D$359,Конструкторы!$B306,Продажи!$C$5:$C$359,Конструкторы!$A306)</f>
        <v>0</v>
      </c>
    </row>
    <row r="307" spans="1:20" ht="15.75" hidden="1" x14ac:dyDescent="0.25">
      <c r="A307" s="166" t="s">
        <v>397</v>
      </c>
      <c r="B307" s="167" t="s">
        <v>145</v>
      </c>
      <c r="C307" s="129" t="s">
        <v>64</v>
      </c>
      <c r="D307" s="149"/>
      <c r="E307" s="153" t="s">
        <v>68</v>
      </c>
      <c r="F307" s="156">
        <f>(1.794*103)/100</f>
        <v>1.84782</v>
      </c>
      <c r="G307" s="156">
        <v>5.3819999999999979E-2</v>
      </c>
      <c r="H307" s="156">
        <f>F307+G307</f>
        <v>1.90164</v>
      </c>
      <c r="I307" s="166">
        <f>SUMIFS(Продажи!F$5:F$359,Продажи!$D$5:$D$359,Конструкторы!$B307,Продажи!$C$5:$C$359,Конструкторы!$A307)</f>
        <v>0</v>
      </c>
      <c r="J307" s="166">
        <f>SUMIFS(Продажи!G$5:G$359,Продажи!$D$5:$D$359,Конструкторы!$B307,Продажи!$C$5:$C$359,Конструкторы!$A307)</f>
        <v>0</v>
      </c>
      <c r="K307" s="166">
        <f>SUMIFS(Продажи!H$5:H$359,Продажи!$D$5:$D$359,Конструкторы!$B307,Продажи!$C$5:$C$359,Конструкторы!$A307)</f>
        <v>0</v>
      </c>
      <c r="L307" s="166">
        <f>SUMIFS(Продажи!I$5:I$359,Продажи!$D$5:$D$359,Конструкторы!$B307,Продажи!$C$5:$C$359,Конструкторы!$A307)</f>
        <v>0</v>
      </c>
      <c r="M307" s="166">
        <f>SUMIFS(Продажи!J$5:J$359,Продажи!$D$5:$D$359,Конструкторы!$B307,Продажи!$C$5:$C$359,Конструкторы!$A307)</f>
        <v>0</v>
      </c>
      <c r="N307" s="166">
        <f>SUMIFS(Продажи!K$5:K$359,Продажи!$D$5:$D$359,Конструкторы!$B307,Продажи!$C$5:$C$359,Конструкторы!$A307)</f>
        <v>0</v>
      </c>
      <c r="O307" s="166">
        <f>SUMIFS(Продажи!L$5:L$359,Продажи!$D$5:$D$359,Конструкторы!$B307,Продажи!$C$5:$C$359,Конструкторы!$A307)</f>
        <v>0</v>
      </c>
      <c r="P307" s="166">
        <f>SUMIFS(Продажи!M$5:M$359,Продажи!$D$5:$D$359,Конструкторы!$B307,Продажи!$C$5:$C$359,Конструкторы!$A307)</f>
        <v>0</v>
      </c>
      <c r="Q307" s="166">
        <f>SUMIFS(Продажи!N$5:N$359,Продажи!$D$5:$D$359,Конструкторы!$B307,Продажи!$C$5:$C$359,Конструкторы!$A307)</f>
        <v>0</v>
      </c>
      <c r="R307" s="166">
        <f>SUMIFS(Продажи!O$5:O$359,Продажи!$D$5:$D$359,Конструкторы!$B307,Продажи!$C$5:$C$359,Конструкторы!$A307)</f>
        <v>0</v>
      </c>
      <c r="S307" s="166">
        <f>SUMIFS(Продажи!P$5:P$359,Продажи!$D$5:$D$359,Конструкторы!$B307,Продажи!$C$5:$C$359,Конструкторы!$A307)</f>
        <v>0</v>
      </c>
      <c r="T307" s="166">
        <f>SUMIFS(Продажи!Q$5:Q$359,Продажи!$D$5:$D$359,Конструкторы!$B307,Продажи!$C$5:$C$359,Конструкторы!$A307)</f>
        <v>0</v>
      </c>
    </row>
    <row r="308" spans="1:20" ht="15.75" hidden="1" x14ac:dyDescent="0.25">
      <c r="A308" s="166" t="s">
        <v>397</v>
      </c>
      <c r="B308" s="167" t="s">
        <v>145</v>
      </c>
      <c r="C308" s="129" t="s">
        <v>60</v>
      </c>
      <c r="D308" s="149"/>
      <c r="E308" s="153" t="s">
        <v>68</v>
      </c>
      <c r="F308" s="156">
        <f>(1.072*103)/100</f>
        <v>1.10416</v>
      </c>
      <c r="G308" s="156">
        <v>3.2159999999999966E-2</v>
      </c>
      <c r="H308" s="156">
        <f>F308+G308</f>
        <v>1.13632</v>
      </c>
      <c r="I308" s="166">
        <f>SUMIFS(Продажи!F$5:F$359,Продажи!$D$5:$D$359,Конструкторы!$B308,Продажи!$C$5:$C$359,Конструкторы!$A308)</f>
        <v>0</v>
      </c>
      <c r="J308" s="166">
        <f>SUMIFS(Продажи!G$5:G$359,Продажи!$D$5:$D$359,Конструкторы!$B308,Продажи!$C$5:$C$359,Конструкторы!$A308)</f>
        <v>0</v>
      </c>
      <c r="K308" s="166">
        <f>SUMIFS(Продажи!H$5:H$359,Продажи!$D$5:$D$359,Конструкторы!$B308,Продажи!$C$5:$C$359,Конструкторы!$A308)</f>
        <v>0</v>
      </c>
      <c r="L308" s="166">
        <f>SUMIFS(Продажи!I$5:I$359,Продажи!$D$5:$D$359,Конструкторы!$B308,Продажи!$C$5:$C$359,Конструкторы!$A308)</f>
        <v>0</v>
      </c>
      <c r="M308" s="166">
        <f>SUMIFS(Продажи!J$5:J$359,Продажи!$D$5:$D$359,Конструкторы!$B308,Продажи!$C$5:$C$359,Конструкторы!$A308)</f>
        <v>0</v>
      </c>
      <c r="N308" s="166">
        <f>SUMIFS(Продажи!K$5:K$359,Продажи!$D$5:$D$359,Конструкторы!$B308,Продажи!$C$5:$C$359,Конструкторы!$A308)</f>
        <v>0</v>
      </c>
      <c r="O308" s="166">
        <f>SUMIFS(Продажи!L$5:L$359,Продажи!$D$5:$D$359,Конструкторы!$B308,Продажи!$C$5:$C$359,Конструкторы!$A308)</f>
        <v>0</v>
      </c>
      <c r="P308" s="166">
        <f>SUMIFS(Продажи!M$5:M$359,Продажи!$D$5:$D$359,Конструкторы!$B308,Продажи!$C$5:$C$359,Конструкторы!$A308)</f>
        <v>0</v>
      </c>
      <c r="Q308" s="166">
        <f>SUMIFS(Продажи!N$5:N$359,Продажи!$D$5:$D$359,Конструкторы!$B308,Продажи!$C$5:$C$359,Конструкторы!$A308)</f>
        <v>0</v>
      </c>
      <c r="R308" s="166">
        <f>SUMIFS(Продажи!O$5:O$359,Продажи!$D$5:$D$359,Конструкторы!$B308,Продажи!$C$5:$C$359,Конструкторы!$A308)</f>
        <v>0</v>
      </c>
      <c r="S308" s="166">
        <f>SUMIFS(Продажи!P$5:P$359,Продажи!$D$5:$D$359,Конструкторы!$B308,Продажи!$C$5:$C$359,Конструкторы!$A308)</f>
        <v>0</v>
      </c>
      <c r="T308" s="166">
        <f>SUMIFS(Продажи!Q$5:Q$359,Продажи!$D$5:$D$359,Конструкторы!$B308,Продажи!$C$5:$C$359,Конструкторы!$A308)</f>
        <v>0</v>
      </c>
    </row>
    <row r="309" spans="1:20" ht="15.75" hidden="1" x14ac:dyDescent="0.25">
      <c r="A309" s="166" t="s">
        <v>397</v>
      </c>
      <c r="B309" s="167" t="s">
        <v>145</v>
      </c>
      <c r="C309" s="33" t="s">
        <v>72</v>
      </c>
      <c r="D309" s="149"/>
      <c r="E309" s="153" t="s">
        <v>70</v>
      </c>
      <c r="F309" s="148">
        <v>4</v>
      </c>
      <c r="G309" s="156" t="s">
        <v>71</v>
      </c>
      <c r="H309" s="156">
        <f>F309</f>
        <v>4</v>
      </c>
      <c r="I309" s="166">
        <f>SUMIFS(Продажи!F$5:F$359,Продажи!$D$5:$D$359,Конструкторы!$B309,Продажи!$C$5:$C$359,Конструкторы!$A309)</f>
        <v>0</v>
      </c>
      <c r="J309" s="166">
        <f>SUMIFS(Продажи!G$5:G$359,Продажи!$D$5:$D$359,Конструкторы!$B309,Продажи!$C$5:$C$359,Конструкторы!$A309)</f>
        <v>0</v>
      </c>
      <c r="K309" s="166">
        <f>SUMIFS(Продажи!H$5:H$359,Продажи!$D$5:$D$359,Конструкторы!$B309,Продажи!$C$5:$C$359,Конструкторы!$A309)</f>
        <v>0</v>
      </c>
      <c r="L309" s="166">
        <f>SUMIFS(Продажи!I$5:I$359,Продажи!$D$5:$D$359,Конструкторы!$B309,Продажи!$C$5:$C$359,Конструкторы!$A309)</f>
        <v>0</v>
      </c>
      <c r="M309" s="166">
        <f>SUMIFS(Продажи!J$5:J$359,Продажи!$D$5:$D$359,Конструкторы!$B309,Продажи!$C$5:$C$359,Конструкторы!$A309)</f>
        <v>0</v>
      </c>
      <c r="N309" s="166">
        <f>SUMIFS(Продажи!K$5:K$359,Продажи!$D$5:$D$359,Конструкторы!$B309,Продажи!$C$5:$C$359,Конструкторы!$A309)</f>
        <v>0</v>
      </c>
      <c r="O309" s="166">
        <f>SUMIFS(Продажи!L$5:L$359,Продажи!$D$5:$D$359,Конструкторы!$B309,Продажи!$C$5:$C$359,Конструкторы!$A309)</f>
        <v>0</v>
      </c>
      <c r="P309" s="166">
        <f>SUMIFS(Продажи!M$5:M$359,Продажи!$D$5:$D$359,Конструкторы!$B309,Продажи!$C$5:$C$359,Конструкторы!$A309)</f>
        <v>0</v>
      </c>
      <c r="Q309" s="166">
        <f>SUMIFS(Продажи!N$5:N$359,Продажи!$D$5:$D$359,Конструкторы!$B309,Продажи!$C$5:$C$359,Конструкторы!$A309)</f>
        <v>0</v>
      </c>
      <c r="R309" s="166">
        <f>SUMIFS(Продажи!O$5:O$359,Продажи!$D$5:$D$359,Конструкторы!$B309,Продажи!$C$5:$C$359,Конструкторы!$A309)</f>
        <v>0</v>
      </c>
      <c r="S309" s="166">
        <f>SUMIFS(Продажи!P$5:P$359,Продажи!$D$5:$D$359,Конструкторы!$B309,Продажи!$C$5:$C$359,Конструкторы!$A309)</f>
        <v>0</v>
      </c>
      <c r="T309" s="166">
        <f>SUMIFS(Продажи!Q$5:Q$359,Продажи!$D$5:$D$359,Конструкторы!$B309,Продажи!$C$5:$C$359,Конструкторы!$A309)</f>
        <v>0</v>
      </c>
    </row>
    <row r="310" spans="1:20" ht="15.75" hidden="1" x14ac:dyDescent="0.25">
      <c r="A310" s="166" t="s">
        <v>397</v>
      </c>
      <c r="B310" s="167" t="s">
        <v>145</v>
      </c>
      <c r="C310" s="33" t="s">
        <v>76</v>
      </c>
      <c r="D310" s="149"/>
      <c r="E310" s="153" t="s">
        <v>70</v>
      </c>
      <c r="F310" s="148">
        <v>12</v>
      </c>
      <c r="G310" s="156" t="s">
        <v>71</v>
      </c>
      <c r="H310" s="156">
        <f>F310</f>
        <v>12</v>
      </c>
      <c r="I310" s="166">
        <f>SUMIFS(Продажи!F$5:F$359,Продажи!$D$5:$D$359,Конструкторы!$B310,Продажи!$C$5:$C$359,Конструкторы!$A310)</f>
        <v>0</v>
      </c>
      <c r="J310" s="166">
        <f>SUMIFS(Продажи!G$5:G$359,Продажи!$D$5:$D$359,Конструкторы!$B310,Продажи!$C$5:$C$359,Конструкторы!$A310)</f>
        <v>0</v>
      </c>
      <c r="K310" s="166">
        <f>SUMIFS(Продажи!H$5:H$359,Продажи!$D$5:$D$359,Конструкторы!$B310,Продажи!$C$5:$C$359,Конструкторы!$A310)</f>
        <v>0</v>
      </c>
      <c r="L310" s="166">
        <f>SUMIFS(Продажи!I$5:I$359,Продажи!$D$5:$D$359,Конструкторы!$B310,Продажи!$C$5:$C$359,Конструкторы!$A310)</f>
        <v>0</v>
      </c>
      <c r="M310" s="166">
        <f>SUMIFS(Продажи!J$5:J$359,Продажи!$D$5:$D$359,Конструкторы!$B310,Продажи!$C$5:$C$359,Конструкторы!$A310)</f>
        <v>0</v>
      </c>
      <c r="N310" s="166">
        <f>SUMIFS(Продажи!K$5:K$359,Продажи!$D$5:$D$359,Конструкторы!$B310,Продажи!$C$5:$C$359,Конструкторы!$A310)</f>
        <v>0</v>
      </c>
      <c r="O310" s="166">
        <f>SUMIFS(Продажи!L$5:L$359,Продажи!$D$5:$D$359,Конструкторы!$B310,Продажи!$C$5:$C$359,Конструкторы!$A310)</f>
        <v>0</v>
      </c>
      <c r="P310" s="166">
        <f>SUMIFS(Продажи!M$5:M$359,Продажи!$D$5:$D$359,Конструкторы!$B310,Продажи!$C$5:$C$359,Конструкторы!$A310)</f>
        <v>0</v>
      </c>
      <c r="Q310" s="166">
        <f>SUMIFS(Продажи!N$5:N$359,Продажи!$D$5:$D$359,Конструкторы!$B310,Продажи!$C$5:$C$359,Конструкторы!$A310)</f>
        <v>0</v>
      </c>
      <c r="R310" s="166">
        <f>SUMIFS(Продажи!O$5:O$359,Продажи!$D$5:$D$359,Конструкторы!$B310,Продажи!$C$5:$C$359,Конструкторы!$A310)</f>
        <v>0</v>
      </c>
      <c r="S310" s="166">
        <f>SUMIFS(Продажи!P$5:P$359,Продажи!$D$5:$D$359,Конструкторы!$B310,Продажи!$C$5:$C$359,Конструкторы!$A310)</f>
        <v>0</v>
      </c>
      <c r="T310" s="166">
        <f>SUMIFS(Продажи!Q$5:Q$359,Продажи!$D$5:$D$359,Конструкторы!$B310,Продажи!$C$5:$C$359,Конструкторы!$A310)</f>
        <v>0</v>
      </c>
    </row>
    <row r="311" spans="1:20" ht="15.75" hidden="1" x14ac:dyDescent="0.25">
      <c r="A311" s="166" t="s">
        <v>397</v>
      </c>
      <c r="B311" s="167" t="s">
        <v>181</v>
      </c>
      <c r="C311" s="129" t="s">
        <v>61</v>
      </c>
      <c r="D311" s="149"/>
      <c r="E311" s="153" t="s">
        <v>68</v>
      </c>
      <c r="F311" s="156">
        <f>(0.25*103)/100</f>
        <v>0.25750000000000001</v>
      </c>
      <c r="G311" s="156">
        <v>7.5000000000000067E-3</v>
      </c>
      <c r="H311" s="156">
        <f>F311+G311</f>
        <v>0.26500000000000001</v>
      </c>
      <c r="I311" s="166">
        <f>SUMIFS(Продажи!F$5:F$359,Продажи!$D$5:$D$359,Конструкторы!$B311,Продажи!$C$5:$C$359,Конструкторы!$A311)</f>
        <v>0</v>
      </c>
      <c r="J311" s="166">
        <f>SUMIFS(Продажи!G$5:G$359,Продажи!$D$5:$D$359,Конструкторы!$B311,Продажи!$C$5:$C$359,Конструкторы!$A311)</f>
        <v>0</v>
      </c>
      <c r="K311" s="166">
        <f>SUMIFS(Продажи!H$5:H$359,Продажи!$D$5:$D$359,Конструкторы!$B311,Продажи!$C$5:$C$359,Конструкторы!$A311)</f>
        <v>0</v>
      </c>
      <c r="L311" s="166">
        <f>SUMIFS(Продажи!I$5:I$359,Продажи!$D$5:$D$359,Конструкторы!$B311,Продажи!$C$5:$C$359,Конструкторы!$A311)</f>
        <v>0</v>
      </c>
      <c r="M311" s="166">
        <f>SUMIFS(Продажи!J$5:J$359,Продажи!$D$5:$D$359,Конструкторы!$B311,Продажи!$C$5:$C$359,Конструкторы!$A311)</f>
        <v>0</v>
      </c>
      <c r="N311" s="166">
        <f>SUMIFS(Продажи!K$5:K$359,Продажи!$D$5:$D$359,Конструкторы!$B311,Продажи!$C$5:$C$359,Конструкторы!$A311)</f>
        <v>0</v>
      </c>
      <c r="O311" s="166">
        <f>SUMIFS(Продажи!L$5:L$359,Продажи!$D$5:$D$359,Конструкторы!$B311,Продажи!$C$5:$C$359,Конструкторы!$A311)</f>
        <v>0</v>
      </c>
      <c r="P311" s="166">
        <f>SUMIFS(Продажи!M$5:M$359,Продажи!$D$5:$D$359,Конструкторы!$B311,Продажи!$C$5:$C$359,Конструкторы!$A311)</f>
        <v>0</v>
      </c>
      <c r="Q311" s="166">
        <f>SUMIFS(Продажи!N$5:N$359,Продажи!$D$5:$D$359,Конструкторы!$B311,Продажи!$C$5:$C$359,Конструкторы!$A311)</f>
        <v>0</v>
      </c>
      <c r="R311" s="166">
        <f>SUMIFS(Продажи!O$5:O$359,Продажи!$D$5:$D$359,Конструкторы!$B311,Продажи!$C$5:$C$359,Конструкторы!$A311)</f>
        <v>0</v>
      </c>
      <c r="S311" s="166">
        <f>SUMIFS(Продажи!P$5:P$359,Продажи!$D$5:$D$359,Конструкторы!$B311,Продажи!$C$5:$C$359,Конструкторы!$A311)</f>
        <v>0</v>
      </c>
      <c r="T311" s="166">
        <f>SUMIFS(Продажи!Q$5:Q$359,Продажи!$D$5:$D$359,Конструкторы!$B311,Продажи!$C$5:$C$359,Конструкторы!$A311)</f>
        <v>0</v>
      </c>
    </row>
    <row r="312" spans="1:20" ht="15.75" hidden="1" x14ac:dyDescent="0.25">
      <c r="A312" s="166" t="s">
        <v>397</v>
      </c>
      <c r="B312" s="167" t="s">
        <v>181</v>
      </c>
      <c r="C312" s="129" t="s">
        <v>60</v>
      </c>
      <c r="D312" s="149"/>
      <c r="E312" s="153" t="s">
        <v>68</v>
      </c>
      <c r="F312" s="156">
        <f>(0.25*103)/100</f>
        <v>0.25750000000000001</v>
      </c>
      <c r="G312" s="156">
        <v>7.5000000000000067E-3</v>
      </c>
      <c r="H312" s="156">
        <f>F312+G312</f>
        <v>0.26500000000000001</v>
      </c>
      <c r="I312" s="166">
        <f>SUMIFS(Продажи!F$5:F$359,Продажи!$D$5:$D$359,Конструкторы!$B312,Продажи!$C$5:$C$359,Конструкторы!$A312)</f>
        <v>0</v>
      </c>
      <c r="J312" s="166">
        <f>SUMIFS(Продажи!G$5:G$359,Продажи!$D$5:$D$359,Конструкторы!$B312,Продажи!$C$5:$C$359,Конструкторы!$A312)</f>
        <v>0</v>
      </c>
      <c r="K312" s="166">
        <f>SUMIFS(Продажи!H$5:H$359,Продажи!$D$5:$D$359,Конструкторы!$B312,Продажи!$C$5:$C$359,Конструкторы!$A312)</f>
        <v>0</v>
      </c>
      <c r="L312" s="166">
        <f>SUMIFS(Продажи!I$5:I$359,Продажи!$D$5:$D$359,Конструкторы!$B312,Продажи!$C$5:$C$359,Конструкторы!$A312)</f>
        <v>0</v>
      </c>
      <c r="M312" s="166">
        <f>SUMIFS(Продажи!J$5:J$359,Продажи!$D$5:$D$359,Конструкторы!$B312,Продажи!$C$5:$C$359,Конструкторы!$A312)</f>
        <v>0</v>
      </c>
      <c r="N312" s="166">
        <f>SUMIFS(Продажи!K$5:K$359,Продажи!$D$5:$D$359,Конструкторы!$B312,Продажи!$C$5:$C$359,Конструкторы!$A312)</f>
        <v>0</v>
      </c>
      <c r="O312" s="166">
        <f>SUMIFS(Продажи!L$5:L$359,Продажи!$D$5:$D$359,Конструкторы!$B312,Продажи!$C$5:$C$359,Конструкторы!$A312)</f>
        <v>0</v>
      </c>
      <c r="P312" s="166">
        <f>SUMIFS(Продажи!M$5:M$359,Продажи!$D$5:$D$359,Конструкторы!$B312,Продажи!$C$5:$C$359,Конструкторы!$A312)</f>
        <v>0</v>
      </c>
      <c r="Q312" s="166">
        <f>SUMIFS(Продажи!N$5:N$359,Продажи!$D$5:$D$359,Конструкторы!$B312,Продажи!$C$5:$C$359,Конструкторы!$A312)</f>
        <v>0</v>
      </c>
      <c r="R312" s="166">
        <f>SUMIFS(Продажи!O$5:O$359,Продажи!$D$5:$D$359,Конструкторы!$B312,Продажи!$C$5:$C$359,Конструкторы!$A312)</f>
        <v>0</v>
      </c>
      <c r="S312" s="166">
        <f>SUMIFS(Продажи!P$5:P$359,Продажи!$D$5:$D$359,Конструкторы!$B312,Продажи!$C$5:$C$359,Конструкторы!$A312)</f>
        <v>0</v>
      </c>
      <c r="T312" s="166">
        <f>SUMIFS(Продажи!Q$5:Q$359,Продажи!$D$5:$D$359,Конструкторы!$B312,Продажи!$C$5:$C$359,Конструкторы!$A312)</f>
        <v>0</v>
      </c>
    </row>
    <row r="313" spans="1:20" ht="15.75" hidden="1" x14ac:dyDescent="0.25">
      <c r="A313" s="166" t="s">
        <v>397</v>
      </c>
      <c r="B313" s="167" t="s">
        <v>181</v>
      </c>
      <c r="C313" s="33" t="s">
        <v>76</v>
      </c>
      <c r="D313" s="149"/>
      <c r="E313" s="153" t="s">
        <v>70</v>
      </c>
      <c r="F313" s="148">
        <v>6</v>
      </c>
      <c r="G313" s="156" t="s">
        <v>71</v>
      </c>
      <c r="H313" s="156">
        <f>F313</f>
        <v>6</v>
      </c>
      <c r="I313" s="166">
        <f>SUMIFS(Продажи!F$5:F$359,Продажи!$D$5:$D$359,Конструкторы!$B313,Продажи!$C$5:$C$359,Конструкторы!$A313)</f>
        <v>0</v>
      </c>
      <c r="J313" s="166">
        <f>SUMIFS(Продажи!G$5:G$359,Продажи!$D$5:$D$359,Конструкторы!$B313,Продажи!$C$5:$C$359,Конструкторы!$A313)</f>
        <v>0</v>
      </c>
      <c r="K313" s="166">
        <f>SUMIFS(Продажи!H$5:H$359,Продажи!$D$5:$D$359,Конструкторы!$B313,Продажи!$C$5:$C$359,Конструкторы!$A313)</f>
        <v>0</v>
      </c>
      <c r="L313" s="166">
        <f>SUMIFS(Продажи!I$5:I$359,Продажи!$D$5:$D$359,Конструкторы!$B313,Продажи!$C$5:$C$359,Конструкторы!$A313)</f>
        <v>0</v>
      </c>
      <c r="M313" s="166">
        <f>SUMIFS(Продажи!J$5:J$359,Продажи!$D$5:$D$359,Конструкторы!$B313,Продажи!$C$5:$C$359,Конструкторы!$A313)</f>
        <v>0</v>
      </c>
      <c r="N313" s="166">
        <f>SUMIFS(Продажи!K$5:K$359,Продажи!$D$5:$D$359,Конструкторы!$B313,Продажи!$C$5:$C$359,Конструкторы!$A313)</f>
        <v>0</v>
      </c>
      <c r="O313" s="166">
        <f>SUMIFS(Продажи!L$5:L$359,Продажи!$D$5:$D$359,Конструкторы!$B313,Продажи!$C$5:$C$359,Конструкторы!$A313)</f>
        <v>0</v>
      </c>
      <c r="P313" s="166">
        <f>SUMIFS(Продажи!M$5:M$359,Продажи!$D$5:$D$359,Конструкторы!$B313,Продажи!$C$5:$C$359,Конструкторы!$A313)</f>
        <v>0</v>
      </c>
      <c r="Q313" s="166">
        <f>SUMIFS(Продажи!N$5:N$359,Продажи!$D$5:$D$359,Конструкторы!$B313,Продажи!$C$5:$C$359,Конструкторы!$A313)</f>
        <v>0</v>
      </c>
      <c r="R313" s="166">
        <f>SUMIFS(Продажи!O$5:O$359,Продажи!$D$5:$D$359,Конструкторы!$B313,Продажи!$C$5:$C$359,Конструкторы!$A313)</f>
        <v>0</v>
      </c>
      <c r="S313" s="166">
        <f>SUMIFS(Продажи!P$5:P$359,Продажи!$D$5:$D$359,Конструкторы!$B313,Продажи!$C$5:$C$359,Конструкторы!$A313)</f>
        <v>0</v>
      </c>
      <c r="T313" s="166">
        <f>SUMIFS(Продажи!Q$5:Q$359,Продажи!$D$5:$D$359,Конструкторы!$B313,Продажи!$C$5:$C$359,Конструкторы!$A313)</f>
        <v>0</v>
      </c>
    </row>
    <row r="314" spans="1:20" ht="15.75" hidden="1" x14ac:dyDescent="0.25">
      <c r="A314" s="166" t="s">
        <v>397</v>
      </c>
      <c r="B314" s="167" t="s">
        <v>181</v>
      </c>
      <c r="C314" s="33" t="s">
        <v>75</v>
      </c>
      <c r="D314" s="149"/>
      <c r="E314" s="153" t="s">
        <v>70</v>
      </c>
      <c r="F314" s="148">
        <v>1</v>
      </c>
      <c r="G314" s="156" t="s">
        <v>71</v>
      </c>
      <c r="H314" s="156">
        <f>F314</f>
        <v>1</v>
      </c>
      <c r="I314" s="166">
        <f>SUMIFS(Продажи!F$5:F$359,Продажи!$D$5:$D$359,Конструкторы!$B314,Продажи!$C$5:$C$359,Конструкторы!$A314)</f>
        <v>0</v>
      </c>
      <c r="J314" s="166">
        <f>SUMIFS(Продажи!G$5:G$359,Продажи!$D$5:$D$359,Конструкторы!$B314,Продажи!$C$5:$C$359,Конструкторы!$A314)</f>
        <v>0</v>
      </c>
      <c r="K314" s="166">
        <f>SUMIFS(Продажи!H$5:H$359,Продажи!$D$5:$D$359,Конструкторы!$B314,Продажи!$C$5:$C$359,Конструкторы!$A314)</f>
        <v>0</v>
      </c>
      <c r="L314" s="166">
        <f>SUMIFS(Продажи!I$5:I$359,Продажи!$D$5:$D$359,Конструкторы!$B314,Продажи!$C$5:$C$359,Конструкторы!$A314)</f>
        <v>0</v>
      </c>
      <c r="M314" s="166">
        <f>SUMIFS(Продажи!J$5:J$359,Продажи!$D$5:$D$359,Конструкторы!$B314,Продажи!$C$5:$C$359,Конструкторы!$A314)</f>
        <v>0</v>
      </c>
      <c r="N314" s="166">
        <f>SUMIFS(Продажи!K$5:K$359,Продажи!$D$5:$D$359,Конструкторы!$B314,Продажи!$C$5:$C$359,Конструкторы!$A314)</f>
        <v>0</v>
      </c>
      <c r="O314" s="166">
        <f>SUMIFS(Продажи!L$5:L$359,Продажи!$D$5:$D$359,Конструкторы!$B314,Продажи!$C$5:$C$359,Конструкторы!$A314)</f>
        <v>0</v>
      </c>
      <c r="P314" s="166">
        <f>SUMIFS(Продажи!M$5:M$359,Продажи!$D$5:$D$359,Конструкторы!$B314,Продажи!$C$5:$C$359,Конструкторы!$A314)</f>
        <v>0</v>
      </c>
      <c r="Q314" s="166">
        <f>SUMIFS(Продажи!N$5:N$359,Продажи!$D$5:$D$359,Конструкторы!$B314,Продажи!$C$5:$C$359,Конструкторы!$A314)</f>
        <v>0</v>
      </c>
      <c r="R314" s="166">
        <f>SUMIFS(Продажи!O$5:O$359,Продажи!$D$5:$D$359,Конструкторы!$B314,Продажи!$C$5:$C$359,Конструкторы!$A314)</f>
        <v>0</v>
      </c>
      <c r="S314" s="166">
        <f>SUMIFS(Продажи!P$5:P$359,Продажи!$D$5:$D$359,Конструкторы!$B314,Продажи!$C$5:$C$359,Конструкторы!$A314)</f>
        <v>0</v>
      </c>
      <c r="T314" s="166">
        <f>SUMIFS(Продажи!Q$5:Q$359,Продажи!$D$5:$D$359,Конструкторы!$B314,Продажи!$C$5:$C$359,Конструкторы!$A314)</f>
        <v>0</v>
      </c>
    </row>
    <row r="315" spans="1:20" ht="15.75" hidden="1" x14ac:dyDescent="0.25">
      <c r="A315" s="166" t="s">
        <v>397</v>
      </c>
      <c r="B315" s="167" t="s">
        <v>182</v>
      </c>
      <c r="C315" s="129" t="s">
        <v>62</v>
      </c>
      <c r="D315" s="149"/>
      <c r="E315" s="153" t="s">
        <v>68</v>
      </c>
      <c r="F315" s="156">
        <f>(0.35*103)/100</f>
        <v>0.36049999999999999</v>
      </c>
      <c r="G315" s="156">
        <v>1.0500000000000009E-2</v>
      </c>
      <c r="H315" s="156">
        <f>F315+G315</f>
        <v>0.371</v>
      </c>
      <c r="I315" s="166">
        <f>SUMIFS(Продажи!F$5:F$359,Продажи!$D$5:$D$359,Конструкторы!$B315,Продажи!$C$5:$C$359,Конструкторы!$A315)</f>
        <v>0</v>
      </c>
      <c r="J315" s="166">
        <f>SUMIFS(Продажи!G$5:G$359,Продажи!$D$5:$D$359,Конструкторы!$B315,Продажи!$C$5:$C$359,Конструкторы!$A315)</f>
        <v>0</v>
      </c>
      <c r="K315" s="166">
        <f>SUMIFS(Продажи!H$5:H$359,Продажи!$D$5:$D$359,Конструкторы!$B315,Продажи!$C$5:$C$359,Конструкторы!$A315)</f>
        <v>0</v>
      </c>
      <c r="L315" s="166">
        <f>SUMIFS(Продажи!I$5:I$359,Продажи!$D$5:$D$359,Конструкторы!$B315,Продажи!$C$5:$C$359,Конструкторы!$A315)</f>
        <v>0</v>
      </c>
      <c r="M315" s="166">
        <f>SUMIFS(Продажи!J$5:J$359,Продажи!$D$5:$D$359,Конструкторы!$B315,Продажи!$C$5:$C$359,Конструкторы!$A315)</f>
        <v>0</v>
      </c>
      <c r="N315" s="166">
        <f>SUMIFS(Продажи!K$5:K$359,Продажи!$D$5:$D$359,Конструкторы!$B315,Продажи!$C$5:$C$359,Конструкторы!$A315)</f>
        <v>0</v>
      </c>
      <c r="O315" s="166">
        <f>SUMIFS(Продажи!L$5:L$359,Продажи!$D$5:$D$359,Конструкторы!$B315,Продажи!$C$5:$C$359,Конструкторы!$A315)</f>
        <v>0</v>
      </c>
      <c r="P315" s="166">
        <f>SUMIFS(Продажи!M$5:M$359,Продажи!$D$5:$D$359,Конструкторы!$B315,Продажи!$C$5:$C$359,Конструкторы!$A315)</f>
        <v>0</v>
      </c>
      <c r="Q315" s="166">
        <f>SUMIFS(Продажи!N$5:N$359,Продажи!$D$5:$D$359,Конструкторы!$B315,Продажи!$C$5:$C$359,Конструкторы!$A315)</f>
        <v>0</v>
      </c>
      <c r="R315" s="166">
        <f>SUMIFS(Продажи!O$5:O$359,Продажи!$D$5:$D$359,Конструкторы!$B315,Продажи!$C$5:$C$359,Конструкторы!$A315)</f>
        <v>0</v>
      </c>
      <c r="S315" s="166">
        <f>SUMIFS(Продажи!P$5:P$359,Продажи!$D$5:$D$359,Конструкторы!$B315,Продажи!$C$5:$C$359,Конструкторы!$A315)</f>
        <v>0</v>
      </c>
      <c r="T315" s="166">
        <f>SUMIFS(Продажи!Q$5:Q$359,Продажи!$D$5:$D$359,Конструкторы!$B315,Продажи!$C$5:$C$359,Конструкторы!$A315)</f>
        <v>0</v>
      </c>
    </row>
    <row r="316" spans="1:20" ht="15.75" hidden="1" x14ac:dyDescent="0.25">
      <c r="A316" s="166" t="s">
        <v>397</v>
      </c>
      <c r="B316" s="167" t="s">
        <v>182</v>
      </c>
      <c r="C316" s="129" t="s">
        <v>60</v>
      </c>
      <c r="D316" s="149"/>
      <c r="E316" s="153" t="s">
        <v>68</v>
      </c>
      <c r="F316" s="156">
        <f>(0.15*103)/100</f>
        <v>0.1545</v>
      </c>
      <c r="G316" s="156">
        <v>4.500000000000004E-3</v>
      </c>
      <c r="H316" s="156">
        <f>F316+G316</f>
        <v>0.159</v>
      </c>
      <c r="I316" s="166">
        <f>SUMIFS(Продажи!F$5:F$359,Продажи!$D$5:$D$359,Конструкторы!$B316,Продажи!$C$5:$C$359,Конструкторы!$A316)</f>
        <v>0</v>
      </c>
      <c r="J316" s="166">
        <f>SUMIFS(Продажи!G$5:G$359,Продажи!$D$5:$D$359,Конструкторы!$B316,Продажи!$C$5:$C$359,Конструкторы!$A316)</f>
        <v>0</v>
      </c>
      <c r="K316" s="166">
        <f>SUMIFS(Продажи!H$5:H$359,Продажи!$D$5:$D$359,Конструкторы!$B316,Продажи!$C$5:$C$359,Конструкторы!$A316)</f>
        <v>0</v>
      </c>
      <c r="L316" s="166">
        <f>SUMIFS(Продажи!I$5:I$359,Продажи!$D$5:$D$359,Конструкторы!$B316,Продажи!$C$5:$C$359,Конструкторы!$A316)</f>
        <v>0</v>
      </c>
      <c r="M316" s="166">
        <f>SUMIFS(Продажи!J$5:J$359,Продажи!$D$5:$D$359,Конструкторы!$B316,Продажи!$C$5:$C$359,Конструкторы!$A316)</f>
        <v>0</v>
      </c>
      <c r="N316" s="166">
        <f>SUMIFS(Продажи!K$5:K$359,Продажи!$D$5:$D$359,Конструкторы!$B316,Продажи!$C$5:$C$359,Конструкторы!$A316)</f>
        <v>0</v>
      </c>
      <c r="O316" s="166">
        <f>SUMIFS(Продажи!L$5:L$359,Продажи!$D$5:$D$359,Конструкторы!$B316,Продажи!$C$5:$C$359,Конструкторы!$A316)</f>
        <v>0</v>
      </c>
      <c r="P316" s="166">
        <f>SUMIFS(Продажи!M$5:M$359,Продажи!$D$5:$D$359,Конструкторы!$B316,Продажи!$C$5:$C$359,Конструкторы!$A316)</f>
        <v>0</v>
      </c>
      <c r="Q316" s="166">
        <f>SUMIFS(Продажи!N$5:N$359,Продажи!$D$5:$D$359,Конструкторы!$B316,Продажи!$C$5:$C$359,Конструкторы!$A316)</f>
        <v>0</v>
      </c>
      <c r="R316" s="166">
        <f>SUMIFS(Продажи!O$5:O$359,Продажи!$D$5:$D$359,Конструкторы!$B316,Продажи!$C$5:$C$359,Конструкторы!$A316)</f>
        <v>0</v>
      </c>
      <c r="S316" s="166">
        <f>SUMIFS(Продажи!P$5:P$359,Продажи!$D$5:$D$359,Конструкторы!$B316,Продажи!$C$5:$C$359,Конструкторы!$A316)</f>
        <v>0</v>
      </c>
      <c r="T316" s="166">
        <f>SUMIFS(Продажи!Q$5:Q$359,Продажи!$D$5:$D$359,Конструкторы!$B316,Продажи!$C$5:$C$359,Конструкторы!$A316)</f>
        <v>0</v>
      </c>
    </row>
    <row r="317" spans="1:20" ht="15.75" hidden="1" x14ac:dyDescent="0.25">
      <c r="A317" s="166" t="s">
        <v>397</v>
      </c>
      <c r="B317" s="167" t="s">
        <v>182</v>
      </c>
      <c r="C317" s="33" t="s">
        <v>76</v>
      </c>
      <c r="D317" s="149"/>
      <c r="E317" s="153" t="s">
        <v>70</v>
      </c>
      <c r="F317" s="148">
        <v>6</v>
      </c>
      <c r="G317" s="156" t="s">
        <v>71</v>
      </c>
      <c r="H317" s="156">
        <f>F317</f>
        <v>6</v>
      </c>
      <c r="I317" s="166">
        <f>SUMIFS(Продажи!F$5:F$359,Продажи!$D$5:$D$359,Конструкторы!$B317,Продажи!$C$5:$C$359,Конструкторы!$A317)</f>
        <v>0</v>
      </c>
      <c r="J317" s="166">
        <f>SUMIFS(Продажи!G$5:G$359,Продажи!$D$5:$D$359,Конструкторы!$B317,Продажи!$C$5:$C$359,Конструкторы!$A317)</f>
        <v>0</v>
      </c>
      <c r="K317" s="166">
        <f>SUMIFS(Продажи!H$5:H$359,Продажи!$D$5:$D$359,Конструкторы!$B317,Продажи!$C$5:$C$359,Конструкторы!$A317)</f>
        <v>0</v>
      </c>
      <c r="L317" s="166">
        <f>SUMIFS(Продажи!I$5:I$359,Продажи!$D$5:$D$359,Конструкторы!$B317,Продажи!$C$5:$C$359,Конструкторы!$A317)</f>
        <v>0</v>
      </c>
      <c r="M317" s="166">
        <f>SUMIFS(Продажи!J$5:J$359,Продажи!$D$5:$D$359,Конструкторы!$B317,Продажи!$C$5:$C$359,Конструкторы!$A317)</f>
        <v>0</v>
      </c>
      <c r="N317" s="166">
        <f>SUMIFS(Продажи!K$5:K$359,Продажи!$D$5:$D$359,Конструкторы!$B317,Продажи!$C$5:$C$359,Конструкторы!$A317)</f>
        <v>0</v>
      </c>
      <c r="O317" s="166">
        <f>SUMIFS(Продажи!L$5:L$359,Продажи!$D$5:$D$359,Конструкторы!$B317,Продажи!$C$5:$C$359,Конструкторы!$A317)</f>
        <v>0</v>
      </c>
      <c r="P317" s="166">
        <f>SUMIFS(Продажи!M$5:M$359,Продажи!$D$5:$D$359,Конструкторы!$B317,Продажи!$C$5:$C$359,Конструкторы!$A317)</f>
        <v>0</v>
      </c>
      <c r="Q317" s="166">
        <f>SUMIFS(Продажи!N$5:N$359,Продажи!$D$5:$D$359,Конструкторы!$B317,Продажи!$C$5:$C$359,Конструкторы!$A317)</f>
        <v>0</v>
      </c>
      <c r="R317" s="166">
        <f>SUMIFS(Продажи!O$5:O$359,Продажи!$D$5:$D$359,Конструкторы!$B317,Продажи!$C$5:$C$359,Конструкторы!$A317)</f>
        <v>0</v>
      </c>
      <c r="S317" s="166">
        <f>SUMIFS(Продажи!P$5:P$359,Продажи!$D$5:$D$359,Конструкторы!$B317,Продажи!$C$5:$C$359,Конструкторы!$A317)</f>
        <v>0</v>
      </c>
      <c r="T317" s="166">
        <f>SUMIFS(Продажи!Q$5:Q$359,Продажи!$D$5:$D$359,Конструкторы!$B317,Продажи!$C$5:$C$359,Конструкторы!$A317)</f>
        <v>0</v>
      </c>
    </row>
    <row r="318" spans="1:20" ht="15.75" hidden="1" x14ac:dyDescent="0.25">
      <c r="A318" s="166" t="s">
        <v>397</v>
      </c>
      <c r="B318" s="167" t="s">
        <v>182</v>
      </c>
      <c r="C318" s="33" t="s">
        <v>75</v>
      </c>
      <c r="D318" s="149"/>
      <c r="E318" s="153" t="s">
        <v>70</v>
      </c>
      <c r="F318" s="148">
        <v>2</v>
      </c>
      <c r="G318" s="156" t="s">
        <v>71</v>
      </c>
      <c r="H318" s="156">
        <f>F318</f>
        <v>2</v>
      </c>
      <c r="I318" s="166">
        <f>SUMIFS(Продажи!F$5:F$359,Продажи!$D$5:$D$359,Конструкторы!$B318,Продажи!$C$5:$C$359,Конструкторы!$A318)</f>
        <v>0</v>
      </c>
      <c r="J318" s="166">
        <f>SUMIFS(Продажи!G$5:G$359,Продажи!$D$5:$D$359,Конструкторы!$B318,Продажи!$C$5:$C$359,Конструкторы!$A318)</f>
        <v>0</v>
      </c>
      <c r="K318" s="166">
        <f>SUMIFS(Продажи!H$5:H$359,Продажи!$D$5:$D$359,Конструкторы!$B318,Продажи!$C$5:$C$359,Конструкторы!$A318)</f>
        <v>0</v>
      </c>
      <c r="L318" s="166">
        <f>SUMIFS(Продажи!I$5:I$359,Продажи!$D$5:$D$359,Конструкторы!$B318,Продажи!$C$5:$C$359,Конструкторы!$A318)</f>
        <v>0</v>
      </c>
      <c r="M318" s="166">
        <f>SUMIFS(Продажи!J$5:J$359,Продажи!$D$5:$D$359,Конструкторы!$B318,Продажи!$C$5:$C$359,Конструкторы!$A318)</f>
        <v>0</v>
      </c>
      <c r="N318" s="166">
        <f>SUMIFS(Продажи!K$5:K$359,Продажи!$D$5:$D$359,Конструкторы!$B318,Продажи!$C$5:$C$359,Конструкторы!$A318)</f>
        <v>0</v>
      </c>
      <c r="O318" s="166">
        <f>SUMIFS(Продажи!L$5:L$359,Продажи!$D$5:$D$359,Конструкторы!$B318,Продажи!$C$5:$C$359,Конструкторы!$A318)</f>
        <v>0</v>
      </c>
      <c r="P318" s="166">
        <f>SUMIFS(Продажи!M$5:M$359,Продажи!$D$5:$D$359,Конструкторы!$B318,Продажи!$C$5:$C$359,Конструкторы!$A318)</f>
        <v>0</v>
      </c>
      <c r="Q318" s="166">
        <f>SUMIFS(Продажи!N$5:N$359,Продажи!$D$5:$D$359,Конструкторы!$B318,Продажи!$C$5:$C$359,Конструкторы!$A318)</f>
        <v>0</v>
      </c>
      <c r="R318" s="166">
        <f>SUMIFS(Продажи!O$5:O$359,Продажи!$D$5:$D$359,Конструкторы!$B318,Продажи!$C$5:$C$359,Конструкторы!$A318)</f>
        <v>0</v>
      </c>
      <c r="S318" s="166">
        <f>SUMIFS(Продажи!P$5:P$359,Продажи!$D$5:$D$359,Конструкторы!$B318,Продажи!$C$5:$C$359,Конструкторы!$A318)</f>
        <v>0</v>
      </c>
      <c r="T318" s="166">
        <f>SUMIFS(Продажи!Q$5:Q$359,Продажи!$D$5:$D$359,Конструкторы!$B318,Продажи!$C$5:$C$359,Конструкторы!$A318)</f>
        <v>0</v>
      </c>
    </row>
    <row r="319" spans="1:20" ht="15.75" hidden="1" x14ac:dyDescent="0.25">
      <c r="A319" s="166" t="s">
        <v>397</v>
      </c>
      <c r="B319" s="167" t="s">
        <v>183</v>
      </c>
      <c r="C319" s="129" t="s">
        <v>62</v>
      </c>
      <c r="D319" s="149"/>
      <c r="E319" s="153" t="s">
        <v>68</v>
      </c>
      <c r="F319" s="156">
        <f>(0.3*103)/100</f>
        <v>0.309</v>
      </c>
      <c r="G319" s="156">
        <v>9.000000000000008E-3</v>
      </c>
      <c r="H319" s="156">
        <f>F319+G319</f>
        <v>0.318</v>
      </c>
      <c r="I319" s="166">
        <f>SUMIFS(Продажи!F$5:F$359,Продажи!$D$5:$D$359,Конструкторы!$B319,Продажи!$C$5:$C$359,Конструкторы!$A319)</f>
        <v>0</v>
      </c>
      <c r="J319" s="166">
        <f>SUMIFS(Продажи!G$5:G$359,Продажи!$D$5:$D$359,Конструкторы!$B319,Продажи!$C$5:$C$359,Конструкторы!$A319)</f>
        <v>0</v>
      </c>
      <c r="K319" s="166">
        <f>SUMIFS(Продажи!H$5:H$359,Продажи!$D$5:$D$359,Конструкторы!$B319,Продажи!$C$5:$C$359,Конструкторы!$A319)</f>
        <v>0</v>
      </c>
      <c r="L319" s="166">
        <f>SUMIFS(Продажи!I$5:I$359,Продажи!$D$5:$D$359,Конструкторы!$B319,Продажи!$C$5:$C$359,Конструкторы!$A319)</f>
        <v>0</v>
      </c>
      <c r="M319" s="166">
        <f>SUMIFS(Продажи!J$5:J$359,Продажи!$D$5:$D$359,Конструкторы!$B319,Продажи!$C$5:$C$359,Конструкторы!$A319)</f>
        <v>0</v>
      </c>
      <c r="N319" s="166">
        <f>SUMIFS(Продажи!K$5:K$359,Продажи!$D$5:$D$359,Конструкторы!$B319,Продажи!$C$5:$C$359,Конструкторы!$A319)</f>
        <v>0</v>
      </c>
      <c r="O319" s="166">
        <f>SUMIFS(Продажи!L$5:L$359,Продажи!$D$5:$D$359,Конструкторы!$B319,Продажи!$C$5:$C$359,Конструкторы!$A319)</f>
        <v>0</v>
      </c>
      <c r="P319" s="166">
        <f>SUMIFS(Продажи!M$5:M$359,Продажи!$D$5:$D$359,Конструкторы!$B319,Продажи!$C$5:$C$359,Конструкторы!$A319)</f>
        <v>0</v>
      </c>
      <c r="Q319" s="166">
        <f>SUMIFS(Продажи!N$5:N$359,Продажи!$D$5:$D$359,Конструкторы!$B319,Продажи!$C$5:$C$359,Конструкторы!$A319)</f>
        <v>0</v>
      </c>
      <c r="R319" s="166">
        <f>SUMIFS(Продажи!O$5:O$359,Продажи!$D$5:$D$359,Конструкторы!$B319,Продажи!$C$5:$C$359,Конструкторы!$A319)</f>
        <v>0</v>
      </c>
      <c r="S319" s="166">
        <f>SUMIFS(Продажи!P$5:P$359,Продажи!$D$5:$D$359,Конструкторы!$B319,Продажи!$C$5:$C$359,Конструкторы!$A319)</f>
        <v>0</v>
      </c>
      <c r="T319" s="166">
        <f>SUMIFS(Продажи!Q$5:Q$359,Продажи!$D$5:$D$359,Конструкторы!$B319,Продажи!$C$5:$C$359,Конструкторы!$A319)</f>
        <v>0</v>
      </c>
    </row>
    <row r="320" spans="1:20" ht="15.75" hidden="1" x14ac:dyDescent="0.25">
      <c r="A320" s="166" t="s">
        <v>397</v>
      </c>
      <c r="B320" s="167" t="s">
        <v>183</v>
      </c>
      <c r="C320" s="129" t="s">
        <v>61</v>
      </c>
      <c r="D320" s="149"/>
      <c r="E320" s="153" t="s">
        <v>68</v>
      </c>
      <c r="F320" s="156">
        <f>(0.2*103)/100</f>
        <v>0.20600000000000002</v>
      </c>
      <c r="G320" s="156">
        <v>6.0000000000000053E-3</v>
      </c>
      <c r="H320" s="156">
        <f>F320+G320</f>
        <v>0.21200000000000002</v>
      </c>
      <c r="I320" s="166">
        <f>SUMIFS(Продажи!F$5:F$359,Продажи!$D$5:$D$359,Конструкторы!$B320,Продажи!$C$5:$C$359,Конструкторы!$A320)</f>
        <v>0</v>
      </c>
      <c r="J320" s="166">
        <f>SUMIFS(Продажи!G$5:G$359,Продажи!$D$5:$D$359,Конструкторы!$B320,Продажи!$C$5:$C$359,Конструкторы!$A320)</f>
        <v>0</v>
      </c>
      <c r="K320" s="166">
        <f>SUMIFS(Продажи!H$5:H$359,Продажи!$D$5:$D$359,Конструкторы!$B320,Продажи!$C$5:$C$359,Конструкторы!$A320)</f>
        <v>0</v>
      </c>
      <c r="L320" s="166">
        <f>SUMIFS(Продажи!I$5:I$359,Продажи!$D$5:$D$359,Конструкторы!$B320,Продажи!$C$5:$C$359,Конструкторы!$A320)</f>
        <v>0</v>
      </c>
      <c r="M320" s="166">
        <f>SUMIFS(Продажи!J$5:J$359,Продажи!$D$5:$D$359,Конструкторы!$B320,Продажи!$C$5:$C$359,Конструкторы!$A320)</f>
        <v>0</v>
      </c>
      <c r="N320" s="166">
        <f>SUMIFS(Продажи!K$5:K$359,Продажи!$D$5:$D$359,Конструкторы!$B320,Продажи!$C$5:$C$359,Конструкторы!$A320)</f>
        <v>0</v>
      </c>
      <c r="O320" s="166">
        <f>SUMIFS(Продажи!L$5:L$359,Продажи!$D$5:$D$359,Конструкторы!$B320,Продажи!$C$5:$C$359,Конструкторы!$A320)</f>
        <v>0</v>
      </c>
      <c r="P320" s="166">
        <f>SUMIFS(Продажи!M$5:M$359,Продажи!$D$5:$D$359,Конструкторы!$B320,Продажи!$C$5:$C$359,Конструкторы!$A320)</f>
        <v>0</v>
      </c>
      <c r="Q320" s="166">
        <f>SUMIFS(Продажи!N$5:N$359,Продажи!$D$5:$D$359,Конструкторы!$B320,Продажи!$C$5:$C$359,Конструкторы!$A320)</f>
        <v>0</v>
      </c>
      <c r="R320" s="166">
        <f>SUMIFS(Продажи!O$5:O$359,Продажи!$D$5:$D$359,Конструкторы!$B320,Продажи!$C$5:$C$359,Конструкторы!$A320)</f>
        <v>0</v>
      </c>
      <c r="S320" s="166">
        <f>SUMIFS(Продажи!P$5:P$359,Продажи!$D$5:$D$359,Конструкторы!$B320,Продажи!$C$5:$C$359,Конструкторы!$A320)</f>
        <v>0</v>
      </c>
      <c r="T320" s="166">
        <f>SUMIFS(Продажи!Q$5:Q$359,Продажи!$D$5:$D$359,Конструкторы!$B320,Продажи!$C$5:$C$359,Конструкторы!$A320)</f>
        <v>0</v>
      </c>
    </row>
    <row r="321" spans="1:20" ht="15.75" hidden="1" x14ac:dyDescent="0.25">
      <c r="A321" s="166" t="s">
        <v>397</v>
      </c>
      <c r="B321" s="167" t="s">
        <v>183</v>
      </c>
      <c r="C321" s="33" t="s">
        <v>76</v>
      </c>
      <c r="D321" s="149"/>
      <c r="E321" s="153" t="s">
        <v>70</v>
      </c>
      <c r="F321" s="148">
        <v>6</v>
      </c>
      <c r="G321" s="156" t="s">
        <v>71</v>
      </c>
      <c r="H321" s="156">
        <f>F321</f>
        <v>6</v>
      </c>
      <c r="I321" s="166">
        <f>SUMIFS(Продажи!F$5:F$359,Продажи!$D$5:$D$359,Конструкторы!$B321,Продажи!$C$5:$C$359,Конструкторы!$A321)</f>
        <v>0</v>
      </c>
      <c r="J321" s="166">
        <f>SUMIFS(Продажи!G$5:G$359,Продажи!$D$5:$D$359,Конструкторы!$B321,Продажи!$C$5:$C$359,Конструкторы!$A321)</f>
        <v>0</v>
      </c>
      <c r="K321" s="166">
        <f>SUMIFS(Продажи!H$5:H$359,Продажи!$D$5:$D$359,Конструкторы!$B321,Продажи!$C$5:$C$359,Конструкторы!$A321)</f>
        <v>0</v>
      </c>
      <c r="L321" s="166">
        <f>SUMIFS(Продажи!I$5:I$359,Продажи!$D$5:$D$359,Конструкторы!$B321,Продажи!$C$5:$C$359,Конструкторы!$A321)</f>
        <v>0</v>
      </c>
      <c r="M321" s="166">
        <f>SUMIFS(Продажи!J$5:J$359,Продажи!$D$5:$D$359,Конструкторы!$B321,Продажи!$C$5:$C$359,Конструкторы!$A321)</f>
        <v>0</v>
      </c>
      <c r="N321" s="166">
        <f>SUMIFS(Продажи!K$5:K$359,Продажи!$D$5:$D$359,Конструкторы!$B321,Продажи!$C$5:$C$359,Конструкторы!$A321)</f>
        <v>0</v>
      </c>
      <c r="O321" s="166">
        <f>SUMIFS(Продажи!L$5:L$359,Продажи!$D$5:$D$359,Конструкторы!$B321,Продажи!$C$5:$C$359,Конструкторы!$A321)</f>
        <v>0</v>
      </c>
      <c r="P321" s="166">
        <f>SUMIFS(Продажи!M$5:M$359,Продажи!$D$5:$D$359,Конструкторы!$B321,Продажи!$C$5:$C$359,Конструкторы!$A321)</f>
        <v>0</v>
      </c>
      <c r="Q321" s="166">
        <f>SUMIFS(Продажи!N$5:N$359,Продажи!$D$5:$D$359,Конструкторы!$B321,Продажи!$C$5:$C$359,Конструкторы!$A321)</f>
        <v>0</v>
      </c>
      <c r="R321" s="166">
        <f>SUMIFS(Продажи!O$5:O$359,Продажи!$D$5:$D$359,Конструкторы!$B321,Продажи!$C$5:$C$359,Конструкторы!$A321)</f>
        <v>0</v>
      </c>
      <c r="S321" s="166">
        <f>SUMIFS(Продажи!P$5:P$359,Продажи!$D$5:$D$359,Конструкторы!$B321,Продажи!$C$5:$C$359,Конструкторы!$A321)</f>
        <v>0</v>
      </c>
      <c r="T321" s="166">
        <f>SUMIFS(Продажи!Q$5:Q$359,Продажи!$D$5:$D$359,Конструкторы!$B321,Продажи!$C$5:$C$359,Конструкторы!$A321)</f>
        <v>0</v>
      </c>
    </row>
    <row r="322" spans="1:20" ht="15.75" hidden="1" x14ac:dyDescent="0.25">
      <c r="A322" s="166" t="s">
        <v>397</v>
      </c>
      <c r="B322" s="167" t="s">
        <v>183</v>
      </c>
      <c r="C322" s="33" t="s">
        <v>75</v>
      </c>
      <c r="D322" s="149"/>
      <c r="E322" s="153" t="s">
        <v>70</v>
      </c>
      <c r="F322" s="148">
        <v>1</v>
      </c>
      <c r="G322" s="156" t="s">
        <v>71</v>
      </c>
      <c r="H322" s="156">
        <f>F322</f>
        <v>1</v>
      </c>
      <c r="I322" s="166">
        <f>SUMIFS(Продажи!F$5:F$359,Продажи!$D$5:$D$359,Конструкторы!$B322,Продажи!$C$5:$C$359,Конструкторы!$A322)</f>
        <v>0</v>
      </c>
      <c r="J322" s="166">
        <f>SUMIFS(Продажи!G$5:G$359,Продажи!$D$5:$D$359,Конструкторы!$B322,Продажи!$C$5:$C$359,Конструкторы!$A322)</f>
        <v>0</v>
      </c>
      <c r="K322" s="166">
        <f>SUMIFS(Продажи!H$5:H$359,Продажи!$D$5:$D$359,Конструкторы!$B322,Продажи!$C$5:$C$359,Конструкторы!$A322)</f>
        <v>0</v>
      </c>
      <c r="L322" s="166">
        <f>SUMIFS(Продажи!I$5:I$359,Продажи!$D$5:$D$359,Конструкторы!$B322,Продажи!$C$5:$C$359,Конструкторы!$A322)</f>
        <v>0</v>
      </c>
      <c r="M322" s="166">
        <f>SUMIFS(Продажи!J$5:J$359,Продажи!$D$5:$D$359,Конструкторы!$B322,Продажи!$C$5:$C$359,Конструкторы!$A322)</f>
        <v>0</v>
      </c>
      <c r="N322" s="166">
        <f>SUMIFS(Продажи!K$5:K$359,Продажи!$D$5:$D$359,Конструкторы!$B322,Продажи!$C$5:$C$359,Конструкторы!$A322)</f>
        <v>0</v>
      </c>
      <c r="O322" s="166">
        <f>SUMIFS(Продажи!L$5:L$359,Продажи!$D$5:$D$359,Конструкторы!$B322,Продажи!$C$5:$C$359,Конструкторы!$A322)</f>
        <v>0</v>
      </c>
      <c r="P322" s="166">
        <f>SUMIFS(Продажи!M$5:M$359,Продажи!$D$5:$D$359,Конструкторы!$B322,Продажи!$C$5:$C$359,Конструкторы!$A322)</f>
        <v>0</v>
      </c>
      <c r="Q322" s="166">
        <f>SUMIFS(Продажи!N$5:N$359,Продажи!$D$5:$D$359,Конструкторы!$B322,Продажи!$C$5:$C$359,Конструкторы!$A322)</f>
        <v>0</v>
      </c>
      <c r="R322" s="166">
        <f>SUMIFS(Продажи!O$5:O$359,Продажи!$D$5:$D$359,Конструкторы!$B322,Продажи!$C$5:$C$359,Конструкторы!$A322)</f>
        <v>0</v>
      </c>
      <c r="S322" s="166">
        <f>SUMIFS(Продажи!P$5:P$359,Продажи!$D$5:$D$359,Конструкторы!$B322,Продажи!$C$5:$C$359,Конструкторы!$A322)</f>
        <v>0</v>
      </c>
      <c r="T322" s="166">
        <f>SUMIFS(Продажи!Q$5:Q$359,Продажи!$D$5:$D$359,Конструкторы!$B322,Продажи!$C$5:$C$359,Конструкторы!$A322)</f>
        <v>0</v>
      </c>
    </row>
    <row r="323" spans="1:20" ht="15.75" hidden="1" x14ac:dyDescent="0.25">
      <c r="A323" s="166" t="s">
        <v>397</v>
      </c>
      <c r="B323" s="167" t="s">
        <v>184</v>
      </c>
      <c r="C323" s="129" t="s">
        <v>63</v>
      </c>
      <c r="D323" s="149"/>
      <c r="E323" s="153" t="s">
        <v>68</v>
      </c>
      <c r="F323" s="156">
        <f>(0.45*103)/100</f>
        <v>0.46350000000000002</v>
      </c>
      <c r="G323" s="156">
        <v>1.3500000000000012E-2</v>
      </c>
      <c r="H323" s="156">
        <f>F323+G323</f>
        <v>0.47700000000000004</v>
      </c>
      <c r="I323" s="166">
        <f>SUMIFS(Продажи!F$5:F$359,Продажи!$D$5:$D$359,Конструкторы!$B323,Продажи!$C$5:$C$359,Конструкторы!$A323)</f>
        <v>0</v>
      </c>
      <c r="J323" s="166">
        <f>SUMIFS(Продажи!G$5:G$359,Продажи!$D$5:$D$359,Конструкторы!$B323,Продажи!$C$5:$C$359,Конструкторы!$A323)</f>
        <v>0</v>
      </c>
      <c r="K323" s="166">
        <f>SUMIFS(Продажи!H$5:H$359,Продажи!$D$5:$D$359,Конструкторы!$B323,Продажи!$C$5:$C$359,Конструкторы!$A323)</f>
        <v>0</v>
      </c>
      <c r="L323" s="166">
        <f>SUMIFS(Продажи!I$5:I$359,Продажи!$D$5:$D$359,Конструкторы!$B323,Продажи!$C$5:$C$359,Конструкторы!$A323)</f>
        <v>0</v>
      </c>
      <c r="M323" s="166">
        <f>SUMIFS(Продажи!J$5:J$359,Продажи!$D$5:$D$359,Конструкторы!$B323,Продажи!$C$5:$C$359,Конструкторы!$A323)</f>
        <v>0</v>
      </c>
      <c r="N323" s="166">
        <f>SUMIFS(Продажи!K$5:K$359,Продажи!$D$5:$D$359,Конструкторы!$B323,Продажи!$C$5:$C$359,Конструкторы!$A323)</f>
        <v>0</v>
      </c>
      <c r="O323" s="166">
        <f>SUMIFS(Продажи!L$5:L$359,Продажи!$D$5:$D$359,Конструкторы!$B323,Продажи!$C$5:$C$359,Конструкторы!$A323)</f>
        <v>0</v>
      </c>
      <c r="P323" s="166">
        <f>SUMIFS(Продажи!M$5:M$359,Продажи!$D$5:$D$359,Конструкторы!$B323,Продажи!$C$5:$C$359,Конструкторы!$A323)</f>
        <v>0</v>
      </c>
      <c r="Q323" s="166">
        <f>SUMIFS(Продажи!N$5:N$359,Продажи!$D$5:$D$359,Конструкторы!$B323,Продажи!$C$5:$C$359,Конструкторы!$A323)</f>
        <v>0</v>
      </c>
      <c r="R323" s="166">
        <f>SUMIFS(Продажи!O$5:O$359,Продажи!$D$5:$D$359,Конструкторы!$B323,Продажи!$C$5:$C$359,Конструкторы!$A323)</f>
        <v>0</v>
      </c>
      <c r="S323" s="166">
        <f>SUMIFS(Продажи!P$5:P$359,Продажи!$D$5:$D$359,Конструкторы!$B323,Продажи!$C$5:$C$359,Конструкторы!$A323)</f>
        <v>0</v>
      </c>
      <c r="T323" s="166">
        <f>SUMIFS(Продажи!Q$5:Q$359,Продажи!$D$5:$D$359,Конструкторы!$B323,Продажи!$C$5:$C$359,Конструкторы!$A323)</f>
        <v>0</v>
      </c>
    </row>
    <row r="324" spans="1:20" ht="15.75" hidden="1" x14ac:dyDescent="0.25">
      <c r="A324" s="166" t="s">
        <v>397</v>
      </c>
      <c r="B324" s="167" t="s">
        <v>184</v>
      </c>
      <c r="C324" s="129" t="s">
        <v>60</v>
      </c>
      <c r="D324" s="149"/>
      <c r="E324" s="153" t="s">
        <v>68</v>
      </c>
      <c r="F324" s="156">
        <f>(0.15*103)/100</f>
        <v>0.1545</v>
      </c>
      <c r="G324" s="156">
        <v>4.500000000000004E-3</v>
      </c>
      <c r="H324" s="156">
        <f>F324+G324</f>
        <v>0.159</v>
      </c>
      <c r="I324" s="166">
        <f>SUMIFS(Продажи!F$5:F$359,Продажи!$D$5:$D$359,Конструкторы!$B324,Продажи!$C$5:$C$359,Конструкторы!$A324)</f>
        <v>0</v>
      </c>
      <c r="J324" s="166">
        <f>SUMIFS(Продажи!G$5:G$359,Продажи!$D$5:$D$359,Конструкторы!$B324,Продажи!$C$5:$C$359,Конструкторы!$A324)</f>
        <v>0</v>
      </c>
      <c r="K324" s="166">
        <f>SUMIFS(Продажи!H$5:H$359,Продажи!$D$5:$D$359,Конструкторы!$B324,Продажи!$C$5:$C$359,Конструкторы!$A324)</f>
        <v>0</v>
      </c>
      <c r="L324" s="166">
        <f>SUMIFS(Продажи!I$5:I$359,Продажи!$D$5:$D$359,Конструкторы!$B324,Продажи!$C$5:$C$359,Конструкторы!$A324)</f>
        <v>0</v>
      </c>
      <c r="M324" s="166">
        <f>SUMIFS(Продажи!J$5:J$359,Продажи!$D$5:$D$359,Конструкторы!$B324,Продажи!$C$5:$C$359,Конструкторы!$A324)</f>
        <v>0</v>
      </c>
      <c r="N324" s="166">
        <f>SUMIFS(Продажи!K$5:K$359,Продажи!$D$5:$D$359,Конструкторы!$B324,Продажи!$C$5:$C$359,Конструкторы!$A324)</f>
        <v>0</v>
      </c>
      <c r="O324" s="166">
        <f>SUMIFS(Продажи!L$5:L$359,Продажи!$D$5:$D$359,Конструкторы!$B324,Продажи!$C$5:$C$359,Конструкторы!$A324)</f>
        <v>0</v>
      </c>
      <c r="P324" s="166">
        <f>SUMIFS(Продажи!M$5:M$359,Продажи!$D$5:$D$359,Конструкторы!$B324,Продажи!$C$5:$C$359,Конструкторы!$A324)</f>
        <v>0</v>
      </c>
      <c r="Q324" s="166">
        <f>SUMIFS(Продажи!N$5:N$359,Продажи!$D$5:$D$359,Конструкторы!$B324,Продажи!$C$5:$C$359,Конструкторы!$A324)</f>
        <v>0</v>
      </c>
      <c r="R324" s="166">
        <f>SUMIFS(Продажи!O$5:O$359,Продажи!$D$5:$D$359,Конструкторы!$B324,Продажи!$C$5:$C$359,Конструкторы!$A324)</f>
        <v>0</v>
      </c>
      <c r="S324" s="166">
        <f>SUMIFS(Продажи!P$5:P$359,Продажи!$D$5:$D$359,Конструкторы!$B324,Продажи!$C$5:$C$359,Конструкторы!$A324)</f>
        <v>0</v>
      </c>
      <c r="T324" s="166">
        <f>SUMIFS(Продажи!Q$5:Q$359,Продажи!$D$5:$D$359,Конструкторы!$B324,Продажи!$C$5:$C$359,Конструкторы!$A324)</f>
        <v>0</v>
      </c>
    </row>
    <row r="325" spans="1:20" ht="15.75" hidden="1" x14ac:dyDescent="0.25">
      <c r="A325" s="166" t="s">
        <v>397</v>
      </c>
      <c r="B325" s="167" t="s">
        <v>184</v>
      </c>
      <c r="C325" s="33" t="s">
        <v>76</v>
      </c>
      <c r="D325" s="149"/>
      <c r="E325" s="153" t="s">
        <v>70</v>
      </c>
      <c r="F325" s="148">
        <v>6</v>
      </c>
      <c r="G325" s="156" t="s">
        <v>71</v>
      </c>
      <c r="H325" s="156">
        <f>F325</f>
        <v>6</v>
      </c>
      <c r="I325" s="166">
        <f>SUMIFS(Продажи!F$5:F$359,Продажи!$D$5:$D$359,Конструкторы!$B325,Продажи!$C$5:$C$359,Конструкторы!$A325)</f>
        <v>0</v>
      </c>
      <c r="J325" s="166">
        <f>SUMIFS(Продажи!G$5:G$359,Продажи!$D$5:$D$359,Конструкторы!$B325,Продажи!$C$5:$C$359,Конструкторы!$A325)</f>
        <v>0</v>
      </c>
      <c r="K325" s="166">
        <f>SUMIFS(Продажи!H$5:H$359,Продажи!$D$5:$D$359,Конструкторы!$B325,Продажи!$C$5:$C$359,Конструкторы!$A325)</f>
        <v>0</v>
      </c>
      <c r="L325" s="166">
        <f>SUMIFS(Продажи!I$5:I$359,Продажи!$D$5:$D$359,Конструкторы!$B325,Продажи!$C$5:$C$359,Конструкторы!$A325)</f>
        <v>0</v>
      </c>
      <c r="M325" s="166">
        <f>SUMIFS(Продажи!J$5:J$359,Продажи!$D$5:$D$359,Конструкторы!$B325,Продажи!$C$5:$C$359,Конструкторы!$A325)</f>
        <v>0</v>
      </c>
      <c r="N325" s="166">
        <f>SUMIFS(Продажи!K$5:K$359,Продажи!$D$5:$D$359,Конструкторы!$B325,Продажи!$C$5:$C$359,Конструкторы!$A325)</f>
        <v>0</v>
      </c>
      <c r="O325" s="166">
        <f>SUMIFS(Продажи!L$5:L$359,Продажи!$D$5:$D$359,Конструкторы!$B325,Продажи!$C$5:$C$359,Конструкторы!$A325)</f>
        <v>0</v>
      </c>
      <c r="P325" s="166">
        <f>SUMIFS(Продажи!M$5:M$359,Продажи!$D$5:$D$359,Конструкторы!$B325,Продажи!$C$5:$C$359,Конструкторы!$A325)</f>
        <v>0</v>
      </c>
      <c r="Q325" s="166">
        <f>SUMIFS(Продажи!N$5:N$359,Продажи!$D$5:$D$359,Конструкторы!$B325,Продажи!$C$5:$C$359,Конструкторы!$A325)</f>
        <v>0</v>
      </c>
      <c r="R325" s="166">
        <f>SUMIFS(Продажи!O$5:O$359,Продажи!$D$5:$D$359,Конструкторы!$B325,Продажи!$C$5:$C$359,Конструкторы!$A325)</f>
        <v>0</v>
      </c>
      <c r="S325" s="166">
        <f>SUMIFS(Продажи!P$5:P$359,Продажи!$D$5:$D$359,Конструкторы!$B325,Продажи!$C$5:$C$359,Конструкторы!$A325)</f>
        <v>0</v>
      </c>
      <c r="T325" s="166">
        <f>SUMIFS(Продажи!Q$5:Q$359,Продажи!$D$5:$D$359,Конструкторы!$B325,Продажи!$C$5:$C$359,Конструкторы!$A325)</f>
        <v>0</v>
      </c>
    </row>
    <row r="326" spans="1:20" ht="15.75" hidden="1" x14ac:dyDescent="0.25">
      <c r="A326" s="166" t="s">
        <v>397</v>
      </c>
      <c r="B326" s="167" t="s">
        <v>184</v>
      </c>
      <c r="C326" s="33" t="s">
        <v>75</v>
      </c>
      <c r="D326" s="149"/>
      <c r="E326" s="153" t="s">
        <v>70</v>
      </c>
      <c r="F326" s="148">
        <v>3</v>
      </c>
      <c r="G326" s="156" t="s">
        <v>71</v>
      </c>
      <c r="H326" s="156">
        <f>F326</f>
        <v>3</v>
      </c>
      <c r="I326" s="166">
        <f>SUMIFS(Продажи!F$5:F$359,Продажи!$D$5:$D$359,Конструкторы!$B326,Продажи!$C$5:$C$359,Конструкторы!$A326)</f>
        <v>0</v>
      </c>
      <c r="J326" s="166">
        <f>SUMIFS(Продажи!G$5:G$359,Продажи!$D$5:$D$359,Конструкторы!$B326,Продажи!$C$5:$C$359,Конструкторы!$A326)</f>
        <v>0</v>
      </c>
      <c r="K326" s="166">
        <f>SUMIFS(Продажи!H$5:H$359,Продажи!$D$5:$D$359,Конструкторы!$B326,Продажи!$C$5:$C$359,Конструкторы!$A326)</f>
        <v>0</v>
      </c>
      <c r="L326" s="166">
        <f>SUMIFS(Продажи!I$5:I$359,Продажи!$D$5:$D$359,Конструкторы!$B326,Продажи!$C$5:$C$359,Конструкторы!$A326)</f>
        <v>0</v>
      </c>
      <c r="M326" s="166">
        <f>SUMIFS(Продажи!J$5:J$359,Продажи!$D$5:$D$359,Конструкторы!$B326,Продажи!$C$5:$C$359,Конструкторы!$A326)</f>
        <v>0</v>
      </c>
      <c r="N326" s="166">
        <f>SUMIFS(Продажи!K$5:K$359,Продажи!$D$5:$D$359,Конструкторы!$B326,Продажи!$C$5:$C$359,Конструкторы!$A326)</f>
        <v>0</v>
      </c>
      <c r="O326" s="166">
        <f>SUMIFS(Продажи!L$5:L$359,Продажи!$D$5:$D$359,Конструкторы!$B326,Продажи!$C$5:$C$359,Конструкторы!$A326)</f>
        <v>0</v>
      </c>
      <c r="P326" s="166">
        <f>SUMIFS(Продажи!M$5:M$359,Продажи!$D$5:$D$359,Конструкторы!$B326,Продажи!$C$5:$C$359,Конструкторы!$A326)</f>
        <v>0</v>
      </c>
      <c r="Q326" s="166">
        <f>SUMIFS(Продажи!N$5:N$359,Продажи!$D$5:$D$359,Конструкторы!$B326,Продажи!$C$5:$C$359,Конструкторы!$A326)</f>
        <v>0</v>
      </c>
      <c r="R326" s="166">
        <f>SUMIFS(Продажи!O$5:O$359,Продажи!$D$5:$D$359,Конструкторы!$B326,Продажи!$C$5:$C$359,Конструкторы!$A326)</f>
        <v>0</v>
      </c>
      <c r="S326" s="166">
        <f>SUMIFS(Продажи!P$5:P$359,Продажи!$D$5:$D$359,Конструкторы!$B326,Продажи!$C$5:$C$359,Конструкторы!$A326)</f>
        <v>0</v>
      </c>
      <c r="T326" s="166">
        <f>SUMIFS(Продажи!Q$5:Q$359,Продажи!$D$5:$D$359,Конструкторы!$B326,Продажи!$C$5:$C$359,Конструкторы!$A326)</f>
        <v>0</v>
      </c>
    </row>
    <row r="327" spans="1:20" ht="15.75" hidden="1" x14ac:dyDescent="0.25">
      <c r="A327" s="166" t="s">
        <v>397</v>
      </c>
      <c r="B327" s="167" t="s">
        <v>185</v>
      </c>
      <c r="C327" s="129" t="s">
        <v>63</v>
      </c>
      <c r="D327" s="149"/>
      <c r="E327" s="153" t="s">
        <v>68</v>
      </c>
      <c r="F327" s="156">
        <f>(0.35*103)/100</f>
        <v>0.36049999999999999</v>
      </c>
      <c r="G327" s="156">
        <v>1.0500000000000009E-2</v>
      </c>
      <c r="H327" s="156">
        <f>F327+G327</f>
        <v>0.371</v>
      </c>
      <c r="I327" s="166">
        <f>SUMIFS(Продажи!F$5:F$359,Продажи!$D$5:$D$359,Конструкторы!$B327,Продажи!$C$5:$C$359,Конструкторы!$A327)</f>
        <v>0</v>
      </c>
      <c r="J327" s="166">
        <f>SUMIFS(Продажи!G$5:G$359,Продажи!$D$5:$D$359,Конструкторы!$B327,Продажи!$C$5:$C$359,Конструкторы!$A327)</f>
        <v>0</v>
      </c>
      <c r="K327" s="166">
        <f>SUMIFS(Продажи!H$5:H$359,Продажи!$D$5:$D$359,Конструкторы!$B327,Продажи!$C$5:$C$359,Конструкторы!$A327)</f>
        <v>0</v>
      </c>
      <c r="L327" s="166">
        <f>SUMIFS(Продажи!I$5:I$359,Продажи!$D$5:$D$359,Конструкторы!$B327,Продажи!$C$5:$C$359,Конструкторы!$A327)</f>
        <v>0</v>
      </c>
      <c r="M327" s="166">
        <f>SUMIFS(Продажи!J$5:J$359,Продажи!$D$5:$D$359,Конструкторы!$B327,Продажи!$C$5:$C$359,Конструкторы!$A327)</f>
        <v>0</v>
      </c>
      <c r="N327" s="166">
        <f>SUMIFS(Продажи!K$5:K$359,Продажи!$D$5:$D$359,Конструкторы!$B327,Продажи!$C$5:$C$359,Конструкторы!$A327)</f>
        <v>0</v>
      </c>
      <c r="O327" s="166">
        <f>SUMIFS(Продажи!L$5:L$359,Продажи!$D$5:$D$359,Конструкторы!$B327,Продажи!$C$5:$C$359,Конструкторы!$A327)</f>
        <v>0</v>
      </c>
      <c r="P327" s="166">
        <f>SUMIFS(Продажи!M$5:M$359,Продажи!$D$5:$D$359,Конструкторы!$B327,Продажи!$C$5:$C$359,Конструкторы!$A327)</f>
        <v>0</v>
      </c>
      <c r="Q327" s="166">
        <f>SUMIFS(Продажи!N$5:N$359,Продажи!$D$5:$D$359,Конструкторы!$B327,Продажи!$C$5:$C$359,Конструкторы!$A327)</f>
        <v>0</v>
      </c>
      <c r="R327" s="166">
        <f>SUMIFS(Продажи!O$5:O$359,Продажи!$D$5:$D$359,Конструкторы!$B327,Продажи!$C$5:$C$359,Конструкторы!$A327)</f>
        <v>0</v>
      </c>
      <c r="S327" s="166">
        <f>SUMIFS(Продажи!P$5:P$359,Продажи!$D$5:$D$359,Конструкторы!$B327,Продажи!$C$5:$C$359,Конструкторы!$A327)</f>
        <v>0</v>
      </c>
      <c r="T327" s="166">
        <f>SUMIFS(Продажи!Q$5:Q$359,Продажи!$D$5:$D$359,Конструкторы!$B327,Продажи!$C$5:$C$359,Конструкторы!$A327)</f>
        <v>0</v>
      </c>
    </row>
    <row r="328" spans="1:20" ht="15.75" hidden="1" x14ac:dyDescent="0.25">
      <c r="A328" s="166" t="s">
        <v>397</v>
      </c>
      <c r="B328" s="167" t="s">
        <v>185</v>
      </c>
      <c r="C328" s="129" t="s">
        <v>61</v>
      </c>
      <c r="D328" s="149"/>
      <c r="E328" s="153" t="s">
        <v>68</v>
      </c>
      <c r="F328" s="156">
        <f>(0.15*103)/100</f>
        <v>0.1545</v>
      </c>
      <c r="G328" s="156">
        <v>4.500000000000004E-3</v>
      </c>
      <c r="H328" s="156">
        <f>F328+G328</f>
        <v>0.159</v>
      </c>
      <c r="I328" s="166">
        <f>SUMIFS(Продажи!F$5:F$359,Продажи!$D$5:$D$359,Конструкторы!$B328,Продажи!$C$5:$C$359,Конструкторы!$A328)</f>
        <v>0</v>
      </c>
      <c r="J328" s="166">
        <f>SUMIFS(Продажи!G$5:G$359,Продажи!$D$5:$D$359,Конструкторы!$B328,Продажи!$C$5:$C$359,Конструкторы!$A328)</f>
        <v>0</v>
      </c>
      <c r="K328" s="166">
        <f>SUMIFS(Продажи!H$5:H$359,Продажи!$D$5:$D$359,Конструкторы!$B328,Продажи!$C$5:$C$359,Конструкторы!$A328)</f>
        <v>0</v>
      </c>
      <c r="L328" s="166">
        <f>SUMIFS(Продажи!I$5:I$359,Продажи!$D$5:$D$359,Конструкторы!$B328,Продажи!$C$5:$C$359,Конструкторы!$A328)</f>
        <v>0</v>
      </c>
      <c r="M328" s="166">
        <f>SUMIFS(Продажи!J$5:J$359,Продажи!$D$5:$D$359,Конструкторы!$B328,Продажи!$C$5:$C$359,Конструкторы!$A328)</f>
        <v>0</v>
      </c>
      <c r="N328" s="166">
        <f>SUMIFS(Продажи!K$5:K$359,Продажи!$D$5:$D$359,Конструкторы!$B328,Продажи!$C$5:$C$359,Конструкторы!$A328)</f>
        <v>0</v>
      </c>
      <c r="O328" s="166">
        <f>SUMIFS(Продажи!L$5:L$359,Продажи!$D$5:$D$359,Конструкторы!$B328,Продажи!$C$5:$C$359,Конструкторы!$A328)</f>
        <v>0</v>
      </c>
      <c r="P328" s="166">
        <f>SUMIFS(Продажи!M$5:M$359,Продажи!$D$5:$D$359,Конструкторы!$B328,Продажи!$C$5:$C$359,Конструкторы!$A328)</f>
        <v>0</v>
      </c>
      <c r="Q328" s="166">
        <f>SUMIFS(Продажи!N$5:N$359,Продажи!$D$5:$D$359,Конструкторы!$B328,Продажи!$C$5:$C$359,Конструкторы!$A328)</f>
        <v>0</v>
      </c>
      <c r="R328" s="166">
        <f>SUMIFS(Продажи!O$5:O$359,Продажи!$D$5:$D$359,Конструкторы!$B328,Продажи!$C$5:$C$359,Конструкторы!$A328)</f>
        <v>0</v>
      </c>
      <c r="S328" s="166">
        <f>SUMIFS(Продажи!P$5:P$359,Продажи!$D$5:$D$359,Конструкторы!$B328,Продажи!$C$5:$C$359,Конструкторы!$A328)</f>
        <v>0</v>
      </c>
      <c r="T328" s="166">
        <f>SUMIFS(Продажи!Q$5:Q$359,Продажи!$D$5:$D$359,Конструкторы!$B328,Продажи!$C$5:$C$359,Конструкторы!$A328)</f>
        <v>0</v>
      </c>
    </row>
    <row r="329" spans="1:20" ht="15.75" hidden="1" x14ac:dyDescent="0.25">
      <c r="A329" s="166" t="s">
        <v>397</v>
      </c>
      <c r="B329" s="167" t="s">
        <v>185</v>
      </c>
      <c r="C329" s="33" t="s">
        <v>76</v>
      </c>
      <c r="D329" s="149"/>
      <c r="E329" s="153" t="s">
        <v>70</v>
      </c>
      <c r="F329" s="148">
        <v>6</v>
      </c>
      <c r="G329" s="156" t="s">
        <v>71</v>
      </c>
      <c r="H329" s="156">
        <f>F329</f>
        <v>6</v>
      </c>
      <c r="I329" s="166">
        <f>SUMIFS(Продажи!F$5:F$359,Продажи!$D$5:$D$359,Конструкторы!$B329,Продажи!$C$5:$C$359,Конструкторы!$A329)</f>
        <v>0</v>
      </c>
      <c r="J329" s="166">
        <f>SUMIFS(Продажи!G$5:G$359,Продажи!$D$5:$D$359,Конструкторы!$B329,Продажи!$C$5:$C$359,Конструкторы!$A329)</f>
        <v>0</v>
      </c>
      <c r="K329" s="166">
        <f>SUMIFS(Продажи!H$5:H$359,Продажи!$D$5:$D$359,Конструкторы!$B329,Продажи!$C$5:$C$359,Конструкторы!$A329)</f>
        <v>0</v>
      </c>
      <c r="L329" s="166">
        <f>SUMIFS(Продажи!I$5:I$359,Продажи!$D$5:$D$359,Конструкторы!$B329,Продажи!$C$5:$C$359,Конструкторы!$A329)</f>
        <v>0</v>
      </c>
      <c r="M329" s="166">
        <f>SUMIFS(Продажи!J$5:J$359,Продажи!$D$5:$D$359,Конструкторы!$B329,Продажи!$C$5:$C$359,Конструкторы!$A329)</f>
        <v>0</v>
      </c>
      <c r="N329" s="166">
        <f>SUMIFS(Продажи!K$5:K$359,Продажи!$D$5:$D$359,Конструкторы!$B329,Продажи!$C$5:$C$359,Конструкторы!$A329)</f>
        <v>0</v>
      </c>
      <c r="O329" s="166">
        <f>SUMIFS(Продажи!L$5:L$359,Продажи!$D$5:$D$359,Конструкторы!$B329,Продажи!$C$5:$C$359,Конструкторы!$A329)</f>
        <v>0</v>
      </c>
      <c r="P329" s="166">
        <f>SUMIFS(Продажи!M$5:M$359,Продажи!$D$5:$D$359,Конструкторы!$B329,Продажи!$C$5:$C$359,Конструкторы!$A329)</f>
        <v>0</v>
      </c>
      <c r="Q329" s="166">
        <f>SUMIFS(Продажи!N$5:N$359,Продажи!$D$5:$D$359,Конструкторы!$B329,Продажи!$C$5:$C$359,Конструкторы!$A329)</f>
        <v>0</v>
      </c>
      <c r="R329" s="166">
        <f>SUMIFS(Продажи!O$5:O$359,Продажи!$D$5:$D$359,Конструкторы!$B329,Продажи!$C$5:$C$359,Конструкторы!$A329)</f>
        <v>0</v>
      </c>
      <c r="S329" s="166">
        <f>SUMIFS(Продажи!P$5:P$359,Продажи!$D$5:$D$359,Конструкторы!$B329,Продажи!$C$5:$C$359,Конструкторы!$A329)</f>
        <v>0</v>
      </c>
      <c r="T329" s="166">
        <f>SUMIFS(Продажи!Q$5:Q$359,Продажи!$D$5:$D$359,Конструкторы!$B329,Продажи!$C$5:$C$359,Конструкторы!$A329)</f>
        <v>0</v>
      </c>
    </row>
    <row r="330" spans="1:20" ht="15.75" hidden="1" x14ac:dyDescent="0.25">
      <c r="A330" s="166" t="s">
        <v>397</v>
      </c>
      <c r="B330" s="167" t="s">
        <v>185</v>
      </c>
      <c r="C330" s="33" t="s">
        <v>75</v>
      </c>
      <c r="D330" s="149"/>
      <c r="E330" s="153" t="s">
        <v>70</v>
      </c>
      <c r="F330" s="148">
        <v>2</v>
      </c>
      <c r="G330" s="156" t="s">
        <v>71</v>
      </c>
      <c r="H330" s="156">
        <f>F330</f>
        <v>2</v>
      </c>
      <c r="I330" s="166">
        <f>SUMIFS(Продажи!F$5:F$359,Продажи!$D$5:$D$359,Конструкторы!$B330,Продажи!$C$5:$C$359,Конструкторы!$A330)</f>
        <v>0</v>
      </c>
      <c r="J330" s="166">
        <f>SUMIFS(Продажи!G$5:G$359,Продажи!$D$5:$D$359,Конструкторы!$B330,Продажи!$C$5:$C$359,Конструкторы!$A330)</f>
        <v>0</v>
      </c>
      <c r="K330" s="166">
        <f>SUMIFS(Продажи!H$5:H$359,Продажи!$D$5:$D$359,Конструкторы!$B330,Продажи!$C$5:$C$359,Конструкторы!$A330)</f>
        <v>0</v>
      </c>
      <c r="L330" s="166">
        <f>SUMIFS(Продажи!I$5:I$359,Продажи!$D$5:$D$359,Конструкторы!$B330,Продажи!$C$5:$C$359,Конструкторы!$A330)</f>
        <v>0</v>
      </c>
      <c r="M330" s="166">
        <f>SUMIFS(Продажи!J$5:J$359,Продажи!$D$5:$D$359,Конструкторы!$B330,Продажи!$C$5:$C$359,Конструкторы!$A330)</f>
        <v>0</v>
      </c>
      <c r="N330" s="166">
        <f>SUMIFS(Продажи!K$5:K$359,Продажи!$D$5:$D$359,Конструкторы!$B330,Продажи!$C$5:$C$359,Конструкторы!$A330)</f>
        <v>0</v>
      </c>
      <c r="O330" s="166">
        <f>SUMIFS(Продажи!L$5:L$359,Продажи!$D$5:$D$359,Конструкторы!$B330,Продажи!$C$5:$C$359,Конструкторы!$A330)</f>
        <v>0</v>
      </c>
      <c r="P330" s="166">
        <f>SUMIFS(Продажи!M$5:M$359,Продажи!$D$5:$D$359,Конструкторы!$B330,Продажи!$C$5:$C$359,Конструкторы!$A330)</f>
        <v>0</v>
      </c>
      <c r="Q330" s="166">
        <f>SUMIFS(Продажи!N$5:N$359,Продажи!$D$5:$D$359,Конструкторы!$B330,Продажи!$C$5:$C$359,Конструкторы!$A330)</f>
        <v>0</v>
      </c>
      <c r="R330" s="166">
        <f>SUMIFS(Продажи!O$5:O$359,Продажи!$D$5:$D$359,Конструкторы!$B330,Продажи!$C$5:$C$359,Конструкторы!$A330)</f>
        <v>0</v>
      </c>
      <c r="S330" s="166">
        <f>SUMIFS(Продажи!P$5:P$359,Продажи!$D$5:$D$359,Конструкторы!$B330,Продажи!$C$5:$C$359,Конструкторы!$A330)</f>
        <v>0</v>
      </c>
      <c r="T330" s="166">
        <f>SUMIFS(Продажи!Q$5:Q$359,Продажи!$D$5:$D$359,Конструкторы!$B330,Продажи!$C$5:$C$359,Конструкторы!$A330)</f>
        <v>0</v>
      </c>
    </row>
    <row r="331" spans="1:20" ht="15.75" hidden="1" x14ac:dyDescent="0.25">
      <c r="A331" s="166" t="s">
        <v>397</v>
      </c>
      <c r="B331" s="167" t="s">
        <v>186</v>
      </c>
      <c r="C331" s="129" t="s">
        <v>62</v>
      </c>
      <c r="D331" s="149"/>
      <c r="E331" s="153" t="s">
        <v>68</v>
      </c>
      <c r="F331" s="156">
        <f>(0.25*103)/100</f>
        <v>0.25750000000000001</v>
      </c>
      <c r="G331" s="156">
        <v>7.5000000000000067E-3</v>
      </c>
      <c r="H331" s="156">
        <f>F331+G331</f>
        <v>0.26500000000000001</v>
      </c>
      <c r="I331" s="166">
        <f>SUMIFS(Продажи!F$5:F$359,Продажи!$D$5:$D$359,Конструкторы!$B331,Продажи!$C$5:$C$359,Конструкторы!$A331)</f>
        <v>0</v>
      </c>
      <c r="J331" s="166">
        <f>SUMIFS(Продажи!G$5:G$359,Продажи!$D$5:$D$359,Конструкторы!$B331,Продажи!$C$5:$C$359,Конструкторы!$A331)</f>
        <v>0</v>
      </c>
      <c r="K331" s="166">
        <f>SUMIFS(Продажи!H$5:H$359,Продажи!$D$5:$D$359,Конструкторы!$B331,Продажи!$C$5:$C$359,Конструкторы!$A331)</f>
        <v>0</v>
      </c>
      <c r="L331" s="166">
        <f>SUMIFS(Продажи!I$5:I$359,Продажи!$D$5:$D$359,Конструкторы!$B331,Продажи!$C$5:$C$359,Конструкторы!$A331)</f>
        <v>0</v>
      </c>
      <c r="M331" s="166">
        <f>SUMIFS(Продажи!J$5:J$359,Продажи!$D$5:$D$359,Конструкторы!$B331,Продажи!$C$5:$C$359,Конструкторы!$A331)</f>
        <v>0</v>
      </c>
      <c r="N331" s="166">
        <f>SUMIFS(Продажи!K$5:K$359,Продажи!$D$5:$D$359,Конструкторы!$B331,Продажи!$C$5:$C$359,Конструкторы!$A331)</f>
        <v>0</v>
      </c>
      <c r="O331" s="166">
        <f>SUMIFS(Продажи!L$5:L$359,Продажи!$D$5:$D$359,Конструкторы!$B331,Продажи!$C$5:$C$359,Конструкторы!$A331)</f>
        <v>0</v>
      </c>
      <c r="P331" s="166">
        <f>SUMIFS(Продажи!M$5:M$359,Продажи!$D$5:$D$359,Конструкторы!$B331,Продажи!$C$5:$C$359,Конструкторы!$A331)</f>
        <v>0</v>
      </c>
      <c r="Q331" s="166">
        <f>SUMIFS(Продажи!N$5:N$359,Продажи!$D$5:$D$359,Конструкторы!$B331,Продажи!$C$5:$C$359,Конструкторы!$A331)</f>
        <v>0</v>
      </c>
      <c r="R331" s="166">
        <f>SUMIFS(Продажи!O$5:O$359,Продажи!$D$5:$D$359,Конструкторы!$B331,Продажи!$C$5:$C$359,Конструкторы!$A331)</f>
        <v>0</v>
      </c>
      <c r="S331" s="166">
        <f>SUMIFS(Продажи!P$5:P$359,Продажи!$D$5:$D$359,Конструкторы!$B331,Продажи!$C$5:$C$359,Конструкторы!$A331)</f>
        <v>0</v>
      </c>
      <c r="T331" s="166">
        <f>SUMIFS(Продажи!Q$5:Q$359,Продажи!$D$5:$D$359,Конструкторы!$B331,Продажи!$C$5:$C$359,Конструкторы!$A331)</f>
        <v>0</v>
      </c>
    </row>
    <row r="332" spans="1:20" ht="15.75" hidden="1" x14ac:dyDescent="0.25">
      <c r="A332" s="166" t="s">
        <v>397</v>
      </c>
      <c r="B332" s="167" t="s">
        <v>186</v>
      </c>
      <c r="C332" s="129" t="s">
        <v>63</v>
      </c>
      <c r="D332" s="149"/>
      <c r="E332" s="153" t="s">
        <v>68</v>
      </c>
      <c r="F332" s="156">
        <f>(0.25*103)/100</f>
        <v>0.25750000000000001</v>
      </c>
      <c r="G332" s="156">
        <v>7.5000000000000067E-3</v>
      </c>
      <c r="H332" s="156">
        <f>F332+G332</f>
        <v>0.26500000000000001</v>
      </c>
      <c r="I332" s="166">
        <f>SUMIFS(Продажи!F$5:F$359,Продажи!$D$5:$D$359,Конструкторы!$B332,Продажи!$C$5:$C$359,Конструкторы!$A332)</f>
        <v>0</v>
      </c>
      <c r="J332" s="166">
        <f>SUMIFS(Продажи!G$5:G$359,Продажи!$D$5:$D$359,Конструкторы!$B332,Продажи!$C$5:$C$359,Конструкторы!$A332)</f>
        <v>0</v>
      </c>
      <c r="K332" s="166">
        <f>SUMIFS(Продажи!H$5:H$359,Продажи!$D$5:$D$359,Конструкторы!$B332,Продажи!$C$5:$C$359,Конструкторы!$A332)</f>
        <v>0</v>
      </c>
      <c r="L332" s="166">
        <f>SUMIFS(Продажи!I$5:I$359,Продажи!$D$5:$D$359,Конструкторы!$B332,Продажи!$C$5:$C$359,Конструкторы!$A332)</f>
        <v>0</v>
      </c>
      <c r="M332" s="166">
        <f>SUMIFS(Продажи!J$5:J$359,Продажи!$D$5:$D$359,Конструкторы!$B332,Продажи!$C$5:$C$359,Конструкторы!$A332)</f>
        <v>0</v>
      </c>
      <c r="N332" s="166">
        <f>SUMIFS(Продажи!K$5:K$359,Продажи!$D$5:$D$359,Конструкторы!$B332,Продажи!$C$5:$C$359,Конструкторы!$A332)</f>
        <v>0</v>
      </c>
      <c r="O332" s="166">
        <f>SUMIFS(Продажи!L$5:L$359,Продажи!$D$5:$D$359,Конструкторы!$B332,Продажи!$C$5:$C$359,Конструкторы!$A332)</f>
        <v>0</v>
      </c>
      <c r="P332" s="166">
        <f>SUMIFS(Продажи!M$5:M$359,Продажи!$D$5:$D$359,Конструкторы!$B332,Продажи!$C$5:$C$359,Конструкторы!$A332)</f>
        <v>0</v>
      </c>
      <c r="Q332" s="166">
        <f>SUMIFS(Продажи!N$5:N$359,Продажи!$D$5:$D$359,Конструкторы!$B332,Продажи!$C$5:$C$359,Конструкторы!$A332)</f>
        <v>0</v>
      </c>
      <c r="R332" s="166">
        <f>SUMIFS(Продажи!O$5:O$359,Продажи!$D$5:$D$359,Конструкторы!$B332,Продажи!$C$5:$C$359,Конструкторы!$A332)</f>
        <v>0</v>
      </c>
      <c r="S332" s="166">
        <f>SUMIFS(Продажи!P$5:P$359,Продажи!$D$5:$D$359,Конструкторы!$B332,Продажи!$C$5:$C$359,Конструкторы!$A332)</f>
        <v>0</v>
      </c>
      <c r="T332" s="166">
        <f>SUMIFS(Продажи!Q$5:Q$359,Продажи!$D$5:$D$359,Конструкторы!$B332,Продажи!$C$5:$C$359,Конструкторы!$A332)</f>
        <v>0</v>
      </c>
    </row>
    <row r="333" spans="1:20" ht="15.75" hidden="1" x14ac:dyDescent="0.25">
      <c r="A333" s="166" t="s">
        <v>397</v>
      </c>
      <c r="B333" s="167" t="s">
        <v>186</v>
      </c>
      <c r="C333" s="33" t="s">
        <v>76</v>
      </c>
      <c r="D333" s="149"/>
      <c r="E333" s="153" t="s">
        <v>70</v>
      </c>
      <c r="F333" s="148">
        <v>6</v>
      </c>
      <c r="G333" s="156" t="s">
        <v>71</v>
      </c>
      <c r="H333" s="156">
        <f>F333</f>
        <v>6</v>
      </c>
      <c r="I333" s="166">
        <f>SUMIFS(Продажи!F$5:F$359,Продажи!$D$5:$D$359,Конструкторы!$B333,Продажи!$C$5:$C$359,Конструкторы!$A333)</f>
        <v>0</v>
      </c>
      <c r="J333" s="166">
        <f>SUMIFS(Продажи!G$5:G$359,Продажи!$D$5:$D$359,Конструкторы!$B333,Продажи!$C$5:$C$359,Конструкторы!$A333)</f>
        <v>0</v>
      </c>
      <c r="K333" s="166">
        <f>SUMIFS(Продажи!H$5:H$359,Продажи!$D$5:$D$359,Конструкторы!$B333,Продажи!$C$5:$C$359,Конструкторы!$A333)</f>
        <v>0</v>
      </c>
      <c r="L333" s="166">
        <f>SUMIFS(Продажи!I$5:I$359,Продажи!$D$5:$D$359,Конструкторы!$B333,Продажи!$C$5:$C$359,Конструкторы!$A333)</f>
        <v>0</v>
      </c>
      <c r="M333" s="166">
        <f>SUMIFS(Продажи!J$5:J$359,Продажи!$D$5:$D$359,Конструкторы!$B333,Продажи!$C$5:$C$359,Конструкторы!$A333)</f>
        <v>0</v>
      </c>
      <c r="N333" s="166">
        <f>SUMIFS(Продажи!K$5:K$359,Продажи!$D$5:$D$359,Конструкторы!$B333,Продажи!$C$5:$C$359,Конструкторы!$A333)</f>
        <v>0</v>
      </c>
      <c r="O333" s="166">
        <f>SUMIFS(Продажи!L$5:L$359,Продажи!$D$5:$D$359,Конструкторы!$B333,Продажи!$C$5:$C$359,Конструкторы!$A333)</f>
        <v>0</v>
      </c>
      <c r="P333" s="166">
        <f>SUMIFS(Продажи!M$5:M$359,Продажи!$D$5:$D$359,Конструкторы!$B333,Продажи!$C$5:$C$359,Конструкторы!$A333)</f>
        <v>0</v>
      </c>
      <c r="Q333" s="166">
        <f>SUMIFS(Продажи!N$5:N$359,Продажи!$D$5:$D$359,Конструкторы!$B333,Продажи!$C$5:$C$359,Конструкторы!$A333)</f>
        <v>0</v>
      </c>
      <c r="R333" s="166">
        <f>SUMIFS(Продажи!O$5:O$359,Продажи!$D$5:$D$359,Конструкторы!$B333,Продажи!$C$5:$C$359,Конструкторы!$A333)</f>
        <v>0</v>
      </c>
      <c r="S333" s="166">
        <f>SUMIFS(Продажи!P$5:P$359,Продажи!$D$5:$D$359,Конструкторы!$B333,Продажи!$C$5:$C$359,Конструкторы!$A333)</f>
        <v>0</v>
      </c>
      <c r="T333" s="166">
        <f>SUMIFS(Продажи!Q$5:Q$359,Продажи!$D$5:$D$359,Конструкторы!$B333,Продажи!$C$5:$C$359,Конструкторы!$A333)</f>
        <v>0</v>
      </c>
    </row>
    <row r="334" spans="1:20" ht="15.75" hidden="1" x14ac:dyDescent="0.25">
      <c r="A334" s="166" t="s">
        <v>397</v>
      </c>
      <c r="B334" s="167" t="s">
        <v>186</v>
      </c>
      <c r="C334" s="33" t="s">
        <v>75</v>
      </c>
      <c r="D334" s="149"/>
      <c r="E334" s="153" t="s">
        <v>70</v>
      </c>
      <c r="F334" s="148">
        <v>1</v>
      </c>
      <c r="G334" s="156" t="s">
        <v>71</v>
      </c>
      <c r="H334" s="156">
        <f>F334</f>
        <v>1</v>
      </c>
      <c r="I334" s="166">
        <f>SUMIFS(Продажи!F$5:F$359,Продажи!$D$5:$D$359,Конструкторы!$B334,Продажи!$C$5:$C$359,Конструкторы!$A334)</f>
        <v>0</v>
      </c>
      <c r="J334" s="166">
        <f>SUMIFS(Продажи!G$5:G$359,Продажи!$D$5:$D$359,Конструкторы!$B334,Продажи!$C$5:$C$359,Конструкторы!$A334)</f>
        <v>0</v>
      </c>
      <c r="K334" s="166">
        <f>SUMIFS(Продажи!H$5:H$359,Продажи!$D$5:$D$359,Конструкторы!$B334,Продажи!$C$5:$C$359,Конструкторы!$A334)</f>
        <v>0</v>
      </c>
      <c r="L334" s="166">
        <f>SUMIFS(Продажи!I$5:I$359,Продажи!$D$5:$D$359,Конструкторы!$B334,Продажи!$C$5:$C$359,Конструкторы!$A334)</f>
        <v>0</v>
      </c>
      <c r="M334" s="166">
        <f>SUMIFS(Продажи!J$5:J$359,Продажи!$D$5:$D$359,Конструкторы!$B334,Продажи!$C$5:$C$359,Конструкторы!$A334)</f>
        <v>0</v>
      </c>
      <c r="N334" s="166">
        <f>SUMIFS(Продажи!K$5:K$359,Продажи!$D$5:$D$359,Конструкторы!$B334,Продажи!$C$5:$C$359,Конструкторы!$A334)</f>
        <v>0</v>
      </c>
      <c r="O334" s="166">
        <f>SUMIFS(Продажи!L$5:L$359,Продажи!$D$5:$D$359,Конструкторы!$B334,Продажи!$C$5:$C$359,Конструкторы!$A334)</f>
        <v>0</v>
      </c>
      <c r="P334" s="166">
        <f>SUMIFS(Продажи!M$5:M$359,Продажи!$D$5:$D$359,Конструкторы!$B334,Продажи!$C$5:$C$359,Конструкторы!$A334)</f>
        <v>0</v>
      </c>
      <c r="Q334" s="166">
        <f>SUMIFS(Продажи!N$5:N$359,Продажи!$D$5:$D$359,Конструкторы!$B334,Продажи!$C$5:$C$359,Конструкторы!$A334)</f>
        <v>0</v>
      </c>
      <c r="R334" s="166">
        <f>SUMIFS(Продажи!O$5:O$359,Продажи!$D$5:$D$359,Конструкторы!$B334,Продажи!$C$5:$C$359,Конструкторы!$A334)</f>
        <v>0</v>
      </c>
      <c r="S334" s="166">
        <f>SUMIFS(Продажи!P$5:P$359,Продажи!$D$5:$D$359,Конструкторы!$B334,Продажи!$C$5:$C$359,Конструкторы!$A334)</f>
        <v>0</v>
      </c>
      <c r="T334" s="166">
        <f>SUMIFS(Продажи!Q$5:Q$359,Продажи!$D$5:$D$359,Конструкторы!$B334,Продажи!$C$5:$C$359,Конструкторы!$A334)</f>
        <v>0</v>
      </c>
    </row>
    <row r="335" spans="1:20" ht="15.75" hidden="1" x14ac:dyDescent="0.25">
      <c r="A335" s="166" t="s">
        <v>397</v>
      </c>
      <c r="B335" s="167" t="s">
        <v>187</v>
      </c>
      <c r="C335" s="129" t="s">
        <v>64</v>
      </c>
      <c r="D335" s="149"/>
      <c r="E335" s="153" t="s">
        <v>68</v>
      </c>
      <c r="F335" s="156">
        <f>(0.65*103)/100</f>
        <v>0.66949999999999998</v>
      </c>
      <c r="G335" s="156">
        <v>1.9499999999999962E-2</v>
      </c>
      <c r="H335" s="156">
        <f>F335+G335</f>
        <v>0.68899999999999995</v>
      </c>
      <c r="I335" s="166">
        <f>SUMIFS(Продажи!F$5:F$359,Продажи!$D$5:$D$359,Конструкторы!$B335,Продажи!$C$5:$C$359,Конструкторы!$A335)</f>
        <v>0</v>
      </c>
      <c r="J335" s="166">
        <f>SUMIFS(Продажи!G$5:G$359,Продажи!$D$5:$D$359,Конструкторы!$B335,Продажи!$C$5:$C$359,Конструкторы!$A335)</f>
        <v>0</v>
      </c>
      <c r="K335" s="166">
        <f>SUMIFS(Продажи!H$5:H$359,Продажи!$D$5:$D$359,Конструкторы!$B335,Продажи!$C$5:$C$359,Конструкторы!$A335)</f>
        <v>0</v>
      </c>
      <c r="L335" s="166">
        <f>SUMIFS(Продажи!I$5:I$359,Продажи!$D$5:$D$359,Конструкторы!$B335,Продажи!$C$5:$C$359,Конструкторы!$A335)</f>
        <v>0</v>
      </c>
      <c r="M335" s="166">
        <f>SUMIFS(Продажи!J$5:J$359,Продажи!$D$5:$D$359,Конструкторы!$B335,Продажи!$C$5:$C$359,Конструкторы!$A335)</f>
        <v>0</v>
      </c>
      <c r="N335" s="166">
        <f>SUMIFS(Продажи!K$5:K$359,Продажи!$D$5:$D$359,Конструкторы!$B335,Продажи!$C$5:$C$359,Конструкторы!$A335)</f>
        <v>0</v>
      </c>
      <c r="O335" s="166">
        <f>SUMIFS(Продажи!L$5:L$359,Продажи!$D$5:$D$359,Конструкторы!$B335,Продажи!$C$5:$C$359,Конструкторы!$A335)</f>
        <v>0</v>
      </c>
      <c r="P335" s="166">
        <f>SUMIFS(Продажи!M$5:M$359,Продажи!$D$5:$D$359,Конструкторы!$B335,Продажи!$C$5:$C$359,Конструкторы!$A335)</f>
        <v>0</v>
      </c>
      <c r="Q335" s="166">
        <f>SUMIFS(Продажи!N$5:N$359,Продажи!$D$5:$D$359,Конструкторы!$B335,Продажи!$C$5:$C$359,Конструкторы!$A335)</f>
        <v>0</v>
      </c>
      <c r="R335" s="166">
        <f>SUMIFS(Продажи!O$5:O$359,Продажи!$D$5:$D$359,Конструкторы!$B335,Продажи!$C$5:$C$359,Конструкторы!$A335)</f>
        <v>0</v>
      </c>
      <c r="S335" s="166">
        <f>SUMIFS(Продажи!P$5:P$359,Продажи!$D$5:$D$359,Конструкторы!$B335,Продажи!$C$5:$C$359,Конструкторы!$A335)</f>
        <v>0</v>
      </c>
      <c r="T335" s="166">
        <f>SUMIFS(Продажи!Q$5:Q$359,Продажи!$D$5:$D$359,Конструкторы!$B335,Продажи!$C$5:$C$359,Конструкторы!$A335)</f>
        <v>0</v>
      </c>
    </row>
    <row r="336" spans="1:20" ht="15.75" hidden="1" x14ac:dyDescent="0.25">
      <c r="A336" s="166" t="s">
        <v>397</v>
      </c>
      <c r="B336" s="167" t="s">
        <v>187</v>
      </c>
      <c r="C336" s="129" t="s">
        <v>60</v>
      </c>
      <c r="D336" s="149"/>
      <c r="E336" s="153" t="s">
        <v>68</v>
      </c>
      <c r="F336" s="156">
        <f>(0.15*103)/100</f>
        <v>0.1545</v>
      </c>
      <c r="G336" s="156">
        <v>4.500000000000004E-3</v>
      </c>
      <c r="H336" s="156">
        <f>F336+G336</f>
        <v>0.159</v>
      </c>
      <c r="I336" s="166">
        <f>SUMIFS(Продажи!F$5:F$359,Продажи!$D$5:$D$359,Конструкторы!$B336,Продажи!$C$5:$C$359,Конструкторы!$A336)</f>
        <v>0</v>
      </c>
      <c r="J336" s="166">
        <f>SUMIFS(Продажи!G$5:G$359,Продажи!$D$5:$D$359,Конструкторы!$B336,Продажи!$C$5:$C$359,Конструкторы!$A336)</f>
        <v>0</v>
      </c>
      <c r="K336" s="166">
        <f>SUMIFS(Продажи!H$5:H$359,Продажи!$D$5:$D$359,Конструкторы!$B336,Продажи!$C$5:$C$359,Конструкторы!$A336)</f>
        <v>0</v>
      </c>
      <c r="L336" s="166">
        <f>SUMIFS(Продажи!I$5:I$359,Продажи!$D$5:$D$359,Конструкторы!$B336,Продажи!$C$5:$C$359,Конструкторы!$A336)</f>
        <v>0</v>
      </c>
      <c r="M336" s="166">
        <f>SUMIFS(Продажи!J$5:J$359,Продажи!$D$5:$D$359,Конструкторы!$B336,Продажи!$C$5:$C$359,Конструкторы!$A336)</f>
        <v>0</v>
      </c>
      <c r="N336" s="166">
        <f>SUMIFS(Продажи!K$5:K$359,Продажи!$D$5:$D$359,Конструкторы!$B336,Продажи!$C$5:$C$359,Конструкторы!$A336)</f>
        <v>0</v>
      </c>
      <c r="O336" s="166">
        <f>SUMIFS(Продажи!L$5:L$359,Продажи!$D$5:$D$359,Конструкторы!$B336,Продажи!$C$5:$C$359,Конструкторы!$A336)</f>
        <v>0</v>
      </c>
      <c r="P336" s="166">
        <f>SUMIFS(Продажи!M$5:M$359,Продажи!$D$5:$D$359,Конструкторы!$B336,Продажи!$C$5:$C$359,Конструкторы!$A336)</f>
        <v>0</v>
      </c>
      <c r="Q336" s="166">
        <f>SUMIFS(Продажи!N$5:N$359,Продажи!$D$5:$D$359,Конструкторы!$B336,Продажи!$C$5:$C$359,Конструкторы!$A336)</f>
        <v>0</v>
      </c>
      <c r="R336" s="166">
        <f>SUMIFS(Продажи!O$5:O$359,Продажи!$D$5:$D$359,Конструкторы!$B336,Продажи!$C$5:$C$359,Конструкторы!$A336)</f>
        <v>0</v>
      </c>
      <c r="S336" s="166">
        <f>SUMIFS(Продажи!P$5:P$359,Продажи!$D$5:$D$359,Конструкторы!$B336,Продажи!$C$5:$C$359,Конструкторы!$A336)</f>
        <v>0</v>
      </c>
      <c r="T336" s="166">
        <f>SUMIFS(Продажи!Q$5:Q$359,Продажи!$D$5:$D$359,Конструкторы!$B336,Продажи!$C$5:$C$359,Конструкторы!$A336)</f>
        <v>0</v>
      </c>
    </row>
    <row r="337" spans="1:20" ht="15.75" hidden="1" x14ac:dyDescent="0.25">
      <c r="A337" s="166" t="s">
        <v>397</v>
      </c>
      <c r="B337" s="167" t="s">
        <v>187</v>
      </c>
      <c r="C337" s="33" t="s">
        <v>76</v>
      </c>
      <c r="D337" s="149"/>
      <c r="E337" s="153" t="s">
        <v>70</v>
      </c>
      <c r="F337" s="148">
        <v>6</v>
      </c>
      <c r="G337" s="156" t="s">
        <v>71</v>
      </c>
      <c r="H337" s="156">
        <f>F337</f>
        <v>6</v>
      </c>
      <c r="I337" s="166">
        <f>SUMIFS(Продажи!F$5:F$359,Продажи!$D$5:$D$359,Конструкторы!$B337,Продажи!$C$5:$C$359,Конструкторы!$A337)</f>
        <v>0</v>
      </c>
      <c r="J337" s="166">
        <f>SUMIFS(Продажи!G$5:G$359,Продажи!$D$5:$D$359,Конструкторы!$B337,Продажи!$C$5:$C$359,Конструкторы!$A337)</f>
        <v>0</v>
      </c>
      <c r="K337" s="166">
        <f>SUMIFS(Продажи!H$5:H$359,Продажи!$D$5:$D$359,Конструкторы!$B337,Продажи!$C$5:$C$359,Конструкторы!$A337)</f>
        <v>0</v>
      </c>
      <c r="L337" s="166">
        <f>SUMIFS(Продажи!I$5:I$359,Продажи!$D$5:$D$359,Конструкторы!$B337,Продажи!$C$5:$C$359,Конструкторы!$A337)</f>
        <v>0</v>
      </c>
      <c r="M337" s="166">
        <f>SUMIFS(Продажи!J$5:J$359,Продажи!$D$5:$D$359,Конструкторы!$B337,Продажи!$C$5:$C$359,Конструкторы!$A337)</f>
        <v>0</v>
      </c>
      <c r="N337" s="166">
        <f>SUMIFS(Продажи!K$5:K$359,Продажи!$D$5:$D$359,Конструкторы!$B337,Продажи!$C$5:$C$359,Конструкторы!$A337)</f>
        <v>0</v>
      </c>
      <c r="O337" s="166">
        <f>SUMIFS(Продажи!L$5:L$359,Продажи!$D$5:$D$359,Конструкторы!$B337,Продажи!$C$5:$C$359,Конструкторы!$A337)</f>
        <v>0</v>
      </c>
      <c r="P337" s="166">
        <f>SUMIFS(Продажи!M$5:M$359,Продажи!$D$5:$D$359,Конструкторы!$B337,Продажи!$C$5:$C$359,Конструкторы!$A337)</f>
        <v>0</v>
      </c>
      <c r="Q337" s="166">
        <f>SUMIFS(Продажи!N$5:N$359,Продажи!$D$5:$D$359,Конструкторы!$B337,Продажи!$C$5:$C$359,Конструкторы!$A337)</f>
        <v>0</v>
      </c>
      <c r="R337" s="166">
        <f>SUMIFS(Продажи!O$5:O$359,Продажи!$D$5:$D$359,Конструкторы!$B337,Продажи!$C$5:$C$359,Конструкторы!$A337)</f>
        <v>0</v>
      </c>
      <c r="S337" s="166">
        <f>SUMIFS(Продажи!P$5:P$359,Продажи!$D$5:$D$359,Конструкторы!$B337,Продажи!$C$5:$C$359,Конструкторы!$A337)</f>
        <v>0</v>
      </c>
      <c r="T337" s="166">
        <f>SUMIFS(Продажи!Q$5:Q$359,Продажи!$D$5:$D$359,Конструкторы!$B337,Продажи!$C$5:$C$359,Конструкторы!$A337)</f>
        <v>0</v>
      </c>
    </row>
    <row r="338" spans="1:20" ht="15.75" hidden="1" x14ac:dyDescent="0.25">
      <c r="A338" s="166" t="s">
        <v>397</v>
      </c>
      <c r="B338" s="167" t="s">
        <v>187</v>
      </c>
      <c r="C338" s="33" t="s">
        <v>75</v>
      </c>
      <c r="D338" s="149"/>
      <c r="E338" s="153" t="s">
        <v>70</v>
      </c>
      <c r="F338" s="148">
        <v>5</v>
      </c>
      <c r="G338" s="156" t="s">
        <v>71</v>
      </c>
      <c r="H338" s="156">
        <f>F338</f>
        <v>5</v>
      </c>
      <c r="I338" s="166">
        <f>SUMIFS(Продажи!F$5:F$359,Продажи!$D$5:$D$359,Конструкторы!$B338,Продажи!$C$5:$C$359,Конструкторы!$A338)</f>
        <v>0</v>
      </c>
      <c r="J338" s="166">
        <f>SUMIFS(Продажи!G$5:G$359,Продажи!$D$5:$D$359,Конструкторы!$B338,Продажи!$C$5:$C$359,Конструкторы!$A338)</f>
        <v>0</v>
      </c>
      <c r="K338" s="166">
        <f>SUMIFS(Продажи!H$5:H$359,Продажи!$D$5:$D$359,Конструкторы!$B338,Продажи!$C$5:$C$359,Конструкторы!$A338)</f>
        <v>0</v>
      </c>
      <c r="L338" s="166">
        <f>SUMIFS(Продажи!I$5:I$359,Продажи!$D$5:$D$359,Конструкторы!$B338,Продажи!$C$5:$C$359,Конструкторы!$A338)</f>
        <v>0</v>
      </c>
      <c r="M338" s="166">
        <f>SUMIFS(Продажи!J$5:J$359,Продажи!$D$5:$D$359,Конструкторы!$B338,Продажи!$C$5:$C$359,Конструкторы!$A338)</f>
        <v>0</v>
      </c>
      <c r="N338" s="166">
        <f>SUMIFS(Продажи!K$5:K$359,Продажи!$D$5:$D$359,Конструкторы!$B338,Продажи!$C$5:$C$359,Конструкторы!$A338)</f>
        <v>0</v>
      </c>
      <c r="O338" s="166">
        <f>SUMIFS(Продажи!L$5:L$359,Продажи!$D$5:$D$359,Конструкторы!$B338,Продажи!$C$5:$C$359,Конструкторы!$A338)</f>
        <v>0</v>
      </c>
      <c r="P338" s="166">
        <f>SUMIFS(Продажи!M$5:M$359,Продажи!$D$5:$D$359,Конструкторы!$B338,Продажи!$C$5:$C$359,Конструкторы!$A338)</f>
        <v>0</v>
      </c>
      <c r="Q338" s="166">
        <f>SUMIFS(Продажи!N$5:N$359,Продажи!$D$5:$D$359,Конструкторы!$B338,Продажи!$C$5:$C$359,Конструкторы!$A338)</f>
        <v>0</v>
      </c>
      <c r="R338" s="166">
        <f>SUMIFS(Продажи!O$5:O$359,Продажи!$D$5:$D$359,Конструкторы!$B338,Продажи!$C$5:$C$359,Конструкторы!$A338)</f>
        <v>0</v>
      </c>
      <c r="S338" s="166">
        <f>SUMIFS(Продажи!P$5:P$359,Продажи!$D$5:$D$359,Конструкторы!$B338,Продажи!$C$5:$C$359,Конструкторы!$A338)</f>
        <v>0</v>
      </c>
      <c r="T338" s="166">
        <f>SUMIFS(Продажи!Q$5:Q$359,Продажи!$D$5:$D$359,Конструкторы!$B338,Продажи!$C$5:$C$359,Конструкторы!$A338)</f>
        <v>0</v>
      </c>
    </row>
    <row r="339" spans="1:20" ht="15.75" hidden="1" x14ac:dyDescent="0.25">
      <c r="A339" s="166" t="s">
        <v>397</v>
      </c>
      <c r="B339" s="167" t="s">
        <v>188</v>
      </c>
      <c r="C339" s="129" t="s">
        <v>64</v>
      </c>
      <c r="D339" s="149"/>
      <c r="E339" s="153" t="s">
        <v>68</v>
      </c>
      <c r="F339" s="156">
        <f>(0.55*103)/100</f>
        <v>0.5665</v>
      </c>
      <c r="G339" s="156">
        <v>1.6499999999999959E-2</v>
      </c>
      <c r="H339" s="156">
        <f>F339+G339</f>
        <v>0.58299999999999996</v>
      </c>
      <c r="I339" s="166">
        <f>SUMIFS(Продажи!F$5:F$359,Продажи!$D$5:$D$359,Конструкторы!$B339,Продажи!$C$5:$C$359,Конструкторы!$A339)</f>
        <v>0</v>
      </c>
      <c r="J339" s="166">
        <f>SUMIFS(Продажи!G$5:G$359,Продажи!$D$5:$D$359,Конструкторы!$B339,Продажи!$C$5:$C$359,Конструкторы!$A339)</f>
        <v>0</v>
      </c>
      <c r="K339" s="166">
        <f>SUMIFS(Продажи!H$5:H$359,Продажи!$D$5:$D$359,Конструкторы!$B339,Продажи!$C$5:$C$359,Конструкторы!$A339)</f>
        <v>0</v>
      </c>
      <c r="L339" s="166">
        <f>SUMIFS(Продажи!I$5:I$359,Продажи!$D$5:$D$359,Конструкторы!$B339,Продажи!$C$5:$C$359,Конструкторы!$A339)</f>
        <v>0</v>
      </c>
      <c r="M339" s="166">
        <f>SUMIFS(Продажи!J$5:J$359,Продажи!$D$5:$D$359,Конструкторы!$B339,Продажи!$C$5:$C$359,Конструкторы!$A339)</f>
        <v>0</v>
      </c>
      <c r="N339" s="166">
        <f>SUMIFS(Продажи!K$5:K$359,Продажи!$D$5:$D$359,Конструкторы!$B339,Продажи!$C$5:$C$359,Конструкторы!$A339)</f>
        <v>0</v>
      </c>
      <c r="O339" s="166">
        <f>SUMIFS(Продажи!L$5:L$359,Продажи!$D$5:$D$359,Конструкторы!$B339,Продажи!$C$5:$C$359,Конструкторы!$A339)</f>
        <v>0</v>
      </c>
      <c r="P339" s="166">
        <f>SUMIFS(Продажи!M$5:M$359,Продажи!$D$5:$D$359,Конструкторы!$B339,Продажи!$C$5:$C$359,Конструкторы!$A339)</f>
        <v>0</v>
      </c>
      <c r="Q339" s="166">
        <f>SUMIFS(Продажи!N$5:N$359,Продажи!$D$5:$D$359,Конструкторы!$B339,Продажи!$C$5:$C$359,Конструкторы!$A339)</f>
        <v>0</v>
      </c>
      <c r="R339" s="166">
        <f>SUMIFS(Продажи!O$5:O$359,Продажи!$D$5:$D$359,Конструкторы!$B339,Продажи!$C$5:$C$359,Конструкторы!$A339)</f>
        <v>0</v>
      </c>
      <c r="S339" s="166">
        <f>SUMIFS(Продажи!P$5:P$359,Продажи!$D$5:$D$359,Конструкторы!$B339,Продажи!$C$5:$C$359,Конструкторы!$A339)</f>
        <v>0</v>
      </c>
      <c r="T339" s="166">
        <f>SUMIFS(Продажи!Q$5:Q$359,Продажи!$D$5:$D$359,Конструкторы!$B339,Продажи!$C$5:$C$359,Конструкторы!$A339)</f>
        <v>0</v>
      </c>
    </row>
    <row r="340" spans="1:20" ht="15.75" hidden="1" x14ac:dyDescent="0.25">
      <c r="A340" s="166" t="s">
        <v>397</v>
      </c>
      <c r="B340" s="167" t="s">
        <v>188</v>
      </c>
      <c r="C340" s="129" t="s">
        <v>61</v>
      </c>
      <c r="D340" s="149"/>
      <c r="E340" s="153" t="s">
        <v>68</v>
      </c>
      <c r="F340" s="156">
        <f>(0.15*103)/100</f>
        <v>0.1545</v>
      </c>
      <c r="G340" s="156">
        <v>4.500000000000004E-3</v>
      </c>
      <c r="H340" s="156">
        <f>F340+G340</f>
        <v>0.159</v>
      </c>
      <c r="I340" s="166">
        <f>SUMIFS(Продажи!F$5:F$359,Продажи!$D$5:$D$359,Конструкторы!$B340,Продажи!$C$5:$C$359,Конструкторы!$A340)</f>
        <v>0</v>
      </c>
      <c r="J340" s="166">
        <f>SUMIFS(Продажи!G$5:G$359,Продажи!$D$5:$D$359,Конструкторы!$B340,Продажи!$C$5:$C$359,Конструкторы!$A340)</f>
        <v>0</v>
      </c>
      <c r="K340" s="166">
        <f>SUMIFS(Продажи!H$5:H$359,Продажи!$D$5:$D$359,Конструкторы!$B340,Продажи!$C$5:$C$359,Конструкторы!$A340)</f>
        <v>0</v>
      </c>
      <c r="L340" s="166">
        <f>SUMIFS(Продажи!I$5:I$359,Продажи!$D$5:$D$359,Конструкторы!$B340,Продажи!$C$5:$C$359,Конструкторы!$A340)</f>
        <v>0</v>
      </c>
      <c r="M340" s="166">
        <f>SUMIFS(Продажи!J$5:J$359,Продажи!$D$5:$D$359,Конструкторы!$B340,Продажи!$C$5:$C$359,Конструкторы!$A340)</f>
        <v>0</v>
      </c>
      <c r="N340" s="166">
        <f>SUMIFS(Продажи!K$5:K$359,Продажи!$D$5:$D$359,Конструкторы!$B340,Продажи!$C$5:$C$359,Конструкторы!$A340)</f>
        <v>0</v>
      </c>
      <c r="O340" s="166">
        <f>SUMIFS(Продажи!L$5:L$359,Продажи!$D$5:$D$359,Конструкторы!$B340,Продажи!$C$5:$C$359,Конструкторы!$A340)</f>
        <v>0</v>
      </c>
      <c r="P340" s="166">
        <f>SUMIFS(Продажи!M$5:M$359,Продажи!$D$5:$D$359,Конструкторы!$B340,Продажи!$C$5:$C$359,Конструкторы!$A340)</f>
        <v>0</v>
      </c>
      <c r="Q340" s="166">
        <f>SUMIFS(Продажи!N$5:N$359,Продажи!$D$5:$D$359,Конструкторы!$B340,Продажи!$C$5:$C$359,Конструкторы!$A340)</f>
        <v>0</v>
      </c>
      <c r="R340" s="166">
        <f>SUMIFS(Продажи!O$5:O$359,Продажи!$D$5:$D$359,Конструкторы!$B340,Продажи!$C$5:$C$359,Конструкторы!$A340)</f>
        <v>0</v>
      </c>
      <c r="S340" s="166">
        <f>SUMIFS(Продажи!P$5:P$359,Продажи!$D$5:$D$359,Конструкторы!$B340,Продажи!$C$5:$C$359,Конструкторы!$A340)</f>
        <v>0</v>
      </c>
      <c r="T340" s="166">
        <f>SUMIFS(Продажи!Q$5:Q$359,Продажи!$D$5:$D$359,Конструкторы!$B340,Продажи!$C$5:$C$359,Конструкторы!$A340)</f>
        <v>0</v>
      </c>
    </row>
    <row r="341" spans="1:20" ht="15.75" hidden="1" x14ac:dyDescent="0.25">
      <c r="A341" s="166" t="s">
        <v>397</v>
      </c>
      <c r="B341" s="167" t="s">
        <v>188</v>
      </c>
      <c r="C341" s="33" t="s">
        <v>76</v>
      </c>
      <c r="D341" s="149"/>
      <c r="E341" s="153" t="s">
        <v>70</v>
      </c>
      <c r="F341" s="148">
        <v>6</v>
      </c>
      <c r="G341" s="156" t="s">
        <v>71</v>
      </c>
      <c r="H341" s="156">
        <f>F341</f>
        <v>6</v>
      </c>
      <c r="I341" s="166">
        <f>SUMIFS(Продажи!F$5:F$359,Продажи!$D$5:$D$359,Конструкторы!$B341,Продажи!$C$5:$C$359,Конструкторы!$A341)</f>
        <v>0</v>
      </c>
      <c r="J341" s="166">
        <f>SUMIFS(Продажи!G$5:G$359,Продажи!$D$5:$D$359,Конструкторы!$B341,Продажи!$C$5:$C$359,Конструкторы!$A341)</f>
        <v>0</v>
      </c>
      <c r="K341" s="166">
        <f>SUMIFS(Продажи!H$5:H$359,Продажи!$D$5:$D$359,Конструкторы!$B341,Продажи!$C$5:$C$359,Конструкторы!$A341)</f>
        <v>0</v>
      </c>
      <c r="L341" s="166">
        <f>SUMIFS(Продажи!I$5:I$359,Продажи!$D$5:$D$359,Конструкторы!$B341,Продажи!$C$5:$C$359,Конструкторы!$A341)</f>
        <v>0</v>
      </c>
      <c r="M341" s="166">
        <f>SUMIFS(Продажи!J$5:J$359,Продажи!$D$5:$D$359,Конструкторы!$B341,Продажи!$C$5:$C$359,Конструкторы!$A341)</f>
        <v>0</v>
      </c>
      <c r="N341" s="166">
        <f>SUMIFS(Продажи!K$5:K$359,Продажи!$D$5:$D$359,Конструкторы!$B341,Продажи!$C$5:$C$359,Конструкторы!$A341)</f>
        <v>0</v>
      </c>
      <c r="O341" s="166">
        <f>SUMIFS(Продажи!L$5:L$359,Продажи!$D$5:$D$359,Конструкторы!$B341,Продажи!$C$5:$C$359,Конструкторы!$A341)</f>
        <v>0</v>
      </c>
      <c r="P341" s="166">
        <f>SUMIFS(Продажи!M$5:M$359,Продажи!$D$5:$D$359,Конструкторы!$B341,Продажи!$C$5:$C$359,Конструкторы!$A341)</f>
        <v>0</v>
      </c>
      <c r="Q341" s="166">
        <f>SUMIFS(Продажи!N$5:N$359,Продажи!$D$5:$D$359,Конструкторы!$B341,Продажи!$C$5:$C$359,Конструкторы!$A341)</f>
        <v>0</v>
      </c>
      <c r="R341" s="166">
        <f>SUMIFS(Продажи!O$5:O$359,Продажи!$D$5:$D$359,Конструкторы!$B341,Продажи!$C$5:$C$359,Конструкторы!$A341)</f>
        <v>0</v>
      </c>
      <c r="S341" s="166">
        <f>SUMIFS(Продажи!P$5:P$359,Продажи!$D$5:$D$359,Конструкторы!$B341,Продажи!$C$5:$C$359,Конструкторы!$A341)</f>
        <v>0</v>
      </c>
      <c r="T341" s="166">
        <f>SUMIFS(Продажи!Q$5:Q$359,Продажи!$D$5:$D$359,Конструкторы!$B341,Продажи!$C$5:$C$359,Конструкторы!$A341)</f>
        <v>0</v>
      </c>
    </row>
    <row r="342" spans="1:20" ht="15.75" hidden="1" x14ac:dyDescent="0.25">
      <c r="A342" s="166" t="s">
        <v>397</v>
      </c>
      <c r="B342" s="167" t="s">
        <v>188</v>
      </c>
      <c r="C342" s="33" t="s">
        <v>75</v>
      </c>
      <c r="D342" s="149"/>
      <c r="E342" s="153" t="s">
        <v>70</v>
      </c>
      <c r="F342" s="148">
        <v>4</v>
      </c>
      <c r="G342" s="156" t="s">
        <v>71</v>
      </c>
      <c r="H342" s="156">
        <f>F342</f>
        <v>4</v>
      </c>
      <c r="I342" s="166">
        <f>SUMIFS(Продажи!F$5:F$359,Продажи!$D$5:$D$359,Конструкторы!$B342,Продажи!$C$5:$C$359,Конструкторы!$A342)</f>
        <v>0</v>
      </c>
      <c r="J342" s="166">
        <f>SUMIFS(Продажи!G$5:G$359,Продажи!$D$5:$D$359,Конструкторы!$B342,Продажи!$C$5:$C$359,Конструкторы!$A342)</f>
        <v>0</v>
      </c>
      <c r="K342" s="166">
        <f>SUMIFS(Продажи!H$5:H$359,Продажи!$D$5:$D$359,Конструкторы!$B342,Продажи!$C$5:$C$359,Конструкторы!$A342)</f>
        <v>0</v>
      </c>
      <c r="L342" s="166">
        <f>SUMIFS(Продажи!I$5:I$359,Продажи!$D$5:$D$359,Конструкторы!$B342,Продажи!$C$5:$C$359,Конструкторы!$A342)</f>
        <v>0</v>
      </c>
      <c r="M342" s="166">
        <f>SUMIFS(Продажи!J$5:J$359,Продажи!$D$5:$D$359,Конструкторы!$B342,Продажи!$C$5:$C$359,Конструкторы!$A342)</f>
        <v>0</v>
      </c>
      <c r="N342" s="166">
        <f>SUMIFS(Продажи!K$5:K$359,Продажи!$D$5:$D$359,Конструкторы!$B342,Продажи!$C$5:$C$359,Конструкторы!$A342)</f>
        <v>0</v>
      </c>
      <c r="O342" s="166">
        <f>SUMIFS(Продажи!L$5:L$359,Продажи!$D$5:$D$359,Конструкторы!$B342,Продажи!$C$5:$C$359,Конструкторы!$A342)</f>
        <v>0</v>
      </c>
      <c r="P342" s="166">
        <f>SUMIFS(Продажи!M$5:M$359,Продажи!$D$5:$D$359,Конструкторы!$B342,Продажи!$C$5:$C$359,Конструкторы!$A342)</f>
        <v>0</v>
      </c>
      <c r="Q342" s="166">
        <f>SUMIFS(Продажи!N$5:N$359,Продажи!$D$5:$D$359,Конструкторы!$B342,Продажи!$C$5:$C$359,Конструкторы!$A342)</f>
        <v>0</v>
      </c>
      <c r="R342" s="166">
        <f>SUMIFS(Продажи!O$5:O$359,Продажи!$D$5:$D$359,Конструкторы!$B342,Продажи!$C$5:$C$359,Конструкторы!$A342)</f>
        <v>0</v>
      </c>
      <c r="S342" s="166">
        <f>SUMIFS(Продажи!P$5:P$359,Продажи!$D$5:$D$359,Конструкторы!$B342,Продажи!$C$5:$C$359,Конструкторы!$A342)</f>
        <v>0</v>
      </c>
      <c r="T342" s="166">
        <f>SUMIFS(Продажи!Q$5:Q$359,Продажи!$D$5:$D$359,Конструкторы!$B342,Продажи!$C$5:$C$359,Конструкторы!$A342)</f>
        <v>0</v>
      </c>
    </row>
    <row r="343" spans="1:20" ht="15.75" hidden="1" x14ac:dyDescent="0.25">
      <c r="A343" s="166" t="s">
        <v>397</v>
      </c>
      <c r="B343" s="167" t="s">
        <v>189</v>
      </c>
      <c r="C343" s="129" t="s">
        <v>64</v>
      </c>
      <c r="D343" s="149"/>
      <c r="E343" s="153" t="s">
        <v>68</v>
      </c>
      <c r="F343" s="156">
        <f>(0.45*103)/100</f>
        <v>0.46350000000000002</v>
      </c>
      <c r="G343" s="156">
        <v>1.3500000000000012E-2</v>
      </c>
      <c r="H343" s="156">
        <f>F343+G343</f>
        <v>0.47700000000000004</v>
      </c>
      <c r="I343" s="166">
        <f>SUMIFS(Продажи!F$5:F$359,Продажи!$D$5:$D$359,Конструкторы!$B343,Продажи!$C$5:$C$359,Конструкторы!$A343)</f>
        <v>0</v>
      </c>
      <c r="J343" s="166">
        <f>SUMIFS(Продажи!G$5:G$359,Продажи!$D$5:$D$359,Конструкторы!$B343,Продажи!$C$5:$C$359,Конструкторы!$A343)</f>
        <v>0</v>
      </c>
      <c r="K343" s="166">
        <f>SUMIFS(Продажи!H$5:H$359,Продажи!$D$5:$D$359,Конструкторы!$B343,Продажи!$C$5:$C$359,Конструкторы!$A343)</f>
        <v>0</v>
      </c>
      <c r="L343" s="166">
        <f>SUMIFS(Продажи!I$5:I$359,Продажи!$D$5:$D$359,Конструкторы!$B343,Продажи!$C$5:$C$359,Конструкторы!$A343)</f>
        <v>0</v>
      </c>
      <c r="M343" s="166">
        <f>SUMIFS(Продажи!J$5:J$359,Продажи!$D$5:$D$359,Конструкторы!$B343,Продажи!$C$5:$C$359,Конструкторы!$A343)</f>
        <v>0</v>
      </c>
      <c r="N343" s="166">
        <f>SUMIFS(Продажи!K$5:K$359,Продажи!$D$5:$D$359,Конструкторы!$B343,Продажи!$C$5:$C$359,Конструкторы!$A343)</f>
        <v>0</v>
      </c>
      <c r="O343" s="166">
        <f>SUMIFS(Продажи!L$5:L$359,Продажи!$D$5:$D$359,Конструкторы!$B343,Продажи!$C$5:$C$359,Конструкторы!$A343)</f>
        <v>0</v>
      </c>
      <c r="P343" s="166">
        <f>SUMIFS(Продажи!M$5:M$359,Продажи!$D$5:$D$359,Конструкторы!$B343,Продажи!$C$5:$C$359,Конструкторы!$A343)</f>
        <v>0</v>
      </c>
      <c r="Q343" s="166">
        <f>SUMIFS(Продажи!N$5:N$359,Продажи!$D$5:$D$359,Конструкторы!$B343,Продажи!$C$5:$C$359,Конструкторы!$A343)</f>
        <v>0</v>
      </c>
      <c r="R343" s="166">
        <f>SUMIFS(Продажи!O$5:O$359,Продажи!$D$5:$D$359,Конструкторы!$B343,Продажи!$C$5:$C$359,Конструкторы!$A343)</f>
        <v>0</v>
      </c>
      <c r="S343" s="166">
        <f>SUMIFS(Продажи!P$5:P$359,Продажи!$D$5:$D$359,Конструкторы!$B343,Продажи!$C$5:$C$359,Конструкторы!$A343)</f>
        <v>0</v>
      </c>
      <c r="T343" s="166">
        <f>SUMIFS(Продажи!Q$5:Q$359,Продажи!$D$5:$D$359,Конструкторы!$B343,Продажи!$C$5:$C$359,Конструкторы!$A343)</f>
        <v>0</v>
      </c>
    </row>
    <row r="344" spans="1:20" ht="15.75" hidden="1" x14ac:dyDescent="0.25">
      <c r="A344" s="166" t="s">
        <v>397</v>
      </c>
      <c r="B344" s="167" t="s">
        <v>189</v>
      </c>
      <c r="C344" s="129" t="s">
        <v>62</v>
      </c>
      <c r="D344" s="149"/>
      <c r="E344" s="153" t="s">
        <v>68</v>
      </c>
      <c r="F344" s="156">
        <f>(0.15*103)/100</f>
        <v>0.1545</v>
      </c>
      <c r="G344" s="156">
        <v>4.500000000000004E-3</v>
      </c>
      <c r="H344" s="156">
        <f>F344+G344</f>
        <v>0.159</v>
      </c>
      <c r="I344" s="166">
        <f>SUMIFS(Продажи!F$5:F$359,Продажи!$D$5:$D$359,Конструкторы!$B344,Продажи!$C$5:$C$359,Конструкторы!$A344)</f>
        <v>0</v>
      </c>
      <c r="J344" s="166">
        <f>SUMIFS(Продажи!G$5:G$359,Продажи!$D$5:$D$359,Конструкторы!$B344,Продажи!$C$5:$C$359,Конструкторы!$A344)</f>
        <v>0</v>
      </c>
      <c r="K344" s="166">
        <f>SUMIFS(Продажи!H$5:H$359,Продажи!$D$5:$D$359,Конструкторы!$B344,Продажи!$C$5:$C$359,Конструкторы!$A344)</f>
        <v>0</v>
      </c>
      <c r="L344" s="166">
        <f>SUMIFS(Продажи!I$5:I$359,Продажи!$D$5:$D$359,Конструкторы!$B344,Продажи!$C$5:$C$359,Конструкторы!$A344)</f>
        <v>0</v>
      </c>
      <c r="M344" s="166">
        <f>SUMIFS(Продажи!J$5:J$359,Продажи!$D$5:$D$359,Конструкторы!$B344,Продажи!$C$5:$C$359,Конструкторы!$A344)</f>
        <v>0</v>
      </c>
      <c r="N344" s="166">
        <f>SUMIFS(Продажи!K$5:K$359,Продажи!$D$5:$D$359,Конструкторы!$B344,Продажи!$C$5:$C$359,Конструкторы!$A344)</f>
        <v>0</v>
      </c>
      <c r="O344" s="166">
        <f>SUMIFS(Продажи!L$5:L$359,Продажи!$D$5:$D$359,Конструкторы!$B344,Продажи!$C$5:$C$359,Конструкторы!$A344)</f>
        <v>0</v>
      </c>
      <c r="P344" s="166">
        <f>SUMIFS(Продажи!M$5:M$359,Продажи!$D$5:$D$359,Конструкторы!$B344,Продажи!$C$5:$C$359,Конструкторы!$A344)</f>
        <v>0</v>
      </c>
      <c r="Q344" s="166">
        <f>SUMIFS(Продажи!N$5:N$359,Продажи!$D$5:$D$359,Конструкторы!$B344,Продажи!$C$5:$C$359,Конструкторы!$A344)</f>
        <v>0</v>
      </c>
      <c r="R344" s="166">
        <f>SUMIFS(Продажи!O$5:O$359,Продажи!$D$5:$D$359,Конструкторы!$B344,Продажи!$C$5:$C$359,Конструкторы!$A344)</f>
        <v>0</v>
      </c>
      <c r="S344" s="166">
        <f>SUMIFS(Продажи!P$5:P$359,Продажи!$D$5:$D$359,Конструкторы!$B344,Продажи!$C$5:$C$359,Конструкторы!$A344)</f>
        <v>0</v>
      </c>
      <c r="T344" s="166">
        <f>SUMIFS(Продажи!Q$5:Q$359,Продажи!$D$5:$D$359,Конструкторы!$B344,Продажи!$C$5:$C$359,Конструкторы!$A344)</f>
        <v>0</v>
      </c>
    </row>
    <row r="345" spans="1:20" ht="15.75" hidden="1" x14ac:dyDescent="0.25">
      <c r="A345" s="166" t="s">
        <v>397</v>
      </c>
      <c r="B345" s="167" t="s">
        <v>189</v>
      </c>
      <c r="C345" s="33" t="s">
        <v>76</v>
      </c>
      <c r="D345" s="149"/>
      <c r="E345" s="153" t="s">
        <v>70</v>
      </c>
      <c r="F345" s="148">
        <v>6</v>
      </c>
      <c r="G345" s="156" t="s">
        <v>71</v>
      </c>
      <c r="H345" s="156">
        <f>F345</f>
        <v>6</v>
      </c>
      <c r="I345" s="166">
        <f>SUMIFS(Продажи!F$5:F$359,Продажи!$D$5:$D$359,Конструкторы!$B345,Продажи!$C$5:$C$359,Конструкторы!$A345)</f>
        <v>0</v>
      </c>
      <c r="J345" s="166">
        <f>SUMIFS(Продажи!G$5:G$359,Продажи!$D$5:$D$359,Конструкторы!$B345,Продажи!$C$5:$C$359,Конструкторы!$A345)</f>
        <v>0</v>
      </c>
      <c r="K345" s="166">
        <f>SUMIFS(Продажи!H$5:H$359,Продажи!$D$5:$D$359,Конструкторы!$B345,Продажи!$C$5:$C$359,Конструкторы!$A345)</f>
        <v>0</v>
      </c>
      <c r="L345" s="166">
        <f>SUMIFS(Продажи!I$5:I$359,Продажи!$D$5:$D$359,Конструкторы!$B345,Продажи!$C$5:$C$359,Конструкторы!$A345)</f>
        <v>0</v>
      </c>
      <c r="M345" s="166">
        <f>SUMIFS(Продажи!J$5:J$359,Продажи!$D$5:$D$359,Конструкторы!$B345,Продажи!$C$5:$C$359,Конструкторы!$A345)</f>
        <v>0</v>
      </c>
      <c r="N345" s="166">
        <f>SUMIFS(Продажи!K$5:K$359,Продажи!$D$5:$D$359,Конструкторы!$B345,Продажи!$C$5:$C$359,Конструкторы!$A345)</f>
        <v>0</v>
      </c>
      <c r="O345" s="166">
        <f>SUMIFS(Продажи!L$5:L$359,Продажи!$D$5:$D$359,Конструкторы!$B345,Продажи!$C$5:$C$359,Конструкторы!$A345)</f>
        <v>0</v>
      </c>
      <c r="P345" s="166">
        <f>SUMIFS(Продажи!M$5:M$359,Продажи!$D$5:$D$359,Конструкторы!$B345,Продажи!$C$5:$C$359,Конструкторы!$A345)</f>
        <v>0</v>
      </c>
      <c r="Q345" s="166">
        <f>SUMIFS(Продажи!N$5:N$359,Продажи!$D$5:$D$359,Конструкторы!$B345,Продажи!$C$5:$C$359,Конструкторы!$A345)</f>
        <v>0</v>
      </c>
      <c r="R345" s="166">
        <f>SUMIFS(Продажи!O$5:O$359,Продажи!$D$5:$D$359,Конструкторы!$B345,Продажи!$C$5:$C$359,Конструкторы!$A345)</f>
        <v>0</v>
      </c>
      <c r="S345" s="166">
        <f>SUMIFS(Продажи!P$5:P$359,Продажи!$D$5:$D$359,Конструкторы!$B345,Продажи!$C$5:$C$359,Конструкторы!$A345)</f>
        <v>0</v>
      </c>
      <c r="T345" s="166">
        <f>SUMIFS(Продажи!Q$5:Q$359,Продажи!$D$5:$D$359,Конструкторы!$B345,Продажи!$C$5:$C$359,Конструкторы!$A345)</f>
        <v>0</v>
      </c>
    </row>
    <row r="346" spans="1:20" ht="15.75" hidden="1" x14ac:dyDescent="0.25">
      <c r="A346" s="166" t="s">
        <v>397</v>
      </c>
      <c r="B346" s="167" t="s">
        <v>189</v>
      </c>
      <c r="C346" s="33" t="s">
        <v>75</v>
      </c>
      <c r="D346" s="149"/>
      <c r="E346" s="153" t="s">
        <v>70</v>
      </c>
      <c r="F346" s="148">
        <v>3</v>
      </c>
      <c r="G346" s="156" t="s">
        <v>71</v>
      </c>
      <c r="H346" s="156">
        <f>F346</f>
        <v>3</v>
      </c>
      <c r="I346" s="166">
        <f>SUMIFS(Продажи!F$5:F$359,Продажи!$D$5:$D$359,Конструкторы!$B346,Продажи!$C$5:$C$359,Конструкторы!$A346)</f>
        <v>0</v>
      </c>
      <c r="J346" s="166">
        <f>SUMIFS(Продажи!G$5:G$359,Продажи!$D$5:$D$359,Конструкторы!$B346,Продажи!$C$5:$C$359,Конструкторы!$A346)</f>
        <v>0</v>
      </c>
      <c r="K346" s="166">
        <f>SUMIFS(Продажи!H$5:H$359,Продажи!$D$5:$D$359,Конструкторы!$B346,Продажи!$C$5:$C$359,Конструкторы!$A346)</f>
        <v>0</v>
      </c>
      <c r="L346" s="166">
        <f>SUMIFS(Продажи!I$5:I$359,Продажи!$D$5:$D$359,Конструкторы!$B346,Продажи!$C$5:$C$359,Конструкторы!$A346)</f>
        <v>0</v>
      </c>
      <c r="M346" s="166">
        <f>SUMIFS(Продажи!J$5:J$359,Продажи!$D$5:$D$359,Конструкторы!$B346,Продажи!$C$5:$C$359,Конструкторы!$A346)</f>
        <v>0</v>
      </c>
      <c r="N346" s="166">
        <f>SUMIFS(Продажи!K$5:K$359,Продажи!$D$5:$D$359,Конструкторы!$B346,Продажи!$C$5:$C$359,Конструкторы!$A346)</f>
        <v>0</v>
      </c>
      <c r="O346" s="166">
        <f>SUMIFS(Продажи!L$5:L$359,Продажи!$D$5:$D$359,Конструкторы!$B346,Продажи!$C$5:$C$359,Конструкторы!$A346)</f>
        <v>0</v>
      </c>
      <c r="P346" s="166">
        <f>SUMIFS(Продажи!M$5:M$359,Продажи!$D$5:$D$359,Конструкторы!$B346,Продажи!$C$5:$C$359,Конструкторы!$A346)</f>
        <v>0</v>
      </c>
      <c r="Q346" s="166">
        <f>SUMIFS(Продажи!N$5:N$359,Продажи!$D$5:$D$359,Конструкторы!$B346,Продажи!$C$5:$C$359,Конструкторы!$A346)</f>
        <v>0</v>
      </c>
      <c r="R346" s="166">
        <f>SUMIFS(Продажи!O$5:O$359,Продажи!$D$5:$D$359,Конструкторы!$B346,Продажи!$C$5:$C$359,Конструкторы!$A346)</f>
        <v>0</v>
      </c>
      <c r="S346" s="166">
        <f>SUMIFS(Продажи!P$5:P$359,Продажи!$D$5:$D$359,Конструкторы!$B346,Продажи!$C$5:$C$359,Конструкторы!$A346)</f>
        <v>0</v>
      </c>
      <c r="T346" s="166">
        <f>SUMIFS(Продажи!Q$5:Q$359,Продажи!$D$5:$D$359,Конструкторы!$B346,Продажи!$C$5:$C$359,Конструкторы!$A346)</f>
        <v>0</v>
      </c>
    </row>
    <row r="347" spans="1:20" ht="15.75" hidden="1" x14ac:dyDescent="0.25">
      <c r="A347" s="166" t="s">
        <v>397</v>
      </c>
      <c r="B347" s="167" t="s">
        <v>190</v>
      </c>
      <c r="C347" s="129" t="s">
        <v>64</v>
      </c>
      <c r="D347" s="149"/>
      <c r="E347" s="153" t="s">
        <v>68</v>
      </c>
      <c r="F347" s="156">
        <f>(0.35*103)/100</f>
        <v>0.36049999999999999</v>
      </c>
      <c r="G347" s="156">
        <v>1.0500000000000009E-2</v>
      </c>
      <c r="H347" s="156">
        <f>F347+G347</f>
        <v>0.371</v>
      </c>
      <c r="I347" s="166">
        <f>SUMIFS(Продажи!F$5:F$359,Продажи!$D$5:$D$359,Конструкторы!$B347,Продажи!$C$5:$C$359,Конструкторы!$A347)</f>
        <v>0</v>
      </c>
      <c r="J347" s="166">
        <f>SUMIFS(Продажи!G$5:G$359,Продажи!$D$5:$D$359,Конструкторы!$B347,Продажи!$C$5:$C$359,Конструкторы!$A347)</f>
        <v>0</v>
      </c>
      <c r="K347" s="166">
        <f>SUMIFS(Продажи!H$5:H$359,Продажи!$D$5:$D$359,Конструкторы!$B347,Продажи!$C$5:$C$359,Конструкторы!$A347)</f>
        <v>0</v>
      </c>
      <c r="L347" s="166">
        <f>SUMIFS(Продажи!I$5:I$359,Продажи!$D$5:$D$359,Конструкторы!$B347,Продажи!$C$5:$C$359,Конструкторы!$A347)</f>
        <v>0</v>
      </c>
      <c r="M347" s="166">
        <f>SUMIFS(Продажи!J$5:J$359,Продажи!$D$5:$D$359,Конструкторы!$B347,Продажи!$C$5:$C$359,Конструкторы!$A347)</f>
        <v>0</v>
      </c>
      <c r="N347" s="166">
        <f>SUMIFS(Продажи!K$5:K$359,Продажи!$D$5:$D$359,Конструкторы!$B347,Продажи!$C$5:$C$359,Конструкторы!$A347)</f>
        <v>0</v>
      </c>
      <c r="O347" s="166">
        <f>SUMIFS(Продажи!L$5:L$359,Продажи!$D$5:$D$359,Конструкторы!$B347,Продажи!$C$5:$C$359,Конструкторы!$A347)</f>
        <v>0</v>
      </c>
      <c r="P347" s="166">
        <f>SUMIFS(Продажи!M$5:M$359,Продажи!$D$5:$D$359,Конструкторы!$B347,Продажи!$C$5:$C$359,Конструкторы!$A347)</f>
        <v>0</v>
      </c>
      <c r="Q347" s="166">
        <f>SUMIFS(Продажи!N$5:N$359,Продажи!$D$5:$D$359,Конструкторы!$B347,Продажи!$C$5:$C$359,Конструкторы!$A347)</f>
        <v>0</v>
      </c>
      <c r="R347" s="166">
        <f>SUMIFS(Продажи!O$5:O$359,Продажи!$D$5:$D$359,Конструкторы!$B347,Продажи!$C$5:$C$359,Конструкторы!$A347)</f>
        <v>0</v>
      </c>
      <c r="S347" s="166">
        <f>SUMIFS(Продажи!P$5:P$359,Продажи!$D$5:$D$359,Конструкторы!$B347,Продажи!$C$5:$C$359,Конструкторы!$A347)</f>
        <v>0</v>
      </c>
      <c r="T347" s="166">
        <f>SUMIFS(Продажи!Q$5:Q$359,Продажи!$D$5:$D$359,Конструкторы!$B347,Продажи!$C$5:$C$359,Конструкторы!$A347)</f>
        <v>0</v>
      </c>
    </row>
    <row r="348" spans="1:20" ht="15.75" hidden="1" x14ac:dyDescent="0.25">
      <c r="A348" s="166" t="s">
        <v>397</v>
      </c>
      <c r="B348" s="167" t="s">
        <v>190</v>
      </c>
      <c r="C348" s="129" t="s">
        <v>63</v>
      </c>
      <c r="D348" s="149"/>
      <c r="E348" s="153" t="s">
        <v>68</v>
      </c>
      <c r="F348" s="156">
        <f>(0.15*103)/100</f>
        <v>0.1545</v>
      </c>
      <c r="G348" s="156">
        <v>4.500000000000004E-3</v>
      </c>
      <c r="H348" s="156">
        <f>F348+G348</f>
        <v>0.159</v>
      </c>
      <c r="I348" s="166">
        <f>SUMIFS(Продажи!F$5:F$359,Продажи!$D$5:$D$359,Конструкторы!$B348,Продажи!$C$5:$C$359,Конструкторы!$A348)</f>
        <v>0</v>
      </c>
      <c r="J348" s="166">
        <f>SUMIFS(Продажи!G$5:G$359,Продажи!$D$5:$D$359,Конструкторы!$B348,Продажи!$C$5:$C$359,Конструкторы!$A348)</f>
        <v>0</v>
      </c>
      <c r="K348" s="166">
        <f>SUMIFS(Продажи!H$5:H$359,Продажи!$D$5:$D$359,Конструкторы!$B348,Продажи!$C$5:$C$359,Конструкторы!$A348)</f>
        <v>0</v>
      </c>
      <c r="L348" s="166">
        <f>SUMIFS(Продажи!I$5:I$359,Продажи!$D$5:$D$359,Конструкторы!$B348,Продажи!$C$5:$C$359,Конструкторы!$A348)</f>
        <v>0</v>
      </c>
      <c r="M348" s="166">
        <f>SUMIFS(Продажи!J$5:J$359,Продажи!$D$5:$D$359,Конструкторы!$B348,Продажи!$C$5:$C$359,Конструкторы!$A348)</f>
        <v>0</v>
      </c>
      <c r="N348" s="166">
        <f>SUMIFS(Продажи!K$5:K$359,Продажи!$D$5:$D$359,Конструкторы!$B348,Продажи!$C$5:$C$359,Конструкторы!$A348)</f>
        <v>0</v>
      </c>
      <c r="O348" s="166">
        <f>SUMIFS(Продажи!L$5:L$359,Продажи!$D$5:$D$359,Конструкторы!$B348,Продажи!$C$5:$C$359,Конструкторы!$A348)</f>
        <v>0</v>
      </c>
      <c r="P348" s="166">
        <f>SUMIFS(Продажи!M$5:M$359,Продажи!$D$5:$D$359,Конструкторы!$B348,Продажи!$C$5:$C$359,Конструкторы!$A348)</f>
        <v>0</v>
      </c>
      <c r="Q348" s="166">
        <f>SUMIFS(Продажи!N$5:N$359,Продажи!$D$5:$D$359,Конструкторы!$B348,Продажи!$C$5:$C$359,Конструкторы!$A348)</f>
        <v>0</v>
      </c>
      <c r="R348" s="166">
        <f>SUMIFS(Продажи!O$5:O$359,Продажи!$D$5:$D$359,Конструкторы!$B348,Продажи!$C$5:$C$359,Конструкторы!$A348)</f>
        <v>0</v>
      </c>
      <c r="S348" s="166">
        <f>SUMIFS(Продажи!P$5:P$359,Продажи!$D$5:$D$359,Конструкторы!$B348,Продажи!$C$5:$C$359,Конструкторы!$A348)</f>
        <v>0</v>
      </c>
      <c r="T348" s="166">
        <f>SUMIFS(Продажи!Q$5:Q$359,Продажи!$D$5:$D$359,Конструкторы!$B348,Продажи!$C$5:$C$359,Конструкторы!$A348)</f>
        <v>0</v>
      </c>
    </row>
    <row r="349" spans="1:20" ht="15.75" hidden="1" x14ac:dyDescent="0.25">
      <c r="A349" s="166" t="s">
        <v>397</v>
      </c>
      <c r="B349" s="167" t="s">
        <v>190</v>
      </c>
      <c r="C349" s="33" t="s">
        <v>76</v>
      </c>
      <c r="D349" s="149"/>
      <c r="E349" s="153" t="s">
        <v>70</v>
      </c>
      <c r="F349" s="148">
        <v>6</v>
      </c>
      <c r="G349" s="156" t="s">
        <v>71</v>
      </c>
      <c r="H349" s="156">
        <f>F349</f>
        <v>6</v>
      </c>
      <c r="I349" s="166">
        <f>SUMIFS(Продажи!F$5:F$359,Продажи!$D$5:$D$359,Конструкторы!$B349,Продажи!$C$5:$C$359,Конструкторы!$A349)</f>
        <v>0</v>
      </c>
      <c r="J349" s="166">
        <f>SUMIFS(Продажи!G$5:G$359,Продажи!$D$5:$D$359,Конструкторы!$B349,Продажи!$C$5:$C$359,Конструкторы!$A349)</f>
        <v>0</v>
      </c>
      <c r="K349" s="166">
        <f>SUMIFS(Продажи!H$5:H$359,Продажи!$D$5:$D$359,Конструкторы!$B349,Продажи!$C$5:$C$359,Конструкторы!$A349)</f>
        <v>0</v>
      </c>
      <c r="L349" s="166">
        <f>SUMIFS(Продажи!I$5:I$359,Продажи!$D$5:$D$359,Конструкторы!$B349,Продажи!$C$5:$C$359,Конструкторы!$A349)</f>
        <v>0</v>
      </c>
      <c r="M349" s="166">
        <f>SUMIFS(Продажи!J$5:J$359,Продажи!$D$5:$D$359,Конструкторы!$B349,Продажи!$C$5:$C$359,Конструкторы!$A349)</f>
        <v>0</v>
      </c>
      <c r="N349" s="166">
        <f>SUMIFS(Продажи!K$5:K$359,Продажи!$D$5:$D$359,Конструкторы!$B349,Продажи!$C$5:$C$359,Конструкторы!$A349)</f>
        <v>0</v>
      </c>
      <c r="O349" s="166">
        <f>SUMIFS(Продажи!L$5:L$359,Продажи!$D$5:$D$359,Конструкторы!$B349,Продажи!$C$5:$C$359,Конструкторы!$A349)</f>
        <v>0</v>
      </c>
      <c r="P349" s="166">
        <f>SUMIFS(Продажи!M$5:M$359,Продажи!$D$5:$D$359,Конструкторы!$B349,Продажи!$C$5:$C$359,Конструкторы!$A349)</f>
        <v>0</v>
      </c>
      <c r="Q349" s="166">
        <f>SUMIFS(Продажи!N$5:N$359,Продажи!$D$5:$D$359,Конструкторы!$B349,Продажи!$C$5:$C$359,Конструкторы!$A349)</f>
        <v>0</v>
      </c>
      <c r="R349" s="166">
        <f>SUMIFS(Продажи!O$5:O$359,Продажи!$D$5:$D$359,Конструкторы!$B349,Продажи!$C$5:$C$359,Конструкторы!$A349)</f>
        <v>0</v>
      </c>
      <c r="S349" s="166">
        <f>SUMIFS(Продажи!P$5:P$359,Продажи!$D$5:$D$359,Конструкторы!$B349,Продажи!$C$5:$C$359,Конструкторы!$A349)</f>
        <v>0</v>
      </c>
      <c r="T349" s="166">
        <f>SUMIFS(Продажи!Q$5:Q$359,Продажи!$D$5:$D$359,Конструкторы!$B349,Продажи!$C$5:$C$359,Конструкторы!$A349)</f>
        <v>0</v>
      </c>
    </row>
    <row r="350" spans="1:20" ht="15.75" hidden="1" x14ac:dyDescent="0.25">
      <c r="A350" s="166" t="s">
        <v>397</v>
      </c>
      <c r="B350" s="167" t="s">
        <v>190</v>
      </c>
      <c r="C350" s="33" t="s">
        <v>75</v>
      </c>
      <c r="D350" s="149"/>
      <c r="E350" s="153" t="s">
        <v>70</v>
      </c>
      <c r="F350" s="148">
        <v>2</v>
      </c>
      <c r="G350" s="156" t="s">
        <v>71</v>
      </c>
      <c r="H350" s="156">
        <f>F350</f>
        <v>2</v>
      </c>
      <c r="I350" s="166">
        <f>SUMIFS(Продажи!F$5:F$359,Продажи!$D$5:$D$359,Конструкторы!$B350,Продажи!$C$5:$C$359,Конструкторы!$A350)</f>
        <v>0</v>
      </c>
      <c r="J350" s="166">
        <f>SUMIFS(Продажи!G$5:G$359,Продажи!$D$5:$D$359,Конструкторы!$B350,Продажи!$C$5:$C$359,Конструкторы!$A350)</f>
        <v>0</v>
      </c>
      <c r="K350" s="166">
        <f>SUMIFS(Продажи!H$5:H$359,Продажи!$D$5:$D$359,Конструкторы!$B350,Продажи!$C$5:$C$359,Конструкторы!$A350)</f>
        <v>0</v>
      </c>
      <c r="L350" s="166">
        <f>SUMIFS(Продажи!I$5:I$359,Продажи!$D$5:$D$359,Конструкторы!$B350,Продажи!$C$5:$C$359,Конструкторы!$A350)</f>
        <v>0</v>
      </c>
      <c r="M350" s="166">
        <f>SUMIFS(Продажи!J$5:J$359,Продажи!$D$5:$D$359,Конструкторы!$B350,Продажи!$C$5:$C$359,Конструкторы!$A350)</f>
        <v>0</v>
      </c>
      <c r="N350" s="166">
        <f>SUMIFS(Продажи!K$5:K$359,Продажи!$D$5:$D$359,Конструкторы!$B350,Продажи!$C$5:$C$359,Конструкторы!$A350)</f>
        <v>0</v>
      </c>
      <c r="O350" s="166">
        <f>SUMIFS(Продажи!L$5:L$359,Продажи!$D$5:$D$359,Конструкторы!$B350,Продажи!$C$5:$C$359,Конструкторы!$A350)</f>
        <v>0</v>
      </c>
      <c r="P350" s="166">
        <f>SUMIFS(Продажи!M$5:M$359,Продажи!$D$5:$D$359,Конструкторы!$B350,Продажи!$C$5:$C$359,Конструкторы!$A350)</f>
        <v>0</v>
      </c>
      <c r="Q350" s="166">
        <f>SUMIFS(Продажи!N$5:N$359,Продажи!$D$5:$D$359,Конструкторы!$B350,Продажи!$C$5:$C$359,Конструкторы!$A350)</f>
        <v>0</v>
      </c>
      <c r="R350" s="166">
        <f>SUMIFS(Продажи!O$5:O$359,Продажи!$D$5:$D$359,Конструкторы!$B350,Продажи!$C$5:$C$359,Конструкторы!$A350)</f>
        <v>0</v>
      </c>
      <c r="S350" s="166">
        <f>SUMIFS(Продажи!P$5:P$359,Продажи!$D$5:$D$359,Конструкторы!$B350,Продажи!$C$5:$C$359,Конструкторы!$A350)</f>
        <v>0</v>
      </c>
      <c r="T350" s="166">
        <f>SUMIFS(Продажи!Q$5:Q$359,Продажи!$D$5:$D$359,Конструкторы!$B350,Продажи!$C$5:$C$359,Конструкторы!$A350)</f>
        <v>0</v>
      </c>
    </row>
    <row r="351" spans="1:20" ht="15.75" hidden="1" x14ac:dyDescent="0.25">
      <c r="A351" s="166" t="s">
        <v>397</v>
      </c>
      <c r="B351" s="167" t="s">
        <v>166</v>
      </c>
      <c r="C351" s="129" t="s">
        <v>61</v>
      </c>
      <c r="D351" s="149"/>
      <c r="E351" s="153" t="s">
        <v>68</v>
      </c>
      <c r="F351" s="156">
        <f>(0.25*103)/100</f>
        <v>0.25750000000000001</v>
      </c>
      <c r="G351" s="156">
        <v>7.5000000000000067E-3</v>
      </c>
      <c r="H351" s="156">
        <f>F351+G351</f>
        <v>0.26500000000000001</v>
      </c>
      <c r="I351" s="166">
        <f>SUMIFS(Продажи!F$5:F$359,Продажи!$D$5:$D$359,Конструкторы!$B351,Продажи!$C$5:$C$359,Конструкторы!$A351)</f>
        <v>0</v>
      </c>
      <c r="J351" s="166">
        <f>SUMIFS(Продажи!G$5:G$359,Продажи!$D$5:$D$359,Конструкторы!$B351,Продажи!$C$5:$C$359,Конструкторы!$A351)</f>
        <v>0</v>
      </c>
      <c r="K351" s="166">
        <f>SUMIFS(Продажи!H$5:H$359,Продажи!$D$5:$D$359,Конструкторы!$B351,Продажи!$C$5:$C$359,Конструкторы!$A351)</f>
        <v>0</v>
      </c>
      <c r="L351" s="166">
        <f>SUMIFS(Продажи!I$5:I$359,Продажи!$D$5:$D$359,Конструкторы!$B351,Продажи!$C$5:$C$359,Конструкторы!$A351)</f>
        <v>0</v>
      </c>
      <c r="M351" s="166">
        <f>SUMIFS(Продажи!J$5:J$359,Продажи!$D$5:$D$359,Конструкторы!$B351,Продажи!$C$5:$C$359,Конструкторы!$A351)</f>
        <v>0</v>
      </c>
      <c r="N351" s="166">
        <f>SUMIFS(Продажи!K$5:K$359,Продажи!$D$5:$D$359,Конструкторы!$B351,Продажи!$C$5:$C$359,Конструкторы!$A351)</f>
        <v>0</v>
      </c>
      <c r="O351" s="166">
        <f>SUMIFS(Продажи!L$5:L$359,Продажи!$D$5:$D$359,Конструкторы!$B351,Продажи!$C$5:$C$359,Конструкторы!$A351)</f>
        <v>0</v>
      </c>
      <c r="P351" s="166">
        <f>SUMIFS(Продажи!M$5:M$359,Продажи!$D$5:$D$359,Конструкторы!$B351,Продажи!$C$5:$C$359,Конструкторы!$A351)</f>
        <v>0</v>
      </c>
      <c r="Q351" s="166">
        <f>SUMIFS(Продажи!N$5:N$359,Продажи!$D$5:$D$359,Конструкторы!$B351,Продажи!$C$5:$C$359,Конструкторы!$A351)</f>
        <v>0</v>
      </c>
      <c r="R351" s="166">
        <f>SUMIFS(Продажи!O$5:O$359,Продажи!$D$5:$D$359,Конструкторы!$B351,Продажи!$C$5:$C$359,Конструкторы!$A351)</f>
        <v>0</v>
      </c>
      <c r="S351" s="166">
        <f>SUMIFS(Продажи!P$5:P$359,Продажи!$D$5:$D$359,Конструкторы!$B351,Продажи!$C$5:$C$359,Конструкторы!$A351)</f>
        <v>0</v>
      </c>
      <c r="T351" s="166">
        <f>SUMIFS(Продажи!Q$5:Q$359,Продажи!$D$5:$D$359,Конструкторы!$B351,Продажи!$C$5:$C$359,Конструкторы!$A351)</f>
        <v>0</v>
      </c>
    </row>
    <row r="352" spans="1:20" ht="15.75" hidden="1" x14ac:dyDescent="0.25">
      <c r="A352" s="166" t="s">
        <v>397</v>
      </c>
      <c r="B352" s="167" t="s">
        <v>166</v>
      </c>
      <c r="C352" s="129" t="s">
        <v>60</v>
      </c>
      <c r="D352" s="149"/>
      <c r="E352" s="153" t="s">
        <v>68</v>
      </c>
      <c r="F352" s="156">
        <f>(0.25*103)/100</f>
        <v>0.25750000000000001</v>
      </c>
      <c r="G352" s="156">
        <v>7.5000000000000067E-3</v>
      </c>
      <c r="H352" s="156">
        <f>F352+G352</f>
        <v>0.26500000000000001</v>
      </c>
      <c r="I352" s="166">
        <f>SUMIFS(Продажи!F$5:F$359,Продажи!$D$5:$D$359,Конструкторы!$B352,Продажи!$C$5:$C$359,Конструкторы!$A352)</f>
        <v>0</v>
      </c>
      <c r="J352" s="166">
        <f>SUMIFS(Продажи!G$5:G$359,Продажи!$D$5:$D$359,Конструкторы!$B352,Продажи!$C$5:$C$359,Конструкторы!$A352)</f>
        <v>0</v>
      </c>
      <c r="K352" s="166">
        <f>SUMIFS(Продажи!H$5:H$359,Продажи!$D$5:$D$359,Конструкторы!$B352,Продажи!$C$5:$C$359,Конструкторы!$A352)</f>
        <v>0</v>
      </c>
      <c r="L352" s="166">
        <f>SUMIFS(Продажи!I$5:I$359,Продажи!$D$5:$D$359,Конструкторы!$B352,Продажи!$C$5:$C$359,Конструкторы!$A352)</f>
        <v>0</v>
      </c>
      <c r="M352" s="166">
        <f>SUMIFS(Продажи!J$5:J$359,Продажи!$D$5:$D$359,Конструкторы!$B352,Продажи!$C$5:$C$359,Конструкторы!$A352)</f>
        <v>0</v>
      </c>
      <c r="N352" s="166">
        <f>SUMIFS(Продажи!K$5:K$359,Продажи!$D$5:$D$359,Конструкторы!$B352,Продажи!$C$5:$C$359,Конструкторы!$A352)</f>
        <v>0</v>
      </c>
      <c r="O352" s="166">
        <f>SUMIFS(Продажи!L$5:L$359,Продажи!$D$5:$D$359,Конструкторы!$B352,Продажи!$C$5:$C$359,Конструкторы!$A352)</f>
        <v>0</v>
      </c>
      <c r="P352" s="166">
        <f>SUMIFS(Продажи!M$5:M$359,Продажи!$D$5:$D$359,Конструкторы!$B352,Продажи!$C$5:$C$359,Конструкторы!$A352)</f>
        <v>0</v>
      </c>
      <c r="Q352" s="166">
        <f>SUMIFS(Продажи!N$5:N$359,Продажи!$D$5:$D$359,Конструкторы!$B352,Продажи!$C$5:$C$359,Конструкторы!$A352)</f>
        <v>0</v>
      </c>
      <c r="R352" s="166">
        <f>SUMIFS(Продажи!O$5:O$359,Продажи!$D$5:$D$359,Конструкторы!$B352,Продажи!$C$5:$C$359,Конструкторы!$A352)</f>
        <v>0</v>
      </c>
      <c r="S352" s="166">
        <f>SUMIFS(Продажи!P$5:P$359,Продажи!$D$5:$D$359,Конструкторы!$B352,Продажи!$C$5:$C$359,Конструкторы!$A352)</f>
        <v>0</v>
      </c>
      <c r="T352" s="166">
        <f>SUMIFS(Продажи!Q$5:Q$359,Продажи!$D$5:$D$359,Конструкторы!$B352,Продажи!$C$5:$C$359,Конструкторы!$A352)</f>
        <v>0</v>
      </c>
    </row>
    <row r="353" spans="1:20" ht="15.75" hidden="1" x14ac:dyDescent="0.25">
      <c r="A353" s="166" t="s">
        <v>397</v>
      </c>
      <c r="B353" s="167" t="s">
        <v>166</v>
      </c>
      <c r="C353" s="33" t="s">
        <v>76</v>
      </c>
      <c r="D353" s="149"/>
      <c r="E353" s="153" t="s">
        <v>70</v>
      </c>
      <c r="F353" s="148">
        <v>6</v>
      </c>
      <c r="G353" s="156" t="s">
        <v>71</v>
      </c>
      <c r="H353" s="156">
        <f>F353</f>
        <v>6</v>
      </c>
      <c r="I353" s="166">
        <f>SUMIFS(Продажи!F$5:F$359,Продажи!$D$5:$D$359,Конструкторы!$B353,Продажи!$C$5:$C$359,Конструкторы!$A353)</f>
        <v>0</v>
      </c>
      <c r="J353" s="166">
        <f>SUMIFS(Продажи!G$5:G$359,Продажи!$D$5:$D$359,Конструкторы!$B353,Продажи!$C$5:$C$359,Конструкторы!$A353)</f>
        <v>0</v>
      </c>
      <c r="K353" s="166">
        <f>SUMIFS(Продажи!H$5:H$359,Продажи!$D$5:$D$359,Конструкторы!$B353,Продажи!$C$5:$C$359,Конструкторы!$A353)</f>
        <v>0</v>
      </c>
      <c r="L353" s="166">
        <f>SUMIFS(Продажи!I$5:I$359,Продажи!$D$5:$D$359,Конструкторы!$B353,Продажи!$C$5:$C$359,Конструкторы!$A353)</f>
        <v>0</v>
      </c>
      <c r="M353" s="166">
        <f>SUMIFS(Продажи!J$5:J$359,Продажи!$D$5:$D$359,Конструкторы!$B353,Продажи!$C$5:$C$359,Конструкторы!$A353)</f>
        <v>0</v>
      </c>
      <c r="N353" s="166">
        <f>SUMIFS(Продажи!K$5:K$359,Продажи!$D$5:$D$359,Конструкторы!$B353,Продажи!$C$5:$C$359,Конструкторы!$A353)</f>
        <v>0</v>
      </c>
      <c r="O353" s="166">
        <f>SUMIFS(Продажи!L$5:L$359,Продажи!$D$5:$D$359,Конструкторы!$B353,Продажи!$C$5:$C$359,Конструкторы!$A353)</f>
        <v>0</v>
      </c>
      <c r="P353" s="166">
        <f>SUMIFS(Продажи!M$5:M$359,Продажи!$D$5:$D$359,Конструкторы!$B353,Продажи!$C$5:$C$359,Конструкторы!$A353)</f>
        <v>0</v>
      </c>
      <c r="Q353" s="166">
        <f>SUMIFS(Продажи!N$5:N$359,Продажи!$D$5:$D$359,Конструкторы!$B353,Продажи!$C$5:$C$359,Конструкторы!$A353)</f>
        <v>0</v>
      </c>
      <c r="R353" s="166">
        <f>SUMIFS(Продажи!O$5:O$359,Продажи!$D$5:$D$359,Конструкторы!$B353,Продажи!$C$5:$C$359,Конструкторы!$A353)</f>
        <v>0</v>
      </c>
      <c r="S353" s="166">
        <f>SUMIFS(Продажи!P$5:P$359,Продажи!$D$5:$D$359,Конструкторы!$B353,Продажи!$C$5:$C$359,Конструкторы!$A353)</f>
        <v>0</v>
      </c>
      <c r="T353" s="166">
        <f>SUMIFS(Продажи!Q$5:Q$359,Продажи!$D$5:$D$359,Конструкторы!$B353,Продажи!$C$5:$C$359,Конструкторы!$A353)</f>
        <v>0</v>
      </c>
    </row>
    <row r="354" spans="1:20" ht="15.75" hidden="1" x14ac:dyDescent="0.25">
      <c r="A354" s="166" t="s">
        <v>397</v>
      </c>
      <c r="B354" s="167" t="s">
        <v>166</v>
      </c>
      <c r="C354" s="33" t="s">
        <v>75</v>
      </c>
      <c r="D354" s="149"/>
      <c r="E354" s="153" t="s">
        <v>70</v>
      </c>
      <c r="F354" s="148">
        <v>1</v>
      </c>
      <c r="G354" s="156" t="s">
        <v>71</v>
      </c>
      <c r="H354" s="156">
        <f>F354</f>
        <v>1</v>
      </c>
      <c r="I354" s="166">
        <f>SUMIFS(Продажи!F$5:F$359,Продажи!$D$5:$D$359,Конструкторы!$B354,Продажи!$C$5:$C$359,Конструкторы!$A354)</f>
        <v>0</v>
      </c>
      <c r="J354" s="166">
        <f>SUMIFS(Продажи!G$5:G$359,Продажи!$D$5:$D$359,Конструкторы!$B354,Продажи!$C$5:$C$359,Конструкторы!$A354)</f>
        <v>0</v>
      </c>
      <c r="K354" s="166">
        <f>SUMIFS(Продажи!H$5:H$359,Продажи!$D$5:$D$359,Конструкторы!$B354,Продажи!$C$5:$C$359,Конструкторы!$A354)</f>
        <v>0</v>
      </c>
      <c r="L354" s="166">
        <f>SUMIFS(Продажи!I$5:I$359,Продажи!$D$5:$D$359,Конструкторы!$B354,Продажи!$C$5:$C$359,Конструкторы!$A354)</f>
        <v>0</v>
      </c>
      <c r="M354" s="166">
        <f>SUMIFS(Продажи!J$5:J$359,Продажи!$D$5:$D$359,Конструкторы!$B354,Продажи!$C$5:$C$359,Конструкторы!$A354)</f>
        <v>0</v>
      </c>
      <c r="N354" s="166">
        <f>SUMIFS(Продажи!K$5:K$359,Продажи!$D$5:$D$359,Конструкторы!$B354,Продажи!$C$5:$C$359,Конструкторы!$A354)</f>
        <v>0</v>
      </c>
      <c r="O354" s="166">
        <f>SUMIFS(Продажи!L$5:L$359,Продажи!$D$5:$D$359,Конструкторы!$B354,Продажи!$C$5:$C$359,Конструкторы!$A354)</f>
        <v>0</v>
      </c>
      <c r="P354" s="166">
        <f>SUMIFS(Продажи!M$5:M$359,Продажи!$D$5:$D$359,Конструкторы!$B354,Продажи!$C$5:$C$359,Конструкторы!$A354)</f>
        <v>0</v>
      </c>
      <c r="Q354" s="166">
        <f>SUMIFS(Продажи!N$5:N$359,Продажи!$D$5:$D$359,Конструкторы!$B354,Продажи!$C$5:$C$359,Конструкторы!$A354)</f>
        <v>0</v>
      </c>
      <c r="R354" s="166">
        <f>SUMIFS(Продажи!O$5:O$359,Продажи!$D$5:$D$359,Конструкторы!$B354,Продажи!$C$5:$C$359,Конструкторы!$A354)</f>
        <v>0</v>
      </c>
      <c r="S354" s="166">
        <f>SUMIFS(Продажи!P$5:P$359,Продажи!$D$5:$D$359,Конструкторы!$B354,Продажи!$C$5:$C$359,Конструкторы!$A354)</f>
        <v>0</v>
      </c>
      <c r="T354" s="166">
        <f>SUMIFS(Продажи!Q$5:Q$359,Продажи!$D$5:$D$359,Конструкторы!$B354,Продажи!$C$5:$C$359,Конструкторы!$A354)</f>
        <v>0</v>
      </c>
    </row>
    <row r="355" spans="1:20" ht="15.75" hidden="1" x14ac:dyDescent="0.25">
      <c r="A355" s="166" t="s">
        <v>397</v>
      </c>
      <c r="B355" s="167" t="s">
        <v>165</v>
      </c>
      <c r="C355" s="129" t="s">
        <v>62</v>
      </c>
      <c r="D355" s="149"/>
      <c r="E355" s="153" t="s">
        <v>68</v>
      </c>
      <c r="F355" s="156">
        <f>(0.35*103)/100</f>
        <v>0.36049999999999999</v>
      </c>
      <c r="G355" s="156">
        <v>1.0500000000000009E-2</v>
      </c>
      <c r="H355" s="156">
        <f>F355+G355</f>
        <v>0.371</v>
      </c>
      <c r="I355" s="166">
        <f>SUMIFS(Продажи!F$5:F$359,Продажи!$D$5:$D$359,Конструкторы!$B355,Продажи!$C$5:$C$359,Конструкторы!$A355)</f>
        <v>0</v>
      </c>
      <c r="J355" s="166">
        <f>SUMIFS(Продажи!G$5:G$359,Продажи!$D$5:$D$359,Конструкторы!$B355,Продажи!$C$5:$C$359,Конструкторы!$A355)</f>
        <v>0</v>
      </c>
      <c r="K355" s="166">
        <f>SUMIFS(Продажи!H$5:H$359,Продажи!$D$5:$D$359,Конструкторы!$B355,Продажи!$C$5:$C$359,Конструкторы!$A355)</f>
        <v>0</v>
      </c>
      <c r="L355" s="166">
        <f>SUMIFS(Продажи!I$5:I$359,Продажи!$D$5:$D$359,Конструкторы!$B355,Продажи!$C$5:$C$359,Конструкторы!$A355)</f>
        <v>0</v>
      </c>
      <c r="M355" s="166">
        <f>SUMIFS(Продажи!J$5:J$359,Продажи!$D$5:$D$359,Конструкторы!$B355,Продажи!$C$5:$C$359,Конструкторы!$A355)</f>
        <v>0</v>
      </c>
      <c r="N355" s="166">
        <f>SUMIFS(Продажи!K$5:K$359,Продажи!$D$5:$D$359,Конструкторы!$B355,Продажи!$C$5:$C$359,Конструкторы!$A355)</f>
        <v>0</v>
      </c>
      <c r="O355" s="166">
        <f>SUMIFS(Продажи!L$5:L$359,Продажи!$D$5:$D$359,Конструкторы!$B355,Продажи!$C$5:$C$359,Конструкторы!$A355)</f>
        <v>0</v>
      </c>
      <c r="P355" s="166">
        <f>SUMIFS(Продажи!M$5:M$359,Продажи!$D$5:$D$359,Конструкторы!$B355,Продажи!$C$5:$C$359,Конструкторы!$A355)</f>
        <v>0</v>
      </c>
      <c r="Q355" s="166">
        <f>SUMIFS(Продажи!N$5:N$359,Продажи!$D$5:$D$359,Конструкторы!$B355,Продажи!$C$5:$C$359,Конструкторы!$A355)</f>
        <v>0</v>
      </c>
      <c r="R355" s="166">
        <f>SUMIFS(Продажи!O$5:O$359,Продажи!$D$5:$D$359,Конструкторы!$B355,Продажи!$C$5:$C$359,Конструкторы!$A355)</f>
        <v>0</v>
      </c>
      <c r="S355" s="166">
        <f>SUMIFS(Продажи!P$5:P$359,Продажи!$D$5:$D$359,Конструкторы!$B355,Продажи!$C$5:$C$359,Конструкторы!$A355)</f>
        <v>0</v>
      </c>
      <c r="T355" s="166">
        <f>SUMIFS(Продажи!Q$5:Q$359,Продажи!$D$5:$D$359,Конструкторы!$B355,Продажи!$C$5:$C$359,Конструкторы!$A355)</f>
        <v>0</v>
      </c>
    </row>
    <row r="356" spans="1:20" ht="15.75" hidden="1" x14ac:dyDescent="0.25">
      <c r="A356" s="166" t="s">
        <v>397</v>
      </c>
      <c r="B356" s="167" t="s">
        <v>165</v>
      </c>
      <c r="C356" s="129" t="s">
        <v>60</v>
      </c>
      <c r="D356" s="149"/>
      <c r="E356" s="153" t="s">
        <v>68</v>
      </c>
      <c r="F356" s="156">
        <f>(0.15*103)/100</f>
        <v>0.1545</v>
      </c>
      <c r="G356" s="156">
        <v>4.500000000000004E-3</v>
      </c>
      <c r="H356" s="156">
        <f>F356+G356</f>
        <v>0.159</v>
      </c>
      <c r="I356" s="166">
        <f>SUMIFS(Продажи!F$5:F$359,Продажи!$D$5:$D$359,Конструкторы!$B356,Продажи!$C$5:$C$359,Конструкторы!$A356)</f>
        <v>0</v>
      </c>
      <c r="J356" s="166">
        <f>SUMIFS(Продажи!G$5:G$359,Продажи!$D$5:$D$359,Конструкторы!$B356,Продажи!$C$5:$C$359,Конструкторы!$A356)</f>
        <v>0</v>
      </c>
      <c r="K356" s="166">
        <f>SUMIFS(Продажи!H$5:H$359,Продажи!$D$5:$D$359,Конструкторы!$B356,Продажи!$C$5:$C$359,Конструкторы!$A356)</f>
        <v>0</v>
      </c>
      <c r="L356" s="166">
        <f>SUMIFS(Продажи!I$5:I$359,Продажи!$D$5:$D$359,Конструкторы!$B356,Продажи!$C$5:$C$359,Конструкторы!$A356)</f>
        <v>0</v>
      </c>
      <c r="M356" s="166">
        <f>SUMIFS(Продажи!J$5:J$359,Продажи!$D$5:$D$359,Конструкторы!$B356,Продажи!$C$5:$C$359,Конструкторы!$A356)</f>
        <v>0</v>
      </c>
      <c r="N356" s="166">
        <f>SUMIFS(Продажи!K$5:K$359,Продажи!$D$5:$D$359,Конструкторы!$B356,Продажи!$C$5:$C$359,Конструкторы!$A356)</f>
        <v>0</v>
      </c>
      <c r="O356" s="166">
        <f>SUMIFS(Продажи!L$5:L$359,Продажи!$D$5:$D$359,Конструкторы!$B356,Продажи!$C$5:$C$359,Конструкторы!$A356)</f>
        <v>0</v>
      </c>
      <c r="P356" s="166">
        <f>SUMIFS(Продажи!M$5:M$359,Продажи!$D$5:$D$359,Конструкторы!$B356,Продажи!$C$5:$C$359,Конструкторы!$A356)</f>
        <v>0</v>
      </c>
      <c r="Q356" s="166">
        <f>SUMIFS(Продажи!N$5:N$359,Продажи!$D$5:$D$359,Конструкторы!$B356,Продажи!$C$5:$C$359,Конструкторы!$A356)</f>
        <v>0</v>
      </c>
      <c r="R356" s="166">
        <f>SUMIFS(Продажи!O$5:O$359,Продажи!$D$5:$D$359,Конструкторы!$B356,Продажи!$C$5:$C$359,Конструкторы!$A356)</f>
        <v>0</v>
      </c>
      <c r="S356" s="166">
        <f>SUMIFS(Продажи!P$5:P$359,Продажи!$D$5:$D$359,Конструкторы!$B356,Продажи!$C$5:$C$359,Конструкторы!$A356)</f>
        <v>0</v>
      </c>
      <c r="T356" s="166">
        <f>SUMIFS(Продажи!Q$5:Q$359,Продажи!$D$5:$D$359,Конструкторы!$B356,Продажи!$C$5:$C$359,Конструкторы!$A356)</f>
        <v>0</v>
      </c>
    </row>
    <row r="357" spans="1:20" ht="15.75" hidden="1" x14ac:dyDescent="0.25">
      <c r="A357" s="166" t="s">
        <v>397</v>
      </c>
      <c r="B357" s="167" t="s">
        <v>165</v>
      </c>
      <c r="C357" s="33" t="s">
        <v>76</v>
      </c>
      <c r="D357" s="149"/>
      <c r="E357" s="153" t="s">
        <v>70</v>
      </c>
      <c r="F357" s="148">
        <v>6</v>
      </c>
      <c r="G357" s="156" t="s">
        <v>71</v>
      </c>
      <c r="H357" s="156">
        <f>F357</f>
        <v>6</v>
      </c>
      <c r="I357" s="166">
        <f>SUMIFS(Продажи!F$5:F$359,Продажи!$D$5:$D$359,Конструкторы!$B357,Продажи!$C$5:$C$359,Конструкторы!$A357)</f>
        <v>0</v>
      </c>
      <c r="J357" s="166">
        <f>SUMIFS(Продажи!G$5:G$359,Продажи!$D$5:$D$359,Конструкторы!$B357,Продажи!$C$5:$C$359,Конструкторы!$A357)</f>
        <v>0</v>
      </c>
      <c r="K357" s="166">
        <f>SUMIFS(Продажи!H$5:H$359,Продажи!$D$5:$D$359,Конструкторы!$B357,Продажи!$C$5:$C$359,Конструкторы!$A357)</f>
        <v>0</v>
      </c>
      <c r="L357" s="166">
        <f>SUMIFS(Продажи!I$5:I$359,Продажи!$D$5:$D$359,Конструкторы!$B357,Продажи!$C$5:$C$359,Конструкторы!$A357)</f>
        <v>0</v>
      </c>
      <c r="M357" s="166">
        <f>SUMIFS(Продажи!J$5:J$359,Продажи!$D$5:$D$359,Конструкторы!$B357,Продажи!$C$5:$C$359,Конструкторы!$A357)</f>
        <v>0</v>
      </c>
      <c r="N357" s="166">
        <f>SUMIFS(Продажи!K$5:K$359,Продажи!$D$5:$D$359,Конструкторы!$B357,Продажи!$C$5:$C$359,Конструкторы!$A357)</f>
        <v>0</v>
      </c>
      <c r="O357" s="166">
        <f>SUMIFS(Продажи!L$5:L$359,Продажи!$D$5:$D$359,Конструкторы!$B357,Продажи!$C$5:$C$359,Конструкторы!$A357)</f>
        <v>0</v>
      </c>
      <c r="P357" s="166">
        <f>SUMIFS(Продажи!M$5:M$359,Продажи!$D$5:$D$359,Конструкторы!$B357,Продажи!$C$5:$C$359,Конструкторы!$A357)</f>
        <v>0</v>
      </c>
      <c r="Q357" s="166">
        <f>SUMIFS(Продажи!N$5:N$359,Продажи!$D$5:$D$359,Конструкторы!$B357,Продажи!$C$5:$C$359,Конструкторы!$A357)</f>
        <v>0</v>
      </c>
      <c r="R357" s="166">
        <f>SUMIFS(Продажи!O$5:O$359,Продажи!$D$5:$D$359,Конструкторы!$B357,Продажи!$C$5:$C$359,Конструкторы!$A357)</f>
        <v>0</v>
      </c>
      <c r="S357" s="166">
        <f>SUMIFS(Продажи!P$5:P$359,Продажи!$D$5:$D$359,Конструкторы!$B357,Продажи!$C$5:$C$359,Конструкторы!$A357)</f>
        <v>0</v>
      </c>
      <c r="T357" s="166">
        <f>SUMIFS(Продажи!Q$5:Q$359,Продажи!$D$5:$D$359,Конструкторы!$B357,Продажи!$C$5:$C$359,Конструкторы!$A357)</f>
        <v>0</v>
      </c>
    </row>
    <row r="358" spans="1:20" ht="15.75" hidden="1" x14ac:dyDescent="0.25">
      <c r="A358" s="166" t="s">
        <v>397</v>
      </c>
      <c r="B358" s="167" t="s">
        <v>165</v>
      </c>
      <c r="C358" s="33" t="s">
        <v>75</v>
      </c>
      <c r="D358" s="149"/>
      <c r="E358" s="153" t="s">
        <v>70</v>
      </c>
      <c r="F358" s="148">
        <v>2</v>
      </c>
      <c r="G358" s="156" t="s">
        <v>71</v>
      </c>
      <c r="H358" s="156">
        <f>F358</f>
        <v>2</v>
      </c>
      <c r="I358" s="166">
        <f>SUMIFS(Продажи!F$5:F$359,Продажи!$D$5:$D$359,Конструкторы!$B358,Продажи!$C$5:$C$359,Конструкторы!$A358)</f>
        <v>0</v>
      </c>
      <c r="J358" s="166">
        <f>SUMIFS(Продажи!G$5:G$359,Продажи!$D$5:$D$359,Конструкторы!$B358,Продажи!$C$5:$C$359,Конструкторы!$A358)</f>
        <v>0</v>
      </c>
      <c r="K358" s="166">
        <f>SUMIFS(Продажи!H$5:H$359,Продажи!$D$5:$D$359,Конструкторы!$B358,Продажи!$C$5:$C$359,Конструкторы!$A358)</f>
        <v>0</v>
      </c>
      <c r="L358" s="166">
        <f>SUMIFS(Продажи!I$5:I$359,Продажи!$D$5:$D$359,Конструкторы!$B358,Продажи!$C$5:$C$359,Конструкторы!$A358)</f>
        <v>0</v>
      </c>
      <c r="M358" s="166">
        <f>SUMIFS(Продажи!J$5:J$359,Продажи!$D$5:$D$359,Конструкторы!$B358,Продажи!$C$5:$C$359,Конструкторы!$A358)</f>
        <v>0</v>
      </c>
      <c r="N358" s="166">
        <f>SUMIFS(Продажи!K$5:K$359,Продажи!$D$5:$D$359,Конструкторы!$B358,Продажи!$C$5:$C$359,Конструкторы!$A358)</f>
        <v>0</v>
      </c>
      <c r="O358" s="166">
        <f>SUMIFS(Продажи!L$5:L$359,Продажи!$D$5:$D$359,Конструкторы!$B358,Продажи!$C$5:$C$359,Конструкторы!$A358)</f>
        <v>0</v>
      </c>
      <c r="P358" s="166">
        <f>SUMIFS(Продажи!M$5:M$359,Продажи!$D$5:$D$359,Конструкторы!$B358,Продажи!$C$5:$C$359,Конструкторы!$A358)</f>
        <v>0</v>
      </c>
      <c r="Q358" s="166">
        <f>SUMIFS(Продажи!N$5:N$359,Продажи!$D$5:$D$359,Конструкторы!$B358,Продажи!$C$5:$C$359,Конструкторы!$A358)</f>
        <v>0</v>
      </c>
      <c r="R358" s="166">
        <f>SUMIFS(Продажи!O$5:O$359,Продажи!$D$5:$D$359,Конструкторы!$B358,Продажи!$C$5:$C$359,Конструкторы!$A358)</f>
        <v>0</v>
      </c>
      <c r="S358" s="166">
        <f>SUMIFS(Продажи!P$5:P$359,Продажи!$D$5:$D$359,Конструкторы!$B358,Продажи!$C$5:$C$359,Конструкторы!$A358)</f>
        <v>0</v>
      </c>
      <c r="T358" s="166">
        <f>SUMIFS(Продажи!Q$5:Q$359,Продажи!$D$5:$D$359,Конструкторы!$B358,Продажи!$C$5:$C$359,Конструкторы!$A358)</f>
        <v>0</v>
      </c>
    </row>
    <row r="359" spans="1:20" ht="15.75" hidden="1" x14ac:dyDescent="0.25">
      <c r="A359" s="166" t="s">
        <v>397</v>
      </c>
      <c r="B359" s="167" t="s">
        <v>164</v>
      </c>
      <c r="C359" s="129" t="s">
        <v>62</v>
      </c>
      <c r="D359" s="149"/>
      <c r="E359" s="153" t="s">
        <v>68</v>
      </c>
      <c r="F359" s="156">
        <f>(0.3*103)/100</f>
        <v>0.309</v>
      </c>
      <c r="G359" s="156">
        <v>9.000000000000008E-3</v>
      </c>
      <c r="H359" s="156">
        <f>F359+G359</f>
        <v>0.318</v>
      </c>
      <c r="I359" s="166">
        <f>SUMIFS(Продажи!F$5:F$359,Продажи!$D$5:$D$359,Конструкторы!$B359,Продажи!$C$5:$C$359,Конструкторы!$A359)</f>
        <v>0</v>
      </c>
      <c r="J359" s="166">
        <f>SUMIFS(Продажи!G$5:G$359,Продажи!$D$5:$D$359,Конструкторы!$B359,Продажи!$C$5:$C$359,Конструкторы!$A359)</f>
        <v>0</v>
      </c>
      <c r="K359" s="166">
        <f>SUMIFS(Продажи!H$5:H$359,Продажи!$D$5:$D$359,Конструкторы!$B359,Продажи!$C$5:$C$359,Конструкторы!$A359)</f>
        <v>0</v>
      </c>
      <c r="L359" s="166">
        <f>SUMIFS(Продажи!I$5:I$359,Продажи!$D$5:$D$359,Конструкторы!$B359,Продажи!$C$5:$C$359,Конструкторы!$A359)</f>
        <v>0</v>
      </c>
      <c r="M359" s="166">
        <f>SUMIFS(Продажи!J$5:J$359,Продажи!$D$5:$D$359,Конструкторы!$B359,Продажи!$C$5:$C$359,Конструкторы!$A359)</f>
        <v>0</v>
      </c>
      <c r="N359" s="166">
        <f>SUMIFS(Продажи!K$5:K$359,Продажи!$D$5:$D$359,Конструкторы!$B359,Продажи!$C$5:$C$359,Конструкторы!$A359)</f>
        <v>0</v>
      </c>
      <c r="O359" s="166">
        <f>SUMIFS(Продажи!L$5:L$359,Продажи!$D$5:$D$359,Конструкторы!$B359,Продажи!$C$5:$C$359,Конструкторы!$A359)</f>
        <v>0</v>
      </c>
      <c r="P359" s="166">
        <f>SUMIFS(Продажи!M$5:M$359,Продажи!$D$5:$D$359,Конструкторы!$B359,Продажи!$C$5:$C$359,Конструкторы!$A359)</f>
        <v>0</v>
      </c>
      <c r="Q359" s="166">
        <f>SUMIFS(Продажи!N$5:N$359,Продажи!$D$5:$D$359,Конструкторы!$B359,Продажи!$C$5:$C$359,Конструкторы!$A359)</f>
        <v>0</v>
      </c>
      <c r="R359" s="166">
        <f>SUMIFS(Продажи!O$5:O$359,Продажи!$D$5:$D$359,Конструкторы!$B359,Продажи!$C$5:$C$359,Конструкторы!$A359)</f>
        <v>0</v>
      </c>
      <c r="S359" s="166">
        <f>SUMIFS(Продажи!P$5:P$359,Продажи!$D$5:$D$359,Конструкторы!$B359,Продажи!$C$5:$C$359,Конструкторы!$A359)</f>
        <v>0</v>
      </c>
      <c r="T359" s="166">
        <f>SUMIFS(Продажи!Q$5:Q$359,Продажи!$D$5:$D$359,Конструкторы!$B359,Продажи!$C$5:$C$359,Конструкторы!$A359)</f>
        <v>0</v>
      </c>
    </row>
    <row r="360" spans="1:20" ht="15.75" hidden="1" x14ac:dyDescent="0.25">
      <c r="A360" s="166" t="s">
        <v>397</v>
      </c>
      <c r="B360" s="167" t="s">
        <v>164</v>
      </c>
      <c r="C360" s="129" t="s">
        <v>61</v>
      </c>
      <c r="D360" s="149"/>
      <c r="E360" s="153" t="s">
        <v>68</v>
      </c>
      <c r="F360" s="156">
        <f>(0.2*103)/100</f>
        <v>0.20600000000000002</v>
      </c>
      <c r="G360" s="156">
        <v>6.0000000000000053E-3</v>
      </c>
      <c r="H360" s="156">
        <f>F360+G360</f>
        <v>0.21200000000000002</v>
      </c>
      <c r="I360" s="166">
        <f>SUMIFS(Продажи!F$5:F$359,Продажи!$D$5:$D$359,Конструкторы!$B360,Продажи!$C$5:$C$359,Конструкторы!$A360)</f>
        <v>0</v>
      </c>
      <c r="J360" s="166">
        <f>SUMIFS(Продажи!G$5:G$359,Продажи!$D$5:$D$359,Конструкторы!$B360,Продажи!$C$5:$C$359,Конструкторы!$A360)</f>
        <v>0</v>
      </c>
      <c r="K360" s="166">
        <f>SUMIFS(Продажи!H$5:H$359,Продажи!$D$5:$D$359,Конструкторы!$B360,Продажи!$C$5:$C$359,Конструкторы!$A360)</f>
        <v>0</v>
      </c>
      <c r="L360" s="166">
        <f>SUMIFS(Продажи!I$5:I$359,Продажи!$D$5:$D$359,Конструкторы!$B360,Продажи!$C$5:$C$359,Конструкторы!$A360)</f>
        <v>0</v>
      </c>
      <c r="M360" s="166">
        <f>SUMIFS(Продажи!J$5:J$359,Продажи!$D$5:$D$359,Конструкторы!$B360,Продажи!$C$5:$C$359,Конструкторы!$A360)</f>
        <v>0</v>
      </c>
      <c r="N360" s="166">
        <f>SUMIFS(Продажи!K$5:K$359,Продажи!$D$5:$D$359,Конструкторы!$B360,Продажи!$C$5:$C$359,Конструкторы!$A360)</f>
        <v>0</v>
      </c>
      <c r="O360" s="166">
        <f>SUMIFS(Продажи!L$5:L$359,Продажи!$D$5:$D$359,Конструкторы!$B360,Продажи!$C$5:$C$359,Конструкторы!$A360)</f>
        <v>0</v>
      </c>
      <c r="P360" s="166">
        <f>SUMIFS(Продажи!M$5:M$359,Продажи!$D$5:$D$359,Конструкторы!$B360,Продажи!$C$5:$C$359,Конструкторы!$A360)</f>
        <v>0</v>
      </c>
      <c r="Q360" s="166">
        <f>SUMIFS(Продажи!N$5:N$359,Продажи!$D$5:$D$359,Конструкторы!$B360,Продажи!$C$5:$C$359,Конструкторы!$A360)</f>
        <v>0</v>
      </c>
      <c r="R360" s="166">
        <f>SUMIFS(Продажи!O$5:O$359,Продажи!$D$5:$D$359,Конструкторы!$B360,Продажи!$C$5:$C$359,Конструкторы!$A360)</f>
        <v>0</v>
      </c>
      <c r="S360" s="166">
        <f>SUMIFS(Продажи!P$5:P$359,Продажи!$D$5:$D$359,Конструкторы!$B360,Продажи!$C$5:$C$359,Конструкторы!$A360)</f>
        <v>0</v>
      </c>
      <c r="T360" s="166">
        <f>SUMIFS(Продажи!Q$5:Q$359,Продажи!$D$5:$D$359,Конструкторы!$B360,Продажи!$C$5:$C$359,Конструкторы!$A360)</f>
        <v>0</v>
      </c>
    </row>
    <row r="361" spans="1:20" ht="15.75" hidden="1" x14ac:dyDescent="0.25">
      <c r="A361" s="166" t="s">
        <v>397</v>
      </c>
      <c r="B361" s="167" t="s">
        <v>164</v>
      </c>
      <c r="C361" s="33" t="s">
        <v>76</v>
      </c>
      <c r="D361" s="149"/>
      <c r="E361" s="153" t="s">
        <v>70</v>
      </c>
      <c r="F361" s="148">
        <v>6</v>
      </c>
      <c r="G361" s="156" t="s">
        <v>71</v>
      </c>
      <c r="H361" s="156">
        <f>F361</f>
        <v>6</v>
      </c>
      <c r="I361" s="166">
        <f>SUMIFS(Продажи!F$5:F$359,Продажи!$D$5:$D$359,Конструкторы!$B361,Продажи!$C$5:$C$359,Конструкторы!$A361)</f>
        <v>0</v>
      </c>
      <c r="J361" s="166">
        <f>SUMIFS(Продажи!G$5:G$359,Продажи!$D$5:$D$359,Конструкторы!$B361,Продажи!$C$5:$C$359,Конструкторы!$A361)</f>
        <v>0</v>
      </c>
      <c r="K361" s="166">
        <f>SUMIFS(Продажи!H$5:H$359,Продажи!$D$5:$D$359,Конструкторы!$B361,Продажи!$C$5:$C$359,Конструкторы!$A361)</f>
        <v>0</v>
      </c>
      <c r="L361" s="166">
        <f>SUMIFS(Продажи!I$5:I$359,Продажи!$D$5:$D$359,Конструкторы!$B361,Продажи!$C$5:$C$359,Конструкторы!$A361)</f>
        <v>0</v>
      </c>
      <c r="M361" s="166">
        <f>SUMIFS(Продажи!J$5:J$359,Продажи!$D$5:$D$359,Конструкторы!$B361,Продажи!$C$5:$C$359,Конструкторы!$A361)</f>
        <v>0</v>
      </c>
      <c r="N361" s="166">
        <f>SUMIFS(Продажи!K$5:K$359,Продажи!$D$5:$D$359,Конструкторы!$B361,Продажи!$C$5:$C$359,Конструкторы!$A361)</f>
        <v>0</v>
      </c>
      <c r="O361" s="166">
        <f>SUMIFS(Продажи!L$5:L$359,Продажи!$D$5:$D$359,Конструкторы!$B361,Продажи!$C$5:$C$359,Конструкторы!$A361)</f>
        <v>0</v>
      </c>
      <c r="P361" s="166">
        <f>SUMIFS(Продажи!M$5:M$359,Продажи!$D$5:$D$359,Конструкторы!$B361,Продажи!$C$5:$C$359,Конструкторы!$A361)</f>
        <v>0</v>
      </c>
      <c r="Q361" s="166">
        <f>SUMIFS(Продажи!N$5:N$359,Продажи!$D$5:$D$359,Конструкторы!$B361,Продажи!$C$5:$C$359,Конструкторы!$A361)</f>
        <v>0</v>
      </c>
      <c r="R361" s="166">
        <f>SUMIFS(Продажи!O$5:O$359,Продажи!$D$5:$D$359,Конструкторы!$B361,Продажи!$C$5:$C$359,Конструкторы!$A361)</f>
        <v>0</v>
      </c>
      <c r="S361" s="166">
        <f>SUMIFS(Продажи!P$5:P$359,Продажи!$D$5:$D$359,Конструкторы!$B361,Продажи!$C$5:$C$359,Конструкторы!$A361)</f>
        <v>0</v>
      </c>
      <c r="T361" s="166">
        <f>SUMIFS(Продажи!Q$5:Q$359,Продажи!$D$5:$D$359,Конструкторы!$B361,Продажи!$C$5:$C$359,Конструкторы!$A361)</f>
        <v>0</v>
      </c>
    </row>
    <row r="362" spans="1:20" ht="15.75" hidden="1" x14ac:dyDescent="0.25">
      <c r="A362" s="166" t="s">
        <v>397</v>
      </c>
      <c r="B362" s="167" t="s">
        <v>164</v>
      </c>
      <c r="C362" s="33" t="s">
        <v>75</v>
      </c>
      <c r="D362" s="149"/>
      <c r="E362" s="153" t="s">
        <v>70</v>
      </c>
      <c r="F362" s="148">
        <v>1</v>
      </c>
      <c r="G362" s="156" t="s">
        <v>71</v>
      </c>
      <c r="H362" s="156">
        <f>F362</f>
        <v>1</v>
      </c>
      <c r="I362" s="166">
        <f>SUMIFS(Продажи!F$5:F$359,Продажи!$D$5:$D$359,Конструкторы!$B362,Продажи!$C$5:$C$359,Конструкторы!$A362)</f>
        <v>0</v>
      </c>
      <c r="J362" s="166">
        <f>SUMIFS(Продажи!G$5:G$359,Продажи!$D$5:$D$359,Конструкторы!$B362,Продажи!$C$5:$C$359,Конструкторы!$A362)</f>
        <v>0</v>
      </c>
      <c r="K362" s="166">
        <f>SUMIFS(Продажи!H$5:H$359,Продажи!$D$5:$D$359,Конструкторы!$B362,Продажи!$C$5:$C$359,Конструкторы!$A362)</f>
        <v>0</v>
      </c>
      <c r="L362" s="166">
        <f>SUMIFS(Продажи!I$5:I$359,Продажи!$D$5:$D$359,Конструкторы!$B362,Продажи!$C$5:$C$359,Конструкторы!$A362)</f>
        <v>0</v>
      </c>
      <c r="M362" s="166">
        <f>SUMIFS(Продажи!J$5:J$359,Продажи!$D$5:$D$359,Конструкторы!$B362,Продажи!$C$5:$C$359,Конструкторы!$A362)</f>
        <v>0</v>
      </c>
      <c r="N362" s="166">
        <f>SUMIFS(Продажи!K$5:K$359,Продажи!$D$5:$D$359,Конструкторы!$B362,Продажи!$C$5:$C$359,Конструкторы!$A362)</f>
        <v>0</v>
      </c>
      <c r="O362" s="166">
        <f>SUMIFS(Продажи!L$5:L$359,Продажи!$D$5:$D$359,Конструкторы!$B362,Продажи!$C$5:$C$359,Конструкторы!$A362)</f>
        <v>0</v>
      </c>
      <c r="P362" s="166">
        <f>SUMIFS(Продажи!M$5:M$359,Продажи!$D$5:$D$359,Конструкторы!$B362,Продажи!$C$5:$C$359,Конструкторы!$A362)</f>
        <v>0</v>
      </c>
      <c r="Q362" s="166">
        <f>SUMIFS(Продажи!N$5:N$359,Продажи!$D$5:$D$359,Конструкторы!$B362,Продажи!$C$5:$C$359,Конструкторы!$A362)</f>
        <v>0</v>
      </c>
      <c r="R362" s="166">
        <f>SUMIFS(Продажи!O$5:O$359,Продажи!$D$5:$D$359,Конструкторы!$B362,Продажи!$C$5:$C$359,Конструкторы!$A362)</f>
        <v>0</v>
      </c>
      <c r="S362" s="166">
        <f>SUMIFS(Продажи!P$5:P$359,Продажи!$D$5:$D$359,Конструкторы!$B362,Продажи!$C$5:$C$359,Конструкторы!$A362)</f>
        <v>0</v>
      </c>
      <c r="T362" s="166">
        <f>SUMIFS(Продажи!Q$5:Q$359,Продажи!$D$5:$D$359,Конструкторы!$B362,Продажи!$C$5:$C$359,Конструкторы!$A362)</f>
        <v>0</v>
      </c>
    </row>
    <row r="363" spans="1:20" ht="15.75" hidden="1" x14ac:dyDescent="0.25">
      <c r="A363" s="166" t="s">
        <v>397</v>
      </c>
      <c r="B363" s="167" t="s">
        <v>163</v>
      </c>
      <c r="C363" s="129" t="s">
        <v>63</v>
      </c>
      <c r="D363" s="149"/>
      <c r="E363" s="153" t="s">
        <v>68</v>
      </c>
      <c r="F363" s="156">
        <f>(0.45*103)/100</f>
        <v>0.46350000000000002</v>
      </c>
      <c r="G363" s="156">
        <v>1.3500000000000012E-2</v>
      </c>
      <c r="H363" s="156">
        <f>F363+G363</f>
        <v>0.47700000000000004</v>
      </c>
      <c r="I363" s="166">
        <f>SUMIFS(Продажи!F$5:F$359,Продажи!$D$5:$D$359,Конструкторы!$B363,Продажи!$C$5:$C$359,Конструкторы!$A363)</f>
        <v>0</v>
      </c>
      <c r="J363" s="166">
        <f>SUMIFS(Продажи!G$5:G$359,Продажи!$D$5:$D$359,Конструкторы!$B363,Продажи!$C$5:$C$359,Конструкторы!$A363)</f>
        <v>0</v>
      </c>
      <c r="K363" s="166">
        <f>SUMIFS(Продажи!H$5:H$359,Продажи!$D$5:$D$359,Конструкторы!$B363,Продажи!$C$5:$C$359,Конструкторы!$A363)</f>
        <v>0</v>
      </c>
      <c r="L363" s="166">
        <f>SUMIFS(Продажи!I$5:I$359,Продажи!$D$5:$D$359,Конструкторы!$B363,Продажи!$C$5:$C$359,Конструкторы!$A363)</f>
        <v>0</v>
      </c>
      <c r="M363" s="166">
        <f>SUMIFS(Продажи!J$5:J$359,Продажи!$D$5:$D$359,Конструкторы!$B363,Продажи!$C$5:$C$359,Конструкторы!$A363)</f>
        <v>0</v>
      </c>
      <c r="N363" s="166">
        <f>SUMIFS(Продажи!K$5:K$359,Продажи!$D$5:$D$359,Конструкторы!$B363,Продажи!$C$5:$C$359,Конструкторы!$A363)</f>
        <v>0</v>
      </c>
      <c r="O363" s="166">
        <f>SUMIFS(Продажи!L$5:L$359,Продажи!$D$5:$D$359,Конструкторы!$B363,Продажи!$C$5:$C$359,Конструкторы!$A363)</f>
        <v>0</v>
      </c>
      <c r="P363" s="166">
        <f>SUMIFS(Продажи!M$5:M$359,Продажи!$D$5:$D$359,Конструкторы!$B363,Продажи!$C$5:$C$359,Конструкторы!$A363)</f>
        <v>0</v>
      </c>
      <c r="Q363" s="166">
        <f>SUMIFS(Продажи!N$5:N$359,Продажи!$D$5:$D$359,Конструкторы!$B363,Продажи!$C$5:$C$359,Конструкторы!$A363)</f>
        <v>0</v>
      </c>
      <c r="R363" s="166">
        <f>SUMIFS(Продажи!O$5:O$359,Продажи!$D$5:$D$359,Конструкторы!$B363,Продажи!$C$5:$C$359,Конструкторы!$A363)</f>
        <v>0</v>
      </c>
      <c r="S363" s="166">
        <f>SUMIFS(Продажи!P$5:P$359,Продажи!$D$5:$D$359,Конструкторы!$B363,Продажи!$C$5:$C$359,Конструкторы!$A363)</f>
        <v>0</v>
      </c>
      <c r="T363" s="166">
        <f>SUMIFS(Продажи!Q$5:Q$359,Продажи!$D$5:$D$359,Конструкторы!$B363,Продажи!$C$5:$C$359,Конструкторы!$A363)</f>
        <v>0</v>
      </c>
    </row>
    <row r="364" spans="1:20" ht="15.75" hidden="1" x14ac:dyDescent="0.25">
      <c r="A364" s="166" t="s">
        <v>397</v>
      </c>
      <c r="B364" s="167" t="s">
        <v>163</v>
      </c>
      <c r="C364" s="129" t="s">
        <v>60</v>
      </c>
      <c r="D364" s="149"/>
      <c r="E364" s="153" t="s">
        <v>68</v>
      </c>
      <c r="F364" s="156">
        <f>(0.15*103)/100</f>
        <v>0.1545</v>
      </c>
      <c r="G364" s="156">
        <v>4.500000000000004E-3</v>
      </c>
      <c r="H364" s="156">
        <f>F364+G364</f>
        <v>0.159</v>
      </c>
      <c r="I364" s="166">
        <f>SUMIFS(Продажи!F$5:F$359,Продажи!$D$5:$D$359,Конструкторы!$B364,Продажи!$C$5:$C$359,Конструкторы!$A364)</f>
        <v>0</v>
      </c>
      <c r="J364" s="166">
        <f>SUMIFS(Продажи!G$5:G$359,Продажи!$D$5:$D$359,Конструкторы!$B364,Продажи!$C$5:$C$359,Конструкторы!$A364)</f>
        <v>0</v>
      </c>
      <c r="K364" s="166">
        <f>SUMIFS(Продажи!H$5:H$359,Продажи!$D$5:$D$359,Конструкторы!$B364,Продажи!$C$5:$C$359,Конструкторы!$A364)</f>
        <v>0</v>
      </c>
      <c r="L364" s="166">
        <f>SUMIFS(Продажи!I$5:I$359,Продажи!$D$5:$D$359,Конструкторы!$B364,Продажи!$C$5:$C$359,Конструкторы!$A364)</f>
        <v>0</v>
      </c>
      <c r="M364" s="166">
        <f>SUMIFS(Продажи!J$5:J$359,Продажи!$D$5:$D$359,Конструкторы!$B364,Продажи!$C$5:$C$359,Конструкторы!$A364)</f>
        <v>0</v>
      </c>
      <c r="N364" s="166">
        <f>SUMIFS(Продажи!K$5:K$359,Продажи!$D$5:$D$359,Конструкторы!$B364,Продажи!$C$5:$C$359,Конструкторы!$A364)</f>
        <v>0</v>
      </c>
      <c r="O364" s="166">
        <f>SUMIFS(Продажи!L$5:L$359,Продажи!$D$5:$D$359,Конструкторы!$B364,Продажи!$C$5:$C$359,Конструкторы!$A364)</f>
        <v>0</v>
      </c>
      <c r="P364" s="166">
        <f>SUMIFS(Продажи!M$5:M$359,Продажи!$D$5:$D$359,Конструкторы!$B364,Продажи!$C$5:$C$359,Конструкторы!$A364)</f>
        <v>0</v>
      </c>
      <c r="Q364" s="166">
        <f>SUMIFS(Продажи!N$5:N$359,Продажи!$D$5:$D$359,Конструкторы!$B364,Продажи!$C$5:$C$359,Конструкторы!$A364)</f>
        <v>0</v>
      </c>
      <c r="R364" s="166">
        <f>SUMIFS(Продажи!O$5:O$359,Продажи!$D$5:$D$359,Конструкторы!$B364,Продажи!$C$5:$C$359,Конструкторы!$A364)</f>
        <v>0</v>
      </c>
      <c r="S364" s="166">
        <f>SUMIFS(Продажи!P$5:P$359,Продажи!$D$5:$D$359,Конструкторы!$B364,Продажи!$C$5:$C$359,Конструкторы!$A364)</f>
        <v>0</v>
      </c>
      <c r="T364" s="166">
        <f>SUMIFS(Продажи!Q$5:Q$359,Продажи!$D$5:$D$359,Конструкторы!$B364,Продажи!$C$5:$C$359,Конструкторы!$A364)</f>
        <v>0</v>
      </c>
    </row>
    <row r="365" spans="1:20" ht="15.75" hidden="1" x14ac:dyDescent="0.25">
      <c r="A365" s="166" t="s">
        <v>397</v>
      </c>
      <c r="B365" s="167" t="s">
        <v>163</v>
      </c>
      <c r="C365" s="33" t="s">
        <v>76</v>
      </c>
      <c r="D365" s="149"/>
      <c r="E365" s="153" t="s">
        <v>70</v>
      </c>
      <c r="F365" s="148">
        <v>6</v>
      </c>
      <c r="G365" s="156" t="s">
        <v>71</v>
      </c>
      <c r="H365" s="156">
        <f>F365</f>
        <v>6</v>
      </c>
      <c r="I365" s="166">
        <f>SUMIFS(Продажи!F$5:F$359,Продажи!$D$5:$D$359,Конструкторы!$B365,Продажи!$C$5:$C$359,Конструкторы!$A365)</f>
        <v>0</v>
      </c>
      <c r="J365" s="166">
        <f>SUMIFS(Продажи!G$5:G$359,Продажи!$D$5:$D$359,Конструкторы!$B365,Продажи!$C$5:$C$359,Конструкторы!$A365)</f>
        <v>0</v>
      </c>
      <c r="K365" s="166">
        <f>SUMIFS(Продажи!H$5:H$359,Продажи!$D$5:$D$359,Конструкторы!$B365,Продажи!$C$5:$C$359,Конструкторы!$A365)</f>
        <v>0</v>
      </c>
      <c r="L365" s="166">
        <f>SUMIFS(Продажи!I$5:I$359,Продажи!$D$5:$D$359,Конструкторы!$B365,Продажи!$C$5:$C$359,Конструкторы!$A365)</f>
        <v>0</v>
      </c>
      <c r="M365" s="166">
        <f>SUMIFS(Продажи!J$5:J$359,Продажи!$D$5:$D$359,Конструкторы!$B365,Продажи!$C$5:$C$359,Конструкторы!$A365)</f>
        <v>0</v>
      </c>
      <c r="N365" s="166">
        <f>SUMIFS(Продажи!K$5:K$359,Продажи!$D$5:$D$359,Конструкторы!$B365,Продажи!$C$5:$C$359,Конструкторы!$A365)</f>
        <v>0</v>
      </c>
      <c r="O365" s="166">
        <f>SUMIFS(Продажи!L$5:L$359,Продажи!$D$5:$D$359,Конструкторы!$B365,Продажи!$C$5:$C$359,Конструкторы!$A365)</f>
        <v>0</v>
      </c>
      <c r="P365" s="166">
        <f>SUMIFS(Продажи!M$5:M$359,Продажи!$D$5:$D$359,Конструкторы!$B365,Продажи!$C$5:$C$359,Конструкторы!$A365)</f>
        <v>0</v>
      </c>
      <c r="Q365" s="166">
        <f>SUMIFS(Продажи!N$5:N$359,Продажи!$D$5:$D$359,Конструкторы!$B365,Продажи!$C$5:$C$359,Конструкторы!$A365)</f>
        <v>0</v>
      </c>
      <c r="R365" s="166">
        <f>SUMIFS(Продажи!O$5:O$359,Продажи!$D$5:$D$359,Конструкторы!$B365,Продажи!$C$5:$C$359,Конструкторы!$A365)</f>
        <v>0</v>
      </c>
      <c r="S365" s="166">
        <f>SUMIFS(Продажи!P$5:P$359,Продажи!$D$5:$D$359,Конструкторы!$B365,Продажи!$C$5:$C$359,Конструкторы!$A365)</f>
        <v>0</v>
      </c>
      <c r="T365" s="166">
        <f>SUMIFS(Продажи!Q$5:Q$359,Продажи!$D$5:$D$359,Конструкторы!$B365,Продажи!$C$5:$C$359,Конструкторы!$A365)</f>
        <v>0</v>
      </c>
    </row>
    <row r="366" spans="1:20" ht="15.75" hidden="1" x14ac:dyDescent="0.25">
      <c r="A366" s="166" t="s">
        <v>397</v>
      </c>
      <c r="B366" s="167" t="s">
        <v>163</v>
      </c>
      <c r="C366" s="33" t="s">
        <v>75</v>
      </c>
      <c r="D366" s="149"/>
      <c r="E366" s="153" t="s">
        <v>70</v>
      </c>
      <c r="F366" s="148">
        <v>3</v>
      </c>
      <c r="G366" s="156" t="s">
        <v>71</v>
      </c>
      <c r="H366" s="156">
        <f>F366</f>
        <v>3</v>
      </c>
      <c r="I366" s="166">
        <f>SUMIFS(Продажи!F$5:F$359,Продажи!$D$5:$D$359,Конструкторы!$B366,Продажи!$C$5:$C$359,Конструкторы!$A366)</f>
        <v>0</v>
      </c>
      <c r="J366" s="166">
        <f>SUMIFS(Продажи!G$5:G$359,Продажи!$D$5:$D$359,Конструкторы!$B366,Продажи!$C$5:$C$359,Конструкторы!$A366)</f>
        <v>0</v>
      </c>
      <c r="K366" s="166">
        <f>SUMIFS(Продажи!H$5:H$359,Продажи!$D$5:$D$359,Конструкторы!$B366,Продажи!$C$5:$C$359,Конструкторы!$A366)</f>
        <v>0</v>
      </c>
      <c r="L366" s="166">
        <f>SUMIFS(Продажи!I$5:I$359,Продажи!$D$5:$D$359,Конструкторы!$B366,Продажи!$C$5:$C$359,Конструкторы!$A366)</f>
        <v>0</v>
      </c>
      <c r="M366" s="166">
        <f>SUMIFS(Продажи!J$5:J$359,Продажи!$D$5:$D$359,Конструкторы!$B366,Продажи!$C$5:$C$359,Конструкторы!$A366)</f>
        <v>0</v>
      </c>
      <c r="N366" s="166">
        <f>SUMIFS(Продажи!K$5:K$359,Продажи!$D$5:$D$359,Конструкторы!$B366,Продажи!$C$5:$C$359,Конструкторы!$A366)</f>
        <v>0</v>
      </c>
      <c r="O366" s="166">
        <f>SUMIFS(Продажи!L$5:L$359,Продажи!$D$5:$D$359,Конструкторы!$B366,Продажи!$C$5:$C$359,Конструкторы!$A366)</f>
        <v>0</v>
      </c>
      <c r="P366" s="166">
        <f>SUMIFS(Продажи!M$5:M$359,Продажи!$D$5:$D$359,Конструкторы!$B366,Продажи!$C$5:$C$359,Конструкторы!$A366)</f>
        <v>0</v>
      </c>
      <c r="Q366" s="166">
        <f>SUMIFS(Продажи!N$5:N$359,Продажи!$D$5:$D$359,Конструкторы!$B366,Продажи!$C$5:$C$359,Конструкторы!$A366)</f>
        <v>0</v>
      </c>
      <c r="R366" s="166">
        <f>SUMIFS(Продажи!O$5:O$359,Продажи!$D$5:$D$359,Конструкторы!$B366,Продажи!$C$5:$C$359,Конструкторы!$A366)</f>
        <v>0</v>
      </c>
      <c r="S366" s="166">
        <f>SUMIFS(Продажи!P$5:P$359,Продажи!$D$5:$D$359,Конструкторы!$B366,Продажи!$C$5:$C$359,Конструкторы!$A366)</f>
        <v>0</v>
      </c>
      <c r="T366" s="166">
        <f>SUMIFS(Продажи!Q$5:Q$359,Продажи!$D$5:$D$359,Конструкторы!$B366,Продажи!$C$5:$C$359,Конструкторы!$A366)</f>
        <v>0</v>
      </c>
    </row>
    <row r="367" spans="1:20" ht="15.75" hidden="1" x14ac:dyDescent="0.25">
      <c r="A367" s="166" t="s">
        <v>397</v>
      </c>
      <c r="B367" s="167" t="s">
        <v>162</v>
      </c>
      <c r="C367" s="129" t="s">
        <v>63</v>
      </c>
      <c r="D367" s="149"/>
      <c r="E367" s="153" t="s">
        <v>68</v>
      </c>
      <c r="F367" s="156">
        <f>(0.35*103)/100</f>
        <v>0.36049999999999999</v>
      </c>
      <c r="G367" s="156">
        <v>1.0500000000000009E-2</v>
      </c>
      <c r="H367" s="156">
        <f>F367+G367</f>
        <v>0.371</v>
      </c>
      <c r="I367" s="166">
        <f>SUMIFS(Продажи!F$5:F$359,Продажи!$D$5:$D$359,Конструкторы!$B367,Продажи!$C$5:$C$359,Конструкторы!$A367)</f>
        <v>0</v>
      </c>
      <c r="J367" s="166">
        <f>SUMIFS(Продажи!G$5:G$359,Продажи!$D$5:$D$359,Конструкторы!$B367,Продажи!$C$5:$C$359,Конструкторы!$A367)</f>
        <v>0</v>
      </c>
      <c r="K367" s="166">
        <f>SUMIFS(Продажи!H$5:H$359,Продажи!$D$5:$D$359,Конструкторы!$B367,Продажи!$C$5:$C$359,Конструкторы!$A367)</f>
        <v>0</v>
      </c>
      <c r="L367" s="166">
        <f>SUMIFS(Продажи!I$5:I$359,Продажи!$D$5:$D$359,Конструкторы!$B367,Продажи!$C$5:$C$359,Конструкторы!$A367)</f>
        <v>0</v>
      </c>
      <c r="M367" s="166">
        <f>SUMIFS(Продажи!J$5:J$359,Продажи!$D$5:$D$359,Конструкторы!$B367,Продажи!$C$5:$C$359,Конструкторы!$A367)</f>
        <v>0</v>
      </c>
      <c r="N367" s="166">
        <f>SUMIFS(Продажи!K$5:K$359,Продажи!$D$5:$D$359,Конструкторы!$B367,Продажи!$C$5:$C$359,Конструкторы!$A367)</f>
        <v>0</v>
      </c>
      <c r="O367" s="166">
        <f>SUMIFS(Продажи!L$5:L$359,Продажи!$D$5:$D$359,Конструкторы!$B367,Продажи!$C$5:$C$359,Конструкторы!$A367)</f>
        <v>0</v>
      </c>
      <c r="P367" s="166">
        <f>SUMIFS(Продажи!M$5:M$359,Продажи!$D$5:$D$359,Конструкторы!$B367,Продажи!$C$5:$C$359,Конструкторы!$A367)</f>
        <v>0</v>
      </c>
      <c r="Q367" s="166">
        <f>SUMIFS(Продажи!N$5:N$359,Продажи!$D$5:$D$359,Конструкторы!$B367,Продажи!$C$5:$C$359,Конструкторы!$A367)</f>
        <v>0</v>
      </c>
      <c r="R367" s="166">
        <f>SUMIFS(Продажи!O$5:O$359,Продажи!$D$5:$D$359,Конструкторы!$B367,Продажи!$C$5:$C$359,Конструкторы!$A367)</f>
        <v>0</v>
      </c>
      <c r="S367" s="166">
        <f>SUMIFS(Продажи!P$5:P$359,Продажи!$D$5:$D$359,Конструкторы!$B367,Продажи!$C$5:$C$359,Конструкторы!$A367)</f>
        <v>0</v>
      </c>
      <c r="T367" s="166">
        <f>SUMIFS(Продажи!Q$5:Q$359,Продажи!$D$5:$D$359,Конструкторы!$B367,Продажи!$C$5:$C$359,Конструкторы!$A367)</f>
        <v>0</v>
      </c>
    </row>
    <row r="368" spans="1:20" ht="15.75" hidden="1" x14ac:dyDescent="0.25">
      <c r="A368" s="166" t="s">
        <v>397</v>
      </c>
      <c r="B368" s="167" t="s">
        <v>162</v>
      </c>
      <c r="C368" s="129" t="s">
        <v>61</v>
      </c>
      <c r="D368" s="149"/>
      <c r="E368" s="153" t="s">
        <v>68</v>
      </c>
      <c r="F368" s="156">
        <f>(0.15*103)/100</f>
        <v>0.1545</v>
      </c>
      <c r="G368" s="156">
        <v>4.500000000000004E-3</v>
      </c>
      <c r="H368" s="156">
        <f>F368+G368</f>
        <v>0.159</v>
      </c>
      <c r="I368" s="166">
        <f>SUMIFS(Продажи!F$5:F$359,Продажи!$D$5:$D$359,Конструкторы!$B368,Продажи!$C$5:$C$359,Конструкторы!$A368)</f>
        <v>0</v>
      </c>
      <c r="J368" s="166">
        <f>SUMIFS(Продажи!G$5:G$359,Продажи!$D$5:$D$359,Конструкторы!$B368,Продажи!$C$5:$C$359,Конструкторы!$A368)</f>
        <v>0</v>
      </c>
      <c r="K368" s="166">
        <f>SUMIFS(Продажи!H$5:H$359,Продажи!$D$5:$D$359,Конструкторы!$B368,Продажи!$C$5:$C$359,Конструкторы!$A368)</f>
        <v>0</v>
      </c>
      <c r="L368" s="166">
        <f>SUMIFS(Продажи!I$5:I$359,Продажи!$D$5:$D$359,Конструкторы!$B368,Продажи!$C$5:$C$359,Конструкторы!$A368)</f>
        <v>0</v>
      </c>
      <c r="M368" s="166">
        <f>SUMIFS(Продажи!J$5:J$359,Продажи!$D$5:$D$359,Конструкторы!$B368,Продажи!$C$5:$C$359,Конструкторы!$A368)</f>
        <v>0</v>
      </c>
      <c r="N368" s="166">
        <f>SUMIFS(Продажи!K$5:K$359,Продажи!$D$5:$D$359,Конструкторы!$B368,Продажи!$C$5:$C$359,Конструкторы!$A368)</f>
        <v>0</v>
      </c>
      <c r="O368" s="166">
        <f>SUMIFS(Продажи!L$5:L$359,Продажи!$D$5:$D$359,Конструкторы!$B368,Продажи!$C$5:$C$359,Конструкторы!$A368)</f>
        <v>0</v>
      </c>
      <c r="P368" s="166">
        <f>SUMIFS(Продажи!M$5:M$359,Продажи!$D$5:$D$359,Конструкторы!$B368,Продажи!$C$5:$C$359,Конструкторы!$A368)</f>
        <v>0</v>
      </c>
      <c r="Q368" s="166">
        <f>SUMIFS(Продажи!N$5:N$359,Продажи!$D$5:$D$359,Конструкторы!$B368,Продажи!$C$5:$C$359,Конструкторы!$A368)</f>
        <v>0</v>
      </c>
      <c r="R368" s="166">
        <f>SUMIFS(Продажи!O$5:O$359,Продажи!$D$5:$D$359,Конструкторы!$B368,Продажи!$C$5:$C$359,Конструкторы!$A368)</f>
        <v>0</v>
      </c>
      <c r="S368" s="166">
        <f>SUMIFS(Продажи!P$5:P$359,Продажи!$D$5:$D$359,Конструкторы!$B368,Продажи!$C$5:$C$359,Конструкторы!$A368)</f>
        <v>0</v>
      </c>
      <c r="T368" s="166">
        <f>SUMIFS(Продажи!Q$5:Q$359,Продажи!$D$5:$D$359,Конструкторы!$B368,Продажи!$C$5:$C$359,Конструкторы!$A368)</f>
        <v>0</v>
      </c>
    </row>
    <row r="369" spans="1:20" ht="15.75" hidden="1" x14ac:dyDescent="0.25">
      <c r="A369" s="166" t="s">
        <v>397</v>
      </c>
      <c r="B369" s="167" t="s">
        <v>162</v>
      </c>
      <c r="C369" s="33" t="s">
        <v>76</v>
      </c>
      <c r="D369" s="149"/>
      <c r="E369" s="153" t="s">
        <v>70</v>
      </c>
      <c r="F369" s="148">
        <v>6</v>
      </c>
      <c r="G369" s="156" t="s">
        <v>71</v>
      </c>
      <c r="H369" s="156">
        <f>F369</f>
        <v>6</v>
      </c>
      <c r="I369" s="166">
        <f>SUMIFS(Продажи!F$5:F$359,Продажи!$D$5:$D$359,Конструкторы!$B369,Продажи!$C$5:$C$359,Конструкторы!$A369)</f>
        <v>0</v>
      </c>
      <c r="J369" s="166">
        <f>SUMIFS(Продажи!G$5:G$359,Продажи!$D$5:$D$359,Конструкторы!$B369,Продажи!$C$5:$C$359,Конструкторы!$A369)</f>
        <v>0</v>
      </c>
      <c r="K369" s="166">
        <f>SUMIFS(Продажи!H$5:H$359,Продажи!$D$5:$D$359,Конструкторы!$B369,Продажи!$C$5:$C$359,Конструкторы!$A369)</f>
        <v>0</v>
      </c>
      <c r="L369" s="166">
        <f>SUMIFS(Продажи!I$5:I$359,Продажи!$D$5:$D$359,Конструкторы!$B369,Продажи!$C$5:$C$359,Конструкторы!$A369)</f>
        <v>0</v>
      </c>
      <c r="M369" s="166">
        <f>SUMIFS(Продажи!J$5:J$359,Продажи!$D$5:$D$359,Конструкторы!$B369,Продажи!$C$5:$C$359,Конструкторы!$A369)</f>
        <v>0</v>
      </c>
      <c r="N369" s="166">
        <f>SUMIFS(Продажи!K$5:K$359,Продажи!$D$5:$D$359,Конструкторы!$B369,Продажи!$C$5:$C$359,Конструкторы!$A369)</f>
        <v>0</v>
      </c>
      <c r="O369" s="166">
        <f>SUMIFS(Продажи!L$5:L$359,Продажи!$D$5:$D$359,Конструкторы!$B369,Продажи!$C$5:$C$359,Конструкторы!$A369)</f>
        <v>0</v>
      </c>
      <c r="P369" s="166">
        <f>SUMIFS(Продажи!M$5:M$359,Продажи!$D$5:$D$359,Конструкторы!$B369,Продажи!$C$5:$C$359,Конструкторы!$A369)</f>
        <v>0</v>
      </c>
      <c r="Q369" s="166">
        <f>SUMIFS(Продажи!N$5:N$359,Продажи!$D$5:$D$359,Конструкторы!$B369,Продажи!$C$5:$C$359,Конструкторы!$A369)</f>
        <v>0</v>
      </c>
      <c r="R369" s="166">
        <f>SUMIFS(Продажи!O$5:O$359,Продажи!$D$5:$D$359,Конструкторы!$B369,Продажи!$C$5:$C$359,Конструкторы!$A369)</f>
        <v>0</v>
      </c>
      <c r="S369" s="166">
        <f>SUMIFS(Продажи!P$5:P$359,Продажи!$D$5:$D$359,Конструкторы!$B369,Продажи!$C$5:$C$359,Конструкторы!$A369)</f>
        <v>0</v>
      </c>
      <c r="T369" s="166">
        <f>SUMIFS(Продажи!Q$5:Q$359,Продажи!$D$5:$D$359,Конструкторы!$B369,Продажи!$C$5:$C$359,Конструкторы!$A369)</f>
        <v>0</v>
      </c>
    </row>
    <row r="370" spans="1:20" ht="15.75" hidden="1" x14ac:dyDescent="0.25">
      <c r="A370" s="166" t="s">
        <v>397</v>
      </c>
      <c r="B370" s="167" t="s">
        <v>162</v>
      </c>
      <c r="C370" s="33" t="s">
        <v>75</v>
      </c>
      <c r="D370" s="149"/>
      <c r="E370" s="153" t="s">
        <v>70</v>
      </c>
      <c r="F370" s="148">
        <v>2</v>
      </c>
      <c r="G370" s="156" t="s">
        <v>71</v>
      </c>
      <c r="H370" s="156">
        <f>F370</f>
        <v>2</v>
      </c>
      <c r="I370" s="166">
        <f>SUMIFS(Продажи!F$5:F$359,Продажи!$D$5:$D$359,Конструкторы!$B370,Продажи!$C$5:$C$359,Конструкторы!$A370)</f>
        <v>0</v>
      </c>
      <c r="J370" s="166">
        <f>SUMIFS(Продажи!G$5:G$359,Продажи!$D$5:$D$359,Конструкторы!$B370,Продажи!$C$5:$C$359,Конструкторы!$A370)</f>
        <v>0</v>
      </c>
      <c r="K370" s="166">
        <f>SUMIFS(Продажи!H$5:H$359,Продажи!$D$5:$D$359,Конструкторы!$B370,Продажи!$C$5:$C$359,Конструкторы!$A370)</f>
        <v>0</v>
      </c>
      <c r="L370" s="166">
        <f>SUMIFS(Продажи!I$5:I$359,Продажи!$D$5:$D$359,Конструкторы!$B370,Продажи!$C$5:$C$359,Конструкторы!$A370)</f>
        <v>0</v>
      </c>
      <c r="M370" s="166">
        <f>SUMIFS(Продажи!J$5:J$359,Продажи!$D$5:$D$359,Конструкторы!$B370,Продажи!$C$5:$C$359,Конструкторы!$A370)</f>
        <v>0</v>
      </c>
      <c r="N370" s="166">
        <f>SUMIFS(Продажи!K$5:K$359,Продажи!$D$5:$D$359,Конструкторы!$B370,Продажи!$C$5:$C$359,Конструкторы!$A370)</f>
        <v>0</v>
      </c>
      <c r="O370" s="166">
        <f>SUMIFS(Продажи!L$5:L$359,Продажи!$D$5:$D$359,Конструкторы!$B370,Продажи!$C$5:$C$359,Конструкторы!$A370)</f>
        <v>0</v>
      </c>
      <c r="P370" s="166">
        <f>SUMIFS(Продажи!M$5:M$359,Продажи!$D$5:$D$359,Конструкторы!$B370,Продажи!$C$5:$C$359,Конструкторы!$A370)</f>
        <v>0</v>
      </c>
      <c r="Q370" s="166">
        <f>SUMIFS(Продажи!N$5:N$359,Продажи!$D$5:$D$359,Конструкторы!$B370,Продажи!$C$5:$C$359,Конструкторы!$A370)</f>
        <v>0</v>
      </c>
      <c r="R370" s="166">
        <f>SUMIFS(Продажи!O$5:O$359,Продажи!$D$5:$D$359,Конструкторы!$B370,Продажи!$C$5:$C$359,Конструкторы!$A370)</f>
        <v>0</v>
      </c>
      <c r="S370" s="166">
        <f>SUMIFS(Продажи!P$5:P$359,Продажи!$D$5:$D$359,Конструкторы!$B370,Продажи!$C$5:$C$359,Конструкторы!$A370)</f>
        <v>0</v>
      </c>
      <c r="T370" s="166">
        <f>SUMIFS(Продажи!Q$5:Q$359,Продажи!$D$5:$D$359,Конструкторы!$B370,Продажи!$C$5:$C$359,Конструкторы!$A370)</f>
        <v>0</v>
      </c>
    </row>
    <row r="371" spans="1:20" ht="15.75" hidden="1" x14ac:dyDescent="0.25">
      <c r="A371" s="166" t="s">
        <v>397</v>
      </c>
      <c r="B371" s="167" t="s">
        <v>161</v>
      </c>
      <c r="C371" s="129" t="s">
        <v>62</v>
      </c>
      <c r="D371" s="149"/>
      <c r="E371" s="153" t="s">
        <v>68</v>
      </c>
      <c r="F371" s="156">
        <f>(0.25*103)/100</f>
        <v>0.25750000000000001</v>
      </c>
      <c r="G371" s="156">
        <v>7.5000000000000067E-3</v>
      </c>
      <c r="H371" s="156">
        <f>F371+G371</f>
        <v>0.26500000000000001</v>
      </c>
      <c r="I371" s="166">
        <f>SUMIFS(Продажи!F$5:F$359,Продажи!$D$5:$D$359,Конструкторы!$B371,Продажи!$C$5:$C$359,Конструкторы!$A371)</f>
        <v>0</v>
      </c>
      <c r="J371" s="166">
        <f>SUMIFS(Продажи!G$5:G$359,Продажи!$D$5:$D$359,Конструкторы!$B371,Продажи!$C$5:$C$359,Конструкторы!$A371)</f>
        <v>0</v>
      </c>
      <c r="K371" s="166">
        <f>SUMIFS(Продажи!H$5:H$359,Продажи!$D$5:$D$359,Конструкторы!$B371,Продажи!$C$5:$C$359,Конструкторы!$A371)</f>
        <v>0</v>
      </c>
      <c r="L371" s="166">
        <f>SUMIFS(Продажи!I$5:I$359,Продажи!$D$5:$D$359,Конструкторы!$B371,Продажи!$C$5:$C$359,Конструкторы!$A371)</f>
        <v>0</v>
      </c>
      <c r="M371" s="166">
        <f>SUMIFS(Продажи!J$5:J$359,Продажи!$D$5:$D$359,Конструкторы!$B371,Продажи!$C$5:$C$359,Конструкторы!$A371)</f>
        <v>0</v>
      </c>
      <c r="N371" s="166">
        <f>SUMIFS(Продажи!K$5:K$359,Продажи!$D$5:$D$359,Конструкторы!$B371,Продажи!$C$5:$C$359,Конструкторы!$A371)</f>
        <v>0</v>
      </c>
      <c r="O371" s="166">
        <f>SUMIFS(Продажи!L$5:L$359,Продажи!$D$5:$D$359,Конструкторы!$B371,Продажи!$C$5:$C$359,Конструкторы!$A371)</f>
        <v>0</v>
      </c>
      <c r="P371" s="166">
        <f>SUMIFS(Продажи!M$5:M$359,Продажи!$D$5:$D$359,Конструкторы!$B371,Продажи!$C$5:$C$359,Конструкторы!$A371)</f>
        <v>0</v>
      </c>
      <c r="Q371" s="166">
        <f>SUMIFS(Продажи!N$5:N$359,Продажи!$D$5:$D$359,Конструкторы!$B371,Продажи!$C$5:$C$359,Конструкторы!$A371)</f>
        <v>0</v>
      </c>
      <c r="R371" s="166">
        <f>SUMIFS(Продажи!O$5:O$359,Продажи!$D$5:$D$359,Конструкторы!$B371,Продажи!$C$5:$C$359,Конструкторы!$A371)</f>
        <v>0</v>
      </c>
      <c r="S371" s="166">
        <f>SUMIFS(Продажи!P$5:P$359,Продажи!$D$5:$D$359,Конструкторы!$B371,Продажи!$C$5:$C$359,Конструкторы!$A371)</f>
        <v>0</v>
      </c>
      <c r="T371" s="166">
        <f>SUMIFS(Продажи!Q$5:Q$359,Продажи!$D$5:$D$359,Конструкторы!$B371,Продажи!$C$5:$C$359,Конструкторы!$A371)</f>
        <v>0</v>
      </c>
    </row>
    <row r="372" spans="1:20" ht="15.75" hidden="1" x14ac:dyDescent="0.25">
      <c r="A372" s="166" t="s">
        <v>397</v>
      </c>
      <c r="B372" s="167" t="s">
        <v>161</v>
      </c>
      <c r="C372" s="129" t="s">
        <v>63</v>
      </c>
      <c r="D372" s="149"/>
      <c r="E372" s="153" t="s">
        <v>68</v>
      </c>
      <c r="F372" s="156">
        <f>(0.25*103)/100</f>
        <v>0.25750000000000001</v>
      </c>
      <c r="G372" s="156">
        <v>7.5000000000000067E-3</v>
      </c>
      <c r="H372" s="156">
        <f>F372+G372</f>
        <v>0.26500000000000001</v>
      </c>
      <c r="I372" s="166">
        <f>SUMIFS(Продажи!F$5:F$359,Продажи!$D$5:$D$359,Конструкторы!$B372,Продажи!$C$5:$C$359,Конструкторы!$A372)</f>
        <v>0</v>
      </c>
      <c r="J372" s="166">
        <f>SUMIFS(Продажи!G$5:G$359,Продажи!$D$5:$D$359,Конструкторы!$B372,Продажи!$C$5:$C$359,Конструкторы!$A372)</f>
        <v>0</v>
      </c>
      <c r="K372" s="166">
        <f>SUMIFS(Продажи!H$5:H$359,Продажи!$D$5:$D$359,Конструкторы!$B372,Продажи!$C$5:$C$359,Конструкторы!$A372)</f>
        <v>0</v>
      </c>
      <c r="L372" s="166">
        <f>SUMIFS(Продажи!I$5:I$359,Продажи!$D$5:$D$359,Конструкторы!$B372,Продажи!$C$5:$C$359,Конструкторы!$A372)</f>
        <v>0</v>
      </c>
      <c r="M372" s="166">
        <f>SUMIFS(Продажи!J$5:J$359,Продажи!$D$5:$D$359,Конструкторы!$B372,Продажи!$C$5:$C$359,Конструкторы!$A372)</f>
        <v>0</v>
      </c>
      <c r="N372" s="166">
        <f>SUMIFS(Продажи!K$5:K$359,Продажи!$D$5:$D$359,Конструкторы!$B372,Продажи!$C$5:$C$359,Конструкторы!$A372)</f>
        <v>0</v>
      </c>
      <c r="O372" s="166">
        <f>SUMIFS(Продажи!L$5:L$359,Продажи!$D$5:$D$359,Конструкторы!$B372,Продажи!$C$5:$C$359,Конструкторы!$A372)</f>
        <v>0</v>
      </c>
      <c r="P372" s="166">
        <f>SUMIFS(Продажи!M$5:M$359,Продажи!$D$5:$D$359,Конструкторы!$B372,Продажи!$C$5:$C$359,Конструкторы!$A372)</f>
        <v>0</v>
      </c>
      <c r="Q372" s="166">
        <f>SUMIFS(Продажи!N$5:N$359,Продажи!$D$5:$D$359,Конструкторы!$B372,Продажи!$C$5:$C$359,Конструкторы!$A372)</f>
        <v>0</v>
      </c>
      <c r="R372" s="166">
        <f>SUMIFS(Продажи!O$5:O$359,Продажи!$D$5:$D$359,Конструкторы!$B372,Продажи!$C$5:$C$359,Конструкторы!$A372)</f>
        <v>0</v>
      </c>
      <c r="S372" s="166">
        <f>SUMIFS(Продажи!P$5:P$359,Продажи!$D$5:$D$359,Конструкторы!$B372,Продажи!$C$5:$C$359,Конструкторы!$A372)</f>
        <v>0</v>
      </c>
      <c r="T372" s="166">
        <f>SUMIFS(Продажи!Q$5:Q$359,Продажи!$D$5:$D$359,Конструкторы!$B372,Продажи!$C$5:$C$359,Конструкторы!$A372)</f>
        <v>0</v>
      </c>
    </row>
    <row r="373" spans="1:20" ht="15.75" hidden="1" x14ac:dyDescent="0.25">
      <c r="A373" s="166" t="s">
        <v>397</v>
      </c>
      <c r="B373" s="167" t="s">
        <v>161</v>
      </c>
      <c r="C373" s="33" t="s">
        <v>76</v>
      </c>
      <c r="D373" s="149"/>
      <c r="E373" s="153" t="s">
        <v>70</v>
      </c>
      <c r="F373" s="148">
        <v>6</v>
      </c>
      <c r="G373" s="156" t="s">
        <v>71</v>
      </c>
      <c r="H373" s="156">
        <f>F373</f>
        <v>6</v>
      </c>
      <c r="I373" s="166">
        <f>SUMIFS(Продажи!F$5:F$359,Продажи!$D$5:$D$359,Конструкторы!$B373,Продажи!$C$5:$C$359,Конструкторы!$A373)</f>
        <v>0</v>
      </c>
      <c r="J373" s="166">
        <f>SUMIFS(Продажи!G$5:G$359,Продажи!$D$5:$D$359,Конструкторы!$B373,Продажи!$C$5:$C$359,Конструкторы!$A373)</f>
        <v>0</v>
      </c>
      <c r="K373" s="166">
        <f>SUMIFS(Продажи!H$5:H$359,Продажи!$D$5:$D$359,Конструкторы!$B373,Продажи!$C$5:$C$359,Конструкторы!$A373)</f>
        <v>0</v>
      </c>
      <c r="L373" s="166">
        <f>SUMIFS(Продажи!I$5:I$359,Продажи!$D$5:$D$359,Конструкторы!$B373,Продажи!$C$5:$C$359,Конструкторы!$A373)</f>
        <v>0</v>
      </c>
      <c r="M373" s="166">
        <f>SUMIFS(Продажи!J$5:J$359,Продажи!$D$5:$D$359,Конструкторы!$B373,Продажи!$C$5:$C$359,Конструкторы!$A373)</f>
        <v>0</v>
      </c>
      <c r="N373" s="166">
        <f>SUMIFS(Продажи!K$5:K$359,Продажи!$D$5:$D$359,Конструкторы!$B373,Продажи!$C$5:$C$359,Конструкторы!$A373)</f>
        <v>0</v>
      </c>
      <c r="O373" s="166">
        <f>SUMIFS(Продажи!L$5:L$359,Продажи!$D$5:$D$359,Конструкторы!$B373,Продажи!$C$5:$C$359,Конструкторы!$A373)</f>
        <v>0</v>
      </c>
      <c r="P373" s="166">
        <f>SUMIFS(Продажи!M$5:M$359,Продажи!$D$5:$D$359,Конструкторы!$B373,Продажи!$C$5:$C$359,Конструкторы!$A373)</f>
        <v>0</v>
      </c>
      <c r="Q373" s="166">
        <f>SUMIFS(Продажи!N$5:N$359,Продажи!$D$5:$D$359,Конструкторы!$B373,Продажи!$C$5:$C$359,Конструкторы!$A373)</f>
        <v>0</v>
      </c>
      <c r="R373" s="166">
        <f>SUMIFS(Продажи!O$5:O$359,Продажи!$D$5:$D$359,Конструкторы!$B373,Продажи!$C$5:$C$359,Конструкторы!$A373)</f>
        <v>0</v>
      </c>
      <c r="S373" s="166">
        <f>SUMIFS(Продажи!P$5:P$359,Продажи!$D$5:$D$359,Конструкторы!$B373,Продажи!$C$5:$C$359,Конструкторы!$A373)</f>
        <v>0</v>
      </c>
      <c r="T373" s="166">
        <f>SUMIFS(Продажи!Q$5:Q$359,Продажи!$D$5:$D$359,Конструкторы!$B373,Продажи!$C$5:$C$359,Конструкторы!$A373)</f>
        <v>0</v>
      </c>
    </row>
    <row r="374" spans="1:20" ht="15.75" hidden="1" x14ac:dyDescent="0.25">
      <c r="A374" s="166" t="s">
        <v>397</v>
      </c>
      <c r="B374" s="167" t="s">
        <v>161</v>
      </c>
      <c r="C374" s="33" t="s">
        <v>75</v>
      </c>
      <c r="D374" s="149"/>
      <c r="E374" s="153" t="s">
        <v>70</v>
      </c>
      <c r="F374" s="148">
        <v>1</v>
      </c>
      <c r="G374" s="156" t="s">
        <v>71</v>
      </c>
      <c r="H374" s="156">
        <f>F374</f>
        <v>1</v>
      </c>
      <c r="I374" s="166">
        <f>SUMIFS(Продажи!F$5:F$359,Продажи!$D$5:$D$359,Конструкторы!$B374,Продажи!$C$5:$C$359,Конструкторы!$A374)</f>
        <v>0</v>
      </c>
      <c r="J374" s="166">
        <f>SUMIFS(Продажи!G$5:G$359,Продажи!$D$5:$D$359,Конструкторы!$B374,Продажи!$C$5:$C$359,Конструкторы!$A374)</f>
        <v>0</v>
      </c>
      <c r="K374" s="166">
        <f>SUMIFS(Продажи!H$5:H$359,Продажи!$D$5:$D$359,Конструкторы!$B374,Продажи!$C$5:$C$359,Конструкторы!$A374)</f>
        <v>0</v>
      </c>
      <c r="L374" s="166">
        <f>SUMIFS(Продажи!I$5:I$359,Продажи!$D$5:$D$359,Конструкторы!$B374,Продажи!$C$5:$C$359,Конструкторы!$A374)</f>
        <v>0</v>
      </c>
      <c r="M374" s="166">
        <f>SUMIFS(Продажи!J$5:J$359,Продажи!$D$5:$D$359,Конструкторы!$B374,Продажи!$C$5:$C$359,Конструкторы!$A374)</f>
        <v>0</v>
      </c>
      <c r="N374" s="166">
        <f>SUMIFS(Продажи!K$5:K$359,Продажи!$D$5:$D$359,Конструкторы!$B374,Продажи!$C$5:$C$359,Конструкторы!$A374)</f>
        <v>0</v>
      </c>
      <c r="O374" s="166">
        <f>SUMIFS(Продажи!L$5:L$359,Продажи!$D$5:$D$359,Конструкторы!$B374,Продажи!$C$5:$C$359,Конструкторы!$A374)</f>
        <v>0</v>
      </c>
      <c r="P374" s="166">
        <f>SUMIFS(Продажи!M$5:M$359,Продажи!$D$5:$D$359,Конструкторы!$B374,Продажи!$C$5:$C$359,Конструкторы!$A374)</f>
        <v>0</v>
      </c>
      <c r="Q374" s="166">
        <f>SUMIFS(Продажи!N$5:N$359,Продажи!$D$5:$D$359,Конструкторы!$B374,Продажи!$C$5:$C$359,Конструкторы!$A374)</f>
        <v>0</v>
      </c>
      <c r="R374" s="166">
        <f>SUMIFS(Продажи!O$5:O$359,Продажи!$D$5:$D$359,Конструкторы!$B374,Продажи!$C$5:$C$359,Конструкторы!$A374)</f>
        <v>0</v>
      </c>
      <c r="S374" s="166">
        <f>SUMIFS(Продажи!P$5:P$359,Продажи!$D$5:$D$359,Конструкторы!$B374,Продажи!$C$5:$C$359,Конструкторы!$A374)</f>
        <v>0</v>
      </c>
      <c r="T374" s="166">
        <f>SUMIFS(Продажи!Q$5:Q$359,Продажи!$D$5:$D$359,Конструкторы!$B374,Продажи!$C$5:$C$359,Конструкторы!$A374)</f>
        <v>0</v>
      </c>
    </row>
    <row r="375" spans="1:20" ht="15.75" hidden="1" x14ac:dyDescent="0.25">
      <c r="A375" s="166" t="s">
        <v>397</v>
      </c>
      <c r="B375" s="167" t="s">
        <v>160</v>
      </c>
      <c r="C375" s="129" t="s">
        <v>64</v>
      </c>
      <c r="D375" s="149"/>
      <c r="E375" s="153" t="s">
        <v>68</v>
      </c>
      <c r="F375" s="156">
        <f>(0.65*103)/100</f>
        <v>0.66949999999999998</v>
      </c>
      <c r="G375" s="156">
        <v>1.9499999999999962E-2</v>
      </c>
      <c r="H375" s="156">
        <f>F375+G375</f>
        <v>0.68899999999999995</v>
      </c>
      <c r="I375" s="166">
        <f>SUMIFS(Продажи!F$5:F$359,Продажи!$D$5:$D$359,Конструкторы!$B375,Продажи!$C$5:$C$359,Конструкторы!$A375)</f>
        <v>0</v>
      </c>
      <c r="J375" s="166">
        <f>SUMIFS(Продажи!G$5:G$359,Продажи!$D$5:$D$359,Конструкторы!$B375,Продажи!$C$5:$C$359,Конструкторы!$A375)</f>
        <v>0</v>
      </c>
      <c r="K375" s="166">
        <f>SUMIFS(Продажи!H$5:H$359,Продажи!$D$5:$D$359,Конструкторы!$B375,Продажи!$C$5:$C$359,Конструкторы!$A375)</f>
        <v>0</v>
      </c>
      <c r="L375" s="166">
        <f>SUMIFS(Продажи!I$5:I$359,Продажи!$D$5:$D$359,Конструкторы!$B375,Продажи!$C$5:$C$359,Конструкторы!$A375)</f>
        <v>0</v>
      </c>
      <c r="M375" s="166">
        <f>SUMIFS(Продажи!J$5:J$359,Продажи!$D$5:$D$359,Конструкторы!$B375,Продажи!$C$5:$C$359,Конструкторы!$A375)</f>
        <v>0</v>
      </c>
      <c r="N375" s="166">
        <f>SUMIFS(Продажи!K$5:K$359,Продажи!$D$5:$D$359,Конструкторы!$B375,Продажи!$C$5:$C$359,Конструкторы!$A375)</f>
        <v>0</v>
      </c>
      <c r="O375" s="166">
        <f>SUMIFS(Продажи!L$5:L$359,Продажи!$D$5:$D$359,Конструкторы!$B375,Продажи!$C$5:$C$359,Конструкторы!$A375)</f>
        <v>0</v>
      </c>
      <c r="P375" s="166">
        <f>SUMIFS(Продажи!M$5:M$359,Продажи!$D$5:$D$359,Конструкторы!$B375,Продажи!$C$5:$C$359,Конструкторы!$A375)</f>
        <v>0</v>
      </c>
      <c r="Q375" s="166">
        <f>SUMIFS(Продажи!N$5:N$359,Продажи!$D$5:$D$359,Конструкторы!$B375,Продажи!$C$5:$C$359,Конструкторы!$A375)</f>
        <v>0</v>
      </c>
      <c r="R375" s="166">
        <f>SUMIFS(Продажи!O$5:O$359,Продажи!$D$5:$D$359,Конструкторы!$B375,Продажи!$C$5:$C$359,Конструкторы!$A375)</f>
        <v>0</v>
      </c>
      <c r="S375" s="166">
        <f>SUMIFS(Продажи!P$5:P$359,Продажи!$D$5:$D$359,Конструкторы!$B375,Продажи!$C$5:$C$359,Конструкторы!$A375)</f>
        <v>0</v>
      </c>
      <c r="T375" s="166">
        <f>SUMIFS(Продажи!Q$5:Q$359,Продажи!$D$5:$D$359,Конструкторы!$B375,Продажи!$C$5:$C$359,Конструкторы!$A375)</f>
        <v>0</v>
      </c>
    </row>
    <row r="376" spans="1:20" ht="15.75" hidden="1" x14ac:dyDescent="0.25">
      <c r="A376" s="166" t="s">
        <v>397</v>
      </c>
      <c r="B376" s="167" t="s">
        <v>160</v>
      </c>
      <c r="C376" s="129" t="s">
        <v>60</v>
      </c>
      <c r="D376" s="149"/>
      <c r="E376" s="153" t="s">
        <v>68</v>
      </c>
      <c r="F376" s="156">
        <f>(0.15*103)/100</f>
        <v>0.1545</v>
      </c>
      <c r="G376" s="156">
        <v>4.500000000000004E-3</v>
      </c>
      <c r="H376" s="156">
        <f>F376+G376</f>
        <v>0.159</v>
      </c>
      <c r="I376" s="166">
        <f>SUMIFS(Продажи!F$5:F$359,Продажи!$D$5:$D$359,Конструкторы!$B376,Продажи!$C$5:$C$359,Конструкторы!$A376)</f>
        <v>0</v>
      </c>
      <c r="J376" s="166">
        <f>SUMIFS(Продажи!G$5:G$359,Продажи!$D$5:$D$359,Конструкторы!$B376,Продажи!$C$5:$C$359,Конструкторы!$A376)</f>
        <v>0</v>
      </c>
      <c r="K376" s="166">
        <f>SUMIFS(Продажи!H$5:H$359,Продажи!$D$5:$D$359,Конструкторы!$B376,Продажи!$C$5:$C$359,Конструкторы!$A376)</f>
        <v>0</v>
      </c>
      <c r="L376" s="166">
        <f>SUMIFS(Продажи!I$5:I$359,Продажи!$D$5:$D$359,Конструкторы!$B376,Продажи!$C$5:$C$359,Конструкторы!$A376)</f>
        <v>0</v>
      </c>
      <c r="M376" s="166">
        <f>SUMIFS(Продажи!J$5:J$359,Продажи!$D$5:$D$359,Конструкторы!$B376,Продажи!$C$5:$C$359,Конструкторы!$A376)</f>
        <v>0</v>
      </c>
      <c r="N376" s="166">
        <f>SUMIFS(Продажи!K$5:K$359,Продажи!$D$5:$D$359,Конструкторы!$B376,Продажи!$C$5:$C$359,Конструкторы!$A376)</f>
        <v>0</v>
      </c>
      <c r="O376" s="166">
        <f>SUMIFS(Продажи!L$5:L$359,Продажи!$D$5:$D$359,Конструкторы!$B376,Продажи!$C$5:$C$359,Конструкторы!$A376)</f>
        <v>0</v>
      </c>
      <c r="P376" s="166">
        <f>SUMIFS(Продажи!M$5:M$359,Продажи!$D$5:$D$359,Конструкторы!$B376,Продажи!$C$5:$C$359,Конструкторы!$A376)</f>
        <v>0</v>
      </c>
      <c r="Q376" s="166">
        <f>SUMIFS(Продажи!N$5:N$359,Продажи!$D$5:$D$359,Конструкторы!$B376,Продажи!$C$5:$C$359,Конструкторы!$A376)</f>
        <v>0</v>
      </c>
      <c r="R376" s="166">
        <f>SUMIFS(Продажи!O$5:O$359,Продажи!$D$5:$D$359,Конструкторы!$B376,Продажи!$C$5:$C$359,Конструкторы!$A376)</f>
        <v>0</v>
      </c>
      <c r="S376" s="166">
        <f>SUMIFS(Продажи!P$5:P$359,Продажи!$D$5:$D$359,Конструкторы!$B376,Продажи!$C$5:$C$359,Конструкторы!$A376)</f>
        <v>0</v>
      </c>
      <c r="T376" s="166">
        <f>SUMIFS(Продажи!Q$5:Q$359,Продажи!$D$5:$D$359,Конструкторы!$B376,Продажи!$C$5:$C$359,Конструкторы!$A376)</f>
        <v>0</v>
      </c>
    </row>
    <row r="377" spans="1:20" ht="15.75" hidden="1" x14ac:dyDescent="0.25">
      <c r="A377" s="166" t="s">
        <v>397</v>
      </c>
      <c r="B377" s="167" t="s">
        <v>160</v>
      </c>
      <c r="C377" s="33" t="s">
        <v>76</v>
      </c>
      <c r="D377" s="149"/>
      <c r="E377" s="153" t="s">
        <v>70</v>
      </c>
      <c r="F377" s="148">
        <v>6</v>
      </c>
      <c r="G377" s="156" t="s">
        <v>71</v>
      </c>
      <c r="H377" s="156">
        <f>F377</f>
        <v>6</v>
      </c>
      <c r="I377" s="166">
        <f>SUMIFS(Продажи!F$5:F$359,Продажи!$D$5:$D$359,Конструкторы!$B377,Продажи!$C$5:$C$359,Конструкторы!$A377)</f>
        <v>0</v>
      </c>
      <c r="J377" s="166">
        <f>SUMIFS(Продажи!G$5:G$359,Продажи!$D$5:$D$359,Конструкторы!$B377,Продажи!$C$5:$C$359,Конструкторы!$A377)</f>
        <v>0</v>
      </c>
      <c r="K377" s="166">
        <f>SUMIFS(Продажи!H$5:H$359,Продажи!$D$5:$D$359,Конструкторы!$B377,Продажи!$C$5:$C$359,Конструкторы!$A377)</f>
        <v>0</v>
      </c>
      <c r="L377" s="166">
        <f>SUMIFS(Продажи!I$5:I$359,Продажи!$D$5:$D$359,Конструкторы!$B377,Продажи!$C$5:$C$359,Конструкторы!$A377)</f>
        <v>0</v>
      </c>
      <c r="M377" s="166">
        <f>SUMIFS(Продажи!J$5:J$359,Продажи!$D$5:$D$359,Конструкторы!$B377,Продажи!$C$5:$C$359,Конструкторы!$A377)</f>
        <v>0</v>
      </c>
      <c r="N377" s="166">
        <f>SUMIFS(Продажи!K$5:K$359,Продажи!$D$5:$D$359,Конструкторы!$B377,Продажи!$C$5:$C$359,Конструкторы!$A377)</f>
        <v>0</v>
      </c>
      <c r="O377" s="166">
        <f>SUMIFS(Продажи!L$5:L$359,Продажи!$D$5:$D$359,Конструкторы!$B377,Продажи!$C$5:$C$359,Конструкторы!$A377)</f>
        <v>0</v>
      </c>
      <c r="P377" s="166">
        <f>SUMIFS(Продажи!M$5:M$359,Продажи!$D$5:$D$359,Конструкторы!$B377,Продажи!$C$5:$C$359,Конструкторы!$A377)</f>
        <v>0</v>
      </c>
      <c r="Q377" s="166">
        <f>SUMIFS(Продажи!N$5:N$359,Продажи!$D$5:$D$359,Конструкторы!$B377,Продажи!$C$5:$C$359,Конструкторы!$A377)</f>
        <v>0</v>
      </c>
      <c r="R377" s="166">
        <f>SUMIFS(Продажи!O$5:O$359,Продажи!$D$5:$D$359,Конструкторы!$B377,Продажи!$C$5:$C$359,Конструкторы!$A377)</f>
        <v>0</v>
      </c>
      <c r="S377" s="166">
        <f>SUMIFS(Продажи!P$5:P$359,Продажи!$D$5:$D$359,Конструкторы!$B377,Продажи!$C$5:$C$359,Конструкторы!$A377)</f>
        <v>0</v>
      </c>
      <c r="T377" s="166">
        <f>SUMIFS(Продажи!Q$5:Q$359,Продажи!$D$5:$D$359,Конструкторы!$B377,Продажи!$C$5:$C$359,Конструкторы!$A377)</f>
        <v>0</v>
      </c>
    </row>
    <row r="378" spans="1:20" ht="15.75" hidden="1" x14ac:dyDescent="0.25">
      <c r="A378" s="166" t="s">
        <v>397</v>
      </c>
      <c r="B378" s="167" t="s">
        <v>160</v>
      </c>
      <c r="C378" s="33" t="s">
        <v>75</v>
      </c>
      <c r="D378" s="149"/>
      <c r="E378" s="153" t="s">
        <v>70</v>
      </c>
      <c r="F378" s="148">
        <v>5</v>
      </c>
      <c r="G378" s="156" t="s">
        <v>71</v>
      </c>
      <c r="H378" s="156">
        <f>F378</f>
        <v>5</v>
      </c>
      <c r="I378" s="166">
        <f>SUMIFS(Продажи!F$5:F$359,Продажи!$D$5:$D$359,Конструкторы!$B378,Продажи!$C$5:$C$359,Конструкторы!$A378)</f>
        <v>0</v>
      </c>
      <c r="J378" s="166">
        <f>SUMIFS(Продажи!G$5:G$359,Продажи!$D$5:$D$359,Конструкторы!$B378,Продажи!$C$5:$C$359,Конструкторы!$A378)</f>
        <v>0</v>
      </c>
      <c r="K378" s="166">
        <f>SUMIFS(Продажи!H$5:H$359,Продажи!$D$5:$D$359,Конструкторы!$B378,Продажи!$C$5:$C$359,Конструкторы!$A378)</f>
        <v>0</v>
      </c>
      <c r="L378" s="166">
        <f>SUMIFS(Продажи!I$5:I$359,Продажи!$D$5:$D$359,Конструкторы!$B378,Продажи!$C$5:$C$359,Конструкторы!$A378)</f>
        <v>0</v>
      </c>
      <c r="M378" s="166">
        <f>SUMIFS(Продажи!J$5:J$359,Продажи!$D$5:$D$359,Конструкторы!$B378,Продажи!$C$5:$C$359,Конструкторы!$A378)</f>
        <v>0</v>
      </c>
      <c r="N378" s="166">
        <f>SUMIFS(Продажи!K$5:K$359,Продажи!$D$5:$D$359,Конструкторы!$B378,Продажи!$C$5:$C$359,Конструкторы!$A378)</f>
        <v>0</v>
      </c>
      <c r="O378" s="166">
        <f>SUMIFS(Продажи!L$5:L$359,Продажи!$D$5:$D$359,Конструкторы!$B378,Продажи!$C$5:$C$359,Конструкторы!$A378)</f>
        <v>0</v>
      </c>
      <c r="P378" s="166">
        <f>SUMIFS(Продажи!M$5:M$359,Продажи!$D$5:$D$359,Конструкторы!$B378,Продажи!$C$5:$C$359,Конструкторы!$A378)</f>
        <v>0</v>
      </c>
      <c r="Q378" s="166">
        <f>SUMIFS(Продажи!N$5:N$359,Продажи!$D$5:$D$359,Конструкторы!$B378,Продажи!$C$5:$C$359,Конструкторы!$A378)</f>
        <v>0</v>
      </c>
      <c r="R378" s="166">
        <f>SUMIFS(Продажи!O$5:O$359,Продажи!$D$5:$D$359,Конструкторы!$B378,Продажи!$C$5:$C$359,Конструкторы!$A378)</f>
        <v>0</v>
      </c>
      <c r="S378" s="166">
        <f>SUMIFS(Продажи!P$5:P$359,Продажи!$D$5:$D$359,Конструкторы!$B378,Продажи!$C$5:$C$359,Конструкторы!$A378)</f>
        <v>0</v>
      </c>
      <c r="T378" s="166">
        <f>SUMIFS(Продажи!Q$5:Q$359,Продажи!$D$5:$D$359,Конструкторы!$B378,Продажи!$C$5:$C$359,Конструкторы!$A378)</f>
        <v>0</v>
      </c>
    </row>
    <row r="379" spans="1:20" ht="15.75" hidden="1" x14ac:dyDescent="0.25">
      <c r="A379" s="166" t="s">
        <v>397</v>
      </c>
      <c r="B379" s="167" t="s">
        <v>159</v>
      </c>
      <c r="C379" s="129" t="s">
        <v>64</v>
      </c>
      <c r="D379" s="149"/>
      <c r="E379" s="153" t="s">
        <v>68</v>
      </c>
      <c r="F379" s="156">
        <f>(0.55*103)/100</f>
        <v>0.5665</v>
      </c>
      <c r="G379" s="156">
        <v>1.6499999999999959E-2</v>
      </c>
      <c r="H379" s="156">
        <f>F379+G379</f>
        <v>0.58299999999999996</v>
      </c>
      <c r="I379" s="166">
        <f>SUMIFS(Продажи!F$5:F$359,Продажи!$D$5:$D$359,Конструкторы!$B379,Продажи!$C$5:$C$359,Конструкторы!$A379)</f>
        <v>0</v>
      </c>
      <c r="J379" s="166">
        <f>SUMIFS(Продажи!G$5:G$359,Продажи!$D$5:$D$359,Конструкторы!$B379,Продажи!$C$5:$C$359,Конструкторы!$A379)</f>
        <v>0</v>
      </c>
      <c r="K379" s="166">
        <f>SUMIFS(Продажи!H$5:H$359,Продажи!$D$5:$D$359,Конструкторы!$B379,Продажи!$C$5:$C$359,Конструкторы!$A379)</f>
        <v>0</v>
      </c>
      <c r="L379" s="166">
        <f>SUMIFS(Продажи!I$5:I$359,Продажи!$D$5:$D$359,Конструкторы!$B379,Продажи!$C$5:$C$359,Конструкторы!$A379)</f>
        <v>0</v>
      </c>
      <c r="M379" s="166">
        <f>SUMIFS(Продажи!J$5:J$359,Продажи!$D$5:$D$359,Конструкторы!$B379,Продажи!$C$5:$C$359,Конструкторы!$A379)</f>
        <v>0</v>
      </c>
      <c r="N379" s="166">
        <f>SUMIFS(Продажи!K$5:K$359,Продажи!$D$5:$D$359,Конструкторы!$B379,Продажи!$C$5:$C$359,Конструкторы!$A379)</f>
        <v>0</v>
      </c>
      <c r="O379" s="166">
        <f>SUMIFS(Продажи!L$5:L$359,Продажи!$D$5:$D$359,Конструкторы!$B379,Продажи!$C$5:$C$359,Конструкторы!$A379)</f>
        <v>0</v>
      </c>
      <c r="P379" s="166">
        <f>SUMIFS(Продажи!M$5:M$359,Продажи!$D$5:$D$359,Конструкторы!$B379,Продажи!$C$5:$C$359,Конструкторы!$A379)</f>
        <v>0</v>
      </c>
      <c r="Q379" s="166">
        <f>SUMIFS(Продажи!N$5:N$359,Продажи!$D$5:$D$359,Конструкторы!$B379,Продажи!$C$5:$C$359,Конструкторы!$A379)</f>
        <v>0</v>
      </c>
      <c r="R379" s="166">
        <f>SUMIFS(Продажи!O$5:O$359,Продажи!$D$5:$D$359,Конструкторы!$B379,Продажи!$C$5:$C$359,Конструкторы!$A379)</f>
        <v>0</v>
      </c>
      <c r="S379" s="166">
        <f>SUMIFS(Продажи!P$5:P$359,Продажи!$D$5:$D$359,Конструкторы!$B379,Продажи!$C$5:$C$359,Конструкторы!$A379)</f>
        <v>0</v>
      </c>
      <c r="T379" s="166">
        <f>SUMIFS(Продажи!Q$5:Q$359,Продажи!$D$5:$D$359,Конструкторы!$B379,Продажи!$C$5:$C$359,Конструкторы!$A379)</f>
        <v>0</v>
      </c>
    </row>
    <row r="380" spans="1:20" ht="15.75" hidden="1" x14ac:dyDescent="0.25">
      <c r="A380" s="166" t="s">
        <v>397</v>
      </c>
      <c r="B380" s="167" t="s">
        <v>159</v>
      </c>
      <c r="C380" s="129" t="s">
        <v>61</v>
      </c>
      <c r="D380" s="149"/>
      <c r="E380" s="153" t="s">
        <v>68</v>
      </c>
      <c r="F380" s="156">
        <f>(0.15*103)/100</f>
        <v>0.1545</v>
      </c>
      <c r="G380" s="156">
        <v>4.500000000000004E-3</v>
      </c>
      <c r="H380" s="156">
        <f>F380+G380</f>
        <v>0.159</v>
      </c>
      <c r="I380" s="166">
        <f>SUMIFS(Продажи!F$5:F$359,Продажи!$D$5:$D$359,Конструкторы!$B380,Продажи!$C$5:$C$359,Конструкторы!$A380)</f>
        <v>0</v>
      </c>
      <c r="J380" s="166">
        <f>SUMIFS(Продажи!G$5:G$359,Продажи!$D$5:$D$359,Конструкторы!$B380,Продажи!$C$5:$C$359,Конструкторы!$A380)</f>
        <v>0</v>
      </c>
      <c r="K380" s="166">
        <f>SUMIFS(Продажи!H$5:H$359,Продажи!$D$5:$D$359,Конструкторы!$B380,Продажи!$C$5:$C$359,Конструкторы!$A380)</f>
        <v>0</v>
      </c>
      <c r="L380" s="166">
        <f>SUMIFS(Продажи!I$5:I$359,Продажи!$D$5:$D$359,Конструкторы!$B380,Продажи!$C$5:$C$359,Конструкторы!$A380)</f>
        <v>0</v>
      </c>
      <c r="M380" s="166">
        <f>SUMIFS(Продажи!J$5:J$359,Продажи!$D$5:$D$359,Конструкторы!$B380,Продажи!$C$5:$C$359,Конструкторы!$A380)</f>
        <v>0</v>
      </c>
      <c r="N380" s="166">
        <f>SUMIFS(Продажи!K$5:K$359,Продажи!$D$5:$D$359,Конструкторы!$B380,Продажи!$C$5:$C$359,Конструкторы!$A380)</f>
        <v>0</v>
      </c>
      <c r="O380" s="166">
        <f>SUMIFS(Продажи!L$5:L$359,Продажи!$D$5:$D$359,Конструкторы!$B380,Продажи!$C$5:$C$359,Конструкторы!$A380)</f>
        <v>0</v>
      </c>
      <c r="P380" s="166">
        <f>SUMIFS(Продажи!M$5:M$359,Продажи!$D$5:$D$359,Конструкторы!$B380,Продажи!$C$5:$C$359,Конструкторы!$A380)</f>
        <v>0</v>
      </c>
      <c r="Q380" s="166">
        <f>SUMIFS(Продажи!N$5:N$359,Продажи!$D$5:$D$359,Конструкторы!$B380,Продажи!$C$5:$C$359,Конструкторы!$A380)</f>
        <v>0</v>
      </c>
      <c r="R380" s="166">
        <f>SUMIFS(Продажи!O$5:O$359,Продажи!$D$5:$D$359,Конструкторы!$B380,Продажи!$C$5:$C$359,Конструкторы!$A380)</f>
        <v>0</v>
      </c>
      <c r="S380" s="166">
        <f>SUMIFS(Продажи!P$5:P$359,Продажи!$D$5:$D$359,Конструкторы!$B380,Продажи!$C$5:$C$359,Конструкторы!$A380)</f>
        <v>0</v>
      </c>
      <c r="T380" s="166">
        <f>SUMIFS(Продажи!Q$5:Q$359,Продажи!$D$5:$D$359,Конструкторы!$B380,Продажи!$C$5:$C$359,Конструкторы!$A380)</f>
        <v>0</v>
      </c>
    </row>
    <row r="381" spans="1:20" ht="15.75" hidden="1" x14ac:dyDescent="0.25">
      <c r="A381" s="166" t="s">
        <v>397</v>
      </c>
      <c r="B381" s="167" t="s">
        <v>159</v>
      </c>
      <c r="C381" s="33" t="s">
        <v>76</v>
      </c>
      <c r="D381" s="149"/>
      <c r="E381" s="153" t="s">
        <v>70</v>
      </c>
      <c r="F381" s="148">
        <v>6</v>
      </c>
      <c r="G381" s="156" t="s">
        <v>71</v>
      </c>
      <c r="H381" s="156">
        <f>F381</f>
        <v>6</v>
      </c>
      <c r="I381" s="166">
        <f>SUMIFS(Продажи!F$5:F$359,Продажи!$D$5:$D$359,Конструкторы!$B381,Продажи!$C$5:$C$359,Конструкторы!$A381)</f>
        <v>0</v>
      </c>
      <c r="J381" s="166">
        <f>SUMIFS(Продажи!G$5:G$359,Продажи!$D$5:$D$359,Конструкторы!$B381,Продажи!$C$5:$C$359,Конструкторы!$A381)</f>
        <v>0</v>
      </c>
      <c r="K381" s="166">
        <f>SUMIFS(Продажи!H$5:H$359,Продажи!$D$5:$D$359,Конструкторы!$B381,Продажи!$C$5:$C$359,Конструкторы!$A381)</f>
        <v>0</v>
      </c>
      <c r="L381" s="166">
        <f>SUMIFS(Продажи!I$5:I$359,Продажи!$D$5:$D$359,Конструкторы!$B381,Продажи!$C$5:$C$359,Конструкторы!$A381)</f>
        <v>0</v>
      </c>
      <c r="M381" s="166">
        <f>SUMIFS(Продажи!J$5:J$359,Продажи!$D$5:$D$359,Конструкторы!$B381,Продажи!$C$5:$C$359,Конструкторы!$A381)</f>
        <v>0</v>
      </c>
      <c r="N381" s="166">
        <f>SUMIFS(Продажи!K$5:K$359,Продажи!$D$5:$D$359,Конструкторы!$B381,Продажи!$C$5:$C$359,Конструкторы!$A381)</f>
        <v>0</v>
      </c>
      <c r="O381" s="166">
        <f>SUMIFS(Продажи!L$5:L$359,Продажи!$D$5:$D$359,Конструкторы!$B381,Продажи!$C$5:$C$359,Конструкторы!$A381)</f>
        <v>0</v>
      </c>
      <c r="P381" s="166">
        <f>SUMIFS(Продажи!M$5:M$359,Продажи!$D$5:$D$359,Конструкторы!$B381,Продажи!$C$5:$C$359,Конструкторы!$A381)</f>
        <v>0</v>
      </c>
      <c r="Q381" s="166">
        <f>SUMIFS(Продажи!N$5:N$359,Продажи!$D$5:$D$359,Конструкторы!$B381,Продажи!$C$5:$C$359,Конструкторы!$A381)</f>
        <v>0</v>
      </c>
      <c r="R381" s="166">
        <f>SUMIFS(Продажи!O$5:O$359,Продажи!$D$5:$D$359,Конструкторы!$B381,Продажи!$C$5:$C$359,Конструкторы!$A381)</f>
        <v>0</v>
      </c>
      <c r="S381" s="166">
        <f>SUMIFS(Продажи!P$5:P$359,Продажи!$D$5:$D$359,Конструкторы!$B381,Продажи!$C$5:$C$359,Конструкторы!$A381)</f>
        <v>0</v>
      </c>
      <c r="T381" s="166">
        <f>SUMIFS(Продажи!Q$5:Q$359,Продажи!$D$5:$D$359,Конструкторы!$B381,Продажи!$C$5:$C$359,Конструкторы!$A381)</f>
        <v>0</v>
      </c>
    </row>
    <row r="382" spans="1:20" ht="15.75" hidden="1" x14ac:dyDescent="0.25">
      <c r="A382" s="166" t="s">
        <v>397</v>
      </c>
      <c r="B382" s="167" t="s">
        <v>159</v>
      </c>
      <c r="C382" s="33" t="s">
        <v>75</v>
      </c>
      <c r="D382" s="149"/>
      <c r="E382" s="153" t="s">
        <v>70</v>
      </c>
      <c r="F382" s="148">
        <v>4</v>
      </c>
      <c r="G382" s="156" t="s">
        <v>71</v>
      </c>
      <c r="H382" s="156">
        <f>F382</f>
        <v>4</v>
      </c>
      <c r="I382" s="166">
        <f>SUMIFS(Продажи!F$5:F$359,Продажи!$D$5:$D$359,Конструкторы!$B382,Продажи!$C$5:$C$359,Конструкторы!$A382)</f>
        <v>0</v>
      </c>
      <c r="J382" s="166">
        <f>SUMIFS(Продажи!G$5:G$359,Продажи!$D$5:$D$359,Конструкторы!$B382,Продажи!$C$5:$C$359,Конструкторы!$A382)</f>
        <v>0</v>
      </c>
      <c r="K382" s="166">
        <f>SUMIFS(Продажи!H$5:H$359,Продажи!$D$5:$D$359,Конструкторы!$B382,Продажи!$C$5:$C$359,Конструкторы!$A382)</f>
        <v>0</v>
      </c>
      <c r="L382" s="166">
        <f>SUMIFS(Продажи!I$5:I$359,Продажи!$D$5:$D$359,Конструкторы!$B382,Продажи!$C$5:$C$359,Конструкторы!$A382)</f>
        <v>0</v>
      </c>
      <c r="M382" s="166">
        <f>SUMIFS(Продажи!J$5:J$359,Продажи!$D$5:$D$359,Конструкторы!$B382,Продажи!$C$5:$C$359,Конструкторы!$A382)</f>
        <v>0</v>
      </c>
      <c r="N382" s="166">
        <f>SUMIFS(Продажи!K$5:K$359,Продажи!$D$5:$D$359,Конструкторы!$B382,Продажи!$C$5:$C$359,Конструкторы!$A382)</f>
        <v>0</v>
      </c>
      <c r="O382" s="166">
        <f>SUMIFS(Продажи!L$5:L$359,Продажи!$D$5:$D$359,Конструкторы!$B382,Продажи!$C$5:$C$359,Конструкторы!$A382)</f>
        <v>0</v>
      </c>
      <c r="P382" s="166">
        <f>SUMIFS(Продажи!M$5:M$359,Продажи!$D$5:$D$359,Конструкторы!$B382,Продажи!$C$5:$C$359,Конструкторы!$A382)</f>
        <v>0</v>
      </c>
      <c r="Q382" s="166">
        <f>SUMIFS(Продажи!N$5:N$359,Продажи!$D$5:$D$359,Конструкторы!$B382,Продажи!$C$5:$C$359,Конструкторы!$A382)</f>
        <v>0</v>
      </c>
      <c r="R382" s="166">
        <f>SUMIFS(Продажи!O$5:O$359,Продажи!$D$5:$D$359,Конструкторы!$B382,Продажи!$C$5:$C$359,Конструкторы!$A382)</f>
        <v>0</v>
      </c>
      <c r="S382" s="166">
        <f>SUMIFS(Продажи!P$5:P$359,Продажи!$D$5:$D$359,Конструкторы!$B382,Продажи!$C$5:$C$359,Конструкторы!$A382)</f>
        <v>0</v>
      </c>
      <c r="T382" s="166">
        <f>SUMIFS(Продажи!Q$5:Q$359,Продажи!$D$5:$D$359,Конструкторы!$B382,Продажи!$C$5:$C$359,Конструкторы!$A382)</f>
        <v>0</v>
      </c>
    </row>
    <row r="383" spans="1:20" ht="15.75" hidden="1" x14ac:dyDescent="0.25">
      <c r="A383" s="166" t="s">
        <v>397</v>
      </c>
      <c r="B383" s="167" t="s">
        <v>158</v>
      </c>
      <c r="C383" s="129" t="s">
        <v>64</v>
      </c>
      <c r="D383" s="149"/>
      <c r="E383" s="153" t="s">
        <v>68</v>
      </c>
      <c r="F383" s="156">
        <f>(0.45*103)/100</f>
        <v>0.46350000000000002</v>
      </c>
      <c r="G383" s="156">
        <v>1.3500000000000012E-2</v>
      </c>
      <c r="H383" s="156">
        <f>F383+G383</f>
        <v>0.47700000000000004</v>
      </c>
      <c r="I383" s="166">
        <f>SUMIFS(Продажи!F$5:F$359,Продажи!$D$5:$D$359,Конструкторы!$B383,Продажи!$C$5:$C$359,Конструкторы!$A383)</f>
        <v>0</v>
      </c>
      <c r="J383" s="166">
        <f>SUMIFS(Продажи!G$5:G$359,Продажи!$D$5:$D$359,Конструкторы!$B383,Продажи!$C$5:$C$359,Конструкторы!$A383)</f>
        <v>0</v>
      </c>
      <c r="K383" s="166">
        <f>SUMIFS(Продажи!H$5:H$359,Продажи!$D$5:$D$359,Конструкторы!$B383,Продажи!$C$5:$C$359,Конструкторы!$A383)</f>
        <v>0</v>
      </c>
      <c r="L383" s="166">
        <f>SUMIFS(Продажи!I$5:I$359,Продажи!$D$5:$D$359,Конструкторы!$B383,Продажи!$C$5:$C$359,Конструкторы!$A383)</f>
        <v>0</v>
      </c>
      <c r="M383" s="166">
        <f>SUMIFS(Продажи!J$5:J$359,Продажи!$D$5:$D$359,Конструкторы!$B383,Продажи!$C$5:$C$359,Конструкторы!$A383)</f>
        <v>0</v>
      </c>
      <c r="N383" s="166">
        <f>SUMIFS(Продажи!K$5:K$359,Продажи!$D$5:$D$359,Конструкторы!$B383,Продажи!$C$5:$C$359,Конструкторы!$A383)</f>
        <v>0</v>
      </c>
      <c r="O383" s="166">
        <f>SUMIFS(Продажи!L$5:L$359,Продажи!$D$5:$D$359,Конструкторы!$B383,Продажи!$C$5:$C$359,Конструкторы!$A383)</f>
        <v>0</v>
      </c>
      <c r="P383" s="166">
        <f>SUMIFS(Продажи!M$5:M$359,Продажи!$D$5:$D$359,Конструкторы!$B383,Продажи!$C$5:$C$359,Конструкторы!$A383)</f>
        <v>0</v>
      </c>
      <c r="Q383" s="166">
        <f>SUMIFS(Продажи!N$5:N$359,Продажи!$D$5:$D$359,Конструкторы!$B383,Продажи!$C$5:$C$359,Конструкторы!$A383)</f>
        <v>0</v>
      </c>
      <c r="R383" s="166">
        <f>SUMIFS(Продажи!O$5:O$359,Продажи!$D$5:$D$359,Конструкторы!$B383,Продажи!$C$5:$C$359,Конструкторы!$A383)</f>
        <v>0</v>
      </c>
      <c r="S383" s="166">
        <f>SUMIFS(Продажи!P$5:P$359,Продажи!$D$5:$D$359,Конструкторы!$B383,Продажи!$C$5:$C$359,Конструкторы!$A383)</f>
        <v>0</v>
      </c>
      <c r="T383" s="166">
        <f>SUMIFS(Продажи!Q$5:Q$359,Продажи!$D$5:$D$359,Конструкторы!$B383,Продажи!$C$5:$C$359,Конструкторы!$A383)</f>
        <v>0</v>
      </c>
    </row>
    <row r="384" spans="1:20" ht="15.75" hidden="1" x14ac:dyDescent="0.25">
      <c r="A384" s="166" t="s">
        <v>397</v>
      </c>
      <c r="B384" s="167" t="s">
        <v>158</v>
      </c>
      <c r="C384" s="129" t="s">
        <v>62</v>
      </c>
      <c r="D384" s="149"/>
      <c r="E384" s="153" t="s">
        <v>68</v>
      </c>
      <c r="F384" s="156">
        <f>(0.15*103)/100</f>
        <v>0.1545</v>
      </c>
      <c r="G384" s="156">
        <v>4.500000000000004E-3</v>
      </c>
      <c r="H384" s="156">
        <f>F384+G384</f>
        <v>0.159</v>
      </c>
      <c r="I384" s="166">
        <f>SUMIFS(Продажи!F$5:F$359,Продажи!$D$5:$D$359,Конструкторы!$B384,Продажи!$C$5:$C$359,Конструкторы!$A384)</f>
        <v>0</v>
      </c>
      <c r="J384" s="166">
        <f>SUMIFS(Продажи!G$5:G$359,Продажи!$D$5:$D$359,Конструкторы!$B384,Продажи!$C$5:$C$359,Конструкторы!$A384)</f>
        <v>0</v>
      </c>
      <c r="K384" s="166">
        <f>SUMIFS(Продажи!H$5:H$359,Продажи!$D$5:$D$359,Конструкторы!$B384,Продажи!$C$5:$C$359,Конструкторы!$A384)</f>
        <v>0</v>
      </c>
      <c r="L384" s="166">
        <f>SUMIFS(Продажи!I$5:I$359,Продажи!$D$5:$D$359,Конструкторы!$B384,Продажи!$C$5:$C$359,Конструкторы!$A384)</f>
        <v>0</v>
      </c>
      <c r="M384" s="166">
        <f>SUMIFS(Продажи!J$5:J$359,Продажи!$D$5:$D$359,Конструкторы!$B384,Продажи!$C$5:$C$359,Конструкторы!$A384)</f>
        <v>0</v>
      </c>
      <c r="N384" s="166">
        <f>SUMIFS(Продажи!K$5:K$359,Продажи!$D$5:$D$359,Конструкторы!$B384,Продажи!$C$5:$C$359,Конструкторы!$A384)</f>
        <v>0</v>
      </c>
      <c r="O384" s="166">
        <f>SUMIFS(Продажи!L$5:L$359,Продажи!$D$5:$D$359,Конструкторы!$B384,Продажи!$C$5:$C$359,Конструкторы!$A384)</f>
        <v>0</v>
      </c>
      <c r="P384" s="166">
        <f>SUMIFS(Продажи!M$5:M$359,Продажи!$D$5:$D$359,Конструкторы!$B384,Продажи!$C$5:$C$359,Конструкторы!$A384)</f>
        <v>0</v>
      </c>
      <c r="Q384" s="166">
        <f>SUMIFS(Продажи!N$5:N$359,Продажи!$D$5:$D$359,Конструкторы!$B384,Продажи!$C$5:$C$359,Конструкторы!$A384)</f>
        <v>0</v>
      </c>
      <c r="R384" s="166">
        <f>SUMIFS(Продажи!O$5:O$359,Продажи!$D$5:$D$359,Конструкторы!$B384,Продажи!$C$5:$C$359,Конструкторы!$A384)</f>
        <v>0</v>
      </c>
      <c r="S384" s="166">
        <f>SUMIFS(Продажи!P$5:P$359,Продажи!$D$5:$D$359,Конструкторы!$B384,Продажи!$C$5:$C$359,Конструкторы!$A384)</f>
        <v>0</v>
      </c>
      <c r="T384" s="166">
        <f>SUMIFS(Продажи!Q$5:Q$359,Продажи!$D$5:$D$359,Конструкторы!$B384,Продажи!$C$5:$C$359,Конструкторы!$A384)</f>
        <v>0</v>
      </c>
    </row>
    <row r="385" spans="1:20" ht="15.75" hidden="1" x14ac:dyDescent="0.25">
      <c r="A385" s="166" t="s">
        <v>397</v>
      </c>
      <c r="B385" s="167" t="s">
        <v>158</v>
      </c>
      <c r="C385" s="33" t="s">
        <v>76</v>
      </c>
      <c r="D385" s="149"/>
      <c r="E385" s="153" t="s">
        <v>70</v>
      </c>
      <c r="F385" s="148">
        <v>6</v>
      </c>
      <c r="G385" s="156" t="s">
        <v>71</v>
      </c>
      <c r="H385" s="156">
        <f>F385</f>
        <v>6</v>
      </c>
      <c r="I385" s="166">
        <f>SUMIFS(Продажи!F$5:F$359,Продажи!$D$5:$D$359,Конструкторы!$B385,Продажи!$C$5:$C$359,Конструкторы!$A385)</f>
        <v>0</v>
      </c>
      <c r="J385" s="166">
        <f>SUMIFS(Продажи!G$5:G$359,Продажи!$D$5:$D$359,Конструкторы!$B385,Продажи!$C$5:$C$359,Конструкторы!$A385)</f>
        <v>0</v>
      </c>
      <c r="K385" s="166">
        <f>SUMIFS(Продажи!H$5:H$359,Продажи!$D$5:$D$359,Конструкторы!$B385,Продажи!$C$5:$C$359,Конструкторы!$A385)</f>
        <v>0</v>
      </c>
      <c r="L385" s="166">
        <f>SUMIFS(Продажи!I$5:I$359,Продажи!$D$5:$D$359,Конструкторы!$B385,Продажи!$C$5:$C$359,Конструкторы!$A385)</f>
        <v>0</v>
      </c>
      <c r="M385" s="166">
        <f>SUMIFS(Продажи!J$5:J$359,Продажи!$D$5:$D$359,Конструкторы!$B385,Продажи!$C$5:$C$359,Конструкторы!$A385)</f>
        <v>0</v>
      </c>
      <c r="N385" s="166">
        <f>SUMIFS(Продажи!K$5:K$359,Продажи!$D$5:$D$359,Конструкторы!$B385,Продажи!$C$5:$C$359,Конструкторы!$A385)</f>
        <v>0</v>
      </c>
      <c r="O385" s="166">
        <f>SUMIFS(Продажи!L$5:L$359,Продажи!$D$5:$D$359,Конструкторы!$B385,Продажи!$C$5:$C$359,Конструкторы!$A385)</f>
        <v>0</v>
      </c>
      <c r="P385" s="166">
        <f>SUMIFS(Продажи!M$5:M$359,Продажи!$D$5:$D$359,Конструкторы!$B385,Продажи!$C$5:$C$359,Конструкторы!$A385)</f>
        <v>0</v>
      </c>
      <c r="Q385" s="166">
        <f>SUMIFS(Продажи!N$5:N$359,Продажи!$D$5:$D$359,Конструкторы!$B385,Продажи!$C$5:$C$359,Конструкторы!$A385)</f>
        <v>0</v>
      </c>
      <c r="R385" s="166">
        <f>SUMIFS(Продажи!O$5:O$359,Продажи!$D$5:$D$359,Конструкторы!$B385,Продажи!$C$5:$C$359,Конструкторы!$A385)</f>
        <v>0</v>
      </c>
      <c r="S385" s="166">
        <f>SUMIFS(Продажи!P$5:P$359,Продажи!$D$5:$D$359,Конструкторы!$B385,Продажи!$C$5:$C$359,Конструкторы!$A385)</f>
        <v>0</v>
      </c>
      <c r="T385" s="166">
        <f>SUMIFS(Продажи!Q$5:Q$359,Продажи!$D$5:$D$359,Конструкторы!$B385,Продажи!$C$5:$C$359,Конструкторы!$A385)</f>
        <v>0</v>
      </c>
    </row>
    <row r="386" spans="1:20" ht="15.75" hidden="1" x14ac:dyDescent="0.25">
      <c r="A386" s="166" t="s">
        <v>397</v>
      </c>
      <c r="B386" s="167" t="s">
        <v>158</v>
      </c>
      <c r="C386" s="33" t="s">
        <v>75</v>
      </c>
      <c r="D386" s="149"/>
      <c r="E386" s="153" t="s">
        <v>70</v>
      </c>
      <c r="F386" s="148">
        <v>3</v>
      </c>
      <c r="G386" s="156" t="s">
        <v>71</v>
      </c>
      <c r="H386" s="156">
        <f>F386</f>
        <v>3</v>
      </c>
      <c r="I386" s="166">
        <f>SUMIFS(Продажи!F$5:F$359,Продажи!$D$5:$D$359,Конструкторы!$B386,Продажи!$C$5:$C$359,Конструкторы!$A386)</f>
        <v>0</v>
      </c>
      <c r="J386" s="166">
        <f>SUMIFS(Продажи!G$5:G$359,Продажи!$D$5:$D$359,Конструкторы!$B386,Продажи!$C$5:$C$359,Конструкторы!$A386)</f>
        <v>0</v>
      </c>
      <c r="K386" s="166">
        <f>SUMIFS(Продажи!H$5:H$359,Продажи!$D$5:$D$359,Конструкторы!$B386,Продажи!$C$5:$C$359,Конструкторы!$A386)</f>
        <v>0</v>
      </c>
      <c r="L386" s="166">
        <f>SUMIFS(Продажи!I$5:I$359,Продажи!$D$5:$D$359,Конструкторы!$B386,Продажи!$C$5:$C$359,Конструкторы!$A386)</f>
        <v>0</v>
      </c>
      <c r="M386" s="166">
        <f>SUMIFS(Продажи!J$5:J$359,Продажи!$D$5:$D$359,Конструкторы!$B386,Продажи!$C$5:$C$359,Конструкторы!$A386)</f>
        <v>0</v>
      </c>
      <c r="N386" s="166">
        <f>SUMIFS(Продажи!K$5:K$359,Продажи!$D$5:$D$359,Конструкторы!$B386,Продажи!$C$5:$C$359,Конструкторы!$A386)</f>
        <v>0</v>
      </c>
      <c r="O386" s="166">
        <f>SUMIFS(Продажи!L$5:L$359,Продажи!$D$5:$D$359,Конструкторы!$B386,Продажи!$C$5:$C$359,Конструкторы!$A386)</f>
        <v>0</v>
      </c>
      <c r="P386" s="166">
        <f>SUMIFS(Продажи!M$5:M$359,Продажи!$D$5:$D$359,Конструкторы!$B386,Продажи!$C$5:$C$359,Конструкторы!$A386)</f>
        <v>0</v>
      </c>
      <c r="Q386" s="166">
        <f>SUMIFS(Продажи!N$5:N$359,Продажи!$D$5:$D$359,Конструкторы!$B386,Продажи!$C$5:$C$359,Конструкторы!$A386)</f>
        <v>0</v>
      </c>
      <c r="R386" s="166">
        <f>SUMIFS(Продажи!O$5:O$359,Продажи!$D$5:$D$359,Конструкторы!$B386,Продажи!$C$5:$C$359,Конструкторы!$A386)</f>
        <v>0</v>
      </c>
      <c r="S386" s="166">
        <f>SUMIFS(Продажи!P$5:P$359,Продажи!$D$5:$D$359,Конструкторы!$B386,Продажи!$C$5:$C$359,Конструкторы!$A386)</f>
        <v>0</v>
      </c>
      <c r="T386" s="166">
        <f>SUMIFS(Продажи!Q$5:Q$359,Продажи!$D$5:$D$359,Конструкторы!$B386,Продажи!$C$5:$C$359,Конструкторы!$A386)</f>
        <v>0</v>
      </c>
    </row>
    <row r="387" spans="1:20" ht="15.75" hidden="1" x14ac:dyDescent="0.25">
      <c r="A387" s="166" t="s">
        <v>397</v>
      </c>
      <c r="B387" s="167" t="s">
        <v>157</v>
      </c>
      <c r="C387" s="129" t="s">
        <v>64</v>
      </c>
      <c r="D387" s="149"/>
      <c r="E387" s="153" t="s">
        <v>68</v>
      </c>
      <c r="F387" s="156">
        <f>(0.35*103)/100</f>
        <v>0.36049999999999999</v>
      </c>
      <c r="G387" s="156">
        <v>1.0500000000000009E-2</v>
      </c>
      <c r="H387" s="156">
        <f>F387+G387</f>
        <v>0.371</v>
      </c>
      <c r="I387" s="166">
        <f>SUMIFS(Продажи!F$5:F$359,Продажи!$D$5:$D$359,Конструкторы!$B387,Продажи!$C$5:$C$359,Конструкторы!$A387)</f>
        <v>0</v>
      </c>
      <c r="J387" s="166">
        <f>SUMIFS(Продажи!G$5:G$359,Продажи!$D$5:$D$359,Конструкторы!$B387,Продажи!$C$5:$C$359,Конструкторы!$A387)</f>
        <v>0</v>
      </c>
      <c r="K387" s="166">
        <f>SUMIFS(Продажи!H$5:H$359,Продажи!$D$5:$D$359,Конструкторы!$B387,Продажи!$C$5:$C$359,Конструкторы!$A387)</f>
        <v>0</v>
      </c>
      <c r="L387" s="166">
        <f>SUMIFS(Продажи!I$5:I$359,Продажи!$D$5:$D$359,Конструкторы!$B387,Продажи!$C$5:$C$359,Конструкторы!$A387)</f>
        <v>0</v>
      </c>
      <c r="M387" s="166">
        <f>SUMIFS(Продажи!J$5:J$359,Продажи!$D$5:$D$359,Конструкторы!$B387,Продажи!$C$5:$C$359,Конструкторы!$A387)</f>
        <v>0</v>
      </c>
      <c r="N387" s="166">
        <f>SUMIFS(Продажи!K$5:K$359,Продажи!$D$5:$D$359,Конструкторы!$B387,Продажи!$C$5:$C$359,Конструкторы!$A387)</f>
        <v>0</v>
      </c>
      <c r="O387" s="166">
        <f>SUMIFS(Продажи!L$5:L$359,Продажи!$D$5:$D$359,Конструкторы!$B387,Продажи!$C$5:$C$359,Конструкторы!$A387)</f>
        <v>0</v>
      </c>
      <c r="P387" s="166">
        <f>SUMIFS(Продажи!M$5:M$359,Продажи!$D$5:$D$359,Конструкторы!$B387,Продажи!$C$5:$C$359,Конструкторы!$A387)</f>
        <v>0</v>
      </c>
      <c r="Q387" s="166">
        <f>SUMIFS(Продажи!N$5:N$359,Продажи!$D$5:$D$359,Конструкторы!$B387,Продажи!$C$5:$C$359,Конструкторы!$A387)</f>
        <v>0</v>
      </c>
      <c r="R387" s="166">
        <f>SUMIFS(Продажи!O$5:O$359,Продажи!$D$5:$D$359,Конструкторы!$B387,Продажи!$C$5:$C$359,Конструкторы!$A387)</f>
        <v>0</v>
      </c>
      <c r="S387" s="166">
        <f>SUMIFS(Продажи!P$5:P$359,Продажи!$D$5:$D$359,Конструкторы!$B387,Продажи!$C$5:$C$359,Конструкторы!$A387)</f>
        <v>0</v>
      </c>
      <c r="T387" s="166">
        <f>SUMIFS(Продажи!Q$5:Q$359,Продажи!$D$5:$D$359,Конструкторы!$B387,Продажи!$C$5:$C$359,Конструкторы!$A387)</f>
        <v>0</v>
      </c>
    </row>
    <row r="388" spans="1:20" ht="15.75" hidden="1" x14ac:dyDescent="0.25">
      <c r="A388" s="166" t="s">
        <v>397</v>
      </c>
      <c r="B388" s="167" t="s">
        <v>157</v>
      </c>
      <c r="C388" s="129" t="s">
        <v>63</v>
      </c>
      <c r="D388" s="149"/>
      <c r="E388" s="153" t="s">
        <v>68</v>
      </c>
      <c r="F388" s="156">
        <f>(0.15*103)/100</f>
        <v>0.1545</v>
      </c>
      <c r="G388" s="156">
        <v>4.500000000000004E-3</v>
      </c>
      <c r="H388" s="156">
        <f>F388+G388</f>
        <v>0.159</v>
      </c>
      <c r="I388" s="166">
        <f>SUMIFS(Продажи!F$5:F$359,Продажи!$D$5:$D$359,Конструкторы!$B388,Продажи!$C$5:$C$359,Конструкторы!$A388)</f>
        <v>0</v>
      </c>
      <c r="J388" s="166">
        <f>SUMIFS(Продажи!G$5:G$359,Продажи!$D$5:$D$359,Конструкторы!$B388,Продажи!$C$5:$C$359,Конструкторы!$A388)</f>
        <v>0</v>
      </c>
      <c r="K388" s="166">
        <f>SUMIFS(Продажи!H$5:H$359,Продажи!$D$5:$D$359,Конструкторы!$B388,Продажи!$C$5:$C$359,Конструкторы!$A388)</f>
        <v>0</v>
      </c>
      <c r="L388" s="166">
        <f>SUMIFS(Продажи!I$5:I$359,Продажи!$D$5:$D$359,Конструкторы!$B388,Продажи!$C$5:$C$359,Конструкторы!$A388)</f>
        <v>0</v>
      </c>
      <c r="M388" s="166">
        <f>SUMIFS(Продажи!J$5:J$359,Продажи!$D$5:$D$359,Конструкторы!$B388,Продажи!$C$5:$C$359,Конструкторы!$A388)</f>
        <v>0</v>
      </c>
      <c r="N388" s="166">
        <f>SUMIFS(Продажи!K$5:K$359,Продажи!$D$5:$D$359,Конструкторы!$B388,Продажи!$C$5:$C$359,Конструкторы!$A388)</f>
        <v>0</v>
      </c>
      <c r="O388" s="166">
        <f>SUMIFS(Продажи!L$5:L$359,Продажи!$D$5:$D$359,Конструкторы!$B388,Продажи!$C$5:$C$359,Конструкторы!$A388)</f>
        <v>0</v>
      </c>
      <c r="P388" s="166">
        <f>SUMIFS(Продажи!M$5:M$359,Продажи!$D$5:$D$359,Конструкторы!$B388,Продажи!$C$5:$C$359,Конструкторы!$A388)</f>
        <v>0</v>
      </c>
      <c r="Q388" s="166">
        <f>SUMIFS(Продажи!N$5:N$359,Продажи!$D$5:$D$359,Конструкторы!$B388,Продажи!$C$5:$C$359,Конструкторы!$A388)</f>
        <v>0</v>
      </c>
      <c r="R388" s="166">
        <f>SUMIFS(Продажи!O$5:O$359,Продажи!$D$5:$D$359,Конструкторы!$B388,Продажи!$C$5:$C$359,Конструкторы!$A388)</f>
        <v>0</v>
      </c>
      <c r="S388" s="166">
        <f>SUMIFS(Продажи!P$5:P$359,Продажи!$D$5:$D$359,Конструкторы!$B388,Продажи!$C$5:$C$359,Конструкторы!$A388)</f>
        <v>0</v>
      </c>
      <c r="T388" s="166">
        <f>SUMIFS(Продажи!Q$5:Q$359,Продажи!$D$5:$D$359,Конструкторы!$B388,Продажи!$C$5:$C$359,Конструкторы!$A388)</f>
        <v>0</v>
      </c>
    </row>
    <row r="389" spans="1:20" ht="15.75" hidden="1" x14ac:dyDescent="0.25">
      <c r="A389" s="166" t="s">
        <v>397</v>
      </c>
      <c r="B389" s="167" t="s">
        <v>157</v>
      </c>
      <c r="C389" s="33" t="s">
        <v>76</v>
      </c>
      <c r="D389" s="149"/>
      <c r="E389" s="153" t="s">
        <v>70</v>
      </c>
      <c r="F389" s="148">
        <v>6</v>
      </c>
      <c r="G389" s="156" t="s">
        <v>71</v>
      </c>
      <c r="H389" s="156">
        <f>F389</f>
        <v>6</v>
      </c>
      <c r="I389" s="166">
        <f>SUMIFS(Продажи!F$5:F$359,Продажи!$D$5:$D$359,Конструкторы!$B389,Продажи!$C$5:$C$359,Конструкторы!$A389)</f>
        <v>0</v>
      </c>
      <c r="J389" s="166">
        <f>SUMIFS(Продажи!G$5:G$359,Продажи!$D$5:$D$359,Конструкторы!$B389,Продажи!$C$5:$C$359,Конструкторы!$A389)</f>
        <v>0</v>
      </c>
      <c r="K389" s="166">
        <f>SUMIFS(Продажи!H$5:H$359,Продажи!$D$5:$D$359,Конструкторы!$B389,Продажи!$C$5:$C$359,Конструкторы!$A389)</f>
        <v>0</v>
      </c>
      <c r="L389" s="166">
        <f>SUMIFS(Продажи!I$5:I$359,Продажи!$D$5:$D$359,Конструкторы!$B389,Продажи!$C$5:$C$359,Конструкторы!$A389)</f>
        <v>0</v>
      </c>
      <c r="M389" s="166">
        <f>SUMIFS(Продажи!J$5:J$359,Продажи!$D$5:$D$359,Конструкторы!$B389,Продажи!$C$5:$C$359,Конструкторы!$A389)</f>
        <v>0</v>
      </c>
      <c r="N389" s="166">
        <f>SUMIFS(Продажи!K$5:K$359,Продажи!$D$5:$D$359,Конструкторы!$B389,Продажи!$C$5:$C$359,Конструкторы!$A389)</f>
        <v>0</v>
      </c>
      <c r="O389" s="166">
        <f>SUMIFS(Продажи!L$5:L$359,Продажи!$D$5:$D$359,Конструкторы!$B389,Продажи!$C$5:$C$359,Конструкторы!$A389)</f>
        <v>0</v>
      </c>
      <c r="P389" s="166">
        <f>SUMIFS(Продажи!M$5:M$359,Продажи!$D$5:$D$359,Конструкторы!$B389,Продажи!$C$5:$C$359,Конструкторы!$A389)</f>
        <v>0</v>
      </c>
      <c r="Q389" s="166">
        <f>SUMIFS(Продажи!N$5:N$359,Продажи!$D$5:$D$359,Конструкторы!$B389,Продажи!$C$5:$C$359,Конструкторы!$A389)</f>
        <v>0</v>
      </c>
      <c r="R389" s="166">
        <f>SUMIFS(Продажи!O$5:O$359,Продажи!$D$5:$D$359,Конструкторы!$B389,Продажи!$C$5:$C$359,Конструкторы!$A389)</f>
        <v>0</v>
      </c>
      <c r="S389" s="166">
        <f>SUMIFS(Продажи!P$5:P$359,Продажи!$D$5:$D$359,Конструкторы!$B389,Продажи!$C$5:$C$359,Конструкторы!$A389)</f>
        <v>0</v>
      </c>
      <c r="T389" s="166">
        <f>SUMIFS(Продажи!Q$5:Q$359,Продажи!$D$5:$D$359,Конструкторы!$B389,Продажи!$C$5:$C$359,Конструкторы!$A389)</f>
        <v>0</v>
      </c>
    </row>
    <row r="390" spans="1:20" ht="15.75" hidden="1" x14ac:dyDescent="0.25">
      <c r="A390" s="166" t="s">
        <v>397</v>
      </c>
      <c r="B390" s="167" t="s">
        <v>157</v>
      </c>
      <c r="C390" s="33" t="s">
        <v>75</v>
      </c>
      <c r="D390" s="149"/>
      <c r="E390" s="153" t="s">
        <v>70</v>
      </c>
      <c r="F390" s="148">
        <v>2</v>
      </c>
      <c r="G390" s="156" t="s">
        <v>71</v>
      </c>
      <c r="H390" s="156">
        <f>F390</f>
        <v>2</v>
      </c>
      <c r="I390" s="166">
        <f>SUMIFS(Продажи!F$5:F$359,Продажи!$D$5:$D$359,Конструкторы!$B390,Продажи!$C$5:$C$359,Конструкторы!$A390)</f>
        <v>0</v>
      </c>
      <c r="J390" s="166">
        <f>SUMIFS(Продажи!G$5:G$359,Продажи!$D$5:$D$359,Конструкторы!$B390,Продажи!$C$5:$C$359,Конструкторы!$A390)</f>
        <v>0</v>
      </c>
      <c r="K390" s="166">
        <f>SUMIFS(Продажи!H$5:H$359,Продажи!$D$5:$D$359,Конструкторы!$B390,Продажи!$C$5:$C$359,Конструкторы!$A390)</f>
        <v>0</v>
      </c>
      <c r="L390" s="166">
        <f>SUMIFS(Продажи!I$5:I$359,Продажи!$D$5:$D$359,Конструкторы!$B390,Продажи!$C$5:$C$359,Конструкторы!$A390)</f>
        <v>0</v>
      </c>
      <c r="M390" s="166">
        <f>SUMIFS(Продажи!J$5:J$359,Продажи!$D$5:$D$359,Конструкторы!$B390,Продажи!$C$5:$C$359,Конструкторы!$A390)</f>
        <v>0</v>
      </c>
      <c r="N390" s="166">
        <f>SUMIFS(Продажи!K$5:K$359,Продажи!$D$5:$D$359,Конструкторы!$B390,Продажи!$C$5:$C$359,Конструкторы!$A390)</f>
        <v>0</v>
      </c>
      <c r="O390" s="166">
        <f>SUMIFS(Продажи!L$5:L$359,Продажи!$D$5:$D$359,Конструкторы!$B390,Продажи!$C$5:$C$359,Конструкторы!$A390)</f>
        <v>0</v>
      </c>
      <c r="P390" s="166">
        <f>SUMIFS(Продажи!M$5:M$359,Продажи!$D$5:$D$359,Конструкторы!$B390,Продажи!$C$5:$C$359,Конструкторы!$A390)</f>
        <v>0</v>
      </c>
      <c r="Q390" s="166">
        <f>SUMIFS(Продажи!N$5:N$359,Продажи!$D$5:$D$359,Конструкторы!$B390,Продажи!$C$5:$C$359,Конструкторы!$A390)</f>
        <v>0</v>
      </c>
      <c r="R390" s="166">
        <f>SUMIFS(Продажи!O$5:O$359,Продажи!$D$5:$D$359,Конструкторы!$B390,Продажи!$C$5:$C$359,Конструкторы!$A390)</f>
        <v>0</v>
      </c>
      <c r="S390" s="166">
        <f>SUMIFS(Продажи!P$5:P$359,Продажи!$D$5:$D$359,Конструкторы!$B390,Продажи!$C$5:$C$359,Конструкторы!$A390)</f>
        <v>0</v>
      </c>
      <c r="T390" s="166">
        <f>SUMIFS(Продажи!Q$5:Q$359,Продажи!$D$5:$D$359,Конструкторы!$B390,Продажи!$C$5:$C$359,Конструкторы!$A390)</f>
        <v>0</v>
      </c>
    </row>
    <row r="391" spans="1:20" ht="15.75" hidden="1" x14ac:dyDescent="0.25">
      <c r="A391" s="166" t="s">
        <v>397</v>
      </c>
      <c r="B391" s="167" t="s">
        <v>270</v>
      </c>
      <c r="C391" s="129" t="s">
        <v>60</v>
      </c>
      <c r="D391" s="149"/>
      <c r="E391" s="153" t="s">
        <v>68</v>
      </c>
      <c r="F391" s="156">
        <f>(0.698*103)/100</f>
        <v>0.71893999999999991</v>
      </c>
      <c r="G391" s="156">
        <v>2.0939999999999959E-2</v>
      </c>
      <c r="H391" s="156">
        <f>F391+G391</f>
        <v>0.73987999999999987</v>
      </c>
      <c r="I391" s="166">
        <f>SUMIFS(Продажи!F$5:F$359,Продажи!$D$5:$D$359,Конструкторы!$B391,Продажи!$C$5:$C$359,Конструкторы!$A391)</f>
        <v>0</v>
      </c>
      <c r="J391" s="166">
        <f>SUMIFS(Продажи!G$5:G$359,Продажи!$D$5:$D$359,Конструкторы!$B391,Продажи!$C$5:$C$359,Конструкторы!$A391)</f>
        <v>0</v>
      </c>
      <c r="K391" s="166">
        <f>SUMIFS(Продажи!H$5:H$359,Продажи!$D$5:$D$359,Конструкторы!$B391,Продажи!$C$5:$C$359,Конструкторы!$A391)</f>
        <v>0</v>
      </c>
      <c r="L391" s="166">
        <f>SUMIFS(Продажи!I$5:I$359,Продажи!$D$5:$D$359,Конструкторы!$B391,Продажи!$C$5:$C$359,Конструкторы!$A391)</f>
        <v>0</v>
      </c>
      <c r="M391" s="166">
        <f>SUMIFS(Продажи!J$5:J$359,Продажи!$D$5:$D$359,Конструкторы!$B391,Продажи!$C$5:$C$359,Конструкторы!$A391)</f>
        <v>0</v>
      </c>
      <c r="N391" s="166">
        <f>SUMIFS(Продажи!K$5:K$359,Продажи!$D$5:$D$359,Конструкторы!$B391,Продажи!$C$5:$C$359,Конструкторы!$A391)</f>
        <v>0</v>
      </c>
      <c r="O391" s="166">
        <f>SUMIFS(Продажи!L$5:L$359,Продажи!$D$5:$D$359,Конструкторы!$B391,Продажи!$C$5:$C$359,Конструкторы!$A391)</f>
        <v>0</v>
      </c>
      <c r="P391" s="166">
        <f>SUMIFS(Продажи!M$5:M$359,Продажи!$D$5:$D$359,Конструкторы!$B391,Продажи!$C$5:$C$359,Конструкторы!$A391)</f>
        <v>0</v>
      </c>
      <c r="Q391" s="166">
        <f>SUMIFS(Продажи!N$5:N$359,Продажи!$D$5:$D$359,Конструкторы!$B391,Продажи!$C$5:$C$359,Конструкторы!$A391)</f>
        <v>0</v>
      </c>
      <c r="R391" s="166">
        <f>SUMIFS(Продажи!O$5:O$359,Продажи!$D$5:$D$359,Конструкторы!$B391,Продажи!$C$5:$C$359,Конструкторы!$A391)</f>
        <v>0</v>
      </c>
      <c r="S391" s="166">
        <f>SUMIFS(Продажи!P$5:P$359,Продажи!$D$5:$D$359,Конструкторы!$B391,Продажи!$C$5:$C$359,Конструкторы!$A391)</f>
        <v>0</v>
      </c>
      <c r="T391" s="166">
        <f>SUMIFS(Продажи!Q$5:Q$359,Продажи!$D$5:$D$359,Конструкторы!$B391,Продажи!$C$5:$C$359,Конструкторы!$A391)</f>
        <v>0</v>
      </c>
    </row>
    <row r="392" spans="1:20" ht="15.75" hidden="1" x14ac:dyDescent="0.25">
      <c r="A392" s="166" t="s">
        <v>397</v>
      </c>
      <c r="B392" s="167" t="s">
        <v>270</v>
      </c>
      <c r="C392" s="33" t="s">
        <v>76</v>
      </c>
      <c r="D392" s="149"/>
      <c r="E392" s="153" t="s">
        <v>70</v>
      </c>
      <c r="F392" s="159">
        <v>4</v>
      </c>
      <c r="G392" s="156" t="s">
        <v>71</v>
      </c>
      <c r="H392" s="156">
        <f>F392</f>
        <v>4</v>
      </c>
      <c r="I392" s="166">
        <f>SUMIFS(Продажи!F$5:F$359,Продажи!$D$5:$D$359,Конструкторы!$B392,Продажи!$C$5:$C$359,Конструкторы!$A392)</f>
        <v>0</v>
      </c>
      <c r="J392" s="166">
        <f>SUMIFS(Продажи!G$5:G$359,Продажи!$D$5:$D$359,Конструкторы!$B392,Продажи!$C$5:$C$359,Конструкторы!$A392)</f>
        <v>0</v>
      </c>
      <c r="K392" s="166">
        <f>SUMIFS(Продажи!H$5:H$359,Продажи!$D$5:$D$359,Конструкторы!$B392,Продажи!$C$5:$C$359,Конструкторы!$A392)</f>
        <v>0</v>
      </c>
      <c r="L392" s="166">
        <f>SUMIFS(Продажи!I$5:I$359,Продажи!$D$5:$D$359,Конструкторы!$B392,Продажи!$C$5:$C$359,Конструкторы!$A392)</f>
        <v>0</v>
      </c>
      <c r="M392" s="166">
        <f>SUMIFS(Продажи!J$5:J$359,Продажи!$D$5:$D$359,Конструкторы!$B392,Продажи!$C$5:$C$359,Конструкторы!$A392)</f>
        <v>0</v>
      </c>
      <c r="N392" s="166">
        <f>SUMIFS(Продажи!K$5:K$359,Продажи!$D$5:$D$359,Конструкторы!$B392,Продажи!$C$5:$C$359,Конструкторы!$A392)</f>
        <v>0</v>
      </c>
      <c r="O392" s="166">
        <f>SUMIFS(Продажи!L$5:L$359,Продажи!$D$5:$D$359,Конструкторы!$B392,Продажи!$C$5:$C$359,Конструкторы!$A392)</f>
        <v>0</v>
      </c>
      <c r="P392" s="166">
        <f>SUMIFS(Продажи!M$5:M$359,Продажи!$D$5:$D$359,Конструкторы!$B392,Продажи!$C$5:$C$359,Конструкторы!$A392)</f>
        <v>0</v>
      </c>
      <c r="Q392" s="166">
        <f>SUMIFS(Продажи!N$5:N$359,Продажи!$D$5:$D$359,Конструкторы!$B392,Продажи!$C$5:$C$359,Конструкторы!$A392)</f>
        <v>0</v>
      </c>
      <c r="R392" s="166">
        <f>SUMIFS(Продажи!O$5:O$359,Продажи!$D$5:$D$359,Конструкторы!$B392,Продажи!$C$5:$C$359,Конструкторы!$A392)</f>
        <v>0</v>
      </c>
      <c r="S392" s="166">
        <f>SUMIFS(Продажи!P$5:P$359,Продажи!$D$5:$D$359,Конструкторы!$B392,Продажи!$C$5:$C$359,Конструкторы!$A392)</f>
        <v>0</v>
      </c>
      <c r="T392" s="166">
        <f>SUMIFS(Продажи!Q$5:Q$359,Продажи!$D$5:$D$359,Конструкторы!$B392,Продажи!$C$5:$C$359,Конструкторы!$A392)</f>
        <v>0</v>
      </c>
    </row>
    <row r="393" spans="1:20" ht="15.75" hidden="1" x14ac:dyDescent="0.25">
      <c r="A393" s="166" t="s">
        <v>397</v>
      </c>
      <c r="B393" s="167" t="s">
        <v>271</v>
      </c>
      <c r="C393" s="129" t="s">
        <v>61</v>
      </c>
      <c r="D393" s="149"/>
      <c r="E393" s="153" t="s">
        <v>68</v>
      </c>
      <c r="F393" s="156">
        <f>(0.698*103)/100</f>
        <v>0.71893999999999991</v>
      </c>
      <c r="G393" s="156">
        <v>2.0939999999999959E-2</v>
      </c>
      <c r="H393" s="156">
        <f>F393+G393</f>
        <v>0.73987999999999987</v>
      </c>
      <c r="I393" s="166">
        <f>SUMIFS(Продажи!F$5:F$359,Продажи!$D$5:$D$359,Конструкторы!$B393,Продажи!$C$5:$C$359,Конструкторы!$A393)</f>
        <v>0</v>
      </c>
      <c r="J393" s="166">
        <f>SUMIFS(Продажи!G$5:G$359,Продажи!$D$5:$D$359,Конструкторы!$B393,Продажи!$C$5:$C$359,Конструкторы!$A393)</f>
        <v>0</v>
      </c>
      <c r="K393" s="166">
        <f>SUMIFS(Продажи!H$5:H$359,Продажи!$D$5:$D$359,Конструкторы!$B393,Продажи!$C$5:$C$359,Конструкторы!$A393)</f>
        <v>0</v>
      </c>
      <c r="L393" s="166">
        <f>SUMIFS(Продажи!I$5:I$359,Продажи!$D$5:$D$359,Конструкторы!$B393,Продажи!$C$5:$C$359,Конструкторы!$A393)</f>
        <v>0</v>
      </c>
      <c r="M393" s="166">
        <f>SUMIFS(Продажи!J$5:J$359,Продажи!$D$5:$D$359,Конструкторы!$B393,Продажи!$C$5:$C$359,Конструкторы!$A393)</f>
        <v>0</v>
      </c>
      <c r="N393" s="166">
        <f>SUMIFS(Продажи!K$5:K$359,Продажи!$D$5:$D$359,Конструкторы!$B393,Продажи!$C$5:$C$359,Конструкторы!$A393)</f>
        <v>0</v>
      </c>
      <c r="O393" s="166">
        <f>SUMIFS(Продажи!L$5:L$359,Продажи!$D$5:$D$359,Конструкторы!$B393,Продажи!$C$5:$C$359,Конструкторы!$A393)</f>
        <v>0</v>
      </c>
      <c r="P393" s="166">
        <f>SUMIFS(Продажи!M$5:M$359,Продажи!$D$5:$D$359,Конструкторы!$B393,Продажи!$C$5:$C$359,Конструкторы!$A393)</f>
        <v>0</v>
      </c>
      <c r="Q393" s="166">
        <f>SUMIFS(Продажи!N$5:N$359,Продажи!$D$5:$D$359,Конструкторы!$B393,Продажи!$C$5:$C$359,Конструкторы!$A393)</f>
        <v>0</v>
      </c>
      <c r="R393" s="166">
        <f>SUMIFS(Продажи!O$5:O$359,Продажи!$D$5:$D$359,Конструкторы!$B393,Продажи!$C$5:$C$359,Конструкторы!$A393)</f>
        <v>0</v>
      </c>
      <c r="S393" s="166">
        <f>SUMIFS(Продажи!P$5:P$359,Продажи!$D$5:$D$359,Конструкторы!$B393,Продажи!$C$5:$C$359,Конструкторы!$A393)</f>
        <v>0</v>
      </c>
      <c r="T393" s="166">
        <f>SUMIFS(Продажи!Q$5:Q$359,Продажи!$D$5:$D$359,Конструкторы!$B393,Продажи!$C$5:$C$359,Конструкторы!$A393)</f>
        <v>0</v>
      </c>
    </row>
    <row r="394" spans="1:20" ht="15.75" hidden="1" x14ac:dyDescent="0.25">
      <c r="A394" s="166" t="s">
        <v>397</v>
      </c>
      <c r="B394" s="167" t="s">
        <v>271</v>
      </c>
      <c r="C394" s="33" t="s">
        <v>76</v>
      </c>
      <c r="D394" s="149"/>
      <c r="E394" s="153" t="s">
        <v>70</v>
      </c>
      <c r="F394" s="159">
        <v>4</v>
      </c>
      <c r="G394" s="156" t="s">
        <v>71</v>
      </c>
      <c r="H394" s="156">
        <f>F394</f>
        <v>4</v>
      </c>
      <c r="I394" s="166">
        <f>SUMIFS(Продажи!F$5:F$359,Продажи!$D$5:$D$359,Конструкторы!$B394,Продажи!$C$5:$C$359,Конструкторы!$A394)</f>
        <v>0</v>
      </c>
      <c r="J394" s="166">
        <f>SUMIFS(Продажи!G$5:G$359,Продажи!$D$5:$D$359,Конструкторы!$B394,Продажи!$C$5:$C$359,Конструкторы!$A394)</f>
        <v>0</v>
      </c>
      <c r="K394" s="166">
        <f>SUMIFS(Продажи!H$5:H$359,Продажи!$D$5:$D$359,Конструкторы!$B394,Продажи!$C$5:$C$359,Конструкторы!$A394)</f>
        <v>0</v>
      </c>
      <c r="L394" s="166">
        <f>SUMIFS(Продажи!I$5:I$359,Продажи!$D$5:$D$359,Конструкторы!$B394,Продажи!$C$5:$C$359,Конструкторы!$A394)</f>
        <v>0</v>
      </c>
      <c r="M394" s="166">
        <f>SUMIFS(Продажи!J$5:J$359,Продажи!$D$5:$D$359,Конструкторы!$B394,Продажи!$C$5:$C$359,Конструкторы!$A394)</f>
        <v>0</v>
      </c>
      <c r="N394" s="166">
        <f>SUMIFS(Продажи!K$5:K$359,Продажи!$D$5:$D$359,Конструкторы!$B394,Продажи!$C$5:$C$359,Конструкторы!$A394)</f>
        <v>0</v>
      </c>
      <c r="O394" s="166">
        <f>SUMIFS(Продажи!L$5:L$359,Продажи!$D$5:$D$359,Конструкторы!$B394,Продажи!$C$5:$C$359,Конструкторы!$A394)</f>
        <v>0</v>
      </c>
      <c r="P394" s="166">
        <f>SUMIFS(Продажи!M$5:M$359,Продажи!$D$5:$D$359,Конструкторы!$B394,Продажи!$C$5:$C$359,Конструкторы!$A394)</f>
        <v>0</v>
      </c>
      <c r="Q394" s="166">
        <f>SUMIFS(Продажи!N$5:N$359,Продажи!$D$5:$D$359,Конструкторы!$B394,Продажи!$C$5:$C$359,Конструкторы!$A394)</f>
        <v>0</v>
      </c>
      <c r="R394" s="166">
        <f>SUMIFS(Продажи!O$5:O$359,Продажи!$D$5:$D$359,Конструкторы!$B394,Продажи!$C$5:$C$359,Конструкторы!$A394)</f>
        <v>0</v>
      </c>
      <c r="S394" s="166">
        <f>SUMIFS(Продажи!P$5:P$359,Продажи!$D$5:$D$359,Конструкторы!$B394,Продажи!$C$5:$C$359,Конструкторы!$A394)</f>
        <v>0</v>
      </c>
      <c r="T394" s="166">
        <f>SUMIFS(Продажи!Q$5:Q$359,Продажи!$D$5:$D$359,Конструкторы!$B394,Продажи!$C$5:$C$359,Конструкторы!$A394)</f>
        <v>0</v>
      </c>
    </row>
    <row r="395" spans="1:20" ht="15.75" hidden="1" x14ac:dyDescent="0.25">
      <c r="A395" s="166" t="s">
        <v>397</v>
      </c>
      <c r="B395" s="167" t="s">
        <v>272</v>
      </c>
      <c r="C395" s="129" t="s">
        <v>62</v>
      </c>
      <c r="D395" s="149"/>
      <c r="E395" s="153" t="s">
        <v>68</v>
      </c>
      <c r="F395" s="156">
        <f>(0.698*103)/100</f>
        <v>0.71893999999999991</v>
      </c>
      <c r="G395" s="156">
        <v>2.0939999999999959E-2</v>
      </c>
      <c r="H395" s="156">
        <f>F395+G395</f>
        <v>0.73987999999999987</v>
      </c>
      <c r="I395" s="166">
        <f>SUMIFS(Продажи!F$5:F$359,Продажи!$D$5:$D$359,Конструкторы!$B395,Продажи!$C$5:$C$359,Конструкторы!$A395)</f>
        <v>0</v>
      </c>
      <c r="J395" s="166">
        <f>SUMIFS(Продажи!G$5:G$359,Продажи!$D$5:$D$359,Конструкторы!$B395,Продажи!$C$5:$C$359,Конструкторы!$A395)</f>
        <v>0</v>
      </c>
      <c r="K395" s="166">
        <f>SUMIFS(Продажи!H$5:H$359,Продажи!$D$5:$D$359,Конструкторы!$B395,Продажи!$C$5:$C$359,Конструкторы!$A395)</f>
        <v>0</v>
      </c>
      <c r="L395" s="166">
        <f>SUMIFS(Продажи!I$5:I$359,Продажи!$D$5:$D$359,Конструкторы!$B395,Продажи!$C$5:$C$359,Конструкторы!$A395)</f>
        <v>0</v>
      </c>
      <c r="M395" s="166">
        <f>SUMIFS(Продажи!J$5:J$359,Продажи!$D$5:$D$359,Конструкторы!$B395,Продажи!$C$5:$C$359,Конструкторы!$A395)</f>
        <v>0</v>
      </c>
      <c r="N395" s="166">
        <f>SUMIFS(Продажи!K$5:K$359,Продажи!$D$5:$D$359,Конструкторы!$B395,Продажи!$C$5:$C$359,Конструкторы!$A395)</f>
        <v>0</v>
      </c>
      <c r="O395" s="166">
        <f>SUMIFS(Продажи!L$5:L$359,Продажи!$D$5:$D$359,Конструкторы!$B395,Продажи!$C$5:$C$359,Конструкторы!$A395)</f>
        <v>0</v>
      </c>
      <c r="P395" s="166">
        <f>SUMIFS(Продажи!M$5:M$359,Продажи!$D$5:$D$359,Конструкторы!$B395,Продажи!$C$5:$C$359,Конструкторы!$A395)</f>
        <v>0</v>
      </c>
      <c r="Q395" s="166">
        <f>SUMIFS(Продажи!N$5:N$359,Продажи!$D$5:$D$359,Конструкторы!$B395,Продажи!$C$5:$C$359,Конструкторы!$A395)</f>
        <v>0</v>
      </c>
      <c r="R395" s="166">
        <f>SUMIFS(Продажи!O$5:O$359,Продажи!$D$5:$D$359,Конструкторы!$B395,Продажи!$C$5:$C$359,Конструкторы!$A395)</f>
        <v>0</v>
      </c>
      <c r="S395" s="166">
        <f>SUMIFS(Продажи!P$5:P$359,Продажи!$D$5:$D$359,Конструкторы!$B395,Продажи!$C$5:$C$359,Конструкторы!$A395)</f>
        <v>0</v>
      </c>
      <c r="T395" s="166">
        <f>SUMIFS(Продажи!Q$5:Q$359,Продажи!$D$5:$D$359,Конструкторы!$B395,Продажи!$C$5:$C$359,Конструкторы!$A395)</f>
        <v>0</v>
      </c>
    </row>
    <row r="396" spans="1:20" ht="15.75" hidden="1" x14ac:dyDescent="0.25">
      <c r="A396" s="166" t="s">
        <v>397</v>
      </c>
      <c r="B396" s="167" t="s">
        <v>272</v>
      </c>
      <c r="C396" s="33" t="s">
        <v>76</v>
      </c>
      <c r="D396" s="149"/>
      <c r="E396" s="153" t="s">
        <v>70</v>
      </c>
      <c r="F396" s="159">
        <v>4</v>
      </c>
      <c r="G396" s="156" t="s">
        <v>71</v>
      </c>
      <c r="H396" s="156">
        <f>F396</f>
        <v>4</v>
      </c>
      <c r="I396" s="166">
        <f>SUMIFS(Продажи!F$5:F$359,Продажи!$D$5:$D$359,Конструкторы!$B396,Продажи!$C$5:$C$359,Конструкторы!$A396)</f>
        <v>0</v>
      </c>
      <c r="J396" s="166">
        <f>SUMIFS(Продажи!G$5:G$359,Продажи!$D$5:$D$359,Конструкторы!$B396,Продажи!$C$5:$C$359,Конструкторы!$A396)</f>
        <v>0</v>
      </c>
      <c r="K396" s="166">
        <f>SUMIFS(Продажи!H$5:H$359,Продажи!$D$5:$D$359,Конструкторы!$B396,Продажи!$C$5:$C$359,Конструкторы!$A396)</f>
        <v>0</v>
      </c>
      <c r="L396" s="166">
        <f>SUMIFS(Продажи!I$5:I$359,Продажи!$D$5:$D$359,Конструкторы!$B396,Продажи!$C$5:$C$359,Конструкторы!$A396)</f>
        <v>0</v>
      </c>
      <c r="M396" s="166">
        <f>SUMIFS(Продажи!J$5:J$359,Продажи!$D$5:$D$359,Конструкторы!$B396,Продажи!$C$5:$C$359,Конструкторы!$A396)</f>
        <v>0</v>
      </c>
      <c r="N396" s="166">
        <f>SUMIFS(Продажи!K$5:K$359,Продажи!$D$5:$D$359,Конструкторы!$B396,Продажи!$C$5:$C$359,Конструкторы!$A396)</f>
        <v>0</v>
      </c>
      <c r="O396" s="166">
        <f>SUMIFS(Продажи!L$5:L$359,Продажи!$D$5:$D$359,Конструкторы!$B396,Продажи!$C$5:$C$359,Конструкторы!$A396)</f>
        <v>0</v>
      </c>
      <c r="P396" s="166">
        <f>SUMIFS(Продажи!M$5:M$359,Продажи!$D$5:$D$359,Конструкторы!$B396,Продажи!$C$5:$C$359,Конструкторы!$A396)</f>
        <v>0</v>
      </c>
      <c r="Q396" s="166">
        <f>SUMIFS(Продажи!N$5:N$359,Продажи!$D$5:$D$359,Конструкторы!$B396,Продажи!$C$5:$C$359,Конструкторы!$A396)</f>
        <v>0</v>
      </c>
      <c r="R396" s="166">
        <f>SUMIFS(Продажи!O$5:O$359,Продажи!$D$5:$D$359,Конструкторы!$B396,Продажи!$C$5:$C$359,Конструкторы!$A396)</f>
        <v>0</v>
      </c>
      <c r="S396" s="166">
        <f>SUMIFS(Продажи!P$5:P$359,Продажи!$D$5:$D$359,Конструкторы!$B396,Продажи!$C$5:$C$359,Конструкторы!$A396)</f>
        <v>0</v>
      </c>
      <c r="T396" s="166">
        <f>SUMIFS(Продажи!Q$5:Q$359,Продажи!$D$5:$D$359,Конструкторы!$B396,Продажи!$C$5:$C$359,Конструкторы!$A396)</f>
        <v>0</v>
      </c>
    </row>
    <row r="397" spans="1:20" ht="15.75" hidden="1" x14ac:dyDescent="0.25">
      <c r="A397" s="166" t="s">
        <v>397</v>
      </c>
      <c r="B397" s="167" t="s">
        <v>273</v>
      </c>
      <c r="C397" s="129" t="s">
        <v>63</v>
      </c>
      <c r="D397" s="149"/>
      <c r="E397" s="153" t="s">
        <v>68</v>
      </c>
      <c r="F397" s="156">
        <f>(0.698*103)/100</f>
        <v>0.71893999999999991</v>
      </c>
      <c r="G397" s="156">
        <v>2.0939999999999959E-2</v>
      </c>
      <c r="H397" s="156">
        <f>F397+G397</f>
        <v>0.73987999999999987</v>
      </c>
      <c r="I397" s="166">
        <f>SUMIFS(Продажи!F$5:F$359,Продажи!$D$5:$D$359,Конструкторы!$B397,Продажи!$C$5:$C$359,Конструкторы!$A397)</f>
        <v>0</v>
      </c>
      <c r="J397" s="166">
        <f>SUMIFS(Продажи!G$5:G$359,Продажи!$D$5:$D$359,Конструкторы!$B397,Продажи!$C$5:$C$359,Конструкторы!$A397)</f>
        <v>0</v>
      </c>
      <c r="K397" s="166">
        <f>SUMIFS(Продажи!H$5:H$359,Продажи!$D$5:$D$359,Конструкторы!$B397,Продажи!$C$5:$C$359,Конструкторы!$A397)</f>
        <v>0</v>
      </c>
      <c r="L397" s="166">
        <f>SUMIFS(Продажи!I$5:I$359,Продажи!$D$5:$D$359,Конструкторы!$B397,Продажи!$C$5:$C$359,Конструкторы!$A397)</f>
        <v>0</v>
      </c>
      <c r="M397" s="166">
        <f>SUMIFS(Продажи!J$5:J$359,Продажи!$D$5:$D$359,Конструкторы!$B397,Продажи!$C$5:$C$359,Конструкторы!$A397)</f>
        <v>0</v>
      </c>
      <c r="N397" s="166">
        <f>SUMIFS(Продажи!K$5:K$359,Продажи!$D$5:$D$359,Конструкторы!$B397,Продажи!$C$5:$C$359,Конструкторы!$A397)</f>
        <v>0</v>
      </c>
      <c r="O397" s="166">
        <f>SUMIFS(Продажи!L$5:L$359,Продажи!$D$5:$D$359,Конструкторы!$B397,Продажи!$C$5:$C$359,Конструкторы!$A397)</f>
        <v>0</v>
      </c>
      <c r="P397" s="166">
        <f>SUMIFS(Продажи!M$5:M$359,Продажи!$D$5:$D$359,Конструкторы!$B397,Продажи!$C$5:$C$359,Конструкторы!$A397)</f>
        <v>0</v>
      </c>
      <c r="Q397" s="166">
        <f>SUMIFS(Продажи!N$5:N$359,Продажи!$D$5:$D$359,Конструкторы!$B397,Продажи!$C$5:$C$359,Конструкторы!$A397)</f>
        <v>0</v>
      </c>
      <c r="R397" s="166">
        <f>SUMIFS(Продажи!O$5:O$359,Продажи!$D$5:$D$359,Конструкторы!$B397,Продажи!$C$5:$C$359,Конструкторы!$A397)</f>
        <v>0</v>
      </c>
      <c r="S397" s="166">
        <f>SUMIFS(Продажи!P$5:P$359,Продажи!$D$5:$D$359,Конструкторы!$B397,Продажи!$C$5:$C$359,Конструкторы!$A397)</f>
        <v>0</v>
      </c>
      <c r="T397" s="166">
        <f>SUMIFS(Продажи!Q$5:Q$359,Продажи!$D$5:$D$359,Конструкторы!$B397,Продажи!$C$5:$C$359,Конструкторы!$A397)</f>
        <v>0</v>
      </c>
    </row>
    <row r="398" spans="1:20" ht="15.75" hidden="1" x14ac:dyDescent="0.25">
      <c r="A398" s="166" t="s">
        <v>397</v>
      </c>
      <c r="B398" s="167" t="s">
        <v>273</v>
      </c>
      <c r="C398" s="33" t="s">
        <v>76</v>
      </c>
      <c r="D398" s="149"/>
      <c r="E398" s="153" t="s">
        <v>70</v>
      </c>
      <c r="F398" s="159">
        <v>4</v>
      </c>
      <c r="G398" s="156" t="s">
        <v>71</v>
      </c>
      <c r="H398" s="156">
        <f>F398</f>
        <v>4</v>
      </c>
      <c r="I398" s="166">
        <f>SUMIFS(Продажи!F$5:F$359,Продажи!$D$5:$D$359,Конструкторы!$B398,Продажи!$C$5:$C$359,Конструкторы!$A398)</f>
        <v>0</v>
      </c>
      <c r="J398" s="166">
        <f>SUMIFS(Продажи!G$5:G$359,Продажи!$D$5:$D$359,Конструкторы!$B398,Продажи!$C$5:$C$359,Конструкторы!$A398)</f>
        <v>0</v>
      </c>
      <c r="K398" s="166">
        <f>SUMIFS(Продажи!H$5:H$359,Продажи!$D$5:$D$359,Конструкторы!$B398,Продажи!$C$5:$C$359,Конструкторы!$A398)</f>
        <v>0</v>
      </c>
      <c r="L398" s="166">
        <f>SUMIFS(Продажи!I$5:I$359,Продажи!$D$5:$D$359,Конструкторы!$B398,Продажи!$C$5:$C$359,Конструкторы!$A398)</f>
        <v>0</v>
      </c>
      <c r="M398" s="166">
        <f>SUMIFS(Продажи!J$5:J$359,Продажи!$D$5:$D$359,Конструкторы!$B398,Продажи!$C$5:$C$359,Конструкторы!$A398)</f>
        <v>0</v>
      </c>
      <c r="N398" s="166">
        <f>SUMIFS(Продажи!K$5:K$359,Продажи!$D$5:$D$359,Конструкторы!$B398,Продажи!$C$5:$C$359,Конструкторы!$A398)</f>
        <v>0</v>
      </c>
      <c r="O398" s="166">
        <f>SUMIFS(Продажи!L$5:L$359,Продажи!$D$5:$D$359,Конструкторы!$B398,Продажи!$C$5:$C$359,Конструкторы!$A398)</f>
        <v>0</v>
      </c>
      <c r="P398" s="166">
        <f>SUMIFS(Продажи!M$5:M$359,Продажи!$D$5:$D$359,Конструкторы!$B398,Продажи!$C$5:$C$359,Конструкторы!$A398)</f>
        <v>0</v>
      </c>
      <c r="Q398" s="166">
        <f>SUMIFS(Продажи!N$5:N$359,Продажи!$D$5:$D$359,Конструкторы!$B398,Продажи!$C$5:$C$359,Конструкторы!$A398)</f>
        <v>0</v>
      </c>
      <c r="R398" s="166">
        <f>SUMIFS(Продажи!O$5:O$359,Продажи!$D$5:$D$359,Конструкторы!$B398,Продажи!$C$5:$C$359,Конструкторы!$A398)</f>
        <v>0</v>
      </c>
      <c r="S398" s="166">
        <f>SUMIFS(Продажи!P$5:P$359,Продажи!$D$5:$D$359,Конструкторы!$B398,Продажи!$C$5:$C$359,Конструкторы!$A398)</f>
        <v>0</v>
      </c>
      <c r="T398" s="166">
        <f>SUMIFS(Продажи!Q$5:Q$359,Продажи!$D$5:$D$359,Конструкторы!$B398,Продажи!$C$5:$C$359,Конструкторы!$A398)</f>
        <v>0</v>
      </c>
    </row>
    <row r="399" spans="1:20" ht="15.75" hidden="1" x14ac:dyDescent="0.25">
      <c r="A399" s="166" t="s">
        <v>397</v>
      </c>
      <c r="B399" s="167" t="s">
        <v>274</v>
      </c>
      <c r="C399" s="129" t="s">
        <v>64</v>
      </c>
      <c r="D399" s="149"/>
      <c r="E399" s="153" t="s">
        <v>68</v>
      </c>
      <c r="F399" s="156">
        <f>(0.896*103)/100</f>
        <v>0.92287999999999992</v>
      </c>
      <c r="G399" s="156">
        <v>2.6879999999999904E-2</v>
      </c>
      <c r="H399" s="156">
        <f>F399+G399</f>
        <v>0.94975999999999983</v>
      </c>
      <c r="I399" s="166">
        <f>SUMIFS(Продажи!F$5:F$359,Продажи!$D$5:$D$359,Конструкторы!$B399,Продажи!$C$5:$C$359,Конструкторы!$A399)</f>
        <v>0</v>
      </c>
      <c r="J399" s="166">
        <f>SUMIFS(Продажи!G$5:G$359,Продажи!$D$5:$D$359,Конструкторы!$B399,Продажи!$C$5:$C$359,Конструкторы!$A399)</f>
        <v>0</v>
      </c>
      <c r="K399" s="166">
        <f>SUMIFS(Продажи!H$5:H$359,Продажи!$D$5:$D$359,Конструкторы!$B399,Продажи!$C$5:$C$359,Конструкторы!$A399)</f>
        <v>0</v>
      </c>
      <c r="L399" s="166">
        <f>SUMIFS(Продажи!I$5:I$359,Продажи!$D$5:$D$359,Конструкторы!$B399,Продажи!$C$5:$C$359,Конструкторы!$A399)</f>
        <v>0</v>
      </c>
      <c r="M399" s="166">
        <f>SUMIFS(Продажи!J$5:J$359,Продажи!$D$5:$D$359,Конструкторы!$B399,Продажи!$C$5:$C$359,Конструкторы!$A399)</f>
        <v>0</v>
      </c>
      <c r="N399" s="166">
        <f>SUMIFS(Продажи!K$5:K$359,Продажи!$D$5:$D$359,Конструкторы!$B399,Продажи!$C$5:$C$359,Конструкторы!$A399)</f>
        <v>0</v>
      </c>
      <c r="O399" s="166">
        <f>SUMIFS(Продажи!L$5:L$359,Продажи!$D$5:$D$359,Конструкторы!$B399,Продажи!$C$5:$C$359,Конструкторы!$A399)</f>
        <v>0</v>
      </c>
      <c r="P399" s="166">
        <f>SUMIFS(Продажи!M$5:M$359,Продажи!$D$5:$D$359,Конструкторы!$B399,Продажи!$C$5:$C$359,Конструкторы!$A399)</f>
        <v>0</v>
      </c>
      <c r="Q399" s="166">
        <f>SUMIFS(Продажи!N$5:N$359,Продажи!$D$5:$D$359,Конструкторы!$B399,Продажи!$C$5:$C$359,Конструкторы!$A399)</f>
        <v>0</v>
      </c>
      <c r="R399" s="166">
        <f>SUMIFS(Продажи!O$5:O$359,Продажи!$D$5:$D$359,Конструкторы!$B399,Продажи!$C$5:$C$359,Конструкторы!$A399)</f>
        <v>0</v>
      </c>
      <c r="S399" s="166">
        <f>SUMIFS(Продажи!P$5:P$359,Продажи!$D$5:$D$359,Конструкторы!$B399,Продажи!$C$5:$C$359,Конструкторы!$A399)</f>
        <v>0</v>
      </c>
      <c r="T399" s="166">
        <f>SUMIFS(Продажи!Q$5:Q$359,Продажи!$D$5:$D$359,Конструкторы!$B399,Продажи!$C$5:$C$359,Конструкторы!$A399)</f>
        <v>0</v>
      </c>
    </row>
    <row r="400" spans="1:20" ht="15.75" hidden="1" x14ac:dyDescent="0.25">
      <c r="A400" s="166" t="s">
        <v>397</v>
      </c>
      <c r="B400" s="167" t="s">
        <v>274</v>
      </c>
      <c r="C400" s="33" t="s">
        <v>76</v>
      </c>
      <c r="D400" s="149"/>
      <c r="E400" s="153" t="s">
        <v>70</v>
      </c>
      <c r="F400" s="159">
        <v>4</v>
      </c>
      <c r="G400" s="156" t="s">
        <v>71</v>
      </c>
      <c r="H400" s="156">
        <f>F400</f>
        <v>4</v>
      </c>
      <c r="I400" s="166">
        <f>SUMIFS(Продажи!F$5:F$359,Продажи!$D$5:$D$359,Конструкторы!$B400,Продажи!$C$5:$C$359,Конструкторы!$A400)</f>
        <v>0</v>
      </c>
      <c r="J400" s="166">
        <f>SUMIFS(Продажи!G$5:G$359,Продажи!$D$5:$D$359,Конструкторы!$B400,Продажи!$C$5:$C$359,Конструкторы!$A400)</f>
        <v>0</v>
      </c>
      <c r="K400" s="166">
        <f>SUMIFS(Продажи!H$5:H$359,Продажи!$D$5:$D$359,Конструкторы!$B400,Продажи!$C$5:$C$359,Конструкторы!$A400)</f>
        <v>0</v>
      </c>
      <c r="L400" s="166">
        <f>SUMIFS(Продажи!I$5:I$359,Продажи!$D$5:$D$359,Конструкторы!$B400,Продажи!$C$5:$C$359,Конструкторы!$A400)</f>
        <v>0</v>
      </c>
      <c r="M400" s="166">
        <f>SUMIFS(Продажи!J$5:J$359,Продажи!$D$5:$D$359,Конструкторы!$B400,Продажи!$C$5:$C$359,Конструкторы!$A400)</f>
        <v>0</v>
      </c>
      <c r="N400" s="166">
        <f>SUMIFS(Продажи!K$5:K$359,Продажи!$D$5:$D$359,Конструкторы!$B400,Продажи!$C$5:$C$359,Конструкторы!$A400)</f>
        <v>0</v>
      </c>
      <c r="O400" s="166">
        <f>SUMIFS(Продажи!L$5:L$359,Продажи!$D$5:$D$359,Конструкторы!$B400,Продажи!$C$5:$C$359,Конструкторы!$A400)</f>
        <v>0</v>
      </c>
      <c r="P400" s="166">
        <f>SUMIFS(Продажи!M$5:M$359,Продажи!$D$5:$D$359,Конструкторы!$B400,Продажи!$C$5:$C$359,Конструкторы!$A400)</f>
        <v>0</v>
      </c>
      <c r="Q400" s="166">
        <f>SUMIFS(Продажи!N$5:N$359,Продажи!$D$5:$D$359,Конструкторы!$B400,Продажи!$C$5:$C$359,Конструкторы!$A400)</f>
        <v>0</v>
      </c>
      <c r="R400" s="166">
        <f>SUMIFS(Продажи!O$5:O$359,Продажи!$D$5:$D$359,Конструкторы!$B400,Продажи!$C$5:$C$359,Конструкторы!$A400)</f>
        <v>0</v>
      </c>
      <c r="S400" s="166">
        <f>SUMIFS(Продажи!P$5:P$359,Продажи!$D$5:$D$359,Конструкторы!$B400,Продажи!$C$5:$C$359,Конструкторы!$A400)</f>
        <v>0</v>
      </c>
      <c r="T400" s="166">
        <f>SUMIFS(Продажи!Q$5:Q$359,Продажи!$D$5:$D$359,Конструкторы!$B400,Продажи!$C$5:$C$359,Конструкторы!$A400)</f>
        <v>0</v>
      </c>
    </row>
    <row r="401" spans="1:20" ht="15.75" hidden="1" x14ac:dyDescent="0.25">
      <c r="A401" s="166" t="s">
        <v>397</v>
      </c>
      <c r="B401" s="167" t="s">
        <v>342</v>
      </c>
      <c r="C401" s="129" t="s">
        <v>60</v>
      </c>
      <c r="D401" s="149"/>
      <c r="E401" s="153" t="s">
        <v>68</v>
      </c>
      <c r="F401" s="156">
        <f>(0.301*103)/100</f>
        <v>0.31003000000000003</v>
      </c>
      <c r="G401" s="156">
        <v>9.030000000000038E-3</v>
      </c>
      <c r="H401" s="156">
        <f>F401+G401</f>
        <v>0.31906000000000007</v>
      </c>
      <c r="I401" s="166">
        <f>SUMIFS(Продажи!F$5:F$359,Продажи!$D$5:$D$359,Конструкторы!$B401,Продажи!$C$5:$C$359,Конструкторы!$A401)</f>
        <v>0</v>
      </c>
      <c r="J401" s="166">
        <f>SUMIFS(Продажи!G$5:G$359,Продажи!$D$5:$D$359,Конструкторы!$B401,Продажи!$C$5:$C$359,Конструкторы!$A401)</f>
        <v>0</v>
      </c>
      <c r="K401" s="166">
        <f>SUMIFS(Продажи!H$5:H$359,Продажи!$D$5:$D$359,Конструкторы!$B401,Продажи!$C$5:$C$359,Конструкторы!$A401)</f>
        <v>0</v>
      </c>
      <c r="L401" s="166">
        <f>SUMIFS(Продажи!I$5:I$359,Продажи!$D$5:$D$359,Конструкторы!$B401,Продажи!$C$5:$C$359,Конструкторы!$A401)</f>
        <v>0</v>
      </c>
      <c r="M401" s="166">
        <f>SUMIFS(Продажи!J$5:J$359,Продажи!$D$5:$D$359,Конструкторы!$B401,Продажи!$C$5:$C$359,Конструкторы!$A401)</f>
        <v>0</v>
      </c>
      <c r="N401" s="166">
        <f>SUMIFS(Продажи!K$5:K$359,Продажи!$D$5:$D$359,Конструкторы!$B401,Продажи!$C$5:$C$359,Конструкторы!$A401)</f>
        <v>0</v>
      </c>
      <c r="O401" s="166">
        <f>SUMIFS(Продажи!L$5:L$359,Продажи!$D$5:$D$359,Конструкторы!$B401,Продажи!$C$5:$C$359,Конструкторы!$A401)</f>
        <v>0</v>
      </c>
      <c r="P401" s="166">
        <f>SUMIFS(Продажи!M$5:M$359,Продажи!$D$5:$D$359,Конструкторы!$B401,Продажи!$C$5:$C$359,Конструкторы!$A401)</f>
        <v>0</v>
      </c>
      <c r="Q401" s="166">
        <f>SUMIFS(Продажи!N$5:N$359,Продажи!$D$5:$D$359,Конструкторы!$B401,Продажи!$C$5:$C$359,Конструкторы!$A401)</f>
        <v>0</v>
      </c>
      <c r="R401" s="166">
        <f>SUMIFS(Продажи!O$5:O$359,Продажи!$D$5:$D$359,Конструкторы!$B401,Продажи!$C$5:$C$359,Конструкторы!$A401)</f>
        <v>0</v>
      </c>
      <c r="S401" s="166">
        <f>SUMIFS(Продажи!P$5:P$359,Продажи!$D$5:$D$359,Конструкторы!$B401,Продажи!$C$5:$C$359,Конструкторы!$A401)</f>
        <v>0</v>
      </c>
      <c r="T401" s="166">
        <f>SUMIFS(Продажи!Q$5:Q$359,Продажи!$D$5:$D$359,Конструкторы!$B401,Продажи!$C$5:$C$359,Конструкторы!$A401)</f>
        <v>0</v>
      </c>
    </row>
    <row r="402" spans="1:20" ht="15.75" hidden="1" x14ac:dyDescent="0.25">
      <c r="A402" s="166" t="s">
        <v>397</v>
      </c>
      <c r="B402" s="167" t="s">
        <v>342</v>
      </c>
      <c r="C402" s="33" t="s">
        <v>87</v>
      </c>
      <c r="D402" s="149"/>
      <c r="E402" s="153" t="s">
        <v>70</v>
      </c>
      <c r="F402" s="148">
        <v>4</v>
      </c>
      <c r="G402" s="156" t="s">
        <v>71</v>
      </c>
      <c r="H402" s="156">
        <f>F402</f>
        <v>4</v>
      </c>
      <c r="I402" s="166">
        <f>SUMIFS(Продажи!F$5:F$359,Продажи!$D$5:$D$359,Конструкторы!$B402,Продажи!$C$5:$C$359,Конструкторы!$A402)</f>
        <v>0</v>
      </c>
      <c r="J402" s="166">
        <f>SUMIFS(Продажи!G$5:G$359,Продажи!$D$5:$D$359,Конструкторы!$B402,Продажи!$C$5:$C$359,Конструкторы!$A402)</f>
        <v>0</v>
      </c>
      <c r="K402" s="166">
        <f>SUMIFS(Продажи!H$5:H$359,Продажи!$D$5:$D$359,Конструкторы!$B402,Продажи!$C$5:$C$359,Конструкторы!$A402)</f>
        <v>0</v>
      </c>
      <c r="L402" s="166">
        <f>SUMIFS(Продажи!I$5:I$359,Продажи!$D$5:$D$359,Конструкторы!$B402,Продажи!$C$5:$C$359,Конструкторы!$A402)</f>
        <v>0</v>
      </c>
      <c r="M402" s="166">
        <f>SUMIFS(Продажи!J$5:J$359,Продажи!$D$5:$D$359,Конструкторы!$B402,Продажи!$C$5:$C$359,Конструкторы!$A402)</f>
        <v>0</v>
      </c>
      <c r="N402" s="166">
        <f>SUMIFS(Продажи!K$5:K$359,Продажи!$D$5:$D$359,Конструкторы!$B402,Продажи!$C$5:$C$359,Конструкторы!$A402)</f>
        <v>0</v>
      </c>
      <c r="O402" s="166">
        <f>SUMIFS(Продажи!L$5:L$359,Продажи!$D$5:$D$359,Конструкторы!$B402,Продажи!$C$5:$C$359,Конструкторы!$A402)</f>
        <v>0</v>
      </c>
      <c r="P402" s="166">
        <f>SUMIFS(Продажи!M$5:M$359,Продажи!$D$5:$D$359,Конструкторы!$B402,Продажи!$C$5:$C$359,Конструкторы!$A402)</f>
        <v>0</v>
      </c>
      <c r="Q402" s="166">
        <f>SUMIFS(Продажи!N$5:N$359,Продажи!$D$5:$D$359,Конструкторы!$B402,Продажи!$C$5:$C$359,Конструкторы!$A402)</f>
        <v>0</v>
      </c>
      <c r="R402" s="166">
        <f>SUMIFS(Продажи!O$5:O$359,Продажи!$D$5:$D$359,Конструкторы!$B402,Продажи!$C$5:$C$359,Конструкторы!$A402)</f>
        <v>0</v>
      </c>
      <c r="S402" s="166">
        <f>SUMIFS(Продажи!P$5:P$359,Продажи!$D$5:$D$359,Конструкторы!$B402,Продажи!$C$5:$C$359,Конструкторы!$A402)</f>
        <v>0</v>
      </c>
      <c r="T402" s="166">
        <f>SUMIFS(Продажи!Q$5:Q$359,Продажи!$D$5:$D$359,Конструкторы!$B402,Продажи!$C$5:$C$359,Конструкторы!$A402)</f>
        <v>0</v>
      </c>
    </row>
    <row r="403" spans="1:20" ht="15.75" hidden="1" x14ac:dyDescent="0.25">
      <c r="A403" s="166" t="s">
        <v>397</v>
      </c>
      <c r="B403" s="167" t="s">
        <v>343</v>
      </c>
      <c r="C403" s="129" t="s">
        <v>61</v>
      </c>
      <c r="D403" s="149"/>
      <c r="E403" s="153" t="s">
        <v>68</v>
      </c>
      <c r="F403" s="156">
        <f>(0.301*103)/100</f>
        <v>0.31003000000000003</v>
      </c>
      <c r="G403" s="156">
        <v>9.030000000000038E-3</v>
      </c>
      <c r="H403" s="156">
        <f>F403+G403</f>
        <v>0.31906000000000007</v>
      </c>
      <c r="I403" s="166">
        <f>SUMIFS(Продажи!F$5:F$359,Продажи!$D$5:$D$359,Конструкторы!$B403,Продажи!$C$5:$C$359,Конструкторы!$A403)</f>
        <v>0</v>
      </c>
      <c r="J403" s="166">
        <f>SUMIFS(Продажи!G$5:G$359,Продажи!$D$5:$D$359,Конструкторы!$B403,Продажи!$C$5:$C$359,Конструкторы!$A403)</f>
        <v>0</v>
      </c>
      <c r="K403" s="166">
        <f>SUMIFS(Продажи!H$5:H$359,Продажи!$D$5:$D$359,Конструкторы!$B403,Продажи!$C$5:$C$359,Конструкторы!$A403)</f>
        <v>0</v>
      </c>
      <c r="L403" s="166">
        <f>SUMIFS(Продажи!I$5:I$359,Продажи!$D$5:$D$359,Конструкторы!$B403,Продажи!$C$5:$C$359,Конструкторы!$A403)</f>
        <v>0</v>
      </c>
      <c r="M403" s="166">
        <f>SUMIFS(Продажи!J$5:J$359,Продажи!$D$5:$D$359,Конструкторы!$B403,Продажи!$C$5:$C$359,Конструкторы!$A403)</f>
        <v>0</v>
      </c>
      <c r="N403" s="166">
        <f>SUMIFS(Продажи!K$5:K$359,Продажи!$D$5:$D$359,Конструкторы!$B403,Продажи!$C$5:$C$359,Конструкторы!$A403)</f>
        <v>0</v>
      </c>
      <c r="O403" s="166">
        <f>SUMIFS(Продажи!L$5:L$359,Продажи!$D$5:$D$359,Конструкторы!$B403,Продажи!$C$5:$C$359,Конструкторы!$A403)</f>
        <v>0</v>
      </c>
      <c r="P403" s="166">
        <f>SUMIFS(Продажи!M$5:M$359,Продажи!$D$5:$D$359,Конструкторы!$B403,Продажи!$C$5:$C$359,Конструкторы!$A403)</f>
        <v>0</v>
      </c>
      <c r="Q403" s="166">
        <f>SUMIFS(Продажи!N$5:N$359,Продажи!$D$5:$D$359,Конструкторы!$B403,Продажи!$C$5:$C$359,Конструкторы!$A403)</f>
        <v>0</v>
      </c>
      <c r="R403" s="166">
        <f>SUMIFS(Продажи!O$5:O$359,Продажи!$D$5:$D$359,Конструкторы!$B403,Продажи!$C$5:$C$359,Конструкторы!$A403)</f>
        <v>0</v>
      </c>
      <c r="S403" s="166">
        <f>SUMIFS(Продажи!P$5:P$359,Продажи!$D$5:$D$359,Конструкторы!$B403,Продажи!$C$5:$C$359,Конструкторы!$A403)</f>
        <v>0</v>
      </c>
      <c r="T403" s="166">
        <f>SUMIFS(Продажи!Q$5:Q$359,Продажи!$D$5:$D$359,Конструкторы!$B403,Продажи!$C$5:$C$359,Конструкторы!$A403)</f>
        <v>0</v>
      </c>
    </row>
    <row r="404" spans="1:20" ht="15.75" hidden="1" x14ac:dyDescent="0.25">
      <c r="A404" s="166" t="s">
        <v>397</v>
      </c>
      <c r="B404" s="167" t="s">
        <v>343</v>
      </c>
      <c r="C404" s="33" t="s">
        <v>87</v>
      </c>
      <c r="D404" s="149"/>
      <c r="E404" s="153" t="s">
        <v>70</v>
      </c>
      <c r="F404" s="148">
        <v>4</v>
      </c>
      <c r="G404" s="156" t="s">
        <v>71</v>
      </c>
      <c r="H404" s="156">
        <f>F404</f>
        <v>4</v>
      </c>
      <c r="I404" s="166">
        <f>SUMIFS(Продажи!F$5:F$359,Продажи!$D$5:$D$359,Конструкторы!$B404,Продажи!$C$5:$C$359,Конструкторы!$A404)</f>
        <v>0</v>
      </c>
      <c r="J404" s="166">
        <f>SUMIFS(Продажи!G$5:G$359,Продажи!$D$5:$D$359,Конструкторы!$B404,Продажи!$C$5:$C$359,Конструкторы!$A404)</f>
        <v>0</v>
      </c>
      <c r="K404" s="166">
        <f>SUMIFS(Продажи!H$5:H$359,Продажи!$D$5:$D$359,Конструкторы!$B404,Продажи!$C$5:$C$359,Конструкторы!$A404)</f>
        <v>0</v>
      </c>
      <c r="L404" s="166">
        <f>SUMIFS(Продажи!I$5:I$359,Продажи!$D$5:$D$359,Конструкторы!$B404,Продажи!$C$5:$C$359,Конструкторы!$A404)</f>
        <v>0</v>
      </c>
      <c r="M404" s="166">
        <f>SUMIFS(Продажи!J$5:J$359,Продажи!$D$5:$D$359,Конструкторы!$B404,Продажи!$C$5:$C$359,Конструкторы!$A404)</f>
        <v>0</v>
      </c>
      <c r="N404" s="166">
        <f>SUMIFS(Продажи!K$5:K$359,Продажи!$D$5:$D$359,Конструкторы!$B404,Продажи!$C$5:$C$359,Конструкторы!$A404)</f>
        <v>0</v>
      </c>
      <c r="O404" s="166">
        <f>SUMIFS(Продажи!L$5:L$359,Продажи!$D$5:$D$359,Конструкторы!$B404,Продажи!$C$5:$C$359,Конструкторы!$A404)</f>
        <v>0</v>
      </c>
      <c r="P404" s="166">
        <f>SUMIFS(Продажи!M$5:M$359,Продажи!$D$5:$D$359,Конструкторы!$B404,Продажи!$C$5:$C$359,Конструкторы!$A404)</f>
        <v>0</v>
      </c>
      <c r="Q404" s="166">
        <f>SUMIFS(Продажи!N$5:N$359,Продажи!$D$5:$D$359,Конструкторы!$B404,Продажи!$C$5:$C$359,Конструкторы!$A404)</f>
        <v>0</v>
      </c>
      <c r="R404" s="166">
        <f>SUMIFS(Продажи!O$5:O$359,Продажи!$D$5:$D$359,Конструкторы!$B404,Продажи!$C$5:$C$359,Конструкторы!$A404)</f>
        <v>0</v>
      </c>
      <c r="S404" s="166">
        <f>SUMIFS(Продажи!P$5:P$359,Продажи!$D$5:$D$359,Конструкторы!$B404,Продажи!$C$5:$C$359,Конструкторы!$A404)</f>
        <v>0</v>
      </c>
      <c r="T404" s="166">
        <f>SUMIFS(Продажи!Q$5:Q$359,Продажи!$D$5:$D$359,Конструкторы!$B404,Продажи!$C$5:$C$359,Конструкторы!$A404)</f>
        <v>0</v>
      </c>
    </row>
    <row r="405" spans="1:20" ht="15.75" hidden="1" x14ac:dyDescent="0.25">
      <c r="A405" s="166" t="s">
        <v>397</v>
      </c>
      <c r="B405" s="167" t="s">
        <v>344</v>
      </c>
      <c r="C405" s="129" t="s">
        <v>62</v>
      </c>
      <c r="D405" s="149"/>
      <c r="E405" s="153" t="s">
        <v>68</v>
      </c>
      <c r="F405" s="156">
        <f>(0.301*103)/100</f>
        <v>0.31003000000000003</v>
      </c>
      <c r="G405" s="156">
        <v>9.030000000000038E-3</v>
      </c>
      <c r="H405" s="156">
        <f>F405+G405</f>
        <v>0.31906000000000007</v>
      </c>
      <c r="I405" s="166">
        <f>SUMIFS(Продажи!F$5:F$359,Продажи!$D$5:$D$359,Конструкторы!$B405,Продажи!$C$5:$C$359,Конструкторы!$A405)</f>
        <v>0</v>
      </c>
      <c r="J405" s="166">
        <f>SUMIFS(Продажи!G$5:G$359,Продажи!$D$5:$D$359,Конструкторы!$B405,Продажи!$C$5:$C$359,Конструкторы!$A405)</f>
        <v>0</v>
      </c>
      <c r="K405" s="166">
        <f>SUMIFS(Продажи!H$5:H$359,Продажи!$D$5:$D$359,Конструкторы!$B405,Продажи!$C$5:$C$359,Конструкторы!$A405)</f>
        <v>0</v>
      </c>
      <c r="L405" s="166">
        <f>SUMIFS(Продажи!I$5:I$359,Продажи!$D$5:$D$359,Конструкторы!$B405,Продажи!$C$5:$C$359,Конструкторы!$A405)</f>
        <v>0</v>
      </c>
      <c r="M405" s="166">
        <f>SUMIFS(Продажи!J$5:J$359,Продажи!$D$5:$D$359,Конструкторы!$B405,Продажи!$C$5:$C$359,Конструкторы!$A405)</f>
        <v>0</v>
      </c>
      <c r="N405" s="166">
        <f>SUMIFS(Продажи!K$5:K$359,Продажи!$D$5:$D$359,Конструкторы!$B405,Продажи!$C$5:$C$359,Конструкторы!$A405)</f>
        <v>0</v>
      </c>
      <c r="O405" s="166">
        <f>SUMIFS(Продажи!L$5:L$359,Продажи!$D$5:$D$359,Конструкторы!$B405,Продажи!$C$5:$C$359,Конструкторы!$A405)</f>
        <v>0</v>
      </c>
      <c r="P405" s="166">
        <f>SUMIFS(Продажи!M$5:M$359,Продажи!$D$5:$D$359,Конструкторы!$B405,Продажи!$C$5:$C$359,Конструкторы!$A405)</f>
        <v>0</v>
      </c>
      <c r="Q405" s="166">
        <f>SUMIFS(Продажи!N$5:N$359,Продажи!$D$5:$D$359,Конструкторы!$B405,Продажи!$C$5:$C$359,Конструкторы!$A405)</f>
        <v>0</v>
      </c>
      <c r="R405" s="166">
        <f>SUMIFS(Продажи!O$5:O$359,Продажи!$D$5:$D$359,Конструкторы!$B405,Продажи!$C$5:$C$359,Конструкторы!$A405)</f>
        <v>0</v>
      </c>
      <c r="S405" s="166">
        <f>SUMIFS(Продажи!P$5:P$359,Продажи!$D$5:$D$359,Конструкторы!$B405,Продажи!$C$5:$C$359,Конструкторы!$A405)</f>
        <v>0</v>
      </c>
      <c r="T405" s="166">
        <f>SUMIFS(Продажи!Q$5:Q$359,Продажи!$D$5:$D$359,Конструкторы!$B405,Продажи!$C$5:$C$359,Конструкторы!$A405)</f>
        <v>0</v>
      </c>
    </row>
    <row r="406" spans="1:20" ht="15.75" hidden="1" x14ac:dyDescent="0.25">
      <c r="A406" s="166" t="s">
        <v>397</v>
      </c>
      <c r="B406" s="167" t="s">
        <v>344</v>
      </c>
      <c r="C406" s="33" t="s">
        <v>87</v>
      </c>
      <c r="D406" s="149"/>
      <c r="E406" s="153" t="s">
        <v>70</v>
      </c>
      <c r="F406" s="148">
        <v>4</v>
      </c>
      <c r="G406" s="156" t="s">
        <v>71</v>
      </c>
      <c r="H406" s="156">
        <f>F406</f>
        <v>4</v>
      </c>
      <c r="I406" s="166">
        <f>SUMIFS(Продажи!F$5:F$359,Продажи!$D$5:$D$359,Конструкторы!$B406,Продажи!$C$5:$C$359,Конструкторы!$A406)</f>
        <v>0</v>
      </c>
      <c r="J406" s="166">
        <f>SUMIFS(Продажи!G$5:G$359,Продажи!$D$5:$D$359,Конструкторы!$B406,Продажи!$C$5:$C$359,Конструкторы!$A406)</f>
        <v>0</v>
      </c>
      <c r="K406" s="166">
        <f>SUMIFS(Продажи!H$5:H$359,Продажи!$D$5:$D$359,Конструкторы!$B406,Продажи!$C$5:$C$359,Конструкторы!$A406)</f>
        <v>0</v>
      </c>
      <c r="L406" s="166">
        <f>SUMIFS(Продажи!I$5:I$359,Продажи!$D$5:$D$359,Конструкторы!$B406,Продажи!$C$5:$C$359,Конструкторы!$A406)</f>
        <v>0</v>
      </c>
      <c r="M406" s="166">
        <f>SUMIFS(Продажи!J$5:J$359,Продажи!$D$5:$D$359,Конструкторы!$B406,Продажи!$C$5:$C$359,Конструкторы!$A406)</f>
        <v>0</v>
      </c>
      <c r="N406" s="166">
        <f>SUMIFS(Продажи!K$5:K$359,Продажи!$D$5:$D$359,Конструкторы!$B406,Продажи!$C$5:$C$359,Конструкторы!$A406)</f>
        <v>0</v>
      </c>
      <c r="O406" s="166">
        <f>SUMIFS(Продажи!L$5:L$359,Продажи!$D$5:$D$359,Конструкторы!$B406,Продажи!$C$5:$C$359,Конструкторы!$A406)</f>
        <v>0</v>
      </c>
      <c r="P406" s="166">
        <f>SUMIFS(Продажи!M$5:M$359,Продажи!$D$5:$D$359,Конструкторы!$B406,Продажи!$C$5:$C$359,Конструкторы!$A406)</f>
        <v>0</v>
      </c>
      <c r="Q406" s="166">
        <f>SUMIFS(Продажи!N$5:N$359,Продажи!$D$5:$D$359,Конструкторы!$B406,Продажи!$C$5:$C$359,Конструкторы!$A406)</f>
        <v>0</v>
      </c>
      <c r="R406" s="166">
        <f>SUMIFS(Продажи!O$5:O$359,Продажи!$D$5:$D$359,Конструкторы!$B406,Продажи!$C$5:$C$359,Конструкторы!$A406)</f>
        <v>0</v>
      </c>
      <c r="S406" s="166">
        <f>SUMIFS(Продажи!P$5:P$359,Продажи!$D$5:$D$359,Конструкторы!$B406,Продажи!$C$5:$C$359,Конструкторы!$A406)</f>
        <v>0</v>
      </c>
      <c r="T406" s="166">
        <f>SUMIFS(Продажи!Q$5:Q$359,Продажи!$D$5:$D$359,Конструкторы!$B406,Продажи!$C$5:$C$359,Конструкторы!$A406)</f>
        <v>0</v>
      </c>
    </row>
    <row r="407" spans="1:20" ht="15.75" hidden="1" x14ac:dyDescent="0.25">
      <c r="A407" s="166" t="s">
        <v>397</v>
      </c>
      <c r="B407" s="167" t="s">
        <v>345</v>
      </c>
      <c r="C407" s="129" t="s">
        <v>63</v>
      </c>
      <c r="D407" s="149"/>
      <c r="E407" s="153" t="s">
        <v>68</v>
      </c>
      <c r="F407" s="156">
        <f>(0.351*103)/100</f>
        <v>0.36152999999999996</v>
      </c>
      <c r="G407" s="156">
        <v>1.0529999999999984E-2</v>
      </c>
      <c r="H407" s="156">
        <f>F407+G407</f>
        <v>0.37205999999999995</v>
      </c>
      <c r="I407" s="166">
        <f>SUMIFS(Продажи!F$5:F$359,Продажи!$D$5:$D$359,Конструкторы!$B407,Продажи!$C$5:$C$359,Конструкторы!$A407)</f>
        <v>0</v>
      </c>
      <c r="J407" s="166">
        <f>SUMIFS(Продажи!G$5:G$359,Продажи!$D$5:$D$359,Конструкторы!$B407,Продажи!$C$5:$C$359,Конструкторы!$A407)</f>
        <v>0</v>
      </c>
      <c r="K407" s="166">
        <f>SUMIFS(Продажи!H$5:H$359,Продажи!$D$5:$D$359,Конструкторы!$B407,Продажи!$C$5:$C$359,Конструкторы!$A407)</f>
        <v>0</v>
      </c>
      <c r="L407" s="166">
        <f>SUMIFS(Продажи!I$5:I$359,Продажи!$D$5:$D$359,Конструкторы!$B407,Продажи!$C$5:$C$359,Конструкторы!$A407)</f>
        <v>0</v>
      </c>
      <c r="M407" s="166">
        <f>SUMIFS(Продажи!J$5:J$359,Продажи!$D$5:$D$359,Конструкторы!$B407,Продажи!$C$5:$C$359,Конструкторы!$A407)</f>
        <v>0</v>
      </c>
      <c r="N407" s="166">
        <f>SUMIFS(Продажи!K$5:K$359,Продажи!$D$5:$D$359,Конструкторы!$B407,Продажи!$C$5:$C$359,Конструкторы!$A407)</f>
        <v>0</v>
      </c>
      <c r="O407" s="166">
        <f>SUMIFS(Продажи!L$5:L$359,Продажи!$D$5:$D$359,Конструкторы!$B407,Продажи!$C$5:$C$359,Конструкторы!$A407)</f>
        <v>0</v>
      </c>
      <c r="P407" s="166">
        <f>SUMIFS(Продажи!M$5:M$359,Продажи!$D$5:$D$359,Конструкторы!$B407,Продажи!$C$5:$C$359,Конструкторы!$A407)</f>
        <v>0</v>
      </c>
      <c r="Q407" s="166">
        <f>SUMIFS(Продажи!N$5:N$359,Продажи!$D$5:$D$359,Конструкторы!$B407,Продажи!$C$5:$C$359,Конструкторы!$A407)</f>
        <v>0</v>
      </c>
      <c r="R407" s="166">
        <f>SUMIFS(Продажи!O$5:O$359,Продажи!$D$5:$D$359,Конструкторы!$B407,Продажи!$C$5:$C$359,Конструкторы!$A407)</f>
        <v>0</v>
      </c>
      <c r="S407" s="166">
        <f>SUMIFS(Продажи!P$5:P$359,Продажи!$D$5:$D$359,Конструкторы!$B407,Продажи!$C$5:$C$359,Конструкторы!$A407)</f>
        <v>0</v>
      </c>
      <c r="T407" s="166">
        <f>SUMIFS(Продажи!Q$5:Q$359,Продажи!$D$5:$D$359,Конструкторы!$B407,Продажи!$C$5:$C$359,Конструкторы!$A407)</f>
        <v>0</v>
      </c>
    </row>
    <row r="408" spans="1:20" ht="15.75" hidden="1" x14ac:dyDescent="0.25">
      <c r="A408" s="166" t="s">
        <v>397</v>
      </c>
      <c r="B408" s="167" t="s">
        <v>345</v>
      </c>
      <c r="C408" s="33" t="s">
        <v>87</v>
      </c>
      <c r="D408" s="149"/>
      <c r="E408" s="153" t="s">
        <v>70</v>
      </c>
      <c r="F408" s="148">
        <v>4</v>
      </c>
      <c r="G408" s="156" t="s">
        <v>71</v>
      </c>
      <c r="H408" s="156">
        <f>F408</f>
        <v>4</v>
      </c>
      <c r="I408" s="166">
        <f>SUMIFS(Продажи!F$5:F$359,Продажи!$D$5:$D$359,Конструкторы!$B408,Продажи!$C$5:$C$359,Конструкторы!$A408)</f>
        <v>0</v>
      </c>
      <c r="J408" s="166">
        <f>SUMIFS(Продажи!G$5:G$359,Продажи!$D$5:$D$359,Конструкторы!$B408,Продажи!$C$5:$C$359,Конструкторы!$A408)</f>
        <v>0</v>
      </c>
      <c r="K408" s="166">
        <f>SUMIFS(Продажи!H$5:H$359,Продажи!$D$5:$D$359,Конструкторы!$B408,Продажи!$C$5:$C$359,Конструкторы!$A408)</f>
        <v>0</v>
      </c>
      <c r="L408" s="166">
        <f>SUMIFS(Продажи!I$5:I$359,Продажи!$D$5:$D$359,Конструкторы!$B408,Продажи!$C$5:$C$359,Конструкторы!$A408)</f>
        <v>0</v>
      </c>
      <c r="M408" s="166">
        <f>SUMIFS(Продажи!J$5:J$359,Продажи!$D$5:$D$359,Конструкторы!$B408,Продажи!$C$5:$C$359,Конструкторы!$A408)</f>
        <v>0</v>
      </c>
      <c r="N408" s="166">
        <f>SUMIFS(Продажи!K$5:K$359,Продажи!$D$5:$D$359,Конструкторы!$B408,Продажи!$C$5:$C$359,Конструкторы!$A408)</f>
        <v>0</v>
      </c>
      <c r="O408" s="166">
        <f>SUMIFS(Продажи!L$5:L$359,Продажи!$D$5:$D$359,Конструкторы!$B408,Продажи!$C$5:$C$359,Конструкторы!$A408)</f>
        <v>0</v>
      </c>
      <c r="P408" s="166">
        <f>SUMIFS(Продажи!M$5:M$359,Продажи!$D$5:$D$359,Конструкторы!$B408,Продажи!$C$5:$C$359,Конструкторы!$A408)</f>
        <v>0</v>
      </c>
      <c r="Q408" s="166">
        <f>SUMIFS(Продажи!N$5:N$359,Продажи!$D$5:$D$359,Конструкторы!$B408,Продажи!$C$5:$C$359,Конструкторы!$A408)</f>
        <v>0</v>
      </c>
      <c r="R408" s="166">
        <f>SUMIFS(Продажи!O$5:O$359,Продажи!$D$5:$D$359,Конструкторы!$B408,Продажи!$C$5:$C$359,Конструкторы!$A408)</f>
        <v>0</v>
      </c>
      <c r="S408" s="166">
        <f>SUMIFS(Продажи!P$5:P$359,Продажи!$D$5:$D$359,Конструкторы!$B408,Продажи!$C$5:$C$359,Конструкторы!$A408)</f>
        <v>0</v>
      </c>
      <c r="T408" s="166">
        <f>SUMIFS(Продажи!Q$5:Q$359,Продажи!$D$5:$D$359,Конструкторы!$B408,Продажи!$C$5:$C$359,Конструкторы!$A408)</f>
        <v>0</v>
      </c>
    </row>
    <row r="409" spans="1:20" ht="15.75" hidden="1" x14ac:dyDescent="0.25">
      <c r="A409" s="166" t="s">
        <v>397</v>
      </c>
      <c r="B409" s="167" t="s">
        <v>266</v>
      </c>
      <c r="C409" s="129" t="s">
        <v>60</v>
      </c>
      <c r="D409" s="149"/>
      <c r="E409" s="153" t="s">
        <v>68</v>
      </c>
      <c r="F409" s="156">
        <f>(1.001*103)/100</f>
        <v>1.0310299999999999</v>
      </c>
      <c r="G409" s="156">
        <v>3.0030000000000001E-2</v>
      </c>
      <c r="H409" s="156">
        <f>F409+G409</f>
        <v>1.0610599999999999</v>
      </c>
      <c r="I409" s="166">
        <f>SUMIFS(Продажи!F$5:F$359,Продажи!$D$5:$D$359,Конструкторы!$B409,Продажи!$C$5:$C$359,Конструкторы!$A409)</f>
        <v>0</v>
      </c>
      <c r="J409" s="166">
        <f>SUMIFS(Продажи!G$5:G$359,Продажи!$D$5:$D$359,Конструкторы!$B409,Продажи!$C$5:$C$359,Конструкторы!$A409)</f>
        <v>0</v>
      </c>
      <c r="K409" s="166">
        <f>SUMIFS(Продажи!H$5:H$359,Продажи!$D$5:$D$359,Конструкторы!$B409,Продажи!$C$5:$C$359,Конструкторы!$A409)</f>
        <v>0</v>
      </c>
      <c r="L409" s="166">
        <f>SUMIFS(Продажи!I$5:I$359,Продажи!$D$5:$D$359,Конструкторы!$B409,Продажи!$C$5:$C$359,Конструкторы!$A409)</f>
        <v>0</v>
      </c>
      <c r="M409" s="166">
        <f>SUMIFS(Продажи!J$5:J$359,Продажи!$D$5:$D$359,Конструкторы!$B409,Продажи!$C$5:$C$359,Конструкторы!$A409)</f>
        <v>0</v>
      </c>
      <c r="N409" s="166">
        <f>SUMIFS(Продажи!K$5:K$359,Продажи!$D$5:$D$359,Конструкторы!$B409,Продажи!$C$5:$C$359,Конструкторы!$A409)</f>
        <v>0</v>
      </c>
      <c r="O409" s="166">
        <f>SUMIFS(Продажи!L$5:L$359,Продажи!$D$5:$D$359,Конструкторы!$B409,Продажи!$C$5:$C$359,Конструкторы!$A409)</f>
        <v>0</v>
      </c>
      <c r="P409" s="166">
        <f>SUMIFS(Продажи!M$5:M$359,Продажи!$D$5:$D$359,Конструкторы!$B409,Продажи!$C$5:$C$359,Конструкторы!$A409)</f>
        <v>0</v>
      </c>
      <c r="Q409" s="166">
        <f>SUMIFS(Продажи!N$5:N$359,Продажи!$D$5:$D$359,Конструкторы!$B409,Продажи!$C$5:$C$359,Конструкторы!$A409)</f>
        <v>0</v>
      </c>
      <c r="R409" s="166">
        <f>SUMIFS(Продажи!O$5:O$359,Продажи!$D$5:$D$359,Конструкторы!$B409,Продажи!$C$5:$C$359,Конструкторы!$A409)</f>
        <v>0</v>
      </c>
      <c r="S409" s="166">
        <f>SUMIFS(Продажи!P$5:P$359,Продажи!$D$5:$D$359,Конструкторы!$B409,Продажи!$C$5:$C$359,Конструкторы!$A409)</f>
        <v>0</v>
      </c>
      <c r="T409" s="166">
        <f>SUMIFS(Продажи!Q$5:Q$359,Продажи!$D$5:$D$359,Конструкторы!$B409,Продажи!$C$5:$C$359,Конструкторы!$A409)</f>
        <v>0</v>
      </c>
    </row>
    <row r="410" spans="1:20" ht="15.75" hidden="1" x14ac:dyDescent="0.25">
      <c r="A410" s="166" t="s">
        <v>397</v>
      </c>
      <c r="B410" s="167" t="s">
        <v>266</v>
      </c>
      <c r="C410" s="33" t="s">
        <v>76</v>
      </c>
      <c r="D410" s="149"/>
      <c r="E410" s="153" t="s">
        <v>70</v>
      </c>
      <c r="F410" s="159">
        <v>6</v>
      </c>
      <c r="G410" s="156" t="s">
        <v>71</v>
      </c>
      <c r="H410" s="156">
        <f>F410</f>
        <v>6</v>
      </c>
      <c r="I410" s="166">
        <f>SUMIFS(Продажи!F$5:F$359,Продажи!$D$5:$D$359,Конструкторы!$B410,Продажи!$C$5:$C$359,Конструкторы!$A410)</f>
        <v>0</v>
      </c>
      <c r="J410" s="166">
        <f>SUMIFS(Продажи!G$5:G$359,Продажи!$D$5:$D$359,Конструкторы!$B410,Продажи!$C$5:$C$359,Конструкторы!$A410)</f>
        <v>0</v>
      </c>
      <c r="K410" s="166">
        <f>SUMIFS(Продажи!H$5:H$359,Продажи!$D$5:$D$359,Конструкторы!$B410,Продажи!$C$5:$C$359,Конструкторы!$A410)</f>
        <v>0</v>
      </c>
      <c r="L410" s="166">
        <f>SUMIFS(Продажи!I$5:I$359,Продажи!$D$5:$D$359,Конструкторы!$B410,Продажи!$C$5:$C$359,Конструкторы!$A410)</f>
        <v>0</v>
      </c>
      <c r="M410" s="166">
        <f>SUMIFS(Продажи!J$5:J$359,Продажи!$D$5:$D$359,Конструкторы!$B410,Продажи!$C$5:$C$359,Конструкторы!$A410)</f>
        <v>0</v>
      </c>
      <c r="N410" s="166">
        <f>SUMIFS(Продажи!K$5:K$359,Продажи!$D$5:$D$359,Конструкторы!$B410,Продажи!$C$5:$C$359,Конструкторы!$A410)</f>
        <v>0</v>
      </c>
      <c r="O410" s="166">
        <f>SUMIFS(Продажи!L$5:L$359,Продажи!$D$5:$D$359,Конструкторы!$B410,Продажи!$C$5:$C$359,Конструкторы!$A410)</f>
        <v>0</v>
      </c>
      <c r="P410" s="166">
        <f>SUMIFS(Продажи!M$5:M$359,Продажи!$D$5:$D$359,Конструкторы!$B410,Продажи!$C$5:$C$359,Конструкторы!$A410)</f>
        <v>0</v>
      </c>
      <c r="Q410" s="166">
        <f>SUMIFS(Продажи!N$5:N$359,Продажи!$D$5:$D$359,Конструкторы!$B410,Продажи!$C$5:$C$359,Конструкторы!$A410)</f>
        <v>0</v>
      </c>
      <c r="R410" s="166">
        <f>SUMIFS(Продажи!O$5:O$359,Продажи!$D$5:$D$359,Конструкторы!$B410,Продажи!$C$5:$C$359,Конструкторы!$A410)</f>
        <v>0</v>
      </c>
      <c r="S410" s="166">
        <f>SUMIFS(Продажи!P$5:P$359,Продажи!$D$5:$D$359,Конструкторы!$B410,Продажи!$C$5:$C$359,Конструкторы!$A410)</f>
        <v>0</v>
      </c>
      <c r="T410" s="166">
        <f>SUMIFS(Продажи!Q$5:Q$359,Продажи!$D$5:$D$359,Конструкторы!$B410,Продажи!$C$5:$C$359,Конструкторы!$A410)</f>
        <v>0</v>
      </c>
    </row>
    <row r="411" spans="1:20" ht="15.75" hidden="1" x14ac:dyDescent="0.25">
      <c r="A411" s="166" t="s">
        <v>397</v>
      </c>
      <c r="B411" s="167" t="s">
        <v>267</v>
      </c>
      <c r="C411" s="129" t="s">
        <v>61</v>
      </c>
      <c r="D411" s="149"/>
      <c r="E411" s="153" t="s">
        <v>68</v>
      </c>
      <c r="F411" s="156">
        <f>(1.001*103)/100</f>
        <v>1.0310299999999999</v>
      </c>
      <c r="G411" s="156">
        <v>3.0030000000000001E-2</v>
      </c>
      <c r="H411" s="156">
        <f>F411+G411</f>
        <v>1.0610599999999999</v>
      </c>
      <c r="I411" s="166">
        <f>SUMIFS(Продажи!F$5:F$359,Продажи!$D$5:$D$359,Конструкторы!$B411,Продажи!$C$5:$C$359,Конструкторы!$A411)</f>
        <v>0</v>
      </c>
      <c r="J411" s="166">
        <f>SUMIFS(Продажи!G$5:G$359,Продажи!$D$5:$D$359,Конструкторы!$B411,Продажи!$C$5:$C$359,Конструкторы!$A411)</f>
        <v>0</v>
      </c>
      <c r="K411" s="166">
        <f>SUMIFS(Продажи!H$5:H$359,Продажи!$D$5:$D$359,Конструкторы!$B411,Продажи!$C$5:$C$359,Конструкторы!$A411)</f>
        <v>0</v>
      </c>
      <c r="L411" s="166">
        <f>SUMIFS(Продажи!I$5:I$359,Продажи!$D$5:$D$359,Конструкторы!$B411,Продажи!$C$5:$C$359,Конструкторы!$A411)</f>
        <v>0</v>
      </c>
      <c r="M411" s="166">
        <f>SUMIFS(Продажи!J$5:J$359,Продажи!$D$5:$D$359,Конструкторы!$B411,Продажи!$C$5:$C$359,Конструкторы!$A411)</f>
        <v>0</v>
      </c>
      <c r="N411" s="166">
        <f>SUMIFS(Продажи!K$5:K$359,Продажи!$D$5:$D$359,Конструкторы!$B411,Продажи!$C$5:$C$359,Конструкторы!$A411)</f>
        <v>0</v>
      </c>
      <c r="O411" s="166">
        <f>SUMIFS(Продажи!L$5:L$359,Продажи!$D$5:$D$359,Конструкторы!$B411,Продажи!$C$5:$C$359,Конструкторы!$A411)</f>
        <v>0</v>
      </c>
      <c r="P411" s="166">
        <f>SUMIFS(Продажи!M$5:M$359,Продажи!$D$5:$D$359,Конструкторы!$B411,Продажи!$C$5:$C$359,Конструкторы!$A411)</f>
        <v>0</v>
      </c>
      <c r="Q411" s="166">
        <f>SUMIFS(Продажи!N$5:N$359,Продажи!$D$5:$D$359,Конструкторы!$B411,Продажи!$C$5:$C$359,Конструкторы!$A411)</f>
        <v>0</v>
      </c>
      <c r="R411" s="166">
        <f>SUMIFS(Продажи!O$5:O$359,Продажи!$D$5:$D$359,Конструкторы!$B411,Продажи!$C$5:$C$359,Конструкторы!$A411)</f>
        <v>0</v>
      </c>
      <c r="S411" s="166">
        <f>SUMIFS(Продажи!P$5:P$359,Продажи!$D$5:$D$359,Конструкторы!$B411,Продажи!$C$5:$C$359,Конструкторы!$A411)</f>
        <v>0</v>
      </c>
      <c r="T411" s="166">
        <f>SUMIFS(Продажи!Q$5:Q$359,Продажи!$D$5:$D$359,Конструкторы!$B411,Продажи!$C$5:$C$359,Конструкторы!$A411)</f>
        <v>0</v>
      </c>
    </row>
    <row r="412" spans="1:20" ht="15.75" hidden="1" x14ac:dyDescent="0.25">
      <c r="A412" s="166" t="s">
        <v>397</v>
      </c>
      <c r="B412" s="167" t="s">
        <v>267</v>
      </c>
      <c r="C412" s="33" t="s">
        <v>76</v>
      </c>
      <c r="D412" s="149"/>
      <c r="E412" s="153" t="s">
        <v>70</v>
      </c>
      <c r="F412" s="159">
        <v>6</v>
      </c>
      <c r="G412" s="156" t="s">
        <v>71</v>
      </c>
      <c r="H412" s="156">
        <f>F412</f>
        <v>6</v>
      </c>
      <c r="I412" s="166">
        <f>SUMIFS(Продажи!F$5:F$359,Продажи!$D$5:$D$359,Конструкторы!$B412,Продажи!$C$5:$C$359,Конструкторы!$A412)</f>
        <v>0</v>
      </c>
      <c r="J412" s="166">
        <f>SUMIFS(Продажи!G$5:G$359,Продажи!$D$5:$D$359,Конструкторы!$B412,Продажи!$C$5:$C$359,Конструкторы!$A412)</f>
        <v>0</v>
      </c>
      <c r="K412" s="166">
        <f>SUMIFS(Продажи!H$5:H$359,Продажи!$D$5:$D$359,Конструкторы!$B412,Продажи!$C$5:$C$359,Конструкторы!$A412)</f>
        <v>0</v>
      </c>
      <c r="L412" s="166">
        <f>SUMIFS(Продажи!I$5:I$359,Продажи!$D$5:$D$359,Конструкторы!$B412,Продажи!$C$5:$C$359,Конструкторы!$A412)</f>
        <v>0</v>
      </c>
      <c r="M412" s="166">
        <f>SUMIFS(Продажи!J$5:J$359,Продажи!$D$5:$D$359,Конструкторы!$B412,Продажи!$C$5:$C$359,Конструкторы!$A412)</f>
        <v>0</v>
      </c>
      <c r="N412" s="166">
        <f>SUMIFS(Продажи!K$5:K$359,Продажи!$D$5:$D$359,Конструкторы!$B412,Продажи!$C$5:$C$359,Конструкторы!$A412)</f>
        <v>0</v>
      </c>
      <c r="O412" s="166">
        <f>SUMIFS(Продажи!L$5:L$359,Продажи!$D$5:$D$359,Конструкторы!$B412,Продажи!$C$5:$C$359,Конструкторы!$A412)</f>
        <v>0</v>
      </c>
      <c r="P412" s="166">
        <f>SUMIFS(Продажи!M$5:M$359,Продажи!$D$5:$D$359,Конструкторы!$B412,Продажи!$C$5:$C$359,Конструкторы!$A412)</f>
        <v>0</v>
      </c>
      <c r="Q412" s="166">
        <f>SUMIFS(Продажи!N$5:N$359,Продажи!$D$5:$D$359,Конструкторы!$B412,Продажи!$C$5:$C$359,Конструкторы!$A412)</f>
        <v>0</v>
      </c>
      <c r="R412" s="166">
        <f>SUMIFS(Продажи!O$5:O$359,Продажи!$D$5:$D$359,Конструкторы!$B412,Продажи!$C$5:$C$359,Конструкторы!$A412)</f>
        <v>0</v>
      </c>
      <c r="S412" s="166">
        <f>SUMIFS(Продажи!P$5:P$359,Продажи!$D$5:$D$359,Конструкторы!$B412,Продажи!$C$5:$C$359,Конструкторы!$A412)</f>
        <v>0</v>
      </c>
      <c r="T412" s="166">
        <f>SUMIFS(Продажи!Q$5:Q$359,Продажи!$D$5:$D$359,Конструкторы!$B412,Продажи!$C$5:$C$359,Конструкторы!$A412)</f>
        <v>0</v>
      </c>
    </row>
    <row r="413" spans="1:20" ht="15.75" hidden="1" x14ac:dyDescent="0.25">
      <c r="A413" s="166" t="s">
        <v>397</v>
      </c>
      <c r="B413" s="167" t="s">
        <v>268</v>
      </c>
      <c r="C413" s="129" t="s">
        <v>62</v>
      </c>
      <c r="D413" s="149"/>
      <c r="E413" s="153" t="s">
        <v>68</v>
      </c>
      <c r="F413" s="156">
        <f>(1.001*103)/100</f>
        <v>1.0310299999999999</v>
      </c>
      <c r="G413" s="156">
        <v>3.0030000000000001E-2</v>
      </c>
      <c r="H413" s="156">
        <f>F413+G413</f>
        <v>1.0610599999999999</v>
      </c>
      <c r="I413" s="166">
        <f>SUMIFS(Продажи!F$5:F$359,Продажи!$D$5:$D$359,Конструкторы!$B413,Продажи!$C$5:$C$359,Конструкторы!$A413)</f>
        <v>0</v>
      </c>
      <c r="J413" s="166">
        <f>SUMIFS(Продажи!G$5:G$359,Продажи!$D$5:$D$359,Конструкторы!$B413,Продажи!$C$5:$C$359,Конструкторы!$A413)</f>
        <v>0</v>
      </c>
      <c r="K413" s="166">
        <f>SUMIFS(Продажи!H$5:H$359,Продажи!$D$5:$D$359,Конструкторы!$B413,Продажи!$C$5:$C$359,Конструкторы!$A413)</f>
        <v>0</v>
      </c>
      <c r="L413" s="166">
        <f>SUMIFS(Продажи!I$5:I$359,Продажи!$D$5:$D$359,Конструкторы!$B413,Продажи!$C$5:$C$359,Конструкторы!$A413)</f>
        <v>0</v>
      </c>
      <c r="M413" s="166">
        <f>SUMIFS(Продажи!J$5:J$359,Продажи!$D$5:$D$359,Конструкторы!$B413,Продажи!$C$5:$C$359,Конструкторы!$A413)</f>
        <v>0</v>
      </c>
      <c r="N413" s="166">
        <f>SUMIFS(Продажи!K$5:K$359,Продажи!$D$5:$D$359,Конструкторы!$B413,Продажи!$C$5:$C$359,Конструкторы!$A413)</f>
        <v>0</v>
      </c>
      <c r="O413" s="166">
        <f>SUMIFS(Продажи!L$5:L$359,Продажи!$D$5:$D$359,Конструкторы!$B413,Продажи!$C$5:$C$359,Конструкторы!$A413)</f>
        <v>0</v>
      </c>
      <c r="P413" s="166">
        <f>SUMIFS(Продажи!M$5:M$359,Продажи!$D$5:$D$359,Конструкторы!$B413,Продажи!$C$5:$C$359,Конструкторы!$A413)</f>
        <v>0</v>
      </c>
      <c r="Q413" s="166">
        <f>SUMIFS(Продажи!N$5:N$359,Продажи!$D$5:$D$359,Конструкторы!$B413,Продажи!$C$5:$C$359,Конструкторы!$A413)</f>
        <v>0</v>
      </c>
      <c r="R413" s="166">
        <f>SUMIFS(Продажи!O$5:O$359,Продажи!$D$5:$D$359,Конструкторы!$B413,Продажи!$C$5:$C$359,Конструкторы!$A413)</f>
        <v>0</v>
      </c>
      <c r="S413" s="166">
        <f>SUMIFS(Продажи!P$5:P$359,Продажи!$D$5:$D$359,Конструкторы!$B413,Продажи!$C$5:$C$359,Конструкторы!$A413)</f>
        <v>0</v>
      </c>
      <c r="T413" s="166">
        <f>SUMIFS(Продажи!Q$5:Q$359,Продажи!$D$5:$D$359,Конструкторы!$B413,Продажи!$C$5:$C$359,Конструкторы!$A413)</f>
        <v>0</v>
      </c>
    </row>
    <row r="414" spans="1:20" ht="15.75" hidden="1" x14ac:dyDescent="0.25">
      <c r="A414" s="166" t="s">
        <v>397</v>
      </c>
      <c r="B414" s="167" t="s">
        <v>268</v>
      </c>
      <c r="C414" s="33" t="s">
        <v>76</v>
      </c>
      <c r="D414" s="149"/>
      <c r="E414" s="153" t="s">
        <v>70</v>
      </c>
      <c r="F414" s="159">
        <v>6</v>
      </c>
      <c r="G414" s="156" t="s">
        <v>71</v>
      </c>
      <c r="H414" s="156">
        <f>F414</f>
        <v>6</v>
      </c>
      <c r="I414" s="166">
        <f>SUMIFS(Продажи!F$5:F$359,Продажи!$D$5:$D$359,Конструкторы!$B414,Продажи!$C$5:$C$359,Конструкторы!$A414)</f>
        <v>0</v>
      </c>
      <c r="J414" s="166">
        <f>SUMIFS(Продажи!G$5:G$359,Продажи!$D$5:$D$359,Конструкторы!$B414,Продажи!$C$5:$C$359,Конструкторы!$A414)</f>
        <v>0</v>
      </c>
      <c r="K414" s="166">
        <f>SUMIFS(Продажи!H$5:H$359,Продажи!$D$5:$D$359,Конструкторы!$B414,Продажи!$C$5:$C$359,Конструкторы!$A414)</f>
        <v>0</v>
      </c>
      <c r="L414" s="166">
        <f>SUMIFS(Продажи!I$5:I$359,Продажи!$D$5:$D$359,Конструкторы!$B414,Продажи!$C$5:$C$359,Конструкторы!$A414)</f>
        <v>0</v>
      </c>
      <c r="M414" s="166">
        <f>SUMIFS(Продажи!J$5:J$359,Продажи!$D$5:$D$359,Конструкторы!$B414,Продажи!$C$5:$C$359,Конструкторы!$A414)</f>
        <v>0</v>
      </c>
      <c r="N414" s="166">
        <f>SUMIFS(Продажи!K$5:K$359,Продажи!$D$5:$D$359,Конструкторы!$B414,Продажи!$C$5:$C$359,Конструкторы!$A414)</f>
        <v>0</v>
      </c>
      <c r="O414" s="166">
        <f>SUMIFS(Продажи!L$5:L$359,Продажи!$D$5:$D$359,Конструкторы!$B414,Продажи!$C$5:$C$359,Конструкторы!$A414)</f>
        <v>0</v>
      </c>
      <c r="P414" s="166">
        <f>SUMIFS(Продажи!M$5:M$359,Продажи!$D$5:$D$359,Конструкторы!$B414,Продажи!$C$5:$C$359,Конструкторы!$A414)</f>
        <v>0</v>
      </c>
      <c r="Q414" s="166">
        <f>SUMIFS(Продажи!N$5:N$359,Продажи!$D$5:$D$359,Конструкторы!$B414,Продажи!$C$5:$C$359,Конструкторы!$A414)</f>
        <v>0</v>
      </c>
      <c r="R414" s="166">
        <f>SUMIFS(Продажи!O$5:O$359,Продажи!$D$5:$D$359,Конструкторы!$B414,Продажи!$C$5:$C$359,Конструкторы!$A414)</f>
        <v>0</v>
      </c>
      <c r="S414" s="166">
        <f>SUMIFS(Продажи!P$5:P$359,Продажи!$D$5:$D$359,Конструкторы!$B414,Продажи!$C$5:$C$359,Конструкторы!$A414)</f>
        <v>0</v>
      </c>
      <c r="T414" s="166">
        <f>SUMIFS(Продажи!Q$5:Q$359,Продажи!$D$5:$D$359,Конструкторы!$B414,Продажи!$C$5:$C$359,Конструкторы!$A414)</f>
        <v>0</v>
      </c>
    </row>
    <row r="415" spans="1:20" ht="15.75" hidden="1" x14ac:dyDescent="0.25">
      <c r="A415" s="166" t="s">
        <v>397</v>
      </c>
      <c r="B415" s="167" t="s">
        <v>480</v>
      </c>
      <c r="C415" s="129" t="s">
        <v>63</v>
      </c>
      <c r="D415" s="149"/>
      <c r="E415" s="153" t="s">
        <v>68</v>
      </c>
      <c r="F415" s="156">
        <f>(1.101*103)/100</f>
        <v>1.1340299999999999</v>
      </c>
      <c r="G415" s="156">
        <v>3.3029999999999893E-2</v>
      </c>
      <c r="H415" s="156">
        <f>F415+G415</f>
        <v>1.1670599999999998</v>
      </c>
      <c r="I415" s="166">
        <f>SUMIFS(Продажи!F$5:F$359,Продажи!$D$5:$D$359,Конструкторы!$B415,Продажи!$C$5:$C$359,Конструкторы!$A415)</f>
        <v>0</v>
      </c>
      <c r="J415" s="166">
        <f>SUMIFS(Продажи!G$5:G$359,Продажи!$D$5:$D$359,Конструкторы!$B415,Продажи!$C$5:$C$359,Конструкторы!$A415)</f>
        <v>0</v>
      </c>
      <c r="K415" s="166">
        <f>SUMIFS(Продажи!H$5:H$359,Продажи!$D$5:$D$359,Конструкторы!$B415,Продажи!$C$5:$C$359,Конструкторы!$A415)</f>
        <v>0</v>
      </c>
      <c r="L415" s="166">
        <f>SUMIFS(Продажи!I$5:I$359,Продажи!$D$5:$D$359,Конструкторы!$B415,Продажи!$C$5:$C$359,Конструкторы!$A415)</f>
        <v>0</v>
      </c>
      <c r="M415" s="166">
        <f>SUMIFS(Продажи!J$5:J$359,Продажи!$D$5:$D$359,Конструкторы!$B415,Продажи!$C$5:$C$359,Конструкторы!$A415)</f>
        <v>0</v>
      </c>
      <c r="N415" s="166">
        <f>SUMIFS(Продажи!K$5:K$359,Продажи!$D$5:$D$359,Конструкторы!$B415,Продажи!$C$5:$C$359,Конструкторы!$A415)</f>
        <v>0</v>
      </c>
      <c r="O415" s="166">
        <f>SUMIFS(Продажи!L$5:L$359,Продажи!$D$5:$D$359,Конструкторы!$B415,Продажи!$C$5:$C$359,Конструкторы!$A415)</f>
        <v>0</v>
      </c>
      <c r="P415" s="166">
        <f>SUMIFS(Продажи!M$5:M$359,Продажи!$D$5:$D$359,Конструкторы!$B415,Продажи!$C$5:$C$359,Конструкторы!$A415)</f>
        <v>0</v>
      </c>
      <c r="Q415" s="166">
        <f>SUMIFS(Продажи!N$5:N$359,Продажи!$D$5:$D$359,Конструкторы!$B415,Продажи!$C$5:$C$359,Конструкторы!$A415)</f>
        <v>0</v>
      </c>
      <c r="R415" s="166">
        <f>SUMIFS(Продажи!O$5:O$359,Продажи!$D$5:$D$359,Конструкторы!$B415,Продажи!$C$5:$C$359,Конструкторы!$A415)</f>
        <v>0</v>
      </c>
      <c r="S415" s="166">
        <f>SUMIFS(Продажи!P$5:P$359,Продажи!$D$5:$D$359,Конструкторы!$B415,Продажи!$C$5:$C$359,Конструкторы!$A415)</f>
        <v>0</v>
      </c>
      <c r="T415" s="166">
        <f>SUMIFS(Продажи!Q$5:Q$359,Продажи!$D$5:$D$359,Конструкторы!$B415,Продажи!$C$5:$C$359,Конструкторы!$A415)</f>
        <v>0</v>
      </c>
    </row>
    <row r="416" spans="1:20" ht="15.75" hidden="1" x14ac:dyDescent="0.25">
      <c r="A416" s="166" t="s">
        <v>397</v>
      </c>
      <c r="B416" s="167" t="s">
        <v>480</v>
      </c>
      <c r="C416" s="33" t="s">
        <v>76</v>
      </c>
      <c r="D416" s="149"/>
      <c r="E416" s="153" t="s">
        <v>70</v>
      </c>
      <c r="F416" s="159">
        <v>6</v>
      </c>
      <c r="G416" s="156" t="s">
        <v>71</v>
      </c>
      <c r="H416" s="156">
        <f>F416</f>
        <v>6</v>
      </c>
      <c r="I416" s="166">
        <f>SUMIFS(Продажи!F$5:F$359,Продажи!$D$5:$D$359,Конструкторы!$B416,Продажи!$C$5:$C$359,Конструкторы!$A416)</f>
        <v>0</v>
      </c>
      <c r="J416" s="166">
        <f>SUMIFS(Продажи!G$5:G$359,Продажи!$D$5:$D$359,Конструкторы!$B416,Продажи!$C$5:$C$359,Конструкторы!$A416)</f>
        <v>0</v>
      </c>
      <c r="K416" s="166">
        <f>SUMIFS(Продажи!H$5:H$359,Продажи!$D$5:$D$359,Конструкторы!$B416,Продажи!$C$5:$C$359,Конструкторы!$A416)</f>
        <v>0</v>
      </c>
      <c r="L416" s="166">
        <f>SUMIFS(Продажи!I$5:I$359,Продажи!$D$5:$D$359,Конструкторы!$B416,Продажи!$C$5:$C$359,Конструкторы!$A416)</f>
        <v>0</v>
      </c>
      <c r="M416" s="166">
        <f>SUMIFS(Продажи!J$5:J$359,Продажи!$D$5:$D$359,Конструкторы!$B416,Продажи!$C$5:$C$359,Конструкторы!$A416)</f>
        <v>0</v>
      </c>
      <c r="N416" s="166">
        <f>SUMIFS(Продажи!K$5:K$359,Продажи!$D$5:$D$359,Конструкторы!$B416,Продажи!$C$5:$C$359,Конструкторы!$A416)</f>
        <v>0</v>
      </c>
      <c r="O416" s="166">
        <f>SUMIFS(Продажи!L$5:L$359,Продажи!$D$5:$D$359,Конструкторы!$B416,Продажи!$C$5:$C$359,Конструкторы!$A416)</f>
        <v>0</v>
      </c>
      <c r="P416" s="166">
        <f>SUMIFS(Продажи!M$5:M$359,Продажи!$D$5:$D$359,Конструкторы!$B416,Продажи!$C$5:$C$359,Конструкторы!$A416)</f>
        <v>0</v>
      </c>
      <c r="Q416" s="166">
        <f>SUMIFS(Продажи!N$5:N$359,Продажи!$D$5:$D$359,Конструкторы!$B416,Продажи!$C$5:$C$359,Конструкторы!$A416)</f>
        <v>0</v>
      </c>
      <c r="R416" s="166">
        <f>SUMIFS(Продажи!O$5:O$359,Продажи!$D$5:$D$359,Конструкторы!$B416,Продажи!$C$5:$C$359,Конструкторы!$A416)</f>
        <v>0</v>
      </c>
      <c r="S416" s="166">
        <f>SUMIFS(Продажи!P$5:P$359,Продажи!$D$5:$D$359,Конструкторы!$B416,Продажи!$C$5:$C$359,Конструкторы!$A416)</f>
        <v>0</v>
      </c>
      <c r="T416" s="166">
        <f>SUMIFS(Продажи!Q$5:Q$359,Продажи!$D$5:$D$359,Конструкторы!$B416,Продажи!$C$5:$C$359,Конструкторы!$A416)</f>
        <v>0</v>
      </c>
    </row>
    <row r="417" spans="1:20" ht="15.75" hidden="1" x14ac:dyDescent="0.25">
      <c r="A417" s="166" t="s">
        <v>397</v>
      </c>
      <c r="B417" s="167" t="s">
        <v>269</v>
      </c>
      <c r="C417" s="129" t="s">
        <v>64</v>
      </c>
      <c r="D417" s="149"/>
      <c r="E417" s="153" t="s">
        <v>68</v>
      </c>
      <c r="F417" s="156">
        <f>(1.433*103)/100</f>
        <v>1.4759900000000001</v>
      </c>
      <c r="G417" s="156">
        <v>4.2990000000000084E-2</v>
      </c>
      <c r="H417" s="156">
        <f>F417+G417</f>
        <v>1.5189800000000002</v>
      </c>
      <c r="I417" s="166">
        <f>SUMIFS(Продажи!F$5:F$359,Продажи!$D$5:$D$359,Конструкторы!$B417,Продажи!$C$5:$C$359,Конструкторы!$A417)</f>
        <v>0</v>
      </c>
      <c r="J417" s="166">
        <f>SUMIFS(Продажи!G$5:G$359,Продажи!$D$5:$D$359,Конструкторы!$B417,Продажи!$C$5:$C$359,Конструкторы!$A417)</f>
        <v>0</v>
      </c>
      <c r="K417" s="166">
        <f>SUMIFS(Продажи!H$5:H$359,Продажи!$D$5:$D$359,Конструкторы!$B417,Продажи!$C$5:$C$359,Конструкторы!$A417)</f>
        <v>0</v>
      </c>
      <c r="L417" s="166">
        <f>SUMIFS(Продажи!I$5:I$359,Продажи!$D$5:$D$359,Конструкторы!$B417,Продажи!$C$5:$C$359,Конструкторы!$A417)</f>
        <v>0</v>
      </c>
      <c r="M417" s="166">
        <f>SUMIFS(Продажи!J$5:J$359,Продажи!$D$5:$D$359,Конструкторы!$B417,Продажи!$C$5:$C$359,Конструкторы!$A417)</f>
        <v>0</v>
      </c>
      <c r="N417" s="166">
        <f>SUMIFS(Продажи!K$5:K$359,Продажи!$D$5:$D$359,Конструкторы!$B417,Продажи!$C$5:$C$359,Конструкторы!$A417)</f>
        <v>0</v>
      </c>
      <c r="O417" s="166">
        <f>SUMIFS(Продажи!L$5:L$359,Продажи!$D$5:$D$359,Конструкторы!$B417,Продажи!$C$5:$C$359,Конструкторы!$A417)</f>
        <v>0</v>
      </c>
      <c r="P417" s="166">
        <f>SUMIFS(Продажи!M$5:M$359,Продажи!$D$5:$D$359,Конструкторы!$B417,Продажи!$C$5:$C$359,Конструкторы!$A417)</f>
        <v>0</v>
      </c>
      <c r="Q417" s="166">
        <f>SUMIFS(Продажи!N$5:N$359,Продажи!$D$5:$D$359,Конструкторы!$B417,Продажи!$C$5:$C$359,Конструкторы!$A417)</f>
        <v>0</v>
      </c>
      <c r="R417" s="166">
        <f>SUMIFS(Продажи!O$5:O$359,Продажи!$D$5:$D$359,Конструкторы!$B417,Продажи!$C$5:$C$359,Конструкторы!$A417)</f>
        <v>0</v>
      </c>
      <c r="S417" s="166">
        <f>SUMIFS(Продажи!P$5:P$359,Продажи!$D$5:$D$359,Конструкторы!$B417,Продажи!$C$5:$C$359,Конструкторы!$A417)</f>
        <v>0</v>
      </c>
      <c r="T417" s="166">
        <f>SUMIFS(Продажи!Q$5:Q$359,Продажи!$D$5:$D$359,Конструкторы!$B417,Продажи!$C$5:$C$359,Конструкторы!$A417)</f>
        <v>0</v>
      </c>
    </row>
    <row r="418" spans="1:20" ht="15.75" hidden="1" x14ac:dyDescent="0.25">
      <c r="A418" s="166" t="s">
        <v>397</v>
      </c>
      <c r="B418" s="167" t="s">
        <v>269</v>
      </c>
      <c r="C418" s="33" t="s">
        <v>76</v>
      </c>
      <c r="D418" s="149"/>
      <c r="E418" s="153" t="s">
        <v>70</v>
      </c>
      <c r="F418" s="159">
        <v>6</v>
      </c>
      <c r="G418" s="156" t="s">
        <v>71</v>
      </c>
      <c r="H418" s="156">
        <f>F418</f>
        <v>6</v>
      </c>
      <c r="I418" s="166">
        <f>SUMIFS(Продажи!F$5:F$359,Продажи!$D$5:$D$359,Конструкторы!$B418,Продажи!$C$5:$C$359,Конструкторы!$A418)</f>
        <v>0</v>
      </c>
      <c r="J418" s="166">
        <f>SUMIFS(Продажи!G$5:G$359,Продажи!$D$5:$D$359,Конструкторы!$B418,Продажи!$C$5:$C$359,Конструкторы!$A418)</f>
        <v>0</v>
      </c>
      <c r="K418" s="166">
        <f>SUMIFS(Продажи!H$5:H$359,Продажи!$D$5:$D$359,Конструкторы!$B418,Продажи!$C$5:$C$359,Конструкторы!$A418)</f>
        <v>0</v>
      </c>
      <c r="L418" s="166">
        <f>SUMIFS(Продажи!I$5:I$359,Продажи!$D$5:$D$359,Конструкторы!$B418,Продажи!$C$5:$C$359,Конструкторы!$A418)</f>
        <v>0</v>
      </c>
      <c r="M418" s="166">
        <f>SUMIFS(Продажи!J$5:J$359,Продажи!$D$5:$D$359,Конструкторы!$B418,Продажи!$C$5:$C$359,Конструкторы!$A418)</f>
        <v>0</v>
      </c>
      <c r="N418" s="166">
        <f>SUMIFS(Продажи!K$5:K$359,Продажи!$D$5:$D$359,Конструкторы!$B418,Продажи!$C$5:$C$359,Конструкторы!$A418)</f>
        <v>0</v>
      </c>
      <c r="O418" s="166">
        <f>SUMIFS(Продажи!L$5:L$359,Продажи!$D$5:$D$359,Конструкторы!$B418,Продажи!$C$5:$C$359,Конструкторы!$A418)</f>
        <v>0</v>
      </c>
      <c r="P418" s="166">
        <f>SUMIFS(Продажи!M$5:M$359,Продажи!$D$5:$D$359,Конструкторы!$B418,Продажи!$C$5:$C$359,Конструкторы!$A418)</f>
        <v>0</v>
      </c>
      <c r="Q418" s="166">
        <f>SUMIFS(Продажи!N$5:N$359,Продажи!$D$5:$D$359,Конструкторы!$B418,Продажи!$C$5:$C$359,Конструкторы!$A418)</f>
        <v>0</v>
      </c>
      <c r="R418" s="166">
        <f>SUMIFS(Продажи!O$5:O$359,Продажи!$D$5:$D$359,Конструкторы!$B418,Продажи!$C$5:$C$359,Конструкторы!$A418)</f>
        <v>0</v>
      </c>
      <c r="S418" s="166">
        <f>SUMIFS(Продажи!P$5:P$359,Продажи!$D$5:$D$359,Конструкторы!$B418,Продажи!$C$5:$C$359,Конструкторы!$A418)</f>
        <v>0</v>
      </c>
      <c r="T418" s="166">
        <f>SUMIFS(Продажи!Q$5:Q$359,Продажи!$D$5:$D$359,Конструкторы!$B418,Продажи!$C$5:$C$359,Конструкторы!$A418)</f>
        <v>0</v>
      </c>
    </row>
    <row r="419" spans="1:20" ht="15.75" hidden="1" x14ac:dyDescent="0.25">
      <c r="A419" s="166" t="s">
        <v>397</v>
      </c>
      <c r="B419" s="167" t="s">
        <v>346</v>
      </c>
      <c r="C419" s="129" t="s">
        <v>60</v>
      </c>
      <c r="D419" s="149"/>
      <c r="E419" s="153" t="s">
        <v>68</v>
      </c>
      <c r="F419" s="156">
        <f>(0.586*103)/100</f>
        <v>0.60358000000000001</v>
      </c>
      <c r="G419" s="156">
        <v>1.758000000000004E-2</v>
      </c>
      <c r="H419" s="156">
        <f>F419+G419</f>
        <v>0.62116000000000005</v>
      </c>
      <c r="I419" s="166">
        <f>SUMIFS(Продажи!F$5:F$359,Продажи!$D$5:$D$359,Конструкторы!$B419,Продажи!$C$5:$C$359,Конструкторы!$A419)</f>
        <v>0</v>
      </c>
      <c r="J419" s="166">
        <f>SUMIFS(Продажи!G$5:G$359,Продажи!$D$5:$D$359,Конструкторы!$B419,Продажи!$C$5:$C$359,Конструкторы!$A419)</f>
        <v>0</v>
      </c>
      <c r="K419" s="166">
        <f>SUMIFS(Продажи!H$5:H$359,Продажи!$D$5:$D$359,Конструкторы!$B419,Продажи!$C$5:$C$359,Конструкторы!$A419)</f>
        <v>0</v>
      </c>
      <c r="L419" s="166">
        <f>SUMIFS(Продажи!I$5:I$359,Продажи!$D$5:$D$359,Конструкторы!$B419,Продажи!$C$5:$C$359,Конструкторы!$A419)</f>
        <v>0</v>
      </c>
      <c r="M419" s="166">
        <f>SUMIFS(Продажи!J$5:J$359,Продажи!$D$5:$D$359,Конструкторы!$B419,Продажи!$C$5:$C$359,Конструкторы!$A419)</f>
        <v>0</v>
      </c>
      <c r="N419" s="166">
        <f>SUMIFS(Продажи!K$5:K$359,Продажи!$D$5:$D$359,Конструкторы!$B419,Продажи!$C$5:$C$359,Конструкторы!$A419)</f>
        <v>0</v>
      </c>
      <c r="O419" s="166">
        <f>SUMIFS(Продажи!L$5:L$359,Продажи!$D$5:$D$359,Конструкторы!$B419,Продажи!$C$5:$C$359,Конструкторы!$A419)</f>
        <v>0</v>
      </c>
      <c r="P419" s="166">
        <f>SUMIFS(Продажи!M$5:M$359,Продажи!$D$5:$D$359,Конструкторы!$B419,Продажи!$C$5:$C$359,Конструкторы!$A419)</f>
        <v>0</v>
      </c>
      <c r="Q419" s="166">
        <f>SUMIFS(Продажи!N$5:N$359,Продажи!$D$5:$D$359,Конструкторы!$B419,Продажи!$C$5:$C$359,Конструкторы!$A419)</f>
        <v>0</v>
      </c>
      <c r="R419" s="166">
        <f>SUMIFS(Продажи!O$5:O$359,Продажи!$D$5:$D$359,Конструкторы!$B419,Продажи!$C$5:$C$359,Конструкторы!$A419)</f>
        <v>0</v>
      </c>
      <c r="S419" s="166">
        <f>SUMIFS(Продажи!P$5:P$359,Продажи!$D$5:$D$359,Конструкторы!$B419,Продажи!$C$5:$C$359,Конструкторы!$A419)</f>
        <v>0</v>
      </c>
      <c r="T419" s="166">
        <f>SUMIFS(Продажи!Q$5:Q$359,Продажи!$D$5:$D$359,Конструкторы!$B419,Продажи!$C$5:$C$359,Конструкторы!$A419)</f>
        <v>0</v>
      </c>
    </row>
    <row r="420" spans="1:20" ht="15.75" hidden="1" x14ac:dyDescent="0.25">
      <c r="A420" s="166" t="s">
        <v>397</v>
      </c>
      <c r="B420" s="167" t="s">
        <v>346</v>
      </c>
      <c r="C420" s="33" t="s">
        <v>87</v>
      </c>
      <c r="D420" s="149"/>
      <c r="E420" s="153" t="s">
        <v>70</v>
      </c>
      <c r="F420" s="148">
        <v>6</v>
      </c>
      <c r="G420" s="156" t="s">
        <v>71</v>
      </c>
      <c r="H420" s="156">
        <f>F420</f>
        <v>6</v>
      </c>
      <c r="I420" s="166">
        <f>SUMIFS(Продажи!F$5:F$359,Продажи!$D$5:$D$359,Конструкторы!$B420,Продажи!$C$5:$C$359,Конструкторы!$A420)</f>
        <v>0</v>
      </c>
      <c r="J420" s="166">
        <f>SUMIFS(Продажи!G$5:G$359,Продажи!$D$5:$D$359,Конструкторы!$B420,Продажи!$C$5:$C$359,Конструкторы!$A420)</f>
        <v>0</v>
      </c>
      <c r="K420" s="166">
        <f>SUMIFS(Продажи!H$5:H$359,Продажи!$D$5:$D$359,Конструкторы!$B420,Продажи!$C$5:$C$359,Конструкторы!$A420)</f>
        <v>0</v>
      </c>
      <c r="L420" s="166">
        <f>SUMIFS(Продажи!I$5:I$359,Продажи!$D$5:$D$359,Конструкторы!$B420,Продажи!$C$5:$C$359,Конструкторы!$A420)</f>
        <v>0</v>
      </c>
      <c r="M420" s="166">
        <f>SUMIFS(Продажи!J$5:J$359,Продажи!$D$5:$D$359,Конструкторы!$B420,Продажи!$C$5:$C$359,Конструкторы!$A420)</f>
        <v>0</v>
      </c>
      <c r="N420" s="166">
        <f>SUMIFS(Продажи!K$5:K$359,Продажи!$D$5:$D$359,Конструкторы!$B420,Продажи!$C$5:$C$359,Конструкторы!$A420)</f>
        <v>0</v>
      </c>
      <c r="O420" s="166">
        <f>SUMIFS(Продажи!L$5:L$359,Продажи!$D$5:$D$359,Конструкторы!$B420,Продажи!$C$5:$C$359,Конструкторы!$A420)</f>
        <v>0</v>
      </c>
      <c r="P420" s="166">
        <f>SUMIFS(Продажи!M$5:M$359,Продажи!$D$5:$D$359,Конструкторы!$B420,Продажи!$C$5:$C$359,Конструкторы!$A420)</f>
        <v>0</v>
      </c>
      <c r="Q420" s="166">
        <f>SUMIFS(Продажи!N$5:N$359,Продажи!$D$5:$D$359,Конструкторы!$B420,Продажи!$C$5:$C$359,Конструкторы!$A420)</f>
        <v>0</v>
      </c>
      <c r="R420" s="166">
        <f>SUMIFS(Продажи!O$5:O$359,Продажи!$D$5:$D$359,Конструкторы!$B420,Продажи!$C$5:$C$359,Конструкторы!$A420)</f>
        <v>0</v>
      </c>
      <c r="S420" s="166">
        <f>SUMIFS(Продажи!P$5:P$359,Продажи!$D$5:$D$359,Конструкторы!$B420,Продажи!$C$5:$C$359,Конструкторы!$A420)</f>
        <v>0</v>
      </c>
      <c r="T420" s="166">
        <f>SUMIFS(Продажи!Q$5:Q$359,Продажи!$D$5:$D$359,Конструкторы!$B420,Продажи!$C$5:$C$359,Конструкторы!$A420)</f>
        <v>0</v>
      </c>
    </row>
    <row r="421" spans="1:20" ht="15.75" hidden="1" x14ac:dyDescent="0.25">
      <c r="A421" s="166" t="s">
        <v>397</v>
      </c>
      <c r="B421" s="167" t="s">
        <v>347</v>
      </c>
      <c r="C421" s="129" t="s">
        <v>61</v>
      </c>
      <c r="D421" s="149"/>
      <c r="E421" s="153" t="s">
        <v>68</v>
      </c>
      <c r="F421" s="156">
        <f>(0.607*103)/100</f>
        <v>0.62521000000000004</v>
      </c>
      <c r="G421" s="156">
        <v>1.8210000000000059E-2</v>
      </c>
      <c r="H421" s="156">
        <f>F421+G421</f>
        <v>0.6434200000000001</v>
      </c>
      <c r="I421" s="166">
        <f>SUMIFS(Продажи!F$5:F$359,Продажи!$D$5:$D$359,Конструкторы!$B421,Продажи!$C$5:$C$359,Конструкторы!$A421)</f>
        <v>0</v>
      </c>
      <c r="J421" s="166">
        <f>SUMIFS(Продажи!G$5:G$359,Продажи!$D$5:$D$359,Конструкторы!$B421,Продажи!$C$5:$C$359,Конструкторы!$A421)</f>
        <v>0</v>
      </c>
      <c r="K421" s="166">
        <f>SUMIFS(Продажи!H$5:H$359,Продажи!$D$5:$D$359,Конструкторы!$B421,Продажи!$C$5:$C$359,Конструкторы!$A421)</f>
        <v>0</v>
      </c>
      <c r="L421" s="166">
        <f>SUMIFS(Продажи!I$5:I$359,Продажи!$D$5:$D$359,Конструкторы!$B421,Продажи!$C$5:$C$359,Конструкторы!$A421)</f>
        <v>0</v>
      </c>
      <c r="M421" s="166">
        <f>SUMIFS(Продажи!J$5:J$359,Продажи!$D$5:$D$359,Конструкторы!$B421,Продажи!$C$5:$C$359,Конструкторы!$A421)</f>
        <v>0</v>
      </c>
      <c r="N421" s="166">
        <f>SUMIFS(Продажи!K$5:K$359,Продажи!$D$5:$D$359,Конструкторы!$B421,Продажи!$C$5:$C$359,Конструкторы!$A421)</f>
        <v>0</v>
      </c>
      <c r="O421" s="166">
        <f>SUMIFS(Продажи!L$5:L$359,Продажи!$D$5:$D$359,Конструкторы!$B421,Продажи!$C$5:$C$359,Конструкторы!$A421)</f>
        <v>0</v>
      </c>
      <c r="P421" s="166">
        <f>SUMIFS(Продажи!M$5:M$359,Продажи!$D$5:$D$359,Конструкторы!$B421,Продажи!$C$5:$C$359,Конструкторы!$A421)</f>
        <v>0</v>
      </c>
      <c r="Q421" s="166">
        <f>SUMIFS(Продажи!N$5:N$359,Продажи!$D$5:$D$359,Конструкторы!$B421,Продажи!$C$5:$C$359,Конструкторы!$A421)</f>
        <v>0</v>
      </c>
      <c r="R421" s="166">
        <f>SUMIFS(Продажи!O$5:O$359,Продажи!$D$5:$D$359,Конструкторы!$B421,Продажи!$C$5:$C$359,Конструкторы!$A421)</f>
        <v>0</v>
      </c>
      <c r="S421" s="166">
        <f>SUMIFS(Продажи!P$5:P$359,Продажи!$D$5:$D$359,Конструкторы!$B421,Продажи!$C$5:$C$359,Конструкторы!$A421)</f>
        <v>0</v>
      </c>
      <c r="T421" s="166">
        <f>SUMIFS(Продажи!Q$5:Q$359,Продажи!$D$5:$D$359,Конструкторы!$B421,Продажи!$C$5:$C$359,Конструкторы!$A421)</f>
        <v>0</v>
      </c>
    </row>
    <row r="422" spans="1:20" ht="15.75" hidden="1" x14ac:dyDescent="0.25">
      <c r="A422" s="166" t="s">
        <v>397</v>
      </c>
      <c r="B422" s="167" t="s">
        <v>347</v>
      </c>
      <c r="C422" s="33" t="s">
        <v>87</v>
      </c>
      <c r="D422" s="149"/>
      <c r="E422" s="153" t="s">
        <v>70</v>
      </c>
      <c r="F422" s="148">
        <v>6</v>
      </c>
      <c r="G422" s="156" t="s">
        <v>71</v>
      </c>
      <c r="H422" s="156">
        <f>F422</f>
        <v>6</v>
      </c>
      <c r="I422" s="166">
        <f>SUMIFS(Продажи!F$5:F$359,Продажи!$D$5:$D$359,Конструкторы!$B422,Продажи!$C$5:$C$359,Конструкторы!$A422)</f>
        <v>0</v>
      </c>
      <c r="J422" s="166">
        <f>SUMIFS(Продажи!G$5:G$359,Продажи!$D$5:$D$359,Конструкторы!$B422,Продажи!$C$5:$C$359,Конструкторы!$A422)</f>
        <v>0</v>
      </c>
      <c r="K422" s="166">
        <f>SUMIFS(Продажи!H$5:H$359,Продажи!$D$5:$D$359,Конструкторы!$B422,Продажи!$C$5:$C$359,Конструкторы!$A422)</f>
        <v>0</v>
      </c>
      <c r="L422" s="166">
        <f>SUMIFS(Продажи!I$5:I$359,Продажи!$D$5:$D$359,Конструкторы!$B422,Продажи!$C$5:$C$359,Конструкторы!$A422)</f>
        <v>0</v>
      </c>
      <c r="M422" s="166">
        <f>SUMIFS(Продажи!J$5:J$359,Продажи!$D$5:$D$359,Конструкторы!$B422,Продажи!$C$5:$C$359,Конструкторы!$A422)</f>
        <v>0</v>
      </c>
      <c r="N422" s="166">
        <f>SUMIFS(Продажи!K$5:K$359,Продажи!$D$5:$D$359,Конструкторы!$B422,Продажи!$C$5:$C$359,Конструкторы!$A422)</f>
        <v>0</v>
      </c>
      <c r="O422" s="166">
        <f>SUMIFS(Продажи!L$5:L$359,Продажи!$D$5:$D$359,Конструкторы!$B422,Продажи!$C$5:$C$359,Конструкторы!$A422)</f>
        <v>0</v>
      </c>
      <c r="P422" s="166">
        <f>SUMIFS(Продажи!M$5:M$359,Продажи!$D$5:$D$359,Конструкторы!$B422,Продажи!$C$5:$C$359,Конструкторы!$A422)</f>
        <v>0</v>
      </c>
      <c r="Q422" s="166">
        <f>SUMIFS(Продажи!N$5:N$359,Продажи!$D$5:$D$359,Конструкторы!$B422,Продажи!$C$5:$C$359,Конструкторы!$A422)</f>
        <v>0</v>
      </c>
      <c r="R422" s="166">
        <f>SUMIFS(Продажи!O$5:O$359,Продажи!$D$5:$D$359,Конструкторы!$B422,Продажи!$C$5:$C$359,Конструкторы!$A422)</f>
        <v>0</v>
      </c>
      <c r="S422" s="166">
        <f>SUMIFS(Продажи!P$5:P$359,Продажи!$D$5:$D$359,Конструкторы!$B422,Продажи!$C$5:$C$359,Конструкторы!$A422)</f>
        <v>0</v>
      </c>
      <c r="T422" s="166">
        <f>SUMIFS(Продажи!Q$5:Q$359,Продажи!$D$5:$D$359,Конструкторы!$B422,Продажи!$C$5:$C$359,Конструкторы!$A422)</f>
        <v>0</v>
      </c>
    </row>
    <row r="423" spans="1:20" ht="15.75" hidden="1" x14ac:dyDescent="0.25">
      <c r="A423" s="166" t="s">
        <v>397</v>
      </c>
      <c r="B423" s="167" t="s">
        <v>348</v>
      </c>
      <c r="C423" s="129" t="s">
        <v>62</v>
      </c>
      <c r="D423" s="149"/>
      <c r="E423" s="153" t="s">
        <v>68</v>
      </c>
      <c r="F423" s="156">
        <f>(0.728*103)/100</f>
        <v>0.74983999999999995</v>
      </c>
      <c r="G423" s="156">
        <v>2.1839999999999971E-2</v>
      </c>
      <c r="H423" s="156">
        <f>F423+G423</f>
        <v>0.77167999999999992</v>
      </c>
      <c r="I423" s="166">
        <f>SUMIFS(Продажи!F$5:F$359,Продажи!$D$5:$D$359,Конструкторы!$B423,Продажи!$C$5:$C$359,Конструкторы!$A423)</f>
        <v>0</v>
      </c>
      <c r="J423" s="166">
        <f>SUMIFS(Продажи!G$5:G$359,Продажи!$D$5:$D$359,Конструкторы!$B423,Продажи!$C$5:$C$359,Конструкторы!$A423)</f>
        <v>0</v>
      </c>
      <c r="K423" s="166">
        <f>SUMIFS(Продажи!H$5:H$359,Продажи!$D$5:$D$359,Конструкторы!$B423,Продажи!$C$5:$C$359,Конструкторы!$A423)</f>
        <v>0</v>
      </c>
      <c r="L423" s="166">
        <f>SUMIFS(Продажи!I$5:I$359,Продажи!$D$5:$D$359,Конструкторы!$B423,Продажи!$C$5:$C$359,Конструкторы!$A423)</f>
        <v>0</v>
      </c>
      <c r="M423" s="166">
        <f>SUMIFS(Продажи!J$5:J$359,Продажи!$D$5:$D$359,Конструкторы!$B423,Продажи!$C$5:$C$359,Конструкторы!$A423)</f>
        <v>0</v>
      </c>
      <c r="N423" s="166">
        <f>SUMIFS(Продажи!K$5:K$359,Продажи!$D$5:$D$359,Конструкторы!$B423,Продажи!$C$5:$C$359,Конструкторы!$A423)</f>
        <v>0</v>
      </c>
      <c r="O423" s="166">
        <f>SUMIFS(Продажи!L$5:L$359,Продажи!$D$5:$D$359,Конструкторы!$B423,Продажи!$C$5:$C$359,Конструкторы!$A423)</f>
        <v>0</v>
      </c>
      <c r="P423" s="166">
        <f>SUMIFS(Продажи!M$5:M$359,Продажи!$D$5:$D$359,Конструкторы!$B423,Продажи!$C$5:$C$359,Конструкторы!$A423)</f>
        <v>0</v>
      </c>
      <c r="Q423" s="166">
        <f>SUMIFS(Продажи!N$5:N$359,Продажи!$D$5:$D$359,Конструкторы!$B423,Продажи!$C$5:$C$359,Конструкторы!$A423)</f>
        <v>0</v>
      </c>
      <c r="R423" s="166">
        <f>SUMIFS(Продажи!O$5:O$359,Продажи!$D$5:$D$359,Конструкторы!$B423,Продажи!$C$5:$C$359,Конструкторы!$A423)</f>
        <v>0</v>
      </c>
      <c r="S423" s="166">
        <f>SUMIFS(Продажи!P$5:P$359,Продажи!$D$5:$D$359,Конструкторы!$B423,Продажи!$C$5:$C$359,Конструкторы!$A423)</f>
        <v>0</v>
      </c>
      <c r="T423" s="166">
        <f>SUMIFS(Продажи!Q$5:Q$359,Продажи!$D$5:$D$359,Конструкторы!$B423,Продажи!$C$5:$C$359,Конструкторы!$A423)</f>
        <v>0</v>
      </c>
    </row>
    <row r="424" spans="1:20" ht="15.75" hidden="1" x14ac:dyDescent="0.25">
      <c r="A424" s="166" t="s">
        <v>397</v>
      </c>
      <c r="B424" s="167" t="s">
        <v>348</v>
      </c>
      <c r="C424" s="33" t="s">
        <v>87</v>
      </c>
      <c r="D424" s="149"/>
      <c r="E424" s="153" t="s">
        <v>70</v>
      </c>
      <c r="F424" s="148">
        <v>6</v>
      </c>
      <c r="G424" s="156" t="s">
        <v>71</v>
      </c>
      <c r="H424" s="156">
        <f>F424</f>
        <v>6</v>
      </c>
      <c r="I424" s="166">
        <f>SUMIFS(Продажи!F$5:F$359,Продажи!$D$5:$D$359,Конструкторы!$B424,Продажи!$C$5:$C$359,Конструкторы!$A424)</f>
        <v>0</v>
      </c>
      <c r="J424" s="166">
        <f>SUMIFS(Продажи!G$5:G$359,Продажи!$D$5:$D$359,Конструкторы!$B424,Продажи!$C$5:$C$359,Конструкторы!$A424)</f>
        <v>0</v>
      </c>
      <c r="K424" s="166">
        <f>SUMIFS(Продажи!H$5:H$359,Продажи!$D$5:$D$359,Конструкторы!$B424,Продажи!$C$5:$C$359,Конструкторы!$A424)</f>
        <v>0</v>
      </c>
      <c r="L424" s="166">
        <f>SUMIFS(Продажи!I$5:I$359,Продажи!$D$5:$D$359,Конструкторы!$B424,Продажи!$C$5:$C$359,Конструкторы!$A424)</f>
        <v>0</v>
      </c>
      <c r="M424" s="166">
        <f>SUMIFS(Продажи!J$5:J$359,Продажи!$D$5:$D$359,Конструкторы!$B424,Продажи!$C$5:$C$359,Конструкторы!$A424)</f>
        <v>0</v>
      </c>
      <c r="N424" s="166">
        <f>SUMIFS(Продажи!K$5:K$359,Продажи!$D$5:$D$359,Конструкторы!$B424,Продажи!$C$5:$C$359,Конструкторы!$A424)</f>
        <v>0</v>
      </c>
      <c r="O424" s="166">
        <f>SUMIFS(Продажи!L$5:L$359,Продажи!$D$5:$D$359,Конструкторы!$B424,Продажи!$C$5:$C$359,Конструкторы!$A424)</f>
        <v>0</v>
      </c>
      <c r="P424" s="166">
        <f>SUMIFS(Продажи!M$5:M$359,Продажи!$D$5:$D$359,Конструкторы!$B424,Продажи!$C$5:$C$359,Конструкторы!$A424)</f>
        <v>0</v>
      </c>
      <c r="Q424" s="166">
        <f>SUMIFS(Продажи!N$5:N$359,Продажи!$D$5:$D$359,Конструкторы!$B424,Продажи!$C$5:$C$359,Конструкторы!$A424)</f>
        <v>0</v>
      </c>
      <c r="R424" s="166">
        <f>SUMIFS(Продажи!O$5:O$359,Продажи!$D$5:$D$359,Конструкторы!$B424,Продажи!$C$5:$C$359,Конструкторы!$A424)</f>
        <v>0</v>
      </c>
      <c r="S424" s="166">
        <f>SUMIFS(Продажи!P$5:P$359,Продажи!$D$5:$D$359,Конструкторы!$B424,Продажи!$C$5:$C$359,Конструкторы!$A424)</f>
        <v>0</v>
      </c>
      <c r="T424" s="166">
        <f>SUMIFS(Продажи!Q$5:Q$359,Продажи!$D$5:$D$359,Конструкторы!$B424,Продажи!$C$5:$C$359,Конструкторы!$A424)</f>
        <v>0</v>
      </c>
    </row>
    <row r="425" spans="1:20" ht="15.75" hidden="1" x14ac:dyDescent="0.25">
      <c r="A425" s="166" t="s">
        <v>397</v>
      </c>
      <c r="B425" s="167" t="s">
        <v>349</v>
      </c>
      <c r="C425" s="129" t="s">
        <v>63</v>
      </c>
      <c r="D425" s="149"/>
      <c r="E425" s="153" t="s">
        <v>68</v>
      </c>
      <c r="F425" s="156">
        <f>(0.848*103)/100</f>
        <v>0.87343999999999999</v>
      </c>
      <c r="G425" s="156">
        <v>2.5440000000000018E-2</v>
      </c>
      <c r="H425" s="156">
        <f>F425+G425</f>
        <v>0.89888000000000001</v>
      </c>
      <c r="I425" s="166">
        <f>SUMIFS(Продажи!F$5:F$359,Продажи!$D$5:$D$359,Конструкторы!$B425,Продажи!$C$5:$C$359,Конструкторы!$A425)</f>
        <v>0</v>
      </c>
      <c r="J425" s="166">
        <f>SUMIFS(Продажи!G$5:G$359,Продажи!$D$5:$D$359,Конструкторы!$B425,Продажи!$C$5:$C$359,Конструкторы!$A425)</f>
        <v>0</v>
      </c>
      <c r="K425" s="166">
        <f>SUMIFS(Продажи!H$5:H$359,Продажи!$D$5:$D$359,Конструкторы!$B425,Продажи!$C$5:$C$359,Конструкторы!$A425)</f>
        <v>0</v>
      </c>
      <c r="L425" s="166">
        <f>SUMIFS(Продажи!I$5:I$359,Продажи!$D$5:$D$359,Конструкторы!$B425,Продажи!$C$5:$C$359,Конструкторы!$A425)</f>
        <v>0</v>
      </c>
      <c r="M425" s="166">
        <f>SUMIFS(Продажи!J$5:J$359,Продажи!$D$5:$D$359,Конструкторы!$B425,Продажи!$C$5:$C$359,Конструкторы!$A425)</f>
        <v>0</v>
      </c>
      <c r="N425" s="166">
        <f>SUMIFS(Продажи!K$5:K$359,Продажи!$D$5:$D$359,Конструкторы!$B425,Продажи!$C$5:$C$359,Конструкторы!$A425)</f>
        <v>0</v>
      </c>
      <c r="O425" s="166">
        <f>SUMIFS(Продажи!L$5:L$359,Продажи!$D$5:$D$359,Конструкторы!$B425,Продажи!$C$5:$C$359,Конструкторы!$A425)</f>
        <v>0</v>
      </c>
      <c r="P425" s="166">
        <f>SUMIFS(Продажи!M$5:M$359,Продажи!$D$5:$D$359,Конструкторы!$B425,Продажи!$C$5:$C$359,Конструкторы!$A425)</f>
        <v>0</v>
      </c>
      <c r="Q425" s="166">
        <f>SUMIFS(Продажи!N$5:N$359,Продажи!$D$5:$D$359,Конструкторы!$B425,Продажи!$C$5:$C$359,Конструкторы!$A425)</f>
        <v>0</v>
      </c>
      <c r="R425" s="166">
        <f>SUMIFS(Продажи!O$5:O$359,Продажи!$D$5:$D$359,Конструкторы!$B425,Продажи!$C$5:$C$359,Конструкторы!$A425)</f>
        <v>0</v>
      </c>
      <c r="S425" s="166">
        <f>SUMIFS(Продажи!P$5:P$359,Продажи!$D$5:$D$359,Конструкторы!$B425,Продажи!$C$5:$C$359,Конструкторы!$A425)</f>
        <v>0</v>
      </c>
      <c r="T425" s="166">
        <f>SUMIFS(Продажи!Q$5:Q$359,Продажи!$D$5:$D$359,Конструкторы!$B425,Продажи!$C$5:$C$359,Конструкторы!$A425)</f>
        <v>0</v>
      </c>
    </row>
    <row r="426" spans="1:20" ht="15.75" hidden="1" x14ac:dyDescent="0.25">
      <c r="A426" s="166" t="s">
        <v>397</v>
      </c>
      <c r="B426" s="167" t="s">
        <v>349</v>
      </c>
      <c r="C426" s="33" t="s">
        <v>87</v>
      </c>
      <c r="D426" s="149"/>
      <c r="E426" s="153" t="s">
        <v>70</v>
      </c>
      <c r="F426" s="148">
        <v>6</v>
      </c>
      <c r="G426" s="156" t="s">
        <v>71</v>
      </c>
      <c r="H426" s="156">
        <f>F426</f>
        <v>6</v>
      </c>
      <c r="I426" s="166">
        <f>SUMIFS(Продажи!F$5:F$359,Продажи!$D$5:$D$359,Конструкторы!$B426,Продажи!$C$5:$C$359,Конструкторы!$A426)</f>
        <v>0</v>
      </c>
      <c r="J426" s="166">
        <f>SUMIFS(Продажи!G$5:G$359,Продажи!$D$5:$D$359,Конструкторы!$B426,Продажи!$C$5:$C$359,Конструкторы!$A426)</f>
        <v>0</v>
      </c>
      <c r="K426" s="166">
        <f>SUMIFS(Продажи!H$5:H$359,Продажи!$D$5:$D$359,Конструкторы!$B426,Продажи!$C$5:$C$359,Конструкторы!$A426)</f>
        <v>0</v>
      </c>
      <c r="L426" s="166">
        <f>SUMIFS(Продажи!I$5:I$359,Продажи!$D$5:$D$359,Конструкторы!$B426,Продажи!$C$5:$C$359,Конструкторы!$A426)</f>
        <v>0</v>
      </c>
      <c r="M426" s="166">
        <f>SUMIFS(Продажи!J$5:J$359,Продажи!$D$5:$D$359,Конструкторы!$B426,Продажи!$C$5:$C$359,Конструкторы!$A426)</f>
        <v>0</v>
      </c>
      <c r="N426" s="166">
        <f>SUMIFS(Продажи!K$5:K$359,Продажи!$D$5:$D$359,Конструкторы!$B426,Продажи!$C$5:$C$359,Конструкторы!$A426)</f>
        <v>0</v>
      </c>
      <c r="O426" s="166">
        <f>SUMIFS(Продажи!L$5:L$359,Продажи!$D$5:$D$359,Конструкторы!$B426,Продажи!$C$5:$C$359,Конструкторы!$A426)</f>
        <v>0</v>
      </c>
      <c r="P426" s="166">
        <f>SUMIFS(Продажи!M$5:M$359,Продажи!$D$5:$D$359,Конструкторы!$B426,Продажи!$C$5:$C$359,Конструкторы!$A426)</f>
        <v>0</v>
      </c>
      <c r="Q426" s="166">
        <f>SUMIFS(Продажи!N$5:N$359,Продажи!$D$5:$D$359,Конструкторы!$B426,Продажи!$C$5:$C$359,Конструкторы!$A426)</f>
        <v>0</v>
      </c>
      <c r="R426" s="166">
        <f>SUMIFS(Продажи!O$5:O$359,Продажи!$D$5:$D$359,Конструкторы!$B426,Продажи!$C$5:$C$359,Конструкторы!$A426)</f>
        <v>0</v>
      </c>
      <c r="S426" s="166">
        <f>SUMIFS(Продажи!P$5:P$359,Продажи!$D$5:$D$359,Конструкторы!$B426,Продажи!$C$5:$C$359,Конструкторы!$A426)</f>
        <v>0</v>
      </c>
      <c r="T426" s="166">
        <f>SUMIFS(Продажи!Q$5:Q$359,Продажи!$D$5:$D$359,Конструкторы!$B426,Продажи!$C$5:$C$359,Конструкторы!$A426)</f>
        <v>0</v>
      </c>
    </row>
    <row r="427" spans="1:20" ht="15.75" hidden="1" x14ac:dyDescent="0.25">
      <c r="A427" s="166" t="s">
        <v>397</v>
      </c>
      <c r="B427" s="167" t="s">
        <v>251</v>
      </c>
      <c r="C427" s="129" t="s">
        <v>60</v>
      </c>
      <c r="D427" s="149"/>
      <c r="E427" s="153" t="s">
        <v>68</v>
      </c>
      <c r="F427" s="156">
        <f>(0.528*103)/100</f>
        <v>0.54383999999999999</v>
      </c>
      <c r="G427" s="156">
        <v>1.5839999999999965E-2</v>
      </c>
      <c r="H427" s="156">
        <f>F427+G427</f>
        <v>0.55967999999999996</v>
      </c>
      <c r="I427" s="166">
        <f>SUMIFS(Продажи!F$5:F$359,Продажи!$D$5:$D$359,Конструкторы!$B427,Продажи!$C$5:$C$359,Конструкторы!$A427)</f>
        <v>0</v>
      </c>
      <c r="J427" s="166">
        <f>SUMIFS(Продажи!G$5:G$359,Продажи!$D$5:$D$359,Конструкторы!$B427,Продажи!$C$5:$C$359,Конструкторы!$A427)</f>
        <v>0</v>
      </c>
      <c r="K427" s="166">
        <f>SUMIFS(Продажи!H$5:H$359,Продажи!$D$5:$D$359,Конструкторы!$B427,Продажи!$C$5:$C$359,Конструкторы!$A427)</f>
        <v>0</v>
      </c>
      <c r="L427" s="166">
        <f>SUMIFS(Продажи!I$5:I$359,Продажи!$D$5:$D$359,Конструкторы!$B427,Продажи!$C$5:$C$359,Конструкторы!$A427)</f>
        <v>0</v>
      </c>
      <c r="M427" s="166">
        <f>SUMIFS(Продажи!J$5:J$359,Продажи!$D$5:$D$359,Конструкторы!$B427,Продажи!$C$5:$C$359,Конструкторы!$A427)</f>
        <v>0</v>
      </c>
      <c r="N427" s="166">
        <f>SUMIFS(Продажи!K$5:K$359,Продажи!$D$5:$D$359,Конструкторы!$B427,Продажи!$C$5:$C$359,Конструкторы!$A427)</f>
        <v>0</v>
      </c>
      <c r="O427" s="166">
        <f>SUMIFS(Продажи!L$5:L$359,Продажи!$D$5:$D$359,Конструкторы!$B427,Продажи!$C$5:$C$359,Конструкторы!$A427)</f>
        <v>0</v>
      </c>
      <c r="P427" s="166">
        <f>SUMIFS(Продажи!M$5:M$359,Продажи!$D$5:$D$359,Конструкторы!$B427,Продажи!$C$5:$C$359,Конструкторы!$A427)</f>
        <v>0</v>
      </c>
      <c r="Q427" s="166">
        <f>SUMIFS(Продажи!N$5:N$359,Продажи!$D$5:$D$359,Конструкторы!$B427,Продажи!$C$5:$C$359,Конструкторы!$A427)</f>
        <v>0</v>
      </c>
      <c r="R427" s="166">
        <f>SUMIFS(Продажи!O$5:O$359,Продажи!$D$5:$D$359,Конструкторы!$B427,Продажи!$C$5:$C$359,Конструкторы!$A427)</f>
        <v>0</v>
      </c>
      <c r="S427" s="166">
        <f>SUMIFS(Продажи!P$5:P$359,Продажи!$D$5:$D$359,Конструкторы!$B427,Продажи!$C$5:$C$359,Конструкторы!$A427)</f>
        <v>0</v>
      </c>
      <c r="T427" s="166">
        <f>SUMIFS(Продажи!Q$5:Q$359,Продажи!$D$5:$D$359,Конструкторы!$B427,Продажи!$C$5:$C$359,Конструкторы!$A427)</f>
        <v>0</v>
      </c>
    </row>
    <row r="428" spans="1:20" ht="15.75" hidden="1" x14ac:dyDescent="0.25">
      <c r="A428" s="166" t="s">
        <v>397</v>
      </c>
      <c r="B428" s="167" t="s">
        <v>251</v>
      </c>
      <c r="C428" s="33" t="s">
        <v>76</v>
      </c>
      <c r="D428" s="149"/>
      <c r="E428" s="153" t="s">
        <v>70</v>
      </c>
      <c r="F428" s="148">
        <v>4</v>
      </c>
      <c r="G428" s="156" t="s">
        <v>71</v>
      </c>
      <c r="H428" s="156">
        <f>F428</f>
        <v>4</v>
      </c>
      <c r="I428" s="166">
        <f>SUMIFS(Продажи!F$5:F$359,Продажи!$D$5:$D$359,Конструкторы!$B428,Продажи!$C$5:$C$359,Конструкторы!$A428)</f>
        <v>0</v>
      </c>
      <c r="J428" s="166">
        <f>SUMIFS(Продажи!G$5:G$359,Продажи!$D$5:$D$359,Конструкторы!$B428,Продажи!$C$5:$C$359,Конструкторы!$A428)</f>
        <v>0</v>
      </c>
      <c r="K428" s="166">
        <f>SUMIFS(Продажи!H$5:H$359,Продажи!$D$5:$D$359,Конструкторы!$B428,Продажи!$C$5:$C$359,Конструкторы!$A428)</f>
        <v>0</v>
      </c>
      <c r="L428" s="166">
        <f>SUMIFS(Продажи!I$5:I$359,Продажи!$D$5:$D$359,Конструкторы!$B428,Продажи!$C$5:$C$359,Конструкторы!$A428)</f>
        <v>0</v>
      </c>
      <c r="M428" s="166">
        <f>SUMIFS(Продажи!J$5:J$359,Продажи!$D$5:$D$359,Конструкторы!$B428,Продажи!$C$5:$C$359,Конструкторы!$A428)</f>
        <v>0</v>
      </c>
      <c r="N428" s="166">
        <f>SUMIFS(Продажи!K$5:K$359,Продажи!$D$5:$D$359,Конструкторы!$B428,Продажи!$C$5:$C$359,Конструкторы!$A428)</f>
        <v>0</v>
      </c>
      <c r="O428" s="166">
        <f>SUMIFS(Продажи!L$5:L$359,Продажи!$D$5:$D$359,Конструкторы!$B428,Продажи!$C$5:$C$359,Конструкторы!$A428)</f>
        <v>0</v>
      </c>
      <c r="P428" s="166">
        <f>SUMIFS(Продажи!M$5:M$359,Продажи!$D$5:$D$359,Конструкторы!$B428,Продажи!$C$5:$C$359,Конструкторы!$A428)</f>
        <v>0</v>
      </c>
      <c r="Q428" s="166">
        <f>SUMIFS(Продажи!N$5:N$359,Продажи!$D$5:$D$359,Конструкторы!$B428,Продажи!$C$5:$C$359,Конструкторы!$A428)</f>
        <v>0</v>
      </c>
      <c r="R428" s="166">
        <f>SUMIFS(Продажи!O$5:O$359,Продажи!$D$5:$D$359,Конструкторы!$B428,Продажи!$C$5:$C$359,Конструкторы!$A428)</f>
        <v>0</v>
      </c>
      <c r="S428" s="166">
        <f>SUMIFS(Продажи!P$5:P$359,Продажи!$D$5:$D$359,Конструкторы!$B428,Продажи!$C$5:$C$359,Конструкторы!$A428)</f>
        <v>0</v>
      </c>
      <c r="T428" s="166">
        <f>SUMIFS(Продажи!Q$5:Q$359,Продажи!$D$5:$D$359,Конструкторы!$B428,Продажи!$C$5:$C$359,Конструкторы!$A428)</f>
        <v>0</v>
      </c>
    </row>
    <row r="429" spans="1:20" ht="15.75" hidden="1" x14ac:dyDescent="0.25">
      <c r="A429" s="166" t="s">
        <v>397</v>
      </c>
      <c r="B429" s="167" t="s">
        <v>252</v>
      </c>
      <c r="C429" s="129" t="s">
        <v>61</v>
      </c>
      <c r="D429" s="149"/>
      <c r="E429" s="153" t="s">
        <v>68</v>
      </c>
      <c r="F429" s="156">
        <f>(0.528*103)/100</f>
        <v>0.54383999999999999</v>
      </c>
      <c r="G429" s="156">
        <v>1.5839999999999965E-2</v>
      </c>
      <c r="H429" s="156">
        <f>F429+G429</f>
        <v>0.55967999999999996</v>
      </c>
      <c r="I429" s="166">
        <f>SUMIFS(Продажи!F$5:F$359,Продажи!$D$5:$D$359,Конструкторы!$B429,Продажи!$C$5:$C$359,Конструкторы!$A429)</f>
        <v>0</v>
      </c>
      <c r="J429" s="166">
        <f>SUMIFS(Продажи!G$5:G$359,Продажи!$D$5:$D$359,Конструкторы!$B429,Продажи!$C$5:$C$359,Конструкторы!$A429)</f>
        <v>0</v>
      </c>
      <c r="K429" s="166">
        <f>SUMIFS(Продажи!H$5:H$359,Продажи!$D$5:$D$359,Конструкторы!$B429,Продажи!$C$5:$C$359,Конструкторы!$A429)</f>
        <v>0</v>
      </c>
      <c r="L429" s="166">
        <f>SUMIFS(Продажи!I$5:I$359,Продажи!$D$5:$D$359,Конструкторы!$B429,Продажи!$C$5:$C$359,Конструкторы!$A429)</f>
        <v>0</v>
      </c>
      <c r="M429" s="166">
        <f>SUMIFS(Продажи!J$5:J$359,Продажи!$D$5:$D$359,Конструкторы!$B429,Продажи!$C$5:$C$359,Конструкторы!$A429)</f>
        <v>0</v>
      </c>
      <c r="N429" s="166">
        <f>SUMIFS(Продажи!K$5:K$359,Продажи!$D$5:$D$359,Конструкторы!$B429,Продажи!$C$5:$C$359,Конструкторы!$A429)</f>
        <v>0</v>
      </c>
      <c r="O429" s="166">
        <f>SUMIFS(Продажи!L$5:L$359,Продажи!$D$5:$D$359,Конструкторы!$B429,Продажи!$C$5:$C$359,Конструкторы!$A429)</f>
        <v>0</v>
      </c>
      <c r="P429" s="166">
        <f>SUMIFS(Продажи!M$5:M$359,Продажи!$D$5:$D$359,Конструкторы!$B429,Продажи!$C$5:$C$359,Конструкторы!$A429)</f>
        <v>0</v>
      </c>
      <c r="Q429" s="166">
        <f>SUMIFS(Продажи!N$5:N$359,Продажи!$D$5:$D$359,Конструкторы!$B429,Продажи!$C$5:$C$359,Конструкторы!$A429)</f>
        <v>0</v>
      </c>
      <c r="R429" s="166">
        <f>SUMIFS(Продажи!O$5:O$359,Продажи!$D$5:$D$359,Конструкторы!$B429,Продажи!$C$5:$C$359,Конструкторы!$A429)</f>
        <v>0</v>
      </c>
      <c r="S429" s="166">
        <f>SUMIFS(Продажи!P$5:P$359,Продажи!$D$5:$D$359,Конструкторы!$B429,Продажи!$C$5:$C$359,Конструкторы!$A429)</f>
        <v>0</v>
      </c>
      <c r="T429" s="166">
        <f>SUMIFS(Продажи!Q$5:Q$359,Продажи!$D$5:$D$359,Конструкторы!$B429,Продажи!$C$5:$C$359,Конструкторы!$A429)</f>
        <v>0</v>
      </c>
    </row>
    <row r="430" spans="1:20" ht="15.75" hidden="1" x14ac:dyDescent="0.25">
      <c r="A430" s="166" t="s">
        <v>397</v>
      </c>
      <c r="B430" s="167" t="s">
        <v>252</v>
      </c>
      <c r="C430" s="33" t="s">
        <v>76</v>
      </c>
      <c r="D430" s="149"/>
      <c r="E430" s="153" t="s">
        <v>70</v>
      </c>
      <c r="F430" s="148">
        <v>4</v>
      </c>
      <c r="G430" s="156" t="s">
        <v>71</v>
      </c>
      <c r="H430" s="156">
        <f>F430</f>
        <v>4</v>
      </c>
      <c r="I430" s="166">
        <f>SUMIFS(Продажи!F$5:F$359,Продажи!$D$5:$D$359,Конструкторы!$B430,Продажи!$C$5:$C$359,Конструкторы!$A430)</f>
        <v>0</v>
      </c>
      <c r="J430" s="166">
        <f>SUMIFS(Продажи!G$5:G$359,Продажи!$D$5:$D$359,Конструкторы!$B430,Продажи!$C$5:$C$359,Конструкторы!$A430)</f>
        <v>0</v>
      </c>
      <c r="K430" s="166">
        <f>SUMIFS(Продажи!H$5:H$359,Продажи!$D$5:$D$359,Конструкторы!$B430,Продажи!$C$5:$C$359,Конструкторы!$A430)</f>
        <v>0</v>
      </c>
      <c r="L430" s="166">
        <f>SUMIFS(Продажи!I$5:I$359,Продажи!$D$5:$D$359,Конструкторы!$B430,Продажи!$C$5:$C$359,Конструкторы!$A430)</f>
        <v>0</v>
      </c>
      <c r="M430" s="166">
        <f>SUMIFS(Продажи!J$5:J$359,Продажи!$D$5:$D$359,Конструкторы!$B430,Продажи!$C$5:$C$359,Конструкторы!$A430)</f>
        <v>0</v>
      </c>
      <c r="N430" s="166">
        <f>SUMIFS(Продажи!K$5:K$359,Продажи!$D$5:$D$359,Конструкторы!$B430,Продажи!$C$5:$C$359,Конструкторы!$A430)</f>
        <v>0</v>
      </c>
      <c r="O430" s="166">
        <f>SUMIFS(Продажи!L$5:L$359,Продажи!$D$5:$D$359,Конструкторы!$B430,Продажи!$C$5:$C$359,Конструкторы!$A430)</f>
        <v>0</v>
      </c>
      <c r="P430" s="166">
        <f>SUMIFS(Продажи!M$5:M$359,Продажи!$D$5:$D$359,Конструкторы!$B430,Продажи!$C$5:$C$359,Конструкторы!$A430)</f>
        <v>0</v>
      </c>
      <c r="Q430" s="166">
        <f>SUMIFS(Продажи!N$5:N$359,Продажи!$D$5:$D$359,Конструкторы!$B430,Продажи!$C$5:$C$359,Конструкторы!$A430)</f>
        <v>0</v>
      </c>
      <c r="R430" s="166">
        <f>SUMIFS(Продажи!O$5:O$359,Продажи!$D$5:$D$359,Конструкторы!$B430,Продажи!$C$5:$C$359,Конструкторы!$A430)</f>
        <v>0</v>
      </c>
      <c r="S430" s="166">
        <f>SUMIFS(Продажи!P$5:P$359,Продажи!$D$5:$D$359,Конструкторы!$B430,Продажи!$C$5:$C$359,Конструкторы!$A430)</f>
        <v>0</v>
      </c>
      <c r="T430" s="166">
        <f>SUMIFS(Продажи!Q$5:Q$359,Продажи!$D$5:$D$359,Конструкторы!$B430,Продажи!$C$5:$C$359,Конструкторы!$A430)</f>
        <v>0</v>
      </c>
    </row>
    <row r="431" spans="1:20" ht="15.75" hidden="1" x14ac:dyDescent="0.25">
      <c r="A431" s="166" t="s">
        <v>397</v>
      </c>
      <c r="B431" s="167" t="s">
        <v>253</v>
      </c>
      <c r="C431" s="129" t="s">
        <v>62</v>
      </c>
      <c r="D431" s="149"/>
      <c r="E431" s="153" t="s">
        <v>68</v>
      </c>
      <c r="F431" s="156">
        <f>(0.528*103)/100</f>
        <v>0.54383999999999999</v>
      </c>
      <c r="G431" s="156">
        <v>1.5839999999999965E-2</v>
      </c>
      <c r="H431" s="156">
        <f>F431+G431</f>
        <v>0.55967999999999996</v>
      </c>
      <c r="I431" s="166">
        <f>SUMIFS(Продажи!F$5:F$359,Продажи!$D$5:$D$359,Конструкторы!$B431,Продажи!$C$5:$C$359,Конструкторы!$A431)</f>
        <v>0</v>
      </c>
      <c r="J431" s="166">
        <f>SUMIFS(Продажи!G$5:G$359,Продажи!$D$5:$D$359,Конструкторы!$B431,Продажи!$C$5:$C$359,Конструкторы!$A431)</f>
        <v>0</v>
      </c>
      <c r="K431" s="166">
        <f>SUMIFS(Продажи!H$5:H$359,Продажи!$D$5:$D$359,Конструкторы!$B431,Продажи!$C$5:$C$359,Конструкторы!$A431)</f>
        <v>0</v>
      </c>
      <c r="L431" s="166">
        <f>SUMIFS(Продажи!I$5:I$359,Продажи!$D$5:$D$359,Конструкторы!$B431,Продажи!$C$5:$C$359,Конструкторы!$A431)</f>
        <v>0</v>
      </c>
      <c r="M431" s="166">
        <f>SUMIFS(Продажи!J$5:J$359,Продажи!$D$5:$D$359,Конструкторы!$B431,Продажи!$C$5:$C$359,Конструкторы!$A431)</f>
        <v>0</v>
      </c>
      <c r="N431" s="166">
        <f>SUMIFS(Продажи!K$5:K$359,Продажи!$D$5:$D$359,Конструкторы!$B431,Продажи!$C$5:$C$359,Конструкторы!$A431)</f>
        <v>0</v>
      </c>
      <c r="O431" s="166">
        <f>SUMIFS(Продажи!L$5:L$359,Продажи!$D$5:$D$359,Конструкторы!$B431,Продажи!$C$5:$C$359,Конструкторы!$A431)</f>
        <v>0</v>
      </c>
      <c r="P431" s="166">
        <f>SUMIFS(Продажи!M$5:M$359,Продажи!$D$5:$D$359,Конструкторы!$B431,Продажи!$C$5:$C$359,Конструкторы!$A431)</f>
        <v>0</v>
      </c>
      <c r="Q431" s="166">
        <f>SUMIFS(Продажи!N$5:N$359,Продажи!$D$5:$D$359,Конструкторы!$B431,Продажи!$C$5:$C$359,Конструкторы!$A431)</f>
        <v>0</v>
      </c>
      <c r="R431" s="166">
        <f>SUMIFS(Продажи!O$5:O$359,Продажи!$D$5:$D$359,Конструкторы!$B431,Продажи!$C$5:$C$359,Конструкторы!$A431)</f>
        <v>0</v>
      </c>
      <c r="S431" s="166">
        <f>SUMIFS(Продажи!P$5:P$359,Продажи!$D$5:$D$359,Конструкторы!$B431,Продажи!$C$5:$C$359,Конструкторы!$A431)</f>
        <v>0</v>
      </c>
      <c r="T431" s="166">
        <f>SUMIFS(Продажи!Q$5:Q$359,Продажи!$D$5:$D$359,Конструкторы!$B431,Продажи!$C$5:$C$359,Конструкторы!$A431)</f>
        <v>0</v>
      </c>
    </row>
    <row r="432" spans="1:20" ht="15.75" hidden="1" x14ac:dyDescent="0.25">
      <c r="A432" s="166" t="s">
        <v>397</v>
      </c>
      <c r="B432" s="167" t="s">
        <v>253</v>
      </c>
      <c r="C432" s="33" t="s">
        <v>76</v>
      </c>
      <c r="D432" s="149"/>
      <c r="E432" s="153" t="s">
        <v>70</v>
      </c>
      <c r="F432" s="148">
        <v>4</v>
      </c>
      <c r="G432" s="156" t="s">
        <v>71</v>
      </c>
      <c r="H432" s="156">
        <f>F432</f>
        <v>4</v>
      </c>
      <c r="I432" s="166">
        <f>SUMIFS(Продажи!F$5:F$359,Продажи!$D$5:$D$359,Конструкторы!$B432,Продажи!$C$5:$C$359,Конструкторы!$A432)</f>
        <v>0</v>
      </c>
      <c r="J432" s="166">
        <f>SUMIFS(Продажи!G$5:G$359,Продажи!$D$5:$D$359,Конструкторы!$B432,Продажи!$C$5:$C$359,Конструкторы!$A432)</f>
        <v>0</v>
      </c>
      <c r="K432" s="166">
        <f>SUMIFS(Продажи!H$5:H$359,Продажи!$D$5:$D$359,Конструкторы!$B432,Продажи!$C$5:$C$359,Конструкторы!$A432)</f>
        <v>0</v>
      </c>
      <c r="L432" s="166">
        <f>SUMIFS(Продажи!I$5:I$359,Продажи!$D$5:$D$359,Конструкторы!$B432,Продажи!$C$5:$C$359,Конструкторы!$A432)</f>
        <v>0</v>
      </c>
      <c r="M432" s="166">
        <f>SUMIFS(Продажи!J$5:J$359,Продажи!$D$5:$D$359,Конструкторы!$B432,Продажи!$C$5:$C$359,Конструкторы!$A432)</f>
        <v>0</v>
      </c>
      <c r="N432" s="166">
        <f>SUMIFS(Продажи!K$5:K$359,Продажи!$D$5:$D$359,Конструкторы!$B432,Продажи!$C$5:$C$359,Конструкторы!$A432)</f>
        <v>0</v>
      </c>
      <c r="O432" s="166">
        <f>SUMIFS(Продажи!L$5:L$359,Продажи!$D$5:$D$359,Конструкторы!$B432,Продажи!$C$5:$C$359,Конструкторы!$A432)</f>
        <v>0</v>
      </c>
      <c r="P432" s="166">
        <f>SUMIFS(Продажи!M$5:M$359,Продажи!$D$5:$D$359,Конструкторы!$B432,Продажи!$C$5:$C$359,Конструкторы!$A432)</f>
        <v>0</v>
      </c>
      <c r="Q432" s="166">
        <f>SUMIFS(Продажи!N$5:N$359,Продажи!$D$5:$D$359,Конструкторы!$B432,Продажи!$C$5:$C$359,Конструкторы!$A432)</f>
        <v>0</v>
      </c>
      <c r="R432" s="166">
        <f>SUMIFS(Продажи!O$5:O$359,Продажи!$D$5:$D$359,Конструкторы!$B432,Продажи!$C$5:$C$359,Конструкторы!$A432)</f>
        <v>0</v>
      </c>
      <c r="S432" s="166">
        <f>SUMIFS(Продажи!P$5:P$359,Продажи!$D$5:$D$359,Конструкторы!$B432,Продажи!$C$5:$C$359,Конструкторы!$A432)</f>
        <v>0</v>
      </c>
      <c r="T432" s="166">
        <f>SUMIFS(Продажи!Q$5:Q$359,Продажи!$D$5:$D$359,Конструкторы!$B432,Продажи!$C$5:$C$359,Конструкторы!$A432)</f>
        <v>0</v>
      </c>
    </row>
    <row r="433" spans="1:20" ht="15.75" hidden="1" x14ac:dyDescent="0.25">
      <c r="A433" s="166" t="s">
        <v>397</v>
      </c>
      <c r="B433" s="167" t="s">
        <v>254</v>
      </c>
      <c r="C433" s="129" t="s">
        <v>63</v>
      </c>
      <c r="D433" s="149"/>
      <c r="E433" s="153" t="s">
        <v>68</v>
      </c>
      <c r="F433" s="156">
        <f>(0.528*103)/100</f>
        <v>0.54383999999999999</v>
      </c>
      <c r="G433" s="156">
        <v>1.5839999999999965E-2</v>
      </c>
      <c r="H433" s="156">
        <f>F433+G433</f>
        <v>0.55967999999999996</v>
      </c>
      <c r="I433" s="166">
        <f>SUMIFS(Продажи!F$5:F$359,Продажи!$D$5:$D$359,Конструкторы!$B433,Продажи!$C$5:$C$359,Конструкторы!$A433)</f>
        <v>0</v>
      </c>
      <c r="J433" s="166">
        <f>SUMIFS(Продажи!G$5:G$359,Продажи!$D$5:$D$359,Конструкторы!$B433,Продажи!$C$5:$C$359,Конструкторы!$A433)</f>
        <v>0</v>
      </c>
      <c r="K433" s="166">
        <f>SUMIFS(Продажи!H$5:H$359,Продажи!$D$5:$D$359,Конструкторы!$B433,Продажи!$C$5:$C$359,Конструкторы!$A433)</f>
        <v>0</v>
      </c>
      <c r="L433" s="166">
        <f>SUMIFS(Продажи!I$5:I$359,Продажи!$D$5:$D$359,Конструкторы!$B433,Продажи!$C$5:$C$359,Конструкторы!$A433)</f>
        <v>0</v>
      </c>
      <c r="M433" s="166">
        <f>SUMIFS(Продажи!J$5:J$359,Продажи!$D$5:$D$359,Конструкторы!$B433,Продажи!$C$5:$C$359,Конструкторы!$A433)</f>
        <v>0</v>
      </c>
      <c r="N433" s="166">
        <f>SUMIFS(Продажи!K$5:K$359,Продажи!$D$5:$D$359,Конструкторы!$B433,Продажи!$C$5:$C$359,Конструкторы!$A433)</f>
        <v>0</v>
      </c>
      <c r="O433" s="166">
        <f>SUMIFS(Продажи!L$5:L$359,Продажи!$D$5:$D$359,Конструкторы!$B433,Продажи!$C$5:$C$359,Конструкторы!$A433)</f>
        <v>0</v>
      </c>
      <c r="P433" s="166">
        <f>SUMIFS(Продажи!M$5:M$359,Продажи!$D$5:$D$359,Конструкторы!$B433,Продажи!$C$5:$C$359,Конструкторы!$A433)</f>
        <v>0</v>
      </c>
      <c r="Q433" s="166">
        <f>SUMIFS(Продажи!N$5:N$359,Продажи!$D$5:$D$359,Конструкторы!$B433,Продажи!$C$5:$C$359,Конструкторы!$A433)</f>
        <v>0</v>
      </c>
      <c r="R433" s="166">
        <f>SUMIFS(Продажи!O$5:O$359,Продажи!$D$5:$D$359,Конструкторы!$B433,Продажи!$C$5:$C$359,Конструкторы!$A433)</f>
        <v>0</v>
      </c>
      <c r="S433" s="166">
        <f>SUMIFS(Продажи!P$5:P$359,Продажи!$D$5:$D$359,Конструкторы!$B433,Продажи!$C$5:$C$359,Конструкторы!$A433)</f>
        <v>0</v>
      </c>
      <c r="T433" s="166">
        <f>SUMIFS(Продажи!Q$5:Q$359,Продажи!$D$5:$D$359,Конструкторы!$B433,Продажи!$C$5:$C$359,Конструкторы!$A433)</f>
        <v>0</v>
      </c>
    </row>
    <row r="434" spans="1:20" ht="15.75" hidden="1" x14ac:dyDescent="0.25">
      <c r="A434" s="166" t="s">
        <v>397</v>
      </c>
      <c r="B434" s="167" t="s">
        <v>254</v>
      </c>
      <c r="C434" s="33" t="s">
        <v>76</v>
      </c>
      <c r="D434" s="149"/>
      <c r="E434" s="153" t="s">
        <v>70</v>
      </c>
      <c r="F434" s="148">
        <v>4</v>
      </c>
      <c r="G434" s="156" t="s">
        <v>71</v>
      </c>
      <c r="H434" s="156">
        <f>F434</f>
        <v>4</v>
      </c>
      <c r="I434" s="166">
        <f>SUMIFS(Продажи!F$5:F$359,Продажи!$D$5:$D$359,Конструкторы!$B434,Продажи!$C$5:$C$359,Конструкторы!$A434)</f>
        <v>0</v>
      </c>
      <c r="J434" s="166">
        <f>SUMIFS(Продажи!G$5:G$359,Продажи!$D$5:$D$359,Конструкторы!$B434,Продажи!$C$5:$C$359,Конструкторы!$A434)</f>
        <v>0</v>
      </c>
      <c r="K434" s="166">
        <f>SUMIFS(Продажи!H$5:H$359,Продажи!$D$5:$D$359,Конструкторы!$B434,Продажи!$C$5:$C$359,Конструкторы!$A434)</f>
        <v>0</v>
      </c>
      <c r="L434" s="166">
        <f>SUMIFS(Продажи!I$5:I$359,Продажи!$D$5:$D$359,Конструкторы!$B434,Продажи!$C$5:$C$359,Конструкторы!$A434)</f>
        <v>0</v>
      </c>
      <c r="M434" s="166">
        <f>SUMIFS(Продажи!J$5:J$359,Продажи!$D$5:$D$359,Конструкторы!$B434,Продажи!$C$5:$C$359,Конструкторы!$A434)</f>
        <v>0</v>
      </c>
      <c r="N434" s="166">
        <f>SUMIFS(Продажи!K$5:K$359,Продажи!$D$5:$D$359,Конструкторы!$B434,Продажи!$C$5:$C$359,Конструкторы!$A434)</f>
        <v>0</v>
      </c>
      <c r="O434" s="166">
        <f>SUMIFS(Продажи!L$5:L$359,Продажи!$D$5:$D$359,Конструкторы!$B434,Продажи!$C$5:$C$359,Конструкторы!$A434)</f>
        <v>0</v>
      </c>
      <c r="P434" s="166">
        <f>SUMIFS(Продажи!M$5:M$359,Продажи!$D$5:$D$359,Конструкторы!$B434,Продажи!$C$5:$C$359,Конструкторы!$A434)</f>
        <v>0</v>
      </c>
      <c r="Q434" s="166">
        <f>SUMIFS(Продажи!N$5:N$359,Продажи!$D$5:$D$359,Конструкторы!$B434,Продажи!$C$5:$C$359,Конструкторы!$A434)</f>
        <v>0</v>
      </c>
      <c r="R434" s="166">
        <f>SUMIFS(Продажи!O$5:O$359,Продажи!$D$5:$D$359,Конструкторы!$B434,Продажи!$C$5:$C$359,Конструкторы!$A434)</f>
        <v>0</v>
      </c>
      <c r="S434" s="166">
        <f>SUMIFS(Продажи!P$5:P$359,Продажи!$D$5:$D$359,Конструкторы!$B434,Продажи!$C$5:$C$359,Конструкторы!$A434)</f>
        <v>0</v>
      </c>
      <c r="T434" s="166">
        <f>SUMIFS(Продажи!Q$5:Q$359,Продажи!$D$5:$D$359,Конструкторы!$B434,Продажи!$C$5:$C$359,Конструкторы!$A434)</f>
        <v>0</v>
      </c>
    </row>
    <row r="435" spans="1:20" ht="15.75" hidden="1" x14ac:dyDescent="0.25">
      <c r="A435" s="166" t="s">
        <v>397</v>
      </c>
      <c r="B435" s="167" t="s">
        <v>255</v>
      </c>
      <c r="C435" s="129" t="s">
        <v>60</v>
      </c>
      <c r="D435" s="149"/>
      <c r="E435" s="153" t="s">
        <v>68</v>
      </c>
      <c r="F435" s="156">
        <f>(0.528*103)/100</f>
        <v>0.54383999999999999</v>
      </c>
      <c r="G435" s="156">
        <v>1.5839999999999965E-2</v>
      </c>
      <c r="H435" s="156">
        <f>F435+G435</f>
        <v>0.55967999999999996</v>
      </c>
      <c r="I435" s="166">
        <f>SUMIFS(Продажи!F$5:F$359,Продажи!$D$5:$D$359,Конструкторы!$B435,Продажи!$C$5:$C$359,Конструкторы!$A435)</f>
        <v>0</v>
      </c>
      <c r="J435" s="166">
        <f>SUMIFS(Продажи!G$5:G$359,Продажи!$D$5:$D$359,Конструкторы!$B435,Продажи!$C$5:$C$359,Конструкторы!$A435)</f>
        <v>0</v>
      </c>
      <c r="K435" s="166">
        <f>SUMIFS(Продажи!H$5:H$359,Продажи!$D$5:$D$359,Конструкторы!$B435,Продажи!$C$5:$C$359,Конструкторы!$A435)</f>
        <v>0</v>
      </c>
      <c r="L435" s="166">
        <f>SUMIFS(Продажи!I$5:I$359,Продажи!$D$5:$D$359,Конструкторы!$B435,Продажи!$C$5:$C$359,Конструкторы!$A435)</f>
        <v>0</v>
      </c>
      <c r="M435" s="166">
        <f>SUMIFS(Продажи!J$5:J$359,Продажи!$D$5:$D$359,Конструкторы!$B435,Продажи!$C$5:$C$359,Конструкторы!$A435)</f>
        <v>0</v>
      </c>
      <c r="N435" s="166">
        <f>SUMIFS(Продажи!K$5:K$359,Продажи!$D$5:$D$359,Конструкторы!$B435,Продажи!$C$5:$C$359,Конструкторы!$A435)</f>
        <v>0</v>
      </c>
      <c r="O435" s="166">
        <f>SUMIFS(Продажи!L$5:L$359,Продажи!$D$5:$D$359,Конструкторы!$B435,Продажи!$C$5:$C$359,Конструкторы!$A435)</f>
        <v>0</v>
      </c>
      <c r="P435" s="166">
        <f>SUMIFS(Продажи!M$5:M$359,Продажи!$D$5:$D$359,Конструкторы!$B435,Продажи!$C$5:$C$359,Конструкторы!$A435)</f>
        <v>0</v>
      </c>
      <c r="Q435" s="166">
        <f>SUMIFS(Продажи!N$5:N$359,Продажи!$D$5:$D$359,Конструкторы!$B435,Продажи!$C$5:$C$359,Конструкторы!$A435)</f>
        <v>0</v>
      </c>
      <c r="R435" s="166">
        <f>SUMIFS(Продажи!O$5:O$359,Продажи!$D$5:$D$359,Конструкторы!$B435,Продажи!$C$5:$C$359,Конструкторы!$A435)</f>
        <v>0</v>
      </c>
      <c r="S435" s="166">
        <f>SUMIFS(Продажи!P$5:P$359,Продажи!$D$5:$D$359,Конструкторы!$B435,Продажи!$C$5:$C$359,Конструкторы!$A435)</f>
        <v>0</v>
      </c>
      <c r="T435" s="166">
        <f>SUMIFS(Продажи!Q$5:Q$359,Продажи!$D$5:$D$359,Конструкторы!$B435,Продажи!$C$5:$C$359,Конструкторы!$A435)</f>
        <v>0</v>
      </c>
    </row>
    <row r="436" spans="1:20" ht="15.75" hidden="1" x14ac:dyDescent="0.25">
      <c r="A436" s="166" t="s">
        <v>397</v>
      </c>
      <c r="B436" s="167" t="s">
        <v>255</v>
      </c>
      <c r="C436" s="33" t="s">
        <v>76</v>
      </c>
      <c r="D436" s="149"/>
      <c r="E436" s="153" t="s">
        <v>70</v>
      </c>
      <c r="F436" s="148">
        <v>4</v>
      </c>
      <c r="G436" s="156" t="s">
        <v>71</v>
      </c>
      <c r="H436" s="156">
        <f>F436</f>
        <v>4</v>
      </c>
      <c r="I436" s="166">
        <f>SUMIFS(Продажи!F$5:F$359,Продажи!$D$5:$D$359,Конструкторы!$B436,Продажи!$C$5:$C$359,Конструкторы!$A436)</f>
        <v>0</v>
      </c>
      <c r="J436" s="166">
        <f>SUMIFS(Продажи!G$5:G$359,Продажи!$D$5:$D$359,Конструкторы!$B436,Продажи!$C$5:$C$359,Конструкторы!$A436)</f>
        <v>0</v>
      </c>
      <c r="K436" s="166">
        <f>SUMIFS(Продажи!H$5:H$359,Продажи!$D$5:$D$359,Конструкторы!$B436,Продажи!$C$5:$C$359,Конструкторы!$A436)</f>
        <v>0</v>
      </c>
      <c r="L436" s="166">
        <f>SUMIFS(Продажи!I$5:I$359,Продажи!$D$5:$D$359,Конструкторы!$B436,Продажи!$C$5:$C$359,Конструкторы!$A436)</f>
        <v>0</v>
      </c>
      <c r="M436" s="166">
        <f>SUMIFS(Продажи!J$5:J$359,Продажи!$D$5:$D$359,Конструкторы!$B436,Продажи!$C$5:$C$359,Конструкторы!$A436)</f>
        <v>0</v>
      </c>
      <c r="N436" s="166">
        <f>SUMIFS(Продажи!K$5:K$359,Продажи!$D$5:$D$359,Конструкторы!$B436,Продажи!$C$5:$C$359,Конструкторы!$A436)</f>
        <v>0</v>
      </c>
      <c r="O436" s="166">
        <f>SUMIFS(Продажи!L$5:L$359,Продажи!$D$5:$D$359,Конструкторы!$B436,Продажи!$C$5:$C$359,Конструкторы!$A436)</f>
        <v>0</v>
      </c>
      <c r="P436" s="166">
        <f>SUMIFS(Продажи!M$5:M$359,Продажи!$D$5:$D$359,Конструкторы!$B436,Продажи!$C$5:$C$359,Конструкторы!$A436)</f>
        <v>0</v>
      </c>
      <c r="Q436" s="166">
        <f>SUMIFS(Продажи!N$5:N$359,Продажи!$D$5:$D$359,Конструкторы!$B436,Продажи!$C$5:$C$359,Конструкторы!$A436)</f>
        <v>0</v>
      </c>
      <c r="R436" s="166">
        <f>SUMIFS(Продажи!O$5:O$359,Продажи!$D$5:$D$359,Конструкторы!$B436,Продажи!$C$5:$C$359,Конструкторы!$A436)</f>
        <v>0</v>
      </c>
      <c r="S436" s="166">
        <f>SUMIFS(Продажи!P$5:P$359,Продажи!$D$5:$D$359,Конструкторы!$B436,Продажи!$C$5:$C$359,Конструкторы!$A436)</f>
        <v>0</v>
      </c>
      <c r="T436" s="166">
        <f>SUMIFS(Продажи!Q$5:Q$359,Продажи!$D$5:$D$359,Конструкторы!$B436,Продажи!$C$5:$C$359,Конструкторы!$A436)</f>
        <v>0</v>
      </c>
    </row>
    <row r="437" spans="1:20" ht="15.75" hidden="1" x14ac:dyDescent="0.25">
      <c r="A437" s="166" t="s">
        <v>397</v>
      </c>
      <c r="B437" s="167" t="s">
        <v>236</v>
      </c>
      <c r="C437" s="129" t="s">
        <v>60</v>
      </c>
      <c r="D437" s="149"/>
      <c r="E437" s="153" t="s">
        <v>68</v>
      </c>
      <c r="F437" s="156">
        <f>(0.6*103)/100</f>
        <v>0.61799999999999999</v>
      </c>
      <c r="G437" s="156">
        <v>1.8000000000000016E-2</v>
      </c>
      <c r="H437" s="156">
        <f>F437+G437</f>
        <v>0.63600000000000001</v>
      </c>
      <c r="I437" s="166">
        <f>SUMIFS(Продажи!F$5:F$359,Продажи!$D$5:$D$359,Конструкторы!$B437,Продажи!$C$5:$C$359,Конструкторы!$A437)</f>
        <v>0</v>
      </c>
      <c r="J437" s="166">
        <f>SUMIFS(Продажи!G$5:G$359,Продажи!$D$5:$D$359,Конструкторы!$B437,Продажи!$C$5:$C$359,Конструкторы!$A437)</f>
        <v>0</v>
      </c>
      <c r="K437" s="166">
        <f>SUMIFS(Продажи!H$5:H$359,Продажи!$D$5:$D$359,Конструкторы!$B437,Продажи!$C$5:$C$359,Конструкторы!$A437)</f>
        <v>0</v>
      </c>
      <c r="L437" s="166">
        <f>SUMIFS(Продажи!I$5:I$359,Продажи!$D$5:$D$359,Конструкторы!$B437,Продажи!$C$5:$C$359,Конструкторы!$A437)</f>
        <v>0</v>
      </c>
      <c r="M437" s="166">
        <f>SUMIFS(Продажи!J$5:J$359,Продажи!$D$5:$D$359,Конструкторы!$B437,Продажи!$C$5:$C$359,Конструкторы!$A437)</f>
        <v>0</v>
      </c>
      <c r="N437" s="166">
        <f>SUMIFS(Продажи!K$5:K$359,Продажи!$D$5:$D$359,Конструкторы!$B437,Продажи!$C$5:$C$359,Конструкторы!$A437)</f>
        <v>0</v>
      </c>
      <c r="O437" s="166">
        <f>SUMIFS(Продажи!L$5:L$359,Продажи!$D$5:$D$359,Конструкторы!$B437,Продажи!$C$5:$C$359,Конструкторы!$A437)</f>
        <v>0</v>
      </c>
      <c r="P437" s="166">
        <f>SUMIFS(Продажи!M$5:M$359,Продажи!$D$5:$D$359,Конструкторы!$B437,Продажи!$C$5:$C$359,Конструкторы!$A437)</f>
        <v>0</v>
      </c>
      <c r="Q437" s="166">
        <f>SUMIFS(Продажи!N$5:N$359,Продажи!$D$5:$D$359,Конструкторы!$B437,Продажи!$C$5:$C$359,Конструкторы!$A437)</f>
        <v>0</v>
      </c>
      <c r="R437" s="166">
        <f>SUMIFS(Продажи!O$5:O$359,Продажи!$D$5:$D$359,Конструкторы!$B437,Продажи!$C$5:$C$359,Конструкторы!$A437)</f>
        <v>0</v>
      </c>
      <c r="S437" s="166">
        <f>SUMIFS(Продажи!P$5:P$359,Продажи!$D$5:$D$359,Конструкторы!$B437,Продажи!$C$5:$C$359,Конструкторы!$A437)</f>
        <v>0</v>
      </c>
      <c r="T437" s="166">
        <f>SUMIFS(Продажи!Q$5:Q$359,Продажи!$D$5:$D$359,Конструкторы!$B437,Продажи!$C$5:$C$359,Конструкторы!$A437)</f>
        <v>0</v>
      </c>
    </row>
    <row r="438" spans="1:20" ht="15.75" hidden="1" x14ac:dyDescent="0.25">
      <c r="A438" s="166" t="s">
        <v>397</v>
      </c>
      <c r="B438" s="167" t="s">
        <v>236</v>
      </c>
      <c r="C438" s="33" t="s">
        <v>76</v>
      </c>
      <c r="D438" s="149"/>
      <c r="E438" s="153" t="s">
        <v>70</v>
      </c>
      <c r="F438" s="148">
        <v>4</v>
      </c>
      <c r="G438" s="156" t="s">
        <v>71</v>
      </c>
      <c r="H438" s="156">
        <f>F438</f>
        <v>4</v>
      </c>
      <c r="I438" s="166">
        <f>SUMIFS(Продажи!F$5:F$359,Продажи!$D$5:$D$359,Конструкторы!$B438,Продажи!$C$5:$C$359,Конструкторы!$A438)</f>
        <v>0</v>
      </c>
      <c r="J438" s="166">
        <f>SUMIFS(Продажи!G$5:G$359,Продажи!$D$5:$D$359,Конструкторы!$B438,Продажи!$C$5:$C$359,Конструкторы!$A438)</f>
        <v>0</v>
      </c>
      <c r="K438" s="166">
        <f>SUMIFS(Продажи!H$5:H$359,Продажи!$D$5:$D$359,Конструкторы!$B438,Продажи!$C$5:$C$359,Конструкторы!$A438)</f>
        <v>0</v>
      </c>
      <c r="L438" s="166">
        <f>SUMIFS(Продажи!I$5:I$359,Продажи!$D$5:$D$359,Конструкторы!$B438,Продажи!$C$5:$C$359,Конструкторы!$A438)</f>
        <v>0</v>
      </c>
      <c r="M438" s="166">
        <f>SUMIFS(Продажи!J$5:J$359,Продажи!$D$5:$D$359,Конструкторы!$B438,Продажи!$C$5:$C$359,Конструкторы!$A438)</f>
        <v>0</v>
      </c>
      <c r="N438" s="166">
        <f>SUMIFS(Продажи!K$5:K$359,Продажи!$D$5:$D$359,Конструкторы!$B438,Продажи!$C$5:$C$359,Конструкторы!$A438)</f>
        <v>0</v>
      </c>
      <c r="O438" s="166">
        <f>SUMIFS(Продажи!L$5:L$359,Продажи!$D$5:$D$359,Конструкторы!$B438,Продажи!$C$5:$C$359,Конструкторы!$A438)</f>
        <v>0</v>
      </c>
      <c r="P438" s="166">
        <f>SUMIFS(Продажи!M$5:M$359,Продажи!$D$5:$D$359,Конструкторы!$B438,Продажи!$C$5:$C$359,Конструкторы!$A438)</f>
        <v>0</v>
      </c>
      <c r="Q438" s="166">
        <f>SUMIFS(Продажи!N$5:N$359,Продажи!$D$5:$D$359,Конструкторы!$B438,Продажи!$C$5:$C$359,Конструкторы!$A438)</f>
        <v>0</v>
      </c>
      <c r="R438" s="166">
        <f>SUMIFS(Продажи!O$5:O$359,Продажи!$D$5:$D$359,Конструкторы!$B438,Продажи!$C$5:$C$359,Конструкторы!$A438)</f>
        <v>0</v>
      </c>
      <c r="S438" s="166">
        <f>SUMIFS(Продажи!P$5:P$359,Продажи!$D$5:$D$359,Конструкторы!$B438,Продажи!$C$5:$C$359,Конструкторы!$A438)</f>
        <v>0</v>
      </c>
      <c r="T438" s="166">
        <f>SUMIFS(Продажи!Q$5:Q$359,Продажи!$D$5:$D$359,Конструкторы!$B438,Продажи!$C$5:$C$359,Конструкторы!$A438)</f>
        <v>0</v>
      </c>
    </row>
    <row r="439" spans="1:20" ht="15.75" hidden="1" x14ac:dyDescent="0.25">
      <c r="A439" s="166" t="s">
        <v>397</v>
      </c>
      <c r="B439" s="167" t="s">
        <v>237</v>
      </c>
      <c r="C439" s="129" t="s">
        <v>61</v>
      </c>
      <c r="D439" s="149"/>
      <c r="E439" s="153" t="s">
        <v>68</v>
      </c>
      <c r="F439" s="156">
        <f>(0.6*103)/100</f>
        <v>0.61799999999999999</v>
      </c>
      <c r="G439" s="156">
        <v>1.8000000000000016E-2</v>
      </c>
      <c r="H439" s="156">
        <f>F439+G439</f>
        <v>0.63600000000000001</v>
      </c>
      <c r="I439" s="166">
        <f>SUMIFS(Продажи!F$5:F$359,Продажи!$D$5:$D$359,Конструкторы!$B439,Продажи!$C$5:$C$359,Конструкторы!$A439)</f>
        <v>0</v>
      </c>
      <c r="J439" s="166">
        <f>SUMIFS(Продажи!G$5:G$359,Продажи!$D$5:$D$359,Конструкторы!$B439,Продажи!$C$5:$C$359,Конструкторы!$A439)</f>
        <v>0</v>
      </c>
      <c r="K439" s="166">
        <f>SUMIFS(Продажи!H$5:H$359,Продажи!$D$5:$D$359,Конструкторы!$B439,Продажи!$C$5:$C$359,Конструкторы!$A439)</f>
        <v>0</v>
      </c>
      <c r="L439" s="166">
        <f>SUMIFS(Продажи!I$5:I$359,Продажи!$D$5:$D$359,Конструкторы!$B439,Продажи!$C$5:$C$359,Конструкторы!$A439)</f>
        <v>0</v>
      </c>
      <c r="M439" s="166">
        <f>SUMIFS(Продажи!J$5:J$359,Продажи!$D$5:$D$359,Конструкторы!$B439,Продажи!$C$5:$C$359,Конструкторы!$A439)</f>
        <v>0</v>
      </c>
      <c r="N439" s="166">
        <f>SUMIFS(Продажи!K$5:K$359,Продажи!$D$5:$D$359,Конструкторы!$B439,Продажи!$C$5:$C$359,Конструкторы!$A439)</f>
        <v>0</v>
      </c>
      <c r="O439" s="166">
        <f>SUMIFS(Продажи!L$5:L$359,Продажи!$D$5:$D$359,Конструкторы!$B439,Продажи!$C$5:$C$359,Конструкторы!$A439)</f>
        <v>0</v>
      </c>
      <c r="P439" s="166">
        <f>SUMIFS(Продажи!M$5:M$359,Продажи!$D$5:$D$359,Конструкторы!$B439,Продажи!$C$5:$C$359,Конструкторы!$A439)</f>
        <v>0</v>
      </c>
      <c r="Q439" s="166">
        <f>SUMIFS(Продажи!N$5:N$359,Продажи!$D$5:$D$359,Конструкторы!$B439,Продажи!$C$5:$C$359,Конструкторы!$A439)</f>
        <v>0</v>
      </c>
      <c r="R439" s="166">
        <f>SUMIFS(Продажи!O$5:O$359,Продажи!$D$5:$D$359,Конструкторы!$B439,Продажи!$C$5:$C$359,Конструкторы!$A439)</f>
        <v>0</v>
      </c>
      <c r="S439" s="166">
        <f>SUMIFS(Продажи!P$5:P$359,Продажи!$D$5:$D$359,Конструкторы!$B439,Продажи!$C$5:$C$359,Конструкторы!$A439)</f>
        <v>0</v>
      </c>
      <c r="T439" s="166">
        <f>SUMIFS(Продажи!Q$5:Q$359,Продажи!$D$5:$D$359,Конструкторы!$B439,Продажи!$C$5:$C$359,Конструкторы!$A439)</f>
        <v>0</v>
      </c>
    </row>
    <row r="440" spans="1:20" ht="15.75" hidden="1" x14ac:dyDescent="0.25">
      <c r="A440" s="166" t="s">
        <v>397</v>
      </c>
      <c r="B440" s="167" t="s">
        <v>237</v>
      </c>
      <c r="C440" s="33" t="s">
        <v>76</v>
      </c>
      <c r="D440" s="149"/>
      <c r="E440" s="153" t="s">
        <v>70</v>
      </c>
      <c r="F440" s="148">
        <v>4</v>
      </c>
      <c r="G440" s="156" t="s">
        <v>71</v>
      </c>
      <c r="H440" s="156">
        <f>F440</f>
        <v>4</v>
      </c>
      <c r="I440" s="166">
        <f>SUMIFS(Продажи!F$5:F$359,Продажи!$D$5:$D$359,Конструкторы!$B440,Продажи!$C$5:$C$359,Конструкторы!$A440)</f>
        <v>0</v>
      </c>
      <c r="J440" s="166">
        <f>SUMIFS(Продажи!G$5:G$359,Продажи!$D$5:$D$359,Конструкторы!$B440,Продажи!$C$5:$C$359,Конструкторы!$A440)</f>
        <v>0</v>
      </c>
      <c r="K440" s="166">
        <f>SUMIFS(Продажи!H$5:H$359,Продажи!$D$5:$D$359,Конструкторы!$B440,Продажи!$C$5:$C$359,Конструкторы!$A440)</f>
        <v>0</v>
      </c>
      <c r="L440" s="166">
        <f>SUMIFS(Продажи!I$5:I$359,Продажи!$D$5:$D$359,Конструкторы!$B440,Продажи!$C$5:$C$359,Конструкторы!$A440)</f>
        <v>0</v>
      </c>
      <c r="M440" s="166">
        <f>SUMIFS(Продажи!J$5:J$359,Продажи!$D$5:$D$359,Конструкторы!$B440,Продажи!$C$5:$C$359,Конструкторы!$A440)</f>
        <v>0</v>
      </c>
      <c r="N440" s="166">
        <f>SUMIFS(Продажи!K$5:K$359,Продажи!$D$5:$D$359,Конструкторы!$B440,Продажи!$C$5:$C$359,Конструкторы!$A440)</f>
        <v>0</v>
      </c>
      <c r="O440" s="166">
        <f>SUMIFS(Продажи!L$5:L$359,Продажи!$D$5:$D$359,Конструкторы!$B440,Продажи!$C$5:$C$359,Конструкторы!$A440)</f>
        <v>0</v>
      </c>
      <c r="P440" s="166">
        <f>SUMIFS(Продажи!M$5:M$359,Продажи!$D$5:$D$359,Конструкторы!$B440,Продажи!$C$5:$C$359,Конструкторы!$A440)</f>
        <v>0</v>
      </c>
      <c r="Q440" s="166">
        <f>SUMIFS(Продажи!N$5:N$359,Продажи!$D$5:$D$359,Конструкторы!$B440,Продажи!$C$5:$C$359,Конструкторы!$A440)</f>
        <v>0</v>
      </c>
      <c r="R440" s="166">
        <f>SUMIFS(Продажи!O$5:O$359,Продажи!$D$5:$D$359,Конструкторы!$B440,Продажи!$C$5:$C$359,Конструкторы!$A440)</f>
        <v>0</v>
      </c>
      <c r="S440" s="166">
        <f>SUMIFS(Продажи!P$5:P$359,Продажи!$D$5:$D$359,Конструкторы!$B440,Продажи!$C$5:$C$359,Конструкторы!$A440)</f>
        <v>0</v>
      </c>
      <c r="T440" s="166">
        <f>SUMIFS(Продажи!Q$5:Q$359,Продажи!$D$5:$D$359,Конструкторы!$B440,Продажи!$C$5:$C$359,Конструкторы!$A440)</f>
        <v>0</v>
      </c>
    </row>
    <row r="441" spans="1:20" ht="15.75" hidden="1" x14ac:dyDescent="0.25">
      <c r="A441" s="166" t="s">
        <v>397</v>
      </c>
      <c r="B441" s="167" t="s">
        <v>238</v>
      </c>
      <c r="C441" s="129" t="s">
        <v>62</v>
      </c>
      <c r="D441" s="149"/>
      <c r="E441" s="153" t="s">
        <v>68</v>
      </c>
      <c r="F441" s="156">
        <f>(0.6*103)/100</f>
        <v>0.61799999999999999</v>
      </c>
      <c r="G441" s="156">
        <v>1.8000000000000016E-2</v>
      </c>
      <c r="H441" s="156">
        <f>F441+G441</f>
        <v>0.63600000000000001</v>
      </c>
      <c r="I441" s="166">
        <f>SUMIFS(Продажи!F$5:F$359,Продажи!$D$5:$D$359,Конструкторы!$B441,Продажи!$C$5:$C$359,Конструкторы!$A441)</f>
        <v>0</v>
      </c>
      <c r="J441" s="166">
        <f>SUMIFS(Продажи!G$5:G$359,Продажи!$D$5:$D$359,Конструкторы!$B441,Продажи!$C$5:$C$359,Конструкторы!$A441)</f>
        <v>0</v>
      </c>
      <c r="K441" s="166">
        <f>SUMIFS(Продажи!H$5:H$359,Продажи!$D$5:$D$359,Конструкторы!$B441,Продажи!$C$5:$C$359,Конструкторы!$A441)</f>
        <v>0</v>
      </c>
      <c r="L441" s="166">
        <f>SUMIFS(Продажи!I$5:I$359,Продажи!$D$5:$D$359,Конструкторы!$B441,Продажи!$C$5:$C$359,Конструкторы!$A441)</f>
        <v>0</v>
      </c>
      <c r="M441" s="166">
        <f>SUMIFS(Продажи!J$5:J$359,Продажи!$D$5:$D$359,Конструкторы!$B441,Продажи!$C$5:$C$359,Конструкторы!$A441)</f>
        <v>0</v>
      </c>
      <c r="N441" s="166">
        <f>SUMIFS(Продажи!K$5:K$359,Продажи!$D$5:$D$359,Конструкторы!$B441,Продажи!$C$5:$C$359,Конструкторы!$A441)</f>
        <v>0</v>
      </c>
      <c r="O441" s="166">
        <f>SUMIFS(Продажи!L$5:L$359,Продажи!$D$5:$D$359,Конструкторы!$B441,Продажи!$C$5:$C$359,Конструкторы!$A441)</f>
        <v>0</v>
      </c>
      <c r="P441" s="166">
        <f>SUMIFS(Продажи!M$5:M$359,Продажи!$D$5:$D$359,Конструкторы!$B441,Продажи!$C$5:$C$359,Конструкторы!$A441)</f>
        <v>0</v>
      </c>
      <c r="Q441" s="166">
        <f>SUMIFS(Продажи!N$5:N$359,Продажи!$D$5:$D$359,Конструкторы!$B441,Продажи!$C$5:$C$359,Конструкторы!$A441)</f>
        <v>0</v>
      </c>
      <c r="R441" s="166">
        <f>SUMIFS(Продажи!O$5:O$359,Продажи!$D$5:$D$359,Конструкторы!$B441,Продажи!$C$5:$C$359,Конструкторы!$A441)</f>
        <v>0</v>
      </c>
      <c r="S441" s="166">
        <f>SUMIFS(Продажи!P$5:P$359,Продажи!$D$5:$D$359,Конструкторы!$B441,Продажи!$C$5:$C$359,Конструкторы!$A441)</f>
        <v>0</v>
      </c>
      <c r="T441" s="166">
        <f>SUMIFS(Продажи!Q$5:Q$359,Продажи!$D$5:$D$359,Конструкторы!$B441,Продажи!$C$5:$C$359,Конструкторы!$A441)</f>
        <v>0</v>
      </c>
    </row>
    <row r="442" spans="1:20" ht="15.75" hidden="1" x14ac:dyDescent="0.25">
      <c r="A442" s="166" t="s">
        <v>397</v>
      </c>
      <c r="B442" s="167" t="s">
        <v>238</v>
      </c>
      <c r="C442" s="33" t="s">
        <v>76</v>
      </c>
      <c r="D442" s="149"/>
      <c r="E442" s="153" t="s">
        <v>70</v>
      </c>
      <c r="F442" s="148">
        <v>4</v>
      </c>
      <c r="G442" s="156" t="s">
        <v>71</v>
      </c>
      <c r="H442" s="156">
        <f>F442</f>
        <v>4</v>
      </c>
      <c r="I442" s="166">
        <f>SUMIFS(Продажи!F$5:F$359,Продажи!$D$5:$D$359,Конструкторы!$B442,Продажи!$C$5:$C$359,Конструкторы!$A442)</f>
        <v>0</v>
      </c>
      <c r="J442" s="166">
        <f>SUMIFS(Продажи!G$5:G$359,Продажи!$D$5:$D$359,Конструкторы!$B442,Продажи!$C$5:$C$359,Конструкторы!$A442)</f>
        <v>0</v>
      </c>
      <c r="K442" s="166">
        <f>SUMIFS(Продажи!H$5:H$359,Продажи!$D$5:$D$359,Конструкторы!$B442,Продажи!$C$5:$C$359,Конструкторы!$A442)</f>
        <v>0</v>
      </c>
      <c r="L442" s="166">
        <f>SUMIFS(Продажи!I$5:I$359,Продажи!$D$5:$D$359,Конструкторы!$B442,Продажи!$C$5:$C$359,Конструкторы!$A442)</f>
        <v>0</v>
      </c>
      <c r="M442" s="166">
        <f>SUMIFS(Продажи!J$5:J$359,Продажи!$D$5:$D$359,Конструкторы!$B442,Продажи!$C$5:$C$359,Конструкторы!$A442)</f>
        <v>0</v>
      </c>
      <c r="N442" s="166">
        <f>SUMIFS(Продажи!K$5:K$359,Продажи!$D$5:$D$359,Конструкторы!$B442,Продажи!$C$5:$C$359,Конструкторы!$A442)</f>
        <v>0</v>
      </c>
      <c r="O442" s="166">
        <f>SUMIFS(Продажи!L$5:L$359,Продажи!$D$5:$D$359,Конструкторы!$B442,Продажи!$C$5:$C$359,Конструкторы!$A442)</f>
        <v>0</v>
      </c>
      <c r="P442" s="166">
        <f>SUMIFS(Продажи!M$5:M$359,Продажи!$D$5:$D$359,Конструкторы!$B442,Продажи!$C$5:$C$359,Конструкторы!$A442)</f>
        <v>0</v>
      </c>
      <c r="Q442" s="166">
        <f>SUMIFS(Продажи!N$5:N$359,Продажи!$D$5:$D$359,Конструкторы!$B442,Продажи!$C$5:$C$359,Конструкторы!$A442)</f>
        <v>0</v>
      </c>
      <c r="R442" s="166">
        <f>SUMIFS(Продажи!O$5:O$359,Продажи!$D$5:$D$359,Конструкторы!$B442,Продажи!$C$5:$C$359,Конструкторы!$A442)</f>
        <v>0</v>
      </c>
      <c r="S442" s="166">
        <f>SUMIFS(Продажи!P$5:P$359,Продажи!$D$5:$D$359,Конструкторы!$B442,Продажи!$C$5:$C$359,Конструкторы!$A442)</f>
        <v>0</v>
      </c>
      <c r="T442" s="166">
        <f>SUMIFS(Продажи!Q$5:Q$359,Продажи!$D$5:$D$359,Конструкторы!$B442,Продажи!$C$5:$C$359,Конструкторы!$A442)</f>
        <v>0</v>
      </c>
    </row>
    <row r="443" spans="1:20" ht="15.75" hidden="1" x14ac:dyDescent="0.25">
      <c r="A443" s="166" t="s">
        <v>397</v>
      </c>
      <c r="B443" s="167" t="s">
        <v>239</v>
      </c>
      <c r="C443" s="129" t="s">
        <v>63</v>
      </c>
      <c r="D443" s="149"/>
      <c r="E443" s="153" t="s">
        <v>68</v>
      </c>
      <c r="F443" s="156">
        <f>(0.6*103)/100</f>
        <v>0.61799999999999999</v>
      </c>
      <c r="G443" s="156">
        <v>1.8000000000000016E-2</v>
      </c>
      <c r="H443" s="156">
        <f>F443+G443</f>
        <v>0.63600000000000001</v>
      </c>
      <c r="I443" s="166">
        <f>SUMIFS(Продажи!F$5:F$359,Продажи!$D$5:$D$359,Конструкторы!$B443,Продажи!$C$5:$C$359,Конструкторы!$A443)</f>
        <v>0</v>
      </c>
      <c r="J443" s="166">
        <f>SUMIFS(Продажи!G$5:G$359,Продажи!$D$5:$D$359,Конструкторы!$B443,Продажи!$C$5:$C$359,Конструкторы!$A443)</f>
        <v>0</v>
      </c>
      <c r="K443" s="166">
        <f>SUMIFS(Продажи!H$5:H$359,Продажи!$D$5:$D$359,Конструкторы!$B443,Продажи!$C$5:$C$359,Конструкторы!$A443)</f>
        <v>0</v>
      </c>
      <c r="L443" s="166">
        <f>SUMIFS(Продажи!I$5:I$359,Продажи!$D$5:$D$359,Конструкторы!$B443,Продажи!$C$5:$C$359,Конструкторы!$A443)</f>
        <v>0</v>
      </c>
      <c r="M443" s="166">
        <f>SUMIFS(Продажи!J$5:J$359,Продажи!$D$5:$D$359,Конструкторы!$B443,Продажи!$C$5:$C$359,Конструкторы!$A443)</f>
        <v>0</v>
      </c>
      <c r="N443" s="166">
        <f>SUMIFS(Продажи!K$5:K$359,Продажи!$D$5:$D$359,Конструкторы!$B443,Продажи!$C$5:$C$359,Конструкторы!$A443)</f>
        <v>0</v>
      </c>
      <c r="O443" s="166">
        <f>SUMIFS(Продажи!L$5:L$359,Продажи!$D$5:$D$359,Конструкторы!$B443,Продажи!$C$5:$C$359,Конструкторы!$A443)</f>
        <v>0</v>
      </c>
      <c r="P443" s="166">
        <f>SUMIFS(Продажи!M$5:M$359,Продажи!$D$5:$D$359,Конструкторы!$B443,Продажи!$C$5:$C$359,Конструкторы!$A443)</f>
        <v>0</v>
      </c>
      <c r="Q443" s="166">
        <f>SUMIFS(Продажи!N$5:N$359,Продажи!$D$5:$D$359,Конструкторы!$B443,Продажи!$C$5:$C$359,Конструкторы!$A443)</f>
        <v>0</v>
      </c>
      <c r="R443" s="166">
        <f>SUMIFS(Продажи!O$5:O$359,Продажи!$D$5:$D$359,Конструкторы!$B443,Продажи!$C$5:$C$359,Конструкторы!$A443)</f>
        <v>0</v>
      </c>
      <c r="S443" s="166">
        <f>SUMIFS(Продажи!P$5:P$359,Продажи!$D$5:$D$359,Конструкторы!$B443,Продажи!$C$5:$C$359,Конструкторы!$A443)</f>
        <v>0</v>
      </c>
      <c r="T443" s="166">
        <f>SUMIFS(Продажи!Q$5:Q$359,Продажи!$D$5:$D$359,Конструкторы!$B443,Продажи!$C$5:$C$359,Конструкторы!$A443)</f>
        <v>0</v>
      </c>
    </row>
    <row r="444" spans="1:20" ht="15.75" hidden="1" x14ac:dyDescent="0.25">
      <c r="A444" s="166" t="s">
        <v>397</v>
      </c>
      <c r="B444" s="167" t="s">
        <v>239</v>
      </c>
      <c r="C444" s="33" t="s">
        <v>76</v>
      </c>
      <c r="D444" s="149"/>
      <c r="E444" s="153" t="s">
        <v>70</v>
      </c>
      <c r="F444" s="148">
        <v>4</v>
      </c>
      <c r="G444" s="156" t="s">
        <v>71</v>
      </c>
      <c r="H444" s="156">
        <f>F444</f>
        <v>4</v>
      </c>
      <c r="I444" s="166">
        <f>SUMIFS(Продажи!F$5:F$359,Продажи!$D$5:$D$359,Конструкторы!$B444,Продажи!$C$5:$C$359,Конструкторы!$A444)</f>
        <v>0</v>
      </c>
      <c r="J444" s="166">
        <f>SUMIFS(Продажи!G$5:G$359,Продажи!$D$5:$D$359,Конструкторы!$B444,Продажи!$C$5:$C$359,Конструкторы!$A444)</f>
        <v>0</v>
      </c>
      <c r="K444" s="166">
        <f>SUMIFS(Продажи!H$5:H$359,Продажи!$D$5:$D$359,Конструкторы!$B444,Продажи!$C$5:$C$359,Конструкторы!$A444)</f>
        <v>0</v>
      </c>
      <c r="L444" s="166">
        <f>SUMIFS(Продажи!I$5:I$359,Продажи!$D$5:$D$359,Конструкторы!$B444,Продажи!$C$5:$C$359,Конструкторы!$A444)</f>
        <v>0</v>
      </c>
      <c r="M444" s="166">
        <f>SUMIFS(Продажи!J$5:J$359,Продажи!$D$5:$D$359,Конструкторы!$B444,Продажи!$C$5:$C$359,Конструкторы!$A444)</f>
        <v>0</v>
      </c>
      <c r="N444" s="166">
        <f>SUMIFS(Продажи!K$5:K$359,Продажи!$D$5:$D$359,Конструкторы!$B444,Продажи!$C$5:$C$359,Конструкторы!$A444)</f>
        <v>0</v>
      </c>
      <c r="O444" s="166">
        <f>SUMIFS(Продажи!L$5:L$359,Продажи!$D$5:$D$359,Конструкторы!$B444,Продажи!$C$5:$C$359,Конструкторы!$A444)</f>
        <v>0</v>
      </c>
      <c r="P444" s="166">
        <f>SUMIFS(Продажи!M$5:M$359,Продажи!$D$5:$D$359,Конструкторы!$B444,Продажи!$C$5:$C$359,Конструкторы!$A444)</f>
        <v>0</v>
      </c>
      <c r="Q444" s="166">
        <f>SUMIFS(Продажи!N$5:N$359,Продажи!$D$5:$D$359,Конструкторы!$B444,Продажи!$C$5:$C$359,Конструкторы!$A444)</f>
        <v>0</v>
      </c>
      <c r="R444" s="166">
        <f>SUMIFS(Продажи!O$5:O$359,Продажи!$D$5:$D$359,Конструкторы!$B444,Продажи!$C$5:$C$359,Конструкторы!$A444)</f>
        <v>0</v>
      </c>
      <c r="S444" s="166">
        <f>SUMIFS(Продажи!P$5:P$359,Продажи!$D$5:$D$359,Конструкторы!$B444,Продажи!$C$5:$C$359,Конструкторы!$A444)</f>
        <v>0</v>
      </c>
      <c r="T444" s="166">
        <f>SUMIFS(Продажи!Q$5:Q$359,Продажи!$D$5:$D$359,Конструкторы!$B444,Продажи!$C$5:$C$359,Конструкторы!$A444)</f>
        <v>0</v>
      </c>
    </row>
    <row r="445" spans="1:20" ht="15.75" hidden="1" x14ac:dyDescent="0.25">
      <c r="A445" s="166" t="s">
        <v>397</v>
      </c>
      <c r="B445" s="167" t="s">
        <v>240</v>
      </c>
      <c r="C445" s="129" t="s">
        <v>64</v>
      </c>
      <c r="D445" s="149"/>
      <c r="E445" s="153" t="s">
        <v>68</v>
      </c>
      <c r="F445" s="156">
        <f>(0.6*103)/100</f>
        <v>0.61799999999999999</v>
      </c>
      <c r="G445" s="156">
        <v>1.8000000000000016E-2</v>
      </c>
      <c r="H445" s="156">
        <f>F445+G445</f>
        <v>0.63600000000000001</v>
      </c>
      <c r="I445" s="166">
        <f>SUMIFS(Продажи!F$5:F$359,Продажи!$D$5:$D$359,Конструкторы!$B445,Продажи!$C$5:$C$359,Конструкторы!$A445)</f>
        <v>0</v>
      </c>
      <c r="J445" s="166">
        <f>SUMIFS(Продажи!G$5:G$359,Продажи!$D$5:$D$359,Конструкторы!$B445,Продажи!$C$5:$C$359,Конструкторы!$A445)</f>
        <v>0</v>
      </c>
      <c r="K445" s="166">
        <f>SUMIFS(Продажи!H$5:H$359,Продажи!$D$5:$D$359,Конструкторы!$B445,Продажи!$C$5:$C$359,Конструкторы!$A445)</f>
        <v>0</v>
      </c>
      <c r="L445" s="166">
        <f>SUMIFS(Продажи!I$5:I$359,Продажи!$D$5:$D$359,Конструкторы!$B445,Продажи!$C$5:$C$359,Конструкторы!$A445)</f>
        <v>0</v>
      </c>
      <c r="M445" s="166">
        <f>SUMIFS(Продажи!J$5:J$359,Продажи!$D$5:$D$359,Конструкторы!$B445,Продажи!$C$5:$C$359,Конструкторы!$A445)</f>
        <v>0</v>
      </c>
      <c r="N445" s="166">
        <f>SUMIFS(Продажи!K$5:K$359,Продажи!$D$5:$D$359,Конструкторы!$B445,Продажи!$C$5:$C$359,Конструкторы!$A445)</f>
        <v>0</v>
      </c>
      <c r="O445" s="166">
        <f>SUMIFS(Продажи!L$5:L$359,Продажи!$D$5:$D$359,Конструкторы!$B445,Продажи!$C$5:$C$359,Конструкторы!$A445)</f>
        <v>0</v>
      </c>
      <c r="P445" s="166">
        <f>SUMIFS(Продажи!M$5:M$359,Продажи!$D$5:$D$359,Конструкторы!$B445,Продажи!$C$5:$C$359,Конструкторы!$A445)</f>
        <v>0</v>
      </c>
      <c r="Q445" s="166">
        <f>SUMIFS(Продажи!N$5:N$359,Продажи!$D$5:$D$359,Конструкторы!$B445,Продажи!$C$5:$C$359,Конструкторы!$A445)</f>
        <v>0</v>
      </c>
      <c r="R445" s="166">
        <f>SUMIFS(Продажи!O$5:O$359,Продажи!$D$5:$D$359,Конструкторы!$B445,Продажи!$C$5:$C$359,Конструкторы!$A445)</f>
        <v>0</v>
      </c>
      <c r="S445" s="166">
        <f>SUMIFS(Продажи!P$5:P$359,Продажи!$D$5:$D$359,Конструкторы!$B445,Продажи!$C$5:$C$359,Конструкторы!$A445)</f>
        <v>0</v>
      </c>
      <c r="T445" s="166">
        <f>SUMIFS(Продажи!Q$5:Q$359,Продажи!$D$5:$D$359,Конструкторы!$B445,Продажи!$C$5:$C$359,Конструкторы!$A445)</f>
        <v>0</v>
      </c>
    </row>
    <row r="446" spans="1:20" ht="15.75" hidden="1" x14ac:dyDescent="0.25">
      <c r="A446" s="166" t="s">
        <v>397</v>
      </c>
      <c r="B446" s="167" t="s">
        <v>240</v>
      </c>
      <c r="C446" s="33" t="s">
        <v>76</v>
      </c>
      <c r="D446" s="149"/>
      <c r="E446" s="153" t="s">
        <v>70</v>
      </c>
      <c r="F446" s="148">
        <v>4</v>
      </c>
      <c r="G446" s="156" t="s">
        <v>71</v>
      </c>
      <c r="H446" s="156">
        <f>F446</f>
        <v>4</v>
      </c>
      <c r="I446" s="166">
        <f>SUMIFS(Продажи!F$5:F$359,Продажи!$D$5:$D$359,Конструкторы!$B446,Продажи!$C$5:$C$359,Конструкторы!$A446)</f>
        <v>0</v>
      </c>
      <c r="J446" s="166">
        <f>SUMIFS(Продажи!G$5:G$359,Продажи!$D$5:$D$359,Конструкторы!$B446,Продажи!$C$5:$C$359,Конструкторы!$A446)</f>
        <v>0</v>
      </c>
      <c r="K446" s="166">
        <f>SUMIFS(Продажи!H$5:H$359,Продажи!$D$5:$D$359,Конструкторы!$B446,Продажи!$C$5:$C$359,Конструкторы!$A446)</f>
        <v>0</v>
      </c>
      <c r="L446" s="166">
        <f>SUMIFS(Продажи!I$5:I$359,Продажи!$D$5:$D$359,Конструкторы!$B446,Продажи!$C$5:$C$359,Конструкторы!$A446)</f>
        <v>0</v>
      </c>
      <c r="M446" s="166">
        <f>SUMIFS(Продажи!J$5:J$359,Продажи!$D$5:$D$359,Конструкторы!$B446,Продажи!$C$5:$C$359,Конструкторы!$A446)</f>
        <v>0</v>
      </c>
      <c r="N446" s="166">
        <f>SUMIFS(Продажи!K$5:K$359,Продажи!$D$5:$D$359,Конструкторы!$B446,Продажи!$C$5:$C$359,Конструкторы!$A446)</f>
        <v>0</v>
      </c>
      <c r="O446" s="166">
        <f>SUMIFS(Продажи!L$5:L$359,Продажи!$D$5:$D$359,Конструкторы!$B446,Продажи!$C$5:$C$359,Конструкторы!$A446)</f>
        <v>0</v>
      </c>
      <c r="P446" s="166">
        <f>SUMIFS(Продажи!M$5:M$359,Продажи!$D$5:$D$359,Конструкторы!$B446,Продажи!$C$5:$C$359,Конструкторы!$A446)</f>
        <v>0</v>
      </c>
      <c r="Q446" s="166">
        <f>SUMIFS(Продажи!N$5:N$359,Продажи!$D$5:$D$359,Конструкторы!$B446,Продажи!$C$5:$C$359,Конструкторы!$A446)</f>
        <v>0</v>
      </c>
      <c r="R446" s="166">
        <f>SUMIFS(Продажи!O$5:O$359,Продажи!$D$5:$D$359,Конструкторы!$B446,Продажи!$C$5:$C$359,Конструкторы!$A446)</f>
        <v>0</v>
      </c>
      <c r="S446" s="166">
        <f>SUMIFS(Продажи!P$5:P$359,Продажи!$D$5:$D$359,Конструкторы!$B446,Продажи!$C$5:$C$359,Конструкторы!$A446)</f>
        <v>0</v>
      </c>
      <c r="T446" s="166">
        <f>SUMIFS(Продажи!Q$5:Q$359,Продажи!$D$5:$D$359,Конструкторы!$B446,Продажи!$C$5:$C$359,Конструкторы!$A446)</f>
        <v>0</v>
      </c>
    </row>
    <row r="447" spans="1:20" ht="15.75" hidden="1" x14ac:dyDescent="0.25">
      <c r="A447" s="166" t="s">
        <v>397</v>
      </c>
      <c r="B447" s="167" t="s">
        <v>226</v>
      </c>
      <c r="C447" s="129" t="s">
        <v>60</v>
      </c>
      <c r="D447" s="149"/>
      <c r="E447" s="153" t="s">
        <v>68</v>
      </c>
      <c r="F447" s="156">
        <f>(0.88*103)/100</f>
        <v>0.90639999999999998</v>
      </c>
      <c r="G447" s="156">
        <v>2.6399999999999979E-2</v>
      </c>
      <c r="H447" s="156">
        <f>F447+G447</f>
        <v>0.93279999999999996</v>
      </c>
      <c r="I447" s="166">
        <f>SUMIFS(Продажи!F$5:F$359,Продажи!$D$5:$D$359,Конструкторы!$B447,Продажи!$C$5:$C$359,Конструкторы!$A447)</f>
        <v>0</v>
      </c>
      <c r="J447" s="166">
        <f>SUMIFS(Продажи!G$5:G$359,Продажи!$D$5:$D$359,Конструкторы!$B447,Продажи!$C$5:$C$359,Конструкторы!$A447)</f>
        <v>0</v>
      </c>
      <c r="K447" s="166">
        <f>SUMIFS(Продажи!H$5:H$359,Продажи!$D$5:$D$359,Конструкторы!$B447,Продажи!$C$5:$C$359,Конструкторы!$A447)</f>
        <v>0</v>
      </c>
      <c r="L447" s="166">
        <f>SUMIFS(Продажи!I$5:I$359,Продажи!$D$5:$D$359,Конструкторы!$B447,Продажи!$C$5:$C$359,Конструкторы!$A447)</f>
        <v>0</v>
      </c>
      <c r="M447" s="166">
        <f>SUMIFS(Продажи!J$5:J$359,Продажи!$D$5:$D$359,Конструкторы!$B447,Продажи!$C$5:$C$359,Конструкторы!$A447)</f>
        <v>0</v>
      </c>
      <c r="N447" s="166">
        <f>SUMIFS(Продажи!K$5:K$359,Продажи!$D$5:$D$359,Конструкторы!$B447,Продажи!$C$5:$C$359,Конструкторы!$A447)</f>
        <v>0</v>
      </c>
      <c r="O447" s="166">
        <f>SUMIFS(Продажи!L$5:L$359,Продажи!$D$5:$D$359,Конструкторы!$B447,Продажи!$C$5:$C$359,Конструкторы!$A447)</f>
        <v>0</v>
      </c>
      <c r="P447" s="166">
        <f>SUMIFS(Продажи!M$5:M$359,Продажи!$D$5:$D$359,Конструкторы!$B447,Продажи!$C$5:$C$359,Конструкторы!$A447)</f>
        <v>0</v>
      </c>
      <c r="Q447" s="166">
        <f>SUMIFS(Продажи!N$5:N$359,Продажи!$D$5:$D$359,Конструкторы!$B447,Продажи!$C$5:$C$359,Конструкторы!$A447)</f>
        <v>0</v>
      </c>
      <c r="R447" s="166">
        <f>SUMIFS(Продажи!O$5:O$359,Продажи!$D$5:$D$359,Конструкторы!$B447,Продажи!$C$5:$C$359,Конструкторы!$A447)</f>
        <v>0</v>
      </c>
      <c r="S447" s="166">
        <f>SUMIFS(Продажи!P$5:P$359,Продажи!$D$5:$D$359,Конструкторы!$B447,Продажи!$C$5:$C$359,Конструкторы!$A447)</f>
        <v>0</v>
      </c>
      <c r="T447" s="166">
        <f>SUMIFS(Продажи!Q$5:Q$359,Продажи!$D$5:$D$359,Конструкторы!$B447,Продажи!$C$5:$C$359,Конструкторы!$A447)</f>
        <v>0</v>
      </c>
    </row>
    <row r="448" spans="1:20" ht="15.75" hidden="1" x14ac:dyDescent="0.25">
      <c r="A448" s="166" t="s">
        <v>397</v>
      </c>
      <c r="B448" s="167" t="s">
        <v>226</v>
      </c>
      <c r="C448" s="33" t="s">
        <v>76</v>
      </c>
      <c r="D448" s="149"/>
      <c r="E448" s="153" t="s">
        <v>70</v>
      </c>
      <c r="F448" s="148">
        <v>6</v>
      </c>
      <c r="G448" s="156" t="s">
        <v>71</v>
      </c>
      <c r="H448" s="156">
        <f>F448</f>
        <v>6</v>
      </c>
      <c r="I448" s="166">
        <f>SUMIFS(Продажи!F$5:F$359,Продажи!$D$5:$D$359,Конструкторы!$B448,Продажи!$C$5:$C$359,Конструкторы!$A448)</f>
        <v>0</v>
      </c>
      <c r="J448" s="166">
        <f>SUMIFS(Продажи!G$5:G$359,Продажи!$D$5:$D$359,Конструкторы!$B448,Продажи!$C$5:$C$359,Конструкторы!$A448)</f>
        <v>0</v>
      </c>
      <c r="K448" s="166">
        <f>SUMIFS(Продажи!H$5:H$359,Продажи!$D$5:$D$359,Конструкторы!$B448,Продажи!$C$5:$C$359,Конструкторы!$A448)</f>
        <v>0</v>
      </c>
      <c r="L448" s="166">
        <f>SUMIFS(Продажи!I$5:I$359,Продажи!$D$5:$D$359,Конструкторы!$B448,Продажи!$C$5:$C$359,Конструкторы!$A448)</f>
        <v>0</v>
      </c>
      <c r="M448" s="166">
        <f>SUMIFS(Продажи!J$5:J$359,Продажи!$D$5:$D$359,Конструкторы!$B448,Продажи!$C$5:$C$359,Конструкторы!$A448)</f>
        <v>0</v>
      </c>
      <c r="N448" s="166">
        <f>SUMIFS(Продажи!K$5:K$359,Продажи!$D$5:$D$359,Конструкторы!$B448,Продажи!$C$5:$C$359,Конструкторы!$A448)</f>
        <v>0</v>
      </c>
      <c r="O448" s="166">
        <f>SUMIFS(Продажи!L$5:L$359,Продажи!$D$5:$D$359,Конструкторы!$B448,Продажи!$C$5:$C$359,Конструкторы!$A448)</f>
        <v>0</v>
      </c>
      <c r="P448" s="166">
        <f>SUMIFS(Продажи!M$5:M$359,Продажи!$D$5:$D$359,Конструкторы!$B448,Продажи!$C$5:$C$359,Конструкторы!$A448)</f>
        <v>0</v>
      </c>
      <c r="Q448" s="166">
        <f>SUMIFS(Продажи!N$5:N$359,Продажи!$D$5:$D$359,Конструкторы!$B448,Продажи!$C$5:$C$359,Конструкторы!$A448)</f>
        <v>0</v>
      </c>
      <c r="R448" s="166">
        <f>SUMIFS(Продажи!O$5:O$359,Продажи!$D$5:$D$359,Конструкторы!$B448,Продажи!$C$5:$C$359,Конструкторы!$A448)</f>
        <v>0</v>
      </c>
      <c r="S448" s="166">
        <f>SUMIFS(Продажи!P$5:P$359,Продажи!$D$5:$D$359,Конструкторы!$B448,Продажи!$C$5:$C$359,Конструкторы!$A448)</f>
        <v>0</v>
      </c>
      <c r="T448" s="166">
        <f>SUMIFS(Продажи!Q$5:Q$359,Продажи!$D$5:$D$359,Конструкторы!$B448,Продажи!$C$5:$C$359,Конструкторы!$A448)</f>
        <v>0</v>
      </c>
    </row>
    <row r="449" spans="1:20" ht="15.75" hidden="1" x14ac:dyDescent="0.25">
      <c r="A449" s="166" t="s">
        <v>397</v>
      </c>
      <c r="B449" s="167" t="s">
        <v>227</v>
      </c>
      <c r="C449" s="129" t="s">
        <v>61</v>
      </c>
      <c r="D449" s="149"/>
      <c r="E449" s="153" t="s">
        <v>68</v>
      </c>
      <c r="F449" s="156">
        <f>(0.88*103)/100</f>
        <v>0.90639999999999998</v>
      </c>
      <c r="G449" s="156">
        <v>2.6399999999999979E-2</v>
      </c>
      <c r="H449" s="156">
        <f>F449+G449</f>
        <v>0.93279999999999996</v>
      </c>
      <c r="I449" s="166">
        <f>SUMIFS(Продажи!F$5:F$359,Продажи!$D$5:$D$359,Конструкторы!$B449,Продажи!$C$5:$C$359,Конструкторы!$A449)</f>
        <v>0</v>
      </c>
      <c r="J449" s="166">
        <f>SUMIFS(Продажи!G$5:G$359,Продажи!$D$5:$D$359,Конструкторы!$B449,Продажи!$C$5:$C$359,Конструкторы!$A449)</f>
        <v>0</v>
      </c>
      <c r="K449" s="166">
        <f>SUMIFS(Продажи!H$5:H$359,Продажи!$D$5:$D$359,Конструкторы!$B449,Продажи!$C$5:$C$359,Конструкторы!$A449)</f>
        <v>0</v>
      </c>
      <c r="L449" s="166">
        <f>SUMIFS(Продажи!I$5:I$359,Продажи!$D$5:$D$359,Конструкторы!$B449,Продажи!$C$5:$C$359,Конструкторы!$A449)</f>
        <v>0</v>
      </c>
      <c r="M449" s="166">
        <f>SUMIFS(Продажи!J$5:J$359,Продажи!$D$5:$D$359,Конструкторы!$B449,Продажи!$C$5:$C$359,Конструкторы!$A449)</f>
        <v>0</v>
      </c>
      <c r="N449" s="166">
        <f>SUMIFS(Продажи!K$5:K$359,Продажи!$D$5:$D$359,Конструкторы!$B449,Продажи!$C$5:$C$359,Конструкторы!$A449)</f>
        <v>0</v>
      </c>
      <c r="O449" s="166">
        <f>SUMIFS(Продажи!L$5:L$359,Продажи!$D$5:$D$359,Конструкторы!$B449,Продажи!$C$5:$C$359,Конструкторы!$A449)</f>
        <v>0</v>
      </c>
      <c r="P449" s="166">
        <f>SUMIFS(Продажи!M$5:M$359,Продажи!$D$5:$D$359,Конструкторы!$B449,Продажи!$C$5:$C$359,Конструкторы!$A449)</f>
        <v>0</v>
      </c>
      <c r="Q449" s="166">
        <f>SUMIFS(Продажи!N$5:N$359,Продажи!$D$5:$D$359,Конструкторы!$B449,Продажи!$C$5:$C$359,Конструкторы!$A449)</f>
        <v>0</v>
      </c>
      <c r="R449" s="166">
        <f>SUMIFS(Продажи!O$5:O$359,Продажи!$D$5:$D$359,Конструкторы!$B449,Продажи!$C$5:$C$359,Конструкторы!$A449)</f>
        <v>0</v>
      </c>
      <c r="S449" s="166">
        <f>SUMIFS(Продажи!P$5:P$359,Продажи!$D$5:$D$359,Конструкторы!$B449,Продажи!$C$5:$C$359,Конструкторы!$A449)</f>
        <v>0</v>
      </c>
      <c r="T449" s="166">
        <f>SUMIFS(Продажи!Q$5:Q$359,Продажи!$D$5:$D$359,Конструкторы!$B449,Продажи!$C$5:$C$359,Конструкторы!$A449)</f>
        <v>0</v>
      </c>
    </row>
    <row r="450" spans="1:20" ht="15.75" hidden="1" x14ac:dyDescent="0.25">
      <c r="A450" s="166" t="s">
        <v>397</v>
      </c>
      <c r="B450" s="167" t="s">
        <v>227</v>
      </c>
      <c r="C450" s="33" t="s">
        <v>76</v>
      </c>
      <c r="D450" s="149"/>
      <c r="E450" s="153" t="s">
        <v>70</v>
      </c>
      <c r="F450" s="148">
        <v>6</v>
      </c>
      <c r="G450" s="156" t="s">
        <v>71</v>
      </c>
      <c r="H450" s="156">
        <f>F450</f>
        <v>6</v>
      </c>
      <c r="I450" s="166">
        <f>SUMIFS(Продажи!F$5:F$359,Продажи!$D$5:$D$359,Конструкторы!$B450,Продажи!$C$5:$C$359,Конструкторы!$A450)</f>
        <v>0</v>
      </c>
      <c r="J450" s="166">
        <f>SUMIFS(Продажи!G$5:G$359,Продажи!$D$5:$D$359,Конструкторы!$B450,Продажи!$C$5:$C$359,Конструкторы!$A450)</f>
        <v>0</v>
      </c>
      <c r="K450" s="166">
        <f>SUMIFS(Продажи!H$5:H$359,Продажи!$D$5:$D$359,Конструкторы!$B450,Продажи!$C$5:$C$359,Конструкторы!$A450)</f>
        <v>0</v>
      </c>
      <c r="L450" s="166">
        <f>SUMIFS(Продажи!I$5:I$359,Продажи!$D$5:$D$359,Конструкторы!$B450,Продажи!$C$5:$C$359,Конструкторы!$A450)</f>
        <v>0</v>
      </c>
      <c r="M450" s="166">
        <f>SUMIFS(Продажи!J$5:J$359,Продажи!$D$5:$D$359,Конструкторы!$B450,Продажи!$C$5:$C$359,Конструкторы!$A450)</f>
        <v>0</v>
      </c>
      <c r="N450" s="166">
        <f>SUMIFS(Продажи!K$5:K$359,Продажи!$D$5:$D$359,Конструкторы!$B450,Продажи!$C$5:$C$359,Конструкторы!$A450)</f>
        <v>0</v>
      </c>
      <c r="O450" s="166">
        <f>SUMIFS(Продажи!L$5:L$359,Продажи!$D$5:$D$359,Конструкторы!$B450,Продажи!$C$5:$C$359,Конструкторы!$A450)</f>
        <v>0</v>
      </c>
      <c r="P450" s="166">
        <f>SUMIFS(Продажи!M$5:M$359,Продажи!$D$5:$D$359,Конструкторы!$B450,Продажи!$C$5:$C$359,Конструкторы!$A450)</f>
        <v>0</v>
      </c>
      <c r="Q450" s="166">
        <f>SUMIFS(Продажи!N$5:N$359,Продажи!$D$5:$D$359,Конструкторы!$B450,Продажи!$C$5:$C$359,Конструкторы!$A450)</f>
        <v>0</v>
      </c>
      <c r="R450" s="166">
        <f>SUMIFS(Продажи!O$5:O$359,Продажи!$D$5:$D$359,Конструкторы!$B450,Продажи!$C$5:$C$359,Конструкторы!$A450)</f>
        <v>0</v>
      </c>
      <c r="S450" s="166">
        <f>SUMIFS(Продажи!P$5:P$359,Продажи!$D$5:$D$359,Конструкторы!$B450,Продажи!$C$5:$C$359,Конструкторы!$A450)</f>
        <v>0</v>
      </c>
      <c r="T450" s="166">
        <f>SUMIFS(Продажи!Q$5:Q$359,Продажи!$D$5:$D$359,Конструкторы!$B450,Продажи!$C$5:$C$359,Конструкторы!$A450)</f>
        <v>0</v>
      </c>
    </row>
    <row r="451" spans="1:20" ht="15.75" hidden="1" x14ac:dyDescent="0.25">
      <c r="A451" s="166" t="s">
        <v>397</v>
      </c>
      <c r="B451" s="167" t="s">
        <v>228</v>
      </c>
      <c r="C451" s="129" t="s">
        <v>62</v>
      </c>
      <c r="D451" s="149"/>
      <c r="E451" s="153" t="s">
        <v>68</v>
      </c>
      <c r="F451" s="156">
        <f>(0.88*103)/100</f>
        <v>0.90639999999999998</v>
      </c>
      <c r="G451" s="156">
        <v>2.6399999999999979E-2</v>
      </c>
      <c r="H451" s="156">
        <f>F451+G451</f>
        <v>0.93279999999999996</v>
      </c>
      <c r="I451" s="166">
        <f>SUMIFS(Продажи!F$5:F$359,Продажи!$D$5:$D$359,Конструкторы!$B451,Продажи!$C$5:$C$359,Конструкторы!$A451)</f>
        <v>0</v>
      </c>
      <c r="J451" s="166">
        <f>SUMIFS(Продажи!G$5:G$359,Продажи!$D$5:$D$359,Конструкторы!$B451,Продажи!$C$5:$C$359,Конструкторы!$A451)</f>
        <v>0</v>
      </c>
      <c r="K451" s="166">
        <f>SUMIFS(Продажи!H$5:H$359,Продажи!$D$5:$D$359,Конструкторы!$B451,Продажи!$C$5:$C$359,Конструкторы!$A451)</f>
        <v>0</v>
      </c>
      <c r="L451" s="166">
        <f>SUMIFS(Продажи!I$5:I$359,Продажи!$D$5:$D$359,Конструкторы!$B451,Продажи!$C$5:$C$359,Конструкторы!$A451)</f>
        <v>0</v>
      </c>
      <c r="M451" s="166">
        <f>SUMIFS(Продажи!J$5:J$359,Продажи!$D$5:$D$359,Конструкторы!$B451,Продажи!$C$5:$C$359,Конструкторы!$A451)</f>
        <v>0</v>
      </c>
      <c r="N451" s="166">
        <f>SUMIFS(Продажи!K$5:K$359,Продажи!$D$5:$D$359,Конструкторы!$B451,Продажи!$C$5:$C$359,Конструкторы!$A451)</f>
        <v>0</v>
      </c>
      <c r="O451" s="166">
        <f>SUMIFS(Продажи!L$5:L$359,Продажи!$D$5:$D$359,Конструкторы!$B451,Продажи!$C$5:$C$359,Конструкторы!$A451)</f>
        <v>0</v>
      </c>
      <c r="P451" s="166">
        <f>SUMIFS(Продажи!M$5:M$359,Продажи!$D$5:$D$359,Конструкторы!$B451,Продажи!$C$5:$C$359,Конструкторы!$A451)</f>
        <v>0</v>
      </c>
      <c r="Q451" s="166">
        <f>SUMIFS(Продажи!N$5:N$359,Продажи!$D$5:$D$359,Конструкторы!$B451,Продажи!$C$5:$C$359,Конструкторы!$A451)</f>
        <v>0</v>
      </c>
      <c r="R451" s="166">
        <f>SUMIFS(Продажи!O$5:O$359,Продажи!$D$5:$D$359,Конструкторы!$B451,Продажи!$C$5:$C$359,Конструкторы!$A451)</f>
        <v>0</v>
      </c>
      <c r="S451" s="166">
        <f>SUMIFS(Продажи!P$5:P$359,Продажи!$D$5:$D$359,Конструкторы!$B451,Продажи!$C$5:$C$359,Конструкторы!$A451)</f>
        <v>0</v>
      </c>
      <c r="T451" s="166">
        <f>SUMIFS(Продажи!Q$5:Q$359,Продажи!$D$5:$D$359,Конструкторы!$B451,Продажи!$C$5:$C$359,Конструкторы!$A451)</f>
        <v>0</v>
      </c>
    </row>
    <row r="452" spans="1:20" ht="15.75" hidden="1" x14ac:dyDescent="0.25">
      <c r="A452" s="166" t="s">
        <v>397</v>
      </c>
      <c r="B452" s="167" t="s">
        <v>228</v>
      </c>
      <c r="C452" s="33" t="s">
        <v>76</v>
      </c>
      <c r="D452" s="149"/>
      <c r="E452" s="153" t="s">
        <v>70</v>
      </c>
      <c r="F452" s="148">
        <v>6</v>
      </c>
      <c r="G452" s="156" t="s">
        <v>71</v>
      </c>
      <c r="H452" s="156">
        <f>F452</f>
        <v>6</v>
      </c>
      <c r="I452" s="166">
        <f>SUMIFS(Продажи!F$5:F$359,Продажи!$D$5:$D$359,Конструкторы!$B452,Продажи!$C$5:$C$359,Конструкторы!$A452)</f>
        <v>0</v>
      </c>
      <c r="J452" s="166">
        <f>SUMIFS(Продажи!G$5:G$359,Продажи!$D$5:$D$359,Конструкторы!$B452,Продажи!$C$5:$C$359,Конструкторы!$A452)</f>
        <v>0</v>
      </c>
      <c r="K452" s="166">
        <f>SUMIFS(Продажи!H$5:H$359,Продажи!$D$5:$D$359,Конструкторы!$B452,Продажи!$C$5:$C$359,Конструкторы!$A452)</f>
        <v>0</v>
      </c>
      <c r="L452" s="166">
        <f>SUMIFS(Продажи!I$5:I$359,Продажи!$D$5:$D$359,Конструкторы!$B452,Продажи!$C$5:$C$359,Конструкторы!$A452)</f>
        <v>0</v>
      </c>
      <c r="M452" s="166">
        <f>SUMIFS(Продажи!J$5:J$359,Продажи!$D$5:$D$359,Конструкторы!$B452,Продажи!$C$5:$C$359,Конструкторы!$A452)</f>
        <v>0</v>
      </c>
      <c r="N452" s="166">
        <f>SUMIFS(Продажи!K$5:K$359,Продажи!$D$5:$D$359,Конструкторы!$B452,Продажи!$C$5:$C$359,Конструкторы!$A452)</f>
        <v>0</v>
      </c>
      <c r="O452" s="166">
        <f>SUMIFS(Продажи!L$5:L$359,Продажи!$D$5:$D$359,Конструкторы!$B452,Продажи!$C$5:$C$359,Конструкторы!$A452)</f>
        <v>0</v>
      </c>
      <c r="P452" s="166">
        <f>SUMIFS(Продажи!M$5:M$359,Продажи!$D$5:$D$359,Конструкторы!$B452,Продажи!$C$5:$C$359,Конструкторы!$A452)</f>
        <v>0</v>
      </c>
      <c r="Q452" s="166">
        <f>SUMIFS(Продажи!N$5:N$359,Продажи!$D$5:$D$359,Конструкторы!$B452,Продажи!$C$5:$C$359,Конструкторы!$A452)</f>
        <v>0</v>
      </c>
      <c r="R452" s="166">
        <f>SUMIFS(Продажи!O$5:O$359,Продажи!$D$5:$D$359,Конструкторы!$B452,Продажи!$C$5:$C$359,Конструкторы!$A452)</f>
        <v>0</v>
      </c>
      <c r="S452" s="166">
        <f>SUMIFS(Продажи!P$5:P$359,Продажи!$D$5:$D$359,Конструкторы!$B452,Продажи!$C$5:$C$359,Конструкторы!$A452)</f>
        <v>0</v>
      </c>
      <c r="T452" s="166">
        <f>SUMIFS(Продажи!Q$5:Q$359,Продажи!$D$5:$D$359,Конструкторы!$B452,Продажи!$C$5:$C$359,Конструкторы!$A452)</f>
        <v>0</v>
      </c>
    </row>
    <row r="453" spans="1:20" ht="15.75" hidden="1" x14ac:dyDescent="0.25">
      <c r="A453" s="166" t="s">
        <v>397</v>
      </c>
      <c r="B453" s="167" t="s">
        <v>229</v>
      </c>
      <c r="C453" s="129" t="s">
        <v>63</v>
      </c>
      <c r="D453" s="149"/>
      <c r="E453" s="153" t="s">
        <v>68</v>
      </c>
      <c r="F453" s="156">
        <f>(0.88*103)/100</f>
        <v>0.90639999999999998</v>
      </c>
      <c r="G453" s="156">
        <v>2.6399999999999979E-2</v>
      </c>
      <c r="H453" s="156">
        <f>F453+G453</f>
        <v>0.93279999999999996</v>
      </c>
      <c r="I453" s="166">
        <f>SUMIFS(Продажи!F$5:F$359,Продажи!$D$5:$D$359,Конструкторы!$B453,Продажи!$C$5:$C$359,Конструкторы!$A453)</f>
        <v>0</v>
      </c>
      <c r="J453" s="166">
        <f>SUMIFS(Продажи!G$5:G$359,Продажи!$D$5:$D$359,Конструкторы!$B453,Продажи!$C$5:$C$359,Конструкторы!$A453)</f>
        <v>0</v>
      </c>
      <c r="K453" s="166">
        <f>SUMIFS(Продажи!H$5:H$359,Продажи!$D$5:$D$359,Конструкторы!$B453,Продажи!$C$5:$C$359,Конструкторы!$A453)</f>
        <v>0</v>
      </c>
      <c r="L453" s="166">
        <f>SUMIFS(Продажи!I$5:I$359,Продажи!$D$5:$D$359,Конструкторы!$B453,Продажи!$C$5:$C$359,Конструкторы!$A453)</f>
        <v>0</v>
      </c>
      <c r="M453" s="166">
        <f>SUMIFS(Продажи!J$5:J$359,Продажи!$D$5:$D$359,Конструкторы!$B453,Продажи!$C$5:$C$359,Конструкторы!$A453)</f>
        <v>0</v>
      </c>
      <c r="N453" s="166">
        <f>SUMIFS(Продажи!K$5:K$359,Продажи!$D$5:$D$359,Конструкторы!$B453,Продажи!$C$5:$C$359,Конструкторы!$A453)</f>
        <v>0</v>
      </c>
      <c r="O453" s="166">
        <f>SUMIFS(Продажи!L$5:L$359,Продажи!$D$5:$D$359,Конструкторы!$B453,Продажи!$C$5:$C$359,Конструкторы!$A453)</f>
        <v>0</v>
      </c>
      <c r="P453" s="166">
        <f>SUMIFS(Продажи!M$5:M$359,Продажи!$D$5:$D$359,Конструкторы!$B453,Продажи!$C$5:$C$359,Конструкторы!$A453)</f>
        <v>0</v>
      </c>
      <c r="Q453" s="166">
        <f>SUMIFS(Продажи!N$5:N$359,Продажи!$D$5:$D$359,Конструкторы!$B453,Продажи!$C$5:$C$359,Конструкторы!$A453)</f>
        <v>0</v>
      </c>
      <c r="R453" s="166">
        <f>SUMIFS(Продажи!O$5:O$359,Продажи!$D$5:$D$359,Конструкторы!$B453,Продажи!$C$5:$C$359,Конструкторы!$A453)</f>
        <v>0</v>
      </c>
      <c r="S453" s="166">
        <f>SUMIFS(Продажи!P$5:P$359,Продажи!$D$5:$D$359,Конструкторы!$B453,Продажи!$C$5:$C$359,Конструкторы!$A453)</f>
        <v>0</v>
      </c>
      <c r="T453" s="166">
        <f>SUMIFS(Продажи!Q$5:Q$359,Продажи!$D$5:$D$359,Конструкторы!$B453,Продажи!$C$5:$C$359,Конструкторы!$A453)</f>
        <v>0</v>
      </c>
    </row>
    <row r="454" spans="1:20" ht="15.75" hidden="1" x14ac:dyDescent="0.25">
      <c r="A454" s="166" t="s">
        <v>397</v>
      </c>
      <c r="B454" s="167" t="s">
        <v>229</v>
      </c>
      <c r="C454" s="33" t="s">
        <v>76</v>
      </c>
      <c r="D454" s="149"/>
      <c r="E454" s="153" t="s">
        <v>70</v>
      </c>
      <c r="F454" s="148">
        <v>6</v>
      </c>
      <c r="G454" s="156" t="s">
        <v>71</v>
      </c>
      <c r="H454" s="156">
        <f>F454</f>
        <v>6</v>
      </c>
      <c r="I454" s="166">
        <f>SUMIFS(Продажи!F$5:F$359,Продажи!$D$5:$D$359,Конструкторы!$B454,Продажи!$C$5:$C$359,Конструкторы!$A454)</f>
        <v>0</v>
      </c>
      <c r="J454" s="166">
        <f>SUMIFS(Продажи!G$5:G$359,Продажи!$D$5:$D$359,Конструкторы!$B454,Продажи!$C$5:$C$359,Конструкторы!$A454)</f>
        <v>0</v>
      </c>
      <c r="K454" s="166">
        <f>SUMIFS(Продажи!H$5:H$359,Продажи!$D$5:$D$359,Конструкторы!$B454,Продажи!$C$5:$C$359,Конструкторы!$A454)</f>
        <v>0</v>
      </c>
      <c r="L454" s="166">
        <f>SUMIFS(Продажи!I$5:I$359,Продажи!$D$5:$D$359,Конструкторы!$B454,Продажи!$C$5:$C$359,Конструкторы!$A454)</f>
        <v>0</v>
      </c>
      <c r="M454" s="166">
        <f>SUMIFS(Продажи!J$5:J$359,Продажи!$D$5:$D$359,Конструкторы!$B454,Продажи!$C$5:$C$359,Конструкторы!$A454)</f>
        <v>0</v>
      </c>
      <c r="N454" s="166">
        <f>SUMIFS(Продажи!K$5:K$359,Продажи!$D$5:$D$359,Конструкторы!$B454,Продажи!$C$5:$C$359,Конструкторы!$A454)</f>
        <v>0</v>
      </c>
      <c r="O454" s="166">
        <f>SUMIFS(Продажи!L$5:L$359,Продажи!$D$5:$D$359,Конструкторы!$B454,Продажи!$C$5:$C$359,Конструкторы!$A454)</f>
        <v>0</v>
      </c>
      <c r="P454" s="166">
        <f>SUMIFS(Продажи!M$5:M$359,Продажи!$D$5:$D$359,Конструкторы!$B454,Продажи!$C$5:$C$359,Конструкторы!$A454)</f>
        <v>0</v>
      </c>
      <c r="Q454" s="166">
        <f>SUMIFS(Продажи!N$5:N$359,Продажи!$D$5:$D$359,Конструкторы!$B454,Продажи!$C$5:$C$359,Конструкторы!$A454)</f>
        <v>0</v>
      </c>
      <c r="R454" s="166">
        <f>SUMIFS(Продажи!O$5:O$359,Продажи!$D$5:$D$359,Конструкторы!$B454,Продажи!$C$5:$C$359,Конструкторы!$A454)</f>
        <v>0</v>
      </c>
      <c r="S454" s="166">
        <f>SUMIFS(Продажи!P$5:P$359,Продажи!$D$5:$D$359,Конструкторы!$B454,Продажи!$C$5:$C$359,Конструкторы!$A454)</f>
        <v>0</v>
      </c>
      <c r="T454" s="166">
        <f>SUMIFS(Продажи!Q$5:Q$359,Продажи!$D$5:$D$359,Конструкторы!$B454,Продажи!$C$5:$C$359,Конструкторы!$A454)</f>
        <v>0</v>
      </c>
    </row>
    <row r="455" spans="1:20" ht="15.75" hidden="1" x14ac:dyDescent="0.25">
      <c r="A455" s="166" t="s">
        <v>397</v>
      </c>
      <c r="B455" s="167" t="s">
        <v>230</v>
      </c>
      <c r="C455" s="129" t="s">
        <v>64</v>
      </c>
      <c r="D455" s="149"/>
      <c r="E455" s="153" t="s">
        <v>68</v>
      </c>
      <c r="F455" s="156">
        <f>(0.88*103)/100</f>
        <v>0.90639999999999998</v>
      </c>
      <c r="G455" s="156">
        <v>2.6399999999999979E-2</v>
      </c>
      <c r="H455" s="156">
        <f>F455+G455</f>
        <v>0.93279999999999996</v>
      </c>
      <c r="I455" s="166">
        <f>SUMIFS(Продажи!F$5:F$359,Продажи!$D$5:$D$359,Конструкторы!$B455,Продажи!$C$5:$C$359,Конструкторы!$A455)</f>
        <v>0</v>
      </c>
      <c r="J455" s="166">
        <f>SUMIFS(Продажи!G$5:G$359,Продажи!$D$5:$D$359,Конструкторы!$B455,Продажи!$C$5:$C$359,Конструкторы!$A455)</f>
        <v>0</v>
      </c>
      <c r="K455" s="166">
        <f>SUMIFS(Продажи!H$5:H$359,Продажи!$D$5:$D$359,Конструкторы!$B455,Продажи!$C$5:$C$359,Конструкторы!$A455)</f>
        <v>0</v>
      </c>
      <c r="L455" s="166">
        <f>SUMIFS(Продажи!I$5:I$359,Продажи!$D$5:$D$359,Конструкторы!$B455,Продажи!$C$5:$C$359,Конструкторы!$A455)</f>
        <v>0</v>
      </c>
      <c r="M455" s="166">
        <f>SUMIFS(Продажи!J$5:J$359,Продажи!$D$5:$D$359,Конструкторы!$B455,Продажи!$C$5:$C$359,Конструкторы!$A455)</f>
        <v>0</v>
      </c>
      <c r="N455" s="166">
        <f>SUMIFS(Продажи!K$5:K$359,Продажи!$D$5:$D$359,Конструкторы!$B455,Продажи!$C$5:$C$359,Конструкторы!$A455)</f>
        <v>0</v>
      </c>
      <c r="O455" s="166">
        <f>SUMIFS(Продажи!L$5:L$359,Продажи!$D$5:$D$359,Конструкторы!$B455,Продажи!$C$5:$C$359,Конструкторы!$A455)</f>
        <v>0</v>
      </c>
      <c r="P455" s="166">
        <f>SUMIFS(Продажи!M$5:M$359,Продажи!$D$5:$D$359,Конструкторы!$B455,Продажи!$C$5:$C$359,Конструкторы!$A455)</f>
        <v>0</v>
      </c>
      <c r="Q455" s="166">
        <f>SUMIFS(Продажи!N$5:N$359,Продажи!$D$5:$D$359,Конструкторы!$B455,Продажи!$C$5:$C$359,Конструкторы!$A455)</f>
        <v>0</v>
      </c>
      <c r="R455" s="166">
        <f>SUMIFS(Продажи!O$5:O$359,Продажи!$D$5:$D$359,Конструкторы!$B455,Продажи!$C$5:$C$359,Конструкторы!$A455)</f>
        <v>0</v>
      </c>
      <c r="S455" s="166">
        <f>SUMIFS(Продажи!P$5:P$359,Продажи!$D$5:$D$359,Конструкторы!$B455,Продажи!$C$5:$C$359,Конструкторы!$A455)</f>
        <v>0</v>
      </c>
      <c r="T455" s="166">
        <f>SUMIFS(Продажи!Q$5:Q$359,Продажи!$D$5:$D$359,Конструкторы!$B455,Продажи!$C$5:$C$359,Конструкторы!$A455)</f>
        <v>0</v>
      </c>
    </row>
    <row r="456" spans="1:20" ht="15.75" hidden="1" x14ac:dyDescent="0.25">
      <c r="A456" s="166" t="s">
        <v>397</v>
      </c>
      <c r="B456" s="167" t="s">
        <v>230</v>
      </c>
      <c r="C456" s="33" t="s">
        <v>76</v>
      </c>
      <c r="D456" s="149"/>
      <c r="E456" s="153" t="s">
        <v>70</v>
      </c>
      <c r="F456" s="148">
        <v>6</v>
      </c>
      <c r="G456" s="156" t="s">
        <v>71</v>
      </c>
      <c r="H456" s="156">
        <f>F456</f>
        <v>6</v>
      </c>
      <c r="I456" s="166">
        <f>SUMIFS(Продажи!F$5:F$359,Продажи!$D$5:$D$359,Конструкторы!$B456,Продажи!$C$5:$C$359,Конструкторы!$A456)</f>
        <v>0</v>
      </c>
      <c r="J456" s="166">
        <f>SUMIFS(Продажи!G$5:G$359,Продажи!$D$5:$D$359,Конструкторы!$B456,Продажи!$C$5:$C$359,Конструкторы!$A456)</f>
        <v>0</v>
      </c>
      <c r="K456" s="166">
        <f>SUMIFS(Продажи!H$5:H$359,Продажи!$D$5:$D$359,Конструкторы!$B456,Продажи!$C$5:$C$359,Конструкторы!$A456)</f>
        <v>0</v>
      </c>
      <c r="L456" s="166">
        <f>SUMIFS(Продажи!I$5:I$359,Продажи!$D$5:$D$359,Конструкторы!$B456,Продажи!$C$5:$C$359,Конструкторы!$A456)</f>
        <v>0</v>
      </c>
      <c r="M456" s="166">
        <f>SUMIFS(Продажи!J$5:J$359,Продажи!$D$5:$D$359,Конструкторы!$B456,Продажи!$C$5:$C$359,Конструкторы!$A456)</f>
        <v>0</v>
      </c>
      <c r="N456" s="166">
        <f>SUMIFS(Продажи!K$5:K$359,Продажи!$D$5:$D$359,Конструкторы!$B456,Продажи!$C$5:$C$359,Конструкторы!$A456)</f>
        <v>0</v>
      </c>
      <c r="O456" s="166">
        <f>SUMIFS(Продажи!L$5:L$359,Продажи!$D$5:$D$359,Конструкторы!$B456,Продажи!$C$5:$C$359,Конструкторы!$A456)</f>
        <v>0</v>
      </c>
      <c r="P456" s="166">
        <f>SUMIFS(Продажи!M$5:M$359,Продажи!$D$5:$D$359,Конструкторы!$B456,Продажи!$C$5:$C$359,Конструкторы!$A456)</f>
        <v>0</v>
      </c>
      <c r="Q456" s="166">
        <f>SUMIFS(Продажи!N$5:N$359,Продажи!$D$5:$D$359,Конструкторы!$B456,Продажи!$C$5:$C$359,Конструкторы!$A456)</f>
        <v>0</v>
      </c>
      <c r="R456" s="166">
        <f>SUMIFS(Продажи!O$5:O$359,Продажи!$D$5:$D$359,Конструкторы!$B456,Продажи!$C$5:$C$359,Конструкторы!$A456)</f>
        <v>0</v>
      </c>
      <c r="S456" s="166">
        <f>SUMIFS(Продажи!P$5:P$359,Продажи!$D$5:$D$359,Конструкторы!$B456,Продажи!$C$5:$C$359,Конструкторы!$A456)</f>
        <v>0</v>
      </c>
      <c r="T456" s="166">
        <f>SUMIFS(Продажи!Q$5:Q$359,Продажи!$D$5:$D$359,Конструкторы!$B456,Продажи!$C$5:$C$359,Конструкторы!$A456)</f>
        <v>0</v>
      </c>
    </row>
    <row r="457" spans="1:20" ht="15.75" hidden="1" x14ac:dyDescent="0.25">
      <c r="A457" s="166" t="s">
        <v>397</v>
      </c>
      <c r="B457" s="167" t="s">
        <v>354</v>
      </c>
      <c r="C457" s="129" t="s">
        <v>60</v>
      </c>
      <c r="D457" s="149"/>
      <c r="E457" s="153" t="s">
        <v>68</v>
      </c>
      <c r="F457" s="156">
        <f>(0.493*103)/100</f>
        <v>0.50778999999999996</v>
      </c>
      <c r="G457" s="156">
        <v>1.478999999999997E-2</v>
      </c>
      <c r="H457" s="156">
        <f>F457+G457</f>
        <v>0.52257999999999993</v>
      </c>
      <c r="I457" s="166">
        <f>SUMIFS(Продажи!F$5:F$359,Продажи!$D$5:$D$359,Конструкторы!$B457,Продажи!$C$5:$C$359,Конструкторы!$A457)</f>
        <v>0</v>
      </c>
      <c r="J457" s="166">
        <f>SUMIFS(Продажи!G$5:G$359,Продажи!$D$5:$D$359,Конструкторы!$B457,Продажи!$C$5:$C$359,Конструкторы!$A457)</f>
        <v>0</v>
      </c>
      <c r="K457" s="166">
        <f>SUMIFS(Продажи!H$5:H$359,Продажи!$D$5:$D$359,Конструкторы!$B457,Продажи!$C$5:$C$359,Конструкторы!$A457)</f>
        <v>0</v>
      </c>
      <c r="L457" s="166">
        <f>SUMIFS(Продажи!I$5:I$359,Продажи!$D$5:$D$359,Конструкторы!$B457,Продажи!$C$5:$C$359,Конструкторы!$A457)</f>
        <v>0</v>
      </c>
      <c r="M457" s="166">
        <f>SUMIFS(Продажи!J$5:J$359,Продажи!$D$5:$D$359,Конструкторы!$B457,Продажи!$C$5:$C$359,Конструкторы!$A457)</f>
        <v>0</v>
      </c>
      <c r="N457" s="166">
        <f>SUMIFS(Продажи!K$5:K$359,Продажи!$D$5:$D$359,Конструкторы!$B457,Продажи!$C$5:$C$359,Конструкторы!$A457)</f>
        <v>0</v>
      </c>
      <c r="O457" s="166">
        <f>SUMIFS(Продажи!L$5:L$359,Продажи!$D$5:$D$359,Конструкторы!$B457,Продажи!$C$5:$C$359,Конструкторы!$A457)</f>
        <v>0</v>
      </c>
      <c r="P457" s="166">
        <f>SUMIFS(Продажи!M$5:M$359,Продажи!$D$5:$D$359,Конструкторы!$B457,Продажи!$C$5:$C$359,Конструкторы!$A457)</f>
        <v>0</v>
      </c>
      <c r="Q457" s="166">
        <f>SUMIFS(Продажи!N$5:N$359,Продажи!$D$5:$D$359,Конструкторы!$B457,Продажи!$C$5:$C$359,Конструкторы!$A457)</f>
        <v>0</v>
      </c>
      <c r="R457" s="166">
        <f>SUMIFS(Продажи!O$5:O$359,Продажи!$D$5:$D$359,Конструкторы!$B457,Продажи!$C$5:$C$359,Конструкторы!$A457)</f>
        <v>0</v>
      </c>
      <c r="S457" s="166">
        <f>SUMIFS(Продажи!P$5:P$359,Продажи!$D$5:$D$359,Конструкторы!$B457,Продажи!$C$5:$C$359,Конструкторы!$A457)</f>
        <v>0</v>
      </c>
      <c r="T457" s="166">
        <f>SUMIFS(Продажи!Q$5:Q$359,Продажи!$D$5:$D$359,Конструкторы!$B457,Продажи!$C$5:$C$359,Конструкторы!$A457)</f>
        <v>0</v>
      </c>
    </row>
    <row r="458" spans="1:20" ht="15.75" hidden="1" x14ac:dyDescent="0.25">
      <c r="A458" s="166" t="s">
        <v>397</v>
      </c>
      <c r="B458" s="167" t="s">
        <v>354</v>
      </c>
      <c r="C458" s="33" t="s">
        <v>87</v>
      </c>
      <c r="D458" s="149"/>
      <c r="E458" s="153" t="s">
        <v>70</v>
      </c>
      <c r="F458" s="148">
        <v>6</v>
      </c>
      <c r="G458" s="156" t="s">
        <v>71</v>
      </c>
      <c r="H458" s="156">
        <f>F458</f>
        <v>6</v>
      </c>
      <c r="I458" s="166">
        <f>SUMIFS(Продажи!F$5:F$359,Продажи!$D$5:$D$359,Конструкторы!$B458,Продажи!$C$5:$C$359,Конструкторы!$A458)</f>
        <v>0</v>
      </c>
      <c r="J458" s="166">
        <f>SUMIFS(Продажи!G$5:G$359,Продажи!$D$5:$D$359,Конструкторы!$B458,Продажи!$C$5:$C$359,Конструкторы!$A458)</f>
        <v>0</v>
      </c>
      <c r="K458" s="166">
        <f>SUMIFS(Продажи!H$5:H$359,Продажи!$D$5:$D$359,Конструкторы!$B458,Продажи!$C$5:$C$359,Конструкторы!$A458)</f>
        <v>0</v>
      </c>
      <c r="L458" s="166">
        <f>SUMIFS(Продажи!I$5:I$359,Продажи!$D$5:$D$359,Конструкторы!$B458,Продажи!$C$5:$C$359,Конструкторы!$A458)</f>
        <v>0</v>
      </c>
      <c r="M458" s="166">
        <f>SUMIFS(Продажи!J$5:J$359,Продажи!$D$5:$D$359,Конструкторы!$B458,Продажи!$C$5:$C$359,Конструкторы!$A458)</f>
        <v>0</v>
      </c>
      <c r="N458" s="166">
        <f>SUMIFS(Продажи!K$5:K$359,Продажи!$D$5:$D$359,Конструкторы!$B458,Продажи!$C$5:$C$359,Конструкторы!$A458)</f>
        <v>0</v>
      </c>
      <c r="O458" s="166">
        <f>SUMIFS(Продажи!L$5:L$359,Продажи!$D$5:$D$359,Конструкторы!$B458,Продажи!$C$5:$C$359,Конструкторы!$A458)</f>
        <v>0</v>
      </c>
      <c r="P458" s="166">
        <f>SUMIFS(Продажи!M$5:M$359,Продажи!$D$5:$D$359,Конструкторы!$B458,Продажи!$C$5:$C$359,Конструкторы!$A458)</f>
        <v>0</v>
      </c>
      <c r="Q458" s="166">
        <f>SUMIFS(Продажи!N$5:N$359,Продажи!$D$5:$D$359,Конструкторы!$B458,Продажи!$C$5:$C$359,Конструкторы!$A458)</f>
        <v>0</v>
      </c>
      <c r="R458" s="166">
        <f>SUMIFS(Продажи!O$5:O$359,Продажи!$D$5:$D$359,Конструкторы!$B458,Продажи!$C$5:$C$359,Конструкторы!$A458)</f>
        <v>0</v>
      </c>
      <c r="S458" s="166">
        <f>SUMIFS(Продажи!P$5:P$359,Продажи!$D$5:$D$359,Конструкторы!$B458,Продажи!$C$5:$C$359,Конструкторы!$A458)</f>
        <v>0</v>
      </c>
      <c r="T458" s="166">
        <f>SUMIFS(Продажи!Q$5:Q$359,Продажи!$D$5:$D$359,Конструкторы!$B458,Продажи!$C$5:$C$359,Конструкторы!$A458)</f>
        <v>0</v>
      </c>
    </row>
    <row r="459" spans="1:20" ht="15.75" hidden="1" x14ac:dyDescent="0.25">
      <c r="A459" s="166" t="s">
        <v>397</v>
      </c>
      <c r="B459" s="167" t="s">
        <v>355</v>
      </c>
      <c r="C459" s="129" t="s">
        <v>61</v>
      </c>
      <c r="D459" s="149"/>
      <c r="E459" s="153" t="s">
        <v>68</v>
      </c>
      <c r="F459" s="156">
        <f>(0.495*103)/100</f>
        <v>0.50985000000000003</v>
      </c>
      <c r="G459" s="156">
        <v>1.485000000000003E-2</v>
      </c>
      <c r="H459" s="156">
        <f>F459+G459</f>
        <v>0.52470000000000006</v>
      </c>
      <c r="I459" s="166">
        <f>SUMIFS(Продажи!F$5:F$359,Продажи!$D$5:$D$359,Конструкторы!$B459,Продажи!$C$5:$C$359,Конструкторы!$A459)</f>
        <v>0</v>
      </c>
      <c r="J459" s="166">
        <f>SUMIFS(Продажи!G$5:G$359,Продажи!$D$5:$D$359,Конструкторы!$B459,Продажи!$C$5:$C$359,Конструкторы!$A459)</f>
        <v>0</v>
      </c>
      <c r="K459" s="166">
        <f>SUMIFS(Продажи!H$5:H$359,Продажи!$D$5:$D$359,Конструкторы!$B459,Продажи!$C$5:$C$359,Конструкторы!$A459)</f>
        <v>0</v>
      </c>
      <c r="L459" s="166">
        <f>SUMIFS(Продажи!I$5:I$359,Продажи!$D$5:$D$359,Конструкторы!$B459,Продажи!$C$5:$C$359,Конструкторы!$A459)</f>
        <v>0</v>
      </c>
      <c r="M459" s="166">
        <f>SUMIFS(Продажи!J$5:J$359,Продажи!$D$5:$D$359,Конструкторы!$B459,Продажи!$C$5:$C$359,Конструкторы!$A459)</f>
        <v>0</v>
      </c>
      <c r="N459" s="166">
        <f>SUMIFS(Продажи!K$5:K$359,Продажи!$D$5:$D$359,Конструкторы!$B459,Продажи!$C$5:$C$359,Конструкторы!$A459)</f>
        <v>0</v>
      </c>
      <c r="O459" s="166">
        <f>SUMIFS(Продажи!L$5:L$359,Продажи!$D$5:$D$359,Конструкторы!$B459,Продажи!$C$5:$C$359,Конструкторы!$A459)</f>
        <v>0</v>
      </c>
      <c r="P459" s="166">
        <f>SUMIFS(Продажи!M$5:M$359,Продажи!$D$5:$D$359,Конструкторы!$B459,Продажи!$C$5:$C$359,Конструкторы!$A459)</f>
        <v>0</v>
      </c>
      <c r="Q459" s="166">
        <f>SUMIFS(Продажи!N$5:N$359,Продажи!$D$5:$D$359,Конструкторы!$B459,Продажи!$C$5:$C$359,Конструкторы!$A459)</f>
        <v>0</v>
      </c>
      <c r="R459" s="166">
        <f>SUMIFS(Продажи!O$5:O$359,Продажи!$D$5:$D$359,Конструкторы!$B459,Продажи!$C$5:$C$359,Конструкторы!$A459)</f>
        <v>0</v>
      </c>
      <c r="S459" s="166">
        <f>SUMIFS(Продажи!P$5:P$359,Продажи!$D$5:$D$359,Конструкторы!$B459,Продажи!$C$5:$C$359,Конструкторы!$A459)</f>
        <v>0</v>
      </c>
      <c r="T459" s="166">
        <f>SUMIFS(Продажи!Q$5:Q$359,Продажи!$D$5:$D$359,Конструкторы!$B459,Продажи!$C$5:$C$359,Конструкторы!$A459)</f>
        <v>0</v>
      </c>
    </row>
    <row r="460" spans="1:20" ht="15.75" hidden="1" x14ac:dyDescent="0.25">
      <c r="A460" s="166" t="s">
        <v>397</v>
      </c>
      <c r="B460" s="167" t="s">
        <v>355</v>
      </c>
      <c r="C460" s="33" t="s">
        <v>87</v>
      </c>
      <c r="D460" s="149"/>
      <c r="E460" s="153" t="s">
        <v>70</v>
      </c>
      <c r="F460" s="148">
        <v>6</v>
      </c>
      <c r="G460" s="156" t="s">
        <v>71</v>
      </c>
      <c r="H460" s="156">
        <f>F460</f>
        <v>6</v>
      </c>
      <c r="I460" s="166">
        <f>SUMIFS(Продажи!F$5:F$359,Продажи!$D$5:$D$359,Конструкторы!$B460,Продажи!$C$5:$C$359,Конструкторы!$A460)</f>
        <v>0</v>
      </c>
      <c r="J460" s="166">
        <f>SUMIFS(Продажи!G$5:G$359,Продажи!$D$5:$D$359,Конструкторы!$B460,Продажи!$C$5:$C$359,Конструкторы!$A460)</f>
        <v>0</v>
      </c>
      <c r="K460" s="166">
        <f>SUMIFS(Продажи!H$5:H$359,Продажи!$D$5:$D$359,Конструкторы!$B460,Продажи!$C$5:$C$359,Конструкторы!$A460)</f>
        <v>0</v>
      </c>
      <c r="L460" s="166">
        <f>SUMIFS(Продажи!I$5:I$359,Продажи!$D$5:$D$359,Конструкторы!$B460,Продажи!$C$5:$C$359,Конструкторы!$A460)</f>
        <v>0</v>
      </c>
      <c r="M460" s="166">
        <f>SUMIFS(Продажи!J$5:J$359,Продажи!$D$5:$D$359,Конструкторы!$B460,Продажи!$C$5:$C$359,Конструкторы!$A460)</f>
        <v>0</v>
      </c>
      <c r="N460" s="166">
        <f>SUMIFS(Продажи!K$5:K$359,Продажи!$D$5:$D$359,Конструкторы!$B460,Продажи!$C$5:$C$359,Конструкторы!$A460)</f>
        <v>0</v>
      </c>
      <c r="O460" s="166">
        <f>SUMIFS(Продажи!L$5:L$359,Продажи!$D$5:$D$359,Конструкторы!$B460,Продажи!$C$5:$C$359,Конструкторы!$A460)</f>
        <v>0</v>
      </c>
      <c r="P460" s="166">
        <f>SUMIFS(Продажи!M$5:M$359,Продажи!$D$5:$D$359,Конструкторы!$B460,Продажи!$C$5:$C$359,Конструкторы!$A460)</f>
        <v>0</v>
      </c>
      <c r="Q460" s="166">
        <f>SUMIFS(Продажи!N$5:N$359,Продажи!$D$5:$D$359,Конструкторы!$B460,Продажи!$C$5:$C$359,Конструкторы!$A460)</f>
        <v>0</v>
      </c>
      <c r="R460" s="166">
        <f>SUMIFS(Продажи!O$5:O$359,Продажи!$D$5:$D$359,Конструкторы!$B460,Продажи!$C$5:$C$359,Конструкторы!$A460)</f>
        <v>0</v>
      </c>
      <c r="S460" s="166">
        <f>SUMIFS(Продажи!P$5:P$359,Продажи!$D$5:$D$359,Конструкторы!$B460,Продажи!$C$5:$C$359,Конструкторы!$A460)</f>
        <v>0</v>
      </c>
      <c r="T460" s="166">
        <f>SUMIFS(Продажи!Q$5:Q$359,Продажи!$D$5:$D$359,Конструкторы!$B460,Продажи!$C$5:$C$359,Конструкторы!$A460)</f>
        <v>0</v>
      </c>
    </row>
    <row r="461" spans="1:20" ht="15.75" hidden="1" x14ac:dyDescent="0.25">
      <c r="A461" s="166" t="s">
        <v>397</v>
      </c>
      <c r="B461" s="167" t="s">
        <v>356</v>
      </c>
      <c r="C461" s="129" t="s">
        <v>62</v>
      </c>
      <c r="D461" s="149"/>
      <c r="E461" s="153" t="s">
        <v>68</v>
      </c>
      <c r="F461" s="156">
        <f>(0.495*103)/100</f>
        <v>0.50985000000000003</v>
      </c>
      <c r="G461" s="156">
        <v>1.485000000000003E-2</v>
      </c>
      <c r="H461" s="156">
        <f>F461+G461</f>
        <v>0.52470000000000006</v>
      </c>
      <c r="I461" s="166">
        <f>SUMIFS(Продажи!F$5:F$359,Продажи!$D$5:$D$359,Конструкторы!$B461,Продажи!$C$5:$C$359,Конструкторы!$A461)</f>
        <v>0</v>
      </c>
      <c r="J461" s="166">
        <f>SUMIFS(Продажи!G$5:G$359,Продажи!$D$5:$D$359,Конструкторы!$B461,Продажи!$C$5:$C$359,Конструкторы!$A461)</f>
        <v>0</v>
      </c>
      <c r="K461" s="166">
        <f>SUMIFS(Продажи!H$5:H$359,Продажи!$D$5:$D$359,Конструкторы!$B461,Продажи!$C$5:$C$359,Конструкторы!$A461)</f>
        <v>0</v>
      </c>
      <c r="L461" s="166">
        <f>SUMIFS(Продажи!I$5:I$359,Продажи!$D$5:$D$359,Конструкторы!$B461,Продажи!$C$5:$C$359,Конструкторы!$A461)</f>
        <v>0</v>
      </c>
      <c r="M461" s="166">
        <f>SUMIFS(Продажи!J$5:J$359,Продажи!$D$5:$D$359,Конструкторы!$B461,Продажи!$C$5:$C$359,Конструкторы!$A461)</f>
        <v>0</v>
      </c>
      <c r="N461" s="166">
        <f>SUMIFS(Продажи!K$5:K$359,Продажи!$D$5:$D$359,Конструкторы!$B461,Продажи!$C$5:$C$359,Конструкторы!$A461)</f>
        <v>0</v>
      </c>
      <c r="O461" s="166">
        <f>SUMIFS(Продажи!L$5:L$359,Продажи!$D$5:$D$359,Конструкторы!$B461,Продажи!$C$5:$C$359,Конструкторы!$A461)</f>
        <v>0</v>
      </c>
      <c r="P461" s="166">
        <f>SUMIFS(Продажи!M$5:M$359,Продажи!$D$5:$D$359,Конструкторы!$B461,Продажи!$C$5:$C$359,Конструкторы!$A461)</f>
        <v>0</v>
      </c>
      <c r="Q461" s="166">
        <f>SUMIFS(Продажи!N$5:N$359,Продажи!$D$5:$D$359,Конструкторы!$B461,Продажи!$C$5:$C$359,Конструкторы!$A461)</f>
        <v>0</v>
      </c>
      <c r="R461" s="166">
        <f>SUMIFS(Продажи!O$5:O$359,Продажи!$D$5:$D$359,Конструкторы!$B461,Продажи!$C$5:$C$359,Конструкторы!$A461)</f>
        <v>0</v>
      </c>
      <c r="S461" s="166">
        <f>SUMIFS(Продажи!P$5:P$359,Продажи!$D$5:$D$359,Конструкторы!$B461,Продажи!$C$5:$C$359,Конструкторы!$A461)</f>
        <v>0</v>
      </c>
      <c r="T461" s="166">
        <f>SUMIFS(Продажи!Q$5:Q$359,Продажи!$D$5:$D$359,Конструкторы!$B461,Продажи!$C$5:$C$359,Конструкторы!$A461)</f>
        <v>0</v>
      </c>
    </row>
    <row r="462" spans="1:20" ht="15.75" hidden="1" x14ac:dyDescent="0.25">
      <c r="A462" s="166" t="s">
        <v>397</v>
      </c>
      <c r="B462" s="167" t="s">
        <v>356</v>
      </c>
      <c r="C462" s="33" t="s">
        <v>87</v>
      </c>
      <c r="D462" s="149"/>
      <c r="E462" s="153" t="s">
        <v>70</v>
      </c>
      <c r="F462" s="148">
        <v>6</v>
      </c>
      <c r="G462" s="156" t="s">
        <v>71</v>
      </c>
      <c r="H462" s="156">
        <f>F462</f>
        <v>6</v>
      </c>
      <c r="I462" s="166">
        <f>SUMIFS(Продажи!F$5:F$359,Продажи!$D$5:$D$359,Конструкторы!$B462,Продажи!$C$5:$C$359,Конструкторы!$A462)</f>
        <v>0</v>
      </c>
      <c r="J462" s="166">
        <f>SUMIFS(Продажи!G$5:G$359,Продажи!$D$5:$D$359,Конструкторы!$B462,Продажи!$C$5:$C$359,Конструкторы!$A462)</f>
        <v>0</v>
      </c>
      <c r="K462" s="166">
        <f>SUMIFS(Продажи!H$5:H$359,Продажи!$D$5:$D$359,Конструкторы!$B462,Продажи!$C$5:$C$359,Конструкторы!$A462)</f>
        <v>0</v>
      </c>
      <c r="L462" s="166">
        <f>SUMIFS(Продажи!I$5:I$359,Продажи!$D$5:$D$359,Конструкторы!$B462,Продажи!$C$5:$C$359,Конструкторы!$A462)</f>
        <v>0</v>
      </c>
      <c r="M462" s="166">
        <f>SUMIFS(Продажи!J$5:J$359,Продажи!$D$5:$D$359,Конструкторы!$B462,Продажи!$C$5:$C$359,Конструкторы!$A462)</f>
        <v>0</v>
      </c>
      <c r="N462" s="166">
        <f>SUMIFS(Продажи!K$5:K$359,Продажи!$D$5:$D$359,Конструкторы!$B462,Продажи!$C$5:$C$359,Конструкторы!$A462)</f>
        <v>0</v>
      </c>
      <c r="O462" s="166">
        <f>SUMIFS(Продажи!L$5:L$359,Продажи!$D$5:$D$359,Конструкторы!$B462,Продажи!$C$5:$C$359,Конструкторы!$A462)</f>
        <v>0</v>
      </c>
      <c r="P462" s="166">
        <f>SUMIFS(Продажи!M$5:M$359,Продажи!$D$5:$D$359,Конструкторы!$B462,Продажи!$C$5:$C$359,Конструкторы!$A462)</f>
        <v>0</v>
      </c>
      <c r="Q462" s="166">
        <f>SUMIFS(Продажи!N$5:N$359,Продажи!$D$5:$D$359,Конструкторы!$B462,Продажи!$C$5:$C$359,Конструкторы!$A462)</f>
        <v>0</v>
      </c>
      <c r="R462" s="166">
        <f>SUMIFS(Продажи!O$5:O$359,Продажи!$D$5:$D$359,Конструкторы!$B462,Продажи!$C$5:$C$359,Конструкторы!$A462)</f>
        <v>0</v>
      </c>
      <c r="S462" s="166">
        <f>SUMIFS(Продажи!P$5:P$359,Продажи!$D$5:$D$359,Конструкторы!$B462,Продажи!$C$5:$C$359,Конструкторы!$A462)</f>
        <v>0</v>
      </c>
      <c r="T462" s="166">
        <f>SUMIFS(Продажи!Q$5:Q$359,Продажи!$D$5:$D$359,Конструкторы!$B462,Продажи!$C$5:$C$359,Конструкторы!$A462)</f>
        <v>0</v>
      </c>
    </row>
    <row r="463" spans="1:20" ht="15.75" hidden="1" x14ac:dyDescent="0.25">
      <c r="A463" s="166" t="s">
        <v>397</v>
      </c>
      <c r="B463" s="167" t="s">
        <v>357</v>
      </c>
      <c r="C463" s="129" t="s">
        <v>63</v>
      </c>
      <c r="D463" s="149"/>
      <c r="E463" s="153" t="s">
        <v>68</v>
      </c>
      <c r="F463" s="156">
        <f>(0.495*103)/100</f>
        <v>0.50985000000000003</v>
      </c>
      <c r="G463" s="156">
        <v>1.485000000000003E-2</v>
      </c>
      <c r="H463" s="156">
        <f>F463+G463</f>
        <v>0.52470000000000006</v>
      </c>
      <c r="I463" s="166">
        <f>SUMIFS(Продажи!F$5:F$359,Продажи!$D$5:$D$359,Конструкторы!$B463,Продажи!$C$5:$C$359,Конструкторы!$A463)</f>
        <v>0</v>
      </c>
      <c r="J463" s="166">
        <f>SUMIFS(Продажи!G$5:G$359,Продажи!$D$5:$D$359,Конструкторы!$B463,Продажи!$C$5:$C$359,Конструкторы!$A463)</f>
        <v>0</v>
      </c>
      <c r="K463" s="166">
        <f>SUMIFS(Продажи!H$5:H$359,Продажи!$D$5:$D$359,Конструкторы!$B463,Продажи!$C$5:$C$359,Конструкторы!$A463)</f>
        <v>0</v>
      </c>
      <c r="L463" s="166">
        <f>SUMIFS(Продажи!I$5:I$359,Продажи!$D$5:$D$359,Конструкторы!$B463,Продажи!$C$5:$C$359,Конструкторы!$A463)</f>
        <v>0</v>
      </c>
      <c r="M463" s="166">
        <f>SUMIFS(Продажи!J$5:J$359,Продажи!$D$5:$D$359,Конструкторы!$B463,Продажи!$C$5:$C$359,Конструкторы!$A463)</f>
        <v>0</v>
      </c>
      <c r="N463" s="166">
        <f>SUMIFS(Продажи!K$5:K$359,Продажи!$D$5:$D$359,Конструкторы!$B463,Продажи!$C$5:$C$359,Конструкторы!$A463)</f>
        <v>0</v>
      </c>
      <c r="O463" s="166">
        <f>SUMIFS(Продажи!L$5:L$359,Продажи!$D$5:$D$359,Конструкторы!$B463,Продажи!$C$5:$C$359,Конструкторы!$A463)</f>
        <v>0</v>
      </c>
      <c r="P463" s="166">
        <f>SUMIFS(Продажи!M$5:M$359,Продажи!$D$5:$D$359,Конструкторы!$B463,Продажи!$C$5:$C$359,Конструкторы!$A463)</f>
        <v>0</v>
      </c>
      <c r="Q463" s="166">
        <f>SUMIFS(Продажи!N$5:N$359,Продажи!$D$5:$D$359,Конструкторы!$B463,Продажи!$C$5:$C$359,Конструкторы!$A463)</f>
        <v>0</v>
      </c>
      <c r="R463" s="166">
        <f>SUMIFS(Продажи!O$5:O$359,Продажи!$D$5:$D$359,Конструкторы!$B463,Продажи!$C$5:$C$359,Конструкторы!$A463)</f>
        <v>0</v>
      </c>
      <c r="S463" s="166">
        <f>SUMIFS(Продажи!P$5:P$359,Продажи!$D$5:$D$359,Конструкторы!$B463,Продажи!$C$5:$C$359,Конструкторы!$A463)</f>
        <v>0</v>
      </c>
      <c r="T463" s="166">
        <f>SUMIFS(Продажи!Q$5:Q$359,Продажи!$D$5:$D$359,Конструкторы!$B463,Продажи!$C$5:$C$359,Конструкторы!$A463)</f>
        <v>0</v>
      </c>
    </row>
    <row r="464" spans="1:20" ht="15.75" hidden="1" x14ac:dyDescent="0.25">
      <c r="A464" s="166" t="s">
        <v>397</v>
      </c>
      <c r="B464" s="167" t="s">
        <v>357</v>
      </c>
      <c r="C464" s="33" t="s">
        <v>87</v>
      </c>
      <c r="D464" s="149"/>
      <c r="E464" s="153" t="s">
        <v>70</v>
      </c>
      <c r="F464" s="148">
        <v>6</v>
      </c>
      <c r="G464" s="156" t="s">
        <v>71</v>
      </c>
      <c r="H464" s="156">
        <f>F464</f>
        <v>6</v>
      </c>
      <c r="I464" s="166">
        <f>SUMIFS(Продажи!F$5:F$359,Продажи!$D$5:$D$359,Конструкторы!$B464,Продажи!$C$5:$C$359,Конструкторы!$A464)</f>
        <v>0</v>
      </c>
      <c r="J464" s="166">
        <f>SUMIFS(Продажи!G$5:G$359,Продажи!$D$5:$D$359,Конструкторы!$B464,Продажи!$C$5:$C$359,Конструкторы!$A464)</f>
        <v>0</v>
      </c>
      <c r="K464" s="166">
        <f>SUMIFS(Продажи!H$5:H$359,Продажи!$D$5:$D$359,Конструкторы!$B464,Продажи!$C$5:$C$359,Конструкторы!$A464)</f>
        <v>0</v>
      </c>
      <c r="L464" s="166">
        <f>SUMIFS(Продажи!I$5:I$359,Продажи!$D$5:$D$359,Конструкторы!$B464,Продажи!$C$5:$C$359,Конструкторы!$A464)</f>
        <v>0</v>
      </c>
      <c r="M464" s="166">
        <f>SUMIFS(Продажи!J$5:J$359,Продажи!$D$5:$D$359,Конструкторы!$B464,Продажи!$C$5:$C$359,Конструкторы!$A464)</f>
        <v>0</v>
      </c>
      <c r="N464" s="166">
        <f>SUMIFS(Продажи!K$5:K$359,Продажи!$D$5:$D$359,Конструкторы!$B464,Продажи!$C$5:$C$359,Конструкторы!$A464)</f>
        <v>0</v>
      </c>
      <c r="O464" s="166">
        <f>SUMIFS(Продажи!L$5:L$359,Продажи!$D$5:$D$359,Конструкторы!$B464,Продажи!$C$5:$C$359,Конструкторы!$A464)</f>
        <v>0</v>
      </c>
      <c r="P464" s="166">
        <f>SUMIFS(Продажи!M$5:M$359,Продажи!$D$5:$D$359,Конструкторы!$B464,Продажи!$C$5:$C$359,Конструкторы!$A464)</f>
        <v>0</v>
      </c>
      <c r="Q464" s="166">
        <f>SUMIFS(Продажи!N$5:N$359,Продажи!$D$5:$D$359,Конструкторы!$B464,Продажи!$C$5:$C$359,Конструкторы!$A464)</f>
        <v>0</v>
      </c>
      <c r="R464" s="166">
        <f>SUMIFS(Продажи!O$5:O$359,Продажи!$D$5:$D$359,Конструкторы!$B464,Продажи!$C$5:$C$359,Конструкторы!$A464)</f>
        <v>0</v>
      </c>
      <c r="S464" s="166">
        <f>SUMIFS(Продажи!P$5:P$359,Продажи!$D$5:$D$359,Конструкторы!$B464,Продажи!$C$5:$C$359,Конструкторы!$A464)</f>
        <v>0</v>
      </c>
      <c r="T464" s="166">
        <f>SUMIFS(Продажи!Q$5:Q$359,Продажи!$D$5:$D$359,Конструкторы!$B464,Продажи!$C$5:$C$359,Конструкторы!$A464)</f>
        <v>0</v>
      </c>
    </row>
    <row r="465" spans="1:20" ht="15.75" hidden="1" x14ac:dyDescent="0.25">
      <c r="A465" s="166" t="s">
        <v>397</v>
      </c>
      <c r="B465" s="167" t="s">
        <v>216</v>
      </c>
      <c r="C465" s="129" t="s">
        <v>60</v>
      </c>
      <c r="D465" s="149"/>
      <c r="E465" s="153" t="s">
        <v>68</v>
      </c>
      <c r="F465" s="156">
        <f>(1.024*103)/100</f>
        <v>1.0547200000000001</v>
      </c>
      <c r="G465" s="156">
        <v>3.0720000000000081E-2</v>
      </c>
      <c r="H465" s="156">
        <f>F465+G465</f>
        <v>1.0854400000000002</v>
      </c>
      <c r="I465" s="166">
        <f>SUMIFS(Продажи!F$5:F$359,Продажи!$D$5:$D$359,Конструкторы!$B465,Продажи!$C$5:$C$359,Конструкторы!$A465)</f>
        <v>0</v>
      </c>
      <c r="J465" s="166">
        <f>SUMIFS(Продажи!G$5:G$359,Продажи!$D$5:$D$359,Конструкторы!$B465,Продажи!$C$5:$C$359,Конструкторы!$A465)</f>
        <v>0</v>
      </c>
      <c r="K465" s="166">
        <f>SUMIFS(Продажи!H$5:H$359,Продажи!$D$5:$D$359,Конструкторы!$B465,Продажи!$C$5:$C$359,Конструкторы!$A465)</f>
        <v>0</v>
      </c>
      <c r="L465" s="166">
        <f>SUMIFS(Продажи!I$5:I$359,Продажи!$D$5:$D$359,Конструкторы!$B465,Продажи!$C$5:$C$359,Конструкторы!$A465)</f>
        <v>0</v>
      </c>
      <c r="M465" s="166">
        <f>SUMIFS(Продажи!J$5:J$359,Продажи!$D$5:$D$359,Конструкторы!$B465,Продажи!$C$5:$C$359,Конструкторы!$A465)</f>
        <v>0</v>
      </c>
      <c r="N465" s="166">
        <f>SUMIFS(Продажи!K$5:K$359,Продажи!$D$5:$D$359,Конструкторы!$B465,Продажи!$C$5:$C$359,Конструкторы!$A465)</f>
        <v>0</v>
      </c>
      <c r="O465" s="166">
        <f>SUMIFS(Продажи!L$5:L$359,Продажи!$D$5:$D$359,Конструкторы!$B465,Продажи!$C$5:$C$359,Конструкторы!$A465)</f>
        <v>0</v>
      </c>
      <c r="P465" s="166">
        <f>SUMIFS(Продажи!M$5:M$359,Продажи!$D$5:$D$359,Конструкторы!$B465,Продажи!$C$5:$C$359,Конструкторы!$A465)</f>
        <v>0</v>
      </c>
      <c r="Q465" s="166">
        <f>SUMIFS(Продажи!N$5:N$359,Продажи!$D$5:$D$359,Конструкторы!$B465,Продажи!$C$5:$C$359,Конструкторы!$A465)</f>
        <v>0</v>
      </c>
      <c r="R465" s="166">
        <f>SUMIFS(Продажи!O$5:O$359,Продажи!$D$5:$D$359,Конструкторы!$B465,Продажи!$C$5:$C$359,Конструкторы!$A465)</f>
        <v>0</v>
      </c>
      <c r="S465" s="166">
        <f>SUMIFS(Продажи!P$5:P$359,Продажи!$D$5:$D$359,Конструкторы!$B465,Продажи!$C$5:$C$359,Конструкторы!$A465)</f>
        <v>0</v>
      </c>
      <c r="T465" s="166">
        <f>SUMIFS(Продажи!Q$5:Q$359,Продажи!$D$5:$D$359,Конструкторы!$B465,Продажи!$C$5:$C$359,Конструкторы!$A465)</f>
        <v>0</v>
      </c>
    </row>
    <row r="466" spans="1:20" ht="15.75" hidden="1" x14ac:dyDescent="0.25">
      <c r="A466" s="166" t="s">
        <v>397</v>
      </c>
      <c r="B466" s="167" t="s">
        <v>216</v>
      </c>
      <c r="C466" s="33" t="s">
        <v>76</v>
      </c>
      <c r="D466" s="149"/>
      <c r="E466" s="153" t="s">
        <v>70</v>
      </c>
      <c r="F466" s="148">
        <v>6</v>
      </c>
      <c r="G466" s="156" t="s">
        <v>71</v>
      </c>
      <c r="H466" s="156">
        <f>F466</f>
        <v>6</v>
      </c>
      <c r="I466" s="166">
        <f>SUMIFS(Продажи!F$5:F$359,Продажи!$D$5:$D$359,Конструкторы!$B466,Продажи!$C$5:$C$359,Конструкторы!$A466)</f>
        <v>0</v>
      </c>
      <c r="J466" s="166">
        <f>SUMIFS(Продажи!G$5:G$359,Продажи!$D$5:$D$359,Конструкторы!$B466,Продажи!$C$5:$C$359,Конструкторы!$A466)</f>
        <v>0</v>
      </c>
      <c r="K466" s="166">
        <f>SUMIFS(Продажи!H$5:H$359,Продажи!$D$5:$D$359,Конструкторы!$B466,Продажи!$C$5:$C$359,Конструкторы!$A466)</f>
        <v>0</v>
      </c>
      <c r="L466" s="166">
        <f>SUMIFS(Продажи!I$5:I$359,Продажи!$D$5:$D$359,Конструкторы!$B466,Продажи!$C$5:$C$359,Конструкторы!$A466)</f>
        <v>0</v>
      </c>
      <c r="M466" s="166">
        <f>SUMIFS(Продажи!J$5:J$359,Продажи!$D$5:$D$359,Конструкторы!$B466,Продажи!$C$5:$C$359,Конструкторы!$A466)</f>
        <v>0</v>
      </c>
      <c r="N466" s="166">
        <f>SUMIFS(Продажи!K$5:K$359,Продажи!$D$5:$D$359,Конструкторы!$B466,Продажи!$C$5:$C$359,Конструкторы!$A466)</f>
        <v>0</v>
      </c>
      <c r="O466" s="166">
        <f>SUMIFS(Продажи!L$5:L$359,Продажи!$D$5:$D$359,Конструкторы!$B466,Продажи!$C$5:$C$359,Конструкторы!$A466)</f>
        <v>0</v>
      </c>
      <c r="P466" s="166">
        <f>SUMIFS(Продажи!M$5:M$359,Продажи!$D$5:$D$359,Конструкторы!$B466,Продажи!$C$5:$C$359,Конструкторы!$A466)</f>
        <v>0</v>
      </c>
      <c r="Q466" s="166">
        <f>SUMIFS(Продажи!N$5:N$359,Продажи!$D$5:$D$359,Конструкторы!$B466,Продажи!$C$5:$C$359,Конструкторы!$A466)</f>
        <v>0</v>
      </c>
      <c r="R466" s="166">
        <f>SUMIFS(Продажи!O$5:O$359,Продажи!$D$5:$D$359,Конструкторы!$B466,Продажи!$C$5:$C$359,Конструкторы!$A466)</f>
        <v>0</v>
      </c>
      <c r="S466" s="166">
        <f>SUMIFS(Продажи!P$5:P$359,Продажи!$D$5:$D$359,Конструкторы!$B466,Продажи!$C$5:$C$359,Конструкторы!$A466)</f>
        <v>0</v>
      </c>
      <c r="T466" s="166">
        <f>SUMIFS(Продажи!Q$5:Q$359,Продажи!$D$5:$D$359,Конструкторы!$B466,Продажи!$C$5:$C$359,Конструкторы!$A466)</f>
        <v>0</v>
      </c>
    </row>
    <row r="467" spans="1:20" ht="15.75" hidden="1" x14ac:dyDescent="0.25">
      <c r="A467" s="166" t="s">
        <v>397</v>
      </c>
      <c r="B467" s="167" t="s">
        <v>217</v>
      </c>
      <c r="C467" s="129" t="s">
        <v>61</v>
      </c>
      <c r="D467" s="149"/>
      <c r="E467" s="153" t="s">
        <v>68</v>
      </c>
      <c r="F467" s="156">
        <f>(1.024*103)/100</f>
        <v>1.0547200000000001</v>
      </c>
      <c r="G467" s="156">
        <v>3.0720000000000081E-2</v>
      </c>
      <c r="H467" s="156">
        <f>F467+G467</f>
        <v>1.0854400000000002</v>
      </c>
      <c r="I467" s="166">
        <f>SUMIFS(Продажи!F$5:F$359,Продажи!$D$5:$D$359,Конструкторы!$B467,Продажи!$C$5:$C$359,Конструкторы!$A467)</f>
        <v>0</v>
      </c>
      <c r="J467" s="166">
        <f>SUMIFS(Продажи!G$5:G$359,Продажи!$D$5:$D$359,Конструкторы!$B467,Продажи!$C$5:$C$359,Конструкторы!$A467)</f>
        <v>0</v>
      </c>
      <c r="K467" s="166">
        <f>SUMIFS(Продажи!H$5:H$359,Продажи!$D$5:$D$359,Конструкторы!$B467,Продажи!$C$5:$C$359,Конструкторы!$A467)</f>
        <v>0</v>
      </c>
      <c r="L467" s="166">
        <f>SUMIFS(Продажи!I$5:I$359,Продажи!$D$5:$D$359,Конструкторы!$B467,Продажи!$C$5:$C$359,Конструкторы!$A467)</f>
        <v>0</v>
      </c>
      <c r="M467" s="166">
        <f>SUMIFS(Продажи!J$5:J$359,Продажи!$D$5:$D$359,Конструкторы!$B467,Продажи!$C$5:$C$359,Конструкторы!$A467)</f>
        <v>0</v>
      </c>
      <c r="N467" s="166">
        <f>SUMIFS(Продажи!K$5:K$359,Продажи!$D$5:$D$359,Конструкторы!$B467,Продажи!$C$5:$C$359,Конструкторы!$A467)</f>
        <v>0</v>
      </c>
      <c r="O467" s="166">
        <f>SUMIFS(Продажи!L$5:L$359,Продажи!$D$5:$D$359,Конструкторы!$B467,Продажи!$C$5:$C$359,Конструкторы!$A467)</f>
        <v>0</v>
      </c>
      <c r="P467" s="166">
        <f>SUMIFS(Продажи!M$5:M$359,Продажи!$D$5:$D$359,Конструкторы!$B467,Продажи!$C$5:$C$359,Конструкторы!$A467)</f>
        <v>0</v>
      </c>
      <c r="Q467" s="166">
        <f>SUMIFS(Продажи!N$5:N$359,Продажи!$D$5:$D$359,Конструкторы!$B467,Продажи!$C$5:$C$359,Конструкторы!$A467)</f>
        <v>0</v>
      </c>
      <c r="R467" s="166">
        <f>SUMIFS(Продажи!O$5:O$359,Продажи!$D$5:$D$359,Конструкторы!$B467,Продажи!$C$5:$C$359,Конструкторы!$A467)</f>
        <v>0</v>
      </c>
      <c r="S467" s="166">
        <f>SUMIFS(Продажи!P$5:P$359,Продажи!$D$5:$D$359,Конструкторы!$B467,Продажи!$C$5:$C$359,Конструкторы!$A467)</f>
        <v>0</v>
      </c>
      <c r="T467" s="166">
        <f>SUMIFS(Продажи!Q$5:Q$359,Продажи!$D$5:$D$359,Конструкторы!$B467,Продажи!$C$5:$C$359,Конструкторы!$A467)</f>
        <v>0</v>
      </c>
    </row>
    <row r="468" spans="1:20" ht="15.75" hidden="1" x14ac:dyDescent="0.25">
      <c r="A468" s="166" t="s">
        <v>397</v>
      </c>
      <c r="B468" s="167" t="s">
        <v>217</v>
      </c>
      <c r="C468" s="33" t="s">
        <v>76</v>
      </c>
      <c r="D468" s="149"/>
      <c r="E468" s="153" t="s">
        <v>70</v>
      </c>
      <c r="F468" s="148">
        <v>6</v>
      </c>
      <c r="G468" s="156" t="s">
        <v>71</v>
      </c>
      <c r="H468" s="156">
        <f>F468</f>
        <v>6</v>
      </c>
      <c r="I468" s="166">
        <f>SUMIFS(Продажи!F$5:F$359,Продажи!$D$5:$D$359,Конструкторы!$B468,Продажи!$C$5:$C$359,Конструкторы!$A468)</f>
        <v>0</v>
      </c>
      <c r="J468" s="166">
        <f>SUMIFS(Продажи!G$5:G$359,Продажи!$D$5:$D$359,Конструкторы!$B468,Продажи!$C$5:$C$359,Конструкторы!$A468)</f>
        <v>0</v>
      </c>
      <c r="K468" s="166">
        <f>SUMIFS(Продажи!H$5:H$359,Продажи!$D$5:$D$359,Конструкторы!$B468,Продажи!$C$5:$C$359,Конструкторы!$A468)</f>
        <v>0</v>
      </c>
      <c r="L468" s="166">
        <f>SUMIFS(Продажи!I$5:I$359,Продажи!$D$5:$D$359,Конструкторы!$B468,Продажи!$C$5:$C$359,Конструкторы!$A468)</f>
        <v>0</v>
      </c>
      <c r="M468" s="166">
        <f>SUMIFS(Продажи!J$5:J$359,Продажи!$D$5:$D$359,Конструкторы!$B468,Продажи!$C$5:$C$359,Конструкторы!$A468)</f>
        <v>0</v>
      </c>
      <c r="N468" s="166">
        <f>SUMIFS(Продажи!K$5:K$359,Продажи!$D$5:$D$359,Конструкторы!$B468,Продажи!$C$5:$C$359,Конструкторы!$A468)</f>
        <v>0</v>
      </c>
      <c r="O468" s="166">
        <f>SUMIFS(Продажи!L$5:L$359,Продажи!$D$5:$D$359,Конструкторы!$B468,Продажи!$C$5:$C$359,Конструкторы!$A468)</f>
        <v>0</v>
      </c>
      <c r="P468" s="166">
        <f>SUMIFS(Продажи!M$5:M$359,Продажи!$D$5:$D$359,Конструкторы!$B468,Продажи!$C$5:$C$359,Конструкторы!$A468)</f>
        <v>0</v>
      </c>
      <c r="Q468" s="166">
        <f>SUMIFS(Продажи!N$5:N$359,Продажи!$D$5:$D$359,Конструкторы!$B468,Продажи!$C$5:$C$359,Конструкторы!$A468)</f>
        <v>0</v>
      </c>
      <c r="R468" s="166">
        <f>SUMIFS(Продажи!O$5:O$359,Продажи!$D$5:$D$359,Конструкторы!$B468,Продажи!$C$5:$C$359,Конструкторы!$A468)</f>
        <v>0</v>
      </c>
      <c r="S468" s="166">
        <f>SUMIFS(Продажи!P$5:P$359,Продажи!$D$5:$D$359,Конструкторы!$B468,Продажи!$C$5:$C$359,Конструкторы!$A468)</f>
        <v>0</v>
      </c>
      <c r="T468" s="166">
        <f>SUMIFS(Продажи!Q$5:Q$359,Продажи!$D$5:$D$359,Конструкторы!$B468,Продажи!$C$5:$C$359,Конструкторы!$A468)</f>
        <v>0</v>
      </c>
    </row>
    <row r="469" spans="1:20" ht="15.75" hidden="1" x14ac:dyDescent="0.25">
      <c r="A469" s="166" t="s">
        <v>397</v>
      </c>
      <c r="B469" s="167" t="s">
        <v>218</v>
      </c>
      <c r="C469" s="129" t="s">
        <v>62</v>
      </c>
      <c r="D469" s="149"/>
      <c r="E469" s="153" t="s">
        <v>68</v>
      </c>
      <c r="F469" s="156">
        <f>(1.024*103)/100</f>
        <v>1.0547200000000001</v>
      </c>
      <c r="G469" s="156">
        <v>3.0720000000000081E-2</v>
      </c>
      <c r="H469" s="156">
        <f>F469+G469</f>
        <v>1.0854400000000002</v>
      </c>
      <c r="I469" s="166">
        <f>SUMIFS(Продажи!F$5:F$359,Продажи!$D$5:$D$359,Конструкторы!$B469,Продажи!$C$5:$C$359,Конструкторы!$A469)</f>
        <v>0</v>
      </c>
      <c r="J469" s="166">
        <f>SUMIFS(Продажи!G$5:G$359,Продажи!$D$5:$D$359,Конструкторы!$B469,Продажи!$C$5:$C$359,Конструкторы!$A469)</f>
        <v>0</v>
      </c>
      <c r="K469" s="166">
        <f>SUMIFS(Продажи!H$5:H$359,Продажи!$D$5:$D$359,Конструкторы!$B469,Продажи!$C$5:$C$359,Конструкторы!$A469)</f>
        <v>0</v>
      </c>
      <c r="L469" s="166">
        <f>SUMIFS(Продажи!I$5:I$359,Продажи!$D$5:$D$359,Конструкторы!$B469,Продажи!$C$5:$C$359,Конструкторы!$A469)</f>
        <v>0</v>
      </c>
      <c r="M469" s="166">
        <f>SUMIFS(Продажи!J$5:J$359,Продажи!$D$5:$D$359,Конструкторы!$B469,Продажи!$C$5:$C$359,Конструкторы!$A469)</f>
        <v>0</v>
      </c>
      <c r="N469" s="166">
        <f>SUMIFS(Продажи!K$5:K$359,Продажи!$D$5:$D$359,Конструкторы!$B469,Продажи!$C$5:$C$359,Конструкторы!$A469)</f>
        <v>0</v>
      </c>
      <c r="O469" s="166">
        <f>SUMIFS(Продажи!L$5:L$359,Продажи!$D$5:$D$359,Конструкторы!$B469,Продажи!$C$5:$C$359,Конструкторы!$A469)</f>
        <v>0</v>
      </c>
      <c r="P469" s="166">
        <f>SUMIFS(Продажи!M$5:M$359,Продажи!$D$5:$D$359,Конструкторы!$B469,Продажи!$C$5:$C$359,Конструкторы!$A469)</f>
        <v>0</v>
      </c>
      <c r="Q469" s="166">
        <f>SUMIFS(Продажи!N$5:N$359,Продажи!$D$5:$D$359,Конструкторы!$B469,Продажи!$C$5:$C$359,Конструкторы!$A469)</f>
        <v>0</v>
      </c>
      <c r="R469" s="166">
        <f>SUMIFS(Продажи!O$5:O$359,Продажи!$D$5:$D$359,Конструкторы!$B469,Продажи!$C$5:$C$359,Конструкторы!$A469)</f>
        <v>0</v>
      </c>
      <c r="S469" s="166">
        <f>SUMIFS(Продажи!P$5:P$359,Продажи!$D$5:$D$359,Конструкторы!$B469,Продажи!$C$5:$C$359,Конструкторы!$A469)</f>
        <v>0</v>
      </c>
      <c r="T469" s="166">
        <f>SUMIFS(Продажи!Q$5:Q$359,Продажи!$D$5:$D$359,Конструкторы!$B469,Продажи!$C$5:$C$359,Конструкторы!$A469)</f>
        <v>0</v>
      </c>
    </row>
    <row r="470" spans="1:20" ht="15.75" hidden="1" x14ac:dyDescent="0.25">
      <c r="A470" s="166" t="s">
        <v>397</v>
      </c>
      <c r="B470" s="167" t="s">
        <v>218</v>
      </c>
      <c r="C470" s="33" t="s">
        <v>76</v>
      </c>
      <c r="D470" s="149"/>
      <c r="E470" s="153" t="s">
        <v>70</v>
      </c>
      <c r="F470" s="148">
        <v>6</v>
      </c>
      <c r="G470" s="156" t="s">
        <v>71</v>
      </c>
      <c r="H470" s="156">
        <f>F470</f>
        <v>6</v>
      </c>
      <c r="I470" s="166">
        <f>SUMIFS(Продажи!F$5:F$359,Продажи!$D$5:$D$359,Конструкторы!$B470,Продажи!$C$5:$C$359,Конструкторы!$A470)</f>
        <v>0</v>
      </c>
      <c r="J470" s="166">
        <f>SUMIFS(Продажи!G$5:G$359,Продажи!$D$5:$D$359,Конструкторы!$B470,Продажи!$C$5:$C$359,Конструкторы!$A470)</f>
        <v>0</v>
      </c>
      <c r="K470" s="166">
        <f>SUMIFS(Продажи!H$5:H$359,Продажи!$D$5:$D$359,Конструкторы!$B470,Продажи!$C$5:$C$359,Конструкторы!$A470)</f>
        <v>0</v>
      </c>
      <c r="L470" s="166">
        <f>SUMIFS(Продажи!I$5:I$359,Продажи!$D$5:$D$359,Конструкторы!$B470,Продажи!$C$5:$C$359,Конструкторы!$A470)</f>
        <v>0</v>
      </c>
      <c r="M470" s="166">
        <f>SUMIFS(Продажи!J$5:J$359,Продажи!$D$5:$D$359,Конструкторы!$B470,Продажи!$C$5:$C$359,Конструкторы!$A470)</f>
        <v>0</v>
      </c>
      <c r="N470" s="166">
        <f>SUMIFS(Продажи!K$5:K$359,Продажи!$D$5:$D$359,Конструкторы!$B470,Продажи!$C$5:$C$359,Конструкторы!$A470)</f>
        <v>0</v>
      </c>
      <c r="O470" s="166">
        <f>SUMIFS(Продажи!L$5:L$359,Продажи!$D$5:$D$359,Конструкторы!$B470,Продажи!$C$5:$C$359,Конструкторы!$A470)</f>
        <v>0</v>
      </c>
      <c r="P470" s="166">
        <f>SUMIFS(Продажи!M$5:M$359,Продажи!$D$5:$D$359,Конструкторы!$B470,Продажи!$C$5:$C$359,Конструкторы!$A470)</f>
        <v>0</v>
      </c>
      <c r="Q470" s="166">
        <f>SUMIFS(Продажи!N$5:N$359,Продажи!$D$5:$D$359,Конструкторы!$B470,Продажи!$C$5:$C$359,Конструкторы!$A470)</f>
        <v>0</v>
      </c>
      <c r="R470" s="166">
        <f>SUMIFS(Продажи!O$5:O$359,Продажи!$D$5:$D$359,Конструкторы!$B470,Продажи!$C$5:$C$359,Конструкторы!$A470)</f>
        <v>0</v>
      </c>
      <c r="S470" s="166">
        <f>SUMIFS(Продажи!P$5:P$359,Продажи!$D$5:$D$359,Конструкторы!$B470,Продажи!$C$5:$C$359,Конструкторы!$A470)</f>
        <v>0</v>
      </c>
      <c r="T470" s="166">
        <f>SUMIFS(Продажи!Q$5:Q$359,Продажи!$D$5:$D$359,Конструкторы!$B470,Продажи!$C$5:$C$359,Конструкторы!$A470)</f>
        <v>0</v>
      </c>
    </row>
    <row r="471" spans="1:20" ht="15.75" hidden="1" x14ac:dyDescent="0.25">
      <c r="A471" s="166" t="s">
        <v>397</v>
      </c>
      <c r="B471" s="167" t="s">
        <v>219</v>
      </c>
      <c r="C471" s="129" t="s">
        <v>63</v>
      </c>
      <c r="D471" s="149"/>
      <c r="E471" s="153" t="s">
        <v>68</v>
      </c>
      <c r="F471" s="156">
        <f>(1.024*103)/100</f>
        <v>1.0547200000000001</v>
      </c>
      <c r="G471" s="156">
        <v>3.0720000000000081E-2</v>
      </c>
      <c r="H471" s="156">
        <f>F471+G471</f>
        <v>1.0854400000000002</v>
      </c>
      <c r="I471" s="166">
        <f>SUMIFS(Продажи!F$5:F$359,Продажи!$D$5:$D$359,Конструкторы!$B471,Продажи!$C$5:$C$359,Конструкторы!$A471)</f>
        <v>0</v>
      </c>
      <c r="J471" s="166">
        <f>SUMIFS(Продажи!G$5:G$359,Продажи!$D$5:$D$359,Конструкторы!$B471,Продажи!$C$5:$C$359,Конструкторы!$A471)</f>
        <v>0</v>
      </c>
      <c r="K471" s="166">
        <f>SUMIFS(Продажи!H$5:H$359,Продажи!$D$5:$D$359,Конструкторы!$B471,Продажи!$C$5:$C$359,Конструкторы!$A471)</f>
        <v>0</v>
      </c>
      <c r="L471" s="166">
        <f>SUMIFS(Продажи!I$5:I$359,Продажи!$D$5:$D$359,Конструкторы!$B471,Продажи!$C$5:$C$359,Конструкторы!$A471)</f>
        <v>0</v>
      </c>
      <c r="M471" s="166">
        <f>SUMIFS(Продажи!J$5:J$359,Продажи!$D$5:$D$359,Конструкторы!$B471,Продажи!$C$5:$C$359,Конструкторы!$A471)</f>
        <v>0</v>
      </c>
      <c r="N471" s="166">
        <f>SUMIFS(Продажи!K$5:K$359,Продажи!$D$5:$D$359,Конструкторы!$B471,Продажи!$C$5:$C$359,Конструкторы!$A471)</f>
        <v>0</v>
      </c>
      <c r="O471" s="166">
        <f>SUMIFS(Продажи!L$5:L$359,Продажи!$D$5:$D$359,Конструкторы!$B471,Продажи!$C$5:$C$359,Конструкторы!$A471)</f>
        <v>0</v>
      </c>
      <c r="P471" s="166">
        <f>SUMIFS(Продажи!M$5:M$359,Продажи!$D$5:$D$359,Конструкторы!$B471,Продажи!$C$5:$C$359,Конструкторы!$A471)</f>
        <v>0</v>
      </c>
      <c r="Q471" s="166">
        <f>SUMIFS(Продажи!N$5:N$359,Продажи!$D$5:$D$359,Конструкторы!$B471,Продажи!$C$5:$C$359,Конструкторы!$A471)</f>
        <v>0</v>
      </c>
      <c r="R471" s="166">
        <f>SUMIFS(Продажи!O$5:O$359,Продажи!$D$5:$D$359,Конструкторы!$B471,Продажи!$C$5:$C$359,Конструкторы!$A471)</f>
        <v>0</v>
      </c>
      <c r="S471" s="166">
        <f>SUMIFS(Продажи!P$5:P$359,Продажи!$D$5:$D$359,Конструкторы!$B471,Продажи!$C$5:$C$359,Конструкторы!$A471)</f>
        <v>0</v>
      </c>
      <c r="T471" s="166">
        <f>SUMIFS(Продажи!Q$5:Q$359,Продажи!$D$5:$D$359,Конструкторы!$B471,Продажи!$C$5:$C$359,Конструкторы!$A471)</f>
        <v>0</v>
      </c>
    </row>
    <row r="472" spans="1:20" ht="15.75" hidden="1" x14ac:dyDescent="0.25">
      <c r="A472" s="166" t="s">
        <v>397</v>
      </c>
      <c r="B472" s="167" t="s">
        <v>219</v>
      </c>
      <c r="C472" s="33" t="s">
        <v>76</v>
      </c>
      <c r="D472" s="149"/>
      <c r="E472" s="153" t="s">
        <v>70</v>
      </c>
      <c r="F472" s="148">
        <v>6</v>
      </c>
      <c r="G472" s="156" t="s">
        <v>71</v>
      </c>
      <c r="H472" s="156">
        <f>F472</f>
        <v>6</v>
      </c>
      <c r="I472" s="166">
        <f>SUMIFS(Продажи!F$5:F$359,Продажи!$D$5:$D$359,Конструкторы!$B472,Продажи!$C$5:$C$359,Конструкторы!$A472)</f>
        <v>0</v>
      </c>
      <c r="J472" s="166">
        <f>SUMIFS(Продажи!G$5:G$359,Продажи!$D$5:$D$359,Конструкторы!$B472,Продажи!$C$5:$C$359,Конструкторы!$A472)</f>
        <v>0</v>
      </c>
      <c r="K472" s="166">
        <f>SUMIFS(Продажи!H$5:H$359,Продажи!$D$5:$D$359,Конструкторы!$B472,Продажи!$C$5:$C$359,Конструкторы!$A472)</f>
        <v>0</v>
      </c>
      <c r="L472" s="166">
        <f>SUMIFS(Продажи!I$5:I$359,Продажи!$D$5:$D$359,Конструкторы!$B472,Продажи!$C$5:$C$359,Конструкторы!$A472)</f>
        <v>0</v>
      </c>
      <c r="M472" s="166">
        <f>SUMIFS(Продажи!J$5:J$359,Продажи!$D$5:$D$359,Конструкторы!$B472,Продажи!$C$5:$C$359,Конструкторы!$A472)</f>
        <v>0</v>
      </c>
      <c r="N472" s="166">
        <f>SUMIFS(Продажи!K$5:K$359,Продажи!$D$5:$D$359,Конструкторы!$B472,Продажи!$C$5:$C$359,Конструкторы!$A472)</f>
        <v>0</v>
      </c>
      <c r="O472" s="166">
        <f>SUMIFS(Продажи!L$5:L$359,Продажи!$D$5:$D$359,Конструкторы!$B472,Продажи!$C$5:$C$359,Конструкторы!$A472)</f>
        <v>0</v>
      </c>
      <c r="P472" s="166">
        <f>SUMIFS(Продажи!M$5:M$359,Продажи!$D$5:$D$359,Конструкторы!$B472,Продажи!$C$5:$C$359,Конструкторы!$A472)</f>
        <v>0</v>
      </c>
      <c r="Q472" s="166">
        <f>SUMIFS(Продажи!N$5:N$359,Продажи!$D$5:$D$359,Конструкторы!$B472,Продажи!$C$5:$C$359,Конструкторы!$A472)</f>
        <v>0</v>
      </c>
      <c r="R472" s="166">
        <f>SUMIFS(Продажи!O$5:O$359,Продажи!$D$5:$D$359,Конструкторы!$B472,Продажи!$C$5:$C$359,Конструкторы!$A472)</f>
        <v>0</v>
      </c>
      <c r="S472" s="166">
        <f>SUMIFS(Продажи!P$5:P$359,Продажи!$D$5:$D$359,Конструкторы!$B472,Продажи!$C$5:$C$359,Конструкторы!$A472)</f>
        <v>0</v>
      </c>
      <c r="T472" s="166">
        <f>SUMIFS(Продажи!Q$5:Q$359,Продажи!$D$5:$D$359,Конструкторы!$B472,Продажи!$C$5:$C$359,Конструкторы!$A472)</f>
        <v>0</v>
      </c>
    </row>
    <row r="473" spans="1:20" ht="15.75" hidden="1" x14ac:dyDescent="0.25">
      <c r="A473" s="166" t="s">
        <v>397</v>
      </c>
      <c r="B473" s="167" t="s">
        <v>220</v>
      </c>
      <c r="C473" s="129" t="s">
        <v>64</v>
      </c>
      <c r="D473" s="149"/>
      <c r="E473" s="153" t="s">
        <v>68</v>
      </c>
      <c r="F473" s="156">
        <f>(1.024*103)/100</f>
        <v>1.0547200000000001</v>
      </c>
      <c r="G473" s="156">
        <v>3.0720000000000081E-2</v>
      </c>
      <c r="H473" s="156">
        <f>F473+G473</f>
        <v>1.0854400000000002</v>
      </c>
      <c r="I473" s="166">
        <f>SUMIFS(Продажи!F$5:F$359,Продажи!$D$5:$D$359,Конструкторы!$B473,Продажи!$C$5:$C$359,Конструкторы!$A473)</f>
        <v>0</v>
      </c>
      <c r="J473" s="166">
        <f>SUMIFS(Продажи!G$5:G$359,Продажи!$D$5:$D$359,Конструкторы!$B473,Продажи!$C$5:$C$359,Конструкторы!$A473)</f>
        <v>0</v>
      </c>
      <c r="K473" s="166">
        <f>SUMIFS(Продажи!H$5:H$359,Продажи!$D$5:$D$359,Конструкторы!$B473,Продажи!$C$5:$C$359,Конструкторы!$A473)</f>
        <v>0</v>
      </c>
      <c r="L473" s="166">
        <f>SUMIFS(Продажи!I$5:I$359,Продажи!$D$5:$D$359,Конструкторы!$B473,Продажи!$C$5:$C$359,Конструкторы!$A473)</f>
        <v>0</v>
      </c>
      <c r="M473" s="166">
        <f>SUMIFS(Продажи!J$5:J$359,Продажи!$D$5:$D$359,Конструкторы!$B473,Продажи!$C$5:$C$359,Конструкторы!$A473)</f>
        <v>0</v>
      </c>
      <c r="N473" s="166">
        <f>SUMIFS(Продажи!K$5:K$359,Продажи!$D$5:$D$359,Конструкторы!$B473,Продажи!$C$5:$C$359,Конструкторы!$A473)</f>
        <v>0</v>
      </c>
      <c r="O473" s="166">
        <f>SUMIFS(Продажи!L$5:L$359,Продажи!$D$5:$D$359,Конструкторы!$B473,Продажи!$C$5:$C$359,Конструкторы!$A473)</f>
        <v>0</v>
      </c>
      <c r="P473" s="166">
        <f>SUMIFS(Продажи!M$5:M$359,Продажи!$D$5:$D$359,Конструкторы!$B473,Продажи!$C$5:$C$359,Конструкторы!$A473)</f>
        <v>0</v>
      </c>
      <c r="Q473" s="166">
        <f>SUMIFS(Продажи!N$5:N$359,Продажи!$D$5:$D$359,Конструкторы!$B473,Продажи!$C$5:$C$359,Конструкторы!$A473)</f>
        <v>0</v>
      </c>
      <c r="R473" s="166">
        <f>SUMIFS(Продажи!O$5:O$359,Продажи!$D$5:$D$359,Конструкторы!$B473,Продажи!$C$5:$C$359,Конструкторы!$A473)</f>
        <v>0</v>
      </c>
      <c r="S473" s="166">
        <f>SUMIFS(Продажи!P$5:P$359,Продажи!$D$5:$D$359,Конструкторы!$B473,Продажи!$C$5:$C$359,Конструкторы!$A473)</f>
        <v>0</v>
      </c>
      <c r="T473" s="166">
        <f>SUMIFS(Продажи!Q$5:Q$359,Продажи!$D$5:$D$359,Конструкторы!$B473,Продажи!$C$5:$C$359,Конструкторы!$A473)</f>
        <v>0</v>
      </c>
    </row>
    <row r="474" spans="1:20" ht="15.75" hidden="1" x14ac:dyDescent="0.25">
      <c r="A474" s="166" t="s">
        <v>397</v>
      </c>
      <c r="B474" s="167" t="s">
        <v>220</v>
      </c>
      <c r="C474" s="33" t="s">
        <v>76</v>
      </c>
      <c r="D474" s="149"/>
      <c r="E474" s="153" t="s">
        <v>70</v>
      </c>
      <c r="F474" s="148">
        <v>6</v>
      </c>
      <c r="G474" s="156" t="s">
        <v>71</v>
      </c>
      <c r="H474" s="156">
        <f>F474</f>
        <v>6</v>
      </c>
      <c r="I474" s="166">
        <f>SUMIFS(Продажи!F$5:F$359,Продажи!$D$5:$D$359,Конструкторы!$B474,Продажи!$C$5:$C$359,Конструкторы!$A474)</f>
        <v>0</v>
      </c>
      <c r="J474" s="166">
        <f>SUMIFS(Продажи!G$5:G$359,Продажи!$D$5:$D$359,Конструкторы!$B474,Продажи!$C$5:$C$359,Конструкторы!$A474)</f>
        <v>0</v>
      </c>
      <c r="K474" s="166">
        <f>SUMIFS(Продажи!H$5:H$359,Продажи!$D$5:$D$359,Конструкторы!$B474,Продажи!$C$5:$C$359,Конструкторы!$A474)</f>
        <v>0</v>
      </c>
      <c r="L474" s="166">
        <f>SUMIFS(Продажи!I$5:I$359,Продажи!$D$5:$D$359,Конструкторы!$B474,Продажи!$C$5:$C$359,Конструкторы!$A474)</f>
        <v>0</v>
      </c>
      <c r="M474" s="166">
        <f>SUMIFS(Продажи!J$5:J$359,Продажи!$D$5:$D$359,Конструкторы!$B474,Продажи!$C$5:$C$359,Конструкторы!$A474)</f>
        <v>0</v>
      </c>
      <c r="N474" s="166">
        <f>SUMIFS(Продажи!K$5:K$359,Продажи!$D$5:$D$359,Конструкторы!$B474,Продажи!$C$5:$C$359,Конструкторы!$A474)</f>
        <v>0</v>
      </c>
      <c r="O474" s="166">
        <f>SUMIFS(Продажи!L$5:L$359,Продажи!$D$5:$D$359,Конструкторы!$B474,Продажи!$C$5:$C$359,Конструкторы!$A474)</f>
        <v>0</v>
      </c>
      <c r="P474" s="166">
        <f>SUMIFS(Продажи!M$5:M$359,Продажи!$D$5:$D$359,Конструкторы!$B474,Продажи!$C$5:$C$359,Конструкторы!$A474)</f>
        <v>0</v>
      </c>
      <c r="Q474" s="166">
        <f>SUMIFS(Продажи!N$5:N$359,Продажи!$D$5:$D$359,Конструкторы!$B474,Продажи!$C$5:$C$359,Конструкторы!$A474)</f>
        <v>0</v>
      </c>
      <c r="R474" s="166">
        <f>SUMIFS(Продажи!O$5:O$359,Продажи!$D$5:$D$359,Конструкторы!$B474,Продажи!$C$5:$C$359,Конструкторы!$A474)</f>
        <v>0</v>
      </c>
      <c r="S474" s="166">
        <f>SUMIFS(Продажи!P$5:P$359,Продажи!$D$5:$D$359,Конструкторы!$B474,Продажи!$C$5:$C$359,Конструкторы!$A474)</f>
        <v>0</v>
      </c>
      <c r="T474" s="166">
        <f>SUMIFS(Продажи!Q$5:Q$359,Продажи!$D$5:$D$359,Конструкторы!$B474,Продажи!$C$5:$C$359,Конструкторы!$A474)</f>
        <v>0</v>
      </c>
    </row>
    <row r="475" spans="1:20" ht="15.75" hidden="1" x14ac:dyDescent="0.25">
      <c r="A475" s="166" t="s">
        <v>397</v>
      </c>
      <c r="B475" s="167" t="s">
        <v>362</v>
      </c>
      <c r="C475" s="129" t="s">
        <v>60</v>
      </c>
      <c r="D475" s="149"/>
      <c r="E475" s="153" t="s">
        <v>68</v>
      </c>
      <c r="F475" s="156">
        <f>(0.583*103)/100</f>
        <v>0.60048999999999997</v>
      </c>
      <c r="G475" s="156">
        <v>1.7490000000000006E-2</v>
      </c>
      <c r="H475" s="156">
        <f>F475+G475</f>
        <v>0.61797999999999997</v>
      </c>
      <c r="I475" s="166">
        <f>SUMIFS(Продажи!F$5:F$359,Продажи!$D$5:$D$359,Конструкторы!$B475,Продажи!$C$5:$C$359,Конструкторы!$A475)</f>
        <v>0</v>
      </c>
      <c r="J475" s="166">
        <f>SUMIFS(Продажи!G$5:G$359,Продажи!$D$5:$D$359,Конструкторы!$B475,Продажи!$C$5:$C$359,Конструкторы!$A475)</f>
        <v>0</v>
      </c>
      <c r="K475" s="166">
        <f>SUMIFS(Продажи!H$5:H$359,Продажи!$D$5:$D$359,Конструкторы!$B475,Продажи!$C$5:$C$359,Конструкторы!$A475)</f>
        <v>0</v>
      </c>
      <c r="L475" s="166">
        <f>SUMIFS(Продажи!I$5:I$359,Продажи!$D$5:$D$359,Конструкторы!$B475,Продажи!$C$5:$C$359,Конструкторы!$A475)</f>
        <v>0</v>
      </c>
      <c r="M475" s="166">
        <f>SUMIFS(Продажи!J$5:J$359,Продажи!$D$5:$D$359,Конструкторы!$B475,Продажи!$C$5:$C$359,Конструкторы!$A475)</f>
        <v>0</v>
      </c>
      <c r="N475" s="166">
        <f>SUMIFS(Продажи!K$5:K$359,Продажи!$D$5:$D$359,Конструкторы!$B475,Продажи!$C$5:$C$359,Конструкторы!$A475)</f>
        <v>0</v>
      </c>
      <c r="O475" s="166">
        <f>SUMIFS(Продажи!L$5:L$359,Продажи!$D$5:$D$359,Конструкторы!$B475,Продажи!$C$5:$C$359,Конструкторы!$A475)</f>
        <v>0</v>
      </c>
      <c r="P475" s="166">
        <f>SUMIFS(Продажи!M$5:M$359,Продажи!$D$5:$D$359,Конструкторы!$B475,Продажи!$C$5:$C$359,Конструкторы!$A475)</f>
        <v>0</v>
      </c>
      <c r="Q475" s="166">
        <f>SUMIFS(Продажи!N$5:N$359,Продажи!$D$5:$D$359,Конструкторы!$B475,Продажи!$C$5:$C$359,Конструкторы!$A475)</f>
        <v>0</v>
      </c>
      <c r="R475" s="166">
        <f>SUMIFS(Продажи!O$5:O$359,Продажи!$D$5:$D$359,Конструкторы!$B475,Продажи!$C$5:$C$359,Конструкторы!$A475)</f>
        <v>0</v>
      </c>
      <c r="S475" s="166">
        <f>SUMIFS(Продажи!P$5:P$359,Продажи!$D$5:$D$359,Конструкторы!$B475,Продажи!$C$5:$C$359,Конструкторы!$A475)</f>
        <v>0</v>
      </c>
      <c r="T475" s="166">
        <f>SUMIFS(Продажи!Q$5:Q$359,Продажи!$D$5:$D$359,Конструкторы!$B475,Продажи!$C$5:$C$359,Конструкторы!$A475)</f>
        <v>0</v>
      </c>
    </row>
    <row r="476" spans="1:20" ht="15.75" hidden="1" x14ac:dyDescent="0.25">
      <c r="A476" s="166" t="s">
        <v>397</v>
      </c>
      <c r="B476" s="167" t="s">
        <v>362</v>
      </c>
      <c r="C476" s="33" t="s">
        <v>87</v>
      </c>
      <c r="D476" s="149"/>
      <c r="E476" s="153" t="s">
        <v>70</v>
      </c>
      <c r="F476" s="148">
        <v>6</v>
      </c>
      <c r="G476" s="156" t="s">
        <v>71</v>
      </c>
      <c r="H476" s="156">
        <f>F476</f>
        <v>6</v>
      </c>
      <c r="I476" s="166">
        <f>SUMIFS(Продажи!F$5:F$359,Продажи!$D$5:$D$359,Конструкторы!$B476,Продажи!$C$5:$C$359,Конструкторы!$A476)</f>
        <v>0</v>
      </c>
      <c r="J476" s="166">
        <f>SUMIFS(Продажи!G$5:G$359,Продажи!$D$5:$D$359,Конструкторы!$B476,Продажи!$C$5:$C$359,Конструкторы!$A476)</f>
        <v>0</v>
      </c>
      <c r="K476" s="166">
        <f>SUMIFS(Продажи!H$5:H$359,Продажи!$D$5:$D$359,Конструкторы!$B476,Продажи!$C$5:$C$359,Конструкторы!$A476)</f>
        <v>0</v>
      </c>
      <c r="L476" s="166">
        <f>SUMIFS(Продажи!I$5:I$359,Продажи!$D$5:$D$359,Конструкторы!$B476,Продажи!$C$5:$C$359,Конструкторы!$A476)</f>
        <v>0</v>
      </c>
      <c r="M476" s="166">
        <f>SUMIFS(Продажи!J$5:J$359,Продажи!$D$5:$D$359,Конструкторы!$B476,Продажи!$C$5:$C$359,Конструкторы!$A476)</f>
        <v>0</v>
      </c>
      <c r="N476" s="166">
        <f>SUMIFS(Продажи!K$5:K$359,Продажи!$D$5:$D$359,Конструкторы!$B476,Продажи!$C$5:$C$359,Конструкторы!$A476)</f>
        <v>0</v>
      </c>
      <c r="O476" s="166">
        <f>SUMIFS(Продажи!L$5:L$359,Продажи!$D$5:$D$359,Конструкторы!$B476,Продажи!$C$5:$C$359,Конструкторы!$A476)</f>
        <v>0</v>
      </c>
      <c r="P476" s="166">
        <f>SUMIFS(Продажи!M$5:M$359,Продажи!$D$5:$D$359,Конструкторы!$B476,Продажи!$C$5:$C$359,Конструкторы!$A476)</f>
        <v>0</v>
      </c>
      <c r="Q476" s="166">
        <f>SUMIFS(Продажи!N$5:N$359,Продажи!$D$5:$D$359,Конструкторы!$B476,Продажи!$C$5:$C$359,Конструкторы!$A476)</f>
        <v>0</v>
      </c>
      <c r="R476" s="166">
        <f>SUMIFS(Продажи!O$5:O$359,Продажи!$D$5:$D$359,Конструкторы!$B476,Продажи!$C$5:$C$359,Конструкторы!$A476)</f>
        <v>0</v>
      </c>
      <c r="S476" s="166">
        <f>SUMIFS(Продажи!P$5:P$359,Продажи!$D$5:$D$359,Конструкторы!$B476,Продажи!$C$5:$C$359,Конструкторы!$A476)</f>
        <v>0</v>
      </c>
      <c r="T476" s="166">
        <f>SUMIFS(Продажи!Q$5:Q$359,Продажи!$D$5:$D$359,Конструкторы!$B476,Продажи!$C$5:$C$359,Конструкторы!$A476)</f>
        <v>0</v>
      </c>
    </row>
    <row r="477" spans="1:20" ht="15.75" hidden="1" x14ac:dyDescent="0.25">
      <c r="A477" s="166" t="s">
        <v>397</v>
      </c>
      <c r="B477" s="167" t="s">
        <v>363</v>
      </c>
      <c r="C477" s="129" t="s">
        <v>61</v>
      </c>
      <c r="D477" s="149"/>
      <c r="E477" s="153" t="s">
        <v>68</v>
      </c>
      <c r="F477" s="156">
        <f>(0.583*103)/100</f>
        <v>0.60048999999999997</v>
      </c>
      <c r="G477" s="156">
        <v>1.7490000000000006E-2</v>
      </c>
      <c r="H477" s="156">
        <f>F477+G477</f>
        <v>0.61797999999999997</v>
      </c>
      <c r="I477" s="166">
        <f>SUMIFS(Продажи!F$5:F$359,Продажи!$D$5:$D$359,Конструкторы!$B477,Продажи!$C$5:$C$359,Конструкторы!$A477)</f>
        <v>0</v>
      </c>
      <c r="J477" s="166">
        <f>SUMIFS(Продажи!G$5:G$359,Продажи!$D$5:$D$359,Конструкторы!$B477,Продажи!$C$5:$C$359,Конструкторы!$A477)</f>
        <v>0</v>
      </c>
      <c r="K477" s="166">
        <f>SUMIFS(Продажи!H$5:H$359,Продажи!$D$5:$D$359,Конструкторы!$B477,Продажи!$C$5:$C$359,Конструкторы!$A477)</f>
        <v>0</v>
      </c>
      <c r="L477" s="166">
        <f>SUMIFS(Продажи!I$5:I$359,Продажи!$D$5:$D$359,Конструкторы!$B477,Продажи!$C$5:$C$359,Конструкторы!$A477)</f>
        <v>0</v>
      </c>
      <c r="M477" s="166">
        <f>SUMIFS(Продажи!J$5:J$359,Продажи!$D$5:$D$359,Конструкторы!$B477,Продажи!$C$5:$C$359,Конструкторы!$A477)</f>
        <v>0</v>
      </c>
      <c r="N477" s="166">
        <f>SUMIFS(Продажи!K$5:K$359,Продажи!$D$5:$D$359,Конструкторы!$B477,Продажи!$C$5:$C$359,Конструкторы!$A477)</f>
        <v>0</v>
      </c>
      <c r="O477" s="166">
        <f>SUMIFS(Продажи!L$5:L$359,Продажи!$D$5:$D$359,Конструкторы!$B477,Продажи!$C$5:$C$359,Конструкторы!$A477)</f>
        <v>0</v>
      </c>
      <c r="P477" s="166">
        <f>SUMIFS(Продажи!M$5:M$359,Продажи!$D$5:$D$359,Конструкторы!$B477,Продажи!$C$5:$C$359,Конструкторы!$A477)</f>
        <v>0</v>
      </c>
      <c r="Q477" s="166">
        <f>SUMIFS(Продажи!N$5:N$359,Продажи!$D$5:$D$359,Конструкторы!$B477,Продажи!$C$5:$C$359,Конструкторы!$A477)</f>
        <v>0</v>
      </c>
      <c r="R477" s="166">
        <f>SUMIFS(Продажи!O$5:O$359,Продажи!$D$5:$D$359,Конструкторы!$B477,Продажи!$C$5:$C$359,Конструкторы!$A477)</f>
        <v>0</v>
      </c>
      <c r="S477" s="166">
        <f>SUMIFS(Продажи!P$5:P$359,Продажи!$D$5:$D$359,Конструкторы!$B477,Продажи!$C$5:$C$359,Конструкторы!$A477)</f>
        <v>0</v>
      </c>
      <c r="T477" s="166">
        <f>SUMIFS(Продажи!Q$5:Q$359,Продажи!$D$5:$D$359,Конструкторы!$B477,Продажи!$C$5:$C$359,Конструкторы!$A477)</f>
        <v>0</v>
      </c>
    </row>
    <row r="478" spans="1:20" ht="15.75" hidden="1" x14ac:dyDescent="0.25">
      <c r="A478" s="166" t="s">
        <v>397</v>
      </c>
      <c r="B478" s="167" t="s">
        <v>363</v>
      </c>
      <c r="C478" s="33" t="s">
        <v>87</v>
      </c>
      <c r="D478" s="149"/>
      <c r="E478" s="153" t="s">
        <v>70</v>
      </c>
      <c r="F478" s="148">
        <v>6</v>
      </c>
      <c r="G478" s="156" t="s">
        <v>71</v>
      </c>
      <c r="H478" s="156">
        <f>F478</f>
        <v>6</v>
      </c>
      <c r="I478" s="166">
        <f>SUMIFS(Продажи!F$5:F$359,Продажи!$D$5:$D$359,Конструкторы!$B478,Продажи!$C$5:$C$359,Конструкторы!$A478)</f>
        <v>0</v>
      </c>
      <c r="J478" s="166">
        <f>SUMIFS(Продажи!G$5:G$359,Продажи!$D$5:$D$359,Конструкторы!$B478,Продажи!$C$5:$C$359,Конструкторы!$A478)</f>
        <v>0</v>
      </c>
      <c r="K478" s="166">
        <f>SUMIFS(Продажи!H$5:H$359,Продажи!$D$5:$D$359,Конструкторы!$B478,Продажи!$C$5:$C$359,Конструкторы!$A478)</f>
        <v>0</v>
      </c>
      <c r="L478" s="166">
        <f>SUMIFS(Продажи!I$5:I$359,Продажи!$D$5:$D$359,Конструкторы!$B478,Продажи!$C$5:$C$359,Конструкторы!$A478)</f>
        <v>0</v>
      </c>
      <c r="M478" s="166">
        <f>SUMIFS(Продажи!J$5:J$359,Продажи!$D$5:$D$359,Конструкторы!$B478,Продажи!$C$5:$C$359,Конструкторы!$A478)</f>
        <v>0</v>
      </c>
      <c r="N478" s="166">
        <f>SUMIFS(Продажи!K$5:K$359,Продажи!$D$5:$D$359,Конструкторы!$B478,Продажи!$C$5:$C$359,Конструкторы!$A478)</f>
        <v>0</v>
      </c>
      <c r="O478" s="166">
        <f>SUMIFS(Продажи!L$5:L$359,Продажи!$D$5:$D$359,Конструкторы!$B478,Продажи!$C$5:$C$359,Конструкторы!$A478)</f>
        <v>0</v>
      </c>
      <c r="P478" s="166">
        <f>SUMIFS(Продажи!M$5:M$359,Продажи!$D$5:$D$359,Конструкторы!$B478,Продажи!$C$5:$C$359,Конструкторы!$A478)</f>
        <v>0</v>
      </c>
      <c r="Q478" s="166">
        <f>SUMIFS(Продажи!N$5:N$359,Продажи!$D$5:$D$359,Конструкторы!$B478,Продажи!$C$5:$C$359,Конструкторы!$A478)</f>
        <v>0</v>
      </c>
      <c r="R478" s="166">
        <f>SUMIFS(Продажи!O$5:O$359,Продажи!$D$5:$D$359,Конструкторы!$B478,Продажи!$C$5:$C$359,Конструкторы!$A478)</f>
        <v>0</v>
      </c>
      <c r="S478" s="166">
        <f>SUMIFS(Продажи!P$5:P$359,Продажи!$D$5:$D$359,Конструкторы!$B478,Продажи!$C$5:$C$359,Конструкторы!$A478)</f>
        <v>0</v>
      </c>
      <c r="T478" s="166">
        <f>SUMIFS(Продажи!Q$5:Q$359,Продажи!$D$5:$D$359,Конструкторы!$B478,Продажи!$C$5:$C$359,Конструкторы!$A478)</f>
        <v>0</v>
      </c>
    </row>
    <row r="479" spans="1:20" ht="15.75" hidden="1" x14ac:dyDescent="0.25">
      <c r="A479" s="166" t="s">
        <v>397</v>
      </c>
      <c r="B479" s="167" t="s">
        <v>364</v>
      </c>
      <c r="C479" s="129" t="s">
        <v>62</v>
      </c>
      <c r="D479" s="149"/>
      <c r="E479" s="153" t="s">
        <v>68</v>
      </c>
      <c r="F479" s="156">
        <f>(0.583*103)/100</f>
        <v>0.60048999999999997</v>
      </c>
      <c r="G479" s="156">
        <v>1.7490000000000006E-2</v>
      </c>
      <c r="H479" s="156">
        <f>F479+G479</f>
        <v>0.61797999999999997</v>
      </c>
      <c r="I479" s="166">
        <f>SUMIFS(Продажи!F$5:F$359,Продажи!$D$5:$D$359,Конструкторы!$B479,Продажи!$C$5:$C$359,Конструкторы!$A479)</f>
        <v>0</v>
      </c>
      <c r="J479" s="166">
        <f>SUMIFS(Продажи!G$5:G$359,Продажи!$D$5:$D$359,Конструкторы!$B479,Продажи!$C$5:$C$359,Конструкторы!$A479)</f>
        <v>0</v>
      </c>
      <c r="K479" s="166">
        <f>SUMIFS(Продажи!H$5:H$359,Продажи!$D$5:$D$359,Конструкторы!$B479,Продажи!$C$5:$C$359,Конструкторы!$A479)</f>
        <v>0</v>
      </c>
      <c r="L479" s="166">
        <f>SUMIFS(Продажи!I$5:I$359,Продажи!$D$5:$D$359,Конструкторы!$B479,Продажи!$C$5:$C$359,Конструкторы!$A479)</f>
        <v>0</v>
      </c>
      <c r="M479" s="166">
        <f>SUMIFS(Продажи!J$5:J$359,Продажи!$D$5:$D$359,Конструкторы!$B479,Продажи!$C$5:$C$359,Конструкторы!$A479)</f>
        <v>0</v>
      </c>
      <c r="N479" s="166">
        <f>SUMIFS(Продажи!K$5:K$359,Продажи!$D$5:$D$359,Конструкторы!$B479,Продажи!$C$5:$C$359,Конструкторы!$A479)</f>
        <v>0</v>
      </c>
      <c r="O479" s="166">
        <f>SUMIFS(Продажи!L$5:L$359,Продажи!$D$5:$D$359,Конструкторы!$B479,Продажи!$C$5:$C$359,Конструкторы!$A479)</f>
        <v>0</v>
      </c>
      <c r="P479" s="166">
        <f>SUMIFS(Продажи!M$5:M$359,Продажи!$D$5:$D$359,Конструкторы!$B479,Продажи!$C$5:$C$359,Конструкторы!$A479)</f>
        <v>0</v>
      </c>
      <c r="Q479" s="166">
        <f>SUMIFS(Продажи!N$5:N$359,Продажи!$D$5:$D$359,Конструкторы!$B479,Продажи!$C$5:$C$359,Конструкторы!$A479)</f>
        <v>0</v>
      </c>
      <c r="R479" s="166">
        <f>SUMIFS(Продажи!O$5:O$359,Продажи!$D$5:$D$359,Конструкторы!$B479,Продажи!$C$5:$C$359,Конструкторы!$A479)</f>
        <v>0</v>
      </c>
      <c r="S479" s="166">
        <f>SUMIFS(Продажи!P$5:P$359,Продажи!$D$5:$D$359,Конструкторы!$B479,Продажи!$C$5:$C$359,Конструкторы!$A479)</f>
        <v>0</v>
      </c>
      <c r="T479" s="166">
        <f>SUMIFS(Продажи!Q$5:Q$359,Продажи!$D$5:$D$359,Конструкторы!$B479,Продажи!$C$5:$C$359,Конструкторы!$A479)</f>
        <v>0</v>
      </c>
    </row>
    <row r="480" spans="1:20" ht="15.75" hidden="1" x14ac:dyDescent="0.25">
      <c r="A480" s="166" t="s">
        <v>397</v>
      </c>
      <c r="B480" s="167" t="s">
        <v>364</v>
      </c>
      <c r="C480" s="33" t="s">
        <v>87</v>
      </c>
      <c r="D480" s="149"/>
      <c r="E480" s="153" t="s">
        <v>70</v>
      </c>
      <c r="F480" s="148">
        <v>6</v>
      </c>
      <c r="G480" s="156" t="s">
        <v>71</v>
      </c>
      <c r="H480" s="156">
        <f>F480</f>
        <v>6</v>
      </c>
      <c r="I480" s="166">
        <f>SUMIFS(Продажи!F$5:F$359,Продажи!$D$5:$D$359,Конструкторы!$B480,Продажи!$C$5:$C$359,Конструкторы!$A480)</f>
        <v>0</v>
      </c>
      <c r="J480" s="166">
        <f>SUMIFS(Продажи!G$5:G$359,Продажи!$D$5:$D$359,Конструкторы!$B480,Продажи!$C$5:$C$359,Конструкторы!$A480)</f>
        <v>0</v>
      </c>
      <c r="K480" s="166">
        <f>SUMIFS(Продажи!H$5:H$359,Продажи!$D$5:$D$359,Конструкторы!$B480,Продажи!$C$5:$C$359,Конструкторы!$A480)</f>
        <v>0</v>
      </c>
      <c r="L480" s="166">
        <f>SUMIFS(Продажи!I$5:I$359,Продажи!$D$5:$D$359,Конструкторы!$B480,Продажи!$C$5:$C$359,Конструкторы!$A480)</f>
        <v>0</v>
      </c>
      <c r="M480" s="166">
        <f>SUMIFS(Продажи!J$5:J$359,Продажи!$D$5:$D$359,Конструкторы!$B480,Продажи!$C$5:$C$359,Конструкторы!$A480)</f>
        <v>0</v>
      </c>
      <c r="N480" s="166">
        <f>SUMIFS(Продажи!K$5:K$359,Продажи!$D$5:$D$359,Конструкторы!$B480,Продажи!$C$5:$C$359,Конструкторы!$A480)</f>
        <v>0</v>
      </c>
      <c r="O480" s="166">
        <f>SUMIFS(Продажи!L$5:L$359,Продажи!$D$5:$D$359,Конструкторы!$B480,Продажи!$C$5:$C$359,Конструкторы!$A480)</f>
        <v>0</v>
      </c>
      <c r="P480" s="166">
        <f>SUMIFS(Продажи!M$5:M$359,Продажи!$D$5:$D$359,Конструкторы!$B480,Продажи!$C$5:$C$359,Конструкторы!$A480)</f>
        <v>0</v>
      </c>
      <c r="Q480" s="166">
        <f>SUMIFS(Продажи!N$5:N$359,Продажи!$D$5:$D$359,Конструкторы!$B480,Продажи!$C$5:$C$359,Конструкторы!$A480)</f>
        <v>0</v>
      </c>
      <c r="R480" s="166">
        <f>SUMIFS(Продажи!O$5:O$359,Продажи!$D$5:$D$359,Конструкторы!$B480,Продажи!$C$5:$C$359,Конструкторы!$A480)</f>
        <v>0</v>
      </c>
      <c r="S480" s="166">
        <f>SUMIFS(Продажи!P$5:P$359,Продажи!$D$5:$D$359,Конструкторы!$B480,Продажи!$C$5:$C$359,Конструкторы!$A480)</f>
        <v>0</v>
      </c>
      <c r="T480" s="166">
        <f>SUMIFS(Продажи!Q$5:Q$359,Продажи!$D$5:$D$359,Конструкторы!$B480,Продажи!$C$5:$C$359,Конструкторы!$A480)</f>
        <v>0</v>
      </c>
    </row>
    <row r="481" spans="1:20" ht="15.75" hidden="1" x14ac:dyDescent="0.25">
      <c r="A481" s="166" t="s">
        <v>397</v>
      </c>
      <c r="B481" s="167" t="s">
        <v>365</v>
      </c>
      <c r="C481" s="129" t="s">
        <v>63</v>
      </c>
      <c r="D481" s="149"/>
      <c r="E481" s="153" t="s">
        <v>68</v>
      </c>
      <c r="F481" s="156">
        <f>(0.583*103)/100</f>
        <v>0.60048999999999997</v>
      </c>
      <c r="G481" s="156">
        <v>1.7490000000000006E-2</v>
      </c>
      <c r="H481" s="156">
        <f>F481+G481</f>
        <v>0.61797999999999997</v>
      </c>
      <c r="I481" s="166">
        <f>SUMIFS(Продажи!F$5:F$359,Продажи!$D$5:$D$359,Конструкторы!$B481,Продажи!$C$5:$C$359,Конструкторы!$A481)</f>
        <v>0</v>
      </c>
      <c r="J481" s="166">
        <f>SUMIFS(Продажи!G$5:G$359,Продажи!$D$5:$D$359,Конструкторы!$B481,Продажи!$C$5:$C$359,Конструкторы!$A481)</f>
        <v>0</v>
      </c>
      <c r="K481" s="166">
        <f>SUMIFS(Продажи!H$5:H$359,Продажи!$D$5:$D$359,Конструкторы!$B481,Продажи!$C$5:$C$359,Конструкторы!$A481)</f>
        <v>0</v>
      </c>
      <c r="L481" s="166">
        <f>SUMIFS(Продажи!I$5:I$359,Продажи!$D$5:$D$359,Конструкторы!$B481,Продажи!$C$5:$C$359,Конструкторы!$A481)</f>
        <v>0</v>
      </c>
      <c r="M481" s="166">
        <f>SUMIFS(Продажи!J$5:J$359,Продажи!$D$5:$D$359,Конструкторы!$B481,Продажи!$C$5:$C$359,Конструкторы!$A481)</f>
        <v>0</v>
      </c>
      <c r="N481" s="166">
        <f>SUMIFS(Продажи!K$5:K$359,Продажи!$D$5:$D$359,Конструкторы!$B481,Продажи!$C$5:$C$359,Конструкторы!$A481)</f>
        <v>0</v>
      </c>
      <c r="O481" s="166">
        <f>SUMIFS(Продажи!L$5:L$359,Продажи!$D$5:$D$359,Конструкторы!$B481,Продажи!$C$5:$C$359,Конструкторы!$A481)</f>
        <v>0</v>
      </c>
      <c r="P481" s="166">
        <f>SUMIFS(Продажи!M$5:M$359,Продажи!$D$5:$D$359,Конструкторы!$B481,Продажи!$C$5:$C$359,Конструкторы!$A481)</f>
        <v>0</v>
      </c>
      <c r="Q481" s="166">
        <f>SUMIFS(Продажи!N$5:N$359,Продажи!$D$5:$D$359,Конструкторы!$B481,Продажи!$C$5:$C$359,Конструкторы!$A481)</f>
        <v>0</v>
      </c>
      <c r="R481" s="166">
        <f>SUMIFS(Продажи!O$5:O$359,Продажи!$D$5:$D$359,Конструкторы!$B481,Продажи!$C$5:$C$359,Конструкторы!$A481)</f>
        <v>0</v>
      </c>
      <c r="S481" s="166">
        <f>SUMIFS(Продажи!P$5:P$359,Продажи!$D$5:$D$359,Конструкторы!$B481,Продажи!$C$5:$C$359,Конструкторы!$A481)</f>
        <v>0</v>
      </c>
      <c r="T481" s="166">
        <f>SUMIFS(Продажи!Q$5:Q$359,Продажи!$D$5:$D$359,Конструкторы!$B481,Продажи!$C$5:$C$359,Конструкторы!$A481)</f>
        <v>0</v>
      </c>
    </row>
    <row r="482" spans="1:20" ht="15.75" hidden="1" x14ac:dyDescent="0.25">
      <c r="A482" s="166" t="s">
        <v>397</v>
      </c>
      <c r="B482" s="167" t="s">
        <v>365</v>
      </c>
      <c r="C482" s="33" t="s">
        <v>87</v>
      </c>
      <c r="D482" s="149"/>
      <c r="E482" s="153" t="s">
        <v>70</v>
      </c>
      <c r="F482" s="148">
        <v>6</v>
      </c>
      <c r="G482" s="156" t="s">
        <v>71</v>
      </c>
      <c r="H482" s="156">
        <f>F482</f>
        <v>6</v>
      </c>
      <c r="I482" s="166">
        <f>SUMIFS(Продажи!F$5:F$359,Продажи!$D$5:$D$359,Конструкторы!$B482,Продажи!$C$5:$C$359,Конструкторы!$A482)</f>
        <v>0</v>
      </c>
      <c r="J482" s="166">
        <f>SUMIFS(Продажи!G$5:G$359,Продажи!$D$5:$D$359,Конструкторы!$B482,Продажи!$C$5:$C$359,Конструкторы!$A482)</f>
        <v>0</v>
      </c>
      <c r="K482" s="166">
        <f>SUMIFS(Продажи!H$5:H$359,Продажи!$D$5:$D$359,Конструкторы!$B482,Продажи!$C$5:$C$359,Конструкторы!$A482)</f>
        <v>0</v>
      </c>
      <c r="L482" s="166">
        <f>SUMIFS(Продажи!I$5:I$359,Продажи!$D$5:$D$359,Конструкторы!$B482,Продажи!$C$5:$C$359,Конструкторы!$A482)</f>
        <v>0</v>
      </c>
      <c r="M482" s="166">
        <f>SUMIFS(Продажи!J$5:J$359,Продажи!$D$5:$D$359,Конструкторы!$B482,Продажи!$C$5:$C$359,Конструкторы!$A482)</f>
        <v>0</v>
      </c>
      <c r="N482" s="166">
        <f>SUMIFS(Продажи!K$5:K$359,Продажи!$D$5:$D$359,Конструкторы!$B482,Продажи!$C$5:$C$359,Конструкторы!$A482)</f>
        <v>0</v>
      </c>
      <c r="O482" s="166">
        <f>SUMIFS(Продажи!L$5:L$359,Продажи!$D$5:$D$359,Конструкторы!$B482,Продажи!$C$5:$C$359,Конструкторы!$A482)</f>
        <v>0</v>
      </c>
      <c r="P482" s="166">
        <f>SUMIFS(Продажи!M$5:M$359,Продажи!$D$5:$D$359,Конструкторы!$B482,Продажи!$C$5:$C$359,Конструкторы!$A482)</f>
        <v>0</v>
      </c>
      <c r="Q482" s="166">
        <f>SUMIFS(Продажи!N$5:N$359,Продажи!$D$5:$D$359,Конструкторы!$B482,Продажи!$C$5:$C$359,Конструкторы!$A482)</f>
        <v>0</v>
      </c>
      <c r="R482" s="166">
        <f>SUMIFS(Продажи!O$5:O$359,Продажи!$D$5:$D$359,Конструкторы!$B482,Продажи!$C$5:$C$359,Конструкторы!$A482)</f>
        <v>0</v>
      </c>
      <c r="S482" s="166">
        <f>SUMIFS(Продажи!P$5:P$359,Продажи!$D$5:$D$359,Конструкторы!$B482,Продажи!$C$5:$C$359,Конструкторы!$A482)</f>
        <v>0</v>
      </c>
      <c r="T482" s="166">
        <f>SUMIFS(Продажи!Q$5:Q$359,Продажи!$D$5:$D$359,Конструкторы!$B482,Продажи!$C$5:$C$359,Конструкторы!$A482)</f>
        <v>0</v>
      </c>
    </row>
    <row r="483" spans="1:20" ht="15.75" hidden="1" x14ac:dyDescent="0.25">
      <c r="A483" s="166" t="s">
        <v>397</v>
      </c>
      <c r="B483" s="167" t="s">
        <v>298</v>
      </c>
      <c r="C483" s="129" t="s">
        <v>60</v>
      </c>
      <c r="D483" s="149"/>
      <c r="E483" s="153" t="s">
        <v>68</v>
      </c>
      <c r="F483" s="156">
        <f>(0.697*103)/100</f>
        <v>0.71790999999999994</v>
      </c>
      <c r="G483" s="156">
        <v>2.0909999999999984E-2</v>
      </c>
      <c r="H483" s="156">
        <f>F483+G483</f>
        <v>0.73881999999999992</v>
      </c>
      <c r="I483" s="166">
        <f>SUMIFS(Продажи!F$5:F$359,Продажи!$D$5:$D$359,Конструкторы!$B483,Продажи!$C$5:$C$359,Конструкторы!$A483)</f>
        <v>0</v>
      </c>
      <c r="J483" s="166">
        <f>SUMIFS(Продажи!G$5:G$359,Продажи!$D$5:$D$359,Конструкторы!$B483,Продажи!$C$5:$C$359,Конструкторы!$A483)</f>
        <v>0</v>
      </c>
      <c r="K483" s="166">
        <f>SUMIFS(Продажи!H$5:H$359,Продажи!$D$5:$D$359,Конструкторы!$B483,Продажи!$C$5:$C$359,Конструкторы!$A483)</f>
        <v>0</v>
      </c>
      <c r="L483" s="166">
        <f>SUMIFS(Продажи!I$5:I$359,Продажи!$D$5:$D$359,Конструкторы!$B483,Продажи!$C$5:$C$359,Конструкторы!$A483)</f>
        <v>0</v>
      </c>
      <c r="M483" s="166">
        <f>SUMIFS(Продажи!J$5:J$359,Продажи!$D$5:$D$359,Конструкторы!$B483,Продажи!$C$5:$C$359,Конструкторы!$A483)</f>
        <v>0</v>
      </c>
      <c r="N483" s="166">
        <f>SUMIFS(Продажи!K$5:K$359,Продажи!$D$5:$D$359,Конструкторы!$B483,Продажи!$C$5:$C$359,Конструкторы!$A483)</f>
        <v>0</v>
      </c>
      <c r="O483" s="166">
        <f>SUMIFS(Продажи!L$5:L$359,Продажи!$D$5:$D$359,Конструкторы!$B483,Продажи!$C$5:$C$359,Конструкторы!$A483)</f>
        <v>0</v>
      </c>
      <c r="P483" s="166">
        <f>SUMIFS(Продажи!M$5:M$359,Продажи!$D$5:$D$359,Конструкторы!$B483,Продажи!$C$5:$C$359,Конструкторы!$A483)</f>
        <v>0</v>
      </c>
      <c r="Q483" s="166">
        <f>SUMIFS(Продажи!N$5:N$359,Продажи!$D$5:$D$359,Конструкторы!$B483,Продажи!$C$5:$C$359,Конструкторы!$A483)</f>
        <v>0</v>
      </c>
      <c r="R483" s="166">
        <f>SUMIFS(Продажи!O$5:O$359,Продажи!$D$5:$D$359,Конструкторы!$B483,Продажи!$C$5:$C$359,Конструкторы!$A483)</f>
        <v>0</v>
      </c>
      <c r="S483" s="166">
        <f>SUMIFS(Продажи!P$5:P$359,Продажи!$D$5:$D$359,Конструкторы!$B483,Продажи!$C$5:$C$359,Конструкторы!$A483)</f>
        <v>0</v>
      </c>
      <c r="T483" s="166">
        <f>SUMIFS(Продажи!Q$5:Q$359,Продажи!$D$5:$D$359,Конструкторы!$B483,Продажи!$C$5:$C$359,Конструкторы!$A483)</f>
        <v>0</v>
      </c>
    </row>
    <row r="484" spans="1:20" ht="15.75" hidden="1" x14ac:dyDescent="0.25">
      <c r="A484" s="166" t="s">
        <v>397</v>
      </c>
      <c r="B484" s="167" t="s">
        <v>298</v>
      </c>
      <c r="C484" s="33" t="s">
        <v>87</v>
      </c>
      <c r="D484" s="149"/>
      <c r="E484" s="153" t="s">
        <v>70</v>
      </c>
      <c r="F484" s="148">
        <v>6</v>
      </c>
      <c r="G484" s="156" t="s">
        <v>71</v>
      </c>
      <c r="H484" s="156">
        <f>F484</f>
        <v>6</v>
      </c>
      <c r="I484" s="166">
        <f>SUMIFS(Продажи!F$5:F$359,Продажи!$D$5:$D$359,Конструкторы!$B484,Продажи!$C$5:$C$359,Конструкторы!$A484)</f>
        <v>0</v>
      </c>
      <c r="J484" s="166">
        <f>SUMIFS(Продажи!G$5:G$359,Продажи!$D$5:$D$359,Конструкторы!$B484,Продажи!$C$5:$C$359,Конструкторы!$A484)</f>
        <v>0</v>
      </c>
      <c r="K484" s="166">
        <f>SUMIFS(Продажи!H$5:H$359,Продажи!$D$5:$D$359,Конструкторы!$B484,Продажи!$C$5:$C$359,Конструкторы!$A484)</f>
        <v>0</v>
      </c>
      <c r="L484" s="166">
        <f>SUMIFS(Продажи!I$5:I$359,Продажи!$D$5:$D$359,Конструкторы!$B484,Продажи!$C$5:$C$359,Конструкторы!$A484)</f>
        <v>0</v>
      </c>
      <c r="M484" s="166">
        <f>SUMIFS(Продажи!J$5:J$359,Продажи!$D$5:$D$359,Конструкторы!$B484,Продажи!$C$5:$C$359,Конструкторы!$A484)</f>
        <v>0</v>
      </c>
      <c r="N484" s="166">
        <f>SUMIFS(Продажи!K$5:K$359,Продажи!$D$5:$D$359,Конструкторы!$B484,Продажи!$C$5:$C$359,Конструкторы!$A484)</f>
        <v>0</v>
      </c>
      <c r="O484" s="166">
        <f>SUMIFS(Продажи!L$5:L$359,Продажи!$D$5:$D$359,Конструкторы!$B484,Продажи!$C$5:$C$359,Конструкторы!$A484)</f>
        <v>0</v>
      </c>
      <c r="P484" s="166">
        <f>SUMIFS(Продажи!M$5:M$359,Продажи!$D$5:$D$359,Конструкторы!$B484,Продажи!$C$5:$C$359,Конструкторы!$A484)</f>
        <v>0</v>
      </c>
      <c r="Q484" s="166">
        <f>SUMIFS(Продажи!N$5:N$359,Продажи!$D$5:$D$359,Конструкторы!$B484,Продажи!$C$5:$C$359,Конструкторы!$A484)</f>
        <v>0</v>
      </c>
      <c r="R484" s="166">
        <f>SUMIFS(Продажи!O$5:O$359,Продажи!$D$5:$D$359,Конструкторы!$B484,Продажи!$C$5:$C$359,Конструкторы!$A484)</f>
        <v>0</v>
      </c>
      <c r="S484" s="166">
        <f>SUMIFS(Продажи!P$5:P$359,Продажи!$D$5:$D$359,Конструкторы!$B484,Продажи!$C$5:$C$359,Конструкторы!$A484)</f>
        <v>0</v>
      </c>
      <c r="T484" s="166">
        <f>SUMIFS(Продажи!Q$5:Q$359,Продажи!$D$5:$D$359,Конструкторы!$B484,Продажи!$C$5:$C$359,Конструкторы!$A484)</f>
        <v>0</v>
      </c>
    </row>
    <row r="485" spans="1:20" ht="15.75" hidden="1" x14ac:dyDescent="0.25">
      <c r="A485" s="166" t="s">
        <v>397</v>
      </c>
      <c r="B485" s="167" t="s">
        <v>299</v>
      </c>
      <c r="C485" s="129" t="s">
        <v>60</v>
      </c>
      <c r="D485" s="149"/>
      <c r="E485" s="153" t="s">
        <v>68</v>
      </c>
      <c r="F485" s="156">
        <f>(0.197*103)/100</f>
        <v>0.20291000000000001</v>
      </c>
      <c r="G485" s="156">
        <v>5.9099999999999986E-3</v>
      </c>
      <c r="H485" s="156">
        <f>F485+G485</f>
        <v>0.20882000000000001</v>
      </c>
      <c r="I485" s="166">
        <f>SUMIFS(Продажи!F$5:F$359,Продажи!$D$5:$D$359,Конструкторы!$B485,Продажи!$C$5:$C$359,Конструкторы!$A485)</f>
        <v>0</v>
      </c>
      <c r="J485" s="166">
        <f>SUMIFS(Продажи!G$5:G$359,Продажи!$D$5:$D$359,Конструкторы!$B485,Продажи!$C$5:$C$359,Конструкторы!$A485)</f>
        <v>0</v>
      </c>
      <c r="K485" s="166">
        <f>SUMIFS(Продажи!H$5:H$359,Продажи!$D$5:$D$359,Конструкторы!$B485,Продажи!$C$5:$C$359,Конструкторы!$A485)</f>
        <v>0</v>
      </c>
      <c r="L485" s="166">
        <f>SUMIFS(Продажи!I$5:I$359,Продажи!$D$5:$D$359,Конструкторы!$B485,Продажи!$C$5:$C$359,Конструкторы!$A485)</f>
        <v>0</v>
      </c>
      <c r="M485" s="166">
        <f>SUMIFS(Продажи!J$5:J$359,Продажи!$D$5:$D$359,Конструкторы!$B485,Продажи!$C$5:$C$359,Конструкторы!$A485)</f>
        <v>0</v>
      </c>
      <c r="N485" s="166">
        <f>SUMIFS(Продажи!K$5:K$359,Продажи!$D$5:$D$359,Конструкторы!$B485,Продажи!$C$5:$C$359,Конструкторы!$A485)</f>
        <v>0</v>
      </c>
      <c r="O485" s="166">
        <f>SUMIFS(Продажи!L$5:L$359,Продажи!$D$5:$D$359,Конструкторы!$B485,Продажи!$C$5:$C$359,Конструкторы!$A485)</f>
        <v>0</v>
      </c>
      <c r="P485" s="166">
        <f>SUMIFS(Продажи!M$5:M$359,Продажи!$D$5:$D$359,Конструкторы!$B485,Продажи!$C$5:$C$359,Конструкторы!$A485)</f>
        <v>0</v>
      </c>
      <c r="Q485" s="166">
        <f>SUMIFS(Продажи!N$5:N$359,Продажи!$D$5:$D$359,Конструкторы!$B485,Продажи!$C$5:$C$359,Конструкторы!$A485)</f>
        <v>0</v>
      </c>
      <c r="R485" s="166">
        <f>SUMIFS(Продажи!O$5:O$359,Продажи!$D$5:$D$359,Конструкторы!$B485,Продажи!$C$5:$C$359,Конструкторы!$A485)</f>
        <v>0</v>
      </c>
      <c r="S485" s="166">
        <f>SUMIFS(Продажи!P$5:P$359,Продажи!$D$5:$D$359,Конструкторы!$B485,Продажи!$C$5:$C$359,Конструкторы!$A485)</f>
        <v>0</v>
      </c>
      <c r="T485" s="166">
        <f>SUMIFS(Продажи!Q$5:Q$359,Продажи!$D$5:$D$359,Конструкторы!$B485,Продажи!$C$5:$C$359,Конструкторы!$A485)</f>
        <v>0</v>
      </c>
    </row>
    <row r="486" spans="1:20" ht="15.75" hidden="1" x14ac:dyDescent="0.25">
      <c r="A486" s="166" t="s">
        <v>397</v>
      </c>
      <c r="B486" s="167" t="s">
        <v>299</v>
      </c>
      <c r="C486" s="129" t="s">
        <v>61</v>
      </c>
      <c r="D486" s="149"/>
      <c r="E486" s="153" t="s">
        <v>68</v>
      </c>
      <c r="F486" s="156">
        <f>(0.5*103)/100</f>
        <v>0.51500000000000001</v>
      </c>
      <c r="G486" s="156">
        <v>1.5000000000000013E-2</v>
      </c>
      <c r="H486" s="156">
        <f>F486+G486</f>
        <v>0.53</v>
      </c>
      <c r="I486" s="166">
        <f>SUMIFS(Продажи!F$5:F$359,Продажи!$D$5:$D$359,Конструкторы!$B486,Продажи!$C$5:$C$359,Конструкторы!$A486)</f>
        <v>0</v>
      </c>
      <c r="J486" s="166">
        <f>SUMIFS(Продажи!G$5:G$359,Продажи!$D$5:$D$359,Конструкторы!$B486,Продажи!$C$5:$C$359,Конструкторы!$A486)</f>
        <v>0</v>
      </c>
      <c r="K486" s="166">
        <f>SUMIFS(Продажи!H$5:H$359,Продажи!$D$5:$D$359,Конструкторы!$B486,Продажи!$C$5:$C$359,Конструкторы!$A486)</f>
        <v>0</v>
      </c>
      <c r="L486" s="166">
        <f>SUMIFS(Продажи!I$5:I$359,Продажи!$D$5:$D$359,Конструкторы!$B486,Продажи!$C$5:$C$359,Конструкторы!$A486)</f>
        <v>0</v>
      </c>
      <c r="M486" s="166">
        <f>SUMIFS(Продажи!J$5:J$359,Продажи!$D$5:$D$359,Конструкторы!$B486,Продажи!$C$5:$C$359,Конструкторы!$A486)</f>
        <v>0</v>
      </c>
      <c r="N486" s="166">
        <f>SUMIFS(Продажи!K$5:K$359,Продажи!$D$5:$D$359,Конструкторы!$B486,Продажи!$C$5:$C$359,Конструкторы!$A486)</f>
        <v>0</v>
      </c>
      <c r="O486" s="166">
        <f>SUMIFS(Продажи!L$5:L$359,Продажи!$D$5:$D$359,Конструкторы!$B486,Продажи!$C$5:$C$359,Конструкторы!$A486)</f>
        <v>0</v>
      </c>
      <c r="P486" s="166">
        <f>SUMIFS(Продажи!M$5:M$359,Продажи!$D$5:$D$359,Конструкторы!$B486,Продажи!$C$5:$C$359,Конструкторы!$A486)</f>
        <v>0</v>
      </c>
      <c r="Q486" s="166">
        <f>SUMIFS(Продажи!N$5:N$359,Продажи!$D$5:$D$359,Конструкторы!$B486,Продажи!$C$5:$C$359,Конструкторы!$A486)</f>
        <v>0</v>
      </c>
      <c r="R486" s="166">
        <f>SUMIFS(Продажи!O$5:O$359,Продажи!$D$5:$D$359,Конструкторы!$B486,Продажи!$C$5:$C$359,Конструкторы!$A486)</f>
        <v>0</v>
      </c>
      <c r="S486" s="166">
        <f>SUMIFS(Продажи!P$5:P$359,Продажи!$D$5:$D$359,Конструкторы!$B486,Продажи!$C$5:$C$359,Конструкторы!$A486)</f>
        <v>0</v>
      </c>
      <c r="T486" s="166">
        <f>SUMIFS(Продажи!Q$5:Q$359,Продажи!$D$5:$D$359,Конструкторы!$B486,Продажи!$C$5:$C$359,Конструкторы!$A486)</f>
        <v>0</v>
      </c>
    </row>
    <row r="487" spans="1:20" ht="15.75" hidden="1" x14ac:dyDescent="0.25">
      <c r="A487" s="166" t="s">
        <v>397</v>
      </c>
      <c r="B487" s="167" t="s">
        <v>299</v>
      </c>
      <c r="C487" s="33" t="s">
        <v>87</v>
      </c>
      <c r="D487" s="149"/>
      <c r="E487" s="153" t="s">
        <v>70</v>
      </c>
      <c r="F487" s="148">
        <v>6</v>
      </c>
      <c r="G487" s="156" t="s">
        <v>71</v>
      </c>
      <c r="H487" s="156">
        <f>F487</f>
        <v>6</v>
      </c>
      <c r="I487" s="166">
        <f>SUMIFS(Продажи!F$5:F$359,Продажи!$D$5:$D$359,Конструкторы!$B487,Продажи!$C$5:$C$359,Конструкторы!$A487)</f>
        <v>0</v>
      </c>
      <c r="J487" s="166">
        <f>SUMIFS(Продажи!G$5:G$359,Продажи!$D$5:$D$359,Конструкторы!$B487,Продажи!$C$5:$C$359,Конструкторы!$A487)</f>
        <v>0</v>
      </c>
      <c r="K487" s="166">
        <f>SUMIFS(Продажи!H$5:H$359,Продажи!$D$5:$D$359,Конструкторы!$B487,Продажи!$C$5:$C$359,Конструкторы!$A487)</f>
        <v>0</v>
      </c>
      <c r="L487" s="166">
        <f>SUMIFS(Продажи!I$5:I$359,Продажи!$D$5:$D$359,Конструкторы!$B487,Продажи!$C$5:$C$359,Конструкторы!$A487)</f>
        <v>0</v>
      </c>
      <c r="M487" s="166">
        <f>SUMIFS(Продажи!J$5:J$359,Продажи!$D$5:$D$359,Конструкторы!$B487,Продажи!$C$5:$C$359,Конструкторы!$A487)</f>
        <v>0</v>
      </c>
      <c r="N487" s="166">
        <f>SUMIFS(Продажи!K$5:K$359,Продажи!$D$5:$D$359,Конструкторы!$B487,Продажи!$C$5:$C$359,Конструкторы!$A487)</f>
        <v>0</v>
      </c>
      <c r="O487" s="166">
        <f>SUMIFS(Продажи!L$5:L$359,Продажи!$D$5:$D$359,Конструкторы!$B487,Продажи!$C$5:$C$359,Конструкторы!$A487)</f>
        <v>0</v>
      </c>
      <c r="P487" s="166">
        <f>SUMIFS(Продажи!M$5:M$359,Продажи!$D$5:$D$359,Конструкторы!$B487,Продажи!$C$5:$C$359,Конструкторы!$A487)</f>
        <v>0</v>
      </c>
      <c r="Q487" s="166">
        <f>SUMIFS(Продажи!N$5:N$359,Продажи!$D$5:$D$359,Конструкторы!$B487,Продажи!$C$5:$C$359,Конструкторы!$A487)</f>
        <v>0</v>
      </c>
      <c r="R487" s="166">
        <f>SUMIFS(Продажи!O$5:O$359,Продажи!$D$5:$D$359,Конструкторы!$B487,Продажи!$C$5:$C$359,Конструкторы!$A487)</f>
        <v>0</v>
      </c>
      <c r="S487" s="166">
        <f>SUMIFS(Продажи!P$5:P$359,Продажи!$D$5:$D$359,Конструкторы!$B487,Продажи!$C$5:$C$359,Конструкторы!$A487)</f>
        <v>0</v>
      </c>
      <c r="T487" s="166">
        <f>SUMIFS(Продажи!Q$5:Q$359,Продажи!$D$5:$D$359,Конструкторы!$B487,Продажи!$C$5:$C$359,Конструкторы!$A487)</f>
        <v>0</v>
      </c>
    </row>
    <row r="488" spans="1:20" ht="15.75" hidden="1" x14ac:dyDescent="0.25">
      <c r="A488" s="166" t="s">
        <v>397</v>
      </c>
      <c r="B488" s="167" t="s">
        <v>300</v>
      </c>
      <c r="C488" s="129" t="s">
        <v>60</v>
      </c>
      <c r="D488" s="149"/>
      <c r="E488" s="153" t="s">
        <v>68</v>
      </c>
      <c r="F488" s="156">
        <f>(0.397*103)/100</f>
        <v>0.40891000000000005</v>
      </c>
      <c r="G488" s="156">
        <v>1.1910000000000032E-2</v>
      </c>
      <c r="H488" s="156">
        <f>F488+G488</f>
        <v>0.42082000000000008</v>
      </c>
      <c r="I488" s="166">
        <f>SUMIFS(Продажи!F$5:F$359,Продажи!$D$5:$D$359,Конструкторы!$B488,Продажи!$C$5:$C$359,Конструкторы!$A488)</f>
        <v>0</v>
      </c>
      <c r="J488" s="166">
        <f>SUMIFS(Продажи!G$5:G$359,Продажи!$D$5:$D$359,Конструкторы!$B488,Продажи!$C$5:$C$359,Конструкторы!$A488)</f>
        <v>0</v>
      </c>
      <c r="K488" s="166">
        <f>SUMIFS(Продажи!H$5:H$359,Продажи!$D$5:$D$359,Конструкторы!$B488,Продажи!$C$5:$C$359,Конструкторы!$A488)</f>
        <v>0</v>
      </c>
      <c r="L488" s="166">
        <f>SUMIFS(Продажи!I$5:I$359,Продажи!$D$5:$D$359,Конструкторы!$B488,Продажи!$C$5:$C$359,Конструкторы!$A488)</f>
        <v>0</v>
      </c>
      <c r="M488" s="166">
        <f>SUMIFS(Продажи!J$5:J$359,Продажи!$D$5:$D$359,Конструкторы!$B488,Продажи!$C$5:$C$359,Конструкторы!$A488)</f>
        <v>0</v>
      </c>
      <c r="N488" s="166">
        <f>SUMIFS(Продажи!K$5:K$359,Продажи!$D$5:$D$359,Конструкторы!$B488,Продажи!$C$5:$C$359,Конструкторы!$A488)</f>
        <v>0</v>
      </c>
      <c r="O488" s="166">
        <f>SUMIFS(Продажи!L$5:L$359,Продажи!$D$5:$D$359,Конструкторы!$B488,Продажи!$C$5:$C$359,Конструкторы!$A488)</f>
        <v>0</v>
      </c>
      <c r="P488" s="166">
        <f>SUMIFS(Продажи!M$5:M$359,Продажи!$D$5:$D$359,Конструкторы!$B488,Продажи!$C$5:$C$359,Конструкторы!$A488)</f>
        <v>0</v>
      </c>
      <c r="Q488" s="166">
        <f>SUMIFS(Продажи!N$5:N$359,Продажи!$D$5:$D$359,Конструкторы!$B488,Продажи!$C$5:$C$359,Конструкторы!$A488)</f>
        <v>0</v>
      </c>
      <c r="R488" s="166">
        <f>SUMIFS(Продажи!O$5:O$359,Продажи!$D$5:$D$359,Конструкторы!$B488,Продажи!$C$5:$C$359,Конструкторы!$A488)</f>
        <v>0</v>
      </c>
      <c r="S488" s="166">
        <f>SUMIFS(Продажи!P$5:P$359,Продажи!$D$5:$D$359,Конструкторы!$B488,Продажи!$C$5:$C$359,Конструкторы!$A488)</f>
        <v>0</v>
      </c>
      <c r="T488" s="166">
        <f>SUMIFS(Продажи!Q$5:Q$359,Продажи!$D$5:$D$359,Конструкторы!$B488,Продажи!$C$5:$C$359,Конструкторы!$A488)</f>
        <v>0</v>
      </c>
    </row>
    <row r="489" spans="1:20" ht="15.75" hidden="1" x14ac:dyDescent="0.25">
      <c r="A489" s="166" t="s">
        <v>397</v>
      </c>
      <c r="B489" s="167" t="s">
        <v>300</v>
      </c>
      <c r="C489" s="129" t="s">
        <v>61</v>
      </c>
      <c r="D489" s="149"/>
      <c r="E489" s="153" t="s">
        <v>68</v>
      </c>
      <c r="F489" s="156">
        <f>(0.3*103)/100</f>
        <v>0.309</v>
      </c>
      <c r="G489" s="156">
        <v>9.000000000000008E-3</v>
      </c>
      <c r="H489" s="156">
        <f>F489+G489</f>
        <v>0.318</v>
      </c>
      <c r="I489" s="166">
        <f>SUMIFS(Продажи!F$5:F$359,Продажи!$D$5:$D$359,Конструкторы!$B489,Продажи!$C$5:$C$359,Конструкторы!$A489)</f>
        <v>0</v>
      </c>
      <c r="J489" s="166">
        <f>SUMIFS(Продажи!G$5:G$359,Продажи!$D$5:$D$359,Конструкторы!$B489,Продажи!$C$5:$C$359,Конструкторы!$A489)</f>
        <v>0</v>
      </c>
      <c r="K489" s="166">
        <f>SUMIFS(Продажи!H$5:H$359,Продажи!$D$5:$D$359,Конструкторы!$B489,Продажи!$C$5:$C$359,Конструкторы!$A489)</f>
        <v>0</v>
      </c>
      <c r="L489" s="166">
        <f>SUMIFS(Продажи!I$5:I$359,Продажи!$D$5:$D$359,Конструкторы!$B489,Продажи!$C$5:$C$359,Конструкторы!$A489)</f>
        <v>0</v>
      </c>
      <c r="M489" s="166">
        <f>SUMIFS(Продажи!J$5:J$359,Продажи!$D$5:$D$359,Конструкторы!$B489,Продажи!$C$5:$C$359,Конструкторы!$A489)</f>
        <v>0</v>
      </c>
      <c r="N489" s="166">
        <f>SUMIFS(Продажи!K$5:K$359,Продажи!$D$5:$D$359,Конструкторы!$B489,Продажи!$C$5:$C$359,Конструкторы!$A489)</f>
        <v>0</v>
      </c>
      <c r="O489" s="166">
        <f>SUMIFS(Продажи!L$5:L$359,Продажи!$D$5:$D$359,Конструкторы!$B489,Продажи!$C$5:$C$359,Конструкторы!$A489)</f>
        <v>0</v>
      </c>
      <c r="P489" s="166">
        <f>SUMIFS(Продажи!M$5:M$359,Продажи!$D$5:$D$359,Конструкторы!$B489,Продажи!$C$5:$C$359,Конструкторы!$A489)</f>
        <v>0</v>
      </c>
      <c r="Q489" s="166">
        <f>SUMIFS(Продажи!N$5:N$359,Продажи!$D$5:$D$359,Конструкторы!$B489,Продажи!$C$5:$C$359,Конструкторы!$A489)</f>
        <v>0</v>
      </c>
      <c r="R489" s="166">
        <f>SUMIFS(Продажи!O$5:O$359,Продажи!$D$5:$D$359,Конструкторы!$B489,Продажи!$C$5:$C$359,Конструкторы!$A489)</f>
        <v>0</v>
      </c>
      <c r="S489" s="166">
        <f>SUMIFS(Продажи!P$5:P$359,Продажи!$D$5:$D$359,Конструкторы!$B489,Продажи!$C$5:$C$359,Конструкторы!$A489)</f>
        <v>0</v>
      </c>
      <c r="T489" s="166">
        <f>SUMIFS(Продажи!Q$5:Q$359,Продажи!$D$5:$D$359,Конструкторы!$B489,Продажи!$C$5:$C$359,Конструкторы!$A489)</f>
        <v>0</v>
      </c>
    </row>
    <row r="490" spans="1:20" ht="15.75" hidden="1" x14ac:dyDescent="0.25">
      <c r="A490" s="166" t="s">
        <v>397</v>
      </c>
      <c r="B490" s="167" t="s">
        <v>300</v>
      </c>
      <c r="C490" s="33" t="s">
        <v>87</v>
      </c>
      <c r="D490" s="149"/>
      <c r="E490" s="153" t="s">
        <v>70</v>
      </c>
      <c r="F490" s="148">
        <v>6</v>
      </c>
      <c r="G490" s="156" t="s">
        <v>71</v>
      </c>
      <c r="H490" s="156">
        <f>F490</f>
        <v>6</v>
      </c>
      <c r="I490" s="166">
        <f>SUMIFS(Продажи!F$5:F$359,Продажи!$D$5:$D$359,Конструкторы!$B490,Продажи!$C$5:$C$359,Конструкторы!$A490)</f>
        <v>0</v>
      </c>
      <c r="J490" s="166">
        <f>SUMIFS(Продажи!G$5:G$359,Продажи!$D$5:$D$359,Конструкторы!$B490,Продажи!$C$5:$C$359,Конструкторы!$A490)</f>
        <v>0</v>
      </c>
      <c r="K490" s="166">
        <f>SUMIFS(Продажи!H$5:H$359,Продажи!$D$5:$D$359,Конструкторы!$B490,Продажи!$C$5:$C$359,Конструкторы!$A490)</f>
        <v>0</v>
      </c>
      <c r="L490" s="166">
        <f>SUMIFS(Продажи!I$5:I$359,Продажи!$D$5:$D$359,Конструкторы!$B490,Продажи!$C$5:$C$359,Конструкторы!$A490)</f>
        <v>0</v>
      </c>
      <c r="M490" s="166">
        <f>SUMIFS(Продажи!J$5:J$359,Продажи!$D$5:$D$359,Конструкторы!$B490,Продажи!$C$5:$C$359,Конструкторы!$A490)</f>
        <v>0</v>
      </c>
      <c r="N490" s="166">
        <f>SUMIFS(Продажи!K$5:K$359,Продажи!$D$5:$D$359,Конструкторы!$B490,Продажи!$C$5:$C$359,Конструкторы!$A490)</f>
        <v>0</v>
      </c>
      <c r="O490" s="166">
        <f>SUMIFS(Продажи!L$5:L$359,Продажи!$D$5:$D$359,Конструкторы!$B490,Продажи!$C$5:$C$359,Конструкторы!$A490)</f>
        <v>0</v>
      </c>
      <c r="P490" s="166">
        <f>SUMIFS(Продажи!M$5:M$359,Продажи!$D$5:$D$359,Конструкторы!$B490,Продажи!$C$5:$C$359,Конструкторы!$A490)</f>
        <v>0</v>
      </c>
      <c r="Q490" s="166">
        <f>SUMIFS(Продажи!N$5:N$359,Продажи!$D$5:$D$359,Конструкторы!$B490,Продажи!$C$5:$C$359,Конструкторы!$A490)</f>
        <v>0</v>
      </c>
      <c r="R490" s="166">
        <f>SUMIFS(Продажи!O$5:O$359,Продажи!$D$5:$D$359,Конструкторы!$B490,Продажи!$C$5:$C$359,Конструкторы!$A490)</f>
        <v>0</v>
      </c>
      <c r="S490" s="166">
        <f>SUMIFS(Продажи!P$5:P$359,Продажи!$D$5:$D$359,Конструкторы!$B490,Продажи!$C$5:$C$359,Конструкторы!$A490)</f>
        <v>0</v>
      </c>
      <c r="T490" s="166">
        <f>SUMIFS(Продажи!Q$5:Q$359,Продажи!$D$5:$D$359,Конструкторы!$B490,Продажи!$C$5:$C$359,Конструкторы!$A490)</f>
        <v>0</v>
      </c>
    </row>
    <row r="491" spans="1:20" ht="15.75" hidden="1" x14ac:dyDescent="0.25">
      <c r="A491" s="166" t="s">
        <v>397</v>
      </c>
      <c r="B491" s="167" t="s">
        <v>301</v>
      </c>
      <c r="C491" s="129" t="s">
        <v>60</v>
      </c>
      <c r="D491" s="149"/>
      <c r="E491" s="153" t="s">
        <v>68</v>
      </c>
      <c r="F491" s="156">
        <f>(0.197*103)/100</f>
        <v>0.20291000000000001</v>
      </c>
      <c r="G491" s="156">
        <v>5.9099999999999986E-3</v>
      </c>
      <c r="H491" s="156">
        <f>F491+G491</f>
        <v>0.20882000000000001</v>
      </c>
      <c r="I491" s="166">
        <f>SUMIFS(Продажи!F$5:F$359,Продажи!$D$5:$D$359,Конструкторы!$B491,Продажи!$C$5:$C$359,Конструкторы!$A491)</f>
        <v>0</v>
      </c>
      <c r="J491" s="166">
        <f>SUMIFS(Продажи!G$5:G$359,Продажи!$D$5:$D$359,Конструкторы!$B491,Продажи!$C$5:$C$359,Конструкторы!$A491)</f>
        <v>0</v>
      </c>
      <c r="K491" s="166">
        <f>SUMIFS(Продажи!H$5:H$359,Продажи!$D$5:$D$359,Конструкторы!$B491,Продажи!$C$5:$C$359,Конструкторы!$A491)</f>
        <v>0</v>
      </c>
      <c r="L491" s="166">
        <f>SUMIFS(Продажи!I$5:I$359,Продажи!$D$5:$D$359,Конструкторы!$B491,Продажи!$C$5:$C$359,Конструкторы!$A491)</f>
        <v>0</v>
      </c>
      <c r="M491" s="166">
        <f>SUMIFS(Продажи!J$5:J$359,Продажи!$D$5:$D$359,Конструкторы!$B491,Продажи!$C$5:$C$359,Конструкторы!$A491)</f>
        <v>0</v>
      </c>
      <c r="N491" s="166">
        <f>SUMIFS(Продажи!K$5:K$359,Продажи!$D$5:$D$359,Конструкторы!$B491,Продажи!$C$5:$C$359,Конструкторы!$A491)</f>
        <v>0</v>
      </c>
      <c r="O491" s="166">
        <f>SUMIFS(Продажи!L$5:L$359,Продажи!$D$5:$D$359,Конструкторы!$B491,Продажи!$C$5:$C$359,Конструкторы!$A491)</f>
        <v>0</v>
      </c>
      <c r="P491" s="166">
        <f>SUMIFS(Продажи!M$5:M$359,Продажи!$D$5:$D$359,Конструкторы!$B491,Продажи!$C$5:$C$359,Конструкторы!$A491)</f>
        <v>0</v>
      </c>
      <c r="Q491" s="166">
        <f>SUMIFS(Продажи!N$5:N$359,Продажи!$D$5:$D$359,Конструкторы!$B491,Продажи!$C$5:$C$359,Конструкторы!$A491)</f>
        <v>0</v>
      </c>
      <c r="R491" s="166">
        <f>SUMIFS(Продажи!O$5:O$359,Продажи!$D$5:$D$359,Конструкторы!$B491,Продажи!$C$5:$C$359,Конструкторы!$A491)</f>
        <v>0</v>
      </c>
      <c r="S491" s="166">
        <f>SUMIFS(Продажи!P$5:P$359,Продажи!$D$5:$D$359,Конструкторы!$B491,Продажи!$C$5:$C$359,Конструкторы!$A491)</f>
        <v>0</v>
      </c>
      <c r="T491" s="166">
        <f>SUMIFS(Продажи!Q$5:Q$359,Продажи!$D$5:$D$359,Конструкторы!$B491,Продажи!$C$5:$C$359,Конструкторы!$A491)</f>
        <v>0</v>
      </c>
    </row>
    <row r="492" spans="1:20" ht="15.75" hidden="1" x14ac:dyDescent="0.25">
      <c r="A492" s="166" t="s">
        <v>397</v>
      </c>
      <c r="B492" s="167" t="s">
        <v>301</v>
      </c>
      <c r="C492" s="129" t="s">
        <v>62</v>
      </c>
      <c r="D492" s="149"/>
      <c r="E492" s="153" t="s">
        <v>68</v>
      </c>
      <c r="F492" s="156">
        <f>(0.5*103)/100</f>
        <v>0.51500000000000001</v>
      </c>
      <c r="G492" s="156">
        <v>1.5000000000000013E-2</v>
      </c>
      <c r="H492" s="156">
        <f>F492+G492</f>
        <v>0.53</v>
      </c>
      <c r="I492" s="166">
        <f>SUMIFS(Продажи!F$5:F$359,Продажи!$D$5:$D$359,Конструкторы!$B492,Продажи!$C$5:$C$359,Конструкторы!$A492)</f>
        <v>0</v>
      </c>
      <c r="J492" s="166">
        <f>SUMIFS(Продажи!G$5:G$359,Продажи!$D$5:$D$359,Конструкторы!$B492,Продажи!$C$5:$C$359,Конструкторы!$A492)</f>
        <v>0</v>
      </c>
      <c r="K492" s="166">
        <f>SUMIFS(Продажи!H$5:H$359,Продажи!$D$5:$D$359,Конструкторы!$B492,Продажи!$C$5:$C$359,Конструкторы!$A492)</f>
        <v>0</v>
      </c>
      <c r="L492" s="166">
        <f>SUMIFS(Продажи!I$5:I$359,Продажи!$D$5:$D$359,Конструкторы!$B492,Продажи!$C$5:$C$359,Конструкторы!$A492)</f>
        <v>0</v>
      </c>
      <c r="M492" s="166">
        <f>SUMIFS(Продажи!J$5:J$359,Продажи!$D$5:$D$359,Конструкторы!$B492,Продажи!$C$5:$C$359,Конструкторы!$A492)</f>
        <v>0</v>
      </c>
      <c r="N492" s="166">
        <f>SUMIFS(Продажи!K$5:K$359,Продажи!$D$5:$D$359,Конструкторы!$B492,Продажи!$C$5:$C$359,Конструкторы!$A492)</f>
        <v>0</v>
      </c>
      <c r="O492" s="166">
        <f>SUMIFS(Продажи!L$5:L$359,Продажи!$D$5:$D$359,Конструкторы!$B492,Продажи!$C$5:$C$359,Конструкторы!$A492)</f>
        <v>0</v>
      </c>
      <c r="P492" s="166">
        <f>SUMIFS(Продажи!M$5:M$359,Продажи!$D$5:$D$359,Конструкторы!$B492,Продажи!$C$5:$C$359,Конструкторы!$A492)</f>
        <v>0</v>
      </c>
      <c r="Q492" s="166">
        <f>SUMIFS(Продажи!N$5:N$359,Продажи!$D$5:$D$359,Конструкторы!$B492,Продажи!$C$5:$C$359,Конструкторы!$A492)</f>
        <v>0</v>
      </c>
      <c r="R492" s="166">
        <f>SUMIFS(Продажи!O$5:O$359,Продажи!$D$5:$D$359,Конструкторы!$B492,Продажи!$C$5:$C$359,Конструкторы!$A492)</f>
        <v>0</v>
      </c>
      <c r="S492" s="166">
        <f>SUMIFS(Продажи!P$5:P$359,Продажи!$D$5:$D$359,Конструкторы!$B492,Продажи!$C$5:$C$359,Конструкторы!$A492)</f>
        <v>0</v>
      </c>
      <c r="T492" s="166">
        <f>SUMIFS(Продажи!Q$5:Q$359,Продажи!$D$5:$D$359,Конструкторы!$B492,Продажи!$C$5:$C$359,Конструкторы!$A492)</f>
        <v>0</v>
      </c>
    </row>
    <row r="493" spans="1:20" ht="15.75" hidden="1" x14ac:dyDescent="0.25">
      <c r="A493" s="166" t="s">
        <v>397</v>
      </c>
      <c r="B493" s="167" t="s">
        <v>301</v>
      </c>
      <c r="C493" s="33" t="s">
        <v>87</v>
      </c>
      <c r="D493" s="149"/>
      <c r="E493" s="153" t="s">
        <v>70</v>
      </c>
      <c r="F493" s="148">
        <v>6</v>
      </c>
      <c r="G493" s="156" t="s">
        <v>71</v>
      </c>
      <c r="H493" s="156">
        <f>F493</f>
        <v>6</v>
      </c>
      <c r="I493" s="166">
        <f>SUMIFS(Продажи!F$5:F$359,Продажи!$D$5:$D$359,Конструкторы!$B493,Продажи!$C$5:$C$359,Конструкторы!$A493)</f>
        <v>0</v>
      </c>
      <c r="J493" s="166">
        <f>SUMIFS(Продажи!G$5:G$359,Продажи!$D$5:$D$359,Конструкторы!$B493,Продажи!$C$5:$C$359,Конструкторы!$A493)</f>
        <v>0</v>
      </c>
      <c r="K493" s="166">
        <f>SUMIFS(Продажи!H$5:H$359,Продажи!$D$5:$D$359,Конструкторы!$B493,Продажи!$C$5:$C$359,Конструкторы!$A493)</f>
        <v>0</v>
      </c>
      <c r="L493" s="166">
        <f>SUMIFS(Продажи!I$5:I$359,Продажи!$D$5:$D$359,Конструкторы!$B493,Продажи!$C$5:$C$359,Конструкторы!$A493)</f>
        <v>0</v>
      </c>
      <c r="M493" s="166">
        <f>SUMIFS(Продажи!J$5:J$359,Продажи!$D$5:$D$359,Конструкторы!$B493,Продажи!$C$5:$C$359,Конструкторы!$A493)</f>
        <v>0</v>
      </c>
      <c r="N493" s="166">
        <f>SUMIFS(Продажи!K$5:K$359,Продажи!$D$5:$D$359,Конструкторы!$B493,Продажи!$C$5:$C$359,Конструкторы!$A493)</f>
        <v>0</v>
      </c>
      <c r="O493" s="166">
        <f>SUMIFS(Продажи!L$5:L$359,Продажи!$D$5:$D$359,Конструкторы!$B493,Продажи!$C$5:$C$359,Конструкторы!$A493)</f>
        <v>0</v>
      </c>
      <c r="P493" s="166">
        <f>SUMIFS(Продажи!M$5:M$359,Продажи!$D$5:$D$359,Конструкторы!$B493,Продажи!$C$5:$C$359,Конструкторы!$A493)</f>
        <v>0</v>
      </c>
      <c r="Q493" s="166">
        <f>SUMIFS(Продажи!N$5:N$359,Продажи!$D$5:$D$359,Конструкторы!$B493,Продажи!$C$5:$C$359,Конструкторы!$A493)</f>
        <v>0</v>
      </c>
      <c r="R493" s="166">
        <f>SUMIFS(Продажи!O$5:O$359,Продажи!$D$5:$D$359,Конструкторы!$B493,Продажи!$C$5:$C$359,Конструкторы!$A493)</f>
        <v>0</v>
      </c>
      <c r="S493" s="166">
        <f>SUMIFS(Продажи!P$5:P$359,Продажи!$D$5:$D$359,Конструкторы!$B493,Продажи!$C$5:$C$359,Конструкторы!$A493)</f>
        <v>0</v>
      </c>
      <c r="T493" s="166">
        <f>SUMIFS(Продажи!Q$5:Q$359,Продажи!$D$5:$D$359,Конструкторы!$B493,Продажи!$C$5:$C$359,Конструкторы!$A493)</f>
        <v>0</v>
      </c>
    </row>
    <row r="494" spans="1:20" ht="15.75" hidden="1" x14ac:dyDescent="0.25">
      <c r="A494" s="166" t="s">
        <v>397</v>
      </c>
      <c r="B494" s="167" t="s">
        <v>302</v>
      </c>
      <c r="C494" s="129" t="s">
        <v>60</v>
      </c>
      <c r="D494" s="149"/>
      <c r="E494" s="153" t="s">
        <v>68</v>
      </c>
      <c r="F494" s="156">
        <f>(0.397*103)/100</f>
        <v>0.40891000000000005</v>
      </c>
      <c r="G494" s="156">
        <v>1.1910000000000032E-2</v>
      </c>
      <c r="H494" s="156">
        <f>F494+G494</f>
        <v>0.42082000000000008</v>
      </c>
      <c r="I494" s="166">
        <f>SUMIFS(Продажи!F$5:F$359,Продажи!$D$5:$D$359,Конструкторы!$B494,Продажи!$C$5:$C$359,Конструкторы!$A494)</f>
        <v>0</v>
      </c>
      <c r="J494" s="166">
        <f>SUMIFS(Продажи!G$5:G$359,Продажи!$D$5:$D$359,Конструкторы!$B494,Продажи!$C$5:$C$359,Конструкторы!$A494)</f>
        <v>0</v>
      </c>
      <c r="K494" s="166">
        <f>SUMIFS(Продажи!H$5:H$359,Продажи!$D$5:$D$359,Конструкторы!$B494,Продажи!$C$5:$C$359,Конструкторы!$A494)</f>
        <v>0</v>
      </c>
      <c r="L494" s="166">
        <f>SUMIFS(Продажи!I$5:I$359,Продажи!$D$5:$D$359,Конструкторы!$B494,Продажи!$C$5:$C$359,Конструкторы!$A494)</f>
        <v>0</v>
      </c>
      <c r="M494" s="166">
        <f>SUMIFS(Продажи!J$5:J$359,Продажи!$D$5:$D$359,Конструкторы!$B494,Продажи!$C$5:$C$359,Конструкторы!$A494)</f>
        <v>0</v>
      </c>
      <c r="N494" s="166">
        <f>SUMIFS(Продажи!K$5:K$359,Продажи!$D$5:$D$359,Конструкторы!$B494,Продажи!$C$5:$C$359,Конструкторы!$A494)</f>
        <v>0</v>
      </c>
      <c r="O494" s="166">
        <f>SUMIFS(Продажи!L$5:L$359,Продажи!$D$5:$D$359,Конструкторы!$B494,Продажи!$C$5:$C$359,Конструкторы!$A494)</f>
        <v>0</v>
      </c>
      <c r="P494" s="166">
        <f>SUMIFS(Продажи!M$5:M$359,Продажи!$D$5:$D$359,Конструкторы!$B494,Продажи!$C$5:$C$359,Конструкторы!$A494)</f>
        <v>0</v>
      </c>
      <c r="Q494" s="166">
        <f>SUMIFS(Продажи!N$5:N$359,Продажи!$D$5:$D$359,Конструкторы!$B494,Продажи!$C$5:$C$359,Конструкторы!$A494)</f>
        <v>0</v>
      </c>
      <c r="R494" s="166">
        <f>SUMIFS(Продажи!O$5:O$359,Продажи!$D$5:$D$359,Конструкторы!$B494,Продажи!$C$5:$C$359,Конструкторы!$A494)</f>
        <v>0</v>
      </c>
      <c r="S494" s="166">
        <f>SUMIFS(Продажи!P$5:P$359,Продажи!$D$5:$D$359,Конструкторы!$B494,Продажи!$C$5:$C$359,Конструкторы!$A494)</f>
        <v>0</v>
      </c>
      <c r="T494" s="166">
        <f>SUMIFS(Продажи!Q$5:Q$359,Продажи!$D$5:$D$359,Конструкторы!$B494,Продажи!$C$5:$C$359,Конструкторы!$A494)</f>
        <v>0</v>
      </c>
    </row>
    <row r="495" spans="1:20" ht="15.75" hidden="1" x14ac:dyDescent="0.25">
      <c r="A495" s="166" t="s">
        <v>397</v>
      </c>
      <c r="B495" s="167" t="s">
        <v>302</v>
      </c>
      <c r="C495" s="129" t="s">
        <v>62</v>
      </c>
      <c r="D495" s="149"/>
      <c r="E495" s="153" t="s">
        <v>68</v>
      </c>
      <c r="F495" s="156">
        <f>(0.3*103)/100</f>
        <v>0.309</v>
      </c>
      <c r="G495" s="156">
        <v>9.000000000000008E-3</v>
      </c>
      <c r="H495" s="156">
        <f>F495+G495</f>
        <v>0.318</v>
      </c>
      <c r="I495" s="166">
        <f>SUMIFS(Продажи!F$5:F$359,Продажи!$D$5:$D$359,Конструкторы!$B495,Продажи!$C$5:$C$359,Конструкторы!$A495)</f>
        <v>0</v>
      </c>
      <c r="J495" s="166">
        <f>SUMIFS(Продажи!G$5:G$359,Продажи!$D$5:$D$359,Конструкторы!$B495,Продажи!$C$5:$C$359,Конструкторы!$A495)</f>
        <v>0</v>
      </c>
      <c r="K495" s="166">
        <f>SUMIFS(Продажи!H$5:H$359,Продажи!$D$5:$D$359,Конструкторы!$B495,Продажи!$C$5:$C$359,Конструкторы!$A495)</f>
        <v>0</v>
      </c>
      <c r="L495" s="166">
        <f>SUMIFS(Продажи!I$5:I$359,Продажи!$D$5:$D$359,Конструкторы!$B495,Продажи!$C$5:$C$359,Конструкторы!$A495)</f>
        <v>0</v>
      </c>
      <c r="M495" s="166">
        <f>SUMIFS(Продажи!J$5:J$359,Продажи!$D$5:$D$359,Конструкторы!$B495,Продажи!$C$5:$C$359,Конструкторы!$A495)</f>
        <v>0</v>
      </c>
      <c r="N495" s="166">
        <f>SUMIFS(Продажи!K$5:K$359,Продажи!$D$5:$D$359,Конструкторы!$B495,Продажи!$C$5:$C$359,Конструкторы!$A495)</f>
        <v>0</v>
      </c>
      <c r="O495" s="166">
        <f>SUMIFS(Продажи!L$5:L$359,Продажи!$D$5:$D$359,Конструкторы!$B495,Продажи!$C$5:$C$359,Конструкторы!$A495)</f>
        <v>0</v>
      </c>
      <c r="P495" s="166">
        <f>SUMIFS(Продажи!M$5:M$359,Продажи!$D$5:$D$359,Конструкторы!$B495,Продажи!$C$5:$C$359,Конструкторы!$A495)</f>
        <v>0</v>
      </c>
      <c r="Q495" s="166">
        <f>SUMIFS(Продажи!N$5:N$359,Продажи!$D$5:$D$359,Конструкторы!$B495,Продажи!$C$5:$C$359,Конструкторы!$A495)</f>
        <v>0</v>
      </c>
      <c r="R495" s="166">
        <f>SUMIFS(Продажи!O$5:O$359,Продажи!$D$5:$D$359,Конструкторы!$B495,Продажи!$C$5:$C$359,Конструкторы!$A495)</f>
        <v>0</v>
      </c>
      <c r="S495" s="166">
        <f>SUMIFS(Продажи!P$5:P$359,Продажи!$D$5:$D$359,Конструкторы!$B495,Продажи!$C$5:$C$359,Конструкторы!$A495)</f>
        <v>0</v>
      </c>
      <c r="T495" s="166">
        <f>SUMIFS(Продажи!Q$5:Q$359,Продажи!$D$5:$D$359,Конструкторы!$B495,Продажи!$C$5:$C$359,Конструкторы!$A495)</f>
        <v>0</v>
      </c>
    </row>
    <row r="496" spans="1:20" ht="15.75" hidden="1" x14ac:dyDescent="0.25">
      <c r="A496" s="166" t="s">
        <v>397</v>
      </c>
      <c r="B496" s="167" t="s">
        <v>302</v>
      </c>
      <c r="C496" s="33" t="s">
        <v>87</v>
      </c>
      <c r="D496" s="149"/>
      <c r="E496" s="153" t="s">
        <v>70</v>
      </c>
      <c r="F496" s="148">
        <v>6</v>
      </c>
      <c r="G496" s="156" t="s">
        <v>71</v>
      </c>
      <c r="H496" s="156">
        <f>F496</f>
        <v>6</v>
      </c>
      <c r="I496" s="166">
        <f>SUMIFS(Продажи!F$5:F$359,Продажи!$D$5:$D$359,Конструкторы!$B496,Продажи!$C$5:$C$359,Конструкторы!$A496)</f>
        <v>0</v>
      </c>
      <c r="J496" s="166">
        <f>SUMIFS(Продажи!G$5:G$359,Продажи!$D$5:$D$359,Конструкторы!$B496,Продажи!$C$5:$C$359,Конструкторы!$A496)</f>
        <v>0</v>
      </c>
      <c r="K496" s="166">
        <f>SUMIFS(Продажи!H$5:H$359,Продажи!$D$5:$D$359,Конструкторы!$B496,Продажи!$C$5:$C$359,Конструкторы!$A496)</f>
        <v>0</v>
      </c>
      <c r="L496" s="166">
        <f>SUMIFS(Продажи!I$5:I$359,Продажи!$D$5:$D$359,Конструкторы!$B496,Продажи!$C$5:$C$359,Конструкторы!$A496)</f>
        <v>0</v>
      </c>
      <c r="M496" s="166">
        <f>SUMIFS(Продажи!J$5:J$359,Продажи!$D$5:$D$359,Конструкторы!$B496,Продажи!$C$5:$C$359,Конструкторы!$A496)</f>
        <v>0</v>
      </c>
      <c r="N496" s="166">
        <f>SUMIFS(Продажи!K$5:K$359,Продажи!$D$5:$D$359,Конструкторы!$B496,Продажи!$C$5:$C$359,Конструкторы!$A496)</f>
        <v>0</v>
      </c>
      <c r="O496" s="166">
        <f>SUMIFS(Продажи!L$5:L$359,Продажи!$D$5:$D$359,Конструкторы!$B496,Продажи!$C$5:$C$359,Конструкторы!$A496)</f>
        <v>0</v>
      </c>
      <c r="P496" s="166">
        <f>SUMIFS(Продажи!M$5:M$359,Продажи!$D$5:$D$359,Конструкторы!$B496,Продажи!$C$5:$C$359,Конструкторы!$A496)</f>
        <v>0</v>
      </c>
      <c r="Q496" s="166">
        <f>SUMIFS(Продажи!N$5:N$359,Продажи!$D$5:$D$359,Конструкторы!$B496,Продажи!$C$5:$C$359,Конструкторы!$A496)</f>
        <v>0</v>
      </c>
      <c r="R496" s="166">
        <f>SUMIFS(Продажи!O$5:O$359,Продажи!$D$5:$D$359,Конструкторы!$B496,Продажи!$C$5:$C$359,Конструкторы!$A496)</f>
        <v>0</v>
      </c>
      <c r="S496" s="166">
        <f>SUMIFS(Продажи!P$5:P$359,Продажи!$D$5:$D$359,Конструкторы!$B496,Продажи!$C$5:$C$359,Конструкторы!$A496)</f>
        <v>0</v>
      </c>
      <c r="T496" s="166">
        <f>SUMIFS(Продажи!Q$5:Q$359,Продажи!$D$5:$D$359,Конструкторы!$B496,Продажи!$C$5:$C$359,Конструкторы!$A496)</f>
        <v>0</v>
      </c>
    </row>
    <row r="497" spans="1:20" ht="15.75" hidden="1" x14ac:dyDescent="0.25">
      <c r="A497" s="166" t="s">
        <v>397</v>
      </c>
      <c r="B497" s="167" t="s">
        <v>303</v>
      </c>
      <c r="C497" s="129" t="s">
        <v>60</v>
      </c>
      <c r="D497" s="149"/>
      <c r="E497" s="153" t="s">
        <v>68</v>
      </c>
      <c r="F497" s="156">
        <f>(0.197*103)/100</f>
        <v>0.20291000000000001</v>
      </c>
      <c r="G497" s="156">
        <v>5.9099999999999986E-3</v>
      </c>
      <c r="H497" s="156">
        <f>F497+G497</f>
        <v>0.20882000000000001</v>
      </c>
      <c r="I497" s="166">
        <f>SUMIFS(Продажи!F$5:F$359,Продажи!$D$5:$D$359,Конструкторы!$B497,Продажи!$C$5:$C$359,Конструкторы!$A497)</f>
        <v>0</v>
      </c>
      <c r="J497" s="166">
        <f>SUMIFS(Продажи!G$5:G$359,Продажи!$D$5:$D$359,Конструкторы!$B497,Продажи!$C$5:$C$359,Конструкторы!$A497)</f>
        <v>0</v>
      </c>
      <c r="K497" s="166">
        <f>SUMIFS(Продажи!H$5:H$359,Продажи!$D$5:$D$359,Конструкторы!$B497,Продажи!$C$5:$C$359,Конструкторы!$A497)</f>
        <v>0</v>
      </c>
      <c r="L497" s="166">
        <f>SUMIFS(Продажи!I$5:I$359,Продажи!$D$5:$D$359,Конструкторы!$B497,Продажи!$C$5:$C$359,Конструкторы!$A497)</f>
        <v>0</v>
      </c>
      <c r="M497" s="166">
        <f>SUMIFS(Продажи!J$5:J$359,Продажи!$D$5:$D$359,Конструкторы!$B497,Продажи!$C$5:$C$359,Конструкторы!$A497)</f>
        <v>0</v>
      </c>
      <c r="N497" s="166">
        <f>SUMIFS(Продажи!K$5:K$359,Продажи!$D$5:$D$359,Конструкторы!$B497,Продажи!$C$5:$C$359,Конструкторы!$A497)</f>
        <v>0</v>
      </c>
      <c r="O497" s="166">
        <f>SUMIFS(Продажи!L$5:L$359,Продажи!$D$5:$D$359,Конструкторы!$B497,Продажи!$C$5:$C$359,Конструкторы!$A497)</f>
        <v>0</v>
      </c>
      <c r="P497" s="166">
        <f>SUMIFS(Продажи!M$5:M$359,Продажи!$D$5:$D$359,Конструкторы!$B497,Продажи!$C$5:$C$359,Конструкторы!$A497)</f>
        <v>0</v>
      </c>
      <c r="Q497" s="166">
        <f>SUMIFS(Продажи!N$5:N$359,Продажи!$D$5:$D$359,Конструкторы!$B497,Продажи!$C$5:$C$359,Конструкторы!$A497)</f>
        <v>0</v>
      </c>
      <c r="R497" s="166">
        <f>SUMIFS(Продажи!O$5:O$359,Продажи!$D$5:$D$359,Конструкторы!$B497,Продажи!$C$5:$C$359,Конструкторы!$A497)</f>
        <v>0</v>
      </c>
      <c r="S497" s="166">
        <f>SUMIFS(Продажи!P$5:P$359,Продажи!$D$5:$D$359,Конструкторы!$B497,Продажи!$C$5:$C$359,Конструкторы!$A497)</f>
        <v>0</v>
      </c>
      <c r="T497" s="166">
        <f>SUMIFS(Продажи!Q$5:Q$359,Продажи!$D$5:$D$359,Конструкторы!$B497,Продажи!$C$5:$C$359,Конструкторы!$A497)</f>
        <v>0</v>
      </c>
    </row>
    <row r="498" spans="1:20" ht="15.75" hidden="1" x14ac:dyDescent="0.25">
      <c r="A498" s="166" t="s">
        <v>397</v>
      </c>
      <c r="B498" s="167" t="s">
        <v>303</v>
      </c>
      <c r="C498" s="129" t="s">
        <v>61</v>
      </c>
      <c r="D498" s="149"/>
      <c r="E498" s="153" t="s">
        <v>68</v>
      </c>
      <c r="F498" s="156">
        <f>(0.2*103)/100</f>
        <v>0.20600000000000002</v>
      </c>
      <c r="G498" s="156">
        <v>6.0000000000000053E-3</v>
      </c>
      <c r="H498" s="156">
        <f>F498+G498</f>
        <v>0.21200000000000002</v>
      </c>
      <c r="I498" s="166">
        <f>SUMIFS(Продажи!F$5:F$359,Продажи!$D$5:$D$359,Конструкторы!$B498,Продажи!$C$5:$C$359,Конструкторы!$A498)</f>
        <v>0</v>
      </c>
      <c r="J498" s="166">
        <f>SUMIFS(Продажи!G$5:G$359,Продажи!$D$5:$D$359,Конструкторы!$B498,Продажи!$C$5:$C$359,Конструкторы!$A498)</f>
        <v>0</v>
      </c>
      <c r="K498" s="166">
        <f>SUMIFS(Продажи!H$5:H$359,Продажи!$D$5:$D$359,Конструкторы!$B498,Продажи!$C$5:$C$359,Конструкторы!$A498)</f>
        <v>0</v>
      </c>
      <c r="L498" s="166">
        <f>SUMIFS(Продажи!I$5:I$359,Продажи!$D$5:$D$359,Конструкторы!$B498,Продажи!$C$5:$C$359,Конструкторы!$A498)</f>
        <v>0</v>
      </c>
      <c r="M498" s="166">
        <f>SUMIFS(Продажи!J$5:J$359,Продажи!$D$5:$D$359,Конструкторы!$B498,Продажи!$C$5:$C$359,Конструкторы!$A498)</f>
        <v>0</v>
      </c>
      <c r="N498" s="166">
        <f>SUMIFS(Продажи!K$5:K$359,Продажи!$D$5:$D$359,Конструкторы!$B498,Продажи!$C$5:$C$359,Конструкторы!$A498)</f>
        <v>0</v>
      </c>
      <c r="O498" s="166">
        <f>SUMIFS(Продажи!L$5:L$359,Продажи!$D$5:$D$359,Конструкторы!$B498,Продажи!$C$5:$C$359,Конструкторы!$A498)</f>
        <v>0</v>
      </c>
      <c r="P498" s="166">
        <f>SUMIFS(Продажи!M$5:M$359,Продажи!$D$5:$D$359,Конструкторы!$B498,Продажи!$C$5:$C$359,Конструкторы!$A498)</f>
        <v>0</v>
      </c>
      <c r="Q498" s="166">
        <f>SUMIFS(Продажи!N$5:N$359,Продажи!$D$5:$D$359,Конструкторы!$B498,Продажи!$C$5:$C$359,Конструкторы!$A498)</f>
        <v>0</v>
      </c>
      <c r="R498" s="166">
        <f>SUMIFS(Продажи!O$5:O$359,Продажи!$D$5:$D$359,Конструкторы!$B498,Продажи!$C$5:$C$359,Конструкторы!$A498)</f>
        <v>0</v>
      </c>
      <c r="S498" s="166">
        <f>SUMIFS(Продажи!P$5:P$359,Продажи!$D$5:$D$359,Конструкторы!$B498,Продажи!$C$5:$C$359,Конструкторы!$A498)</f>
        <v>0</v>
      </c>
      <c r="T498" s="166">
        <f>SUMIFS(Продажи!Q$5:Q$359,Продажи!$D$5:$D$359,Конструкторы!$B498,Продажи!$C$5:$C$359,Конструкторы!$A498)</f>
        <v>0</v>
      </c>
    </row>
    <row r="499" spans="1:20" ht="15.75" hidden="1" x14ac:dyDescent="0.25">
      <c r="A499" s="166" t="s">
        <v>397</v>
      </c>
      <c r="B499" s="167" t="s">
        <v>303</v>
      </c>
      <c r="C499" s="129" t="s">
        <v>62</v>
      </c>
      <c r="D499" s="149"/>
      <c r="E499" s="153" t="s">
        <v>68</v>
      </c>
      <c r="F499" s="156">
        <f>(0.3*103)/100</f>
        <v>0.309</v>
      </c>
      <c r="G499" s="156">
        <v>9.000000000000008E-3</v>
      </c>
      <c r="H499" s="156">
        <f>F499+G499</f>
        <v>0.318</v>
      </c>
      <c r="I499" s="166">
        <f>SUMIFS(Продажи!F$5:F$359,Продажи!$D$5:$D$359,Конструкторы!$B499,Продажи!$C$5:$C$359,Конструкторы!$A499)</f>
        <v>0</v>
      </c>
      <c r="J499" s="166">
        <f>SUMIFS(Продажи!G$5:G$359,Продажи!$D$5:$D$359,Конструкторы!$B499,Продажи!$C$5:$C$359,Конструкторы!$A499)</f>
        <v>0</v>
      </c>
      <c r="K499" s="166">
        <f>SUMIFS(Продажи!H$5:H$359,Продажи!$D$5:$D$359,Конструкторы!$B499,Продажи!$C$5:$C$359,Конструкторы!$A499)</f>
        <v>0</v>
      </c>
      <c r="L499" s="166">
        <f>SUMIFS(Продажи!I$5:I$359,Продажи!$D$5:$D$359,Конструкторы!$B499,Продажи!$C$5:$C$359,Конструкторы!$A499)</f>
        <v>0</v>
      </c>
      <c r="M499" s="166">
        <f>SUMIFS(Продажи!J$5:J$359,Продажи!$D$5:$D$359,Конструкторы!$B499,Продажи!$C$5:$C$359,Конструкторы!$A499)</f>
        <v>0</v>
      </c>
      <c r="N499" s="166">
        <f>SUMIFS(Продажи!K$5:K$359,Продажи!$D$5:$D$359,Конструкторы!$B499,Продажи!$C$5:$C$359,Конструкторы!$A499)</f>
        <v>0</v>
      </c>
      <c r="O499" s="166">
        <f>SUMIFS(Продажи!L$5:L$359,Продажи!$D$5:$D$359,Конструкторы!$B499,Продажи!$C$5:$C$359,Конструкторы!$A499)</f>
        <v>0</v>
      </c>
      <c r="P499" s="166">
        <f>SUMIFS(Продажи!M$5:M$359,Продажи!$D$5:$D$359,Конструкторы!$B499,Продажи!$C$5:$C$359,Конструкторы!$A499)</f>
        <v>0</v>
      </c>
      <c r="Q499" s="166">
        <f>SUMIFS(Продажи!N$5:N$359,Продажи!$D$5:$D$359,Конструкторы!$B499,Продажи!$C$5:$C$359,Конструкторы!$A499)</f>
        <v>0</v>
      </c>
      <c r="R499" s="166">
        <f>SUMIFS(Продажи!O$5:O$359,Продажи!$D$5:$D$359,Конструкторы!$B499,Продажи!$C$5:$C$359,Конструкторы!$A499)</f>
        <v>0</v>
      </c>
      <c r="S499" s="166">
        <f>SUMIFS(Продажи!P$5:P$359,Продажи!$D$5:$D$359,Конструкторы!$B499,Продажи!$C$5:$C$359,Конструкторы!$A499)</f>
        <v>0</v>
      </c>
      <c r="T499" s="166">
        <f>SUMIFS(Продажи!Q$5:Q$359,Продажи!$D$5:$D$359,Конструкторы!$B499,Продажи!$C$5:$C$359,Конструкторы!$A499)</f>
        <v>0</v>
      </c>
    </row>
    <row r="500" spans="1:20" ht="15.75" hidden="1" x14ac:dyDescent="0.25">
      <c r="A500" s="166" t="s">
        <v>397</v>
      </c>
      <c r="B500" s="167" t="s">
        <v>303</v>
      </c>
      <c r="C500" s="33" t="s">
        <v>87</v>
      </c>
      <c r="D500" s="149"/>
      <c r="E500" s="153" t="s">
        <v>70</v>
      </c>
      <c r="F500" s="148">
        <v>6</v>
      </c>
      <c r="G500" s="156" t="s">
        <v>71</v>
      </c>
      <c r="H500" s="156">
        <f>F500</f>
        <v>6</v>
      </c>
      <c r="I500" s="166">
        <f>SUMIFS(Продажи!F$5:F$359,Продажи!$D$5:$D$359,Конструкторы!$B500,Продажи!$C$5:$C$359,Конструкторы!$A500)</f>
        <v>0</v>
      </c>
      <c r="J500" s="166">
        <f>SUMIFS(Продажи!G$5:G$359,Продажи!$D$5:$D$359,Конструкторы!$B500,Продажи!$C$5:$C$359,Конструкторы!$A500)</f>
        <v>0</v>
      </c>
      <c r="K500" s="166">
        <f>SUMIFS(Продажи!H$5:H$359,Продажи!$D$5:$D$359,Конструкторы!$B500,Продажи!$C$5:$C$359,Конструкторы!$A500)</f>
        <v>0</v>
      </c>
      <c r="L500" s="166">
        <f>SUMIFS(Продажи!I$5:I$359,Продажи!$D$5:$D$359,Конструкторы!$B500,Продажи!$C$5:$C$359,Конструкторы!$A500)</f>
        <v>0</v>
      </c>
      <c r="M500" s="166">
        <f>SUMIFS(Продажи!J$5:J$359,Продажи!$D$5:$D$359,Конструкторы!$B500,Продажи!$C$5:$C$359,Конструкторы!$A500)</f>
        <v>0</v>
      </c>
      <c r="N500" s="166">
        <f>SUMIFS(Продажи!K$5:K$359,Продажи!$D$5:$D$359,Конструкторы!$B500,Продажи!$C$5:$C$359,Конструкторы!$A500)</f>
        <v>0</v>
      </c>
      <c r="O500" s="166">
        <f>SUMIFS(Продажи!L$5:L$359,Продажи!$D$5:$D$359,Конструкторы!$B500,Продажи!$C$5:$C$359,Конструкторы!$A500)</f>
        <v>0</v>
      </c>
      <c r="P500" s="166">
        <f>SUMIFS(Продажи!M$5:M$359,Продажи!$D$5:$D$359,Конструкторы!$B500,Продажи!$C$5:$C$359,Конструкторы!$A500)</f>
        <v>0</v>
      </c>
      <c r="Q500" s="166">
        <f>SUMIFS(Продажи!N$5:N$359,Продажи!$D$5:$D$359,Конструкторы!$B500,Продажи!$C$5:$C$359,Конструкторы!$A500)</f>
        <v>0</v>
      </c>
      <c r="R500" s="166">
        <f>SUMIFS(Продажи!O$5:O$359,Продажи!$D$5:$D$359,Конструкторы!$B500,Продажи!$C$5:$C$359,Конструкторы!$A500)</f>
        <v>0</v>
      </c>
      <c r="S500" s="166">
        <f>SUMIFS(Продажи!P$5:P$359,Продажи!$D$5:$D$359,Конструкторы!$B500,Продажи!$C$5:$C$359,Конструкторы!$A500)</f>
        <v>0</v>
      </c>
      <c r="T500" s="166">
        <f>SUMIFS(Продажи!Q$5:Q$359,Продажи!$D$5:$D$359,Конструкторы!$B500,Продажи!$C$5:$C$359,Конструкторы!$A500)</f>
        <v>0</v>
      </c>
    </row>
    <row r="501" spans="1:20" ht="15.75" hidden="1" x14ac:dyDescent="0.25">
      <c r="A501" s="166" t="s">
        <v>397</v>
      </c>
      <c r="B501" s="167" t="s">
        <v>304</v>
      </c>
      <c r="C501" s="129" t="s">
        <v>60</v>
      </c>
      <c r="D501" s="149"/>
      <c r="E501" s="153" t="s">
        <v>68</v>
      </c>
      <c r="F501" s="156">
        <f>(0.197*103)/100</f>
        <v>0.20291000000000001</v>
      </c>
      <c r="G501" s="156">
        <v>5.9099999999999986E-3</v>
      </c>
      <c r="H501" s="156">
        <f>F501+G501</f>
        <v>0.20882000000000001</v>
      </c>
      <c r="I501" s="166">
        <f>SUMIFS(Продажи!F$5:F$359,Продажи!$D$5:$D$359,Конструкторы!$B501,Продажи!$C$5:$C$359,Конструкторы!$A501)</f>
        <v>0</v>
      </c>
      <c r="J501" s="166">
        <f>SUMIFS(Продажи!G$5:G$359,Продажи!$D$5:$D$359,Конструкторы!$B501,Продажи!$C$5:$C$359,Конструкторы!$A501)</f>
        <v>0</v>
      </c>
      <c r="K501" s="166">
        <f>SUMIFS(Продажи!H$5:H$359,Продажи!$D$5:$D$359,Конструкторы!$B501,Продажи!$C$5:$C$359,Конструкторы!$A501)</f>
        <v>0</v>
      </c>
      <c r="L501" s="166">
        <f>SUMIFS(Продажи!I$5:I$359,Продажи!$D$5:$D$359,Конструкторы!$B501,Продажи!$C$5:$C$359,Конструкторы!$A501)</f>
        <v>0</v>
      </c>
      <c r="M501" s="166">
        <f>SUMIFS(Продажи!J$5:J$359,Продажи!$D$5:$D$359,Конструкторы!$B501,Продажи!$C$5:$C$359,Конструкторы!$A501)</f>
        <v>0</v>
      </c>
      <c r="N501" s="166">
        <f>SUMIFS(Продажи!K$5:K$359,Продажи!$D$5:$D$359,Конструкторы!$B501,Продажи!$C$5:$C$359,Конструкторы!$A501)</f>
        <v>0</v>
      </c>
      <c r="O501" s="166">
        <f>SUMIFS(Продажи!L$5:L$359,Продажи!$D$5:$D$359,Конструкторы!$B501,Продажи!$C$5:$C$359,Конструкторы!$A501)</f>
        <v>0</v>
      </c>
      <c r="P501" s="166">
        <f>SUMIFS(Продажи!M$5:M$359,Продажи!$D$5:$D$359,Конструкторы!$B501,Продажи!$C$5:$C$359,Конструкторы!$A501)</f>
        <v>0</v>
      </c>
      <c r="Q501" s="166">
        <f>SUMIFS(Продажи!N$5:N$359,Продажи!$D$5:$D$359,Конструкторы!$B501,Продажи!$C$5:$C$359,Конструкторы!$A501)</f>
        <v>0</v>
      </c>
      <c r="R501" s="166">
        <f>SUMIFS(Продажи!O$5:O$359,Продажи!$D$5:$D$359,Конструкторы!$B501,Продажи!$C$5:$C$359,Конструкторы!$A501)</f>
        <v>0</v>
      </c>
      <c r="S501" s="166">
        <f>SUMIFS(Продажи!P$5:P$359,Продажи!$D$5:$D$359,Конструкторы!$B501,Продажи!$C$5:$C$359,Конструкторы!$A501)</f>
        <v>0</v>
      </c>
      <c r="T501" s="166">
        <f>SUMIFS(Продажи!Q$5:Q$359,Продажи!$D$5:$D$359,Конструкторы!$B501,Продажи!$C$5:$C$359,Конструкторы!$A501)</f>
        <v>0</v>
      </c>
    </row>
    <row r="502" spans="1:20" ht="15.75" hidden="1" x14ac:dyDescent="0.25">
      <c r="A502" s="166" t="s">
        <v>397</v>
      </c>
      <c r="B502" s="167" t="s">
        <v>304</v>
      </c>
      <c r="C502" s="129" t="s">
        <v>63</v>
      </c>
      <c r="D502" s="149"/>
      <c r="E502" s="153" t="s">
        <v>68</v>
      </c>
      <c r="F502" s="156">
        <f>(0.5*103)/100</f>
        <v>0.51500000000000001</v>
      </c>
      <c r="G502" s="156">
        <v>1.5000000000000013E-2</v>
      </c>
      <c r="H502" s="156">
        <f>F502+G502</f>
        <v>0.53</v>
      </c>
      <c r="I502" s="166">
        <f>SUMIFS(Продажи!F$5:F$359,Продажи!$D$5:$D$359,Конструкторы!$B502,Продажи!$C$5:$C$359,Конструкторы!$A502)</f>
        <v>0</v>
      </c>
      <c r="J502" s="166">
        <f>SUMIFS(Продажи!G$5:G$359,Продажи!$D$5:$D$359,Конструкторы!$B502,Продажи!$C$5:$C$359,Конструкторы!$A502)</f>
        <v>0</v>
      </c>
      <c r="K502" s="166">
        <f>SUMIFS(Продажи!H$5:H$359,Продажи!$D$5:$D$359,Конструкторы!$B502,Продажи!$C$5:$C$359,Конструкторы!$A502)</f>
        <v>0</v>
      </c>
      <c r="L502" s="166">
        <f>SUMIFS(Продажи!I$5:I$359,Продажи!$D$5:$D$359,Конструкторы!$B502,Продажи!$C$5:$C$359,Конструкторы!$A502)</f>
        <v>0</v>
      </c>
      <c r="M502" s="166">
        <f>SUMIFS(Продажи!J$5:J$359,Продажи!$D$5:$D$359,Конструкторы!$B502,Продажи!$C$5:$C$359,Конструкторы!$A502)</f>
        <v>0</v>
      </c>
      <c r="N502" s="166">
        <f>SUMIFS(Продажи!K$5:K$359,Продажи!$D$5:$D$359,Конструкторы!$B502,Продажи!$C$5:$C$359,Конструкторы!$A502)</f>
        <v>0</v>
      </c>
      <c r="O502" s="166">
        <f>SUMIFS(Продажи!L$5:L$359,Продажи!$D$5:$D$359,Конструкторы!$B502,Продажи!$C$5:$C$359,Конструкторы!$A502)</f>
        <v>0</v>
      </c>
      <c r="P502" s="166">
        <f>SUMIFS(Продажи!M$5:M$359,Продажи!$D$5:$D$359,Конструкторы!$B502,Продажи!$C$5:$C$359,Конструкторы!$A502)</f>
        <v>0</v>
      </c>
      <c r="Q502" s="166">
        <f>SUMIFS(Продажи!N$5:N$359,Продажи!$D$5:$D$359,Конструкторы!$B502,Продажи!$C$5:$C$359,Конструкторы!$A502)</f>
        <v>0</v>
      </c>
      <c r="R502" s="166">
        <f>SUMIFS(Продажи!O$5:O$359,Продажи!$D$5:$D$359,Конструкторы!$B502,Продажи!$C$5:$C$359,Конструкторы!$A502)</f>
        <v>0</v>
      </c>
      <c r="S502" s="166">
        <f>SUMIFS(Продажи!P$5:P$359,Продажи!$D$5:$D$359,Конструкторы!$B502,Продажи!$C$5:$C$359,Конструкторы!$A502)</f>
        <v>0</v>
      </c>
      <c r="T502" s="166">
        <f>SUMIFS(Продажи!Q$5:Q$359,Продажи!$D$5:$D$359,Конструкторы!$B502,Продажи!$C$5:$C$359,Конструкторы!$A502)</f>
        <v>0</v>
      </c>
    </row>
    <row r="503" spans="1:20" ht="15.75" hidden="1" x14ac:dyDescent="0.25">
      <c r="A503" s="166" t="s">
        <v>397</v>
      </c>
      <c r="B503" s="167" t="s">
        <v>304</v>
      </c>
      <c r="C503" s="33" t="s">
        <v>87</v>
      </c>
      <c r="D503" s="149"/>
      <c r="E503" s="153" t="s">
        <v>70</v>
      </c>
      <c r="F503" s="148">
        <v>6</v>
      </c>
      <c r="G503" s="156" t="s">
        <v>71</v>
      </c>
      <c r="H503" s="156">
        <f>F503</f>
        <v>6</v>
      </c>
      <c r="I503" s="166">
        <f>SUMIFS(Продажи!F$5:F$359,Продажи!$D$5:$D$359,Конструкторы!$B503,Продажи!$C$5:$C$359,Конструкторы!$A503)</f>
        <v>0</v>
      </c>
      <c r="J503" s="166">
        <f>SUMIFS(Продажи!G$5:G$359,Продажи!$D$5:$D$359,Конструкторы!$B503,Продажи!$C$5:$C$359,Конструкторы!$A503)</f>
        <v>0</v>
      </c>
      <c r="K503" s="166">
        <f>SUMIFS(Продажи!H$5:H$359,Продажи!$D$5:$D$359,Конструкторы!$B503,Продажи!$C$5:$C$359,Конструкторы!$A503)</f>
        <v>0</v>
      </c>
      <c r="L503" s="166">
        <f>SUMIFS(Продажи!I$5:I$359,Продажи!$D$5:$D$359,Конструкторы!$B503,Продажи!$C$5:$C$359,Конструкторы!$A503)</f>
        <v>0</v>
      </c>
      <c r="M503" s="166">
        <f>SUMIFS(Продажи!J$5:J$359,Продажи!$D$5:$D$359,Конструкторы!$B503,Продажи!$C$5:$C$359,Конструкторы!$A503)</f>
        <v>0</v>
      </c>
      <c r="N503" s="166">
        <f>SUMIFS(Продажи!K$5:K$359,Продажи!$D$5:$D$359,Конструкторы!$B503,Продажи!$C$5:$C$359,Конструкторы!$A503)</f>
        <v>0</v>
      </c>
      <c r="O503" s="166">
        <f>SUMIFS(Продажи!L$5:L$359,Продажи!$D$5:$D$359,Конструкторы!$B503,Продажи!$C$5:$C$359,Конструкторы!$A503)</f>
        <v>0</v>
      </c>
      <c r="P503" s="166">
        <f>SUMIFS(Продажи!M$5:M$359,Продажи!$D$5:$D$359,Конструкторы!$B503,Продажи!$C$5:$C$359,Конструкторы!$A503)</f>
        <v>0</v>
      </c>
      <c r="Q503" s="166">
        <f>SUMIFS(Продажи!N$5:N$359,Продажи!$D$5:$D$359,Конструкторы!$B503,Продажи!$C$5:$C$359,Конструкторы!$A503)</f>
        <v>0</v>
      </c>
      <c r="R503" s="166">
        <f>SUMIFS(Продажи!O$5:O$359,Продажи!$D$5:$D$359,Конструкторы!$B503,Продажи!$C$5:$C$359,Конструкторы!$A503)</f>
        <v>0</v>
      </c>
      <c r="S503" s="166">
        <f>SUMIFS(Продажи!P$5:P$359,Продажи!$D$5:$D$359,Конструкторы!$B503,Продажи!$C$5:$C$359,Конструкторы!$A503)</f>
        <v>0</v>
      </c>
      <c r="T503" s="166">
        <f>SUMIFS(Продажи!Q$5:Q$359,Продажи!$D$5:$D$359,Конструкторы!$B503,Продажи!$C$5:$C$359,Конструкторы!$A503)</f>
        <v>0</v>
      </c>
    </row>
    <row r="504" spans="1:20" ht="15.75" hidden="1" x14ac:dyDescent="0.25">
      <c r="A504" s="166" t="s">
        <v>397</v>
      </c>
      <c r="B504" s="167" t="s">
        <v>305</v>
      </c>
      <c r="C504" s="129" t="s">
        <v>60</v>
      </c>
      <c r="D504" s="149"/>
      <c r="E504" s="153" t="s">
        <v>68</v>
      </c>
      <c r="F504" s="156">
        <f>(0.197*103)/100</f>
        <v>0.20291000000000001</v>
      </c>
      <c r="G504" s="156">
        <v>5.9099999999999986E-3</v>
      </c>
      <c r="H504" s="156">
        <f>F504+G504</f>
        <v>0.20882000000000001</v>
      </c>
      <c r="I504" s="166">
        <f>SUMIFS(Продажи!F$5:F$359,Продажи!$D$5:$D$359,Конструкторы!$B504,Продажи!$C$5:$C$359,Конструкторы!$A504)</f>
        <v>0</v>
      </c>
      <c r="J504" s="166">
        <f>SUMIFS(Продажи!G$5:G$359,Продажи!$D$5:$D$359,Конструкторы!$B504,Продажи!$C$5:$C$359,Конструкторы!$A504)</f>
        <v>0</v>
      </c>
      <c r="K504" s="166">
        <f>SUMIFS(Продажи!H$5:H$359,Продажи!$D$5:$D$359,Конструкторы!$B504,Продажи!$C$5:$C$359,Конструкторы!$A504)</f>
        <v>0</v>
      </c>
      <c r="L504" s="166">
        <f>SUMIFS(Продажи!I$5:I$359,Продажи!$D$5:$D$359,Конструкторы!$B504,Продажи!$C$5:$C$359,Конструкторы!$A504)</f>
        <v>0</v>
      </c>
      <c r="M504" s="166">
        <f>SUMIFS(Продажи!J$5:J$359,Продажи!$D$5:$D$359,Конструкторы!$B504,Продажи!$C$5:$C$359,Конструкторы!$A504)</f>
        <v>0</v>
      </c>
      <c r="N504" s="166">
        <f>SUMIFS(Продажи!K$5:K$359,Продажи!$D$5:$D$359,Конструкторы!$B504,Продажи!$C$5:$C$359,Конструкторы!$A504)</f>
        <v>0</v>
      </c>
      <c r="O504" s="166">
        <f>SUMIFS(Продажи!L$5:L$359,Продажи!$D$5:$D$359,Конструкторы!$B504,Продажи!$C$5:$C$359,Конструкторы!$A504)</f>
        <v>0</v>
      </c>
      <c r="P504" s="166">
        <f>SUMIFS(Продажи!M$5:M$359,Продажи!$D$5:$D$359,Конструкторы!$B504,Продажи!$C$5:$C$359,Конструкторы!$A504)</f>
        <v>0</v>
      </c>
      <c r="Q504" s="166">
        <f>SUMIFS(Продажи!N$5:N$359,Продажи!$D$5:$D$359,Конструкторы!$B504,Продажи!$C$5:$C$359,Конструкторы!$A504)</f>
        <v>0</v>
      </c>
      <c r="R504" s="166">
        <f>SUMIFS(Продажи!O$5:O$359,Продажи!$D$5:$D$359,Конструкторы!$B504,Продажи!$C$5:$C$359,Конструкторы!$A504)</f>
        <v>0</v>
      </c>
      <c r="S504" s="166">
        <f>SUMIFS(Продажи!P$5:P$359,Продажи!$D$5:$D$359,Конструкторы!$B504,Продажи!$C$5:$C$359,Конструкторы!$A504)</f>
        <v>0</v>
      </c>
      <c r="T504" s="166">
        <f>SUMIFS(Продажи!Q$5:Q$359,Продажи!$D$5:$D$359,Конструкторы!$B504,Продажи!$C$5:$C$359,Конструкторы!$A504)</f>
        <v>0</v>
      </c>
    </row>
    <row r="505" spans="1:20" ht="15.75" hidden="1" x14ac:dyDescent="0.25">
      <c r="A505" s="166" t="s">
        <v>397</v>
      </c>
      <c r="B505" s="167" t="s">
        <v>305</v>
      </c>
      <c r="C505" s="129" t="s">
        <v>62</v>
      </c>
      <c r="D505" s="149"/>
      <c r="E505" s="153" t="s">
        <v>68</v>
      </c>
      <c r="F505" s="156">
        <f>(0.2*103)/100</f>
        <v>0.20600000000000002</v>
      </c>
      <c r="G505" s="156">
        <v>6.0000000000000053E-3</v>
      </c>
      <c r="H505" s="156">
        <f>F505+G505</f>
        <v>0.21200000000000002</v>
      </c>
      <c r="I505" s="166">
        <f>SUMIFS(Продажи!F$5:F$359,Продажи!$D$5:$D$359,Конструкторы!$B505,Продажи!$C$5:$C$359,Конструкторы!$A505)</f>
        <v>0</v>
      </c>
      <c r="J505" s="166">
        <f>SUMIFS(Продажи!G$5:G$359,Продажи!$D$5:$D$359,Конструкторы!$B505,Продажи!$C$5:$C$359,Конструкторы!$A505)</f>
        <v>0</v>
      </c>
      <c r="K505" s="166">
        <f>SUMIFS(Продажи!H$5:H$359,Продажи!$D$5:$D$359,Конструкторы!$B505,Продажи!$C$5:$C$359,Конструкторы!$A505)</f>
        <v>0</v>
      </c>
      <c r="L505" s="166">
        <f>SUMIFS(Продажи!I$5:I$359,Продажи!$D$5:$D$359,Конструкторы!$B505,Продажи!$C$5:$C$359,Конструкторы!$A505)</f>
        <v>0</v>
      </c>
      <c r="M505" s="166">
        <f>SUMIFS(Продажи!J$5:J$359,Продажи!$D$5:$D$359,Конструкторы!$B505,Продажи!$C$5:$C$359,Конструкторы!$A505)</f>
        <v>0</v>
      </c>
      <c r="N505" s="166">
        <f>SUMIFS(Продажи!K$5:K$359,Продажи!$D$5:$D$359,Конструкторы!$B505,Продажи!$C$5:$C$359,Конструкторы!$A505)</f>
        <v>0</v>
      </c>
      <c r="O505" s="166">
        <f>SUMIFS(Продажи!L$5:L$359,Продажи!$D$5:$D$359,Конструкторы!$B505,Продажи!$C$5:$C$359,Конструкторы!$A505)</f>
        <v>0</v>
      </c>
      <c r="P505" s="166">
        <f>SUMIFS(Продажи!M$5:M$359,Продажи!$D$5:$D$359,Конструкторы!$B505,Продажи!$C$5:$C$359,Конструкторы!$A505)</f>
        <v>0</v>
      </c>
      <c r="Q505" s="166">
        <f>SUMIFS(Продажи!N$5:N$359,Продажи!$D$5:$D$359,Конструкторы!$B505,Продажи!$C$5:$C$359,Конструкторы!$A505)</f>
        <v>0</v>
      </c>
      <c r="R505" s="166">
        <f>SUMIFS(Продажи!O$5:O$359,Продажи!$D$5:$D$359,Конструкторы!$B505,Продажи!$C$5:$C$359,Конструкторы!$A505)</f>
        <v>0</v>
      </c>
      <c r="S505" s="166">
        <f>SUMIFS(Продажи!P$5:P$359,Продажи!$D$5:$D$359,Конструкторы!$B505,Продажи!$C$5:$C$359,Конструкторы!$A505)</f>
        <v>0</v>
      </c>
      <c r="T505" s="166">
        <f>SUMIFS(Продажи!Q$5:Q$359,Продажи!$D$5:$D$359,Конструкторы!$B505,Продажи!$C$5:$C$359,Конструкторы!$A505)</f>
        <v>0</v>
      </c>
    </row>
    <row r="506" spans="1:20" ht="15.75" hidden="1" x14ac:dyDescent="0.25">
      <c r="A506" s="166" t="s">
        <v>397</v>
      </c>
      <c r="B506" s="167" t="s">
        <v>305</v>
      </c>
      <c r="C506" s="129" t="s">
        <v>63</v>
      </c>
      <c r="D506" s="149"/>
      <c r="E506" s="153" t="s">
        <v>68</v>
      </c>
      <c r="F506" s="156">
        <f>(0.3*103)/100</f>
        <v>0.309</v>
      </c>
      <c r="G506" s="156">
        <v>9.000000000000008E-3</v>
      </c>
      <c r="H506" s="156">
        <f>F506+G506</f>
        <v>0.318</v>
      </c>
      <c r="I506" s="166">
        <f>SUMIFS(Продажи!F$5:F$359,Продажи!$D$5:$D$359,Конструкторы!$B506,Продажи!$C$5:$C$359,Конструкторы!$A506)</f>
        <v>0</v>
      </c>
      <c r="J506" s="166">
        <f>SUMIFS(Продажи!G$5:G$359,Продажи!$D$5:$D$359,Конструкторы!$B506,Продажи!$C$5:$C$359,Конструкторы!$A506)</f>
        <v>0</v>
      </c>
      <c r="K506" s="166">
        <f>SUMIFS(Продажи!H$5:H$359,Продажи!$D$5:$D$359,Конструкторы!$B506,Продажи!$C$5:$C$359,Конструкторы!$A506)</f>
        <v>0</v>
      </c>
      <c r="L506" s="166">
        <f>SUMIFS(Продажи!I$5:I$359,Продажи!$D$5:$D$359,Конструкторы!$B506,Продажи!$C$5:$C$359,Конструкторы!$A506)</f>
        <v>0</v>
      </c>
      <c r="M506" s="166">
        <f>SUMIFS(Продажи!J$5:J$359,Продажи!$D$5:$D$359,Конструкторы!$B506,Продажи!$C$5:$C$359,Конструкторы!$A506)</f>
        <v>0</v>
      </c>
      <c r="N506" s="166">
        <f>SUMIFS(Продажи!K$5:K$359,Продажи!$D$5:$D$359,Конструкторы!$B506,Продажи!$C$5:$C$359,Конструкторы!$A506)</f>
        <v>0</v>
      </c>
      <c r="O506" s="166">
        <f>SUMIFS(Продажи!L$5:L$359,Продажи!$D$5:$D$359,Конструкторы!$B506,Продажи!$C$5:$C$359,Конструкторы!$A506)</f>
        <v>0</v>
      </c>
      <c r="P506" s="166">
        <f>SUMIFS(Продажи!M$5:M$359,Продажи!$D$5:$D$359,Конструкторы!$B506,Продажи!$C$5:$C$359,Конструкторы!$A506)</f>
        <v>0</v>
      </c>
      <c r="Q506" s="166">
        <f>SUMIFS(Продажи!N$5:N$359,Продажи!$D$5:$D$359,Конструкторы!$B506,Продажи!$C$5:$C$359,Конструкторы!$A506)</f>
        <v>0</v>
      </c>
      <c r="R506" s="166">
        <f>SUMIFS(Продажи!O$5:O$359,Продажи!$D$5:$D$359,Конструкторы!$B506,Продажи!$C$5:$C$359,Конструкторы!$A506)</f>
        <v>0</v>
      </c>
      <c r="S506" s="166">
        <f>SUMIFS(Продажи!P$5:P$359,Продажи!$D$5:$D$359,Конструкторы!$B506,Продажи!$C$5:$C$359,Конструкторы!$A506)</f>
        <v>0</v>
      </c>
      <c r="T506" s="166">
        <f>SUMIFS(Продажи!Q$5:Q$359,Продажи!$D$5:$D$359,Конструкторы!$B506,Продажи!$C$5:$C$359,Конструкторы!$A506)</f>
        <v>0</v>
      </c>
    </row>
    <row r="507" spans="1:20" ht="15.75" hidden="1" x14ac:dyDescent="0.25">
      <c r="A507" s="166" t="s">
        <v>397</v>
      </c>
      <c r="B507" s="167" t="s">
        <v>305</v>
      </c>
      <c r="C507" s="33" t="s">
        <v>87</v>
      </c>
      <c r="D507" s="149"/>
      <c r="E507" s="153" t="s">
        <v>70</v>
      </c>
      <c r="F507" s="148">
        <v>6</v>
      </c>
      <c r="G507" s="156" t="s">
        <v>71</v>
      </c>
      <c r="H507" s="156">
        <f>F507</f>
        <v>6</v>
      </c>
      <c r="I507" s="166">
        <f>SUMIFS(Продажи!F$5:F$359,Продажи!$D$5:$D$359,Конструкторы!$B507,Продажи!$C$5:$C$359,Конструкторы!$A507)</f>
        <v>0</v>
      </c>
      <c r="J507" s="166">
        <f>SUMIFS(Продажи!G$5:G$359,Продажи!$D$5:$D$359,Конструкторы!$B507,Продажи!$C$5:$C$359,Конструкторы!$A507)</f>
        <v>0</v>
      </c>
      <c r="K507" s="166">
        <f>SUMIFS(Продажи!H$5:H$359,Продажи!$D$5:$D$359,Конструкторы!$B507,Продажи!$C$5:$C$359,Конструкторы!$A507)</f>
        <v>0</v>
      </c>
      <c r="L507" s="166">
        <f>SUMIFS(Продажи!I$5:I$359,Продажи!$D$5:$D$359,Конструкторы!$B507,Продажи!$C$5:$C$359,Конструкторы!$A507)</f>
        <v>0</v>
      </c>
      <c r="M507" s="166">
        <f>SUMIFS(Продажи!J$5:J$359,Продажи!$D$5:$D$359,Конструкторы!$B507,Продажи!$C$5:$C$359,Конструкторы!$A507)</f>
        <v>0</v>
      </c>
      <c r="N507" s="166">
        <f>SUMIFS(Продажи!K$5:K$359,Продажи!$D$5:$D$359,Конструкторы!$B507,Продажи!$C$5:$C$359,Конструкторы!$A507)</f>
        <v>0</v>
      </c>
      <c r="O507" s="166">
        <f>SUMIFS(Продажи!L$5:L$359,Продажи!$D$5:$D$359,Конструкторы!$B507,Продажи!$C$5:$C$359,Конструкторы!$A507)</f>
        <v>0</v>
      </c>
      <c r="P507" s="166">
        <f>SUMIFS(Продажи!M$5:M$359,Продажи!$D$5:$D$359,Конструкторы!$B507,Продажи!$C$5:$C$359,Конструкторы!$A507)</f>
        <v>0</v>
      </c>
      <c r="Q507" s="166">
        <f>SUMIFS(Продажи!N$5:N$359,Продажи!$D$5:$D$359,Конструкторы!$B507,Продажи!$C$5:$C$359,Конструкторы!$A507)</f>
        <v>0</v>
      </c>
      <c r="R507" s="166">
        <f>SUMIFS(Продажи!O$5:O$359,Продажи!$D$5:$D$359,Конструкторы!$B507,Продажи!$C$5:$C$359,Конструкторы!$A507)</f>
        <v>0</v>
      </c>
      <c r="S507" s="166">
        <f>SUMIFS(Продажи!P$5:P$359,Продажи!$D$5:$D$359,Конструкторы!$B507,Продажи!$C$5:$C$359,Конструкторы!$A507)</f>
        <v>0</v>
      </c>
      <c r="T507" s="166">
        <f>SUMIFS(Продажи!Q$5:Q$359,Продажи!$D$5:$D$359,Конструкторы!$B507,Продажи!$C$5:$C$359,Конструкторы!$A507)</f>
        <v>0</v>
      </c>
    </row>
    <row r="508" spans="1:20" ht="15.75" hidden="1" x14ac:dyDescent="0.25">
      <c r="A508" s="166" t="s">
        <v>397</v>
      </c>
      <c r="B508" s="167" t="s">
        <v>306</v>
      </c>
      <c r="C508" s="129" t="s">
        <v>61</v>
      </c>
      <c r="D508" s="149"/>
      <c r="E508" s="153" t="s">
        <v>68</v>
      </c>
      <c r="F508" s="156">
        <f>(0.197*103)/100</f>
        <v>0.20291000000000001</v>
      </c>
      <c r="G508" s="156">
        <v>5.9099999999999986E-3</v>
      </c>
      <c r="H508" s="156">
        <f>F508+G508</f>
        <v>0.20882000000000001</v>
      </c>
      <c r="I508" s="166">
        <f>SUMIFS(Продажи!F$5:F$359,Продажи!$D$5:$D$359,Конструкторы!$B508,Продажи!$C$5:$C$359,Конструкторы!$A508)</f>
        <v>0</v>
      </c>
      <c r="J508" s="166">
        <f>SUMIFS(Продажи!G$5:G$359,Продажи!$D$5:$D$359,Конструкторы!$B508,Продажи!$C$5:$C$359,Конструкторы!$A508)</f>
        <v>0</v>
      </c>
      <c r="K508" s="166">
        <f>SUMIFS(Продажи!H$5:H$359,Продажи!$D$5:$D$359,Конструкторы!$B508,Продажи!$C$5:$C$359,Конструкторы!$A508)</f>
        <v>0</v>
      </c>
      <c r="L508" s="166">
        <f>SUMIFS(Продажи!I$5:I$359,Продажи!$D$5:$D$359,Конструкторы!$B508,Продажи!$C$5:$C$359,Конструкторы!$A508)</f>
        <v>0</v>
      </c>
      <c r="M508" s="166">
        <f>SUMIFS(Продажи!J$5:J$359,Продажи!$D$5:$D$359,Конструкторы!$B508,Продажи!$C$5:$C$359,Конструкторы!$A508)</f>
        <v>0</v>
      </c>
      <c r="N508" s="166">
        <f>SUMIFS(Продажи!K$5:K$359,Продажи!$D$5:$D$359,Конструкторы!$B508,Продажи!$C$5:$C$359,Конструкторы!$A508)</f>
        <v>0</v>
      </c>
      <c r="O508" s="166">
        <f>SUMIFS(Продажи!L$5:L$359,Продажи!$D$5:$D$359,Конструкторы!$B508,Продажи!$C$5:$C$359,Конструкторы!$A508)</f>
        <v>0</v>
      </c>
      <c r="P508" s="166">
        <f>SUMIFS(Продажи!M$5:M$359,Продажи!$D$5:$D$359,Конструкторы!$B508,Продажи!$C$5:$C$359,Конструкторы!$A508)</f>
        <v>0</v>
      </c>
      <c r="Q508" s="166">
        <f>SUMIFS(Продажи!N$5:N$359,Продажи!$D$5:$D$359,Конструкторы!$B508,Продажи!$C$5:$C$359,Конструкторы!$A508)</f>
        <v>0</v>
      </c>
      <c r="R508" s="166">
        <f>SUMIFS(Продажи!O$5:O$359,Продажи!$D$5:$D$359,Конструкторы!$B508,Продажи!$C$5:$C$359,Конструкторы!$A508)</f>
        <v>0</v>
      </c>
      <c r="S508" s="166">
        <f>SUMIFS(Продажи!P$5:P$359,Продажи!$D$5:$D$359,Конструкторы!$B508,Продажи!$C$5:$C$359,Конструкторы!$A508)</f>
        <v>0</v>
      </c>
      <c r="T508" s="166">
        <f>SUMIFS(Продажи!Q$5:Q$359,Продажи!$D$5:$D$359,Конструкторы!$B508,Продажи!$C$5:$C$359,Конструкторы!$A508)</f>
        <v>0</v>
      </c>
    </row>
    <row r="509" spans="1:20" ht="15.75" hidden="1" x14ac:dyDescent="0.25">
      <c r="A509" s="166" t="s">
        <v>397</v>
      </c>
      <c r="B509" s="167" t="s">
        <v>306</v>
      </c>
      <c r="C509" s="129" t="s">
        <v>60</v>
      </c>
      <c r="D509" s="149"/>
      <c r="E509" s="153" t="s">
        <v>68</v>
      </c>
      <c r="F509" s="156">
        <f>(0.5*103)/100</f>
        <v>0.51500000000000001</v>
      </c>
      <c r="G509" s="156">
        <v>1.5000000000000013E-2</v>
      </c>
      <c r="H509" s="156">
        <f>F509+G509</f>
        <v>0.53</v>
      </c>
      <c r="I509" s="166">
        <f>SUMIFS(Продажи!F$5:F$359,Продажи!$D$5:$D$359,Конструкторы!$B509,Продажи!$C$5:$C$359,Конструкторы!$A509)</f>
        <v>0</v>
      </c>
      <c r="J509" s="166">
        <f>SUMIFS(Продажи!G$5:G$359,Продажи!$D$5:$D$359,Конструкторы!$B509,Продажи!$C$5:$C$359,Конструкторы!$A509)</f>
        <v>0</v>
      </c>
      <c r="K509" s="166">
        <f>SUMIFS(Продажи!H$5:H$359,Продажи!$D$5:$D$359,Конструкторы!$B509,Продажи!$C$5:$C$359,Конструкторы!$A509)</f>
        <v>0</v>
      </c>
      <c r="L509" s="166">
        <f>SUMIFS(Продажи!I$5:I$359,Продажи!$D$5:$D$359,Конструкторы!$B509,Продажи!$C$5:$C$359,Конструкторы!$A509)</f>
        <v>0</v>
      </c>
      <c r="M509" s="166">
        <f>SUMIFS(Продажи!J$5:J$359,Продажи!$D$5:$D$359,Конструкторы!$B509,Продажи!$C$5:$C$359,Конструкторы!$A509)</f>
        <v>0</v>
      </c>
      <c r="N509" s="166">
        <f>SUMIFS(Продажи!K$5:K$359,Продажи!$D$5:$D$359,Конструкторы!$B509,Продажи!$C$5:$C$359,Конструкторы!$A509)</f>
        <v>0</v>
      </c>
      <c r="O509" s="166">
        <f>SUMIFS(Продажи!L$5:L$359,Продажи!$D$5:$D$359,Конструкторы!$B509,Продажи!$C$5:$C$359,Конструкторы!$A509)</f>
        <v>0</v>
      </c>
      <c r="P509" s="166">
        <f>SUMIFS(Продажи!M$5:M$359,Продажи!$D$5:$D$359,Конструкторы!$B509,Продажи!$C$5:$C$359,Конструкторы!$A509)</f>
        <v>0</v>
      </c>
      <c r="Q509" s="166">
        <f>SUMIFS(Продажи!N$5:N$359,Продажи!$D$5:$D$359,Конструкторы!$B509,Продажи!$C$5:$C$359,Конструкторы!$A509)</f>
        <v>0</v>
      </c>
      <c r="R509" s="166">
        <f>SUMIFS(Продажи!O$5:O$359,Продажи!$D$5:$D$359,Конструкторы!$B509,Продажи!$C$5:$C$359,Конструкторы!$A509)</f>
        <v>0</v>
      </c>
      <c r="S509" s="166">
        <f>SUMIFS(Продажи!P$5:P$359,Продажи!$D$5:$D$359,Конструкторы!$B509,Продажи!$C$5:$C$359,Конструкторы!$A509)</f>
        <v>0</v>
      </c>
      <c r="T509" s="166">
        <f>SUMIFS(Продажи!Q$5:Q$359,Продажи!$D$5:$D$359,Конструкторы!$B509,Продажи!$C$5:$C$359,Конструкторы!$A509)</f>
        <v>0</v>
      </c>
    </row>
    <row r="510" spans="1:20" ht="15.75" hidden="1" x14ac:dyDescent="0.25">
      <c r="A510" s="166" t="s">
        <v>397</v>
      </c>
      <c r="B510" s="167" t="s">
        <v>306</v>
      </c>
      <c r="C510" s="33" t="s">
        <v>87</v>
      </c>
      <c r="D510" s="149"/>
      <c r="E510" s="153" t="s">
        <v>70</v>
      </c>
      <c r="F510" s="148">
        <v>6</v>
      </c>
      <c r="G510" s="156" t="s">
        <v>71</v>
      </c>
      <c r="H510" s="156">
        <f>F510</f>
        <v>6</v>
      </c>
      <c r="I510" s="166">
        <f>SUMIFS(Продажи!F$5:F$359,Продажи!$D$5:$D$359,Конструкторы!$B510,Продажи!$C$5:$C$359,Конструкторы!$A510)</f>
        <v>0</v>
      </c>
      <c r="J510" s="166">
        <f>SUMIFS(Продажи!G$5:G$359,Продажи!$D$5:$D$359,Конструкторы!$B510,Продажи!$C$5:$C$359,Конструкторы!$A510)</f>
        <v>0</v>
      </c>
      <c r="K510" s="166">
        <f>SUMIFS(Продажи!H$5:H$359,Продажи!$D$5:$D$359,Конструкторы!$B510,Продажи!$C$5:$C$359,Конструкторы!$A510)</f>
        <v>0</v>
      </c>
      <c r="L510" s="166">
        <f>SUMIFS(Продажи!I$5:I$359,Продажи!$D$5:$D$359,Конструкторы!$B510,Продажи!$C$5:$C$359,Конструкторы!$A510)</f>
        <v>0</v>
      </c>
      <c r="M510" s="166">
        <f>SUMIFS(Продажи!J$5:J$359,Продажи!$D$5:$D$359,Конструкторы!$B510,Продажи!$C$5:$C$359,Конструкторы!$A510)</f>
        <v>0</v>
      </c>
      <c r="N510" s="166">
        <f>SUMIFS(Продажи!K$5:K$359,Продажи!$D$5:$D$359,Конструкторы!$B510,Продажи!$C$5:$C$359,Конструкторы!$A510)</f>
        <v>0</v>
      </c>
      <c r="O510" s="166">
        <f>SUMIFS(Продажи!L$5:L$359,Продажи!$D$5:$D$359,Конструкторы!$B510,Продажи!$C$5:$C$359,Конструкторы!$A510)</f>
        <v>0</v>
      </c>
      <c r="P510" s="166">
        <f>SUMIFS(Продажи!M$5:M$359,Продажи!$D$5:$D$359,Конструкторы!$B510,Продажи!$C$5:$C$359,Конструкторы!$A510)</f>
        <v>0</v>
      </c>
      <c r="Q510" s="166">
        <f>SUMIFS(Продажи!N$5:N$359,Продажи!$D$5:$D$359,Конструкторы!$B510,Продажи!$C$5:$C$359,Конструкторы!$A510)</f>
        <v>0</v>
      </c>
      <c r="R510" s="166">
        <f>SUMIFS(Продажи!O$5:O$359,Продажи!$D$5:$D$359,Конструкторы!$B510,Продажи!$C$5:$C$359,Конструкторы!$A510)</f>
        <v>0</v>
      </c>
      <c r="S510" s="166">
        <f>SUMIFS(Продажи!P$5:P$359,Продажи!$D$5:$D$359,Конструкторы!$B510,Продажи!$C$5:$C$359,Конструкторы!$A510)</f>
        <v>0</v>
      </c>
      <c r="T510" s="166">
        <f>SUMIFS(Продажи!Q$5:Q$359,Продажи!$D$5:$D$359,Конструкторы!$B510,Продажи!$C$5:$C$359,Конструкторы!$A510)</f>
        <v>0</v>
      </c>
    </row>
    <row r="511" spans="1:20" ht="15.75" hidden="1" x14ac:dyDescent="0.25">
      <c r="A511" s="166" t="s">
        <v>397</v>
      </c>
      <c r="B511" s="167" t="s">
        <v>307</v>
      </c>
      <c r="C511" s="129" t="s">
        <v>61</v>
      </c>
      <c r="D511" s="149"/>
      <c r="E511" s="153" t="s">
        <v>68</v>
      </c>
      <c r="F511" s="156">
        <f>(0.697*103)/100</f>
        <v>0.71790999999999994</v>
      </c>
      <c r="G511" s="156">
        <v>2.0909999999999984E-2</v>
      </c>
      <c r="H511" s="156">
        <f>F511+G511</f>
        <v>0.73881999999999992</v>
      </c>
      <c r="I511" s="166">
        <f>SUMIFS(Продажи!F$5:F$359,Продажи!$D$5:$D$359,Конструкторы!$B511,Продажи!$C$5:$C$359,Конструкторы!$A511)</f>
        <v>0</v>
      </c>
      <c r="J511" s="166">
        <f>SUMIFS(Продажи!G$5:G$359,Продажи!$D$5:$D$359,Конструкторы!$B511,Продажи!$C$5:$C$359,Конструкторы!$A511)</f>
        <v>0</v>
      </c>
      <c r="K511" s="166">
        <f>SUMIFS(Продажи!H$5:H$359,Продажи!$D$5:$D$359,Конструкторы!$B511,Продажи!$C$5:$C$359,Конструкторы!$A511)</f>
        <v>0</v>
      </c>
      <c r="L511" s="166">
        <f>SUMIFS(Продажи!I$5:I$359,Продажи!$D$5:$D$359,Конструкторы!$B511,Продажи!$C$5:$C$359,Конструкторы!$A511)</f>
        <v>0</v>
      </c>
      <c r="M511" s="166">
        <f>SUMIFS(Продажи!J$5:J$359,Продажи!$D$5:$D$359,Конструкторы!$B511,Продажи!$C$5:$C$359,Конструкторы!$A511)</f>
        <v>0</v>
      </c>
      <c r="N511" s="166">
        <f>SUMIFS(Продажи!K$5:K$359,Продажи!$D$5:$D$359,Конструкторы!$B511,Продажи!$C$5:$C$359,Конструкторы!$A511)</f>
        <v>0</v>
      </c>
      <c r="O511" s="166">
        <f>SUMIFS(Продажи!L$5:L$359,Продажи!$D$5:$D$359,Конструкторы!$B511,Продажи!$C$5:$C$359,Конструкторы!$A511)</f>
        <v>0</v>
      </c>
      <c r="P511" s="166">
        <f>SUMIFS(Продажи!M$5:M$359,Продажи!$D$5:$D$359,Конструкторы!$B511,Продажи!$C$5:$C$359,Конструкторы!$A511)</f>
        <v>0</v>
      </c>
      <c r="Q511" s="166">
        <f>SUMIFS(Продажи!N$5:N$359,Продажи!$D$5:$D$359,Конструкторы!$B511,Продажи!$C$5:$C$359,Конструкторы!$A511)</f>
        <v>0</v>
      </c>
      <c r="R511" s="166">
        <f>SUMIFS(Продажи!O$5:O$359,Продажи!$D$5:$D$359,Конструкторы!$B511,Продажи!$C$5:$C$359,Конструкторы!$A511)</f>
        <v>0</v>
      </c>
      <c r="S511" s="166">
        <f>SUMIFS(Продажи!P$5:P$359,Продажи!$D$5:$D$359,Конструкторы!$B511,Продажи!$C$5:$C$359,Конструкторы!$A511)</f>
        <v>0</v>
      </c>
      <c r="T511" s="166">
        <f>SUMIFS(Продажи!Q$5:Q$359,Продажи!$D$5:$D$359,Конструкторы!$B511,Продажи!$C$5:$C$359,Конструкторы!$A511)</f>
        <v>0</v>
      </c>
    </row>
    <row r="512" spans="1:20" ht="15.75" hidden="1" x14ac:dyDescent="0.25">
      <c r="A512" s="166" t="s">
        <v>397</v>
      </c>
      <c r="B512" s="167" t="s">
        <v>307</v>
      </c>
      <c r="C512" s="33" t="s">
        <v>87</v>
      </c>
      <c r="D512" s="149"/>
      <c r="E512" s="153" t="s">
        <v>70</v>
      </c>
      <c r="F512" s="148">
        <v>6</v>
      </c>
      <c r="G512" s="156" t="s">
        <v>71</v>
      </c>
      <c r="H512" s="156">
        <f>F512</f>
        <v>6</v>
      </c>
      <c r="I512" s="166">
        <f>SUMIFS(Продажи!F$5:F$359,Продажи!$D$5:$D$359,Конструкторы!$B512,Продажи!$C$5:$C$359,Конструкторы!$A512)</f>
        <v>0</v>
      </c>
      <c r="J512" s="166">
        <f>SUMIFS(Продажи!G$5:G$359,Продажи!$D$5:$D$359,Конструкторы!$B512,Продажи!$C$5:$C$359,Конструкторы!$A512)</f>
        <v>0</v>
      </c>
      <c r="K512" s="166">
        <f>SUMIFS(Продажи!H$5:H$359,Продажи!$D$5:$D$359,Конструкторы!$B512,Продажи!$C$5:$C$359,Конструкторы!$A512)</f>
        <v>0</v>
      </c>
      <c r="L512" s="166">
        <f>SUMIFS(Продажи!I$5:I$359,Продажи!$D$5:$D$359,Конструкторы!$B512,Продажи!$C$5:$C$359,Конструкторы!$A512)</f>
        <v>0</v>
      </c>
      <c r="M512" s="166">
        <f>SUMIFS(Продажи!J$5:J$359,Продажи!$D$5:$D$359,Конструкторы!$B512,Продажи!$C$5:$C$359,Конструкторы!$A512)</f>
        <v>0</v>
      </c>
      <c r="N512" s="166">
        <f>SUMIFS(Продажи!K$5:K$359,Продажи!$D$5:$D$359,Конструкторы!$B512,Продажи!$C$5:$C$359,Конструкторы!$A512)</f>
        <v>0</v>
      </c>
      <c r="O512" s="166">
        <f>SUMIFS(Продажи!L$5:L$359,Продажи!$D$5:$D$359,Конструкторы!$B512,Продажи!$C$5:$C$359,Конструкторы!$A512)</f>
        <v>0</v>
      </c>
      <c r="P512" s="166">
        <f>SUMIFS(Продажи!M$5:M$359,Продажи!$D$5:$D$359,Конструкторы!$B512,Продажи!$C$5:$C$359,Конструкторы!$A512)</f>
        <v>0</v>
      </c>
      <c r="Q512" s="166">
        <f>SUMIFS(Продажи!N$5:N$359,Продажи!$D$5:$D$359,Конструкторы!$B512,Продажи!$C$5:$C$359,Конструкторы!$A512)</f>
        <v>0</v>
      </c>
      <c r="R512" s="166">
        <f>SUMIFS(Продажи!O$5:O$359,Продажи!$D$5:$D$359,Конструкторы!$B512,Продажи!$C$5:$C$359,Конструкторы!$A512)</f>
        <v>0</v>
      </c>
      <c r="S512" s="166">
        <f>SUMIFS(Продажи!P$5:P$359,Продажи!$D$5:$D$359,Конструкторы!$B512,Продажи!$C$5:$C$359,Конструкторы!$A512)</f>
        <v>0</v>
      </c>
      <c r="T512" s="166">
        <f>SUMIFS(Продажи!Q$5:Q$359,Продажи!$D$5:$D$359,Конструкторы!$B512,Продажи!$C$5:$C$359,Конструкторы!$A512)</f>
        <v>0</v>
      </c>
    </row>
    <row r="513" spans="1:20" ht="15.75" hidden="1" x14ac:dyDescent="0.25">
      <c r="A513" s="166" t="s">
        <v>397</v>
      </c>
      <c r="B513" s="167" t="s">
        <v>308</v>
      </c>
      <c r="C513" s="129" t="s">
        <v>61</v>
      </c>
      <c r="D513" s="149"/>
      <c r="E513" s="153" t="s">
        <v>68</v>
      </c>
      <c r="F513" s="156">
        <f>(0.197*103)/100</f>
        <v>0.20291000000000001</v>
      </c>
      <c r="G513" s="156">
        <v>5.9099999999999986E-3</v>
      </c>
      <c r="H513" s="156">
        <f>F513+G513</f>
        <v>0.20882000000000001</v>
      </c>
      <c r="I513" s="166">
        <f>SUMIFS(Продажи!F$5:F$359,Продажи!$D$5:$D$359,Конструкторы!$B513,Продажи!$C$5:$C$359,Конструкторы!$A513)</f>
        <v>0</v>
      </c>
      <c r="J513" s="166">
        <f>SUMIFS(Продажи!G$5:G$359,Продажи!$D$5:$D$359,Конструкторы!$B513,Продажи!$C$5:$C$359,Конструкторы!$A513)</f>
        <v>0</v>
      </c>
      <c r="K513" s="166">
        <f>SUMIFS(Продажи!H$5:H$359,Продажи!$D$5:$D$359,Конструкторы!$B513,Продажи!$C$5:$C$359,Конструкторы!$A513)</f>
        <v>0</v>
      </c>
      <c r="L513" s="166">
        <f>SUMIFS(Продажи!I$5:I$359,Продажи!$D$5:$D$359,Конструкторы!$B513,Продажи!$C$5:$C$359,Конструкторы!$A513)</f>
        <v>0</v>
      </c>
      <c r="M513" s="166">
        <f>SUMIFS(Продажи!J$5:J$359,Продажи!$D$5:$D$359,Конструкторы!$B513,Продажи!$C$5:$C$359,Конструкторы!$A513)</f>
        <v>0</v>
      </c>
      <c r="N513" s="166">
        <f>SUMIFS(Продажи!K$5:K$359,Продажи!$D$5:$D$359,Конструкторы!$B513,Продажи!$C$5:$C$359,Конструкторы!$A513)</f>
        <v>0</v>
      </c>
      <c r="O513" s="166">
        <f>SUMIFS(Продажи!L$5:L$359,Продажи!$D$5:$D$359,Конструкторы!$B513,Продажи!$C$5:$C$359,Конструкторы!$A513)</f>
        <v>0</v>
      </c>
      <c r="P513" s="166">
        <f>SUMIFS(Продажи!M$5:M$359,Продажи!$D$5:$D$359,Конструкторы!$B513,Продажи!$C$5:$C$359,Конструкторы!$A513)</f>
        <v>0</v>
      </c>
      <c r="Q513" s="166">
        <f>SUMIFS(Продажи!N$5:N$359,Продажи!$D$5:$D$359,Конструкторы!$B513,Продажи!$C$5:$C$359,Конструкторы!$A513)</f>
        <v>0</v>
      </c>
      <c r="R513" s="166">
        <f>SUMIFS(Продажи!O$5:O$359,Продажи!$D$5:$D$359,Конструкторы!$B513,Продажи!$C$5:$C$359,Конструкторы!$A513)</f>
        <v>0</v>
      </c>
      <c r="S513" s="166">
        <f>SUMIFS(Продажи!P$5:P$359,Продажи!$D$5:$D$359,Конструкторы!$B513,Продажи!$C$5:$C$359,Конструкторы!$A513)</f>
        <v>0</v>
      </c>
      <c r="T513" s="166">
        <f>SUMIFS(Продажи!Q$5:Q$359,Продажи!$D$5:$D$359,Конструкторы!$B513,Продажи!$C$5:$C$359,Конструкторы!$A513)</f>
        <v>0</v>
      </c>
    </row>
    <row r="514" spans="1:20" ht="15.75" hidden="1" x14ac:dyDescent="0.25">
      <c r="A514" s="166" t="s">
        <v>397</v>
      </c>
      <c r="B514" s="167" t="s">
        <v>308</v>
      </c>
      <c r="C514" s="129" t="s">
        <v>62</v>
      </c>
      <c r="D514" s="149"/>
      <c r="E514" s="153" t="s">
        <v>68</v>
      </c>
      <c r="F514" s="156">
        <f>(0.5*103)/100</f>
        <v>0.51500000000000001</v>
      </c>
      <c r="G514" s="156">
        <v>1.5000000000000013E-2</v>
      </c>
      <c r="H514" s="156">
        <f>F514+G514</f>
        <v>0.53</v>
      </c>
      <c r="I514" s="166">
        <f>SUMIFS(Продажи!F$5:F$359,Продажи!$D$5:$D$359,Конструкторы!$B514,Продажи!$C$5:$C$359,Конструкторы!$A514)</f>
        <v>0</v>
      </c>
      <c r="J514" s="166">
        <f>SUMIFS(Продажи!G$5:G$359,Продажи!$D$5:$D$359,Конструкторы!$B514,Продажи!$C$5:$C$359,Конструкторы!$A514)</f>
        <v>0</v>
      </c>
      <c r="K514" s="166">
        <f>SUMIFS(Продажи!H$5:H$359,Продажи!$D$5:$D$359,Конструкторы!$B514,Продажи!$C$5:$C$359,Конструкторы!$A514)</f>
        <v>0</v>
      </c>
      <c r="L514" s="166">
        <f>SUMIFS(Продажи!I$5:I$359,Продажи!$D$5:$D$359,Конструкторы!$B514,Продажи!$C$5:$C$359,Конструкторы!$A514)</f>
        <v>0</v>
      </c>
      <c r="M514" s="166">
        <f>SUMIFS(Продажи!J$5:J$359,Продажи!$D$5:$D$359,Конструкторы!$B514,Продажи!$C$5:$C$359,Конструкторы!$A514)</f>
        <v>0</v>
      </c>
      <c r="N514" s="166">
        <f>SUMIFS(Продажи!K$5:K$359,Продажи!$D$5:$D$359,Конструкторы!$B514,Продажи!$C$5:$C$359,Конструкторы!$A514)</f>
        <v>0</v>
      </c>
      <c r="O514" s="166">
        <f>SUMIFS(Продажи!L$5:L$359,Продажи!$D$5:$D$359,Конструкторы!$B514,Продажи!$C$5:$C$359,Конструкторы!$A514)</f>
        <v>0</v>
      </c>
      <c r="P514" s="166">
        <f>SUMIFS(Продажи!M$5:M$359,Продажи!$D$5:$D$359,Конструкторы!$B514,Продажи!$C$5:$C$359,Конструкторы!$A514)</f>
        <v>0</v>
      </c>
      <c r="Q514" s="166">
        <f>SUMIFS(Продажи!N$5:N$359,Продажи!$D$5:$D$359,Конструкторы!$B514,Продажи!$C$5:$C$359,Конструкторы!$A514)</f>
        <v>0</v>
      </c>
      <c r="R514" s="166">
        <f>SUMIFS(Продажи!O$5:O$359,Продажи!$D$5:$D$359,Конструкторы!$B514,Продажи!$C$5:$C$359,Конструкторы!$A514)</f>
        <v>0</v>
      </c>
      <c r="S514" s="166">
        <f>SUMIFS(Продажи!P$5:P$359,Продажи!$D$5:$D$359,Конструкторы!$B514,Продажи!$C$5:$C$359,Конструкторы!$A514)</f>
        <v>0</v>
      </c>
      <c r="T514" s="166">
        <f>SUMIFS(Продажи!Q$5:Q$359,Продажи!$D$5:$D$359,Конструкторы!$B514,Продажи!$C$5:$C$359,Конструкторы!$A514)</f>
        <v>0</v>
      </c>
    </row>
    <row r="515" spans="1:20" ht="15.75" hidden="1" x14ac:dyDescent="0.25">
      <c r="A515" s="166" t="s">
        <v>397</v>
      </c>
      <c r="B515" s="167" t="s">
        <v>308</v>
      </c>
      <c r="C515" s="33" t="s">
        <v>87</v>
      </c>
      <c r="D515" s="149"/>
      <c r="E515" s="153" t="s">
        <v>70</v>
      </c>
      <c r="F515" s="148">
        <v>6</v>
      </c>
      <c r="G515" s="156" t="s">
        <v>71</v>
      </c>
      <c r="H515" s="156">
        <f>F515</f>
        <v>6</v>
      </c>
      <c r="I515" s="166">
        <f>SUMIFS(Продажи!F$5:F$359,Продажи!$D$5:$D$359,Конструкторы!$B515,Продажи!$C$5:$C$359,Конструкторы!$A515)</f>
        <v>0</v>
      </c>
      <c r="J515" s="166">
        <f>SUMIFS(Продажи!G$5:G$359,Продажи!$D$5:$D$359,Конструкторы!$B515,Продажи!$C$5:$C$359,Конструкторы!$A515)</f>
        <v>0</v>
      </c>
      <c r="K515" s="166">
        <f>SUMIFS(Продажи!H$5:H$359,Продажи!$D$5:$D$359,Конструкторы!$B515,Продажи!$C$5:$C$359,Конструкторы!$A515)</f>
        <v>0</v>
      </c>
      <c r="L515" s="166">
        <f>SUMIFS(Продажи!I$5:I$359,Продажи!$D$5:$D$359,Конструкторы!$B515,Продажи!$C$5:$C$359,Конструкторы!$A515)</f>
        <v>0</v>
      </c>
      <c r="M515" s="166">
        <f>SUMIFS(Продажи!J$5:J$359,Продажи!$D$5:$D$359,Конструкторы!$B515,Продажи!$C$5:$C$359,Конструкторы!$A515)</f>
        <v>0</v>
      </c>
      <c r="N515" s="166">
        <f>SUMIFS(Продажи!K$5:K$359,Продажи!$D$5:$D$359,Конструкторы!$B515,Продажи!$C$5:$C$359,Конструкторы!$A515)</f>
        <v>0</v>
      </c>
      <c r="O515" s="166">
        <f>SUMIFS(Продажи!L$5:L$359,Продажи!$D$5:$D$359,Конструкторы!$B515,Продажи!$C$5:$C$359,Конструкторы!$A515)</f>
        <v>0</v>
      </c>
      <c r="P515" s="166">
        <f>SUMIFS(Продажи!M$5:M$359,Продажи!$D$5:$D$359,Конструкторы!$B515,Продажи!$C$5:$C$359,Конструкторы!$A515)</f>
        <v>0</v>
      </c>
      <c r="Q515" s="166">
        <f>SUMIFS(Продажи!N$5:N$359,Продажи!$D$5:$D$359,Конструкторы!$B515,Продажи!$C$5:$C$359,Конструкторы!$A515)</f>
        <v>0</v>
      </c>
      <c r="R515" s="166">
        <f>SUMIFS(Продажи!O$5:O$359,Продажи!$D$5:$D$359,Конструкторы!$B515,Продажи!$C$5:$C$359,Конструкторы!$A515)</f>
        <v>0</v>
      </c>
      <c r="S515" s="166">
        <f>SUMIFS(Продажи!P$5:P$359,Продажи!$D$5:$D$359,Конструкторы!$B515,Продажи!$C$5:$C$359,Конструкторы!$A515)</f>
        <v>0</v>
      </c>
      <c r="T515" s="166">
        <f>SUMIFS(Продажи!Q$5:Q$359,Продажи!$D$5:$D$359,Конструкторы!$B515,Продажи!$C$5:$C$359,Конструкторы!$A515)</f>
        <v>0</v>
      </c>
    </row>
    <row r="516" spans="1:20" ht="15.75" hidden="1" x14ac:dyDescent="0.25">
      <c r="A516" s="166" t="s">
        <v>397</v>
      </c>
      <c r="B516" s="167" t="s">
        <v>309</v>
      </c>
      <c r="C516" s="129" t="s">
        <v>60</v>
      </c>
      <c r="D516" s="149"/>
      <c r="E516" s="153" t="s">
        <v>68</v>
      </c>
      <c r="F516" s="156">
        <f>(0.197*103)/100</f>
        <v>0.20291000000000001</v>
      </c>
      <c r="G516" s="156">
        <v>5.9099999999999986E-3</v>
      </c>
      <c r="H516" s="156">
        <f>F516+G516</f>
        <v>0.20882000000000001</v>
      </c>
      <c r="I516" s="166">
        <f>SUMIFS(Продажи!F$5:F$359,Продажи!$D$5:$D$359,Конструкторы!$B516,Продажи!$C$5:$C$359,Конструкторы!$A516)</f>
        <v>0</v>
      </c>
      <c r="J516" s="166">
        <f>SUMIFS(Продажи!G$5:G$359,Продажи!$D$5:$D$359,Конструкторы!$B516,Продажи!$C$5:$C$359,Конструкторы!$A516)</f>
        <v>0</v>
      </c>
      <c r="K516" s="166">
        <f>SUMIFS(Продажи!H$5:H$359,Продажи!$D$5:$D$359,Конструкторы!$B516,Продажи!$C$5:$C$359,Конструкторы!$A516)</f>
        <v>0</v>
      </c>
      <c r="L516" s="166">
        <f>SUMIFS(Продажи!I$5:I$359,Продажи!$D$5:$D$359,Конструкторы!$B516,Продажи!$C$5:$C$359,Конструкторы!$A516)</f>
        <v>0</v>
      </c>
      <c r="M516" s="166">
        <f>SUMIFS(Продажи!J$5:J$359,Продажи!$D$5:$D$359,Конструкторы!$B516,Продажи!$C$5:$C$359,Конструкторы!$A516)</f>
        <v>0</v>
      </c>
      <c r="N516" s="166">
        <f>SUMIFS(Продажи!K$5:K$359,Продажи!$D$5:$D$359,Конструкторы!$B516,Продажи!$C$5:$C$359,Конструкторы!$A516)</f>
        <v>0</v>
      </c>
      <c r="O516" s="166">
        <f>SUMIFS(Продажи!L$5:L$359,Продажи!$D$5:$D$359,Конструкторы!$B516,Продажи!$C$5:$C$359,Конструкторы!$A516)</f>
        <v>0</v>
      </c>
      <c r="P516" s="166">
        <f>SUMIFS(Продажи!M$5:M$359,Продажи!$D$5:$D$359,Конструкторы!$B516,Продажи!$C$5:$C$359,Конструкторы!$A516)</f>
        <v>0</v>
      </c>
      <c r="Q516" s="166">
        <f>SUMIFS(Продажи!N$5:N$359,Продажи!$D$5:$D$359,Конструкторы!$B516,Продажи!$C$5:$C$359,Конструкторы!$A516)</f>
        <v>0</v>
      </c>
      <c r="R516" s="166">
        <f>SUMIFS(Продажи!O$5:O$359,Продажи!$D$5:$D$359,Конструкторы!$B516,Продажи!$C$5:$C$359,Конструкторы!$A516)</f>
        <v>0</v>
      </c>
      <c r="S516" s="166">
        <f>SUMIFS(Продажи!P$5:P$359,Продажи!$D$5:$D$359,Конструкторы!$B516,Продажи!$C$5:$C$359,Конструкторы!$A516)</f>
        <v>0</v>
      </c>
      <c r="T516" s="166">
        <f>SUMIFS(Продажи!Q$5:Q$359,Продажи!$D$5:$D$359,Конструкторы!$B516,Продажи!$C$5:$C$359,Конструкторы!$A516)</f>
        <v>0</v>
      </c>
    </row>
    <row r="517" spans="1:20" ht="15.75" hidden="1" x14ac:dyDescent="0.25">
      <c r="A517" s="166" t="s">
        <v>397</v>
      </c>
      <c r="B517" s="167" t="s">
        <v>309</v>
      </c>
      <c r="C517" s="129" t="s">
        <v>61</v>
      </c>
      <c r="D517" s="149"/>
      <c r="E517" s="153" t="s">
        <v>68</v>
      </c>
      <c r="F517" s="156">
        <f>(0.2*103)/100</f>
        <v>0.20600000000000002</v>
      </c>
      <c r="G517" s="156">
        <v>6.0000000000000053E-3</v>
      </c>
      <c r="H517" s="156">
        <f>F517+G517</f>
        <v>0.21200000000000002</v>
      </c>
      <c r="I517" s="166">
        <f>SUMIFS(Продажи!F$5:F$359,Продажи!$D$5:$D$359,Конструкторы!$B517,Продажи!$C$5:$C$359,Конструкторы!$A517)</f>
        <v>0</v>
      </c>
      <c r="J517" s="166">
        <f>SUMIFS(Продажи!G$5:G$359,Продажи!$D$5:$D$359,Конструкторы!$B517,Продажи!$C$5:$C$359,Конструкторы!$A517)</f>
        <v>0</v>
      </c>
      <c r="K517" s="166">
        <f>SUMIFS(Продажи!H$5:H$359,Продажи!$D$5:$D$359,Конструкторы!$B517,Продажи!$C$5:$C$359,Конструкторы!$A517)</f>
        <v>0</v>
      </c>
      <c r="L517" s="166">
        <f>SUMIFS(Продажи!I$5:I$359,Продажи!$D$5:$D$359,Конструкторы!$B517,Продажи!$C$5:$C$359,Конструкторы!$A517)</f>
        <v>0</v>
      </c>
      <c r="M517" s="166">
        <f>SUMIFS(Продажи!J$5:J$359,Продажи!$D$5:$D$359,Конструкторы!$B517,Продажи!$C$5:$C$359,Конструкторы!$A517)</f>
        <v>0</v>
      </c>
      <c r="N517" s="166">
        <f>SUMIFS(Продажи!K$5:K$359,Продажи!$D$5:$D$359,Конструкторы!$B517,Продажи!$C$5:$C$359,Конструкторы!$A517)</f>
        <v>0</v>
      </c>
      <c r="O517" s="166">
        <f>SUMIFS(Продажи!L$5:L$359,Продажи!$D$5:$D$359,Конструкторы!$B517,Продажи!$C$5:$C$359,Конструкторы!$A517)</f>
        <v>0</v>
      </c>
      <c r="P517" s="166">
        <f>SUMIFS(Продажи!M$5:M$359,Продажи!$D$5:$D$359,Конструкторы!$B517,Продажи!$C$5:$C$359,Конструкторы!$A517)</f>
        <v>0</v>
      </c>
      <c r="Q517" s="166">
        <f>SUMIFS(Продажи!N$5:N$359,Продажи!$D$5:$D$359,Конструкторы!$B517,Продажи!$C$5:$C$359,Конструкторы!$A517)</f>
        <v>0</v>
      </c>
      <c r="R517" s="166">
        <f>SUMIFS(Продажи!O$5:O$359,Продажи!$D$5:$D$359,Конструкторы!$B517,Продажи!$C$5:$C$359,Конструкторы!$A517)</f>
        <v>0</v>
      </c>
      <c r="S517" s="166">
        <f>SUMIFS(Продажи!P$5:P$359,Продажи!$D$5:$D$359,Конструкторы!$B517,Продажи!$C$5:$C$359,Конструкторы!$A517)</f>
        <v>0</v>
      </c>
      <c r="T517" s="166">
        <f>SUMIFS(Продажи!Q$5:Q$359,Продажи!$D$5:$D$359,Конструкторы!$B517,Продажи!$C$5:$C$359,Конструкторы!$A517)</f>
        <v>0</v>
      </c>
    </row>
    <row r="518" spans="1:20" ht="15.75" hidden="1" x14ac:dyDescent="0.25">
      <c r="A518" s="166" t="s">
        <v>397</v>
      </c>
      <c r="B518" s="167" t="s">
        <v>309</v>
      </c>
      <c r="C518" s="129" t="s">
        <v>62</v>
      </c>
      <c r="D518" s="149"/>
      <c r="E518" s="153" t="s">
        <v>68</v>
      </c>
      <c r="F518" s="156">
        <f>(0.4*103)/100</f>
        <v>0.41200000000000003</v>
      </c>
      <c r="G518" s="156">
        <v>1.2000000000000011E-2</v>
      </c>
      <c r="H518" s="156">
        <f>F518+G518</f>
        <v>0.42400000000000004</v>
      </c>
      <c r="I518" s="166">
        <f>SUMIFS(Продажи!F$5:F$359,Продажи!$D$5:$D$359,Конструкторы!$B518,Продажи!$C$5:$C$359,Конструкторы!$A518)</f>
        <v>0</v>
      </c>
      <c r="J518" s="166">
        <f>SUMIFS(Продажи!G$5:G$359,Продажи!$D$5:$D$359,Конструкторы!$B518,Продажи!$C$5:$C$359,Конструкторы!$A518)</f>
        <v>0</v>
      </c>
      <c r="K518" s="166">
        <f>SUMIFS(Продажи!H$5:H$359,Продажи!$D$5:$D$359,Конструкторы!$B518,Продажи!$C$5:$C$359,Конструкторы!$A518)</f>
        <v>0</v>
      </c>
      <c r="L518" s="166">
        <f>SUMIFS(Продажи!I$5:I$359,Продажи!$D$5:$D$359,Конструкторы!$B518,Продажи!$C$5:$C$359,Конструкторы!$A518)</f>
        <v>0</v>
      </c>
      <c r="M518" s="166">
        <f>SUMIFS(Продажи!J$5:J$359,Продажи!$D$5:$D$359,Конструкторы!$B518,Продажи!$C$5:$C$359,Конструкторы!$A518)</f>
        <v>0</v>
      </c>
      <c r="N518" s="166">
        <f>SUMIFS(Продажи!K$5:K$359,Продажи!$D$5:$D$359,Конструкторы!$B518,Продажи!$C$5:$C$359,Конструкторы!$A518)</f>
        <v>0</v>
      </c>
      <c r="O518" s="166">
        <f>SUMIFS(Продажи!L$5:L$359,Продажи!$D$5:$D$359,Конструкторы!$B518,Продажи!$C$5:$C$359,Конструкторы!$A518)</f>
        <v>0</v>
      </c>
      <c r="P518" s="166">
        <f>SUMIFS(Продажи!M$5:M$359,Продажи!$D$5:$D$359,Конструкторы!$B518,Продажи!$C$5:$C$359,Конструкторы!$A518)</f>
        <v>0</v>
      </c>
      <c r="Q518" s="166">
        <f>SUMIFS(Продажи!N$5:N$359,Продажи!$D$5:$D$359,Конструкторы!$B518,Продажи!$C$5:$C$359,Конструкторы!$A518)</f>
        <v>0</v>
      </c>
      <c r="R518" s="166">
        <f>SUMIFS(Продажи!O$5:O$359,Продажи!$D$5:$D$359,Конструкторы!$B518,Продажи!$C$5:$C$359,Конструкторы!$A518)</f>
        <v>0</v>
      </c>
      <c r="S518" s="166">
        <f>SUMIFS(Продажи!P$5:P$359,Продажи!$D$5:$D$359,Конструкторы!$B518,Продажи!$C$5:$C$359,Конструкторы!$A518)</f>
        <v>0</v>
      </c>
      <c r="T518" s="166">
        <f>SUMIFS(Продажи!Q$5:Q$359,Продажи!$D$5:$D$359,Конструкторы!$B518,Продажи!$C$5:$C$359,Конструкторы!$A518)</f>
        <v>0</v>
      </c>
    </row>
    <row r="519" spans="1:20" ht="15.75" hidden="1" x14ac:dyDescent="0.25">
      <c r="A519" s="166" t="s">
        <v>397</v>
      </c>
      <c r="B519" s="167" t="s">
        <v>309</v>
      </c>
      <c r="C519" s="33" t="s">
        <v>87</v>
      </c>
      <c r="D519" s="149"/>
      <c r="E519" s="153" t="s">
        <v>70</v>
      </c>
      <c r="F519" s="148">
        <v>6</v>
      </c>
      <c r="G519" s="156" t="s">
        <v>71</v>
      </c>
      <c r="H519" s="156">
        <f>F519</f>
        <v>6</v>
      </c>
      <c r="I519" s="166">
        <f>SUMIFS(Продажи!F$5:F$359,Продажи!$D$5:$D$359,Конструкторы!$B519,Продажи!$C$5:$C$359,Конструкторы!$A519)</f>
        <v>0</v>
      </c>
      <c r="J519" s="166">
        <f>SUMIFS(Продажи!G$5:G$359,Продажи!$D$5:$D$359,Конструкторы!$B519,Продажи!$C$5:$C$359,Конструкторы!$A519)</f>
        <v>0</v>
      </c>
      <c r="K519" s="166">
        <f>SUMIFS(Продажи!H$5:H$359,Продажи!$D$5:$D$359,Конструкторы!$B519,Продажи!$C$5:$C$359,Конструкторы!$A519)</f>
        <v>0</v>
      </c>
      <c r="L519" s="166">
        <f>SUMIFS(Продажи!I$5:I$359,Продажи!$D$5:$D$359,Конструкторы!$B519,Продажи!$C$5:$C$359,Конструкторы!$A519)</f>
        <v>0</v>
      </c>
      <c r="M519" s="166">
        <f>SUMIFS(Продажи!J$5:J$359,Продажи!$D$5:$D$359,Конструкторы!$B519,Продажи!$C$5:$C$359,Конструкторы!$A519)</f>
        <v>0</v>
      </c>
      <c r="N519" s="166">
        <f>SUMIFS(Продажи!K$5:K$359,Продажи!$D$5:$D$359,Конструкторы!$B519,Продажи!$C$5:$C$359,Конструкторы!$A519)</f>
        <v>0</v>
      </c>
      <c r="O519" s="166">
        <f>SUMIFS(Продажи!L$5:L$359,Продажи!$D$5:$D$359,Конструкторы!$B519,Продажи!$C$5:$C$359,Конструкторы!$A519)</f>
        <v>0</v>
      </c>
      <c r="P519" s="166">
        <f>SUMIFS(Продажи!M$5:M$359,Продажи!$D$5:$D$359,Конструкторы!$B519,Продажи!$C$5:$C$359,Конструкторы!$A519)</f>
        <v>0</v>
      </c>
      <c r="Q519" s="166">
        <f>SUMIFS(Продажи!N$5:N$359,Продажи!$D$5:$D$359,Конструкторы!$B519,Продажи!$C$5:$C$359,Конструкторы!$A519)</f>
        <v>0</v>
      </c>
      <c r="R519" s="166">
        <f>SUMIFS(Продажи!O$5:O$359,Продажи!$D$5:$D$359,Конструкторы!$B519,Продажи!$C$5:$C$359,Конструкторы!$A519)</f>
        <v>0</v>
      </c>
      <c r="S519" s="166">
        <f>SUMIFS(Продажи!P$5:P$359,Продажи!$D$5:$D$359,Конструкторы!$B519,Продажи!$C$5:$C$359,Конструкторы!$A519)</f>
        <v>0</v>
      </c>
      <c r="T519" s="166">
        <f>SUMIFS(Продажи!Q$5:Q$359,Продажи!$D$5:$D$359,Конструкторы!$B519,Продажи!$C$5:$C$359,Конструкторы!$A519)</f>
        <v>0</v>
      </c>
    </row>
    <row r="520" spans="1:20" ht="15.75" hidden="1" x14ac:dyDescent="0.25">
      <c r="A520" s="166" t="s">
        <v>397</v>
      </c>
      <c r="B520" s="167" t="s">
        <v>310</v>
      </c>
      <c r="C520" s="129" t="s">
        <v>63</v>
      </c>
      <c r="D520" s="149"/>
      <c r="E520" s="153" t="s">
        <v>68</v>
      </c>
      <c r="F520" s="156">
        <f>(0.5*103)/100</f>
        <v>0.51500000000000001</v>
      </c>
      <c r="G520" s="156">
        <v>1.5000000000000013E-2</v>
      </c>
      <c r="H520" s="156">
        <f>F520+G520</f>
        <v>0.53</v>
      </c>
      <c r="I520" s="166">
        <f>SUMIFS(Продажи!F$5:F$359,Продажи!$D$5:$D$359,Конструкторы!$B520,Продажи!$C$5:$C$359,Конструкторы!$A520)</f>
        <v>0</v>
      </c>
      <c r="J520" s="166">
        <f>SUMIFS(Продажи!G$5:G$359,Продажи!$D$5:$D$359,Конструкторы!$B520,Продажи!$C$5:$C$359,Конструкторы!$A520)</f>
        <v>0</v>
      </c>
      <c r="K520" s="166">
        <f>SUMIFS(Продажи!H$5:H$359,Продажи!$D$5:$D$359,Конструкторы!$B520,Продажи!$C$5:$C$359,Конструкторы!$A520)</f>
        <v>0</v>
      </c>
      <c r="L520" s="166">
        <f>SUMIFS(Продажи!I$5:I$359,Продажи!$D$5:$D$359,Конструкторы!$B520,Продажи!$C$5:$C$359,Конструкторы!$A520)</f>
        <v>0</v>
      </c>
      <c r="M520" s="166">
        <f>SUMIFS(Продажи!J$5:J$359,Продажи!$D$5:$D$359,Конструкторы!$B520,Продажи!$C$5:$C$359,Конструкторы!$A520)</f>
        <v>0</v>
      </c>
      <c r="N520" s="166">
        <f>SUMIFS(Продажи!K$5:K$359,Продажи!$D$5:$D$359,Конструкторы!$B520,Продажи!$C$5:$C$359,Конструкторы!$A520)</f>
        <v>0</v>
      </c>
      <c r="O520" s="166">
        <f>SUMIFS(Продажи!L$5:L$359,Продажи!$D$5:$D$359,Конструкторы!$B520,Продажи!$C$5:$C$359,Конструкторы!$A520)</f>
        <v>0</v>
      </c>
      <c r="P520" s="166">
        <f>SUMIFS(Продажи!M$5:M$359,Продажи!$D$5:$D$359,Конструкторы!$B520,Продажи!$C$5:$C$359,Конструкторы!$A520)</f>
        <v>0</v>
      </c>
      <c r="Q520" s="166">
        <f>SUMIFS(Продажи!N$5:N$359,Продажи!$D$5:$D$359,Конструкторы!$B520,Продажи!$C$5:$C$359,Конструкторы!$A520)</f>
        <v>0</v>
      </c>
      <c r="R520" s="166">
        <f>SUMIFS(Продажи!O$5:O$359,Продажи!$D$5:$D$359,Конструкторы!$B520,Продажи!$C$5:$C$359,Конструкторы!$A520)</f>
        <v>0</v>
      </c>
      <c r="S520" s="166">
        <f>SUMIFS(Продажи!P$5:P$359,Продажи!$D$5:$D$359,Конструкторы!$B520,Продажи!$C$5:$C$359,Конструкторы!$A520)</f>
        <v>0</v>
      </c>
      <c r="T520" s="166">
        <f>SUMIFS(Продажи!Q$5:Q$359,Продажи!$D$5:$D$359,Конструкторы!$B520,Продажи!$C$5:$C$359,Конструкторы!$A520)</f>
        <v>0</v>
      </c>
    </row>
    <row r="521" spans="1:20" ht="15.75" hidden="1" x14ac:dyDescent="0.25">
      <c r="A521" s="166" t="s">
        <v>397</v>
      </c>
      <c r="B521" s="167" t="s">
        <v>310</v>
      </c>
      <c r="C521" s="129" t="s">
        <v>61</v>
      </c>
      <c r="D521" s="149"/>
      <c r="E521" s="153" t="s">
        <v>68</v>
      </c>
      <c r="F521" s="156">
        <f>(0.197*103)/100</f>
        <v>0.20291000000000001</v>
      </c>
      <c r="G521" s="156">
        <v>5.9099999999999986E-3</v>
      </c>
      <c r="H521" s="156">
        <f>F521+G521</f>
        <v>0.20882000000000001</v>
      </c>
      <c r="I521" s="166">
        <f>SUMIFS(Продажи!F$5:F$359,Продажи!$D$5:$D$359,Конструкторы!$B521,Продажи!$C$5:$C$359,Конструкторы!$A521)</f>
        <v>0</v>
      </c>
      <c r="J521" s="166">
        <f>SUMIFS(Продажи!G$5:G$359,Продажи!$D$5:$D$359,Конструкторы!$B521,Продажи!$C$5:$C$359,Конструкторы!$A521)</f>
        <v>0</v>
      </c>
      <c r="K521" s="166">
        <f>SUMIFS(Продажи!H$5:H$359,Продажи!$D$5:$D$359,Конструкторы!$B521,Продажи!$C$5:$C$359,Конструкторы!$A521)</f>
        <v>0</v>
      </c>
      <c r="L521" s="166">
        <f>SUMIFS(Продажи!I$5:I$359,Продажи!$D$5:$D$359,Конструкторы!$B521,Продажи!$C$5:$C$359,Конструкторы!$A521)</f>
        <v>0</v>
      </c>
      <c r="M521" s="166">
        <f>SUMIFS(Продажи!J$5:J$359,Продажи!$D$5:$D$359,Конструкторы!$B521,Продажи!$C$5:$C$359,Конструкторы!$A521)</f>
        <v>0</v>
      </c>
      <c r="N521" s="166">
        <f>SUMIFS(Продажи!K$5:K$359,Продажи!$D$5:$D$359,Конструкторы!$B521,Продажи!$C$5:$C$359,Конструкторы!$A521)</f>
        <v>0</v>
      </c>
      <c r="O521" s="166">
        <f>SUMIFS(Продажи!L$5:L$359,Продажи!$D$5:$D$359,Конструкторы!$B521,Продажи!$C$5:$C$359,Конструкторы!$A521)</f>
        <v>0</v>
      </c>
      <c r="P521" s="166">
        <f>SUMIFS(Продажи!M$5:M$359,Продажи!$D$5:$D$359,Конструкторы!$B521,Продажи!$C$5:$C$359,Конструкторы!$A521)</f>
        <v>0</v>
      </c>
      <c r="Q521" s="166">
        <f>SUMIFS(Продажи!N$5:N$359,Продажи!$D$5:$D$359,Конструкторы!$B521,Продажи!$C$5:$C$359,Конструкторы!$A521)</f>
        <v>0</v>
      </c>
      <c r="R521" s="166">
        <f>SUMIFS(Продажи!O$5:O$359,Продажи!$D$5:$D$359,Конструкторы!$B521,Продажи!$C$5:$C$359,Конструкторы!$A521)</f>
        <v>0</v>
      </c>
      <c r="S521" s="166">
        <f>SUMIFS(Продажи!P$5:P$359,Продажи!$D$5:$D$359,Конструкторы!$B521,Продажи!$C$5:$C$359,Конструкторы!$A521)</f>
        <v>0</v>
      </c>
      <c r="T521" s="166">
        <f>SUMIFS(Продажи!Q$5:Q$359,Продажи!$D$5:$D$359,Конструкторы!$B521,Продажи!$C$5:$C$359,Конструкторы!$A521)</f>
        <v>0</v>
      </c>
    </row>
    <row r="522" spans="1:20" ht="15.75" hidden="1" x14ac:dyDescent="0.25">
      <c r="A522" s="166" t="s">
        <v>397</v>
      </c>
      <c r="B522" s="167" t="s">
        <v>310</v>
      </c>
      <c r="C522" s="33" t="s">
        <v>87</v>
      </c>
      <c r="D522" s="149"/>
      <c r="E522" s="153" t="s">
        <v>70</v>
      </c>
      <c r="F522" s="148">
        <v>6</v>
      </c>
      <c r="G522" s="156" t="s">
        <v>71</v>
      </c>
      <c r="H522" s="156">
        <f>F522</f>
        <v>6</v>
      </c>
      <c r="I522" s="166">
        <f>SUMIFS(Продажи!F$5:F$359,Продажи!$D$5:$D$359,Конструкторы!$B522,Продажи!$C$5:$C$359,Конструкторы!$A522)</f>
        <v>0</v>
      </c>
      <c r="J522" s="166">
        <f>SUMIFS(Продажи!G$5:G$359,Продажи!$D$5:$D$359,Конструкторы!$B522,Продажи!$C$5:$C$359,Конструкторы!$A522)</f>
        <v>0</v>
      </c>
      <c r="K522" s="166">
        <f>SUMIFS(Продажи!H$5:H$359,Продажи!$D$5:$D$359,Конструкторы!$B522,Продажи!$C$5:$C$359,Конструкторы!$A522)</f>
        <v>0</v>
      </c>
      <c r="L522" s="166">
        <f>SUMIFS(Продажи!I$5:I$359,Продажи!$D$5:$D$359,Конструкторы!$B522,Продажи!$C$5:$C$359,Конструкторы!$A522)</f>
        <v>0</v>
      </c>
      <c r="M522" s="166">
        <f>SUMIFS(Продажи!J$5:J$359,Продажи!$D$5:$D$359,Конструкторы!$B522,Продажи!$C$5:$C$359,Конструкторы!$A522)</f>
        <v>0</v>
      </c>
      <c r="N522" s="166">
        <f>SUMIFS(Продажи!K$5:K$359,Продажи!$D$5:$D$359,Конструкторы!$B522,Продажи!$C$5:$C$359,Конструкторы!$A522)</f>
        <v>0</v>
      </c>
      <c r="O522" s="166">
        <f>SUMIFS(Продажи!L$5:L$359,Продажи!$D$5:$D$359,Конструкторы!$B522,Продажи!$C$5:$C$359,Конструкторы!$A522)</f>
        <v>0</v>
      </c>
      <c r="P522" s="166">
        <f>SUMIFS(Продажи!M$5:M$359,Продажи!$D$5:$D$359,Конструкторы!$B522,Продажи!$C$5:$C$359,Конструкторы!$A522)</f>
        <v>0</v>
      </c>
      <c r="Q522" s="166">
        <f>SUMIFS(Продажи!N$5:N$359,Продажи!$D$5:$D$359,Конструкторы!$B522,Продажи!$C$5:$C$359,Конструкторы!$A522)</f>
        <v>0</v>
      </c>
      <c r="R522" s="166">
        <f>SUMIFS(Продажи!O$5:O$359,Продажи!$D$5:$D$359,Конструкторы!$B522,Продажи!$C$5:$C$359,Конструкторы!$A522)</f>
        <v>0</v>
      </c>
      <c r="S522" s="166">
        <f>SUMIFS(Продажи!P$5:P$359,Продажи!$D$5:$D$359,Конструкторы!$B522,Продажи!$C$5:$C$359,Конструкторы!$A522)</f>
        <v>0</v>
      </c>
      <c r="T522" s="166">
        <f>SUMIFS(Продажи!Q$5:Q$359,Продажи!$D$5:$D$359,Конструкторы!$B522,Продажи!$C$5:$C$359,Конструкторы!$A522)</f>
        <v>0</v>
      </c>
    </row>
    <row r="523" spans="1:20" ht="15.75" hidden="1" x14ac:dyDescent="0.25">
      <c r="A523" s="166" t="s">
        <v>397</v>
      </c>
      <c r="B523" s="167" t="s">
        <v>311</v>
      </c>
      <c r="C523" s="129" t="s">
        <v>60</v>
      </c>
      <c r="D523" s="149"/>
      <c r="E523" s="153" t="s">
        <v>68</v>
      </c>
      <c r="F523" s="156">
        <f>(0.197*103)/100</f>
        <v>0.20291000000000001</v>
      </c>
      <c r="G523" s="156">
        <v>5.9099999999999986E-3</v>
      </c>
      <c r="H523" s="156">
        <f>F523+G523</f>
        <v>0.20882000000000001</v>
      </c>
      <c r="I523" s="166">
        <f>SUMIFS(Продажи!F$5:F$359,Продажи!$D$5:$D$359,Конструкторы!$B523,Продажи!$C$5:$C$359,Конструкторы!$A523)</f>
        <v>0</v>
      </c>
      <c r="J523" s="166">
        <f>SUMIFS(Продажи!G$5:G$359,Продажи!$D$5:$D$359,Конструкторы!$B523,Продажи!$C$5:$C$359,Конструкторы!$A523)</f>
        <v>0</v>
      </c>
      <c r="K523" s="166">
        <f>SUMIFS(Продажи!H$5:H$359,Продажи!$D$5:$D$359,Конструкторы!$B523,Продажи!$C$5:$C$359,Конструкторы!$A523)</f>
        <v>0</v>
      </c>
      <c r="L523" s="166">
        <f>SUMIFS(Продажи!I$5:I$359,Продажи!$D$5:$D$359,Конструкторы!$B523,Продажи!$C$5:$C$359,Конструкторы!$A523)</f>
        <v>0</v>
      </c>
      <c r="M523" s="166">
        <f>SUMIFS(Продажи!J$5:J$359,Продажи!$D$5:$D$359,Конструкторы!$B523,Продажи!$C$5:$C$359,Конструкторы!$A523)</f>
        <v>0</v>
      </c>
      <c r="N523" s="166">
        <f>SUMIFS(Продажи!K$5:K$359,Продажи!$D$5:$D$359,Конструкторы!$B523,Продажи!$C$5:$C$359,Конструкторы!$A523)</f>
        <v>0</v>
      </c>
      <c r="O523" s="166">
        <f>SUMIFS(Продажи!L$5:L$359,Продажи!$D$5:$D$359,Конструкторы!$B523,Продажи!$C$5:$C$359,Конструкторы!$A523)</f>
        <v>0</v>
      </c>
      <c r="P523" s="166">
        <f>SUMIFS(Продажи!M$5:M$359,Продажи!$D$5:$D$359,Конструкторы!$B523,Продажи!$C$5:$C$359,Конструкторы!$A523)</f>
        <v>0</v>
      </c>
      <c r="Q523" s="166">
        <f>SUMIFS(Продажи!N$5:N$359,Продажи!$D$5:$D$359,Конструкторы!$B523,Продажи!$C$5:$C$359,Конструкторы!$A523)</f>
        <v>0</v>
      </c>
      <c r="R523" s="166">
        <f>SUMIFS(Продажи!O$5:O$359,Продажи!$D$5:$D$359,Конструкторы!$B523,Продажи!$C$5:$C$359,Конструкторы!$A523)</f>
        <v>0</v>
      </c>
      <c r="S523" s="166">
        <f>SUMIFS(Продажи!P$5:P$359,Продажи!$D$5:$D$359,Конструкторы!$B523,Продажи!$C$5:$C$359,Конструкторы!$A523)</f>
        <v>0</v>
      </c>
      <c r="T523" s="166">
        <f>SUMIFS(Продажи!Q$5:Q$359,Продажи!$D$5:$D$359,Конструкторы!$B523,Продажи!$C$5:$C$359,Конструкторы!$A523)</f>
        <v>0</v>
      </c>
    </row>
    <row r="524" spans="1:20" ht="15.75" hidden="1" x14ac:dyDescent="0.25">
      <c r="A524" s="166" t="s">
        <v>397</v>
      </c>
      <c r="B524" s="167" t="s">
        <v>311</v>
      </c>
      <c r="C524" s="129" t="s">
        <v>61</v>
      </c>
      <c r="D524" s="149"/>
      <c r="E524" s="153" t="s">
        <v>68</v>
      </c>
      <c r="F524" s="156">
        <f>(0.2*103)/100</f>
        <v>0.20600000000000002</v>
      </c>
      <c r="G524" s="156">
        <v>6.0000000000000053E-3</v>
      </c>
      <c r="H524" s="156">
        <f>F524+G524</f>
        <v>0.21200000000000002</v>
      </c>
      <c r="I524" s="166">
        <f>SUMIFS(Продажи!F$5:F$359,Продажи!$D$5:$D$359,Конструкторы!$B524,Продажи!$C$5:$C$359,Конструкторы!$A524)</f>
        <v>0</v>
      </c>
      <c r="J524" s="166">
        <f>SUMIFS(Продажи!G$5:G$359,Продажи!$D$5:$D$359,Конструкторы!$B524,Продажи!$C$5:$C$359,Конструкторы!$A524)</f>
        <v>0</v>
      </c>
      <c r="K524" s="166">
        <f>SUMIFS(Продажи!H$5:H$359,Продажи!$D$5:$D$359,Конструкторы!$B524,Продажи!$C$5:$C$359,Конструкторы!$A524)</f>
        <v>0</v>
      </c>
      <c r="L524" s="166">
        <f>SUMIFS(Продажи!I$5:I$359,Продажи!$D$5:$D$359,Конструкторы!$B524,Продажи!$C$5:$C$359,Конструкторы!$A524)</f>
        <v>0</v>
      </c>
      <c r="M524" s="166">
        <f>SUMIFS(Продажи!J$5:J$359,Продажи!$D$5:$D$359,Конструкторы!$B524,Продажи!$C$5:$C$359,Конструкторы!$A524)</f>
        <v>0</v>
      </c>
      <c r="N524" s="166">
        <f>SUMIFS(Продажи!K$5:K$359,Продажи!$D$5:$D$359,Конструкторы!$B524,Продажи!$C$5:$C$359,Конструкторы!$A524)</f>
        <v>0</v>
      </c>
      <c r="O524" s="166">
        <f>SUMIFS(Продажи!L$5:L$359,Продажи!$D$5:$D$359,Конструкторы!$B524,Продажи!$C$5:$C$359,Конструкторы!$A524)</f>
        <v>0</v>
      </c>
      <c r="P524" s="166">
        <f>SUMIFS(Продажи!M$5:M$359,Продажи!$D$5:$D$359,Конструкторы!$B524,Продажи!$C$5:$C$359,Конструкторы!$A524)</f>
        <v>0</v>
      </c>
      <c r="Q524" s="166">
        <f>SUMIFS(Продажи!N$5:N$359,Продажи!$D$5:$D$359,Конструкторы!$B524,Продажи!$C$5:$C$359,Конструкторы!$A524)</f>
        <v>0</v>
      </c>
      <c r="R524" s="166">
        <f>SUMIFS(Продажи!O$5:O$359,Продажи!$D$5:$D$359,Конструкторы!$B524,Продажи!$C$5:$C$359,Конструкторы!$A524)</f>
        <v>0</v>
      </c>
      <c r="S524" s="166">
        <f>SUMIFS(Продажи!P$5:P$359,Продажи!$D$5:$D$359,Конструкторы!$B524,Продажи!$C$5:$C$359,Конструкторы!$A524)</f>
        <v>0</v>
      </c>
      <c r="T524" s="166">
        <f>SUMIFS(Продажи!Q$5:Q$359,Продажи!$D$5:$D$359,Конструкторы!$B524,Продажи!$C$5:$C$359,Конструкторы!$A524)</f>
        <v>0</v>
      </c>
    </row>
    <row r="525" spans="1:20" ht="15.75" hidden="1" x14ac:dyDescent="0.25">
      <c r="A525" s="166" t="s">
        <v>397</v>
      </c>
      <c r="B525" s="167" t="s">
        <v>311</v>
      </c>
      <c r="C525" s="129" t="s">
        <v>63</v>
      </c>
      <c r="D525" s="149"/>
      <c r="E525" s="153" t="s">
        <v>68</v>
      </c>
      <c r="F525" s="156">
        <f>(0.4*103)/100</f>
        <v>0.41200000000000003</v>
      </c>
      <c r="G525" s="156">
        <v>1.2000000000000011E-2</v>
      </c>
      <c r="H525" s="156">
        <f>F525+G525</f>
        <v>0.42400000000000004</v>
      </c>
      <c r="I525" s="166">
        <f>SUMIFS(Продажи!F$5:F$359,Продажи!$D$5:$D$359,Конструкторы!$B525,Продажи!$C$5:$C$359,Конструкторы!$A525)</f>
        <v>0</v>
      </c>
      <c r="J525" s="166">
        <f>SUMIFS(Продажи!G$5:G$359,Продажи!$D$5:$D$359,Конструкторы!$B525,Продажи!$C$5:$C$359,Конструкторы!$A525)</f>
        <v>0</v>
      </c>
      <c r="K525" s="166">
        <f>SUMIFS(Продажи!H$5:H$359,Продажи!$D$5:$D$359,Конструкторы!$B525,Продажи!$C$5:$C$359,Конструкторы!$A525)</f>
        <v>0</v>
      </c>
      <c r="L525" s="166">
        <f>SUMIFS(Продажи!I$5:I$359,Продажи!$D$5:$D$359,Конструкторы!$B525,Продажи!$C$5:$C$359,Конструкторы!$A525)</f>
        <v>0</v>
      </c>
      <c r="M525" s="166">
        <f>SUMIFS(Продажи!J$5:J$359,Продажи!$D$5:$D$359,Конструкторы!$B525,Продажи!$C$5:$C$359,Конструкторы!$A525)</f>
        <v>0</v>
      </c>
      <c r="N525" s="166">
        <f>SUMIFS(Продажи!K$5:K$359,Продажи!$D$5:$D$359,Конструкторы!$B525,Продажи!$C$5:$C$359,Конструкторы!$A525)</f>
        <v>0</v>
      </c>
      <c r="O525" s="166">
        <f>SUMIFS(Продажи!L$5:L$359,Продажи!$D$5:$D$359,Конструкторы!$B525,Продажи!$C$5:$C$359,Конструкторы!$A525)</f>
        <v>0</v>
      </c>
      <c r="P525" s="166">
        <f>SUMIFS(Продажи!M$5:M$359,Продажи!$D$5:$D$359,Конструкторы!$B525,Продажи!$C$5:$C$359,Конструкторы!$A525)</f>
        <v>0</v>
      </c>
      <c r="Q525" s="166">
        <f>SUMIFS(Продажи!N$5:N$359,Продажи!$D$5:$D$359,Конструкторы!$B525,Продажи!$C$5:$C$359,Конструкторы!$A525)</f>
        <v>0</v>
      </c>
      <c r="R525" s="166">
        <f>SUMIFS(Продажи!O$5:O$359,Продажи!$D$5:$D$359,Конструкторы!$B525,Продажи!$C$5:$C$359,Конструкторы!$A525)</f>
        <v>0</v>
      </c>
      <c r="S525" s="166">
        <f>SUMIFS(Продажи!P$5:P$359,Продажи!$D$5:$D$359,Конструкторы!$B525,Продажи!$C$5:$C$359,Конструкторы!$A525)</f>
        <v>0</v>
      </c>
      <c r="T525" s="166">
        <f>SUMIFS(Продажи!Q$5:Q$359,Продажи!$D$5:$D$359,Конструкторы!$B525,Продажи!$C$5:$C$359,Конструкторы!$A525)</f>
        <v>0</v>
      </c>
    </row>
    <row r="526" spans="1:20" ht="15.75" hidden="1" x14ac:dyDescent="0.25">
      <c r="A526" s="166" t="s">
        <v>397</v>
      </c>
      <c r="B526" s="167" t="s">
        <v>311</v>
      </c>
      <c r="C526" s="33" t="s">
        <v>87</v>
      </c>
      <c r="D526" s="149"/>
      <c r="E526" s="153" t="s">
        <v>70</v>
      </c>
      <c r="F526" s="148">
        <v>6</v>
      </c>
      <c r="G526" s="156" t="s">
        <v>71</v>
      </c>
      <c r="H526" s="156">
        <f>F526</f>
        <v>6</v>
      </c>
      <c r="I526" s="166">
        <f>SUMIFS(Продажи!F$5:F$359,Продажи!$D$5:$D$359,Конструкторы!$B526,Продажи!$C$5:$C$359,Конструкторы!$A526)</f>
        <v>0</v>
      </c>
      <c r="J526" s="166">
        <f>SUMIFS(Продажи!G$5:G$359,Продажи!$D$5:$D$359,Конструкторы!$B526,Продажи!$C$5:$C$359,Конструкторы!$A526)</f>
        <v>0</v>
      </c>
      <c r="K526" s="166">
        <f>SUMIFS(Продажи!H$5:H$359,Продажи!$D$5:$D$359,Конструкторы!$B526,Продажи!$C$5:$C$359,Конструкторы!$A526)</f>
        <v>0</v>
      </c>
      <c r="L526" s="166">
        <f>SUMIFS(Продажи!I$5:I$359,Продажи!$D$5:$D$359,Конструкторы!$B526,Продажи!$C$5:$C$359,Конструкторы!$A526)</f>
        <v>0</v>
      </c>
      <c r="M526" s="166">
        <f>SUMIFS(Продажи!J$5:J$359,Продажи!$D$5:$D$359,Конструкторы!$B526,Продажи!$C$5:$C$359,Конструкторы!$A526)</f>
        <v>0</v>
      </c>
      <c r="N526" s="166">
        <f>SUMIFS(Продажи!K$5:K$359,Продажи!$D$5:$D$359,Конструкторы!$B526,Продажи!$C$5:$C$359,Конструкторы!$A526)</f>
        <v>0</v>
      </c>
      <c r="O526" s="166">
        <f>SUMIFS(Продажи!L$5:L$359,Продажи!$D$5:$D$359,Конструкторы!$B526,Продажи!$C$5:$C$359,Конструкторы!$A526)</f>
        <v>0</v>
      </c>
      <c r="P526" s="166">
        <f>SUMIFS(Продажи!M$5:M$359,Продажи!$D$5:$D$359,Конструкторы!$B526,Продажи!$C$5:$C$359,Конструкторы!$A526)</f>
        <v>0</v>
      </c>
      <c r="Q526" s="166">
        <f>SUMIFS(Продажи!N$5:N$359,Продажи!$D$5:$D$359,Конструкторы!$B526,Продажи!$C$5:$C$359,Конструкторы!$A526)</f>
        <v>0</v>
      </c>
      <c r="R526" s="166">
        <f>SUMIFS(Продажи!O$5:O$359,Продажи!$D$5:$D$359,Конструкторы!$B526,Продажи!$C$5:$C$359,Конструкторы!$A526)</f>
        <v>0</v>
      </c>
      <c r="S526" s="166">
        <f>SUMIFS(Продажи!P$5:P$359,Продажи!$D$5:$D$359,Конструкторы!$B526,Продажи!$C$5:$C$359,Конструкторы!$A526)</f>
        <v>0</v>
      </c>
      <c r="T526" s="166">
        <f>SUMIFS(Продажи!Q$5:Q$359,Продажи!$D$5:$D$359,Конструкторы!$B526,Продажи!$C$5:$C$359,Конструкторы!$A526)</f>
        <v>0</v>
      </c>
    </row>
    <row r="527" spans="1:20" ht="15.75" hidden="1" x14ac:dyDescent="0.25">
      <c r="A527" s="166" t="s">
        <v>397</v>
      </c>
      <c r="B527" s="167" t="s">
        <v>312</v>
      </c>
      <c r="C527" s="129" t="s">
        <v>62</v>
      </c>
      <c r="D527" s="149"/>
      <c r="E527" s="153" t="s">
        <v>68</v>
      </c>
      <c r="F527" s="156">
        <f>(0.197*103)/100</f>
        <v>0.20291000000000001</v>
      </c>
      <c r="G527" s="156">
        <v>5.9099999999999986E-3</v>
      </c>
      <c r="H527" s="156">
        <f>F527+G527</f>
        <v>0.20882000000000001</v>
      </c>
      <c r="I527" s="166">
        <f>SUMIFS(Продажи!F$5:F$359,Продажи!$D$5:$D$359,Конструкторы!$B527,Продажи!$C$5:$C$359,Конструкторы!$A527)</f>
        <v>0</v>
      </c>
      <c r="J527" s="166">
        <f>SUMIFS(Продажи!G$5:G$359,Продажи!$D$5:$D$359,Конструкторы!$B527,Продажи!$C$5:$C$359,Конструкторы!$A527)</f>
        <v>0</v>
      </c>
      <c r="K527" s="166">
        <f>SUMIFS(Продажи!H$5:H$359,Продажи!$D$5:$D$359,Конструкторы!$B527,Продажи!$C$5:$C$359,Конструкторы!$A527)</f>
        <v>0</v>
      </c>
      <c r="L527" s="166">
        <f>SUMIFS(Продажи!I$5:I$359,Продажи!$D$5:$D$359,Конструкторы!$B527,Продажи!$C$5:$C$359,Конструкторы!$A527)</f>
        <v>0</v>
      </c>
      <c r="M527" s="166">
        <f>SUMIFS(Продажи!J$5:J$359,Продажи!$D$5:$D$359,Конструкторы!$B527,Продажи!$C$5:$C$359,Конструкторы!$A527)</f>
        <v>0</v>
      </c>
      <c r="N527" s="166">
        <f>SUMIFS(Продажи!K$5:K$359,Продажи!$D$5:$D$359,Конструкторы!$B527,Продажи!$C$5:$C$359,Конструкторы!$A527)</f>
        <v>0</v>
      </c>
      <c r="O527" s="166">
        <f>SUMIFS(Продажи!L$5:L$359,Продажи!$D$5:$D$359,Конструкторы!$B527,Продажи!$C$5:$C$359,Конструкторы!$A527)</f>
        <v>0</v>
      </c>
      <c r="P527" s="166">
        <f>SUMIFS(Продажи!M$5:M$359,Продажи!$D$5:$D$359,Конструкторы!$B527,Продажи!$C$5:$C$359,Конструкторы!$A527)</f>
        <v>0</v>
      </c>
      <c r="Q527" s="166">
        <f>SUMIFS(Продажи!N$5:N$359,Продажи!$D$5:$D$359,Конструкторы!$B527,Продажи!$C$5:$C$359,Конструкторы!$A527)</f>
        <v>0</v>
      </c>
      <c r="R527" s="166">
        <f>SUMIFS(Продажи!O$5:O$359,Продажи!$D$5:$D$359,Конструкторы!$B527,Продажи!$C$5:$C$359,Конструкторы!$A527)</f>
        <v>0</v>
      </c>
      <c r="S527" s="166">
        <f>SUMIFS(Продажи!P$5:P$359,Продажи!$D$5:$D$359,Конструкторы!$B527,Продажи!$C$5:$C$359,Конструкторы!$A527)</f>
        <v>0</v>
      </c>
      <c r="T527" s="166">
        <f>SUMIFS(Продажи!Q$5:Q$359,Продажи!$D$5:$D$359,Конструкторы!$B527,Продажи!$C$5:$C$359,Конструкторы!$A527)</f>
        <v>0</v>
      </c>
    </row>
    <row r="528" spans="1:20" ht="15.75" hidden="1" x14ac:dyDescent="0.25">
      <c r="A528" s="166" t="s">
        <v>397</v>
      </c>
      <c r="B528" s="167" t="s">
        <v>312</v>
      </c>
      <c r="C528" s="129" t="s">
        <v>61</v>
      </c>
      <c r="D528" s="149"/>
      <c r="E528" s="153" t="s">
        <v>68</v>
      </c>
      <c r="F528" s="156">
        <f>(0.6*103)/100</f>
        <v>0.61799999999999999</v>
      </c>
      <c r="G528" s="156">
        <v>1.8000000000000016E-2</v>
      </c>
      <c r="H528" s="156">
        <f>F528+G528</f>
        <v>0.63600000000000001</v>
      </c>
      <c r="I528" s="166">
        <f>SUMIFS(Продажи!F$5:F$359,Продажи!$D$5:$D$359,Конструкторы!$B528,Продажи!$C$5:$C$359,Конструкторы!$A528)</f>
        <v>0</v>
      </c>
      <c r="J528" s="166">
        <f>SUMIFS(Продажи!G$5:G$359,Продажи!$D$5:$D$359,Конструкторы!$B528,Продажи!$C$5:$C$359,Конструкторы!$A528)</f>
        <v>0</v>
      </c>
      <c r="K528" s="166">
        <f>SUMIFS(Продажи!H$5:H$359,Продажи!$D$5:$D$359,Конструкторы!$B528,Продажи!$C$5:$C$359,Конструкторы!$A528)</f>
        <v>0</v>
      </c>
      <c r="L528" s="166">
        <f>SUMIFS(Продажи!I$5:I$359,Продажи!$D$5:$D$359,Конструкторы!$B528,Продажи!$C$5:$C$359,Конструкторы!$A528)</f>
        <v>0</v>
      </c>
      <c r="M528" s="166">
        <f>SUMIFS(Продажи!J$5:J$359,Продажи!$D$5:$D$359,Конструкторы!$B528,Продажи!$C$5:$C$359,Конструкторы!$A528)</f>
        <v>0</v>
      </c>
      <c r="N528" s="166">
        <f>SUMIFS(Продажи!K$5:K$359,Продажи!$D$5:$D$359,Конструкторы!$B528,Продажи!$C$5:$C$359,Конструкторы!$A528)</f>
        <v>0</v>
      </c>
      <c r="O528" s="166">
        <f>SUMIFS(Продажи!L$5:L$359,Продажи!$D$5:$D$359,Конструкторы!$B528,Продажи!$C$5:$C$359,Конструкторы!$A528)</f>
        <v>0</v>
      </c>
      <c r="P528" s="166">
        <f>SUMIFS(Продажи!M$5:M$359,Продажи!$D$5:$D$359,Конструкторы!$B528,Продажи!$C$5:$C$359,Конструкторы!$A528)</f>
        <v>0</v>
      </c>
      <c r="Q528" s="166">
        <f>SUMIFS(Продажи!N$5:N$359,Продажи!$D$5:$D$359,Конструкторы!$B528,Продажи!$C$5:$C$359,Конструкторы!$A528)</f>
        <v>0</v>
      </c>
      <c r="R528" s="166">
        <f>SUMIFS(Продажи!O$5:O$359,Продажи!$D$5:$D$359,Конструкторы!$B528,Продажи!$C$5:$C$359,Конструкторы!$A528)</f>
        <v>0</v>
      </c>
      <c r="S528" s="166">
        <f>SUMIFS(Продажи!P$5:P$359,Продажи!$D$5:$D$359,Конструкторы!$B528,Продажи!$C$5:$C$359,Конструкторы!$A528)</f>
        <v>0</v>
      </c>
      <c r="T528" s="166">
        <f>SUMIFS(Продажи!Q$5:Q$359,Продажи!$D$5:$D$359,Конструкторы!$B528,Продажи!$C$5:$C$359,Конструкторы!$A528)</f>
        <v>0</v>
      </c>
    </row>
    <row r="529" spans="1:20" ht="15.75" hidden="1" x14ac:dyDescent="0.25">
      <c r="A529" s="166" t="s">
        <v>397</v>
      </c>
      <c r="B529" s="167" t="s">
        <v>312</v>
      </c>
      <c r="C529" s="33" t="s">
        <v>87</v>
      </c>
      <c r="D529" s="149"/>
      <c r="E529" s="153" t="s">
        <v>70</v>
      </c>
      <c r="F529" s="148">
        <v>6</v>
      </c>
      <c r="G529" s="156" t="s">
        <v>71</v>
      </c>
      <c r="H529" s="156">
        <f>F529</f>
        <v>6</v>
      </c>
      <c r="I529" s="166">
        <f>SUMIFS(Продажи!F$5:F$359,Продажи!$D$5:$D$359,Конструкторы!$B529,Продажи!$C$5:$C$359,Конструкторы!$A529)</f>
        <v>0</v>
      </c>
      <c r="J529" s="166">
        <f>SUMIFS(Продажи!G$5:G$359,Продажи!$D$5:$D$359,Конструкторы!$B529,Продажи!$C$5:$C$359,Конструкторы!$A529)</f>
        <v>0</v>
      </c>
      <c r="K529" s="166">
        <f>SUMIFS(Продажи!H$5:H$359,Продажи!$D$5:$D$359,Конструкторы!$B529,Продажи!$C$5:$C$359,Конструкторы!$A529)</f>
        <v>0</v>
      </c>
      <c r="L529" s="166">
        <f>SUMIFS(Продажи!I$5:I$359,Продажи!$D$5:$D$359,Конструкторы!$B529,Продажи!$C$5:$C$359,Конструкторы!$A529)</f>
        <v>0</v>
      </c>
      <c r="M529" s="166">
        <f>SUMIFS(Продажи!J$5:J$359,Продажи!$D$5:$D$359,Конструкторы!$B529,Продажи!$C$5:$C$359,Конструкторы!$A529)</f>
        <v>0</v>
      </c>
      <c r="N529" s="166">
        <f>SUMIFS(Продажи!K$5:K$359,Продажи!$D$5:$D$359,Конструкторы!$B529,Продажи!$C$5:$C$359,Конструкторы!$A529)</f>
        <v>0</v>
      </c>
      <c r="O529" s="166">
        <f>SUMIFS(Продажи!L$5:L$359,Продажи!$D$5:$D$359,Конструкторы!$B529,Продажи!$C$5:$C$359,Конструкторы!$A529)</f>
        <v>0</v>
      </c>
      <c r="P529" s="166">
        <f>SUMIFS(Продажи!M$5:M$359,Продажи!$D$5:$D$359,Конструкторы!$B529,Продажи!$C$5:$C$359,Конструкторы!$A529)</f>
        <v>0</v>
      </c>
      <c r="Q529" s="166">
        <f>SUMIFS(Продажи!N$5:N$359,Продажи!$D$5:$D$359,Конструкторы!$B529,Продажи!$C$5:$C$359,Конструкторы!$A529)</f>
        <v>0</v>
      </c>
      <c r="R529" s="166">
        <f>SUMIFS(Продажи!O$5:O$359,Продажи!$D$5:$D$359,Конструкторы!$B529,Продажи!$C$5:$C$359,Конструкторы!$A529)</f>
        <v>0</v>
      </c>
      <c r="S529" s="166">
        <f>SUMIFS(Продажи!P$5:P$359,Продажи!$D$5:$D$359,Конструкторы!$B529,Продажи!$C$5:$C$359,Конструкторы!$A529)</f>
        <v>0</v>
      </c>
      <c r="T529" s="166">
        <f>SUMIFS(Продажи!Q$5:Q$359,Продажи!$D$5:$D$359,Конструкторы!$B529,Продажи!$C$5:$C$359,Конструкторы!$A529)</f>
        <v>0</v>
      </c>
    </row>
    <row r="530" spans="1:20" ht="15.75" hidden="1" x14ac:dyDescent="0.25">
      <c r="A530" s="166" t="s">
        <v>397</v>
      </c>
      <c r="B530" s="167" t="s">
        <v>313</v>
      </c>
      <c r="C530" s="129" t="s">
        <v>62</v>
      </c>
      <c r="D530" s="149"/>
      <c r="E530" s="153" t="s">
        <v>68</v>
      </c>
      <c r="F530" s="156">
        <f>(0.797*103)/100</f>
        <v>0.82091000000000003</v>
      </c>
      <c r="G530" s="156">
        <v>2.3909999999999987E-2</v>
      </c>
      <c r="H530" s="156">
        <f>F530+G530</f>
        <v>0.84482000000000002</v>
      </c>
      <c r="I530" s="166">
        <f>SUMIFS(Продажи!F$5:F$359,Продажи!$D$5:$D$359,Конструкторы!$B530,Продажи!$C$5:$C$359,Конструкторы!$A530)</f>
        <v>0</v>
      </c>
      <c r="J530" s="166">
        <f>SUMIFS(Продажи!G$5:G$359,Продажи!$D$5:$D$359,Конструкторы!$B530,Продажи!$C$5:$C$359,Конструкторы!$A530)</f>
        <v>0</v>
      </c>
      <c r="K530" s="166">
        <f>SUMIFS(Продажи!H$5:H$359,Продажи!$D$5:$D$359,Конструкторы!$B530,Продажи!$C$5:$C$359,Конструкторы!$A530)</f>
        <v>0</v>
      </c>
      <c r="L530" s="166">
        <f>SUMIFS(Продажи!I$5:I$359,Продажи!$D$5:$D$359,Конструкторы!$B530,Продажи!$C$5:$C$359,Конструкторы!$A530)</f>
        <v>0</v>
      </c>
      <c r="M530" s="166">
        <f>SUMIFS(Продажи!J$5:J$359,Продажи!$D$5:$D$359,Конструкторы!$B530,Продажи!$C$5:$C$359,Конструкторы!$A530)</f>
        <v>0</v>
      </c>
      <c r="N530" s="166">
        <f>SUMIFS(Продажи!K$5:K$359,Продажи!$D$5:$D$359,Конструкторы!$B530,Продажи!$C$5:$C$359,Конструкторы!$A530)</f>
        <v>0</v>
      </c>
      <c r="O530" s="166">
        <f>SUMIFS(Продажи!L$5:L$359,Продажи!$D$5:$D$359,Конструкторы!$B530,Продажи!$C$5:$C$359,Конструкторы!$A530)</f>
        <v>0</v>
      </c>
      <c r="P530" s="166">
        <f>SUMIFS(Продажи!M$5:M$359,Продажи!$D$5:$D$359,Конструкторы!$B530,Продажи!$C$5:$C$359,Конструкторы!$A530)</f>
        <v>0</v>
      </c>
      <c r="Q530" s="166">
        <f>SUMIFS(Продажи!N$5:N$359,Продажи!$D$5:$D$359,Конструкторы!$B530,Продажи!$C$5:$C$359,Конструкторы!$A530)</f>
        <v>0</v>
      </c>
      <c r="R530" s="166">
        <f>SUMIFS(Продажи!O$5:O$359,Продажи!$D$5:$D$359,Конструкторы!$B530,Продажи!$C$5:$C$359,Конструкторы!$A530)</f>
        <v>0</v>
      </c>
      <c r="S530" s="166">
        <f>SUMIFS(Продажи!P$5:P$359,Продажи!$D$5:$D$359,Конструкторы!$B530,Продажи!$C$5:$C$359,Конструкторы!$A530)</f>
        <v>0</v>
      </c>
      <c r="T530" s="166">
        <f>SUMIFS(Продажи!Q$5:Q$359,Продажи!$D$5:$D$359,Конструкторы!$B530,Продажи!$C$5:$C$359,Конструкторы!$A530)</f>
        <v>0</v>
      </c>
    </row>
    <row r="531" spans="1:20" ht="15.75" hidden="1" x14ac:dyDescent="0.25">
      <c r="A531" s="166" t="s">
        <v>397</v>
      </c>
      <c r="B531" s="167" t="s">
        <v>313</v>
      </c>
      <c r="C531" s="33" t="s">
        <v>87</v>
      </c>
      <c r="D531" s="149"/>
      <c r="E531" s="153" t="s">
        <v>70</v>
      </c>
      <c r="F531" s="148">
        <v>6</v>
      </c>
      <c r="G531" s="156" t="s">
        <v>71</v>
      </c>
      <c r="H531" s="156">
        <f>F531</f>
        <v>6</v>
      </c>
      <c r="I531" s="166">
        <f>SUMIFS(Продажи!F$5:F$359,Продажи!$D$5:$D$359,Конструкторы!$B531,Продажи!$C$5:$C$359,Конструкторы!$A531)</f>
        <v>0</v>
      </c>
      <c r="J531" s="166">
        <f>SUMIFS(Продажи!G$5:G$359,Продажи!$D$5:$D$359,Конструкторы!$B531,Продажи!$C$5:$C$359,Конструкторы!$A531)</f>
        <v>0</v>
      </c>
      <c r="K531" s="166">
        <f>SUMIFS(Продажи!H$5:H$359,Продажи!$D$5:$D$359,Конструкторы!$B531,Продажи!$C$5:$C$359,Конструкторы!$A531)</f>
        <v>0</v>
      </c>
      <c r="L531" s="166">
        <f>SUMIFS(Продажи!I$5:I$359,Продажи!$D$5:$D$359,Конструкторы!$B531,Продажи!$C$5:$C$359,Конструкторы!$A531)</f>
        <v>0</v>
      </c>
      <c r="M531" s="166">
        <f>SUMIFS(Продажи!J$5:J$359,Продажи!$D$5:$D$359,Конструкторы!$B531,Продажи!$C$5:$C$359,Конструкторы!$A531)</f>
        <v>0</v>
      </c>
      <c r="N531" s="166">
        <f>SUMIFS(Продажи!K$5:K$359,Продажи!$D$5:$D$359,Конструкторы!$B531,Продажи!$C$5:$C$359,Конструкторы!$A531)</f>
        <v>0</v>
      </c>
      <c r="O531" s="166">
        <f>SUMIFS(Продажи!L$5:L$359,Продажи!$D$5:$D$359,Конструкторы!$B531,Продажи!$C$5:$C$359,Конструкторы!$A531)</f>
        <v>0</v>
      </c>
      <c r="P531" s="166">
        <f>SUMIFS(Продажи!M$5:M$359,Продажи!$D$5:$D$359,Конструкторы!$B531,Продажи!$C$5:$C$359,Конструкторы!$A531)</f>
        <v>0</v>
      </c>
      <c r="Q531" s="166">
        <f>SUMIFS(Продажи!N$5:N$359,Продажи!$D$5:$D$359,Конструкторы!$B531,Продажи!$C$5:$C$359,Конструкторы!$A531)</f>
        <v>0</v>
      </c>
      <c r="R531" s="166">
        <f>SUMIFS(Продажи!O$5:O$359,Продажи!$D$5:$D$359,Конструкторы!$B531,Продажи!$C$5:$C$359,Конструкторы!$A531)</f>
        <v>0</v>
      </c>
      <c r="S531" s="166">
        <f>SUMIFS(Продажи!P$5:P$359,Продажи!$D$5:$D$359,Конструкторы!$B531,Продажи!$C$5:$C$359,Конструкторы!$A531)</f>
        <v>0</v>
      </c>
      <c r="T531" s="166">
        <f>SUMIFS(Продажи!Q$5:Q$359,Продажи!$D$5:$D$359,Конструкторы!$B531,Продажи!$C$5:$C$359,Конструкторы!$A531)</f>
        <v>0</v>
      </c>
    </row>
    <row r="532" spans="1:20" ht="15.75" hidden="1" x14ac:dyDescent="0.25">
      <c r="A532" s="166" t="s">
        <v>397</v>
      </c>
      <c r="B532" s="167" t="s">
        <v>314</v>
      </c>
      <c r="C532" s="129" t="s">
        <v>62</v>
      </c>
      <c r="D532" s="149"/>
      <c r="E532" s="153" t="s">
        <v>68</v>
      </c>
      <c r="F532" s="156">
        <f>(0.197*103)/100</f>
        <v>0.20291000000000001</v>
      </c>
      <c r="G532" s="156">
        <v>5.9099999999999986E-3</v>
      </c>
      <c r="H532" s="156">
        <f>F532+G532</f>
        <v>0.20882000000000001</v>
      </c>
      <c r="I532" s="166">
        <f>SUMIFS(Продажи!F$5:F$359,Продажи!$D$5:$D$359,Конструкторы!$B532,Продажи!$C$5:$C$359,Конструкторы!$A532)</f>
        <v>0</v>
      </c>
      <c r="J532" s="166">
        <f>SUMIFS(Продажи!G$5:G$359,Продажи!$D$5:$D$359,Конструкторы!$B532,Продажи!$C$5:$C$359,Конструкторы!$A532)</f>
        <v>0</v>
      </c>
      <c r="K532" s="166">
        <f>SUMIFS(Продажи!H$5:H$359,Продажи!$D$5:$D$359,Конструкторы!$B532,Продажи!$C$5:$C$359,Конструкторы!$A532)</f>
        <v>0</v>
      </c>
      <c r="L532" s="166">
        <f>SUMIFS(Продажи!I$5:I$359,Продажи!$D$5:$D$359,Конструкторы!$B532,Продажи!$C$5:$C$359,Конструкторы!$A532)</f>
        <v>0</v>
      </c>
      <c r="M532" s="166">
        <f>SUMIFS(Продажи!J$5:J$359,Продажи!$D$5:$D$359,Конструкторы!$B532,Продажи!$C$5:$C$359,Конструкторы!$A532)</f>
        <v>0</v>
      </c>
      <c r="N532" s="166">
        <f>SUMIFS(Продажи!K$5:K$359,Продажи!$D$5:$D$359,Конструкторы!$B532,Продажи!$C$5:$C$359,Конструкторы!$A532)</f>
        <v>0</v>
      </c>
      <c r="O532" s="166">
        <f>SUMIFS(Продажи!L$5:L$359,Продажи!$D$5:$D$359,Конструкторы!$B532,Продажи!$C$5:$C$359,Конструкторы!$A532)</f>
        <v>0</v>
      </c>
      <c r="P532" s="166">
        <f>SUMIFS(Продажи!M$5:M$359,Продажи!$D$5:$D$359,Конструкторы!$B532,Продажи!$C$5:$C$359,Конструкторы!$A532)</f>
        <v>0</v>
      </c>
      <c r="Q532" s="166">
        <f>SUMIFS(Продажи!N$5:N$359,Продажи!$D$5:$D$359,Конструкторы!$B532,Продажи!$C$5:$C$359,Конструкторы!$A532)</f>
        <v>0</v>
      </c>
      <c r="R532" s="166">
        <f>SUMIFS(Продажи!O$5:O$359,Продажи!$D$5:$D$359,Конструкторы!$B532,Продажи!$C$5:$C$359,Конструкторы!$A532)</f>
        <v>0</v>
      </c>
      <c r="S532" s="166">
        <f>SUMIFS(Продажи!P$5:P$359,Продажи!$D$5:$D$359,Конструкторы!$B532,Продажи!$C$5:$C$359,Конструкторы!$A532)</f>
        <v>0</v>
      </c>
      <c r="T532" s="166">
        <f>SUMIFS(Продажи!Q$5:Q$359,Продажи!$D$5:$D$359,Конструкторы!$B532,Продажи!$C$5:$C$359,Конструкторы!$A532)</f>
        <v>0</v>
      </c>
    </row>
    <row r="533" spans="1:20" ht="15.75" hidden="1" x14ac:dyDescent="0.25">
      <c r="A533" s="166" t="s">
        <v>397</v>
      </c>
      <c r="B533" s="167" t="s">
        <v>314</v>
      </c>
      <c r="C533" s="129" t="s">
        <v>63</v>
      </c>
      <c r="D533" s="149"/>
      <c r="E533" s="153" t="s">
        <v>68</v>
      </c>
      <c r="F533" s="156">
        <f>(0.6*103)/100</f>
        <v>0.61799999999999999</v>
      </c>
      <c r="G533" s="156">
        <v>1.8000000000000016E-2</v>
      </c>
      <c r="H533" s="156">
        <f>F533+G533</f>
        <v>0.63600000000000001</v>
      </c>
      <c r="I533" s="166">
        <f>SUMIFS(Продажи!F$5:F$359,Продажи!$D$5:$D$359,Конструкторы!$B533,Продажи!$C$5:$C$359,Конструкторы!$A533)</f>
        <v>0</v>
      </c>
      <c r="J533" s="166">
        <f>SUMIFS(Продажи!G$5:G$359,Продажи!$D$5:$D$359,Конструкторы!$B533,Продажи!$C$5:$C$359,Конструкторы!$A533)</f>
        <v>0</v>
      </c>
      <c r="K533" s="166">
        <f>SUMIFS(Продажи!H$5:H$359,Продажи!$D$5:$D$359,Конструкторы!$B533,Продажи!$C$5:$C$359,Конструкторы!$A533)</f>
        <v>0</v>
      </c>
      <c r="L533" s="166">
        <f>SUMIFS(Продажи!I$5:I$359,Продажи!$D$5:$D$359,Конструкторы!$B533,Продажи!$C$5:$C$359,Конструкторы!$A533)</f>
        <v>0</v>
      </c>
      <c r="M533" s="166">
        <f>SUMIFS(Продажи!J$5:J$359,Продажи!$D$5:$D$359,Конструкторы!$B533,Продажи!$C$5:$C$359,Конструкторы!$A533)</f>
        <v>0</v>
      </c>
      <c r="N533" s="166">
        <f>SUMIFS(Продажи!K$5:K$359,Продажи!$D$5:$D$359,Конструкторы!$B533,Продажи!$C$5:$C$359,Конструкторы!$A533)</f>
        <v>0</v>
      </c>
      <c r="O533" s="166">
        <f>SUMIFS(Продажи!L$5:L$359,Продажи!$D$5:$D$359,Конструкторы!$B533,Продажи!$C$5:$C$359,Конструкторы!$A533)</f>
        <v>0</v>
      </c>
      <c r="P533" s="166">
        <f>SUMIFS(Продажи!M$5:M$359,Продажи!$D$5:$D$359,Конструкторы!$B533,Продажи!$C$5:$C$359,Конструкторы!$A533)</f>
        <v>0</v>
      </c>
      <c r="Q533" s="166">
        <f>SUMIFS(Продажи!N$5:N$359,Продажи!$D$5:$D$359,Конструкторы!$B533,Продажи!$C$5:$C$359,Конструкторы!$A533)</f>
        <v>0</v>
      </c>
      <c r="R533" s="166">
        <f>SUMIFS(Продажи!O$5:O$359,Продажи!$D$5:$D$359,Конструкторы!$B533,Продажи!$C$5:$C$359,Конструкторы!$A533)</f>
        <v>0</v>
      </c>
      <c r="S533" s="166">
        <f>SUMIFS(Продажи!P$5:P$359,Продажи!$D$5:$D$359,Конструкторы!$B533,Продажи!$C$5:$C$359,Конструкторы!$A533)</f>
        <v>0</v>
      </c>
      <c r="T533" s="166">
        <f>SUMIFS(Продажи!Q$5:Q$359,Продажи!$D$5:$D$359,Конструкторы!$B533,Продажи!$C$5:$C$359,Конструкторы!$A533)</f>
        <v>0</v>
      </c>
    </row>
    <row r="534" spans="1:20" ht="15.75" hidden="1" x14ac:dyDescent="0.25">
      <c r="A534" s="166" t="s">
        <v>397</v>
      </c>
      <c r="B534" s="167" t="s">
        <v>314</v>
      </c>
      <c r="C534" s="33" t="s">
        <v>87</v>
      </c>
      <c r="D534" s="149"/>
      <c r="E534" s="153" t="s">
        <v>70</v>
      </c>
      <c r="F534" s="148">
        <v>6</v>
      </c>
      <c r="G534" s="156" t="s">
        <v>71</v>
      </c>
      <c r="H534" s="156">
        <f>F534</f>
        <v>6</v>
      </c>
      <c r="I534" s="166">
        <f>SUMIFS(Продажи!F$5:F$359,Продажи!$D$5:$D$359,Конструкторы!$B534,Продажи!$C$5:$C$359,Конструкторы!$A534)</f>
        <v>0</v>
      </c>
      <c r="J534" s="166">
        <f>SUMIFS(Продажи!G$5:G$359,Продажи!$D$5:$D$359,Конструкторы!$B534,Продажи!$C$5:$C$359,Конструкторы!$A534)</f>
        <v>0</v>
      </c>
      <c r="K534" s="166">
        <f>SUMIFS(Продажи!H$5:H$359,Продажи!$D$5:$D$359,Конструкторы!$B534,Продажи!$C$5:$C$359,Конструкторы!$A534)</f>
        <v>0</v>
      </c>
      <c r="L534" s="166">
        <f>SUMIFS(Продажи!I$5:I$359,Продажи!$D$5:$D$359,Конструкторы!$B534,Продажи!$C$5:$C$359,Конструкторы!$A534)</f>
        <v>0</v>
      </c>
      <c r="M534" s="166">
        <f>SUMIFS(Продажи!J$5:J$359,Продажи!$D$5:$D$359,Конструкторы!$B534,Продажи!$C$5:$C$359,Конструкторы!$A534)</f>
        <v>0</v>
      </c>
      <c r="N534" s="166">
        <f>SUMIFS(Продажи!K$5:K$359,Продажи!$D$5:$D$359,Конструкторы!$B534,Продажи!$C$5:$C$359,Конструкторы!$A534)</f>
        <v>0</v>
      </c>
      <c r="O534" s="166">
        <f>SUMIFS(Продажи!L$5:L$359,Продажи!$D$5:$D$359,Конструкторы!$B534,Продажи!$C$5:$C$359,Конструкторы!$A534)</f>
        <v>0</v>
      </c>
      <c r="P534" s="166">
        <f>SUMIFS(Продажи!M$5:M$359,Продажи!$D$5:$D$359,Конструкторы!$B534,Продажи!$C$5:$C$359,Конструкторы!$A534)</f>
        <v>0</v>
      </c>
      <c r="Q534" s="166">
        <f>SUMIFS(Продажи!N$5:N$359,Продажи!$D$5:$D$359,Конструкторы!$B534,Продажи!$C$5:$C$359,Конструкторы!$A534)</f>
        <v>0</v>
      </c>
      <c r="R534" s="166">
        <f>SUMIFS(Продажи!O$5:O$359,Продажи!$D$5:$D$359,Конструкторы!$B534,Продажи!$C$5:$C$359,Конструкторы!$A534)</f>
        <v>0</v>
      </c>
      <c r="S534" s="166">
        <f>SUMIFS(Продажи!P$5:P$359,Продажи!$D$5:$D$359,Конструкторы!$B534,Продажи!$C$5:$C$359,Конструкторы!$A534)</f>
        <v>0</v>
      </c>
      <c r="T534" s="166">
        <f>SUMIFS(Продажи!Q$5:Q$359,Продажи!$D$5:$D$359,Конструкторы!$B534,Продажи!$C$5:$C$359,Конструкторы!$A534)</f>
        <v>0</v>
      </c>
    </row>
    <row r="535" spans="1:20" ht="15.75" hidden="1" x14ac:dyDescent="0.25">
      <c r="A535" s="166" t="s">
        <v>397</v>
      </c>
      <c r="B535" s="167" t="s">
        <v>315</v>
      </c>
      <c r="C535" s="129" t="s">
        <v>63</v>
      </c>
      <c r="D535" s="149"/>
      <c r="E535" s="153" t="s">
        <v>68</v>
      </c>
      <c r="F535" s="156">
        <f>(0.197*103)/100</f>
        <v>0.20291000000000001</v>
      </c>
      <c r="G535" s="156">
        <v>5.9099999999999986E-3</v>
      </c>
      <c r="H535" s="156">
        <f>F535+G535</f>
        <v>0.20882000000000001</v>
      </c>
      <c r="I535" s="166">
        <f>SUMIFS(Продажи!F$5:F$359,Продажи!$D$5:$D$359,Конструкторы!$B535,Продажи!$C$5:$C$359,Конструкторы!$A535)</f>
        <v>0</v>
      </c>
      <c r="J535" s="166">
        <f>SUMIFS(Продажи!G$5:G$359,Продажи!$D$5:$D$359,Конструкторы!$B535,Продажи!$C$5:$C$359,Конструкторы!$A535)</f>
        <v>0</v>
      </c>
      <c r="K535" s="166">
        <f>SUMIFS(Продажи!H$5:H$359,Продажи!$D$5:$D$359,Конструкторы!$B535,Продажи!$C$5:$C$359,Конструкторы!$A535)</f>
        <v>0</v>
      </c>
      <c r="L535" s="166">
        <f>SUMIFS(Продажи!I$5:I$359,Продажи!$D$5:$D$359,Конструкторы!$B535,Продажи!$C$5:$C$359,Конструкторы!$A535)</f>
        <v>0</v>
      </c>
      <c r="M535" s="166">
        <f>SUMIFS(Продажи!J$5:J$359,Продажи!$D$5:$D$359,Конструкторы!$B535,Продажи!$C$5:$C$359,Конструкторы!$A535)</f>
        <v>0</v>
      </c>
      <c r="N535" s="166">
        <f>SUMIFS(Продажи!K$5:K$359,Продажи!$D$5:$D$359,Конструкторы!$B535,Продажи!$C$5:$C$359,Конструкторы!$A535)</f>
        <v>0</v>
      </c>
      <c r="O535" s="166">
        <f>SUMIFS(Продажи!L$5:L$359,Продажи!$D$5:$D$359,Конструкторы!$B535,Продажи!$C$5:$C$359,Конструкторы!$A535)</f>
        <v>0</v>
      </c>
      <c r="P535" s="166">
        <f>SUMIFS(Продажи!M$5:M$359,Продажи!$D$5:$D$359,Конструкторы!$B535,Продажи!$C$5:$C$359,Конструкторы!$A535)</f>
        <v>0</v>
      </c>
      <c r="Q535" s="166">
        <f>SUMIFS(Продажи!N$5:N$359,Продажи!$D$5:$D$359,Конструкторы!$B535,Продажи!$C$5:$C$359,Конструкторы!$A535)</f>
        <v>0</v>
      </c>
      <c r="R535" s="166">
        <f>SUMIFS(Продажи!O$5:O$359,Продажи!$D$5:$D$359,Конструкторы!$B535,Продажи!$C$5:$C$359,Конструкторы!$A535)</f>
        <v>0</v>
      </c>
      <c r="S535" s="166">
        <f>SUMIFS(Продажи!P$5:P$359,Продажи!$D$5:$D$359,Конструкторы!$B535,Продажи!$C$5:$C$359,Конструкторы!$A535)</f>
        <v>0</v>
      </c>
      <c r="T535" s="166">
        <f>SUMIFS(Продажи!Q$5:Q$359,Продажи!$D$5:$D$359,Конструкторы!$B535,Продажи!$C$5:$C$359,Конструкторы!$A535)</f>
        <v>0</v>
      </c>
    </row>
    <row r="536" spans="1:20" ht="15.75" hidden="1" x14ac:dyDescent="0.25">
      <c r="A536" s="166" t="s">
        <v>397</v>
      </c>
      <c r="B536" s="167" t="s">
        <v>315</v>
      </c>
      <c r="C536" s="129" t="s">
        <v>61</v>
      </c>
      <c r="D536" s="149"/>
      <c r="E536" s="153" t="s">
        <v>68</v>
      </c>
      <c r="F536" s="156">
        <f>(0.7*103)/100</f>
        <v>0.72099999999999997</v>
      </c>
      <c r="G536" s="156">
        <v>2.1000000000000019E-2</v>
      </c>
      <c r="H536" s="156">
        <f>F536+G536</f>
        <v>0.74199999999999999</v>
      </c>
      <c r="I536" s="166">
        <f>SUMIFS(Продажи!F$5:F$359,Продажи!$D$5:$D$359,Конструкторы!$B536,Продажи!$C$5:$C$359,Конструкторы!$A536)</f>
        <v>0</v>
      </c>
      <c r="J536" s="166">
        <f>SUMIFS(Продажи!G$5:G$359,Продажи!$D$5:$D$359,Конструкторы!$B536,Продажи!$C$5:$C$359,Конструкторы!$A536)</f>
        <v>0</v>
      </c>
      <c r="K536" s="166">
        <f>SUMIFS(Продажи!H$5:H$359,Продажи!$D$5:$D$359,Конструкторы!$B536,Продажи!$C$5:$C$359,Конструкторы!$A536)</f>
        <v>0</v>
      </c>
      <c r="L536" s="166">
        <f>SUMIFS(Продажи!I$5:I$359,Продажи!$D$5:$D$359,Конструкторы!$B536,Продажи!$C$5:$C$359,Конструкторы!$A536)</f>
        <v>0</v>
      </c>
      <c r="M536" s="166">
        <f>SUMIFS(Продажи!J$5:J$359,Продажи!$D$5:$D$359,Конструкторы!$B536,Продажи!$C$5:$C$359,Конструкторы!$A536)</f>
        <v>0</v>
      </c>
      <c r="N536" s="166">
        <f>SUMIFS(Продажи!K$5:K$359,Продажи!$D$5:$D$359,Конструкторы!$B536,Продажи!$C$5:$C$359,Конструкторы!$A536)</f>
        <v>0</v>
      </c>
      <c r="O536" s="166">
        <f>SUMIFS(Продажи!L$5:L$359,Продажи!$D$5:$D$359,Конструкторы!$B536,Продажи!$C$5:$C$359,Конструкторы!$A536)</f>
        <v>0</v>
      </c>
      <c r="P536" s="166">
        <f>SUMIFS(Продажи!M$5:M$359,Продажи!$D$5:$D$359,Конструкторы!$B536,Продажи!$C$5:$C$359,Конструкторы!$A536)</f>
        <v>0</v>
      </c>
      <c r="Q536" s="166">
        <f>SUMIFS(Продажи!N$5:N$359,Продажи!$D$5:$D$359,Конструкторы!$B536,Продажи!$C$5:$C$359,Конструкторы!$A536)</f>
        <v>0</v>
      </c>
      <c r="R536" s="166">
        <f>SUMIFS(Продажи!O$5:O$359,Продажи!$D$5:$D$359,Конструкторы!$B536,Продажи!$C$5:$C$359,Конструкторы!$A536)</f>
        <v>0</v>
      </c>
      <c r="S536" s="166">
        <f>SUMIFS(Продажи!P$5:P$359,Продажи!$D$5:$D$359,Конструкторы!$B536,Продажи!$C$5:$C$359,Конструкторы!$A536)</f>
        <v>0</v>
      </c>
      <c r="T536" s="166">
        <f>SUMIFS(Продажи!Q$5:Q$359,Продажи!$D$5:$D$359,Конструкторы!$B536,Продажи!$C$5:$C$359,Конструкторы!$A536)</f>
        <v>0</v>
      </c>
    </row>
    <row r="537" spans="1:20" ht="15.75" hidden="1" x14ac:dyDescent="0.25">
      <c r="A537" s="166" t="s">
        <v>397</v>
      </c>
      <c r="B537" s="167" t="s">
        <v>315</v>
      </c>
      <c r="C537" s="33" t="s">
        <v>87</v>
      </c>
      <c r="D537" s="149"/>
      <c r="E537" s="153" t="s">
        <v>70</v>
      </c>
      <c r="F537" s="148">
        <v>6</v>
      </c>
      <c r="G537" s="156" t="s">
        <v>71</v>
      </c>
      <c r="H537" s="156">
        <f>F537</f>
        <v>6</v>
      </c>
      <c r="I537" s="166">
        <f>SUMIFS(Продажи!F$5:F$359,Продажи!$D$5:$D$359,Конструкторы!$B537,Продажи!$C$5:$C$359,Конструкторы!$A537)</f>
        <v>0</v>
      </c>
      <c r="J537" s="166">
        <f>SUMIFS(Продажи!G$5:G$359,Продажи!$D$5:$D$359,Конструкторы!$B537,Продажи!$C$5:$C$359,Конструкторы!$A537)</f>
        <v>0</v>
      </c>
      <c r="K537" s="166">
        <f>SUMIFS(Продажи!H$5:H$359,Продажи!$D$5:$D$359,Конструкторы!$B537,Продажи!$C$5:$C$359,Конструкторы!$A537)</f>
        <v>0</v>
      </c>
      <c r="L537" s="166">
        <f>SUMIFS(Продажи!I$5:I$359,Продажи!$D$5:$D$359,Конструкторы!$B537,Продажи!$C$5:$C$359,Конструкторы!$A537)</f>
        <v>0</v>
      </c>
      <c r="M537" s="166">
        <f>SUMIFS(Продажи!J$5:J$359,Продажи!$D$5:$D$359,Конструкторы!$B537,Продажи!$C$5:$C$359,Конструкторы!$A537)</f>
        <v>0</v>
      </c>
      <c r="N537" s="166">
        <f>SUMIFS(Продажи!K$5:K$359,Продажи!$D$5:$D$359,Конструкторы!$B537,Продажи!$C$5:$C$359,Конструкторы!$A537)</f>
        <v>0</v>
      </c>
      <c r="O537" s="166">
        <f>SUMIFS(Продажи!L$5:L$359,Продажи!$D$5:$D$359,Конструкторы!$B537,Продажи!$C$5:$C$359,Конструкторы!$A537)</f>
        <v>0</v>
      </c>
      <c r="P537" s="166">
        <f>SUMIFS(Продажи!M$5:M$359,Продажи!$D$5:$D$359,Конструкторы!$B537,Продажи!$C$5:$C$359,Конструкторы!$A537)</f>
        <v>0</v>
      </c>
      <c r="Q537" s="166">
        <f>SUMIFS(Продажи!N$5:N$359,Продажи!$D$5:$D$359,Конструкторы!$B537,Продажи!$C$5:$C$359,Конструкторы!$A537)</f>
        <v>0</v>
      </c>
      <c r="R537" s="166">
        <f>SUMIFS(Продажи!O$5:O$359,Продажи!$D$5:$D$359,Конструкторы!$B537,Продажи!$C$5:$C$359,Конструкторы!$A537)</f>
        <v>0</v>
      </c>
      <c r="S537" s="166">
        <f>SUMIFS(Продажи!P$5:P$359,Продажи!$D$5:$D$359,Конструкторы!$B537,Продажи!$C$5:$C$359,Конструкторы!$A537)</f>
        <v>0</v>
      </c>
      <c r="T537" s="166">
        <f>SUMIFS(Продажи!Q$5:Q$359,Продажи!$D$5:$D$359,Конструкторы!$B537,Продажи!$C$5:$C$359,Конструкторы!$A537)</f>
        <v>0</v>
      </c>
    </row>
    <row r="538" spans="1:20" ht="15.75" hidden="1" x14ac:dyDescent="0.25">
      <c r="A538" s="166" t="s">
        <v>397</v>
      </c>
      <c r="B538" s="167" t="s">
        <v>316</v>
      </c>
      <c r="C538" s="129" t="s">
        <v>63</v>
      </c>
      <c r="D538" s="149"/>
      <c r="E538" s="153" t="s">
        <v>68</v>
      </c>
      <c r="F538" s="156">
        <f>(0.197*103)/100</f>
        <v>0.20291000000000001</v>
      </c>
      <c r="G538" s="156">
        <v>5.9099999999999986E-3</v>
      </c>
      <c r="H538" s="156">
        <f>F538+G538</f>
        <v>0.20882000000000001</v>
      </c>
      <c r="I538" s="166">
        <f>SUMIFS(Продажи!F$5:F$359,Продажи!$D$5:$D$359,Конструкторы!$B538,Продажи!$C$5:$C$359,Конструкторы!$A538)</f>
        <v>0</v>
      </c>
      <c r="J538" s="166">
        <f>SUMIFS(Продажи!G$5:G$359,Продажи!$D$5:$D$359,Конструкторы!$B538,Продажи!$C$5:$C$359,Конструкторы!$A538)</f>
        <v>0</v>
      </c>
      <c r="K538" s="166">
        <f>SUMIFS(Продажи!H$5:H$359,Продажи!$D$5:$D$359,Конструкторы!$B538,Продажи!$C$5:$C$359,Конструкторы!$A538)</f>
        <v>0</v>
      </c>
      <c r="L538" s="166">
        <f>SUMIFS(Продажи!I$5:I$359,Продажи!$D$5:$D$359,Конструкторы!$B538,Продажи!$C$5:$C$359,Конструкторы!$A538)</f>
        <v>0</v>
      </c>
      <c r="M538" s="166">
        <f>SUMIFS(Продажи!J$5:J$359,Продажи!$D$5:$D$359,Конструкторы!$B538,Продажи!$C$5:$C$359,Конструкторы!$A538)</f>
        <v>0</v>
      </c>
      <c r="N538" s="166">
        <f>SUMIFS(Продажи!K$5:K$359,Продажи!$D$5:$D$359,Конструкторы!$B538,Продажи!$C$5:$C$359,Конструкторы!$A538)</f>
        <v>0</v>
      </c>
      <c r="O538" s="166">
        <f>SUMIFS(Продажи!L$5:L$359,Продажи!$D$5:$D$359,Конструкторы!$B538,Продажи!$C$5:$C$359,Конструкторы!$A538)</f>
        <v>0</v>
      </c>
      <c r="P538" s="166">
        <f>SUMIFS(Продажи!M$5:M$359,Продажи!$D$5:$D$359,Конструкторы!$B538,Продажи!$C$5:$C$359,Конструкторы!$A538)</f>
        <v>0</v>
      </c>
      <c r="Q538" s="166">
        <f>SUMIFS(Продажи!N$5:N$359,Продажи!$D$5:$D$359,Конструкторы!$B538,Продажи!$C$5:$C$359,Конструкторы!$A538)</f>
        <v>0</v>
      </c>
      <c r="R538" s="166">
        <f>SUMIFS(Продажи!O$5:O$359,Продажи!$D$5:$D$359,Конструкторы!$B538,Продажи!$C$5:$C$359,Конструкторы!$A538)</f>
        <v>0</v>
      </c>
      <c r="S538" s="166">
        <f>SUMIFS(Продажи!P$5:P$359,Продажи!$D$5:$D$359,Конструкторы!$B538,Продажи!$C$5:$C$359,Конструкторы!$A538)</f>
        <v>0</v>
      </c>
      <c r="T538" s="166">
        <f>SUMIFS(Продажи!Q$5:Q$359,Продажи!$D$5:$D$359,Конструкторы!$B538,Продажи!$C$5:$C$359,Конструкторы!$A538)</f>
        <v>0</v>
      </c>
    </row>
    <row r="539" spans="1:20" ht="15.75" hidden="1" x14ac:dyDescent="0.25">
      <c r="A539" s="166" t="s">
        <v>397</v>
      </c>
      <c r="B539" s="167" t="s">
        <v>316</v>
      </c>
      <c r="C539" s="129" t="s">
        <v>62</v>
      </c>
      <c r="D539" s="149"/>
      <c r="E539" s="153" t="s">
        <v>68</v>
      </c>
      <c r="F539" s="156">
        <f>(0.7*103)/100</f>
        <v>0.72099999999999997</v>
      </c>
      <c r="G539" s="156">
        <v>2.1000000000000019E-2</v>
      </c>
      <c r="H539" s="156">
        <f>F539+G539</f>
        <v>0.74199999999999999</v>
      </c>
      <c r="I539" s="166">
        <f>SUMIFS(Продажи!F$5:F$359,Продажи!$D$5:$D$359,Конструкторы!$B539,Продажи!$C$5:$C$359,Конструкторы!$A539)</f>
        <v>0</v>
      </c>
      <c r="J539" s="166">
        <f>SUMIFS(Продажи!G$5:G$359,Продажи!$D$5:$D$359,Конструкторы!$B539,Продажи!$C$5:$C$359,Конструкторы!$A539)</f>
        <v>0</v>
      </c>
      <c r="K539" s="166">
        <f>SUMIFS(Продажи!H$5:H$359,Продажи!$D$5:$D$359,Конструкторы!$B539,Продажи!$C$5:$C$359,Конструкторы!$A539)</f>
        <v>0</v>
      </c>
      <c r="L539" s="166">
        <f>SUMIFS(Продажи!I$5:I$359,Продажи!$D$5:$D$359,Конструкторы!$B539,Продажи!$C$5:$C$359,Конструкторы!$A539)</f>
        <v>0</v>
      </c>
      <c r="M539" s="166">
        <f>SUMIFS(Продажи!J$5:J$359,Продажи!$D$5:$D$359,Конструкторы!$B539,Продажи!$C$5:$C$359,Конструкторы!$A539)</f>
        <v>0</v>
      </c>
      <c r="N539" s="166">
        <f>SUMIFS(Продажи!K$5:K$359,Продажи!$D$5:$D$359,Конструкторы!$B539,Продажи!$C$5:$C$359,Конструкторы!$A539)</f>
        <v>0</v>
      </c>
      <c r="O539" s="166">
        <f>SUMIFS(Продажи!L$5:L$359,Продажи!$D$5:$D$359,Конструкторы!$B539,Продажи!$C$5:$C$359,Конструкторы!$A539)</f>
        <v>0</v>
      </c>
      <c r="P539" s="166">
        <f>SUMIFS(Продажи!M$5:M$359,Продажи!$D$5:$D$359,Конструкторы!$B539,Продажи!$C$5:$C$359,Конструкторы!$A539)</f>
        <v>0</v>
      </c>
      <c r="Q539" s="166">
        <f>SUMIFS(Продажи!N$5:N$359,Продажи!$D$5:$D$359,Конструкторы!$B539,Продажи!$C$5:$C$359,Конструкторы!$A539)</f>
        <v>0</v>
      </c>
      <c r="R539" s="166">
        <f>SUMIFS(Продажи!O$5:O$359,Продажи!$D$5:$D$359,Конструкторы!$B539,Продажи!$C$5:$C$359,Конструкторы!$A539)</f>
        <v>0</v>
      </c>
      <c r="S539" s="166">
        <f>SUMIFS(Продажи!P$5:P$359,Продажи!$D$5:$D$359,Конструкторы!$B539,Продажи!$C$5:$C$359,Конструкторы!$A539)</f>
        <v>0</v>
      </c>
      <c r="T539" s="166">
        <f>SUMIFS(Продажи!Q$5:Q$359,Продажи!$D$5:$D$359,Конструкторы!$B539,Продажи!$C$5:$C$359,Конструкторы!$A539)</f>
        <v>0</v>
      </c>
    </row>
    <row r="540" spans="1:20" ht="15.75" hidden="1" x14ac:dyDescent="0.25">
      <c r="A540" s="166" t="s">
        <v>397</v>
      </c>
      <c r="B540" s="167" t="s">
        <v>316</v>
      </c>
      <c r="C540" s="33" t="s">
        <v>87</v>
      </c>
      <c r="D540" s="149"/>
      <c r="E540" s="153" t="s">
        <v>70</v>
      </c>
      <c r="F540" s="148">
        <v>6</v>
      </c>
      <c r="G540" s="156" t="s">
        <v>71</v>
      </c>
      <c r="H540" s="156">
        <f>F540</f>
        <v>6</v>
      </c>
      <c r="I540" s="166">
        <f>SUMIFS(Продажи!F$5:F$359,Продажи!$D$5:$D$359,Конструкторы!$B540,Продажи!$C$5:$C$359,Конструкторы!$A540)</f>
        <v>0</v>
      </c>
      <c r="J540" s="166">
        <f>SUMIFS(Продажи!G$5:G$359,Продажи!$D$5:$D$359,Конструкторы!$B540,Продажи!$C$5:$C$359,Конструкторы!$A540)</f>
        <v>0</v>
      </c>
      <c r="K540" s="166">
        <f>SUMIFS(Продажи!H$5:H$359,Продажи!$D$5:$D$359,Конструкторы!$B540,Продажи!$C$5:$C$359,Конструкторы!$A540)</f>
        <v>0</v>
      </c>
      <c r="L540" s="166">
        <f>SUMIFS(Продажи!I$5:I$359,Продажи!$D$5:$D$359,Конструкторы!$B540,Продажи!$C$5:$C$359,Конструкторы!$A540)</f>
        <v>0</v>
      </c>
      <c r="M540" s="166">
        <f>SUMIFS(Продажи!J$5:J$359,Продажи!$D$5:$D$359,Конструкторы!$B540,Продажи!$C$5:$C$359,Конструкторы!$A540)</f>
        <v>0</v>
      </c>
      <c r="N540" s="166">
        <f>SUMIFS(Продажи!K$5:K$359,Продажи!$D$5:$D$359,Конструкторы!$B540,Продажи!$C$5:$C$359,Конструкторы!$A540)</f>
        <v>0</v>
      </c>
      <c r="O540" s="166">
        <f>SUMIFS(Продажи!L$5:L$359,Продажи!$D$5:$D$359,Конструкторы!$B540,Продажи!$C$5:$C$359,Конструкторы!$A540)</f>
        <v>0</v>
      </c>
      <c r="P540" s="166">
        <f>SUMIFS(Продажи!M$5:M$359,Продажи!$D$5:$D$359,Конструкторы!$B540,Продажи!$C$5:$C$359,Конструкторы!$A540)</f>
        <v>0</v>
      </c>
      <c r="Q540" s="166">
        <f>SUMIFS(Продажи!N$5:N$359,Продажи!$D$5:$D$359,Конструкторы!$B540,Продажи!$C$5:$C$359,Конструкторы!$A540)</f>
        <v>0</v>
      </c>
      <c r="R540" s="166">
        <f>SUMIFS(Продажи!O$5:O$359,Продажи!$D$5:$D$359,Конструкторы!$B540,Продажи!$C$5:$C$359,Конструкторы!$A540)</f>
        <v>0</v>
      </c>
      <c r="S540" s="166">
        <f>SUMIFS(Продажи!P$5:P$359,Продажи!$D$5:$D$359,Конструкторы!$B540,Продажи!$C$5:$C$359,Конструкторы!$A540)</f>
        <v>0</v>
      </c>
      <c r="T540" s="166">
        <f>SUMIFS(Продажи!Q$5:Q$359,Продажи!$D$5:$D$359,Конструкторы!$B540,Продажи!$C$5:$C$359,Конструкторы!$A540)</f>
        <v>0</v>
      </c>
    </row>
    <row r="541" spans="1:20" ht="15.75" hidden="1" x14ac:dyDescent="0.25">
      <c r="A541" s="166" t="s">
        <v>397</v>
      </c>
      <c r="B541" s="167" t="s">
        <v>317</v>
      </c>
      <c r="C541" s="129" t="s">
        <v>62</v>
      </c>
      <c r="D541" s="149"/>
      <c r="E541" s="153" t="s">
        <v>68</v>
      </c>
      <c r="F541" s="156">
        <f>(0.897*103)/100</f>
        <v>0.92391000000000001</v>
      </c>
      <c r="G541" s="156">
        <v>2.6909999999999989E-2</v>
      </c>
      <c r="H541" s="156">
        <f>F541+G541</f>
        <v>0.95082</v>
      </c>
      <c r="I541" s="166">
        <f>SUMIFS(Продажи!F$5:F$359,Продажи!$D$5:$D$359,Конструкторы!$B541,Продажи!$C$5:$C$359,Конструкторы!$A541)</f>
        <v>0</v>
      </c>
      <c r="J541" s="166">
        <f>SUMIFS(Продажи!G$5:G$359,Продажи!$D$5:$D$359,Конструкторы!$B541,Продажи!$C$5:$C$359,Конструкторы!$A541)</f>
        <v>0</v>
      </c>
      <c r="K541" s="166">
        <f>SUMIFS(Продажи!H$5:H$359,Продажи!$D$5:$D$359,Конструкторы!$B541,Продажи!$C$5:$C$359,Конструкторы!$A541)</f>
        <v>0</v>
      </c>
      <c r="L541" s="166">
        <f>SUMIFS(Продажи!I$5:I$359,Продажи!$D$5:$D$359,Конструкторы!$B541,Продажи!$C$5:$C$359,Конструкторы!$A541)</f>
        <v>0</v>
      </c>
      <c r="M541" s="166">
        <f>SUMIFS(Продажи!J$5:J$359,Продажи!$D$5:$D$359,Конструкторы!$B541,Продажи!$C$5:$C$359,Конструкторы!$A541)</f>
        <v>0</v>
      </c>
      <c r="N541" s="166">
        <f>SUMIFS(Продажи!K$5:K$359,Продажи!$D$5:$D$359,Конструкторы!$B541,Продажи!$C$5:$C$359,Конструкторы!$A541)</f>
        <v>0</v>
      </c>
      <c r="O541" s="166">
        <f>SUMIFS(Продажи!L$5:L$359,Продажи!$D$5:$D$359,Конструкторы!$B541,Продажи!$C$5:$C$359,Конструкторы!$A541)</f>
        <v>0</v>
      </c>
      <c r="P541" s="166">
        <f>SUMIFS(Продажи!M$5:M$359,Продажи!$D$5:$D$359,Конструкторы!$B541,Продажи!$C$5:$C$359,Конструкторы!$A541)</f>
        <v>0</v>
      </c>
      <c r="Q541" s="166">
        <f>SUMIFS(Продажи!N$5:N$359,Продажи!$D$5:$D$359,Конструкторы!$B541,Продажи!$C$5:$C$359,Конструкторы!$A541)</f>
        <v>0</v>
      </c>
      <c r="R541" s="166">
        <f>SUMIFS(Продажи!O$5:O$359,Продажи!$D$5:$D$359,Конструкторы!$B541,Продажи!$C$5:$C$359,Конструкторы!$A541)</f>
        <v>0</v>
      </c>
      <c r="S541" s="166">
        <f>SUMIFS(Продажи!P$5:P$359,Продажи!$D$5:$D$359,Конструкторы!$B541,Продажи!$C$5:$C$359,Конструкторы!$A541)</f>
        <v>0</v>
      </c>
      <c r="T541" s="166">
        <f>SUMIFS(Продажи!Q$5:Q$359,Продажи!$D$5:$D$359,Конструкторы!$B541,Продажи!$C$5:$C$359,Конструкторы!$A541)</f>
        <v>0</v>
      </c>
    </row>
    <row r="542" spans="1:20" ht="15.75" hidden="1" x14ac:dyDescent="0.25">
      <c r="A542" s="166" t="s">
        <v>397</v>
      </c>
      <c r="B542" s="167" t="s">
        <v>317</v>
      </c>
      <c r="C542" s="33" t="s">
        <v>87</v>
      </c>
      <c r="D542" s="149"/>
      <c r="E542" s="153" t="s">
        <v>70</v>
      </c>
      <c r="F542" s="148">
        <v>6</v>
      </c>
      <c r="G542" s="156" t="s">
        <v>71</v>
      </c>
      <c r="H542" s="156">
        <f>F542</f>
        <v>6</v>
      </c>
      <c r="I542" s="166">
        <f>SUMIFS(Продажи!F$5:F$359,Продажи!$D$5:$D$359,Конструкторы!$B542,Продажи!$C$5:$C$359,Конструкторы!$A542)</f>
        <v>0</v>
      </c>
      <c r="J542" s="166">
        <f>SUMIFS(Продажи!G$5:G$359,Продажи!$D$5:$D$359,Конструкторы!$B542,Продажи!$C$5:$C$359,Конструкторы!$A542)</f>
        <v>0</v>
      </c>
      <c r="K542" s="166">
        <f>SUMIFS(Продажи!H$5:H$359,Продажи!$D$5:$D$359,Конструкторы!$B542,Продажи!$C$5:$C$359,Конструкторы!$A542)</f>
        <v>0</v>
      </c>
      <c r="L542" s="166">
        <f>SUMIFS(Продажи!I$5:I$359,Продажи!$D$5:$D$359,Конструкторы!$B542,Продажи!$C$5:$C$359,Конструкторы!$A542)</f>
        <v>0</v>
      </c>
      <c r="M542" s="166">
        <f>SUMIFS(Продажи!J$5:J$359,Продажи!$D$5:$D$359,Конструкторы!$B542,Продажи!$C$5:$C$359,Конструкторы!$A542)</f>
        <v>0</v>
      </c>
      <c r="N542" s="166">
        <f>SUMIFS(Продажи!K$5:K$359,Продажи!$D$5:$D$359,Конструкторы!$B542,Продажи!$C$5:$C$359,Конструкторы!$A542)</f>
        <v>0</v>
      </c>
      <c r="O542" s="166">
        <f>SUMIFS(Продажи!L$5:L$359,Продажи!$D$5:$D$359,Конструкторы!$B542,Продажи!$C$5:$C$359,Конструкторы!$A542)</f>
        <v>0</v>
      </c>
      <c r="P542" s="166">
        <f>SUMIFS(Продажи!M$5:M$359,Продажи!$D$5:$D$359,Конструкторы!$B542,Продажи!$C$5:$C$359,Конструкторы!$A542)</f>
        <v>0</v>
      </c>
      <c r="Q542" s="166">
        <f>SUMIFS(Продажи!N$5:N$359,Продажи!$D$5:$D$359,Конструкторы!$B542,Продажи!$C$5:$C$359,Конструкторы!$A542)</f>
        <v>0</v>
      </c>
      <c r="R542" s="166">
        <f>SUMIFS(Продажи!O$5:O$359,Продажи!$D$5:$D$359,Конструкторы!$B542,Продажи!$C$5:$C$359,Конструкторы!$A542)</f>
        <v>0</v>
      </c>
      <c r="S542" s="166">
        <f>SUMIFS(Продажи!P$5:P$359,Продажи!$D$5:$D$359,Конструкторы!$B542,Продажи!$C$5:$C$359,Конструкторы!$A542)</f>
        <v>0</v>
      </c>
      <c r="T542" s="166">
        <f>SUMIFS(Продажи!Q$5:Q$359,Продажи!$D$5:$D$359,Конструкторы!$B542,Продажи!$C$5:$C$359,Конструкторы!$A542)</f>
        <v>0</v>
      </c>
    </row>
    <row r="543" spans="1:20" ht="15.75" hidden="1" x14ac:dyDescent="0.25">
      <c r="A543" s="166" t="s">
        <v>397</v>
      </c>
      <c r="B543" s="167" t="s">
        <v>105</v>
      </c>
      <c r="C543" s="129" t="s">
        <v>60</v>
      </c>
      <c r="D543" s="149"/>
      <c r="E543" s="153" t="s">
        <v>68</v>
      </c>
      <c r="F543" s="156">
        <f>(0.991*103)/100</f>
        <v>1.0207299999999999</v>
      </c>
      <c r="G543" s="156">
        <v>2.9729999999999923E-2</v>
      </c>
      <c r="H543" s="156">
        <f>F543+G543</f>
        <v>1.0504599999999997</v>
      </c>
      <c r="I543" s="166">
        <f>SUMIFS(Продажи!F$5:F$359,Продажи!$D$5:$D$359,Конструкторы!$B543,Продажи!$C$5:$C$359,Конструкторы!$A543)</f>
        <v>0</v>
      </c>
      <c r="J543" s="166">
        <f>SUMIFS(Продажи!G$5:G$359,Продажи!$D$5:$D$359,Конструкторы!$B543,Продажи!$C$5:$C$359,Конструкторы!$A543)</f>
        <v>0</v>
      </c>
      <c r="K543" s="166">
        <f>SUMIFS(Продажи!H$5:H$359,Продажи!$D$5:$D$359,Конструкторы!$B543,Продажи!$C$5:$C$359,Конструкторы!$A543)</f>
        <v>0</v>
      </c>
      <c r="L543" s="166">
        <f>SUMIFS(Продажи!I$5:I$359,Продажи!$D$5:$D$359,Конструкторы!$B543,Продажи!$C$5:$C$359,Конструкторы!$A543)</f>
        <v>0</v>
      </c>
      <c r="M543" s="166">
        <f>SUMIFS(Продажи!J$5:J$359,Продажи!$D$5:$D$359,Конструкторы!$B543,Продажи!$C$5:$C$359,Конструкторы!$A543)</f>
        <v>0</v>
      </c>
      <c r="N543" s="166">
        <f>SUMIFS(Продажи!K$5:K$359,Продажи!$D$5:$D$359,Конструкторы!$B543,Продажи!$C$5:$C$359,Конструкторы!$A543)</f>
        <v>0</v>
      </c>
      <c r="O543" s="166">
        <f>SUMIFS(Продажи!L$5:L$359,Продажи!$D$5:$D$359,Конструкторы!$B543,Продажи!$C$5:$C$359,Конструкторы!$A543)</f>
        <v>0</v>
      </c>
      <c r="P543" s="166">
        <f>SUMIFS(Продажи!M$5:M$359,Продажи!$D$5:$D$359,Конструкторы!$B543,Продажи!$C$5:$C$359,Конструкторы!$A543)</f>
        <v>0</v>
      </c>
      <c r="Q543" s="166">
        <f>SUMIFS(Продажи!N$5:N$359,Продажи!$D$5:$D$359,Конструкторы!$B543,Продажи!$C$5:$C$359,Конструкторы!$A543)</f>
        <v>0</v>
      </c>
      <c r="R543" s="166">
        <f>SUMIFS(Продажи!O$5:O$359,Продажи!$D$5:$D$359,Конструкторы!$B543,Продажи!$C$5:$C$359,Конструкторы!$A543)</f>
        <v>0</v>
      </c>
      <c r="S543" s="166">
        <f>SUMIFS(Продажи!P$5:P$359,Продажи!$D$5:$D$359,Конструкторы!$B543,Продажи!$C$5:$C$359,Конструкторы!$A543)</f>
        <v>0</v>
      </c>
      <c r="T543" s="166">
        <f>SUMIFS(Продажи!Q$5:Q$359,Продажи!$D$5:$D$359,Конструкторы!$B543,Продажи!$C$5:$C$359,Конструкторы!$A543)</f>
        <v>0</v>
      </c>
    </row>
    <row r="544" spans="1:20" ht="15.75" hidden="1" x14ac:dyDescent="0.25">
      <c r="A544" s="166" t="s">
        <v>397</v>
      </c>
      <c r="B544" s="167" t="s">
        <v>105</v>
      </c>
      <c r="C544" s="129" t="s">
        <v>60</v>
      </c>
      <c r="D544" s="149"/>
      <c r="E544" s="153" t="s">
        <v>68</v>
      </c>
      <c r="F544" s="156">
        <f>(0.991*103)/100</f>
        <v>1.0207299999999999</v>
      </c>
      <c r="G544" s="156">
        <v>2.9729999999999923E-2</v>
      </c>
      <c r="H544" s="156">
        <f>F544+G544</f>
        <v>1.0504599999999997</v>
      </c>
      <c r="I544" s="166">
        <f>SUMIFS(Продажи!F$5:F$359,Продажи!$D$5:$D$359,Конструкторы!$B544,Продажи!$C$5:$C$359,Конструкторы!$A544)</f>
        <v>0</v>
      </c>
      <c r="J544" s="166">
        <f>SUMIFS(Продажи!G$5:G$359,Продажи!$D$5:$D$359,Конструкторы!$B544,Продажи!$C$5:$C$359,Конструкторы!$A544)</f>
        <v>0</v>
      </c>
      <c r="K544" s="166">
        <f>SUMIFS(Продажи!H$5:H$359,Продажи!$D$5:$D$359,Конструкторы!$B544,Продажи!$C$5:$C$359,Конструкторы!$A544)</f>
        <v>0</v>
      </c>
      <c r="L544" s="166">
        <f>SUMIFS(Продажи!I$5:I$359,Продажи!$D$5:$D$359,Конструкторы!$B544,Продажи!$C$5:$C$359,Конструкторы!$A544)</f>
        <v>0</v>
      </c>
      <c r="M544" s="166">
        <f>SUMIFS(Продажи!J$5:J$359,Продажи!$D$5:$D$359,Конструкторы!$B544,Продажи!$C$5:$C$359,Конструкторы!$A544)</f>
        <v>0</v>
      </c>
      <c r="N544" s="166">
        <f>SUMIFS(Продажи!K$5:K$359,Продажи!$D$5:$D$359,Конструкторы!$B544,Продажи!$C$5:$C$359,Конструкторы!$A544)</f>
        <v>0</v>
      </c>
      <c r="O544" s="166">
        <f>SUMIFS(Продажи!L$5:L$359,Продажи!$D$5:$D$359,Конструкторы!$B544,Продажи!$C$5:$C$359,Конструкторы!$A544)</f>
        <v>0</v>
      </c>
      <c r="P544" s="166">
        <f>SUMIFS(Продажи!M$5:M$359,Продажи!$D$5:$D$359,Конструкторы!$B544,Продажи!$C$5:$C$359,Конструкторы!$A544)</f>
        <v>0</v>
      </c>
      <c r="Q544" s="166">
        <f>SUMIFS(Продажи!N$5:N$359,Продажи!$D$5:$D$359,Конструкторы!$B544,Продажи!$C$5:$C$359,Конструкторы!$A544)</f>
        <v>0</v>
      </c>
      <c r="R544" s="166">
        <f>SUMIFS(Продажи!O$5:O$359,Продажи!$D$5:$D$359,Конструкторы!$B544,Продажи!$C$5:$C$359,Конструкторы!$A544)</f>
        <v>0</v>
      </c>
      <c r="S544" s="166">
        <f>SUMIFS(Продажи!P$5:P$359,Продажи!$D$5:$D$359,Конструкторы!$B544,Продажи!$C$5:$C$359,Конструкторы!$A544)</f>
        <v>0</v>
      </c>
      <c r="T544" s="166">
        <f>SUMIFS(Продажи!Q$5:Q$359,Продажи!$D$5:$D$359,Конструкторы!$B544,Продажи!$C$5:$C$359,Конструкторы!$A544)</f>
        <v>0</v>
      </c>
    </row>
    <row r="545" spans="1:20" ht="15.75" hidden="1" x14ac:dyDescent="0.25">
      <c r="A545" s="166" t="s">
        <v>397</v>
      </c>
      <c r="B545" s="167" t="s">
        <v>105</v>
      </c>
      <c r="C545" s="33" t="s">
        <v>72</v>
      </c>
      <c r="D545" s="149"/>
      <c r="E545" s="153" t="s">
        <v>70</v>
      </c>
      <c r="F545" s="148">
        <v>2</v>
      </c>
      <c r="G545" s="156" t="s">
        <v>71</v>
      </c>
      <c r="H545" s="156">
        <f>F545</f>
        <v>2</v>
      </c>
      <c r="I545" s="166">
        <f>SUMIFS(Продажи!F$5:F$359,Продажи!$D$5:$D$359,Конструкторы!$B545,Продажи!$C$5:$C$359,Конструкторы!$A545)</f>
        <v>0</v>
      </c>
      <c r="J545" s="166">
        <f>SUMIFS(Продажи!G$5:G$359,Продажи!$D$5:$D$359,Конструкторы!$B545,Продажи!$C$5:$C$359,Конструкторы!$A545)</f>
        <v>0</v>
      </c>
      <c r="K545" s="166">
        <f>SUMIFS(Продажи!H$5:H$359,Продажи!$D$5:$D$359,Конструкторы!$B545,Продажи!$C$5:$C$359,Конструкторы!$A545)</f>
        <v>0</v>
      </c>
      <c r="L545" s="166">
        <f>SUMIFS(Продажи!I$5:I$359,Продажи!$D$5:$D$359,Конструкторы!$B545,Продажи!$C$5:$C$359,Конструкторы!$A545)</f>
        <v>0</v>
      </c>
      <c r="M545" s="166">
        <f>SUMIFS(Продажи!J$5:J$359,Продажи!$D$5:$D$359,Конструкторы!$B545,Продажи!$C$5:$C$359,Конструкторы!$A545)</f>
        <v>0</v>
      </c>
      <c r="N545" s="166">
        <f>SUMIFS(Продажи!K$5:K$359,Продажи!$D$5:$D$359,Конструкторы!$B545,Продажи!$C$5:$C$359,Конструкторы!$A545)</f>
        <v>0</v>
      </c>
      <c r="O545" s="166">
        <f>SUMIFS(Продажи!L$5:L$359,Продажи!$D$5:$D$359,Конструкторы!$B545,Продажи!$C$5:$C$359,Конструкторы!$A545)</f>
        <v>0</v>
      </c>
      <c r="P545" s="166">
        <f>SUMIFS(Продажи!M$5:M$359,Продажи!$D$5:$D$359,Конструкторы!$B545,Продажи!$C$5:$C$359,Конструкторы!$A545)</f>
        <v>0</v>
      </c>
      <c r="Q545" s="166">
        <f>SUMIFS(Продажи!N$5:N$359,Продажи!$D$5:$D$359,Конструкторы!$B545,Продажи!$C$5:$C$359,Конструкторы!$A545)</f>
        <v>0</v>
      </c>
      <c r="R545" s="166">
        <f>SUMIFS(Продажи!O$5:O$359,Продажи!$D$5:$D$359,Конструкторы!$B545,Продажи!$C$5:$C$359,Конструкторы!$A545)</f>
        <v>0</v>
      </c>
      <c r="S545" s="166">
        <f>SUMIFS(Продажи!P$5:P$359,Продажи!$D$5:$D$359,Конструкторы!$B545,Продажи!$C$5:$C$359,Конструкторы!$A545)</f>
        <v>0</v>
      </c>
      <c r="T545" s="166">
        <f>SUMIFS(Продажи!Q$5:Q$359,Продажи!$D$5:$D$359,Конструкторы!$B545,Продажи!$C$5:$C$359,Конструкторы!$A545)</f>
        <v>0</v>
      </c>
    </row>
    <row r="546" spans="1:20" ht="15.75" hidden="1" x14ac:dyDescent="0.25">
      <c r="A546" s="166" t="s">
        <v>397</v>
      </c>
      <c r="B546" s="167" t="s">
        <v>105</v>
      </c>
      <c r="C546" s="33" t="s">
        <v>76</v>
      </c>
      <c r="D546" s="149"/>
      <c r="E546" s="153" t="s">
        <v>70</v>
      </c>
      <c r="F546" s="148">
        <v>8</v>
      </c>
      <c r="G546" s="156" t="s">
        <v>71</v>
      </c>
      <c r="H546" s="156">
        <f>F546</f>
        <v>8</v>
      </c>
      <c r="I546" s="166">
        <f>SUMIFS(Продажи!F$5:F$359,Продажи!$D$5:$D$359,Конструкторы!$B546,Продажи!$C$5:$C$359,Конструкторы!$A546)</f>
        <v>0</v>
      </c>
      <c r="J546" s="166">
        <f>SUMIFS(Продажи!G$5:G$359,Продажи!$D$5:$D$359,Конструкторы!$B546,Продажи!$C$5:$C$359,Конструкторы!$A546)</f>
        <v>0</v>
      </c>
      <c r="K546" s="166">
        <f>SUMIFS(Продажи!H$5:H$359,Продажи!$D$5:$D$359,Конструкторы!$B546,Продажи!$C$5:$C$359,Конструкторы!$A546)</f>
        <v>0</v>
      </c>
      <c r="L546" s="166">
        <f>SUMIFS(Продажи!I$5:I$359,Продажи!$D$5:$D$359,Конструкторы!$B546,Продажи!$C$5:$C$359,Конструкторы!$A546)</f>
        <v>0</v>
      </c>
      <c r="M546" s="166">
        <f>SUMIFS(Продажи!J$5:J$359,Продажи!$D$5:$D$359,Конструкторы!$B546,Продажи!$C$5:$C$359,Конструкторы!$A546)</f>
        <v>0</v>
      </c>
      <c r="N546" s="166">
        <f>SUMIFS(Продажи!K$5:K$359,Продажи!$D$5:$D$359,Конструкторы!$B546,Продажи!$C$5:$C$359,Конструкторы!$A546)</f>
        <v>0</v>
      </c>
      <c r="O546" s="166">
        <f>SUMIFS(Продажи!L$5:L$359,Продажи!$D$5:$D$359,Конструкторы!$B546,Продажи!$C$5:$C$359,Конструкторы!$A546)</f>
        <v>0</v>
      </c>
      <c r="P546" s="166">
        <f>SUMIFS(Продажи!M$5:M$359,Продажи!$D$5:$D$359,Конструкторы!$B546,Продажи!$C$5:$C$359,Конструкторы!$A546)</f>
        <v>0</v>
      </c>
      <c r="Q546" s="166">
        <f>SUMIFS(Продажи!N$5:N$359,Продажи!$D$5:$D$359,Конструкторы!$B546,Продажи!$C$5:$C$359,Конструкторы!$A546)</f>
        <v>0</v>
      </c>
      <c r="R546" s="166">
        <f>SUMIFS(Продажи!O$5:O$359,Продажи!$D$5:$D$359,Конструкторы!$B546,Продажи!$C$5:$C$359,Конструкторы!$A546)</f>
        <v>0</v>
      </c>
      <c r="S546" s="166">
        <f>SUMIFS(Продажи!P$5:P$359,Продажи!$D$5:$D$359,Конструкторы!$B546,Продажи!$C$5:$C$359,Конструкторы!$A546)</f>
        <v>0</v>
      </c>
      <c r="T546" s="166">
        <f>SUMIFS(Продажи!Q$5:Q$359,Продажи!$D$5:$D$359,Конструкторы!$B546,Продажи!$C$5:$C$359,Конструкторы!$A546)</f>
        <v>0</v>
      </c>
    </row>
    <row r="547" spans="1:20" ht="15.75" hidden="1" x14ac:dyDescent="0.25">
      <c r="A547" s="166" t="s">
        <v>397</v>
      </c>
      <c r="B547" s="167" t="s">
        <v>110</v>
      </c>
      <c r="C547" s="129" t="s">
        <v>61</v>
      </c>
      <c r="D547" s="149"/>
      <c r="E547" s="153" t="s">
        <v>68</v>
      </c>
      <c r="F547" s="156">
        <f>(0.7*103)/100</f>
        <v>0.72099999999999997</v>
      </c>
      <c r="G547" s="156">
        <v>2.1000000000000019E-2</v>
      </c>
      <c r="H547" s="156">
        <f>F547+G547</f>
        <v>0.74199999999999999</v>
      </c>
      <c r="I547" s="166">
        <f>SUMIFS(Продажи!F$5:F$359,Продажи!$D$5:$D$359,Конструкторы!$B547,Продажи!$C$5:$C$359,Конструкторы!$A547)</f>
        <v>0</v>
      </c>
      <c r="J547" s="166">
        <f>SUMIFS(Продажи!G$5:G$359,Продажи!$D$5:$D$359,Конструкторы!$B547,Продажи!$C$5:$C$359,Конструкторы!$A547)</f>
        <v>0</v>
      </c>
      <c r="K547" s="166">
        <f>SUMIFS(Продажи!H$5:H$359,Продажи!$D$5:$D$359,Конструкторы!$B547,Продажи!$C$5:$C$359,Конструкторы!$A547)</f>
        <v>0</v>
      </c>
      <c r="L547" s="166">
        <f>SUMIFS(Продажи!I$5:I$359,Продажи!$D$5:$D$359,Конструкторы!$B547,Продажи!$C$5:$C$359,Конструкторы!$A547)</f>
        <v>0</v>
      </c>
      <c r="M547" s="166">
        <f>SUMIFS(Продажи!J$5:J$359,Продажи!$D$5:$D$359,Конструкторы!$B547,Продажи!$C$5:$C$359,Конструкторы!$A547)</f>
        <v>0</v>
      </c>
      <c r="N547" s="166">
        <f>SUMIFS(Продажи!K$5:K$359,Продажи!$D$5:$D$359,Конструкторы!$B547,Продажи!$C$5:$C$359,Конструкторы!$A547)</f>
        <v>0</v>
      </c>
      <c r="O547" s="166">
        <f>SUMIFS(Продажи!L$5:L$359,Продажи!$D$5:$D$359,Конструкторы!$B547,Продажи!$C$5:$C$359,Конструкторы!$A547)</f>
        <v>0</v>
      </c>
      <c r="P547" s="166">
        <f>SUMIFS(Продажи!M$5:M$359,Продажи!$D$5:$D$359,Конструкторы!$B547,Продажи!$C$5:$C$359,Конструкторы!$A547)</f>
        <v>0</v>
      </c>
      <c r="Q547" s="166">
        <f>SUMIFS(Продажи!N$5:N$359,Продажи!$D$5:$D$359,Конструкторы!$B547,Продажи!$C$5:$C$359,Конструкторы!$A547)</f>
        <v>0</v>
      </c>
      <c r="R547" s="166">
        <f>SUMIFS(Продажи!O$5:O$359,Продажи!$D$5:$D$359,Конструкторы!$B547,Продажи!$C$5:$C$359,Конструкторы!$A547)</f>
        <v>0</v>
      </c>
      <c r="S547" s="166">
        <f>SUMIFS(Продажи!P$5:P$359,Продажи!$D$5:$D$359,Конструкторы!$B547,Продажи!$C$5:$C$359,Конструкторы!$A547)</f>
        <v>0</v>
      </c>
      <c r="T547" s="166">
        <f>SUMIFS(Продажи!Q$5:Q$359,Продажи!$D$5:$D$359,Конструкторы!$B547,Продажи!$C$5:$C$359,Конструкторы!$A547)</f>
        <v>0</v>
      </c>
    </row>
    <row r="548" spans="1:20" ht="15.75" hidden="1" x14ac:dyDescent="0.25">
      <c r="A548" s="166" t="s">
        <v>397</v>
      </c>
      <c r="B548" s="167" t="s">
        <v>110</v>
      </c>
      <c r="C548" s="129" t="s">
        <v>60</v>
      </c>
      <c r="D548" s="149"/>
      <c r="E548" s="153" t="s">
        <v>68</v>
      </c>
      <c r="F548" s="156">
        <f>(0.291*103)/100</f>
        <v>0.29973</v>
      </c>
      <c r="G548" s="156">
        <v>8.7300000000000155E-3</v>
      </c>
      <c r="H548" s="156">
        <f>F548+G548</f>
        <v>0.30846000000000001</v>
      </c>
      <c r="I548" s="166">
        <f>SUMIFS(Продажи!F$5:F$359,Продажи!$D$5:$D$359,Конструкторы!$B548,Продажи!$C$5:$C$359,Конструкторы!$A548)</f>
        <v>0</v>
      </c>
      <c r="J548" s="166">
        <f>SUMIFS(Продажи!G$5:G$359,Продажи!$D$5:$D$359,Конструкторы!$B548,Продажи!$C$5:$C$359,Конструкторы!$A548)</f>
        <v>0</v>
      </c>
      <c r="K548" s="166">
        <f>SUMIFS(Продажи!H$5:H$359,Продажи!$D$5:$D$359,Конструкторы!$B548,Продажи!$C$5:$C$359,Конструкторы!$A548)</f>
        <v>0</v>
      </c>
      <c r="L548" s="166">
        <f>SUMIFS(Продажи!I$5:I$359,Продажи!$D$5:$D$359,Конструкторы!$B548,Продажи!$C$5:$C$359,Конструкторы!$A548)</f>
        <v>0</v>
      </c>
      <c r="M548" s="166">
        <f>SUMIFS(Продажи!J$5:J$359,Продажи!$D$5:$D$359,Конструкторы!$B548,Продажи!$C$5:$C$359,Конструкторы!$A548)</f>
        <v>0</v>
      </c>
      <c r="N548" s="166">
        <f>SUMIFS(Продажи!K$5:K$359,Продажи!$D$5:$D$359,Конструкторы!$B548,Продажи!$C$5:$C$359,Конструкторы!$A548)</f>
        <v>0</v>
      </c>
      <c r="O548" s="166">
        <f>SUMIFS(Продажи!L$5:L$359,Продажи!$D$5:$D$359,Конструкторы!$B548,Продажи!$C$5:$C$359,Конструкторы!$A548)</f>
        <v>0</v>
      </c>
      <c r="P548" s="166">
        <f>SUMIFS(Продажи!M$5:M$359,Продажи!$D$5:$D$359,Конструкторы!$B548,Продажи!$C$5:$C$359,Конструкторы!$A548)</f>
        <v>0</v>
      </c>
      <c r="Q548" s="166">
        <f>SUMIFS(Продажи!N$5:N$359,Продажи!$D$5:$D$359,Конструкторы!$B548,Продажи!$C$5:$C$359,Конструкторы!$A548)</f>
        <v>0</v>
      </c>
      <c r="R548" s="166">
        <f>SUMIFS(Продажи!O$5:O$359,Продажи!$D$5:$D$359,Конструкторы!$B548,Продажи!$C$5:$C$359,Конструкторы!$A548)</f>
        <v>0</v>
      </c>
      <c r="S548" s="166">
        <f>SUMIFS(Продажи!P$5:P$359,Продажи!$D$5:$D$359,Конструкторы!$B548,Продажи!$C$5:$C$359,Конструкторы!$A548)</f>
        <v>0</v>
      </c>
      <c r="T548" s="166">
        <f>SUMIFS(Продажи!Q$5:Q$359,Продажи!$D$5:$D$359,Конструкторы!$B548,Продажи!$C$5:$C$359,Конструкторы!$A548)</f>
        <v>0</v>
      </c>
    </row>
    <row r="549" spans="1:20" ht="15.75" hidden="1" x14ac:dyDescent="0.25">
      <c r="A549" s="166" t="s">
        <v>397</v>
      </c>
      <c r="B549" s="167" t="s">
        <v>110</v>
      </c>
      <c r="C549" s="129" t="s">
        <v>60</v>
      </c>
      <c r="D549" s="149"/>
      <c r="E549" s="153"/>
      <c r="F549" s="156">
        <f>(0.296*103)/100</f>
        <v>0.30487999999999998</v>
      </c>
      <c r="G549" s="156">
        <v>8.879999999999999E-3</v>
      </c>
      <c r="H549" s="156">
        <f>F549+G549</f>
        <v>0.31375999999999998</v>
      </c>
      <c r="I549" s="166">
        <f>SUMIFS(Продажи!F$5:F$359,Продажи!$D$5:$D$359,Конструкторы!$B549,Продажи!$C$5:$C$359,Конструкторы!$A549)</f>
        <v>0</v>
      </c>
      <c r="J549" s="166">
        <f>SUMIFS(Продажи!G$5:G$359,Продажи!$D$5:$D$359,Конструкторы!$B549,Продажи!$C$5:$C$359,Конструкторы!$A549)</f>
        <v>0</v>
      </c>
      <c r="K549" s="166">
        <f>SUMIFS(Продажи!H$5:H$359,Продажи!$D$5:$D$359,Конструкторы!$B549,Продажи!$C$5:$C$359,Конструкторы!$A549)</f>
        <v>0</v>
      </c>
      <c r="L549" s="166">
        <f>SUMIFS(Продажи!I$5:I$359,Продажи!$D$5:$D$359,Конструкторы!$B549,Продажи!$C$5:$C$359,Конструкторы!$A549)</f>
        <v>0</v>
      </c>
      <c r="M549" s="166">
        <f>SUMIFS(Продажи!J$5:J$359,Продажи!$D$5:$D$359,Конструкторы!$B549,Продажи!$C$5:$C$359,Конструкторы!$A549)</f>
        <v>0</v>
      </c>
      <c r="N549" s="166">
        <f>SUMIFS(Продажи!K$5:K$359,Продажи!$D$5:$D$359,Конструкторы!$B549,Продажи!$C$5:$C$359,Конструкторы!$A549)</f>
        <v>0</v>
      </c>
      <c r="O549" s="166">
        <f>SUMIFS(Продажи!L$5:L$359,Продажи!$D$5:$D$359,Конструкторы!$B549,Продажи!$C$5:$C$359,Конструкторы!$A549)</f>
        <v>0</v>
      </c>
      <c r="P549" s="166">
        <f>SUMIFS(Продажи!M$5:M$359,Продажи!$D$5:$D$359,Конструкторы!$B549,Продажи!$C$5:$C$359,Конструкторы!$A549)</f>
        <v>0</v>
      </c>
      <c r="Q549" s="166">
        <f>SUMIFS(Продажи!N$5:N$359,Продажи!$D$5:$D$359,Конструкторы!$B549,Продажи!$C$5:$C$359,Конструкторы!$A549)</f>
        <v>0</v>
      </c>
      <c r="R549" s="166">
        <f>SUMIFS(Продажи!O$5:O$359,Продажи!$D$5:$D$359,Конструкторы!$B549,Продажи!$C$5:$C$359,Конструкторы!$A549)</f>
        <v>0</v>
      </c>
      <c r="S549" s="166">
        <f>SUMIFS(Продажи!P$5:P$359,Продажи!$D$5:$D$359,Конструкторы!$B549,Продажи!$C$5:$C$359,Конструкторы!$A549)</f>
        <v>0</v>
      </c>
      <c r="T549" s="166">
        <f>SUMIFS(Продажи!Q$5:Q$359,Продажи!$D$5:$D$359,Конструкторы!$B549,Продажи!$C$5:$C$359,Конструкторы!$A549)</f>
        <v>0</v>
      </c>
    </row>
    <row r="550" spans="1:20" ht="15.75" hidden="1" x14ac:dyDescent="0.25">
      <c r="A550" s="166" t="s">
        <v>397</v>
      </c>
      <c r="B550" s="167" t="s">
        <v>110</v>
      </c>
      <c r="C550" s="33" t="s">
        <v>72</v>
      </c>
      <c r="D550" s="149"/>
      <c r="E550" s="153" t="s">
        <v>70</v>
      </c>
      <c r="F550" s="148">
        <v>2</v>
      </c>
      <c r="G550" s="156" t="s">
        <v>71</v>
      </c>
      <c r="H550" s="156">
        <f>F550</f>
        <v>2</v>
      </c>
      <c r="I550" s="166">
        <f>SUMIFS(Продажи!F$5:F$359,Продажи!$D$5:$D$359,Конструкторы!$B550,Продажи!$C$5:$C$359,Конструкторы!$A550)</f>
        <v>0</v>
      </c>
      <c r="J550" s="166">
        <f>SUMIFS(Продажи!G$5:G$359,Продажи!$D$5:$D$359,Конструкторы!$B550,Продажи!$C$5:$C$359,Конструкторы!$A550)</f>
        <v>0</v>
      </c>
      <c r="K550" s="166">
        <f>SUMIFS(Продажи!H$5:H$359,Продажи!$D$5:$D$359,Конструкторы!$B550,Продажи!$C$5:$C$359,Конструкторы!$A550)</f>
        <v>0</v>
      </c>
      <c r="L550" s="166">
        <f>SUMIFS(Продажи!I$5:I$359,Продажи!$D$5:$D$359,Конструкторы!$B550,Продажи!$C$5:$C$359,Конструкторы!$A550)</f>
        <v>0</v>
      </c>
      <c r="M550" s="166">
        <f>SUMIFS(Продажи!J$5:J$359,Продажи!$D$5:$D$359,Конструкторы!$B550,Продажи!$C$5:$C$359,Конструкторы!$A550)</f>
        <v>0</v>
      </c>
      <c r="N550" s="166">
        <f>SUMIFS(Продажи!K$5:K$359,Продажи!$D$5:$D$359,Конструкторы!$B550,Продажи!$C$5:$C$359,Конструкторы!$A550)</f>
        <v>0</v>
      </c>
      <c r="O550" s="166">
        <f>SUMIFS(Продажи!L$5:L$359,Продажи!$D$5:$D$359,Конструкторы!$B550,Продажи!$C$5:$C$359,Конструкторы!$A550)</f>
        <v>0</v>
      </c>
      <c r="P550" s="166">
        <f>SUMIFS(Продажи!M$5:M$359,Продажи!$D$5:$D$359,Конструкторы!$B550,Продажи!$C$5:$C$359,Конструкторы!$A550)</f>
        <v>0</v>
      </c>
      <c r="Q550" s="166">
        <f>SUMIFS(Продажи!N$5:N$359,Продажи!$D$5:$D$359,Конструкторы!$B550,Продажи!$C$5:$C$359,Конструкторы!$A550)</f>
        <v>0</v>
      </c>
      <c r="R550" s="166">
        <f>SUMIFS(Продажи!O$5:O$359,Продажи!$D$5:$D$359,Конструкторы!$B550,Продажи!$C$5:$C$359,Конструкторы!$A550)</f>
        <v>0</v>
      </c>
      <c r="S550" s="166">
        <f>SUMIFS(Продажи!P$5:P$359,Продажи!$D$5:$D$359,Конструкторы!$B550,Продажи!$C$5:$C$359,Конструкторы!$A550)</f>
        <v>0</v>
      </c>
      <c r="T550" s="166">
        <f>SUMIFS(Продажи!Q$5:Q$359,Продажи!$D$5:$D$359,Конструкторы!$B550,Продажи!$C$5:$C$359,Конструкторы!$A550)</f>
        <v>0</v>
      </c>
    </row>
    <row r="551" spans="1:20" ht="15.75" hidden="1" x14ac:dyDescent="0.25">
      <c r="A551" s="166" t="s">
        <v>397</v>
      </c>
      <c r="B551" s="167" t="s">
        <v>110</v>
      </c>
      <c r="C551" s="33" t="s">
        <v>76</v>
      </c>
      <c r="D551" s="149"/>
      <c r="E551" s="153" t="s">
        <v>70</v>
      </c>
      <c r="F551" s="148">
        <v>8</v>
      </c>
      <c r="G551" s="156" t="s">
        <v>71</v>
      </c>
      <c r="H551" s="156">
        <f>F551</f>
        <v>8</v>
      </c>
      <c r="I551" s="166">
        <f>SUMIFS(Продажи!F$5:F$359,Продажи!$D$5:$D$359,Конструкторы!$B551,Продажи!$C$5:$C$359,Конструкторы!$A551)</f>
        <v>0</v>
      </c>
      <c r="J551" s="166">
        <f>SUMIFS(Продажи!G$5:G$359,Продажи!$D$5:$D$359,Конструкторы!$B551,Продажи!$C$5:$C$359,Конструкторы!$A551)</f>
        <v>0</v>
      </c>
      <c r="K551" s="166">
        <f>SUMIFS(Продажи!H$5:H$359,Продажи!$D$5:$D$359,Конструкторы!$B551,Продажи!$C$5:$C$359,Конструкторы!$A551)</f>
        <v>0</v>
      </c>
      <c r="L551" s="166">
        <f>SUMIFS(Продажи!I$5:I$359,Продажи!$D$5:$D$359,Конструкторы!$B551,Продажи!$C$5:$C$359,Конструкторы!$A551)</f>
        <v>0</v>
      </c>
      <c r="M551" s="166">
        <f>SUMIFS(Продажи!J$5:J$359,Продажи!$D$5:$D$359,Конструкторы!$B551,Продажи!$C$5:$C$359,Конструкторы!$A551)</f>
        <v>0</v>
      </c>
      <c r="N551" s="166">
        <f>SUMIFS(Продажи!K$5:K$359,Продажи!$D$5:$D$359,Конструкторы!$B551,Продажи!$C$5:$C$359,Конструкторы!$A551)</f>
        <v>0</v>
      </c>
      <c r="O551" s="166">
        <f>SUMIFS(Продажи!L$5:L$359,Продажи!$D$5:$D$359,Конструкторы!$B551,Продажи!$C$5:$C$359,Конструкторы!$A551)</f>
        <v>0</v>
      </c>
      <c r="P551" s="166">
        <f>SUMIFS(Продажи!M$5:M$359,Продажи!$D$5:$D$359,Конструкторы!$B551,Продажи!$C$5:$C$359,Конструкторы!$A551)</f>
        <v>0</v>
      </c>
      <c r="Q551" s="166">
        <f>SUMIFS(Продажи!N$5:N$359,Продажи!$D$5:$D$359,Конструкторы!$B551,Продажи!$C$5:$C$359,Конструкторы!$A551)</f>
        <v>0</v>
      </c>
      <c r="R551" s="166">
        <f>SUMIFS(Продажи!O$5:O$359,Продажи!$D$5:$D$359,Конструкторы!$B551,Продажи!$C$5:$C$359,Конструкторы!$A551)</f>
        <v>0</v>
      </c>
      <c r="S551" s="166">
        <f>SUMIFS(Продажи!P$5:P$359,Продажи!$D$5:$D$359,Конструкторы!$B551,Продажи!$C$5:$C$359,Конструкторы!$A551)</f>
        <v>0</v>
      </c>
      <c r="T551" s="166">
        <f>SUMIFS(Продажи!Q$5:Q$359,Продажи!$D$5:$D$359,Конструкторы!$B551,Продажи!$C$5:$C$359,Конструкторы!$A551)</f>
        <v>0</v>
      </c>
    </row>
    <row r="552" spans="1:20" ht="15.75" hidden="1" x14ac:dyDescent="0.25">
      <c r="A552" s="166" t="s">
        <v>397</v>
      </c>
      <c r="B552" s="167" t="s">
        <v>111</v>
      </c>
      <c r="C552" s="129" t="s">
        <v>62</v>
      </c>
      <c r="D552" s="149"/>
      <c r="E552" s="153" t="s">
        <v>68</v>
      </c>
      <c r="F552" s="156">
        <f>(0.7*103)/100</f>
        <v>0.72099999999999997</v>
      </c>
      <c r="G552" s="156">
        <v>2.1000000000000019E-2</v>
      </c>
      <c r="H552" s="156">
        <f>F552+G552</f>
        <v>0.74199999999999999</v>
      </c>
      <c r="I552" s="166">
        <f>SUMIFS(Продажи!F$5:F$359,Продажи!$D$5:$D$359,Конструкторы!$B552,Продажи!$C$5:$C$359,Конструкторы!$A552)</f>
        <v>0</v>
      </c>
      <c r="J552" s="166">
        <f>SUMIFS(Продажи!G$5:G$359,Продажи!$D$5:$D$359,Конструкторы!$B552,Продажи!$C$5:$C$359,Конструкторы!$A552)</f>
        <v>0</v>
      </c>
      <c r="K552" s="166">
        <f>SUMIFS(Продажи!H$5:H$359,Продажи!$D$5:$D$359,Конструкторы!$B552,Продажи!$C$5:$C$359,Конструкторы!$A552)</f>
        <v>0</v>
      </c>
      <c r="L552" s="166">
        <f>SUMIFS(Продажи!I$5:I$359,Продажи!$D$5:$D$359,Конструкторы!$B552,Продажи!$C$5:$C$359,Конструкторы!$A552)</f>
        <v>0</v>
      </c>
      <c r="M552" s="166">
        <f>SUMIFS(Продажи!J$5:J$359,Продажи!$D$5:$D$359,Конструкторы!$B552,Продажи!$C$5:$C$359,Конструкторы!$A552)</f>
        <v>0</v>
      </c>
      <c r="N552" s="166">
        <f>SUMIFS(Продажи!K$5:K$359,Продажи!$D$5:$D$359,Конструкторы!$B552,Продажи!$C$5:$C$359,Конструкторы!$A552)</f>
        <v>0</v>
      </c>
      <c r="O552" s="166">
        <f>SUMIFS(Продажи!L$5:L$359,Продажи!$D$5:$D$359,Конструкторы!$B552,Продажи!$C$5:$C$359,Конструкторы!$A552)</f>
        <v>0</v>
      </c>
      <c r="P552" s="166">
        <f>SUMIFS(Продажи!M$5:M$359,Продажи!$D$5:$D$359,Конструкторы!$B552,Продажи!$C$5:$C$359,Конструкторы!$A552)</f>
        <v>0</v>
      </c>
      <c r="Q552" s="166">
        <f>SUMIFS(Продажи!N$5:N$359,Продажи!$D$5:$D$359,Конструкторы!$B552,Продажи!$C$5:$C$359,Конструкторы!$A552)</f>
        <v>0</v>
      </c>
      <c r="R552" s="166">
        <f>SUMIFS(Продажи!O$5:O$359,Продажи!$D$5:$D$359,Конструкторы!$B552,Продажи!$C$5:$C$359,Конструкторы!$A552)</f>
        <v>0</v>
      </c>
      <c r="S552" s="166">
        <f>SUMIFS(Продажи!P$5:P$359,Продажи!$D$5:$D$359,Конструкторы!$B552,Продажи!$C$5:$C$359,Конструкторы!$A552)</f>
        <v>0</v>
      </c>
      <c r="T552" s="166">
        <f>SUMIFS(Продажи!Q$5:Q$359,Продажи!$D$5:$D$359,Конструкторы!$B552,Продажи!$C$5:$C$359,Конструкторы!$A552)</f>
        <v>0</v>
      </c>
    </row>
    <row r="553" spans="1:20" ht="15.75" hidden="1" x14ac:dyDescent="0.25">
      <c r="A553" s="166" t="s">
        <v>397</v>
      </c>
      <c r="B553" s="167" t="s">
        <v>111</v>
      </c>
      <c r="C553" s="129" t="s">
        <v>60</v>
      </c>
      <c r="D553" s="149"/>
      <c r="E553" s="153" t="s">
        <v>68</v>
      </c>
      <c r="F553" s="156">
        <f>(0.29*103)/100</f>
        <v>0.29869999999999997</v>
      </c>
      <c r="G553" s="156">
        <v>8.6999999999999855E-3</v>
      </c>
      <c r="H553" s="156">
        <f>F553+G553</f>
        <v>0.30739999999999995</v>
      </c>
      <c r="I553" s="166">
        <f>SUMIFS(Продажи!F$5:F$359,Продажи!$D$5:$D$359,Конструкторы!$B553,Продажи!$C$5:$C$359,Конструкторы!$A553)</f>
        <v>0</v>
      </c>
      <c r="J553" s="166">
        <f>SUMIFS(Продажи!G$5:G$359,Продажи!$D$5:$D$359,Конструкторы!$B553,Продажи!$C$5:$C$359,Конструкторы!$A553)</f>
        <v>0</v>
      </c>
      <c r="K553" s="166">
        <f>SUMIFS(Продажи!H$5:H$359,Продажи!$D$5:$D$359,Конструкторы!$B553,Продажи!$C$5:$C$359,Конструкторы!$A553)</f>
        <v>0</v>
      </c>
      <c r="L553" s="166">
        <f>SUMIFS(Продажи!I$5:I$359,Продажи!$D$5:$D$359,Конструкторы!$B553,Продажи!$C$5:$C$359,Конструкторы!$A553)</f>
        <v>0</v>
      </c>
      <c r="M553" s="166">
        <f>SUMIFS(Продажи!J$5:J$359,Продажи!$D$5:$D$359,Конструкторы!$B553,Продажи!$C$5:$C$359,Конструкторы!$A553)</f>
        <v>0</v>
      </c>
      <c r="N553" s="166">
        <f>SUMIFS(Продажи!K$5:K$359,Продажи!$D$5:$D$359,Конструкторы!$B553,Продажи!$C$5:$C$359,Конструкторы!$A553)</f>
        <v>0</v>
      </c>
      <c r="O553" s="166">
        <f>SUMIFS(Продажи!L$5:L$359,Продажи!$D$5:$D$359,Конструкторы!$B553,Продажи!$C$5:$C$359,Конструкторы!$A553)</f>
        <v>0</v>
      </c>
      <c r="P553" s="166">
        <f>SUMIFS(Продажи!M$5:M$359,Продажи!$D$5:$D$359,Конструкторы!$B553,Продажи!$C$5:$C$359,Конструкторы!$A553)</f>
        <v>0</v>
      </c>
      <c r="Q553" s="166">
        <f>SUMIFS(Продажи!N$5:N$359,Продажи!$D$5:$D$359,Конструкторы!$B553,Продажи!$C$5:$C$359,Конструкторы!$A553)</f>
        <v>0</v>
      </c>
      <c r="R553" s="166">
        <f>SUMIFS(Продажи!O$5:O$359,Продажи!$D$5:$D$359,Конструкторы!$B553,Продажи!$C$5:$C$359,Конструкторы!$A553)</f>
        <v>0</v>
      </c>
      <c r="S553" s="166">
        <f>SUMIFS(Продажи!P$5:P$359,Продажи!$D$5:$D$359,Конструкторы!$B553,Продажи!$C$5:$C$359,Конструкторы!$A553)</f>
        <v>0</v>
      </c>
      <c r="T553" s="166">
        <f>SUMIFS(Продажи!Q$5:Q$359,Продажи!$D$5:$D$359,Конструкторы!$B553,Продажи!$C$5:$C$359,Конструкторы!$A553)</f>
        <v>0</v>
      </c>
    </row>
    <row r="554" spans="1:20" ht="15.75" hidden="1" x14ac:dyDescent="0.25">
      <c r="A554" s="166" t="s">
        <v>397</v>
      </c>
      <c r="B554" s="167" t="s">
        <v>111</v>
      </c>
      <c r="C554" s="129" t="s">
        <v>60</v>
      </c>
      <c r="D554" s="149"/>
      <c r="E554" s="153"/>
      <c r="F554" s="156">
        <f>(0.288*103)/100</f>
        <v>0.29663999999999996</v>
      </c>
      <c r="G554" s="156">
        <v>8.639999999999981E-3</v>
      </c>
      <c r="H554" s="156">
        <f>F554+G554</f>
        <v>0.30527999999999994</v>
      </c>
      <c r="I554" s="166">
        <f>SUMIFS(Продажи!F$5:F$359,Продажи!$D$5:$D$359,Конструкторы!$B554,Продажи!$C$5:$C$359,Конструкторы!$A554)</f>
        <v>0</v>
      </c>
      <c r="J554" s="166">
        <f>SUMIFS(Продажи!G$5:G$359,Продажи!$D$5:$D$359,Конструкторы!$B554,Продажи!$C$5:$C$359,Конструкторы!$A554)</f>
        <v>0</v>
      </c>
      <c r="K554" s="166">
        <f>SUMIFS(Продажи!H$5:H$359,Продажи!$D$5:$D$359,Конструкторы!$B554,Продажи!$C$5:$C$359,Конструкторы!$A554)</f>
        <v>0</v>
      </c>
      <c r="L554" s="166">
        <f>SUMIFS(Продажи!I$5:I$359,Продажи!$D$5:$D$359,Конструкторы!$B554,Продажи!$C$5:$C$359,Конструкторы!$A554)</f>
        <v>0</v>
      </c>
      <c r="M554" s="166">
        <f>SUMIFS(Продажи!J$5:J$359,Продажи!$D$5:$D$359,Конструкторы!$B554,Продажи!$C$5:$C$359,Конструкторы!$A554)</f>
        <v>0</v>
      </c>
      <c r="N554" s="166">
        <f>SUMIFS(Продажи!K$5:K$359,Продажи!$D$5:$D$359,Конструкторы!$B554,Продажи!$C$5:$C$359,Конструкторы!$A554)</f>
        <v>0</v>
      </c>
      <c r="O554" s="166">
        <f>SUMIFS(Продажи!L$5:L$359,Продажи!$D$5:$D$359,Конструкторы!$B554,Продажи!$C$5:$C$359,Конструкторы!$A554)</f>
        <v>0</v>
      </c>
      <c r="P554" s="166">
        <f>SUMIFS(Продажи!M$5:M$359,Продажи!$D$5:$D$359,Конструкторы!$B554,Продажи!$C$5:$C$359,Конструкторы!$A554)</f>
        <v>0</v>
      </c>
      <c r="Q554" s="166">
        <f>SUMIFS(Продажи!N$5:N$359,Продажи!$D$5:$D$359,Конструкторы!$B554,Продажи!$C$5:$C$359,Конструкторы!$A554)</f>
        <v>0</v>
      </c>
      <c r="R554" s="166">
        <f>SUMIFS(Продажи!O$5:O$359,Продажи!$D$5:$D$359,Конструкторы!$B554,Продажи!$C$5:$C$359,Конструкторы!$A554)</f>
        <v>0</v>
      </c>
      <c r="S554" s="166">
        <f>SUMIFS(Продажи!P$5:P$359,Продажи!$D$5:$D$359,Конструкторы!$B554,Продажи!$C$5:$C$359,Конструкторы!$A554)</f>
        <v>0</v>
      </c>
      <c r="T554" s="166">
        <f>SUMIFS(Продажи!Q$5:Q$359,Продажи!$D$5:$D$359,Конструкторы!$B554,Продажи!$C$5:$C$359,Конструкторы!$A554)</f>
        <v>0</v>
      </c>
    </row>
    <row r="555" spans="1:20" ht="15.75" hidden="1" x14ac:dyDescent="0.25">
      <c r="A555" s="166" t="s">
        <v>397</v>
      </c>
      <c r="B555" s="167" t="s">
        <v>111</v>
      </c>
      <c r="C555" s="33" t="s">
        <v>72</v>
      </c>
      <c r="D555" s="149"/>
      <c r="E555" s="153" t="s">
        <v>70</v>
      </c>
      <c r="F555" s="148">
        <v>2</v>
      </c>
      <c r="G555" s="156" t="s">
        <v>71</v>
      </c>
      <c r="H555" s="156">
        <f>F555</f>
        <v>2</v>
      </c>
      <c r="I555" s="166">
        <f>SUMIFS(Продажи!F$5:F$359,Продажи!$D$5:$D$359,Конструкторы!$B555,Продажи!$C$5:$C$359,Конструкторы!$A555)</f>
        <v>0</v>
      </c>
      <c r="J555" s="166">
        <f>SUMIFS(Продажи!G$5:G$359,Продажи!$D$5:$D$359,Конструкторы!$B555,Продажи!$C$5:$C$359,Конструкторы!$A555)</f>
        <v>0</v>
      </c>
      <c r="K555" s="166">
        <f>SUMIFS(Продажи!H$5:H$359,Продажи!$D$5:$D$359,Конструкторы!$B555,Продажи!$C$5:$C$359,Конструкторы!$A555)</f>
        <v>0</v>
      </c>
      <c r="L555" s="166">
        <f>SUMIFS(Продажи!I$5:I$359,Продажи!$D$5:$D$359,Конструкторы!$B555,Продажи!$C$5:$C$359,Конструкторы!$A555)</f>
        <v>0</v>
      </c>
      <c r="M555" s="166">
        <f>SUMIFS(Продажи!J$5:J$359,Продажи!$D$5:$D$359,Конструкторы!$B555,Продажи!$C$5:$C$359,Конструкторы!$A555)</f>
        <v>0</v>
      </c>
      <c r="N555" s="166">
        <f>SUMIFS(Продажи!K$5:K$359,Продажи!$D$5:$D$359,Конструкторы!$B555,Продажи!$C$5:$C$359,Конструкторы!$A555)</f>
        <v>0</v>
      </c>
      <c r="O555" s="166">
        <f>SUMIFS(Продажи!L$5:L$359,Продажи!$D$5:$D$359,Конструкторы!$B555,Продажи!$C$5:$C$359,Конструкторы!$A555)</f>
        <v>0</v>
      </c>
      <c r="P555" s="166">
        <f>SUMIFS(Продажи!M$5:M$359,Продажи!$D$5:$D$359,Конструкторы!$B555,Продажи!$C$5:$C$359,Конструкторы!$A555)</f>
        <v>0</v>
      </c>
      <c r="Q555" s="166">
        <f>SUMIFS(Продажи!N$5:N$359,Продажи!$D$5:$D$359,Конструкторы!$B555,Продажи!$C$5:$C$359,Конструкторы!$A555)</f>
        <v>0</v>
      </c>
      <c r="R555" s="166">
        <f>SUMIFS(Продажи!O$5:O$359,Продажи!$D$5:$D$359,Конструкторы!$B555,Продажи!$C$5:$C$359,Конструкторы!$A555)</f>
        <v>0</v>
      </c>
      <c r="S555" s="166">
        <f>SUMIFS(Продажи!P$5:P$359,Продажи!$D$5:$D$359,Конструкторы!$B555,Продажи!$C$5:$C$359,Конструкторы!$A555)</f>
        <v>0</v>
      </c>
      <c r="T555" s="166">
        <f>SUMIFS(Продажи!Q$5:Q$359,Продажи!$D$5:$D$359,Конструкторы!$B555,Продажи!$C$5:$C$359,Конструкторы!$A555)</f>
        <v>0</v>
      </c>
    </row>
    <row r="556" spans="1:20" ht="15.75" hidden="1" x14ac:dyDescent="0.25">
      <c r="A556" s="166" t="s">
        <v>397</v>
      </c>
      <c r="B556" s="167" t="s">
        <v>111</v>
      </c>
      <c r="C556" s="33" t="s">
        <v>76</v>
      </c>
      <c r="D556" s="149"/>
      <c r="E556" s="153" t="s">
        <v>70</v>
      </c>
      <c r="F556" s="148">
        <v>8</v>
      </c>
      <c r="G556" s="156" t="s">
        <v>71</v>
      </c>
      <c r="H556" s="156">
        <f>F556</f>
        <v>8</v>
      </c>
      <c r="I556" s="166">
        <f>SUMIFS(Продажи!F$5:F$359,Продажи!$D$5:$D$359,Конструкторы!$B556,Продажи!$C$5:$C$359,Конструкторы!$A556)</f>
        <v>0</v>
      </c>
      <c r="J556" s="166">
        <f>SUMIFS(Продажи!G$5:G$359,Продажи!$D$5:$D$359,Конструкторы!$B556,Продажи!$C$5:$C$359,Конструкторы!$A556)</f>
        <v>0</v>
      </c>
      <c r="K556" s="166">
        <f>SUMIFS(Продажи!H$5:H$359,Продажи!$D$5:$D$359,Конструкторы!$B556,Продажи!$C$5:$C$359,Конструкторы!$A556)</f>
        <v>0</v>
      </c>
      <c r="L556" s="166">
        <f>SUMIFS(Продажи!I$5:I$359,Продажи!$D$5:$D$359,Конструкторы!$B556,Продажи!$C$5:$C$359,Конструкторы!$A556)</f>
        <v>0</v>
      </c>
      <c r="M556" s="166">
        <f>SUMIFS(Продажи!J$5:J$359,Продажи!$D$5:$D$359,Конструкторы!$B556,Продажи!$C$5:$C$359,Конструкторы!$A556)</f>
        <v>0</v>
      </c>
      <c r="N556" s="166">
        <f>SUMIFS(Продажи!K$5:K$359,Продажи!$D$5:$D$359,Конструкторы!$B556,Продажи!$C$5:$C$359,Конструкторы!$A556)</f>
        <v>0</v>
      </c>
      <c r="O556" s="166">
        <f>SUMIFS(Продажи!L$5:L$359,Продажи!$D$5:$D$359,Конструкторы!$B556,Продажи!$C$5:$C$359,Конструкторы!$A556)</f>
        <v>0</v>
      </c>
      <c r="P556" s="166">
        <f>SUMIFS(Продажи!M$5:M$359,Продажи!$D$5:$D$359,Конструкторы!$B556,Продажи!$C$5:$C$359,Конструкторы!$A556)</f>
        <v>0</v>
      </c>
      <c r="Q556" s="166">
        <f>SUMIFS(Продажи!N$5:N$359,Продажи!$D$5:$D$359,Конструкторы!$B556,Продажи!$C$5:$C$359,Конструкторы!$A556)</f>
        <v>0</v>
      </c>
      <c r="R556" s="166">
        <f>SUMIFS(Продажи!O$5:O$359,Продажи!$D$5:$D$359,Конструкторы!$B556,Продажи!$C$5:$C$359,Конструкторы!$A556)</f>
        <v>0</v>
      </c>
      <c r="S556" s="166">
        <f>SUMIFS(Продажи!P$5:P$359,Продажи!$D$5:$D$359,Конструкторы!$B556,Продажи!$C$5:$C$359,Конструкторы!$A556)</f>
        <v>0</v>
      </c>
      <c r="T556" s="166">
        <f>SUMIFS(Продажи!Q$5:Q$359,Продажи!$D$5:$D$359,Конструкторы!$B556,Продажи!$C$5:$C$359,Конструкторы!$A556)</f>
        <v>0</v>
      </c>
    </row>
    <row r="557" spans="1:20" ht="15.75" hidden="1" x14ac:dyDescent="0.25">
      <c r="A557" s="166" t="s">
        <v>397</v>
      </c>
      <c r="B557" s="167" t="s">
        <v>112</v>
      </c>
      <c r="C557" s="129" t="s">
        <v>63</v>
      </c>
      <c r="D557" s="149"/>
      <c r="E557" s="153" t="s">
        <v>68</v>
      </c>
      <c r="F557" s="156">
        <f>(0.7*103)/100</f>
        <v>0.72099999999999997</v>
      </c>
      <c r="G557" s="156">
        <v>2.1000000000000019E-2</v>
      </c>
      <c r="H557" s="156">
        <f>F557+G557</f>
        <v>0.74199999999999999</v>
      </c>
      <c r="I557" s="166">
        <f>SUMIFS(Продажи!F$5:F$359,Продажи!$D$5:$D$359,Конструкторы!$B557,Продажи!$C$5:$C$359,Конструкторы!$A557)</f>
        <v>0</v>
      </c>
      <c r="J557" s="166">
        <f>SUMIFS(Продажи!G$5:G$359,Продажи!$D$5:$D$359,Конструкторы!$B557,Продажи!$C$5:$C$359,Конструкторы!$A557)</f>
        <v>0</v>
      </c>
      <c r="K557" s="166">
        <f>SUMIFS(Продажи!H$5:H$359,Продажи!$D$5:$D$359,Конструкторы!$B557,Продажи!$C$5:$C$359,Конструкторы!$A557)</f>
        <v>0</v>
      </c>
      <c r="L557" s="166">
        <f>SUMIFS(Продажи!I$5:I$359,Продажи!$D$5:$D$359,Конструкторы!$B557,Продажи!$C$5:$C$359,Конструкторы!$A557)</f>
        <v>0</v>
      </c>
      <c r="M557" s="166">
        <f>SUMIFS(Продажи!J$5:J$359,Продажи!$D$5:$D$359,Конструкторы!$B557,Продажи!$C$5:$C$359,Конструкторы!$A557)</f>
        <v>0</v>
      </c>
      <c r="N557" s="166">
        <f>SUMIFS(Продажи!K$5:K$359,Продажи!$D$5:$D$359,Конструкторы!$B557,Продажи!$C$5:$C$359,Конструкторы!$A557)</f>
        <v>0</v>
      </c>
      <c r="O557" s="166">
        <f>SUMIFS(Продажи!L$5:L$359,Продажи!$D$5:$D$359,Конструкторы!$B557,Продажи!$C$5:$C$359,Конструкторы!$A557)</f>
        <v>0</v>
      </c>
      <c r="P557" s="166">
        <f>SUMIFS(Продажи!M$5:M$359,Продажи!$D$5:$D$359,Конструкторы!$B557,Продажи!$C$5:$C$359,Конструкторы!$A557)</f>
        <v>0</v>
      </c>
      <c r="Q557" s="166">
        <f>SUMIFS(Продажи!N$5:N$359,Продажи!$D$5:$D$359,Конструкторы!$B557,Продажи!$C$5:$C$359,Конструкторы!$A557)</f>
        <v>0</v>
      </c>
      <c r="R557" s="166">
        <f>SUMIFS(Продажи!O$5:O$359,Продажи!$D$5:$D$359,Конструкторы!$B557,Продажи!$C$5:$C$359,Конструкторы!$A557)</f>
        <v>0</v>
      </c>
      <c r="S557" s="166">
        <f>SUMIFS(Продажи!P$5:P$359,Продажи!$D$5:$D$359,Конструкторы!$B557,Продажи!$C$5:$C$359,Конструкторы!$A557)</f>
        <v>0</v>
      </c>
      <c r="T557" s="166">
        <f>SUMIFS(Продажи!Q$5:Q$359,Продажи!$D$5:$D$359,Конструкторы!$B557,Продажи!$C$5:$C$359,Конструкторы!$A557)</f>
        <v>0</v>
      </c>
    </row>
    <row r="558" spans="1:20" ht="15.75" hidden="1" x14ac:dyDescent="0.25">
      <c r="A558" s="166" t="s">
        <v>397</v>
      </c>
      <c r="B558" s="167" t="s">
        <v>112</v>
      </c>
      <c r="C558" s="129" t="s">
        <v>60</v>
      </c>
      <c r="D558" s="149"/>
      <c r="E558" s="153" t="s">
        <v>68</v>
      </c>
      <c r="F558" s="156">
        <f>(0.29*103)/100</f>
        <v>0.29869999999999997</v>
      </c>
      <c r="G558" s="156">
        <v>8.6999999999999855E-3</v>
      </c>
      <c r="H558" s="156">
        <f>F558+G558</f>
        <v>0.30739999999999995</v>
      </c>
      <c r="I558" s="166">
        <f>SUMIFS(Продажи!F$5:F$359,Продажи!$D$5:$D$359,Конструкторы!$B558,Продажи!$C$5:$C$359,Конструкторы!$A558)</f>
        <v>0</v>
      </c>
      <c r="J558" s="166">
        <f>SUMIFS(Продажи!G$5:G$359,Продажи!$D$5:$D$359,Конструкторы!$B558,Продажи!$C$5:$C$359,Конструкторы!$A558)</f>
        <v>0</v>
      </c>
      <c r="K558" s="166">
        <f>SUMIFS(Продажи!H$5:H$359,Продажи!$D$5:$D$359,Конструкторы!$B558,Продажи!$C$5:$C$359,Конструкторы!$A558)</f>
        <v>0</v>
      </c>
      <c r="L558" s="166">
        <f>SUMIFS(Продажи!I$5:I$359,Продажи!$D$5:$D$359,Конструкторы!$B558,Продажи!$C$5:$C$359,Конструкторы!$A558)</f>
        <v>0</v>
      </c>
      <c r="M558" s="166">
        <f>SUMIFS(Продажи!J$5:J$359,Продажи!$D$5:$D$359,Конструкторы!$B558,Продажи!$C$5:$C$359,Конструкторы!$A558)</f>
        <v>0</v>
      </c>
      <c r="N558" s="166">
        <f>SUMIFS(Продажи!K$5:K$359,Продажи!$D$5:$D$359,Конструкторы!$B558,Продажи!$C$5:$C$359,Конструкторы!$A558)</f>
        <v>0</v>
      </c>
      <c r="O558" s="166">
        <f>SUMIFS(Продажи!L$5:L$359,Продажи!$D$5:$D$359,Конструкторы!$B558,Продажи!$C$5:$C$359,Конструкторы!$A558)</f>
        <v>0</v>
      </c>
      <c r="P558" s="166">
        <f>SUMIFS(Продажи!M$5:M$359,Продажи!$D$5:$D$359,Конструкторы!$B558,Продажи!$C$5:$C$359,Конструкторы!$A558)</f>
        <v>0</v>
      </c>
      <c r="Q558" s="166">
        <f>SUMIFS(Продажи!N$5:N$359,Продажи!$D$5:$D$359,Конструкторы!$B558,Продажи!$C$5:$C$359,Конструкторы!$A558)</f>
        <v>0</v>
      </c>
      <c r="R558" s="166">
        <f>SUMIFS(Продажи!O$5:O$359,Продажи!$D$5:$D$359,Конструкторы!$B558,Продажи!$C$5:$C$359,Конструкторы!$A558)</f>
        <v>0</v>
      </c>
      <c r="S558" s="166">
        <f>SUMIFS(Продажи!P$5:P$359,Продажи!$D$5:$D$359,Конструкторы!$B558,Продажи!$C$5:$C$359,Конструкторы!$A558)</f>
        <v>0</v>
      </c>
      <c r="T558" s="166">
        <f>SUMIFS(Продажи!Q$5:Q$359,Продажи!$D$5:$D$359,Конструкторы!$B558,Продажи!$C$5:$C$359,Конструкторы!$A558)</f>
        <v>0</v>
      </c>
    </row>
    <row r="559" spans="1:20" ht="15.75" hidden="1" x14ac:dyDescent="0.25">
      <c r="A559" s="166" t="s">
        <v>397</v>
      </c>
      <c r="B559" s="167" t="s">
        <v>112</v>
      </c>
      <c r="C559" s="129" t="s">
        <v>60</v>
      </c>
      <c r="D559" s="149"/>
      <c r="E559" s="153"/>
      <c r="F559" s="156">
        <f>(0.288*103)/100</f>
        <v>0.29663999999999996</v>
      </c>
      <c r="G559" s="156">
        <v>8.639999999999981E-3</v>
      </c>
      <c r="H559" s="156">
        <f>F559+G559</f>
        <v>0.30527999999999994</v>
      </c>
      <c r="I559" s="166">
        <f>SUMIFS(Продажи!F$5:F$359,Продажи!$D$5:$D$359,Конструкторы!$B559,Продажи!$C$5:$C$359,Конструкторы!$A559)</f>
        <v>0</v>
      </c>
      <c r="J559" s="166">
        <f>SUMIFS(Продажи!G$5:G$359,Продажи!$D$5:$D$359,Конструкторы!$B559,Продажи!$C$5:$C$359,Конструкторы!$A559)</f>
        <v>0</v>
      </c>
      <c r="K559" s="166">
        <f>SUMIFS(Продажи!H$5:H$359,Продажи!$D$5:$D$359,Конструкторы!$B559,Продажи!$C$5:$C$359,Конструкторы!$A559)</f>
        <v>0</v>
      </c>
      <c r="L559" s="166">
        <f>SUMIFS(Продажи!I$5:I$359,Продажи!$D$5:$D$359,Конструкторы!$B559,Продажи!$C$5:$C$359,Конструкторы!$A559)</f>
        <v>0</v>
      </c>
      <c r="M559" s="166">
        <f>SUMIFS(Продажи!J$5:J$359,Продажи!$D$5:$D$359,Конструкторы!$B559,Продажи!$C$5:$C$359,Конструкторы!$A559)</f>
        <v>0</v>
      </c>
      <c r="N559" s="166">
        <f>SUMIFS(Продажи!K$5:K$359,Продажи!$D$5:$D$359,Конструкторы!$B559,Продажи!$C$5:$C$359,Конструкторы!$A559)</f>
        <v>0</v>
      </c>
      <c r="O559" s="166">
        <f>SUMIFS(Продажи!L$5:L$359,Продажи!$D$5:$D$359,Конструкторы!$B559,Продажи!$C$5:$C$359,Конструкторы!$A559)</f>
        <v>0</v>
      </c>
      <c r="P559" s="166">
        <f>SUMIFS(Продажи!M$5:M$359,Продажи!$D$5:$D$359,Конструкторы!$B559,Продажи!$C$5:$C$359,Конструкторы!$A559)</f>
        <v>0</v>
      </c>
      <c r="Q559" s="166">
        <f>SUMIFS(Продажи!N$5:N$359,Продажи!$D$5:$D$359,Конструкторы!$B559,Продажи!$C$5:$C$359,Конструкторы!$A559)</f>
        <v>0</v>
      </c>
      <c r="R559" s="166">
        <f>SUMIFS(Продажи!O$5:O$359,Продажи!$D$5:$D$359,Конструкторы!$B559,Продажи!$C$5:$C$359,Конструкторы!$A559)</f>
        <v>0</v>
      </c>
      <c r="S559" s="166">
        <f>SUMIFS(Продажи!P$5:P$359,Продажи!$D$5:$D$359,Конструкторы!$B559,Продажи!$C$5:$C$359,Конструкторы!$A559)</f>
        <v>0</v>
      </c>
      <c r="T559" s="166">
        <f>SUMIFS(Продажи!Q$5:Q$359,Продажи!$D$5:$D$359,Конструкторы!$B559,Продажи!$C$5:$C$359,Конструкторы!$A559)</f>
        <v>0</v>
      </c>
    </row>
    <row r="560" spans="1:20" ht="15.75" hidden="1" x14ac:dyDescent="0.25">
      <c r="A560" s="166" t="s">
        <v>397</v>
      </c>
      <c r="B560" s="167" t="s">
        <v>112</v>
      </c>
      <c r="C560" s="33" t="s">
        <v>72</v>
      </c>
      <c r="D560" s="149"/>
      <c r="E560" s="153" t="s">
        <v>70</v>
      </c>
      <c r="F560" s="148">
        <v>2</v>
      </c>
      <c r="G560" s="156" t="s">
        <v>71</v>
      </c>
      <c r="H560" s="156">
        <f>F560</f>
        <v>2</v>
      </c>
      <c r="I560" s="166">
        <f>SUMIFS(Продажи!F$5:F$359,Продажи!$D$5:$D$359,Конструкторы!$B560,Продажи!$C$5:$C$359,Конструкторы!$A560)</f>
        <v>0</v>
      </c>
      <c r="J560" s="166">
        <f>SUMIFS(Продажи!G$5:G$359,Продажи!$D$5:$D$359,Конструкторы!$B560,Продажи!$C$5:$C$359,Конструкторы!$A560)</f>
        <v>0</v>
      </c>
      <c r="K560" s="166">
        <f>SUMIFS(Продажи!H$5:H$359,Продажи!$D$5:$D$359,Конструкторы!$B560,Продажи!$C$5:$C$359,Конструкторы!$A560)</f>
        <v>0</v>
      </c>
      <c r="L560" s="166">
        <f>SUMIFS(Продажи!I$5:I$359,Продажи!$D$5:$D$359,Конструкторы!$B560,Продажи!$C$5:$C$359,Конструкторы!$A560)</f>
        <v>0</v>
      </c>
      <c r="M560" s="166">
        <f>SUMIFS(Продажи!J$5:J$359,Продажи!$D$5:$D$359,Конструкторы!$B560,Продажи!$C$5:$C$359,Конструкторы!$A560)</f>
        <v>0</v>
      </c>
      <c r="N560" s="166">
        <f>SUMIFS(Продажи!K$5:K$359,Продажи!$D$5:$D$359,Конструкторы!$B560,Продажи!$C$5:$C$359,Конструкторы!$A560)</f>
        <v>0</v>
      </c>
      <c r="O560" s="166">
        <f>SUMIFS(Продажи!L$5:L$359,Продажи!$D$5:$D$359,Конструкторы!$B560,Продажи!$C$5:$C$359,Конструкторы!$A560)</f>
        <v>0</v>
      </c>
      <c r="P560" s="166">
        <f>SUMIFS(Продажи!M$5:M$359,Продажи!$D$5:$D$359,Конструкторы!$B560,Продажи!$C$5:$C$359,Конструкторы!$A560)</f>
        <v>0</v>
      </c>
      <c r="Q560" s="166">
        <f>SUMIFS(Продажи!N$5:N$359,Продажи!$D$5:$D$359,Конструкторы!$B560,Продажи!$C$5:$C$359,Конструкторы!$A560)</f>
        <v>0</v>
      </c>
      <c r="R560" s="166">
        <f>SUMIFS(Продажи!O$5:O$359,Продажи!$D$5:$D$359,Конструкторы!$B560,Продажи!$C$5:$C$359,Конструкторы!$A560)</f>
        <v>0</v>
      </c>
      <c r="S560" s="166">
        <f>SUMIFS(Продажи!P$5:P$359,Продажи!$D$5:$D$359,Конструкторы!$B560,Продажи!$C$5:$C$359,Конструкторы!$A560)</f>
        <v>0</v>
      </c>
      <c r="T560" s="166">
        <f>SUMIFS(Продажи!Q$5:Q$359,Продажи!$D$5:$D$359,Конструкторы!$B560,Продажи!$C$5:$C$359,Конструкторы!$A560)</f>
        <v>0</v>
      </c>
    </row>
    <row r="561" spans="1:20" ht="15.75" hidden="1" x14ac:dyDescent="0.25">
      <c r="A561" s="166" t="s">
        <v>397</v>
      </c>
      <c r="B561" s="167" t="s">
        <v>112</v>
      </c>
      <c r="C561" s="33" t="s">
        <v>76</v>
      </c>
      <c r="D561" s="149"/>
      <c r="E561" s="153" t="s">
        <v>70</v>
      </c>
      <c r="F561" s="148">
        <v>8</v>
      </c>
      <c r="G561" s="156" t="s">
        <v>71</v>
      </c>
      <c r="H561" s="156">
        <f>F561</f>
        <v>8</v>
      </c>
      <c r="I561" s="166">
        <f>SUMIFS(Продажи!F$5:F$359,Продажи!$D$5:$D$359,Конструкторы!$B561,Продажи!$C$5:$C$359,Конструкторы!$A561)</f>
        <v>0</v>
      </c>
      <c r="J561" s="166">
        <f>SUMIFS(Продажи!G$5:G$359,Продажи!$D$5:$D$359,Конструкторы!$B561,Продажи!$C$5:$C$359,Конструкторы!$A561)</f>
        <v>0</v>
      </c>
      <c r="K561" s="166">
        <f>SUMIFS(Продажи!H$5:H$359,Продажи!$D$5:$D$359,Конструкторы!$B561,Продажи!$C$5:$C$359,Конструкторы!$A561)</f>
        <v>0</v>
      </c>
      <c r="L561" s="166">
        <f>SUMIFS(Продажи!I$5:I$359,Продажи!$D$5:$D$359,Конструкторы!$B561,Продажи!$C$5:$C$359,Конструкторы!$A561)</f>
        <v>0</v>
      </c>
      <c r="M561" s="166">
        <f>SUMIFS(Продажи!J$5:J$359,Продажи!$D$5:$D$359,Конструкторы!$B561,Продажи!$C$5:$C$359,Конструкторы!$A561)</f>
        <v>0</v>
      </c>
      <c r="N561" s="166">
        <f>SUMIFS(Продажи!K$5:K$359,Продажи!$D$5:$D$359,Конструкторы!$B561,Продажи!$C$5:$C$359,Конструкторы!$A561)</f>
        <v>0</v>
      </c>
      <c r="O561" s="166">
        <f>SUMIFS(Продажи!L$5:L$359,Продажи!$D$5:$D$359,Конструкторы!$B561,Продажи!$C$5:$C$359,Конструкторы!$A561)</f>
        <v>0</v>
      </c>
      <c r="P561" s="166">
        <f>SUMIFS(Продажи!M$5:M$359,Продажи!$D$5:$D$359,Конструкторы!$B561,Продажи!$C$5:$C$359,Конструкторы!$A561)</f>
        <v>0</v>
      </c>
      <c r="Q561" s="166">
        <f>SUMIFS(Продажи!N$5:N$359,Продажи!$D$5:$D$359,Конструкторы!$B561,Продажи!$C$5:$C$359,Конструкторы!$A561)</f>
        <v>0</v>
      </c>
      <c r="R561" s="166">
        <f>SUMIFS(Продажи!O$5:O$359,Продажи!$D$5:$D$359,Конструкторы!$B561,Продажи!$C$5:$C$359,Конструкторы!$A561)</f>
        <v>0</v>
      </c>
      <c r="S561" s="166">
        <f>SUMIFS(Продажи!P$5:P$359,Продажи!$D$5:$D$359,Конструкторы!$B561,Продажи!$C$5:$C$359,Конструкторы!$A561)</f>
        <v>0</v>
      </c>
      <c r="T561" s="166">
        <f>SUMIFS(Продажи!Q$5:Q$359,Продажи!$D$5:$D$359,Конструкторы!$B561,Продажи!$C$5:$C$359,Конструкторы!$A561)</f>
        <v>0</v>
      </c>
    </row>
    <row r="562" spans="1:20" ht="15.75" hidden="1" x14ac:dyDescent="0.25">
      <c r="A562" s="166" t="s">
        <v>397</v>
      </c>
      <c r="B562" s="167" t="s">
        <v>113</v>
      </c>
      <c r="C562" s="129" t="s">
        <v>64</v>
      </c>
      <c r="D562" s="149"/>
      <c r="E562" s="153" t="s">
        <v>68</v>
      </c>
      <c r="F562" s="156">
        <f>(0.7*103)/100</f>
        <v>0.72099999999999997</v>
      </c>
      <c r="G562" s="156">
        <v>2.1000000000000019E-2</v>
      </c>
      <c r="H562" s="156">
        <f>F562+G562</f>
        <v>0.74199999999999999</v>
      </c>
      <c r="I562" s="166">
        <f>SUMIFS(Продажи!F$5:F$359,Продажи!$D$5:$D$359,Конструкторы!$B562,Продажи!$C$5:$C$359,Конструкторы!$A562)</f>
        <v>0</v>
      </c>
      <c r="J562" s="166">
        <f>SUMIFS(Продажи!G$5:G$359,Продажи!$D$5:$D$359,Конструкторы!$B562,Продажи!$C$5:$C$359,Конструкторы!$A562)</f>
        <v>0</v>
      </c>
      <c r="K562" s="166">
        <f>SUMIFS(Продажи!H$5:H$359,Продажи!$D$5:$D$359,Конструкторы!$B562,Продажи!$C$5:$C$359,Конструкторы!$A562)</f>
        <v>0</v>
      </c>
      <c r="L562" s="166">
        <f>SUMIFS(Продажи!I$5:I$359,Продажи!$D$5:$D$359,Конструкторы!$B562,Продажи!$C$5:$C$359,Конструкторы!$A562)</f>
        <v>0</v>
      </c>
      <c r="M562" s="166">
        <f>SUMIFS(Продажи!J$5:J$359,Продажи!$D$5:$D$359,Конструкторы!$B562,Продажи!$C$5:$C$359,Конструкторы!$A562)</f>
        <v>0</v>
      </c>
      <c r="N562" s="166">
        <f>SUMIFS(Продажи!K$5:K$359,Продажи!$D$5:$D$359,Конструкторы!$B562,Продажи!$C$5:$C$359,Конструкторы!$A562)</f>
        <v>0</v>
      </c>
      <c r="O562" s="166">
        <f>SUMIFS(Продажи!L$5:L$359,Продажи!$D$5:$D$359,Конструкторы!$B562,Продажи!$C$5:$C$359,Конструкторы!$A562)</f>
        <v>0</v>
      </c>
      <c r="P562" s="166">
        <f>SUMIFS(Продажи!M$5:M$359,Продажи!$D$5:$D$359,Конструкторы!$B562,Продажи!$C$5:$C$359,Конструкторы!$A562)</f>
        <v>0</v>
      </c>
      <c r="Q562" s="166">
        <f>SUMIFS(Продажи!N$5:N$359,Продажи!$D$5:$D$359,Конструкторы!$B562,Продажи!$C$5:$C$359,Конструкторы!$A562)</f>
        <v>0</v>
      </c>
      <c r="R562" s="166">
        <f>SUMIFS(Продажи!O$5:O$359,Продажи!$D$5:$D$359,Конструкторы!$B562,Продажи!$C$5:$C$359,Конструкторы!$A562)</f>
        <v>0</v>
      </c>
      <c r="S562" s="166">
        <f>SUMIFS(Продажи!P$5:P$359,Продажи!$D$5:$D$359,Конструкторы!$B562,Продажи!$C$5:$C$359,Конструкторы!$A562)</f>
        <v>0</v>
      </c>
      <c r="T562" s="166">
        <f>SUMIFS(Продажи!Q$5:Q$359,Продажи!$D$5:$D$359,Конструкторы!$B562,Продажи!$C$5:$C$359,Конструкторы!$A562)</f>
        <v>0</v>
      </c>
    </row>
    <row r="563" spans="1:20" ht="15.75" hidden="1" x14ac:dyDescent="0.25">
      <c r="A563" s="166" t="s">
        <v>397</v>
      </c>
      <c r="B563" s="167" t="s">
        <v>113</v>
      </c>
      <c r="C563" s="129" t="s">
        <v>60</v>
      </c>
      <c r="D563" s="149"/>
      <c r="E563" s="153" t="s">
        <v>68</v>
      </c>
      <c r="F563" s="156">
        <f>(0.29*103)/100</f>
        <v>0.29869999999999997</v>
      </c>
      <c r="G563" s="156">
        <v>8.6999999999999855E-3</v>
      </c>
      <c r="H563" s="156">
        <f>F563+G563</f>
        <v>0.30739999999999995</v>
      </c>
      <c r="I563" s="166">
        <f>SUMIFS(Продажи!F$5:F$359,Продажи!$D$5:$D$359,Конструкторы!$B563,Продажи!$C$5:$C$359,Конструкторы!$A563)</f>
        <v>0</v>
      </c>
      <c r="J563" s="166">
        <f>SUMIFS(Продажи!G$5:G$359,Продажи!$D$5:$D$359,Конструкторы!$B563,Продажи!$C$5:$C$359,Конструкторы!$A563)</f>
        <v>0</v>
      </c>
      <c r="K563" s="166">
        <f>SUMIFS(Продажи!H$5:H$359,Продажи!$D$5:$D$359,Конструкторы!$B563,Продажи!$C$5:$C$359,Конструкторы!$A563)</f>
        <v>0</v>
      </c>
      <c r="L563" s="166">
        <f>SUMIFS(Продажи!I$5:I$359,Продажи!$D$5:$D$359,Конструкторы!$B563,Продажи!$C$5:$C$359,Конструкторы!$A563)</f>
        <v>0</v>
      </c>
      <c r="M563" s="166">
        <f>SUMIFS(Продажи!J$5:J$359,Продажи!$D$5:$D$359,Конструкторы!$B563,Продажи!$C$5:$C$359,Конструкторы!$A563)</f>
        <v>0</v>
      </c>
      <c r="N563" s="166">
        <f>SUMIFS(Продажи!K$5:K$359,Продажи!$D$5:$D$359,Конструкторы!$B563,Продажи!$C$5:$C$359,Конструкторы!$A563)</f>
        <v>0</v>
      </c>
      <c r="O563" s="166">
        <f>SUMIFS(Продажи!L$5:L$359,Продажи!$D$5:$D$359,Конструкторы!$B563,Продажи!$C$5:$C$359,Конструкторы!$A563)</f>
        <v>0</v>
      </c>
      <c r="P563" s="166">
        <f>SUMIFS(Продажи!M$5:M$359,Продажи!$D$5:$D$359,Конструкторы!$B563,Продажи!$C$5:$C$359,Конструкторы!$A563)</f>
        <v>0</v>
      </c>
      <c r="Q563" s="166">
        <f>SUMIFS(Продажи!N$5:N$359,Продажи!$D$5:$D$359,Конструкторы!$B563,Продажи!$C$5:$C$359,Конструкторы!$A563)</f>
        <v>0</v>
      </c>
      <c r="R563" s="166">
        <f>SUMIFS(Продажи!O$5:O$359,Продажи!$D$5:$D$359,Конструкторы!$B563,Продажи!$C$5:$C$359,Конструкторы!$A563)</f>
        <v>0</v>
      </c>
      <c r="S563" s="166">
        <f>SUMIFS(Продажи!P$5:P$359,Продажи!$D$5:$D$359,Конструкторы!$B563,Продажи!$C$5:$C$359,Конструкторы!$A563)</f>
        <v>0</v>
      </c>
      <c r="T563" s="166">
        <f>SUMIFS(Продажи!Q$5:Q$359,Продажи!$D$5:$D$359,Конструкторы!$B563,Продажи!$C$5:$C$359,Конструкторы!$A563)</f>
        <v>0</v>
      </c>
    </row>
    <row r="564" spans="1:20" ht="15.75" hidden="1" x14ac:dyDescent="0.25">
      <c r="A564" s="166" t="s">
        <v>397</v>
      </c>
      <c r="B564" s="167" t="s">
        <v>113</v>
      </c>
      <c r="C564" s="129" t="s">
        <v>60</v>
      </c>
      <c r="D564" s="149"/>
      <c r="E564" s="153"/>
      <c r="F564" s="156">
        <f>(0.288*103)/100</f>
        <v>0.29663999999999996</v>
      </c>
      <c r="G564" s="156">
        <v>8.639999999999981E-3</v>
      </c>
      <c r="H564" s="156">
        <f>F564+G564</f>
        <v>0.30527999999999994</v>
      </c>
      <c r="I564" s="166">
        <f>SUMIFS(Продажи!F$5:F$359,Продажи!$D$5:$D$359,Конструкторы!$B564,Продажи!$C$5:$C$359,Конструкторы!$A564)</f>
        <v>0</v>
      </c>
      <c r="J564" s="166">
        <f>SUMIFS(Продажи!G$5:G$359,Продажи!$D$5:$D$359,Конструкторы!$B564,Продажи!$C$5:$C$359,Конструкторы!$A564)</f>
        <v>0</v>
      </c>
      <c r="K564" s="166">
        <f>SUMIFS(Продажи!H$5:H$359,Продажи!$D$5:$D$359,Конструкторы!$B564,Продажи!$C$5:$C$359,Конструкторы!$A564)</f>
        <v>0</v>
      </c>
      <c r="L564" s="166">
        <f>SUMIFS(Продажи!I$5:I$359,Продажи!$D$5:$D$359,Конструкторы!$B564,Продажи!$C$5:$C$359,Конструкторы!$A564)</f>
        <v>0</v>
      </c>
      <c r="M564" s="166">
        <f>SUMIFS(Продажи!J$5:J$359,Продажи!$D$5:$D$359,Конструкторы!$B564,Продажи!$C$5:$C$359,Конструкторы!$A564)</f>
        <v>0</v>
      </c>
      <c r="N564" s="166">
        <f>SUMIFS(Продажи!K$5:K$359,Продажи!$D$5:$D$359,Конструкторы!$B564,Продажи!$C$5:$C$359,Конструкторы!$A564)</f>
        <v>0</v>
      </c>
      <c r="O564" s="166">
        <f>SUMIFS(Продажи!L$5:L$359,Продажи!$D$5:$D$359,Конструкторы!$B564,Продажи!$C$5:$C$359,Конструкторы!$A564)</f>
        <v>0</v>
      </c>
      <c r="P564" s="166">
        <f>SUMIFS(Продажи!M$5:M$359,Продажи!$D$5:$D$359,Конструкторы!$B564,Продажи!$C$5:$C$359,Конструкторы!$A564)</f>
        <v>0</v>
      </c>
      <c r="Q564" s="166">
        <f>SUMIFS(Продажи!N$5:N$359,Продажи!$D$5:$D$359,Конструкторы!$B564,Продажи!$C$5:$C$359,Конструкторы!$A564)</f>
        <v>0</v>
      </c>
      <c r="R564" s="166">
        <f>SUMIFS(Продажи!O$5:O$359,Продажи!$D$5:$D$359,Конструкторы!$B564,Продажи!$C$5:$C$359,Конструкторы!$A564)</f>
        <v>0</v>
      </c>
      <c r="S564" s="166">
        <f>SUMIFS(Продажи!P$5:P$359,Продажи!$D$5:$D$359,Конструкторы!$B564,Продажи!$C$5:$C$359,Конструкторы!$A564)</f>
        <v>0</v>
      </c>
      <c r="T564" s="166">
        <f>SUMIFS(Продажи!Q$5:Q$359,Продажи!$D$5:$D$359,Конструкторы!$B564,Продажи!$C$5:$C$359,Конструкторы!$A564)</f>
        <v>0</v>
      </c>
    </row>
    <row r="565" spans="1:20" ht="15.75" hidden="1" x14ac:dyDescent="0.25">
      <c r="A565" s="166" t="s">
        <v>397</v>
      </c>
      <c r="B565" s="167" t="s">
        <v>113</v>
      </c>
      <c r="C565" s="33" t="s">
        <v>72</v>
      </c>
      <c r="D565" s="149"/>
      <c r="E565" s="153" t="s">
        <v>70</v>
      </c>
      <c r="F565" s="148">
        <v>2</v>
      </c>
      <c r="G565" s="156" t="s">
        <v>71</v>
      </c>
      <c r="H565" s="156">
        <f>F565</f>
        <v>2</v>
      </c>
      <c r="I565" s="166">
        <f>SUMIFS(Продажи!F$5:F$359,Продажи!$D$5:$D$359,Конструкторы!$B565,Продажи!$C$5:$C$359,Конструкторы!$A565)</f>
        <v>0</v>
      </c>
      <c r="J565" s="166">
        <f>SUMIFS(Продажи!G$5:G$359,Продажи!$D$5:$D$359,Конструкторы!$B565,Продажи!$C$5:$C$359,Конструкторы!$A565)</f>
        <v>0</v>
      </c>
      <c r="K565" s="166">
        <f>SUMIFS(Продажи!H$5:H$359,Продажи!$D$5:$D$359,Конструкторы!$B565,Продажи!$C$5:$C$359,Конструкторы!$A565)</f>
        <v>0</v>
      </c>
      <c r="L565" s="166">
        <f>SUMIFS(Продажи!I$5:I$359,Продажи!$D$5:$D$359,Конструкторы!$B565,Продажи!$C$5:$C$359,Конструкторы!$A565)</f>
        <v>0</v>
      </c>
      <c r="M565" s="166">
        <f>SUMIFS(Продажи!J$5:J$359,Продажи!$D$5:$D$359,Конструкторы!$B565,Продажи!$C$5:$C$359,Конструкторы!$A565)</f>
        <v>0</v>
      </c>
      <c r="N565" s="166">
        <f>SUMIFS(Продажи!K$5:K$359,Продажи!$D$5:$D$359,Конструкторы!$B565,Продажи!$C$5:$C$359,Конструкторы!$A565)</f>
        <v>0</v>
      </c>
      <c r="O565" s="166">
        <f>SUMIFS(Продажи!L$5:L$359,Продажи!$D$5:$D$359,Конструкторы!$B565,Продажи!$C$5:$C$359,Конструкторы!$A565)</f>
        <v>0</v>
      </c>
      <c r="P565" s="166">
        <f>SUMIFS(Продажи!M$5:M$359,Продажи!$D$5:$D$359,Конструкторы!$B565,Продажи!$C$5:$C$359,Конструкторы!$A565)</f>
        <v>0</v>
      </c>
      <c r="Q565" s="166">
        <f>SUMIFS(Продажи!N$5:N$359,Продажи!$D$5:$D$359,Конструкторы!$B565,Продажи!$C$5:$C$359,Конструкторы!$A565)</f>
        <v>0</v>
      </c>
      <c r="R565" s="166">
        <f>SUMIFS(Продажи!O$5:O$359,Продажи!$D$5:$D$359,Конструкторы!$B565,Продажи!$C$5:$C$359,Конструкторы!$A565)</f>
        <v>0</v>
      </c>
      <c r="S565" s="166">
        <f>SUMIFS(Продажи!P$5:P$359,Продажи!$D$5:$D$359,Конструкторы!$B565,Продажи!$C$5:$C$359,Конструкторы!$A565)</f>
        <v>0</v>
      </c>
      <c r="T565" s="166">
        <f>SUMIFS(Продажи!Q$5:Q$359,Продажи!$D$5:$D$359,Конструкторы!$B565,Продажи!$C$5:$C$359,Конструкторы!$A565)</f>
        <v>0</v>
      </c>
    </row>
    <row r="566" spans="1:20" ht="15.75" hidden="1" x14ac:dyDescent="0.25">
      <c r="A566" s="166" t="s">
        <v>397</v>
      </c>
      <c r="B566" s="167" t="s">
        <v>113</v>
      </c>
      <c r="C566" s="33" t="s">
        <v>76</v>
      </c>
      <c r="D566" s="149"/>
      <c r="E566" s="153" t="s">
        <v>70</v>
      </c>
      <c r="F566" s="148">
        <v>8</v>
      </c>
      <c r="G566" s="156" t="s">
        <v>71</v>
      </c>
      <c r="H566" s="156">
        <f>F566</f>
        <v>8</v>
      </c>
      <c r="I566" s="166">
        <f>SUMIFS(Продажи!F$5:F$359,Продажи!$D$5:$D$359,Конструкторы!$B566,Продажи!$C$5:$C$359,Конструкторы!$A566)</f>
        <v>0</v>
      </c>
      <c r="J566" s="166">
        <f>SUMIFS(Продажи!G$5:G$359,Продажи!$D$5:$D$359,Конструкторы!$B566,Продажи!$C$5:$C$359,Конструкторы!$A566)</f>
        <v>0</v>
      </c>
      <c r="K566" s="166">
        <f>SUMIFS(Продажи!H$5:H$359,Продажи!$D$5:$D$359,Конструкторы!$B566,Продажи!$C$5:$C$359,Конструкторы!$A566)</f>
        <v>0</v>
      </c>
      <c r="L566" s="166">
        <f>SUMIFS(Продажи!I$5:I$359,Продажи!$D$5:$D$359,Конструкторы!$B566,Продажи!$C$5:$C$359,Конструкторы!$A566)</f>
        <v>0</v>
      </c>
      <c r="M566" s="166">
        <f>SUMIFS(Продажи!J$5:J$359,Продажи!$D$5:$D$359,Конструкторы!$B566,Продажи!$C$5:$C$359,Конструкторы!$A566)</f>
        <v>0</v>
      </c>
      <c r="N566" s="166">
        <f>SUMIFS(Продажи!K$5:K$359,Продажи!$D$5:$D$359,Конструкторы!$B566,Продажи!$C$5:$C$359,Конструкторы!$A566)</f>
        <v>0</v>
      </c>
      <c r="O566" s="166">
        <f>SUMIFS(Продажи!L$5:L$359,Продажи!$D$5:$D$359,Конструкторы!$B566,Продажи!$C$5:$C$359,Конструкторы!$A566)</f>
        <v>0</v>
      </c>
      <c r="P566" s="166">
        <f>SUMIFS(Продажи!M$5:M$359,Продажи!$D$5:$D$359,Конструкторы!$B566,Продажи!$C$5:$C$359,Конструкторы!$A566)</f>
        <v>0</v>
      </c>
      <c r="Q566" s="166">
        <f>SUMIFS(Продажи!N$5:N$359,Продажи!$D$5:$D$359,Конструкторы!$B566,Продажи!$C$5:$C$359,Конструкторы!$A566)</f>
        <v>0</v>
      </c>
      <c r="R566" s="166">
        <f>SUMIFS(Продажи!O$5:O$359,Продажи!$D$5:$D$359,Конструкторы!$B566,Продажи!$C$5:$C$359,Конструкторы!$A566)</f>
        <v>0</v>
      </c>
      <c r="S566" s="166">
        <f>SUMIFS(Продажи!P$5:P$359,Продажи!$D$5:$D$359,Конструкторы!$B566,Продажи!$C$5:$C$359,Конструкторы!$A566)</f>
        <v>0</v>
      </c>
      <c r="T566" s="166">
        <f>SUMIFS(Продажи!Q$5:Q$359,Продажи!$D$5:$D$359,Конструкторы!$B566,Продажи!$C$5:$C$359,Конструкторы!$A566)</f>
        <v>0</v>
      </c>
    </row>
    <row r="567" spans="1:20" ht="15.75" hidden="1" x14ac:dyDescent="0.25">
      <c r="A567" s="166" t="s">
        <v>397</v>
      </c>
      <c r="B567" s="167" t="s">
        <v>114</v>
      </c>
      <c r="C567" s="129" t="s">
        <v>61</v>
      </c>
      <c r="D567" s="149"/>
      <c r="E567" s="153" t="s">
        <v>68</v>
      </c>
      <c r="F567" s="156">
        <f>(0.291*103)/100</f>
        <v>0.29973</v>
      </c>
      <c r="G567" s="156">
        <v>8.7300000000000155E-3</v>
      </c>
      <c r="H567" s="156">
        <f>F567+G567</f>
        <v>0.30846000000000001</v>
      </c>
      <c r="I567" s="166">
        <f>SUMIFS(Продажи!F$5:F$359,Продажи!$D$5:$D$359,Конструкторы!$B567,Продажи!$C$5:$C$359,Конструкторы!$A567)</f>
        <v>0</v>
      </c>
      <c r="J567" s="166">
        <f>SUMIFS(Продажи!G$5:G$359,Продажи!$D$5:$D$359,Конструкторы!$B567,Продажи!$C$5:$C$359,Конструкторы!$A567)</f>
        <v>0</v>
      </c>
      <c r="K567" s="166">
        <f>SUMIFS(Продажи!H$5:H$359,Продажи!$D$5:$D$359,Конструкторы!$B567,Продажи!$C$5:$C$359,Конструкторы!$A567)</f>
        <v>0</v>
      </c>
      <c r="L567" s="166">
        <f>SUMIFS(Продажи!I$5:I$359,Продажи!$D$5:$D$359,Конструкторы!$B567,Продажи!$C$5:$C$359,Конструкторы!$A567)</f>
        <v>0</v>
      </c>
      <c r="M567" s="166">
        <f>SUMIFS(Продажи!J$5:J$359,Продажи!$D$5:$D$359,Конструкторы!$B567,Продажи!$C$5:$C$359,Конструкторы!$A567)</f>
        <v>0</v>
      </c>
      <c r="N567" s="166">
        <f>SUMIFS(Продажи!K$5:K$359,Продажи!$D$5:$D$359,Конструкторы!$B567,Продажи!$C$5:$C$359,Конструкторы!$A567)</f>
        <v>0</v>
      </c>
      <c r="O567" s="166">
        <f>SUMIFS(Продажи!L$5:L$359,Продажи!$D$5:$D$359,Конструкторы!$B567,Продажи!$C$5:$C$359,Конструкторы!$A567)</f>
        <v>0</v>
      </c>
      <c r="P567" s="166">
        <f>SUMIFS(Продажи!M$5:M$359,Продажи!$D$5:$D$359,Конструкторы!$B567,Продажи!$C$5:$C$359,Конструкторы!$A567)</f>
        <v>0</v>
      </c>
      <c r="Q567" s="166">
        <f>SUMIFS(Продажи!N$5:N$359,Продажи!$D$5:$D$359,Конструкторы!$B567,Продажи!$C$5:$C$359,Конструкторы!$A567)</f>
        <v>0</v>
      </c>
      <c r="R567" s="166">
        <f>SUMIFS(Продажи!O$5:O$359,Продажи!$D$5:$D$359,Конструкторы!$B567,Продажи!$C$5:$C$359,Конструкторы!$A567)</f>
        <v>0</v>
      </c>
      <c r="S567" s="166">
        <f>SUMIFS(Продажи!P$5:P$359,Продажи!$D$5:$D$359,Конструкторы!$B567,Продажи!$C$5:$C$359,Конструкторы!$A567)</f>
        <v>0</v>
      </c>
      <c r="T567" s="166">
        <f>SUMIFS(Продажи!Q$5:Q$359,Продажи!$D$5:$D$359,Конструкторы!$B567,Продажи!$C$5:$C$359,Конструкторы!$A567)</f>
        <v>0</v>
      </c>
    </row>
    <row r="568" spans="1:20" ht="15.75" hidden="1" x14ac:dyDescent="0.25">
      <c r="A568" s="166" t="s">
        <v>397</v>
      </c>
      <c r="B568" s="167" t="s">
        <v>114</v>
      </c>
      <c r="C568" s="129" t="s">
        <v>60</v>
      </c>
      <c r="D568" s="149"/>
      <c r="E568" s="153" t="s">
        <v>68</v>
      </c>
      <c r="F568" s="156">
        <f>(0.8*103)/100</f>
        <v>0.82400000000000007</v>
      </c>
      <c r="G568" s="156">
        <v>2.4000000000000021E-2</v>
      </c>
      <c r="H568" s="156">
        <f>F568+G568</f>
        <v>0.84800000000000009</v>
      </c>
      <c r="I568" s="166">
        <f>SUMIFS(Продажи!F$5:F$359,Продажи!$D$5:$D$359,Конструкторы!$B568,Продажи!$C$5:$C$359,Конструкторы!$A568)</f>
        <v>0</v>
      </c>
      <c r="J568" s="166">
        <f>SUMIFS(Продажи!G$5:G$359,Продажи!$D$5:$D$359,Конструкторы!$B568,Продажи!$C$5:$C$359,Конструкторы!$A568)</f>
        <v>0</v>
      </c>
      <c r="K568" s="166">
        <f>SUMIFS(Продажи!H$5:H$359,Продажи!$D$5:$D$359,Конструкторы!$B568,Продажи!$C$5:$C$359,Конструкторы!$A568)</f>
        <v>0</v>
      </c>
      <c r="L568" s="166">
        <f>SUMIFS(Продажи!I$5:I$359,Продажи!$D$5:$D$359,Конструкторы!$B568,Продажи!$C$5:$C$359,Конструкторы!$A568)</f>
        <v>0</v>
      </c>
      <c r="M568" s="166">
        <f>SUMIFS(Продажи!J$5:J$359,Продажи!$D$5:$D$359,Конструкторы!$B568,Продажи!$C$5:$C$359,Конструкторы!$A568)</f>
        <v>0</v>
      </c>
      <c r="N568" s="166">
        <f>SUMIFS(Продажи!K$5:K$359,Продажи!$D$5:$D$359,Конструкторы!$B568,Продажи!$C$5:$C$359,Конструкторы!$A568)</f>
        <v>0</v>
      </c>
      <c r="O568" s="166">
        <f>SUMIFS(Продажи!L$5:L$359,Продажи!$D$5:$D$359,Конструкторы!$B568,Продажи!$C$5:$C$359,Конструкторы!$A568)</f>
        <v>0</v>
      </c>
      <c r="P568" s="166">
        <f>SUMIFS(Продажи!M$5:M$359,Продажи!$D$5:$D$359,Конструкторы!$B568,Продажи!$C$5:$C$359,Конструкторы!$A568)</f>
        <v>0</v>
      </c>
      <c r="Q568" s="166">
        <f>SUMIFS(Продажи!N$5:N$359,Продажи!$D$5:$D$359,Конструкторы!$B568,Продажи!$C$5:$C$359,Конструкторы!$A568)</f>
        <v>0</v>
      </c>
      <c r="R568" s="166">
        <f>SUMIFS(Продажи!O$5:O$359,Продажи!$D$5:$D$359,Конструкторы!$B568,Продажи!$C$5:$C$359,Конструкторы!$A568)</f>
        <v>0</v>
      </c>
      <c r="S568" s="166">
        <f>SUMIFS(Продажи!P$5:P$359,Продажи!$D$5:$D$359,Конструкторы!$B568,Продажи!$C$5:$C$359,Конструкторы!$A568)</f>
        <v>0</v>
      </c>
      <c r="T568" s="166">
        <f>SUMIFS(Продажи!Q$5:Q$359,Продажи!$D$5:$D$359,Конструкторы!$B568,Продажи!$C$5:$C$359,Конструкторы!$A568)</f>
        <v>0</v>
      </c>
    </row>
    <row r="569" spans="1:20" ht="15.75" hidden="1" x14ac:dyDescent="0.25">
      <c r="A569" s="166" t="s">
        <v>397</v>
      </c>
      <c r="B569" s="167" t="s">
        <v>114</v>
      </c>
      <c r="C569" s="129" t="s">
        <v>60</v>
      </c>
      <c r="D569" s="149"/>
      <c r="E569" s="153"/>
      <c r="F569" s="156">
        <f>(0.296*103)/100</f>
        <v>0.30487999999999998</v>
      </c>
      <c r="G569" s="156">
        <v>8.879999999999999E-3</v>
      </c>
      <c r="H569" s="156">
        <f>F569+G569</f>
        <v>0.31375999999999998</v>
      </c>
      <c r="I569" s="166">
        <f>SUMIFS(Продажи!F$5:F$359,Продажи!$D$5:$D$359,Конструкторы!$B569,Продажи!$C$5:$C$359,Конструкторы!$A569)</f>
        <v>0</v>
      </c>
      <c r="J569" s="166">
        <f>SUMIFS(Продажи!G$5:G$359,Продажи!$D$5:$D$359,Конструкторы!$B569,Продажи!$C$5:$C$359,Конструкторы!$A569)</f>
        <v>0</v>
      </c>
      <c r="K569" s="166">
        <f>SUMIFS(Продажи!H$5:H$359,Продажи!$D$5:$D$359,Конструкторы!$B569,Продажи!$C$5:$C$359,Конструкторы!$A569)</f>
        <v>0</v>
      </c>
      <c r="L569" s="166">
        <f>SUMIFS(Продажи!I$5:I$359,Продажи!$D$5:$D$359,Конструкторы!$B569,Продажи!$C$5:$C$359,Конструкторы!$A569)</f>
        <v>0</v>
      </c>
      <c r="M569" s="166">
        <f>SUMIFS(Продажи!J$5:J$359,Продажи!$D$5:$D$359,Конструкторы!$B569,Продажи!$C$5:$C$359,Конструкторы!$A569)</f>
        <v>0</v>
      </c>
      <c r="N569" s="166">
        <f>SUMIFS(Продажи!K$5:K$359,Продажи!$D$5:$D$359,Конструкторы!$B569,Продажи!$C$5:$C$359,Конструкторы!$A569)</f>
        <v>0</v>
      </c>
      <c r="O569" s="166">
        <f>SUMIFS(Продажи!L$5:L$359,Продажи!$D$5:$D$359,Конструкторы!$B569,Продажи!$C$5:$C$359,Конструкторы!$A569)</f>
        <v>0</v>
      </c>
      <c r="P569" s="166">
        <f>SUMIFS(Продажи!M$5:M$359,Продажи!$D$5:$D$359,Конструкторы!$B569,Продажи!$C$5:$C$359,Конструкторы!$A569)</f>
        <v>0</v>
      </c>
      <c r="Q569" s="166">
        <f>SUMIFS(Продажи!N$5:N$359,Продажи!$D$5:$D$359,Конструкторы!$B569,Продажи!$C$5:$C$359,Конструкторы!$A569)</f>
        <v>0</v>
      </c>
      <c r="R569" s="166">
        <f>SUMIFS(Продажи!O$5:O$359,Продажи!$D$5:$D$359,Конструкторы!$B569,Продажи!$C$5:$C$359,Конструкторы!$A569)</f>
        <v>0</v>
      </c>
      <c r="S569" s="166">
        <f>SUMIFS(Продажи!P$5:P$359,Продажи!$D$5:$D$359,Конструкторы!$B569,Продажи!$C$5:$C$359,Конструкторы!$A569)</f>
        <v>0</v>
      </c>
      <c r="T569" s="166">
        <f>SUMIFS(Продажи!Q$5:Q$359,Продажи!$D$5:$D$359,Конструкторы!$B569,Продажи!$C$5:$C$359,Конструкторы!$A569)</f>
        <v>0</v>
      </c>
    </row>
    <row r="570" spans="1:20" ht="15.75" hidden="1" x14ac:dyDescent="0.25">
      <c r="A570" s="166" t="s">
        <v>397</v>
      </c>
      <c r="B570" s="167" t="s">
        <v>114</v>
      </c>
      <c r="C570" s="33" t="s">
        <v>72</v>
      </c>
      <c r="D570" s="149"/>
      <c r="E570" s="153" t="s">
        <v>70</v>
      </c>
      <c r="F570" s="148">
        <v>2</v>
      </c>
      <c r="G570" s="156" t="s">
        <v>71</v>
      </c>
      <c r="H570" s="156">
        <f>F570</f>
        <v>2</v>
      </c>
      <c r="I570" s="166">
        <f>SUMIFS(Продажи!F$5:F$359,Продажи!$D$5:$D$359,Конструкторы!$B570,Продажи!$C$5:$C$359,Конструкторы!$A570)</f>
        <v>0</v>
      </c>
      <c r="J570" s="166">
        <f>SUMIFS(Продажи!G$5:G$359,Продажи!$D$5:$D$359,Конструкторы!$B570,Продажи!$C$5:$C$359,Конструкторы!$A570)</f>
        <v>0</v>
      </c>
      <c r="K570" s="166">
        <f>SUMIFS(Продажи!H$5:H$359,Продажи!$D$5:$D$359,Конструкторы!$B570,Продажи!$C$5:$C$359,Конструкторы!$A570)</f>
        <v>0</v>
      </c>
      <c r="L570" s="166">
        <f>SUMIFS(Продажи!I$5:I$359,Продажи!$D$5:$D$359,Конструкторы!$B570,Продажи!$C$5:$C$359,Конструкторы!$A570)</f>
        <v>0</v>
      </c>
      <c r="M570" s="166">
        <f>SUMIFS(Продажи!J$5:J$359,Продажи!$D$5:$D$359,Конструкторы!$B570,Продажи!$C$5:$C$359,Конструкторы!$A570)</f>
        <v>0</v>
      </c>
      <c r="N570" s="166">
        <f>SUMIFS(Продажи!K$5:K$359,Продажи!$D$5:$D$359,Конструкторы!$B570,Продажи!$C$5:$C$359,Конструкторы!$A570)</f>
        <v>0</v>
      </c>
      <c r="O570" s="166">
        <f>SUMIFS(Продажи!L$5:L$359,Продажи!$D$5:$D$359,Конструкторы!$B570,Продажи!$C$5:$C$359,Конструкторы!$A570)</f>
        <v>0</v>
      </c>
      <c r="P570" s="166">
        <f>SUMIFS(Продажи!M$5:M$359,Продажи!$D$5:$D$359,Конструкторы!$B570,Продажи!$C$5:$C$359,Конструкторы!$A570)</f>
        <v>0</v>
      </c>
      <c r="Q570" s="166">
        <f>SUMIFS(Продажи!N$5:N$359,Продажи!$D$5:$D$359,Конструкторы!$B570,Продажи!$C$5:$C$359,Конструкторы!$A570)</f>
        <v>0</v>
      </c>
      <c r="R570" s="166">
        <f>SUMIFS(Продажи!O$5:O$359,Продажи!$D$5:$D$359,Конструкторы!$B570,Продажи!$C$5:$C$359,Конструкторы!$A570)</f>
        <v>0</v>
      </c>
      <c r="S570" s="166">
        <f>SUMIFS(Продажи!P$5:P$359,Продажи!$D$5:$D$359,Конструкторы!$B570,Продажи!$C$5:$C$359,Конструкторы!$A570)</f>
        <v>0</v>
      </c>
      <c r="T570" s="166">
        <f>SUMIFS(Продажи!Q$5:Q$359,Продажи!$D$5:$D$359,Конструкторы!$B570,Продажи!$C$5:$C$359,Конструкторы!$A570)</f>
        <v>0</v>
      </c>
    </row>
    <row r="571" spans="1:20" ht="15.75" hidden="1" x14ac:dyDescent="0.25">
      <c r="A571" s="166" t="s">
        <v>397</v>
      </c>
      <c r="B571" s="167" t="s">
        <v>114</v>
      </c>
      <c r="C571" s="33" t="s">
        <v>76</v>
      </c>
      <c r="D571" s="149"/>
      <c r="E571" s="153" t="s">
        <v>70</v>
      </c>
      <c r="F571" s="148">
        <v>8</v>
      </c>
      <c r="G571" s="156" t="s">
        <v>71</v>
      </c>
      <c r="H571" s="156">
        <f>F571</f>
        <v>8</v>
      </c>
      <c r="I571" s="166">
        <f>SUMIFS(Продажи!F$5:F$359,Продажи!$D$5:$D$359,Конструкторы!$B571,Продажи!$C$5:$C$359,Конструкторы!$A571)</f>
        <v>0</v>
      </c>
      <c r="J571" s="166">
        <f>SUMIFS(Продажи!G$5:G$359,Продажи!$D$5:$D$359,Конструкторы!$B571,Продажи!$C$5:$C$359,Конструкторы!$A571)</f>
        <v>0</v>
      </c>
      <c r="K571" s="166">
        <f>SUMIFS(Продажи!H$5:H$359,Продажи!$D$5:$D$359,Конструкторы!$B571,Продажи!$C$5:$C$359,Конструкторы!$A571)</f>
        <v>0</v>
      </c>
      <c r="L571" s="166">
        <f>SUMIFS(Продажи!I$5:I$359,Продажи!$D$5:$D$359,Конструкторы!$B571,Продажи!$C$5:$C$359,Конструкторы!$A571)</f>
        <v>0</v>
      </c>
      <c r="M571" s="166">
        <f>SUMIFS(Продажи!J$5:J$359,Продажи!$D$5:$D$359,Конструкторы!$B571,Продажи!$C$5:$C$359,Конструкторы!$A571)</f>
        <v>0</v>
      </c>
      <c r="N571" s="166">
        <f>SUMIFS(Продажи!K$5:K$359,Продажи!$D$5:$D$359,Конструкторы!$B571,Продажи!$C$5:$C$359,Конструкторы!$A571)</f>
        <v>0</v>
      </c>
      <c r="O571" s="166">
        <f>SUMIFS(Продажи!L$5:L$359,Продажи!$D$5:$D$359,Конструкторы!$B571,Продажи!$C$5:$C$359,Конструкторы!$A571)</f>
        <v>0</v>
      </c>
      <c r="P571" s="166">
        <f>SUMIFS(Продажи!M$5:M$359,Продажи!$D$5:$D$359,Конструкторы!$B571,Продажи!$C$5:$C$359,Конструкторы!$A571)</f>
        <v>0</v>
      </c>
      <c r="Q571" s="166">
        <f>SUMIFS(Продажи!N$5:N$359,Продажи!$D$5:$D$359,Конструкторы!$B571,Продажи!$C$5:$C$359,Конструкторы!$A571)</f>
        <v>0</v>
      </c>
      <c r="R571" s="166">
        <f>SUMIFS(Продажи!O$5:O$359,Продажи!$D$5:$D$359,Конструкторы!$B571,Продажи!$C$5:$C$359,Конструкторы!$A571)</f>
        <v>0</v>
      </c>
      <c r="S571" s="166">
        <f>SUMIFS(Продажи!P$5:P$359,Продажи!$D$5:$D$359,Конструкторы!$B571,Продажи!$C$5:$C$359,Конструкторы!$A571)</f>
        <v>0</v>
      </c>
      <c r="T571" s="166">
        <f>SUMIFS(Продажи!Q$5:Q$359,Продажи!$D$5:$D$359,Конструкторы!$B571,Продажи!$C$5:$C$359,Конструкторы!$A571)</f>
        <v>0</v>
      </c>
    </row>
    <row r="572" spans="1:20" ht="15.75" hidden="1" x14ac:dyDescent="0.25">
      <c r="A572" s="166" t="s">
        <v>397</v>
      </c>
      <c r="B572" s="167" t="s">
        <v>106</v>
      </c>
      <c r="C572" s="129" t="s">
        <v>61</v>
      </c>
      <c r="D572" s="149"/>
      <c r="E572" s="153" t="s">
        <v>68</v>
      </c>
      <c r="F572" s="156">
        <f>(1.09*103)/100</f>
        <v>1.1227</v>
      </c>
      <c r="G572" s="156">
        <v>3.2699999999999951E-2</v>
      </c>
      <c r="H572" s="156">
        <f>F572+G572</f>
        <v>1.1554</v>
      </c>
      <c r="I572" s="166">
        <f>SUMIFS(Продажи!F$5:F$359,Продажи!$D$5:$D$359,Конструкторы!$B572,Продажи!$C$5:$C$359,Конструкторы!$A572)</f>
        <v>0</v>
      </c>
      <c r="J572" s="166">
        <f>SUMIFS(Продажи!G$5:G$359,Продажи!$D$5:$D$359,Конструкторы!$B572,Продажи!$C$5:$C$359,Конструкторы!$A572)</f>
        <v>0</v>
      </c>
      <c r="K572" s="166">
        <f>SUMIFS(Продажи!H$5:H$359,Продажи!$D$5:$D$359,Конструкторы!$B572,Продажи!$C$5:$C$359,Конструкторы!$A572)</f>
        <v>0</v>
      </c>
      <c r="L572" s="166">
        <f>SUMIFS(Продажи!I$5:I$359,Продажи!$D$5:$D$359,Конструкторы!$B572,Продажи!$C$5:$C$359,Конструкторы!$A572)</f>
        <v>0</v>
      </c>
      <c r="M572" s="166">
        <f>SUMIFS(Продажи!J$5:J$359,Продажи!$D$5:$D$359,Конструкторы!$B572,Продажи!$C$5:$C$359,Конструкторы!$A572)</f>
        <v>0</v>
      </c>
      <c r="N572" s="166">
        <f>SUMIFS(Продажи!K$5:K$359,Продажи!$D$5:$D$359,Конструкторы!$B572,Продажи!$C$5:$C$359,Конструкторы!$A572)</f>
        <v>0</v>
      </c>
      <c r="O572" s="166">
        <f>SUMIFS(Продажи!L$5:L$359,Продажи!$D$5:$D$359,Конструкторы!$B572,Продажи!$C$5:$C$359,Конструкторы!$A572)</f>
        <v>0</v>
      </c>
      <c r="P572" s="166">
        <f>SUMIFS(Продажи!M$5:M$359,Продажи!$D$5:$D$359,Конструкторы!$B572,Продажи!$C$5:$C$359,Конструкторы!$A572)</f>
        <v>0</v>
      </c>
      <c r="Q572" s="166">
        <f>SUMIFS(Продажи!N$5:N$359,Продажи!$D$5:$D$359,Конструкторы!$B572,Продажи!$C$5:$C$359,Конструкторы!$A572)</f>
        <v>0</v>
      </c>
      <c r="R572" s="166">
        <f>SUMIFS(Продажи!O$5:O$359,Продажи!$D$5:$D$359,Конструкторы!$B572,Продажи!$C$5:$C$359,Конструкторы!$A572)</f>
        <v>0</v>
      </c>
      <c r="S572" s="166">
        <f>SUMIFS(Продажи!P$5:P$359,Продажи!$D$5:$D$359,Конструкторы!$B572,Продажи!$C$5:$C$359,Конструкторы!$A572)</f>
        <v>0</v>
      </c>
      <c r="T572" s="166">
        <f>SUMIFS(Продажи!Q$5:Q$359,Продажи!$D$5:$D$359,Конструкторы!$B572,Продажи!$C$5:$C$359,Конструкторы!$A572)</f>
        <v>0</v>
      </c>
    </row>
    <row r="573" spans="1:20" ht="15.75" hidden="1" x14ac:dyDescent="0.25">
      <c r="A573" s="166" t="s">
        <v>397</v>
      </c>
      <c r="B573" s="167" t="s">
        <v>106</v>
      </c>
      <c r="C573" s="129" t="s">
        <v>60</v>
      </c>
      <c r="D573" s="149"/>
      <c r="E573" s="153" t="s">
        <v>68</v>
      </c>
      <c r="F573" s="156">
        <f>(0.288*103)/100</f>
        <v>0.29663999999999996</v>
      </c>
      <c r="G573" s="156">
        <v>8.639999999999981E-3</v>
      </c>
      <c r="H573" s="156">
        <f>F573+G573</f>
        <v>0.30527999999999994</v>
      </c>
      <c r="I573" s="166">
        <f>SUMIFS(Продажи!F$5:F$359,Продажи!$D$5:$D$359,Конструкторы!$B573,Продажи!$C$5:$C$359,Конструкторы!$A573)</f>
        <v>0</v>
      </c>
      <c r="J573" s="166">
        <f>SUMIFS(Продажи!G$5:G$359,Продажи!$D$5:$D$359,Конструкторы!$B573,Продажи!$C$5:$C$359,Конструкторы!$A573)</f>
        <v>0</v>
      </c>
      <c r="K573" s="166">
        <f>SUMIFS(Продажи!H$5:H$359,Продажи!$D$5:$D$359,Конструкторы!$B573,Продажи!$C$5:$C$359,Конструкторы!$A573)</f>
        <v>0</v>
      </c>
      <c r="L573" s="166">
        <f>SUMIFS(Продажи!I$5:I$359,Продажи!$D$5:$D$359,Конструкторы!$B573,Продажи!$C$5:$C$359,Конструкторы!$A573)</f>
        <v>0</v>
      </c>
      <c r="M573" s="166">
        <f>SUMIFS(Продажи!J$5:J$359,Продажи!$D$5:$D$359,Конструкторы!$B573,Продажи!$C$5:$C$359,Конструкторы!$A573)</f>
        <v>0</v>
      </c>
      <c r="N573" s="166">
        <f>SUMIFS(Продажи!K$5:K$359,Продажи!$D$5:$D$359,Конструкторы!$B573,Продажи!$C$5:$C$359,Конструкторы!$A573)</f>
        <v>0</v>
      </c>
      <c r="O573" s="166">
        <f>SUMIFS(Продажи!L$5:L$359,Продажи!$D$5:$D$359,Конструкторы!$B573,Продажи!$C$5:$C$359,Конструкторы!$A573)</f>
        <v>0</v>
      </c>
      <c r="P573" s="166">
        <f>SUMIFS(Продажи!M$5:M$359,Продажи!$D$5:$D$359,Конструкторы!$B573,Продажи!$C$5:$C$359,Конструкторы!$A573)</f>
        <v>0</v>
      </c>
      <c r="Q573" s="166">
        <f>SUMIFS(Продажи!N$5:N$359,Продажи!$D$5:$D$359,Конструкторы!$B573,Продажи!$C$5:$C$359,Конструкторы!$A573)</f>
        <v>0</v>
      </c>
      <c r="R573" s="166">
        <f>SUMIFS(Продажи!O$5:O$359,Продажи!$D$5:$D$359,Конструкторы!$B573,Продажи!$C$5:$C$359,Конструкторы!$A573)</f>
        <v>0</v>
      </c>
      <c r="S573" s="166">
        <f>SUMIFS(Продажи!P$5:P$359,Продажи!$D$5:$D$359,Конструкторы!$B573,Продажи!$C$5:$C$359,Конструкторы!$A573)</f>
        <v>0</v>
      </c>
      <c r="T573" s="166">
        <f>SUMIFS(Продажи!Q$5:Q$359,Продажи!$D$5:$D$359,Конструкторы!$B573,Продажи!$C$5:$C$359,Конструкторы!$A573)</f>
        <v>0</v>
      </c>
    </row>
    <row r="574" spans="1:20" ht="15.75" hidden="1" x14ac:dyDescent="0.25">
      <c r="A574" s="166" t="s">
        <v>397</v>
      </c>
      <c r="B574" s="167" t="s">
        <v>106</v>
      </c>
      <c r="C574" s="33" t="s">
        <v>72</v>
      </c>
      <c r="D574" s="149"/>
      <c r="E574" s="153" t="s">
        <v>70</v>
      </c>
      <c r="F574" s="148">
        <v>2</v>
      </c>
      <c r="G574" s="156" t="s">
        <v>71</v>
      </c>
      <c r="H574" s="156">
        <f>F574</f>
        <v>2</v>
      </c>
      <c r="I574" s="166">
        <f>SUMIFS(Продажи!F$5:F$359,Продажи!$D$5:$D$359,Конструкторы!$B574,Продажи!$C$5:$C$359,Конструкторы!$A574)</f>
        <v>0</v>
      </c>
      <c r="J574" s="166">
        <f>SUMIFS(Продажи!G$5:G$359,Продажи!$D$5:$D$359,Конструкторы!$B574,Продажи!$C$5:$C$359,Конструкторы!$A574)</f>
        <v>0</v>
      </c>
      <c r="K574" s="166">
        <f>SUMIFS(Продажи!H$5:H$359,Продажи!$D$5:$D$359,Конструкторы!$B574,Продажи!$C$5:$C$359,Конструкторы!$A574)</f>
        <v>0</v>
      </c>
      <c r="L574" s="166">
        <f>SUMIFS(Продажи!I$5:I$359,Продажи!$D$5:$D$359,Конструкторы!$B574,Продажи!$C$5:$C$359,Конструкторы!$A574)</f>
        <v>0</v>
      </c>
      <c r="M574" s="166">
        <f>SUMIFS(Продажи!J$5:J$359,Продажи!$D$5:$D$359,Конструкторы!$B574,Продажи!$C$5:$C$359,Конструкторы!$A574)</f>
        <v>0</v>
      </c>
      <c r="N574" s="166">
        <f>SUMIFS(Продажи!K$5:K$359,Продажи!$D$5:$D$359,Конструкторы!$B574,Продажи!$C$5:$C$359,Конструкторы!$A574)</f>
        <v>0</v>
      </c>
      <c r="O574" s="166">
        <f>SUMIFS(Продажи!L$5:L$359,Продажи!$D$5:$D$359,Конструкторы!$B574,Продажи!$C$5:$C$359,Конструкторы!$A574)</f>
        <v>0</v>
      </c>
      <c r="P574" s="166">
        <f>SUMIFS(Продажи!M$5:M$359,Продажи!$D$5:$D$359,Конструкторы!$B574,Продажи!$C$5:$C$359,Конструкторы!$A574)</f>
        <v>0</v>
      </c>
      <c r="Q574" s="166">
        <f>SUMIFS(Продажи!N$5:N$359,Продажи!$D$5:$D$359,Конструкторы!$B574,Продажи!$C$5:$C$359,Конструкторы!$A574)</f>
        <v>0</v>
      </c>
      <c r="R574" s="166">
        <f>SUMIFS(Продажи!O$5:O$359,Продажи!$D$5:$D$359,Конструкторы!$B574,Продажи!$C$5:$C$359,Конструкторы!$A574)</f>
        <v>0</v>
      </c>
      <c r="S574" s="166">
        <f>SUMIFS(Продажи!P$5:P$359,Продажи!$D$5:$D$359,Конструкторы!$B574,Продажи!$C$5:$C$359,Конструкторы!$A574)</f>
        <v>0</v>
      </c>
      <c r="T574" s="166">
        <f>SUMIFS(Продажи!Q$5:Q$359,Продажи!$D$5:$D$359,Конструкторы!$B574,Продажи!$C$5:$C$359,Конструкторы!$A574)</f>
        <v>0</v>
      </c>
    </row>
    <row r="575" spans="1:20" ht="15.75" hidden="1" x14ac:dyDescent="0.25">
      <c r="A575" s="166" t="s">
        <v>397</v>
      </c>
      <c r="B575" s="167" t="s">
        <v>106</v>
      </c>
      <c r="C575" s="33" t="s">
        <v>76</v>
      </c>
      <c r="D575" s="149"/>
      <c r="E575" s="153" t="s">
        <v>70</v>
      </c>
      <c r="F575" s="148">
        <v>10</v>
      </c>
      <c r="G575" s="156" t="s">
        <v>71</v>
      </c>
      <c r="H575" s="156">
        <f>F575</f>
        <v>10</v>
      </c>
      <c r="I575" s="166">
        <f>SUMIFS(Продажи!F$5:F$359,Продажи!$D$5:$D$359,Конструкторы!$B575,Продажи!$C$5:$C$359,Конструкторы!$A575)</f>
        <v>0</v>
      </c>
      <c r="J575" s="166">
        <f>SUMIFS(Продажи!G$5:G$359,Продажи!$D$5:$D$359,Конструкторы!$B575,Продажи!$C$5:$C$359,Конструкторы!$A575)</f>
        <v>0</v>
      </c>
      <c r="K575" s="166">
        <f>SUMIFS(Продажи!H$5:H$359,Продажи!$D$5:$D$359,Конструкторы!$B575,Продажи!$C$5:$C$359,Конструкторы!$A575)</f>
        <v>0</v>
      </c>
      <c r="L575" s="166">
        <f>SUMIFS(Продажи!I$5:I$359,Продажи!$D$5:$D$359,Конструкторы!$B575,Продажи!$C$5:$C$359,Конструкторы!$A575)</f>
        <v>0</v>
      </c>
      <c r="M575" s="166">
        <f>SUMIFS(Продажи!J$5:J$359,Продажи!$D$5:$D$359,Конструкторы!$B575,Продажи!$C$5:$C$359,Конструкторы!$A575)</f>
        <v>0</v>
      </c>
      <c r="N575" s="166">
        <f>SUMIFS(Продажи!K$5:K$359,Продажи!$D$5:$D$359,Конструкторы!$B575,Продажи!$C$5:$C$359,Конструкторы!$A575)</f>
        <v>0</v>
      </c>
      <c r="O575" s="166">
        <f>SUMIFS(Продажи!L$5:L$359,Продажи!$D$5:$D$359,Конструкторы!$B575,Продажи!$C$5:$C$359,Конструкторы!$A575)</f>
        <v>0</v>
      </c>
      <c r="P575" s="166">
        <f>SUMIFS(Продажи!M$5:M$359,Продажи!$D$5:$D$359,Конструкторы!$B575,Продажи!$C$5:$C$359,Конструкторы!$A575)</f>
        <v>0</v>
      </c>
      <c r="Q575" s="166">
        <f>SUMIFS(Продажи!N$5:N$359,Продажи!$D$5:$D$359,Конструкторы!$B575,Продажи!$C$5:$C$359,Конструкторы!$A575)</f>
        <v>0</v>
      </c>
      <c r="R575" s="166">
        <f>SUMIFS(Продажи!O$5:O$359,Продажи!$D$5:$D$359,Конструкторы!$B575,Продажи!$C$5:$C$359,Конструкторы!$A575)</f>
        <v>0</v>
      </c>
      <c r="S575" s="166">
        <f>SUMIFS(Продажи!P$5:P$359,Продажи!$D$5:$D$359,Конструкторы!$B575,Продажи!$C$5:$C$359,Конструкторы!$A575)</f>
        <v>0</v>
      </c>
      <c r="T575" s="166">
        <f>SUMIFS(Продажи!Q$5:Q$359,Продажи!$D$5:$D$359,Конструкторы!$B575,Продажи!$C$5:$C$359,Конструкторы!$A575)</f>
        <v>0</v>
      </c>
    </row>
    <row r="576" spans="1:20" ht="15.75" hidden="1" x14ac:dyDescent="0.25">
      <c r="A576" s="166" t="s">
        <v>397</v>
      </c>
      <c r="B576" s="167" t="s">
        <v>115</v>
      </c>
      <c r="C576" s="129" t="s">
        <v>62</v>
      </c>
      <c r="D576" s="149"/>
      <c r="E576" s="153" t="s">
        <v>68</v>
      </c>
      <c r="F576" s="156">
        <f>(0.8*103)/100</f>
        <v>0.82400000000000007</v>
      </c>
      <c r="G576" s="156">
        <v>2.4000000000000021E-2</v>
      </c>
      <c r="H576" s="156">
        <f>F576+G576</f>
        <v>0.84800000000000009</v>
      </c>
      <c r="I576" s="166">
        <f>SUMIFS(Продажи!F$5:F$359,Продажи!$D$5:$D$359,Конструкторы!$B576,Продажи!$C$5:$C$359,Конструкторы!$A576)</f>
        <v>0</v>
      </c>
      <c r="J576" s="166">
        <f>SUMIFS(Продажи!G$5:G$359,Продажи!$D$5:$D$359,Конструкторы!$B576,Продажи!$C$5:$C$359,Конструкторы!$A576)</f>
        <v>0</v>
      </c>
      <c r="K576" s="166">
        <f>SUMIFS(Продажи!H$5:H$359,Продажи!$D$5:$D$359,Конструкторы!$B576,Продажи!$C$5:$C$359,Конструкторы!$A576)</f>
        <v>0</v>
      </c>
      <c r="L576" s="166">
        <f>SUMIFS(Продажи!I$5:I$359,Продажи!$D$5:$D$359,Конструкторы!$B576,Продажи!$C$5:$C$359,Конструкторы!$A576)</f>
        <v>0</v>
      </c>
      <c r="M576" s="166">
        <f>SUMIFS(Продажи!J$5:J$359,Продажи!$D$5:$D$359,Конструкторы!$B576,Продажи!$C$5:$C$359,Конструкторы!$A576)</f>
        <v>0</v>
      </c>
      <c r="N576" s="166">
        <f>SUMIFS(Продажи!K$5:K$359,Продажи!$D$5:$D$359,Конструкторы!$B576,Продажи!$C$5:$C$359,Конструкторы!$A576)</f>
        <v>0</v>
      </c>
      <c r="O576" s="166">
        <f>SUMIFS(Продажи!L$5:L$359,Продажи!$D$5:$D$359,Конструкторы!$B576,Продажи!$C$5:$C$359,Конструкторы!$A576)</f>
        <v>0</v>
      </c>
      <c r="P576" s="166">
        <f>SUMIFS(Продажи!M$5:M$359,Продажи!$D$5:$D$359,Конструкторы!$B576,Продажи!$C$5:$C$359,Конструкторы!$A576)</f>
        <v>0</v>
      </c>
      <c r="Q576" s="166">
        <f>SUMIFS(Продажи!N$5:N$359,Продажи!$D$5:$D$359,Конструкторы!$B576,Продажи!$C$5:$C$359,Конструкторы!$A576)</f>
        <v>0</v>
      </c>
      <c r="R576" s="166">
        <f>SUMIFS(Продажи!O$5:O$359,Продажи!$D$5:$D$359,Конструкторы!$B576,Продажи!$C$5:$C$359,Конструкторы!$A576)</f>
        <v>0</v>
      </c>
      <c r="S576" s="166">
        <f>SUMIFS(Продажи!P$5:P$359,Продажи!$D$5:$D$359,Конструкторы!$B576,Продажи!$C$5:$C$359,Конструкторы!$A576)</f>
        <v>0</v>
      </c>
      <c r="T576" s="166">
        <f>SUMIFS(Продажи!Q$5:Q$359,Продажи!$D$5:$D$359,Конструкторы!$B576,Продажи!$C$5:$C$359,Конструкторы!$A576)</f>
        <v>0</v>
      </c>
    </row>
    <row r="577" spans="1:20" ht="15.75" hidden="1" x14ac:dyDescent="0.25">
      <c r="A577" s="166" t="s">
        <v>397</v>
      </c>
      <c r="B577" s="167" t="s">
        <v>115</v>
      </c>
      <c r="C577" s="129" t="s">
        <v>61</v>
      </c>
      <c r="D577" s="149"/>
      <c r="E577" s="153" t="s">
        <v>68</v>
      </c>
      <c r="F577" s="156">
        <f>(0.29*103)/100</f>
        <v>0.29869999999999997</v>
      </c>
      <c r="G577" s="156">
        <v>8.6999999999999855E-3</v>
      </c>
      <c r="H577" s="156">
        <f>F577+G577</f>
        <v>0.30739999999999995</v>
      </c>
      <c r="I577" s="166">
        <f>SUMIFS(Продажи!F$5:F$359,Продажи!$D$5:$D$359,Конструкторы!$B577,Продажи!$C$5:$C$359,Конструкторы!$A577)</f>
        <v>0</v>
      </c>
      <c r="J577" s="166">
        <f>SUMIFS(Продажи!G$5:G$359,Продажи!$D$5:$D$359,Конструкторы!$B577,Продажи!$C$5:$C$359,Конструкторы!$A577)</f>
        <v>0</v>
      </c>
      <c r="K577" s="166">
        <f>SUMIFS(Продажи!H$5:H$359,Продажи!$D$5:$D$359,Конструкторы!$B577,Продажи!$C$5:$C$359,Конструкторы!$A577)</f>
        <v>0</v>
      </c>
      <c r="L577" s="166">
        <f>SUMIFS(Продажи!I$5:I$359,Продажи!$D$5:$D$359,Конструкторы!$B577,Продажи!$C$5:$C$359,Конструкторы!$A577)</f>
        <v>0</v>
      </c>
      <c r="M577" s="166">
        <f>SUMIFS(Продажи!J$5:J$359,Продажи!$D$5:$D$359,Конструкторы!$B577,Продажи!$C$5:$C$359,Конструкторы!$A577)</f>
        <v>0</v>
      </c>
      <c r="N577" s="166">
        <f>SUMIFS(Продажи!K$5:K$359,Продажи!$D$5:$D$359,Конструкторы!$B577,Продажи!$C$5:$C$359,Конструкторы!$A577)</f>
        <v>0</v>
      </c>
      <c r="O577" s="166">
        <f>SUMIFS(Продажи!L$5:L$359,Продажи!$D$5:$D$359,Конструкторы!$B577,Продажи!$C$5:$C$359,Конструкторы!$A577)</f>
        <v>0</v>
      </c>
      <c r="P577" s="166">
        <f>SUMIFS(Продажи!M$5:M$359,Продажи!$D$5:$D$359,Конструкторы!$B577,Продажи!$C$5:$C$359,Конструкторы!$A577)</f>
        <v>0</v>
      </c>
      <c r="Q577" s="166">
        <f>SUMIFS(Продажи!N$5:N$359,Продажи!$D$5:$D$359,Конструкторы!$B577,Продажи!$C$5:$C$359,Конструкторы!$A577)</f>
        <v>0</v>
      </c>
      <c r="R577" s="166">
        <f>SUMIFS(Продажи!O$5:O$359,Продажи!$D$5:$D$359,Конструкторы!$B577,Продажи!$C$5:$C$359,Конструкторы!$A577)</f>
        <v>0</v>
      </c>
      <c r="S577" s="166">
        <f>SUMIFS(Продажи!P$5:P$359,Продажи!$D$5:$D$359,Конструкторы!$B577,Продажи!$C$5:$C$359,Конструкторы!$A577)</f>
        <v>0</v>
      </c>
      <c r="T577" s="166">
        <f>SUMIFS(Продажи!Q$5:Q$359,Продажи!$D$5:$D$359,Конструкторы!$B577,Продажи!$C$5:$C$359,Конструкторы!$A577)</f>
        <v>0</v>
      </c>
    </row>
    <row r="578" spans="1:20" ht="15.75" hidden="1" x14ac:dyDescent="0.25">
      <c r="A578" s="166" t="s">
        <v>397</v>
      </c>
      <c r="B578" s="167" t="s">
        <v>115</v>
      </c>
      <c r="C578" s="129" t="s">
        <v>60</v>
      </c>
      <c r="D578" s="149"/>
      <c r="E578" s="153"/>
      <c r="F578" s="156">
        <f>(0.288*103)/100</f>
        <v>0.29663999999999996</v>
      </c>
      <c r="G578" s="156">
        <v>8.639999999999981E-3</v>
      </c>
      <c r="H578" s="156">
        <f>F578+G578</f>
        <v>0.30527999999999994</v>
      </c>
      <c r="I578" s="166">
        <f>SUMIFS(Продажи!F$5:F$359,Продажи!$D$5:$D$359,Конструкторы!$B578,Продажи!$C$5:$C$359,Конструкторы!$A578)</f>
        <v>0</v>
      </c>
      <c r="J578" s="166">
        <f>SUMIFS(Продажи!G$5:G$359,Продажи!$D$5:$D$359,Конструкторы!$B578,Продажи!$C$5:$C$359,Конструкторы!$A578)</f>
        <v>0</v>
      </c>
      <c r="K578" s="166">
        <f>SUMIFS(Продажи!H$5:H$359,Продажи!$D$5:$D$359,Конструкторы!$B578,Продажи!$C$5:$C$359,Конструкторы!$A578)</f>
        <v>0</v>
      </c>
      <c r="L578" s="166">
        <f>SUMIFS(Продажи!I$5:I$359,Продажи!$D$5:$D$359,Конструкторы!$B578,Продажи!$C$5:$C$359,Конструкторы!$A578)</f>
        <v>0</v>
      </c>
      <c r="M578" s="166">
        <f>SUMIFS(Продажи!J$5:J$359,Продажи!$D$5:$D$359,Конструкторы!$B578,Продажи!$C$5:$C$359,Конструкторы!$A578)</f>
        <v>0</v>
      </c>
      <c r="N578" s="166">
        <f>SUMIFS(Продажи!K$5:K$359,Продажи!$D$5:$D$359,Конструкторы!$B578,Продажи!$C$5:$C$359,Конструкторы!$A578)</f>
        <v>0</v>
      </c>
      <c r="O578" s="166">
        <f>SUMIFS(Продажи!L$5:L$359,Продажи!$D$5:$D$359,Конструкторы!$B578,Продажи!$C$5:$C$359,Конструкторы!$A578)</f>
        <v>0</v>
      </c>
      <c r="P578" s="166">
        <f>SUMIFS(Продажи!M$5:M$359,Продажи!$D$5:$D$359,Конструкторы!$B578,Продажи!$C$5:$C$359,Конструкторы!$A578)</f>
        <v>0</v>
      </c>
      <c r="Q578" s="166">
        <f>SUMIFS(Продажи!N$5:N$359,Продажи!$D$5:$D$359,Конструкторы!$B578,Продажи!$C$5:$C$359,Конструкторы!$A578)</f>
        <v>0</v>
      </c>
      <c r="R578" s="166">
        <f>SUMIFS(Продажи!O$5:O$359,Продажи!$D$5:$D$359,Конструкторы!$B578,Продажи!$C$5:$C$359,Конструкторы!$A578)</f>
        <v>0</v>
      </c>
      <c r="S578" s="166">
        <f>SUMIFS(Продажи!P$5:P$359,Продажи!$D$5:$D$359,Конструкторы!$B578,Продажи!$C$5:$C$359,Конструкторы!$A578)</f>
        <v>0</v>
      </c>
      <c r="T578" s="166">
        <f>SUMIFS(Продажи!Q$5:Q$359,Продажи!$D$5:$D$359,Конструкторы!$B578,Продажи!$C$5:$C$359,Конструкторы!$A578)</f>
        <v>0</v>
      </c>
    </row>
    <row r="579" spans="1:20" ht="15.75" hidden="1" x14ac:dyDescent="0.25">
      <c r="A579" s="166" t="s">
        <v>397</v>
      </c>
      <c r="B579" s="167" t="s">
        <v>115</v>
      </c>
      <c r="C579" s="33" t="s">
        <v>72</v>
      </c>
      <c r="D579" s="149"/>
      <c r="E579" s="153" t="s">
        <v>70</v>
      </c>
      <c r="F579" s="148">
        <v>2</v>
      </c>
      <c r="G579" s="156" t="s">
        <v>71</v>
      </c>
      <c r="H579" s="156">
        <f>F579</f>
        <v>2</v>
      </c>
      <c r="I579" s="166">
        <f>SUMIFS(Продажи!F$5:F$359,Продажи!$D$5:$D$359,Конструкторы!$B579,Продажи!$C$5:$C$359,Конструкторы!$A579)</f>
        <v>0</v>
      </c>
      <c r="J579" s="166">
        <f>SUMIFS(Продажи!G$5:G$359,Продажи!$D$5:$D$359,Конструкторы!$B579,Продажи!$C$5:$C$359,Конструкторы!$A579)</f>
        <v>0</v>
      </c>
      <c r="K579" s="166">
        <f>SUMIFS(Продажи!H$5:H$359,Продажи!$D$5:$D$359,Конструкторы!$B579,Продажи!$C$5:$C$359,Конструкторы!$A579)</f>
        <v>0</v>
      </c>
      <c r="L579" s="166">
        <f>SUMIFS(Продажи!I$5:I$359,Продажи!$D$5:$D$359,Конструкторы!$B579,Продажи!$C$5:$C$359,Конструкторы!$A579)</f>
        <v>0</v>
      </c>
      <c r="M579" s="166">
        <f>SUMIFS(Продажи!J$5:J$359,Продажи!$D$5:$D$359,Конструкторы!$B579,Продажи!$C$5:$C$359,Конструкторы!$A579)</f>
        <v>0</v>
      </c>
      <c r="N579" s="166">
        <f>SUMIFS(Продажи!K$5:K$359,Продажи!$D$5:$D$359,Конструкторы!$B579,Продажи!$C$5:$C$359,Конструкторы!$A579)</f>
        <v>0</v>
      </c>
      <c r="O579" s="166">
        <f>SUMIFS(Продажи!L$5:L$359,Продажи!$D$5:$D$359,Конструкторы!$B579,Продажи!$C$5:$C$359,Конструкторы!$A579)</f>
        <v>0</v>
      </c>
      <c r="P579" s="166">
        <f>SUMIFS(Продажи!M$5:M$359,Продажи!$D$5:$D$359,Конструкторы!$B579,Продажи!$C$5:$C$359,Конструкторы!$A579)</f>
        <v>0</v>
      </c>
      <c r="Q579" s="166">
        <f>SUMIFS(Продажи!N$5:N$359,Продажи!$D$5:$D$359,Конструкторы!$B579,Продажи!$C$5:$C$359,Конструкторы!$A579)</f>
        <v>0</v>
      </c>
      <c r="R579" s="166">
        <f>SUMIFS(Продажи!O$5:O$359,Продажи!$D$5:$D$359,Конструкторы!$B579,Продажи!$C$5:$C$359,Конструкторы!$A579)</f>
        <v>0</v>
      </c>
      <c r="S579" s="166">
        <f>SUMIFS(Продажи!P$5:P$359,Продажи!$D$5:$D$359,Конструкторы!$B579,Продажи!$C$5:$C$359,Конструкторы!$A579)</f>
        <v>0</v>
      </c>
      <c r="T579" s="166">
        <f>SUMIFS(Продажи!Q$5:Q$359,Продажи!$D$5:$D$359,Конструкторы!$B579,Продажи!$C$5:$C$359,Конструкторы!$A579)</f>
        <v>0</v>
      </c>
    </row>
    <row r="580" spans="1:20" ht="15.75" hidden="1" x14ac:dyDescent="0.25">
      <c r="A580" s="166" t="s">
        <v>397</v>
      </c>
      <c r="B580" s="167" t="s">
        <v>115</v>
      </c>
      <c r="C580" s="33" t="s">
        <v>76</v>
      </c>
      <c r="D580" s="149"/>
      <c r="E580" s="153" t="s">
        <v>70</v>
      </c>
      <c r="F580" s="148">
        <v>8</v>
      </c>
      <c r="G580" s="156" t="s">
        <v>71</v>
      </c>
      <c r="H580" s="156">
        <f>F580</f>
        <v>8</v>
      </c>
      <c r="I580" s="166">
        <f>SUMIFS(Продажи!F$5:F$359,Продажи!$D$5:$D$359,Конструкторы!$B580,Продажи!$C$5:$C$359,Конструкторы!$A580)</f>
        <v>0</v>
      </c>
      <c r="J580" s="166">
        <f>SUMIFS(Продажи!G$5:G$359,Продажи!$D$5:$D$359,Конструкторы!$B580,Продажи!$C$5:$C$359,Конструкторы!$A580)</f>
        <v>0</v>
      </c>
      <c r="K580" s="166">
        <f>SUMIFS(Продажи!H$5:H$359,Продажи!$D$5:$D$359,Конструкторы!$B580,Продажи!$C$5:$C$359,Конструкторы!$A580)</f>
        <v>0</v>
      </c>
      <c r="L580" s="166">
        <f>SUMIFS(Продажи!I$5:I$359,Продажи!$D$5:$D$359,Конструкторы!$B580,Продажи!$C$5:$C$359,Конструкторы!$A580)</f>
        <v>0</v>
      </c>
      <c r="M580" s="166">
        <f>SUMIFS(Продажи!J$5:J$359,Продажи!$D$5:$D$359,Конструкторы!$B580,Продажи!$C$5:$C$359,Конструкторы!$A580)</f>
        <v>0</v>
      </c>
      <c r="N580" s="166">
        <f>SUMIFS(Продажи!K$5:K$359,Продажи!$D$5:$D$359,Конструкторы!$B580,Продажи!$C$5:$C$359,Конструкторы!$A580)</f>
        <v>0</v>
      </c>
      <c r="O580" s="166">
        <f>SUMIFS(Продажи!L$5:L$359,Продажи!$D$5:$D$359,Конструкторы!$B580,Продажи!$C$5:$C$359,Конструкторы!$A580)</f>
        <v>0</v>
      </c>
      <c r="P580" s="166">
        <f>SUMIFS(Продажи!M$5:M$359,Продажи!$D$5:$D$359,Конструкторы!$B580,Продажи!$C$5:$C$359,Конструкторы!$A580)</f>
        <v>0</v>
      </c>
      <c r="Q580" s="166">
        <f>SUMIFS(Продажи!N$5:N$359,Продажи!$D$5:$D$359,Конструкторы!$B580,Продажи!$C$5:$C$359,Конструкторы!$A580)</f>
        <v>0</v>
      </c>
      <c r="R580" s="166">
        <f>SUMIFS(Продажи!O$5:O$359,Продажи!$D$5:$D$359,Конструкторы!$B580,Продажи!$C$5:$C$359,Конструкторы!$A580)</f>
        <v>0</v>
      </c>
      <c r="S580" s="166">
        <f>SUMIFS(Продажи!P$5:P$359,Продажи!$D$5:$D$359,Конструкторы!$B580,Продажи!$C$5:$C$359,Конструкторы!$A580)</f>
        <v>0</v>
      </c>
      <c r="T580" s="166">
        <f>SUMIFS(Продажи!Q$5:Q$359,Продажи!$D$5:$D$359,Конструкторы!$B580,Продажи!$C$5:$C$359,Конструкторы!$A580)</f>
        <v>0</v>
      </c>
    </row>
    <row r="581" spans="1:20" ht="15.75" hidden="1" x14ac:dyDescent="0.25">
      <c r="A581" s="166" t="s">
        <v>397</v>
      </c>
      <c r="B581" s="167" t="s">
        <v>116</v>
      </c>
      <c r="C581" s="129" t="s">
        <v>63</v>
      </c>
      <c r="D581" s="149"/>
      <c r="E581" s="153" t="s">
        <v>68</v>
      </c>
      <c r="F581" s="156">
        <f>(0.8*103)/100</f>
        <v>0.82400000000000007</v>
      </c>
      <c r="G581" s="156">
        <v>2.4000000000000021E-2</v>
      </c>
      <c r="H581" s="156">
        <f>F581+G581</f>
        <v>0.84800000000000009</v>
      </c>
      <c r="I581" s="166">
        <f>SUMIFS(Продажи!F$5:F$359,Продажи!$D$5:$D$359,Конструкторы!$B581,Продажи!$C$5:$C$359,Конструкторы!$A581)</f>
        <v>0</v>
      </c>
      <c r="J581" s="166">
        <f>SUMIFS(Продажи!G$5:G$359,Продажи!$D$5:$D$359,Конструкторы!$B581,Продажи!$C$5:$C$359,Конструкторы!$A581)</f>
        <v>0</v>
      </c>
      <c r="K581" s="166">
        <f>SUMIFS(Продажи!H$5:H$359,Продажи!$D$5:$D$359,Конструкторы!$B581,Продажи!$C$5:$C$359,Конструкторы!$A581)</f>
        <v>0</v>
      </c>
      <c r="L581" s="166">
        <f>SUMIFS(Продажи!I$5:I$359,Продажи!$D$5:$D$359,Конструкторы!$B581,Продажи!$C$5:$C$359,Конструкторы!$A581)</f>
        <v>0</v>
      </c>
      <c r="M581" s="166">
        <f>SUMIFS(Продажи!J$5:J$359,Продажи!$D$5:$D$359,Конструкторы!$B581,Продажи!$C$5:$C$359,Конструкторы!$A581)</f>
        <v>0</v>
      </c>
      <c r="N581" s="166">
        <f>SUMIFS(Продажи!K$5:K$359,Продажи!$D$5:$D$359,Конструкторы!$B581,Продажи!$C$5:$C$359,Конструкторы!$A581)</f>
        <v>0</v>
      </c>
      <c r="O581" s="166">
        <f>SUMIFS(Продажи!L$5:L$359,Продажи!$D$5:$D$359,Конструкторы!$B581,Продажи!$C$5:$C$359,Конструкторы!$A581)</f>
        <v>0</v>
      </c>
      <c r="P581" s="166">
        <f>SUMIFS(Продажи!M$5:M$359,Продажи!$D$5:$D$359,Конструкторы!$B581,Продажи!$C$5:$C$359,Конструкторы!$A581)</f>
        <v>0</v>
      </c>
      <c r="Q581" s="166">
        <f>SUMIFS(Продажи!N$5:N$359,Продажи!$D$5:$D$359,Конструкторы!$B581,Продажи!$C$5:$C$359,Конструкторы!$A581)</f>
        <v>0</v>
      </c>
      <c r="R581" s="166">
        <f>SUMIFS(Продажи!O$5:O$359,Продажи!$D$5:$D$359,Конструкторы!$B581,Продажи!$C$5:$C$359,Конструкторы!$A581)</f>
        <v>0</v>
      </c>
      <c r="S581" s="166">
        <f>SUMIFS(Продажи!P$5:P$359,Продажи!$D$5:$D$359,Конструкторы!$B581,Продажи!$C$5:$C$359,Конструкторы!$A581)</f>
        <v>0</v>
      </c>
      <c r="T581" s="166">
        <f>SUMIFS(Продажи!Q$5:Q$359,Продажи!$D$5:$D$359,Конструкторы!$B581,Продажи!$C$5:$C$359,Конструкторы!$A581)</f>
        <v>0</v>
      </c>
    </row>
    <row r="582" spans="1:20" ht="15.75" hidden="1" x14ac:dyDescent="0.25">
      <c r="A582" s="166" t="s">
        <v>397</v>
      </c>
      <c r="B582" s="167" t="s">
        <v>116</v>
      </c>
      <c r="C582" s="129" t="s">
        <v>61</v>
      </c>
      <c r="D582" s="149"/>
      <c r="E582" s="153" t="s">
        <v>68</v>
      </c>
      <c r="F582" s="156">
        <f>(0.29*103)/100</f>
        <v>0.29869999999999997</v>
      </c>
      <c r="G582" s="156">
        <v>8.6999999999999855E-3</v>
      </c>
      <c r="H582" s="156">
        <f>F582+G582</f>
        <v>0.30739999999999995</v>
      </c>
      <c r="I582" s="166">
        <f>SUMIFS(Продажи!F$5:F$359,Продажи!$D$5:$D$359,Конструкторы!$B582,Продажи!$C$5:$C$359,Конструкторы!$A582)</f>
        <v>0</v>
      </c>
      <c r="J582" s="166">
        <f>SUMIFS(Продажи!G$5:G$359,Продажи!$D$5:$D$359,Конструкторы!$B582,Продажи!$C$5:$C$359,Конструкторы!$A582)</f>
        <v>0</v>
      </c>
      <c r="K582" s="166">
        <f>SUMIFS(Продажи!H$5:H$359,Продажи!$D$5:$D$359,Конструкторы!$B582,Продажи!$C$5:$C$359,Конструкторы!$A582)</f>
        <v>0</v>
      </c>
      <c r="L582" s="166">
        <f>SUMIFS(Продажи!I$5:I$359,Продажи!$D$5:$D$359,Конструкторы!$B582,Продажи!$C$5:$C$359,Конструкторы!$A582)</f>
        <v>0</v>
      </c>
      <c r="M582" s="166">
        <f>SUMIFS(Продажи!J$5:J$359,Продажи!$D$5:$D$359,Конструкторы!$B582,Продажи!$C$5:$C$359,Конструкторы!$A582)</f>
        <v>0</v>
      </c>
      <c r="N582" s="166">
        <f>SUMIFS(Продажи!K$5:K$359,Продажи!$D$5:$D$359,Конструкторы!$B582,Продажи!$C$5:$C$359,Конструкторы!$A582)</f>
        <v>0</v>
      </c>
      <c r="O582" s="166">
        <f>SUMIFS(Продажи!L$5:L$359,Продажи!$D$5:$D$359,Конструкторы!$B582,Продажи!$C$5:$C$359,Конструкторы!$A582)</f>
        <v>0</v>
      </c>
      <c r="P582" s="166">
        <f>SUMIFS(Продажи!M$5:M$359,Продажи!$D$5:$D$359,Конструкторы!$B582,Продажи!$C$5:$C$359,Конструкторы!$A582)</f>
        <v>0</v>
      </c>
      <c r="Q582" s="166">
        <f>SUMIFS(Продажи!N$5:N$359,Продажи!$D$5:$D$359,Конструкторы!$B582,Продажи!$C$5:$C$359,Конструкторы!$A582)</f>
        <v>0</v>
      </c>
      <c r="R582" s="166">
        <f>SUMIFS(Продажи!O$5:O$359,Продажи!$D$5:$D$359,Конструкторы!$B582,Продажи!$C$5:$C$359,Конструкторы!$A582)</f>
        <v>0</v>
      </c>
      <c r="S582" s="166">
        <f>SUMIFS(Продажи!P$5:P$359,Продажи!$D$5:$D$359,Конструкторы!$B582,Продажи!$C$5:$C$359,Конструкторы!$A582)</f>
        <v>0</v>
      </c>
      <c r="T582" s="166">
        <f>SUMIFS(Продажи!Q$5:Q$359,Продажи!$D$5:$D$359,Конструкторы!$B582,Продажи!$C$5:$C$359,Конструкторы!$A582)</f>
        <v>0</v>
      </c>
    </row>
    <row r="583" spans="1:20" ht="15.75" hidden="1" x14ac:dyDescent="0.25">
      <c r="A583" s="166" t="s">
        <v>397</v>
      </c>
      <c r="B583" s="167" t="s">
        <v>116</v>
      </c>
      <c r="C583" s="129" t="s">
        <v>60</v>
      </c>
      <c r="D583" s="149"/>
      <c r="E583" s="153"/>
      <c r="F583" s="156">
        <f>(0.288*103)/100</f>
        <v>0.29663999999999996</v>
      </c>
      <c r="G583" s="156">
        <v>8.639999999999981E-3</v>
      </c>
      <c r="H583" s="156">
        <f>F583+G583</f>
        <v>0.30527999999999994</v>
      </c>
      <c r="I583" s="166">
        <f>SUMIFS(Продажи!F$5:F$359,Продажи!$D$5:$D$359,Конструкторы!$B583,Продажи!$C$5:$C$359,Конструкторы!$A583)</f>
        <v>0</v>
      </c>
      <c r="J583" s="166">
        <f>SUMIFS(Продажи!G$5:G$359,Продажи!$D$5:$D$359,Конструкторы!$B583,Продажи!$C$5:$C$359,Конструкторы!$A583)</f>
        <v>0</v>
      </c>
      <c r="K583" s="166">
        <f>SUMIFS(Продажи!H$5:H$359,Продажи!$D$5:$D$359,Конструкторы!$B583,Продажи!$C$5:$C$359,Конструкторы!$A583)</f>
        <v>0</v>
      </c>
      <c r="L583" s="166">
        <f>SUMIFS(Продажи!I$5:I$359,Продажи!$D$5:$D$359,Конструкторы!$B583,Продажи!$C$5:$C$359,Конструкторы!$A583)</f>
        <v>0</v>
      </c>
      <c r="M583" s="166">
        <f>SUMIFS(Продажи!J$5:J$359,Продажи!$D$5:$D$359,Конструкторы!$B583,Продажи!$C$5:$C$359,Конструкторы!$A583)</f>
        <v>0</v>
      </c>
      <c r="N583" s="166">
        <f>SUMIFS(Продажи!K$5:K$359,Продажи!$D$5:$D$359,Конструкторы!$B583,Продажи!$C$5:$C$359,Конструкторы!$A583)</f>
        <v>0</v>
      </c>
      <c r="O583" s="166">
        <f>SUMIFS(Продажи!L$5:L$359,Продажи!$D$5:$D$359,Конструкторы!$B583,Продажи!$C$5:$C$359,Конструкторы!$A583)</f>
        <v>0</v>
      </c>
      <c r="P583" s="166">
        <f>SUMIFS(Продажи!M$5:M$359,Продажи!$D$5:$D$359,Конструкторы!$B583,Продажи!$C$5:$C$359,Конструкторы!$A583)</f>
        <v>0</v>
      </c>
      <c r="Q583" s="166">
        <f>SUMIFS(Продажи!N$5:N$359,Продажи!$D$5:$D$359,Конструкторы!$B583,Продажи!$C$5:$C$359,Конструкторы!$A583)</f>
        <v>0</v>
      </c>
      <c r="R583" s="166">
        <f>SUMIFS(Продажи!O$5:O$359,Продажи!$D$5:$D$359,Конструкторы!$B583,Продажи!$C$5:$C$359,Конструкторы!$A583)</f>
        <v>0</v>
      </c>
      <c r="S583" s="166">
        <f>SUMIFS(Продажи!P$5:P$359,Продажи!$D$5:$D$359,Конструкторы!$B583,Продажи!$C$5:$C$359,Конструкторы!$A583)</f>
        <v>0</v>
      </c>
      <c r="T583" s="166">
        <f>SUMIFS(Продажи!Q$5:Q$359,Продажи!$D$5:$D$359,Конструкторы!$B583,Продажи!$C$5:$C$359,Конструкторы!$A583)</f>
        <v>0</v>
      </c>
    </row>
    <row r="584" spans="1:20" ht="15.75" hidden="1" x14ac:dyDescent="0.25">
      <c r="A584" s="166" t="s">
        <v>397</v>
      </c>
      <c r="B584" s="167" t="s">
        <v>116</v>
      </c>
      <c r="C584" s="33" t="s">
        <v>72</v>
      </c>
      <c r="D584" s="149"/>
      <c r="E584" s="153" t="s">
        <v>70</v>
      </c>
      <c r="F584" s="148">
        <v>2</v>
      </c>
      <c r="G584" s="156" t="s">
        <v>71</v>
      </c>
      <c r="H584" s="156">
        <f>F584</f>
        <v>2</v>
      </c>
      <c r="I584" s="166">
        <f>SUMIFS(Продажи!F$5:F$359,Продажи!$D$5:$D$359,Конструкторы!$B584,Продажи!$C$5:$C$359,Конструкторы!$A584)</f>
        <v>0</v>
      </c>
      <c r="J584" s="166">
        <f>SUMIFS(Продажи!G$5:G$359,Продажи!$D$5:$D$359,Конструкторы!$B584,Продажи!$C$5:$C$359,Конструкторы!$A584)</f>
        <v>0</v>
      </c>
      <c r="K584" s="166">
        <f>SUMIFS(Продажи!H$5:H$359,Продажи!$D$5:$D$359,Конструкторы!$B584,Продажи!$C$5:$C$359,Конструкторы!$A584)</f>
        <v>0</v>
      </c>
      <c r="L584" s="166">
        <f>SUMIFS(Продажи!I$5:I$359,Продажи!$D$5:$D$359,Конструкторы!$B584,Продажи!$C$5:$C$359,Конструкторы!$A584)</f>
        <v>0</v>
      </c>
      <c r="M584" s="166">
        <f>SUMIFS(Продажи!J$5:J$359,Продажи!$D$5:$D$359,Конструкторы!$B584,Продажи!$C$5:$C$359,Конструкторы!$A584)</f>
        <v>0</v>
      </c>
      <c r="N584" s="166">
        <f>SUMIFS(Продажи!K$5:K$359,Продажи!$D$5:$D$359,Конструкторы!$B584,Продажи!$C$5:$C$359,Конструкторы!$A584)</f>
        <v>0</v>
      </c>
      <c r="O584" s="166">
        <f>SUMIFS(Продажи!L$5:L$359,Продажи!$D$5:$D$359,Конструкторы!$B584,Продажи!$C$5:$C$359,Конструкторы!$A584)</f>
        <v>0</v>
      </c>
      <c r="P584" s="166">
        <f>SUMIFS(Продажи!M$5:M$359,Продажи!$D$5:$D$359,Конструкторы!$B584,Продажи!$C$5:$C$359,Конструкторы!$A584)</f>
        <v>0</v>
      </c>
      <c r="Q584" s="166">
        <f>SUMIFS(Продажи!N$5:N$359,Продажи!$D$5:$D$359,Конструкторы!$B584,Продажи!$C$5:$C$359,Конструкторы!$A584)</f>
        <v>0</v>
      </c>
      <c r="R584" s="166">
        <f>SUMIFS(Продажи!O$5:O$359,Продажи!$D$5:$D$359,Конструкторы!$B584,Продажи!$C$5:$C$359,Конструкторы!$A584)</f>
        <v>0</v>
      </c>
      <c r="S584" s="166">
        <f>SUMIFS(Продажи!P$5:P$359,Продажи!$D$5:$D$359,Конструкторы!$B584,Продажи!$C$5:$C$359,Конструкторы!$A584)</f>
        <v>0</v>
      </c>
      <c r="T584" s="166">
        <f>SUMIFS(Продажи!Q$5:Q$359,Продажи!$D$5:$D$359,Конструкторы!$B584,Продажи!$C$5:$C$359,Конструкторы!$A584)</f>
        <v>0</v>
      </c>
    </row>
    <row r="585" spans="1:20" ht="15.75" hidden="1" x14ac:dyDescent="0.25">
      <c r="A585" s="166" t="s">
        <v>397</v>
      </c>
      <c r="B585" s="167" t="s">
        <v>116</v>
      </c>
      <c r="C585" s="33" t="s">
        <v>76</v>
      </c>
      <c r="D585" s="149"/>
      <c r="E585" s="153" t="s">
        <v>70</v>
      </c>
      <c r="F585" s="148">
        <v>8</v>
      </c>
      <c r="G585" s="156" t="s">
        <v>71</v>
      </c>
      <c r="H585" s="156">
        <f>F585</f>
        <v>8</v>
      </c>
      <c r="I585" s="166">
        <f>SUMIFS(Продажи!F$5:F$359,Продажи!$D$5:$D$359,Конструкторы!$B585,Продажи!$C$5:$C$359,Конструкторы!$A585)</f>
        <v>0</v>
      </c>
      <c r="J585" s="166">
        <f>SUMIFS(Продажи!G$5:G$359,Продажи!$D$5:$D$359,Конструкторы!$B585,Продажи!$C$5:$C$359,Конструкторы!$A585)</f>
        <v>0</v>
      </c>
      <c r="K585" s="166">
        <f>SUMIFS(Продажи!H$5:H$359,Продажи!$D$5:$D$359,Конструкторы!$B585,Продажи!$C$5:$C$359,Конструкторы!$A585)</f>
        <v>0</v>
      </c>
      <c r="L585" s="166">
        <f>SUMIFS(Продажи!I$5:I$359,Продажи!$D$5:$D$359,Конструкторы!$B585,Продажи!$C$5:$C$359,Конструкторы!$A585)</f>
        <v>0</v>
      </c>
      <c r="M585" s="166">
        <f>SUMIFS(Продажи!J$5:J$359,Продажи!$D$5:$D$359,Конструкторы!$B585,Продажи!$C$5:$C$359,Конструкторы!$A585)</f>
        <v>0</v>
      </c>
      <c r="N585" s="166">
        <f>SUMIFS(Продажи!K$5:K$359,Продажи!$D$5:$D$359,Конструкторы!$B585,Продажи!$C$5:$C$359,Конструкторы!$A585)</f>
        <v>0</v>
      </c>
      <c r="O585" s="166">
        <f>SUMIFS(Продажи!L$5:L$359,Продажи!$D$5:$D$359,Конструкторы!$B585,Продажи!$C$5:$C$359,Конструкторы!$A585)</f>
        <v>0</v>
      </c>
      <c r="P585" s="166">
        <f>SUMIFS(Продажи!M$5:M$359,Продажи!$D$5:$D$359,Конструкторы!$B585,Продажи!$C$5:$C$359,Конструкторы!$A585)</f>
        <v>0</v>
      </c>
      <c r="Q585" s="166">
        <f>SUMIFS(Продажи!N$5:N$359,Продажи!$D$5:$D$359,Конструкторы!$B585,Продажи!$C$5:$C$359,Конструкторы!$A585)</f>
        <v>0</v>
      </c>
      <c r="R585" s="166">
        <f>SUMIFS(Продажи!O$5:O$359,Продажи!$D$5:$D$359,Конструкторы!$B585,Продажи!$C$5:$C$359,Конструкторы!$A585)</f>
        <v>0</v>
      </c>
      <c r="S585" s="166">
        <f>SUMIFS(Продажи!P$5:P$359,Продажи!$D$5:$D$359,Конструкторы!$B585,Продажи!$C$5:$C$359,Конструкторы!$A585)</f>
        <v>0</v>
      </c>
      <c r="T585" s="166">
        <f>SUMIFS(Продажи!Q$5:Q$359,Продажи!$D$5:$D$359,Конструкторы!$B585,Продажи!$C$5:$C$359,Конструкторы!$A585)</f>
        <v>0</v>
      </c>
    </row>
    <row r="586" spans="1:20" ht="15.75" hidden="1" x14ac:dyDescent="0.25">
      <c r="A586" s="166" t="s">
        <v>397</v>
      </c>
      <c r="B586" s="167" t="s">
        <v>379</v>
      </c>
      <c r="C586" s="33" t="s">
        <v>72</v>
      </c>
      <c r="D586" s="149"/>
      <c r="E586" s="153" t="s">
        <v>70</v>
      </c>
      <c r="F586" s="148">
        <v>2</v>
      </c>
      <c r="G586" s="148"/>
      <c r="H586" s="156">
        <f>F586</f>
        <v>2</v>
      </c>
      <c r="I586" s="166">
        <f>SUMIFS(Продажи!F$5:F$359,Продажи!$D$5:$D$359,Конструкторы!$B586,Продажи!$C$5:$C$359,Конструкторы!$A586)</f>
        <v>0</v>
      </c>
      <c r="J586" s="166">
        <f>SUMIFS(Продажи!G$5:G$359,Продажи!$D$5:$D$359,Конструкторы!$B586,Продажи!$C$5:$C$359,Конструкторы!$A586)</f>
        <v>0</v>
      </c>
      <c r="K586" s="166">
        <f>SUMIFS(Продажи!H$5:H$359,Продажи!$D$5:$D$359,Конструкторы!$B586,Продажи!$C$5:$C$359,Конструкторы!$A586)</f>
        <v>0</v>
      </c>
      <c r="L586" s="166">
        <f>SUMIFS(Продажи!I$5:I$359,Продажи!$D$5:$D$359,Конструкторы!$B586,Продажи!$C$5:$C$359,Конструкторы!$A586)</f>
        <v>0</v>
      </c>
      <c r="M586" s="166">
        <f>SUMIFS(Продажи!J$5:J$359,Продажи!$D$5:$D$359,Конструкторы!$B586,Продажи!$C$5:$C$359,Конструкторы!$A586)</f>
        <v>0</v>
      </c>
      <c r="N586" s="166">
        <f>SUMIFS(Продажи!K$5:K$359,Продажи!$D$5:$D$359,Конструкторы!$B586,Продажи!$C$5:$C$359,Конструкторы!$A586)</f>
        <v>0</v>
      </c>
      <c r="O586" s="166">
        <f>SUMIFS(Продажи!L$5:L$359,Продажи!$D$5:$D$359,Конструкторы!$B586,Продажи!$C$5:$C$359,Конструкторы!$A586)</f>
        <v>0</v>
      </c>
      <c r="P586" s="166">
        <f>SUMIFS(Продажи!M$5:M$359,Продажи!$D$5:$D$359,Конструкторы!$B586,Продажи!$C$5:$C$359,Конструкторы!$A586)</f>
        <v>0</v>
      </c>
      <c r="Q586" s="166">
        <f>SUMIFS(Продажи!N$5:N$359,Продажи!$D$5:$D$359,Конструкторы!$B586,Продажи!$C$5:$C$359,Конструкторы!$A586)</f>
        <v>0</v>
      </c>
      <c r="R586" s="166">
        <f>SUMIFS(Продажи!O$5:O$359,Продажи!$D$5:$D$359,Конструкторы!$B586,Продажи!$C$5:$C$359,Конструкторы!$A586)</f>
        <v>0</v>
      </c>
      <c r="S586" s="166">
        <f>SUMIFS(Продажи!P$5:P$359,Продажи!$D$5:$D$359,Конструкторы!$B586,Продажи!$C$5:$C$359,Конструкторы!$A586)</f>
        <v>0</v>
      </c>
      <c r="T586" s="166">
        <f>SUMIFS(Продажи!Q$5:Q$359,Продажи!$D$5:$D$359,Конструкторы!$B586,Продажи!$C$5:$C$359,Конструкторы!$A586)</f>
        <v>0</v>
      </c>
    </row>
    <row r="587" spans="1:20" ht="15.75" hidden="1" x14ac:dyDescent="0.25">
      <c r="A587" s="166" t="s">
        <v>397</v>
      </c>
      <c r="B587" s="167" t="s">
        <v>379</v>
      </c>
      <c r="C587" s="129" t="s">
        <v>64</v>
      </c>
      <c r="D587" s="149"/>
      <c r="E587" s="153" t="s">
        <v>68</v>
      </c>
      <c r="F587" s="148">
        <v>0.8</v>
      </c>
      <c r="G587" s="148">
        <f>F587*0.03</f>
        <v>2.4E-2</v>
      </c>
      <c r="H587" s="156">
        <f t="shared" ref="H587:H594" si="3">F587+G587</f>
        <v>0.82400000000000007</v>
      </c>
      <c r="I587" s="166">
        <f>SUMIFS(Продажи!F$5:F$359,Продажи!$D$5:$D$359,Конструкторы!$B587,Продажи!$C$5:$C$359,Конструкторы!$A587)</f>
        <v>0</v>
      </c>
      <c r="J587" s="166">
        <f>SUMIFS(Продажи!G$5:G$359,Продажи!$D$5:$D$359,Конструкторы!$B587,Продажи!$C$5:$C$359,Конструкторы!$A587)</f>
        <v>0</v>
      </c>
      <c r="K587" s="166">
        <f>SUMIFS(Продажи!H$5:H$359,Продажи!$D$5:$D$359,Конструкторы!$B587,Продажи!$C$5:$C$359,Конструкторы!$A587)</f>
        <v>0</v>
      </c>
      <c r="L587" s="166">
        <f>SUMIFS(Продажи!I$5:I$359,Продажи!$D$5:$D$359,Конструкторы!$B587,Продажи!$C$5:$C$359,Конструкторы!$A587)</f>
        <v>0</v>
      </c>
      <c r="M587" s="166">
        <f>SUMIFS(Продажи!J$5:J$359,Продажи!$D$5:$D$359,Конструкторы!$B587,Продажи!$C$5:$C$359,Конструкторы!$A587)</f>
        <v>0</v>
      </c>
      <c r="N587" s="166">
        <f>SUMIFS(Продажи!K$5:K$359,Продажи!$D$5:$D$359,Конструкторы!$B587,Продажи!$C$5:$C$359,Конструкторы!$A587)</f>
        <v>0</v>
      </c>
      <c r="O587" s="166">
        <f>SUMIFS(Продажи!L$5:L$359,Продажи!$D$5:$D$359,Конструкторы!$B587,Продажи!$C$5:$C$359,Конструкторы!$A587)</f>
        <v>0</v>
      </c>
      <c r="P587" s="166">
        <f>SUMIFS(Продажи!M$5:M$359,Продажи!$D$5:$D$359,Конструкторы!$B587,Продажи!$C$5:$C$359,Конструкторы!$A587)</f>
        <v>0</v>
      </c>
      <c r="Q587" s="166">
        <f>SUMIFS(Продажи!N$5:N$359,Продажи!$D$5:$D$359,Конструкторы!$B587,Продажи!$C$5:$C$359,Конструкторы!$A587)</f>
        <v>0</v>
      </c>
      <c r="R587" s="166">
        <f>SUMIFS(Продажи!O$5:O$359,Продажи!$D$5:$D$359,Конструкторы!$B587,Продажи!$C$5:$C$359,Конструкторы!$A587)</f>
        <v>0</v>
      </c>
      <c r="S587" s="166">
        <f>SUMIFS(Продажи!P$5:P$359,Продажи!$D$5:$D$359,Конструкторы!$B587,Продажи!$C$5:$C$359,Конструкторы!$A587)</f>
        <v>0</v>
      </c>
      <c r="T587" s="166">
        <f>SUMIFS(Продажи!Q$5:Q$359,Продажи!$D$5:$D$359,Конструкторы!$B587,Продажи!$C$5:$C$359,Конструкторы!$A587)</f>
        <v>0</v>
      </c>
    </row>
    <row r="588" spans="1:20" ht="15.75" hidden="1" x14ac:dyDescent="0.25">
      <c r="A588" s="166" t="s">
        <v>397</v>
      </c>
      <c r="B588" s="167" t="s">
        <v>379</v>
      </c>
      <c r="C588" s="129" t="s">
        <v>61</v>
      </c>
      <c r="D588" s="149"/>
      <c r="E588" s="153" t="s">
        <v>68</v>
      </c>
      <c r="F588" s="148">
        <v>0.28999999999999998</v>
      </c>
      <c r="G588" s="148">
        <f>F588*0.03</f>
        <v>8.6999999999999994E-3</v>
      </c>
      <c r="H588" s="156">
        <f t="shared" si="3"/>
        <v>0.29869999999999997</v>
      </c>
      <c r="I588" s="166">
        <f>SUMIFS(Продажи!F$5:F$359,Продажи!$D$5:$D$359,Конструкторы!$B588,Продажи!$C$5:$C$359,Конструкторы!$A588)</f>
        <v>0</v>
      </c>
      <c r="J588" s="166">
        <f>SUMIFS(Продажи!G$5:G$359,Продажи!$D$5:$D$359,Конструкторы!$B588,Продажи!$C$5:$C$359,Конструкторы!$A588)</f>
        <v>0</v>
      </c>
      <c r="K588" s="166">
        <f>SUMIFS(Продажи!H$5:H$359,Продажи!$D$5:$D$359,Конструкторы!$B588,Продажи!$C$5:$C$359,Конструкторы!$A588)</f>
        <v>0</v>
      </c>
      <c r="L588" s="166">
        <f>SUMIFS(Продажи!I$5:I$359,Продажи!$D$5:$D$359,Конструкторы!$B588,Продажи!$C$5:$C$359,Конструкторы!$A588)</f>
        <v>0</v>
      </c>
      <c r="M588" s="166">
        <f>SUMIFS(Продажи!J$5:J$359,Продажи!$D$5:$D$359,Конструкторы!$B588,Продажи!$C$5:$C$359,Конструкторы!$A588)</f>
        <v>0</v>
      </c>
      <c r="N588" s="166">
        <f>SUMIFS(Продажи!K$5:K$359,Продажи!$D$5:$D$359,Конструкторы!$B588,Продажи!$C$5:$C$359,Конструкторы!$A588)</f>
        <v>0</v>
      </c>
      <c r="O588" s="166">
        <f>SUMIFS(Продажи!L$5:L$359,Продажи!$D$5:$D$359,Конструкторы!$B588,Продажи!$C$5:$C$359,Конструкторы!$A588)</f>
        <v>0</v>
      </c>
      <c r="P588" s="166">
        <f>SUMIFS(Продажи!M$5:M$359,Продажи!$D$5:$D$359,Конструкторы!$B588,Продажи!$C$5:$C$359,Конструкторы!$A588)</f>
        <v>0</v>
      </c>
      <c r="Q588" s="166">
        <f>SUMIFS(Продажи!N$5:N$359,Продажи!$D$5:$D$359,Конструкторы!$B588,Продажи!$C$5:$C$359,Конструкторы!$A588)</f>
        <v>0</v>
      </c>
      <c r="R588" s="166">
        <f>SUMIFS(Продажи!O$5:O$359,Продажи!$D$5:$D$359,Конструкторы!$B588,Продажи!$C$5:$C$359,Конструкторы!$A588)</f>
        <v>0</v>
      </c>
      <c r="S588" s="166">
        <f>SUMIFS(Продажи!P$5:P$359,Продажи!$D$5:$D$359,Конструкторы!$B588,Продажи!$C$5:$C$359,Конструкторы!$A588)</f>
        <v>0</v>
      </c>
      <c r="T588" s="166">
        <f>SUMIFS(Продажи!Q$5:Q$359,Продажи!$D$5:$D$359,Конструкторы!$B588,Продажи!$C$5:$C$359,Конструкторы!$A588)</f>
        <v>0</v>
      </c>
    </row>
    <row r="589" spans="1:20" ht="15.75" hidden="1" x14ac:dyDescent="0.25">
      <c r="A589" s="166" t="s">
        <v>397</v>
      </c>
      <c r="B589" s="167" t="s">
        <v>379</v>
      </c>
      <c r="C589" s="129" t="s">
        <v>60</v>
      </c>
      <c r="D589" s="149"/>
      <c r="E589" s="153" t="s">
        <v>68</v>
      </c>
      <c r="F589" s="148">
        <v>0.14399999999999999</v>
      </c>
      <c r="G589" s="148">
        <f>F589*0.03</f>
        <v>4.3199999999999992E-3</v>
      </c>
      <c r="H589" s="156">
        <f t="shared" si="3"/>
        <v>0.14831999999999998</v>
      </c>
      <c r="I589" s="166">
        <f>SUMIFS(Продажи!F$5:F$359,Продажи!$D$5:$D$359,Конструкторы!$B589,Продажи!$C$5:$C$359,Конструкторы!$A589)</f>
        <v>0</v>
      </c>
      <c r="J589" s="166">
        <f>SUMIFS(Продажи!G$5:G$359,Продажи!$D$5:$D$359,Конструкторы!$B589,Продажи!$C$5:$C$359,Конструкторы!$A589)</f>
        <v>0</v>
      </c>
      <c r="K589" s="166">
        <f>SUMIFS(Продажи!H$5:H$359,Продажи!$D$5:$D$359,Конструкторы!$B589,Продажи!$C$5:$C$359,Конструкторы!$A589)</f>
        <v>0</v>
      </c>
      <c r="L589" s="166">
        <f>SUMIFS(Продажи!I$5:I$359,Продажи!$D$5:$D$359,Конструкторы!$B589,Продажи!$C$5:$C$359,Конструкторы!$A589)</f>
        <v>0</v>
      </c>
      <c r="M589" s="166">
        <f>SUMIFS(Продажи!J$5:J$359,Продажи!$D$5:$D$359,Конструкторы!$B589,Продажи!$C$5:$C$359,Конструкторы!$A589)</f>
        <v>0</v>
      </c>
      <c r="N589" s="166">
        <f>SUMIFS(Продажи!K$5:K$359,Продажи!$D$5:$D$359,Конструкторы!$B589,Продажи!$C$5:$C$359,Конструкторы!$A589)</f>
        <v>0</v>
      </c>
      <c r="O589" s="166">
        <f>SUMIFS(Продажи!L$5:L$359,Продажи!$D$5:$D$359,Конструкторы!$B589,Продажи!$C$5:$C$359,Конструкторы!$A589)</f>
        <v>0</v>
      </c>
      <c r="P589" s="166">
        <f>SUMIFS(Продажи!M$5:M$359,Продажи!$D$5:$D$359,Конструкторы!$B589,Продажи!$C$5:$C$359,Конструкторы!$A589)</f>
        <v>0</v>
      </c>
      <c r="Q589" s="166">
        <f>SUMIFS(Продажи!N$5:N$359,Продажи!$D$5:$D$359,Конструкторы!$B589,Продажи!$C$5:$C$359,Конструкторы!$A589)</f>
        <v>0</v>
      </c>
      <c r="R589" s="166">
        <f>SUMIFS(Продажи!O$5:O$359,Продажи!$D$5:$D$359,Конструкторы!$B589,Продажи!$C$5:$C$359,Конструкторы!$A589)</f>
        <v>0</v>
      </c>
      <c r="S589" s="166">
        <f>SUMIFS(Продажи!P$5:P$359,Продажи!$D$5:$D$359,Конструкторы!$B589,Продажи!$C$5:$C$359,Конструкторы!$A589)</f>
        <v>0</v>
      </c>
      <c r="T589" s="166">
        <f>SUMIFS(Продажи!Q$5:Q$359,Продажи!$D$5:$D$359,Конструкторы!$B589,Продажи!$C$5:$C$359,Конструкторы!$A589)</f>
        <v>0</v>
      </c>
    </row>
    <row r="590" spans="1:20" ht="15.75" hidden="1" x14ac:dyDescent="0.25">
      <c r="A590" s="166" t="s">
        <v>397</v>
      </c>
      <c r="B590" s="167" t="s">
        <v>379</v>
      </c>
      <c r="C590" s="33" t="s">
        <v>76</v>
      </c>
      <c r="D590" s="149"/>
      <c r="E590" s="153" t="s">
        <v>70</v>
      </c>
      <c r="F590" s="148">
        <v>8</v>
      </c>
      <c r="G590" s="148"/>
      <c r="H590" s="156">
        <f t="shared" si="3"/>
        <v>8</v>
      </c>
      <c r="I590" s="166">
        <f>SUMIFS(Продажи!F$5:F$359,Продажи!$D$5:$D$359,Конструкторы!$B590,Продажи!$C$5:$C$359,Конструкторы!$A590)</f>
        <v>0</v>
      </c>
      <c r="J590" s="166">
        <f>SUMIFS(Продажи!G$5:G$359,Продажи!$D$5:$D$359,Конструкторы!$B590,Продажи!$C$5:$C$359,Конструкторы!$A590)</f>
        <v>0</v>
      </c>
      <c r="K590" s="166">
        <f>SUMIFS(Продажи!H$5:H$359,Продажи!$D$5:$D$359,Конструкторы!$B590,Продажи!$C$5:$C$359,Конструкторы!$A590)</f>
        <v>0</v>
      </c>
      <c r="L590" s="166">
        <f>SUMIFS(Продажи!I$5:I$359,Продажи!$D$5:$D$359,Конструкторы!$B590,Продажи!$C$5:$C$359,Конструкторы!$A590)</f>
        <v>0</v>
      </c>
      <c r="M590" s="166">
        <f>SUMIFS(Продажи!J$5:J$359,Продажи!$D$5:$D$359,Конструкторы!$B590,Продажи!$C$5:$C$359,Конструкторы!$A590)</f>
        <v>0</v>
      </c>
      <c r="N590" s="166">
        <f>SUMIFS(Продажи!K$5:K$359,Продажи!$D$5:$D$359,Конструкторы!$B590,Продажи!$C$5:$C$359,Конструкторы!$A590)</f>
        <v>0</v>
      </c>
      <c r="O590" s="166">
        <f>SUMIFS(Продажи!L$5:L$359,Продажи!$D$5:$D$359,Конструкторы!$B590,Продажи!$C$5:$C$359,Конструкторы!$A590)</f>
        <v>0</v>
      </c>
      <c r="P590" s="166">
        <f>SUMIFS(Продажи!M$5:M$359,Продажи!$D$5:$D$359,Конструкторы!$B590,Продажи!$C$5:$C$359,Конструкторы!$A590)</f>
        <v>0</v>
      </c>
      <c r="Q590" s="166">
        <f>SUMIFS(Продажи!N$5:N$359,Продажи!$D$5:$D$359,Конструкторы!$B590,Продажи!$C$5:$C$359,Конструкторы!$A590)</f>
        <v>0</v>
      </c>
      <c r="R590" s="166">
        <f>SUMIFS(Продажи!O$5:O$359,Продажи!$D$5:$D$359,Конструкторы!$B590,Продажи!$C$5:$C$359,Конструкторы!$A590)</f>
        <v>0</v>
      </c>
      <c r="S590" s="166">
        <f>SUMIFS(Продажи!P$5:P$359,Продажи!$D$5:$D$359,Конструкторы!$B590,Продажи!$C$5:$C$359,Конструкторы!$A590)</f>
        <v>0</v>
      </c>
      <c r="T590" s="166">
        <f>SUMIFS(Продажи!Q$5:Q$359,Продажи!$D$5:$D$359,Конструкторы!$B590,Продажи!$C$5:$C$359,Конструкторы!$A590)</f>
        <v>0</v>
      </c>
    </row>
    <row r="591" spans="1:20" ht="15.75" hidden="1" x14ac:dyDescent="0.25">
      <c r="A591" s="166" t="s">
        <v>397</v>
      </c>
      <c r="B591" s="167" t="s">
        <v>379</v>
      </c>
      <c r="C591" s="33" t="s">
        <v>75</v>
      </c>
      <c r="D591" s="149"/>
      <c r="E591" s="153" t="s">
        <v>70</v>
      </c>
      <c r="F591" s="148">
        <v>30</v>
      </c>
      <c r="G591" s="148"/>
      <c r="H591" s="156">
        <f t="shared" si="3"/>
        <v>30</v>
      </c>
      <c r="I591" s="166">
        <f>SUMIFS(Продажи!F$5:F$359,Продажи!$D$5:$D$359,Конструкторы!$B591,Продажи!$C$5:$C$359,Конструкторы!$A591)</f>
        <v>0</v>
      </c>
      <c r="J591" s="166">
        <f>SUMIFS(Продажи!G$5:G$359,Продажи!$D$5:$D$359,Конструкторы!$B591,Продажи!$C$5:$C$359,Конструкторы!$A591)</f>
        <v>0</v>
      </c>
      <c r="K591" s="166">
        <f>SUMIFS(Продажи!H$5:H$359,Продажи!$D$5:$D$359,Конструкторы!$B591,Продажи!$C$5:$C$359,Конструкторы!$A591)</f>
        <v>0</v>
      </c>
      <c r="L591" s="166">
        <f>SUMIFS(Продажи!I$5:I$359,Продажи!$D$5:$D$359,Конструкторы!$B591,Продажи!$C$5:$C$359,Конструкторы!$A591)</f>
        <v>0</v>
      </c>
      <c r="M591" s="166">
        <f>SUMIFS(Продажи!J$5:J$359,Продажи!$D$5:$D$359,Конструкторы!$B591,Продажи!$C$5:$C$359,Конструкторы!$A591)</f>
        <v>0</v>
      </c>
      <c r="N591" s="166">
        <f>SUMIFS(Продажи!K$5:K$359,Продажи!$D$5:$D$359,Конструкторы!$B591,Продажи!$C$5:$C$359,Конструкторы!$A591)</f>
        <v>0</v>
      </c>
      <c r="O591" s="166">
        <f>SUMIFS(Продажи!L$5:L$359,Продажи!$D$5:$D$359,Конструкторы!$B591,Продажи!$C$5:$C$359,Конструкторы!$A591)</f>
        <v>0</v>
      </c>
      <c r="P591" s="166">
        <f>SUMIFS(Продажи!M$5:M$359,Продажи!$D$5:$D$359,Конструкторы!$B591,Продажи!$C$5:$C$359,Конструкторы!$A591)</f>
        <v>0</v>
      </c>
      <c r="Q591" s="166">
        <f>SUMIFS(Продажи!N$5:N$359,Продажи!$D$5:$D$359,Конструкторы!$B591,Продажи!$C$5:$C$359,Конструкторы!$A591)</f>
        <v>0</v>
      </c>
      <c r="R591" s="166">
        <f>SUMIFS(Продажи!O$5:O$359,Продажи!$D$5:$D$359,Конструкторы!$B591,Продажи!$C$5:$C$359,Конструкторы!$A591)</f>
        <v>0</v>
      </c>
      <c r="S591" s="166">
        <f>SUMIFS(Продажи!P$5:P$359,Продажи!$D$5:$D$359,Конструкторы!$B591,Продажи!$C$5:$C$359,Конструкторы!$A591)</f>
        <v>0</v>
      </c>
      <c r="T591" s="166">
        <f>SUMIFS(Продажи!Q$5:Q$359,Продажи!$D$5:$D$359,Конструкторы!$B591,Продажи!$C$5:$C$359,Конструкторы!$A591)</f>
        <v>0</v>
      </c>
    </row>
    <row r="592" spans="1:20" ht="15.75" hidden="1" x14ac:dyDescent="0.25">
      <c r="A592" s="166" t="s">
        <v>397</v>
      </c>
      <c r="B592" s="167" t="s">
        <v>117</v>
      </c>
      <c r="C592" s="129" t="s">
        <v>62</v>
      </c>
      <c r="D592" s="149"/>
      <c r="E592" s="153" t="s">
        <v>68</v>
      </c>
      <c r="F592" s="156">
        <f>(0.291*103)/100</f>
        <v>0.29973</v>
      </c>
      <c r="G592" s="156">
        <v>8.7300000000000155E-3</v>
      </c>
      <c r="H592" s="156">
        <f t="shared" si="3"/>
        <v>0.30846000000000001</v>
      </c>
      <c r="I592" s="166">
        <f>SUMIFS(Продажи!F$5:F$359,Продажи!$D$5:$D$359,Конструкторы!$B592,Продажи!$C$5:$C$359,Конструкторы!$A592)</f>
        <v>0</v>
      </c>
      <c r="J592" s="166">
        <f>SUMIFS(Продажи!G$5:G$359,Продажи!$D$5:$D$359,Конструкторы!$B592,Продажи!$C$5:$C$359,Конструкторы!$A592)</f>
        <v>0</v>
      </c>
      <c r="K592" s="166">
        <f>SUMIFS(Продажи!H$5:H$359,Продажи!$D$5:$D$359,Конструкторы!$B592,Продажи!$C$5:$C$359,Конструкторы!$A592)</f>
        <v>0</v>
      </c>
      <c r="L592" s="166">
        <f>SUMIFS(Продажи!I$5:I$359,Продажи!$D$5:$D$359,Конструкторы!$B592,Продажи!$C$5:$C$359,Конструкторы!$A592)</f>
        <v>0</v>
      </c>
      <c r="M592" s="166">
        <f>SUMIFS(Продажи!J$5:J$359,Продажи!$D$5:$D$359,Конструкторы!$B592,Продажи!$C$5:$C$359,Конструкторы!$A592)</f>
        <v>0</v>
      </c>
      <c r="N592" s="166">
        <f>SUMIFS(Продажи!K$5:K$359,Продажи!$D$5:$D$359,Конструкторы!$B592,Продажи!$C$5:$C$359,Конструкторы!$A592)</f>
        <v>0</v>
      </c>
      <c r="O592" s="166">
        <f>SUMIFS(Продажи!L$5:L$359,Продажи!$D$5:$D$359,Конструкторы!$B592,Продажи!$C$5:$C$359,Конструкторы!$A592)</f>
        <v>0</v>
      </c>
      <c r="P592" s="166">
        <f>SUMIFS(Продажи!M$5:M$359,Продажи!$D$5:$D$359,Конструкторы!$B592,Продажи!$C$5:$C$359,Конструкторы!$A592)</f>
        <v>0</v>
      </c>
      <c r="Q592" s="166">
        <f>SUMIFS(Продажи!N$5:N$359,Продажи!$D$5:$D$359,Конструкторы!$B592,Продажи!$C$5:$C$359,Конструкторы!$A592)</f>
        <v>0</v>
      </c>
      <c r="R592" s="166">
        <f>SUMIFS(Продажи!O$5:O$359,Продажи!$D$5:$D$359,Конструкторы!$B592,Продажи!$C$5:$C$359,Конструкторы!$A592)</f>
        <v>0</v>
      </c>
      <c r="S592" s="166">
        <f>SUMIFS(Продажи!P$5:P$359,Продажи!$D$5:$D$359,Конструкторы!$B592,Продажи!$C$5:$C$359,Конструкторы!$A592)</f>
        <v>0</v>
      </c>
      <c r="T592" s="166">
        <f>SUMIFS(Продажи!Q$5:Q$359,Продажи!$D$5:$D$359,Конструкторы!$B592,Продажи!$C$5:$C$359,Конструкторы!$A592)</f>
        <v>0</v>
      </c>
    </row>
    <row r="593" spans="1:20" ht="15.75" hidden="1" x14ac:dyDescent="0.25">
      <c r="A593" s="166" t="s">
        <v>397</v>
      </c>
      <c r="B593" s="167" t="s">
        <v>117</v>
      </c>
      <c r="C593" s="129" t="s">
        <v>60</v>
      </c>
      <c r="D593" s="149"/>
      <c r="E593" s="153" t="s">
        <v>68</v>
      </c>
      <c r="F593" s="156">
        <f>(0.9*103)/100</f>
        <v>0.92700000000000005</v>
      </c>
      <c r="G593" s="156">
        <v>2.7000000000000024E-2</v>
      </c>
      <c r="H593" s="156">
        <f t="shared" si="3"/>
        <v>0.95400000000000007</v>
      </c>
      <c r="I593" s="166">
        <f>SUMIFS(Продажи!F$5:F$359,Продажи!$D$5:$D$359,Конструкторы!$B593,Продажи!$C$5:$C$359,Конструкторы!$A593)</f>
        <v>0</v>
      </c>
      <c r="J593" s="166">
        <f>SUMIFS(Продажи!G$5:G$359,Продажи!$D$5:$D$359,Конструкторы!$B593,Продажи!$C$5:$C$359,Конструкторы!$A593)</f>
        <v>0</v>
      </c>
      <c r="K593" s="166">
        <f>SUMIFS(Продажи!H$5:H$359,Продажи!$D$5:$D$359,Конструкторы!$B593,Продажи!$C$5:$C$359,Конструкторы!$A593)</f>
        <v>0</v>
      </c>
      <c r="L593" s="166">
        <f>SUMIFS(Продажи!I$5:I$359,Продажи!$D$5:$D$359,Конструкторы!$B593,Продажи!$C$5:$C$359,Конструкторы!$A593)</f>
        <v>0</v>
      </c>
      <c r="M593" s="166">
        <f>SUMIFS(Продажи!J$5:J$359,Продажи!$D$5:$D$359,Конструкторы!$B593,Продажи!$C$5:$C$359,Конструкторы!$A593)</f>
        <v>0</v>
      </c>
      <c r="N593" s="166">
        <f>SUMIFS(Продажи!K$5:K$359,Продажи!$D$5:$D$359,Конструкторы!$B593,Продажи!$C$5:$C$359,Конструкторы!$A593)</f>
        <v>0</v>
      </c>
      <c r="O593" s="166">
        <f>SUMIFS(Продажи!L$5:L$359,Продажи!$D$5:$D$359,Конструкторы!$B593,Продажи!$C$5:$C$359,Конструкторы!$A593)</f>
        <v>0</v>
      </c>
      <c r="P593" s="166">
        <f>SUMIFS(Продажи!M$5:M$359,Продажи!$D$5:$D$359,Конструкторы!$B593,Продажи!$C$5:$C$359,Конструкторы!$A593)</f>
        <v>0</v>
      </c>
      <c r="Q593" s="166">
        <f>SUMIFS(Продажи!N$5:N$359,Продажи!$D$5:$D$359,Конструкторы!$B593,Продажи!$C$5:$C$359,Конструкторы!$A593)</f>
        <v>0</v>
      </c>
      <c r="R593" s="166">
        <f>SUMIFS(Продажи!O$5:O$359,Продажи!$D$5:$D$359,Конструкторы!$B593,Продажи!$C$5:$C$359,Конструкторы!$A593)</f>
        <v>0</v>
      </c>
      <c r="S593" s="166">
        <f>SUMIFS(Продажи!P$5:P$359,Продажи!$D$5:$D$359,Конструкторы!$B593,Продажи!$C$5:$C$359,Конструкторы!$A593)</f>
        <v>0</v>
      </c>
      <c r="T593" s="166">
        <f>SUMIFS(Продажи!Q$5:Q$359,Продажи!$D$5:$D$359,Конструкторы!$B593,Продажи!$C$5:$C$359,Конструкторы!$A593)</f>
        <v>0</v>
      </c>
    </row>
    <row r="594" spans="1:20" ht="15.75" hidden="1" x14ac:dyDescent="0.25">
      <c r="A594" s="166" t="s">
        <v>397</v>
      </c>
      <c r="B594" s="167" t="s">
        <v>117</v>
      </c>
      <c r="C594" s="129" t="s">
        <v>60</v>
      </c>
      <c r="D594" s="149"/>
      <c r="E594" s="153" t="s">
        <v>68</v>
      </c>
      <c r="F594" s="156">
        <f>(0.296*103)/100</f>
        <v>0.30487999999999998</v>
      </c>
      <c r="G594" s="156">
        <v>8.879999999999999E-3</v>
      </c>
      <c r="H594" s="156">
        <f t="shared" si="3"/>
        <v>0.31375999999999998</v>
      </c>
      <c r="I594" s="166">
        <f>SUMIFS(Продажи!F$5:F$359,Продажи!$D$5:$D$359,Конструкторы!$B594,Продажи!$C$5:$C$359,Конструкторы!$A594)</f>
        <v>0</v>
      </c>
      <c r="J594" s="166">
        <f>SUMIFS(Продажи!G$5:G$359,Продажи!$D$5:$D$359,Конструкторы!$B594,Продажи!$C$5:$C$359,Конструкторы!$A594)</f>
        <v>0</v>
      </c>
      <c r="K594" s="166">
        <f>SUMIFS(Продажи!H$5:H$359,Продажи!$D$5:$D$359,Конструкторы!$B594,Продажи!$C$5:$C$359,Конструкторы!$A594)</f>
        <v>0</v>
      </c>
      <c r="L594" s="166">
        <f>SUMIFS(Продажи!I$5:I$359,Продажи!$D$5:$D$359,Конструкторы!$B594,Продажи!$C$5:$C$359,Конструкторы!$A594)</f>
        <v>0</v>
      </c>
      <c r="M594" s="166">
        <f>SUMIFS(Продажи!J$5:J$359,Продажи!$D$5:$D$359,Конструкторы!$B594,Продажи!$C$5:$C$359,Конструкторы!$A594)</f>
        <v>0</v>
      </c>
      <c r="N594" s="166">
        <f>SUMIFS(Продажи!K$5:K$359,Продажи!$D$5:$D$359,Конструкторы!$B594,Продажи!$C$5:$C$359,Конструкторы!$A594)</f>
        <v>0</v>
      </c>
      <c r="O594" s="166">
        <f>SUMIFS(Продажи!L$5:L$359,Продажи!$D$5:$D$359,Конструкторы!$B594,Продажи!$C$5:$C$359,Конструкторы!$A594)</f>
        <v>0</v>
      </c>
      <c r="P594" s="166">
        <f>SUMIFS(Продажи!M$5:M$359,Продажи!$D$5:$D$359,Конструкторы!$B594,Продажи!$C$5:$C$359,Конструкторы!$A594)</f>
        <v>0</v>
      </c>
      <c r="Q594" s="166">
        <f>SUMIFS(Продажи!N$5:N$359,Продажи!$D$5:$D$359,Конструкторы!$B594,Продажи!$C$5:$C$359,Конструкторы!$A594)</f>
        <v>0</v>
      </c>
      <c r="R594" s="166">
        <f>SUMIFS(Продажи!O$5:O$359,Продажи!$D$5:$D$359,Конструкторы!$B594,Продажи!$C$5:$C$359,Конструкторы!$A594)</f>
        <v>0</v>
      </c>
      <c r="S594" s="166">
        <f>SUMIFS(Продажи!P$5:P$359,Продажи!$D$5:$D$359,Конструкторы!$B594,Продажи!$C$5:$C$359,Конструкторы!$A594)</f>
        <v>0</v>
      </c>
      <c r="T594" s="166">
        <f>SUMIFS(Продажи!Q$5:Q$359,Продажи!$D$5:$D$359,Конструкторы!$B594,Продажи!$C$5:$C$359,Конструкторы!$A594)</f>
        <v>0</v>
      </c>
    </row>
    <row r="595" spans="1:20" ht="15.75" hidden="1" x14ac:dyDescent="0.25">
      <c r="A595" s="166" t="s">
        <v>397</v>
      </c>
      <c r="B595" s="167" t="s">
        <v>117</v>
      </c>
      <c r="C595" s="33" t="s">
        <v>72</v>
      </c>
      <c r="D595" s="149"/>
      <c r="E595" s="153" t="s">
        <v>70</v>
      </c>
      <c r="F595" s="148">
        <v>2</v>
      </c>
      <c r="G595" s="156" t="s">
        <v>71</v>
      </c>
      <c r="H595" s="156">
        <f>F595</f>
        <v>2</v>
      </c>
      <c r="I595" s="166">
        <f>SUMIFS(Продажи!F$5:F$359,Продажи!$D$5:$D$359,Конструкторы!$B595,Продажи!$C$5:$C$359,Конструкторы!$A595)</f>
        <v>0</v>
      </c>
      <c r="J595" s="166">
        <f>SUMIFS(Продажи!G$5:G$359,Продажи!$D$5:$D$359,Конструкторы!$B595,Продажи!$C$5:$C$359,Конструкторы!$A595)</f>
        <v>0</v>
      </c>
      <c r="K595" s="166">
        <f>SUMIFS(Продажи!H$5:H$359,Продажи!$D$5:$D$359,Конструкторы!$B595,Продажи!$C$5:$C$359,Конструкторы!$A595)</f>
        <v>0</v>
      </c>
      <c r="L595" s="166">
        <f>SUMIFS(Продажи!I$5:I$359,Продажи!$D$5:$D$359,Конструкторы!$B595,Продажи!$C$5:$C$359,Конструкторы!$A595)</f>
        <v>0</v>
      </c>
      <c r="M595" s="166">
        <f>SUMIFS(Продажи!J$5:J$359,Продажи!$D$5:$D$359,Конструкторы!$B595,Продажи!$C$5:$C$359,Конструкторы!$A595)</f>
        <v>0</v>
      </c>
      <c r="N595" s="166">
        <f>SUMIFS(Продажи!K$5:K$359,Продажи!$D$5:$D$359,Конструкторы!$B595,Продажи!$C$5:$C$359,Конструкторы!$A595)</f>
        <v>0</v>
      </c>
      <c r="O595" s="166">
        <f>SUMIFS(Продажи!L$5:L$359,Продажи!$D$5:$D$359,Конструкторы!$B595,Продажи!$C$5:$C$359,Конструкторы!$A595)</f>
        <v>0</v>
      </c>
      <c r="P595" s="166">
        <f>SUMIFS(Продажи!M$5:M$359,Продажи!$D$5:$D$359,Конструкторы!$B595,Продажи!$C$5:$C$359,Конструкторы!$A595)</f>
        <v>0</v>
      </c>
      <c r="Q595" s="166">
        <f>SUMIFS(Продажи!N$5:N$359,Продажи!$D$5:$D$359,Конструкторы!$B595,Продажи!$C$5:$C$359,Конструкторы!$A595)</f>
        <v>0</v>
      </c>
      <c r="R595" s="166">
        <f>SUMIFS(Продажи!O$5:O$359,Продажи!$D$5:$D$359,Конструкторы!$B595,Продажи!$C$5:$C$359,Конструкторы!$A595)</f>
        <v>0</v>
      </c>
      <c r="S595" s="166">
        <f>SUMIFS(Продажи!P$5:P$359,Продажи!$D$5:$D$359,Конструкторы!$B595,Продажи!$C$5:$C$359,Конструкторы!$A595)</f>
        <v>0</v>
      </c>
      <c r="T595" s="166">
        <f>SUMIFS(Продажи!Q$5:Q$359,Продажи!$D$5:$D$359,Конструкторы!$B595,Продажи!$C$5:$C$359,Конструкторы!$A595)</f>
        <v>0</v>
      </c>
    </row>
    <row r="596" spans="1:20" ht="15.75" hidden="1" x14ac:dyDescent="0.25">
      <c r="A596" s="166" t="s">
        <v>397</v>
      </c>
      <c r="B596" s="167" t="s">
        <v>117</v>
      </c>
      <c r="C596" s="33" t="s">
        <v>76</v>
      </c>
      <c r="D596" s="149"/>
      <c r="E596" s="153" t="s">
        <v>70</v>
      </c>
      <c r="F596" s="148">
        <v>8</v>
      </c>
      <c r="G596" s="156" t="s">
        <v>71</v>
      </c>
      <c r="H596" s="156">
        <f>F596</f>
        <v>8</v>
      </c>
      <c r="I596" s="166">
        <f>SUMIFS(Продажи!F$5:F$359,Продажи!$D$5:$D$359,Конструкторы!$B596,Продажи!$C$5:$C$359,Конструкторы!$A596)</f>
        <v>0</v>
      </c>
      <c r="J596" s="166">
        <f>SUMIFS(Продажи!G$5:G$359,Продажи!$D$5:$D$359,Конструкторы!$B596,Продажи!$C$5:$C$359,Конструкторы!$A596)</f>
        <v>0</v>
      </c>
      <c r="K596" s="166">
        <f>SUMIFS(Продажи!H$5:H$359,Продажи!$D$5:$D$359,Конструкторы!$B596,Продажи!$C$5:$C$359,Конструкторы!$A596)</f>
        <v>0</v>
      </c>
      <c r="L596" s="166">
        <f>SUMIFS(Продажи!I$5:I$359,Продажи!$D$5:$D$359,Конструкторы!$B596,Продажи!$C$5:$C$359,Конструкторы!$A596)</f>
        <v>0</v>
      </c>
      <c r="M596" s="166">
        <f>SUMIFS(Продажи!J$5:J$359,Продажи!$D$5:$D$359,Конструкторы!$B596,Продажи!$C$5:$C$359,Конструкторы!$A596)</f>
        <v>0</v>
      </c>
      <c r="N596" s="166">
        <f>SUMIFS(Продажи!K$5:K$359,Продажи!$D$5:$D$359,Конструкторы!$B596,Продажи!$C$5:$C$359,Конструкторы!$A596)</f>
        <v>0</v>
      </c>
      <c r="O596" s="166">
        <f>SUMIFS(Продажи!L$5:L$359,Продажи!$D$5:$D$359,Конструкторы!$B596,Продажи!$C$5:$C$359,Конструкторы!$A596)</f>
        <v>0</v>
      </c>
      <c r="P596" s="166">
        <f>SUMIFS(Продажи!M$5:M$359,Продажи!$D$5:$D$359,Конструкторы!$B596,Продажи!$C$5:$C$359,Конструкторы!$A596)</f>
        <v>0</v>
      </c>
      <c r="Q596" s="166">
        <f>SUMIFS(Продажи!N$5:N$359,Продажи!$D$5:$D$359,Конструкторы!$B596,Продажи!$C$5:$C$359,Конструкторы!$A596)</f>
        <v>0</v>
      </c>
      <c r="R596" s="166">
        <f>SUMIFS(Продажи!O$5:O$359,Продажи!$D$5:$D$359,Конструкторы!$B596,Продажи!$C$5:$C$359,Конструкторы!$A596)</f>
        <v>0</v>
      </c>
      <c r="S596" s="166">
        <f>SUMIFS(Продажи!P$5:P$359,Продажи!$D$5:$D$359,Конструкторы!$B596,Продажи!$C$5:$C$359,Конструкторы!$A596)</f>
        <v>0</v>
      </c>
      <c r="T596" s="166">
        <f>SUMIFS(Продажи!Q$5:Q$359,Продажи!$D$5:$D$359,Конструкторы!$B596,Продажи!$C$5:$C$359,Конструкторы!$A596)</f>
        <v>0</v>
      </c>
    </row>
    <row r="597" spans="1:20" ht="15.75" hidden="1" x14ac:dyDescent="0.25">
      <c r="A597" s="166" t="s">
        <v>397</v>
      </c>
      <c r="B597" s="167" t="s">
        <v>118</v>
      </c>
      <c r="C597" s="129" t="s">
        <v>61</v>
      </c>
      <c r="D597" s="149"/>
      <c r="E597" s="153" t="s">
        <v>68</v>
      </c>
      <c r="F597" s="156">
        <f>(0.9*103)/100</f>
        <v>0.92700000000000005</v>
      </c>
      <c r="G597" s="156">
        <v>2.7000000000000024E-2</v>
      </c>
      <c r="H597" s="156">
        <f>F597+G597</f>
        <v>0.95400000000000007</v>
      </c>
      <c r="I597" s="166">
        <f>SUMIFS(Продажи!F$5:F$359,Продажи!$D$5:$D$359,Конструкторы!$B597,Продажи!$C$5:$C$359,Конструкторы!$A597)</f>
        <v>0</v>
      </c>
      <c r="J597" s="166">
        <f>SUMIFS(Продажи!G$5:G$359,Продажи!$D$5:$D$359,Конструкторы!$B597,Продажи!$C$5:$C$359,Конструкторы!$A597)</f>
        <v>0</v>
      </c>
      <c r="K597" s="166">
        <f>SUMIFS(Продажи!H$5:H$359,Продажи!$D$5:$D$359,Конструкторы!$B597,Продажи!$C$5:$C$359,Конструкторы!$A597)</f>
        <v>0</v>
      </c>
      <c r="L597" s="166">
        <f>SUMIFS(Продажи!I$5:I$359,Продажи!$D$5:$D$359,Конструкторы!$B597,Продажи!$C$5:$C$359,Конструкторы!$A597)</f>
        <v>0</v>
      </c>
      <c r="M597" s="166">
        <f>SUMIFS(Продажи!J$5:J$359,Продажи!$D$5:$D$359,Конструкторы!$B597,Продажи!$C$5:$C$359,Конструкторы!$A597)</f>
        <v>0</v>
      </c>
      <c r="N597" s="166">
        <f>SUMIFS(Продажи!K$5:K$359,Продажи!$D$5:$D$359,Конструкторы!$B597,Продажи!$C$5:$C$359,Конструкторы!$A597)</f>
        <v>0</v>
      </c>
      <c r="O597" s="166">
        <f>SUMIFS(Продажи!L$5:L$359,Продажи!$D$5:$D$359,Конструкторы!$B597,Продажи!$C$5:$C$359,Конструкторы!$A597)</f>
        <v>0</v>
      </c>
      <c r="P597" s="166">
        <f>SUMIFS(Продажи!M$5:M$359,Продажи!$D$5:$D$359,Конструкторы!$B597,Продажи!$C$5:$C$359,Конструкторы!$A597)</f>
        <v>0</v>
      </c>
      <c r="Q597" s="166">
        <f>SUMIFS(Продажи!N$5:N$359,Продажи!$D$5:$D$359,Конструкторы!$B597,Продажи!$C$5:$C$359,Конструкторы!$A597)</f>
        <v>0</v>
      </c>
      <c r="R597" s="166">
        <f>SUMIFS(Продажи!O$5:O$359,Продажи!$D$5:$D$359,Конструкторы!$B597,Продажи!$C$5:$C$359,Конструкторы!$A597)</f>
        <v>0</v>
      </c>
      <c r="S597" s="166">
        <f>SUMIFS(Продажи!P$5:P$359,Продажи!$D$5:$D$359,Конструкторы!$B597,Продажи!$C$5:$C$359,Конструкторы!$A597)</f>
        <v>0</v>
      </c>
      <c r="T597" s="166">
        <f>SUMIFS(Продажи!Q$5:Q$359,Продажи!$D$5:$D$359,Конструкторы!$B597,Продажи!$C$5:$C$359,Конструкторы!$A597)</f>
        <v>0</v>
      </c>
    </row>
    <row r="598" spans="1:20" ht="15.75" hidden="1" x14ac:dyDescent="0.25">
      <c r="A598" s="166" t="s">
        <v>397</v>
      </c>
      <c r="B598" s="167" t="s">
        <v>118</v>
      </c>
      <c r="C598" s="129" t="s">
        <v>62</v>
      </c>
      <c r="D598" s="149"/>
      <c r="E598" s="153" t="s">
        <v>68</v>
      </c>
      <c r="F598" s="156">
        <f>(0.29*103)/100</f>
        <v>0.29869999999999997</v>
      </c>
      <c r="G598" s="156">
        <v>8.6999999999999855E-3</v>
      </c>
      <c r="H598" s="156">
        <f>F598+G598</f>
        <v>0.30739999999999995</v>
      </c>
      <c r="I598" s="166">
        <f>SUMIFS(Продажи!F$5:F$359,Продажи!$D$5:$D$359,Конструкторы!$B598,Продажи!$C$5:$C$359,Конструкторы!$A598)</f>
        <v>0</v>
      </c>
      <c r="J598" s="166">
        <f>SUMIFS(Продажи!G$5:G$359,Продажи!$D$5:$D$359,Конструкторы!$B598,Продажи!$C$5:$C$359,Конструкторы!$A598)</f>
        <v>0</v>
      </c>
      <c r="K598" s="166">
        <f>SUMIFS(Продажи!H$5:H$359,Продажи!$D$5:$D$359,Конструкторы!$B598,Продажи!$C$5:$C$359,Конструкторы!$A598)</f>
        <v>0</v>
      </c>
      <c r="L598" s="166">
        <f>SUMIFS(Продажи!I$5:I$359,Продажи!$D$5:$D$359,Конструкторы!$B598,Продажи!$C$5:$C$359,Конструкторы!$A598)</f>
        <v>0</v>
      </c>
      <c r="M598" s="166">
        <f>SUMIFS(Продажи!J$5:J$359,Продажи!$D$5:$D$359,Конструкторы!$B598,Продажи!$C$5:$C$359,Конструкторы!$A598)</f>
        <v>0</v>
      </c>
      <c r="N598" s="166">
        <f>SUMIFS(Продажи!K$5:K$359,Продажи!$D$5:$D$359,Конструкторы!$B598,Продажи!$C$5:$C$359,Конструкторы!$A598)</f>
        <v>0</v>
      </c>
      <c r="O598" s="166">
        <f>SUMIFS(Продажи!L$5:L$359,Продажи!$D$5:$D$359,Конструкторы!$B598,Продажи!$C$5:$C$359,Конструкторы!$A598)</f>
        <v>0</v>
      </c>
      <c r="P598" s="166">
        <f>SUMIFS(Продажи!M$5:M$359,Продажи!$D$5:$D$359,Конструкторы!$B598,Продажи!$C$5:$C$359,Конструкторы!$A598)</f>
        <v>0</v>
      </c>
      <c r="Q598" s="166">
        <f>SUMIFS(Продажи!N$5:N$359,Продажи!$D$5:$D$359,Конструкторы!$B598,Продажи!$C$5:$C$359,Конструкторы!$A598)</f>
        <v>0</v>
      </c>
      <c r="R598" s="166">
        <f>SUMIFS(Продажи!O$5:O$359,Продажи!$D$5:$D$359,Конструкторы!$B598,Продажи!$C$5:$C$359,Конструкторы!$A598)</f>
        <v>0</v>
      </c>
      <c r="S598" s="166">
        <f>SUMIFS(Продажи!P$5:P$359,Продажи!$D$5:$D$359,Конструкторы!$B598,Продажи!$C$5:$C$359,Конструкторы!$A598)</f>
        <v>0</v>
      </c>
      <c r="T598" s="166">
        <f>SUMIFS(Продажи!Q$5:Q$359,Продажи!$D$5:$D$359,Конструкторы!$B598,Продажи!$C$5:$C$359,Конструкторы!$A598)</f>
        <v>0</v>
      </c>
    </row>
    <row r="599" spans="1:20" ht="15.75" hidden="1" x14ac:dyDescent="0.25">
      <c r="A599" s="166" t="s">
        <v>397</v>
      </c>
      <c r="B599" s="167" t="s">
        <v>118</v>
      </c>
      <c r="C599" s="129" t="s">
        <v>60</v>
      </c>
      <c r="D599" s="149"/>
      <c r="E599" s="153"/>
      <c r="F599" s="156">
        <f>(0.288*103)/100</f>
        <v>0.29663999999999996</v>
      </c>
      <c r="G599" s="156">
        <v>8.639999999999981E-3</v>
      </c>
      <c r="H599" s="156">
        <f>F599+G599</f>
        <v>0.30527999999999994</v>
      </c>
      <c r="I599" s="166">
        <f>SUMIFS(Продажи!F$5:F$359,Продажи!$D$5:$D$359,Конструкторы!$B599,Продажи!$C$5:$C$359,Конструкторы!$A599)</f>
        <v>0</v>
      </c>
      <c r="J599" s="166">
        <f>SUMIFS(Продажи!G$5:G$359,Продажи!$D$5:$D$359,Конструкторы!$B599,Продажи!$C$5:$C$359,Конструкторы!$A599)</f>
        <v>0</v>
      </c>
      <c r="K599" s="166">
        <f>SUMIFS(Продажи!H$5:H$359,Продажи!$D$5:$D$359,Конструкторы!$B599,Продажи!$C$5:$C$359,Конструкторы!$A599)</f>
        <v>0</v>
      </c>
      <c r="L599" s="166">
        <f>SUMIFS(Продажи!I$5:I$359,Продажи!$D$5:$D$359,Конструкторы!$B599,Продажи!$C$5:$C$359,Конструкторы!$A599)</f>
        <v>0</v>
      </c>
      <c r="M599" s="166">
        <f>SUMIFS(Продажи!J$5:J$359,Продажи!$D$5:$D$359,Конструкторы!$B599,Продажи!$C$5:$C$359,Конструкторы!$A599)</f>
        <v>0</v>
      </c>
      <c r="N599" s="166">
        <f>SUMIFS(Продажи!K$5:K$359,Продажи!$D$5:$D$359,Конструкторы!$B599,Продажи!$C$5:$C$359,Конструкторы!$A599)</f>
        <v>0</v>
      </c>
      <c r="O599" s="166">
        <f>SUMIFS(Продажи!L$5:L$359,Продажи!$D$5:$D$359,Конструкторы!$B599,Продажи!$C$5:$C$359,Конструкторы!$A599)</f>
        <v>0</v>
      </c>
      <c r="P599" s="166">
        <f>SUMIFS(Продажи!M$5:M$359,Продажи!$D$5:$D$359,Конструкторы!$B599,Продажи!$C$5:$C$359,Конструкторы!$A599)</f>
        <v>0</v>
      </c>
      <c r="Q599" s="166">
        <f>SUMIFS(Продажи!N$5:N$359,Продажи!$D$5:$D$359,Конструкторы!$B599,Продажи!$C$5:$C$359,Конструкторы!$A599)</f>
        <v>0</v>
      </c>
      <c r="R599" s="166">
        <f>SUMIFS(Продажи!O$5:O$359,Продажи!$D$5:$D$359,Конструкторы!$B599,Продажи!$C$5:$C$359,Конструкторы!$A599)</f>
        <v>0</v>
      </c>
      <c r="S599" s="166">
        <f>SUMIFS(Продажи!P$5:P$359,Продажи!$D$5:$D$359,Конструкторы!$B599,Продажи!$C$5:$C$359,Конструкторы!$A599)</f>
        <v>0</v>
      </c>
      <c r="T599" s="166">
        <f>SUMIFS(Продажи!Q$5:Q$359,Продажи!$D$5:$D$359,Конструкторы!$B599,Продажи!$C$5:$C$359,Конструкторы!$A599)</f>
        <v>0</v>
      </c>
    </row>
    <row r="600" spans="1:20" ht="15.75" hidden="1" x14ac:dyDescent="0.25">
      <c r="A600" s="166" t="s">
        <v>397</v>
      </c>
      <c r="B600" s="167" t="s">
        <v>118</v>
      </c>
      <c r="C600" s="33" t="s">
        <v>72</v>
      </c>
      <c r="D600" s="149"/>
      <c r="E600" s="153" t="s">
        <v>70</v>
      </c>
      <c r="F600" s="148">
        <v>2</v>
      </c>
      <c r="G600" s="156" t="s">
        <v>71</v>
      </c>
      <c r="H600" s="156">
        <f>F600</f>
        <v>2</v>
      </c>
      <c r="I600" s="166">
        <f>SUMIFS(Продажи!F$5:F$359,Продажи!$D$5:$D$359,Конструкторы!$B600,Продажи!$C$5:$C$359,Конструкторы!$A600)</f>
        <v>0</v>
      </c>
      <c r="J600" s="166">
        <f>SUMIFS(Продажи!G$5:G$359,Продажи!$D$5:$D$359,Конструкторы!$B600,Продажи!$C$5:$C$359,Конструкторы!$A600)</f>
        <v>0</v>
      </c>
      <c r="K600" s="166">
        <f>SUMIFS(Продажи!H$5:H$359,Продажи!$D$5:$D$359,Конструкторы!$B600,Продажи!$C$5:$C$359,Конструкторы!$A600)</f>
        <v>0</v>
      </c>
      <c r="L600" s="166">
        <f>SUMIFS(Продажи!I$5:I$359,Продажи!$D$5:$D$359,Конструкторы!$B600,Продажи!$C$5:$C$359,Конструкторы!$A600)</f>
        <v>0</v>
      </c>
      <c r="M600" s="166">
        <f>SUMIFS(Продажи!J$5:J$359,Продажи!$D$5:$D$359,Конструкторы!$B600,Продажи!$C$5:$C$359,Конструкторы!$A600)</f>
        <v>0</v>
      </c>
      <c r="N600" s="166">
        <f>SUMIFS(Продажи!K$5:K$359,Продажи!$D$5:$D$359,Конструкторы!$B600,Продажи!$C$5:$C$359,Конструкторы!$A600)</f>
        <v>0</v>
      </c>
      <c r="O600" s="166">
        <f>SUMIFS(Продажи!L$5:L$359,Продажи!$D$5:$D$359,Конструкторы!$B600,Продажи!$C$5:$C$359,Конструкторы!$A600)</f>
        <v>0</v>
      </c>
      <c r="P600" s="166">
        <f>SUMIFS(Продажи!M$5:M$359,Продажи!$D$5:$D$359,Конструкторы!$B600,Продажи!$C$5:$C$359,Конструкторы!$A600)</f>
        <v>0</v>
      </c>
      <c r="Q600" s="166">
        <f>SUMIFS(Продажи!N$5:N$359,Продажи!$D$5:$D$359,Конструкторы!$B600,Продажи!$C$5:$C$359,Конструкторы!$A600)</f>
        <v>0</v>
      </c>
      <c r="R600" s="166">
        <f>SUMIFS(Продажи!O$5:O$359,Продажи!$D$5:$D$359,Конструкторы!$B600,Продажи!$C$5:$C$359,Конструкторы!$A600)</f>
        <v>0</v>
      </c>
      <c r="S600" s="166">
        <f>SUMIFS(Продажи!P$5:P$359,Продажи!$D$5:$D$359,Конструкторы!$B600,Продажи!$C$5:$C$359,Конструкторы!$A600)</f>
        <v>0</v>
      </c>
      <c r="T600" s="166">
        <f>SUMIFS(Продажи!Q$5:Q$359,Продажи!$D$5:$D$359,Конструкторы!$B600,Продажи!$C$5:$C$359,Конструкторы!$A600)</f>
        <v>0</v>
      </c>
    </row>
    <row r="601" spans="1:20" ht="15.75" hidden="1" x14ac:dyDescent="0.25">
      <c r="A601" s="166" t="s">
        <v>397</v>
      </c>
      <c r="B601" s="167" t="s">
        <v>118</v>
      </c>
      <c r="C601" s="33" t="s">
        <v>76</v>
      </c>
      <c r="D601" s="149"/>
      <c r="E601" s="153" t="s">
        <v>70</v>
      </c>
      <c r="F601" s="148">
        <v>8</v>
      </c>
      <c r="G601" s="156" t="s">
        <v>71</v>
      </c>
      <c r="H601" s="156">
        <f>F601</f>
        <v>8</v>
      </c>
      <c r="I601" s="166">
        <f>SUMIFS(Продажи!F$5:F$359,Продажи!$D$5:$D$359,Конструкторы!$B601,Продажи!$C$5:$C$359,Конструкторы!$A601)</f>
        <v>0</v>
      </c>
      <c r="J601" s="166">
        <f>SUMIFS(Продажи!G$5:G$359,Продажи!$D$5:$D$359,Конструкторы!$B601,Продажи!$C$5:$C$359,Конструкторы!$A601)</f>
        <v>0</v>
      </c>
      <c r="K601" s="166">
        <f>SUMIFS(Продажи!H$5:H$359,Продажи!$D$5:$D$359,Конструкторы!$B601,Продажи!$C$5:$C$359,Конструкторы!$A601)</f>
        <v>0</v>
      </c>
      <c r="L601" s="166">
        <f>SUMIFS(Продажи!I$5:I$359,Продажи!$D$5:$D$359,Конструкторы!$B601,Продажи!$C$5:$C$359,Конструкторы!$A601)</f>
        <v>0</v>
      </c>
      <c r="M601" s="166">
        <f>SUMIFS(Продажи!J$5:J$359,Продажи!$D$5:$D$359,Конструкторы!$B601,Продажи!$C$5:$C$359,Конструкторы!$A601)</f>
        <v>0</v>
      </c>
      <c r="N601" s="166">
        <f>SUMIFS(Продажи!K$5:K$359,Продажи!$D$5:$D$359,Конструкторы!$B601,Продажи!$C$5:$C$359,Конструкторы!$A601)</f>
        <v>0</v>
      </c>
      <c r="O601" s="166">
        <f>SUMIFS(Продажи!L$5:L$359,Продажи!$D$5:$D$359,Конструкторы!$B601,Продажи!$C$5:$C$359,Конструкторы!$A601)</f>
        <v>0</v>
      </c>
      <c r="P601" s="166">
        <f>SUMIFS(Продажи!M$5:M$359,Продажи!$D$5:$D$359,Конструкторы!$B601,Продажи!$C$5:$C$359,Конструкторы!$A601)</f>
        <v>0</v>
      </c>
      <c r="Q601" s="166">
        <f>SUMIFS(Продажи!N$5:N$359,Продажи!$D$5:$D$359,Конструкторы!$B601,Продажи!$C$5:$C$359,Конструкторы!$A601)</f>
        <v>0</v>
      </c>
      <c r="R601" s="166">
        <f>SUMIFS(Продажи!O$5:O$359,Продажи!$D$5:$D$359,Конструкторы!$B601,Продажи!$C$5:$C$359,Конструкторы!$A601)</f>
        <v>0</v>
      </c>
      <c r="S601" s="166">
        <f>SUMIFS(Продажи!P$5:P$359,Продажи!$D$5:$D$359,Конструкторы!$B601,Продажи!$C$5:$C$359,Конструкторы!$A601)</f>
        <v>0</v>
      </c>
      <c r="T601" s="166">
        <f>SUMIFS(Продажи!Q$5:Q$359,Продажи!$D$5:$D$359,Конструкторы!$B601,Продажи!$C$5:$C$359,Конструкторы!$A601)</f>
        <v>0</v>
      </c>
    </row>
    <row r="602" spans="1:20" ht="15.75" hidden="1" x14ac:dyDescent="0.25">
      <c r="A602" s="166" t="s">
        <v>397</v>
      </c>
      <c r="B602" s="167" t="s">
        <v>107</v>
      </c>
      <c r="C602" s="129" t="s">
        <v>62</v>
      </c>
      <c r="D602" s="149"/>
      <c r="E602" s="153" t="s">
        <v>68</v>
      </c>
      <c r="F602" s="156">
        <f>(1.19*103)/100</f>
        <v>1.2257</v>
      </c>
      <c r="G602" s="156">
        <v>3.5700000000000065E-2</v>
      </c>
      <c r="H602" s="156">
        <f>F602+G602</f>
        <v>1.2614000000000001</v>
      </c>
      <c r="I602" s="166">
        <f>SUMIFS(Продажи!F$5:F$359,Продажи!$D$5:$D$359,Конструкторы!$B602,Продажи!$C$5:$C$359,Конструкторы!$A602)</f>
        <v>0</v>
      </c>
      <c r="J602" s="166">
        <f>SUMIFS(Продажи!G$5:G$359,Продажи!$D$5:$D$359,Конструкторы!$B602,Продажи!$C$5:$C$359,Конструкторы!$A602)</f>
        <v>0</v>
      </c>
      <c r="K602" s="166">
        <f>SUMIFS(Продажи!H$5:H$359,Продажи!$D$5:$D$359,Конструкторы!$B602,Продажи!$C$5:$C$359,Конструкторы!$A602)</f>
        <v>0</v>
      </c>
      <c r="L602" s="166">
        <f>SUMIFS(Продажи!I$5:I$359,Продажи!$D$5:$D$359,Конструкторы!$B602,Продажи!$C$5:$C$359,Конструкторы!$A602)</f>
        <v>0</v>
      </c>
      <c r="M602" s="166">
        <f>SUMIFS(Продажи!J$5:J$359,Продажи!$D$5:$D$359,Конструкторы!$B602,Продажи!$C$5:$C$359,Конструкторы!$A602)</f>
        <v>0</v>
      </c>
      <c r="N602" s="166">
        <f>SUMIFS(Продажи!K$5:K$359,Продажи!$D$5:$D$359,Конструкторы!$B602,Продажи!$C$5:$C$359,Конструкторы!$A602)</f>
        <v>0</v>
      </c>
      <c r="O602" s="166">
        <f>SUMIFS(Продажи!L$5:L$359,Продажи!$D$5:$D$359,Конструкторы!$B602,Продажи!$C$5:$C$359,Конструкторы!$A602)</f>
        <v>0</v>
      </c>
      <c r="P602" s="166">
        <f>SUMIFS(Продажи!M$5:M$359,Продажи!$D$5:$D$359,Конструкторы!$B602,Продажи!$C$5:$C$359,Конструкторы!$A602)</f>
        <v>0</v>
      </c>
      <c r="Q602" s="166">
        <f>SUMIFS(Продажи!N$5:N$359,Продажи!$D$5:$D$359,Конструкторы!$B602,Продажи!$C$5:$C$359,Конструкторы!$A602)</f>
        <v>0</v>
      </c>
      <c r="R602" s="166">
        <f>SUMIFS(Продажи!O$5:O$359,Продажи!$D$5:$D$359,Конструкторы!$B602,Продажи!$C$5:$C$359,Конструкторы!$A602)</f>
        <v>0</v>
      </c>
      <c r="S602" s="166">
        <f>SUMIFS(Продажи!P$5:P$359,Продажи!$D$5:$D$359,Конструкторы!$B602,Продажи!$C$5:$C$359,Конструкторы!$A602)</f>
        <v>0</v>
      </c>
      <c r="T602" s="166">
        <f>SUMIFS(Продажи!Q$5:Q$359,Продажи!$D$5:$D$359,Конструкторы!$B602,Продажи!$C$5:$C$359,Конструкторы!$A602)</f>
        <v>0</v>
      </c>
    </row>
    <row r="603" spans="1:20" ht="15.75" hidden="1" x14ac:dyDescent="0.25">
      <c r="A603" s="166" t="s">
        <v>397</v>
      </c>
      <c r="B603" s="167" t="s">
        <v>107</v>
      </c>
      <c r="C603" s="129" t="s">
        <v>60</v>
      </c>
      <c r="D603" s="149"/>
      <c r="E603" s="153" t="s">
        <v>68</v>
      </c>
      <c r="F603" s="156">
        <f>(0.288*103)/100</f>
        <v>0.29663999999999996</v>
      </c>
      <c r="G603" s="156">
        <v>8.639999999999981E-3</v>
      </c>
      <c r="H603" s="156">
        <f>F603+G603</f>
        <v>0.30527999999999994</v>
      </c>
      <c r="I603" s="166">
        <f>SUMIFS(Продажи!F$5:F$359,Продажи!$D$5:$D$359,Конструкторы!$B603,Продажи!$C$5:$C$359,Конструкторы!$A603)</f>
        <v>0</v>
      </c>
      <c r="J603" s="166">
        <f>SUMIFS(Продажи!G$5:G$359,Продажи!$D$5:$D$359,Конструкторы!$B603,Продажи!$C$5:$C$359,Конструкторы!$A603)</f>
        <v>0</v>
      </c>
      <c r="K603" s="166">
        <f>SUMIFS(Продажи!H$5:H$359,Продажи!$D$5:$D$359,Конструкторы!$B603,Продажи!$C$5:$C$359,Конструкторы!$A603)</f>
        <v>0</v>
      </c>
      <c r="L603" s="166">
        <f>SUMIFS(Продажи!I$5:I$359,Продажи!$D$5:$D$359,Конструкторы!$B603,Продажи!$C$5:$C$359,Конструкторы!$A603)</f>
        <v>0</v>
      </c>
      <c r="M603" s="166">
        <f>SUMIFS(Продажи!J$5:J$359,Продажи!$D$5:$D$359,Конструкторы!$B603,Продажи!$C$5:$C$359,Конструкторы!$A603)</f>
        <v>0</v>
      </c>
      <c r="N603" s="166">
        <f>SUMIFS(Продажи!K$5:K$359,Продажи!$D$5:$D$359,Конструкторы!$B603,Продажи!$C$5:$C$359,Конструкторы!$A603)</f>
        <v>0</v>
      </c>
      <c r="O603" s="166">
        <f>SUMIFS(Продажи!L$5:L$359,Продажи!$D$5:$D$359,Конструкторы!$B603,Продажи!$C$5:$C$359,Конструкторы!$A603)</f>
        <v>0</v>
      </c>
      <c r="P603" s="166">
        <f>SUMIFS(Продажи!M$5:M$359,Продажи!$D$5:$D$359,Конструкторы!$B603,Продажи!$C$5:$C$359,Конструкторы!$A603)</f>
        <v>0</v>
      </c>
      <c r="Q603" s="166">
        <f>SUMIFS(Продажи!N$5:N$359,Продажи!$D$5:$D$359,Конструкторы!$B603,Продажи!$C$5:$C$359,Конструкторы!$A603)</f>
        <v>0</v>
      </c>
      <c r="R603" s="166">
        <f>SUMIFS(Продажи!O$5:O$359,Продажи!$D$5:$D$359,Конструкторы!$B603,Продажи!$C$5:$C$359,Конструкторы!$A603)</f>
        <v>0</v>
      </c>
      <c r="S603" s="166">
        <f>SUMIFS(Продажи!P$5:P$359,Продажи!$D$5:$D$359,Конструкторы!$B603,Продажи!$C$5:$C$359,Конструкторы!$A603)</f>
        <v>0</v>
      </c>
      <c r="T603" s="166">
        <f>SUMIFS(Продажи!Q$5:Q$359,Продажи!$D$5:$D$359,Конструкторы!$B603,Продажи!$C$5:$C$359,Конструкторы!$A603)</f>
        <v>0</v>
      </c>
    </row>
    <row r="604" spans="1:20" ht="15.75" hidden="1" x14ac:dyDescent="0.25">
      <c r="A604" s="166" t="s">
        <v>397</v>
      </c>
      <c r="B604" s="167" t="s">
        <v>107</v>
      </c>
      <c r="C604" s="33" t="s">
        <v>72</v>
      </c>
      <c r="D604" s="149"/>
      <c r="E604" s="153" t="s">
        <v>70</v>
      </c>
      <c r="F604" s="148">
        <v>2</v>
      </c>
      <c r="G604" s="156" t="s">
        <v>71</v>
      </c>
      <c r="H604" s="156">
        <f>F604</f>
        <v>2</v>
      </c>
      <c r="I604" s="166">
        <f>SUMIFS(Продажи!F$5:F$359,Продажи!$D$5:$D$359,Конструкторы!$B604,Продажи!$C$5:$C$359,Конструкторы!$A604)</f>
        <v>0</v>
      </c>
      <c r="J604" s="166">
        <f>SUMIFS(Продажи!G$5:G$359,Продажи!$D$5:$D$359,Конструкторы!$B604,Продажи!$C$5:$C$359,Конструкторы!$A604)</f>
        <v>0</v>
      </c>
      <c r="K604" s="166">
        <f>SUMIFS(Продажи!H$5:H$359,Продажи!$D$5:$D$359,Конструкторы!$B604,Продажи!$C$5:$C$359,Конструкторы!$A604)</f>
        <v>0</v>
      </c>
      <c r="L604" s="166">
        <f>SUMIFS(Продажи!I$5:I$359,Продажи!$D$5:$D$359,Конструкторы!$B604,Продажи!$C$5:$C$359,Конструкторы!$A604)</f>
        <v>0</v>
      </c>
      <c r="M604" s="166">
        <f>SUMIFS(Продажи!J$5:J$359,Продажи!$D$5:$D$359,Конструкторы!$B604,Продажи!$C$5:$C$359,Конструкторы!$A604)</f>
        <v>0</v>
      </c>
      <c r="N604" s="166">
        <f>SUMIFS(Продажи!K$5:K$359,Продажи!$D$5:$D$359,Конструкторы!$B604,Продажи!$C$5:$C$359,Конструкторы!$A604)</f>
        <v>0</v>
      </c>
      <c r="O604" s="166">
        <f>SUMIFS(Продажи!L$5:L$359,Продажи!$D$5:$D$359,Конструкторы!$B604,Продажи!$C$5:$C$359,Конструкторы!$A604)</f>
        <v>0</v>
      </c>
      <c r="P604" s="166">
        <f>SUMIFS(Продажи!M$5:M$359,Продажи!$D$5:$D$359,Конструкторы!$B604,Продажи!$C$5:$C$359,Конструкторы!$A604)</f>
        <v>0</v>
      </c>
      <c r="Q604" s="166">
        <f>SUMIFS(Продажи!N$5:N$359,Продажи!$D$5:$D$359,Конструкторы!$B604,Продажи!$C$5:$C$359,Конструкторы!$A604)</f>
        <v>0</v>
      </c>
      <c r="R604" s="166">
        <f>SUMIFS(Продажи!O$5:O$359,Продажи!$D$5:$D$359,Конструкторы!$B604,Продажи!$C$5:$C$359,Конструкторы!$A604)</f>
        <v>0</v>
      </c>
      <c r="S604" s="166">
        <f>SUMIFS(Продажи!P$5:P$359,Продажи!$D$5:$D$359,Конструкторы!$B604,Продажи!$C$5:$C$359,Конструкторы!$A604)</f>
        <v>0</v>
      </c>
      <c r="T604" s="166">
        <f>SUMIFS(Продажи!Q$5:Q$359,Продажи!$D$5:$D$359,Конструкторы!$B604,Продажи!$C$5:$C$359,Конструкторы!$A604)</f>
        <v>0</v>
      </c>
    </row>
    <row r="605" spans="1:20" ht="15.75" hidden="1" x14ac:dyDescent="0.25">
      <c r="A605" s="166" t="s">
        <v>397</v>
      </c>
      <c r="B605" s="167" t="s">
        <v>107</v>
      </c>
      <c r="C605" s="33" t="s">
        <v>76</v>
      </c>
      <c r="D605" s="149"/>
      <c r="E605" s="153" t="s">
        <v>70</v>
      </c>
      <c r="F605" s="148">
        <v>8</v>
      </c>
      <c r="G605" s="156" t="s">
        <v>71</v>
      </c>
      <c r="H605" s="156">
        <f>F605</f>
        <v>8</v>
      </c>
      <c r="I605" s="166">
        <f>SUMIFS(Продажи!F$5:F$359,Продажи!$D$5:$D$359,Конструкторы!$B605,Продажи!$C$5:$C$359,Конструкторы!$A605)</f>
        <v>0</v>
      </c>
      <c r="J605" s="166">
        <f>SUMIFS(Продажи!G$5:G$359,Продажи!$D$5:$D$359,Конструкторы!$B605,Продажи!$C$5:$C$359,Конструкторы!$A605)</f>
        <v>0</v>
      </c>
      <c r="K605" s="166">
        <f>SUMIFS(Продажи!H$5:H$359,Продажи!$D$5:$D$359,Конструкторы!$B605,Продажи!$C$5:$C$359,Конструкторы!$A605)</f>
        <v>0</v>
      </c>
      <c r="L605" s="166">
        <f>SUMIFS(Продажи!I$5:I$359,Продажи!$D$5:$D$359,Конструкторы!$B605,Продажи!$C$5:$C$359,Конструкторы!$A605)</f>
        <v>0</v>
      </c>
      <c r="M605" s="166">
        <f>SUMIFS(Продажи!J$5:J$359,Продажи!$D$5:$D$359,Конструкторы!$B605,Продажи!$C$5:$C$359,Конструкторы!$A605)</f>
        <v>0</v>
      </c>
      <c r="N605" s="166">
        <f>SUMIFS(Продажи!K$5:K$359,Продажи!$D$5:$D$359,Конструкторы!$B605,Продажи!$C$5:$C$359,Конструкторы!$A605)</f>
        <v>0</v>
      </c>
      <c r="O605" s="166">
        <f>SUMIFS(Продажи!L$5:L$359,Продажи!$D$5:$D$359,Конструкторы!$B605,Продажи!$C$5:$C$359,Конструкторы!$A605)</f>
        <v>0</v>
      </c>
      <c r="P605" s="166">
        <f>SUMIFS(Продажи!M$5:M$359,Продажи!$D$5:$D$359,Конструкторы!$B605,Продажи!$C$5:$C$359,Конструкторы!$A605)</f>
        <v>0</v>
      </c>
      <c r="Q605" s="166">
        <f>SUMIFS(Продажи!N$5:N$359,Продажи!$D$5:$D$359,Конструкторы!$B605,Продажи!$C$5:$C$359,Конструкторы!$A605)</f>
        <v>0</v>
      </c>
      <c r="R605" s="166">
        <f>SUMIFS(Продажи!O$5:O$359,Продажи!$D$5:$D$359,Конструкторы!$B605,Продажи!$C$5:$C$359,Конструкторы!$A605)</f>
        <v>0</v>
      </c>
      <c r="S605" s="166">
        <f>SUMIFS(Продажи!P$5:P$359,Продажи!$D$5:$D$359,Конструкторы!$B605,Продажи!$C$5:$C$359,Конструкторы!$A605)</f>
        <v>0</v>
      </c>
      <c r="T605" s="166">
        <f>SUMIFS(Продажи!Q$5:Q$359,Продажи!$D$5:$D$359,Конструкторы!$B605,Продажи!$C$5:$C$359,Конструкторы!$A605)</f>
        <v>0</v>
      </c>
    </row>
    <row r="606" spans="1:20" ht="15.75" hidden="1" x14ac:dyDescent="0.25">
      <c r="A606" s="166" t="s">
        <v>397</v>
      </c>
      <c r="B606" s="167" t="s">
        <v>119</v>
      </c>
      <c r="C606" s="129" t="s">
        <v>63</v>
      </c>
      <c r="D606" s="149"/>
      <c r="E606" s="153" t="s">
        <v>68</v>
      </c>
      <c r="F606" s="156">
        <f>(0.9*103)/100</f>
        <v>0.92700000000000005</v>
      </c>
      <c r="G606" s="156">
        <v>2.7000000000000024E-2</v>
      </c>
      <c r="H606" s="156">
        <f>F606+G606</f>
        <v>0.95400000000000007</v>
      </c>
      <c r="I606" s="166">
        <f>SUMIFS(Продажи!F$5:F$359,Продажи!$D$5:$D$359,Конструкторы!$B606,Продажи!$C$5:$C$359,Конструкторы!$A606)</f>
        <v>0</v>
      </c>
      <c r="J606" s="166">
        <f>SUMIFS(Продажи!G$5:G$359,Продажи!$D$5:$D$359,Конструкторы!$B606,Продажи!$C$5:$C$359,Конструкторы!$A606)</f>
        <v>0</v>
      </c>
      <c r="K606" s="166">
        <f>SUMIFS(Продажи!H$5:H$359,Продажи!$D$5:$D$359,Конструкторы!$B606,Продажи!$C$5:$C$359,Конструкторы!$A606)</f>
        <v>0</v>
      </c>
      <c r="L606" s="166">
        <f>SUMIFS(Продажи!I$5:I$359,Продажи!$D$5:$D$359,Конструкторы!$B606,Продажи!$C$5:$C$359,Конструкторы!$A606)</f>
        <v>0</v>
      </c>
      <c r="M606" s="166">
        <f>SUMIFS(Продажи!J$5:J$359,Продажи!$D$5:$D$359,Конструкторы!$B606,Продажи!$C$5:$C$359,Конструкторы!$A606)</f>
        <v>0</v>
      </c>
      <c r="N606" s="166">
        <f>SUMIFS(Продажи!K$5:K$359,Продажи!$D$5:$D$359,Конструкторы!$B606,Продажи!$C$5:$C$359,Конструкторы!$A606)</f>
        <v>0</v>
      </c>
      <c r="O606" s="166">
        <f>SUMIFS(Продажи!L$5:L$359,Продажи!$D$5:$D$359,Конструкторы!$B606,Продажи!$C$5:$C$359,Конструкторы!$A606)</f>
        <v>0</v>
      </c>
      <c r="P606" s="166">
        <f>SUMIFS(Продажи!M$5:M$359,Продажи!$D$5:$D$359,Конструкторы!$B606,Продажи!$C$5:$C$359,Конструкторы!$A606)</f>
        <v>0</v>
      </c>
      <c r="Q606" s="166">
        <f>SUMIFS(Продажи!N$5:N$359,Продажи!$D$5:$D$359,Конструкторы!$B606,Продажи!$C$5:$C$359,Конструкторы!$A606)</f>
        <v>0</v>
      </c>
      <c r="R606" s="166">
        <f>SUMIFS(Продажи!O$5:O$359,Продажи!$D$5:$D$359,Конструкторы!$B606,Продажи!$C$5:$C$359,Конструкторы!$A606)</f>
        <v>0</v>
      </c>
      <c r="S606" s="166">
        <f>SUMIFS(Продажи!P$5:P$359,Продажи!$D$5:$D$359,Конструкторы!$B606,Продажи!$C$5:$C$359,Конструкторы!$A606)</f>
        <v>0</v>
      </c>
      <c r="T606" s="166">
        <f>SUMIFS(Продажи!Q$5:Q$359,Продажи!$D$5:$D$359,Конструкторы!$B606,Продажи!$C$5:$C$359,Конструкторы!$A606)</f>
        <v>0</v>
      </c>
    </row>
    <row r="607" spans="1:20" ht="15.75" hidden="1" x14ac:dyDescent="0.25">
      <c r="A607" s="166" t="s">
        <v>397</v>
      </c>
      <c r="B607" s="167" t="s">
        <v>119</v>
      </c>
      <c r="C607" s="129" t="s">
        <v>62</v>
      </c>
      <c r="D607" s="149"/>
      <c r="E607" s="153" t="s">
        <v>68</v>
      </c>
      <c r="F607" s="156">
        <f>(0.29*103)/100</f>
        <v>0.29869999999999997</v>
      </c>
      <c r="G607" s="156">
        <v>8.6999999999999855E-3</v>
      </c>
      <c r="H607" s="156">
        <f>F607+G607</f>
        <v>0.30739999999999995</v>
      </c>
      <c r="I607" s="166">
        <f>SUMIFS(Продажи!F$5:F$359,Продажи!$D$5:$D$359,Конструкторы!$B607,Продажи!$C$5:$C$359,Конструкторы!$A607)</f>
        <v>0</v>
      </c>
      <c r="J607" s="166">
        <f>SUMIFS(Продажи!G$5:G$359,Продажи!$D$5:$D$359,Конструкторы!$B607,Продажи!$C$5:$C$359,Конструкторы!$A607)</f>
        <v>0</v>
      </c>
      <c r="K607" s="166">
        <f>SUMIFS(Продажи!H$5:H$359,Продажи!$D$5:$D$359,Конструкторы!$B607,Продажи!$C$5:$C$359,Конструкторы!$A607)</f>
        <v>0</v>
      </c>
      <c r="L607" s="166">
        <f>SUMIFS(Продажи!I$5:I$359,Продажи!$D$5:$D$359,Конструкторы!$B607,Продажи!$C$5:$C$359,Конструкторы!$A607)</f>
        <v>0</v>
      </c>
      <c r="M607" s="166">
        <f>SUMIFS(Продажи!J$5:J$359,Продажи!$D$5:$D$359,Конструкторы!$B607,Продажи!$C$5:$C$359,Конструкторы!$A607)</f>
        <v>0</v>
      </c>
      <c r="N607" s="166">
        <f>SUMIFS(Продажи!K$5:K$359,Продажи!$D$5:$D$359,Конструкторы!$B607,Продажи!$C$5:$C$359,Конструкторы!$A607)</f>
        <v>0</v>
      </c>
      <c r="O607" s="166">
        <f>SUMIFS(Продажи!L$5:L$359,Продажи!$D$5:$D$359,Конструкторы!$B607,Продажи!$C$5:$C$359,Конструкторы!$A607)</f>
        <v>0</v>
      </c>
      <c r="P607" s="166">
        <f>SUMIFS(Продажи!M$5:M$359,Продажи!$D$5:$D$359,Конструкторы!$B607,Продажи!$C$5:$C$359,Конструкторы!$A607)</f>
        <v>0</v>
      </c>
      <c r="Q607" s="166">
        <f>SUMIFS(Продажи!N$5:N$359,Продажи!$D$5:$D$359,Конструкторы!$B607,Продажи!$C$5:$C$359,Конструкторы!$A607)</f>
        <v>0</v>
      </c>
      <c r="R607" s="166">
        <f>SUMIFS(Продажи!O$5:O$359,Продажи!$D$5:$D$359,Конструкторы!$B607,Продажи!$C$5:$C$359,Конструкторы!$A607)</f>
        <v>0</v>
      </c>
      <c r="S607" s="166">
        <f>SUMIFS(Продажи!P$5:P$359,Продажи!$D$5:$D$359,Конструкторы!$B607,Продажи!$C$5:$C$359,Конструкторы!$A607)</f>
        <v>0</v>
      </c>
      <c r="T607" s="166">
        <f>SUMIFS(Продажи!Q$5:Q$359,Продажи!$D$5:$D$359,Конструкторы!$B607,Продажи!$C$5:$C$359,Конструкторы!$A607)</f>
        <v>0</v>
      </c>
    </row>
    <row r="608" spans="1:20" ht="15.75" hidden="1" x14ac:dyDescent="0.25">
      <c r="A608" s="166" t="s">
        <v>397</v>
      </c>
      <c r="B608" s="167" t="s">
        <v>119</v>
      </c>
      <c r="C608" s="129" t="s">
        <v>60</v>
      </c>
      <c r="D608" s="149"/>
      <c r="E608" s="153"/>
      <c r="F608" s="156">
        <f>(0.288*103)/100</f>
        <v>0.29663999999999996</v>
      </c>
      <c r="G608" s="156">
        <v>8.639999999999981E-3</v>
      </c>
      <c r="H608" s="156">
        <f>F608+G608</f>
        <v>0.30527999999999994</v>
      </c>
      <c r="I608" s="166">
        <f>SUMIFS(Продажи!F$5:F$359,Продажи!$D$5:$D$359,Конструкторы!$B608,Продажи!$C$5:$C$359,Конструкторы!$A608)</f>
        <v>0</v>
      </c>
      <c r="J608" s="166">
        <f>SUMIFS(Продажи!G$5:G$359,Продажи!$D$5:$D$359,Конструкторы!$B608,Продажи!$C$5:$C$359,Конструкторы!$A608)</f>
        <v>0</v>
      </c>
      <c r="K608" s="166">
        <f>SUMIFS(Продажи!H$5:H$359,Продажи!$D$5:$D$359,Конструкторы!$B608,Продажи!$C$5:$C$359,Конструкторы!$A608)</f>
        <v>0</v>
      </c>
      <c r="L608" s="166">
        <f>SUMIFS(Продажи!I$5:I$359,Продажи!$D$5:$D$359,Конструкторы!$B608,Продажи!$C$5:$C$359,Конструкторы!$A608)</f>
        <v>0</v>
      </c>
      <c r="M608" s="166">
        <f>SUMIFS(Продажи!J$5:J$359,Продажи!$D$5:$D$359,Конструкторы!$B608,Продажи!$C$5:$C$359,Конструкторы!$A608)</f>
        <v>0</v>
      </c>
      <c r="N608" s="166">
        <f>SUMIFS(Продажи!K$5:K$359,Продажи!$D$5:$D$359,Конструкторы!$B608,Продажи!$C$5:$C$359,Конструкторы!$A608)</f>
        <v>0</v>
      </c>
      <c r="O608" s="166">
        <f>SUMIFS(Продажи!L$5:L$359,Продажи!$D$5:$D$359,Конструкторы!$B608,Продажи!$C$5:$C$359,Конструкторы!$A608)</f>
        <v>0</v>
      </c>
      <c r="P608" s="166">
        <f>SUMIFS(Продажи!M$5:M$359,Продажи!$D$5:$D$359,Конструкторы!$B608,Продажи!$C$5:$C$359,Конструкторы!$A608)</f>
        <v>0</v>
      </c>
      <c r="Q608" s="166">
        <f>SUMIFS(Продажи!N$5:N$359,Продажи!$D$5:$D$359,Конструкторы!$B608,Продажи!$C$5:$C$359,Конструкторы!$A608)</f>
        <v>0</v>
      </c>
      <c r="R608" s="166">
        <f>SUMIFS(Продажи!O$5:O$359,Продажи!$D$5:$D$359,Конструкторы!$B608,Продажи!$C$5:$C$359,Конструкторы!$A608)</f>
        <v>0</v>
      </c>
      <c r="S608" s="166">
        <f>SUMIFS(Продажи!P$5:P$359,Продажи!$D$5:$D$359,Конструкторы!$B608,Продажи!$C$5:$C$359,Конструкторы!$A608)</f>
        <v>0</v>
      </c>
      <c r="T608" s="166">
        <f>SUMIFS(Продажи!Q$5:Q$359,Продажи!$D$5:$D$359,Конструкторы!$B608,Продажи!$C$5:$C$359,Конструкторы!$A608)</f>
        <v>0</v>
      </c>
    </row>
    <row r="609" spans="1:20" ht="15.75" hidden="1" x14ac:dyDescent="0.25">
      <c r="A609" s="166" t="s">
        <v>397</v>
      </c>
      <c r="B609" s="167" t="s">
        <v>119</v>
      </c>
      <c r="C609" s="33" t="s">
        <v>72</v>
      </c>
      <c r="D609" s="149"/>
      <c r="E609" s="153" t="s">
        <v>70</v>
      </c>
      <c r="F609" s="148">
        <v>2</v>
      </c>
      <c r="G609" s="156" t="s">
        <v>71</v>
      </c>
      <c r="H609" s="156">
        <f>F609</f>
        <v>2</v>
      </c>
      <c r="I609" s="166">
        <f>SUMIFS(Продажи!F$5:F$359,Продажи!$D$5:$D$359,Конструкторы!$B609,Продажи!$C$5:$C$359,Конструкторы!$A609)</f>
        <v>0</v>
      </c>
      <c r="J609" s="166">
        <f>SUMIFS(Продажи!G$5:G$359,Продажи!$D$5:$D$359,Конструкторы!$B609,Продажи!$C$5:$C$359,Конструкторы!$A609)</f>
        <v>0</v>
      </c>
      <c r="K609" s="166">
        <f>SUMIFS(Продажи!H$5:H$359,Продажи!$D$5:$D$359,Конструкторы!$B609,Продажи!$C$5:$C$359,Конструкторы!$A609)</f>
        <v>0</v>
      </c>
      <c r="L609" s="166">
        <f>SUMIFS(Продажи!I$5:I$359,Продажи!$D$5:$D$359,Конструкторы!$B609,Продажи!$C$5:$C$359,Конструкторы!$A609)</f>
        <v>0</v>
      </c>
      <c r="M609" s="166">
        <f>SUMIFS(Продажи!J$5:J$359,Продажи!$D$5:$D$359,Конструкторы!$B609,Продажи!$C$5:$C$359,Конструкторы!$A609)</f>
        <v>0</v>
      </c>
      <c r="N609" s="166">
        <f>SUMIFS(Продажи!K$5:K$359,Продажи!$D$5:$D$359,Конструкторы!$B609,Продажи!$C$5:$C$359,Конструкторы!$A609)</f>
        <v>0</v>
      </c>
      <c r="O609" s="166">
        <f>SUMIFS(Продажи!L$5:L$359,Продажи!$D$5:$D$359,Конструкторы!$B609,Продажи!$C$5:$C$359,Конструкторы!$A609)</f>
        <v>0</v>
      </c>
      <c r="P609" s="166">
        <f>SUMIFS(Продажи!M$5:M$359,Продажи!$D$5:$D$359,Конструкторы!$B609,Продажи!$C$5:$C$359,Конструкторы!$A609)</f>
        <v>0</v>
      </c>
      <c r="Q609" s="166">
        <f>SUMIFS(Продажи!N$5:N$359,Продажи!$D$5:$D$359,Конструкторы!$B609,Продажи!$C$5:$C$359,Конструкторы!$A609)</f>
        <v>0</v>
      </c>
      <c r="R609" s="166">
        <f>SUMIFS(Продажи!O$5:O$359,Продажи!$D$5:$D$359,Конструкторы!$B609,Продажи!$C$5:$C$359,Конструкторы!$A609)</f>
        <v>0</v>
      </c>
      <c r="S609" s="166">
        <f>SUMIFS(Продажи!P$5:P$359,Продажи!$D$5:$D$359,Конструкторы!$B609,Продажи!$C$5:$C$359,Конструкторы!$A609)</f>
        <v>0</v>
      </c>
      <c r="T609" s="166">
        <f>SUMIFS(Продажи!Q$5:Q$359,Продажи!$D$5:$D$359,Конструкторы!$B609,Продажи!$C$5:$C$359,Конструкторы!$A609)</f>
        <v>0</v>
      </c>
    </row>
    <row r="610" spans="1:20" ht="15.75" hidden="1" x14ac:dyDescent="0.25">
      <c r="A610" s="166" t="s">
        <v>397</v>
      </c>
      <c r="B610" s="167" t="s">
        <v>119</v>
      </c>
      <c r="C610" s="33" t="s">
        <v>76</v>
      </c>
      <c r="D610" s="149"/>
      <c r="E610" s="153" t="s">
        <v>70</v>
      </c>
      <c r="F610" s="148">
        <v>8</v>
      </c>
      <c r="G610" s="156" t="s">
        <v>71</v>
      </c>
      <c r="H610" s="156">
        <f>F610</f>
        <v>8</v>
      </c>
      <c r="I610" s="166">
        <f>SUMIFS(Продажи!F$5:F$359,Продажи!$D$5:$D$359,Конструкторы!$B610,Продажи!$C$5:$C$359,Конструкторы!$A610)</f>
        <v>0</v>
      </c>
      <c r="J610" s="166">
        <f>SUMIFS(Продажи!G$5:G$359,Продажи!$D$5:$D$359,Конструкторы!$B610,Продажи!$C$5:$C$359,Конструкторы!$A610)</f>
        <v>0</v>
      </c>
      <c r="K610" s="166">
        <f>SUMIFS(Продажи!H$5:H$359,Продажи!$D$5:$D$359,Конструкторы!$B610,Продажи!$C$5:$C$359,Конструкторы!$A610)</f>
        <v>0</v>
      </c>
      <c r="L610" s="166">
        <f>SUMIFS(Продажи!I$5:I$359,Продажи!$D$5:$D$359,Конструкторы!$B610,Продажи!$C$5:$C$359,Конструкторы!$A610)</f>
        <v>0</v>
      </c>
      <c r="M610" s="166">
        <f>SUMIFS(Продажи!J$5:J$359,Продажи!$D$5:$D$359,Конструкторы!$B610,Продажи!$C$5:$C$359,Конструкторы!$A610)</f>
        <v>0</v>
      </c>
      <c r="N610" s="166">
        <f>SUMIFS(Продажи!K$5:K$359,Продажи!$D$5:$D$359,Конструкторы!$B610,Продажи!$C$5:$C$359,Конструкторы!$A610)</f>
        <v>0</v>
      </c>
      <c r="O610" s="166">
        <f>SUMIFS(Продажи!L$5:L$359,Продажи!$D$5:$D$359,Конструкторы!$B610,Продажи!$C$5:$C$359,Конструкторы!$A610)</f>
        <v>0</v>
      </c>
      <c r="P610" s="166">
        <f>SUMIFS(Продажи!M$5:M$359,Продажи!$D$5:$D$359,Конструкторы!$B610,Продажи!$C$5:$C$359,Конструкторы!$A610)</f>
        <v>0</v>
      </c>
      <c r="Q610" s="166">
        <f>SUMIFS(Продажи!N$5:N$359,Продажи!$D$5:$D$359,Конструкторы!$B610,Продажи!$C$5:$C$359,Конструкторы!$A610)</f>
        <v>0</v>
      </c>
      <c r="R610" s="166">
        <f>SUMIFS(Продажи!O$5:O$359,Продажи!$D$5:$D$359,Конструкторы!$B610,Продажи!$C$5:$C$359,Конструкторы!$A610)</f>
        <v>0</v>
      </c>
      <c r="S610" s="166">
        <f>SUMIFS(Продажи!P$5:P$359,Продажи!$D$5:$D$359,Конструкторы!$B610,Продажи!$C$5:$C$359,Конструкторы!$A610)</f>
        <v>0</v>
      </c>
      <c r="T610" s="166">
        <f>SUMIFS(Продажи!Q$5:Q$359,Продажи!$D$5:$D$359,Конструкторы!$B610,Продажи!$C$5:$C$359,Конструкторы!$A610)</f>
        <v>0</v>
      </c>
    </row>
    <row r="611" spans="1:20" ht="15.75" hidden="1" x14ac:dyDescent="0.25">
      <c r="A611" s="166" t="s">
        <v>397</v>
      </c>
      <c r="B611" s="167" t="s">
        <v>120</v>
      </c>
      <c r="C611" s="129" t="s">
        <v>64</v>
      </c>
      <c r="D611" s="149"/>
      <c r="E611" s="153" t="s">
        <v>68</v>
      </c>
      <c r="F611" s="156">
        <f>(0.9*103)/100</f>
        <v>0.92700000000000005</v>
      </c>
      <c r="G611" s="156">
        <v>2.7000000000000024E-2</v>
      </c>
      <c r="H611" s="156">
        <f>F611+G611</f>
        <v>0.95400000000000007</v>
      </c>
      <c r="I611" s="166">
        <f>SUMIFS(Продажи!F$5:F$359,Продажи!$D$5:$D$359,Конструкторы!$B611,Продажи!$C$5:$C$359,Конструкторы!$A611)</f>
        <v>0</v>
      </c>
      <c r="J611" s="166">
        <f>SUMIFS(Продажи!G$5:G$359,Продажи!$D$5:$D$359,Конструкторы!$B611,Продажи!$C$5:$C$359,Конструкторы!$A611)</f>
        <v>0</v>
      </c>
      <c r="K611" s="166">
        <f>SUMIFS(Продажи!H$5:H$359,Продажи!$D$5:$D$359,Конструкторы!$B611,Продажи!$C$5:$C$359,Конструкторы!$A611)</f>
        <v>0</v>
      </c>
      <c r="L611" s="166">
        <f>SUMIFS(Продажи!I$5:I$359,Продажи!$D$5:$D$359,Конструкторы!$B611,Продажи!$C$5:$C$359,Конструкторы!$A611)</f>
        <v>0</v>
      </c>
      <c r="M611" s="166">
        <f>SUMIFS(Продажи!J$5:J$359,Продажи!$D$5:$D$359,Конструкторы!$B611,Продажи!$C$5:$C$359,Конструкторы!$A611)</f>
        <v>0</v>
      </c>
      <c r="N611" s="166">
        <f>SUMIFS(Продажи!K$5:K$359,Продажи!$D$5:$D$359,Конструкторы!$B611,Продажи!$C$5:$C$359,Конструкторы!$A611)</f>
        <v>0</v>
      </c>
      <c r="O611" s="166">
        <f>SUMIFS(Продажи!L$5:L$359,Продажи!$D$5:$D$359,Конструкторы!$B611,Продажи!$C$5:$C$359,Конструкторы!$A611)</f>
        <v>0</v>
      </c>
      <c r="P611" s="166">
        <f>SUMIFS(Продажи!M$5:M$359,Продажи!$D$5:$D$359,Конструкторы!$B611,Продажи!$C$5:$C$359,Конструкторы!$A611)</f>
        <v>0</v>
      </c>
      <c r="Q611" s="166">
        <f>SUMIFS(Продажи!N$5:N$359,Продажи!$D$5:$D$359,Конструкторы!$B611,Продажи!$C$5:$C$359,Конструкторы!$A611)</f>
        <v>0</v>
      </c>
      <c r="R611" s="166">
        <f>SUMIFS(Продажи!O$5:O$359,Продажи!$D$5:$D$359,Конструкторы!$B611,Продажи!$C$5:$C$359,Конструкторы!$A611)</f>
        <v>0</v>
      </c>
      <c r="S611" s="166">
        <f>SUMIFS(Продажи!P$5:P$359,Продажи!$D$5:$D$359,Конструкторы!$B611,Продажи!$C$5:$C$359,Конструкторы!$A611)</f>
        <v>0</v>
      </c>
      <c r="T611" s="166">
        <f>SUMIFS(Продажи!Q$5:Q$359,Продажи!$D$5:$D$359,Конструкторы!$B611,Продажи!$C$5:$C$359,Конструкторы!$A611)</f>
        <v>0</v>
      </c>
    </row>
    <row r="612" spans="1:20" ht="15.75" hidden="1" x14ac:dyDescent="0.25">
      <c r="A612" s="166" t="s">
        <v>397</v>
      </c>
      <c r="B612" s="167" t="s">
        <v>120</v>
      </c>
      <c r="C612" s="129" t="s">
        <v>62</v>
      </c>
      <c r="D612" s="149"/>
      <c r="E612" s="153" t="s">
        <v>68</v>
      </c>
      <c r="F612" s="156">
        <f>(0.29*103)/100</f>
        <v>0.29869999999999997</v>
      </c>
      <c r="G612" s="156">
        <v>8.6999999999999855E-3</v>
      </c>
      <c r="H612" s="156">
        <f>F612+G612</f>
        <v>0.30739999999999995</v>
      </c>
      <c r="I612" s="166">
        <f>SUMIFS(Продажи!F$5:F$359,Продажи!$D$5:$D$359,Конструкторы!$B612,Продажи!$C$5:$C$359,Конструкторы!$A612)</f>
        <v>0</v>
      </c>
      <c r="J612" s="166">
        <f>SUMIFS(Продажи!G$5:G$359,Продажи!$D$5:$D$359,Конструкторы!$B612,Продажи!$C$5:$C$359,Конструкторы!$A612)</f>
        <v>0</v>
      </c>
      <c r="K612" s="166">
        <f>SUMIFS(Продажи!H$5:H$359,Продажи!$D$5:$D$359,Конструкторы!$B612,Продажи!$C$5:$C$359,Конструкторы!$A612)</f>
        <v>0</v>
      </c>
      <c r="L612" s="166">
        <f>SUMIFS(Продажи!I$5:I$359,Продажи!$D$5:$D$359,Конструкторы!$B612,Продажи!$C$5:$C$359,Конструкторы!$A612)</f>
        <v>0</v>
      </c>
      <c r="M612" s="166">
        <f>SUMIFS(Продажи!J$5:J$359,Продажи!$D$5:$D$359,Конструкторы!$B612,Продажи!$C$5:$C$359,Конструкторы!$A612)</f>
        <v>0</v>
      </c>
      <c r="N612" s="166">
        <f>SUMIFS(Продажи!K$5:K$359,Продажи!$D$5:$D$359,Конструкторы!$B612,Продажи!$C$5:$C$359,Конструкторы!$A612)</f>
        <v>0</v>
      </c>
      <c r="O612" s="166">
        <f>SUMIFS(Продажи!L$5:L$359,Продажи!$D$5:$D$359,Конструкторы!$B612,Продажи!$C$5:$C$359,Конструкторы!$A612)</f>
        <v>0</v>
      </c>
      <c r="P612" s="166">
        <f>SUMIFS(Продажи!M$5:M$359,Продажи!$D$5:$D$359,Конструкторы!$B612,Продажи!$C$5:$C$359,Конструкторы!$A612)</f>
        <v>0</v>
      </c>
      <c r="Q612" s="166">
        <f>SUMIFS(Продажи!N$5:N$359,Продажи!$D$5:$D$359,Конструкторы!$B612,Продажи!$C$5:$C$359,Конструкторы!$A612)</f>
        <v>0</v>
      </c>
      <c r="R612" s="166">
        <f>SUMIFS(Продажи!O$5:O$359,Продажи!$D$5:$D$359,Конструкторы!$B612,Продажи!$C$5:$C$359,Конструкторы!$A612)</f>
        <v>0</v>
      </c>
      <c r="S612" s="166">
        <f>SUMIFS(Продажи!P$5:P$359,Продажи!$D$5:$D$359,Конструкторы!$B612,Продажи!$C$5:$C$359,Конструкторы!$A612)</f>
        <v>0</v>
      </c>
      <c r="T612" s="166">
        <f>SUMIFS(Продажи!Q$5:Q$359,Продажи!$D$5:$D$359,Конструкторы!$B612,Продажи!$C$5:$C$359,Конструкторы!$A612)</f>
        <v>0</v>
      </c>
    </row>
    <row r="613" spans="1:20" ht="15.75" hidden="1" x14ac:dyDescent="0.25">
      <c r="A613" s="166" t="s">
        <v>397</v>
      </c>
      <c r="B613" s="167" t="s">
        <v>120</v>
      </c>
      <c r="C613" s="129" t="s">
        <v>60</v>
      </c>
      <c r="D613" s="149"/>
      <c r="E613" s="153"/>
      <c r="F613" s="156">
        <f>(0.288*103)/100</f>
        <v>0.29663999999999996</v>
      </c>
      <c r="G613" s="156">
        <v>8.639999999999981E-3</v>
      </c>
      <c r="H613" s="156">
        <f>F613+G613</f>
        <v>0.30527999999999994</v>
      </c>
      <c r="I613" s="166">
        <f>SUMIFS(Продажи!F$5:F$359,Продажи!$D$5:$D$359,Конструкторы!$B613,Продажи!$C$5:$C$359,Конструкторы!$A613)</f>
        <v>0</v>
      </c>
      <c r="J613" s="166">
        <f>SUMIFS(Продажи!G$5:G$359,Продажи!$D$5:$D$359,Конструкторы!$B613,Продажи!$C$5:$C$359,Конструкторы!$A613)</f>
        <v>0</v>
      </c>
      <c r="K613" s="166">
        <f>SUMIFS(Продажи!H$5:H$359,Продажи!$D$5:$D$359,Конструкторы!$B613,Продажи!$C$5:$C$359,Конструкторы!$A613)</f>
        <v>0</v>
      </c>
      <c r="L613" s="166">
        <f>SUMIFS(Продажи!I$5:I$359,Продажи!$D$5:$D$359,Конструкторы!$B613,Продажи!$C$5:$C$359,Конструкторы!$A613)</f>
        <v>0</v>
      </c>
      <c r="M613" s="166">
        <f>SUMIFS(Продажи!J$5:J$359,Продажи!$D$5:$D$359,Конструкторы!$B613,Продажи!$C$5:$C$359,Конструкторы!$A613)</f>
        <v>0</v>
      </c>
      <c r="N613" s="166">
        <f>SUMIFS(Продажи!K$5:K$359,Продажи!$D$5:$D$359,Конструкторы!$B613,Продажи!$C$5:$C$359,Конструкторы!$A613)</f>
        <v>0</v>
      </c>
      <c r="O613" s="166">
        <f>SUMIFS(Продажи!L$5:L$359,Продажи!$D$5:$D$359,Конструкторы!$B613,Продажи!$C$5:$C$359,Конструкторы!$A613)</f>
        <v>0</v>
      </c>
      <c r="P613" s="166">
        <f>SUMIFS(Продажи!M$5:M$359,Продажи!$D$5:$D$359,Конструкторы!$B613,Продажи!$C$5:$C$359,Конструкторы!$A613)</f>
        <v>0</v>
      </c>
      <c r="Q613" s="166">
        <f>SUMIFS(Продажи!N$5:N$359,Продажи!$D$5:$D$359,Конструкторы!$B613,Продажи!$C$5:$C$359,Конструкторы!$A613)</f>
        <v>0</v>
      </c>
      <c r="R613" s="166">
        <f>SUMIFS(Продажи!O$5:O$359,Продажи!$D$5:$D$359,Конструкторы!$B613,Продажи!$C$5:$C$359,Конструкторы!$A613)</f>
        <v>0</v>
      </c>
      <c r="S613" s="166">
        <f>SUMIFS(Продажи!P$5:P$359,Продажи!$D$5:$D$359,Конструкторы!$B613,Продажи!$C$5:$C$359,Конструкторы!$A613)</f>
        <v>0</v>
      </c>
      <c r="T613" s="166">
        <f>SUMIFS(Продажи!Q$5:Q$359,Продажи!$D$5:$D$359,Конструкторы!$B613,Продажи!$C$5:$C$359,Конструкторы!$A613)</f>
        <v>0</v>
      </c>
    </row>
    <row r="614" spans="1:20" ht="15.75" hidden="1" x14ac:dyDescent="0.25">
      <c r="A614" s="166" t="s">
        <v>397</v>
      </c>
      <c r="B614" s="167" t="s">
        <v>120</v>
      </c>
      <c r="C614" s="33" t="s">
        <v>72</v>
      </c>
      <c r="D614" s="149"/>
      <c r="E614" s="153" t="s">
        <v>70</v>
      </c>
      <c r="F614" s="148">
        <v>2</v>
      </c>
      <c r="G614" s="156" t="s">
        <v>71</v>
      </c>
      <c r="H614" s="156">
        <f>F614</f>
        <v>2</v>
      </c>
      <c r="I614" s="166">
        <f>SUMIFS(Продажи!F$5:F$359,Продажи!$D$5:$D$359,Конструкторы!$B614,Продажи!$C$5:$C$359,Конструкторы!$A614)</f>
        <v>0</v>
      </c>
      <c r="J614" s="166">
        <f>SUMIFS(Продажи!G$5:G$359,Продажи!$D$5:$D$359,Конструкторы!$B614,Продажи!$C$5:$C$359,Конструкторы!$A614)</f>
        <v>0</v>
      </c>
      <c r="K614" s="166">
        <f>SUMIFS(Продажи!H$5:H$359,Продажи!$D$5:$D$359,Конструкторы!$B614,Продажи!$C$5:$C$359,Конструкторы!$A614)</f>
        <v>0</v>
      </c>
      <c r="L614" s="166">
        <f>SUMIFS(Продажи!I$5:I$359,Продажи!$D$5:$D$359,Конструкторы!$B614,Продажи!$C$5:$C$359,Конструкторы!$A614)</f>
        <v>0</v>
      </c>
      <c r="M614" s="166">
        <f>SUMIFS(Продажи!J$5:J$359,Продажи!$D$5:$D$359,Конструкторы!$B614,Продажи!$C$5:$C$359,Конструкторы!$A614)</f>
        <v>0</v>
      </c>
      <c r="N614" s="166">
        <f>SUMIFS(Продажи!K$5:K$359,Продажи!$D$5:$D$359,Конструкторы!$B614,Продажи!$C$5:$C$359,Конструкторы!$A614)</f>
        <v>0</v>
      </c>
      <c r="O614" s="166">
        <f>SUMIFS(Продажи!L$5:L$359,Продажи!$D$5:$D$359,Конструкторы!$B614,Продажи!$C$5:$C$359,Конструкторы!$A614)</f>
        <v>0</v>
      </c>
      <c r="P614" s="166">
        <f>SUMIFS(Продажи!M$5:M$359,Продажи!$D$5:$D$359,Конструкторы!$B614,Продажи!$C$5:$C$359,Конструкторы!$A614)</f>
        <v>0</v>
      </c>
      <c r="Q614" s="166">
        <f>SUMIFS(Продажи!N$5:N$359,Продажи!$D$5:$D$359,Конструкторы!$B614,Продажи!$C$5:$C$359,Конструкторы!$A614)</f>
        <v>0</v>
      </c>
      <c r="R614" s="166">
        <f>SUMIFS(Продажи!O$5:O$359,Продажи!$D$5:$D$359,Конструкторы!$B614,Продажи!$C$5:$C$359,Конструкторы!$A614)</f>
        <v>0</v>
      </c>
      <c r="S614" s="166">
        <f>SUMIFS(Продажи!P$5:P$359,Продажи!$D$5:$D$359,Конструкторы!$B614,Продажи!$C$5:$C$359,Конструкторы!$A614)</f>
        <v>0</v>
      </c>
      <c r="T614" s="166">
        <f>SUMIFS(Продажи!Q$5:Q$359,Продажи!$D$5:$D$359,Конструкторы!$B614,Продажи!$C$5:$C$359,Конструкторы!$A614)</f>
        <v>0</v>
      </c>
    </row>
    <row r="615" spans="1:20" ht="15.75" hidden="1" x14ac:dyDescent="0.25">
      <c r="A615" s="166" t="s">
        <v>397</v>
      </c>
      <c r="B615" s="167" t="s">
        <v>120</v>
      </c>
      <c r="C615" s="33" t="s">
        <v>76</v>
      </c>
      <c r="D615" s="149"/>
      <c r="E615" s="153" t="s">
        <v>70</v>
      </c>
      <c r="F615" s="148">
        <v>8</v>
      </c>
      <c r="G615" s="156" t="s">
        <v>71</v>
      </c>
      <c r="H615" s="156">
        <f>F615</f>
        <v>8</v>
      </c>
      <c r="I615" s="166">
        <f>SUMIFS(Продажи!F$5:F$359,Продажи!$D$5:$D$359,Конструкторы!$B615,Продажи!$C$5:$C$359,Конструкторы!$A615)</f>
        <v>0</v>
      </c>
      <c r="J615" s="166">
        <f>SUMIFS(Продажи!G$5:G$359,Продажи!$D$5:$D$359,Конструкторы!$B615,Продажи!$C$5:$C$359,Конструкторы!$A615)</f>
        <v>0</v>
      </c>
      <c r="K615" s="166">
        <f>SUMIFS(Продажи!H$5:H$359,Продажи!$D$5:$D$359,Конструкторы!$B615,Продажи!$C$5:$C$359,Конструкторы!$A615)</f>
        <v>0</v>
      </c>
      <c r="L615" s="166">
        <f>SUMIFS(Продажи!I$5:I$359,Продажи!$D$5:$D$359,Конструкторы!$B615,Продажи!$C$5:$C$359,Конструкторы!$A615)</f>
        <v>0</v>
      </c>
      <c r="M615" s="166">
        <f>SUMIFS(Продажи!J$5:J$359,Продажи!$D$5:$D$359,Конструкторы!$B615,Продажи!$C$5:$C$359,Конструкторы!$A615)</f>
        <v>0</v>
      </c>
      <c r="N615" s="166">
        <f>SUMIFS(Продажи!K$5:K$359,Продажи!$D$5:$D$359,Конструкторы!$B615,Продажи!$C$5:$C$359,Конструкторы!$A615)</f>
        <v>0</v>
      </c>
      <c r="O615" s="166">
        <f>SUMIFS(Продажи!L$5:L$359,Продажи!$D$5:$D$359,Конструкторы!$B615,Продажи!$C$5:$C$359,Конструкторы!$A615)</f>
        <v>0</v>
      </c>
      <c r="P615" s="166">
        <f>SUMIFS(Продажи!M$5:M$359,Продажи!$D$5:$D$359,Конструкторы!$B615,Продажи!$C$5:$C$359,Конструкторы!$A615)</f>
        <v>0</v>
      </c>
      <c r="Q615" s="166">
        <f>SUMIFS(Продажи!N$5:N$359,Продажи!$D$5:$D$359,Конструкторы!$B615,Продажи!$C$5:$C$359,Конструкторы!$A615)</f>
        <v>0</v>
      </c>
      <c r="R615" s="166">
        <f>SUMIFS(Продажи!O$5:O$359,Продажи!$D$5:$D$359,Конструкторы!$B615,Продажи!$C$5:$C$359,Конструкторы!$A615)</f>
        <v>0</v>
      </c>
      <c r="S615" s="166">
        <f>SUMIFS(Продажи!P$5:P$359,Продажи!$D$5:$D$359,Конструкторы!$B615,Продажи!$C$5:$C$359,Конструкторы!$A615)</f>
        <v>0</v>
      </c>
      <c r="T615" s="166">
        <f>SUMIFS(Продажи!Q$5:Q$359,Продажи!$D$5:$D$359,Конструкторы!$B615,Продажи!$C$5:$C$359,Конструкторы!$A615)</f>
        <v>0</v>
      </c>
    </row>
    <row r="616" spans="1:20" ht="15.75" hidden="1" x14ac:dyDescent="0.25">
      <c r="A616" s="166" t="s">
        <v>397</v>
      </c>
      <c r="B616" s="167" t="s">
        <v>121</v>
      </c>
      <c r="C616" s="129" t="s">
        <v>63</v>
      </c>
      <c r="D616" s="149"/>
      <c r="E616" s="153" t="s">
        <v>68</v>
      </c>
      <c r="F616" s="156">
        <f>(0.291*103)/100</f>
        <v>0.29973</v>
      </c>
      <c r="G616" s="156">
        <v>8.7300000000000155E-3</v>
      </c>
      <c r="H616" s="156">
        <f>F616+G616</f>
        <v>0.30846000000000001</v>
      </c>
      <c r="I616" s="166">
        <f>SUMIFS(Продажи!F$5:F$359,Продажи!$D$5:$D$359,Конструкторы!$B616,Продажи!$C$5:$C$359,Конструкторы!$A616)</f>
        <v>0</v>
      </c>
      <c r="J616" s="166">
        <f>SUMIFS(Продажи!G$5:G$359,Продажи!$D$5:$D$359,Конструкторы!$B616,Продажи!$C$5:$C$359,Конструкторы!$A616)</f>
        <v>0</v>
      </c>
      <c r="K616" s="166">
        <f>SUMIFS(Продажи!H$5:H$359,Продажи!$D$5:$D$359,Конструкторы!$B616,Продажи!$C$5:$C$359,Конструкторы!$A616)</f>
        <v>0</v>
      </c>
      <c r="L616" s="166">
        <f>SUMIFS(Продажи!I$5:I$359,Продажи!$D$5:$D$359,Конструкторы!$B616,Продажи!$C$5:$C$359,Конструкторы!$A616)</f>
        <v>0</v>
      </c>
      <c r="M616" s="166">
        <f>SUMIFS(Продажи!J$5:J$359,Продажи!$D$5:$D$359,Конструкторы!$B616,Продажи!$C$5:$C$359,Конструкторы!$A616)</f>
        <v>0</v>
      </c>
      <c r="N616" s="166">
        <f>SUMIFS(Продажи!K$5:K$359,Продажи!$D$5:$D$359,Конструкторы!$B616,Продажи!$C$5:$C$359,Конструкторы!$A616)</f>
        <v>0</v>
      </c>
      <c r="O616" s="166">
        <f>SUMIFS(Продажи!L$5:L$359,Продажи!$D$5:$D$359,Конструкторы!$B616,Продажи!$C$5:$C$359,Конструкторы!$A616)</f>
        <v>0</v>
      </c>
      <c r="P616" s="166">
        <f>SUMIFS(Продажи!M$5:M$359,Продажи!$D$5:$D$359,Конструкторы!$B616,Продажи!$C$5:$C$359,Конструкторы!$A616)</f>
        <v>0</v>
      </c>
      <c r="Q616" s="166">
        <f>SUMIFS(Продажи!N$5:N$359,Продажи!$D$5:$D$359,Конструкторы!$B616,Продажи!$C$5:$C$359,Конструкторы!$A616)</f>
        <v>0</v>
      </c>
      <c r="R616" s="166">
        <f>SUMIFS(Продажи!O$5:O$359,Продажи!$D$5:$D$359,Конструкторы!$B616,Продажи!$C$5:$C$359,Конструкторы!$A616)</f>
        <v>0</v>
      </c>
      <c r="S616" s="166">
        <f>SUMIFS(Продажи!P$5:P$359,Продажи!$D$5:$D$359,Конструкторы!$B616,Продажи!$C$5:$C$359,Конструкторы!$A616)</f>
        <v>0</v>
      </c>
      <c r="T616" s="166">
        <f>SUMIFS(Продажи!Q$5:Q$359,Продажи!$D$5:$D$359,Конструкторы!$B616,Продажи!$C$5:$C$359,Конструкторы!$A616)</f>
        <v>0</v>
      </c>
    </row>
    <row r="617" spans="1:20" ht="15.75" hidden="1" x14ac:dyDescent="0.25">
      <c r="A617" s="166" t="s">
        <v>397</v>
      </c>
      <c r="B617" s="167" t="s">
        <v>121</v>
      </c>
      <c r="C617" s="129" t="s">
        <v>60</v>
      </c>
      <c r="D617" s="149"/>
      <c r="E617" s="153" t="s">
        <v>68</v>
      </c>
      <c r="F617" s="156">
        <f>(1*103)/100</f>
        <v>1.03</v>
      </c>
      <c r="G617" s="156">
        <v>3.0000000000000027E-2</v>
      </c>
      <c r="H617" s="156">
        <f>F617+G617</f>
        <v>1.06</v>
      </c>
      <c r="I617" s="166">
        <f>SUMIFS(Продажи!F$5:F$359,Продажи!$D$5:$D$359,Конструкторы!$B617,Продажи!$C$5:$C$359,Конструкторы!$A617)</f>
        <v>0</v>
      </c>
      <c r="J617" s="166">
        <f>SUMIFS(Продажи!G$5:G$359,Продажи!$D$5:$D$359,Конструкторы!$B617,Продажи!$C$5:$C$359,Конструкторы!$A617)</f>
        <v>0</v>
      </c>
      <c r="K617" s="166">
        <f>SUMIFS(Продажи!H$5:H$359,Продажи!$D$5:$D$359,Конструкторы!$B617,Продажи!$C$5:$C$359,Конструкторы!$A617)</f>
        <v>0</v>
      </c>
      <c r="L617" s="166">
        <f>SUMIFS(Продажи!I$5:I$359,Продажи!$D$5:$D$359,Конструкторы!$B617,Продажи!$C$5:$C$359,Конструкторы!$A617)</f>
        <v>0</v>
      </c>
      <c r="M617" s="166">
        <f>SUMIFS(Продажи!J$5:J$359,Продажи!$D$5:$D$359,Конструкторы!$B617,Продажи!$C$5:$C$359,Конструкторы!$A617)</f>
        <v>0</v>
      </c>
      <c r="N617" s="166">
        <f>SUMIFS(Продажи!K$5:K$359,Продажи!$D$5:$D$359,Конструкторы!$B617,Продажи!$C$5:$C$359,Конструкторы!$A617)</f>
        <v>0</v>
      </c>
      <c r="O617" s="166">
        <f>SUMIFS(Продажи!L$5:L$359,Продажи!$D$5:$D$359,Конструкторы!$B617,Продажи!$C$5:$C$359,Конструкторы!$A617)</f>
        <v>0</v>
      </c>
      <c r="P617" s="166">
        <f>SUMIFS(Продажи!M$5:M$359,Продажи!$D$5:$D$359,Конструкторы!$B617,Продажи!$C$5:$C$359,Конструкторы!$A617)</f>
        <v>0</v>
      </c>
      <c r="Q617" s="166">
        <f>SUMIFS(Продажи!N$5:N$359,Продажи!$D$5:$D$359,Конструкторы!$B617,Продажи!$C$5:$C$359,Конструкторы!$A617)</f>
        <v>0</v>
      </c>
      <c r="R617" s="166">
        <f>SUMIFS(Продажи!O$5:O$359,Продажи!$D$5:$D$359,Конструкторы!$B617,Продажи!$C$5:$C$359,Конструкторы!$A617)</f>
        <v>0</v>
      </c>
      <c r="S617" s="166">
        <f>SUMIFS(Продажи!P$5:P$359,Продажи!$D$5:$D$359,Конструкторы!$B617,Продажи!$C$5:$C$359,Конструкторы!$A617)</f>
        <v>0</v>
      </c>
      <c r="T617" s="166">
        <f>SUMIFS(Продажи!Q$5:Q$359,Продажи!$D$5:$D$359,Конструкторы!$B617,Продажи!$C$5:$C$359,Конструкторы!$A617)</f>
        <v>0</v>
      </c>
    </row>
    <row r="618" spans="1:20" ht="15.75" hidden="1" x14ac:dyDescent="0.25">
      <c r="A618" s="166" t="s">
        <v>397</v>
      </c>
      <c r="B618" s="167" t="s">
        <v>121</v>
      </c>
      <c r="C618" s="129" t="s">
        <v>60</v>
      </c>
      <c r="D618" s="149"/>
      <c r="E618" s="153"/>
      <c r="F618" s="156">
        <f>(0.296*103)/100</f>
        <v>0.30487999999999998</v>
      </c>
      <c r="G618" s="156">
        <v>8.879999999999999E-3</v>
      </c>
      <c r="H618" s="156">
        <f>F618+G618</f>
        <v>0.31375999999999998</v>
      </c>
      <c r="I618" s="166">
        <f>SUMIFS(Продажи!F$5:F$359,Продажи!$D$5:$D$359,Конструкторы!$B618,Продажи!$C$5:$C$359,Конструкторы!$A618)</f>
        <v>0</v>
      </c>
      <c r="J618" s="166">
        <f>SUMIFS(Продажи!G$5:G$359,Продажи!$D$5:$D$359,Конструкторы!$B618,Продажи!$C$5:$C$359,Конструкторы!$A618)</f>
        <v>0</v>
      </c>
      <c r="K618" s="166">
        <f>SUMIFS(Продажи!H$5:H$359,Продажи!$D$5:$D$359,Конструкторы!$B618,Продажи!$C$5:$C$359,Конструкторы!$A618)</f>
        <v>0</v>
      </c>
      <c r="L618" s="166">
        <f>SUMIFS(Продажи!I$5:I$359,Продажи!$D$5:$D$359,Конструкторы!$B618,Продажи!$C$5:$C$359,Конструкторы!$A618)</f>
        <v>0</v>
      </c>
      <c r="M618" s="166">
        <f>SUMIFS(Продажи!J$5:J$359,Продажи!$D$5:$D$359,Конструкторы!$B618,Продажи!$C$5:$C$359,Конструкторы!$A618)</f>
        <v>0</v>
      </c>
      <c r="N618" s="166">
        <f>SUMIFS(Продажи!K$5:K$359,Продажи!$D$5:$D$359,Конструкторы!$B618,Продажи!$C$5:$C$359,Конструкторы!$A618)</f>
        <v>0</v>
      </c>
      <c r="O618" s="166">
        <f>SUMIFS(Продажи!L$5:L$359,Продажи!$D$5:$D$359,Конструкторы!$B618,Продажи!$C$5:$C$359,Конструкторы!$A618)</f>
        <v>0</v>
      </c>
      <c r="P618" s="166">
        <f>SUMIFS(Продажи!M$5:M$359,Продажи!$D$5:$D$359,Конструкторы!$B618,Продажи!$C$5:$C$359,Конструкторы!$A618)</f>
        <v>0</v>
      </c>
      <c r="Q618" s="166">
        <f>SUMIFS(Продажи!N$5:N$359,Продажи!$D$5:$D$359,Конструкторы!$B618,Продажи!$C$5:$C$359,Конструкторы!$A618)</f>
        <v>0</v>
      </c>
      <c r="R618" s="166">
        <f>SUMIFS(Продажи!O$5:O$359,Продажи!$D$5:$D$359,Конструкторы!$B618,Продажи!$C$5:$C$359,Конструкторы!$A618)</f>
        <v>0</v>
      </c>
      <c r="S618" s="166">
        <f>SUMIFS(Продажи!P$5:P$359,Продажи!$D$5:$D$359,Конструкторы!$B618,Продажи!$C$5:$C$359,Конструкторы!$A618)</f>
        <v>0</v>
      </c>
      <c r="T618" s="166">
        <f>SUMIFS(Продажи!Q$5:Q$359,Продажи!$D$5:$D$359,Конструкторы!$B618,Продажи!$C$5:$C$359,Конструкторы!$A618)</f>
        <v>0</v>
      </c>
    </row>
    <row r="619" spans="1:20" ht="15.75" hidden="1" x14ac:dyDescent="0.25">
      <c r="A619" s="166" t="s">
        <v>397</v>
      </c>
      <c r="B619" s="167" t="s">
        <v>121</v>
      </c>
      <c r="C619" s="33" t="s">
        <v>72</v>
      </c>
      <c r="D619" s="149"/>
      <c r="E619" s="153" t="s">
        <v>70</v>
      </c>
      <c r="F619" s="148">
        <v>2</v>
      </c>
      <c r="G619" s="156" t="s">
        <v>71</v>
      </c>
      <c r="H619" s="156">
        <f>F619</f>
        <v>2</v>
      </c>
      <c r="I619" s="166">
        <f>SUMIFS(Продажи!F$5:F$359,Продажи!$D$5:$D$359,Конструкторы!$B619,Продажи!$C$5:$C$359,Конструкторы!$A619)</f>
        <v>0</v>
      </c>
      <c r="J619" s="166">
        <f>SUMIFS(Продажи!G$5:G$359,Продажи!$D$5:$D$359,Конструкторы!$B619,Продажи!$C$5:$C$359,Конструкторы!$A619)</f>
        <v>0</v>
      </c>
      <c r="K619" s="166">
        <f>SUMIFS(Продажи!H$5:H$359,Продажи!$D$5:$D$359,Конструкторы!$B619,Продажи!$C$5:$C$359,Конструкторы!$A619)</f>
        <v>0</v>
      </c>
      <c r="L619" s="166">
        <f>SUMIFS(Продажи!I$5:I$359,Продажи!$D$5:$D$359,Конструкторы!$B619,Продажи!$C$5:$C$359,Конструкторы!$A619)</f>
        <v>0</v>
      </c>
      <c r="M619" s="166">
        <f>SUMIFS(Продажи!J$5:J$359,Продажи!$D$5:$D$359,Конструкторы!$B619,Продажи!$C$5:$C$359,Конструкторы!$A619)</f>
        <v>0</v>
      </c>
      <c r="N619" s="166">
        <f>SUMIFS(Продажи!K$5:K$359,Продажи!$D$5:$D$359,Конструкторы!$B619,Продажи!$C$5:$C$359,Конструкторы!$A619)</f>
        <v>0</v>
      </c>
      <c r="O619" s="166">
        <f>SUMIFS(Продажи!L$5:L$359,Продажи!$D$5:$D$359,Конструкторы!$B619,Продажи!$C$5:$C$359,Конструкторы!$A619)</f>
        <v>0</v>
      </c>
      <c r="P619" s="166">
        <f>SUMIFS(Продажи!M$5:M$359,Продажи!$D$5:$D$359,Конструкторы!$B619,Продажи!$C$5:$C$359,Конструкторы!$A619)</f>
        <v>0</v>
      </c>
      <c r="Q619" s="166">
        <f>SUMIFS(Продажи!N$5:N$359,Продажи!$D$5:$D$359,Конструкторы!$B619,Продажи!$C$5:$C$359,Конструкторы!$A619)</f>
        <v>0</v>
      </c>
      <c r="R619" s="166">
        <f>SUMIFS(Продажи!O$5:O$359,Продажи!$D$5:$D$359,Конструкторы!$B619,Продажи!$C$5:$C$359,Конструкторы!$A619)</f>
        <v>0</v>
      </c>
      <c r="S619" s="166">
        <f>SUMIFS(Продажи!P$5:P$359,Продажи!$D$5:$D$359,Конструкторы!$B619,Продажи!$C$5:$C$359,Конструкторы!$A619)</f>
        <v>0</v>
      </c>
      <c r="T619" s="166">
        <f>SUMIFS(Продажи!Q$5:Q$359,Продажи!$D$5:$D$359,Конструкторы!$B619,Продажи!$C$5:$C$359,Конструкторы!$A619)</f>
        <v>0</v>
      </c>
    </row>
    <row r="620" spans="1:20" ht="15.75" hidden="1" x14ac:dyDescent="0.25">
      <c r="A620" s="166" t="s">
        <v>397</v>
      </c>
      <c r="B620" s="167" t="s">
        <v>121</v>
      </c>
      <c r="C620" s="33" t="s">
        <v>76</v>
      </c>
      <c r="D620" s="149"/>
      <c r="E620" s="153" t="s">
        <v>70</v>
      </c>
      <c r="F620" s="148">
        <v>8</v>
      </c>
      <c r="G620" s="156" t="s">
        <v>71</v>
      </c>
      <c r="H620" s="156">
        <f>F620</f>
        <v>8</v>
      </c>
      <c r="I620" s="166">
        <f>SUMIFS(Продажи!F$5:F$359,Продажи!$D$5:$D$359,Конструкторы!$B620,Продажи!$C$5:$C$359,Конструкторы!$A620)</f>
        <v>0</v>
      </c>
      <c r="J620" s="166">
        <f>SUMIFS(Продажи!G$5:G$359,Продажи!$D$5:$D$359,Конструкторы!$B620,Продажи!$C$5:$C$359,Конструкторы!$A620)</f>
        <v>0</v>
      </c>
      <c r="K620" s="166">
        <f>SUMIFS(Продажи!H$5:H$359,Продажи!$D$5:$D$359,Конструкторы!$B620,Продажи!$C$5:$C$359,Конструкторы!$A620)</f>
        <v>0</v>
      </c>
      <c r="L620" s="166">
        <f>SUMIFS(Продажи!I$5:I$359,Продажи!$D$5:$D$359,Конструкторы!$B620,Продажи!$C$5:$C$359,Конструкторы!$A620)</f>
        <v>0</v>
      </c>
      <c r="M620" s="166">
        <f>SUMIFS(Продажи!J$5:J$359,Продажи!$D$5:$D$359,Конструкторы!$B620,Продажи!$C$5:$C$359,Конструкторы!$A620)</f>
        <v>0</v>
      </c>
      <c r="N620" s="166">
        <f>SUMIFS(Продажи!K$5:K$359,Продажи!$D$5:$D$359,Конструкторы!$B620,Продажи!$C$5:$C$359,Конструкторы!$A620)</f>
        <v>0</v>
      </c>
      <c r="O620" s="166">
        <f>SUMIFS(Продажи!L$5:L$359,Продажи!$D$5:$D$359,Конструкторы!$B620,Продажи!$C$5:$C$359,Конструкторы!$A620)</f>
        <v>0</v>
      </c>
      <c r="P620" s="166">
        <f>SUMIFS(Продажи!M$5:M$359,Продажи!$D$5:$D$359,Конструкторы!$B620,Продажи!$C$5:$C$359,Конструкторы!$A620)</f>
        <v>0</v>
      </c>
      <c r="Q620" s="166">
        <f>SUMIFS(Продажи!N$5:N$359,Продажи!$D$5:$D$359,Конструкторы!$B620,Продажи!$C$5:$C$359,Конструкторы!$A620)</f>
        <v>0</v>
      </c>
      <c r="R620" s="166">
        <f>SUMIFS(Продажи!O$5:O$359,Продажи!$D$5:$D$359,Конструкторы!$B620,Продажи!$C$5:$C$359,Конструкторы!$A620)</f>
        <v>0</v>
      </c>
      <c r="S620" s="166">
        <f>SUMIFS(Продажи!P$5:P$359,Продажи!$D$5:$D$359,Конструкторы!$B620,Продажи!$C$5:$C$359,Конструкторы!$A620)</f>
        <v>0</v>
      </c>
      <c r="T620" s="166">
        <f>SUMIFS(Продажи!Q$5:Q$359,Продажи!$D$5:$D$359,Конструкторы!$B620,Продажи!$C$5:$C$359,Конструкторы!$A620)</f>
        <v>0</v>
      </c>
    </row>
    <row r="621" spans="1:20" ht="15.75" hidden="1" x14ac:dyDescent="0.25">
      <c r="A621" s="166" t="s">
        <v>397</v>
      </c>
      <c r="B621" s="167" t="s">
        <v>122</v>
      </c>
      <c r="C621" s="129" t="s">
        <v>61</v>
      </c>
      <c r="D621" s="149"/>
      <c r="E621" s="153" t="s">
        <v>68</v>
      </c>
      <c r="F621" s="156">
        <f>(1*103)/100</f>
        <v>1.03</v>
      </c>
      <c r="G621" s="156">
        <v>3.0000000000000027E-2</v>
      </c>
      <c r="H621" s="156">
        <f>F621+G621</f>
        <v>1.06</v>
      </c>
      <c r="I621" s="166">
        <f>SUMIFS(Продажи!F$5:F$359,Продажи!$D$5:$D$359,Конструкторы!$B621,Продажи!$C$5:$C$359,Конструкторы!$A621)</f>
        <v>0</v>
      </c>
      <c r="J621" s="166">
        <f>SUMIFS(Продажи!G$5:G$359,Продажи!$D$5:$D$359,Конструкторы!$B621,Продажи!$C$5:$C$359,Конструкторы!$A621)</f>
        <v>0</v>
      </c>
      <c r="K621" s="166">
        <f>SUMIFS(Продажи!H$5:H$359,Продажи!$D$5:$D$359,Конструкторы!$B621,Продажи!$C$5:$C$359,Конструкторы!$A621)</f>
        <v>0</v>
      </c>
      <c r="L621" s="166">
        <f>SUMIFS(Продажи!I$5:I$359,Продажи!$D$5:$D$359,Конструкторы!$B621,Продажи!$C$5:$C$359,Конструкторы!$A621)</f>
        <v>0</v>
      </c>
      <c r="M621" s="166">
        <f>SUMIFS(Продажи!J$5:J$359,Продажи!$D$5:$D$359,Конструкторы!$B621,Продажи!$C$5:$C$359,Конструкторы!$A621)</f>
        <v>0</v>
      </c>
      <c r="N621" s="166">
        <f>SUMIFS(Продажи!K$5:K$359,Продажи!$D$5:$D$359,Конструкторы!$B621,Продажи!$C$5:$C$359,Конструкторы!$A621)</f>
        <v>0</v>
      </c>
      <c r="O621" s="166">
        <f>SUMIFS(Продажи!L$5:L$359,Продажи!$D$5:$D$359,Конструкторы!$B621,Продажи!$C$5:$C$359,Конструкторы!$A621)</f>
        <v>0</v>
      </c>
      <c r="P621" s="166">
        <f>SUMIFS(Продажи!M$5:M$359,Продажи!$D$5:$D$359,Конструкторы!$B621,Продажи!$C$5:$C$359,Конструкторы!$A621)</f>
        <v>0</v>
      </c>
      <c r="Q621" s="166">
        <f>SUMIFS(Продажи!N$5:N$359,Продажи!$D$5:$D$359,Конструкторы!$B621,Продажи!$C$5:$C$359,Конструкторы!$A621)</f>
        <v>0</v>
      </c>
      <c r="R621" s="166">
        <f>SUMIFS(Продажи!O$5:O$359,Продажи!$D$5:$D$359,Конструкторы!$B621,Продажи!$C$5:$C$359,Конструкторы!$A621)</f>
        <v>0</v>
      </c>
      <c r="S621" s="166">
        <f>SUMIFS(Продажи!P$5:P$359,Продажи!$D$5:$D$359,Конструкторы!$B621,Продажи!$C$5:$C$359,Конструкторы!$A621)</f>
        <v>0</v>
      </c>
      <c r="T621" s="166">
        <f>SUMIFS(Продажи!Q$5:Q$359,Продажи!$D$5:$D$359,Конструкторы!$B621,Продажи!$C$5:$C$359,Конструкторы!$A621)</f>
        <v>0</v>
      </c>
    </row>
    <row r="622" spans="1:20" ht="15.75" hidden="1" x14ac:dyDescent="0.25">
      <c r="A622" s="166" t="s">
        <v>397</v>
      </c>
      <c r="B622" s="167" t="s">
        <v>122</v>
      </c>
      <c r="C622" s="129" t="s">
        <v>63</v>
      </c>
      <c r="D622" s="149"/>
      <c r="E622" s="153" t="s">
        <v>68</v>
      </c>
      <c r="F622" s="156">
        <f>(0.29*103)/100</f>
        <v>0.29869999999999997</v>
      </c>
      <c r="G622" s="156">
        <v>8.6999999999999855E-3</v>
      </c>
      <c r="H622" s="156">
        <f>F622+G622</f>
        <v>0.30739999999999995</v>
      </c>
      <c r="I622" s="166">
        <f>SUMIFS(Продажи!F$5:F$359,Продажи!$D$5:$D$359,Конструкторы!$B622,Продажи!$C$5:$C$359,Конструкторы!$A622)</f>
        <v>0</v>
      </c>
      <c r="J622" s="166">
        <f>SUMIFS(Продажи!G$5:G$359,Продажи!$D$5:$D$359,Конструкторы!$B622,Продажи!$C$5:$C$359,Конструкторы!$A622)</f>
        <v>0</v>
      </c>
      <c r="K622" s="166">
        <f>SUMIFS(Продажи!H$5:H$359,Продажи!$D$5:$D$359,Конструкторы!$B622,Продажи!$C$5:$C$359,Конструкторы!$A622)</f>
        <v>0</v>
      </c>
      <c r="L622" s="166">
        <f>SUMIFS(Продажи!I$5:I$359,Продажи!$D$5:$D$359,Конструкторы!$B622,Продажи!$C$5:$C$359,Конструкторы!$A622)</f>
        <v>0</v>
      </c>
      <c r="M622" s="166">
        <f>SUMIFS(Продажи!J$5:J$359,Продажи!$D$5:$D$359,Конструкторы!$B622,Продажи!$C$5:$C$359,Конструкторы!$A622)</f>
        <v>0</v>
      </c>
      <c r="N622" s="166">
        <f>SUMIFS(Продажи!K$5:K$359,Продажи!$D$5:$D$359,Конструкторы!$B622,Продажи!$C$5:$C$359,Конструкторы!$A622)</f>
        <v>0</v>
      </c>
      <c r="O622" s="166">
        <f>SUMIFS(Продажи!L$5:L$359,Продажи!$D$5:$D$359,Конструкторы!$B622,Продажи!$C$5:$C$359,Конструкторы!$A622)</f>
        <v>0</v>
      </c>
      <c r="P622" s="166">
        <f>SUMIFS(Продажи!M$5:M$359,Продажи!$D$5:$D$359,Конструкторы!$B622,Продажи!$C$5:$C$359,Конструкторы!$A622)</f>
        <v>0</v>
      </c>
      <c r="Q622" s="166">
        <f>SUMIFS(Продажи!N$5:N$359,Продажи!$D$5:$D$359,Конструкторы!$B622,Продажи!$C$5:$C$359,Конструкторы!$A622)</f>
        <v>0</v>
      </c>
      <c r="R622" s="166">
        <f>SUMIFS(Продажи!O$5:O$359,Продажи!$D$5:$D$359,Конструкторы!$B622,Продажи!$C$5:$C$359,Конструкторы!$A622)</f>
        <v>0</v>
      </c>
      <c r="S622" s="166">
        <f>SUMIFS(Продажи!P$5:P$359,Продажи!$D$5:$D$359,Конструкторы!$B622,Продажи!$C$5:$C$359,Конструкторы!$A622)</f>
        <v>0</v>
      </c>
      <c r="T622" s="166">
        <f>SUMIFS(Продажи!Q$5:Q$359,Продажи!$D$5:$D$359,Конструкторы!$B622,Продажи!$C$5:$C$359,Конструкторы!$A622)</f>
        <v>0</v>
      </c>
    </row>
    <row r="623" spans="1:20" ht="15.75" hidden="1" x14ac:dyDescent="0.25">
      <c r="A623" s="166" t="s">
        <v>397</v>
      </c>
      <c r="B623" s="167" t="s">
        <v>122</v>
      </c>
      <c r="C623" s="129" t="s">
        <v>60</v>
      </c>
      <c r="D623" s="149"/>
      <c r="E623" s="153"/>
      <c r="F623" s="156">
        <f>(0.288*103)/100</f>
        <v>0.29663999999999996</v>
      </c>
      <c r="G623" s="156">
        <v>8.639999999999981E-3</v>
      </c>
      <c r="H623" s="156">
        <f>F623+G623</f>
        <v>0.30527999999999994</v>
      </c>
      <c r="I623" s="166">
        <f>SUMIFS(Продажи!F$5:F$359,Продажи!$D$5:$D$359,Конструкторы!$B623,Продажи!$C$5:$C$359,Конструкторы!$A623)</f>
        <v>0</v>
      </c>
      <c r="J623" s="166">
        <f>SUMIFS(Продажи!G$5:G$359,Продажи!$D$5:$D$359,Конструкторы!$B623,Продажи!$C$5:$C$359,Конструкторы!$A623)</f>
        <v>0</v>
      </c>
      <c r="K623" s="166">
        <f>SUMIFS(Продажи!H$5:H$359,Продажи!$D$5:$D$359,Конструкторы!$B623,Продажи!$C$5:$C$359,Конструкторы!$A623)</f>
        <v>0</v>
      </c>
      <c r="L623" s="166">
        <f>SUMIFS(Продажи!I$5:I$359,Продажи!$D$5:$D$359,Конструкторы!$B623,Продажи!$C$5:$C$359,Конструкторы!$A623)</f>
        <v>0</v>
      </c>
      <c r="M623" s="166">
        <f>SUMIFS(Продажи!J$5:J$359,Продажи!$D$5:$D$359,Конструкторы!$B623,Продажи!$C$5:$C$359,Конструкторы!$A623)</f>
        <v>0</v>
      </c>
      <c r="N623" s="166">
        <f>SUMIFS(Продажи!K$5:K$359,Продажи!$D$5:$D$359,Конструкторы!$B623,Продажи!$C$5:$C$359,Конструкторы!$A623)</f>
        <v>0</v>
      </c>
      <c r="O623" s="166">
        <f>SUMIFS(Продажи!L$5:L$359,Продажи!$D$5:$D$359,Конструкторы!$B623,Продажи!$C$5:$C$359,Конструкторы!$A623)</f>
        <v>0</v>
      </c>
      <c r="P623" s="166">
        <f>SUMIFS(Продажи!M$5:M$359,Продажи!$D$5:$D$359,Конструкторы!$B623,Продажи!$C$5:$C$359,Конструкторы!$A623)</f>
        <v>0</v>
      </c>
      <c r="Q623" s="166">
        <f>SUMIFS(Продажи!N$5:N$359,Продажи!$D$5:$D$359,Конструкторы!$B623,Продажи!$C$5:$C$359,Конструкторы!$A623)</f>
        <v>0</v>
      </c>
      <c r="R623" s="166">
        <f>SUMIFS(Продажи!O$5:O$359,Продажи!$D$5:$D$359,Конструкторы!$B623,Продажи!$C$5:$C$359,Конструкторы!$A623)</f>
        <v>0</v>
      </c>
      <c r="S623" s="166">
        <f>SUMIFS(Продажи!P$5:P$359,Продажи!$D$5:$D$359,Конструкторы!$B623,Продажи!$C$5:$C$359,Конструкторы!$A623)</f>
        <v>0</v>
      </c>
      <c r="T623" s="166">
        <f>SUMIFS(Продажи!Q$5:Q$359,Продажи!$D$5:$D$359,Конструкторы!$B623,Продажи!$C$5:$C$359,Конструкторы!$A623)</f>
        <v>0</v>
      </c>
    </row>
    <row r="624" spans="1:20" ht="15.75" hidden="1" x14ac:dyDescent="0.25">
      <c r="A624" s="166" t="s">
        <v>397</v>
      </c>
      <c r="B624" s="167" t="s">
        <v>122</v>
      </c>
      <c r="C624" s="33" t="s">
        <v>72</v>
      </c>
      <c r="D624" s="149"/>
      <c r="E624" s="153" t="s">
        <v>70</v>
      </c>
      <c r="F624" s="148">
        <v>2</v>
      </c>
      <c r="G624" s="156" t="s">
        <v>71</v>
      </c>
      <c r="H624" s="156">
        <f>F624</f>
        <v>2</v>
      </c>
      <c r="I624" s="166">
        <f>SUMIFS(Продажи!F$5:F$359,Продажи!$D$5:$D$359,Конструкторы!$B624,Продажи!$C$5:$C$359,Конструкторы!$A624)</f>
        <v>0</v>
      </c>
      <c r="J624" s="166">
        <f>SUMIFS(Продажи!G$5:G$359,Продажи!$D$5:$D$359,Конструкторы!$B624,Продажи!$C$5:$C$359,Конструкторы!$A624)</f>
        <v>0</v>
      </c>
      <c r="K624" s="166">
        <f>SUMIFS(Продажи!H$5:H$359,Продажи!$D$5:$D$359,Конструкторы!$B624,Продажи!$C$5:$C$359,Конструкторы!$A624)</f>
        <v>0</v>
      </c>
      <c r="L624" s="166">
        <f>SUMIFS(Продажи!I$5:I$359,Продажи!$D$5:$D$359,Конструкторы!$B624,Продажи!$C$5:$C$359,Конструкторы!$A624)</f>
        <v>0</v>
      </c>
      <c r="M624" s="166">
        <f>SUMIFS(Продажи!J$5:J$359,Продажи!$D$5:$D$359,Конструкторы!$B624,Продажи!$C$5:$C$359,Конструкторы!$A624)</f>
        <v>0</v>
      </c>
      <c r="N624" s="166">
        <f>SUMIFS(Продажи!K$5:K$359,Продажи!$D$5:$D$359,Конструкторы!$B624,Продажи!$C$5:$C$359,Конструкторы!$A624)</f>
        <v>0</v>
      </c>
      <c r="O624" s="166">
        <f>SUMIFS(Продажи!L$5:L$359,Продажи!$D$5:$D$359,Конструкторы!$B624,Продажи!$C$5:$C$359,Конструкторы!$A624)</f>
        <v>0</v>
      </c>
      <c r="P624" s="166">
        <f>SUMIFS(Продажи!M$5:M$359,Продажи!$D$5:$D$359,Конструкторы!$B624,Продажи!$C$5:$C$359,Конструкторы!$A624)</f>
        <v>0</v>
      </c>
      <c r="Q624" s="166">
        <f>SUMIFS(Продажи!N$5:N$359,Продажи!$D$5:$D$359,Конструкторы!$B624,Продажи!$C$5:$C$359,Конструкторы!$A624)</f>
        <v>0</v>
      </c>
      <c r="R624" s="166">
        <f>SUMIFS(Продажи!O$5:O$359,Продажи!$D$5:$D$359,Конструкторы!$B624,Продажи!$C$5:$C$359,Конструкторы!$A624)</f>
        <v>0</v>
      </c>
      <c r="S624" s="166">
        <f>SUMIFS(Продажи!P$5:P$359,Продажи!$D$5:$D$359,Конструкторы!$B624,Продажи!$C$5:$C$359,Конструкторы!$A624)</f>
        <v>0</v>
      </c>
      <c r="T624" s="166">
        <f>SUMIFS(Продажи!Q$5:Q$359,Продажи!$D$5:$D$359,Конструкторы!$B624,Продажи!$C$5:$C$359,Конструкторы!$A624)</f>
        <v>0</v>
      </c>
    </row>
    <row r="625" spans="1:20" ht="15.75" hidden="1" x14ac:dyDescent="0.25">
      <c r="A625" s="166" t="s">
        <v>397</v>
      </c>
      <c r="B625" s="167" t="s">
        <v>122</v>
      </c>
      <c r="C625" s="33" t="s">
        <v>76</v>
      </c>
      <c r="D625" s="149"/>
      <c r="E625" s="153" t="s">
        <v>70</v>
      </c>
      <c r="F625" s="148">
        <v>8</v>
      </c>
      <c r="G625" s="156" t="s">
        <v>71</v>
      </c>
      <c r="H625" s="156">
        <f>F625</f>
        <v>8</v>
      </c>
      <c r="I625" s="166">
        <f>SUMIFS(Продажи!F$5:F$359,Продажи!$D$5:$D$359,Конструкторы!$B625,Продажи!$C$5:$C$359,Конструкторы!$A625)</f>
        <v>0</v>
      </c>
      <c r="J625" s="166">
        <f>SUMIFS(Продажи!G$5:G$359,Продажи!$D$5:$D$359,Конструкторы!$B625,Продажи!$C$5:$C$359,Конструкторы!$A625)</f>
        <v>0</v>
      </c>
      <c r="K625" s="166">
        <f>SUMIFS(Продажи!H$5:H$359,Продажи!$D$5:$D$359,Конструкторы!$B625,Продажи!$C$5:$C$359,Конструкторы!$A625)</f>
        <v>0</v>
      </c>
      <c r="L625" s="166">
        <f>SUMIFS(Продажи!I$5:I$359,Продажи!$D$5:$D$359,Конструкторы!$B625,Продажи!$C$5:$C$359,Конструкторы!$A625)</f>
        <v>0</v>
      </c>
      <c r="M625" s="166">
        <f>SUMIFS(Продажи!J$5:J$359,Продажи!$D$5:$D$359,Конструкторы!$B625,Продажи!$C$5:$C$359,Конструкторы!$A625)</f>
        <v>0</v>
      </c>
      <c r="N625" s="166">
        <f>SUMIFS(Продажи!K$5:K$359,Продажи!$D$5:$D$359,Конструкторы!$B625,Продажи!$C$5:$C$359,Конструкторы!$A625)</f>
        <v>0</v>
      </c>
      <c r="O625" s="166">
        <f>SUMIFS(Продажи!L$5:L$359,Продажи!$D$5:$D$359,Конструкторы!$B625,Продажи!$C$5:$C$359,Конструкторы!$A625)</f>
        <v>0</v>
      </c>
      <c r="P625" s="166">
        <f>SUMIFS(Продажи!M$5:M$359,Продажи!$D$5:$D$359,Конструкторы!$B625,Продажи!$C$5:$C$359,Конструкторы!$A625)</f>
        <v>0</v>
      </c>
      <c r="Q625" s="166">
        <f>SUMIFS(Продажи!N$5:N$359,Продажи!$D$5:$D$359,Конструкторы!$B625,Продажи!$C$5:$C$359,Конструкторы!$A625)</f>
        <v>0</v>
      </c>
      <c r="R625" s="166">
        <f>SUMIFS(Продажи!O$5:O$359,Продажи!$D$5:$D$359,Конструкторы!$B625,Продажи!$C$5:$C$359,Конструкторы!$A625)</f>
        <v>0</v>
      </c>
      <c r="S625" s="166">
        <f>SUMIFS(Продажи!P$5:P$359,Продажи!$D$5:$D$359,Конструкторы!$B625,Продажи!$C$5:$C$359,Конструкторы!$A625)</f>
        <v>0</v>
      </c>
      <c r="T625" s="166">
        <f>SUMIFS(Продажи!Q$5:Q$359,Продажи!$D$5:$D$359,Конструкторы!$B625,Продажи!$C$5:$C$359,Конструкторы!$A625)</f>
        <v>0</v>
      </c>
    </row>
    <row r="626" spans="1:20" ht="15.75" hidden="1" x14ac:dyDescent="0.25">
      <c r="A626" s="166" t="s">
        <v>397</v>
      </c>
      <c r="B626" s="167" t="s">
        <v>123</v>
      </c>
      <c r="C626" s="129" t="s">
        <v>62</v>
      </c>
      <c r="D626" s="149"/>
      <c r="E626" s="153" t="s">
        <v>68</v>
      </c>
      <c r="F626" s="156">
        <f>(1*103)/100</f>
        <v>1.03</v>
      </c>
      <c r="G626" s="156">
        <v>3.0000000000000027E-2</v>
      </c>
      <c r="H626" s="156">
        <f>F626+G626</f>
        <v>1.06</v>
      </c>
      <c r="I626" s="166">
        <f>SUMIFS(Продажи!F$5:F$359,Продажи!$D$5:$D$359,Конструкторы!$B626,Продажи!$C$5:$C$359,Конструкторы!$A626)</f>
        <v>0</v>
      </c>
      <c r="J626" s="166">
        <f>SUMIFS(Продажи!G$5:G$359,Продажи!$D$5:$D$359,Конструкторы!$B626,Продажи!$C$5:$C$359,Конструкторы!$A626)</f>
        <v>0</v>
      </c>
      <c r="K626" s="166">
        <f>SUMIFS(Продажи!H$5:H$359,Продажи!$D$5:$D$359,Конструкторы!$B626,Продажи!$C$5:$C$359,Конструкторы!$A626)</f>
        <v>0</v>
      </c>
      <c r="L626" s="166">
        <f>SUMIFS(Продажи!I$5:I$359,Продажи!$D$5:$D$359,Конструкторы!$B626,Продажи!$C$5:$C$359,Конструкторы!$A626)</f>
        <v>0</v>
      </c>
      <c r="M626" s="166">
        <f>SUMIFS(Продажи!J$5:J$359,Продажи!$D$5:$D$359,Конструкторы!$B626,Продажи!$C$5:$C$359,Конструкторы!$A626)</f>
        <v>0</v>
      </c>
      <c r="N626" s="166">
        <f>SUMIFS(Продажи!K$5:K$359,Продажи!$D$5:$D$359,Конструкторы!$B626,Продажи!$C$5:$C$359,Конструкторы!$A626)</f>
        <v>0</v>
      </c>
      <c r="O626" s="166">
        <f>SUMIFS(Продажи!L$5:L$359,Продажи!$D$5:$D$359,Конструкторы!$B626,Продажи!$C$5:$C$359,Конструкторы!$A626)</f>
        <v>0</v>
      </c>
      <c r="P626" s="166">
        <f>SUMIFS(Продажи!M$5:M$359,Продажи!$D$5:$D$359,Конструкторы!$B626,Продажи!$C$5:$C$359,Конструкторы!$A626)</f>
        <v>0</v>
      </c>
      <c r="Q626" s="166">
        <f>SUMIFS(Продажи!N$5:N$359,Продажи!$D$5:$D$359,Конструкторы!$B626,Продажи!$C$5:$C$359,Конструкторы!$A626)</f>
        <v>0</v>
      </c>
      <c r="R626" s="166">
        <f>SUMIFS(Продажи!O$5:O$359,Продажи!$D$5:$D$359,Конструкторы!$B626,Продажи!$C$5:$C$359,Конструкторы!$A626)</f>
        <v>0</v>
      </c>
      <c r="S626" s="166">
        <f>SUMIFS(Продажи!P$5:P$359,Продажи!$D$5:$D$359,Конструкторы!$B626,Продажи!$C$5:$C$359,Конструкторы!$A626)</f>
        <v>0</v>
      </c>
      <c r="T626" s="166">
        <f>SUMIFS(Продажи!Q$5:Q$359,Продажи!$D$5:$D$359,Конструкторы!$B626,Продажи!$C$5:$C$359,Конструкторы!$A626)</f>
        <v>0</v>
      </c>
    </row>
    <row r="627" spans="1:20" ht="15.75" hidden="1" x14ac:dyDescent="0.25">
      <c r="A627" s="166" t="s">
        <v>397</v>
      </c>
      <c r="B627" s="167" t="s">
        <v>123</v>
      </c>
      <c r="C627" s="129" t="s">
        <v>63</v>
      </c>
      <c r="D627" s="149"/>
      <c r="E627" s="153" t="s">
        <v>68</v>
      </c>
      <c r="F627" s="156">
        <f>(0.29*103)/100</f>
        <v>0.29869999999999997</v>
      </c>
      <c r="G627" s="156">
        <v>8.6999999999999855E-3</v>
      </c>
      <c r="H627" s="156">
        <f>F627+G627</f>
        <v>0.30739999999999995</v>
      </c>
      <c r="I627" s="166">
        <f>SUMIFS(Продажи!F$5:F$359,Продажи!$D$5:$D$359,Конструкторы!$B627,Продажи!$C$5:$C$359,Конструкторы!$A627)</f>
        <v>0</v>
      </c>
      <c r="J627" s="166">
        <f>SUMIFS(Продажи!G$5:G$359,Продажи!$D$5:$D$359,Конструкторы!$B627,Продажи!$C$5:$C$359,Конструкторы!$A627)</f>
        <v>0</v>
      </c>
      <c r="K627" s="166">
        <f>SUMIFS(Продажи!H$5:H$359,Продажи!$D$5:$D$359,Конструкторы!$B627,Продажи!$C$5:$C$359,Конструкторы!$A627)</f>
        <v>0</v>
      </c>
      <c r="L627" s="166">
        <f>SUMIFS(Продажи!I$5:I$359,Продажи!$D$5:$D$359,Конструкторы!$B627,Продажи!$C$5:$C$359,Конструкторы!$A627)</f>
        <v>0</v>
      </c>
      <c r="M627" s="166">
        <f>SUMIFS(Продажи!J$5:J$359,Продажи!$D$5:$D$359,Конструкторы!$B627,Продажи!$C$5:$C$359,Конструкторы!$A627)</f>
        <v>0</v>
      </c>
      <c r="N627" s="166">
        <f>SUMIFS(Продажи!K$5:K$359,Продажи!$D$5:$D$359,Конструкторы!$B627,Продажи!$C$5:$C$359,Конструкторы!$A627)</f>
        <v>0</v>
      </c>
      <c r="O627" s="166">
        <f>SUMIFS(Продажи!L$5:L$359,Продажи!$D$5:$D$359,Конструкторы!$B627,Продажи!$C$5:$C$359,Конструкторы!$A627)</f>
        <v>0</v>
      </c>
      <c r="P627" s="166">
        <f>SUMIFS(Продажи!M$5:M$359,Продажи!$D$5:$D$359,Конструкторы!$B627,Продажи!$C$5:$C$359,Конструкторы!$A627)</f>
        <v>0</v>
      </c>
      <c r="Q627" s="166">
        <f>SUMIFS(Продажи!N$5:N$359,Продажи!$D$5:$D$359,Конструкторы!$B627,Продажи!$C$5:$C$359,Конструкторы!$A627)</f>
        <v>0</v>
      </c>
      <c r="R627" s="166">
        <f>SUMIFS(Продажи!O$5:O$359,Продажи!$D$5:$D$359,Конструкторы!$B627,Продажи!$C$5:$C$359,Конструкторы!$A627)</f>
        <v>0</v>
      </c>
      <c r="S627" s="166">
        <f>SUMIFS(Продажи!P$5:P$359,Продажи!$D$5:$D$359,Конструкторы!$B627,Продажи!$C$5:$C$359,Конструкторы!$A627)</f>
        <v>0</v>
      </c>
      <c r="T627" s="166">
        <f>SUMIFS(Продажи!Q$5:Q$359,Продажи!$D$5:$D$359,Конструкторы!$B627,Продажи!$C$5:$C$359,Конструкторы!$A627)</f>
        <v>0</v>
      </c>
    </row>
    <row r="628" spans="1:20" ht="15.75" hidden="1" x14ac:dyDescent="0.25">
      <c r="A628" s="166" t="s">
        <v>397</v>
      </c>
      <c r="B628" s="167" t="s">
        <v>123</v>
      </c>
      <c r="C628" s="129" t="s">
        <v>60</v>
      </c>
      <c r="D628" s="149"/>
      <c r="E628" s="153"/>
      <c r="F628" s="156">
        <f>(0.288*103)/100</f>
        <v>0.29663999999999996</v>
      </c>
      <c r="G628" s="156">
        <v>8.639999999999981E-3</v>
      </c>
      <c r="H628" s="156">
        <f>F628+G628</f>
        <v>0.30527999999999994</v>
      </c>
      <c r="I628" s="166">
        <f>SUMIFS(Продажи!F$5:F$359,Продажи!$D$5:$D$359,Конструкторы!$B628,Продажи!$C$5:$C$359,Конструкторы!$A628)</f>
        <v>0</v>
      </c>
      <c r="J628" s="166">
        <f>SUMIFS(Продажи!G$5:G$359,Продажи!$D$5:$D$359,Конструкторы!$B628,Продажи!$C$5:$C$359,Конструкторы!$A628)</f>
        <v>0</v>
      </c>
      <c r="K628" s="166">
        <f>SUMIFS(Продажи!H$5:H$359,Продажи!$D$5:$D$359,Конструкторы!$B628,Продажи!$C$5:$C$359,Конструкторы!$A628)</f>
        <v>0</v>
      </c>
      <c r="L628" s="166">
        <f>SUMIFS(Продажи!I$5:I$359,Продажи!$D$5:$D$359,Конструкторы!$B628,Продажи!$C$5:$C$359,Конструкторы!$A628)</f>
        <v>0</v>
      </c>
      <c r="M628" s="166">
        <f>SUMIFS(Продажи!J$5:J$359,Продажи!$D$5:$D$359,Конструкторы!$B628,Продажи!$C$5:$C$359,Конструкторы!$A628)</f>
        <v>0</v>
      </c>
      <c r="N628" s="166">
        <f>SUMIFS(Продажи!K$5:K$359,Продажи!$D$5:$D$359,Конструкторы!$B628,Продажи!$C$5:$C$359,Конструкторы!$A628)</f>
        <v>0</v>
      </c>
      <c r="O628" s="166">
        <f>SUMIFS(Продажи!L$5:L$359,Продажи!$D$5:$D$359,Конструкторы!$B628,Продажи!$C$5:$C$359,Конструкторы!$A628)</f>
        <v>0</v>
      </c>
      <c r="P628" s="166">
        <f>SUMIFS(Продажи!M$5:M$359,Продажи!$D$5:$D$359,Конструкторы!$B628,Продажи!$C$5:$C$359,Конструкторы!$A628)</f>
        <v>0</v>
      </c>
      <c r="Q628" s="166">
        <f>SUMIFS(Продажи!N$5:N$359,Продажи!$D$5:$D$359,Конструкторы!$B628,Продажи!$C$5:$C$359,Конструкторы!$A628)</f>
        <v>0</v>
      </c>
      <c r="R628" s="166">
        <f>SUMIFS(Продажи!O$5:O$359,Продажи!$D$5:$D$359,Конструкторы!$B628,Продажи!$C$5:$C$359,Конструкторы!$A628)</f>
        <v>0</v>
      </c>
      <c r="S628" s="166">
        <f>SUMIFS(Продажи!P$5:P$359,Продажи!$D$5:$D$359,Конструкторы!$B628,Продажи!$C$5:$C$359,Конструкторы!$A628)</f>
        <v>0</v>
      </c>
      <c r="T628" s="166">
        <f>SUMIFS(Продажи!Q$5:Q$359,Продажи!$D$5:$D$359,Конструкторы!$B628,Продажи!$C$5:$C$359,Конструкторы!$A628)</f>
        <v>0</v>
      </c>
    </row>
    <row r="629" spans="1:20" ht="15.75" hidden="1" x14ac:dyDescent="0.25">
      <c r="A629" s="166" t="s">
        <v>397</v>
      </c>
      <c r="B629" s="167" t="s">
        <v>123</v>
      </c>
      <c r="C629" s="33" t="s">
        <v>72</v>
      </c>
      <c r="D629" s="149"/>
      <c r="E629" s="153" t="s">
        <v>70</v>
      </c>
      <c r="F629" s="148">
        <v>2</v>
      </c>
      <c r="G629" s="156" t="s">
        <v>71</v>
      </c>
      <c r="H629" s="156">
        <f>F629</f>
        <v>2</v>
      </c>
      <c r="I629" s="166">
        <f>SUMIFS(Продажи!F$5:F$359,Продажи!$D$5:$D$359,Конструкторы!$B629,Продажи!$C$5:$C$359,Конструкторы!$A629)</f>
        <v>0</v>
      </c>
      <c r="J629" s="166">
        <f>SUMIFS(Продажи!G$5:G$359,Продажи!$D$5:$D$359,Конструкторы!$B629,Продажи!$C$5:$C$359,Конструкторы!$A629)</f>
        <v>0</v>
      </c>
      <c r="K629" s="166">
        <f>SUMIFS(Продажи!H$5:H$359,Продажи!$D$5:$D$359,Конструкторы!$B629,Продажи!$C$5:$C$359,Конструкторы!$A629)</f>
        <v>0</v>
      </c>
      <c r="L629" s="166">
        <f>SUMIFS(Продажи!I$5:I$359,Продажи!$D$5:$D$359,Конструкторы!$B629,Продажи!$C$5:$C$359,Конструкторы!$A629)</f>
        <v>0</v>
      </c>
      <c r="M629" s="166">
        <f>SUMIFS(Продажи!J$5:J$359,Продажи!$D$5:$D$359,Конструкторы!$B629,Продажи!$C$5:$C$359,Конструкторы!$A629)</f>
        <v>0</v>
      </c>
      <c r="N629" s="166">
        <f>SUMIFS(Продажи!K$5:K$359,Продажи!$D$5:$D$359,Конструкторы!$B629,Продажи!$C$5:$C$359,Конструкторы!$A629)</f>
        <v>0</v>
      </c>
      <c r="O629" s="166">
        <f>SUMIFS(Продажи!L$5:L$359,Продажи!$D$5:$D$359,Конструкторы!$B629,Продажи!$C$5:$C$359,Конструкторы!$A629)</f>
        <v>0</v>
      </c>
      <c r="P629" s="166">
        <f>SUMIFS(Продажи!M$5:M$359,Продажи!$D$5:$D$359,Конструкторы!$B629,Продажи!$C$5:$C$359,Конструкторы!$A629)</f>
        <v>0</v>
      </c>
      <c r="Q629" s="166">
        <f>SUMIFS(Продажи!N$5:N$359,Продажи!$D$5:$D$359,Конструкторы!$B629,Продажи!$C$5:$C$359,Конструкторы!$A629)</f>
        <v>0</v>
      </c>
      <c r="R629" s="166">
        <f>SUMIFS(Продажи!O$5:O$359,Продажи!$D$5:$D$359,Конструкторы!$B629,Продажи!$C$5:$C$359,Конструкторы!$A629)</f>
        <v>0</v>
      </c>
      <c r="S629" s="166">
        <f>SUMIFS(Продажи!P$5:P$359,Продажи!$D$5:$D$359,Конструкторы!$B629,Продажи!$C$5:$C$359,Конструкторы!$A629)</f>
        <v>0</v>
      </c>
      <c r="T629" s="166">
        <f>SUMIFS(Продажи!Q$5:Q$359,Продажи!$D$5:$D$359,Конструкторы!$B629,Продажи!$C$5:$C$359,Конструкторы!$A629)</f>
        <v>0</v>
      </c>
    </row>
    <row r="630" spans="1:20" ht="15.75" hidden="1" x14ac:dyDescent="0.25">
      <c r="A630" s="166" t="s">
        <v>397</v>
      </c>
      <c r="B630" s="167" t="s">
        <v>123</v>
      </c>
      <c r="C630" s="33" t="s">
        <v>76</v>
      </c>
      <c r="D630" s="149"/>
      <c r="E630" s="153" t="s">
        <v>70</v>
      </c>
      <c r="F630" s="148">
        <v>8</v>
      </c>
      <c r="G630" s="156" t="s">
        <v>71</v>
      </c>
      <c r="H630" s="156">
        <f>F630</f>
        <v>8</v>
      </c>
      <c r="I630" s="166">
        <f>SUMIFS(Продажи!F$5:F$359,Продажи!$D$5:$D$359,Конструкторы!$B630,Продажи!$C$5:$C$359,Конструкторы!$A630)</f>
        <v>0</v>
      </c>
      <c r="J630" s="166">
        <f>SUMIFS(Продажи!G$5:G$359,Продажи!$D$5:$D$359,Конструкторы!$B630,Продажи!$C$5:$C$359,Конструкторы!$A630)</f>
        <v>0</v>
      </c>
      <c r="K630" s="166">
        <f>SUMIFS(Продажи!H$5:H$359,Продажи!$D$5:$D$359,Конструкторы!$B630,Продажи!$C$5:$C$359,Конструкторы!$A630)</f>
        <v>0</v>
      </c>
      <c r="L630" s="166">
        <f>SUMIFS(Продажи!I$5:I$359,Продажи!$D$5:$D$359,Конструкторы!$B630,Продажи!$C$5:$C$359,Конструкторы!$A630)</f>
        <v>0</v>
      </c>
      <c r="M630" s="166">
        <f>SUMIFS(Продажи!J$5:J$359,Продажи!$D$5:$D$359,Конструкторы!$B630,Продажи!$C$5:$C$359,Конструкторы!$A630)</f>
        <v>0</v>
      </c>
      <c r="N630" s="166">
        <f>SUMIFS(Продажи!K$5:K$359,Продажи!$D$5:$D$359,Конструкторы!$B630,Продажи!$C$5:$C$359,Конструкторы!$A630)</f>
        <v>0</v>
      </c>
      <c r="O630" s="166">
        <f>SUMIFS(Продажи!L$5:L$359,Продажи!$D$5:$D$359,Конструкторы!$B630,Продажи!$C$5:$C$359,Конструкторы!$A630)</f>
        <v>0</v>
      </c>
      <c r="P630" s="166">
        <f>SUMIFS(Продажи!M$5:M$359,Продажи!$D$5:$D$359,Конструкторы!$B630,Продажи!$C$5:$C$359,Конструкторы!$A630)</f>
        <v>0</v>
      </c>
      <c r="Q630" s="166">
        <f>SUMIFS(Продажи!N$5:N$359,Продажи!$D$5:$D$359,Конструкторы!$B630,Продажи!$C$5:$C$359,Конструкторы!$A630)</f>
        <v>0</v>
      </c>
      <c r="R630" s="166">
        <f>SUMIFS(Продажи!O$5:O$359,Продажи!$D$5:$D$359,Конструкторы!$B630,Продажи!$C$5:$C$359,Конструкторы!$A630)</f>
        <v>0</v>
      </c>
      <c r="S630" s="166">
        <f>SUMIFS(Продажи!P$5:P$359,Продажи!$D$5:$D$359,Конструкторы!$B630,Продажи!$C$5:$C$359,Конструкторы!$A630)</f>
        <v>0</v>
      </c>
      <c r="T630" s="166">
        <f>SUMIFS(Продажи!Q$5:Q$359,Продажи!$D$5:$D$359,Конструкторы!$B630,Продажи!$C$5:$C$359,Конструкторы!$A630)</f>
        <v>0</v>
      </c>
    </row>
    <row r="631" spans="1:20" ht="15.75" hidden="1" x14ac:dyDescent="0.25">
      <c r="A631" s="166" t="s">
        <v>397</v>
      </c>
      <c r="B631" s="167" t="s">
        <v>108</v>
      </c>
      <c r="C631" s="129" t="s">
        <v>63</v>
      </c>
      <c r="D631" s="149"/>
      <c r="E631" s="153" t="s">
        <v>68</v>
      </c>
      <c r="F631" s="156">
        <f>(1.29*103)/100</f>
        <v>1.3287</v>
      </c>
      <c r="G631" s="156">
        <v>3.8699999999999957E-2</v>
      </c>
      <c r="H631" s="156">
        <f>F631+G631</f>
        <v>1.3673999999999999</v>
      </c>
      <c r="I631" s="166">
        <f>SUMIFS(Продажи!F$5:F$359,Продажи!$D$5:$D$359,Конструкторы!$B631,Продажи!$C$5:$C$359,Конструкторы!$A631)</f>
        <v>0</v>
      </c>
      <c r="J631" s="166">
        <f>SUMIFS(Продажи!G$5:G$359,Продажи!$D$5:$D$359,Конструкторы!$B631,Продажи!$C$5:$C$359,Конструкторы!$A631)</f>
        <v>0</v>
      </c>
      <c r="K631" s="166">
        <f>SUMIFS(Продажи!H$5:H$359,Продажи!$D$5:$D$359,Конструкторы!$B631,Продажи!$C$5:$C$359,Конструкторы!$A631)</f>
        <v>0</v>
      </c>
      <c r="L631" s="166">
        <f>SUMIFS(Продажи!I$5:I$359,Продажи!$D$5:$D$359,Конструкторы!$B631,Продажи!$C$5:$C$359,Конструкторы!$A631)</f>
        <v>0</v>
      </c>
      <c r="M631" s="166">
        <f>SUMIFS(Продажи!J$5:J$359,Продажи!$D$5:$D$359,Конструкторы!$B631,Продажи!$C$5:$C$359,Конструкторы!$A631)</f>
        <v>0</v>
      </c>
      <c r="N631" s="166">
        <f>SUMIFS(Продажи!K$5:K$359,Продажи!$D$5:$D$359,Конструкторы!$B631,Продажи!$C$5:$C$359,Конструкторы!$A631)</f>
        <v>0</v>
      </c>
      <c r="O631" s="166">
        <f>SUMIFS(Продажи!L$5:L$359,Продажи!$D$5:$D$359,Конструкторы!$B631,Продажи!$C$5:$C$359,Конструкторы!$A631)</f>
        <v>0</v>
      </c>
      <c r="P631" s="166">
        <f>SUMIFS(Продажи!M$5:M$359,Продажи!$D$5:$D$359,Конструкторы!$B631,Продажи!$C$5:$C$359,Конструкторы!$A631)</f>
        <v>0</v>
      </c>
      <c r="Q631" s="166">
        <f>SUMIFS(Продажи!N$5:N$359,Продажи!$D$5:$D$359,Конструкторы!$B631,Продажи!$C$5:$C$359,Конструкторы!$A631)</f>
        <v>0</v>
      </c>
      <c r="R631" s="166">
        <f>SUMIFS(Продажи!O$5:O$359,Продажи!$D$5:$D$359,Конструкторы!$B631,Продажи!$C$5:$C$359,Конструкторы!$A631)</f>
        <v>0</v>
      </c>
      <c r="S631" s="166">
        <f>SUMIFS(Продажи!P$5:P$359,Продажи!$D$5:$D$359,Конструкторы!$B631,Продажи!$C$5:$C$359,Конструкторы!$A631)</f>
        <v>0</v>
      </c>
      <c r="T631" s="166">
        <f>SUMIFS(Продажи!Q$5:Q$359,Продажи!$D$5:$D$359,Конструкторы!$B631,Продажи!$C$5:$C$359,Конструкторы!$A631)</f>
        <v>0</v>
      </c>
    </row>
    <row r="632" spans="1:20" ht="15.75" hidden="1" x14ac:dyDescent="0.25">
      <c r="A632" s="166" t="s">
        <v>397</v>
      </c>
      <c r="B632" s="167" t="s">
        <v>108</v>
      </c>
      <c r="C632" s="129" t="s">
        <v>60</v>
      </c>
      <c r="D632" s="149"/>
      <c r="E632" s="153" t="s">
        <v>68</v>
      </c>
      <c r="F632" s="156">
        <f>(0.288*103)/100</f>
        <v>0.29663999999999996</v>
      </c>
      <c r="G632" s="156">
        <v>8.639999999999981E-3</v>
      </c>
      <c r="H632" s="156">
        <f>F632+G632</f>
        <v>0.30527999999999994</v>
      </c>
      <c r="I632" s="166">
        <f>SUMIFS(Продажи!F$5:F$359,Продажи!$D$5:$D$359,Конструкторы!$B632,Продажи!$C$5:$C$359,Конструкторы!$A632)</f>
        <v>0</v>
      </c>
      <c r="J632" s="166">
        <f>SUMIFS(Продажи!G$5:G$359,Продажи!$D$5:$D$359,Конструкторы!$B632,Продажи!$C$5:$C$359,Конструкторы!$A632)</f>
        <v>0</v>
      </c>
      <c r="K632" s="166">
        <f>SUMIFS(Продажи!H$5:H$359,Продажи!$D$5:$D$359,Конструкторы!$B632,Продажи!$C$5:$C$359,Конструкторы!$A632)</f>
        <v>0</v>
      </c>
      <c r="L632" s="166">
        <f>SUMIFS(Продажи!I$5:I$359,Продажи!$D$5:$D$359,Конструкторы!$B632,Продажи!$C$5:$C$359,Конструкторы!$A632)</f>
        <v>0</v>
      </c>
      <c r="M632" s="166">
        <f>SUMIFS(Продажи!J$5:J$359,Продажи!$D$5:$D$359,Конструкторы!$B632,Продажи!$C$5:$C$359,Конструкторы!$A632)</f>
        <v>0</v>
      </c>
      <c r="N632" s="166">
        <f>SUMIFS(Продажи!K$5:K$359,Продажи!$D$5:$D$359,Конструкторы!$B632,Продажи!$C$5:$C$359,Конструкторы!$A632)</f>
        <v>0</v>
      </c>
      <c r="O632" s="166">
        <f>SUMIFS(Продажи!L$5:L$359,Продажи!$D$5:$D$359,Конструкторы!$B632,Продажи!$C$5:$C$359,Конструкторы!$A632)</f>
        <v>0</v>
      </c>
      <c r="P632" s="166">
        <f>SUMIFS(Продажи!M$5:M$359,Продажи!$D$5:$D$359,Конструкторы!$B632,Продажи!$C$5:$C$359,Конструкторы!$A632)</f>
        <v>0</v>
      </c>
      <c r="Q632" s="166">
        <f>SUMIFS(Продажи!N$5:N$359,Продажи!$D$5:$D$359,Конструкторы!$B632,Продажи!$C$5:$C$359,Конструкторы!$A632)</f>
        <v>0</v>
      </c>
      <c r="R632" s="166">
        <f>SUMIFS(Продажи!O$5:O$359,Продажи!$D$5:$D$359,Конструкторы!$B632,Продажи!$C$5:$C$359,Конструкторы!$A632)</f>
        <v>0</v>
      </c>
      <c r="S632" s="166">
        <f>SUMIFS(Продажи!P$5:P$359,Продажи!$D$5:$D$359,Конструкторы!$B632,Продажи!$C$5:$C$359,Конструкторы!$A632)</f>
        <v>0</v>
      </c>
      <c r="T632" s="166">
        <f>SUMIFS(Продажи!Q$5:Q$359,Продажи!$D$5:$D$359,Конструкторы!$B632,Продажи!$C$5:$C$359,Конструкторы!$A632)</f>
        <v>0</v>
      </c>
    </row>
    <row r="633" spans="1:20" ht="15.75" hidden="1" x14ac:dyDescent="0.25">
      <c r="A633" s="166" t="s">
        <v>397</v>
      </c>
      <c r="B633" s="167" t="s">
        <v>108</v>
      </c>
      <c r="C633" s="33" t="s">
        <v>72</v>
      </c>
      <c r="D633" s="149"/>
      <c r="E633" s="153" t="s">
        <v>70</v>
      </c>
      <c r="F633" s="148">
        <v>2</v>
      </c>
      <c r="G633" s="156" t="s">
        <v>71</v>
      </c>
      <c r="H633" s="156">
        <f>F633</f>
        <v>2</v>
      </c>
      <c r="I633" s="166">
        <f>SUMIFS(Продажи!F$5:F$359,Продажи!$D$5:$D$359,Конструкторы!$B633,Продажи!$C$5:$C$359,Конструкторы!$A633)</f>
        <v>0</v>
      </c>
      <c r="J633" s="166">
        <f>SUMIFS(Продажи!G$5:G$359,Продажи!$D$5:$D$359,Конструкторы!$B633,Продажи!$C$5:$C$359,Конструкторы!$A633)</f>
        <v>0</v>
      </c>
      <c r="K633" s="166">
        <f>SUMIFS(Продажи!H$5:H$359,Продажи!$D$5:$D$359,Конструкторы!$B633,Продажи!$C$5:$C$359,Конструкторы!$A633)</f>
        <v>0</v>
      </c>
      <c r="L633" s="166">
        <f>SUMIFS(Продажи!I$5:I$359,Продажи!$D$5:$D$359,Конструкторы!$B633,Продажи!$C$5:$C$359,Конструкторы!$A633)</f>
        <v>0</v>
      </c>
      <c r="M633" s="166">
        <f>SUMIFS(Продажи!J$5:J$359,Продажи!$D$5:$D$359,Конструкторы!$B633,Продажи!$C$5:$C$359,Конструкторы!$A633)</f>
        <v>0</v>
      </c>
      <c r="N633" s="166">
        <f>SUMIFS(Продажи!K$5:K$359,Продажи!$D$5:$D$359,Конструкторы!$B633,Продажи!$C$5:$C$359,Конструкторы!$A633)</f>
        <v>0</v>
      </c>
      <c r="O633" s="166">
        <f>SUMIFS(Продажи!L$5:L$359,Продажи!$D$5:$D$359,Конструкторы!$B633,Продажи!$C$5:$C$359,Конструкторы!$A633)</f>
        <v>0</v>
      </c>
      <c r="P633" s="166">
        <f>SUMIFS(Продажи!M$5:M$359,Продажи!$D$5:$D$359,Конструкторы!$B633,Продажи!$C$5:$C$359,Конструкторы!$A633)</f>
        <v>0</v>
      </c>
      <c r="Q633" s="166">
        <f>SUMIFS(Продажи!N$5:N$359,Продажи!$D$5:$D$359,Конструкторы!$B633,Продажи!$C$5:$C$359,Конструкторы!$A633)</f>
        <v>0</v>
      </c>
      <c r="R633" s="166">
        <f>SUMIFS(Продажи!O$5:O$359,Продажи!$D$5:$D$359,Конструкторы!$B633,Продажи!$C$5:$C$359,Конструкторы!$A633)</f>
        <v>0</v>
      </c>
      <c r="S633" s="166">
        <f>SUMIFS(Продажи!P$5:P$359,Продажи!$D$5:$D$359,Конструкторы!$B633,Продажи!$C$5:$C$359,Конструкторы!$A633)</f>
        <v>0</v>
      </c>
      <c r="T633" s="166">
        <f>SUMIFS(Продажи!Q$5:Q$359,Продажи!$D$5:$D$359,Конструкторы!$B633,Продажи!$C$5:$C$359,Конструкторы!$A633)</f>
        <v>0</v>
      </c>
    </row>
    <row r="634" spans="1:20" ht="15.75" hidden="1" x14ac:dyDescent="0.25">
      <c r="A634" s="166" t="s">
        <v>397</v>
      </c>
      <c r="B634" s="167" t="s">
        <v>108</v>
      </c>
      <c r="C634" s="33" t="s">
        <v>76</v>
      </c>
      <c r="D634" s="149"/>
      <c r="E634" s="153" t="s">
        <v>70</v>
      </c>
      <c r="F634" s="148">
        <v>8</v>
      </c>
      <c r="G634" s="156" t="s">
        <v>71</v>
      </c>
      <c r="H634" s="156">
        <f>F634</f>
        <v>8</v>
      </c>
      <c r="I634" s="166">
        <f>SUMIFS(Продажи!F$5:F$359,Продажи!$D$5:$D$359,Конструкторы!$B634,Продажи!$C$5:$C$359,Конструкторы!$A634)</f>
        <v>0</v>
      </c>
      <c r="J634" s="166">
        <f>SUMIFS(Продажи!G$5:G$359,Продажи!$D$5:$D$359,Конструкторы!$B634,Продажи!$C$5:$C$359,Конструкторы!$A634)</f>
        <v>0</v>
      </c>
      <c r="K634" s="166">
        <f>SUMIFS(Продажи!H$5:H$359,Продажи!$D$5:$D$359,Конструкторы!$B634,Продажи!$C$5:$C$359,Конструкторы!$A634)</f>
        <v>0</v>
      </c>
      <c r="L634" s="166">
        <f>SUMIFS(Продажи!I$5:I$359,Продажи!$D$5:$D$359,Конструкторы!$B634,Продажи!$C$5:$C$359,Конструкторы!$A634)</f>
        <v>0</v>
      </c>
      <c r="M634" s="166">
        <f>SUMIFS(Продажи!J$5:J$359,Продажи!$D$5:$D$359,Конструкторы!$B634,Продажи!$C$5:$C$359,Конструкторы!$A634)</f>
        <v>0</v>
      </c>
      <c r="N634" s="166">
        <f>SUMIFS(Продажи!K$5:K$359,Продажи!$D$5:$D$359,Конструкторы!$B634,Продажи!$C$5:$C$359,Конструкторы!$A634)</f>
        <v>0</v>
      </c>
      <c r="O634" s="166">
        <f>SUMIFS(Продажи!L$5:L$359,Продажи!$D$5:$D$359,Конструкторы!$B634,Продажи!$C$5:$C$359,Конструкторы!$A634)</f>
        <v>0</v>
      </c>
      <c r="P634" s="166">
        <f>SUMIFS(Продажи!M$5:M$359,Продажи!$D$5:$D$359,Конструкторы!$B634,Продажи!$C$5:$C$359,Конструкторы!$A634)</f>
        <v>0</v>
      </c>
      <c r="Q634" s="166">
        <f>SUMIFS(Продажи!N$5:N$359,Продажи!$D$5:$D$359,Конструкторы!$B634,Продажи!$C$5:$C$359,Конструкторы!$A634)</f>
        <v>0</v>
      </c>
      <c r="R634" s="166">
        <f>SUMIFS(Продажи!O$5:O$359,Продажи!$D$5:$D$359,Конструкторы!$B634,Продажи!$C$5:$C$359,Конструкторы!$A634)</f>
        <v>0</v>
      </c>
      <c r="S634" s="166">
        <f>SUMIFS(Продажи!P$5:P$359,Продажи!$D$5:$D$359,Конструкторы!$B634,Продажи!$C$5:$C$359,Конструкторы!$A634)</f>
        <v>0</v>
      </c>
      <c r="T634" s="166">
        <f>SUMIFS(Продажи!Q$5:Q$359,Продажи!$D$5:$D$359,Конструкторы!$B634,Продажи!$C$5:$C$359,Конструкторы!$A634)</f>
        <v>0</v>
      </c>
    </row>
    <row r="635" spans="1:20" ht="15.75" hidden="1" x14ac:dyDescent="0.25">
      <c r="A635" s="166" t="s">
        <v>397</v>
      </c>
      <c r="B635" s="167" t="s">
        <v>124</v>
      </c>
      <c r="C635" s="129" t="s">
        <v>64</v>
      </c>
      <c r="D635" s="149"/>
      <c r="E635" s="153" t="s">
        <v>68</v>
      </c>
      <c r="F635" s="156">
        <f>(1*103)/100</f>
        <v>1.03</v>
      </c>
      <c r="G635" s="156">
        <v>3.0000000000000027E-2</v>
      </c>
      <c r="H635" s="156">
        <f>F635+G635</f>
        <v>1.06</v>
      </c>
      <c r="I635" s="166">
        <f>SUMIFS(Продажи!F$5:F$359,Продажи!$D$5:$D$359,Конструкторы!$B635,Продажи!$C$5:$C$359,Конструкторы!$A635)</f>
        <v>0</v>
      </c>
      <c r="J635" s="166">
        <f>SUMIFS(Продажи!G$5:G$359,Продажи!$D$5:$D$359,Конструкторы!$B635,Продажи!$C$5:$C$359,Конструкторы!$A635)</f>
        <v>0</v>
      </c>
      <c r="K635" s="166">
        <f>SUMIFS(Продажи!H$5:H$359,Продажи!$D$5:$D$359,Конструкторы!$B635,Продажи!$C$5:$C$359,Конструкторы!$A635)</f>
        <v>0</v>
      </c>
      <c r="L635" s="166">
        <f>SUMIFS(Продажи!I$5:I$359,Продажи!$D$5:$D$359,Конструкторы!$B635,Продажи!$C$5:$C$359,Конструкторы!$A635)</f>
        <v>0</v>
      </c>
      <c r="M635" s="166">
        <f>SUMIFS(Продажи!J$5:J$359,Продажи!$D$5:$D$359,Конструкторы!$B635,Продажи!$C$5:$C$359,Конструкторы!$A635)</f>
        <v>0</v>
      </c>
      <c r="N635" s="166">
        <f>SUMIFS(Продажи!K$5:K$359,Продажи!$D$5:$D$359,Конструкторы!$B635,Продажи!$C$5:$C$359,Конструкторы!$A635)</f>
        <v>0</v>
      </c>
      <c r="O635" s="166">
        <f>SUMIFS(Продажи!L$5:L$359,Продажи!$D$5:$D$359,Конструкторы!$B635,Продажи!$C$5:$C$359,Конструкторы!$A635)</f>
        <v>0</v>
      </c>
      <c r="P635" s="166">
        <f>SUMIFS(Продажи!M$5:M$359,Продажи!$D$5:$D$359,Конструкторы!$B635,Продажи!$C$5:$C$359,Конструкторы!$A635)</f>
        <v>0</v>
      </c>
      <c r="Q635" s="166">
        <f>SUMIFS(Продажи!N$5:N$359,Продажи!$D$5:$D$359,Конструкторы!$B635,Продажи!$C$5:$C$359,Конструкторы!$A635)</f>
        <v>0</v>
      </c>
      <c r="R635" s="166">
        <f>SUMIFS(Продажи!O$5:O$359,Продажи!$D$5:$D$359,Конструкторы!$B635,Продажи!$C$5:$C$359,Конструкторы!$A635)</f>
        <v>0</v>
      </c>
      <c r="S635" s="166">
        <f>SUMIFS(Продажи!P$5:P$359,Продажи!$D$5:$D$359,Конструкторы!$B635,Продажи!$C$5:$C$359,Конструкторы!$A635)</f>
        <v>0</v>
      </c>
      <c r="T635" s="166">
        <f>SUMIFS(Продажи!Q$5:Q$359,Продажи!$D$5:$D$359,Конструкторы!$B635,Продажи!$C$5:$C$359,Конструкторы!$A635)</f>
        <v>0</v>
      </c>
    </row>
    <row r="636" spans="1:20" ht="15.75" hidden="1" x14ac:dyDescent="0.25">
      <c r="A636" s="166" t="s">
        <v>397</v>
      </c>
      <c r="B636" s="167" t="s">
        <v>124</v>
      </c>
      <c r="C636" s="129" t="s">
        <v>63</v>
      </c>
      <c r="D636" s="149"/>
      <c r="E636" s="153" t="s">
        <v>68</v>
      </c>
      <c r="F636" s="156">
        <f>(0.29*103)/100</f>
        <v>0.29869999999999997</v>
      </c>
      <c r="G636" s="156">
        <v>8.6999999999999855E-3</v>
      </c>
      <c r="H636" s="156">
        <f>F636+G636</f>
        <v>0.30739999999999995</v>
      </c>
      <c r="I636" s="166">
        <f>SUMIFS(Продажи!F$5:F$359,Продажи!$D$5:$D$359,Конструкторы!$B636,Продажи!$C$5:$C$359,Конструкторы!$A636)</f>
        <v>0</v>
      </c>
      <c r="J636" s="166">
        <f>SUMIFS(Продажи!G$5:G$359,Продажи!$D$5:$D$359,Конструкторы!$B636,Продажи!$C$5:$C$359,Конструкторы!$A636)</f>
        <v>0</v>
      </c>
      <c r="K636" s="166">
        <f>SUMIFS(Продажи!H$5:H$359,Продажи!$D$5:$D$359,Конструкторы!$B636,Продажи!$C$5:$C$359,Конструкторы!$A636)</f>
        <v>0</v>
      </c>
      <c r="L636" s="166">
        <f>SUMIFS(Продажи!I$5:I$359,Продажи!$D$5:$D$359,Конструкторы!$B636,Продажи!$C$5:$C$359,Конструкторы!$A636)</f>
        <v>0</v>
      </c>
      <c r="M636" s="166">
        <f>SUMIFS(Продажи!J$5:J$359,Продажи!$D$5:$D$359,Конструкторы!$B636,Продажи!$C$5:$C$359,Конструкторы!$A636)</f>
        <v>0</v>
      </c>
      <c r="N636" s="166">
        <f>SUMIFS(Продажи!K$5:K$359,Продажи!$D$5:$D$359,Конструкторы!$B636,Продажи!$C$5:$C$359,Конструкторы!$A636)</f>
        <v>0</v>
      </c>
      <c r="O636" s="166">
        <f>SUMIFS(Продажи!L$5:L$359,Продажи!$D$5:$D$359,Конструкторы!$B636,Продажи!$C$5:$C$359,Конструкторы!$A636)</f>
        <v>0</v>
      </c>
      <c r="P636" s="166">
        <f>SUMIFS(Продажи!M$5:M$359,Продажи!$D$5:$D$359,Конструкторы!$B636,Продажи!$C$5:$C$359,Конструкторы!$A636)</f>
        <v>0</v>
      </c>
      <c r="Q636" s="166">
        <f>SUMIFS(Продажи!N$5:N$359,Продажи!$D$5:$D$359,Конструкторы!$B636,Продажи!$C$5:$C$359,Конструкторы!$A636)</f>
        <v>0</v>
      </c>
      <c r="R636" s="166">
        <f>SUMIFS(Продажи!O$5:O$359,Продажи!$D$5:$D$359,Конструкторы!$B636,Продажи!$C$5:$C$359,Конструкторы!$A636)</f>
        <v>0</v>
      </c>
      <c r="S636" s="166">
        <f>SUMIFS(Продажи!P$5:P$359,Продажи!$D$5:$D$359,Конструкторы!$B636,Продажи!$C$5:$C$359,Конструкторы!$A636)</f>
        <v>0</v>
      </c>
      <c r="T636" s="166">
        <f>SUMIFS(Продажи!Q$5:Q$359,Продажи!$D$5:$D$359,Конструкторы!$B636,Продажи!$C$5:$C$359,Конструкторы!$A636)</f>
        <v>0</v>
      </c>
    </row>
    <row r="637" spans="1:20" ht="15.75" hidden="1" x14ac:dyDescent="0.25">
      <c r="A637" s="166" t="s">
        <v>397</v>
      </c>
      <c r="B637" s="167" t="s">
        <v>124</v>
      </c>
      <c r="C637" s="129" t="s">
        <v>60</v>
      </c>
      <c r="D637" s="149"/>
      <c r="E637" s="153"/>
      <c r="F637" s="156">
        <f>(0.288*103)/100</f>
        <v>0.29663999999999996</v>
      </c>
      <c r="G637" s="156">
        <v>8.639999999999981E-3</v>
      </c>
      <c r="H637" s="156">
        <f>F637+G637</f>
        <v>0.30527999999999994</v>
      </c>
      <c r="I637" s="166">
        <f>SUMIFS(Продажи!F$5:F$359,Продажи!$D$5:$D$359,Конструкторы!$B637,Продажи!$C$5:$C$359,Конструкторы!$A637)</f>
        <v>0</v>
      </c>
      <c r="J637" s="166">
        <f>SUMIFS(Продажи!G$5:G$359,Продажи!$D$5:$D$359,Конструкторы!$B637,Продажи!$C$5:$C$359,Конструкторы!$A637)</f>
        <v>0</v>
      </c>
      <c r="K637" s="166">
        <f>SUMIFS(Продажи!H$5:H$359,Продажи!$D$5:$D$359,Конструкторы!$B637,Продажи!$C$5:$C$359,Конструкторы!$A637)</f>
        <v>0</v>
      </c>
      <c r="L637" s="166">
        <f>SUMIFS(Продажи!I$5:I$359,Продажи!$D$5:$D$359,Конструкторы!$B637,Продажи!$C$5:$C$359,Конструкторы!$A637)</f>
        <v>0</v>
      </c>
      <c r="M637" s="166">
        <f>SUMIFS(Продажи!J$5:J$359,Продажи!$D$5:$D$359,Конструкторы!$B637,Продажи!$C$5:$C$359,Конструкторы!$A637)</f>
        <v>0</v>
      </c>
      <c r="N637" s="166">
        <f>SUMIFS(Продажи!K$5:K$359,Продажи!$D$5:$D$359,Конструкторы!$B637,Продажи!$C$5:$C$359,Конструкторы!$A637)</f>
        <v>0</v>
      </c>
      <c r="O637" s="166">
        <f>SUMIFS(Продажи!L$5:L$359,Продажи!$D$5:$D$359,Конструкторы!$B637,Продажи!$C$5:$C$359,Конструкторы!$A637)</f>
        <v>0</v>
      </c>
      <c r="P637" s="166">
        <f>SUMIFS(Продажи!M$5:M$359,Продажи!$D$5:$D$359,Конструкторы!$B637,Продажи!$C$5:$C$359,Конструкторы!$A637)</f>
        <v>0</v>
      </c>
      <c r="Q637" s="166">
        <f>SUMIFS(Продажи!N$5:N$359,Продажи!$D$5:$D$359,Конструкторы!$B637,Продажи!$C$5:$C$359,Конструкторы!$A637)</f>
        <v>0</v>
      </c>
      <c r="R637" s="166">
        <f>SUMIFS(Продажи!O$5:O$359,Продажи!$D$5:$D$359,Конструкторы!$B637,Продажи!$C$5:$C$359,Конструкторы!$A637)</f>
        <v>0</v>
      </c>
      <c r="S637" s="166">
        <f>SUMIFS(Продажи!P$5:P$359,Продажи!$D$5:$D$359,Конструкторы!$B637,Продажи!$C$5:$C$359,Конструкторы!$A637)</f>
        <v>0</v>
      </c>
      <c r="T637" s="166">
        <f>SUMIFS(Продажи!Q$5:Q$359,Продажи!$D$5:$D$359,Конструкторы!$B637,Продажи!$C$5:$C$359,Конструкторы!$A637)</f>
        <v>0</v>
      </c>
    </row>
    <row r="638" spans="1:20" ht="15.75" hidden="1" x14ac:dyDescent="0.25">
      <c r="A638" s="166" t="s">
        <v>397</v>
      </c>
      <c r="B638" s="167" t="s">
        <v>124</v>
      </c>
      <c r="C638" s="33" t="s">
        <v>72</v>
      </c>
      <c r="D638" s="149"/>
      <c r="E638" s="153" t="s">
        <v>70</v>
      </c>
      <c r="F638" s="148">
        <v>2</v>
      </c>
      <c r="G638" s="156" t="s">
        <v>71</v>
      </c>
      <c r="H638" s="156">
        <f>F638</f>
        <v>2</v>
      </c>
      <c r="I638" s="166">
        <f>SUMIFS(Продажи!F$5:F$359,Продажи!$D$5:$D$359,Конструкторы!$B638,Продажи!$C$5:$C$359,Конструкторы!$A638)</f>
        <v>0</v>
      </c>
      <c r="J638" s="166">
        <f>SUMIFS(Продажи!G$5:G$359,Продажи!$D$5:$D$359,Конструкторы!$B638,Продажи!$C$5:$C$359,Конструкторы!$A638)</f>
        <v>0</v>
      </c>
      <c r="K638" s="166">
        <f>SUMIFS(Продажи!H$5:H$359,Продажи!$D$5:$D$359,Конструкторы!$B638,Продажи!$C$5:$C$359,Конструкторы!$A638)</f>
        <v>0</v>
      </c>
      <c r="L638" s="166">
        <f>SUMIFS(Продажи!I$5:I$359,Продажи!$D$5:$D$359,Конструкторы!$B638,Продажи!$C$5:$C$359,Конструкторы!$A638)</f>
        <v>0</v>
      </c>
      <c r="M638" s="166">
        <f>SUMIFS(Продажи!J$5:J$359,Продажи!$D$5:$D$359,Конструкторы!$B638,Продажи!$C$5:$C$359,Конструкторы!$A638)</f>
        <v>0</v>
      </c>
      <c r="N638" s="166">
        <f>SUMIFS(Продажи!K$5:K$359,Продажи!$D$5:$D$359,Конструкторы!$B638,Продажи!$C$5:$C$359,Конструкторы!$A638)</f>
        <v>0</v>
      </c>
      <c r="O638" s="166">
        <f>SUMIFS(Продажи!L$5:L$359,Продажи!$D$5:$D$359,Конструкторы!$B638,Продажи!$C$5:$C$359,Конструкторы!$A638)</f>
        <v>0</v>
      </c>
      <c r="P638" s="166">
        <f>SUMIFS(Продажи!M$5:M$359,Продажи!$D$5:$D$359,Конструкторы!$B638,Продажи!$C$5:$C$359,Конструкторы!$A638)</f>
        <v>0</v>
      </c>
      <c r="Q638" s="166">
        <f>SUMIFS(Продажи!N$5:N$359,Продажи!$D$5:$D$359,Конструкторы!$B638,Продажи!$C$5:$C$359,Конструкторы!$A638)</f>
        <v>0</v>
      </c>
      <c r="R638" s="166">
        <f>SUMIFS(Продажи!O$5:O$359,Продажи!$D$5:$D$359,Конструкторы!$B638,Продажи!$C$5:$C$359,Конструкторы!$A638)</f>
        <v>0</v>
      </c>
      <c r="S638" s="166">
        <f>SUMIFS(Продажи!P$5:P$359,Продажи!$D$5:$D$359,Конструкторы!$B638,Продажи!$C$5:$C$359,Конструкторы!$A638)</f>
        <v>0</v>
      </c>
      <c r="T638" s="166">
        <f>SUMIFS(Продажи!Q$5:Q$359,Продажи!$D$5:$D$359,Конструкторы!$B638,Продажи!$C$5:$C$359,Конструкторы!$A638)</f>
        <v>0</v>
      </c>
    </row>
    <row r="639" spans="1:20" ht="15.75" hidden="1" x14ac:dyDescent="0.25">
      <c r="A639" s="166" t="s">
        <v>397</v>
      </c>
      <c r="B639" s="167" t="s">
        <v>124</v>
      </c>
      <c r="C639" s="33" t="s">
        <v>76</v>
      </c>
      <c r="D639" s="149"/>
      <c r="E639" s="153" t="s">
        <v>70</v>
      </c>
      <c r="F639" s="148">
        <v>8</v>
      </c>
      <c r="G639" s="156" t="s">
        <v>71</v>
      </c>
      <c r="H639" s="156">
        <f>F639</f>
        <v>8</v>
      </c>
      <c r="I639" s="166">
        <f>SUMIFS(Продажи!F$5:F$359,Продажи!$D$5:$D$359,Конструкторы!$B639,Продажи!$C$5:$C$359,Конструкторы!$A639)</f>
        <v>0</v>
      </c>
      <c r="J639" s="166">
        <f>SUMIFS(Продажи!G$5:G$359,Продажи!$D$5:$D$359,Конструкторы!$B639,Продажи!$C$5:$C$359,Конструкторы!$A639)</f>
        <v>0</v>
      </c>
      <c r="K639" s="166">
        <f>SUMIFS(Продажи!H$5:H$359,Продажи!$D$5:$D$359,Конструкторы!$B639,Продажи!$C$5:$C$359,Конструкторы!$A639)</f>
        <v>0</v>
      </c>
      <c r="L639" s="166">
        <f>SUMIFS(Продажи!I$5:I$359,Продажи!$D$5:$D$359,Конструкторы!$B639,Продажи!$C$5:$C$359,Конструкторы!$A639)</f>
        <v>0</v>
      </c>
      <c r="M639" s="166">
        <f>SUMIFS(Продажи!J$5:J$359,Продажи!$D$5:$D$359,Конструкторы!$B639,Продажи!$C$5:$C$359,Конструкторы!$A639)</f>
        <v>0</v>
      </c>
      <c r="N639" s="166">
        <f>SUMIFS(Продажи!K$5:K$359,Продажи!$D$5:$D$359,Конструкторы!$B639,Продажи!$C$5:$C$359,Конструкторы!$A639)</f>
        <v>0</v>
      </c>
      <c r="O639" s="166">
        <f>SUMIFS(Продажи!L$5:L$359,Продажи!$D$5:$D$359,Конструкторы!$B639,Продажи!$C$5:$C$359,Конструкторы!$A639)</f>
        <v>0</v>
      </c>
      <c r="P639" s="166">
        <f>SUMIFS(Продажи!M$5:M$359,Продажи!$D$5:$D$359,Конструкторы!$B639,Продажи!$C$5:$C$359,Конструкторы!$A639)</f>
        <v>0</v>
      </c>
      <c r="Q639" s="166">
        <f>SUMIFS(Продажи!N$5:N$359,Продажи!$D$5:$D$359,Конструкторы!$B639,Продажи!$C$5:$C$359,Конструкторы!$A639)</f>
        <v>0</v>
      </c>
      <c r="R639" s="166">
        <f>SUMIFS(Продажи!O$5:O$359,Продажи!$D$5:$D$359,Конструкторы!$B639,Продажи!$C$5:$C$359,Конструкторы!$A639)</f>
        <v>0</v>
      </c>
      <c r="S639" s="166">
        <f>SUMIFS(Продажи!P$5:P$359,Продажи!$D$5:$D$359,Конструкторы!$B639,Продажи!$C$5:$C$359,Конструкторы!$A639)</f>
        <v>0</v>
      </c>
      <c r="T639" s="166">
        <f>SUMIFS(Продажи!Q$5:Q$359,Продажи!$D$5:$D$359,Конструкторы!$B639,Продажи!$C$5:$C$359,Конструкторы!$A639)</f>
        <v>0</v>
      </c>
    </row>
    <row r="640" spans="1:20" ht="15.75" hidden="1" x14ac:dyDescent="0.25">
      <c r="A640" s="166" t="s">
        <v>397</v>
      </c>
      <c r="B640" s="167" t="s">
        <v>125</v>
      </c>
      <c r="C640" s="129" t="s">
        <v>64</v>
      </c>
      <c r="D640" s="149"/>
      <c r="E640" s="153" t="s">
        <v>68</v>
      </c>
      <c r="F640" s="156">
        <f>(0.291*103)/100</f>
        <v>0.29973</v>
      </c>
      <c r="G640" s="156">
        <v>8.7300000000000155E-3</v>
      </c>
      <c r="H640" s="156">
        <f>F640+G640</f>
        <v>0.30846000000000001</v>
      </c>
      <c r="I640" s="166">
        <f>SUMIFS(Продажи!F$5:F$359,Продажи!$D$5:$D$359,Конструкторы!$B640,Продажи!$C$5:$C$359,Конструкторы!$A640)</f>
        <v>0</v>
      </c>
      <c r="J640" s="166">
        <f>SUMIFS(Продажи!G$5:G$359,Продажи!$D$5:$D$359,Конструкторы!$B640,Продажи!$C$5:$C$359,Конструкторы!$A640)</f>
        <v>0</v>
      </c>
      <c r="K640" s="166">
        <f>SUMIFS(Продажи!H$5:H$359,Продажи!$D$5:$D$359,Конструкторы!$B640,Продажи!$C$5:$C$359,Конструкторы!$A640)</f>
        <v>0</v>
      </c>
      <c r="L640" s="166">
        <f>SUMIFS(Продажи!I$5:I$359,Продажи!$D$5:$D$359,Конструкторы!$B640,Продажи!$C$5:$C$359,Конструкторы!$A640)</f>
        <v>0</v>
      </c>
      <c r="M640" s="166">
        <f>SUMIFS(Продажи!J$5:J$359,Продажи!$D$5:$D$359,Конструкторы!$B640,Продажи!$C$5:$C$359,Конструкторы!$A640)</f>
        <v>0</v>
      </c>
      <c r="N640" s="166">
        <f>SUMIFS(Продажи!K$5:K$359,Продажи!$D$5:$D$359,Конструкторы!$B640,Продажи!$C$5:$C$359,Конструкторы!$A640)</f>
        <v>0</v>
      </c>
      <c r="O640" s="166">
        <f>SUMIFS(Продажи!L$5:L$359,Продажи!$D$5:$D$359,Конструкторы!$B640,Продажи!$C$5:$C$359,Конструкторы!$A640)</f>
        <v>0</v>
      </c>
      <c r="P640" s="166">
        <f>SUMIFS(Продажи!M$5:M$359,Продажи!$D$5:$D$359,Конструкторы!$B640,Продажи!$C$5:$C$359,Конструкторы!$A640)</f>
        <v>0</v>
      </c>
      <c r="Q640" s="166">
        <f>SUMIFS(Продажи!N$5:N$359,Продажи!$D$5:$D$359,Конструкторы!$B640,Продажи!$C$5:$C$359,Конструкторы!$A640)</f>
        <v>0</v>
      </c>
      <c r="R640" s="166">
        <f>SUMIFS(Продажи!O$5:O$359,Продажи!$D$5:$D$359,Конструкторы!$B640,Продажи!$C$5:$C$359,Конструкторы!$A640)</f>
        <v>0</v>
      </c>
      <c r="S640" s="166">
        <f>SUMIFS(Продажи!P$5:P$359,Продажи!$D$5:$D$359,Конструкторы!$B640,Продажи!$C$5:$C$359,Конструкторы!$A640)</f>
        <v>0</v>
      </c>
      <c r="T640" s="166">
        <f>SUMIFS(Продажи!Q$5:Q$359,Продажи!$D$5:$D$359,Конструкторы!$B640,Продажи!$C$5:$C$359,Конструкторы!$A640)</f>
        <v>0</v>
      </c>
    </row>
    <row r="641" spans="1:20" ht="15.75" hidden="1" x14ac:dyDescent="0.25">
      <c r="A641" s="166" t="s">
        <v>397</v>
      </c>
      <c r="B641" s="167" t="s">
        <v>125</v>
      </c>
      <c r="C641" s="129" t="s">
        <v>60</v>
      </c>
      <c r="D641" s="149"/>
      <c r="E641" s="153" t="s">
        <v>68</v>
      </c>
      <c r="F641" s="156">
        <f>(1.2*103)/100</f>
        <v>1.236</v>
      </c>
      <c r="G641" s="156">
        <v>3.6000000000000032E-2</v>
      </c>
      <c r="H641" s="156">
        <f>F641+G641</f>
        <v>1.272</v>
      </c>
      <c r="I641" s="166">
        <f>SUMIFS(Продажи!F$5:F$359,Продажи!$D$5:$D$359,Конструкторы!$B641,Продажи!$C$5:$C$359,Конструкторы!$A641)</f>
        <v>0</v>
      </c>
      <c r="J641" s="166">
        <f>SUMIFS(Продажи!G$5:G$359,Продажи!$D$5:$D$359,Конструкторы!$B641,Продажи!$C$5:$C$359,Конструкторы!$A641)</f>
        <v>0</v>
      </c>
      <c r="K641" s="166">
        <f>SUMIFS(Продажи!H$5:H$359,Продажи!$D$5:$D$359,Конструкторы!$B641,Продажи!$C$5:$C$359,Конструкторы!$A641)</f>
        <v>0</v>
      </c>
      <c r="L641" s="166">
        <f>SUMIFS(Продажи!I$5:I$359,Продажи!$D$5:$D$359,Конструкторы!$B641,Продажи!$C$5:$C$359,Конструкторы!$A641)</f>
        <v>0</v>
      </c>
      <c r="M641" s="166">
        <f>SUMIFS(Продажи!J$5:J$359,Продажи!$D$5:$D$359,Конструкторы!$B641,Продажи!$C$5:$C$359,Конструкторы!$A641)</f>
        <v>0</v>
      </c>
      <c r="N641" s="166">
        <f>SUMIFS(Продажи!K$5:K$359,Продажи!$D$5:$D$359,Конструкторы!$B641,Продажи!$C$5:$C$359,Конструкторы!$A641)</f>
        <v>0</v>
      </c>
      <c r="O641" s="166">
        <f>SUMIFS(Продажи!L$5:L$359,Продажи!$D$5:$D$359,Конструкторы!$B641,Продажи!$C$5:$C$359,Конструкторы!$A641)</f>
        <v>0</v>
      </c>
      <c r="P641" s="166">
        <f>SUMIFS(Продажи!M$5:M$359,Продажи!$D$5:$D$359,Конструкторы!$B641,Продажи!$C$5:$C$359,Конструкторы!$A641)</f>
        <v>0</v>
      </c>
      <c r="Q641" s="166">
        <f>SUMIFS(Продажи!N$5:N$359,Продажи!$D$5:$D$359,Конструкторы!$B641,Продажи!$C$5:$C$359,Конструкторы!$A641)</f>
        <v>0</v>
      </c>
      <c r="R641" s="166">
        <f>SUMIFS(Продажи!O$5:O$359,Продажи!$D$5:$D$359,Конструкторы!$B641,Продажи!$C$5:$C$359,Конструкторы!$A641)</f>
        <v>0</v>
      </c>
      <c r="S641" s="166">
        <f>SUMIFS(Продажи!P$5:P$359,Продажи!$D$5:$D$359,Конструкторы!$B641,Продажи!$C$5:$C$359,Конструкторы!$A641)</f>
        <v>0</v>
      </c>
      <c r="T641" s="166">
        <f>SUMIFS(Продажи!Q$5:Q$359,Продажи!$D$5:$D$359,Конструкторы!$B641,Продажи!$C$5:$C$359,Конструкторы!$A641)</f>
        <v>0</v>
      </c>
    </row>
    <row r="642" spans="1:20" ht="15.75" hidden="1" x14ac:dyDescent="0.25">
      <c r="A642" s="166" t="s">
        <v>397</v>
      </c>
      <c r="B642" s="167" t="s">
        <v>125</v>
      </c>
      <c r="C642" s="129" t="s">
        <v>60</v>
      </c>
      <c r="D642" s="149"/>
      <c r="E642" s="153"/>
      <c r="F642" s="156">
        <f>(0.296*103)/100</f>
        <v>0.30487999999999998</v>
      </c>
      <c r="G642" s="156">
        <v>8.879999999999999E-3</v>
      </c>
      <c r="H642" s="156">
        <f>F642+G642</f>
        <v>0.31375999999999998</v>
      </c>
      <c r="I642" s="166">
        <f>SUMIFS(Продажи!F$5:F$359,Продажи!$D$5:$D$359,Конструкторы!$B642,Продажи!$C$5:$C$359,Конструкторы!$A642)</f>
        <v>0</v>
      </c>
      <c r="J642" s="166">
        <f>SUMIFS(Продажи!G$5:G$359,Продажи!$D$5:$D$359,Конструкторы!$B642,Продажи!$C$5:$C$359,Конструкторы!$A642)</f>
        <v>0</v>
      </c>
      <c r="K642" s="166">
        <f>SUMIFS(Продажи!H$5:H$359,Продажи!$D$5:$D$359,Конструкторы!$B642,Продажи!$C$5:$C$359,Конструкторы!$A642)</f>
        <v>0</v>
      </c>
      <c r="L642" s="166">
        <f>SUMIFS(Продажи!I$5:I$359,Продажи!$D$5:$D$359,Конструкторы!$B642,Продажи!$C$5:$C$359,Конструкторы!$A642)</f>
        <v>0</v>
      </c>
      <c r="M642" s="166">
        <f>SUMIFS(Продажи!J$5:J$359,Продажи!$D$5:$D$359,Конструкторы!$B642,Продажи!$C$5:$C$359,Конструкторы!$A642)</f>
        <v>0</v>
      </c>
      <c r="N642" s="166">
        <f>SUMIFS(Продажи!K$5:K$359,Продажи!$D$5:$D$359,Конструкторы!$B642,Продажи!$C$5:$C$359,Конструкторы!$A642)</f>
        <v>0</v>
      </c>
      <c r="O642" s="166">
        <f>SUMIFS(Продажи!L$5:L$359,Продажи!$D$5:$D$359,Конструкторы!$B642,Продажи!$C$5:$C$359,Конструкторы!$A642)</f>
        <v>0</v>
      </c>
      <c r="P642" s="166">
        <f>SUMIFS(Продажи!M$5:M$359,Продажи!$D$5:$D$359,Конструкторы!$B642,Продажи!$C$5:$C$359,Конструкторы!$A642)</f>
        <v>0</v>
      </c>
      <c r="Q642" s="166">
        <f>SUMIFS(Продажи!N$5:N$359,Продажи!$D$5:$D$359,Конструкторы!$B642,Продажи!$C$5:$C$359,Конструкторы!$A642)</f>
        <v>0</v>
      </c>
      <c r="R642" s="166">
        <f>SUMIFS(Продажи!O$5:O$359,Продажи!$D$5:$D$359,Конструкторы!$B642,Продажи!$C$5:$C$359,Конструкторы!$A642)</f>
        <v>0</v>
      </c>
      <c r="S642" s="166">
        <f>SUMIFS(Продажи!P$5:P$359,Продажи!$D$5:$D$359,Конструкторы!$B642,Продажи!$C$5:$C$359,Конструкторы!$A642)</f>
        <v>0</v>
      </c>
      <c r="T642" s="166">
        <f>SUMIFS(Продажи!Q$5:Q$359,Продажи!$D$5:$D$359,Конструкторы!$B642,Продажи!$C$5:$C$359,Конструкторы!$A642)</f>
        <v>0</v>
      </c>
    </row>
    <row r="643" spans="1:20" ht="15.75" hidden="1" x14ac:dyDescent="0.25">
      <c r="A643" s="166" t="s">
        <v>397</v>
      </c>
      <c r="B643" s="167" t="s">
        <v>125</v>
      </c>
      <c r="C643" s="33" t="s">
        <v>72</v>
      </c>
      <c r="D643" s="149"/>
      <c r="E643" s="153" t="s">
        <v>70</v>
      </c>
      <c r="F643" s="148">
        <v>2</v>
      </c>
      <c r="G643" s="156" t="s">
        <v>71</v>
      </c>
      <c r="H643" s="156">
        <f>F643</f>
        <v>2</v>
      </c>
      <c r="I643" s="166">
        <f>SUMIFS(Продажи!F$5:F$359,Продажи!$D$5:$D$359,Конструкторы!$B643,Продажи!$C$5:$C$359,Конструкторы!$A643)</f>
        <v>0</v>
      </c>
      <c r="J643" s="166">
        <f>SUMIFS(Продажи!G$5:G$359,Продажи!$D$5:$D$359,Конструкторы!$B643,Продажи!$C$5:$C$359,Конструкторы!$A643)</f>
        <v>0</v>
      </c>
      <c r="K643" s="166">
        <f>SUMIFS(Продажи!H$5:H$359,Продажи!$D$5:$D$359,Конструкторы!$B643,Продажи!$C$5:$C$359,Конструкторы!$A643)</f>
        <v>0</v>
      </c>
      <c r="L643" s="166">
        <f>SUMIFS(Продажи!I$5:I$359,Продажи!$D$5:$D$359,Конструкторы!$B643,Продажи!$C$5:$C$359,Конструкторы!$A643)</f>
        <v>0</v>
      </c>
      <c r="M643" s="166">
        <f>SUMIFS(Продажи!J$5:J$359,Продажи!$D$5:$D$359,Конструкторы!$B643,Продажи!$C$5:$C$359,Конструкторы!$A643)</f>
        <v>0</v>
      </c>
      <c r="N643" s="166">
        <f>SUMIFS(Продажи!K$5:K$359,Продажи!$D$5:$D$359,Конструкторы!$B643,Продажи!$C$5:$C$359,Конструкторы!$A643)</f>
        <v>0</v>
      </c>
      <c r="O643" s="166">
        <f>SUMIFS(Продажи!L$5:L$359,Продажи!$D$5:$D$359,Конструкторы!$B643,Продажи!$C$5:$C$359,Конструкторы!$A643)</f>
        <v>0</v>
      </c>
      <c r="P643" s="166">
        <f>SUMIFS(Продажи!M$5:M$359,Продажи!$D$5:$D$359,Конструкторы!$B643,Продажи!$C$5:$C$359,Конструкторы!$A643)</f>
        <v>0</v>
      </c>
      <c r="Q643" s="166">
        <f>SUMIFS(Продажи!N$5:N$359,Продажи!$D$5:$D$359,Конструкторы!$B643,Продажи!$C$5:$C$359,Конструкторы!$A643)</f>
        <v>0</v>
      </c>
      <c r="R643" s="166">
        <f>SUMIFS(Продажи!O$5:O$359,Продажи!$D$5:$D$359,Конструкторы!$B643,Продажи!$C$5:$C$359,Конструкторы!$A643)</f>
        <v>0</v>
      </c>
      <c r="S643" s="166">
        <f>SUMIFS(Продажи!P$5:P$359,Продажи!$D$5:$D$359,Конструкторы!$B643,Продажи!$C$5:$C$359,Конструкторы!$A643)</f>
        <v>0</v>
      </c>
      <c r="T643" s="166">
        <f>SUMIFS(Продажи!Q$5:Q$359,Продажи!$D$5:$D$359,Конструкторы!$B643,Продажи!$C$5:$C$359,Конструкторы!$A643)</f>
        <v>0</v>
      </c>
    </row>
    <row r="644" spans="1:20" ht="15.75" hidden="1" x14ac:dyDescent="0.25">
      <c r="A644" s="166" t="s">
        <v>397</v>
      </c>
      <c r="B644" s="167" t="s">
        <v>125</v>
      </c>
      <c r="C644" s="33" t="s">
        <v>76</v>
      </c>
      <c r="D644" s="149"/>
      <c r="E644" s="153" t="s">
        <v>70</v>
      </c>
      <c r="F644" s="148">
        <v>8</v>
      </c>
      <c r="G644" s="156" t="s">
        <v>71</v>
      </c>
      <c r="H644" s="156">
        <f>F644</f>
        <v>8</v>
      </c>
      <c r="I644" s="166">
        <f>SUMIFS(Продажи!F$5:F$359,Продажи!$D$5:$D$359,Конструкторы!$B644,Продажи!$C$5:$C$359,Конструкторы!$A644)</f>
        <v>0</v>
      </c>
      <c r="J644" s="166">
        <f>SUMIFS(Продажи!G$5:G$359,Продажи!$D$5:$D$359,Конструкторы!$B644,Продажи!$C$5:$C$359,Конструкторы!$A644)</f>
        <v>0</v>
      </c>
      <c r="K644" s="166">
        <f>SUMIFS(Продажи!H$5:H$359,Продажи!$D$5:$D$359,Конструкторы!$B644,Продажи!$C$5:$C$359,Конструкторы!$A644)</f>
        <v>0</v>
      </c>
      <c r="L644" s="166">
        <f>SUMIFS(Продажи!I$5:I$359,Продажи!$D$5:$D$359,Конструкторы!$B644,Продажи!$C$5:$C$359,Конструкторы!$A644)</f>
        <v>0</v>
      </c>
      <c r="M644" s="166">
        <f>SUMIFS(Продажи!J$5:J$359,Продажи!$D$5:$D$359,Конструкторы!$B644,Продажи!$C$5:$C$359,Конструкторы!$A644)</f>
        <v>0</v>
      </c>
      <c r="N644" s="166">
        <f>SUMIFS(Продажи!K$5:K$359,Продажи!$D$5:$D$359,Конструкторы!$B644,Продажи!$C$5:$C$359,Конструкторы!$A644)</f>
        <v>0</v>
      </c>
      <c r="O644" s="166">
        <f>SUMIFS(Продажи!L$5:L$359,Продажи!$D$5:$D$359,Конструкторы!$B644,Продажи!$C$5:$C$359,Конструкторы!$A644)</f>
        <v>0</v>
      </c>
      <c r="P644" s="166">
        <f>SUMIFS(Продажи!M$5:M$359,Продажи!$D$5:$D$359,Конструкторы!$B644,Продажи!$C$5:$C$359,Конструкторы!$A644)</f>
        <v>0</v>
      </c>
      <c r="Q644" s="166">
        <f>SUMIFS(Продажи!N$5:N$359,Продажи!$D$5:$D$359,Конструкторы!$B644,Продажи!$C$5:$C$359,Конструкторы!$A644)</f>
        <v>0</v>
      </c>
      <c r="R644" s="166">
        <f>SUMIFS(Продажи!O$5:O$359,Продажи!$D$5:$D$359,Конструкторы!$B644,Продажи!$C$5:$C$359,Конструкторы!$A644)</f>
        <v>0</v>
      </c>
      <c r="S644" s="166">
        <f>SUMIFS(Продажи!P$5:P$359,Продажи!$D$5:$D$359,Конструкторы!$B644,Продажи!$C$5:$C$359,Конструкторы!$A644)</f>
        <v>0</v>
      </c>
      <c r="T644" s="166">
        <f>SUMIFS(Продажи!Q$5:Q$359,Продажи!$D$5:$D$359,Конструкторы!$B644,Продажи!$C$5:$C$359,Конструкторы!$A644)</f>
        <v>0</v>
      </c>
    </row>
    <row r="645" spans="1:20" ht="15.75" hidden="1" x14ac:dyDescent="0.25">
      <c r="A645" s="166" t="s">
        <v>397</v>
      </c>
      <c r="B645" s="167" t="s">
        <v>126</v>
      </c>
      <c r="C645" s="129" t="s">
        <v>61</v>
      </c>
      <c r="D645" s="149"/>
      <c r="E645" s="153" t="s">
        <v>68</v>
      </c>
      <c r="F645" s="156">
        <f>(1.2*103)/100</f>
        <v>1.236</v>
      </c>
      <c r="G645" s="156">
        <v>3.6000000000000032E-2</v>
      </c>
      <c r="H645" s="156">
        <f>F645+G645</f>
        <v>1.272</v>
      </c>
      <c r="I645" s="166">
        <f>SUMIFS(Продажи!F$5:F$359,Продажи!$D$5:$D$359,Конструкторы!$B645,Продажи!$C$5:$C$359,Конструкторы!$A645)</f>
        <v>0</v>
      </c>
      <c r="J645" s="166">
        <f>SUMIFS(Продажи!G$5:G$359,Продажи!$D$5:$D$359,Конструкторы!$B645,Продажи!$C$5:$C$359,Конструкторы!$A645)</f>
        <v>0</v>
      </c>
      <c r="K645" s="166">
        <f>SUMIFS(Продажи!H$5:H$359,Продажи!$D$5:$D$359,Конструкторы!$B645,Продажи!$C$5:$C$359,Конструкторы!$A645)</f>
        <v>0</v>
      </c>
      <c r="L645" s="166">
        <f>SUMIFS(Продажи!I$5:I$359,Продажи!$D$5:$D$359,Конструкторы!$B645,Продажи!$C$5:$C$359,Конструкторы!$A645)</f>
        <v>0</v>
      </c>
      <c r="M645" s="166">
        <f>SUMIFS(Продажи!J$5:J$359,Продажи!$D$5:$D$359,Конструкторы!$B645,Продажи!$C$5:$C$359,Конструкторы!$A645)</f>
        <v>0</v>
      </c>
      <c r="N645" s="166">
        <f>SUMIFS(Продажи!K$5:K$359,Продажи!$D$5:$D$359,Конструкторы!$B645,Продажи!$C$5:$C$359,Конструкторы!$A645)</f>
        <v>0</v>
      </c>
      <c r="O645" s="166">
        <f>SUMIFS(Продажи!L$5:L$359,Продажи!$D$5:$D$359,Конструкторы!$B645,Продажи!$C$5:$C$359,Конструкторы!$A645)</f>
        <v>0</v>
      </c>
      <c r="P645" s="166">
        <f>SUMIFS(Продажи!M$5:M$359,Продажи!$D$5:$D$359,Конструкторы!$B645,Продажи!$C$5:$C$359,Конструкторы!$A645)</f>
        <v>0</v>
      </c>
      <c r="Q645" s="166">
        <f>SUMIFS(Продажи!N$5:N$359,Продажи!$D$5:$D$359,Конструкторы!$B645,Продажи!$C$5:$C$359,Конструкторы!$A645)</f>
        <v>0</v>
      </c>
      <c r="R645" s="166">
        <f>SUMIFS(Продажи!O$5:O$359,Продажи!$D$5:$D$359,Конструкторы!$B645,Продажи!$C$5:$C$359,Конструкторы!$A645)</f>
        <v>0</v>
      </c>
      <c r="S645" s="166">
        <f>SUMIFS(Продажи!P$5:P$359,Продажи!$D$5:$D$359,Конструкторы!$B645,Продажи!$C$5:$C$359,Конструкторы!$A645)</f>
        <v>0</v>
      </c>
      <c r="T645" s="166">
        <f>SUMIFS(Продажи!Q$5:Q$359,Продажи!$D$5:$D$359,Конструкторы!$B645,Продажи!$C$5:$C$359,Конструкторы!$A645)</f>
        <v>0</v>
      </c>
    </row>
    <row r="646" spans="1:20" ht="15.75" hidden="1" x14ac:dyDescent="0.25">
      <c r="A646" s="166" t="s">
        <v>397</v>
      </c>
      <c r="B646" s="167" t="s">
        <v>126</v>
      </c>
      <c r="C646" s="129" t="s">
        <v>64</v>
      </c>
      <c r="D646" s="149"/>
      <c r="E646" s="153" t="s">
        <v>68</v>
      </c>
      <c r="F646" s="156">
        <f>(0.29*103)/100</f>
        <v>0.29869999999999997</v>
      </c>
      <c r="G646" s="156">
        <v>8.6999999999999855E-3</v>
      </c>
      <c r="H646" s="156">
        <f>F646+G646</f>
        <v>0.30739999999999995</v>
      </c>
      <c r="I646" s="166">
        <f>SUMIFS(Продажи!F$5:F$359,Продажи!$D$5:$D$359,Конструкторы!$B646,Продажи!$C$5:$C$359,Конструкторы!$A646)</f>
        <v>0</v>
      </c>
      <c r="J646" s="166">
        <f>SUMIFS(Продажи!G$5:G$359,Продажи!$D$5:$D$359,Конструкторы!$B646,Продажи!$C$5:$C$359,Конструкторы!$A646)</f>
        <v>0</v>
      </c>
      <c r="K646" s="166">
        <f>SUMIFS(Продажи!H$5:H$359,Продажи!$D$5:$D$359,Конструкторы!$B646,Продажи!$C$5:$C$359,Конструкторы!$A646)</f>
        <v>0</v>
      </c>
      <c r="L646" s="166">
        <f>SUMIFS(Продажи!I$5:I$359,Продажи!$D$5:$D$359,Конструкторы!$B646,Продажи!$C$5:$C$359,Конструкторы!$A646)</f>
        <v>0</v>
      </c>
      <c r="M646" s="166">
        <f>SUMIFS(Продажи!J$5:J$359,Продажи!$D$5:$D$359,Конструкторы!$B646,Продажи!$C$5:$C$359,Конструкторы!$A646)</f>
        <v>0</v>
      </c>
      <c r="N646" s="166">
        <f>SUMIFS(Продажи!K$5:K$359,Продажи!$D$5:$D$359,Конструкторы!$B646,Продажи!$C$5:$C$359,Конструкторы!$A646)</f>
        <v>0</v>
      </c>
      <c r="O646" s="166">
        <f>SUMIFS(Продажи!L$5:L$359,Продажи!$D$5:$D$359,Конструкторы!$B646,Продажи!$C$5:$C$359,Конструкторы!$A646)</f>
        <v>0</v>
      </c>
      <c r="P646" s="166">
        <f>SUMIFS(Продажи!M$5:M$359,Продажи!$D$5:$D$359,Конструкторы!$B646,Продажи!$C$5:$C$359,Конструкторы!$A646)</f>
        <v>0</v>
      </c>
      <c r="Q646" s="166">
        <f>SUMIFS(Продажи!N$5:N$359,Продажи!$D$5:$D$359,Конструкторы!$B646,Продажи!$C$5:$C$359,Конструкторы!$A646)</f>
        <v>0</v>
      </c>
      <c r="R646" s="166">
        <f>SUMIFS(Продажи!O$5:O$359,Продажи!$D$5:$D$359,Конструкторы!$B646,Продажи!$C$5:$C$359,Конструкторы!$A646)</f>
        <v>0</v>
      </c>
      <c r="S646" s="166">
        <f>SUMIFS(Продажи!P$5:P$359,Продажи!$D$5:$D$359,Конструкторы!$B646,Продажи!$C$5:$C$359,Конструкторы!$A646)</f>
        <v>0</v>
      </c>
      <c r="T646" s="166">
        <f>SUMIFS(Продажи!Q$5:Q$359,Продажи!$D$5:$D$359,Конструкторы!$B646,Продажи!$C$5:$C$359,Конструкторы!$A646)</f>
        <v>0</v>
      </c>
    </row>
    <row r="647" spans="1:20" ht="15.75" hidden="1" x14ac:dyDescent="0.25">
      <c r="A647" s="166" t="s">
        <v>397</v>
      </c>
      <c r="B647" s="167" t="s">
        <v>126</v>
      </c>
      <c r="C647" s="129" t="s">
        <v>60</v>
      </c>
      <c r="D647" s="149"/>
      <c r="E647" s="153"/>
      <c r="F647" s="156">
        <f>(0.288*103)/100</f>
        <v>0.29663999999999996</v>
      </c>
      <c r="G647" s="156">
        <v>8.639999999999981E-3</v>
      </c>
      <c r="H647" s="156">
        <f>F647+G647</f>
        <v>0.30527999999999994</v>
      </c>
      <c r="I647" s="166">
        <f>SUMIFS(Продажи!F$5:F$359,Продажи!$D$5:$D$359,Конструкторы!$B647,Продажи!$C$5:$C$359,Конструкторы!$A647)</f>
        <v>0</v>
      </c>
      <c r="J647" s="166">
        <f>SUMIFS(Продажи!G$5:G$359,Продажи!$D$5:$D$359,Конструкторы!$B647,Продажи!$C$5:$C$359,Конструкторы!$A647)</f>
        <v>0</v>
      </c>
      <c r="K647" s="166">
        <f>SUMIFS(Продажи!H$5:H$359,Продажи!$D$5:$D$359,Конструкторы!$B647,Продажи!$C$5:$C$359,Конструкторы!$A647)</f>
        <v>0</v>
      </c>
      <c r="L647" s="166">
        <f>SUMIFS(Продажи!I$5:I$359,Продажи!$D$5:$D$359,Конструкторы!$B647,Продажи!$C$5:$C$359,Конструкторы!$A647)</f>
        <v>0</v>
      </c>
      <c r="M647" s="166">
        <f>SUMIFS(Продажи!J$5:J$359,Продажи!$D$5:$D$359,Конструкторы!$B647,Продажи!$C$5:$C$359,Конструкторы!$A647)</f>
        <v>0</v>
      </c>
      <c r="N647" s="166">
        <f>SUMIFS(Продажи!K$5:K$359,Продажи!$D$5:$D$359,Конструкторы!$B647,Продажи!$C$5:$C$359,Конструкторы!$A647)</f>
        <v>0</v>
      </c>
      <c r="O647" s="166">
        <f>SUMIFS(Продажи!L$5:L$359,Продажи!$D$5:$D$359,Конструкторы!$B647,Продажи!$C$5:$C$359,Конструкторы!$A647)</f>
        <v>0</v>
      </c>
      <c r="P647" s="166">
        <f>SUMIFS(Продажи!M$5:M$359,Продажи!$D$5:$D$359,Конструкторы!$B647,Продажи!$C$5:$C$359,Конструкторы!$A647)</f>
        <v>0</v>
      </c>
      <c r="Q647" s="166">
        <f>SUMIFS(Продажи!N$5:N$359,Продажи!$D$5:$D$359,Конструкторы!$B647,Продажи!$C$5:$C$359,Конструкторы!$A647)</f>
        <v>0</v>
      </c>
      <c r="R647" s="166">
        <f>SUMIFS(Продажи!O$5:O$359,Продажи!$D$5:$D$359,Конструкторы!$B647,Продажи!$C$5:$C$359,Конструкторы!$A647)</f>
        <v>0</v>
      </c>
      <c r="S647" s="166">
        <f>SUMIFS(Продажи!P$5:P$359,Продажи!$D$5:$D$359,Конструкторы!$B647,Продажи!$C$5:$C$359,Конструкторы!$A647)</f>
        <v>0</v>
      </c>
      <c r="T647" s="166">
        <f>SUMIFS(Продажи!Q$5:Q$359,Продажи!$D$5:$D$359,Конструкторы!$B647,Продажи!$C$5:$C$359,Конструкторы!$A647)</f>
        <v>0</v>
      </c>
    </row>
    <row r="648" spans="1:20" ht="15.75" hidden="1" x14ac:dyDescent="0.25">
      <c r="A648" s="166" t="s">
        <v>397</v>
      </c>
      <c r="B648" s="167" t="s">
        <v>126</v>
      </c>
      <c r="C648" s="33" t="s">
        <v>72</v>
      </c>
      <c r="D648" s="149"/>
      <c r="E648" s="153" t="s">
        <v>70</v>
      </c>
      <c r="F648" s="148">
        <v>2</v>
      </c>
      <c r="G648" s="156" t="s">
        <v>71</v>
      </c>
      <c r="H648" s="156">
        <f>F648</f>
        <v>2</v>
      </c>
      <c r="I648" s="166">
        <f>SUMIFS(Продажи!F$5:F$359,Продажи!$D$5:$D$359,Конструкторы!$B648,Продажи!$C$5:$C$359,Конструкторы!$A648)</f>
        <v>0</v>
      </c>
      <c r="J648" s="166">
        <f>SUMIFS(Продажи!G$5:G$359,Продажи!$D$5:$D$359,Конструкторы!$B648,Продажи!$C$5:$C$359,Конструкторы!$A648)</f>
        <v>0</v>
      </c>
      <c r="K648" s="166">
        <f>SUMIFS(Продажи!H$5:H$359,Продажи!$D$5:$D$359,Конструкторы!$B648,Продажи!$C$5:$C$359,Конструкторы!$A648)</f>
        <v>0</v>
      </c>
      <c r="L648" s="166">
        <f>SUMIFS(Продажи!I$5:I$359,Продажи!$D$5:$D$359,Конструкторы!$B648,Продажи!$C$5:$C$359,Конструкторы!$A648)</f>
        <v>0</v>
      </c>
      <c r="M648" s="166">
        <f>SUMIFS(Продажи!J$5:J$359,Продажи!$D$5:$D$359,Конструкторы!$B648,Продажи!$C$5:$C$359,Конструкторы!$A648)</f>
        <v>0</v>
      </c>
      <c r="N648" s="166">
        <f>SUMIFS(Продажи!K$5:K$359,Продажи!$D$5:$D$359,Конструкторы!$B648,Продажи!$C$5:$C$359,Конструкторы!$A648)</f>
        <v>0</v>
      </c>
      <c r="O648" s="166">
        <f>SUMIFS(Продажи!L$5:L$359,Продажи!$D$5:$D$359,Конструкторы!$B648,Продажи!$C$5:$C$359,Конструкторы!$A648)</f>
        <v>0</v>
      </c>
      <c r="P648" s="166">
        <f>SUMIFS(Продажи!M$5:M$359,Продажи!$D$5:$D$359,Конструкторы!$B648,Продажи!$C$5:$C$359,Конструкторы!$A648)</f>
        <v>0</v>
      </c>
      <c r="Q648" s="166">
        <f>SUMIFS(Продажи!N$5:N$359,Продажи!$D$5:$D$359,Конструкторы!$B648,Продажи!$C$5:$C$359,Конструкторы!$A648)</f>
        <v>0</v>
      </c>
      <c r="R648" s="166">
        <f>SUMIFS(Продажи!O$5:O$359,Продажи!$D$5:$D$359,Конструкторы!$B648,Продажи!$C$5:$C$359,Конструкторы!$A648)</f>
        <v>0</v>
      </c>
      <c r="S648" s="166">
        <f>SUMIFS(Продажи!P$5:P$359,Продажи!$D$5:$D$359,Конструкторы!$B648,Продажи!$C$5:$C$359,Конструкторы!$A648)</f>
        <v>0</v>
      </c>
      <c r="T648" s="166">
        <f>SUMIFS(Продажи!Q$5:Q$359,Продажи!$D$5:$D$359,Конструкторы!$B648,Продажи!$C$5:$C$359,Конструкторы!$A648)</f>
        <v>0</v>
      </c>
    </row>
    <row r="649" spans="1:20" ht="15.75" hidden="1" x14ac:dyDescent="0.25">
      <c r="A649" s="166" t="s">
        <v>397</v>
      </c>
      <c r="B649" s="167" t="s">
        <v>126</v>
      </c>
      <c r="C649" s="33" t="s">
        <v>76</v>
      </c>
      <c r="D649" s="149"/>
      <c r="E649" s="153" t="s">
        <v>70</v>
      </c>
      <c r="F649" s="148">
        <v>8</v>
      </c>
      <c r="G649" s="156" t="s">
        <v>71</v>
      </c>
      <c r="H649" s="156">
        <f>F649</f>
        <v>8</v>
      </c>
      <c r="I649" s="166">
        <f>SUMIFS(Продажи!F$5:F$359,Продажи!$D$5:$D$359,Конструкторы!$B649,Продажи!$C$5:$C$359,Конструкторы!$A649)</f>
        <v>0</v>
      </c>
      <c r="J649" s="166">
        <f>SUMIFS(Продажи!G$5:G$359,Продажи!$D$5:$D$359,Конструкторы!$B649,Продажи!$C$5:$C$359,Конструкторы!$A649)</f>
        <v>0</v>
      </c>
      <c r="K649" s="166">
        <f>SUMIFS(Продажи!H$5:H$359,Продажи!$D$5:$D$359,Конструкторы!$B649,Продажи!$C$5:$C$359,Конструкторы!$A649)</f>
        <v>0</v>
      </c>
      <c r="L649" s="166">
        <f>SUMIFS(Продажи!I$5:I$359,Продажи!$D$5:$D$359,Конструкторы!$B649,Продажи!$C$5:$C$359,Конструкторы!$A649)</f>
        <v>0</v>
      </c>
      <c r="M649" s="166">
        <f>SUMIFS(Продажи!J$5:J$359,Продажи!$D$5:$D$359,Конструкторы!$B649,Продажи!$C$5:$C$359,Конструкторы!$A649)</f>
        <v>0</v>
      </c>
      <c r="N649" s="166">
        <f>SUMIFS(Продажи!K$5:K$359,Продажи!$D$5:$D$359,Конструкторы!$B649,Продажи!$C$5:$C$359,Конструкторы!$A649)</f>
        <v>0</v>
      </c>
      <c r="O649" s="166">
        <f>SUMIFS(Продажи!L$5:L$359,Продажи!$D$5:$D$359,Конструкторы!$B649,Продажи!$C$5:$C$359,Конструкторы!$A649)</f>
        <v>0</v>
      </c>
      <c r="P649" s="166">
        <f>SUMIFS(Продажи!M$5:M$359,Продажи!$D$5:$D$359,Конструкторы!$B649,Продажи!$C$5:$C$359,Конструкторы!$A649)</f>
        <v>0</v>
      </c>
      <c r="Q649" s="166">
        <f>SUMIFS(Продажи!N$5:N$359,Продажи!$D$5:$D$359,Конструкторы!$B649,Продажи!$C$5:$C$359,Конструкторы!$A649)</f>
        <v>0</v>
      </c>
      <c r="R649" s="166">
        <f>SUMIFS(Продажи!O$5:O$359,Продажи!$D$5:$D$359,Конструкторы!$B649,Продажи!$C$5:$C$359,Конструкторы!$A649)</f>
        <v>0</v>
      </c>
      <c r="S649" s="166">
        <f>SUMIFS(Продажи!P$5:P$359,Продажи!$D$5:$D$359,Конструкторы!$B649,Продажи!$C$5:$C$359,Конструкторы!$A649)</f>
        <v>0</v>
      </c>
      <c r="T649" s="166">
        <f>SUMIFS(Продажи!Q$5:Q$359,Продажи!$D$5:$D$359,Конструкторы!$B649,Продажи!$C$5:$C$359,Конструкторы!$A649)</f>
        <v>0</v>
      </c>
    </row>
    <row r="650" spans="1:20" ht="15.75" hidden="1" x14ac:dyDescent="0.25">
      <c r="A650" s="166" t="s">
        <v>397</v>
      </c>
      <c r="B650" s="167" t="s">
        <v>127</v>
      </c>
      <c r="C650" s="129" t="s">
        <v>62</v>
      </c>
      <c r="D650" s="149"/>
      <c r="E650" s="153" t="s">
        <v>68</v>
      </c>
      <c r="F650" s="156">
        <f>(1.2*103)/100</f>
        <v>1.236</v>
      </c>
      <c r="G650" s="156">
        <v>3.6000000000000032E-2</v>
      </c>
      <c r="H650" s="156">
        <f>F650+G650</f>
        <v>1.272</v>
      </c>
      <c r="I650" s="166">
        <f>SUMIFS(Продажи!F$5:F$359,Продажи!$D$5:$D$359,Конструкторы!$B650,Продажи!$C$5:$C$359,Конструкторы!$A650)</f>
        <v>0</v>
      </c>
      <c r="J650" s="166">
        <f>SUMIFS(Продажи!G$5:G$359,Продажи!$D$5:$D$359,Конструкторы!$B650,Продажи!$C$5:$C$359,Конструкторы!$A650)</f>
        <v>0</v>
      </c>
      <c r="K650" s="166">
        <f>SUMIFS(Продажи!H$5:H$359,Продажи!$D$5:$D$359,Конструкторы!$B650,Продажи!$C$5:$C$359,Конструкторы!$A650)</f>
        <v>0</v>
      </c>
      <c r="L650" s="166">
        <f>SUMIFS(Продажи!I$5:I$359,Продажи!$D$5:$D$359,Конструкторы!$B650,Продажи!$C$5:$C$359,Конструкторы!$A650)</f>
        <v>0</v>
      </c>
      <c r="M650" s="166">
        <f>SUMIFS(Продажи!J$5:J$359,Продажи!$D$5:$D$359,Конструкторы!$B650,Продажи!$C$5:$C$359,Конструкторы!$A650)</f>
        <v>0</v>
      </c>
      <c r="N650" s="166">
        <f>SUMIFS(Продажи!K$5:K$359,Продажи!$D$5:$D$359,Конструкторы!$B650,Продажи!$C$5:$C$359,Конструкторы!$A650)</f>
        <v>0</v>
      </c>
      <c r="O650" s="166">
        <f>SUMIFS(Продажи!L$5:L$359,Продажи!$D$5:$D$359,Конструкторы!$B650,Продажи!$C$5:$C$359,Конструкторы!$A650)</f>
        <v>0</v>
      </c>
      <c r="P650" s="166">
        <f>SUMIFS(Продажи!M$5:M$359,Продажи!$D$5:$D$359,Конструкторы!$B650,Продажи!$C$5:$C$359,Конструкторы!$A650)</f>
        <v>0</v>
      </c>
      <c r="Q650" s="166">
        <f>SUMIFS(Продажи!N$5:N$359,Продажи!$D$5:$D$359,Конструкторы!$B650,Продажи!$C$5:$C$359,Конструкторы!$A650)</f>
        <v>0</v>
      </c>
      <c r="R650" s="166">
        <f>SUMIFS(Продажи!O$5:O$359,Продажи!$D$5:$D$359,Конструкторы!$B650,Продажи!$C$5:$C$359,Конструкторы!$A650)</f>
        <v>0</v>
      </c>
      <c r="S650" s="166">
        <f>SUMIFS(Продажи!P$5:P$359,Продажи!$D$5:$D$359,Конструкторы!$B650,Продажи!$C$5:$C$359,Конструкторы!$A650)</f>
        <v>0</v>
      </c>
      <c r="T650" s="166">
        <f>SUMIFS(Продажи!Q$5:Q$359,Продажи!$D$5:$D$359,Конструкторы!$B650,Продажи!$C$5:$C$359,Конструкторы!$A650)</f>
        <v>0</v>
      </c>
    </row>
    <row r="651" spans="1:20" ht="15.75" hidden="1" x14ac:dyDescent="0.25">
      <c r="A651" s="166" t="s">
        <v>397</v>
      </c>
      <c r="B651" s="167" t="s">
        <v>127</v>
      </c>
      <c r="C651" s="129" t="s">
        <v>64</v>
      </c>
      <c r="D651" s="149"/>
      <c r="E651" s="153" t="s">
        <v>68</v>
      </c>
      <c r="F651" s="156">
        <f>(0.29*103)/100</f>
        <v>0.29869999999999997</v>
      </c>
      <c r="G651" s="156">
        <v>8.6999999999999855E-3</v>
      </c>
      <c r="H651" s="156">
        <f>F651+G651</f>
        <v>0.30739999999999995</v>
      </c>
      <c r="I651" s="166">
        <f>SUMIFS(Продажи!F$5:F$359,Продажи!$D$5:$D$359,Конструкторы!$B651,Продажи!$C$5:$C$359,Конструкторы!$A651)</f>
        <v>0</v>
      </c>
      <c r="J651" s="166">
        <f>SUMIFS(Продажи!G$5:G$359,Продажи!$D$5:$D$359,Конструкторы!$B651,Продажи!$C$5:$C$359,Конструкторы!$A651)</f>
        <v>0</v>
      </c>
      <c r="K651" s="166">
        <f>SUMIFS(Продажи!H$5:H$359,Продажи!$D$5:$D$359,Конструкторы!$B651,Продажи!$C$5:$C$359,Конструкторы!$A651)</f>
        <v>0</v>
      </c>
      <c r="L651" s="166">
        <f>SUMIFS(Продажи!I$5:I$359,Продажи!$D$5:$D$359,Конструкторы!$B651,Продажи!$C$5:$C$359,Конструкторы!$A651)</f>
        <v>0</v>
      </c>
      <c r="M651" s="166">
        <f>SUMIFS(Продажи!J$5:J$359,Продажи!$D$5:$D$359,Конструкторы!$B651,Продажи!$C$5:$C$359,Конструкторы!$A651)</f>
        <v>0</v>
      </c>
      <c r="N651" s="166">
        <f>SUMIFS(Продажи!K$5:K$359,Продажи!$D$5:$D$359,Конструкторы!$B651,Продажи!$C$5:$C$359,Конструкторы!$A651)</f>
        <v>0</v>
      </c>
      <c r="O651" s="166">
        <f>SUMIFS(Продажи!L$5:L$359,Продажи!$D$5:$D$359,Конструкторы!$B651,Продажи!$C$5:$C$359,Конструкторы!$A651)</f>
        <v>0</v>
      </c>
      <c r="P651" s="166">
        <f>SUMIFS(Продажи!M$5:M$359,Продажи!$D$5:$D$359,Конструкторы!$B651,Продажи!$C$5:$C$359,Конструкторы!$A651)</f>
        <v>0</v>
      </c>
      <c r="Q651" s="166">
        <f>SUMIFS(Продажи!N$5:N$359,Продажи!$D$5:$D$359,Конструкторы!$B651,Продажи!$C$5:$C$359,Конструкторы!$A651)</f>
        <v>0</v>
      </c>
      <c r="R651" s="166">
        <f>SUMIFS(Продажи!O$5:O$359,Продажи!$D$5:$D$359,Конструкторы!$B651,Продажи!$C$5:$C$359,Конструкторы!$A651)</f>
        <v>0</v>
      </c>
      <c r="S651" s="166">
        <f>SUMIFS(Продажи!P$5:P$359,Продажи!$D$5:$D$359,Конструкторы!$B651,Продажи!$C$5:$C$359,Конструкторы!$A651)</f>
        <v>0</v>
      </c>
      <c r="T651" s="166">
        <f>SUMIFS(Продажи!Q$5:Q$359,Продажи!$D$5:$D$359,Конструкторы!$B651,Продажи!$C$5:$C$359,Конструкторы!$A651)</f>
        <v>0</v>
      </c>
    </row>
    <row r="652" spans="1:20" ht="15.75" hidden="1" x14ac:dyDescent="0.25">
      <c r="A652" s="166" t="s">
        <v>397</v>
      </c>
      <c r="B652" s="167" t="s">
        <v>127</v>
      </c>
      <c r="C652" s="129" t="s">
        <v>60</v>
      </c>
      <c r="D652" s="149"/>
      <c r="E652" s="153"/>
      <c r="F652" s="156">
        <f>(0.288*103)/100</f>
        <v>0.29663999999999996</v>
      </c>
      <c r="G652" s="156">
        <v>8.639999999999981E-3</v>
      </c>
      <c r="H652" s="156">
        <f>F652+G652</f>
        <v>0.30527999999999994</v>
      </c>
      <c r="I652" s="166">
        <f>SUMIFS(Продажи!F$5:F$359,Продажи!$D$5:$D$359,Конструкторы!$B652,Продажи!$C$5:$C$359,Конструкторы!$A652)</f>
        <v>0</v>
      </c>
      <c r="J652" s="166">
        <f>SUMIFS(Продажи!G$5:G$359,Продажи!$D$5:$D$359,Конструкторы!$B652,Продажи!$C$5:$C$359,Конструкторы!$A652)</f>
        <v>0</v>
      </c>
      <c r="K652" s="166">
        <f>SUMIFS(Продажи!H$5:H$359,Продажи!$D$5:$D$359,Конструкторы!$B652,Продажи!$C$5:$C$359,Конструкторы!$A652)</f>
        <v>0</v>
      </c>
      <c r="L652" s="166">
        <f>SUMIFS(Продажи!I$5:I$359,Продажи!$D$5:$D$359,Конструкторы!$B652,Продажи!$C$5:$C$359,Конструкторы!$A652)</f>
        <v>0</v>
      </c>
      <c r="M652" s="166">
        <f>SUMIFS(Продажи!J$5:J$359,Продажи!$D$5:$D$359,Конструкторы!$B652,Продажи!$C$5:$C$359,Конструкторы!$A652)</f>
        <v>0</v>
      </c>
      <c r="N652" s="166">
        <f>SUMIFS(Продажи!K$5:K$359,Продажи!$D$5:$D$359,Конструкторы!$B652,Продажи!$C$5:$C$359,Конструкторы!$A652)</f>
        <v>0</v>
      </c>
      <c r="O652" s="166">
        <f>SUMIFS(Продажи!L$5:L$359,Продажи!$D$5:$D$359,Конструкторы!$B652,Продажи!$C$5:$C$359,Конструкторы!$A652)</f>
        <v>0</v>
      </c>
      <c r="P652" s="166">
        <f>SUMIFS(Продажи!M$5:M$359,Продажи!$D$5:$D$359,Конструкторы!$B652,Продажи!$C$5:$C$359,Конструкторы!$A652)</f>
        <v>0</v>
      </c>
      <c r="Q652" s="166">
        <f>SUMIFS(Продажи!N$5:N$359,Продажи!$D$5:$D$359,Конструкторы!$B652,Продажи!$C$5:$C$359,Конструкторы!$A652)</f>
        <v>0</v>
      </c>
      <c r="R652" s="166">
        <f>SUMIFS(Продажи!O$5:O$359,Продажи!$D$5:$D$359,Конструкторы!$B652,Продажи!$C$5:$C$359,Конструкторы!$A652)</f>
        <v>0</v>
      </c>
      <c r="S652" s="166">
        <f>SUMIFS(Продажи!P$5:P$359,Продажи!$D$5:$D$359,Конструкторы!$B652,Продажи!$C$5:$C$359,Конструкторы!$A652)</f>
        <v>0</v>
      </c>
      <c r="T652" s="166">
        <f>SUMIFS(Продажи!Q$5:Q$359,Продажи!$D$5:$D$359,Конструкторы!$B652,Продажи!$C$5:$C$359,Конструкторы!$A652)</f>
        <v>0</v>
      </c>
    </row>
    <row r="653" spans="1:20" ht="15.75" hidden="1" x14ac:dyDescent="0.25">
      <c r="A653" s="166" t="s">
        <v>397</v>
      </c>
      <c r="B653" s="167" t="s">
        <v>127</v>
      </c>
      <c r="C653" s="33" t="s">
        <v>72</v>
      </c>
      <c r="D653" s="149"/>
      <c r="E653" s="153" t="s">
        <v>70</v>
      </c>
      <c r="F653" s="148">
        <v>2</v>
      </c>
      <c r="G653" s="156" t="s">
        <v>71</v>
      </c>
      <c r="H653" s="156">
        <f>F653</f>
        <v>2</v>
      </c>
      <c r="I653" s="166">
        <f>SUMIFS(Продажи!F$5:F$359,Продажи!$D$5:$D$359,Конструкторы!$B653,Продажи!$C$5:$C$359,Конструкторы!$A653)</f>
        <v>0</v>
      </c>
      <c r="J653" s="166">
        <f>SUMIFS(Продажи!G$5:G$359,Продажи!$D$5:$D$359,Конструкторы!$B653,Продажи!$C$5:$C$359,Конструкторы!$A653)</f>
        <v>0</v>
      </c>
      <c r="K653" s="166">
        <f>SUMIFS(Продажи!H$5:H$359,Продажи!$D$5:$D$359,Конструкторы!$B653,Продажи!$C$5:$C$359,Конструкторы!$A653)</f>
        <v>0</v>
      </c>
      <c r="L653" s="166">
        <f>SUMIFS(Продажи!I$5:I$359,Продажи!$D$5:$D$359,Конструкторы!$B653,Продажи!$C$5:$C$359,Конструкторы!$A653)</f>
        <v>0</v>
      </c>
      <c r="M653" s="166">
        <f>SUMIFS(Продажи!J$5:J$359,Продажи!$D$5:$D$359,Конструкторы!$B653,Продажи!$C$5:$C$359,Конструкторы!$A653)</f>
        <v>0</v>
      </c>
      <c r="N653" s="166">
        <f>SUMIFS(Продажи!K$5:K$359,Продажи!$D$5:$D$359,Конструкторы!$B653,Продажи!$C$5:$C$359,Конструкторы!$A653)</f>
        <v>0</v>
      </c>
      <c r="O653" s="166">
        <f>SUMIFS(Продажи!L$5:L$359,Продажи!$D$5:$D$359,Конструкторы!$B653,Продажи!$C$5:$C$359,Конструкторы!$A653)</f>
        <v>0</v>
      </c>
      <c r="P653" s="166">
        <f>SUMIFS(Продажи!M$5:M$359,Продажи!$D$5:$D$359,Конструкторы!$B653,Продажи!$C$5:$C$359,Конструкторы!$A653)</f>
        <v>0</v>
      </c>
      <c r="Q653" s="166">
        <f>SUMIFS(Продажи!N$5:N$359,Продажи!$D$5:$D$359,Конструкторы!$B653,Продажи!$C$5:$C$359,Конструкторы!$A653)</f>
        <v>0</v>
      </c>
      <c r="R653" s="166">
        <f>SUMIFS(Продажи!O$5:O$359,Продажи!$D$5:$D$359,Конструкторы!$B653,Продажи!$C$5:$C$359,Конструкторы!$A653)</f>
        <v>0</v>
      </c>
      <c r="S653" s="166">
        <f>SUMIFS(Продажи!P$5:P$359,Продажи!$D$5:$D$359,Конструкторы!$B653,Продажи!$C$5:$C$359,Конструкторы!$A653)</f>
        <v>0</v>
      </c>
      <c r="T653" s="166">
        <f>SUMIFS(Продажи!Q$5:Q$359,Продажи!$D$5:$D$359,Конструкторы!$B653,Продажи!$C$5:$C$359,Конструкторы!$A653)</f>
        <v>0</v>
      </c>
    </row>
    <row r="654" spans="1:20" ht="15.75" hidden="1" x14ac:dyDescent="0.25">
      <c r="A654" s="166" t="s">
        <v>397</v>
      </c>
      <c r="B654" s="167" t="s">
        <v>127</v>
      </c>
      <c r="C654" s="33" t="s">
        <v>76</v>
      </c>
      <c r="D654" s="149"/>
      <c r="E654" s="153" t="s">
        <v>70</v>
      </c>
      <c r="F654" s="148">
        <v>8</v>
      </c>
      <c r="G654" s="156" t="s">
        <v>71</v>
      </c>
      <c r="H654" s="156">
        <f>F654</f>
        <v>8</v>
      </c>
      <c r="I654" s="166">
        <f>SUMIFS(Продажи!F$5:F$359,Продажи!$D$5:$D$359,Конструкторы!$B654,Продажи!$C$5:$C$359,Конструкторы!$A654)</f>
        <v>0</v>
      </c>
      <c r="J654" s="166">
        <f>SUMIFS(Продажи!G$5:G$359,Продажи!$D$5:$D$359,Конструкторы!$B654,Продажи!$C$5:$C$359,Конструкторы!$A654)</f>
        <v>0</v>
      </c>
      <c r="K654" s="166">
        <f>SUMIFS(Продажи!H$5:H$359,Продажи!$D$5:$D$359,Конструкторы!$B654,Продажи!$C$5:$C$359,Конструкторы!$A654)</f>
        <v>0</v>
      </c>
      <c r="L654" s="166">
        <f>SUMIFS(Продажи!I$5:I$359,Продажи!$D$5:$D$359,Конструкторы!$B654,Продажи!$C$5:$C$359,Конструкторы!$A654)</f>
        <v>0</v>
      </c>
      <c r="M654" s="166">
        <f>SUMIFS(Продажи!J$5:J$359,Продажи!$D$5:$D$359,Конструкторы!$B654,Продажи!$C$5:$C$359,Конструкторы!$A654)</f>
        <v>0</v>
      </c>
      <c r="N654" s="166">
        <f>SUMIFS(Продажи!K$5:K$359,Продажи!$D$5:$D$359,Конструкторы!$B654,Продажи!$C$5:$C$359,Конструкторы!$A654)</f>
        <v>0</v>
      </c>
      <c r="O654" s="166">
        <f>SUMIFS(Продажи!L$5:L$359,Продажи!$D$5:$D$359,Конструкторы!$B654,Продажи!$C$5:$C$359,Конструкторы!$A654)</f>
        <v>0</v>
      </c>
      <c r="P654" s="166">
        <f>SUMIFS(Продажи!M$5:M$359,Продажи!$D$5:$D$359,Конструкторы!$B654,Продажи!$C$5:$C$359,Конструкторы!$A654)</f>
        <v>0</v>
      </c>
      <c r="Q654" s="166">
        <f>SUMIFS(Продажи!N$5:N$359,Продажи!$D$5:$D$359,Конструкторы!$B654,Продажи!$C$5:$C$359,Конструкторы!$A654)</f>
        <v>0</v>
      </c>
      <c r="R654" s="166">
        <f>SUMIFS(Продажи!O$5:O$359,Продажи!$D$5:$D$359,Конструкторы!$B654,Продажи!$C$5:$C$359,Конструкторы!$A654)</f>
        <v>0</v>
      </c>
      <c r="S654" s="166">
        <f>SUMIFS(Продажи!P$5:P$359,Продажи!$D$5:$D$359,Конструкторы!$B654,Продажи!$C$5:$C$359,Конструкторы!$A654)</f>
        <v>0</v>
      </c>
      <c r="T654" s="166">
        <f>SUMIFS(Продажи!Q$5:Q$359,Продажи!$D$5:$D$359,Конструкторы!$B654,Продажи!$C$5:$C$359,Конструкторы!$A654)</f>
        <v>0</v>
      </c>
    </row>
    <row r="655" spans="1:20" ht="15.75" hidden="1" x14ac:dyDescent="0.25">
      <c r="A655" s="166" t="s">
        <v>397</v>
      </c>
      <c r="B655" s="167" t="s">
        <v>128</v>
      </c>
      <c r="C655" s="129" t="s">
        <v>63</v>
      </c>
      <c r="D655" s="149"/>
      <c r="E655" s="153" t="s">
        <v>68</v>
      </c>
      <c r="F655" s="156">
        <f>(1.2*103)/100</f>
        <v>1.236</v>
      </c>
      <c r="G655" s="156">
        <v>3.6000000000000032E-2</v>
      </c>
      <c r="H655" s="156">
        <f>F655+G655</f>
        <v>1.272</v>
      </c>
      <c r="I655" s="166">
        <f>SUMIFS(Продажи!F$5:F$359,Продажи!$D$5:$D$359,Конструкторы!$B655,Продажи!$C$5:$C$359,Конструкторы!$A655)</f>
        <v>0</v>
      </c>
      <c r="J655" s="166">
        <f>SUMIFS(Продажи!G$5:G$359,Продажи!$D$5:$D$359,Конструкторы!$B655,Продажи!$C$5:$C$359,Конструкторы!$A655)</f>
        <v>0</v>
      </c>
      <c r="K655" s="166">
        <f>SUMIFS(Продажи!H$5:H$359,Продажи!$D$5:$D$359,Конструкторы!$B655,Продажи!$C$5:$C$359,Конструкторы!$A655)</f>
        <v>0</v>
      </c>
      <c r="L655" s="166">
        <f>SUMIFS(Продажи!I$5:I$359,Продажи!$D$5:$D$359,Конструкторы!$B655,Продажи!$C$5:$C$359,Конструкторы!$A655)</f>
        <v>0</v>
      </c>
      <c r="M655" s="166">
        <f>SUMIFS(Продажи!J$5:J$359,Продажи!$D$5:$D$359,Конструкторы!$B655,Продажи!$C$5:$C$359,Конструкторы!$A655)</f>
        <v>0</v>
      </c>
      <c r="N655" s="166">
        <f>SUMIFS(Продажи!K$5:K$359,Продажи!$D$5:$D$359,Конструкторы!$B655,Продажи!$C$5:$C$359,Конструкторы!$A655)</f>
        <v>0</v>
      </c>
      <c r="O655" s="166">
        <f>SUMIFS(Продажи!L$5:L$359,Продажи!$D$5:$D$359,Конструкторы!$B655,Продажи!$C$5:$C$359,Конструкторы!$A655)</f>
        <v>0</v>
      </c>
      <c r="P655" s="166">
        <f>SUMIFS(Продажи!M$5:M$359,Продажи!$D$5:$D$359,Конструкторы!$B655,Продажи!$C$5:$C$359,Конструкторы!$A655)</f>
        <v>0</v>
      </c>
      <c r="Q655" s="166">
        <f>SUMIFS(Продажи!N$5:N$359,Продажи!$D$5:$D$359,Конструкторы!$B655,Продажи!$C$5:$C$359,Конструкторы!$A655)</f>
        <v>0</v>
      </c>
      <c r="R655" s="166">
        <f>SUMIFS(Продажи!O$5:O$359,Продажи!$D$5:$D$359,Конструкторы!$B655,Продажи!$C$5:$C$359,Конструкторы!$A655)</f>
        <v>0</v>
      </c>
      <c r="S655" s="166">
        <f>SUMIFS(Продажи!P$5:P$359,Продажи!$D$5:$D$359,Конструкторы!$B655,Продажи!$C$5:$C$359,Конструкторы!$A655)</f>
        <v>0</v>
      </c>
      <c r="T655" s="166">
        <f>SUMIFS(Продажи!Q$5:Q$359,Продажи!$D$5:$D$359,Конструкторы!$B655,Продажи!$C$5:$C$359,Конструкторы!$A655)</f>
        <v>0</v>
      </c>
    </row>
    <row r="656" spans="1:20" ht="15.75" hidden="1" x14ac:dyDescent="0.25">
      <c r="A656" s="166" t="s">
        <v>397</v>
      </c>
      <c r="B656" s="167" t="s">
        <v>128</v>
      </c>
      <c r="C656" s="129" t="s">
        <v>64</v>
      </c>
      <c r="D656" s="149"/>
      <c r="E656" s="153" t="s">
        <v>68</v>
      </c>
      <c r="F656" s="156">
        <f>(0.29*103)/100</f>
        <v>0.29869999999999997</v>
      </c>
      <c r="G656" s="156">
        <v>8.6999999999999855E-3</v>
      </c>
      <c r="H656" s="156">
        <f>F656+G656</f>
        <v>0.30739999999999995</v>
      </c>
      <c r="I656" s="166">
        <f>SUMIFS(Продажи!F$5:F$359,Продажи!$D$5:$D$359,Конструкторы!$B656,Продажи!$C$5:$C$359,Конструкторы!$A656)</f>
        <v>0</v>
      </c>
      <c r="J656" s="166">
        <f>SUMIFS(Продажи!G$5:G$359,Продажи!$D$5:$D$359,Конструкторы!$B656,Продажи!$C$5:$C$359,Конструкторы!$A656)</f>
        <v>0</v>
      </c>
      <c r="K656" s="166">
        <f>SUMIFS(Продажи!H$5:H$359,Продажи!$D$5:$D$359,Конструкторы!$B656,Продажи!$C$5:$C$359,Конструкторы!$A656)</f>
        <v>0</v>
      </c>
      <c r="L656" s="166">
        <f>SUMIFS(Продажи!I$5:I$359,Продажи!$D$5:$D$359,Конструкторы!$B656,Продажи!$C$5:$C$359,Конструкторы!$A656)</f>
        <v>0</v>
      </c>
      <c r="M656" s="166">
        <f>SUMIFS(Продажи!J$5:J$359,Продажи!$D$5:$D$359,Конструкторы!$B656,Продажи!$C$5:$C$359,Конструкторы!$A656)</f>
        <v>0</v>
      </c>
      <c r="N656" s="166">
        <f>SUMIFS(Продажи!K$5:K$359,Продажи!$D$5:$D$359,Конструкторы!$B656,Продажи!$C$5:$C$359,Конструкторы!$A656)</f>
        <v>0</v>
      </c>
      <c r="O656" s="166">
        <f>SUMIFS(Продажи!L$5:L$359,Продажи!$D$5:$D$359,Конструкторы!$B656,Продажи!$C$5:$C$359,Конструкторы!$A656)</f>
        <v>0</v>
      </c>
      <c r="P656" s="166">
        <f>SUMIFS(Продажи!M$5:M$359,Продажи!$D$5:$D$359,Конструкторы!$B656,Продажи!$C$5:$C$359,Конструкторы!$A656)</f>
        <v>0</v>
      </c>
      <c r="Q656" s="166">
        <f>SUMIFS(Продажи!N$5:N$359,Продажи!$D$5:$D$359,Конструкторы!$B656,Продажи!$C$5:$C$359,Конструкторы!$A656)</f>
        <v>0</v>
      </c>
      <c r="R656" s="166">
        <f>SUMIFS(Продажи!O$5:O$359,Продажи!$D$5:$D$359,Конструкторы!$B656,Продажи!$C$5:$C$359,Конструкторы!$A656)</f>
        <v>0</v>
      </c>
      <c r="S656" s="166">
        <f>SUMIFS(Продажи!P$5:P$359,Продажи!$D$5:$D$359,Конструкторы!$B656,Продажи!$C$5:$C$359,Конструкторы!$A656)</f>
        <v>0</v>
      </c>
      <c r="T656" s="166">
        <f>SUMIFS(Продажи!Q$5:Q$359,Продажи!$D$5:$D$359,Конструкторы!$B656,Продажи!$C$5:$C$359,Конструкторы!$A656)</f>
        <v>0</v>
      </c>
    </row>
    <row r="657" spans="1:20" ht="15.75" hidden="1" x14ac:dyDescent="0.25">
      <c r="A657" s="166" t="s">
        <v>397</v>
      </c>
      <c r="B657" s="167" t="s">
        <v>128</v>
      </c>
      <c r="C657" s="129" t="s">
        <v>60</v>
      </c>
      <c r="D657" s="149"/>
      <c r="E657" s="153"/>
      <c r="F657" s="156">
        <f>(0.288*103)/100</f>
        <v>0.29663999999999996</v>
      </c>
      <c r="G657" s="156">
        <v>8.639999999999981E-3</v>
      </c>
      <c r="H657" s="156">
        <f>F657+G657</f>
        <v>0.30527999999999994</v>
      </c>
      <c r="I657" s="166">
        <f>SUMIFS(Продажи!F$5:F$359,Продажи!$D$5:$D$359,Конструкторы!$B657,Продажи!$C$5:$C$359,Конструкторы!$A657)</f>
        <v>0</v>
      </c>
      <c r="J657" s="166">
        <f>SUMIFS(Продажи!G$5:G$359,Продажи!$D$5:$D$359,Конструкторы!$B657,Продажи!$C$5:$C$359,Конструкторы!$A657)</f>
        <v>0</v>
      </c>
      <c r="K657" s="166">
        <f>SUMIFS(Продажи!H$5:H$359,Продажи!$D$5:$D$359,Конструкторы!$B657,Продажи!$C$5:$C$359,Конструкторы!$A657)</f>
        <v>0</v>
      </c>
      <c r="L657" s="166">
        <f>SUMIFS(Продажи!I$5:I$359,Продажи!$D$5:$D$359,Конструкторы!$B657,Продажи!$C$5:$C$359,Конструкторы!$A657)</f>
        <v>0</v>
      </c>
      <c r="M657" s="166">
        <f>SUMIFS(Продажи!J$5:J$359,Продажи!$D$5:$D$359,Конструкторы!$B657,Продажи!$C$5:$C$359,Конструкторы!$A657)</f>
        <v>0</v>
      </c>
      <c r="N657" s="166">
        <f>SUMIFS(Продажи!K$5:K$359,Продажи!$D$5:$D$359,Конструкторы!$B657,Продажи!$C$5:$C$359,Конструкторы!$A657)</f>
        <v>0</v>
      </c>
      <c r="O657" s="166">
        <f>SUMIFS(Продажи!L$5:L$359,Продажи!$D$5:$D$359,Конструкторы!$B657,Продажи!$C$5:$C$359,Конструкторы!$A657)</f>
        <v>0</v>
      </c>
      <c r="P657" s="166">
        <f>SUMIFS(Продажи!M$5:M$359,Продажи!$D$5:$D$359,Конструкторы!$B657,Продажи!$C$5:$C$359,Конструкторы!$A657)</f>
        <v>0</v>
      </c>
      <c r="Q657" s="166">
        <f>SUMIFS(Продажи!N$5:N$359,Продажи!$D$5:$D$359,Конструкторы!$B657,Продажи!$C$5:$C$359,Конструкторы!$A657)</f>
        <v>0</v>
      </c>
      <c r="R657" s="166">
        <f>SUMIFS(Продажи!O$5:O$359,Продажи!$D$5:$D$359,Конструкторы!$B657,Продажи!$C$5:$C$359,Конструкторы!$A657)</f>
        <v>0</v>
      </c>
      <c r="S657" s="166">
        <f>SUMIFS(Продажи!P$5:P$359,Продажи!$D$5:$D$359,Конструкторы!$B657,Продажи!$C$5:$C$359,Конструкторы!$A657)</f>
        <v>0</v>
      </c>
      <c r="T657" s="166">
        <f>SUMIFS(Продажи!Q$5:Q$359,Продажи!$D$5:$D$359,Конструкторы!$B657,Продажи!$C$5:$C$359,Конструкторы!$A657)</f>
        <v>0</v>
      </c>
    </row>
    <row r="658" spans="1:20" ht="15.75" hidden="1" x14ac:dyDescent="0.25">
      <c r="A658" s="166" t="s">
        <v>397</v>
      </c>
      <c r="B658" s="167" t="s">
        <v>128</v>
      </c>
      <c r="C658" s="33" t="s">
        <v>72</v>
      </c>
      <c r="D658" s="149"/>
      <c r="E658" s="153" t="s">
        <v>70</v>
      </c>
      <c r="F658" s="148">
        <v>2</v>
      </c>
      <c r="G658" s="156" t="s">
        <v>71</v>
      </c>
      <c r="H658" s="156">
        <f>F658</f>
        <v>2</v>
      </c>
      <c r="I658" s="166">
        <f>SUMIFS(Продажи!F$5:F$359,Продажи!$D$5:$D$359,Конструкторы!$B658,Продажи!$C$5:$C$359,Конструкторы!$A658)</f>
        <v>0</v>
      </c>
      <c r="J658" s="166">
        <f>SUMIFS(Продажи!G$5:G$359,Продажи!$D$5:$D$359,Конструкторы!$B658,Продажи!$C$5:$C$359,Конструкторы!$A658)</f>
        <v>0</v>
      </c>
      <c r="K658" s="166">
        <f>SUMIFS(Продажи!H$5:H$359,Продажи!$D$5:$D$359,Конструкторы!$B658,Продажи!$C$5:$C$359,Конструкторы!$A658)</f>
        <v>0</v>
      </c>
      <c r="L658" s="166">
        <f>SUMIFS(Продажи!I$5:I$359,Продажи!$D$5:$D$359,Конструкторы!$B658,Продажи!$C$5:$C$359,Конструкторы!$A658)</f>
        <v>0</v>
      </c>
      <c r="M658" s="166">
        <f>SUMIFS(Продажи!J$5:J$359,Продажи!$D$5:$D$359,Конструкторы!$B658,Продажи!$C$5:$C$359,Конструкторы!$A658)</f>
        <v>0</v>
      </c>
      <c r="N658" s="166">
        <f>SUMIFS(Продажи!K$5:K$359,Продажи!$D$5:$D$359,Конструкторы!$B658,Продажи!$C$5:$C$359,Конструкторы!$A658)</f>
        <v>0</v>
      </c>
      <c r="O658" s="166">
        <f>SUMIFS(Продажи!L$5:L$359,Продажи!$D$5:$D$359,Конструкторы!$B658,Продажи!$C$5:$C$359,Конструкторы!$A658)</f>
        <v>0</v>
      </c>
      <c r="P658" s="166">
        <f>SUMIFS(Продажи!M$5:M$359,Продажи!$D$5:$D$359,Конструкторы!$B658,Продажи!$C$5:$C$359,Конструкторы!$A658)</f>
        <v>0</v>
      </c>
      <c r="Q658" s="166">
        <f>SUMIFS(Продажи!N$5:N$359,Продажи!$D$5:$D$359,Конструкторы!$B658,Продажи!$C$5:$C$359,Конструкторы!$A658)</f>
        <v>0</v>
      </c>
      <c r="R658" s="166">
        <f>SUMIFS(Продажи!O$5:O$359,Продажи!$D$5:$D$359,Конструкторы!$B658,Продажи!$C$5:$C$359,Конструкторы!$A658)</f>
        <v>0</v>
      </c>
      <c r="S658" s="166">
        <f>SUMIFS(Продажи!P$5:P$359,Продажи!$D$5:$D$359,Конструкторы!$B658,Продажи!$C$5:$C$359,Конструкторы!$A658)</f>
        <v>0</v>
      </c>
      <c r="T658" s="166">
        <f>SUMIFS(Продажи!Q$5:Q$359,Продажи!$D$5:$D$359,Конструкторы!$B658,Продажи!$C$5:$C$359,Конструкторы!$A658)</f>
        <v>0</v>
      </c>
    </row>
    <row r="659" spans="1:20" ht="15.75" hidden="1" x14ac:dyDescent="0.25">
      <c r="A659" s="166" t="s">
        <v>397</v>
      </c>
      <c r="B659" s="167" t="s">
        <v>128</v>
      </c>
      <c r="C659" s="33" t="s">
        <v>76</v>
      </c>
      <c r="D659" s="149"/>
      <c r="E659" s="153" t="s">
        <v>70</v>
      </c>
      <c r="F659" s="148">
        <v>8</v>
      </c>
      <c r="G659" s="156" t="s">
        <v>71</v>
      </c>
      <c r="H659" s="156">
        <f>F659</f>
        <v>8</v>
      </c>
      <c r="I659" s="166">
        <f>SUMIFS(Продажи!F$5:F$359,Продажи!$D$5:$D$359,Конструкторы!$B659,Продажи!$C$5:$C$359,Конструкторы!$A659)</f>
        <v>0</v>
      </c>
      <c r="J659" s="166">
        <f>SUMIFS(Продажи!G$5:G$359,Продажи!$D$5:$D$359,Конструкторы!$B659,Продажи!$C$5:$C$359,Конструкторы!$A659)</f>
        <v>0</v>
      </c>
      <c r="K659" s="166">
        <f>SUMIFS(Продажи!H$5:H$359,Продажи!$D$5:$D$359,Конструкторы!$B659,Продажи!$C$5:$C$359,Конструкторы!$A659)</f>
        <v>0</v>
      </c>
      <c r="L659" s="166">
        <f>SUMIFS(Продажи!I$5:I$359,Продажи!$D$5:$D$359,Конструкторы!$B659,Продажи!$C$5:$C$359,Конструкторы!$A659)</f>
        <v>0</v>
      </c>
      <c r="M659" s="166">
        <f>SUMIFS(Продажи!J$5:J$359,Продажи!$D$5:$D$359,Конструкторы!$B659,Продажи!$C$5:$C$359,Конструкторы!$A659)</f>
        <v>0</v>
      </c>
      <c r="N659" s="166">
        <f>SUMIFS(Продажи!K$5:K$359,Продажи!$D$5:$D$359,Конструкторы!$B659,Продажи!$C$5:$C$359,Конструкторы!$A659)</f>
        <v>0</v>
      </c>
      <c r="O659" s="166">
        <f>SUMIFS(Продажи!L$5:L$359,Продажи!$D$5:$D$359,Конструкторы!$B659,Продажи!$C$5:$C$359,Конструкторы!$A659)</f>
        <v>0</v>
      </c>
      <c r="P659" s="166">
        <f>SUMIFS(Продажи!M$5:M$359,Продажи!$D$5:$D$359,Конструкторы!$B659,Продажи!$C$5:$C$359,Конструкторы!$A659)</f>
        <v>0</v>
      </c>
      <c r="Q659" s="166">
        <f>SUMIFS(Продажи!N$5:N$359,Продажи!$D$5:$D$359,Конструкторы!$B659,Продажи!$C$5:$C$359,Конструкторы!$A659)</f>
        <v>0</v>
      </c>
      <c r="R659" s="166">
        <f>SUMIFS(Продажи!O$5:O$359,Продажи!$D$5:$D$359,Конструкторы!$B659,Продажи!$C$5:$C$359,Конструкторы!$A659)</f>
        <v>0</v>
      </c>
      <c r="S659" s="166">
        <f>SUMIFS(Продажи!P$5:P$359,Продажи!$D$5:$D$359,Конструкторы!$B659,Продажи!$C$5:$C$359,Конструкторы!$A659)</f>
        <v>0</v>
      </c>
      <c r="T659" s="166">
        <f>SUMIFS(Продажи!Q$5:Q$359,Продажи!$D$5:$D$359,Конструкторы!$B659,Продажи!$C$5:$C$359,Конструкторы!$A659)</f>
        <v>0</v>
      </c>
    </row>
    <row r="660" spans="1:20" ht="15.75" hidden="1" x14ac:dyDescent="0.25">
      <c r="A660" s="166" t="s">
        <v>397</v>
      </c>
      <c r="B660" s="167" t="s">
        <v>109</v>
      </c>
      <c r="C660" s="129" t="s">
        <v>64</v>
      </c>
      <c r="D660" s="149"/>
      <c r="E660" s="153" t="s">
        <v>68</v>
      </c>
      <c r="F660" s="156">
        <f>(1.2*103)/100</f>
        <v>1.236</v>
      </c>
      <c r="G660" s="156">
        <v>3.6000000000000032E-2</v>
      </c>
      <c r="H660" s="156">
        <f>F660+G660</f>
        <v>1.272</v>
      </c>
      <c r="I660" s="166">
        <f>SUMIFS(Продажи!F$5:F$359,Продажи!$D$5:$D$359,Конструкторы!$B660,Продажи!$C$5:$C$359,Конструкторы!$A660)</f>
        <v>0</v>
      </c>
      <c r="J660" s="166">
        <f>SUMIFS(Продажи!G$5:G$359,Продажи!$D$5:$D$359,Конструкторы!$B660,Продажи!$C$5:$C$359,Конструкторы!$A660)</f>
        <v>0</v>
      </c>
      <c r="K660" s="166">
        <f>SUMIFS(Продажи!H$5:H$359,Продажи!$D$5:$D$359,Конструкторы!$B660,Продажи!$C$5:$C$359,Конструкторы!$A660)</f>
        <v>0</v>
      </c>
      <c r="L660" s="166">
        <f>SUMIFS(Продажи!I$5:I$359,Продажи!$D$5:$D$359,Конструкторы!$B660,Продажи!$C$5:$C$359,Конструкторы!$A660)</f>
        <v>0</v>
      </c>
      <c r="M660" s="166">
        <f>SUMIFS(Продажи!J$5:J$359,Продажи!$D$5:$D$359,Конструкторы!$B660,Продажи!$C$5:$C$359,Конструкторы!$A660)</f>
        <v>0</v>
      </c>
      <c r="N660" s="166">
        <f>SUMIFS(Продажи!K$5:K$359,Продажи!$D$5:$D$359,Конструкторы!$B660,Продажи!$C$5:$C$359,Конструкторы!$A660)</f>
        <v>0</v>
      </c>
      <c r="O660" s="166">
        <f>SUMIFS(Продажи!L$5:L$359,Продажи!$D$5:$D$359,Конструкторы!$B660,Продажи!$C$5:$C$359,Конструкторы!$A660)</f>
        <v>0</v>
      </c>
      <c r="P660" s="166">
        <f>SUMIFS(Продажи!M$5:M$359,Продажи!$D$5:$D$359,Конструкторы!$B660,Продажи!$C$5:$C$359,Конструкторы!$A660)</f>
        <v>0</v>
      </c>
      <c r="Q660" s="166">
        <f>SUMIFS(Продажи!N$5:N$359,Продажи!$D$5:$D$359,Конструкторы!$B660,Продажи!$C$5:$C$359,Конструкторы!$A660)</f>
        <v>0</v>
      </c>
      <c r="R660" s="166">
        <f>SUMIFS(Продажи!O$5:O$359,Продажи!$D$5:$D$359,Конструкторы!$B660,Продажи!$C$5:$C$359,Конструкторы!$A660)</f>
        <v>0</v>
      </c>
      <c r="S660" s="166">
        <f>SUMIFS(Продажи!P$5:P$359,Продажи!$D$5:$D$359,Конструкторы!$B660,Продажи!$C$5:$C$359,Конструкторы!$A660)</f>
        <v>0</v>
      </c>
      <c r="T660" s="166">
        <f>SUMIFS(Продажи!Q$5:Q$359,Продажи!$D$5:$D$359,Конструкторы!$B660,Продажи!$C$5:$C$359,Конструкторы!$A660)</f>
        <v>0</v>
      </c>
    </row>
    <row r="661" spans="1:20" ht="15.75" hidden="1" x14ac:dyDescent="0.25">
      <c r="A661" s="166" t="s">
        <v>397</v>
      </c>
      <c r="B661" s="167" t="s">
        <v>109</v>
      </c>
      <c r="C661" s="129" t="s">
        <v>60</v>
      </c>
      <c r="D661" s="149"/>
      <c r="E661" s="153" t="s">
        <v>68</v>
      </c>
      <c r="F661" s="156">
        <f>(0.288*103)/100</f>
        <v>0.29663999999999996</v>
      </c>
      <c r="G661" s="156">
        <v>8.639999999999981E-3</v>
      </c>
      <c r="H661" s="156">
        <f>F661+G661</f>
        <v>0.30527999999999994</v>
      </c>
      <c r="I661" s="166">
        <f>SUMIFS(Продажи!F$5:F$359,Продажи!$D$5:$D$359,Конструкторы!$B661,Продажи!$C$5:$C$359,Конструкторы!$A661)</f>
        <v>0</v>
      </c>
      <c r="J661" s="166">
        <f>SUMIFS(Продажи!G$5:G$359,Продажи!$D$5:$D$359,Конструкторы!$B661,Продажи!$C$5:$C$359,Конструкторы!$A661)</f>
        <v>0</v>
      </c>
      <c r="K661" s="166">
        <f>SUMIFS(Продажи!H$5:H$359,Продажи!$D$5:$D$359,Конструкторы!$B661,Продажи!$C$5:$C$359,Конструкторы!$A661)</f>
        <v>0</v>
      </c>
      <c r="L661" s="166">
        <f>SUMIFS(Продажи!I$5:I$359,Продажи!$D$5:$D$359,Конструкторы!$B661,Продажи!$C$5:$C$359,Конструкторы!$A661)</f>
        <v>0</v>
      </c>
      <c r="M661" s="166">
        <f>SUMIFS(Продажи!J$5:J$359,Продажи!$D$5:$D$359,Конструкторы!$B661,Продажи!$C$5:$C$359,Конструкторы!$A661)</f>
        <v>0</v>
      </c>
      <c r="N661" s="166">
        <f>SUMIFS(Продажи!K$5:K$359,Продажи!$D$5:$D$359,Конструкторы!$B661,Продажи!$C$5:$C$359,Конструкторы!$A661)</f>
        <v>0</v>
      </c>
      <c r="O661" s="166">
        <f>SUMIFS(Продажи!L$5:L$359,Продажи!$D$5:$D$359,Конструкторы!$B661,Продажи!$C$5:$C$359,Конструкторы!$A661)</f>
        <v>0</v>
      </c>
      <c r="P661" s="166">
        <f>SUMIFS(Продажи!M$5:M$359,Продажи!$D$5:$D$359,Конструкторы!$B661,Продажи!$C$5:$C$359,Конструкторы!$A661)</f>
        <v>0</v>
      </c>
      <c r="Q661" s="166">
        <f>SUMIFS(Продажи!N$5:N$359,Продажи!$D$5:$D$359,Конструкторы!$B661,Продажи!$C$5:$C$359,Конструкторы!$A661)</f>
        <v>0</v>
      </c>
      <c r="R661" s="166">
        <f>SUMIFS(Продажи!O$5:O$359,Продажи!$D$5:$D$359,Конструкторы!$B661,Продажи!$C$5:$C$359,Конструкторы!$A661)</f>
        <v>0</v>
      </c>
      <c r="S661" s="166">
        <f>SUMIFS(Продажи!P$5:P$359,Продажи!$D$5:$D$359,Конструкторы!$B661,Продажи!$C$5:$C$359,Конструкторы!$A661)</f>
        <v>0</v>
      </c>
      <c r="T661" s="166">
        <f>SUMIFS(Продажи!Q$5:Q$359,Продажи!$D$5:$D$359,Конструкторы!$B661,Продажи!$C$5:$C$359,Конструкторы!$A661)</f>
        <v>0</v>
      </c>
    </row>
    <row r="662" spans="1:20" ht="15.75" hidden="1" x14ac:dyDescent="0.25">
      <c r="A662" s="166" t="s">
        <v>397</v>
      </c>
      <c r="B662" s="167" t="s">
        <v>109</v>
      </c>
      <c r="C662" s="33" t="s">
        <v>72</v>
      </c>
      <c r="D662" s="149"/>
      <c r="E662" s="153" t="s">
        <v>70</v>
      </c>
      <c r="F662" s="148">
        <v>2</v>
      </c>
      <c r="G662" s="156" t="s">
        <v>71</v>
      </c>
      <c r="H662" s="156">
        <f>F662</f>
        <v>2</v>
      </c>
      <c r="I662" s="166">
        <f>SUMIFS(Продажи!F$5:F$359,Продажи!$D$5:$D$359,Конструкторы!$B662,Продажи!$C$5:$C$359,Конструкторы!$A662)</f>
        <v>0</v>
      </c>
      <c r="J662" s="166">
        <f>SUMIFS(Продажи!G$5:G$359,Продажи!$D$5:$D$359,Конструкторы!$B662,Продажи!$C$5:$C$359,Конструкторы!$A662)</f>
        <v>0</v>
      </c>
      <c r="K662" s="166">
        <f>SUMIFS(Продажи!H$5:H$359,Продажи!$D$5:$D$359,Конструкторы!$B662,Продажи!$C$5:$C$359,Конструкторы!$A662)</f>
        <v>0</v>
      </c>
      <c r="L662" s="166">
        <f>SUMIFS(Продажи!I$5:I$359,Продажи!$D$5:$D$359,Конструкторы!$B662,Продажи!$C$5:$C$359,Конструкторы!$A662)</f>
        <v>0</v>
      </c>
      <c r="M662" s="166">
        <f>SUMIFS(Продажи!J$5:J$359,Продажи!$D$5:$D$359,Конструкторы!$B662,Продажи!$C$5:$C$359,Конструкторы!$A662)</f>
        <v>0</v>
      </c>
      <c r="N662" s="166">
        <f>SUMIFS(Продажи!K$5:K$359,Продажи!$D$5:$D$359,Конструкторы!$B662,Продажи!$C$5:$C$359,Конструкторы!$A662)</f>
        <v>0</v>
      </c>
      <c r="O662" s="166">
        <f>SUMIFS(Продажи!L$5:L$359,Продажи!$D$5:$D$359,Конструкторы!$B662,Продажи!$C$5:$C$359,Конструкторы!$A662)</f>
        <v>0</v>
      </c>
      <c r="P662" s="166">
        <f>SUMIFS(Продажи!M$5:M$359,Продажи!$D$5:$D$359,Конструкторы!$B662,Продажи!$C$5:$C$359,Конструкторы!$A662)</f>
        <v>0</v>
      </c>
      <c r="Q662" s="166">
        <f>SUMIFS(Продажи!N$5:N$359,Продажи!$D$5:$D$359,Конструкторы!$B662,Продажи!$C$5:$C$359,Конструкторы!$A662)</f>
        <v>0</v>
      </c>
      <c r="R662" s="166">
        <f>SUMIFS(Продажи!O$5:O$359,Продажи!$D$5:$D$359,Конструкторы!$B662,Продажи!$C$5:$C$359,Конструкторы!$A662)</f>
        <v>0</v>
      </c>
      <c r="S662" s="166">
        <f>SUMIFS(Продажи!P$5:P$359,Продажи!$D$5:$D$359,Конструкторы!$B662,Продажи!$C$5:$C$359,Конструкторы!$A662)</f>
        <v>0</v>
      </c>
      <c r="T662" s="166">
        <f>SUMIFS(Продажи!Q$5:Q$359,Продажи!$D$5:$D$359,Конструкторы!$B662,Продажи!$C$5:$C$359,Конструкторы!$A662)</f>
        <v>0</v>
      </c>
    </row>
    <row r="663" spans="1:20" ht="15.75" hidden="1" x14ac:dyDescent="0.25">
      <c r="A663" s="166" t="s">
        <v>397</v>
      </c>
      <c r="B663" s="167" t="s">
        <v>109</v>
      </c>
      <c r="C663" s="33" t="s">
        <v>76</v>
      </c>
      <c r="D663" s="149"/>
      <c r="E663" s="153" t="s">
        <v>70</v>
      </c>
      <c r="F663" s="148">
        <v>8</v>
      </c>
      <c r="G663" s="156" t="s">
        <v>71</v>
      </c>
      <c r="H663" s="156">
        <f>F663</f>
        <v>8</v>
      </c>
      <c r="I663" s="166">
        <f>SUMIFS(Продажи!F$5:F$359,Продажи!$D$5:$D$359,Конструкторы!$B663,Продажи!$C$5:$C$359,Конструкторы!$A663)</f>
        <v>0</v>
      </c>
      <c r="J663" s="166">
        <f>SUMIFS(Продажи!G$5:G$359,Продажи!$D$5:$D$359,Конструкторы!$B663,Продажи!$C$5:$C$359,Конструкторы!$A663)</f>
        <v>0</v>
      </c>
      <c r="K663" s="166">
        <f>SUMIFS(Продажи!H$5:H$359,Продажи!$D$5:$D$359,Конструкторы!$B663,Продажи!$C$5:$C$359,Конструкторы!$A663)</f>
        <v>0</v>
      </c>
      <c r="L663" s="166">
        <f>SUMIFS(Продажи!I$5:I$359,Продажи!$D$5:$D$359,Конструкторы!$B663,Продажи!$C$5:$C$359,Конструкторы!$A663)</f>
        <v>0</v>
      </c>
      <c r="M663" s="166">
        <f>SUMIFS(Продажи!J$5:J$359,Продажи!$D$5:$D$359,Конструкторы!$B663,Продажи!$C$5:$C$359,Конструкторы!$A663)</f>
        <v>0</v>
      </c>
      <c r="N663" s="166">
        <f>SUMIFS(Продажи!K$5:K$359,Продажи!$D$5:$D$359,Конструкторы!$B663,Продажи!$C$5:$C$359,Конструкторы!$A663)</f>
        <v>0</v>
      </c>
      <c r="O663" s="166">
        <f>SUMIFS(Продажи!L$5:L$359,Продажи!$D$5:$D$359,Конструкторы!$B663,Продажи!$C$5:$C$359,Конструкторы!$A663)</f>
        <v>0</v>
      </c>
      <c r="P663" s="166">
        <f>SUMIFS(Продажи!M$5:M$359,Продажи!$D$5:$D$359,Конструкторы!$B663,Продажи!$C$5:$C$359,Конструкторы!$A663)</f>
        <v>0</v>
      </c>
      <c r="Q663" s="166">
        <f>SUMIFS(Продажи!N$5:N$359,Продажи!$D$5:$D$359,Конструкторы!$B663,Продажи!$C$5:$C$359,Конструкторы!$A663)</f>
        <v>0</v>
      </c>
      <c r="R663" s="166">
        <f>SUMIFS(Продажи!O$5:O$359,Продажи!$D$5:$D$359,Конструкторы!$B663,Продажи!$C$5:$C$359,Конструкторы!$A663)</f>
        <v>0</v>
      </c>
      <c r="S663" s="166">
        <f>SUMIFS(Продажи!P$5:P$359,Продажи!$D$5:$D$359,Конструкторы!$B663,Продажи!$C$5:$C$359,Конструкторы!$A663)</f>
        <v>0</v>
      </c>
      <c r="T663" s="166">
        <f>SUMIFS(Продажи!Q$5:Q$359,Продажи!$D$5:$D$359,Конструкторы!$B663,Продажи!$C$5:$C$359,Конструкторы!$A663)</f>
        <v>0</v>
      </c>
    </row>
    <row r="664" spans="1:20" ht="15.75" hidden="1" x14ac:dyDescent="0.25">
      <c r="A664" s="166" t="s">
        <v>397</v>
      </c>
      <c r="B664" s="167" t="s">
        <v>101</v>
      </c>
      <c r="C664" s="129" t="s">
        <v>53</v>
      </c>
      <c r="D664" s="130">
        <v>7038</v>
      </c>
      <c r="E664" s="153" t="s">
        <v>68</v>
      </c>
      <c r="F664" s="156">
        <f>(1.066*103)/100</f>
        <v>1.09798</v>
      </c>
      <c r="G664" s="156">
        <v>3.1979999999999897E-2</v>
      </c>
      <c r="H664" s="156">
        <f>F664+G664</f>
        <v>1.1299599999999999</v>
      </c>
      <c r="I664" s="166">
        <f>SUMIFS(Продажи!F$5:F$359,Продажи!$D$5:$D$359,Конструкторы!$B664,Продажи!$C$5:$C$359,Конструкторы!$A664)</f>
        <v>0</v>
      </c>
      <c r="J664" s="166">
        <f>SUMIFS(Продажи!G$5:G$359,Продажи!$D$5:$D$359,Конструкторы!$B664,Продажи!$C$5:$C$359,Конструкторы!$A664)</f>
        <v>0</v>
      </c>
      <c r="K664" s="166">
        <f>SUMIFS(Продажи!H$5:H$359,Продажи!$D$5:$D$359,Конструкторы!$B664,Продажи!$C$5:$C$359,Конструкторы!$A664)</f>
        <v>0</v>
      </c>
      <c r="L664" s="166">
        <f>SUMIFS(Продажи!I$5:I$359,Продажи!$D$5:$D$359,Конструкторы!$B664,Продажи!$C$5:$C$359,Конструкторы!$A664)</f>
        <v>0</v>
      </c>
      <c r="M664" s="166">
        <f>SUMIFS(Продажи!J$5:J$359,Продажи!$D$5:$D$359,Конструкторы!$B664,Продажи!$C$5:$C$359,Конструкторы!$A664)</f>
        <v>0</v>
      </c>
      <c r="N664" s="166">
        <f>SUMIFS(Продажи!K$5:K$359,Продажи!$D$5:$D$359,Конструкторы!$B664,Продажи!$C$5:$C$359,Конструкторы!$A664)</f>
        <v>0</v>
      </c>
      <c r="O664" s="166">
        <f>SUMIFS(Продажи!L$5:L$359,Продажи!$D$5:$D$359,Конструкторы!$B664,Продажи!$C$5:$C$359,Конструкторы!$A664)</f>
        <v>0</v>
      </c>
      <c r="P664" s="166">
        <f>SUMIFS(Продажи!M$5:M$359,Продажи!$D$5:$D$359,Конструкторы!$B664,Продажи!$C$5:$C$359,Конструкторы!$A664)</f>
        <v>0</v>
      </c>
      <c r="Q664" s="166">
        <f>SUMIFS(Продажи!N$5:N$359,Продажи!$D$5:$D$359,Конструкторы!$B664,Продажи!$C$5:$C$359,Конструкторы!$A664)</f>
        <v>0</v>
      </c>
      <c r="R664" s="166">
        <f>SUMIFS(Продажи!O$5:O$359,Продажи!$D$5:$D$359,Конструкторы!$B664,Продажи!$C$5:$C$359,Конструкторы!$A664)</f>
        <v>0</v>
      </c>
      <c r="S664" s="166">
        <f>SUMIFS(Продажи!P$5:P$359,Продажи!$D$5:$D$359,Конструкторы!$B664,Продажи!$C$5:$C$359,Конструкторы!$A664)</f>
        <v>0</v>
      </c>
      <c r="T664" s="166">
        <f>SUMIFS(Продажи!Q$5:Q$359,Продажи!$D$5:$D$359,Конструкторы!$B664,Продажи!$C$5:$C$359,Конструкторы!$A664)</f>
        <v>0</v>
      </c>
    </row>
    <row r="665" spans="1:20" ht="15.75" hidden="1" x14ac:dyDescent="0.25">
      <c r="A665" s="166" t="s">
        <v>397</v>
      </c>
      <c r="B665" s="167" t="s">
        <v>101</v>
      </c>
      <c r="C665" s="129" t="s">
        <v>52</v>
      </c>
      <c r="D665" s="149"/>
      <c r="E665" s="153" t="s">
        <v>68</v>
      </c>
      <c r="F665" s="156">
        <f>(0.306*103)/100</f>
        <v>0.31518000000000002</v>
      </c>
      <c r="G665" s="156">
        <v>9.1800000000000215E-3</v>
      </c>
      <c r="H665" s="156">
        <f>F665+G665</f>
        <v>0.32436000000000004</v>
      </c>
      <c r="I665" s="166">
        <f>SUMIFS(Продажи!F$5:F$359,Продажи!$D$5:$D$359,Конструкторы!$B665,Продажи!$C$5:$C$359,Конструкторы!$A665)</f>
        <v>0</v>
      </c>
      <c r="J665" s="166">
        <f>SUMIFS(Продажи!G$5:G$359,Продажи!$D$5:$D$359,Конструкторы!$B665,Продажи!$C$5:$C$359,Конструкторы!$A665)</f>
        <v>0</v>
      </c>
      <c r="K665" s="166">
        <f>SUMIFS(Продажи!H$5:H$359,Продажи!$D$5:$D$359,Конструкторы!$B665,Продажи!$C$5:$C$359,Конструкторы!$A665)</f>
        <v>0</v>
      </c>
      <c r="L665" s="166">
        <f>SUMIFS(Продажи!I$5:I$359,Продажи!$D$5:$D$359,Конструкторы!$B665,Продажи!$C$5:$C$359,Конструкторы!$A665)</f>
        <v>0</v>
      </c>
      <c r="M665" s="166">
        <f>SUMIFS(Продажи!J$5:J$359,Продажи!$D$5:$D$359,Конструкторы!$B665,Продажи!$C$5:$C$359,Конструкторы!$A665)</f>
        <v>0</v>
      </c>
      <c r="N665" s="166">
        <f>SUMIFS(Продажи!K$5:K$359,Продажи!$D$5:$D$359,Конструкторы!$B665,Продажи!$C$5:$C$359,Конструкторы!$A665)</f>
        <v>0</v>
      </c>
      <c r="O665" s="166">
        <f>SUMIFS(Продажи!L$5:L$359,Продажи!$D$5:$D$359,Конструкторы!$B665,Продажи!$C$5:$C$359,Конструкторы!$A665)</f>
        <v>0</v>
      </c>
      <c r="P665" s="166">
        <f>SUMIFS(Продажи!M$5:M$359,Продажи!$D$5:$D$359,Конструкторы!$B665,Продажи!$C$5:$C$359,Конструкторы!$A665)</f>
        <v>0</v>
      </c>
      <c r="Q665" s="166">
        <f>SUMIFS(Продажи!N$5:N$359,Продажи!$D$5:$D$359,Конструкторы!$B665,Продажи!$C$5:$C$359,Конструкторы!$A665)</f>
        <v>0</v>
      </c>
      <c r="R665" s="166">
        <f>SUMIFS(Продажи!O$5:O$359,Продажи!$D$5:$D$359,Конструкторы!$B665,Продажи!$C$5:$C$359,Конструкторы!$A665)</f>
        <v>0</v>
      </c>
      <c r="S665" s="166">
        <f>SUMIFS(Продажи!P$5:P$359,Продажи!$D$5:$D$359,Конструкторы!$B665,Продажи!$C$5:$C$359,Конструкторы!$A665)</f>
        <v>0</v>
      </c>
      <c r="T665" s="166">
        <f>SUMIFS(Продажи!Q$5:Q$359,Продажи!$D$5:$D$359,Конструкторы!$B665,Продажи!$C$5:$C$359,Конструкторы!$A665)</f>
        <v>0</v>
      </c>
    </row>
    <row r="666" spans="1:20" ht="15.75" hidden="1" x14ac:dyDescent="0.25">
      <c r="A666" s="166" t="s">
        <v>397</v>
      </c>
      <c r="B666" s="167" t="s">
        <v>101</v>
      </c>
      <c r="C666" s="33" t="s">
        <v>73</v>
      </c>
      <c r="D666" s="149"/>
      <c r="E666" s="153" t="s">
        <v>70</v>
      </c>
      <c r="F666" s="148">
        <f>2</f>
        <v>2</v>
      </c>
      <c r="G666" s="156" t="s">
        <v>71</v>
      </c>
      <c r="H666" s="156">
        <f>F666</f>
        <v>2</v>
      </c>
      <c r="I666" s="166">
        <f>SUMIFS(Продажи!F$5:F$359,Продажи!$D$5:$D$359,Конструкторы!$B666,Продажи!$C$5:$C$359,Конструкторы!$A666)</f>
        <v>0</v>
      </c>
      <c r="J666" s="166">
        <f>SUMIFS(Продажи!G$5:G$359,Продажи!$D$5:$D$359,Конструкторы!$B666,Продажи!$C$5:$C$359,Конструкторы!$A666)</f>
        <v>0</v>
      </c>
      <c r="K666" s="166">
        <f>SUMIFS(Продажи!H$5:H$359,Продажи!$D$5:$D$359,Конструкторы!$B666,Продажи!$C$5:$C$359,Конструкторы!$A666)</f>
        <v>0</v>
      </c>
      <c r="L666" s="166">
        <f>SUMIFS(Продажи!I$5:I$359,Продажи!$D$5:$D$359,Конструкторы!$B666,Продажи!$C$5:$C$359,Конструкторы!$A666)</f>
        <v>0</v>
      </c>
      <c r="M666" s="166">
        <f>SUMIFS(Продажи!J$5:J$359,Продажи!$D$5:$D$359,Конструкторы!$B666,Продажи!$C$5:$C$359,Конструкторы!$A666)</f>
        <v>0</v>
      </c>
      <c r="N666" s="166">
        <f>SUMIFS(Продажи!K$5:K$359,Продажи!$D$5:$D$359,Конструкторы!$B666,Продажи!$C$5:$C$359,Конструкторы!$A666)</f>
        <v>0</v>
      </c>
      <c r="O666" s="166">
        <f>SUMIFS(Продажи!L$5:L$359,Продажи!$D$5:$D$359,Конструкторы!$B666,Продажи!$C$5:$C$359,Конструкторы!$A666)</f>
        <v>0</v>
      </c>
      <c r="P666" s="166">
        <f>SUMIFS(Продажи!M$5:M$359,Продажи!$D$5:$D$359,Конструкторы!$B666,Продажи!$C$5:$C$359,Конструкторы!$A666)</f>
        <v>0</v>
      </c>
      <c r="Q666" s="166">
        <f>SUMIFS(Продажи!N$5:N$359,Продажи!$D$5:$D$359,Конструкторы!$B666,Продажи!$C$5:$C$359,Конструкторы!$A666)</f>
        <v>0</v>
      </c>
      <c r="R666" s="166">
        <f>SUMIFS(Продажи!O$5:O$359,Продажи!$D$5:$D$359,Конструкторы!$B666,Продажи!$C$5:$C$359,Конструкторы!$A666)</f>
        <v>0</v>
      </c>
      <c r="S666" s="166">
        <f>SUMIFS(Продажи!P$5:P$359,Продажи!$D$5:$D$359,Конструкторы!$B666,Продажи!$C$5:$C$359,Конструкторы!$A666)</f>
        <v>0</v>
      </c>
      <c r="T666" s="166">
        <f>SUMIFS(Продажи!Q$5:Q$359,Продажи!$D$5:$D$359,Конструкторы!$B666,Продажи!$C$5:$C$359,Конструкторы!$A666)</f>
        <v>0</v>
      </c>
    </row>
    <row r="667" spans="1:20" ht="15.75" hidden="1" x14ac:dyDescent="0.25">
      <c r="A667" s="166" t="s">
        <v>397</v>
      </c>
      <c r="B667" s="167" t="s">
        <v>101</v>
      </c>
      <c r="C667" s="33" t="s">
        <v>75</v>
      </c>
      <c r="D667" s="149"/>
      <c r="E667" s="153" t="s">
        <v>70</v>
      </c>
      <c r="F667" s="148">
        <f>8</f>
        <v>8</v>
      </c>
      <c r="G667" s="156" t="s">
        <v>71</v>
      </c>
      <c r="H667" s="156">
        <f>F667</f>
        <v>8</v>
      </c>
      <c r="I667" s="166">
        <f>SUMIFS(Продажи!F$5:F$359,Продажи!$D$5:$D$359,Конструкторы!$B667,Продажи!$C$5:$C$359,Конструкторы!$A667)</f>
        <v>0</v>
      </c>
      <c r="J667" s="166">
        <f>SUMIFS(Продажи!G$5:G$359,Продажи!$D$5:$D$359,Конструкторы!$B667,Продажи!$C$5:$C$359,Конструкторы!$A667)</f>
        <v>0</v>
      </c>
      <c r="K667" s="166">
        <f>SUMIFS(Продажи!H$5:H$359,Продажи!$D$5:$D$359,Конструкторы!$B667,Продажи!$C$5:$C$359,Конструкторы!$A667)</f>
        <v>0</v>
      </c>
      <c r="L667" s="166">
        <f>SUMIFS(Продажи!I$5:I$359,Продажи!$D$5:$D$359,Конструкторы!$B667,Продажи!$C$5:$C$359,Конструкторы!$A667)</f>
        <v>0</v>
      </c>
      <c r="M667" s="166">
        <f>SUMIFS(Продажи!J$5:J$359,Продажи!$D$5:$D$359,Конструкторы!$B667,Продажи!$C$5:$C$359,Конструкторы!$A667)</f>
        <v>0</v>
      </c>
      <c r="N667" s="166">
        <f>SUMIFS(Продажи!K$5:K$359,Продажи!$D$5:$D$359,Конструкторы!$B667,Продажи!$C$5:$C$359,Конструкторы!$A667)</f>
        <v>0</v>
      </c>
      <c r="O667" s="166">
        <f>SUMIFS(Продажи!L$5:L$359,Продажи!$D$5:$D$359,Конструкторы!$B667,Продажи!$C$5:$C$359,Конструкторы!$A667)</f>
        <v>0</v>
      </c>
      <c r="P667" s="166">
        <f>SUMIFS(Продажи!M$5:M$359,Продажи!$D$5:$D$359,Конструкторы!$B667,Продажи!$C$5:$C$359,Конструкторы!$A667)</f>
        <v>0</v>
      </c>
      <c r="Q667" s="166">
        <f>SUMIFS(Продажи!N$5:N$359,Продажи!$D$5:$D$359,Конструкторы!$B667,Продажи!$C$5:$C$359,Конструкторы!$A667)</f>
        <v>0</v>
      </c>
      <c r="R667" s="166">
        <f>SUMIFS(Продажи!O$5:O$359,Продажи!$D$5:$D$359,Конструкторы!$B667,Продажи!$C$5:$C$359,Конструкторы!$A667)</f>
        <v>0</v>
      </c>
      <c r="S667" s="166">
        <f>SUMIFS(Продажи!P$5:P$359,Продажи!$D$5:$D$359,Конструкторы!$B667,Продажи!$C$5:$C$359,Конструкторы!$A667)</f>
        <v>0</v>
      </c>
      <c r="T667" s="166">
        <f>SUMIFS(Продажи!Q$5:Q$359,Продажи!$D$5:$D$359,Конструкторы!$B667,Продажи!$C$5:$C$359,Конструкторы!$A667)</f>
        <v>0</v>
      </c>
    </row>
    <row r="668" spans="1:20" ht="15.75" hidden="1" x14ac:dyDescent="0.25">
      <c r="A668" s="166" t="s">
        <v>397</v>
      </c>
      <c r="B668" s="167" t="s">
        <v>101</v>
      </c>
      <c r="C668" s="33" t="s">
        <v>69</v>
      </c>
      <c r="D668" s="149"/>
      <c r="E668" s="153" t="s">
        <v>70</v>
      </c>
      <c r="F668" s="148">
        <f>4</f>
        <v>4</v>
      </c>
      <c r="G668" s="156" t="s">
        <v>71</v>
      </c>
      <c r="H668" s="156">
        <f>F668</f>
        <v>4</v>
      </c>
      <c r="I668" s="166">
        <f>SUMIFS(Продажи!F$5:F$359,Продажи!$D$5:$D$359,Конструкторы!$B668,Продажи!$C$5:$C$359,Конструкторы!$A668)</f>
        <v>0</v>
      </c>
      <c r="J668" s="166">
        <f>SUMIFS(Продажи!G$5:G$359,Продажи!$D$5:$D$359,Конструкторы!$B668,Продажи!$C$5:$C$359,Конструкторы!$A668)</f>
        <v>0</v>
      </c>
      <c r="K668" s="166">
        <f>SUMIFS(Продажи!H$5:H$359,Продажи!$D$5:$D$359,Конструкторы!$B668,Продажи!$C$5:$C$359,Конструкторы!$A668)</f>
        <v>0</v>
      </c>
      <c r="L668" s="166">
        <f>SUMIFS(Продажи!I$5:I$359,Продажи!$D$5:$D$359,Конструкторы!$B668,Продажи!$C$5:$C$359,Конструкторы!$A668)</f>
        <v>0</v>
      </c>
      <c r="M668" s="166">
        <f>SUMIFS(Продажи!J$5:J$359,Продажи!$D$5:$D$359,Конструкторы!$B668,Продажи!$C$5:$C$359,Конструкторы!$A668)</f>
        <v>0</v>
      </c>
      <c r="N668" s="166">
        <f>SUMIFS(Продажи!K$5:K$359,Продажи!$D$5:$D$359,Конструкторы!$B668,Продажи!$C$5:$C$359,Конструкторы!$A668)</f>
        <v>0</v>
      </c>
      <c r="O668" s="166">
        <f>SUMIFS(Продажи!L$5:L$359,Продажи!$D$5:$D$359,Конструкторы!$B668,Продажи!$C$5:$C$359,Конструкторы!$A668)</f>
        <v>0</v>
      </c>
      <c r="P668" s="166">
        <f>SUMIFS(Продажи!M$5:M$359,Продажи!$D$5:$D$359,Конструкторы!$B668,Продажи!$C$5:$C$359,Конструкторы!$A668)</f>
        <v>0</v>
      </c>
      <c r="Q668" s="166">
        <f>SUMIFS(Продажи!N$5:N$359,Продажи!$D$5:$D$359,Конструкторы!$B668,Продажи!$C$5:$C$359,Конструкторы!$A668)</f>
        <v>0</v>
      </c>
      <c r="R668" s="166">
        <f>SUMIFS(Продажи!O$5:O$359,Продажи!$D$5:$D$359,Конструкторы!$B668,Продажи!$C$5:$C$359,Конструкторы!$A668)</f>
        <v>0</v>
      </c>
      <c r="S668" s="166">
        <f>SUMIFS(Продажи!P$5:P$359,Продажи!$D$5:$D$359,Конструкторы!$B668,Продажи!$C$5:$C$359,Конструкторы!$A668)</f>
        <v>0</v>
      </c>
      <c r="T668" s="166">
        <f>SUMIFS(Продажи!Q$5:Q$359,Продажи!$D$5:$D$359,Конструкторы!$B668,Продажи!$C$5:$C$359,Конструкторы!$A668)</f>
        <v>0</v>
      </c>
    </row>
    <row r="669" spans="1:20" ht="15.75" hidden="1" x14ac:dyDescent="0.25">
      <c r="A669" s="166" t="s">
        <v>397</v>
      </c>
      <c r="B669" s="167" t="s">
        <v>381</v>
      </c>
      <c r="C669" s="129" t="s">
        <v>53</v>
      </c>
      <c r="D669" s="149"/>
      <c r="E669" s="153" t="s">
        <v>68</v>
      </c>
      <c r="F669" s="148">
        <v>0.5</v>
      </c>
      <c r="G669" s="148">
        <f t="shared" ref="G669:G674" si="4">F669*0.03</f>
        <v>1.4999999999999999E-2</v>
      </c>
      <c r="H669" s="156">
        <f t="shared" ref="H669:H679" si="5">F669+G669</f>
        <v>0.51500000000000001</v>
      </c>
      <c r="I669" s="166">
        <f>SUMIFS(Продажи!F$5:F$359,Продажи!$D$5:$D$359,Конструкторы!$B669,Продажи!$C$5:$C$359,Конструкторы!$A669)</f>
        <v>0</v>
      </c>
      <c r="J669" s="166">
        <f>SUMIFS(Продажи!G$5:G$359,Продажи!$D$5:$D$359,Конструкторы!$B669,Продажи!$C$5:$C$359,Конструкторы!$A669)</f>
        <v>0</v>
      </c>
      <c r="K669" s="166">
        <f>SUMIFS(Продажи!H$5:H$359,Продажи!$D$5:$D$359,Конструкторы!$B669,Продажи!$C$5:$C$359,Конструкторы!$A669)</f>
        <v>0</v>
      </c>
      <c r="L669" s="166">
        <f>SUMIFS(Продажи!I$5:I$359,Продажи!$D$5:$D$359,Конструкторы!$B669,Продажи!$C$5:$C$359,Конструкторы!$A669)</f>
        <v>0</v>
      </c>
      <c r="M669" s="166">
        <f>SUMIFS(Продажи!J$5:J$359,Продажи!$D$5:$D$359,Конструкторы!$B669,Продажи!$C$5:$C$359,Конструкторы!$A669)</f>
        <v>0</v>
      </c>
      <c r="N669" s="166">
        <f>SUMIFS(Продажи!K$5:K$359,Продажи!$D$5:$D$359,Конструкторы!$B669,Продажи!$C$5:$C$359,Конструкторы!$A669)</f>
        <v>0</v>
      </c>
      <c r="O669" s="166">
        <f>SUMIFS(Продажи!L$5:L$359,Продажи!$D$5:$D$359,Конструкторы!$B669,Продажи!$C$5:$C$359,Конструкторы!$A669)</f>
        <v>0</v>
      </c>
      <c r="P669" s="166">
        <f>SUMIFS(Продажи!M$5:M$359,Продажи!$D$5:$D$359,Конструкторы!$B669,Продажи!$C$5:$C$359,Конструкторы!$A669)</f>
        <v>0</v>
      </c>
      <c r="Q669" s="166">
        <f>SUMIFS(Продажи!N$5:N$359,Продажи!$D$5:$D$359,Конструкторы!$B669,Продажи!$C$5:$C$359,Конструкторы!$A669)</f>
        <v>0</v>
      </c>
      <c r="R669" s="166">
        <f>SUMIFS(Продажи!O$5:O$359,Продажи!$D$5:$D$359,Конструкторы!$B669,Продажи!$C$5:$C$359,Конструкторы!$A669)</f>
        <v>0</v>
      </c>
      <c r="S669" s="166">
        <f>SUMIFS(Продажи!P$5:P$359,Продажи!$D$5:$D$359,Конструкторы!$B669,Продажи!$C$5:$C$359,Конструкторы!$A669)</f>
        <v>0</v>
      </c>
      <c r="T669" s="166">
        <f>SUMIFS(Продажи!Q$5:Q$359,Продажи!$D$5:$D$359,Конструкторы!$B669,Продажи!$C$5:$C$359,Конструкторы!$A669)</f>
        <v>0</v>
      </c>
    </row>
    <row r="670" spans="1:20" ht="15.75" hidden="1" x14ac:dyDescent="0.25">
      <c r="A670" s="166" t="s">
        <v>397</v>
      </c>
      <c r="B670" s="167" t="s">
        <v>381</v>
      </c>
      <c r="C670" s="129" t="s">
        <v>53</v>
      </c>
      <c r="D670" s="149"/>
      <c r="E670" s="153" t="s">
        <v>68</v>
      </c>
      <c r="F670" s="148">
        <v>0.15</v>
      </c>
      <c r="G670" s="148">
        <f t="shared" si="4"/>
        <v>4.4999999999999997E-3</v>
      </c>
      <c r="H670" s="156">
        <f t="shared" si="5"/>
        <v>0.1545</v>
      </c>
      <c r="I670" s="166">
        <f>SUMIFS(Продажи!F$5:F$359,Продажи!$D$5:$D$359,Конструкторы!$B670,Продажи!$C$5:$C$359,Конструкторы!$A670)</f>
        <v>0</v>
      </c>
      <c r="J670" s="166">
        <f>SUMIFS(Продажи!G$5:G$359,Продажи!$D$5:$D$359,Конструкторы!$B670,Продажи!$C$5:$C$359,Конструкторы!$A670)</f>
        <v>0</v>
      </c>
      <c r="K670" s="166">
        <f>SUMIFS(Продажи!H$5:H$359,Продажи!$D$5:$D$359,Конструкторы!$B670,Продажи!$C$5:$C$359,Конструкторы!$A670)</f>
        <v>0</v>
      </c>
      <c r="L670" s="166">
        <f>SUMIFS(Продажи!I$5:I$359,Продажи!$D$5:$D$359,Конструкторы!$B670,Продажи!$C$5:$C$359,Конструкторы!$A670)</f>
        <v>0</v>
      </c>
      <c r="M670" s="166">
        <f>SUMIFS(Продажи!J$5:J$359,Продажи!$D$5:$D$359,Конструкторы!$B670,Продажи!$C$5:$C$359,Конструкторы!$A670)</f>
        <v>0</v>
      </c>
      <c r="N670" s="166">
        <f>SUMIFS(Продажи!K$5:K$359,Продажи!$D$5:$D$359,Конструкторы!$B670,Продажи!$C$5:$C$359,Конструкторы!$A670)</f>
        <v>0</v>
      </c>
      <c r="O670" s="166">
        <f>SUMIFS(Продажи!L$5:L$359,Продажи!$D$5:$D$359,Конструкторы!$B670,Продажи!$C$5:$C$359,Конструкторы!$A670)</f>
        <v>0</v>
      </c>
      <c r="P670" s="166">
        <f>SUMIFS(Продажи!M$5:M$359,Продажи!$D$5:$D$359,Конструкторы!$B670,Продажи!$C$5:$C$359,Конструкторы!$A670)</f>
        <v>0</v>
      </c>
      <c r="Q670" s="166">
        <f>SUMIFS(Продажи!N$5:N$359,Продажи!$D$5:$D$359,Конструкторы!$B670,Продажи!$C$5:$C$359,Конструкторы!$A670)</f>
        <v>0</v>
      </c>
      <c r="R670" s="166">
        <f>SUMIFS(Продажи!O$5:O$359,Продажи!$D$5:$D$359,Конструкторы!$B670,Продажи!$C$5:$C$359,Конструкторы!$A670)</f>
        <v>0</v>
      </c>
      <c r="S670" s="166">
        <f>SUMIFS(Продажи!P$5:P$359,Продажи!$D$5:$D$359,Конструкторы!$B670,Продажи!$C$5:$C$359,Конструкторы!$A670)</f>
        <v>0</v>
      </c>
      <c r="T670" s="166">
        <f>SUMIFS(Продажи!Q$5:Q$359,Продажи!$D$5:$D$359,Конструкторы!$B670,Продажи!$C$5:$C$359,Конструкторы!$A670)</f>
        <v>0</v>
      </c>
    </row>
    <row r="671" spans="1:20" ht="15.75" hidden="1" x14ac:dyDescent="0.25">
      <c r="A671" s="166" t="s">
        <v>397</v>
      </c>
      <c r="B671" s="167" t="s">
        <v>381</v>
      </c>
      <c r="C671" s="129" t="s">
        <v>53</v>
      </c>
      <c r="D671" s="149"/>
      <c r="E671" s="153" t="s">
        <v>68</v>
      </c>
      <c r="F671" s="148">
        <v>0.29599999999999999</v>
      </c>
      <c r="G671" s="148">
        <f t="shared" si="4"/>
        <v>8.879999999999999E-3</v>
      </c>
      <c r="H671" s="156">
        <f t="shared" si="5"/>
        <v>0.30487999999999998</v>
      </c>
      <c r="I671" s="166">
        <f>SUMIFS(Продажи!F$5:F$359,Продажи!$D$5:$D$359,Конструкторы!$B671,Продажи!$C$5:$C$359,Конструкторы!$A671)</f>
        <v>0</v>
      </c>
      <c r="J671" s="166">
        <f>SUMIFS(Продажи!G$5:G$359,Продажи!$D$5:$D$359,Конструкторы!$B671,Продажи!$C$5:$C$359,Конструкторы!$A671)</f>
        <v>0</v>
      </c>
      <c r="K671" s="166">
        <f>SUMIFS(Продажи!H$5:H$359,Продажи!$D$5:$D$359,Конструкторы!$B671,Продажи!$C$5:$C$359,Конструкторы!$A671)</f>
        <v>0</v>
      </c>
      <c r="L671" s="166">
        <f>SUMIFS(Продажи!I$5:I$359,Продажи!$D$5:$D$359,Конструкторы!$B671,Продажи!$C$5:$C$359,Конструкторы!$A671)</f>
        <v>0</v>
      </c>
      <c r="M671" s="166">
        <f>SUMIFS(Продажи!J$5:J$359,Продажи!$D$5:$D$359,Конструкторы!$B671,Продажи!$C$5:$C$359,Конструкторы!$A671)</f>
        <v>0</v>
      </c>
      <c r="N671" s="166">
        <f>SUMIFS(Продажи!K$5:K$359,Продажи!$D$5:$D$359,Конструкторы!$B671,Продажи!$C$5:$C$359,Конструкторы!$A671)</f>
        <v>0</v>
      </c>
      <c r="O671" s="166">
        <f>SUMIFS(Продажи!L$5:L$359,Продажи!$D$5:$D$359,Конструкторы!$B671,Продажи!$C$5:$C$359,Конструкторы!$A671)</f>
        <v>0</v>
      </c>
      <c r="P671" s="166">
        <f>SUMIFS(Продажи!M$5:M$359,Продажи!$D$5:$D$359,Конструкторы!$B671,Продажи!$C$5:$C$359,Конструкторы!$A671)</f>
        <v>0</v>
      </c>
      <c r="Q671" s="166">
        <f>SUMIFS(Продажи!N$5:N$359,Продажи!$D$5:$D$359,Конструкторы!$B671,Продажи!$C$5:$C$359,Конструкторы!$A671)</f>
        <v>0</v>
      </c>
      <c r="R671" s="166">
        <f>SUMIFS(Продажи!O$5:O$359,Продажи!$D$5:$D$359,Конструкторы!$B671,Продажи!$C$5:$C$359,Конструкторы!$A671)</f>
        <v>0</v>
      </c>
      <c r="S671" s="166">
        <f>SUMIFS(Продажи!P$5:P$359,Продажи!$D$5:$D$359,Конструкторы!$B671,Продажи!$C$5:$C$359,Конструкторы!$A671)</f>
        <v>0</v>
      </c>
      <c r="T671" s="166">
        <f>SUMIFS(Продажи!Q$5:Q$359,Продажи!$D$5:$D$359,Конструкторы!$B671,Продажи!$C$5:$C$359,Конструкторы!$A671)</f>
        <v>0</v>
      </c>
    </row>
    <row r="672" spans="1:20" ht="15.75" hidden="1" x14ac:dyDescent="0.25">
      <c r="A672" s="166" t="s">
        <v>397</v>
      </c>
      <c r="B672" s="167" t="s">
        <v>381</v>
      </c>
      <c r="C672" s="129" t="s">
        <v>53</v>
      </c>
      <c r="D672" s="149"/>
      <c r="E672" s="153" t="s">
        <v>68</v>
      </c>
      <c r="F672" s="148">
        <v>0.16300000000000001</v>
      </c>
      <c r="G672" s="148">
        <f t="shared" si="4"/>
        <v>4.8900000000000002E-3</v>
      </c>
      <c r="H672" s="156">
        <f t="shared" si="5"/>
        <v>0.16789000000000001</v>
      </c>
      <c r="I672" s="166">
        <f>SUMIFS(Продажи!F$5:F$359,Продажи!$D$5:$D$359,Конструкторы!$B672,Продажи!$C$5:$C$359,Конструкторы!$A672)</f>
        <v>0</v>
      </c>
      <c r="J672" s="166">
        <f>SUMIFS(Продажи!G$5:G$359,Продажи!$D$5:$D$359,Конструкторы!$B672,Продажи!$C$5:$C$359,Конструкторы!$A672)</f>
        <v>0</v>
      </c>
      <c r="K672" s="166">
        <f>SUMIFS(Продажи!H$5:H$359,Продажи!$D$5:$D$359,Конструкторы!$B672,Продажи!$C$5:$C$359,Конструкторы!$A672)</f>
        <v>0</v>
      </c>
      <c r="L672" s="166">
        <f>SUMIFS(Продажи!I$5:I$359,Продажи!$D$5:$D$359,Конструкторы!$B672,Продажи!$C$5:$C$359,Конструкторы!$A672)</f>
        <v>0</v>
      </c>
      <c r="M672" s="166">
        <f>SUMIFS(Продажи!J$5:J$359,Продажи!$D$5:$D$359,Конструкторы!$B672,Продажи!$C$5:$C$359,Конструкторы!$A672)</f>
        <v>0</v>
      </c>
      <c r="N672" s="166">
        <f>SUMIFS(Продажи!K$5:K$359,Продажи!$D$5:$D$359,Конструкторы!$B672,Продажи!$C$5:$C$359,Конструкторы!$A672)</f>
        <v>0</v>
      </c>
      <c r="O672" s="166">
        <f>SUMIFS(Продажи!L$5:L$359,Продажи!$D$5:$D$359,Конструкторы!$B672,Продажи!$C$5:$C$359,Конструкторы!$A672)</f>
        <v>0</v>
      </c>
      <c r="P672" s="166">
        <f>SUMIFS(Продажи!M$5:M$359,Продажи!$D$5:$D$359,Конструкторы!$B672,Продажи!$C$5:$C$359,Конструкторы!$A672)</f>
        <v>0</v>
      </c>
      <c r="Q672" s="166">
        <f>SUMIFS(Продажи!N$5:N$359,Продажи!$D$5:$D$359,Конструкторы!$B672,Продажи!$C$5:$C$359,Конструкторы!$A672)</f>
        <v>0</v>
      </c>
      <c r="R672" s="166">
        <f>SUMIFS(Продажи!O$5:O$359,Продажи!$D$5:$D$359,Конструкторы!$B672,Продажи!$C$5:$C$359,Конструкторы!$A672)</f>
        <v>0</v>
      </c>
      <c r="S672" s="166">
        <f>SUMIFS(Продажи!P$5:P$359,Продажи!$D$5:$D$359,Конструкторы!$B672,Продажи!$C$5:$C$359,Конструкторы!$A672)</f>
        <v>0</v>
      </c>
      <c r="T672" s="166">
        <f>SUMIFS(Продажи!Q$5:Q$359,Продажи!$D$5:$D$359,Конструкторы!$B672,Продажи!$C$5:$C$359,Конструкторы!$A672)</f>
        <v>0</v>
      </c>
    </row>
    <row r="673" spans="1:20" ht="15.75" hidden="1" x14ac:dyDescent="0.25">
      <c r="A673" s="166" t="s">
        <v>397</v>
      </c>
      <c r="B673" s="167" t="s">
        <v>381</v>
      </c>
      <c r="C673" s="129" t="s">
        <v>52</v>
      </c>
      <c r="D673" s="149"/>
      <c r="E673" s="153" t="s">
        <v>68</v>
      </c>
      <c r="F673" s="148">
        <v>0.3</v>
      </c>
      <c r="G673" s="148">
        <f t="shared" si="4"/>
        <v>8.9999999999999993E-3</v>
      </c>
      <c r="H673" s="156">
        <f t="shared" si="5"/>
        <v>0.309</v>
      </c>
      <c r="I673" s="166">
        <f>SUMIFS(Продажи!F$5:F$359,Продажи!$D$5:$D$359,Конструкторы!$B673,Продажи!$C$5:$C$359,Конструкторы!$A673)</f>
        <v>0</v>
      </c>
      <c r="J673" s="166">
        <f>SUMIFS(Продажи!G$5:G$359,Продажи!$D$5:$D$359,Конструкторы!$B673,Продажи!$C$5:$C$359,Конструкторы!$A673)</f>
        <v>0</v>
      </c>
      <c r="K673" s="166">
        <f>SUMIFS(Продажи!H$5:H$359,Продажи!$D$5:$D$359,Конструкторы!$B673,Продажи!$C$5:$C$359,Конструкторы!$A673)</f>
        <v>0</v>
      </c>
      <c r="L673" s="166">
        <f>SUMIFS(Продажи!I$5:I$359,Продажи!$D$5:$D$359,Конструкторы!$B673,Продажи!$C$5:$C$359,Конструкторы!$A673)</f>
        <v>0</v>
      </c>
      <c r="M673" s="166">
        <f>SUMIFS(Продажи!J$5:J$359,Продажи!$D$5:$D$359,Конструкторы!$B673,Продажи!$C$5:$C$359,Конструкторы!$A673)</f>
        <v>0</v>
      </c>
      <c r="N673" s="166">
        <f>SUMIFS(Продажи!K$5:K$359,Продажи!$D$5:$D$359,Конструкторы!$B673,Продажи!$C$5:$C$359,Конструкторы!$A673)</f>
        <v>0</v>
      </c>
      <c r="O673" s="166">
        <f>SUMIFS(Продажи!L$5:L$359,Продажи!$D$5:$D$359,Конструкторы!$B673,Продажи!$C$5:$C$359,Конструкторы!$A673)</f>
        <v>0</v>
      </c>
      <c r="P673" s="166">
        <f>SUMIFS(Продажи!M$5:M$359,Продажи!$D$5:$D$359,Конструкторы!$B673,Продажи!$C$5:$C$359,Конструкторы!$A673)</f>
        <v>0</v>
      </c>
      <c r="Q673" s="166">
        <f>SUMIFS(Продажи!N$5:N$359,Продажи!$D$5:$D$359,Конструкторы!$B673,Продажи!$C$5:$C$359,Конструкторы!$A673)</f>
        <v>0</v>
      </c>
      <c r="R673" s="166">
        <f>SUMIFS(Продажи!O$5:O$359,Продажи!$D$5:$D$359,Конструкторы!$B673,Продажи!$C$5:$C$359,Конструкторы!$A673)</f>
        <v>0</v>
      </c>
      <c r="S673" s="166">
        <f>SUMIFS(Продажи!P$5:P$359,Продажи!$D$5:$D$359,Конструкторы!$B673,Продажи!$C$5:$C$359,Конструкторы!$A673)</f>
        <v>0</v>
      </c>
      <c r="T673" s="166">
        <f>SUMIFS(Продажи!Q$5:Q$359,Продажи!$D$5:$D$359,Конструкторы!$B673,Продажи!$C$5:$C$359,Конструкторы!$A673)</f>
        <v>0</v>
      </c>
    </row>
    <row r="674" spans="1:20" ht="15.75" hidden="1" x14ac:dyDescent="0.25">
      <c r="A674" s="166" t="s">
        <v>397</v>
      </c>
      <c r="B674" s="167" t="s">
        <v>381</v>
      </c>
      <c r="C674" s="129" t="s">
        <v>52</v>
      </c>
      <c r="D674" s="149"/>
      <c r="E674" s="153" t="s">
        <v>68</v>
      </c>
      <c r="F674" s="148">
        <v>0.1</v>
      </c>
      <c r="G674" s="148">
        <f t="shared" si="4"/>
        <v>3.0000000000000001E-3</v>
      </c>
      <c r="H674" s="156">
        <f t="shared" si="5"/>
        <v>0.10300000000000001</v>
      </c>
      <c r="I674" s="166">
        <f>SUMIFS(Продажи!F$5:F$359,Продажи!$D$5:$D$359,Конструкторы!$B674,Продажи!$C$5:$C$359,Конструкторы!$A674)</f>
        <v>0</v>
      </c>
      <c r="J674" s="166">
        <f>SUMIFS(Продажи!G$5:G$359,Продажи!$D$5:$D$359,Конструкторы!$B674,Продажи!$C$5:$C$359,Конструкторы!$A674)</f>
        <v>0</v>
      </c>
      <c r="K674" s="166">
        <f>SUMIFS(Продажи!H$5:H$359,Продажи!$D$5:$D$359,Конструкторы!$B674,Продажи!$C$5:$C$359,Конструкторы!$A674)</f>
        <v>0</v>
      </c>
      <c r="L674" s="166">
        <f>SUMIFS(Продажи!I$5:I$359,Продажи!$D$5:$D$359,Конструкторы!$B674,Продажи!$C$5:$C$359,Конструкторы!$A674)</f>
        <v>0</v>
      </c>
      <c r="M674" s="166">
        <f>SUMIFS(Продажи!J$5:J$359,Продажи!$D$5:$D$359,Конструкторы!$B674,Продажи!$C$5:$C$359,Конструкторы!$A674)</f>
        <v>0</v>
      </c>
      <c r="N674" s="166">
        <f>SUMIFS(Продажи!K$5:K$359,Продажи!$D$5:$D$359,Конструкторы!$B674,Продажи!$C$5:$C$359,Конструкторы!$A674)</f>
        <v>0</v>
      </c>
      <c r="O674" s="166">
        <f>SUMIFS(Продажи!L$5:L$359,Продажи!$D$5:$D$359,Конструкторы!$B674,Продажи!$C$5:$C$359,Конструкторы!$A674)</f>
        <v>0</v>
      </c>
      <c r="P674" s="166">
        <f>SUMIFS(Продажи!M$5:M$359,Продажи!$D$5:$D$359,Конструкторы!$B674,Продажи!$C$5:$C$359,Конструкторы!$A674)</f>
        <v>0</v>
      </c>
      <c r="Q674" s="166">
        <f>SUMIFS(Продажи!N$5:N$359,Продажи!$D$5:$D$359,Конструкторы!$B674,Продажи!$C$5:$C$359,Конструкторы!$A674)</f>
        <v>0</v>
      </c>
      <c r="R674" s="166">
        <f>SUMIFS(Продажи!O$5:O$359,Продажи!$D$5:$D$359,Конструкторы!$B674,Продажи!$C$5:$C$359,Конструкторы!$A674)</f>
        <v>0</v>
      </c>
      <c r="S674" s="166">
        <f>SUMIFS(Продажи!P$5:P$359,Продажи!$D$5:$D$359,Конструкторы!$B674,Продажи!$C$5:$C$359,Конструкторы!$A674)</f>
        <v>0</v>
      </c>
      <c r="T674" s="166">
        <f>SUMIFS(Продажи!Q$5:Q$359,Продажи!$D$5:$D$359,Конструкторы!$B674,Продажи!$C$5:$C$359,Конструкторы!$A674)</f>
        <v>0</v>
      </c>
    </row>
    <row r="675" spans="1:20" ht="15.75" hidden="1" x14ac:dyDescent="0.25">
      <c r="A675" s="166" t="s">
        <v>397</v>
      </c>
      <c r="B675" s="167" t="s">
        <v>381</v>
      </c>
      <c r="C675" s="33" t="s">
        <v>73</v>
      </c>
      <c r="D675" s="149"/>
      <c r="E675" s="153" t="s">
        <v>70</v>
      </c>
      <c r="F675" s="148">
        <v>2</v>
      </c>
      <c r="G675" s="148"/>
      <c r="H675" s="156">
        <f t="shared" si="5"/>
        <v>2</v>
      </c>
      <c r="I675" s="166">
        <f>SUMIFS(Продажи!F$5:F$359,Продажи!$D$5:$D$359,Конструкторы!$B675,Продажи!$C$5:$C$359,Конструкторы!$A675)</f>
        <v>0</v>
      </c>
      <c r="J675" s="166">
        <f>SUMIFS(Продажи!G$5:G$359,Продажи!$D$5:$D$359,Конструкторы!$B675,Продажи!$C$5:$C$359,Конструкторы!$A675)</f>
        <v>0</v>
      </c>
      <c r="K675" s="166">
        <f>SUMIFS(Продажи!H$5:H$359,Продажи!$D$5:$D$359,Конструкторы!$B675,Продажи!$C$5:$C$359,Конструкторы!$A675)</f>
        <v>0</v>
      </c>
      <c r="L675" s="166">
        <f>SUMIFS(Продажи!I$5:I$359,Продажи!$D$5:$D$359,Конструкторы!$B675,Продажи!$C$5:$C$359,Конструкторы!$A675)</f>
        <v>0</v>
      </c>
      <c r="M675" s="166">
        <f>SUMIFS(Продажи!J$5:J$359,Продажи!$D$5:$D$359,Конструкторы!$B675,Продажи!$C$5:$C$359,Конструкторы!$A675)</f>
        <v>0</v>
      </c>
      <c r="N675" s="166">
        <f>SUMIFS(Продажи!K$5:K$359,Продажи!$D$5:$D$359,Конструкторы!$B675,Продажи!$C$5:$C$359,Конструкторы!$A675)</f>
        <v>0</v>
      </c>
      <c r="O675" s="166">
        <f>SUMIFS(Продажи!L$5:L$359,Продажи!$D$5:$D$359,Конструкторы!$B675,Продажи!$C$5:$C$359,Конструкторы!$A675)</f>
        <v>0</v>
      </c>
      <c r="P675" s="166">
        <f>SUMIFS(Продажи!M$5:M$359,Продажи!$D$5:$D$359,Конструкторы!$B675,Продажи!$C$5:$C$359,Конструкторы!$A675)</f>
        <v>0</v>
      </c>
      <c r="Q675" s="166">
        <f>SUMIFS(Продажи!N$5:N$359,Продажи!$D$5:$D$359,Конструкторы!$B675,Продажи!$C$5:$C$359,Конструкторы!$A675)</f>
        <v>0</v>
      </c>
      <c r="R675" s="166">
        <f>SUMIFS(Продажи!O$5:O$359,Продажи!$D$5:$D$359,Конструкторы!$B675,Продажи!$C$5:$C$359,Конструкторы!$A675)</f>
        <v>0</v>
      </c>
      <c r="S675" s="166">
        <f>SUMIFS(Продажи!P$5:P$359,Продажи!$D$5:$D$359,Конструкторы!$B675,Продажи!$C$5:$C$359,Конструкторы!$A675)</f>
        <v>0</v>
      </c>
      <c r="T675" s="166">
        <f>SUMIFS(Продажи!Q$5:Q$359,Продажи!$D$5:$D$359,Конструкторы!$B675,Продажи!$C$5:$C$359,Конструкторы!$A675)</f>
        <v>0</v>
      </c>
    </row>
    <row r="676" spans="1:20" ht="15.75" hidden="1" x14ac:dyDescent="0.25">
      <c r="A676" s="166" t="s">
        <v>397</v>
      </c>
      <c r="B676" s="167" t="s">
        <v>381</v>
      </c>
      <c r="C676" s="33" t="s">
        <v>76</v>
      </c>
      <c r="D676" s="149"/>
      <c r="E676" s="153" t="s">
        <v>70</v>
      </c>
      <c r="F676" s="148">
        <v>6</v>
      </c>
      <c r="G676" s="148"/>
      <c r="H676" s="156">
        <f t="shared" si="5"/>
        <v>6</v>
      </c>
      <c r="I676" s="166">
        <f>SUMIFS(Продажи!F$5:F$359,Продажи!$D$5:$D$359,Конструкторы!$B676,Продажи!$C$5:$C$359,Конструкторы!$A676)</f>
        <v>0</v>
      </c>
      <c r="J676" s="166">
        <f>SUMIFS(Продажи!G$5:G$359,Продажи!$D$5:$D$359,Конструкторы!$B676,Продажи!$C$5:$C$359,Конструкторы!$A676)</f>
        <v>0</v>
      </c>
      <c r="K676" s="166">
        <f>SUMIFS(Продажи!H$5:H$359,Продажи!$D$5:$D$359,Конструкторы!$B676,Продажи!$C$5:$C$359,Конструкторы!$A676)</f>
        <v>0</v>
      </c>
      <c r="L676" s="166">
        <f>SUMIFS(Продажи!I$5:I$359,Продажи!$D$5:$D$359,Конструкторы!$B676,Продажи!$C$5:$C$359,Конструкторы!$A676)</f>
        <v>0</v>
      </c>
      <c r="M676" s="166">
        <f>SUMIFS(Продажи!J$5:J$359,Продажи!$D$5:$D$359,Конструкторы!$B676,Продажи!$C$5:$C$359,Конструкторы!$A676)</f>
        <v>0</v>
      </c>
      <c r="N676" s="166">
        <f>SUMIFS(Продажи!K$5:K$359,Продажи!$D$5:$D$359,Конструкторы!$B676,Продажи!$C$5:$C$359,Конструкторы!$A676)</f>
        <v>0</v>
      </c>
      <c r="O676" s="166">
        <f>SUMIFS(Продажи!L$5:L$359,Продажи!$D$5:$D$359,Конструкторы!$B676,Продажи!$C$5:$C$359,Конструкторы!$A676)</f>
        <v>0</v>
      </c>
      <c r="P676" s="166">
        <f>SUMIFS(Продажи!M$5:M$359,Продажи!$D$5:$D$359,Конструкторы!$B676,Продажи!$C$5:$C$359,Конструкторы!$A676)</f>
        <v>0</v>
      </c>
      <c r="Q676" s="166">
        <f>SUMIFS(Продажи!N$5:N$359,Продажи!$D$5:$D$359,Конструкторы!$B676,Продажи!$C$5:$C$359,Конструкторы!$A676)</f>
        <v>0</v>
      </c>
      <c r="R676" s="166">
        <f>SUMIFS(Продажи!O$5:O$359,Продажи!$D$5:$D$359,Конструкторы!$B676,Продажи!$C$5:$C$359,Конструкторы!$A676)</f>
        <v>0</v>
      </c>
      <c r="S676" s="166">
        <f>SUMIFS(Продажи!P$5:P$359,Продажи!$D$5:$D$359,Конструкторы!$B676,Продажи!$C$5:$C$359,Конструкторы!$A676)</f>
        <v>0</v>
      </c>
      <c r="T676" s="166">
        <f>SUMIFS(Продажи!Q$5:Q$359,Продажи!$D$5:$D$359,Конструкторы!$B676,Продажи!$C$5:$C$359,Конструкторы!$A676)</f>
        <v>0</v>
      </c>
    </row>
    <row r="677" spans="1:20" ht="15.75" hidden="1" x14ac:dyDescent="0.25">
      <c r="A677" s="166" t="s">
        <v>397</v>
      </c>
      <c r="B677" s="167" t="s">
        <v>381</v>
      </c>
      <c r="C677" s="33" t="s">
        <v>75</v>
      </c>
      <c r="D677" s="149"/>
      <c r="E677" s="153" t="s">
        <v>70</v>
      </c>
      <c r="F677" s="148">
        <v>12</v>
      </c>
      <c r="G677" s="148"/>
      <c r="H677" s="156">
        <f t="shared" si="5"/>
        <v>12</v>
      </c>
      <c r="I677" s="166">
        <f>SUMIFS(Продажи!F$5:F$359,Продажи!$D$5:$D$359,Конструкторы!$B677,Продажи!$C$5:$C$359,Конструкторы!$A677)</f>
        <v>0</v>
      </c>
      <c r="J677" s="166">
        <f>SUMIFS(Продажи!G$5:G$359,Продажи!$D$5:$D$359,Конструкторы!$B677,Продажи!$C$5:$C$359,Конструкторы!$A677)</f>
        <v>0</v>
      </c>
      <c r="K677" s="166">
        <f>SUMIFS(Продажи!H$5:H$359,Продажи!$D$5:$D$359,Конструкторы!$B677,Продажи!$C$5:$C$359,Конструкторы!$A677)</f>
        <v>0</v>
      </c>
      <c r="L677" s="166">
        <f>SUMIFS(Продажи!I$5:I$359,Продажи!$D$5:$D$359,Конструкторы!$B677,Продажи!$C$5:$C$359,Конструкторы!$A677)</f>
        <v>0</v>
      </c>
      <c r="M677" s="166">
        <f>SUMIFS(Продажи!J$5:J$359,Продажи!$D$5:$D$359,Конструкторы!$B677,Продажи!$C$5:$C$359,Конструкторы!$A677)</f>
        <v>0</v>
      </c>
      <c r="N677" s="166">
        <f>SUMIFS(Продажи!K$5:K$359,Продажи!$D$5:$D$359,Конструкторы!$B677,Продажи!$C$5:$C$359,Конструкторы!$A677)</f>
        <v>0</v>
      </c>
      <c r="O677" s="166">
        <f>SUMIFS(Продажи!L$5:L$359,Продажи!$D$5:$D$359,Конструкторы!$B677,Продажи!$C$5:$C$359,Конструкторы!$A677)</f>
        <v>0</v>
      </c>
      <c r="P677" s="166">
        <f>SUMIFS(Продажи!M$5:M$359,Продажи!$D$5:$D$359,Конструкторы!$B677,Продажи!$C$5:$C$359,Конструкторы!$A677)</f>
        <v>0</v>
      </c>
      <c r="Q677" s="166">
        <f>SUMIFS(Продажи!N$5:N$359,Продажи!$D$5:$D$359,Конструкторы!$B677,Продажи!$C$5:$C$359,Конструкторы!$A677)</f>
        <v>0</v>
      </c>
      <c r="R677" s="166">
        <f>SUMIFS(Продажи!O$5:O$359,Продажи!$D$5:$D$359,Конструкторы!$B677,Продажи!$C$5:$C$359,Конструкторы!$A677)</f>
        <v>0</v>
      </c>
      <c r="S677" s="166">
        <f>SUMIFS(Продажи!P$5:P$359,Продажи!$D$5:$D$359,Конструкторы!$B677,Продажи!$C$5:$C$359,Конструкторы!$A677)</f>
        <v>0</v>
      </c>
      <c r="T677" s="166">
        <f>SUMIFS(Продажи!Q$5:Q$359,Продажи!$D$5:$D$359,Конструкторы!$B677,Продажи!$C$5:$C$359,Конструкторы!$A677)</f>
        <v>0</v>
      </c>
    </row>
    <row r="678" spans="1:20" ht="15.75" hidden="1" x14ac:dyDescent="0.25">
      <c r="A678" s="166" t="s">
        <v>397</v>
      </c>
      <c r="B678" s="167" t="s">
        <v>167</v>
      </c>
      <c r="C678" s="129" t="s">
        <v>53</v>
      </c>
      <c r="D678" s="130">
        <v>7038</v>
      </c>
      <c r="E678" s="153" t="s">
        <v>68</v>
      </c>
      <c r="F678" s="156">
        <f>(1.065*103)/100</f>
        <v>1.0969499999999999</v>
      </c>
      <c r="G678" s="156">
        <v>3.1949999999999923E-2</v>
      </c>
      <c r="H678" s="156">
        <f t="shared" si="5"/>
        <v>1.1288999999999998</v>
      </c>
      <c r="I678" s="166">
        <f>SUMIFS(Продажи!F$5:F$359,Продажи!$D$5:$D$359,Конструкторы!$B678,Продажи!$C$5:$C$359,Конструкторы!$A678)</f>
        <v>0</v>
      </c>
      <c r="J678" s="166">
        <f>SUMIFS(Продажи!G$5:G$359,Продажи!$D$5:$D$359,Конструкторы!$B678,Продажи!$C$5:$C$359,Конструкторы!$A678)</f>
        <v>0</v>
      </c>
      <c r="K678" s="166">
        <f>SUMIFS(Продажи!H$5:H$359,Продажи!$D$5:$D$359,Конструкторы!$B678,Продажи!$C$5:$C$359,Конструкторы!$A678)</f>
        <v>0</v>
      </c>
      <c r="L678" s="166">
        <f>SUMIFS(Продажи!I$5:I$359,Продажи!$D$5:$D$359,Конструкторы!$B678,Продажи!$C$5:$C$359,Конструкторы!$A678)</f>
        <v>0</v>
      </c>
      <c r="M678" s="166">
        <f>SUMIFS(Продажи!J$5:J$359,Продажи!$D$5:$D$359,Конструкторы!$B678,Продажи!$C$5:$C$359,Конструкторы!$A678)</f>
        <v>0</v>
      </c>
      <c r="N678" s="166">
        <f>SUMIFS(Продажи!K$5:K$359,Продажи!$D$5:$D$359,Конструкторы!$B678,Продажи!$C$5:$C$359,Конструкторы!$A678)</f>
        <v>0</v>
      </c>
      <c r="O678" s="166">
        <f>SUMIFS(Продажи!L$5:L$359,Продажи!$D$5:$D$359,Конструкторы!$B678,Продажи!$C$5:$C$359,Конструкторы!$A678)</f>
        <v>0</v>
      </c>
      <c r="P678" s="166">
        <f>SUMIFS(Продажи!M$5:M$359,Продажи!$D$5:$D$359,Конструкторы!$B678,Продажи!$C$5:$C$359,Конструкторы!$A678)</f>
        <v>0</v>
      </c>
      <c r="Q678" s="166">
        <f>SUMIFS(Продажи!N$5:N$359,Продажи!$D$5:$D$359,Конструкторы!$B678,Продажи!$C$5:$C$359,Конструкторы!$A678)</f>
        <v>0</v>
      </c>
      <c r="R678" s="166">
        <f>SUMIFS(Продажи!O$5:O$359,Продажи!$D$5:$D$359,Конструкторы!$B678,Продажи!$C$5:$C$359,Конструкторы!$A678)</f>
        <v>0</v>
      </c>
      <c r="S678" s="166">
        <f>SUMIFS(Продажи!P$5:P$359,Продажи!$D$5:$D$359,Конструкторы!$B678,Продажи!$C$5:$C$359,Конструкторы!$A678)</f>
        <v>0</v>
      </c>
      <c r="T678" s="166">
        <f>SUMIFS(Продажи!Q$5:Q$359,Продажи!$D$5:$D$359,Конструкторы!$B678,Продажи!$C$5:$C$359,Конструкторы!$A678)</f>
        <v>0</v>
      </c>
    </row>
    <row r="679" spans="1:20" ht="15.75" hidden="1" x14ac:dyDescent="0.25">
      <c r="A679" s="166" t="s">
        <v>397</v>
      </c>
      <c r="B679" s="167" t="s">
        <v>167</v>
      </c>
      <c r="C679" s="129" t="s">
        <v>52</v>
      </c>
      <c r="D679" s="149"/>
      <c r="E679" s="153" t="s">
        <v>68</v>
      </c>
      <c r="F679" s="156">
        <f>(0.5*103)/100</f>
        <v>0.51500000000000001</v>
      </c>
      <c r="G679" s="156">
        <v>1.5000000000000013E-2</v>
      </c>
      <c r="H679" s="156">
        <f t="shared" si="5"/>
        <v>0.53</v>
      </c>
      <c r="I679" s="166">
        <f>SUMIFS(Продажи!F$5:F$359,Продажи!$D$5:$D$359,Конструкторы!$B679,Продажи!$C$5:$C$359,Конструкторы!$A679)</f>
        <v>0</v>
      </c>
      <c r="J679" s="166">
        <f>SUMIFS(Продажи!G$5:G$359,Продажи!$D$5:$D$359,Конструкторы!$B679,Продажи!$C$5:$C$359,Конструкторы!$A679)</f>
        <v>0</v>
      </c>
      <c r="K679" s="166">
        <f>SUMIFS(Продажи!H$5:H$359,Продажи!$D$5:$D$359,Конструкторы!$B679,Продажи!$C$5:$C$359,Конструкторы!$A679)</f>
        <v>0</v>
      </c>
      <c r="L679" s="166">
        <f>SUMIFS(Продажи!I$5:I$359,Продажи!$D$5:$D$359,Конструкторы!$B679,Продажи!$C$5:$C$359,Конструкторы!$A679)</f>
        <v>0</v>
      </c>
      <c r="M679" s="166">
        <f>SUMIFS(Продажи!J$5:J$359,Продажи!$D$5:$D$359,Конструкторы!$B679,Продажи!$C$5:$C$359,Конструкторы!$A679)</f>
        <v>0</v>
      </c>
      <c r="N679" s="166">
        <f>SUMIFS(Продажи!K$5:K$359,Продажи!$D$5:$D$359,Конструкторы!$B679,Продажи!$C$5:$C$359,Конструкторы!$A679)</f>
        <v>0</v>
      </c>
      <c r="O679" s="166">
        <f>SUMIFS(Продажи!L$5:L$359,Продажи!$D$5:$D$359,Конструкторы!$B679,Продажи!$C$5:$C$359,Конструкторы!$A679)</f>
        <v>0</v>
      </c>
      <c r="P679" s="166">
        <f>SUMIFS(Продажи!M$5:M$359,Продажи!$D$5:$D$359,Конструкторы!$B679,Продажи!$C$5:$C$359,Конструкторы!$A679)</f>
        <v>0</v>
      </c>
      <c r="Q679" s="166">
        <f>SUMIFS(Продажи!N$5:N$359,Продажи!$D$5:$D$359,Конструкторы!$B679,Продажи!$C$5:$C$359,Конструкторы!$A679)</f>
        <v>0</v>
      </c>
      <c r="R679" s="166">
        <f>SUMIFS(Продажи!O$5:O$359,Продажи!$D$5:$D$359,Конструкторы!$B679,Продажи!$C$5:$C$359,Конструкторы!$A679)</f>
        <v>0</v>
      </c>
      <c r="S679" s="166">
        <f>SUMIFS(Продажи!P$5:P$359,Продажи!$D$5:$D$359,Конструкторы!$B679,Продажи!$C$5:$C$359,Конструкторы!$A679)</f>
        <v>0</v>
      </c>
      <c r="T679" s="166">
        <f>SUMIFS(Продажи!Q$5:Q$359,Продажи!$D$5:$D$359,Конструкторы!$B679,Продажи!$C$5:$C$359,Конструкторы!$A679)</f>
        <v>0</v>
      </c>
    </row>
    <row r="680" spans="1:20" ht="15.75" hidden="1" x14ac:dyDescent="0.25">
      <c r="A680" s="166" t="s">
        <v>397</v>
      </c>
      <c r="B680" s="167" t="s">
        <v>167</v>
      </c>
      <c r="C680" s="33" t="s">
        <v>73</v>
      </c>
      <c r="D680" s="149"/>
      <c r="E680" s="153" t="s">
        <v>70</v>
      </c>
      <c r="F680" s="148">
        <f>2</f>
        <v>2</v>
      </c>
      <c r="G680" s="156" t="s">
        <v>71</v>
      </c>
      <c r="H680" s="156">
        <f>F680</f>
        <v>2</v>
      </c>
      <c r="I680" s="166">
        <f>SUMIFS(Продажи!F$5:F$359,Продажи!$D$5:$D$359,Конструкторы!$B680,Продажи!$C$5:$C$359,Конструкторы!$A680)</f>
        <v>0</v>
      </c>
      <c r="J680" s="166">
        <f>SUMIFS(Продажи!G$5:G$359,Продажи!$D$5:$D$359,Конструкторы!$B680,Продажи!$C$5:$C$359,Конструкторы!$A680)</f>
        <v>0</v>
      </c>
      <c r="K680" s="166">
        <f>SUMIFS(Продажи!H$5:H$359,Продажи!$D$5:$D$359,Конструкторы!$B680,Продажи!$C$5:$C$359,Конструкторы!$A680)</f>
        <v>0</v>
      </c>
      <c r="L680" s="166">
        <f>SUMIFS(Продажи!I$5:I$359,Продажи!$D$5:$D$359,Конструкторы!$B680,Продажи!$C$5:$C$359,Конструкторы!$A680)</f>
        <v>0</v>
      </c>
      <c r="M680" s="166">
        <f>SUMIFS(Продажи!J$5:J$359,Продажи!$D$5:$D$359,Конструкторы!$B680,Продажи!$C$5:$C$359,Конструкторы!$A680)</f>
        <v>0</v>
      </c>
      <c r="N680" s="166">
        <f>SUMIFS(Продажи!K$5:K$359,Продажи!$D$5:$D$359,Конструкторы!$B680,Продажи!$C$5:$C$359,Конструкторы!$A680)</f>
        <v>0</v>
      </c>
      <c r="O680" s="166">
        <f>SUMIFS(Продажи!L$5:L$359,Продажи!$D$5:$D$359,Конструкторы!$B680,Продажи!$C$5:$C$359,Конструкторы!$A680)</f>
        <v>0</v>
      </c>
      <c r="P680" s="166">
        <f>SUMIFS(Продажи!M$5:M$359,Продажи!$D$5:$D$359,Конструкторы!$B680,Продажи!$C$5:$C$359,Конструкторы!$A680)</f>
        <v>0</v>
      </c>
      <c r="Q680" s="166">
        <f>SUMIFS(Продажи!N$5:N$359,Продажи!$D$5:$D$359,Конструкторы!$B680,Продажи!$C$5:$C$359,Конструкторы!$A680)</f>
        <v>0</v>
      </c>
      <c r="R680" s="166">
        <f>SUMIFS(Продажи!O$5:O$359,Продажи!$D$5:$D$359,Конструкторы!$B680,Продажи!$C$5:$C$359,Конструкторы!$A680)</f>
        <v>0</v>
      </c>
      <c r="S680" s="166">
        <f>SUMIFS(Продажи!P$5:P$359,Продажи!$D$5:$D$359,Конструкторы!$B680,Продажи!$C$5:$C$359,Конструкторы!$A680)</f>
        <v>0</v>
      </c>
      <c r="T680" s="166">
        <f>SUMIFS(Продажи!Q$5:Q$359,Продажи!$D$5:$D$359,Конструкторы!$B680,Продажи!$C$5:$C$359,Конструкторы!$A680)</f>
        <v>0</v>
      </c>
    </row>
    <row r="681" spans="1:20" ht="15.75" hidden="1" x14ac:dyDescent="0.25">
      <c r="A681" s="166" t="s">
        <v>397</v>
      </c>
      <c r="B681" s="167" t="s">
        <v>167</v>
      </c>
      <c r="C681" s="33" t="s">
        <v>75</v>
      </c>
      <c r="D681" s="149"/>
      <c r="E681" s="153" t="s">
        <v>70</v>
      </c>
      <c r="F681" s="148">
        <f>8</f>
        <v>8</v>
      </c>
      <c r="G681" s="156" t="s">
        <v>71</v>
      </c>
      <c r="H681" s="156">
        <f>F681</f>
        <v>8</v>
      </c>
      <c r="I681" s="166">
        <f>SUMIFS(Продажи!F$5:F$359,Продажи!$D$5:$D$359,Конструкторы!$B681,Продажи!$C$5:$C$359,Конструкторы!$A681)</f>
        <v>0</v>
      </c>
      <c r="J681" s="166">
        <f>SUMIFS(Продажи!G$5:G$359,Продажи!$D$5:$D$359,Конструкторы!$B681,Продажи!$C$5:$C$359,Конструкторы!$A681)</f>
        <v>0</v>
      </c>
      <c r="K681" s="166">
        <f>SUMIFS(Продажи!H$5:H$359,Продажи!$D$5:$D$359,Конструкторы!$B681,Продажи!$C$5:$C$359,Конструкторы!$A681)</f>
        <v>0</v>
      </c>
      <c r="L681" s="166">
        <f>SUMIFS(Продажи!I$5:I$359,Продажи!$D$5:$D$359,Конструкторы!$B681,Продажи!$C$5:$C$359,Конструкторы!$A681)</f>
        <v>0</v>
      </c>
      <c r="M681" s="166">
        <f>SUMIFS(Продажи!J$5:J$359,Продажи!$D$5:$D$359,Конструкторы!$B681,Продажи!$C$5:$C$359,Конструкторы!$A681)</f>
        <v>0</v>
      </c>
      <c r="N681" s="166">
        <f>SUMIFS(Продажи!K$5:K$359,Продажи!$D$5:$D$359,Конструкторы!$B681,Продажи!$C$5:$C$359,Конструкторы!$A681)</f>
        <v>0</v>
      </c>
      <c r="O681" s="166">
        <f>SUMIFS(Продажи!L$5:L$359,Продажи!$D$5:$D$359,Конструкторы!$B681,Продажи!$C$5:$C$359,Конструкторы!$A681)</f>
        <v>0</v>
      </c>
      <c r="P681" s="166">
        <f>SUMIFS(Продажи!M$5:M$359,Продажи!$D$5:$D$359,Конструкторы!$B681,Продажи!$C$5:$C$359,Конструкторы!$A681)</f>
        <v>0</v>
      </c>
      <c r="Q681" s="166">
        <f>SUMIFS(Продажи!N$5:N$359,Продажи!$D$5:$D$359,Конструкторы!$B681,Продажи!$C$5:$C$359,Конструкторы!$A681)</f>
        <v>0</v>
      </c>
      <c r="R681" s="166">
        <f>SUMIFS(Продажи!O$5:O$359,Продажи!$D$5:$D$359,Конструкторы!$B681,Продажи!$C$5:$C$359,Конструкторы!$A681)</f>
        <v>0</v>
      </c>
      <c r="S681" s="166">
        <f>SUMIFS(Продажи!P$5:P$359,Продажи!$D$5:$D$359,Конструкторы!$B681,Продажи!$C$5:$C$359,Конструкторы!$A681)</f>
        <v>0</v>
      </c>
      <c r="T681" s="166">
        <f>SUMIFS(Продажи!Q$5:Q$359,Продажи!$D$5:$D$359,Конструкторы!$B681,Продажи!$C$5:$C$359,Конструкторы!$A681)</f>
        <v>0</v>
      </c>
    </row>
    <row r="682" spans="1:20" ht="15.75" hidden="1" x14ac:dyDescent="0.25">
      <c r="A682" s="166" t="s">
        <v>397</v>
      </c>
      <c r="B682" s="167" t="s">
        <v>167</v>
      </c>
      <c r="C682" s="33" t="s">
        <v>69</v>
      </c>
      <c r="D682" s="149"/>
      <c r="E682" s="153" t="s">
        <v>70</v>
      </c>
      <c r="F682" s="148">
        <f>4</f>
        <v>4</v>
      </c>
      <c r="G682" s="156" t="s">
        <v>71</v>
      </c>
      <c r="H682" s="156">
        <f>F682</f>
        <v>4</v>
      </c>
      <c r="I682" s="166">
        <f>SUMIFS(Продажи!F$5:F$359,Продажи!$D$5:$D$359,Конструкторы!$B682,Продажи!$C$5:$C$359,Конструкторы!$A682)</f>
        <v>0</v>
      </c>
      <c r="J682" s="166">
        <f>SUMIFS(Продажи!G$5:G$359,Продажи!$D$5:$D$359,Конструкторы!$B682,Продажи!$C$5:$C$359,Конструкторы!$A682)</f>
        <v>0</v>
      </c>
      <c r="K682" s="166">
        <f>SUMIFS(Продажи!H$5:H$359,Продажи!$D$5:$D$359,Конструкторы!$B682,Продажи!$C$5:$C$359,Конструкторы!$A682)</f>
        <v>0</v>
      </c>
      <c r="L682" s="166">
        <f>SUMIFS(Продажи!I$5:I$359,Продажи!$D$5:$D$359,Конструкторы!$B682,Продажи!$C$5:$C$359,Конструкторы!$A682)</f>
        <v>0</v>
      </c>
      <c r="M682" s="166">
        <f>SUMIFS(Продажи!J$5:J$359,Продажи!$D$5:$D$359,Конструкторы!$B682,Продажи!$C$5:$C$359,Конструкторы!$A682)</f>
        <v>0</v>
      </c>
      <c r="N682" s="166">
        <f>SUMIFS(Продажи!K$5:K$359,Продажи!$D$5:$D$359,Конструкторы!$B682,Продажи!$C$5:$C$359,Конструкторы!$A682)</f>
        <v>0</v>
      </c>
      <c r="O682" s="166">
        <f>SUMIFS(Продажи!L$5:L$359,Продажи!$D$5:$D$359,Конструкторы!$B682,Продажи!$C$5:$C$359,Конструкторы!$A682)</f>
        <v>0</v>
      </c>
      <c r="P682" s="166">
        <f>SUMIFS(Продажи!M$5:M$359,Продажи!$D$5:$D$359,Конструкторы!$B682,Продажи!$C$5:$C$359,Конструкторы!$A682)</f>
        <v>0</v>
      </c>
      <c r="Q682" s="166">
        <f>SUMIFS(Продажи!N$5:N$359,Продажи!$D$5:$D$359,Конструкторы!$B682,Продажи!$C$5:$C$359,Конструкторы!$A682)</f>
        <v>0</v>
      </c>
      <c r="R682" s="166">
        <f>SUMIFS(Продажи!O$5:O$359,Продажи!$D$5:$D$359,Конструкторы!$B682,Продажи!$C$5:$C$359,Конструкторы!$A682)</f>
        <v>0</v>
      </c>
      <c r="S682" s="166">
        <f>SUMIFS(Продажи!P$5:P$359,Продажи!$D$5:$D$359,Конструкторы!$B682,Продажи!$C$5:$C$359,Конструкторы!$A682)</f>
        <v>0</v>
      </c>
      <c r="T682" s="166">
        <f>SUMIFS(Продажи!Q$5:Q$359,Продажи!$D$5:$D$359,Конструкторы!$B682,Продажи!$C$5:$C$359,Конструкторы!$A682)</f>
        <v>0</v>
      </c>
    </row>
    <row r="683" spans="1:20" ht="15.75" hidden="1" x14ac:dyDescent="0.25">
      <c r="A683" s="166" t="s">
        <v>397</v>
      </c>
      <c r="B683" s="167" t="s">
        <v>102</v>
      </c>
      <c r="C683" s="129" t="s">
        <v>53</v>
      </c>
      <c r="D683" s="130">
        <v>7038</v>
      </c>
      <c r="E683" s="153" t="s">
        <v>68</v>
      </c>
      <c r="F683" s="156">
        <f>(1.35*103)/100</f>
        <v>1.3905000000000001</v>
      </c>
      <c r="G683" s="156">
        <v>4.049999999999998E-2</v>
      </c>
      <c r="H683" s="156">
        <f>F683+G683</f>
        <v>1.431</v>
      </c>
      <c r="I683" s="166">
        <f>SUMIFS(Продажи!F$5:F$359,Продажи!$D$5:$D$359,Конструкторы!$B683,Продажи!$C$5:$C$359,Конструкторы!$A683)</f>
        <v>0</v>
      </c>
      <c r="J683" s="166">
        <f>SUMIFS(Продажи!G$5:G$359,Продажи!$D$5:$D$359,Конструкторы!$B683,Продажи!$C$5:$C$359,Конструкторы!$A683)</f>
        <v>0</v>
      </c>
      <c r="K683" s="166">
        <f>SUMIFS(Продажи!H$5:H$359,Продажи!$D$5:$D$359,Конструкторы!$B683,Продажи!$C$5:$C$359,Конструкторы!$A683)</f>
        <v>0</v>
      </c>
      <c r="L683" s="166">
        <f>SUMIFS(Продажи!I$5:I$359,Продажи!$D$5:$D$359,Конструкторы!$B683,Продажи!$C$5:$C$359,Конструкторы!$A683)</f>
        <v>0</v>
      </c>
      <c r="M683" s="166">
        <f>SUMIFS(Продажи!J$5:J$359,Продажи!$D$5:$D$359,Конструкторы!$B683,Продажи!$C$5:$C$359,Конструкторы!$A683)</f>
        <v>0</v>
      </c>
      <c r="N683" s="166">
        <f>SUMIFS(Продажи!K$5:K$359,Продажи!$D$5:$D$359,Конструкторы!$B683,Продажи!$C$5:$C$359,Конструкторы!$A683)</f>
        <v>0</v>
      </c>
      <c r="O683" s="166">
        <f>SUMIFS(Продажи!L$5:L$359,Продажи!$D$5:$D$359,Конструкторы!$B683,Продажи!$C$5:$C$359,Конструкторы!$A683)</f>
        <v>0</v>
      </c>
      <c r="P683" s="166">
        <f>SUMIFS(Продажи!M$5:M$359,Продажи!$D$5:$D$359,Конструкторы!$B683,Продажи!$C$5:$C$359,Конструкторы!$A683)</f>
        <v>0</v>
      </c>
      <c r="Q683" s="166">
        <f>SUMIFS(Продажи!N$5:N$359,Продажи!$D$5:$D$359,Конструкторы!$B683,Продажи!$C$5:$C$359,Конструкторы!$A683)</f>
        <v>0</v>
      </c>
      <c r="R683" s="166">
        <f>SUMIFS(Продажи!O$5:O$359,Продажи!$D$5:$D$359,Конструкторы!$B683,Продажи!$C$5:$C$359,Конструкторы!$A683)</f>
        <v>0</v>
      </c>
      <c r="S683" s="166">
        <f>SUMIFS(Продажи!P$5:P$359,Продажи!$D$5:$D$359,Конструкторы!$B683,Продажи!$C$5:$C$359,Конструкторы!$A683)</f>
        <v>0</v>
      </c>
      <c r="T683" s="166">
        <f>SUMIFS(Продажи!Q$5:Q$359,Продажи!$D$5:$D$359,Конструкторы!$B683,Продажи!$C$5:$C$359,Конструкторы!$A683)</f>
        <v>0</v>
      </c>
    </row>
    <row r="684" spans="1:20" ht="15.75" hidden="1" x14ac:dyDescent="0.25">
      <c r="A684" s="166" t="s">
        <v>397</v>
      </c>
      <c r="B684" s="167" t="s">
        <v>102</v>
      </c>
      <c r="C684" s="129" t="s">
        <v>52</v>
      </c>
      <c r="D684" s="149"/>
      <c r="E684" s="153" t="s">
        <v>68</v>
      </c>
      <c r="F684" s="156">
        <f>(0.507*103)/100</f>
        <v>0.52221000000000006</v>
      </c>
      <c r="G684" s="156">
        <v>1.5210000000000057E-2</v>
      </c>
      <c r="H684" s="156">
        <f>F684+G684</f>
        <v>0.53742000000000012</v>
      </c>
      <c r="I684" s="166">
        <f>SUMIFS(Продажи!F$5:F$359,Продажи!$D$5:$D$359,Конструкторы!$B684,Продажи!$C$5:$C$359,Конструкторы!$A684)</f>
        <v>0</v>
      </c>
      <c r="J684" s="166">
        <f>SUMIFS(Продажи!G$5:G$359,Продажи!$D$5:$D$359,Конструкторы!$B684,Продажи!$C$5:$C$359,Конструкторы!$A684)</f>
        <v>0</v>
      </c>
      <c r="K684" s="166">
        <f>SUMIFS(Продажи!H$5:H$359,Продажи!$D$5:$D$359,Конструкторы!$B684,Продажи!$C$5:$C$359,Конструкторы!$A684)</f>
        <v>0</v>
      </c>
      <c r="L684" s="166">
        <f>SUMIFS(Продажи!I$5:I$359,Продажи!$D$5:$D$359,Конструкторы!$B684,Продажи!$C$5:$C$359,Конструкторы!$A684)</f>
        <v>0</v>
      </c>
      <c r="M684" s="166">
        <f>SUMIFS(Продажи!J$5:J$359,Продажи!$D$5:$D$359,Конструкторы!$B684,Продажи!$C$5:$C$359,Конструкторы!$A684)</f>
        <v>0</v>
      </c>
      <c r="N684" s="166">
        <f>SUMIFS(Продажи!K$5:K$359,Продажи!$D$5:$D$359,Конструкторы!$B684,Продажи!$C$5:$C$359,Конструкторы!$A684)</f>
        <v>0</v>
      </c>
      <c r="O684" s="166">
        <f>SUMIFS(Продажи!L$5:L$359,Продажи!$D$5:$D$359,Конструкторы!$B684,Продажи!$C$5:$C$359,Конструкторы!$A684)</f>
        <v>0</v>
      </c>
      <c r="P684" s="166">
        <f>SUMIFS(Продажи!M$5:M$359,Продажи!$D$5:$D$359,Конструкторы!$B684,Продажи!$C$5:$C$359,Конструкторы!$A684)</f>
        <v>0</v>
      </c>
      <c r="Q684" s="166">
        <f>SUMIFS(Продажи!N$5:N$359,Продажи!$D$5:$D$359,Конструкторы!$B684,Продажи!$C$5:$C$359,Конструкторы!$A684)</f>
        <v>0</v>
      </c>
      <c r="R684" s="166">
        <f>SUMIFS(Продажи!O$5:O$359,Продажи!$D$5:$D$359,Конструкторы!$B684,Продажи!$C$5:$C$359,Конструкторы!$A684)</f>
        <v>0</v>
      </c>
      <c r="S684" s="166">
        <f>SUMIFS(Продажи!P$5:P$359,Продажи!$D$5:$D$359,Конструкторы!$B684,Продажи!$C$5:$C$359,Конструкторы!$A684)</f>
        <v>0</v>
      </c>
      <c r="T684" s="166">
        <f>SUMIFS(Продажи!Q$5:Q$359,Продажи!$D$5:$D$359,Конструкторы!$B684,Продажи!$C$5:$C$359,Конструкторы!$A684)</f>
        <v>0</v>
      </c>
    </row>
    <row r="685" spans="1:20" ht="15.75" hidden="1" x14ac:dyDescent="0.25">
      <c r="A685" s="166" t="s">
        <v>397</v>
      </c>
      <c r="B685" s="167" t="s">
        <v>102</v>
      </c>
      <c r="C685" s="33" t="s">
        <v>73</v>
      </c>
      <c r="D685" s="149"/>
      <c r="E685" s="153" t="s">
        <v>70</v>
      </c>
      <c r="F685" s="148">
        <f>2</f>
        <v>2</v>
      </c>
      <c r="G685" s="156" t="s">
        <v>71</v>
      </c>
      <c r="H685" s="156">
        <f>F685</f>
        <v>2</v>
      </c>
      <c r="I685" s="166">
        <f>SUMIFS(Продажи!F$5:F$359,Продажи!$D$5:$D$359,Конструкторы!$B685,Продажи!$C$5:$C$359,Конструкторы!$A685)</f>
        <v>0</v>
      </c>
      <c r="J685" s="166">
        <f>SUMIFS(Продажи!G$5:G$359,Продажи!$D$5:$D$359,Конструкторы!$B685,Продажи!$C$5:$C$359,Конструкторы!$A685)</f>
        <v>0</v>
      </c>
      <c r="K685" s="166">
        <f>SUMIFS(Продажи!H$5:H$359,Продажи!$D$5:$D$359,Конструкторы!$B685,Продажи!$C$5:$C$359,Конструкторы!$A685)</f>
        <v>0</v>
      </c>
      <c r="L685" s="166">
        <f>SUMIFS(Продажи!I$5:I$359,Продажи!$D$5:$D$359,Конструкторы!$B685,Продажи!$C$5:$C$359,Конструкторы!$A685)</f>
        <v>0</v>
      </c>
      <c r="M685" s="166">
        <f>SUMIFS(Продажи!J$5:J$359,Продажи!$D$5:$D$359,Конструкторы!$B685,Продажи!$C$5:$C$359,Конструкторы!$A685)</f>
        <v>0</v>
      </c>
      <c r="N685" s="166">
        <f>SUMIFS(Продажи!K$5:K$359,Продажи!$D$5:$D$359,Конструкторы!$B685,Продажи!$C$5:$C$359,Конструкторы!$A685)</f>
        <v>0</v>
      </c>
      <c r="O685" s="166">
        <f>SUMIFS(Продажи!L$5:L$359,Продажи!$D$5:$D$359,Конструкторы!$B685,Продажи!$C$5:$C$359,Конструкторы!$A685)</f>
        <v>0</v>
      </c>
      <c r="P685" s="166">
        <f>SUMIFS(Продажи!M$5:M$359,Продажи!$D$5:$D$359,Конструкторы!$B685,Продажи!$C$5:$C$359,Конструкторы!$A685)</f>
        <v>0</v>
      </c>
      <c r="Q685" s="166">
        <f>SUMIFS(Продажи!N$5:N$359,Продажи!$D$5:$D$359,Конструкторы!$B685,Продажи!$C$5:$C$359,Конструкторы!$A685)</f>
        <v>0</v>
      </c>
      <c r="R685" s="166">
        <f>SUMIFS(Продажи!O$5:O$359,Продажи!$D$5:$D$359,Конструкторы!$B685,Продажи!$C$5:$C$359,Конструкторы!$A685)</f>
        <v>0</v>
      </c>
      <c r="S685" s="166">
        <f>SUMIFS(Продажи!P$5:P$359,Продажи!$D$5:$D$359,Конструкторы!$B685,Продажи!$C$5:$C$359,Конструкторы!$A685)</f>
        <v>0</v>
      </c>
      <c r="T685" s="166">
        <f>SUMIFS(Продажи!Q$5:Q$359,Продажи!$D$5:$D$359,Конструкторы!$B685,Продажи!$C$5:$C$359,Конструкторы!$A685)</f>
        <v>0</v>
      </c>
    </row>
    <row r="686" spans="1:20" ht="15.75" hidden="1" x14ac:dyDescent="0.25">
      <c r="A686" s="166" t="s">
        <v>397</v>
      </c>
      <c r="B686" s="167" t="s">
        <v>102</v>
      </c>
      <c r="C686" s="33" t="s">
        <v>75</v>
      </c>
      <c r="D686" s="149"/>
      <c r="E686" s="153" t="s">
        <v>70</v>
      </c>
      <c r="F686" s="148">
        <f>8</f>
        <v>8</v>
      </c>
      <c r="G686" s="156" t="s">
        <v>71</v>
      </c>
      <c r="H686" s="156">
        <f>F686</f>
        <v>8</v>
      </c>
      <c r="I686" s="166">
        <f>SUMIFS(Продажи!F$5:F$359,Продажи!$D$5:$D$359,Конструкторы!$B686,Продажи!$C$5:$C$359,Конструкторы!$A686)</f>
        <v>0</v>
      </c>
      <c r="J686" s="166">
        <f>SUMIFS(Продажи!G$5:G$359,Продажи!$D$5:$D$359,Конструкторы!$B686,Продажи!$C$5:$C$359,Конструкторы!$A686)</f>
        <v>0</v>
      </c>
      <c r="K686" s="166">
        <f>SUMIFS(Продажи!H$5:H$359,Продажи!$D$5:$D$359,Конструкторы!$B686,Продажи!$C$5:$C$359,Конструкторы!$A686)</f>
        <v>0</v>
      </c>
      <c r="L686" s="166">
        <f>SUMIFS(Продажи!I$5:I$359,Продажи!$D$5:$D$359,Конструкторы!$B686,Продажи!$C$5:$C$359,Конструкторы!$A686)</f>
        <v>0</v>
      </c>
      <c r="M686" s="166">
        <f>SUMIFS(Продажи!J$5:J$359,Продажи!$D$5:$D$359,Конструкторы!$B686,Продажи!$C$5:$C$359,Конструкторы!$A686)</f>
        <v>0</v>
      </c>
      <c r="N686" s="166">
        <f>SUMIFS(Продажи!K$5:K$359,Продажи!$D$5:$D$359,Конструкторы!$B686,Продажи!$C$5:$C$359,Конструкторы!$A686)</f>
        <v>0</v>
      </c>
      <c r="O686" s="166">
        <f>SUMIFS(Продажи!L$5:L$359,Продажи!$D$5:$D$359,Конструкторы!$B686,Продажи!$C$5:$C$359,Конструкторы!$A686)</f>
        <v>0</v>
      </c>
      <c r="P686" s="166">
        <f>SUMIFS(Продажи!M$5:M$359,Продажи!$D$5:$D$359,Конструкторы!$B686,Продажи!$C$5:$C$359,Конструкторы!$A686)</f>
        <v>0</v>
      </c>
      <c r="Q686" s="166">
        <f>SUMIFS(Продажи!N$5:N$359,Продажи!$D$5:$D$359,Конструкторы!$B686,Продажи!$C$5:$C$359,Конструкторы!$A686)</f>
        <v>0</v>
      </c>
      <c r="R686" s="166">
        <f>SUMIFS(Продажи!O$5:O$359,Продажи!$D$5:$D$359,Конструкторы!$B686,Продажи!$C$5:$C$359,Конструкторы!$A686)</f>
        <v>0</v>
      </c>
      <c r="S686" s="166">
        <f>SUMIFS(Продажи!P$5:P$359,Продажи!$D$5:$D$359,Конструкторы!$B686,Продажи!$C$5:$C$359,Конструкторы!$A686)</f>
        <v>0</v>
      </c>
      <c r="T686" s="166">
        <f>SUMIFS(Продажи!Q$5:Q$359,Продажи!$D$5:$D$359,Конструкторы!$B686,Продажи!$C$5:$C$359,Конструкторы!$A686)</f>
        <v>0</v>
      </c>
    </row>
    <row r="687" spans="1:20" ht="15.75" hidden="1" x14ac:dyDescent="0.25">
      <c r="A687" s="166" t="s">
        <v>397</v>
      </c>
      <c r="B687" s="167" t="s">
        <v>102</v>
      </c>
      <c r="C687" s="33" t="s">
        <v>69</v>
      </c>
      <c r="D687" s="149"/>
      <c r="E687" s="153" t="s">
        <v>70</v>
      </c>
      <c r="F687" s="148">
        <f>4</f>
        <v>4</v>
      </c>
      <c r="G687" s="156" t="s">
        <v>71</v>
      </c>
      <c r="H687" s="156">
        <f>F687</f>
        <v>4</v>
      </c>
      <c r="I687" s="166">
        <f>SUMIFS(Продажи!F$5:F$359,Продажи!$D$5:$D$359,Конструкторы!$B687,Продажи!$C$5:$C$359,Конструкторы!$A687)</f>
        <v>0</v>
      </c>
      <c r="J687" s="166">
        <f>SUMIFS(Продажи!G$5:G$359,Продажи!$D$5:$D$359,Конструкторы!$B687,Продажи!$C$5:$C$359,Конструкторы!$A687)</f>
        <v>0</v>
      </c>
      <c r="K687" s="166">
        <f>SUMIFS(Продажи!H$5:H$359,Продажи!$D$5:$D$359,Конструкторы!$B687,Продажи!$C$5:$C$359,Конструкторы!$A687)</f>
        <v>0</v>
      </c>
      <c r="L687" s="166">
        <f>SUMIFS(Продажи!I$5:I$359,Продажи!$D$5:$D$359,Конструкторы!$B687,Продажи!$C$5:$C$359,Конструкторы!$A687)</f>
        <v>0</v>
      </c>
      <c r="M687" s="166">
        <f>SUMIFS(Продажи!J$5:J$359,Продажи!$D$5:$D$359,Конструкторы!$B687,Продажи!$C$5:$C$359,Конструкторы!$A687)</f>
        <v>0</v>
      </c>
      <c r="N687" s="166">
        <f>SUMIFS(Продажи!K$5:K$359,Продажи!$D$5:$D$359,Конструкторы!$B687,Продажи!$C$5:$C$359,Конструкторы!$A687)</f>
        <v>0</v>
      </c>
      <c r="O687" s="166">
        <f>SUMIFS(Продажи!L$5:L$359,Продажи!$D$5:$D$359,Конструкторы!$B687,Продажи!$C$5:$C$359,Конструкторы!$A687)</f>
        <v>0</v>
      </c>
      <c r="P687" s="166">
        <f>SUMIFS(Продажи!M$5:M$359,Продажи!$D$5:$D$359,Конструкторы!$B687,Продажи!$C$5:$C$359,Конструкторы!$A687)</f>
        <v>0</v>
      </c>
      <c r="Q687" s="166">
        <f>SUMIFS(Продажи!N$5:N$359,Продажи!$D$5:$D$359,Конструкторы!$B687,Продажи!$C$5:$C$359,Конструкторы!$A687)</f>
        <v>0</v>
      </c>
      <c r="R687" s="166">
        <f>SUMIFS(Продажи!O$5:O$359,Продажи!$D$5:$D$359,Конструкторы!$B687,Продажи!$C$5:$C$359,Конструкторы!$A687)</f>
        <v>0</v>
      </c>
      <c r="S687" s="166">
        <f>SUMIFS(Продажи!P$5:P$359,Продажи!$D$5:$D$359,Конструкторы!$B687,Продажи!$C$5:$C$359,Конструкторы!$A687)</f>
        <v>0</v>
      </c>
      <c r="T687" s="166">
        <f>SUMIFS(Продажи!Q$5:Q$359,Продажи!$D$5:$D$359,Конструкторы!$B687,Продажи!$C$5:$C$359,Конструкторы!$A687)</f>
        <v>0</v>
      </c>
    </row>
    <row r="688" spans="1:20" ht="15.75" hidden="1" x14ac:dyDescent="0.25">
      <c r="A688" s="166" t="s">
        <v>397</v>
      </c>
      <c r="B688" s="167" t="s">
        <v>170</v>
      </c>
      <c r="C688" s="129" t="s">
        <v>53</v>
      </c>
      <c r="D688" s="130">
        <v>7038</v>
      </c>
      <c r="E688" s="153" t="s">
        <v>68</v>
      </c>
      <c r="F688" s="156">
        <f>(1.107*103)/100</f>
        <v>1.1402099999999999</v>
      </c>
      <c r="G688" s="156">
        <v>3.3209999999999962E-2</v>
      </c>
      <c r="H688" s="156">
        <f>F688+G688</f>
        <v>1.1734199999999999</v>
      </c>
      <c r="I688" s="166">
        <f>SUMIFS(Продажи!F$5:F$359,Продажи!$D$5:$D$359,Конструкторы!$B688,Продажи!$C$5:$C$359,Конструкторы!$A688)</f>
        <v>0</v>
      </c>
      <c r="J688" s="166">
        <f>SUMIFS(Продажи!G$5:G$359,Продажи!$D$5:$D$359,Конструкторы!$B688,Продажи!$C$5:$C$359,Конструкторы!$A688)</f>
        <v>0</v>
      </c>
      <c r="K688" s="166">
        <f>SUMIFS(Продажи!H$5:H$359,Продажи!$D$5:$D$359,Конструкторы!$B688,Продажи!$C$5:$C$359,Конструкторы!$A688)</f>
        <v>0</v>
      </c>
      <c r="L688" s="166">
        <f>SUMIFS(Продажи!I$5:I$359,Продажи!$D$5:$D$359,Конструкторы!$B688,Продажи!$C$5:$C$359,Конструкторы!$A688)</f>
        <v>0</v>
      </c>
      <c r="M688" s="166">
        <f>SUMIFS(Продажи!J$5:J$359,Продажи!$D$5:$D$359,Конструкторы!$B688,Продажи!$C$5:$C$359,Конструкторы!$A688)</f>
        <v>0</v>
      </c>
      <c r="N688" s="166">
        <f>SUMIFS(Продажи!K$5:K$359,Продажи!$D$5:$D$359,Конструкторы!$B688,Продажи!$C$5:$C$359,Конструкторы!$A688)</f>
        <v>0</v>
      </c>
      <c r="O688" s="166">
        <f>SUMIFS(Продажи!L$5:L$359,Продажи!$D$5:$D$359,Конструкторы!$B688,Продажи!$C$5:$C$359,Конструкторы!$A688)</f>
        <v>0</v>
      </c>
      <c r="P688" s="166">
        <f>SUMIFS(Продажи!M$5:M$359,Продажи!$D$5:$D$359,Конструкторы!$B688,Продажи!$C$5:$C$359,Конструкторы!$A688)</f>
        <v>0</v>
      </c>
      <c r="Q688" s="166">
        <f>SUMIFS(Продажи!N$5:N$359,Продажи!$D$5:$D$359,Конструкторы!$B688,Продажи!$C$5:$C$359,Конструкторы!$A688)</f>
        <v>0</v>
      </c>
      <c r="R688" s="166">
        <f>SUMIFS(Продажи!O$5:O$359,Продажи!$D$5:$D$359,Конструкторы!$B688,Продажи!$C$5:$C$359,Конструкторы!$A688)</f>
        <v>0</v>
      </c>
      <c r="S688" s="166">
        <f>SUMIFS(Продажи!P$5:P$359,Продажи!$D$5:$D$359,Конструкторы!$B688,Продажи!$C$5:$C$359,Конструкторы!$A688)</f>
        <v>0</v>
      </c>
      <c r="T688" s="166">
        <f>SUMIFS(Продажи!Q$5:Q$359,Продажи!$D$5:$D$359,Конструкторы!$B688,Продажи!$C$5:$C$359,Конструкторы!$A688)</f>
        <v>0</v>
      </c>
    </row>
    <row r="689" spans="1:20" ht="15.75" hidden="1" x14ac:dyDescent="0.25">
      <c r="A689" s="166" t="s">
        <v>397</v>
      </c>
      <c r="B689" s="167" t="s">
        <v>170</v>
      </c>
      <c r="C689" s="129" t="s">
        <v>52</v>
      </c>
      <c r="D689" s="149"/>
      <c r="E689" s="153" t="s">
        <v>68</v>
      </c>
      <c r="F689" s="156">
        <f>(0.6*103)/100</f>
        <v>0.61799999999999999</v>
      </c>
      <c r="G689" s="156">
        <v>1.8000000000000016E-2</v>
      </c>
      <c r="H689" s="156">
        <f>F689+G689</f>
        <v>0.63600000000000001</v>
      </c>
      <c r="I689" s="166">
        <f>SUMIFS(Продажи!F$5:F$359,Продажи!$D$5:$D$359,Конструкторы!$B689,Продажи!$C$5:$C$359,Конструкторы!$A689)</f>
        <v>0</v>
      </c>
      <c r="J689" s="166">
        <f>SUMIFS(Продажи!G$5:G$359,Продажи!$D$5:$D$359,Конструкторы!$B689,Продажи!$C$5:$C$359,Конструкторы!$A689)</f>
        <v>0</v>
      </c>
      <c r="K689" s="166">
        <f>SUMIFS(Продажи!H$5:H$359,Продажи!$D$5:$D$359,Конструкторы!$B689,Продажи!$C$5:$C$359,Конструкторы!$A689)</f>
        <v>0</v>
      </c>
      <c r="L689" s="166">
        <f>SUMIFS(Продажи!I$5:I$359,Продажи!$D$5:$D$359,Конструкторы!$B689,Продажи!$C$5:$C$359,Конструкторы!$A689)</f>
        <v>0</v>
      </c>
      <c r="M689" s="166">
        <f>SUMIFS(Продажи!J$5:J$359,Продажи!$D$5:$D$359,Конструкторы!$B689,Продажи!$C$5:$C$359,Конструкторы!$A689)</f>
        <v>0</v>
      </c>
      <c r="N689" s="166">
        <f>SUMIFS(Продажи!K$5:K$359,Продажи!$D$5:$D$359,Конструкторы!$B689,Продажи!$C$5:$C$359,Конструкторы!$A689)</f>
        <v>0</v>
      </c>
      <c r="O689" s="166">
        <f>SUMIFS(Продажи!L$5:L$359,Продажи!$D$5:$D$359,Конструкторы!$B689,Продажи!$C$5:$C$359,Конструкторы!$A689)</f>
        <v>0</v>
      </c>
      <c r="P689" s="166">
        <f>SUMIFS(Продажи!M$5:M$359,Продажи!$D$5:$D$359,Конструкторы!$B689,Продажи!$C$5:$C$359,Конструкторы!$A689)</f>
        <v>0</v>
      </c>
      <c r="Q689" s="166">
        <f>SUMIFS(Продажи!N$5:N$359,Продажи!$D$5:$D$359,Конструкторы!$B689,Продажи!$C$5:$C$359,Конструкторы!$A689)</f>
        <v>0</v>
      </c>
      <c r="R689" s="166">
        <f>SUMIFS(Продажи!O$5:O$359,Продажи!$D$5:$D$359,Конструкторы!$B689,Продажи!$C$5:$C$359,Конструкторы!$A689)</f>
        <v>0</v>
      </c>
      <c r="S689" s="166">
        <f>SUMIFS(Продажи!P$5:P$359,Продажи!$D$5:$D$359,Конструкторы!$B689,Продажи!$C$5:$C$359,Конструкторы!$A689)</f>
        <v>0</v>
      </c>
      <c r="T689" s="166">
        <f>SUMIFS(Продажи!Q$5:Q$359,Продажи!$D$5:$D$359,Конструкторы!$B689,Продажи!$C$5:$C$359,Конструкторы!$A689)</f>
        <v>0</v>
      </c>
    </row>
    <row r="690" spans="1:20" ht="15.75" hidden="1" x14ac:dyDescent="0.25">
      <c r="A690" s="166" t="s">
        <v>397</v>
      </c>
      <c r="B690" s="167" t="s">
        <v>170</v>
      </c>
      <c r="C690" s="33" t="s">
        <v>73</v>
      </c>
      <c r="D690" s="149"/>
      <c r="E690" s="153" t="s">
        <v>70</v>
      </c>
      <c r="F690" s="148">
        <f>2</f>
        <v>2</v>
      </c>
      <c r="G690" s="156" t="s">
        <v>71</v>
      </c>
      <c r="H690" s="156">
        <f>F690</f>
        <v>2</v>
      </c>
      <c r="I690" s="166">
        <f>SUMIFS(Продажи!F$5:F$359,Продажи!$D$5:$D$359,Конструкторы!$B690,Продажи!$C$5:$C$359,Конструкторы!$A690)</f>
        <v>0</v>
      </c>
      <c r="J690" s="166">
        <f>SUMIFS(Продажи!G$5:G$359,Продажи!$D$5:$D$359,Конструкторы!$B690,Продажи!$C$5:$C$359,Конструкторы!$A690)</f>
        <v>0</v>
      </c>
      <c r="K690" s="166">
        <f>SUMIFS(Продажи!H$5:H$359,Продажи!$D$5:$D$359,Конструкторы!$B690,Продажи!$C$5:$C$359,Конструкторы!$A690)</f>
        <v>0</v>
      </c>
      <c r="L690" s="166">
        <f>SUMIFS(Продажи!I$5:I$359,Продажи!$D$5:$D$359,Конструкторы!$B690,Продажи!$C$5:$C$359,Конструкторы!$A690)</f>
        <v>0</v>
      </c>
      <c r="M690" s="166">
        <f>SUMIFS(Продажи!J$5:J$359,Продажи!$D$5:$D$359,Конструкторы!$B690,Продажи!$C$5:$C$359,Конструкторы!$A690)</f>
        <v>0</v>
      </c>
      <c r="N690" s="166">
        <f>SUMIFS(Продажи!K$5:K$359,Продажи!$D$5:$D$359,Конструкторы!$B690,Продажи!$C$5:$C$359,Конструкторы!$A690)</f>
        <v>0</v>
      </c>
      <c r="O690" s="166">
        <f>SUMIFS(Продажи!L$5:L$359,Продажи!$D$5:$D$359,Конструкторы!$B690,Продажи!$C$5:$C$359,Конструкторы!$A690)</f>
        <v>0</v>
      </c>
      <c r="P690" s="166">
        <f>SUMIFS(Продажи!M$5:M$359,Продажи!$D$5:$D$359,Конструкторы!$B690,Продажи!$C$5:$C$359,Конструкторы!$A690)</f>
        <v>0</v>
      </c>
      <c r="Q690" s="166">
        <f>SUMIFS(Продажи!N$5:N$359,Продажи!$D$5:$D$359,Конструкторы!$B690,Продажи!$C$5:$C$359,Конструкторы!$A690)</f>
        <v>0</v>
      </c>
      <c r="R690" s="166">
        <f>SUMIFS(Продажи!O$5:O$359,Продажи!$D$5:$D$359,Конструкторы!$B690,Продажи!$C$5:$C$359,Конструкторы!$A690)</f>
        <v>0</v>
      </c>
      <c r="S690" s="166">
        <f>SUMIFS(Продажи!P$5:P$359,Продажи!$D$5:$D$359,Конструкторы!$B690,Продажи!$C$5:$C$359,Конструкторы!$A690)</f>
        <v>0</v>
      </c>
      <c r="T690" s="166">
        <f>SUMIFS(Продажи!Q$5:Q$359,Продажи!$D$5:$D$359,Конструкторы!$B690,Продажи!$C$5:$C$359,Конструкторы!$A690)</f>
        <v>0</v>
      </c>
    </row>
    <row r="691" spans="1:20" ht="15.75" hidden="1" x14ac:dyDescent="0.25">
      <c r="A691" s="166" t="s">
        <v>397</v>
      </c>
      <c r="B691" s="167" t="s">
        <v>170</v>
      </c>
      <c r="C691" s="33" t="s">
        <v>75</v>
      </c>
      <c r="D691" s="149"/>
      <c r="E691" s="153" t="s">
        <v>70</v>
      </c>
      <c r="F691" s="148">
        <f>8</f>
        <v>8</v>
      </c>
      <c r="G691" s="156" t="s">
        <v>71</v>
      </c>
      <c r="H691" s="156">
        <f>F691</f>
        <v>8</v>
      </c>
      <c r="I691" s="166">
        <f>SUMIFS(Продажи!F$5:F$359,Продажи!$D$5:$D$359,Конструкторы!$B691,Продажи!$C$5:$C$359,Конструкторы!$A691)</f>
        <v>0</v>
      </c>
      <c r="J691" s="166">
        <f>SUMIFS(Продажи!G$5:G$359,Продажи!$D$5:$D$359,Конструкторы!$B691,Продажи!$C$5:$C$359,Конструкторы!$A691)</f>
        <v>0</v>
      </c>
      <c r="K691" s="166">
        <f>SUMIFS(Продажи!H$5:H$359,Продажи!$D$5:$D$359,Конструкторы!$B691,Продажи!$C$5:$C$359,Конструкторы!$A691)</f>
        <v>0</v>
      </c>
      <c r="L691" s="166">
        <f>SUMIFS(Продажи!I$5:I$359,Продажи!$D$5:$D$359,Конструкторы!$B691,Продажи!$C$5:$C$359,Конструкторы!$A691)</f>
        <v>0</v>
      </c>
      <c r="M691" s="166">
        <f>SUMIFS(Продажи!J$5:J$359,Продажи!$D$5:$D$359,Конструкторы!$B691,Продажи!$C$5:$C$359,Конструкторы!$A691)</f>
        <v>0</v>
      </c>
      <c r="N691" s="166">
        <f>SUMIFS(Продажи!K$5:K$359,Продажи!$D$5:$D$359,Конструкторы!$B691,Продажи!$C$5:$C$359,Конструкторы!$A691)</f>
        <v>0</v>
      </c>
      <c r="O691" s="166">
        <f>SUMIFS(Продажи!L$5:L$359,Продажи!$D$5:$D$359,Конструкторы!$B691,Продажи!$C$5:$C$359,Конструкторы!$A691)</f>
        <v>0</v>
      </c>
      <c r="P691" s="166">
        <f>SUMIFS(Продажи!M$5:M$359,Продажи!$D$5:$D$359,Конструкторы!$B691,Продажи!$C$5:$C$359,Конструкторы!$A691)</f>
        <v>0</v>
      </c>
      <c r="Q691" s="166">
        <f>SUMIFS(Продажи!N$5:N$359,Продажи!$D$5:$D$359,Конструкторы!$B691,Продажи!$C$5:$C$359,Конструкторы!$A691)</f>
        <v>0</v>
      </c>
      <c r="R691" s="166">
        <f>SUMIFS(Продажи!O$5:O$359,Продажи!$D$5:$D$359,Конструкторы!$B691,Продажи!$C$5:$C$359,Конструкторы!$A691)</f>
        <v>0</v>
      </c>
      <c r="S691" s="166">
        <f>SUMIFS(Продажи!P$5:P$359,Продажи!$D$5:$D$359,Конструкторы!$B691,Продажи!$C$5:$C$359,Конструкторы!$A691)</f>
        <v>0</v>
      </c>
      <c r="T691" s="166">
        <f>SUMIFS(Продажи!Q$5:Q$359,Продажи!$D$5:$D$359,Конструкторы!$B691,Продажи!$C$5:$C$359,Конструкторы!$A691)</f>
        <v>0</v>
      </c>
    </row>
    <row r="692" spans="1:20" ht="15.75" hidden="1" x14ac:dyDescent="0.25">
      <c r="A692" s="166" t="s">
        <v>397</v>
      </c>
      <c r="B692" s="167" t="s">
        <v>170</v>
      </c>
      <c r="C692" s="33" t="s">
        <v>69</v>
      </c>
      <c r="D692" s="149"/>
      <c r="E692" s="153" t="s">
        <v>70</v>
      </c>
      <c r="F692" s="148">
        <f>4</f>
        <v>4</v>
      </c>
      <c r="G692" s="156" t="s">
        <v>71</v>
      </c>
      <c r="H692" s="156">
        <f>F692</f>
        <v>4</v>
      </c>
      <c r="I692" s="166">
        <f>SUMIFS(Продажи!F$5:F$359,Продажи!$D$5:$D$359,Конструкторы!$B692,Продажи!$C$5:$C$359,Конструкторы!$A692)</f>
        <v>0</v>
      </c>
      <c r="J692" s="166">
        <f>SUMIFS(Продажи!G$5:G$359,Продажи!$D$5:$D$359,Конструкторы!$B692,Продажи!$C$5:$C$359,Конструкторы!$A692)</f>
        <v>0</v>
      </c>
      <c r="K692" s="166">
        <f>SUMIFS(Продажи!H$5:H$359,Продажи!$D$5:$D$359,Конструкторы!$B692,Продажи!$C$5:$C$359,Конструкторы!$A692)</f>
        <v>0</v>
      </c>
      <c r="L692" s="166">
        <f>SUMIFS(Продажи!I$5:I$359,Продажи!$D$5:$D$359,Конструкторы!$B692,Продажи!$C$5:$C$359,Конструкторы!$A692)</f>
        <v>0</v>
      </c>
      <c r="M692" s="166">
        <f>SUMIFS(Продажи!J$5:J$359,Продажи!$D$5:$D$359,Конструкторы!$B692,Продажи!$C$5:$C$359,Конструкторы!$A692)</f>
        <v>0</v>
      </c>
      <c r="N692" s="166">
        <f>SUMIFS(Продажи!K$5:K$359,Продажи!$D$5:$D$359,Конструкторы!$B692,Продажи!$C$5:$C$359,Конструкторы!$A692)</f>
        <v>0</v>
      </c>
      <c r="O692" s="166">
        <f>SUMIFS(Продажи!L$5:L$359,Продажи!$D$5:$D$359,Конструкторы!$B692,Продажи!$C$5:$C$359,Конструкторы!$A692)</f>
        <v>0</v>
      </c>
      <c r="P692" s="166">
        <f>SUMIFS(Продажи!M$5:M$359,Продажи!$D$5:$D$359,Конструкторы!$B692,Продажи!$C$5:$C$359,Конструкторы!$A692)</f>
        <v>0</v>
      </c>
      <c r="Q692" s="166">
        <f>SUMIFS(Продажи!N$5:N$359,Продажи!$D$5:$D$359,Конструкторы!$B692,Продажи!$C$5:$C$359,Конструкторы!$A692)</f>
        <v>0</v>
      </c>
      <c r="R692" s="166">
        <f>SUMIFS(Продажи!O$5:O$359,Продажи!$D$5:$D$359,Конструкторы!$B692,Продажи!$C$5:$C$359,Конструкторы!$A692)</f>
        <v>0</v>
      </c>
      <c r="S692" s="166">
        <f>SUMIFS(Продажи!P$5:P$359,Продажи!$D$5:$D$359,Конструкторы!$B692,Продажи!$C$5:$C$359,Конструкторы!$A692)</f>
        <v>0</v>
      </c>
      <c r="T692" s="166">
        <f>SUMIFS(Продажи!Q$5:Q$359,Продажи!$D$5:$D$359,Конструкторы!$B692,Продажи!$C$5:$C$359,Конструкторы!$A692)</f>
        <v>0</v>
      </c>
    </row>
    <row r="693" spans="1:20" ht="15.75" hidden="1" x14ac:dyDescent="0.25">
      <c r="A693" s="166" t="s">
        <v>397</v>
      </c>
      <c r="B693" s="167" t="s">
        <v>172</v>
      </c>
      <c r="C693" s="129" t="s">
        <v>53</v>
      </c>
      <c r="D693" s="130">
        <v>7038</v>
      </c>
      <c r="E693" s="153" t="s">
        <v>68</v>
      </c>
      <c r="F693" s="156">
        <f>(1.065*103)/100</f>
        <v>1.0969499999999999</v>
      </c>
      <c r="G693" s="156">
        <v>3.1949999999999923E-2</v>
      </c>
      <c r="H693" s="156">
        <f>F693+G693</f>
        <v>1.1288999999999998</v>
      </c>
      <c r="I693" s="166">
        <f>SUMIFS(Продажи!F$5:F$359,Продажи!$D$5:$D$359,Конструкторы!$B693,Продажи!$C$5:$C$359,Конструкторы!$A693)</f>
        <v>0</v>
      </c>
      <c r="J693" s="166">
        <f>SUMIFS(Продажи!G$5:G$359,Продажи!$D$5:$D$359,Конструкторы!$B693,Продажи!$C$5:$C$359,Конструкторы!$A693)</f>
        <v>0</v>
      </c>
      <c r="K693" s="166">
        <f>SUMIFS(Продажи!H$5:H$359,Продажи!$D$5:$D$359,Конструкторы!$B693,Продажи!$C$5:$C$359,Конструкторы!$A693)</f>
        <v>0</v>
      </c>
      <c r="L693" s="166">
        <f>SUMIFS(Продажи!I$5:I$359,Продажи!$D$5:$D$359,Конструкторы!$B693,Продажи!$C$5:$C$359,Конструкторы!$A693)</f>
        <v>0</v>
      </c>
      <c r="M693" s="166">
        <f>SUMIFS(Продажи!J$5:J$359,Продажи!$D$5:$D$359,Конструкторы!$B693,Продажи!$C$5:$C$359,Конструкторы!$A693)</f>
        <v>0</v>
      </c>
      <c r="N693" s="166">
        <f>SUMIFS(Продажи!K$5:K$359,Продажи!$D$5:$D$359,Конструкторы!$B693,Продажи!$C$5:$C$359,Конструкторы!$A693)</f>
        <v>0</v>
      </c>
      <c r="O693" s="166">
        <f>SUMIFS(Продажи!L$5:L$359,Продажи!$D$5:$D$359,Конструкторы!$B693,Продажи!$C$5:$C$359,Конструкторы!$A693)</f>
        <v>0</v>
      </c>
      <c r="P693" s="166">
        <f>SUMIFS(Продажи!M$5:M$359,Продажи!$D$5:$D$359,Конструкторы!$B693,Продажи!$C$5:$C$359,Конструкторы!$A693)</f>
        <v>0</v>
      </c>
      <c r="Q693" s="166">
        <f>SUMIFS(Продажи!N$5:N$359,Продажи!$D$5:$D$359,Конструкторы!$B693,Продажи!$C$5:$C$359,Конструкторы!$A693)</f>
        <v>0</v>
      </c>
      <c r="R693" s="166">
        <f>SUMIFS(Продажи!O$5:O$359,Продажи!$D$5:$D$359,Конструкторы!$B693,Продажи!$C$5:$C$359,Конструкторы!$A693)</f>
        <v>0</v>
      </c>
      <c r="S693" s="166">
        <f>SUMIFS(Продажи!P$5:P$359,Продажи!$D$5:$D$359,Конструкторы!$B693,Продажи!$C$5:$C$359,Конструкторы!$A693)</f>
        <v>0</v>
      </c>
      <c r="T693" s="166">
        <f>SUMIFS(Продажи!Q$5:Q$359,Продажи!$D$5:$D$359,Конструкторы!$B693,Продажи!$C$5:$C$359,Конструкторы!$A693)</f>
        <v>0</v>
      </c>
    </row>
    <row r="694" spans="1:20" ht="15.75" hidden="1" x14ac:dyDescent="0.25">
      <c r="A694" s="166" t="s">
        <v>397</v>
      </c>
      <c r="B694" s="167" t="s">
        <v>172</v>
      </c>
      <c r="C694" s="129" t="s">
        <v>52</v>
      </c>
      <c r="D694" s="149"/>
      <c r="E694" s="153" t="s">
        <v>68</v>
      </c>
      <c r="F694" s="156">
        <f>(0.7*103)/100</f>
        <v>0.72099999999999997</v>
      </c>
      <c r="G694" s="156">
        <v>2.1000000000000019E-2</v>
      </c>
      <c r="H694" s="156">
        <f>F694+G694</f>
        <v>0.74199999999999999</v>
      </c>
      <c r="I694" s="166">
        <f>SUMIFS(Продажи!F$5:F$359,Продажи!$D$5:$D$359,Конструкторы!$B694,Продажи!$C$5:$C$359,Конструкторы!$A694)</f>
        <v>0</v>
      </c>
      <c r="J694" s="166">
        <f>SUMIFS(Продажи!G$5:G$359,Продажи!$D$5:$D$359,Конструкторы!$B694,Продажи!$C$5:$C$359,Конструкторы!$A694)</f>
        <v>0</v>
      </c>
      <c r="K694" s="166">
        <f>SUMIFS(Продажи!H$5:H$359,Продажи!$D$5:$D$359,Конструкторы!$B694,Продажи!$C$5:$C$359,Конструкторы!$A694)</f>
        <v>0</v>
      </c>
      <c r="L694" s="166">
        <f>SUMIFS(Продажи!I$5:I$359,Продажи!$D$5:$D$359,Конструкторы!$B694,Продажи!$C$5:$C$359,Конструкторы!$A694)</f>
        <v>0</v>
      </c>
      <c r="M694" s="166">
        <f>SUMIFS(Продажи!J$5:J$359,Продажи!$D$5:$D$359,Конструкторы!$B694,Продажи!$C$5:$C$359,Конструкторы!$A694)</f>
        <v>0</v>
      </c>
      <c r="N694" s="166">
        <f>SUMIFS(Продажи!K$5:K$359,Продажи!$D$5:$D$359,Конструкторы!$B694,Продажи!$C$5:$C$359,Конструкторы!$A694)</f>
        <v>0</v>
      </c>
      <c r="O694" s="166">
        <f>SUMIFS(Продажи!L$5:L$359,Продажи!$D$5:$D$359,Конструкторы!$B694,Продажи!$C$5:$C$359,Конструкторы!$A694)</f>
        <v>0</v>
      </c>
      <c r="P694" s="166">
        <f>SUMIFS(Продажи!M$5:M$359,Продажи!$D$5:$D$359,Конструкторы!$B694,Продажи!$C$5:$C$359,Конструкторы!$A694)</f>
        <v>0</v>
      </c>
      <c r="Q694" s="166">
        <f>SUMIFS(Продажи!N$5:N$359,Продажи!$D$5:$D$359,Конструкторы!$B694,Продажи!$C$5:$C$359,Конструкторы!$A694)</f>
        <v>0</v>
      </c>
      <c r="R694" s="166">
        <f>SUMIFS(Продажи!O$5:O$359,Продажи!$D$5:$D$359,Конструкторы!$B694,Продажи!$C$5:$C$359,Конструкторы!$A694)</f>
        <v>0</v>
      </c>
      <c r="S694" s="166">
        <f>SUMIFS(Продажи!P$5:P$359,Продажи!$D$5:$D$359,Конструкторы!$B694,Продажи!$C$5:$C$359,Конструкторы!$A694)</f>
        <v>0</v>
      </c>
      <c r="T694" s="166">
        <f>SUMIFS(Продажи!Q$5:Q$359,Продажи!$D$5:$D$359,Конструкторы!$B694,Продажи!$C$5:$C$359,Конструкторы!$A694)</f>
        <v>0</v>
      </c>
    </row>
    <row r="695" spans="1:20" ht="15.75" hidden="1" x14ac:dyDescent="0.25">
      <c r="A695" s="166" t="s">
        <v>397</v>
      </c>
      <c r="B695" s="167" t="s">
        <v>172</v>
      </c>
      <c r="C695" s="33" t="s">
        <v>73</v>
      </c>
      <c r="D695" s="149"/>
      <c r="E695" s="153" t="s">
        <v>70</v>
      </c>
      <c r="F695" s="148">
        <f>2</f>
        <v>2</v>
      </c>
      <c r="G695" s="156" t="s">
        <v>71</v>
      </c>
      <c r="H695" s="156">
        <f>F695</f>
        <v>2</v>
      </c>
      <c r="I695" s="166">
        <f>SUMIFS(Продажи!F$5:F$359,Продажи!$D$5:$D$359,Конструкторы!$B695,Продажи!$C$5:$C$359,Конструкторы!$A695)</f>
        <v>0</v>
      </c>
      <c r="J695" s="166">
        <f>SUMIFS(Продажи!G$5:G$359,Продажи!$D$5:$D$359,Конструкторы!$B695,Продажи!$C$5:$C$359,Конструкторы!$A695)</f>
        <v>0</v>
      </c>
      <c r="K695" s="166">
        <f>SUMIFS(Продажи!H$5:H$359,Продажи!$D$5:$D$359,Конструкторы!$B695,Продажи!$C$5:$C$359,Конструкторы!$A695)</f>
        <v>0</v>
      </c>
      <c r="L695" s="166">
        <f>SUMIFS(Продажи!I$5:I$359,Продажи!$D$5:$D$359,Конструкторы!$B695,Продажи!$C$5:$C$359,Конструкторы!$A695)</f>
        <v>0</v>
      </c>
      <c r="M695" s="166">
        <f>SUMIFS(Продажи!J$5:J$359,Продажи!$D$5:$D$359,Конструкторы!$B695,Продажи!$C$5:$C$359,Конструкторы!$A695)</f>
        <v>0</v>
      </c>
      <c r="N695" s="166">
        <f>SUMIFS(Продажи!K$5:K$359,Продажи!$D$5:$D$359,Конструкторы!$B695,Продажи!$C$5:$C$359,Конструкторы!$A695)</f>
        <v>0</v>
      </c>
      <c r="O695" s="166">
        <f>SUMIFS(Продажи!L$5:L$359,Продажи!$D$5:$D$359,Конструкторы!$B695,Продажи!$C$5:$C$359,Конструкторы!$A695)</f>
        <v>0</v>
      </c>
      <c r="P695" s="166">
        <f>SUMIFS(Продажи!M$5:M$359,Продажи!$D$5:$D$359,Конструкторы!$B695,Продажи!$C$5:$C$359,Конструкторы!$A695)</f>
        <v>0</v>
      </c>
      <c r="Q695" s="166">
        <f>SUMIFS(Продажи!N$5:N$359,Продажи!$D$5:$D$359,Конструкторы!$B695,Продажи!$C$5:$C$359,Конструкторы!$A695)</f>
        <v>0</v>
      </c>
      <c r="R695" s="166">
        <f>SUMIFS(Продажи!O$5:O$359,Продажи!$D$5:$D$359,Конструкторы!$B695,Продажи!$C$5:$C$359,Конструкторы!$A695)</f>
        <v>0</v>
      </c>
      <c r="S695" s="166">
        <f>SUMIFS(Продажи!P$5:P$359,Продажи!$D$5:$D$359,Конструкторы!$B695,Продажи!$C$5:$C$359,Конструкторы!$A695)</f>
        <v>0</v>
      </c>
      <c r="T695" s="166">
        <f>SUMIFS(Продажи!Q$5:Q$359,Продажи!$D$5:$D$359,Конструкторы!$B695,Продажи!$C$5:$C$359,Конструкторы!$A695)</f>
        <v>0</v>
      </c>
    </row>
    <row r="696" spans="1:20" ht="15.75" hidden="1" x14ac:dyDescent="0.25">
      <c r="A696" s="166" t="s">
        <v>397</v>
      </c>
      <c r="B696" s="167" t="s">
        <v>172</v>
      </c>
      <c r="C696" s="33" t="s">
        <v>75</v>
      </c>
      <c r="D696" s="149"/>
      <c r="E696" s="153" t="s">
        <v>70</v>
      </c>
      <c r="F696" s="148">
        <f>8</f>
        <v>8</v>
      </c>
      <c r="G696" s="156" t="s">
        <v>71</v>
      </c>
      <c r="H696" s="156">
        <f>F696</f>
        <v>8</v>
      </c>
      <c r="I696" s="166">
        <f>SUMIFS(Продажи!F$5:F$359,Продажи!$D$5:$D$359,Конструкторы!$B696,Продажи!$C$5:$C$359,Конструкторы!$A696)</f>
        <v>0</v>
      </c>
      <c r="J696" s="166">
        <f>SUMIFS(Продажи!G$5:G$359,Продажи!$D$5:$D$359,Конструкторы!$B696,Продажи!$C$5:$C$359,Конструкторы!$A696)</f>
        <v>0</v>
      </c>
      <c r="K696" s="166">
        <f>SUMIFS(Продажи!H$5:H$359,Продажи!$D$5:$D$359,Конструкторы!$B696,Продажи!$C$5:$C$359,Конструкторы!$A696)</f>
        <v>0</v>
      </c>
      <c r="L696" s="166">
        <f>SUMIFS(Продажи!I$5:I$359,Продажи!$D$5:$D$359,Конструкторы!$B696,Продажи!$C$5:$C$359,Конструкторы!$A696)</f>
        <v>0</v>
      </c>
      <c r="M696" s="166">
        <f>SUMIFS(Продажи!J$5:J$359,Продажи!$D$5:$D$359,Конструкторы!$B696,Продажи!$C$5:$C$359,Конструкторы!$A696)</f>
        <v>0</v>
      </c>
      <c r="N696" s="166">
        <f>SUMIFS(Продажи!K$5:K$359,Продажи!$D$5:$D$359,Конструкторы!$B696,Продажи!$C$5:$C$359,Конструкторы!$A696)</f>
        <v>0</v>
      </c>
      <c r="O696" s="166">
        <f>SUMIFS(Продажи!L$5:L$359,Продажи!$D$5:$D$359,Конструкторы!$B696,Продажи!$C$5:$C$359,Конструкторы!$A696)</f>
        <v>0</v>
      </c>
      <c r="P696" s="166">
        <f>SUMIFS(Продажи!M$5:M$359,Продажи!$D$5:$D$359,Конструкторы!$B696,Продажи!$C$5:$C$359,Конструкторы!$A696)</f>
        <v>0</v>
      </c>
      <c r="Q696" s="166">
        <f>SUMIFS(Продажи!N$5:N$359,Продажи!$D$5:$D$359,Конструкторы!$B696,Продажи!$C$5:$C$359,Конструкторы!$A696)</f>
        <v>0</v>
      </c>
      <c r="R696" s="166">
        <f>SUMIFS(Продажи!O$5:O$359,Продажи!$D$5:$D$359,Конструкторы!$B696,Продажи!$C$5:$C$359,Конструкторы!$A696)</f>
        <v>0</v>
      </c>
      <c r="S696" s="166">
        <f>SUMIFS(Продажи!P$5:P$359,Продажи!$D$5:$D$359,Конструкторы!$B696,Продажи!$C$5:$C$359,Конструкторы!$A696)</f>
        <v>0</v>
      </c>
      <c r="T696" s="166">
        <f>SUMIFS(Продажи!Q$5:Q$359,Продажи!$D$5:$D$359,Конструкторы!$B696,Продажи!$C$5:$C$359,Конструкторы!$A696)</f>
        <v>0</v>
      </c>
    </row>
    <row r="697" spans="1:20" ht="15.75" hidden="1" x14ac:dyDescent="0.25">
      <c r="A697" s="166" t="s">
        <v>397</v>
      </c>
      <c r="B697" s="167" t="s">
        <v>172</v>
      </c>
      <c r="C697" s="33" t="s">
        <v>69</v>
      </c>
      <c r="D697" s="149"/>
      <c r="E697" s="153" t="s">
        <v>70</v>
      </c>
      <c r="F697" s="148">
        <f>4</f>
        <v>4</v>
      </c>
      <c r="G697" s="156" t="s">
        <v>71</v>
      </c>
      <c r="H697" s="156">
        <f>F697</f>
        <v>4</v>
      </c>
      <c r="I697" s="166">
        <f>SUMIFS(Продажи!F$5:F$359,Продажи!$D$5:$D$359,Конструкторы!$B697,Продажи!$C$5:$C$359,Конструкторы!$A697)</f>
        <v>0</v>
      </c>
      <c r="J697" s="166">
        <f>SUMIFS(Продажи!G$5:G$359,Продажи!$D$5:$D$359,Конструкторы!$B697,Продажи!$C$5:$C$359,Конструкторы!$A697)</f>
        <v>0</v>
      </c>
      <c r="K697" s="166">
        <f>SUMIFS(Продажи!H$5:H$359,Продажи!$D$5:$D$359,Конструкторы!$B697,Продажи!$C$5:$C$359,Конструкторы!$A697)</f>
        <v>0</v>
      </c>
      <c r="L697" s="166">
        <f>SUMIFS(Продажи!I$5:I$359,Продажи!$D$5:$D$359,Конструкторы!$B697,Продажи!$C$5:$C$359,Конструкторы!$A697)</f>
        <v>0</v>
      </c>
      <c r="M697" s="166">
        <f>SUMIFS(Продажи!J$5:J$359,Продажи!$D$5:$D$359,Конструкторы!$B697,Продажи!$C$5:$C$359,Конструкторы!$A697)</f>
        <v>0</v>
      </c>
      <c r="N697" s="166">
        <f>SUMIFS(Продажи!K$5:K$359,Продажи!$D$5:$D$359,Конструкторы!$B697,Продажи!$C$5:$C$359,Конструкторы!$A697)</f>
        <v>0</v>
      </c>
      <c r="O697" s="166">
        <f>SUMIFS(Продажи!L$5:L$359,Продажи!$D$5:$D$359,Конструкторы!$B697,Продажи!$C$5:$C$359,Конструкторы!$A697)</f>
        <v>0</v>
      </c>
      <c r="P697" s="166">
        <f>SUMIFS(Продажи!M$5:M$359,Продажи!$D$5:$D$359,Конструкторы!$B697,Продажи!$C$5:$C$359,Конструкторы!$A697)</f>
        <v>0</v>
      </c>
      <c r="Q697" s="166">
        <f>SUMIFS(Продажи!N$5:N$359,Продажи!$D$5:$D$359,Конструкторы!$B697,Продажи!$C$5:$C$359,Конструкторы!$A697)</f>
        <v>0</v>
      </c>
      <c r="R697" s="166">
        <f>SUMIFS(Продажи!O$5:O$359,Продажи!$D$5:$D$359,Конструкторы!$B697,Продажи!$C$5:$C$359,Конструкторы!$A697)</f>
        <v>0</v>
      </c>
      <c r="S697" s="166">
        <f>SUMIFS(Продажи!P$5:P$359,Продажи!$D$5:$D$359,Конструкторы!$B697,Продажи!$C$5:$C$359,Конструкторы!$A697)</f>
        <v>0</v>
      </c>
      <c r="T697" s="166">
        <f>SUMIFS(Продажи!Q$5:Q$359,Продажи!$D$5:$D$359,Конструкторы!$B697,Продажи!$C$5:$C$359,Конструкторы!$A697)</f>
        <v>0</v>
      </c>
    </row>
    <row r="698" spans="1:20" ht="15.75" hidden="1" x14ac:dyDescent="0.25">
      <c r="A698" s="166" t="s">
        <v>397</v>
      </c>
      <c r="B698" s="167" t="s">
        <v>103</v>
      </c>
      <c r="C698" s="129" t="s">
        <v>53</v>
      </c>
      <c r="D698" s="130">
        <v>7038</v>
      </c>
      <c r="E698" s="153" t="s">
        <v>68</v>
      </c>
      <c r="F698" s="156">
        <f>(1.832*103)/100</f>
        <v>1.88696</v>
      </c>
      <c r="G698" s="156">
        <v>5.4959999999999898E-2</v>
      </c>
      <c r="H698" s="156">
        <f>F698+G698</f>
        <v>1.9419199999999999</v>
      </c>
      <c r="I698" s="166">
        <f>SUMIFS(Продажи!F$5:F$359,Продажи!$D$5:$D$359,Конструкторы!$B698,Продажи!$C$5:$C$359,Конструкторы!$A698)</f>
        <v>0</v>
      </c>
      <c r="J698" s="166">
        <f>SUMIFS(Продажи!G$5:G$359,Продажи!$D$5:$D$359,Конструкторы!$B698,Продажи!$C$5:$C$359,Конструкторы!$A698)</f>
        <v>0</v>
      </c>
      <c r="K698" s="166">
        <f>SUMIFS(Продажи!H$5:H$359,Продажи!$D$5:$D$359,Конструкторы!$B698,Продажи!$C$5:$C$359,Конструкторы!$A698)</f>
        <v>0</v>
      </c>
      <c r="L698" s="166">
        <f>SUMIFS(Продажи!I$5:I$359,Продажи!$D$5:$D$359,Конструкторы!$B698,Продажи!$C$5:$C$359,Конструкторы!$A698)</f>
        <v>0</v>
      </c>
      <c r="M698" s="166">
        <f>SUMIFS(Продажи!J$5:J$359,Продажи!$D$5:$D$359,Конструкторы!$B698,Продажи!$C$5:$C$359,Конструкторы!$A698)</f>
        <v>0</v>
      </c>
      <c r="N698" s="166">
        <f>SUMIFS(Продажи!K$5:K$359,Продажи!$D$5:$D$359,Конструкторы!$B698,Продажи!$C$5:$C$359,Конструкторы!$A698)</f>
        <v>0</v>
      </c>
      <c r="O698" s="166">
        <f>SUMIFS(Продажи!L$5:L$359,Продажи!$D$5:$D$359,Конструкторы!$B698,Продажи!$C$5:$C$359,Конструкторы!$A698)</f>
        <v>0</v>
      </c>
      <c r="P698" s="166">
        <f>SUMIFS(Продажи!M$5:M$359,Продажи!$D$5:$D$359,Конструкторы!$B698,Продажи!$C$5:$C$359,Конструкторы!$A698)</f>
        <v>0</v>
      </c>
      <c r="Q698" s="166">
        <f>SUMIFS(Продажи!N$5:N$359,Продажи!$D$5:$D$359,Конструкторы!$B698,Продажи!$C$5:$C$359,Конструкторы!$A698)</f>
        <v>0</v>
      </c>
      <c r="R698" s="166">
        <f>SUMIFS(Продажи!O$5:O$359,Продажи!$D$5:$D$359,Конструкторы!$B698,Продажи!$C$5:$C$359,Конструкторы!$A698)</f>
        <v>0</v>
      </c>
      <c r="S698" s="166">
        <f>SUMIFS(Продажи!P$5:P$359,Продажи!$D$5:$D$359,Конструкторы!$B698,Продажи!$C$5:$C$359,Конструкторы!$A698)</f>
        <v>0</v>
      </c>
      <c r="T698" s="166">
        <f>SUMIFS(Продажи!Q$5:Q$359,Продажи!$D$5:$D$359,Конструкторы!$B698,Продажи!$C$5:$C$359,Конструкторы!$A698)</f>
        <v>0</v>
      </c>
    </row>
    <row r="699" spans="1:20" ht="15.75" hidden="1" x14ac:dyDescent="0.25">
      <c r="A699" s="166" t="s">
        <v>397</v>
      </c>
      <c r="B699" s="167" t="s">
        <v>103</v>
      </c>
      <c r="C699" s="129" t="s">
        <v>52</v>
      </c>
      <c r="D699" s="149"/>
      <c r="E699" s="153" t="s">
        <v>68</v>
      </c>
      <c r="F699" s="156">
        <f>(0.707*103)/100</f>
        <v>0.72821000000000002</v>
      </c>
      <c r="G699" s="156">
        <v>2.1210000000000062E-2</v>
      </c>
      <c r="H699" s="156">
        <f>F699+G699</f>
        <v>0.74942000000000009</v>
      </c>
      <c r="I699" s="166">
        <f>SUMIFS(Продажи!F$5:F$359,Продажи!$D$5:$D$359,Конструкторы!$B699,Продажи!$C$5:$C$359,Конструкторы!$A699)</f>
        <v>0</v>
      </c>
      <c r="J699" s="166">
        <f>SUMIFS(Продажи!G$5:G$359,Продажи!$D$5:$D$359,Конструкторы!$B699,Продажи!$C$5:$C$359,Конструкторы!$A699)</f>
        <v>0</v>
      </c>
      <c r="K699" s="166">
        <f>SUMIFS(Продажи!H$5:H$359,Продажи!$D$5:$D$359,Конструкторы!$B699,Продажи!$C$5:$C$359,Конструкторы!$A699)</f>
        <v>0</v>
      </c>
      <c r="L699" s="166">
        <f>SUMIFS(Продажи!I$5:I$359,Продажи!$D$5:$D$359,Конструкторы!$B699,Продажи!$C$5:$C$359,Конструкторы!$A699)</f>
        <v>0</v>
      </c>
      <c r="M699" s="166">
        <f>SUMIFS(Продажи!J$5:J$359,Продажи!$D$5:$D$359,Конструкторы!$B699,Продажи!$C$5:$C$359,Конструкторы!$A699)</f>
        <v>0</v>
      </c>
      <c r="N699" s="166">
        <f>SUMIFS(Продажи!K$5:K$359,Продажи!$D$5:$D$359,Конструкторы!$B699,Продажи!$C$5:$C$359,Конструкторы!$A699)</f>
        <v>0</v>
      </c>
      <c r="O699" s="166">
        <f>SUMIFS(Продажи!L$5:L$359,Продажи!$D$5:$D$359,Конструкторы!$B699,Продажи!$C$5:$C$359,Конструкторы!$A699)</f>
        <v>0</v>
      </c>
      <c r="P699" s="166">
        <f>SUMIFS(Продажи!M$5:M$359,Продажи!$D$5:$D$359,Конструкторы!$B699,Продажи!$C$5:$C$359,Конструкторы!$A699)</f>
        <v>0</v>
      </c>
      <c r="Q699" s="166">
        <f>SUMIFS(Продажи!N$5:N$359,Продажи!$D$5:$D$359,Конструкторы!$B699,Продажи!$C$5:$C$359,Конструкторы!$A699)</f>
        <v>0</v>
      </c>
      <c r="R699" s="166">
        <f>SUMIFS(Продажи!O$5:O$359,Продажи!$D$5:$D$359,Конструкторы!$B699,Продажи!$C$5:$C$359,Конструкторы!$A699)</f>
        <v>0</v>
      </c>
      <c r="S699" s="166">
        <f>SUMIFS(Продажи!P$5:P$359,Продажи!$D$5:$D$359,Конструкторы!$B699,Продажи!$C$5:$C$359,Конструкторы!$A699)</f>
        <v>0</v>
      </c>
      <c r="T699" s="166">
        <f>SUMIFS(Продажи!Q$5:Q$359,Продажи!$D$5:$D$359,Конструкторы!$B699,Продажи!$C$5:$C$359,Конструкторы!$A699)</f>
        <v>0</v>
      </c>
    </row>
    <row r="700" spans="1:20" ht="15.75" hidden="1" x14ac:dyDescent="0.25">
      <c r="A700" s="166" t="s">
        <v>397</v>
      </c>
      <c r="B700" s="167" t="s">
        <v>103</v>
      </c>
      <c r="C700" s="33" t="s">
        <v>73</v>
      </c>
      <c r="D700" s="149"/>
      <c r="E700" s="153" t="s">
        <v>70</v>
      </c>
      <c r="F700" s="148">
        <f>2</f>
        <v>2</v>
      </c>
      <c r="G700" s="156" t="s">
        <v>71</v>
      </c>
      <c r="H700" s="156">
        <f>F700</f>
        <v>2</v>
      </c>
      <c r="I700" s="166">
        <f>SUMIFS(Продажи!F$5:F$359,Продажи!$D$5:$D$359,Конструкторы!$B700,Продажи!$C$5:$C$359,Конструкторы!$A700)</f>
        <v>0</v>
      </c>
      <c r="J700" s="166">
        <f>SUMIFS(Продажи!G$5:G$359,Продажи!$D$5:$D$359,Конструкторы!$B700,Продажи!$C$5:$C$359,Конструкторы!$A700)</f>
        <v>0</v>
      </c>
      <c r="K700" s="166">
        <f>SUMIFS(Продажи!H$5:H$359,Продажи!$D$5:$D$359,Конструкторы!$B700,Продажи!$C$5:$C$359,Конструкторы!$A700)</f>
        <v>0</v>
      </c>
      <c r="L700" s="166">
        <f>SUMIFS(Продажи!I$5:I$359,Продажи!$D$5:$D$359,Конструкторы!$B700,Продажи!$C$5:$C$359,Конструкторы!$A700)</f>
        <v>0</v>
      </c>
      <c r="M700" s="166">
        <f>SUMIFS(Продажи!J$5:J$359,Продажи!$D$5:$D$359,Конструкторы!$B700,Продажи!$C$5:$C$359,Конструкторы!$A700)</f>
        <v>0</v>
      </c>
      <c r="N700" s="166">
        <f>SUMIFS(Продажи!K$5:K$359,Продажи!$D$5:$D$359,Конструкторы!$B700,Продажи!$C$5:$C$359,Конструкторы!$A700)</f>
        <v>0</v>
      </c>
      <c r="O700" s="166">
        <f>SUMIFS(Продажи!L$5:L$359,Продажи!$D$5:$D$359,Конструкторы!$B700,Продажи!$C$5:$C$359,Конструкторы!$A700)</f>
        <v>0</v>
      </c>
      <c r="P700" s="166">
        <f>SUMIFS(Продажи!M$5:M$359,Продажи!$D$5:$D$359,Конструкторы!$B700,Продажи!$C$5:$C$359,Конструкторы!$A700)</f>
        <v>0</v>
      </c>
      <c r="Q700" s="166">
        <f>SUMIFS(Продажи!N$5:N$359,Продажи!$D$5:$D$359,Конструкторы!$B700,Продажи!$C$5:$C$359,Конструкторы!$A700)</f>
        <v>0</v>
      </c>
      <c r="R700" s="166">
        <f>SUMIFS(Продажи!O$5:O$359,Продажи!$D$5:$D$359,Конструкторы!$B700,Продажи!$C$5:$C$359,Конструкторы!$A700)</f>
        <v>0</v>
      </c>
      <c r="S700" s="166">
        <f>SUMIFS(Продажи!P$5:P$359,Продажи!$D$5:$D$359,Конструкторы!$B700,Продажи!$C$5:$C$359,Конструкторы!$A700)</f>
        <v>0</v>
      </c>
      <c r="T700" s="166">
        <f>SUMIFS(Продажи!Q$5:Q$359,Продажи!$D$5:$D$359,Конструкторы!$B700,Продажи!$C$5:$C$359,Конструкторы!$A700)</f>
        <v>0</v>
      </c>
    </row>
    <row r="701" spans="1:20" ht="15.75" hidden="1" x14ac:dyDescent="0.25">
      <c r="A701" s="166" t="s">
        <v>397</v>
      </c>
      <c r="B701" s="167" t="s">
        <v>103</v>
      </c>
      <c r="C701" s="33" t="s">
        <v>75</v>
      </c>
      <c r="D701" s="149"/>
      <c r="E701" s="153" t="s">
        <v>70</v>
      </c>
      <c r="F701" s="148">
        <f>8</f>
        <v>8</v>
      </c>
      <c r="G701" s="156" t="s">
        <v>71</v>
      </c>
      <c r="H701" s="156">
        <f>F701</f>
        <v>8</v>
      </c>
      <c r="I701" s="166">
        <f>SUMIFS(Продажи!F$5:F$359,Продажи!$D$5:$D$359,Конструкторы!$B701,Продажи!$C$5:$C$359,Конструкторы!$A701)</f>
        <v>0</v>
      </c>
      <c r="J701" s="166">
        <f>SUMIFS(Продажи!G$5:G$359,Продажи!$D$5:$D$359,Конструкторы!$B701,Продажи!$C$5:$C$359,Конструкторы!$A701)</f>
        <v>0</v>
      </c>
      <c r="K701" s="166">
        <f>SUMIFS(Продажи!H$5:H$359,Продажи!$D$5:$D$359,Конструкторы!$B701,Продажи!$C$5:$C$359,Конструкторы!$A701)</f>
        <v>0</v>
      </c>
      <c r="L701" s="166">
        <f>SUMIFS(Продажи!I$5:I$359,Продажи!$D$5:$D$359,Конструкторы!$B701,Продажи!$C$5:$C$359,Конструкторы!$A701)</f>
        <v>0</v>
      </c>
      <c r="M701" s="166">
        <f>SUMIFS(Продажи!J$5:J$359,Продажи!$D$5:$D$359,Конструкторы!$B701,Продажи!$C$5:$C$359,Конструкторы!$A701)</f>
        <v>0</v>
      </c>
      <c r="N701" s="166">
        <f>SUMIFS(Продажи!K$5:K$359,Продажи!$D$5:$D$359,Конструкторы!$B701,Продажи!$C$5:$C$359,Конструкторы!$A701)</f>
        <v>0</v>
      </c>
      <c r="O701" s="166">
        <f>SUMIFS(Продажи!L$5:L$359,Продажи!$D$5:$D$359,Конструкторы!$B701,Продажи!$C$5:$C$359,Конструкторы!$A701)</f>
        <v>0</v>
      </c>
      <c r="P701" s="166">
        <f>SUMIFS(Продажи!M$5:M$359,Продажи!$D$5:$D$359,Конструкторы!$B701,Продажи!$C$5:$C$359,Конструкторы!$A701)</f>
        <v>0</v>
      </c>
      <c r="Q701" s="166">
        <f>SUMIFS(Продажи!N$5:N$359,Продажи!$D$5:$D$359,Конструкторы!$B701,Продажи!$C$5:$C$359,Конструкторы!$A701)</f>
        <v>0</v>
      </c>
      <c r="R701" s="166">
        <f>SUMIFS(Продажи!O$5:O$359,Продажи!$D$5:$D$359,Конструкторы!$B701,Продажи!$C$5:$C$359,Конструкторы!$A701)</f>
        <v>0</v>
      </c>
      <c r="S701" s="166">
        <f>SUMIFS(Продажи!P$5:P$359,Продажи!$D$5:$D$359,Конструкторы!$B701,Продажи!$C$5:$C$359,Конструкторы!$A701)</f>
        <v>0</v>
      </c>
      <c r="T701" s="166">
        <f>SUMIFS(Продажи!Q$5:Q$359,Продажи!$D$5:$D$359,Конструкторы!$B701,Продажи!$C$5:$C$359,Конструкторы!$A701)</f>
        <v>0</v>
      </c>
    </row>
    <row r="702" spans="1:20" ht="15.75" hidden="1" x14ac:dyDescent="0.25">
      <c r="A702" s="166" t="s">
        <v>397</v>
      </c>
      <c r="B702" s="167" t="s">
        <v>103</v>
      </c>
      <c r="C702" s="33" t="s">
        <v>69</v>
      </c>
      <c r="D702" s="149"/>
      <c r="E702" s="153" t="s">
        <v>70</v>
      </c>
      <c r="F702" s="148">
        <f>4</f>
        <v>4</v>
      </c>
      <c r="G702" s="156" t="s">
        <v>71</v>
      </c>
      <c r="H702" s="156">
        <f>F702</f>
        <v>4</v>
      </c>
      <c r="I702" s="166">
        <f>SUMIFS(Продажи!F$5:F$359,Продажи!$D$5:$D$359,Конструкторы!$B702,Продажи!$C$5:$C$359,Конструкторы!$A702)</f>
        <v>0</v>
      </c>
      <c r="J702" s="166">
        <f>SUMIFS(Продажи!G$5:G$359,Продажи!$D$5:$D$359,Конструкторы!$B702,Продажи!$C$5:$C$359,Конструкторы!$A702)</f>
        <v>0</v>
      </c>
      <c r="K702" s="166">
        <f>SUMIFS(Продажи!H$5:H$359,Продажи!$D$5:$D$359,Конструкторы!$B702,Продажи!$C$5:$C$359,Конструкторы!$A702)</f>
        <v>0</v>
      </c>
      <c r="L702" s="166">
        <f>SUMIFS(Продажи!I$5:I$359,Продажи!$D$5:$D$359,Конструкторы!$B702,Продажи!$C$5:$C$359,Конструкторы!$A702)</f>
        <v>0</v>
      </c>
      <c r="M702" s="166">
        <f>SUMIFS(Продажи!J$5:J$359,Продажи!$D$5:$D$359,Конструкторы!$B702,Продажи!$C$5:$C$359,Конструкторы!$A702)</f>
        <v>0</v>
      </c>
      <c r="N702" s="166">
        <f>SUMIFS(Продажи!K$5:K$359,Продажи!$D$5:$D$359,Конструкторы!$B702,Продажи!$C$5:$C$359,Конструкторы!$A702)</f>
        <v>0</v>
      </c>
      <c r="O702" s="166">
        <f>SUMIFS(Продажи!L$5:L$359,Продажи!$D$5:$D$359,Конструкторы!$B702,Продажи!$C$5:$C$359,Конструкторы!$A702)</f>
        <v>0</v>
      </c>
      <c r="P702" s="166">
        <f>SUMIFS(Продажи!M$5:M$359,Продажи!$D$5:$D$359,Конструкторы!$B702,Продажи!$C$5:$C$359,Конструкторы!$A702)</f>
        <v>0</v>
      </c>
      <c r="Q702" s="166">
        <f>SUMIFS(Продажи!N$5:N$359,Продажи!$D$5:$D$359,Конструкторы!$B702,Продажи!$C$5:$C$359,Конструкторы!$A702)</f>
        <v>0</v>
      </c>
      <c r="R702" s="166">
        <f>SUMIFS(Продажи!O$5:O$359,Продажи!$D$5:$D$359,Конструкторы!$B702,Продажи!$C$5:$C$359,Конструкторы!$A702)</f>
        <v>0</v>
      </c>
      <c r="S702" s="166">
        <f>SUMIFS(Продажи!P$5:P$359,Продажи!$D$5:$D$359,Конструкторы!$B702,Продажи!$C$5:$C$359,Конструкторы!$A702)</f>
        <v>0</v>
      </c>
      <c r="T702" s="166">
        <f>SUMIFS(Продажи!Q$5:Q$359,Продажи!$D$5:$D$359,Конструкторы!$B702,Продажи!$C$5:$C$359,Конструкторы!$A702)</f>
        <v>0</v>
      </c>
    </row>
    <row r="703" spans="1:20" ht="15.75" hidden="1" x14ac:dyDescent="0.25">
      <c r="A703" s="166" t="s">
        <v>397</v>
      </c>
      <c r="B703" s="167" t="s">
        <v>175</v>
      </c>
      <c r="C703" s="129" t="s">
        <v>53</v>
      </c>
      <c r="D703" s="130">
        <v>7038</v>
      </c>
      <c r="E703" s="153" t="s">
        <v>68</v>
      </c>
      <c r="F703" s="156">
        <f>(1.591*103)/100</f>
        <v>1.6387299999999998</v>
      </c>
      <c r="G703" s="156">
        <v>4.7729999999999828E-2</v>
      </c>
      <c r="H703" s="156">
        <f>F703+G703</f>
        <v>1.6864599999999996</v>
      </c>
      <c r="I703" s="166">
        <f>SUMIFS(Продажи!F$5:F$359,Продажи!$D$5:$D$359,Конструкторы!$B703,Продажи!$C$5:$C$359,Конструкторы!$A703)</f>
        <v>0</v>
      </c>
      <c r="J703" s="166">
        <f>SUMIFS(Продажи!G$5:G$359,Продажи!$D$5:$D$359,Конструкторы!$B703,Продажи!$C$5:$C$359,Конструкторы!$A703)</f>
        <v>0</v>
      </c>
      <c r="K703" s="166">
        <f>SUMIFS(Продажи!H$5:H$359,Продажи!$D$5:$D$359,Конструкторы!$B703,Продажи!$C$5:$C$359,Конструкторы!$A703)</f>
        <v>0</v>
      </c>
      <c r="L703" s="166">
        <f>SUMIFS(Продажи!I$5:I$359,Продажи!$D$5:$D$359,Конструкторы!$B703,Продажи!$C$5:$C$359,Конструкторы!$A703)</f>
        <v>0</v>
      </c>
      <c r="M703" s="166">
        <f>SUMIFS(Продажи!J$5:J$359,Продажи!$D$5:$D$359,Конструкторы!$B703,Продажи!$C$5:$C$359,Конструкторы!$A703)</f>
        <v>0</v>
      </c>
      <c r="N703" s="166">
        <f>SUMIFS(Продажи!K$5:K$359,Продажи!$D$5:$D$359,Конструкторы!$B703,Продажи!$C$5:$C$359,Конструкторы!$A703)</f>
        <v>0</v>
      </c>
      <c r="O703" s="166">
        <f>SUMIFS(Продажи!L$5:L$359,Продажи!$D$5:$D$359,Конструкторы!$B703,Продажи!$C$5:$C$359,Конструкторы!$A703)</f>
        <v>0</v>
      </c>
      <c r="P703" s="166">
        <f>SUMIFS(Продажи!M$5:M$359,Продажи!$D$5:$D$359,Конструкторы!$B703,Продажи!$C$5:$C$359,Конструкторы!$A703)</f>
        <v>0</v>
      </c>
      <c r="Q703" s="166">
        <f>SUMIFS(Продажи!N$5:N$359,Продажи!$D$5:$D$359,Конструкторы!$B703,Продажи!$C$5:$C$359,Конструкторы!$A703)</f>
        <v>0</v>
      </c>
      <c r="R703" s="166">
        <f>SUMIFS(Продажи!O$5:O$359,Продажи!$D$5:$D$359,Конструкторы!$B703,Продажи!$C$5:$C$359,Конструкторы!$A703)</f>
        <v>0</v>
      </c>
      <c r="S703" s="166">
        <f>SUMIFS(Продажи!P$5:P$359,Продажи!$D$5:$D$359,Конструкторы!$B703,Продажи!$C$5:$C$359,Конструкторы!$A703)</f>
        <v>0</v>
      </c>
      <c r="T703" s="166">
        <f>SUMIFS(Продажи!Q$5:Q$359,Продажи!$D$5:$D$359,Конструкторы!$B703,Продажи!$C$5:$C$359,Конструкторы!$A703)</f>
        <v>0</v>
      </c>
    </row>
    <row r="704" spans="1:20" ht="15.75" hidden="1" x14ac:dyDescent="0.25">
      <c r="A704" s="166" t="s">
        <v>397</v>
      </c>
      <c r="B704" s="167" t="s">
        <v>175</v>
      </c>
      <c r="C704" s="129" t="s">
        <v>52</v>
      </c>
      <c r="D704" s="149"/>
      <c r="E704" s="153" t="s">
        <v>68</v>
      </c>
      <c r="F704" s="156">
        <f>(0.807*103)/100</f>
        <v>0.83121000000000012</v>
      </c>
      <c r="G704" s="156">
        <v>2.4210000000000065E-2</v>
      </c>
      <c r="H704" s="156">
        <f>F704+G704</f>
        <v>0.85542000000000018</v>
      </c>
      <c r="I704" s="166">
        <f>SUMIFS(Продажи!F$5:F$359,Продажи!$D$5:$D$359,Конструкторы!$B704,Продажи!$C$5:$C$359,Конструкторы!$A704)</f>
        <v>0</v>
      </c>
      <c r="J704" s="166">
        <f>SUMIFS(Продажи!G$5:G$359,Продажи!$D$5:$D$359,Конструкторы!$B704,Продажи!$C$5:$C$359,Конструкторы!$A704)</f>
        <v>0</v>
      </c>
      <c r="K704" s="166">
        <f>SUMIFS(Продажи!H$5:H$359,Продажи!$D$5:$D$359,Конструкторы!$B704,Продажи!$C$5:$C$359,Конструкторы!$A704)</f>
        <v>0</v>
      </c>
      <c r="L704" s="166">
        <f>SUMIFS(Продажи!I$5:I$359,Продажи!$D$5:$D$359,Конструкторы!$B704,Продажи!$C$5:$C$359,Конструкторы!$A704)</f>
        <v>0</v>
      </c>
      <c r="M704" s="166">
        <f>SUMIFS(Продажи!J$5:J$359,Продажи!$D$5:$D$359,Конструкторы!$B704,Продажи!$C$5:$C$359,Конструкторы!$A704)</f>
        <v>0</v>
      </c>
      <c r="N704" s="166">
        <f>SUMIFS(Продажи!K$5:K$359,Продажи!$D$5:$D$359,Конструкторы!$B704,Продажи!$C$5:$C$359,Конструкторы!$A704)</f>
        <v>0</v>
      </c>
      <c r="O704" s="166">
        <f>SUMIFS(Продажи!L$5:L$359,Продажи!$D$5:$D$359,Конструкторы!$B704,Продажи!$C$5:$C$359,Конструкторы!$A704)</f>
        <v>0</v>
      </c>
      <c r="P704" s="166">
        <f>SUMIFS(Продажи!M$5:M$359,Продажи!$D$5:$D$359,Конструкторы!$B704,Продажи!$C$5:$C$359,Конструкторы!$A704)</f>
        <v>0</v>
      </c>
      <c r="Q704" s="166">
        <f>SUMIFS(Продажи!N$5:N$359,Продажи!$D$5:$D$359,Конструкторы!$B704,Продажи!$C$5:$C$359,Конструкторы!$A704)</f>
        <v>0</v>
      </c>
      <c r="R704" s="166">
        <f>SUMIFS(Продажи!O$5:O$359,Продажи!$D$5:$D$359,Конструкторы!$B704,Продажи!$C$5:$C$359,Конструкторы!$A704)</f>
        <v>0</v>
      </c>
      <c r="S704" s="166">
        <f>SUMIFS(Продажи!P$5:P$359,Продажи!$D$5:$D$359,Конструкторы!$B704,Продажи!$C$5:$C$359,Конструкторы!$A704)</f>
        <v>0</v>
      </c>
      <c r="T704" s="166">
        <f>SUMIFS(Продажи!Q$5:Q$359,Продажи!$D$5:$D$359,Конструкторы!$B704,Продажи!$C$5:$C$359,Конструкторы!$A704)</f>
        <v>0</v>
      </c>
    </row>
    <row r="705" spans="1:20" ht="15.75" hidden="1" x14ac:dyDescent="0.25">
      <c r="A705" s="166" t="s">
        <v>397</v>
      </c>
      <c r="B705" s="167" t="s">
        <v>175</v>
      </c>
      <c r="C705" s="33" t="s">
        <v>73</v>
      </c>
      <c r="D705" s="149"/>
      <c r="E705" s="153" t="s">
        <v>70</v>
      </c>
      <c r="F705" s="148">
        <f>2</f>
        <v>2</v>
      </c>
      <c r="G705" s="156" t="s">
        <v>71</v>
      </c>
      <c r="H705" s="156">
        <f>F705</f>
        <v>2</v>
      </c>
      <c r="I705" s="166">
        <f>SUMIFS(Продажи!F$5:F$359,Продажи!$D$5:$D$359,Конструкторы!$B705,Продажи!$C$5:$C$359,Конструкторы!$A705)</f>
        <v>0</v>
      </c>
      <c r="J705" s="166">
        <f>SUMIFS(Продажи!G$5:G$359,Продажи!$D$5:$D$359,Конструкторы!$B705,Продажи!$C$5:$C$359,Конструкторы!$A705)</f>
        <v>0</v>
      </c>
      <c r="K705" s="166">
        <f>SUMIFS(Продажи!H$5:H$359,Продажи!$D$5:$D$359,Конструкторы!$B705,Продажи!$C$5:$C$359,Конструкторы!$A705)</f>
        <v>0</v>
      </c>
      <c r="L705" s="166">
        <f>SUMIFS(Продажи!I$5:I$359,Продажи!$D$5:$D$359,Конструкторы!$B705,Продажи!$C$5:$C$359,Конструкторы!$A705)</f>
        <v>0</v>
      </c>
      <c r="M705" s="166">
        <f>SUMIFS(Продажи!J$5:J$359,Продажи!$D$5:$D$359,Конструкторы!$B705,Продажи!$C$5:$C$359,Конструкторы!$A705)</f>
        <v>0</v>
      </c>
      <c r="N705" s="166">
        <f>SUMIFS(Продажи!K$5:K$359,Продажи!$D$5:$D$359,Конструкторы!$B705,Продажи!$C$5:$C$359,Конструкторы!$A705)</f>
        <v>0</v>
      </c>
      <c r="O705" s="166">
        <f>SUMIFS(Продажи!L$5:L$359,Продажи!$D$5:$D$359,Конструкторы!$B705,Продажи!$C$5:$C$359,Конструкторы!$A705)</f>
        <v>0</v>
      </c>
      <c r="P705" s="166">
        <f>SUMIFS(Продажи!M$5:M$359,Продажи!$D$5:$D$359,Конструкторы!$B705,Продажи!$C$5:$C$359,Конструкторы!$A705)</f>
        <v>0</v>
      </c>
      <c r="Q705" s="166">
        <f>SUMIFS(Продажи!N$5:N$359,Продажи!$D$5:$D$359,Конструкторы!$B705,Продажи!$C$5:$C$359,Конструкторы!$A705)</f>
        <v>0</v>
      </c>
      <c r="R705" s="166">
        <f>SUMIFS(Продажи!O$5:O$359,Продажи!$D$5:$D$359,Конструкторы!$B705,Продажи!$C$5:$C$359,Конструкторы!$A705)</f>
        <v>0</v>
      </c>
      <c r="S705" s="166">
        <f>SUMIFS(Продажи!P$5:P$359,Продажи!$D$5:$D$359,Конструкторы!$B705,Продажи!$C$5:$C$359,Конструкторы!$A705)</f>
        <v>0</v>
      </c>
      <c r="T705" s="166">
        <f>SUMIFS(Продажи!Q$5:Q$359,Продажи!$D$5:$D$359,Конструкторы!$B705,Продажи!$C$5:$C$359,Конструкторы!$A705)</f>
        <v>0</v>
      </c>
    </row>
    <row r="706" spans="1:20" ht="15.75" hidden="1" x14ac:dyDescent="0.25">
      <c r="A706" s="166" t="s">
        <v>397</v>
      </c>
      <c r="B706" s="167" t="s">
        <v>175</v>
      </c>
      <c r="C706" s="33" t="s">
        <v>75</v>
      </c>
      <c r="D706" s="149"/>
      <c r="E706" s="153" t="s">
        <v>70</v>
      </c>
      <c r="F706" s="148">
        <f>8</f>
        <v>8</v>
      </c>
      <c r="G706" s="156" t="s">
        <v>71</v>
      </c>
      <c r="H706" s="156">
        <f>F706</f>
        <v>8</v>
      </c>
      <c r="I706" s="166">
        <f>SUMIFS(Продажи!F$5:F$359,Продажи!$D$5:$D$359,Конструкторы!$B706,Продажи!$C$5:$C$359,Конструкторы!$A706)</f>
        <v>0</v>
      </c>
      <c r="J706" s="166">
        <f>SUMIFS(Продажи!G$5:G$359,Продажи!$D$5:$D$359,Конструкторы!$B706,Продажи!$C$5:$C$359,Конструкторы!$A706)</f>
        <v>0</v>
      </c>
      <c r="K706" s="166">
        <f>SUMIFS(Продажи!H$5:H$359,Продажи!$D$5:$D$359,Конструкторы!$B706,Продажи!$C$5:$C$359,Конструкторы!$A706)</f>
        <v>0</v>
      </c>
      <c r="L706" s="166">
        <f>SUMIFS(Продажи!I$5:I$359,Продажи!$D$5:$D$359,Конструкторы!$B706,Продажи!$C$5:$C$359,Конструкторы!$A706)</f>
        <v>0</v>
      </c>
      <c r="M706" s="166">
        <f>SUMIFS(Продажи!J$5:J$359,Продажи!$D$5:$D$359,Конструкторы!$B706,Продажи!$C$5:$C$359,Конструкторы!$A706)</f>
        <v>0</v>
      </c>
      <c r="N706" s="166">
        <f>SUMIFS(Продажи!K$5:K$359,Продажи!$D$5:$D$359,Конструкторы!$B706,Продажи!$C$5:$C$359,Конструкторы!$A706)</f>
        <v>0</v>
      </c>
      <c r="O706" s="166">
        <f>SUMIFS(Продажи!L$5:L$359,Продажи!$D$5:$D$359,Конструкторы!$B706,Продажи!$C$5:$C$359,Конструкторы!$A706)</f>
        <v>0</v>
      </c>
      <c r="P706" s="166">
        <f>SUMIFS(Продажи!M$5:M$359,Продажи!$D$5:$D$359,Конструкторы!$B706,Продажи!$C$5:$C$359,Конструкторы!$A706)</f>
        <v>0</v>
      </c>
      <c r="Q706" s="166">
        <f>SUMIFS(Продажи!N$5:N$359,Продажи!$D$5:$D$359,Конструкторы!$B706,Продажи!$C$5:$C$359,Конструкторы!$A706)</f>
        <v>0</v>
      </c>
      <c r="R706" s="166">
        <f>SUMIFS(Продажи!O$5:O$359,Продажи!$D$5:$D$359,Конструкторы!$B706,Продажи!$C$5:$C$359,Конструкторы!$A706)</f>
        <v>0</v>
      </c>
      <c r="S706" s="166">
        <f>SUMIFS(Продажи!P$5:P$359,Продажи!$D$5:$D$359,Конструкторы!$B706,Продажи!$C$5:$C$359,Конструкторы!$A706)</f>
        <v>0</v>
      </c>
      <c r="T706" s="166">
        <f>SUMIFS(Продажи!Q$5:Q$359,Продажи!$D$5:$D$359,Конструкторы!$B706,Продажи!$C$5:$C$359,Конструкторы!$A706)</f>
        <v>0</v>
      </c>
    </row>
    <row r="707" spans="1:20" ht="15.75" hidden="1" x14ac:dyDescent="0.25">
      <c r="A707" s="166" t="s">
        <v>397</v>
      </c>
      <c r="B707" s="167" t="s">
        <v>175</v>
      </c>
      <c r="C707" s="33" t="s">
        <v>69</v>
      </c>
      <c r="D707" s="149"/>
      <c r="E707" s="153" t="s">
        <v>70</v>
      </c>
      <c r="F707" s="148">
        <f>4</f>
        <v>4</v>
      </c>
      <c r="G707" s="156" t="s">
        <v>71</v>
      </c>
      <c r="H707" s="156">
        <f>F707</f>
        <v>4</v>
      </c>
      <c r="I707" s="166">
        <f>SUMIFS(Продажи!F$5:F$359,Продажи!$D$5:$D$359,Конструкторы!$B707,Продажи!$C$5:$C$359,Конструкторы!$A707)</f>
        <v>0</v>
      </c>
      <c r="J707" s="166">
        <f>SUMIFS(Продажи!G$5:G$359,Продажи!$D$5:$D$359,Конструкторы!$B707,Продажи!$C$5:$C$359,Конструкторы!$A707)</f>
        <v>0</v>
      </c>
      <c r="K707" s="166">
        <f>SUMIFS(Продажи!H$5:H$359,Продажи!$D$5:$D$359,Конструкторы!$B707,Продажи!$C$5:$C$359,Конструкторы!$A707)</f>
        <v>0</v>
      </c>
      <c r="L707" s="166">
        <f>SUMIFS(Продажи!I$5:I$359,Продажи!$D$5:$D$359,Конструкторы!$B707,Продажи!$C$5:$C$359,Конструкторы!$A707)</f>
        <v>0</v>
      </c>
      <c r="M707" s="166">
        <f>SUMIFS(Продажи!J$5:J$359,Продажи!$D$5:$D$359,Конструкторы!$B707,Продажи!$C$5:$C$359,Конструкторы!$A707)</f>
        <v>0</v>
      </c>
      <c r="N707" s="166">
        <f>SUMIFS(Продажи!K$5:K$359,Продажи!$D$5:$D$359,Конструкторы!$B707,Продажи!$C$5:$C$359,Конструкторы!$A707)</f>
        <v>0</v>
      </c>
      <c r="O707" s="166">
        <f>SUMIFS(Продажи!L$5:L$359,Продажи!$D$5:$D$359,Конструкторы!$B707,Продажи!$C$5:$C$359,Конструкторы!$A707)</f>
        <v>0</v>
      </c>
      <c r="P707" s="166">
        <f>SUMIFS(Продажи!M$5:M$359,Продажи!$D$5:$D$359,Конструкторы!$B707,Продажи!$C$5:$C$359,Конструкторы!$A707)</f>
        <v>0</v>
      </c>
      <c r="Q707" s="166">
        <f>SUMIFS(Продажи!N$5:N$359,Продажи!$D$5:$D$359,Конструкторы!$B707,Продажи!$C$5:$C$359,Конструкторы!$A707)</f>
        <v>0</v>
      </c>
      <c r="R707" s="166">
        <f>SUMIFS(Продажи!O$5:O$359,Продажи!$D$5:$D$359,Конструкторы!$B707,Продажи!$C$5:$C$359,Конструкторы!$A707)</f>
        <v>0</v>
      </c>
      <c r="S707" s="166">
        <f>SUMIFS(Продажи!P$5:P$359,Продажи!$D$5:$D$359,Конструкторы!$B707,Продажи!$C$5:$C$359,Конструкторы!$A707)</f>
        <v>0</v>
      </c>
      <c r="T707" s="166">
        <f>SUMIFS(Продажи!Q$5:Q$359,Продажи!$D$5:$D$359,Конструкторы!$B707,Продажи!$C$5:$C$359,Конструкторы!$A707)</f>
        <v>0</v>
      </c>
    </row>
    <row r="708" spans="1:20" ht="15.75" hidden="1" x14ac:dyDescent="0.25">
      <c r="A708" s="166" t="s">
        <v>397</v>
      </c>
      <c r="B708" s="167" t="s">
        <v>177</v>
      </c>
      <c r="C708" s="129" t="s">
        <v>53</v>
      </c>
      <c r="D708" s="130">
        <v>7038</v>
      </c>
      <c r="E708" s="153" t="s">
        <v>68</v>
      </c>
      <c r="F708" s="156">
        <f>(1.35*103)/100</f>
        <v>1.3905000000000001</v>
      </c>
      <c r="G708" s="156">
        <v>4.049999999999998E-2</v>
      </c>
      <c r="H708" s="156">
        <f>F708+G708</f>
        <v>1.431</v>
      </c>
      <c r="I708" s="166">
        <f>SUMIFS(Продажи!F$5:F$359,Продажи!$D$5:$D$359,Конструкторы!$B708,Продажи!$C$5:$C$359,Конструкторы!$A708)</f>
        <v>0</v>
      </c>
      <c r="J708" s="166">
        <f>SUMIFS(Продажи!G$5:G$359,Продажи!$D$5:$D$359,Конструкторы!$B708,Продажи!$C$5:$C$359,Конструкторы!$A708)</f>
        <v>0</v>
      </c>
      <c r="K708" s="166">
        <f>SUMIFS(Продажи!H$5:H$359,Продажи!$D$5:$D$359,Конструкторы!$B708,Продажи!$C$5:$C$359,Конструкторы!$A708)</f>
        <v>0</v>
      </c>
      <c r="L708" s="166">
        <f>SUMIFS(Продажи!I$5:I$359,Продажи!$D$5:$D$359,Конструкторы!$B708,Продажи!$C$5:$C$359,Конструкторы!$A708)</f>
        <v>0</v>
      </c>
      <c r="M708" s="166">
        <f>SUMIFS(Продажи!J$5:J$359,Продажи!$D$5:$D$359,Конструкторы!$B708,Продажи!$C$5:$C$359,Конструкторы!$A708)</f>
        <v>0</v>
      </c>
      <c r="N708" s="166">
        <f>SUMIFS(Продажи!K$5:K$359,Продажи!$D$5:$D$359,Конструкторы!$B708,Продажи!$C$5:$C$359,Конструкторы!$A708)</f>
        <v>0</v>
      </c>
      <c r="O708" s="166">
        <f>SUMIFS(Продажи!L$5:L$359,Продажи!$D$5:$D$359,Конструкторы!$B708,Продажи!$C$5:$C$359,Конструкторы!$A708)</f>
        <v>0</v>
      </c>
      <c r="P708" s="166">
        <f>SUMIFS(Продажи!M$5:M$359,Продажи!$D$5:$D$359,Конструкторы!$B708,Продажи!$C$5:$C$359,Конструкторы!$A708)</f>
        <v>0</v>
      </c>
      <c r="Q708" s="166">
        <f>SUMIFS(Продажи!N$5:N$359,Продажи!$D$5:$D$359,Конструкторы!$B708,Продажи!$C$5:$C$359,Конструкторы!$A708)</f>
        <v>0</v>
      </c>
      <c r="R708" s="166">
        <f>SUMIFS(Продажи!O$5:O$359,Продажи!$D$5:$D$359,Конструкторы!$B708,Продажи!$C$5:$C$359,Конструкторы!$A708)</f>
        <v>0</v>
      </c>
      <c r="S708" s="166">
        <f>SUMIFS(Продажи!P$5:P$359,Продажи!$D$5:$D$359,Конструкторы!$B708,Продажи!$C$5:$C$359,Конструкторы!$A708)</f>
        <v>0</v>
      </c>
      <c r="T708" s="166">
        <f>SUMIFS(Продажи!Q$5:Q$359,Продажи!$D$5:$D$359,Конструкторы!$B708,Продажи!$C$5:$C$359,Конструкторы!$A708)</f>
        <v>0</v>
      </c>
    </row>
    <row r="709" spans="1:20" ht="15.75" hidden="1" x14ac:dyDescent="0.25">
      <c r="A709" s="166" t="s">
        <v>397</v>
      </c>
      <c r="B709" s="167" t="s">
        <v>177</v>
      </c>
      <c r="C709" s="129" t="s">
        <v>52</v>
      </c>
      <c r="D709" s="149"/>
      <c r="E709" s="153" t="s">
        <v>68</v>
      </c>
      <c r="F709" s="156">
        <f>(0.908*103)/100</f>
        <v>0.93523999999999996</v>
      </c>
      <c r="G709" s="156">
        <v>2.7239999999999931E-2</v>
      </c>
      <c r="H709" s="156">
        <f>F709+G709</f>
        <v>0.96247999999999989</v>
      </c>
      <c r="I709" s="166">
        <f>SUMIFS(Продажи!F$5:F$359,Продажи!$D$5:$D$359,Конструкторы!$B709,Продажи!$C$5:$C$359,Конструкторы!$A709)</f>
        <v>0</v>
      </c>
      <c r="J709" s="166">
        <f>SUMIFS(Продажи!G$5:G$359,Продажи!$D$5:$D$359,Конструкторы!$B709,Продажи!$C$5:$C$359,Конструкторы!$A709)</f>
        <v>0</v>
      </c>
      <c r="K709" s="166">
        <f>SUMIFS(Продажи!H$5:H$359,Продажи!$D$5:$D$359,Конструкторы!$B709,Продажи!$C$5:$C$359,Конструкторы!$A709)</f>
        <v>0</v>
      </c>
      <c r="L709" s="166">
        <f>SUMIFS(Продажи!I$5:I$359,Продажи!$D$5:$D$359,Конструкторы!$B709,Продажи!$C$5:$C$359,Конструкторы!$A709)</f>
        <v>0</v>
      </c>
      <c r="M709" s="166">
        <f>SUMIFS(Продажи!J$5:J$359,Продажи!$D$5:$D$359,Конструкторы!$B709,Продажи!$C$5:$C$359,Конструкторы!$A709)</f>
        <v>0</v>
      </c>
      <c r="N709" s="166">
        <f>SUMIFS(Продажи!K$5:K$359,Продажи!$D$5:$D$359,Конструкторы!$B709,Продажи!$C$5:$C$359,Конструкторы!$A709)</f>
        <v>0</v>
      </c>
      <c r="O709" s="166">
        <f>SUMIFS(Продажи!L$5:L$359,Продажи!$D$5:$D$359,Конструкторы!$B709,Продажи!$C$5:$C$359,Конструкторы!$A709)</f>
        <v>0</v>
      </c>
      <c r="P709" s="166">
        <f>SUMIFS(Продажи!M$5:M$359,Продажи!$D$5:$D$359,Конструкторы!$B709,Продажи!$C$5:$C$359,Конструкторы!$A709)</f>
        <v>0</v>
      </c>
      <c r="Q709" s="166">
        <f>SUMIFS(Продажи!N$5:N$359,Продажи!$D$5:$D$359,Конструкторы!$B709,Продажи!$C$5:$C$359,Конструкторы!$A709)</f>
        <v>0</v>
      </c>
      <c r="R709" s="166">
        <f>SUMIFS(Продажи!O$5:O$359,Продажи!$D$5:$D$359,Конструкторы!$B709,Продажи!$C$5:$C$359,Конструкторы!$A709)</f>
        <v>0</v>
      </c>
      <c r="S709" s="166">
        <f>SUMIFS(Продажи!P$5:P$359,Продажи!$D$5:$D$359,Конструкторы!$B709,Продажи!$C$5:$C$359,Конструкторы!$A709)</f>
        <v>0</v>
      </c>
      <c r="T709" s="166">
        <f>SUMIFS(Продажи!Q$5:Q$359,Продажи!$D$5:$D$359,Конструкторы!$B709,Продажи!$C$5:$C$359,Конструкторы!$A709)</f>
        <v>0</v>
      </c>
    </row>
    <row r="710" spans="1:20" ht="15.75" hidden="1" x14ac:dyDescent="0.25">
      <c r="A710" s="166" t="s">
        <v>397</v>
      </c>
      <c r="B710" s="167" t="s">
        <v>177</v>
      </c>
      <c r="C710" s="33" t="s">
        <v>73</v>
      </c>
      <c r="D710" s="149"/>
      <c r="E710" s="153" t="s">
        <v>70</v>
      </c>
      <c r="F710" s="148">
        <f>2</f>
        <v>2</v>
      </c>
      <c r="G710" s="156" t="s">
        <v>71</v>
      </c>
      <c r="H710" s="156">
        <f>F710</f>
        <v>2</v>
      </c>
      <c r="I710" s="166">
        <f>SUMIFS(Продажи!F$5:F$359,Продажи!$D$5:$D$359,Конструкторы!$B710,Продажи!$C$5:$C$359,Конструкторы!$A710)</f>
        <v>0</v>
      </c>
      <c r="J710" s="166">
        <f>SUMIFS(Продажи!G$5:G$359,Продажи!$D$5:$D$359,Конструкторы!$B710,Продажи!$C$5:$C$359,Конструкторы!$A710)</f>
        <v>0</v>
      </c>
      <c r="K710" s="166">
        <f>SUMIFS(Продажи!H$5:H$359,Продажи!$D$5:$D$359,Конструкторы!$B710,Продажи!$C$5:$C$359,Конструкторы!$A710)</f>
        <v>0</v>
      </c>
      <c r="L710" s="166">
        <f>SUMIFS(Продажи!I$5:I$359,Продажи!$D$5:$D$359,Конструкторы!$B710,Продажи!$C$5:$C$359,Конструкторы!$A710)</f>
        <v>0</v>
      </c>
      <c r="M710" s="166">
        <f>SUMIFS(Продажи!J$5:J$359,Продажи!$D$5:$D$359,Конструкторы!$B710,Продажи!$C$5:$C$359,Конструкторы!$A710)</f>
        <v>0</v>
      </c>
      <c r="N710" s="166">
        <f>SUMIFS(Продажи!K$5:K$359,Продажи!$D$5:$D$359,Конструкторы!$B710,Продажи!$C$5:$C$359,Конструкторы!$A710)</f>
        <v>0</v>
      </c>
      <c r="O710" s="166">
        <f>SUMIFS(Продажи!L$5:L$359,Продажи!$D$5:$D$359,Конструкторы!$B710,Продажи!$C$5:$C$359,Конструкторы!$A710)</f>
        <v>0</v>
      </c>
      <c r="P710" s="166">
        <f>SUMIFS(Продажи!M$5:M$359,Продажи!$D$5:$D$359,Конструкторы!$B710,Продажи!$C$5:$C$359,Конструкторы!$A710)</f>
        <v>0</v>
      </c>
      <c r="Q710" s="166">
        <f>SUMIFS(Продажи!N$5:N$359,Продажи!$D$5:$D$359,Конструкторы!$B710,Продажи!$C$5:$C$359,Конструкторы!$A710)</f>
        <v>0</v>
      </c>
      <c r="R710" s="166">
        <f>SUMIFS(Продажи!O$5:O$359,Продажи!$D$5:$D$359,Конструкторы!$B710,Продажи!$C$5:$C$359,Конструкторы!$A710)</f>
        <v>0</v>
      </c>
      <c r="S710" s="166">
        <f>SUMIFS(Продажи!P$5:P$359,Продажи!$D$5:$D$359,Конструкторы!$B710,Продажи!$C$5:$C$359,Конструкторы!$A710)</f>
        <v>0</v>
      </c>
      <c r="T710" s="166">
        <f>SUMIFS(Продажи!Q$5:Q$359,Продажи!$D$5:$D$359,Конструкторы!$B710,Продажи!$C$5:$C$359,Конструкторы!$A710)</f>
        <v>0</v>
      </c>
    </row>
    <row r="711" spans="1:20" ht="15.75" hidden="1" x14ac:dyDescent="0.25">
      <c r="A711" s="166" t="s">
        <v>397</v>
      </c>
      <c r="B711" s="167" t="s">
        <v>177</v>
      </c>
      <c r="C711" s="33" t="s">
        <v>75</v>
      </c>
      <c r="D711" s="149"/>
      <c r="E711" s="153" t="s">
        <v>70</v>
      </c>
      <c r="F711" s="148">
        <f>8</f>
        <v>8</v>
      </c>
      <c r="G711" s="156" t="s">
        <v>71</v>
      </c>
      <c r="H711" s="156">
        <f>F711</f>
        <v>8</v>
      </c>
      <c r="I711" s="166">
        <f>SUMIFS(Продажи!F$5:F$359,Продажи!$D$5:$D$359,Конструкторы!$B711,Продажи!$C$5:$C$359,Конструкторы!$A711)</f>
        <v>0</v>
      </c>
      <c r="J711" s="166">
        <f>SUMIFS(Продажи!G$5:G$359,Продажи!$D$5:$D$359,Конструкторы!$B711,Продажи!$C$5:$C$359,Конструкторы!$A711)</f>
        <v>0</v>
      </c>
      <c r="K711" s="166">
        <f>SUMIFS(Продажи!H$5:H$359,Продажи!$D$5:$D$359,Конструкторы!$B711,Продажи!$C$5:$C$359,Конструкторы!$A711)</f>
        <v>0</v>
      </c>
      <c r="L711" s="166">
        <f>SUMIFS(Продажи!I$5:I$359,Продажи!$D$5:$D$359,Конструкторы!$B711,Продажи!$C$5:$C$359,Конструкторы!$A711)</f>
        <v>0</v>
      </c>
      <c r="M711" s="166">
        <f>SUMIFS(Продажи!J$5:J$359,Продажи!$D$5:$D$359,Конструкторы!$B711,Продажи!$C$5:$C$359,Конструкторы!$A711)</f>
        <v>0</v>
      </c>
      <c r="N711" s="166">
        <f>SUMIFS(Продажи!K$5:K$359,Продажи!$D$5:$D$359,Конструкторы!$B711,Продажи!$C$5:$C$359,Конструкторы!$A711)</f>
        <v>0</v>
      </c>
      <c r="O711" s="166">
        <f>SUMIFS(Продажи!L$5:L$359,Продажи!$D$5:$D$359,Конструкторы!$B711,Продажи!$C$5:$C$359,Конструкторы!$A711)</f>
        <v>0</v>
      </c>
      <c r="P711" s="166">
        <f>SUMIFS(Продажи!M$5:M$359,Продажи!$D$5:$D$359,Конструкторы!$B711,Продажи!$C$5:$C$359,Конструкторы!$A711)</f>
        <v>0</v>
      </c>
      <c r="Q711" s="166">
        <f>SUMIFS(Продажи!N$5:N$359,Продажи!$D$5:$D$359,Конструкторы!$B711,Продажи!$C$5:$C$359,Конструкторы!$A711)</f>
        <v>0</v>
      </c>
      <c r="R711" s="166">
        <f>SUMIFS(Продажи!O$5:O$359,Продажи!$D$5:$D$359,Конструкторы!$B711,Продажи!$C$5:$C$359,Конструкторы!$A711)</f>
        <v>0</v>
      </c>
      <c r="S711" s="166">
        <f>SUMIFS(Продажи!P$5:P$359,Продажи!$D$5:$D$359,Конструкторы!$B711,Продажи!$C$5:$C$359,Конструкторы!$A711)</f>
        <v>0</v>
      </c>
      <c r="T711" s="166">
        <f>SUMIFS(Продажи!Q$5:Q$359,Продажи!$D$5:$D$359,Конструкторы!$B711,Продажи!$C$5:$C$359,Конструкторы!$A711)</f>
        <v>0</v>
      </c>
    </row>
    <row r="712" spans="1:20" ht="15.75" hidden="1" x14ac:dyDescent="0.25">
      <c r="A712" s="166" t="s">
        <v>397</v>
      </c>
      <c r="B712" s="167" t="s">
        <v>177</v>
      </c>
      <c r="C712" s="33" t="s">
        <v>69</v>
      </c>
      <c r="D712" s="149"/>
      <c r="E712" s="153" t="s">
        <v>70</v>
      </c>
      <c r="F712" s="148">
        <f>4</f>
        <v>4</v>
      </c>
      <c r="G712" s="156" t="s">
        <v>71</v>
      </c>
      <c r="H712" s="156">
        <f>F712</f>
        <v>4</v>
      </c>
      <c r="I712" s="166">
        <f>SUMIFS(Продажи!F$5:F$359,Продажи!$D$5:$D$359,Конструкторы!$B712,Продажи!$C$5:$C$359,Конструкторы!$A712)</f>
        <v>0</v>
      </c>
      <c r="J712" s="166">
        <f>SUMIFS(Продажи!G$5:G$359,Продажи!$D$5:$D$359,Конструкторы!$B712,Продажи!$C$5:$C$359,Конструкторы!$A712)</f>
        <v>0</v>
      </c>
      <c r="K712" s="166">
        <f>SUMIFS(Продажи!H$5:H$359,Продажи!$D$5:$D$359,Конструкторы!$B712,Продажи!$C$5:$C$359,Конструкторы!$A712)</f>
        <v>0</v>
      </c>
      <c r="L712" s="166">
        <f>SUMIFS(Продажи!I$5:I$359,Продажи!$D$5:$D$359,Конструкторы!$B712,Продажи!$C$5:$C$359,Конструкторы!$A712)</f>
        <v>0</v>
      </c>
      <c r="M712" s="166">
        <f>SUMIFS(Продажи!J$5:J$359,Продажи!$D$5:$D$359,Конструкторы!$B712,Продажи!$C$5:$C$359,Конструкторы!$A712)</f>
        <v>0</v>
      </c>
      <c r="N712" s="166">
        <f>SUMIFS(Продажи!K$5:K$359,Продажи!$D$5:$D$359,Конструкторы!$B712,Продажи!$C$5:$C$359,Конструкторы!$A712)</f>
        <v>0</v>
      </c>
      <c r="O712" s="166">
        <f>SUMIFS(Продажи!L$5:L$359,Продажи!$D$5:$D$359,Конструкторы!$B712,Продажи!$C$5:$C$359,Конструкторы!$A712)</f>
        <v>0</v>
      </c>
      <c r="P712" s="166">
        <f>SUMIFS(Продажи!M$5:M$359,Продажи!$D$5:$D$359,Конструкторы!$B712,Продажи!$C$5:$C$359,Конструкторы!$A712)</f>
        <v>0</v>
      </c>
      <c r="Q712" s="166">
        <f>SUMIFS(Продажи!N$5:N$359,Продажи!$D$5:$D$359,Конструкторы!$B712,Продажи!$C$5:$C$359,Конструкторы!$A712)</f>
        <v>0</v>
      </c>
      <c r="R712" s="166">
        <f>SUMIFS(Продажи!O$5:O$359,Продажи!$D$5:$D$359,Конструкторы!$B712,Продажи!$C$5:$C$359,Конструкторы!$A712)</f>
        <v>0</v>
      </c>
      <c r="S712" s="166">
        <f>SUMIFS(Продажи!P$5:P$359,Продажи!$D$5:$D$359,Конструкторы!$B712,Продажи!$C$5:$C$359,Конструкторы!$A712)</f>
        <v>0</v>
      </c>
      <c r="T712" s="166">
        <f>SUMIFS(Продажи!Q$5:Q$359,Продажи!$D$5:$D$359,Конструкторы!$B712,Продажи!$C$5:$C$359,Конструкторы!$A712)</f>
        <v>0</v>
      </c>
    </row>
    <row r="713" spans="1:20" ht="15.75" hidden="1" x14ac:dyDescent="0.25">
      <c r="A713" s="166" t="s">
        <v>397</v>
      </c>
      <c r="B713" s="167" t="s">
        <v>179</v>
      </c>
      <c r="C713" s="129" t="s">
        <v>53</v>
      </c>
      <c r="D713" s="130">
        <v>7038</v>
      </c>
      <c r="E713" s="153" t="s">
        <v>68</v>
      </c>
      <c r="F713" s="156">
        <f>(1.708*103)/100</f>
        <v>1.7592400000000001</v>
      </c>
      <c r="G713" s="156">
        <v>5.1240000000000174E-2</v>
      </c>
      <c r="H713" s="156">
        <f>F713+G713</f>
        <v>1.8104800000000003</v>
      </c>
      <c r="I713" s="166">
        <f>SUMIFS(Продажи!F$5:F$359,Продажи!$D$5:$D$359,Конструкторы!$B713,Продажи!$C$5:$C$359,Конструкторы!$A713)</f>
        <v>0</v>
      </c>
      <c r="J713" s="166">
        <f>SUMIFS(Продажи!G$5:G$359,Продажи!$D$5:$D$359,Конструкторы!$B713,Продажи!$C$5:$C$359,Конструкторы!$A713)</f>
        <v>0</v>
      </c>
      <c r="K713" s="166">
        <f>SUMIFS(Продажи!H$5:H$359,Продажи!$D$5:$D$359,Конструкторы!$B713,Продажи!$C$5:$C$359,Конструкторы!$A713)</f>
        <v>0</v>
      </c>
      <c r="L713" s="166">
        <f>SUMIFS(Продажи!I$5:I$359,Продажи!$D$5:$D$359,Конструкторы!$B713,Продажи!$C$5:$C$359,Конструкторы!$A713)</f>
        <v>0</v>
      </c>
      <c r="M713" s="166">
        <f>SUMIFS(Продажи!J$5:J$359,Продажи!$D$5:$D$359,Конструкторы!$B713,Продажи!$C$5:$C$359,Конструкторы!$A713)</f>
        <v>0</v>
      </c>
      <c r="N713" s="166">
        <f>SUMIFS(Продажи!K$5:K$359,Продажи!$D$5:$D$359,Конструкторы!$B713,Продажи!$C$5:$C$359,Конструкторы!$A713)</f>
        <v>0</v>
      </c>
      <c r="O713" s="166">
        <f>SUMIFS(Продажи!L$5:L$359,Продажи!$D$5:$D$359,Конструкторы!$B713,Продажи!$C$5:$C$359,Конструкторы!$A713)</f>
        <v>0</v>
      </c>
      <c r="P713" s="166">
        <f>SUMIFS(Продажи!M$5:M$359,Продажи!$D$5:$D$359,Конструкторы!$B713,Продажи!$C$5:$C$359,Конструкторы!$A713)</f>
        <v>0</v>
      </c>
      <c r="Q713" s="166">
        <f>SUMIFS(Продажи!N$5:N$359,Продажи!$D$5:$D$359,Конструкторы!$B713,Продажи!$C$5:$C$359,Конструкторы!$A713)</f>
        <v>0</v>
      </c>
      <c r="R713" s="166">
        <f>SUMIFS(Продажи!O$5:O$359,Продажи!$D$5:$D$359,Конструкторы!$B713,Продажи!$C$5:$C$359,Конструкторы!$A713)</f>
        <v>0</v>
      </c>
      <c r="S713" s="166">
        <f>SUMIFS(Продажи!P$5:P$359,Продажи!$D$5:$D$359,Конструкторы!$B713,Продажи!$C$5:$C$359,Конструкторы!$A713)</f>
        <v>0</v>
      </c>
      <c r="T713" s="166">
        <f>SUMIFS(Продажи!Q$5:Q$359,Продажи!$D$5:$D$359,Конструкторы!$B713,Продажи!$C$5:$C$359,Конструкторы!$A713)</f>
        <v>0</v>
      </c>
    </row>
    <row r="714" spans="1:20" ht="15.75" hidden="1" x14ac:dyDescent="0.25">
      <c r="A714" s="166" t="s">
        <v>397</v>
      </c>
      <c r="B714" s="167" t="s">
        <v>179</v>
      </c>
      <c r="C714" s="129" t="s">
        <v>52</v>
      </c>
      <c r="D714" s="149"/>
      <c r="E714" s="153" t="s">
        <v>68</v>
      </c>
      <c r="F714" s="156">
        <f>(1*103)/100</f>
        <v>1.03</v>
      </c>
      <c r="G714" s="156">
        <v>3.0000000000000027E-2</v>
      </c>
      <c r="H714" s="156">
        <f>F714+G714</f>
        <v>1.06</v>
      </c>
      <c r="I714" s="166">
        <f>SUMIFS(Продажи!F$5:F$359,Продажи!$D$5:$D$359,Конструкторы!$B714,Продажи!$C$5:$C$359,Конструкторы!$A714)</f>
        <v>0</v>
      </c>
      <c r="J714" s="166">
        <f>SUMIFS(Продажи!G$5:G$359,Продажи!$D$5:$D$359,Конструкторы!$B714,Продажи!$C$5:$C$359,Конструкторы!$A714)</f>
        <v>0</v>
      </c>
      <c r="K714" s="166">
        <f>SUMIFS(Продажи!H$5:H$359,Продажи!$D$5:$D$359,Конструкторы!$B714,Продажи!$C$5:$C$359,Конструкторы!$A714)</f>
        <v>0</v>
      </c>
      <c r="L714" s="166">
        <f>SUMIFS(Продажи!I$5:I$359,Продажи!$D$5:$D$359,Конструкторы!$B714,Продажи!$C$5:$C$359,Конструкторы!$A714)</f>
        <v>0</v>
      </c>
      <c r="M714" s="166">
        <f>SUMIFS(Продажи!J$5:J$359,Продажи!$D$5:$D$359,Конструкторы!$B714,Продажи!$C$5:$C$359,Конструкторы!$A714)</f>
        <v>0</v>
      </c>
      <c r="N714" s="166">
        <f>SUMIFS(Продажи!K$5:K$359,Продажи!$D$5:$D$359,Конструкторы!$B714,Продажи!$C$5:$C$359,Конструкторы!$A714)</f>
        <v>0</v>
      </c>
      <c r="O714" s="166">
        <f>SUMIFS(Продажи!L$5:L$359,Продажи!$D$5:$D$359,Конструкторы!$B714,Продажи!$C$5:$C$359,Конструкторы!$A714)</f>
        <v>0</v>
      </c>
      <c r="P714" s="166">
        <f>SUMIFS(Продажи!M$5:M$359,Продажи!$D$5:$D$359,Конструкторы!$B714,Продажи!$C$5:$C$359,Конструкторы!$A714)</f>
        <v>0</v>
      </c>
      <c r="Q714" s="166">
        <f>SUMIFS(Продажи!N$5:N$359,Продажи!$D$5:$D$359,Конструкторы!$B714,Продажи!$C$5:$C$359,Конструкторы!$A714)</f>
        <v>0</v>
      </c>
      <c r="R714" s="166">
        <f>SUMIFS(Продажи!O$5:O$359,Продажи!$D$5:$D$359,Конструкторы!$B714,Продажи!$C$5:$C$359,Конструкторы!$A714)</f>
        <v>0</v>
      </c>
      <c r="S714" s="166">
        <f>SUMIFS(Продажи!P$5:P$359,Продажи!$D$5:$D$359,Конструкторы!$B714,Продажи!$C$5:$C$359,Конструкторы!$A714)</f>
        <v>0</v>
      </c>
      <c r="T714" s="166">
        <f>SUMIFS(Продажи!Q$5:Q$359,Продажи!$D$5:$D$359,Конструкторы!$B714,Продажи!$C$5:$C$359,Конструкторы!$A714)</f>
        <v>0</v>
      </c>
    </row>
    <row r="715" spans="1:20" ht="15.75" hidden="1" x14ac:dyDescent="0.25">
      <c r="A715" s="166" t="s">
        <v>397</v>
      </c>
      <c r="B715" s="167" t="s">
        <v>179</v>
      </c>
      <c r="C715" s="33" t="s">
        <v>73</v>
      </c>
      <c r="D715" s="149"/>
      <c r="E715" s="153" t="s">
        <v>70</v>
      </c>
      <c r="F715" s="148">
        <f>2</f>
        <v>2</v>
      </c>
      <c r="G715" s="156" t="s">
        <v>71</v>
      </c>
      <c r="H715" s="156">
        <f>F715</f>
        <v>2</v>
      </c>
      <c r="I715" s="166">
        <f>SUMIFS(Продажи!F$5:F$359,Продажи!$D$5:$D$359,Конструкторы!$B715,Продажи!$C$5:$C$359,Конструкторы!$A715)</f>
        <v>0</v>
      </c>
      <c r="J715" s="166">
        <f>SUMIFS(Продажи!G$5:G$359,Продажи!$D$5:$D$359,Конструкторы!$B715,Продажи!$C$5:$C$359,Конструкторы!$A715)</f>
        <v>0</v>
      </c>
      <c r="K715" s="166">
        <f>SUMIFS(Продажи!H$5:H$359,Продажи!$D$5:$D$359,Конструкторы!$B715,Продажи!$C$5:$C$359,Конструкторы!$A715)</f>
        <v>0</v>
      </c>
      <c r="L715" s="166">
        <f>SUMIFS(Продажи!I$5:I$359,Продажи!$D$5:$D$359,Конструкторы!$B715,Продажи!$C$5:$C$359,Конструкторы!$A715)</f>
        <v>0</v>
      </c>
      <c r="M715" s="166">
        <f>SUMIFS(Продажи!J$5:J$359,Продажи!$D$5:$D$359,Конструкторы!$B715,Продажи!$C$5:$C$359,Конструкторы!$A715)</f>
        <v>0</v>
      </c>
      <c r="N715" s="166">
        <f>SUMIFS(Продажи!K$5:K$359,Продажи!$D$5:$D$359,Конструкторы!$B715,Продажи!$C$5:$C$359,Конструкторы!$A715)</f>
        <v>0</v>
      </c>
      <c r="O715" s="166">
        <f>SUMIFS(Продажи!L$5:L$359,Продажи!$D$5:$D$359,Конструкторы!$B715,Продажи!$C$5:$C$359,Конструкторы!$A715)</f>
        <v>0</v>
      </c>
      <c r="P715" s="166">
        <f>SUMIFS(Продажи!M$5:M$359,Продажи!$D$5:$D$359,Конструкторы!$B715,Продажи!$C$5:$C$359,Конструкторы!$A715)</f>
        <v>0</v>
      </c>
      <c r="Q715" s="166">
        <f>SUMIFS(Продажи!N$5:N$359,Продажи!$D$5:$D$359,Конструкторы!$B715,Продажи!$C$5:$C$359,Конструкторы!$A715)</f>
        <v>0</v>
      </c>
      <c r="R715" s="166">
        <f>SUMIFS(Продажи!O$5:O$359,Продажи!$D$5:$D$359,Конструкторы!$B715,Продажи!$C$5:$C$359,Конструкторы!$A715)</f>
        <v>0</v>
      </c>
      <c r="S715" s="166">
        <f>SUMIFS(Продажи!P$5:P$359,Продажи!$D$5:$D$359,Конструкторы!$B715,Продажи!$C$5:$C$359,Конструкторы!$A715)</f>
        <v>0</v>
      </c>
      <c r="T715" s="166">
        <f>SUMIFS(Продажи!Q$5:Q$359,Продажи!$D$5:$D$359,Конструкторы!$B715,Продажи!$C$5:$C$359,Конструкторы!$A715)</f>
        <v>0</v>
      </c>
    </row>
    <row r="716" spans="1:20" ht="15.75" hidden="1" x14ac:dyDescent="0.25">
      <c r="A716" s="166" t="s">
        <v>397</v>
      </c>
      <c r="B716" s="167" t="s">
        <v>179</v>
      </c>
      <c r="C716" s="33" t="s">
        <v>75</v>
      </c>
      <c r="D716" s="149"/>
      <c r="E716" s="153" t="s">
        <v>70</v>
      </c>
      <c r="F716" s="148">
        <f>8</f>
        <v>8</v>
      </c>
      <c r="G716" s="156" t="s">
        <v>71</v>
      </c>
      <c r="H716" s="156">
        <f>F716</f>
        <v>8</v>
      </c>
      <c r="I716" s="166">
        <f>SUMIFS(Продажи!F$5:F$359,Продажи!$D$5:$D$359,Конструкторы!$B716,Продажи!$C$5:$C$359,Конструкторы!$A716)</f>
        <v>0</v>
      </c>
      <c r="J716" s="166">
        <f>SUMIFS(Продажи!G$5:G$359,Продажи!$D$5:$D$359,Конструкторы!$B716,Продажи!$C$5:$C$359,Конструкторы!$A716)</f>
        <v>0</v>
      </c>
      <c r="K716" s="166">
        <f>SUMIFS(Продажи!H$5:H$359,Продажи!$D$5:$D$359,Конструкторы!$B716,Продажи!$C$5:$C$359,Конструкторы!$A716)</f>
        <v>0</v>
      </c>
      <c r="L716" s="166">
        <f>SUMIFS(Продажи!I$5:I$359,Продажи!$D$5:$D$359,Конструкторы!$B716,Продажи!$C$5:$C$359,Конструкторы!$A716)</f>
        <v>0</v>
      </c>
      <c r="M716" s="166">
        <f>SUMIFS(Продажи!J$5:J$359,Продажи!$D$5:$D$359,Конструкторы!$B716,Продажи!$C$5:$C$359,Конструкторы!$A716)</f>
        <v>0</v>
      </c>
      <c r="N716" s="166">
        <f>SUMIFS(Продажи!K$5:K$359,Продажи!$D$5:$D$359,Конструкторы!$B716,Продажи!$C$5:$C$359,Конструкторы!$A716)</f>
        <v>0</v>
      </c>
      <c r="O716" s="166">
        <f>SUMIFS(Продажи!L$5:L$359,Продажи!$D$5:$D$359,Конструкторы!$B716,Продажи!$C$5:$C$359,Конструкторы!$A716)</f>
        <v>0</v>
      </c>
      <c r="P716" s="166">
        <f>SUMIFS(Продажи!M$5:M$359,Продажи!$D$5:$D$359,Конструкторы!$B716,Продажи!$C$5:$C$359,Конструкторы!$A716)</f>
        <v>0</v>
      </c>
      <c r="Q716" s="166">
        <f>SUMIFS(Продажи!N$5:N$359,Продажи!$D$5:$D$359,Конструкторы!$B716,Продажи!$C$5:$C$359,Конструкторы!$A716)</f>
        <v>0</v>
      </c>
      <c r="R716" s="166">
        <f>SUMIFS(Продажи!O$5:O$359,Продажи!$D$5:$D$359,Конструкторы!$B716,Продажи!$C$5:$C$359,Конструкторы!$A716)</f>
        <v>0</v>
      </c>
      <c r="S716" s="166">
        <f>SUMIFS(Продажи!P$5:P$359,Продажи!$D$5:$D$359,Конструкторы!$B716,Продажи!$C$5:$C$359,Конструкторы!$A716)</f>
        <v>0</v>
      </c>
      <c r="T716" s="166">
        <f>SUMIFS(Продажи!Q$5:Q$359,Продажи!$D$5:$D$359,Конструкторы!$B716,Продажи!$C$5:$C$359,Конструкторы!$A716)</f>
        <v>0</v>
      </c>
    </row>
    <row r="717" spans="1:20" ht="15.75" hidden="1" x14ac:dyDescent="0.25">
      <c r="A717" s="166" t="s">
        <v>397</v>
      </c>
      <c r="B717" s="167" t="s">
        <v>179</v>
      </c>
      <c r="C717" s="33" t="s">
        <v>69</v>
      </c>
      <c r="D717" s="149"/>
      <c r="E717" s="153" t="s">
        <v>70</v>
      </c>
      <c r="F717" s="148">
        <f>4</f>
        <v>4</v>
      </c>
      <c r="G717" s="156" t="s">
        <v>71</v>
      </c>
      <c r="H717" s="156">
        <f>F717</f>
        <v>4</v>
      </c>
      <c r="I717" s="166">
        <f>SUMIFS(Продажи!F$5:F$359,Продажи!$D$5:$D$359,Конструкторы!$B717,Продажи!$C$5:$C$359,Конструкторы!$A717)</f>
        <v>0</v>
      </c>
      <c r="J717" s="166">
        <f>SUMIFS(Продажи!G$5:G$359,Продажи!$D$5:$D$359,Конструкторы!$B717,Продажи!$C$5:$C$359,Конструкторы!$A717)</f>
        <v>0</v>
      </c>
      <c r="K717" s="166">
        <f>SUMIFS(Продажи!H$5:H$359,Продажи!$D$5:$D$359,Конструкторы!$B717,Продажи!$C$5:$C$359,Конструкторы!$A717)</f>
        <v>0</v>
      </c>
      <c r="L717" s="166">
        <f>SUMIFS(Продажи!I$5:I$359,Продажи!$D$5:$D$359,Конструкторы!$B717,Продажи!$C$5:$C$359,Конструкторы!$A717)</f>
        <v>0</v>
      </c>
      <c r="M717" s="166">
        <f>SUMIFS(Продажи!J$5:J$359,Продажи!$D$5:$D$359,Конструкторы!$B717,Продажи!$C$5:$C$359,Конструкторы!$A717)</f>
        <v>0</v>
      </c>
      <c r="N717" s="166">
        <f>SUMIFS(Продажи!K$5:K$359,Продажи!$D$5:$D$359,Конструкторы!$B717,Продажи!$C$5:$C$359,Конструкторы!$A717)</f>
        <v>0</v>
      </c>
      <c r="O717" s="166">
        <f>SUMIFS(Продажи!L$5:L$359,Продажи!$D$5:$D$359,Конструкторы!$B717,Продажи!$C$5:$C$359,Конструкторы!$A717)</f>
        <v>0</v>
      </c>
      <c r="P717" s="166">
        <f>SUMIFS(Продажи!M$5:M$359,Продажи!$D$5:$D$359,Конструкторы!$B717,Продажи!$C$5:$C$359,Конструкторы!$A717)</f>
        <v>0</v>
      </c>
      <c r="Q717" s="166">
        <f>SUMIFS(Продажи!N$5:N$359,Продажи!$D$5:$D$359,Конструкторы!$B717,Продажи!$C$5:$C$359,Конструкторы!$A717)</f>
        <v>0</v>
      </c>
      <c r="R717" s="166">
        <f>SUMIFS(Продажи!O$5:O$359,Продажи!$D$5:$D$359,Конструкторы!$B717,Продажи!$C$5:$C$359,Конструкторы!$A717)</f>
        <v>0</v>
      </c>
      <c r="S717" s="166">
        <f>SUMIFS(Продажи!P$5:P$359,Продажи!$D$5:$D$359,Конструкторы!$B717,Продажи!$C$5:$C$359,Конструкторы!$A717)</f>
        <v>0</v>
      </c>
      <c r="T717" s="166">
        <f>SUMIFS(Продажи!Q$5:Q$359,Продажи!$D$5:$D$359,Конструкторы!$B717,Продажи!$C$5:$C$359,Конструкторы!$A717)</f>
        <v>0</v>
      </c>
    </row>
    <row r="718" spans="1:20" ht="15.75" hidden="1" x14ac:dyDescent="0.25">
      <c r="A718" s="166" t="s">
        <v>397</v>
      </c>
      <c r="B718" s="167" t="s">
        <v>104</v>
      </c>
      <c r="C718" s="129" t="s">
        <v>53</v>
      </c>
      <c r="D718" s="130">
        <v>7038</v>
      </c>
      <c r="E718" s="153" t="s">
        <v>68</v>
      </c>
      <c r="F718" s="156">
        <f>(1.066*103)/100</f>
        <v>1.09798</v>
      </c>
      <c r="G718" s="156">
        <v>3.1979999999999897E-2</v>
      </c>
      <c r="H718" s="156">
        <f>F718+G718</f>
        <v>1.1299599999999999</v>
      </c>
      <c r="I718" s="166">
        <f>SUMIFS(Продажи!F$5:F$359,Продажи!$D$5:$D$359,Конструкторы!$B718,Продажи!$C$5:$C$359,Конструкторы!$A718)</f>
        <v>0</v>
      </c>
      <c r="J718" s="166">
        <f>SUMIFS(Продажи!G$5:G$359,Продажи!$D$5:$D$359,Конструкторы!$B718,Продажи!$C$5:$C$359,Конструкторы!$A718)</f>
        <v>0</v>
      </c>
      <c r="K718" s="166">
        <f>SUMIFS(Продажи!H$5:H$359,Продажи!$D$5:$D$359,Конструкторы!$B718,Продажи!$C$5:$C$359,Конструкторы!$A718)</f>
        <v>0</v>
      </c>
      <c r="L718" s="166">
        <f>SUMIFS(Продажи!I$5:I$359,Продажи!$D$5:$D$359,Конструкторы!$B718,Продажи!$C$5:$C$359,Конструкторы!$A718)</f>
        <v>0</v>
      </c>
      <c r="M718" s="166">
        <f>SUMIFS(Продажи!J$5:J$359,Продажи!$D$5:$D$359,Конструкторы!$B718,Продажи!$C$5:$C$359,Конструкторы!$A718)</f>
        <v>0</v>
      </c>
      <c r="N718" s="166">
        <f>SUMIFS(Продажи!K$5:K$359,Продажи!$D$5:$D$359,Конструкторы!$B718,Продажи!$C$5:$C$359,Конструкторы!$A718)</f>
        <v>0</v>
      </c>
      <c r="O718" s="166">
        <f>SUMIFS(Продажи!L$5:L$359,Продажи!$D$5:$D$359,Конструкторы!$B718,Продажи!$C$5:$C$359,Конструкторы!$A718)</f>
        <v>0</v>
      </c>
      <c r="P718" s="166">
        <f>SUMIFS(Продажи!M$5:M$359,Продажи!$D$5:$D$359,Конструкторы!$B718,Продажи!$C$5:$C$359,Конструкторы!$A718)</f>
        <v>0</v>
      </c>
      <c r="Q718" s="166">
        <f>SUMIFS(Продажи!N$5:N$359,Продажи!$D$5:$D$359,Конструкторы!$B718,Продажи!$C$5:$C$359,Конструкторы!$A718)</f>
        <v>0</v>
      </c>
      <c r="R718" s="166">
        <f>SUMIFS(Продажи!O$5:O$359,Продажи!$D$5:$D$359,Конструкторы!$B718,Продажи!$C$5:$C$359,Конструкторы!$A718)</f>
        <v>0</v>
      </c>
      <c r="S718" s="166">
        <f>SUMIFS(Продажи!P$5:P$359,Продажи!$D$5:$D$359,Конструкторы!$B718,Продажи!$C$5:$C$359,Конструкторы!$A718)</f>
        <v>0</v>
      </c>
      <c r="T718" s="166">
        <f>SUMIFS(Продажи!Q$5:Q$359,Продажи!$D$5:$D$359,Конструкторы!$B718,Продажи!$C$5:$C$359,Конструкторы!$A718)</f>
        <v>0</v>
      </c>
    </row>
    <row r="719" spans="1:20" ht="15.75" hidden="1" x14ac:dyDescent="0.25">
      <c r="A719" s="166" t="s">
        <v>397</v>
      </c>
      <c r="B719" s="167" t="s">
        <v>104</v>
      </c>
      <c r="C719" s="129" t="s">
        <v>52</v>
      </c>
      <c r="D719" s="149"/>
      <c r="E719" s="153" t="s">
        <v>68</v>
      </c>
      <c r="F719" s="156">
        <f>(0.306*103)/100</f>
        <v>0.31518000000000002</v>
      </c>
      <c r="G719" s="156">
        <v>9.1800000000000215E-3</v>
      </c>
      <c r="H719" s="156">
        <f>F719+G719</f>
        <v>0.32436000000000004</v>
      </c>
      <c r="I719" s="166">
        <f>SUMIFS(Продажи!F$5:F$359,Продажи!$D$5:$D$359,Конструкторы!$B719,Продажи!$C$5:$C$359,Конструкторы!$A719)</f>
        <v>0</v>
      </c>
      <c r="J719" s="166">
        <f>SUMIFS(Продажи!G$5:G$359,Продажи!$D$5:$D$359,Конструкторы!$B719,Продажи!$C$5:$C$359,Конструкторы!$A719)</f>
        <v>0</v>
      </c>
      <c r="K719" s="166">
        <f>SUMIFS(Продажи!H$5:H$359,Продажи!$D$5:$D$359,Конструкторы!$B719,Продажи!$C$5:$C$359,Конструкторы!$A719)</f>
        <v>0</v>
      </c>
      <c r="L719" s="166">
        <f>SUMIFS(Продажи!I$5:I$359,Продажи!$D$5:$D$359,Конструкторы!$B719,Продажи!$C$5:$C$359,Конструкторы!$A719)</f>
        <v>0</v>
      </c>
      <c r="M719" s="166">
        <f>SUMIFS(Продажи!J$5:J$359,Продажи!$D$5:$D$359,Конструкторы!$B719,Продажи!$C$5:$C$359,Конструкторы!$A719)</f>
        <v>0</v>
      </c>
      <c r="N719" s="166">
        <f>SUMIFS(Продажи!K$5:K$359,Продажи!$D$5:$D$359,Конструкторы!$B719,Продажи!$C$5:$C$359,Конструкторы!$A719)</f>
        <v>0</v>
      </c>
      <c r="O719" s="166">
        <f>SUMIFS(Продажи!L$5:L$359,Продажи!$D$5:$D$359,Конструкторы!$B719,Продажи!$C$5:$C$359,Конструкторы!$A719)</f>
        <v>0</v>
      </c>
      <c r="P719" s="166">
        <f>SUMIFS(Продажи!M$5:M$359,Продажи!$D$5:$D$359,Конструкторы!$B719,Продажи!$C$5:$C$359,Конструкторы!$A719)</f>
        <v>0</v>
      </c>
      <c r="Q719" s="166">
        <f>SUMIFS(Продажи!N$5:N$359,Продажи!$D$5:$D$359,Конструкторы!$B719,Продажи!$C$5:$C$359,Конструкторы!$A719)</f>
        <v>0</v>
      </c>
      <c r="R719" s="166">
        <f>SUMIFS(Продажи!O$5:O$359,Продажи!$D$5:$D$359,Конструкторы!$B719,Продажи!$C$5:$C$359,Конструкторы!$A719)</f>
        <v>0</v>
      </c>
      <c r="S719" s="166">
        <f>SUMIFS(Продажи!P$5:P$359,Продажи!$D$5:$D$359,Конструкторы!$B719,Продажи!$C$5:$C$359,Конструкторы!$A719)</f>
        <v>0</v>
      </c>
      <c r="T719" s="166">
        <f>SUMIFS(Продажи!Q$5:Q$359,Продажи!$D$5:$D$359,Конструкторы!$B719,Продажи!$C$5:$C$359,Конструкторы!$A719)</f>
        <v>0</v>
      </c>
    </row>
    <row r="720" spans="1:20" ht="15.75" hidden="1" x14ac:dyDescent="0.25">
      <c r="A720" s="166" t="s">
        <v>397</v>
      </c>
      <c r="B720" s="167" t="s">
        <v>104</v>
      </c>
      <c r="C720" s="33" t="s">
        <v>73</v>
      </c>
      <c r="D720" s="149"/>
      <c r="E720" s="153" t="s">
        <v>70</v>
      </c>
      <c r="F720" s="148">
        <f>2</f>
        <v>2</v>
      </c>
      <c r="G720" s="156" t="s">
        <v>71</v>
      </c>
      <c r="H720" s="156">
        <f>F720</f>
        <v>2</v>
      </c>
      <c r="I720" s="166">
        <f>SUMIFS(Продажи!F$5:F$359,Продажи!$D$5:$D$359,Конструкторы!$B720,Продажи!$C$5:$C$359,Конструкторы!$A720)</f>
        <v>0</v>
      </c>
      <c r="J720" s="166">
        <f>SUMIFS(Продажи!G$5:G$359,Продажи!$D$5:$D$359,Конструкторы!$B720,Продажи!$C$5:$C$359,Конструкторы!$A720)</f>
        <v>0</v>
      </c>
      <c r="K720" s="166">
        <f>SUMIFS(Продажи!H$5:H$359,Продажи!$D$5:$D$359,Конструкторы!$B720,Продажи!$C$5:$C$359,Конструкторы!$A720)</f>
        <v>0</v>
      </c>
      <c r="L720" s="166">
        <f>SUMIFS(Продажи!I$5:I$359,Продажи!$D$5:$D$359,Конструкторы!$B720,Продажи!$C$5:$C$359,Конструкторы!$A720)</f>
        <v>0</v>
      </c>
      <c r="M720" s="166">
        <f>SUMIFS(Продажи!J$5:J$359,Продажи!$D$5:$D$359,Конструкторы!$B720,Продажи!$C$5:$C$359,Конструкторы!$A720)</f>
        <v>0</v>
      </c>
      <c r="N720" s="166">
        <f>SUMIFS(Продажи!K$5:K$359,Продажи!$D$5:$D$359,Конструкторы!$B720,Продажи!$C$5:$C$359,Конструкторы!$A720)</f>
        <v>0</v>
      </c>
      <c r="O720" s="166">
        <f>SUMIFS(Продажи!L$5:L$359,Продажи!$D$5:$D$359,Конструкторы!$B720,Продажи!$C$5:$C$359,Конструкторы!$A720)</f>
        <v>0</v>
      </c>
      <c r="P720" s="166">
        <f>SUMIFS(Продажи!M$5:M$359,Продажи!$D$5:$D$359,Конструкторы!$B720,Продажи!$C$5:$C$359,Конструкторы!$A720)</f>
        <v>0</v>
      </c>
      <c r="Q720" s="166">
        <f>SUMIFS(Продажи!N$5:N$359,Продажи!$D$5:$D$359,Конструкторы!$B720,Продажи!$C$5:$C$359,Конструкторы!$A720)</f>
        <v>0</v>
      </c>
      <c r="R720" s="166">
        <f>SUMIFS(Продажи!O$5:O$359,Продажи!$D$5:$D$359,Конструкторы!$B720,Продажи!$C$5:$C$359,Конструкторы!$A720)</f>
        <v>0</v>
      </c>
      <c r="S720" s="166">
        <f>SUMIFS(Продажи!P$5:P$359,Продажи!$D$5:$D$359,Конструкторы!$B720,Продажи!$C$5:$C$359,Конструкторы!$A720)</f>
        <v>0</v>
      </c>
      <c r="T720" s="166">
        <f>SUMIFS(Продажи!Q$5:Q$359,Продажи!$D$5:$D$359,Конструкторы!$B720,Продажи!$C$5:$C$359,Конструкторы!$A720)</f>
        <v>0</v>
      </c>
    </row>
    <row r="721" spans="1:20" ht="15.75" hidden="1" x14ac:dyDescent="0.25">
      <c r="A721" s="166" t="s">
        <v>397</v>
      </c>
      <c r="B721" s="167" t="s">
        <v>104</v>
      </c>
      <c r="C721" s="33" t="s">
        <v>75</v>
      </c>
      <c r="D721" s="149"/>
      <c r="E721" s="153" t="s">
        <v>70</v>
      </c>
      <c r="F721" s="148">
        <f>8</f>
        <v>8</v>
      </c>
      <c r="G721" s="156" t="s">
        <v>71</v>
      </c>
      <c r="H721" s="156">
        <f>F721</f>
        <v>8</v>
      </c>
      <c r="I721" s="166">
        <f>SUMIFS(Продажи!F$5:F$359,Продажи!$D$5:$D$359,Конструкторы!$B721,Продажи!$C$5:$C$359,Конструкторы!$A721)</f>
        <v>0</v>
      </c>
      <c r="J721" s="166">
        <f>SUMIFS(Продажи!G$5:G$359,Продажи!$D$5:$D$359,Конструкторы!$B721,Продажи!$C$5:$C$359,Конструкторы!$A721)</f>
        <v>0</v>
      </c>
      <c r="K721" s="166">
        <f>SUMIFS(Продажи!H$5:H$359,Продажи!$D$5:$D$359,Конструкторы!$B721,Продажи!$C$5:$C$359,Конструкторы!$A721)</f>
        <v>0</v>
      </c>
      <c r="L721" s="166">
        <f>SUMIFS(Продажи!I$5:I$359,Продажи!$D$5:$D$359,Конструкторы!$B721,Продажи!$C$5:$C$359,Конструкторы!$A721)</f>
        <v>0</v>
      </c>
      <c r="M721" s="166">
        <f>SUMIFS(Продажи!J$5:J$359,Продажи!$D$5:$D$359,Конструкторы!$B721,Продажи!$C$5:$C$359,Конструкторы!$A721)</f>
        <v>0</v>
      </c>
      <c r="N721" s="166">
        <f>SUMIFS(Продажи!K$5:K$359,Продажи!$D$5:$D$359,Конструкторы!$B721,Продажи!$C$5:$C$359,Конструкторы!$A721)</f>
        <v>0</v>
      </c>
      <c r="O721" s="166">
        <f>SUMIFS(Продажи!L$5:L$359,Продажи!$D$5:$D$359,Конструкторы!$B721,Продажи!$C$5:$C$359,Конструкторы!$A721)</f>
        <v>0</v>
      </c>
      <c r="P721" s="166">
        <f>SUMIFS(Продажи!M$5:M$359,Продажи!$D$5:$D$359,Конструкторы!$B721,Продажи!$C$5:$C$359,Конструкторы!$A721)</f>
        <v>0</v>
      </c>
      <c r="Q721" s="166">
        <f>SUMIFS(Продажи!N$5:N$359,Продажи!$D$5:$D$359,Конструкторы!$B721,Продажи!$C$5:$C$359,Конструкторы!$A721)</f>
        <v>0</v>
      </c>
      <c r="R721" s="166">
        <f>SUMIFS(Продажи!O$5:O$359,Продажи!$D$5:$D$359,Конструкторы!$B721,Продажи!$C$5:$C$359,Конструкторы!$A721)</f>
        <v>0</v>
      </c>
      <c r="S721" s="166">
        <f>SUMIFS(Продажи!P$5:P$359,Продажи!$D$5:$D$359,Конструкторы!$B721,Продажи!$C$5:$C$359,Конструкторы!$A721)</f>
        <v>0</v>
      </c>
      <c r="T721" s="166">
        <f>SUMIFS(Продажи!Q$5:Q$359,Продажи!$D$5:$D$359,Конструкторы!$B721,Продажи!$C$5:$C$359,Конструкторы!$A721)</f>
        <v>0</v>
      </c>
    </row>
    <row r="722" spans="1:20" ht="15.75" hidden="1" x14ac:dyDescent="0.25">
      <c r="A722" s="166" t="s">
        <v>397</v>
      </c>
      <c r="B722" s="167" t="s">
        <v>104</v>
      </c>
      <c r="C722" s="33" t="s">
        <v>69</v>
      </c>
      <c r="D722" s="149"/>
      <c r="E722" s="153" t="s">
        <v>70</v>
      </c>
      <c r="F722" s="148">
        <f>4</f>
        <v>4</v>
      </c>
      <c r="G722" s="156" t="s">
        <v>71</v>
      </c>
      <c r="H722" s="156">
        <f>F722</f>
        <v>4</v>
      </c>
      <c r="I722" s="166">
        <f>SUMIFS(Продажи!F$5:F$359,Продажи!$D$5:$D$359,Конструкторы!$B722,Продажи!$C$5:$C$359,Конструкторы!$A722)</f>
        <v>0</v>
      </c>
      <c r="J722" s="166">
        <f>SUMIFS(Продажи!G$5:G$359,Продажи!$D$5:$D$359,Конструкторы!$B722,Продажи!$C$5:$C$359,Конструкторы!$A722)</f>
        <v>0</v>
      </c>
      <c r="K722" s="166">
        <f>SUMIFS(Продажи!H$5:H$359,Продажи!$D$5:$D$359,Конструкторы!$B722,Продажи!$C$5:$C$359,Конструкторы!$A722)</f>
        <v>0</v>
      </c>
      <c r="L722" s="166">
        <f>SUMIFS(Продажи!I$5:I$359,Продажи!$D$5:$D$359,Конструкторы!$B722,Продажи!$C$5:$C$359,Конструкторы!$A722)</f>
        <v>0</v>
      </c>
      <c r="M722" s="166">
        <f>SUMIFS(Продажи!J$5:J$359,Продажи!$D$5:$D$359,Конструкторы!$B722,Продажи!$C$5:$C$359,Конструкторы!$A722)</f>
        <v>0</v>
      </c>
      <c r="N722" s="166">
        <f>SUMIFS(Продажи!K$5:K$359,Продажи!$D$5:$D$359,Конструкторы!$B722,Продажи!$C$5:$C$359,Конструкторы!$A722)</f>
        <v>0</v>
      </c>
      <c r="O722" s="166">
        <f>SUMIFS(Продажи!L$5:L$359,Продажи!$D$5:$D$359,Конструкторы!$B722,Продажи!$C$5:$C$359,Конструкторы!$A722)</f>
        <v>0</v>
      </c>
      <c r="P722" s="166">
        <f>SUMIFS(Продажи!M$5:M$359,Продажи!$D$5:$D$359,Конструкторы!$B722,Продажи!$C$5:$C$359,Конструкторы!$A722)</f>
        <v>0</v>
      </c>
      <c r="Q722" s="166">
        <f>SUMIFS(Продажи!N$5:N$359,Продажи!$D$5:$D$359,Конструкторы!$B722,Продажи!$C$5:$C$359,Конструкторы!$A722)</f>
        <v>0</v>
      </c>
      <c r="R722" s="166">
        <f>SUMIFS(Продажи!O$5:O$359,Продажи!$D$5:$D$359,Конструкторы!$B722,Продажи!$C$5:$C$359,Конструкторы!$A722)</f>
        <v>0</v>
      </c>
      <c r="S722" s="166">
        <f>SUMIFS(Продажи!P$5:P$359,Продажи!$D$5:$D$359,Конструкторы!$B722,Продажи!$C$5:$C$359,Конструкторы!$A722)</f>
        <v>0</v>
      </c>
      <c r="T722" s="166">
        <f>SUMIFS(Продажи!Q$5:Q$359,Продажи!$D$5:$D$359,Конструкторы!$B722,Продажи!$C$5:$C$359,Конструкторы!$A722)</f>
        <v>0</v>
      </c>
    </row>
    <row r="723" spans="1:20" ht="15.75" hidden="1" x14ac:dyDescent="0.25">
      <c r="A723" s="166" t="s">
        <v>397</v>
      </c>
      <c r="B723" s="167" t="s">
        <v>380</v>
      </c>
      <c r="C723" s="129" t="s">
        <v>53</v>
      </c>
      <c r="D723" s="149"/>
      <c r="E723" s="153" t="s">
        <v>68</v>
      </c>
      <c r="F723" s="148">
        <v>0.5</v>
      </c>
      <c r="G723" s="148">
        <f t="shared" ref="G723:G728" si="6">F723*0.03</f>
        <v>1.4999999999999999E-2</v>
      </c>
      <c r="H723" s="156">
        <f t="shared" ref="H723:H733" si="7">F723+G723</f>
        <v>0.51500000000000001</v>
      </c>
      <c r="I723" s="166">
        <f>SUMIFS(Продажи!F$5:F$359,Продажи!$D$5:$D$359,Конструкторы!$B723,Продажи!$C$5:$C$359,Конструкторы!$A723)</f>
        <v>0</v>
      </c>
      <c r="J723" s="166">
        <f>SUMIFS(Продажи!G$5:G$359,Продажи!$D$5:$D$359,Конструкторы!$B723,Продажи!$C$5:$C$359,Конструкторы!$A723)</f>
        <v>0</v>
      </c>
      <c r="K723" s="166">
        <f>SUMIFS(Продажи!H$5:H$359,Продажи!$D$5:$D$359,Конструкторы!$B723,Продажи!$C$5:$C$359,Конструкторы!$A723)</f>
        <v>0</v>
      </c>
      <c r="L723" s="166">
        <f>SUMIFS(Продажи!I$5:I$359,Продажи!$D$5:$D$359,Конструкторы!$B723,Продажи!$C$5:$C$359,Конструкторы!$A723)</f>
        <v>0</v>
      </c>
      <c r="M723" s="166">
        <f>SUMIFS(Продажи!J$5:J$359,Продажи!$D$5:$D$359,Конструкторы!$B723,Продажи!$C$5:$C$359,Конструкторы!$A723)</f>
        <v>0</v>
      </c>
      <c r="N723" s="166">
        <f>SUMIFS(Продажи!K$5:K$359,Продажи!$D$5:$D$359,Конструкторы!$B723,Продажи!$C$5:$C$359,Конструкторы!$A723)</f>
        <v>0</v>
      </c>
      <c r="O723" s="166">
        <f>SUMIFS(Продажи!L$5:L$359,Продажи!$D$5:$D$359,Конструкторы!$B723,Продажи!$C$5:$C$359,Конструкторы!$A723)</f>
        <v>0</v>
      </c>
      <c r="P723" s="166">
        <f>SUMIFS(Продажи!M$5:M$359,Продажи!$D$5:$D$359,Конструкторы!$B723,Продажи!$C$5:$C$359,Конструкторы!$A723)</f>
        <v>0</v>
      </c>
      <c r="Q723" s="166">
        <f>SUMIFS(Продажи!N$5:N$359,Продажи!$D$5:$D$359,Конструкторы!$B723,Продажи!$C$5:$C$359,Конструкторы!$A723)</f>
        <v>0</v>
      </c>
      <c r="R723" s="166">
        <f>SUMIFS(Продажи!O$5:O$359,Продажи!$D$5:$D$359,Конструкторы!$B723,Продажи!$C$5:$C$359,Конструкторы!$A723)</f>
        <v>0</v>
      </c>
      <c r="S723" s="166">
        <f>SUMIFS(Продажи!P$5:P$359,Продажи!$D$5:$D$359,Конструкторы!$B723,Продажи!$C$5:$C$359,Конструкторы!$A723)</f>
        <v>0</v>
      </c>
      <c r="T723" s="166">
        <f>SUMIFS(Продажи!Q$5:Q$359,Продажи!$D$5:$D$359,Конструкторы!$B723,Продажи!$C$5:$C$359,Конструкторы!$A723)</f>
        <v>0</v>
      </c>
    </row>
    <row r="724" spans="1:20" ht="15.75" hidden="1" x14ac:dyDescent="0.25">
      <c r="A724" s="166" t="s">
        <v>397</v>
      </c>
      <c r="B724" s="167" t="s">
        <v>380</v>
      </c>
      <c r="C724" s="129" t="s">
        <v>53</v>
      </c>
      <c r="D724" s="149"/>
      <c r="E724" s="153" t="s">
        <v>68</v>
      </c>
      <c r="F724" s="148">
        <v>0.15</v>
      </c>
      <c r="G724" s="148">
        <f t="shared" si="6"/>
        <v>4.4999999999999997E-3</v>
      </c>
      <c r="H724" s="156">
        <f t="shared" si="7"/>
        <v>0.1545</v>
      </c>
      <c r="I724" s="166">
        <f>SUMIFS(Продажи!F$5:F$359,Продажи!$D$5:$D$359,Конструкторы!$B724,Продажи!$C$5:$C$359,Конструкторы!$A724)</f>
        <v>0</v>
      </c>
      <c r="J724" s="166">
        <f>SUMIFS(Продажи!G$5:G$359,Продажи!$D$5:$D$359,Конструкторы!$B724,Продажи!$C$5:$C$359,Конструкторы!$A724)</f>
        <v>0</v>
      </c>
      <c r="K724" s="166">
        <f>SUMIFS(Продажи!H$5:H$359,Продажи!$D$5:$D$359,Конструкторы!$B724,Продажи!$C$5:$C$359,Конструкторы!$A724)</f>
        <v>0</v>
      </c>
      <c r="L724" s="166">
        <f>SUMIFS(Продажи!I$5:I$359,Продажи!$D$5:$D$359,Конструкторы!$B724,Продажи!$C$5:$C$359,Конструкторы!$A724)</f>
        <v>0</v>
      </c>
      <c r="M724" s="166">
        <f>SUMIFS(Продажи!J$5:J$359,Продажи!$D$5:$D$359,Конструкторы!$B724,Продажи!$C$5:$C$359,Конструкторы!$A724)</f>
        <v>0</v>
      </c>
      <c r="N724" s="166">
        <f>SUMIFS(Продажи!K$5:K$359,Продажи!$D$5:$D$359,Конструкторы!$B724,Продажи!$C$5:$C$359,Конструкторы!$A724)</f>
        <v>0</v>
      </c>
      <c r="O724" s="166">
        <f>SUMIFS(Продажи!L$5:L$359,Продажи!$D$5:$D$359,Конструкторы!$B724,Продажи!$C$5:$C$359,Конструкторы!$A724)</f>
        <v>0</v>
      </c>
      <c r="P724" s="166">
        <f>SUMIFS(Продажи!M$5:M$359,Продажи!$D$5:$D$359,Конструкторы!$B724,Продажи!$C$5:$C$359,Конструкторы!$A724)</f>
        <v>0</v>
      </c>
      <c r="Q724" s="166">
        <f>SUMIFS(Продажи!N$5:N$359,Продажи!$D$5:$D$359,Конструкторы!$B724,Продажи!$C$5:$C$359,Конструкторы!$A724)</f>
        <v>0</v>
      </c>
      <c r="R724" s="166">
        <f>SUMIFS(Продажи!O$5:O$359,Продажи!$D$5:$D$359,Конструкторы!$B724,Продажи!$C$5:$C$359,Конструкторы!$A724)</f>
        <v>0</v>
      </c>
      <c r="S724" s="166">
        <f>SUMIFS(Продажи!P$5:P$359,Продажи!$D$5:$D$359,Конструкторы!$B724,Продажи!$C$5:$C$359,Конструкторы!$A724)</f>
        <v>0</v>
      </c>
      <c r="T724" s="166">
        <f>SUMIFS(Продажи!Q$5:Q$359,Продажи!$D$5:$D$359,Конструкторы!$B724,Продажи!$C$5:$C$359,Конструкторы!$A724)</f>
        <v>0</v>
      </c>
    </row>
    <row r="725" spans="1:20" ht="15.75" hidden="1" x14ac:dyDescent="0.25">
      <c r="A725" s="166" t="s">
        <v>397</v>
      </c>
      <c r="B725" s="167" t="s">
        <v>380</v>
      </c>
      <c r="C725" s="129" t="s">
        <v>53</v>
      </c>
      <c r="D725" s="149"/>
      <c r="E725" s="153" t="s">
        <v>68</v>
      </c>
      <c r="F725" s="148">
        <v>0.29599999999999999</v>
      </c>
      <c r="G725" s="148">
        <f t="shared" si="6"/>
        <v>8.879999999999999E-3</v>
      </c>
      <c r="H725" s="156">
        <f t="shared" si="7"/>
        <v>0.30487999999999998</v>
      </c>
      <c r="I725" s="166">
        <f>SUMIFS(Продажи!F$5:F$359,Продажи!$D$5:$D$359,Конструкторы!$B725,Продажи!$C$5:$C$359,Конструкторы!$A725)</f>
        <v>0</v>
      </c>
      <c r="J725" s="166">
        <f>SUMIFS(Продажи!G$5:G$359,Продажи!$D$5:$D$359,Конструкторы!$B725,Продажи!$C$5:$C$359,Конструкторы!$A725)</f>
        <v>0</v>
      </c>
      <c r="K725" s="166">
        <f>SUMIFS(Продажи!H$5:H$359,Продажи!$D$5:$D$359,Конструкторы!$B725,Продажи!$C$5:$C$359,Конструкторы!$A725)</f>
        <v>0</v>
      </c>
      <c r="L725" s="166">
        <f>SUMIFS(Продажи!I$5:I$359,Продажи!$D$5:$D$359,Конструкторы!$B725,Продажи!$C$5:$C$359,Конструкторы!$A725)</f>
        <v>0</v>
      </c>
      <c r="M725" s="166">
        <f>SUMIFS(Продажи!J$5:J$359,Продажи!$D$5:$D$359,Конструкторы!$B725,Продажи!$C$5:$C$359,Конструкторы!$A725)</f>
        <v>0</v>
      </c>
      <c r="N725" s="166">
        <f>SUMIFS(Продажи!K$5:K$359,Продажи!$D$5:$D$359,Конструкторы!$B725,Продажи!$C$5:$C$359,Конструкторы!$A725)</f>
        <v>0</v>
      </c>
      <c r="O725" s="166">
        <f>SUMIFS(Продажи!L$5:L$359,Продажи!$D$5:$D$359,Конструкторы!$B725,Продажи!$C$5:$C$359,Конструкторы!$A725)</f>
        <v>0</v>
      </c>
      <c r="P725" s="166">
        <f>SUMIFS(Продажи!M$5:M$359,Продажи!$D$5:$D$359,Конструкторы!$B725,Продажи!$C$5:$C$359,Конструкторы!$A725)</f>
        <v>0</v>
      </c>
      <c r="Q725" s="166">
        <f>SUMIFS(Продажи!N$5:N$359,Продажи!$D$5:$D$359,Конструкторы!$B725,Продажи!$C$5:$C$359,Конструкторы!$A725)</f>
        <v>0</v>
      </c>
      <c r="R725" s="166">
        <f>SUMIFS(Продажи!O$5:O$359,Продажи!$D$5:$D$359,Конструкторы!$B725,Продажи!$C$5:$C$359,Конструкторы!$A725)</f>
        <v>0</v>
      </c>
      <c r="S725" s="166">
        <f>SUMIFS(Продажи!P$5:P$359,Продажи!$D$5:$D$359,Конструкторы!$B725,Продажи!$C$5:$C$359,Конструкторы!$A725)</f>
        <v>0</v>
      </c>
      <c r="T725" s="166">
        <f>SUMIFS(Продажи!Q$5:Q$359,Продажи!$D$5:$D$359,Конструкторы!$B725,Продажи!$C$5:$C$359,Конструкторы!$A725)</f>
        <v>0</v>
      </c>
    </row>
    <row r="726" spans="1:20" ht="15.75" hidden="1" x14ac:dyDescent="0.25">
      <c r="A726" s="166" t="s">
        <v>397</v>
      </c>
      <c r="B726" s="167" t="s">
        <v>380</v>
      </c>
      <c r="C726" s="129" t="s">
        <v>53</v>
      </c>
      <c r="D726" s="149"/>
      <c r="E726" s="153" t="s">
        <v>68</v>
      </c>
      <c r="F726" s="148">
        <v>0.16300000000000001</v>
      </c>
      <c r="G726" s="148">
        <f t="shared" si="6"/>
        <v>4.8900000000000002E-3</v>
      </c>
      <c r="H726" s="156">
        <f t="shared" si="7"/>
        <v>0.16789000000000001</v>
      </c>
      <c r="I726" s="166">
        <f>SUMIFS(Продажи!F$5:F$359,Продажи!$D$5:$D$359,Конструкторы!$B726,Продажи!$C$5:$C$359,Конструкторы!$A726)</f>
        <v>0</v>
      </c>
      <c r="J726" s="166">
        <f>SUMIFS(Продажи!G$5:G$359,Продажи!$D$5:$D$359,Конструкторы!$B726,Продажи!$C$5:$C$359,Конструкторы!$A726)</f>
        <v>0</v>
      </c>
      <c r="K726" s="166">
        <f>SUMIFS(Продажи!H$5:H$359,Продажи!$D$5:$D$359,Конструкторы!$B726,Продажи!$C$5:$C$359,Конструкторы!$A726)</f>
        <v>0</v>
      </c>
      <c r="L726" s="166">
        <f>SUMIFS(Продажи!I$5:I$359,Продажи!$D$5:$D$359,Конструкторы!$B726,Продажи!$C$5:$C$359,Конструкторы!$A726)</f>
        <v>0</v>
      </c>
      <c r="M726" s="166">
        <f>SUMIFS(Продажи!J$5:J$359,Продажи!$D$5:$D$359,Конструкторы!$B726,Продажи!$C$5:$C$359,Конструкторы!$A726)</f>
        <v>0</v>
      </c>
      <c r="N726" s="166">
        <f>SUMIFS(Продажи!K$5:K$359,Продажи!$D$5:$D$359,Конструкторы!$B726,Продажи!$C$5:$C$359,Конструкторы!$A726)</f>
        <v>0</v>
      </c>
      <c r="O726" s="166">
        <f>SUMIFS(Продажи!L$5:L$359,Продажи!$D$5:$D$359,Конструкторы!$B726,Продажи!$C$5:$C$359,Конструкторы!$A726)</f>
        <v>0</v>
      </c>
      <c r="P726" s="166">
        <f>SUMIFS(Продажи!M$5:M$359,Продажи!$D$5:$D$359,Конструкторы!$B726,Продажи!$C$5:$C$359,Конструкторы!$A726)</f>
        <v>0</v>
      </c>
      <c r="Q726" s="166">
        <f>SUMIFS(Продажи!N$5:N$359,Продажи!$D$5:$D$359,Конструкторы!$B726,Продажи!$C$5:$C$359,Конструкторы!$A726)</f>
        <v>0</v>
      </c>
      <c r="R726" s="166">
        <f>SUMIFS(Продажи!O$5:O$359,Продажи!$D$5:$D$359,Конструкторы!$B726,Продажи!$C$5:$C$359,Конструкторы!$A726)</f>
        <v>0</v>
      </c>
      <c r="S726" s="166">
        <f>SUMIFS(Продажи!P$5:P$359,Продажи!$D$5:$D$359,Конструкторы!$B726,Продажи!$C$5:$C$359,Конструкторы!$A726)</f>
        <v>0</v>
      </c>
      <c r="T726" s="166">
        <f>SUMIFS(Продажи!Q$5:Q$359,Продажи!$D$5:$D$359,Конструкторы!$B726,Продажи!$C$5:$C$359,Конструкторы!$A726)</f>
        <v>0</v>
      </c>
    </row>
    <row r="727" spans="1:20" ht="15.75" hidden="1" x14ac:dyDescent="0.25">
      <c r="A727" s="166" t="s">
        <v>397</v>
      </c>
      <c r="B727" s="167" t="s">
        <v>380</v>
      </c>
      <c r="C727" s="129" t="s">
        <v>52</v>
      </c>
      <c r="D727" s="149"/>
      <c r="E727" s="153" t="s">
        <v>68</v>
      </c>
      <c r="F727" s="148">
        <v>0.3</v>
      </c>
      <c r="G727" s="148">
        <f t="shared" si="6"/>
        <v>8.9999999999999993E-3</v>
      </c>
      <c r="H727" s="156">
        <f t="shared" si="7"/>
        <v>0.309</v>
      </c>
      <c r="I727" s="166">
        <f>SUMIFS(Продажи!F$5:F$359,Продажи!$D$5:$D$359,Конструкторы!$B727,Продажи!$C$5:$C$359,Конструкторы!$A727)</f>
        <v>0</v>
      </c>
      <c r="J727" s="166">
        <f>SUMIFS(Продажи!G$5:G$359,Продажи!$D$5:$D$359,Конструкторы!$B727,Продажи!$C$5:$C$359,Конструкторы!$A727)</f>
        <v>0</v>
      </c>
      <c r="K727" s="166">
        <f>SUMIFS(Продажи!H$5:H$359,Продажи!$D$5:$D$359,Конструкторы!$B727,Продажи!$C$5:$C$359,Конструкторы!$A727)</f>
        <v>0</v>
      </c>
      <c r="L727" s="166">
        <f>SUMIFS(Продажи!I$5:I$359,Продажи!$D$5:$D$359,Конструкторы!$B727,Продажи!$C$5:$C$359,Конструкторы!$A727)</f>
        <v>0</v>
      </c>
      <c r="M727" s="166">
        <f>SUMIFS(Продажи!J$5:J$359,Продажи!$D$5:$D$359,Конструкторы!$B727,Продажи!$C$5:$C$359,Конструкторы!$A727)</f>
        <v>0</v>
      </c>
      <c r="N727" s="166">
        <f>SUMIFS(Продажи!K$5:K$359,Продажи!$D$5:$D$359,Конструкторы!$B727,Продажи!$C$5:$C$359,Конструкторы!$A727)</f>
        <v>0</v>
      </c>
      <c r="O727" s="166">
        <f>SUMIFS(Продажи!L$5:L$359,Продажи!$D$5:$D$359,Конструкторы!$B727,Продажи!$C$5:$C$359,Конструкторы!$A727)</f>
        <v>0</v>
      </c>
      <c r="P727" s="166">
        <f>SUMIFS(Продажи!M$5:M$359,Продажи!$D$5:$D$359,Конструкторы!$B727,Продажи!$C$5:$C$359,Конструкторы!$A727)</f>
        <v>0</v>
      </c>
      <c r="Q727" s="166">
        <f>SUMIFS(Продажи!N$5:N$359,Продажи!$D$5:$D$359,Конструкторы!$B727,Продажи!$C$5:$C$359,Конструкторы!$A727)</f>
        <v>0</v>
      </c>
      <c r="R727" s="166">
        <f>SUMIFS(Продажи!O$5:O$359,Продажи!$D$5:$D$359,Конструкторы!$B727,Продажи!$C$5:$C$359,Конструкторы!$A727)</f>
        <v>0</v>
      </c>
      <c r="S727" s="166">
        <f>SUMIFS(Продажи!P$5:P$359,Продажи!$D$5:$D$359,Конструкторы!$B727,Продажи!$C$5:$C$359,Конструкторы!$A727)</f>
        <v>0</v>
      </c>
      <c r="T727" s="166">
        <f>SUMIFS(Продажи!Q$5:Q$359,Продажи!$D$5:$D$359,Конструкторы!$B727,Продажи!$C$5:$C$359,Конструкторы!$A727)</f>
        <v>0</v>
      </c>
    </row>
    <row r="728" spans="1:20" ht="15.75" hidden="1" x14ac:dyDescent="0.25">
      <c r="A728" s="166" t="s">
        <v>397</v>
      </c>
      <c r="B728" s="167" t="s">
        <v>380</v>
      </c>
      <c r="C728" s="129" t="s">
        <v>52</v>
      </c>
      <c r="D728" s="149"/>
      <c r="E728" s="153" t="s">
        <v>68</v>
      </c>
      <c r="F728" s="148">
        <v>0.1</v>
      </c>
      <c r="G728" s="148">
        <f t="shared" si="6"/>
        <v>3.0000000000000001E-3</v>
      </c>
      <c r="H728" s="156">
        <f t="shared" si="7"/>
        <v>0.10300000000000001</v>
      </c>
      <c r="I728" s="166">
        <f>SUMIFS(Продажи!F$5:F$359,Продажи!$D$5:$D$359,Конструкторы!$B728,Продажи!$C$5:$C$359,Конструкторы!$A728)</f>
        <v>0</v>
      </c>
      <c r="J728" s="166">
        <f>SUMIFS(Продажи!G$5:G$359,Продажи!$D$5:$D$359,Конструкторы!$B728,Продажи!$C$5:$C$359,Конструкторы!$A728)</f>
        <v>0</v>
      </c>
      <c r="K728" s="166">
        <f>SUMIFS(Продажи!H$5:H$359,Продажи!$D$5:$D$359,Конструкторы!$B728,Продажи!$C$5:$C$359,Конструкторы!$A728)</f>
        <v>0</v>
      </c>
      <c r="L728" s="166">
        <f>SUMIFS(Продажи!I$5:I$359,Продажи!$D$5:$D$359,Конструкторы!$B728,Продажи!$C$5:$C$359,Конструкторы!$A728)</f>
        <v>0</v>
      </c>
      <c r="M728" s="166">
        <f>SUMIFS(Продажи!J$5:J$359,Продажи!$D$5:$D$359,Конструкторы!$B728,Продажи!$C$5:$C$359,Конструкторы!$A728)</f>
        <v>0</v>
      </c>
      <c r="N728" s="166">
        <f>SUMIFS(Продажи!K$5:K$359,Продажи!$D$5:$D$359,Конструкторы!$B728,Продажи!$C$5:$C$359,Конструкторы!$A728)</f>
        <v>0</v>
      </c>
      <c r="O728" s="166">
        <f>SUMIFS(Продажи!L$5:L$359,Продажи!$D$5:$D$359,Конструкторы!$B728,Продажи!$C$5:$C$359,Конструкторы!$A728)</f>
        <v>0</v>
      </c>
      <c r="P728" s="166">
        <f>SUMIFS(Продажи!M$5:M$359,Продажи!$D$5:$D$359,Конструкторы!$B728,Продажи!$C$5:$C$359,Конструкторы!$A728)</f>
        <v>0</v>
      </c>
      <c r="Q728" s="166">
        <f>SUMIFS(Продажи!N$5:N$359,Продажи!$D$5:$D$359,Конструкторы!$B728,Продажи!$C$5:$C$359,Конструкторы!$A728)</f>
        <v>0</v>
      </c>
      <c r="R728" s="166">
        <f>SUMIFS(Продажи!O$5:O$359,Продажи!$D$5:$D$359,Конструкторы!$B728,Продажи!$C$5:$C$359,Конструкторы!$A728)</f>
        <v>0</v>
      </c>
      <c r="S728" s="166">
        <f>SUMIFS(Продажи!P$5:P$359,Продажи!$D$5:$D$359,Конструкторы!$B728,Продажи!$C$5:$C$359,Конструкторы!$A728)</f>
        <v>0</v>
      </c>
      <c r="T728" s="166">
        <f>SUMIFS(Продажи!Q$5:Q$359,Продажи!$D$5:$D$359,Конструкторы!$B728,Продажи!$C$5:$C$359,Конструкторы!$A728)</f>
        <v>0</v>
      </c>
    </row>
    <row r="729" spans="1:20" ht="15.75" hidden="1" x14ac:dyDescent="0.25">
      <c r="A729" s="166" t="s">
        <v>397</v>
      </c>
      <c r="B729" s="167" t="s">
        <v>380</v>
      </c>
      <c r="C729" s="33" t="s">
        <v>73</v>
      </c>
      <c r="D729" s="149"/>
      <c r="E729" s="153" t="s">
        <v>70</v>
      </c>
      <c r="F729" s="148">
        <v>2</v>
      </c>
      <c r="G729" s="148">
        <v>6.4000000000000001E-2</v>
      </c>
      <c r="H729" s="156">
        <f t="shared" si="7"/>
        <v>2.0640000000000001</v>
      </c>
      <c r="I729" s="166">
        <f>SUMIFS(Продажи!F$5:F$359,Продажи!$D$5:$D$359,Конструкторы!$B729,Продажи!$C$5:$C$359,Конструкторы!$A729)</f>
        <v>0</v>
      </c>
      <c r="J729" s="166">
        <f>SUMIFS(Продажи!G$5:G$359,Продажи!$D$5:$D$359,Конструкторы!$B729,Продажи!$C$5:$C$359,Конструкторы!$A729)</f>
        <v>0</v>
      </c>
      <c r="K729" s="166">
        <f>SUMIFS(Продажи!H$5:H$359,Продажи!$D$5:$D$359,Конструкторы!$B729,Продажи!$C$5:$C$359,Конструкторы!$A729)</f>
        <v>0</v>
      </c>
      <c r="L729" s="166">
        <f>SUMIFS(Продажи!I$5:I$359,Продажи!$D$5:$D$359,Конструкторы!$B729,Продажи!$C$5:$C$359,Конструкторы!$A729)</f>
        <v>0</v>
      </c>
      <c r="M729" s="166">
        <f>SUMIFS(Продажи!J$5:J$359,Продажи!$D$5:$D$359,Конструкторы!$B729,Продажи!$C$5:$C$359,Конструкторы!$A729)</f>
        <v>0</v>
      </c>
      <c r="N729" s="166">
        <f>SUMIFS(Продажи!K$5:K$359,Продажи!$D$5:$D$359,Конструкторы!$B729,Продажи!$C$5:$C$359,Конструкторы!$A729)</f>
        <v>0</v>
      </c>
      <c r="O729" s="166">
        <f>SUMIFS(Продажи!L$5:L$359,Продажи!$D$5:$D$359,Конструкторы!$B729,Продажи!$C$5:$C$359,Конструкторы!$A729)</f>
        <v>0</v>
      </c>
      <c r="P729" s="166">
        <f>SUMIFS(Продажи!M$5:M$359,Продажи!$D$5:$D$359,Конструкторы!$B729,Продажи!$C$5:$C$359,Конструкторы!$A729)</f>
        <v>0</v>
      </c>
      <c r="Q729" s="166">
        <f>SUMIFS(Продажи!N$5:N$359,Продажи!$D$5:$D$359,Конструкторы!$B729,Продажи!$C$5:$C$359,Конструкторы!$A729)</f>
        <v>0</v>
      </c>
      <c r="R729" s="166">
        <f>SUMIFS(Продажи!O$5:O$359,Продажи!$D$5:$D$359,Конструкторы!$B729,Продажи!$C$5:$C$359,Конструкторы!$A729)</f>
        <v>0</v>
      </c>
      <c r="S729" s="166">
        <f>SUMIFS(Продажи!P$5:P$359,Продажи!$D$5:$D$359,Конструкторы!$B729,Продажи!$C$5:$C$359,Конструкторы!$A729)</f>
        <v>0</v>
      </c>
      <c r="T729" s="166">
        <f>SUMIFS(Продажи!Q$5:Q$359,Продажи!$D$5:$D$359,Конструкторы!$B729,Продажи!$C$5:$C$359,Конструкторы!$A729)</f>
        <v>0</v>
      </c>
    </row>
    <row r="730" spans="1:20" ht="15.75" hidden="1" x14ac:dyDescent="0.25">
      <c r="A730" s="166" t="s">
        <v>397</v>
      </c>
      <c r="B730" s="167" t="s">
        <v>380</v>
      </c>
      <c r="C730" s="33" t="s">
        <v>76</v>
      </c>
      <c r="D730" s="149"/>
      <c r="E730" s="153" t="s">
        <v>70</v>
      </c>
      <c r="F730" s="148">
        <v>6</v>
      </c>
      <c r="G730" s="148"/>
      <c r="H730" s="156">
        <f t="shared" si="7"/>
        <v>6</v>
      </c>
      <c r="I730" s="166">
        <f>SUMIFS(Продажи!F$5:F$359,Продажи!$D$5:$D$359,Конструкторы!$B730,Продажи!$C$5:$C$359,Конструкторы!$A730)</f>
        <v>0</v>
      </c>
      <c r="J730" s="166">
        <f>SUMIFS(Продажи!G$5:G$359,Продажи!$D$5:$D$359,Конструкторы!$B730,Продажи!$C$5:$C$359,Конструкторы!$A730)</f>
        <v>0</v>
      </c>
      <c r="K730" s="166">
        <f>SUMIFS(Продажи!H$5:H$359,Продажи!$D$5:$D$359,Конструкторы!$B730,Продажи!$C$5:$C$359,Конструкторы!$A730)</f>
        <v>0</v>
      </c>
      <c r="L730" s="166">
        <f>SUMIFS(Продажи!I$5:I$359,Продажи!$D$5:$D$359,Конструкторы!$B730,Продажи!$C$5:$C$359,Конструкторы!$A730)</f>
        <v>0</v>
      </c>
      <c r="M730" s="166">
        <f>SUMIFS(Продажи!J$5:J$359,Продажи!$D$5:$D$359,Конструкторы!$B730,Продажи!$C$5:$C$359,Конструкторы!$A730)</f>
        <v>0</v>
      </c>
      <c r="N730" s="166">
        <f>SUMIFS(Продажи!K$5:K$359,Продажи!$D$5:$D$359,Конструкторы!$B730,Продажи!$C$5:$C$359,Конструкторы!$A730)</f>
        <v>0</v>
      </c>
      <c r="O730" s="166">
        <f>SUMIFS(Продажи!L$5:L$359,Продажи!$D$5:$D$359,Конструкторы!$B730,Продажи!$C$5:$C$359,Конструкторы!$A730)</f>
        <v>0</v>
      </c>
      <c r="P730" s="166">
        <f>SUMIFS(Продажи!M$5:M$359,Продажи!$D$5:$D$359,Конструкторы!$B730,Продажи!$C$5:$C$359,Конструкторы!$A730)</f>
        <v>0</v>
      </c>
      <c r="Q730" s="166">
        <f>SUMIFS(Продажи!N$5:N$359,Продажи!$D$5:$D$359,Конструкторы!$B730,Продажи!$C$5:$C$359,Конструкторы!$A730)</f>
        <v>0</v>
      </c>
      <c r="R730" s="166">
        <f>SUMIFS(Продажи!O$5:O$359,Продажи!$D$5:$D$359,Конструкторы!$B730,Продажи!$C$5:$C$359,Конструкторы!$A730)</f>
        <v>0</v>
      </c>
      <c r="S730" s="166">
        <f>SUMIFS(Продажи!P$5:P$359,Продажи!$D$5:$D$359,Конструкторы!$B730,Продажи!$C$5:$C$359,Конструкторы!$A730)</f>
        <v>0</v>
      </c>
      <c r="T730" s="166">
        <f>SUMIFS(Продажи!Q$5:Q$359,Продажи!$D$5:$D$359,Конструкторы!$B730,Продажи!$C$5:$C$359,Конструкторы!$A730)</f>
        <v>0</v>
      </c>
    </row>
    <row r="731" spans="1:20" ht="15.75" hidden="1" x14ac:dyDescent="0.25">
      <c r="A731" s="166" t="s">
        <v>397</v>
      </c>
      <c r="B731" s="167" t="s">
        <v>380</v>
      </c>
      <c r="C731" s="33" t="s">
        <v>75</v>
      </c>
      <c r="D731" s="149"/>
      <c r="E731" s="153" t="s">
        <v>70</v>
      </c>
      <c r="F731" s="148">
        <v>12</v>
      </c>
      <c r="G731" s="148"/>
      <c r="H731" s="156">
        <f t="shared" si="7"/>
        <v>12</v>
      </c>
      <c r="I731" s="166">
        <f>SUMIFS(Продажи!F$5:F$359,Продажи!$D$5:$D$359,Конструкторы!$B731,Продажи!$C$5:$C$359,Конструкторы!$A731)</f>
        <v>0</v>
      </c>
      <c r="J731" s="166">
        <f>SUMIFS(Продажи!G$5:G$359,Продажи!$D$5:$D$359,Конструкторы!$B731,Продажи!$C$5:$C$359,Конструкторы!$A731)</f>
        <v>0</v>
      </c>
      <c r="K731" s="166">
        <f>SUMIFS(Продажи!H$5:H$359,Продажи!$D$5:$D$359,Конструкторы!$B731,Продажи!$C$5:$C$359,Конструкторы!$A731)</f>
        <v>0</v>
      </c>
      <c r="L731" s="166">
        <f>SUMIFS(Продажи!I$5:I$359,Продажи!$D$5:$D$359,Конструкторы!$B731,Продажи!$C$5:$C$359,Конструкторы!$A731)</f>
        <v>0</v>
      </c>
      <c r="M731" s="166">
        <f>SUMIFS(Продажи!J$5:J$359,Продажи!$D$5:$D$359,Конструкторы!$B731,Продажи!$C$5:$C$359,Конструкторы!$A731)</f>
        <v>0</v>
      </c>
      <c r="N731" s="166">
        <f>SUMIFS(Продажи!K$5:K$359,Продажи!$D$5:$D$359,Конструкторы!$B731,Продажи!$C$5:$C$359,Конструкторы!$A731)</f>
        <v>0</v>
      </c>
      <c r="O731" s="166">
        <f>SUMIFS(Продажи!L$5:L$359,Продажи!$D$5:$D$359,Конструкторы!$B731,Продажи!$C$5:$C$359,Конструкторы!$A731)</f>
        <v>0</v>
      </c>
      <c r="P731" s="166">
        <f>SUMIFS(Продажи!M$5:M$359,Продажи!$D$5:$D$359,Конструкторы!$B731,Продажи!$C$5:$C$359,Конструкторы!$A731)</f>
        <v>0</v>
      </c>
      <c r="Q731" s="166">
        <f>SUMIFS(Продажи!N$5:N$359,Продажи!$D$5:$D$359,Конструкторы!$B731,Продажи!$C$5:$C$359,Конструкторы!$A731)</f>
        <v>0</v>
      </c>
      <c r="R731" s="166">
        <f>SUMIFS(Продажи!O$5:O$359,Продажи!$D$5:$D$359,Конструкторы!$B731,Продажи!$C$5:$C$359,Конструкторы!$A731)</f>
        <v>0</v>
      </c>
      <c r="S731" s="166">
        <f>SUMIFS(Продажи!P$5:P$359,Продажи!$D$5:$D$359,Конструкторы!$B731,Продажи!$C$5:$C$359,Конструкторы!$A731)</f>
        <v>0</v>
      </c>
      <c r="T731" s="166">
        <f>SUMIFS(Продажи!Q$5:Q$359,Продажи!$D$5:$D$359,Конструкторы!$B731,Продажи!$C$5:$C$359,Конструкторы!$A731)</f>
        <v>0</v>
      </c>
    </row>
    <row r="732" spans="1:20" ht="15.75" hidden="1" x14ac:dyDescent="0.25">
      <c r="A732" s="166" t="s">
        <v>397</v>
      </c>
      <c r="B732" s="167" t="s">
        <v>168</v>
      </c>
      <c r="C732" s="129" t="s">
        <v>53</v>
      </c>
      <c r="D732" s="130">
        <v>7038</v>
      </c>
      <c r="E732" s="153" t="s">
        <v>68</v>
      </c>
      <c r="F732" s="156">
        <f>(1.065*103)/100</f>
        <v>1.0969499999999999</v>
      </c>
      <c r="G732" s="156">
        <v>3.1949999999999923E-2</v>
      </c>
      <c r="H732" s="156">
        <f t="shared" si="7"/>
        <v>1.1288999999999998</v>
      </c>
      <c r="I732" s="166">
        <f>SUMIFS(Продажи!F$5:F$359,Продажи!$D$5:$D$359,Конструкторы!$B732,Продажи!$C$5:$C$359,Конструкторы!$A732)</f>
        <v>0</v>
      </c>
      <c r="J732" s="166">
        <f>SUMIFS(Продажи!G$5:G$359,Продажи!$D$5:$D$359,Конструкторы!$B732,Продажи!$C$5:$C$359,Конструкторы!$A732)</f>
        <v>0</v>
      </c>
      <c r="K732" s="166">
        <f>SUMIFS(Продажи!H$5:H$359,Продажи!$D$5:$D$359,Конструкторы!$B732,Продажи!$C$5:$C$359,Конструкторы!$A732)</f>
        <v>0</v>
      </c>
      <c r="L732" s="166">
        <f>SUMIFS(Продажи!I$5:I$359,Продажи!$D$5:$D$359,Конструкторы!$B732,Продажи!$C$5:$C$359,Конструкторы!$A732)</f>
        <v>0</v>
      </c>
      <c r="M732" s="166">
        <f>SUMIFS(Продажи!J$5:J$359,Продажи!$D$5:$D$359,Конструкторы!$B732,Продажи!$C$5:$C$359,Конструкторы!$A732)</f>
        <v>0</v>
      </c>
      <c r="N732" s="166">
        <f>SUMIFS(Продажи!K$5:K$359,Продажи!$D$5:$D$359,Конструкторы!$B732,Продажи!$C$5:$C$359,Конструкторы!$A732)</f>
        <v>0</v>
      </c>
      <c r="O732" s="166">
        <f>SUMIFS(Продажи!L$5:L$359,Продажи!$D$5:$D$359,Конструкторы!$B732,Продажи!$C$5:$C$359,Конструкторы!$A732)</f>
        <v>0</v>
      </c>
      <c r="P732" s="166">
        <f>SUMIFS(Продажи!M$5:M$359,Продажи!$D$5:$D$359,Конструкторы!$B732,Продажи!$C$5:$C$359,Конструкторы!$A732)</f>
        <v>0</v>
      </c>
      <c r="Q732" s="166">
        <f>SUMIFS(Продажи!N$5:N$359,Продажи!$D$5:$D$359,Конструкторы!$B732,Продажи!$C$5:$C$359,Конструкторы!$A732)</f>
        <v>0</v>
      </c>
      <c r="R732" s="166">
        <f>SUMIFS(Продажи!O$5:O$359,Продажи!$D$5:$D$359,Конструкторы!$B732,Продажи!$C$5:$C$359,Конструкторы!$A732)</f>
        <v>0</v>
      </c>
      <c r="S732" s="166">
        <f>SUMIFS(Продажи!P$5:P$359,Продажи!$D$5:$D$359,Конструкторы!$B732,Продажи!$C$5:$C$359,Конструкторы!$A732)</f>
        <v>0</v>
      </c>
      <c r="T732" s="166">
        <f>SUMIFS(Продажи!Q$5:Q$359,Продажи!$D$5:$D$359,Конструкторы!$B732,Продажи!$C$5:$C$359,Конструкторы!$A732)</f>
        <v>0</v>
      </c>
    </row>
    <row r="733" spans="1:20" ht="15.75" hidden="1" x14ac:dyDescent="0.25">
      <c r="A733" s="166" t="s">
        <v>397</v>
      </c>
      <c r="B733" s="167" t="s">
        <v>168</v>
      </c>
      <c r="C733" s="129" t="s">
        <v>52</v>
      </c>
      <c r="D733" s="149"/>
      <c r="E733" s="153" t="s">
        <v>68</v>
      </c>
      <c r="F733" s="156">
        <f>(0.5*103)/100</f>
        <v>0.51500000000000001</v>
      </c>
      <c r="G733" s="156">
        <v>1.5000000000000013E-2</v>
      </c>
      <c r="H733" s="156">
        <f t="shared" si="7"/>
        <v>0.53</v>
      </c>
      <c r="I733" s="166">
        <f>SUMIFS(Продажи!F$5:F$359,Продажи!$D$5:$D$359,Конструкторы!$B733,Продажи!$C$5:$C$359,Конструкторы!$A733)</f>
        <v>0</v>
      </c>
      <c r="J733" s="166">
        <f>SUMIFS(Продажи!G$5:G$359,Продажи!$D$5:$D$359,Конструкторы!$B733,Продажи!$C$5:$C$359,Конструкторы!$A733)</f>
        <v>0</v>
      </c>
      <c r="K733" s="166">
        <f>SUMIFS(Продажи!H$5:H$359,Продажи!$D$5:$D$359,Конструкторы!$B733,Продажи!$C$5:$C$359,Конструкторы!$A733)</f>
        <v>0</v>
      </c>
      <c r="L733" s="166">
        <f>SUMIFS(Продажи!I$5:I$359,Продажи!$D$5:$D$359,Конструкторы!$B733,Продажи!$C$5:$C$359,Конструкторы!$A733)</f>
        <v>0</v>
      </c>
      <c r="M733" s="166">
        <f>SUMIFS(Продажи!J$5:J$359,Продажи!$D$5:$D$359,Конструкторы!$B733,Продажи!$C$5:$C$359,Конструкторы!$A733)</f>
        <v>0</v>
      </c>
      <c r="N733" s="166">
        <f>SUMIFS(Продажи!K$5:K$359,Продажи!$D$5:$D$359,Конструкторы!$B733,Продажи!$C$5:$C$359,Конструкторы!$A733)</f>
        <v>0</v>
      </c>
      <c r="O733" s="166">
        <f>SUMIFS(Продажи!L$5:L$359,Продажи!$D$5:$D$359,Конструкторы!$B733,Продажи!$C$5:$C$359,Конструкторы!$A733)</f>
        <v>0</v>
      </c>
      <c r="P733" s="166">
        <f>SUMIFS(Продажи!M$5:M$359,Продажи!$D$5:$D$359,Конструкторы!$B733,Продажи!$C$5:$C$359,Конструкторы!$A733)</f>
        <v>0</v>
      </c>
      <c r="Q733" s="166">
        <f>SUMIFS(Продажи!N$5:N$359,Продажи!$D$5:$D$359,Конструкторы!$B733,Продажи!$C$5:$C$359,Конструкторы!$A733)</f>
        <v>0</v>
      </c>
      <c r="R733" s="166">
        <f>SUMIFS(Продажи!O$5:O$359,Продажи!$D$5:$D$359,Конструкторы!$B733,Продажи!$C$5:$C$359,Конструкторы!$A733)</f>
        <v>0</v>
      </c>
      <c r="S733" s="166">
        <f>SUMIFS(Продажи!P$5:P$359,Продажи!$D$5:$D$359,Конструкторы!$B733,Продажи!$C$5:$C$359,Конструкторы!$A733)</f>
        <v>0</v>
      </c>
      <c r="T733" s="166">
        <f>SUMIFS(Продажи!Q$5:Q$359,Продажи!$D$5:$D$359,Конструкторы!$B733,Продажи!$C$5:$C$359,Конструкторы!$A733)</f>
        <v>0</v>
      </c>
    </row>
    <row r="734" spans="1:20" ht="15.75" hidden="1" x14ac:dyDescent="0.25">
      <c r="A734" s="166" t="s">
        <v>397</v>
      </c>
      <c r="B734" s="167" t="s">
        <v>168</v>
      </c>
      <c r="C734" s="33" t="s">
        <v>73</v>
      </c>
      <c r="D734" s="149"/>
      <c r="E734" s="153" t="s">
        <v>70</v>
      </c>
      <c r="F734" s="148">
        <f>2</f>
        <v>2</v>
      </c>
      <c r="G734" s="156" t="s">
        <v>71</v>
      </c>
      <c r="H734" s="156">
        <f>F734</f>
        <v>2</v>
      </c>
      <c r="I734" s="166">
        <f>SUMIFS(Продажи!F$5:F$359,Продажи!$D$5:$D$359,Конструкторы!$B734,Продажи!$C$5:$C$359,Конструкторы!$A734)</f>
        <v>0</v>
      </c>
      <c r="J734" s="166">
        <f>SUMIFS(Продажи!G$5:G$359,Продажи!$D$5:$D$359,Конструкторы!$B734,Продажи!$C$5:$C$359,Конструкторы!$A734)</f>
        <v>0</v>
      </c>
      <c r="K734" s="166">
        <f>SUMIFS(Продажи!H$5:H$359,Продажи!$D$5:$D$359,Конструкторы!$B734,Продажи!$C$5:$C$359,Конструкторы!$A734)</f>
        <v>0</v>
      </c>
      <c r="L734" s="166">
        <f>SUMIFS(Продажи!I$5:I$359,Продажи!$D$5:$D$359,Конструкторы!$B734,Продажи!$C$5:$C$359,Конструкторы!$A734)</f>
        <v>0</v>
      </c>
      <c r="M734" s="166">
        <f>SUMIFS(Продажи!J$5:J$359,Продажи!$D$5:$D$359,Конструкторы!$B734,Продажи!$C$5:$C$359,Конструкторы!$A734)</f>
        <v>0</v>
      </c>
      <c r="N734" s="166">
        <f>SUMIFS(Продажи!K$5:K$359,Продажи!$D$5:$D$359,Конструкторы!$B734,Продажи!$C$5:$C$359,Конструкторы!$A734)</f>
        <v>0</v>
      </c>
      <c r="O734" s="166">
        <f>SUMIFS(Продажи!L$5:L$359,Продажи!$D$5:$D$359,Конструкторы!$B734,Продажи!$C$5:$C$359,Конструкторы!$A734)</f>
        <v>0</v>
      </c>
      <c r="P734" s="166">
        <f>SUMIFS(Продажи!M$5:M$359,Продажи!$D$5:$D$359,Конструкторы!$B734,Продажи!$C$5:$C$359,Конструкторы!$A734)</f>
        <v>0</v>
      </c>
      <c r="Q734" s="166">
        <f>SUMIFS(Продажи!N$5:N$359,Продажи!$D$5:$D$359,Конструкторы!$B734,Продажи!$C$5:$C$359,Конструкторы!$A734)</f>
        <v>0</v>
      </c>
      <c r="R734" s="166">
        <f>SUMIFS(Продажи!O$5:O$359,Продажи!$D$5:$D$359,Конструкторы!$B734,Продажи!$C$5:$C$359,Конструкторы!$A734)</f>
        <v>0</v>
      </c>
      <c r="S734" s="166">
        <f>SUMIFS(Продажи!P$5:P$359,Продажи!$D$5:$D$359,Конструкторы!$B734,Продажи!$C$5:$C$359,Конструкторы!$A734)</f>
        <v>0</v>
      </c>
      <c r="T734" s="166">
        <f>SUMIFS(Продажи!Q$5:Q$359,Продажи!$D$5:$D$359,Конструкторы!$B734,Продажи!$C$5:$C$359,Конструкторы!$A734)</f>
        <v>0</v>
      </c>
    </row>
    <row r="735" spans="1:20" ht="15.75" hidden="1" x14ac:dyDescent="0.25">
      <c r="A735" s="166" t="s">
        <v>397</v>
      </c>
      <c r="B735" s="167" t="s">
        <v>168</v>
      </c>
      <c r="C735" s="33" t="s">
        <v>75</v>
      </c>
      <c r="D735" s="149"/>
      <c r="E735" s="153" t="s">
        <v>70</v>
      </c>
      <c r="F735" s="148">
        <f>8</f>
        <v>8</v>
      </c>
      <c r="G735" s="156" t="s">
        <v>71</v>
      </c>
      <c r="H735" s="156">
        <f>F735</f>
        <v>8</v>
      </c>
      <c r="I735" s="166">
        <f>SUMIFS(Продажи!F$5:F$359,Продажи!$D$5:$D$359,Конструкторы!$B735,Продажи!$C$5:$C$359,Конструкторы!$A735)</f>
        <v>0</v>
      </c>
      <c r="J735" s="166">
        <f>SUMIFS(Продажи!G$5:G$359,Продажи!$D$5:$D$359,Конструкторы!$B735,Продажи!$C$5:$C$359,Конструкторы!$A735)</f>
        <v>0</v>
      </c>
      <c r="K735" s="166">
        <f>SUMIFS(Продажи!H$5:H$359,Продажи!$D$5:$D$359,Конструкторы!$B735,Продажи!$C$5:$C$359,Конструкторы!$A735)</f>
        <v>0</v>
      </c>
      <c r="L735" s="166">
        <f>SUMIFS(Продажи!I$5:I$359,Продажи!$D$5:$D$359,Конструкторы!$B735,Продажи!$C$5:$C$359,Конструкторы!$A735)</f>
        <v>0</v>
      </c>
      <c r="M735" s="166">
        <f>SUMIFS(Продажи!J$5:J$359,Продажи!$D$5:$D$359,Конструкторы!$B735,Продажи!$C$5:$C$359,Конструкторы!$A735)</f>
        <v>0</v>
      </c>
      <c r="N735" s="166">
        <f>SUMIFS(Продажи!K$5:K$359,Продажи!$D$5:$D$359,Конструкторы!$B735,Продажи!$C$5:$C$359,Конструкторы!$A735)</f>
        <v>0</v>
      </c>
      <c r="O735" s="166">
        <f>SUMIFS(Продажи!L$5:L$359,Продажи!$D$5:$D$359,Конструкторы!$B735,Продажи!$C$5:$C$359,Конструкторы!$A735)</f>
        <v>0</v>
      </c>
      <c r="P735" s="166">
        <f>SUMIFS(Продажи!M$5:M$359,Продажи!$D$5:$D$359,Конструкторы!$B735,Продажи!$C$5:$C$359,Конструкторы!$A735)</f>
        <v>0</v>
      </c>
      <c r="Q735" s="166">
        <f>SUMIFS(Продажи!N$5:N$359,Продажи!$D$5:$D$359,Конструкторы!$B735,Продажи!$C$5:$C$359,Конструкторы!$A735)</f>
        <v>0</v>
      </c>
      <c r="R735" s="166">
        <f>SUMIFS(Продажи!O$5:O$359,Продажи!$D$5:$D$359,Конструкторы!$B735,Продажи!$C$5:$C$359,Конструкторы!$A735)</f>
        <v>0</v>
      </c>
      <c r="S735" s="166">
        <f>SUMIFS(Продажи!P$5:P$359,Продажи!$D$5:$D$359,Конструкторы!$B735,Продажи!$C$5:$C$359,Конструкторы!$A735)</f>
        <v>0</v>
      </c>
      <c r="T735" s="166">
        <f>SUMIFS(Продажи!Q$5:Q$359,Продажи!$D$5:$D$359,Конструкторы!$B735,Продажи!$C$5:$C$359,Конструкторы!$A735)</f>
        <v>0</v>
      </c>
    </row>
    <row r="736" spans="1:20" ht="15.75" hidden="1" x14ac:dyDescent="0.25">
      <c r="A736" s="166" t="s">
        <v>397</v>
      </c>
      <c r="B736" s="167" t="s">
        <v>168</v>
      </c>
      <c r="C736" s="33" t="s">
        <v>69</v>
      </c>
      <c r="D736" s="149"/>
      <c r="E736" s="153" t="s">
        <v>70</v>
      </c>
      <c r="F736" s="148">
        <f>4</f>
        <v>4</v>
      </c>
      <c r="G736" s="156" t="s">
        <v>71</v>
      </c>
      <c r="H736" s="156">
        <f>F736</f>
        <v>4</v>
      </c>
      <c r="I736" s="166">
        <f>SUMIFS(Продажи!F$5:F$359,Продажи!$D$5:$D$359,Конструкторы!$B736,Продажи!$C$5:$C$359,Конструкторы!$A736)</f>
        <v>0</v>
      </c>
      <c r="J736" s="166">
        <f>SUMIFS(Продажи!G$5:G$359,Продажи!$D$5:$D$359,Конструкторы!$B736,Продажи!$C$5:$C$359,Конструкторы!$A736)</f>
        <v>0</v>
      </c>
      <c r="K736" s="166">
        <f>SUMIFS(Продажи!H$5:H$359,Продажи!$D$5:$D$359,Конструкторы!$B736,Продажи!$C$5:$C$359,Конструкторы!$A736)</f>
        <v>0</v>
      </c>
      <c r="L736" s="166">
        <f>SUMIFS(Продажи!I$5:I$359,Продажи!$D$5:$D$359,Конструкторы!$B736,Продажи!$C$5:$C$359,Конструкторы!$A736)</f>
        <v>0</v>
      </c>
      <c r="M736" s="166">
        <f>SUMIFS(Продажи!J$5:J$359,Продажи!$D$5:$D$359,Конструкторы!$B736,Продажи!$C$5:$C$359,Конструкторы!$A736)</f>
        <v>0</v>
      </c>
      <c r="N736" s="166">
        <f>SUMIFS(Продажи!K$5:K$359,Продажи!$D$5:$D$359,Конструкторы!$B736,Продажи!$C$5:$C$359,Конструкторы!$A736)</f>
        <v>0</v>
      </c>
      <c r="O736" s="166">
        <f>SUMIFS(Продажи!L$5:L$359,Продажи!$D$5:$D$359,Конструкторы!$B736,Продажи!$C$5:$C$359,Конструкторы!$A736)</f>
        <v>0</v>
      </c>
      <c r="P736" s="166">
        <f>SUMIFS(Продажи!M$5:M$359,Продажи!$D$5:$D$359,Конструкторы!$B736,Продажи!$C$5:$C$359,Конструкторы!$A736)</f>
        <v>0</v>
      </c>
      <c r="Q736" s="166">
        <f>SUMIFS(Продажи!N$5:N$359,Продажи!$D$5:$D$359,Конструкторы!$B736,Продажи!$C$5:$C$359,Конструкторы!$A736)</f>
        <v>0</v>
      </c>
      <c r="R736" s="166">
        <f>SUMIFS(Продажи!O$5:O$359,Продажи!$D$5:$D$359,Конструкторы!$B736,Продажи!$C$5:$C$359,Конструкторы!$A736)</f>
        <v>0</v>
      </c>
      <c r="S736" s="166">
        <f>SUMIFS(Продажи!P$5:P$359,Продажи!$D$5:$D$359,Конструкторы!$B736,Продажи!$C$5:$C$359,Конструкторы!$A736)</f>
        <v>0</v>
      </c>
      <c r="T736" s="166">
        <f>SUMIFS(Продажи!Q$5:Q$359,Продажи!$D$5:$D$359,Конструкторы!$B736,Продажи!$C$5:$C$359,Конструкторы!$A736)</f>
        <v>0</v>
      </c>
    </row>
    <row r="737" spans="1:20" ht="15.75" hidden="1" x14ac:dyDescent="0.25">
      <c r="A737" s="166" t="s">
        <v>397</v>
      </c>
      <c r="B737" s="167" t="s">
        <v>169</v>
      </c>
      <c r="C737" s="129" t="s">
        <v>53</v>
      </c>
      <c r="D737" s="130">
        <v>7038</v>
      </c>
      <c r="E737" s="153" t="s">
        <v>68</v>
      </c>
      <c r="F737" s="156">
        <f>(1.35*103)/100</f>
        <v>1.3905000000000001</v>
      </c>
      <c r="G737" s="156">
        <v>4.049999999999998E-2</v>
      </c>
      <c r="H737" s="156">
        <f>F737+G737</f>
        <v>1.431</v>
      </c>
      <c r="I737" s="166">
        <f>SUMIFS(Продажи!F$5:F$359,Продажи!$D$5:$D$359,Конструкторы!$B737,Продажи!$C$5:$C$359,Конструкторы!$A737)</f>
        <v>0</v>
      </c>
      <c r="J737" s="166">
        <f>SUMIFS(Продажи!G$5:G$359,Продажи!$D$5:$D$359,Конструкторы!$B737,Продажи!$C$5:$C$359,Конструкторы!$A737)</f>
        <v>0</v>
      </c>
      <c r="K737" s="166">
        <f>SUMIFS(Продажи!H$5:H$359,Продажи!$D$5:$D$359,Конструкторы!$B737,Продажи!$C$5:$C$359,Конструкторы!$A737)</f>
        <v>0</v>
      </c>
      <c r="L737" s="166">
        <f>SUMIFS(Продажи!I$5:I$359,Продажи!$D$5:$D$359,Конструкторы!$B737,Продажи!$C$5:$C$359,Конструкторы!$A737)</f>
        <v>0</v>
      </c>
      <c r="M737" s="166">
        <f>SUMIFS(Продажи!J$5:J$359,Продажи!$D$5:$D$359,Конструкторы!$B737,Продажи!$C$5:$C$359,Конструкторы!$A737)</f>
        <v>0</v>
      </c>
      <c r="N737" s="166">
        <f>SUMIFS(Продажи!K$5:K$359,Продажи!$D$5:$D$359,Конструкторы!$B737,Продажи!$C$5:$C$359,Конструкторы!$A737)</f>
        <v>0</v>
      </c>
      <c r="O737" s="166">
        <f>SUMIFS(Продажи!L$5:L$359,Продажи!$D$5:$D$359,Конструкторы!$B737,Продажи!$C$5:$C$359,Конструкторы!$A737)</f>
        <v>0</v>
      </c>
      <c r="P737" s="166">
        <f>SUMIFS(Продажи!M$5:M$359,Продажи!$D$5:$D$359,Конструкторы!$B737,Продажи!$C$5:$C$359,Конструкторы!$A737)</f>
        <v>0</v>
      </c>
      <c r="Q737" s="166">
        <f>SUMIFS(Продажи!N$5:N$359,Продажи!$D$5:$D$359,Конструкторы!$B737,Продажи!$C$5:$C$359,Конструкторы!$A737)</f>
        <v>0</v>
      </c>
      <c r="R737" s="166">
        <f>SUMIFS(Продажи!O$5:O$359,Продажи!$D$5:$D$359,Конструкторы!$B737,Продажи!$C$5:$C$359,Конструкторы!$A737)</f>
        <v>0</v>
      </c>
      <c r="S737" s="166">
        <f>SUMIFS(Продажи!P$5:P$359,Продажи!$D$5:$D$359,Конструкторы!$B737,Продажи!$C$5:$C$359,Конструкторы!$A737)</f>
        <v>0</v>
      </c>
      <c r="T737" s="166">
        <f>SUMIFS(Продажи!Q$5:Q$359,Продажи!$D$5:$D$359,Конструкторы!$B737,Продажи!$C$5:$C$359,Конструкторы!$A737)</f>
        <v>0</v>
      </c>
    </row>
    <row r="738" spans="1:20" ht="15.75" hidden="1" x14ac:dyDescent="0.25">
      <c r="A738" s="166" t="s">
        <v>397</v>
      </c>
      <c r="B738" s="167" t="s">
        <v>169</v>
      </c>
      <c r="C738" s="129" t="s">
        <v>52</v>
      </c>
      <c r="D738" s="149"/>
      <c r="E738" s="153" t="s">
        <v>68</v>
      </c>
      <c r="F738" s="156">
        <f>(0.507*103)/100</f>
        <v>0.52221000000000006</v>
      </c>
      <c r="G738" s="156">
        <v>1.5210000000000057E-2</v>
      </c>
      <c r="H738" s="156">
        <f>F738+G738</f>
        <v>0.53742000000000012</v>
      </c>
      <c r="I738" s="166">
        <f>SUMIFS(Продажи!F$5:F$359,Продажи!$D$5:$D$359,Конструкторы!$B738,Продажи!$C$5:$C$359,Конструкторы!$A738)</f>
        <v>0</v>
      </c>
      <c r="J738" s="166">
        <f>SUMIFS(Продажи!G$5:G$359,Продажи!$D$5:$D$359,Конструкторы!$B738,Продажи!$C$5:$C$359,Конструкторы!$A738)</f>
        <v>0</v>
      </c>
      <c r="K738" s="166">
        <f>SUMIFS(Продажи!H$5:H$359,Продажи!$D$5:$D$359,Конструкторы!$B738,Продажи!$C$5:$C$359,Конструкторы!$A738)</f>
        <v>0</v>
      </c>
      <c r="L738" s="166">
        <f>SUMIFS(Продажи!I$5:I$359,Продажи!$D$5:$D$359,Конструкторы!$B738,Продажи!$C$5:$C$359,Конструкторы!$A738)</f>
        <v>0</v>
      </c>
      <c r="M738" s="166">
        <f>SUMIFS(Продажи!J$5:J$359,Продажи!$D$5:$D$359,Конструкторы!$B738,Продажи!$C$5:$C$359,Конструкторы!$A738)</f>
        <v>0</v>
      </c>
      <c r="N738" s="166">
        <f>SUMIFS(Продажи!K$5:K$359,Продажи!$D$5:$D$359,Конструкторы!$B738,Продажи!$C$5:$C$359,Конструкторы!$A738)</f>
        <v>0</v>
      </c>
      <c r="O738" s="166">
        <f>SUMIFS(Продажи!L$5:L$359,Продажи!$D$5:$D$359,Конструкторы!$B738,Продажи!$C$5:$C$359,Конструкторы!$A738)</f>
        <v>0</v>
      </c>
      <c r="P738" s="166">
        <f>SUMIFS(Продажи!M$5:M$359,Продажи!$D$5:$D$359,Конструкторы!$B738,Продажи!$C$5:$C$359,Конструкторы!$A738)</f>
        <v>0</v>
      </c>
      <c r="Q738" s="166">
        <f>SUMIFS(Продажи!N$5:N$359,Продажи!$D$5:$D$359,Конструкторы!$B738,Продажи!$C$5:$C$359,Конструкторы!$A738)</f>
        <v>0</v>
      </c>
      <c r="R738" s="166">
        <f>SUMIFS(Продажи!O$5:O$359,Продажи!$D$5:$D$359,Конструкторы!$B738,Продажи!$C$5:$C$359,Конструкторы!$A738)</f>
        <v>0</v>
      </c>
      <c r="S738" s="166">
        <f>SUMIFS(Продажи!P$5:P$359,Продажи!$D$5:$D$359,Конструкторы!$B738,Продажи!$C$5:$C$359,Конструкторы!$A738)</f>
        <v>0</v>
      </c>
      <c r="T738" s="166">
        <f>SUMIFS(Продажи!Q$5:Q$359,Продажи!$D$5:$D$359,Конструкторы!$B738,Продажи!$C$5:$C$359,Конструкторы!$A738)</f>
        <v>0</v>
      </c>
    </row>
    <row r="739" spans="1:20" ht="15.75" hidden="1" x14ac:dyDescent="0.25">
      <c r="A739" s="166" t="s">
        <v>397</v>
      </c>
      <c r="B739" s="167" t="s">
        <v>169</v>
      </c>
      <c r="C739" s="33" t="s">
        <v>73</v>
      </c>
      <c r="D739" s="149"/>
      <c r="E739" s="153" t="s">
        <v>70</v>
      </c>
      <c r="F739" s="148">
        <f>2</f>
        <v>2</v>
      </c>
      <c r="G739" s="156" t="s">
        <v>71</v>
      </c>
      <c r="H739" s="156">
        <f>F739</f>
        <v>2</v>
      </c>
      <c r="I739" s="166">
        <f>SUMIFS(Продажи!F$5:F$359,Продажи!$D$5:$D$359,Конструкторы!$B739,Продажи!$C$5:$C$359,Конструкторы!$A739)</f>
        <v>0</v>
      </c>
      <c r="J739" s="166">
        <f>SUMIFS(Продажи!G$5:G$359,Продажи!$D$5:$D$359,Конструкторы!$B739,Продажи!$C$5:$C$359,Конструкторы!$A739)</f>
        <v>0</v>
      </c>
      <c r="K739" s="166">
        <f>SUMIFS(Продажи!H$5:H$359,Продажи!$D$5:$D$359,Конструкторы!$B739,Продажи!$C$5:$C$359,Конструкторы!$A739)</f>
        <v>0</v>
      </c>
      <c r="L739" s="166">
        <f>SUMIFS(Продажи!I$5:I$359,Продажи!$D$5:$D$359,Конструкторы!$B739,Продажи!$C$5:$C$359,Конструкторы!$A739)</f>
        <v>0</v>
      </c>
      <c r="M739" s="166">
        <f>SUMIFS(Продажи!J$5:J$359,Продажи!$D$5:$D$359,Конструкторы!$B739,Продажи!$C$5:$C$359,Конструкторы!$A739)</f>
        <v>0</v>
      </c>
      <c r="N739" s="166">
        <f>SUMIFS(Продажи!K$5:K$359,Продажи!$D$5:$D$359,Конструкторы!$B739,Продажи!$C$5:$C$359,Конструкторы!$A739)</f>
        <v>0</v>
      </c>
      <c r="O739" s="166">
        <f>SUMIFS(Продажи!L$5:L$359,Продажи!$D$5:$D$359,Конструкторы!$B739,Продажи!$C$5:$C$359,Конструкторы!$A739)</f>
        <v>0</v>
      </c>
      <c r="P739" s="166">
        <f>SUMIFS(Продажи!M$5:M$359,Продажи!$D$5:$D$359,Конструкторы!$B739,Продажи!$C$5:$C$359,Конструкторы!$A739)</f>
        <v>0</v>
      </c>
      <c r="Q739" s="166">
        <f>SUMIFS(Продажи!N$5:N$359,Продажи!$D$5:$D$359,Конструкторы!$B739,Продажи!$C$5:$C$359,Конструкторы!$A739)</f>
        <v>0</v>
      </c>
      <c r="R739" s="166">
        <f>SUMIFS(Продажи!O$5:O$359,Продажи!$D$5:$D$359,Конструкторы!$B739,Продажи!$C$5:$C$359,Конструкторы!$A739)</f>
        <v>0</v>
      </c>
      <c r="S739" s="166">
        <f>SUMIFS(Продажи!P$5:P$359,Продажи!$D$5:$D$359,Конструкторы!$B739,Продажи!$C$5:$C$359,Конструкторы!$A739)</f>
        <v>0</v>
      </c>
      <c r="T739" s="166">
        <f>SUMIFS(Продажи!Q$5:Q$359,Продажи!$D$5:$D$359,Конструкторы!$B739,Продажи!$C$5:$C$359,Конструкторы!$A739)</f>
        <v>0</v>
      </c>
    </row>
    <row r="740" spans="1:20" ht="15.75" hidden="1" x14ac:dyDescent="0.25">
      <c r="A740" s="166" t="s">
        <v>397</v>
      </c>
      <c r="B740" s="167" t="s">
        <v>169</v>
      </c>
      <c r="C740" s="33" t="s">
        <v>75</v>
      </c>
      <c r="D740" s="149"/>
      <c r="E740" s="153" t="s">
        <v>70</v>
      </c>
      <c r="F740" s="148">
        <f>8</f>
        <v>8</v>
      </c>
      <c r="G740" s="156" t="s">
        <v>71</v>
      </c>
      <c r="H740" s="156">
        <f>F740</f>
        <v>8</v>
      </c>
      <c r="I740" s="166">
        <f>SUMIFS(Продажи!F$5:F$359,Продажи!$D$5:$D$359,Конструкторы!$B740,Продажи!$C$5:$C$359,Конструкторы!$A740)</f>
        <v>0</v>
      </c>
      <c r="J740" s="166">
        <f>SUMIFS(Продажи!G$5:G$359,Продажи!$D$5:$D$359,Конструкторы!$B740,Продажи!$C$5:$C$359,Конструкторы!$A740)</f>
        <v>0</v>
      </c>
      <c r="K740" s="166">
        <f>SUMIFS(Продажи!H$5:H$359,Продажи!$D$5:$D$359,Конструкторы!$B740,Продажи!$C$5:$C$359,Конструкторы!$A740)</f>
        <v>0</v>
      </c>
      <c r="L740" s="166">
        <f>SUMIFS(Продажи!I$5:I$359,Продажи!$D$5:$D$359,Конструкторы!$B740,Продажи!$C$5:$C$359,Конструкторы!$A740)</f>
        <v>0</v>
      </c>
      <c r="M740" s="166">
        <f>SUMIFS(Продажи!J$5:J$359,Продажи!$D$5:$D$359,Конструкторы!$B740,Продажи!$C$5:$C$359,Конструкторы!$A740)</f>
        <v>0</v>
      </c>
      <c r="N740" s="166">
        <f>SUMIFS(Продажи!K$5:K$359,Продажи!$D$5:$D$359,Конструкторы!$B740,Продажи!$C$5:$C$359,Конструкторы!$A740)</f>
        <v>0</v>
      </c>
      <c r="O740" s="166">
        <f>SUMIFS(Продажи!L$5:L$359,Продажи!$D$5:$D$359,Конструкторы!$B740,Продажи!$C$5:$C$359,Конструкторы!$A740)</f>
        <v>0</v>
      </c>
      <c r="P740" s="166">
        <f>SUMIFS(Продажи!M$5:M$359,Продажи!$D$5:$D$359,Конструкторы!$B740,Продажи!$C$5:$C$359,Конструкторы!$A740)</f>
        <v>0</v>
      </c>
      <c r="Q740" s="166">
        <f>SUMIFS(Продажи!N$5:N$359,Продажи!$D$5:$D$359,Конструкторы!$B740,Продажи!$C$5:$C$359,Конструкторы!$A740)</f>
        <v>0</v>
      </c>
      <c r="R740" s="166">
        <f>SUMIFS(Продажи!O$5:O$359,Продажи!$D$5:$D$359,Конструкторы!$B740,Продажи!$C$5:$C$359,Конструкторы!$A740)</f>
        <v>0</v>
      </c>
      <c r="S740" s="166">
        <f>SUMIFS(Продажи!P$5:P$359,Продажи!$D$5:$D$359,Конструкторы!$B740,Продажи!$C$5:$C$359,Конструкторы!$A740)</f>
        <v>0</v>
      </c>
      <c r="T740" s="166">
        <f>SUMIFS(Продажи!Q$5:Q$359,Продажи!$D$5:$D$359,Конструкторы!$B740,Продажи!$C$5:$C$359,Конструкторы!$A740)</f>
        <v>0</v>
      </c>
    </row>
    <row r="741" spans="1:20" ht="15.75" hidden="1" x14ac:dyDescent="0.25">
      <c r="A741" s="166" t="s">
        <v>397</v>
      </c>
      <c r="B741" s="167" t="s">
        <v>169</v>
      </c>
      <c r="C741" s="33" t="s">
        <v>69</v>
      </c>
      <c r="D741" s="149"/>
      <c r="E741" s="153" t="s">
        <v>70</v>
      </c>
      <c r="F741" s="148">
        <f>4</f>
        <v>4</v>
      </c>
      <c r="G741" s="156" t="s">
        <v>71</v>
      </c>
      <c r="H741" s="156">
        <f>F741</f>
        <v>4</v>
      </c>
      <c r="I741" s="166">
        <f>SUMIFS(Продажи!F$5:F$359,Продажи!$D$5:$D$359,Конструкторы!$B741,Продажи!$C$5:$C$359,Конструкторы!$A741)</f>
        <v>0</v>
      </c>
      <c r="J741" s="166">
        <f>SUMIFS(Продажи!G$5:G$359,Продажи!$D$5:$D$359,Конструкторы!$B741,Продажи!$C$5:$C$359,Конструкторы!$A741)</f>
        <v>0</v>
      </c>
      <c r="K741" s="166">
        <f>SUMIFS(Продажи!H$5:H$359,Продажи!$D$5:$D$359,Конструкторы!$B741,Продажи!$C$5:$C$359,Конструкторы!$A741)</f>
        <v>0</v>
      </c>
      <c r="L741" s="166">
        <f>SUMIFS(Продажи!I$5:I$359,Продажи!$D$5:$D$359,Конструкторы!$B741,Продажи!$C$5:$C$359,Конструкторы!$A741)</f>
        <v>0</v>
      </c>
      <c r="M741" s="166">
        <f>SUMIFS(Продажи!J$5:J$359,Продажи!$D$5:$D$359,Конструкторы!$B741,Продажи!$C$5:$C$359,Конструкторы!$A741)</f>
        <v>0</v>
      </c>
      <c r="N741" s="166">
        <f>SUMIFS(Продажи!K$5:K$359,Продажи!$D$5:$D$359,Конструкторы!$B741,Продажи!$C$5:$C$359,Конструкторы!$A741)</f>
        <v>0</v>
      </c>
      <c r="O741" s="166">
        <f>SUMIFS(Продажи!L$5:L$359,Продажи!$D$5:$D$359,Конструкторы!$B741,Продажи!$C$5:$C$359,Конструкторы!$A741)</f>
        <v>0</v>
      </c>
      <c r="P741" s="166">
        <f>SUMIFS(Продажи!M$5:M$359,Продажи!$D$5:$D$359,Конструкторы!$B741,Продажи!$C$5:$C$359,Конструкторы!$A741)</f>
        <v>0</v>
      </c>
      <c r="Q741" s="166">
        <f>SUMIFS(Продажи!N$5:N$359,Продажи!$D$5:$D$359,Конструкторы!$B741,Продажи!$C$5:$C$359,Конструкторы!$A741)</f>
        <v>0</v>
      </c>
      <c r="R741" s="166">
        <f>SUMIFS(Продажи!O$5:O$359,Продажи!$D$5:$D$359,Конструкторы!$B741,Продажи!$C$5:$C$359,Конструкторы!$A741)</f>
        <v>0</v>
      </c>
      <c r="S741" s="166">
        <f>SUMIFS(Продажи!P$5:P$359,Продажи!$D$5:$D$359,Конструкторы!$B741,Продажи!$C$5:$C$359,Конструкторы!$A741)</f>
        <v>0</v>
      </c>
      <c r="T741" s="166">
        <f>SUMIFS(Продажи!Q$5:Q$359,Продажи!$D$5:$D$359,Конструкторы!$B741,Продажи!$C$5:$C$359,Конструкторы!$A741)</f>
        <v>0</v>
      </c>
    </row>
    <row r="742" spans="1:20" ht="15.75" hidden="1" x14ac:dyDescent="0.25">
      <c r="A742" s="166" t="s">
        <v>397</v>
      </c>
      <c r="B742" s="167" t="s">
        <v>171</v>
      </c>
      <c r="C742" s="129" t="s">
        <v>53</v>
      </c>
      <c r="D742" s="130">
        <v>7038</v>
      </c>
      <c r="E742" s="153" t="s">
        <v>68</v>
      </c>
      <c r="F742" s="156">
        <f>(1.107*103)/100</f>
        <v>1.1402099999999999</v>
      </c>
      <c r="G742" s="156">
        <v>3.3209999999999962E-2</v>
      </c>
      <c r="H742" s="156">
        <f>F742+G742</f>
        <v>1.1734199999999999</v>
      </c>
      <c r="I742" s="166">
        <f>SUMIFS(Продажи!F$5:F$359,Продажи!$D$5:$D$359,Конструкторы!$B742,Продажи!$C$5:$C$359,Конструкторы!$A742)</f>
        <v>0</v>
      </c>
      <c r="J742" s="166">
        <f>SUMIFS(Продажи!G$5:G$359,Продажи!$D$5:$D$359,Конструкторы!$B742,Продажи!$C$5:$C$359,Конструкторы!$A742)</f>
        <v>0</v>
      </c>
      <c r="K742" s="166">
        <f>SUMIFS(Продажи!H$5:H$359,Продажи!$D$5:$D$359,Конструкторы!$B742,Продажи!$C$5:$C$359,Конструкторы!$A742)</f>
        <v>0</v>
      </c>
      <c r="L742" s="166">
        <f>SUMIFS(Продажи!I$5:I$359,Продажи!$D$5:$D$359,Конструкторы!$B742,Продажи!$C$5:$C$359,Конструкторы!$A742)</f>
        <v>0</v>
      </c>
      <c r="M742" s="166">
        <f>SUMIFS(Продажи!J$5:J$359,Продажи!$D$5:$D$359,Конструкторы!$B742,Продажи!$C$5:$C$359,Конструкторы!$A742)</f>
        <v>0</v>
      </c>
      <c r="N742" s="166">
        <f>SUMIFS(Продажи!K$5:K$359,Продажи!$D$5:$D$359,Конструкторы!$B742,Продажи!$C$5:$C$359,Конструкторы!$A742)</f>
        <v>0</v>
      </c>
      <c r="O742" s="166">
        <f>SUMIFS(Продажи!L$5:L$359,Продажи!$D$5:$D$359,Конструкторы!$B742,Продажи!$C$5:$C$359,Конструкторы!$A742)</f>
        <v>0</v>
      </c>
      <c r="P742" s="166">
        <f>SUMIFS(Продажи!M$5:M$359,Продажи!$D$5:$D$359,Конструкторы!$B742,Продажи!$C$5:$C$359,Конструкторы!$A742)</f>
        <v>0</v>
      </c>
      <c r="Q742" s="166">
        <f>SUMIFS(Продажи!N$5:N$359,Продажи!$D$5:$D$359,Конструкторы!$B742,Продажи!$C$5:$C$359,Конструкторы!$A742)</f>
        <v>0</v>
      </c>
      <c r="R742" s="166">
        <f>SUMIFS(Продажи!O$5:O$359,Продажи!$D$5:$D$359,Конструкторы!$B742,Продажи!$C$5:$C$359,Конструкторы!$A742)</f>
        <v>0</v>
      </c>
      <c r="S742" s="166">
        <f>SUMIFS(Продажи!P$5:P$359,Продажи!$D$5:$D$359,Конструкторы!$B742,Продажи!$C$5:$C$359,Конструкторы!$A742)</f>
        <v>0</v>
      </c>
      <c r="T742" s="166">
        <f>SUMIFS(Продажи!Q$5:Q$359,Продажи!$D$5:$D$359,Конструкторы!$B742,Продажи!$C$5:$C$359,Конструкторы!$A742)</f>
        <v>0</v>
      </c>
    </row>
    <row r="743" spans="1:20" ht="15.75" hidden="1" x14ac:dyDescent="0.25">
      <c r="A743" s="166" t="s">
        <v>397</v>
      </c>
      <c r="B743" s="167" t="s">
        <v>171</v>
      </c>
      <c r="C743" s="129" t="s">
        <v>52</v>
      </c>
      <c r="D743" s="149"/>
      <c r="E743" s="153" t="s">
        <v>68</v>
      </c>
      <c r="F743" s="156">
        <f>(0.6*103)/100</f>
        <v>0.61799999999999999</v>
      </c>
      <c r="G743" s="156">
        <v>1.8000000000000016E-2</v>
      </c>
      <c r="H743" s="156">
        <f>F743+G743</f>
        <v>0.63600000000000001</v>
      </c>
      <c r="I743" s="166">
        <f>SUMIFS(Продажи!F$5:F$359,Продажи!$D$5:$D$359,Конструкторы!$B743,Продажи!$C$5:$C$359,Конструкторы!$A743)</f>
        <v>0</v>
      </c>
      <c r="J743" s="166">
        <f>SUMIFS(Продажи!G$5:G$359,Продажи!$D$5:$D$359,Конструкторы!$B743,Продажи!$C$5:$C$359,Конструкторы!$A743)</f>
        <v>0</v>
      </c>
      <c r="K743" s="166">
        <f>SUMIFS(Продажи!H$5:H$359,Продажи!$D$5:$D$359,Конструкторы!$B743,Продажи!$C$5:$C$359,Конструкторы!$A743)</f>
        <v>0</v>
      </c>
      <c r="L743" s="166">
        <f>SUMIFS(Продажи!I$5:I$359,Продажи!$D$5:$D$359,Конструкторы!$B743,Продажи!$C$5:$C$359,Конструкторы!$A743)</f>
        <v>0</v>
      </c>
      <c r="M743" s="166">
        <f>SUMIFS(Продажи!J$5:J$359,Продажи!$D$5:$D$359,Конструкторы!$B743,Продажи!$C$5:$C$359,Конструкторы!$A743)</f>
        <v>0</v>
      </c>
      <c r="N743" s="166">
        <f>SUMIFS(Продажи!K$5:K$359,Продажи!$D$5:$D$359,Конструкторы!$B743,Продажи!$C$5:$C$359,Конструкторы!$A743)</f>
        <v>0</v>
      </c>
      <c r="O743" s="166">
        <f>SUMIFS(Продажи!L$5:L$359,Продажи!$D$5:$D$359,Конструкторы!$B743,Продажи!$C$5:$C$359,Конструкторы!$A743)</f>
        <v>0</v>
      </c>
      <c r="P743" s="166">
        <f>SUMIFS(Продажи!M$5:M$359,Продажи!$D$5:$D$359,Конструкторы!$B743,Продажи!$C$5:$C$359,Конструкторы!$A743)</f>
        <v>0</v>
      </c>
      <c r="Q743" s="166">
        <f>SUMIFS(Продажи!N$5:N$359,Продажи!$D$5:$D$359,Конструкторы!$B743,Продажи!$C$5:$C$359,Конструкторы!$A743)</f>
        <v>0</v>
      </c>
      <c r="R743" s="166">
        <f>SUMIFS(Продажи!O$5:O$359,Продажи!$D$5:$D$359,Конструкторы!$B743,Продажи!$C$5:$C$359,Конструкторы!$A743)</f>
        <v>0</v>
      </c>
      <c r="S743" s="166">
        <f>SUMIFS(Продажи!P$5:P$359,Продажи!$D$5:$D$359,Конструкторы!$B743,Продажи!$C$5:$C$359,Конструкторы!$A743)</f>
        <v>0</v>
      </c>
      <c r="T743" s="166">
        <f>SUMIFS(Продажи!Q$5:Q$359,Продажи!$D$5:$D$359,Конструкторы!$B743,Продажи!$C$5:$C$359,Конструкторы!$A743)</f>
        <v>0</v>
      </c>
    </row>
    <row r="744" spans="1:20" ht="15.75" hidden="1" x14ac:dyDescent="0.25">
      <c r="A744" s="166" t="s">
        <v>397</v>
      </c>
      <c r="B744" s="167" t="s">
        <v>171</v>
      </c>
      <c r="C744" s="33" t="s">
        <v>73</v>
      </c>
      <c r="D744" s="149"/>
      <c r="E744" s="153" t="s">
        <v>70</v>
      </c>
      <c r="F744" s="148">
        <f>2</f>
        <v>2</v>
      </c>
      <c r="G744" s="156" t="s">
        <v>71</v>
      </c>
      <c r="H744" s="156">
        <f>F744</f>
        <v>2</v>
      </c>
      <c r="I744" s="166">
        <f>SUMIFS(Продажи!F$5:F$359,Продажи!$D$5:$D$359,Конструкторы!$B744,Продажи!$C$5:$C$359,Конструкторы!$A744)</f>
        <v>0</v>
      </c>
      <c r="J744" s="166">
        <f>SUMIFS(Продажи!G$5:G$359,Продажи!$D$5:$D$359,Конструкторы!$B744,Продажи!$C$5:$C$359,Конструкторы!$A744)</f>
        <v>0</v>
      </c>
      <c r="K744" s="166">
        <f>SUMIFS(Продажи!H$5:H$359,Продажи!$D$5:$D$359,Конструкторы!$B744,Продажи!$C$5:$C$359,Конструкторы!$A744)</f>
        <v>0</v>
      </c>
      <c r="L744" s="166">
        <f>SUMIFS(Продажи!I$5:I$359,Продажи!$D$5:$D$359,Конструкторы!$B744,Продажи!$C$5:$C$359,Конструкторы!$A744)</f>
        <v>0</v>
      </c>
      <c r="M744" s="166">
        <f>SUMIFS(Продажи!J$5:J$359,Продажи!$D$5:$D$359,Конструкторы!$B744,Продажи!$C$5:$C$359,Конструкторы!$A744)</f>
        <v>0</v>
      </c>
      <c r="N744" s="166">
        <f>SUMIFS(Продажи!K$5:K$359,Продажи!$D$5:$D$359,Конструкторы!$B744,Продажи!$C$5:$C$359,Конструкторы!$A744)</f>
        <v>0</v>
      </c>
      <c r="O744" s="166">
        <f>SUMIFS(Продажи!L$5:L$359,Продажи!$D$5:$D$359,Конструкторы!$B744,Продажи!$C$5:$C$359,Конструкторы!$A744)</f>
        <v>0</v>
      </c>
      <c r="P744" s="166">
        <f>SUMIFS(Продажи!M$5:M$359,Продажи!$D$5:$D$359,Конструкторы!$B744,Продажи!$C$5:$C$359,Конструкторы!$A744)</f>
        <v>0</v>
      </c>
      <c r="Q744" s="166">
        <f>SUMIFS(Продажи!N$5:N$359,Продажи!$D$5:$D$359,Конструкторы!$B744,Продажи!$C$5:$C$359,Конструкторы!$A744)</f>
        <v>0</v>
      </c>
      <c r="R744" s="166">
        <f>SUMIFS(Продажи!O$5:O$359,Продажи!$D$5:$D$359,Конструкторы!$B744,Продажи!$C$5:$C$359,Конструкторы!$A744)</f>
        <v>0</v>
      </c>
      <c r="S744" s="166">
        <f>SUMIFS(Продажи!P$5:P$359,Продажи!$D$5:$D$359,Конструкторы!$B744,Продажи!$C$5:$C$359,Конструкторы!$A744)</f>
        <v>0</v>
      </c>
      <c r="T744" s="166">
        <f>SUMIFS(Продажи!Q$5:Q$359,Продажи!$D$5:$D$359,Конструкторы!$B744,Продажи!$C$5:$C$359,Конструкторы!$A744)</f>
        <v>0</v>
      </c>
    </row>
    <row r="745" spans="1:20" ht="15.75" hidden="1" x14ac:dyDescent="0.25">
      <c r="A745" s="166" t="s">
        <v>397</v>
      </c>
      <c r="B745" s="167" t="s">
        <v>171</v>
      </c>
      <c r="C745" s="33" t="s">
        <v>75</v>
      </c>
      <c r="D745" s="149"/>
      <c r="E745" s="153" t="s">
        <v>70</v>
      </c>
      <c r="F745" s="148">
        <f>8</f>
        <v>8</v>
      </c>
      <c r="G745" s="156" t="s">
        <v>71</v>
      </c>
      <c r="H745" s="156">
        <f>F745</f>
        <v>8</v>
      </c>
      <c r="I745" s="166">
        <f>SUMIFS(Продажи!F$5:F$359,Продажи!$D$5:$D$359,Конструкторы!$B745,Продажи!$C$5:$C$359,Конструкторы!$A745)</f>
        <v>0</v>
      </c>
      <c r="J745" s="166">
        <f>SUMIFS(Продажи!G$5:G$359,Продажи!$D$5:$D$359,Конструкторы!$B745,Продажи!$C$5:$C$359,Конструкторы!$A745)</f>
        <v>0</v>
      </c>
      <c r="K745" s="166">
        <f>SUMIFS(Продажи!H$5:H$359,Продажи!$D$5:$D$359,Конструкторы!$B745,Продажи!$C$5:$C$359,Конструкторы!$A745)</f>
        <v>0</v>
      </c>
      <c r="L745" s="166">
        <f>SUMIFS(Продажи!I$5:I$359,Продажи!$D$5:$D$359,Конструкторы!$B745,Продажи!$C$5:$C$359,Конструкторы!$A745)</f>
        <v>0</v>
      </c>
      <c r="M745" s="166">
        <f>SUMIFS(Продажи!J$5:J$359,Продажи!$D$5:$D$359,Конструкторы!$B745,Продажи!$C$5:$C$359,Конструкторы!$A745)</f>
        <v>0</v>
      </c>
      <c r="N745" s="166">
        <f>SUMIFS(Продажи!K$5:K$359,Продажи!$D$5:$D$359,Конструкторы!$B745,Продажи!$C$5:$C$359,Конструкторы!$A745)</f>
        <v>0</v>
      </c>
      <c r="O745" s="166">
        <f>SUMIFS(Продажи!L$5:L$359,Продажи!$D$5:$D$359,Конструкторы!$B745,Продажи!$C$5:$C$359,Конструкторы!$A745)</f>
        <v>0</v>
      </c>
      <c r="P745" s="166">
        <f>SUMIFS(Продажи!M$5:M$359,Продажи!$D$5:$D$359,Конструкторы!$B745,Продажи!$C$5:$C$359,Конструкторы!$A745)</f>
        <v>0</v>
      </c>
      <c r="Q745" s="166">
        <f>SUMIFS(Продажи!N$5:N$359,Продажи!$D$5:$D$359,Конструкторы!$B745,Продажи!$C$5:$C$359,Конструкторы!$A745)</f>
        <v>0</v>
      </c>
      <c r="R745" s="166">
        <f>SUMIFS(Продажи!O$5:O$359,Продажи!$D$5:$D$359,Конструкторы!$B745,Продажи!$C$5:$C$359,Конструкторы!$A745)</f>
        <v>0</v>
      </c>
      <c r="S745" s="166">
        <f>SUMIFS(Продажи!P$5:P$359,Продажи!$D$5:$D$359,Конструкторы!$B745,Продажи!$C$5:$C$359,Конструкторы!$A745)</f>
        <v>0</v>
      </c>
      <c r="T745" s="166">
        <f>SUMIFS(Продажи!Q$5:Q$359,Продажи!$D$5:$D$359,Конструкторы!$B745,Продажи!$C$5:$C$359,Конструкторы!$A745)</f>
        <v>0</v>
      </c>
    </row>
    <row r="746" spans="1:20" ht="15.75" hidden="1" x14ac:dyDescent="0.25">
      <c r="A746" s="166" t="s">
        <v>397</v>
      </c>
      <c r="B746" s="167" t="s">
        <v>171</v>
      </c>
      <c r="C746" s="33" t="s">
        <v>69</v>
      </c>
      <c r="D746" s="149"/>
      <c r="E746" s="153" t="s">
        <v>70</v>
      </c>
      <c r="F746" s="148">
        <f>4</f>
        <v>4</v>
      </c>
      <c r="G746" s="156" t="s">
        <v>71</v>
      </c>
      <c r="H746" s="156">
        <f>F746</f>
        <v>4</v>
      </c>
      <c r="I746" s="166">
        <f>SUMIFS(Продажи!F$5:F$359,Продажи!$D$5:$D$359,Конструкторы!$B746,Продажи!$C$5:$C$359,Конструкторы!$A746)</f>
        <v>0</v>
      </c>
      <c r="J746" s="166">
        <f>SUMIFS(Продажи!G$5:G$359,Продажи!$D$5:$D$359,Конструкторы!$B746,Продажи!$C$5:$C$359,Конструкторы!$A746)</f>
        <v>0</v>
      </c>
      <c r="K746" s="166">
        <f>SUMIFS(Продажи!H$5:H$359,Продажи!$D$5:$D$359,Конструкторы!$B746,Продажи!$C$5:$C$359,Конструкторы!$A746)</f>
        <v>0</v>
      </c>
      <c r="L746" s="166">
        <f>SUMIFS(Продажи!I$5:I$359,Продажи!$D$5:$D$359,Конструкторы!$B746,Продажи!$C$5:$C$359,Конструкторы!$A746)</f>
        <v>0</v>
      </c>
      <c r="M746" s="166">
        <f>SUMIFS(Продажи!J$5:J$359,Продажи!$D$5:$D$359,Конструкторы!$B746,Продажи!$C$5:$C$359,Конструкторы!$A746)</f>
        <v>0</v>
      </c>
      <c r="N746" s="166">
        <f>SUMIFS(Продажи!K$5:K$359,Продажи!$D$5:$D$359,Конструкторы!$B746,Продажи!$C$5:$C$359,Конструкторы!$A746)</f>
        <v>0</v>
      </c>
      <c r="O746" s="166">
        <f>SUMIFS(Продажи!L$5:L$359,Продажи!$D$5:$D$359,Конструкторы!$B746,Продажи!$C$5:$C$359,Конструкторы!$A746)</f>
        <v>0</v>
      </c>
      <c r="P746" s="166">
        <f>SUMIFS(Продажи!M$5:M$359,Продажи!$D$5:$D$359,Конструкторы!$B746,Продажи!$C$5:$C$359,Конструкторы!$A746)</f>
        <v>0</v>
      </c>
      <c r="Q746" s="166">
        <f>SUMIFS(Продажи!N$5:N$359,Продажи!$D$5:$D$359,Конструкторы!$B746,Продажи!$C$5:$C$359,Конструкторы!$A746)</f>
        <v>0</v>
      </c>
      <c r="R746" s="166">
        <f>SUMIFS(Продажи!O$5:O$359,Продажи!$D$5:$D$359,Конструкторы!$B746,Продажи!$C$5:$C$359,Конструкторы!$A746)</f>
        <v>0</v>
      </c>
      <c r="S746" s="166">
        <f>SUMIFS(Продажи!P$5:P$359,Продажи!$D$5:$D$359,Конструкторы!$B746,Продажи!$C$5:$C$359,Конструкторы!$A746)</f>
        <v>0</v>
      </c>
      <c r="T746" s="166">
        <f>SUMIFS(Продажи!Q$5:Q$359,Продажи!$D$5:$D$359,Конструкторы!$B746,Продажи!$C$5:$C$359,Конструкторы!$A746)</f>
        <v>0</v>
      </c>
    </row>
    <row r="747" spans="1:20" ht="15.75" hidden="1" x14ac:dyDescent="0.25">
      <c r="A747" s="166" t="s">
        <v>397</v>
      </c>
      <c r="B747" s="167" t="s">
        <v>173</v>
      </c>
      <c r="C747" s="129" t="s">
        <v>53</v>
      </c>
      <c r="D747" s="130">
        <v>7038</v>
      </c>
      <c r="E747" s="153" t="s">
        <v>68</v>
      </c>
      <c r="F747" s="156">
        <f>(1.065*103)/100</f>
        <v>1.0969499999999999</v>
      </c>
      <c r="G747" s="156">
        <v>3.1949999999999923E-2</v>
      </c>
      <c r="H747" s="156">
        <f>F747+G747</f>
        <v>1.1288999999999998</v>
      </c>
      <c r="I747" s="166">
        <f>SUMIFS(Продажи!F$5:F$359,Продажи!$D$5:$D$359,Конструкторы!$B747,Продажи!$C$5:$C$359,Конструкторы!$A747)</f>
        <v>0</v>
      </c>
      <c r="J747" s="166">
        <f>SUMIFS(Продажи!G$5:G$359,Продажи!$D$5:$D$359,Конструкторы!$B747,Продажи!$C$5:$C$359,Конструкторы!$A747)</f>
        <v>0</v>
      </c>
      <c r="K747" s="166">
        <f>SUMIFS(Продажи!H$5:H$359,Продажи!$D$5:$D$359,Конструкторы!$B747,Продажи!$C$5:$C$359,Конструкторы!$A747)</f>
        <v>0</v>
      </c>
      <c r="L747" s="166">
        <f>SUMIFS(Продажи!I$5:I$359,Продажи!$D$5:$D$359,Конструкторы!$B747,Продажи!$C$5:$C$359,Конструкторы!$A747)</f>
        <v>0</v>
      </c>
      <c r="M747" s="166">
        <f>SUMIFS(Продажи!J$5:J$359,Продажи!$D$5:$D$359,Конструкторы!$B747,Продажи!$C$5:$C$359,Конструкторы!$A747)</f>
        <v>0</v>
      </c>
      <c r="N747" s="166">
        <f>SUMIFS(Продажи!K$5:K$359,Продажи!$D$5:$D$359,Конструкторы!$B747,Продажи!$C$5:$C$359,Конструкторы!$A747)</f>
        <v>0</v>
      </c>
      <c r="O747" s="166">
        <f>SUMIFS(Продажи!L$5:L$359,Продажи!$D$5:$D$359,Конструкторы!$B747,Продажи!$C$5:$C$359,Конструкторы!$A747)</f>
        <v>0</v>
      </c>
      <c r="P747" s="166">
        <f>SUMIFS(Продажи!M$5:M$359,Продажи!$D$5:$D$359,Конструкторы!$B747,Продажи!$C$5:$C$359,Конструкторы!$A747)</f>
        <v>0</v>
      </c>
      <c r="Q747" s="166">
        <f>SUMIFS(Продажи!N$5:N$359,Продажи!$D$5:$D$359,Конструкторы!$B747,Продажи!$C$5:$C$359,Конструкторы!$A747)</f>
        <v>0</v>
      </c>
      <c r="R747" s="166">
        <f>SUMIFS(Продажи!O$5:O$359,Продажи!$D$5:$D$359,Конструкторы!$B747,Продажи!$C$5:$C$359,Конструкторы!$A747)</f>
        <v>0</v>
      </c>
      <c r="S747" s="166">
        <f>SUMIFS(Продажи!P$5:P$359,Продажи!$D$5:$D$359,Конструкторы!$B747,Продажи!$C$5:$C$359,Конструкторы!$A747)</f>
        <v>0</v>
      </c>
      <c r="T747" s="166">
        <f>SUMIFS(Продажи!Q$5:Q$359,Продажи!$D$5:$D$359,Конструкторы!$B747,Продажи!$C$5:$C$359,Конструкторы!$A747)</f>
        <v>0</v>
      </c>
    </row>
    <row r="748" spans="1:20" ht="15.75" hidden="1" x14ac:dyDescent="0.25">
      <c r="A748" s="166" t="s">
        <v>397</v>
      </c>
      <c r="B748" s="167" t="s">
        <v>173</v>
      </c>
      <c r="C748" s="129" t="s">
        <v>52</v>
      </c>
      <c r="D748" s="149"/>
      <c r="E748" s="153" t="s">
        <v>68</v>
      </c>
      <c r="F748" s="156">
        <f>(0.7*103)/100</f>
        <v>0.72099999999999997</v>
      </c>
      <c r="G748" s="156">
        <v>2.1000000000000019E-2</v>
      </c>
      <c r="H748" s="156">
        <f>F748+G748</f>
        <v>0.74199999999999999</v>
      </c>
      <c r="I748" s="166">
        <f>SUMIFS(Продажи!F$5:F$359,Продажи!$D$5:$D$359,Конструкторы!$B748,Продажи!$C$5:$C$359,Конструкторы!$A748)</f>
        <v>0</v>
      </c>
      <c r="J748" s="166">
        <f>SUMIFS(Продажи!G$5:G$359,Продажи!$D$5:$D$359,Конструкторы!$B748,Продажи!$C$5:$C$359,Конструкторы!$A748)</f>
        <v>0</v>
      </c>
      <c r="K748" s="166">
        <f>SUMIFS(Продажи!H$5:H$359,Продажи!$D$5:$D$359,Конструкторы!$B748,Продажи!$C$5:$C$359,Конструкторы!$A748)</f>
        <v>0</v>
      </c>
      <c r="L748" s="166">
        <f>SUMIFS(Продажи!I$5:I$359,Продажи!$D$5:$D$359,Конструкторы!$B748,Продажи!$C$5:$C$359,Конструкторы!$A748)</f>
        <v>0</v>
      </c>
      <c r="M748" s="166">
        <f>SUMIFS(Продажи!J$5:J$359,Продажи!$D$5:$D$359,Конструкторы!$B748,Продажи!$C$5:$C$359,Конструкторы!$A748)</f>
        <v>0</v>
      </c>
      <c r="N748" s="166">
        <f>SUMIFS(Продажи!K$5:K$359,Продажи!$D$5:$D$359,Конструкторы!$B748,Продажи!$C$5:$C$359,Конструкторы!$A748)</f>
        <v>0</v>
      </c>
      <c r="O748" s="166">
        <f>SUMIFS(Продажи!L$5:L$359,Продажи!$D$5:$D$359,Конструкторы!$B748,Продажи!$C$5:$C$359,Конструкторы!$A748)</f>
        <v>0</v>
      </c>
      <c r="P748" s="166">
        <f>SUMIFS(Продажи!M$5:M$359,Продажи!$D$5:$D$359,Конструкторы!$B748,Продажи!$C$5:$C$359,Конструкторы!$A748)</f>
        <v>0</v>
      </c>
      <c r="Q748" s="166">
        <f>SUMIFS(Продажи!N$5:N$359,Продажи!$D$5:$D$359,Конструкторы!$B748,Продажи!$C$5:$C$359,Конструкторы!$A748)</f>
        <v>0</v>
      </c>
      <c r="R748" s="166">
        <f>SUMIFS(Продажи!O$5:O$359,Продажи!$D$5:$D$359,Конструкторы!$B748,Продажи!$C$5:$C$359,Конструкторы!$A748)</f>
        <v>0</v>
      </c>
      <c r="S748" s="166">
        <f>SUMIFS(Продажи!P$5:P$359,Продажи!$D$5:$D$359,Конструкторы!$B748,Продажи!$C$5:$C$359,Конструкторы!$A748)</f>
        <v>0</v>
      </c>
      <c r="T748" s="166">
        <f>SUMIFS(Продажи!Q$5:Q$359,Продажи!$D$5:$D$359,Конструкторы!$B748,Продажи!$C$5:$C$359,Конструкторы!$A748)</f>
        <v>0</v>
      </c>
    </row>
    <row r="749" spans="1:20" ht="15.75" hidden="1" x14ac:dyDescent="0.25">
      <c r="A749" s="166" t="s">
        <v>397</v>
      </c>
      <c r="B749" s="167" t="s">
        <v>173</v>
      </c>
      <c r="C749" s="33" t="s">
        <v>73</v>
      </c>
      <c r="D749" s="149"/>
      <c r="E749" s="153" t="s">
        <v>70</v>
      </c>
      <c r="F749" s="148">
        <f>2</f>
        <v>2</v>
      </c>
      <c r="G749" s="156" t="s">
        <v>71</v>
      </c>
      <c r="H749" s="156">
        <f>F749</f>
        <v>2</v>
      </c>
      <c r="I749" s="166">
        <f>SUMIFS(Продажи!F$5:F$359,Продажи!$D$5:$D$359,Конструкторы!$B749,Продажи!$C$5:$C$359,Конструкторы!$A749)</f>
        <v>0</v>
      </c>
      <c r="J749" s="166">
        <f>SUMIFS(Продажи!G$5:G$359,Продажи!$D$5:$D$359,Конструкторы!$B749,Продажи!$C$5:$C$359,Конструкторы!$A749)</f>
        <v>0</v>
      </c>
      <c r="K749" s="166">
        <f>SUMIFS(Продажи!H$5:H$359,Продажи!$D$5:$D$359,Конструкторы!$B749,Продажи!$C$5:$C$359,Конструкторы!$A749)</f>
        <v>0</v>
      </c>
      <c r="L749" s="166">
        <f>SUMIFS(Продажи!I$5:I$359,Продажи!$D$5:$D$359,Конструкторы!$B749,Продажи!$C$5:$C$359,Конструкторы!$A749)</f>
        <v>0</v>
      </c>
      <c r="M749" s="166">
        <f>SUMIFS(Продажи!J$5:J$359,Продажи!$D$5:$D$359,Конструкторы!$B749,Продажи!$C$5:$C$359,Конструкторы!$A749)</f>
        <v>0</v>
      </c>
      <c r="N749" s="166">
        <f>SUMIFS(Продажи!K$5:K$359,Продажи!$D$5:$D$359,Конструкторы!$B749,Продажи!$C$5:$C$359,Конструкторы!$A749)</f>
        <v>0</v>
      </c>
      <c r="O749" s="166">
        <f>SUMIFS(Продажи!L$5:L$359,Продажи!$D$5:$D$359,Конструкторы!$B749,Продажи!$C$5:$C$359,Конструкторы!$A749)</f>
        <v>0</v>
      </c>
      <c r="P749" s="166">
        <f>SUMIFS(Продажи!M$5:M$359,Продажи!$D$5:$D$359,Конструкторы!$B749,Продажи!$C$5:$C$359,Конструкторы!$A749)</f>
        <v>0</v>
      </c>
      <c r="Q749" s="166">
        <f>SUMIFS(Продажи!N$5:N$359,Продажи!$D$5:$D$359,Конструкторы!$B749,Продажи!$C$5:$C$359,Конструкторы!$A749)</f>
        <v>0</v>
      </c>
      <c r="R749" s="166">
        <f>SUMIFS(Продажи!O$5:O$359,Продажи!$D$5:$D$359,Конструкторы!$B749,Продажи!$C$5:$C$359,Конструкторы!$A749)</f>
        <v>0</v>
      </c>
      <c r="S749" s="166">
        <f>SUMIFS(Продажи!P$5:P$359,Продажи!$D$5:$D$359,Конструкторы!$B749,Продажи!$C$5:$C$359,Конструкторы!$A749)</f>
        <v>0</v>
      </c>
      <c r="T749" s="166">
        <f>SUMIFS(Продажи!Q$5:Q$359,Продажи!$D$5:$D$359,Конструкторы!$B749,Продажи!$C$5:$C$359,Конструкторы!$A749)</f>
        <v>0</v>
      </c>
    </row>
    <row r="750" spans="1:20" ht="15.75" hidden="1" x14ac:dyDescent="0.25">
      <c r="A750" s="166" t="s">
        <v>397</v>
      </c>
      <c r="B750" s="167" t="s">
        <v>173</v>
      </c>
      <c r="C750" s="33" t="s">
        <v>75</v>
      </c>
      <c r="D750" s="149"/>
      <c r="E750" s="153" t="s">
        <v>70</v>
      </c>
      <c r="F750" s="148">
        <f>8</f>
        <v>8</v>
      </c>
      <c r="G750" s="156" t="s">
        <v>71</v>
      </c>
      <c r="H750" s="156">
        <f>F750</f>
        <v>8</v>
      </c>
      <c r="I750" s="166">
        <f>SUMIFS(Продажи!F$5:F$359,Продажи!$D$5:$D$359,Конструкторы!$B750,Продажи!$C$5:$C$359,Конструкторы!$A750)</f>
        <v>0</v>
      </c>
      <c r="J750" s="166">
        <f>SUMIFS(Продажи!G$5:G$359,Продажи!$D$5:$D$359,Конструкторы!$B750,Продажи!$C$5:$C$359,Конструкторы!$A750)</f>
        <v>0</v>
      </c>
      <c r="K750" s="166">
        <f>SUMIFS(Продажи!H$5:H$359,Продажи!$D$5:$D$359,Конструкторы!$B750,Продажи!$C$5:$C$359,Конструкторы!$A750)</f>
        <v>0</v>
      </c>
      <c r="L750" s="166">
        <f>SUMIFS(Продажи!I$5:I$359,Продажи!$D$5:$D$359,Конструкторы!$B750,Продажи!$C$5:$C$359,Конструкторы!$A750)</f>
        <v>0</v>
      </c>
      <c r="M750" s="166">
        <f>SUMIFS(Продажи!J$5:J$359,Продажи!$D$5:$D$359,Конструкторы!$B750,Продажи!$C$5:$C$359,Конструкторы!$A750)</f>
        <v>0</v>
      </c>
      <c r="N750" s="166">
        <f>SUMIFS(Продажи!K$5:K$359,Продажи!$D$5:$D$359,Конструкторы!$B750,Продажи!$C$5:$C$359,Конструкторы!$A750)</f>
        <v>0</v>
      </c>
      <c r="O750" s="166">
        <f>SUMIFS(Продажи!L$5:L$359,Продажи!$D$5:$D$359,Конструкторы!$B750,Продажи!$C$5:$C$359,Конструкторы!$A750)</f>
        <v>0</v>
      </c>
      <c r="P750" s="166">
        <f>SUMIFS(Продажи!M$5:M$359,Продажи!$D$5:$D$359,Конструкторы!$B750,Продажи!$C$5:$C$359,Конструкторы!$A750)</f>
        <v>0</v>
      </c>
      <c r="Q750" s="166">
        <f>SUMIFS(Продажи!N$5:N$359,Продажи!$D$5:$D$359,Конструкторы!$B750,Продажи!$C$5:$C$359,Конструкторы!$A750)</f>
        <v>0</v>
      </c>
      <c r="R750" s="166">
        <f>SUMIFS(Продажи!O$5:O$359,Продажи!$D$5:$D$359,Конструкторы!$B750,Продажи!$C$5:$C$359,Конструкторы!$A750)</f>
        <v>0</v>
      </c>
      <c r="S750" s="166">
        <f>SUMIFS(Продажи!P$5:P$359,Продажи!$D$5:$D$359,Конструкторы!$B750,Продажи!$C$5:$C$359,Конструкторы!$A750)</f>
        <v>0</v>
      </c>
      <c r="T750" s="166">
        <f>SUMIFS(Продажи!Q$5:Q$359,Продажи!$D$5:$D$359,Конструкторы!$B750,Продажи!$C$5:$C$359,Конструкторы!$A750)</f>
        <v>0</v>
      </c>
    </row>
    <row r="751" spans="1:20" ht="15.75" hidden="1" x14ac:dyDescent="0.25">
      <c r="A751" s="166" t="s">
        <v>397</v>
      </c>
      <c r="B751" s="167" t="s">
        <v>173</v>
      </c>
      <c r="C751" s="33" t="s">
        <v>69</v>
      </c>
      <c r="D751" s="149"/>
      <c r="E751" s="153" t="s">
        <v>70</v>
      </c>
      <c r="F751" s="148">
        <f>4</f>
        <v>4</v>
      </c>
      <c r="G751" s="156" t="s">
        <v>71</v>
      </c>
      <c r="H751" s="156">
        <f>F751</f>
        <v>4</v>
      </c>
      <c r="I751" s="166">
        <f>SUMIFS(Продажи!F$5:F$359,Продажи!$D$5:$D$359,Конструкторы!$B751,Продажи!$C$5:$C$359,Конструкторы!$A751)</f>
        <v>0</v>
      </c>
      <c r="J751" s="166">
        <f>SUMIFS(Продажи!G$5:G$359,Продажи!$D$5:$D$359,Конструкторы!$B751,Продажи!$C$5:$C$359,Конструкторы!$A751)</f>
        <v>0</v>
      </c>
      <c r="K751" s="166">
        <f>SUMIFS(Продажи!H$5:H$359,Продажи!$D$5:$D$359,Конструкторы!$B751,Продажи!$C$5:$C$359,Конструкторы!$A751)</f>
        <v>0</v>
      </c>
      <c r="L751" s="166">
        <f>SUMIFS(Продажи!I$5:I$359,Продажи!$D$5:$D$359,Конструкторы!$B751,Продажи!$C$5:$C$359,Конструкторы!$A751)</f>
        <v>0</v>
      </c>
      <c r="M751" s="166">
        <f>SUMIFS(Продажи!J$5:J$359,Продажи!$D$5:$D$359,Конструкторы!$B751,Продажи!$C$5:$C$359,Конструкторы!$A751)</f>
        <v>0</v>
      </c>
      <c r="N751" s="166">
        <f>SUMIFS(Продажи!K$5:K$359,Продажи!$D$5:$D$359,Конструкторы!$B751,Продажи!$C$5:$C$359,Конструкторы!$A751)</f>
        <v>0</v>
      </c>
      <c r="O751" s="166">
        <f>SUMIFS(Продажи!L$5:L$359,Продажи!$D$5:$D$359,Конструкторы!$B751,Продажи!$C$5:$C$359,Конструкторы!$A751)</f>
        <v>0</v>
      </c>
      <c r="P751" s="166">
        <f>SUMIFS(Продажи!M$5:M$359,Продажи!$D$5:$D$359,Конструкторы!$B751,Продажи!$C$5:$C$359,Конструкторы!$A751)</f>
        <v>0</v>
      </c>
      <c r="Q751" s="166">
        <f>SUMIFS(Продажи!N$5:N$359,Продажи!$D$5:$D$359,Конструкторы!$B751,Продажи!$C$5:$C$359,Конструкторы!$A751)</f>
        <v>0</v>
      </c>
      <c r="R751" s="166">
        <f>SUMIFS(Продажи!O$5:O$359,Продажи!$D$5:$D$359,Конструкторы!$B751,Продажи!$C$5:$C$359,Конструкторы!$A751)</f>
        <v>0</v>
      </c>
      <c r="S751" s="166">
        <f>SUMIFS(Продажи!P$5:P$359,Продажи!$D$5:$D$359,Конструкторы!$B751,Продажи!$C$5:$C$359,Конструкторы!$A751)</f>
        <v>0</v>
      </c>
      <c r="T751" s="166">
        <f>SUMIFS(Продажи!Q$5:Q$359,Продажи!$D$5:$D$359,Конструкторы!$B751,Продажи!$C$5:$C$359,Конструкторы!$A751)</f>
        <v>0</v>
      </c>
    </row>
    <row r="752" spans="1:20" ht="15.75" hidden="1" x14ac:dyDescent="0.25">
      <c r="A752" s="166" t="s">
        <v>397</v>
      </c>
      <c r="B752" s="167" t="s">
        <v>174</v>
      </c>
      <c r="C752" s="129" t="s">
        <v>53</v>
      </c>
      <c r="D752" s="130">
        <v>7038</v>
      </c>
      <c r="E752" s="153" t="s">
        <v>68</v>
      </c>
      <c r="F752" s="156">
        <f>(1.832*103)/100</f>
        <v>1.88696</v>
      </c>
      <c r="G752" s="156">
        <v>5.4959999999999898E-2</v>
      </c>
      <c r="H752" s="156">
        <f>F752+G752</f>
        <v>1.9419199999999999</v>
      </c>
      <c r="I752" s="166">
        <f>SUMIFS(Продажи!F$5:F$359,Продажи!$D$5:$D$359,Конструкторы!$B752,Продажи!$C$5:$C$359,Конструкторы!$A752)</f>
        <v>0</v>
      </c>
      <c r="J752" s="166">
        <f>SUMIFS(Продажи!G$5:G$359,Продажи!$D$5:$D$359,Конструкторы!$B752,Продажи!$C$5:$C$359,Конструкторы!$A752)</f>
        <v>0</v>
      </c>
      <c r="K752" s="166">
        <f>SUMIFS(Продажи!H$5:H$359,Продажи!$D$5:$D$359,Конструкторы!$B752,Продажи!$C$5:$C$359,Конструкторы!$A752)</f>
        <v>0</v>
      </c>
      <c r="L752" s="166">
        <f>SUMIFS(Продажи!I$5:I$359,Продажи!$D$5:$D$359,Конструкторы!$B752,Продажи!$C$5:$C$359,Конструкторы!$A752)</f>
        <v>0</v>
      </c>
      <c r="M752" s="166">
        <f>SUMIFS(Продажи!J$5:J$359,Продажи!$D$5:$D$359,Конструкторы!$B752,Продажи!$C$5:$C$359,Конструкторы!$A752)</f>
        <v>0</v>
      </c>
      <c r="N752" s="166">
        <f>SUMIFS(Продажи!K$5:K$359,Продажи!$D$5:$D$359,Конструкторы!$B752,Продажи!$C$5:$C$359,Конструкторы!$A752)</f>
        <v>0</v>
      </c>
      <c r="O752" s="166">
        <f>SUMIFS(Продажи!L$5:L$359,Продажи!$D$5:$D$359,Конструкторы!$B752,Продажи!$C$5:$C$359,Конструкторы!$A752)</f>
        <v>0</v>
      </c>
      <c r="P752" s="166">
        <f>SUMIFS(Продажи!M$5:M$359,Продажи!$D$5:$D$359,Конструкторы!$B752,Продажи!$C$5:$C$359,Конструкторы!$A752)</f>
        <v>0</v>
      </c>
      <c r="Q752" s="166">
        <f>SUMIFS(Продажи!N$5:N$359,Продажи!$D$5:$D$359,Конструкторы!$B752,Продажи!$C$5:$C$359,Конструкторы!$A752)</f>
        <v>0</v>
      </c>
      <c r="R752" s="166">
        <f>SUMIFS(Продажи!O$5:O$359,Продажи!$D$5:$D$359,Конструкторы!$B752,Продажи!$C$5:$C$359,Конструкторы!$A752)</f>
        <v>0</v>
      </c>
      <c r="S752" s="166">
        <f>SUMIFS(Продажи!P$5:P$359,Продажи!$D$5:$D$359,Конструкторы!$B752,Продажи!$C$5:$C$359,Конструкторы!$A752)</f>
        <v>0</v>
      </c>
      <c r="T752" s="166">
        <f>SUMIFS(Продажи!Q$5:Q$359,Продажи!$D$5:$D$359,Конструкторы!$B752,Продажи!$C$5:$C$359,Конструкторы!$A752)</f>
        <v>0</v>
      </c>
    </row>
    <row r="753" spans="1:20" ht="15.75" hidden="1" x14ac:dyDescent="0.25">
      <c r="A753" s="166" t="s">
        <v>397</v>
      </c>
      <c r="B753" s="167" t="s">
        <v>174</v>
      </c>
      <c r="C753" s="129" t="s">
        <v>52</v>
      </c>
      <c r="D753" s="149"/>
      <c r="E753" s="153" t="s">
        <v>68</v>
      </c>
      <c r="F753" s="156">
        <f>(0.707*103)/100</f>
        <v>0.72821000000000002</v>
      </c>
      <c r="G753" s="156">
        <v>2.1210000000000062E-2</v>
      </c>
      <c r="H753" s="156">
        <f>F753+G753</f>
        <v>0.74942000000000009</v>
      </c>
      <c r="I753" s="166">
        <f>SUMIFS(Продажи!F$5:F$359,Продажи!$D$5:$D$359,Конструкторы!$B753,Продажи!$C$5:$C$359,Конструкторы!$A753)</f>
        <v>0</v>
      </c>
      <c r="J753" s="166">
        <f>SUMIFS(Продажи!G$5:G$359,Продажи!$D$5:$D$359,Конструкторы!$B753,Продажи!$C$5:$C$359,Конструкторы!$A753)</f>
        <v>0</v>
      </c>
      <c r="K753" s="166">
        <f>SUMIFS(Продажи!H$5:H$359,Продажи!$D$5:$D$359,Конструкторы!$B753,Продажи!$C$5:$C$359,Конструкторы!$A753)</f>
        <v>0</v>
      </c>
      <c r="L753" s="166">
        <f>SUMIFS(Продажи!I$5:I$359,Продажи!$D$5:$D$359,Конструкторы!$B753,Продажи!$C$5:$C$359,Конструкторы!$A753)</f>
        <v>0</v>
      </c>
      <c r="M753" s="166">
        <f>SUMIFS(Продажи!J$5:J$359,Продажи!$D$5:$D$359,Конструкторы!$B753,Продажи!$C$5:$C$359,Конструкторы!$A753)</f>
        <v>0</v>
      </c>
      <c r="N753" s="166">
        <f>SUMIFS(Продажи!K$5:K$359,Продажи!$D$5:$D$359,Конструкторы!$B753,Продажи!$C$5:$C$359,Конструкторы!$A753)</f>
        <v>0</v>
      </c>
      <c r="O753" s="166">
        <f>SUMIFS(Продажи!L$5:L$359,Продажи!$D$5:$D$359,Конструкторы!$B753,Продажи!$C$5:$C$359,Конструкторы!$A753)</f>
        <v>0</v>
      </c>
      <c r="P753" s="166">
        <f>SUMIFS(Продажи!M$5:M$359,Продажи!$D$5:$D$359,Конструкторы!$B753,Продажи!$C$5:$C$359,Конструкторы!$A753)</f>
        <v>0</v>
      </c>
      <c r="Q753" s="166">
        <f>SUMIFS(Продажи!N$5:N$359,Продажи!$D$5:$D$359,Конструкторы!$B753,Продажи!$C$5:$C$359,Конструкторы!$A753)</f>
        <v>0</v>
      </c>
      <c r="R753" s="166">
        <f>SUMIFS(Продажи!O$5:O$359,Продажи!$D$5:$D$359,Конструкторы!$B753,Продажи!$C$5:$C$359,Конструкторы!$A753)</f>
        <v>0</v>
      </c>
      <c r="S753" s="166">
        <f>SUMIFS(Продажи!P$5:P$359,Продажи!$D$5:$D$359,Конструкторы!$B753,Продажи!$C$5:$C$359,Конструкторы!$A753)</f>
        <v>0</v>
      </c>
      <c r="T753" s="166">
        <f>SUMIFS(Продажи!Q$5:Q$359,Продажи!$D$5:$D$359,Конструкторы!$B753,Продажи!$C$5:$C$359,Конструкторы!$A753)</f>
        <v>0</v>
      </c>
    </row>
    <row r="754" spans="1:20" ht="15.75" hidden="1" x14ac:dyDescent="0.25">
      <c r="A754" s="166" t="s">
        <v>397</v>
      </c>
      <c r="B754" s="167" t="s">
        <v>174</v>
      </c>
      <c r="C754" s="33" t="s">
        <v>73</v>
      </c>
      <c r="D754" s="149"/>
      <c r="E754" s="153" t="s">
        <v>70</v>
      </c>
      <c r="F754" s="148">
        <f>2</f>
        <v>2</v>
      </c>
      <c r="G754" s="156" t="s">
        <v>71</v>
      </c>
      <c r="H754" s="156">
        <f>F754</f>
        <v>2</v>
      </c>
      <c r="I754" s="166">
        <f>SUMIFS(Продажи!F$5:F$359,Продажи!$D$5:$D$359,Конструкторы!$B754,Продажи!$C$5:$C$359,Конструкторы!$A754)</f>
        <v>0</v>
      </c>
      <c r="J754" s="166">
        <f>SUMIFS(Продажи!G$5:G$359,Продажи!$D$5:$D$359,Конструкторы!$B754,Продажи!$C$5:$C$359,Конструкторы!$A754)</f>
        <v>0</v>
      </c>
      <c r="K754" s="166">
        <f>SUMIFS(Продажи!H$5:H$359,Продажи!$D$5:$D$359,Конструкторы!$B754,Продажи!$C$5:$C$359,Конструкторы!$A754)</f>
        <v>0</v>
      </c>
      <c r="L754" s="166">
        <f>SUMIFS(Продажи!I$5:I$359,Продажи!$D$5:$D$359,Конструкторы!$B754,Продажи!$C$5:$C$359,Конструкторы!$A754)</f>
        <v>0</v>
      </c>
      <c r="M754" s="166">
        <f>SUMIFS(Продажи!J$5:J$359,Продажи!$D$5:$D$359,Конструкторы!$B754,Продажи!$C$5:$C$359,Конструкторы!$A754)</f>
        <v>0</v>
      </c>
      <c r="N754" s="166">
        <f>SUMIFS(Продажи!K$5:K$359,Продажи!$D$5:$D$359,Конструкторы!$B754,Продажи!$C$5:$C$359,Конструкторы!$A754)</f>
        <v>0</v>
      </c>
      <c r="O754" s="166">
        <f>SUMIFS(Продажи!L$5:L$359,Продажи!$D$5:$D$359,Конструкторы!$B754,Продажи!$C$5:$C$359,Конструкторы!$A754)</f>
        <v>0</v>
      </c>
      <c r="P754" s="166">
        <f>SUMIFS(Продажи!M$5:M$359,Продажи!$D$5:$D$359,Конструкторы!$B754,Продажи!$C$5:$C$359,Конструкторы!$A754)</f>
        <v>0</v>
      </c>
      <c r="Q754" s="166">
        <f>SUMIFS(Продажи!N$5:N$359,Продажи!$D$5:$D$359,Конструкторы!$B754,Продажи!$C$5:$C$359,Конструкторы!$A754)</f>
        <v>0</v>
      </c>
      <c r="R754" s="166">
        <f>SUMIFS(Продажи!O$5:O$359,Продажи!$D$5:$D$359,Конструкторы!$B754,Продажи!$C$5:$C$359,Конструкторы!$A754)</f>
        <v>0</v>
      </c>
      <c r="S754" s="166">
        <f>SUMIFS(Продажи!P$5:P$359,Продажи!$D$5:$D$359,Конструкторы!$B754,Продажи!$C$5:$C$359,Конструкторы!$A754)</f>
        <v>0</v>
      </c>
      <c r="T754" s="166">
        <f>SUMIFS(Продажи!Q$5:Q$359,Продажи!$D$5:$D$359,Конструкторы!$B754,Продажи!$C$5:$C$359,Конструкторы!$A754)</f>
        <v>0</v>
      </c>
    </row>
    <row r="755" spans="1:20" ht="15.75" hidden="1" x14ac:dyDescent="0.25">
      <c r="A755" s="166" t="s">
        <v>397</v>
      </c>
      <c r="B755" s="167" t="s">
        <v>174</v>
      </c>
      <c r="C755" s="33" t="s">
        <v>75</v>
      </c>
      <c r="D755" s="149"/>
      <c r="E755" s="153" t="s">
        <v>70</v>
      </c>
      <c r="F755" s="148">
        <f>8</f>
        <v>8</v>
      </c>
      <c r="G755" s="156" t="s">
        <v>71</v>
      </c>
      <c r="H755" s="156">
        <f>F755</f>
        <v>8</v>
      </c>
      <c r="I755" s="166">
        <f>SUMIFS(Продажи!F$5:F$359,Продажи!$D$5:$D$359,Конструкторы!$B755,Продажи!$C$5:$C$359,Конструкторы!$A755)</f>
        <v>0</v>
      </c>
      <c r="J755" s="166">
        <f>SUMIFS(Продажи!G$5:G$359,Продажи!$D$5:$D$359,Конструкторы!$B755,Продажи!$C$5:$C$359,Конструкторы!$A755)</f>
        <v>0</v>
      </c>
      <c r="K755" s="166">
        <f>SUMIFS(Продажи!H$5:H$359,Продажи!$D$5:$D$359,Конструкторы!$B755,Продажи!$C$5:$C$359,Конструкторы!$A755)</f>
        <v>0</v>
      </c>
      <c r="L755" s="166">
        <f>SUMIFS(Продажи!I$5:I$359,Продажи!$D$5:$D$359,Конструкторы!$B755,Продажи!$C$5:$C$359,Конструкторы!$A755)</f>
        <v>0</v>
      </c>
      <c r="M755" s="166">
        <f>SUMIFS(Продажи!J$5:J$359,Продажи!$D$5:$D$359,Конструкторы!$B755,Продажи!$C$5:$C$359,Конструкторы!$A755)</f>
        <v>0</v>
      </c>
      <c r="N755" s="166">
        <f>SUMIFS(Продажи!K$5:K$359,Продажи!$D$5:$D$359,Конструкторы!$B755,Продажи!$C$5:$C$359,Конструкторы!$A755)</f>
        <v>0</v>
      </c>
      <c r="O755" s="166">
        <f>SUMIFS(Продажи!L$5:L$359,Продажи!$D$5:$D$359,Конструкторы!$B755,Продажи!$C$5:$C$359,Конструкторы!$A755)</f>
        <v>0</v>
      </c>
      <c r="P755" s="166">
        <f>SUMIFS(Продажи!M$5:M$359,Продажи!$D$5:$D$359,Конструкторы!$B755,Продажи!$C$5:$C$359,Конструкторы!$A755)</f>
        <v>0</v>
      </c>
      <c r="Q755" s="166">
        <f>SUMIFS(Продажи!N$5:N$359,Продажи!$D$5:$D$359,Конструкторы!$B755,Продажи!$C$5:$C$359,Конструкторы!$A755)</f>
        <v>0</v>
      </c>
      <c r="R755" s="166">
        <f>SUMIFS(Продажи!O$5:O$359,Продажи!$D$5:$D$359,Конструкторы!$B755,Продажи!$C$5:$C$359,Конструкторы!$A755)</f>
        <v>0</v>
      </c>
      <c r="S755" s="166">
        <f>SUMIFS(Продажи!P$5:P$359,Продажи!$D$5:$D$359,Конструкторы!$B755,Продажи!$C$5:$C$359,Конструкторы!$A755)</f>
        <v>0</v>
      </c>
      <c r="T755" s="166">
        <f>SUMIFS(Продажи!Q$5:Q$359,Продажи!$D$5:$D$359,Конструкторы!$B755,Продажи!$C$5:$C$359,Конструкторы!$A755)</f>
        <v>0</v>
      </c>
    </row>
    <row r="756" spans="1:20" ht="15.75" hidden="1" x14ac:dyDescent="0.25">
      <c r="A756" s="166" t="s">
        <v>397</v>
      </c>
      <c r="B756" s="167" t="s">
        <v>174</v>
      </c>
      <c r="C756" s="33" t="s">
        <v>69</v>
      </c>
      <c r="D756" s="149"/>
      <c r="E756" s="153" t="s">
        <v>70</v>
      </c>
      <c r="F756" s="148">
        <f>4</f>
        <v>4</v>
      </c>
      <c r="G756" s="156" t="s">
        <v>71</v>
      </c>
      <c r="H756" s="156">
        <f>F756</f>
        <v>4</v>
      </c>
      <c r="I756" s="166">
        <f>SUMIFS(Продажи!F$5:F$359,Продажи!$D$5:$D$359,Конструкторы!$B756,Продажи!$C$5:$C$359,Конструкторы!$A756)</f>
        <v>0</v>
      </c>
      <c r="J756" s="166">
        <f>SUMIFS(Продажи!G$5:G$359,Продажи!$D$5:$D$359,Конструкторы!$B756,Продажи!$C$5:$C$359,Конструкторы!$A756)</f>
        <v>0</v>
      </c>
      <c r="K756" s="166">
        <f>SUMIFS(Продажи!H$5:H$359,Продажи!$D$5:$D$359,Конструкторы!$B756,Продажи!$C$5:$C$359,Конструкторы!$A756)</f>
        <v>0</v>
      </c>
      <c r="L756" s="166">
        <f>SUMIFS(Продажи!I$5:I$359,Продажи!$D$5:$D$359,Конструкторы!$B756,Продажи!$C$5:$C$359,Конструкторы!$A756)</f>
        <v>0</v>
      </c>
      <c r="M756" s="166">
        <f>SUMIFS(Продажи!J$5:J$359,Продажи!$D$5:$D$359,Конструкторы!$B756,Продажи!$C$5:$C$359,Конструкторы!$A756)</f>
        <v>0</v>
      </c>
      <c r="N756" s="166">
        <f>SUMIFS(Продажи!K$5:K$359,Продажи!$D$5:$D$359,Конструкторы!$B756,Продажи!$C$5:$C$359,Конструкторы!$A756)</f>
        <v>0</v>
      </c>
      <c r="O756" s="166">
        <f>SUMIFS(Продажи!L$5:L$359,Продажи!$D$5:$D$359,Конструкторы!$B756,Продажи!$C$5:$C$359,Конструкторы!$A756)</f>
        <v>0</v>
      </c>
      <c r="P756" s="166">
        <f>SUMIFS(Продажи!M$5:M$359,Продажи!$D$5:$D$359,Конструкторы!$B756,Продажи!$C$5:$C$359,Конструкторы!$A756)</f>
        <v>0</v>
      </c>
      <c r="Q756" s="166">
        <f>SUMIFS(Продажи!N$5:N$359,Продажи!$D$5:$D$359,Конструкторы!$B756,Продажи!$C$5:$C$359,Конструкторы!$A756)</f>
        <v>0</v>
      </c>
      <c r="R756" s="166">
        <f>SUMIFS(Продажи!O$5:O$359,Продажи!$D$5:$D$359,Конструкторы!$B756,Продажи!$C$5:$C$359,Конструкторы!$A756)</f>
        <v>0</v>
      </c>
      <c r="S756" s="166">
        <f>SUMIFS(Продажи!P$5:P$359,Продажи!$D$5:$D$359,Конструкторы!$B756,Продажи!$C$5:$C$359,Конструкторы!$A756)</f>
        <v>0</v>
      </c>
      <c r="T756" s="166">
        <f>SUMIFS(Продажи!Q$5:Q$359,Продажи!$D$5:$D$359,Конструкторы!$B756,Продажи!$C$5:$C$359,Конструкторы!$A756)</f>
        <v>0</v>
      </c>
    </row>
    <row r="757" spans="1:20" ht="15.75" hidden="1" x14ac:dyDescent="0.25">
      <c r="A757" s="166" t="s">
        <v>397</v>
      </c>
      <c r="B757" s="167" t="s">
        <v>176</v>
      </c>
      <c r="C757" s="129" t="s">
        <v>53</v>
      </c>
      <c r="D757" s="130">
        <v>7038</v>
      </c>
      <c r="E757" s="153" t="s">
        <v>68</v>
      </c>
      <c r="F757" s="156">
        <f>(1.591*103)/100</f>
        <v>1.6387299999999998</v>
      </c>
      <c r="G757" s="156">
        <v>4.7729999999999828E-2</v>
      </c>
      <c r="H757" s="156">
        <f>F757+G757</f>
        <v>1.6864599999999996</v>
      </c>
      <c r="I757" s="166">
        <f>SUMIFS(Продажи!F$5:F$359,Продажи!$D$5:$D$359,Конструкторы!$B757,Продажи!$C$5:$C$359,Конструкторы!$A757)</f>
        <v>0</v>
      </c>
      <c r="J757" s="166">
        <f>SUMIFS(Продажи!G$5:G$359,Продажи!$D$5:$D$359,Конструкторы!$B757,Продажи!$C$5:$C$359,Конструкторы!$A757)</f>
        <v>0</v>
      </c>
      <c r="K757" s="166">
        <f>SUMIFS(Продажи!H$5:H$359,Продажи!$D$5:$D$359,Конструкторы!$B757,Продажи!$C$5:$C$359,Конструкторы!$A757)</f>
        <v>0</v>
      </c>
      <c r="L757" s="166">
        <f>SUMIFS(Продажи!I$5:I$359,Продажи!$D$5:$D$359,Конструкторы!$B757,Продажи!$C$5:$C$359,Конструкторы!$A757)</f>
        <v>0</v>
      </c>
      <c r="M757" s="166">
        <f>SUMIFS(Продажи!J$5:J$359,Продажи!$D$5:$D$359,Конструкторы!$B757,Продажи!$C$5:$C$359,Конструкторы!$A757)</f>
        <v>0</v>
      </c>
      <c r="N757" s="166">
        <f>SUMIFS(Продажи!K$5:K$359,Продажи!$D$5:$D$359,Конструкторы!$B757,Продажи!$C$5:$C$359,Конструкторы!$A757)</f>
        <v>0</v>
      </c>
      <c r="O757" s="166">
        <f>SUMIFS(Продажи!L$5:L$359,Продажи!$D$5:$D$359,Конструкторы!$B757,Продажи!$C$5:$C$359,Конструкторы!$A757)</f>
        <v>0</v>
      </c>
      <c r="P757" s="166">
        <f>SUMIFS(Продажи!M$5:M$359,Продажи!$D$5:$D$359,Конструкторы!$B757,Продажи!$C$5:$C$359,Конструкторы!$A757)</f>
        <v>0</v>
      </c>
      <c r="Q757" s="166">
        <f>SUMIFS(Продажи!N$5:N$359,Продажи!$D$5:$D$359,Конструкторы!$B757,Продажи!$C$5:$C$359,Конструкторы!$A757)</f>
        <v>0</v>
      </c>
      <c r="R757" s="166">
        <f>SUMIFS(Продажи!O$5:O$359,Продажи!$D$5:$D$359,Конструкторы!$B757,Продажи!$C$5:$C$359,Конструкторы!$A757)</f>
        <v>0</v>
      </c>
      <c r="S757" s="166">
        <f>SUMIFS(Продажи!P$5:P$359,Продажи!$D$5:$D$359,Конструкторы!$B757,Продажи!$C$5:$C$359,Конструкторы!$A757)</f>
        <v>0</v>
      </c>
      <c r="T757" s="166">
        <f>SUMIFS(Продажи!Q$5:Q$359,Продажи!$D$5:$D$359,Конструкторы!$B757,Продажи!$C$5:$C$359,Конструкторы!$A757)</f>
        <v>0</v>
      </c>
    </row>
    <row r="758" spans="1:20" ht="15.75" hidden="1" x14ac:dyDescent="0.25">
      <c r="A758" s="166" t="s">
        <v>397</v>
      </c>
      <c r="B758" s="167" t="s">
        <v>176</v>
      </c>
      <c r="C758" s="129" t="s">
        <v>52</v>
      </c>
      <c r="D758" s="149"/>
      <c r="E758" s="153" t="s">
        <v>68</v>
      </c>
      <c r="F758" s="156">
        <f>(0.807*103)/100</f>
        <v>0.83121000000000012</v>
      </c>
      <c r="G758" s="156">
        <v>2.4210000000000065E-2</v>
      </c>
      <c r="H758" s="156">
        <f>F758+G758</f>
        <v>0.85542000000000018</v>
      </c>
      <c r="I758" s="166">
        <f>SUMIFS(Продажи!F$5:F$359,Продажи!$D$5:$D$359,Конструкторы!$B758,Продажи!$C$5:$C$359,Конструкторы!$A758)</f>
        <v>0</v>
      </c>
      <c r="J758" s="166">
        <f>SUMIFS(Продажи!G$5:G$359,Продажи!$D$5:$D$359,Конструкторы!$B758,Продажи!$C$5:$C$359,Конструкторы!$A758)</f>
        <v>0</v>
      </c>
      <c r="K758" s="166">
        <f>SUMIFS(Продажи!H$5:H$359,Продажи!$D$5:$D$359,Конструкторы!$B758,Продажи!$C$5:$C$359,Конструкторы!$A758)</f>
        <v>0</v>
      </c>
      <c r="L758" s="166">
        <f>SUMIFS(Продажи!I$5:I$359,Продажи!$D$5:$D$359,Конструкторы!$B758,Продажи!$C$5:$C$359,Конструкторы!$A758)</f>
        <v>0</v>
      </c>
      <c r="M758" s="166">
        <f>SUMIFS(Продажи!J$5:J$359,Продажи!$D$5:$D$359,Конструкторы!$B758,Продажи!$C$5:$C$359,Конструкторы!$A758)</f>
        <v>0</v>
      </c>
      <c r="N758" s="166">
        <f>SUMIFS(Продажи!K$5:K$359,Продажи!$D$5:$D$359,Конструкторы!$B758,Продажи!$C$5:$C$359,Конструкторы!$A758)</f>
        <v>0</v>
      </c>
      <c r="O758" s="166">
        <f>SUMIFS(Продажи!L$5:L$359,Продажи!$D$5:$D$359,Конструкторы!$B758,Продажи!$C$5:$C$359,Конструкторы!$A758)</f>
        <v>0</v>
      </c>
      <c r="P758" s="166">
        <f>SUMIFS(Продажи!M$5:M$359,Продажи!$D$5:$D$359,Конструкторы!$B758,Продажи!$C$5:$C$359,Конструкторы!$A758)</f>
        <v>0</v>
      </c>
      <c r="Q758" s="166">
        <f>SUMIFS(Продажи!N$5:N$359,Продажи!$D$5:$D$359,Конструкторы!$B758,Продажи!$C$5:$C$359,Конструкторы!$A758)</f>
        <v>0</v>
      </c>
      <c r="R758" s="166">
        <f>SUMIFS(Продажи!O$5:O$359,Продажи!$D$5:$D$359,Конструкторы!$B758,Продажи!$C$5:$C$359,Конструкторы!$A758)</f>
        <v>0</v>
      </c>
      <c r="S758" s="166">
        <f>SUMIFS(Продажи!P$5:P$359,Продажи!$D$5:$D$359,Конструкторы!$B758,Продажи!$C$5:$C$359,Конструкторы!$A758)</f>
        <v>0</v>
      </c>
      <c r="T758" s="166">
        <f>SUMIFS(Продажи!Q$5:Q$359,Продажи!$D$5:$D$359,Конструкторы!$B758,Продажи!$C$5:$C$359,Конструкторы!$A758)</f>
        <v>0</v>
      </c>
    </row>
    <row r="759" spans="1:20" ht="15.75" hidden="1" x14ac:dyDescent="0.25">
      <c r="A759" s="166" t="s">
        <v>397</v>
      </c>
      <c r="B759" s="167" t="s">
        <v>176</v>
      </c>
      <c r="C759" s="33" t="s">
        <v>73</v>
      </c>
      <c r="D759" s="149"/>
      <c r="E759" s="153" t="s">
        <v>70</v>
      </c>
      <c r="F759" s="148">
        <f>2</f>
        <v>2</v>
      </c>
      <c r="G759" s="156" t="s">
        <v>71</v>
      </c>
      <c r="H759" s="156">
        <f>F759</f>
        <v>2</v>
      </c>
      <c r="I759" s="166">
        <f>SUMIFS(Продажи!F$5:F$359,Продажи!$D$5:$D$359,Конструкторы!$B759,Продажи!$C$5:$C$359,Конструкторы!$A759)</f>
        <v>0</v>
      </c>
      <c r="J759" s="166">
        <f>SUMIFS(Продажи!G$5:G$359,Продажи!$D$5:$D$359,Конструкторы!$B759,Продажи!$C$5:$C$359,Конструкторы!$A759)</f>
        <v>0</v>
      </c>
      <c r="K759" s="166">
        <f>SUMIFS(Продажи!H$5:H$359,Продажи!$D$5:$D$359,Конструкторы!$B759,Продажи!$C$5:$C$359,Конструкторы!$A759)</f>
        <v>0</v>
      </c>
      <c r="L759" s="166">
        <f>SUMIFS(Продажи!I$5:I$359,Продажи!$D$5:$D$359,Конструкторы!$B759,Продажи!$C$5:$C$359,Конструкторы!$A759)</f>
        <v>0</v>
      </c>
      <c r="M759" s="166">
        <f>SUMIFS(Продажи!J$5:J$359,Продажи!$D$5:$D$359,Конструкторы!$B759,Продажи!$C$5:$C$359,Конструкторы!$A759)</f>
        <v>0</v>
      </c>
      <c r="N759" s="166">
        <f>SUMIFS(Продажи!K$5:K$359,Продажи!$D$5:$D$359,Конструкторы!$B759,Продажи!$C$5:$C$359,Конструкторы!$A759)</f>
        <v>0</v>
      </c>
      <c r="O759" s="166">
        <f>SUMIFS(Продажи!L$5:L$359,Продажи!$D$5:$D$359,Конструкторы!$B759,Продажи!$C$5:$C$359,Конструкторы!$A759)</f>
        <v>0</v>
      </c>
      <c r="P759" s="166">
        <f>SUMIFS(Продажи!M$5:M$359,Продажи!$D$5:$D$359,Конструкторы!$B759,Продажи!$C$5:$C$359,Конструкторы!$A759)</f>
        <v>0</v>
      </c>
      <c r="Q759" s="166">
        <f>SUMIFS(Продажи!N$5:N$359,Продажи!$D$5:$D$359,Конструкторы!$B759,Продажи!$C$5:$C$359,Конструкторы!$A759)</f>
        <v>0</v>
      </c>
      <c r="R759" s="166">
        <f>SUMIFS(Продажи!O$5:O$359,Продажи!$D$5:$D$359,Конструкторы!$B759,Продажи!$C$5:$C$359,Конструкторы!$A759)</f>
        <v>0</v>
      </c>
      <c r="S759" s="166">
        <f>SUMIFS(Продажи!P$5:P$359,Продажи!$D$5:$D$359,Конструкторы!$B759,Продажи!$C$5:$C$359,Конструкторы!$A759)</f>
        <v>0</v>
      </c>
      <c r="T759" s="166">
        <f>SUMIFS(Продажи!Q$5:Q$359,Продажи!$D$5:$D$359,Конструкторы!$B759,Продажи!$C$5:$C$359,Конструкторы!$A759)</f>
        <v>0</v>
      </c>
    </row>
    <row r="760" spans="1:20" ht="15.75" hidden="1" x14ac:dyDescent="0.25">
      <c r="A760" s="166" t="s">
        <v>397</v>
      </c>
      <c r="B760" s="167" t="s">
        <v>176</v>
      </c>
      <c r="C760" s="33" t="s">
        <v>75</v>
      </c>
      <c r="D760" s="149"/>
      <c r="E760" s="153" t="s">
        <v>70</v>
      </c>
      <c r="F760" s="148">
        <f>8</f>
        <v>8</v>
      </c>
      <c r="G760" s="156" t="s">
        <v>71</v>
      </c>
      <c r="H760" s="156">
        <f>F760</f>
        <v>8</v>
      </c>
      <c r="I760" s="166">
        <f>SUMIFS(Продажи!F$5:F$359,Продажи!$D$5:$D$359,Конструкторы!$B760,Продажи!$C$5:$C$359,Конструкторы!$A760)</f>
        <v>0</v>
      </c>
      <c r="J760" s="166">
        <f>SUMIFS(Продажи!G$5:G$359,Продажи!$D$5:$D$359,Конструкторы!$B760,Продажи!$C$5:$C$359,Конструкторы!$A760)</f>
        <v>0</v>
      </c>
      <c r="K760" s="166">
        <f>SUMIFS(Продажи!H$5:H$359,Продажи!$D$5:$D$359,Конструкторы!$B760,Продажи!$C$5:$C$359,Конструкторы!$A760)</f>
        <v>0</v>
      </c>
      <c r="L760" s="166">
        <f>SUMIFS(Продажи!I$5:I$359,Продажи!$D$5:$D$359,Конструкторы!$B760,Продажи!$C$5:$C$359,Конструкторы!$A760)</f>
        <v>0</v>
      </c>
      <c r="M760" s="166">
        <f>SUMIFS(Продажи!J$5:J$359,Продажи!$D$5:$D$359,Конструкторы!$B760,Продажи!$C$5:$C$359,Конструкторы!$A760)</f>
        <v>0</v>
      </c>
      <c r="N760" s="166">
        <f>SUMIFS(Продажи!K$5:K$359,Продажи!$D$5:$D$359,Конструкторы!$B760,Продажи!$C$5:$C$359,Конструкторы!$A760)</f>
        <v>0</v>
      </c>
      <c r="O760" s="166">
        <f>SUMIFS(Продажи!L$5:L$359,Продажи!$D$5:$D$359,Конструкторы!$B760,Продажи!$C$5:$C$359,Конструкторы!$A760)</f>
        <v>0</v>
      </c>
      <c r="P760" s="166">
        <f>SUMIFS(Продажи!M$5:M$359,Продажи!$D$5:$D$359,Конструкторы!$B760,Продажи!$C$5:$C$359,Конструкторы!$A760)</f>
        <v>0</v>
      </c>
      <c r="Q760" s="166">
        <f>SUMIFS(Продажи!N$5:N$359,Продажи!$D$5:$D$359,Конструкторы!$B760,Продажи!$C$5:$C$359,Конструкторы!$A760)</f>
        <v>0</v>
      </c>
      <c r="R760" s="166">
        <f>SUMIFS(Продажи!O$5:O$359,Продажи!$D$5:$D$359,Конструкторы!$B760,Продажи!$C$5:$C$359,Конструкторы!$A760)</f>
        <v>0</v>
      </c>
      <c r="S760" s="166">
        <f>SUMIFS(Продажи!P$5:P$359,Продажи!$D$5:$D$359,Конструкторы!$B760,Продажи!$C$5:$C$359,Конструкторы!$A760)</f>
        <v>0</v>
      </c>
      <c r="T760" s="166">
        <f>SUMIFS(Продажи!Q$5:Q$359,Продажи!$D$5:$D$359,Конструкторы!$B760,Продажи!$C$5:$C$359,Конструкторы!$A760)</f>
        <v>0</v>
      </c>
    </row>
    <row r="761" spans="1:20" ht="15.75" hidden="1" x14ac:dyDescent="0.25">
      <c r="A761" s="166" t="s">
        <v>397</v>
      </c>
      <c r="B761" s="167" t="s">
        <v>176</v>
      </c>
      <c r="C761" s="33" t="s">
        <v>69</v>
      </c>
      <c r="D761" s="149"/>
      <c r="E761" s="153" t="s">
        <v>70</v>
      </c>
      <c r="F761" s="148">
        <f>4</f>
        <v>4</v>
      </c>
      <c r="G761" s="156" t="s">
        <v>71</v>
      </c>
      <c r="H761" s="156">
        <f>F761</f>
        <v>4</v>
      </c>
      <c r="I761" s="166">
        <f>SUMIFS(Продажи!F$5:F$359,Продажи!$D$5:$D$359,Конструкторы!$B761,Продажи!$C$5:$C$359,Конструкторы!$A761)</f>
        <v>0</v>
      </c>
      <c r="J761" s="166">
        <f>SUMIFS(Продажи!G$5:G$359,Продажи!$D$5:$D$359,Конструкторы!$B761,Продажи!$C$5:$C$359,Конструкторы!$A761)</f>
        <v>0</v>
      </c>
      <c r="K761" s="166">
        <f>SUMIFS(Продажи!H$5:H$359,Продажи!$D$5:$D$359,Конструкторы!$B761,Продажи!$C$5:$C$359,Конструкторы!$A761)</f>
        <v>0</v>
      </c>
      <c r="L761" s="166">
        <f>SUMIFS(Продажи!I$5:I$359,Продажи!$D$5:$D$359,Конструкторы!$B761,Продажи!$C$5:$C$359,Конструкторы!$A761)</f>
        <v>0</v>
      </c>
      <c r="M761" s="166">
        <f>SUMIFS(Продажи!J$5:J$359,Продажи!$D$5:$D$359,Конструкторы!$B761,Продажи!$C$5:$C$359,Конструкторы!$A761)</f>
        <v>0</v>
      </c>
      <c r="N761" s="166">
        <f>SUMIFS(Продажи!K$5:K$359,Продажи!$D$5:$D$359,Конструкторы!$B761,Продажи!$C$5:$C$359,Конструкторы!$A761)</f>
        <v>0</v>
      </c>
      <c r="O761" s="166">
        <f>SUMIFS(Продажи!L$5:L$359,Продажи!$D$5:$D$359,Конструкторы!$B761,Продажи!$C$5:$C$359,Конструкторы!$A761)</f>
        <v>0</v>
      </c>
      <c r="P761" s="166">
        <f>SUMIFS(Продажи!M$5:M$359,Продажи!$D$5:$D$359,Конструкторы!$B761,Продажи!$C$5:$C$359,Конструкторы!$A761)</f>
        <v>0</v>
      </c>
      <c r="Q761" s="166">
        <f>SUMIFS(Продажи!N$5:N$359,Продажи!$D$5:$D$359,Конструкторы!$B761,Продажи!$C$5:$C$359,Конструкторы!$A761)</f>
        <v>0</v>
      </c>
      <c r="R761" s="166">
        <f>SUMIFS(Продажи!O$5:O$359,Продажи!$D$5:$D$359,Конструкторы!$B761,Продажи!$C$5:$C$359,Конструкторы!$A761)</f>
        <v>0</v>
      </c>
      <c r="S761" s="166">
        <f>SUMIFS(Продажи!P$5:P$359,Продажи!$D$5:$D$359,Конструкторы!$B761,Продажи!$C$5:$C$359,Конструкторы!$A761)</f>
        <v>0</v>
      </c>
      <c r="T761" s="166">
        <f>SUMIFS(Продажи!Q$5:Q$359,Продажи!$D$5:$D$359,Конструкторы!$B761,Продажи!$C$5:$C$359,Конструкторы!$A761)</f>
        <v>0</v>
      </c>
    </row>
    <row r="762" spans="1:20" ht="15.75" hidden="1" x14ac:dyDescent="0.25">
      <c r="A762" s="166" t="s">
        <v>397</v>
      </c>
      <c r="B762" s="167" t="s">
        <v>178</v>
      </c>
      <c r="C762" s="129" t="s">
        <v>53</v>
      </c>
      <c r="D762" s="130">
        <v>7038</v>
      </c>
      <c r="E762" s="153" t="s">
        <v>68</v>
      </c>
      <c r="F762" s="156">
        <f>(1.35*103)/100</f>
        <v>1.3905000000000001</v>
      </c>
      <c r="G762" s="156">
        <v>4.049999999999998E-2</v>
      </c>
      <c r="H762" s="156">
        <f>F762+G762</f>
        <v>1.431</v>
      </c>
      <c r="I762" s="166">
        <f>SUMIFS(Продажи!F$5:F$359,Продажи!$D$5:$D$359,Конструкторы!$B762,Продажи!$C$5:$C$359,Конструкторы!$A762)</f>
        <v>0</v>
      </c>
      <c r="J762" s="166">
        <f>SUMIFS(Продажи!G$5:G$359,Продажи!$D$5:$D$359,Конструкторы!$B762,Продажи!$C$5:$C$359,Конструкторы!$A762)</f>
        <v>0</v>
      </c>
      <c r="K762" s="166">
        <f>SUMIFS(Продажи!H$5:H$359,Продажи!$D$5:$D$359,Конструкторы!$B762,Продажи!$C$5:$C$359,Конструкторы!$A762)</f>
        <v>0</v>
      </c>
      <c r="L762" s="166">
        <f>SUMIFS(Продажи!I$5:I$359,Продажи!$D$5:$D$359,Конструкторы!$B762,Продажи!$C$5:$C$359,Конструкторы!$A762)</f>
        <v>0</v>
      </c>
      <c r="M762" s="166">
        <f>SUMIFS(Продажи!J$5:J$359,Продажи!$D$5:$D$359,Конструкторы!$B762,Продажи!$C$5:$C$359,Конструкторы!$A762)</f>
        <v>0</v>
      </c>
      <c r="N762" s="166">
        <f>SUMIFS(Продажи!K$5:K$359,Продажи!$D$5:$D$359,Конструкторы!$B762,Продажи!$C$5:$C$359,Конструкторы!$A762)</f>
        <v>0</v>
      </c>
      <c r="O762" s="166">
        <f>SUMIFS(Продажи!L$5:L$359,Продажи!$D$5:$D$359,Конструкторы!$B762,Продажи!$C$5:$C$359,Конструкторы!$A762)</f>
        <v>0</v>
      </c>
      <c r="P762" s="166">
        <f>SUMIFS(Продажи!M$5:M$359,Продажи!$D$5:$D$359,Конструкторы!$B762,Продажи!$C$5:$C$359,Конструкторы!$A762)</f>
        <v>0</v>
      </c>
      <c r="Q762" s="166">
        <f>SUMIFS(Продажи!N$5:N$359,Продажи!$D$5:$D$359,Конструкторы!$B762,Продажи!$C$5:$C$359,Конструкторы!$A762)</f>
        <v>0</v>
      </c>
      <c r="R762" s="166">
        <f>SUMIFS(Продажи!O$5:O$359,Продажи!$D$5:$D$359,Конструкторы!$B762,Продажи!$C$5:$C$359,Конструкторы!$A762)</f>
        <v>0</v>
      </c>
      <c r="S762" s="166">
        <f>SUMIFS(Продажи!P$5:P$359,Продажи!$D$5:$D$359,Конструкторы!$B762,Продажи!$C$5:$C$359,Конструкторы!$A762)</f>
        <v>0</v>
      </c>
      <c r="T762" s="166">
        <f>SUMIFS(Продажи!Q$5:Q$359,Продажи!$D$5:$D$359,Конструкторы!$B762,Продажи!$C$5:$C$359,Конструкторы!$A762)</f>
        <v>0</v>
      </c>
    </row>
    <row r="763" spans="1:20" ht="15.75" hidden="1" x14ac:dyDescent="0.25">
      <c r="A763" s="166" t="s">
        <v>397</v>
      </c>
      <c r="B763" s="167" t="s">
        <v>178</v>
      </c>
      <c r="C763" s="129" t="s">
        <v>52</v>
      </c>
      <c r="D763" s="149"/>
      <c r="E763" s="153" t="s">
        <v>68</v>
      </c>
      <c r="F763" s="156">
        <f>(0.908*103)/100</f>
        <v>0.93523999999999996</v>
      </c>
      <c r="G763" s="156">
        <v>2.7239999999999931E-2</v>
      </c>
      <c r="H763" s="156">
        <f>F763+G763</f>
        <v>0.96247999999999989</v>
      </c>
      <c r="I763" s="166">
        <f>SUMIFS(Продажи!F$5:F$359,Продажи!$D$5:$D$359,Конструкторы!$B763,Продажи!$C$5:$C$359,Конструкторы!$A763)</f>
        <v>0</v>
      </c>
      <c r="J763" s="166">
        <f>SUMIFS(Продажи!G$5:G$359,Продажи!$D$5:$D$359,Конструкторы!$B763,Продажи!$C$5:$C$359,Конструкторы!$A763)</f>
        <v>0</v>
      </c>
      <c r="K763" s="166">
        <f>SUMIFS(Продажи!H$5:H$359,Продажи!$D$5:$D$359,Конструкторы!$B763,Продажи!$C$5:$C$359,Конструкторы!$A763)</f>
        <v>0</v>
      </c>
      <c r="L763" s="166">
        <f>SUMIFS(Продажи!I$5:I$359,Продажи!$D$5:$D$359,Конструкторы!$B763,Продажи!$C$5:$C$359,Конструкторы!$A763)</f>
        <v>0</v>
      </c>
      <c r="M763" s="166">
        <f>SUMIFS(Продажи!J$5:J$359,Продажи!$D$5:$D$359,Конструкторы!$B763,Продажи!$C$5:$C$359,Конструкторы!$A763)</f>
        <v>0</v>
      </c>
      <c r="N763" s="166">
        <f>SUMIFS(Продажи!K$5:K$359,Продажи!$D$5:$D$359,Конструкторы!$B763,Продажи!$C$5:$C$359,Конструкторы!$A763)</f>
        <v>0</v>
      </c>
      <c r="O763" s="166">
        <f>SUMIFS(Продажи!L$5:L$359,Продажи!$D$5:$D$359,Конструкторы!$B763,Продажи!$C$5:$C$359,Конструкторы!$A763)</f>
        <v>0</v>
      </c>
      <c r="P763" s="166">
        <f>SUMIFS(Продажи!M$5:M$359,Продажи!$D$5:$D$359,Конструкторы!$B763,Продажи!$C$5:$C$359,Конструкторы!$A763)</f>
        <v>0</v>
      </c>
      <c r="Q763" s="166">
        <f>SUMIFS(Продажи!N$5:N$359,Продажи!$D$5:$D$359,Конструкторы!$B763,Продажи!$C$5:$C$359,Конструкторы!$A763)</f>
        <v>0</v>
      </c>
      <c r="R763" s="166">
        <f>SUMIFS(Продажи!O$5:O$359,Продажи!$D$5:$D$359,Конструкторы!$B763,Продажи!$C$5:$C$359,Конструкторы!$A763)</f>
        <v>0</v>
      </c>
      <c r="S763" s="166">
        <f>SUMIFS(Продажи!P$5:P$359,Продажи!$D$5:$D$359,Конструкторы!$B763,Продажи!$C$5:$C$359,Конструкторы!$A763)</f>
        <v>0</v>
      </c>
      <c r="T763" s="166">
        <f>SUMIFS(Продажи!Q$5:Q$359,Продажи!$D$5:$D$359,Конструкторы!$B763,Продажи!$C$5:$C$359,Конструкторы!$A763)</f>
        <v>0</v>
      </c>
    </row>
    <row r="764" spans="1:20" ht="15.75" hidden="1" x14ac:dyDescent="0.25">
      <c r="A764" s="166" t="s">
        <v>397</v>
      </c>
      <c r="B764" s="167" t="s">
        <v>178</v>
      </c>
      <c r="C764" s="33" t="s">
        <v>73</v>
      </c>
      <c r="D764" s="149"/>
      <c r="E764" s="153" t="s">
        <v>70</v>
      </c>
      <c r="F764" s="148">
        <f>2</f>
        <v>2</v>
      </c>
      <c r="G764" s="156" t="s">
        <v>71</v>
      </c>
      <c r="H764" s="156">
        <f>F764</f>
        <v>2</v>
      </c>
      <c r="I764" s="166">
        <f>SUMIFS(Продажи!F$5:F$359,Продажи!$D$5:$D$359,Конструкторы!$B764,Продажи!$C$5:$C$359,Конструкторы!$A764)</f>
        <v>0</v>
      </c>
      <c r="J764" s="166">
        <f>SUMIFS(Продажи!G$5:G$359,Продажи!$D$5:$D$359,Конструкторы!$B764,Продажи!$C$5:$C$359,Конструкторы!$A764)</f>
        <v>0</v>
      </c>
      <c r="K764" s="166">
        <f>SUMIFS(Продажи!H$5:H$359,Продажи!$D$5:$D$359,Конструкторы!$B764,Продажи!$C$5:$C$359,Конструкторы!$A764)</f>
        <v>0</v>
      </c>
      <c r="L764" s="166">
        <f>SUMIFS(Продажи!I$5:I$359,Продажи!$D$5:$D$359,Конструкторы!$B764,Продажи!$C$5:$C$359,Конструкторы!$A764)</f>
        <v>0</v>
      </c>
      <c r="M764" s="166">
        <f>SUMIFS(Продажи!J$5:J$359,Продажи!$D$5:$D$359,Конструкторы!$B764,Продажи!$C$5:$C$359,Конструкторы!$A764)</f>
        <v>0</v>
      </c>
      <c r="N764" s="166">
        <f>SUMIFS(Продажи!K$5:K$359,Продажи!$D$5:$D$359,Конструкторы!$B764,Продажи!$C$5:$C$359,Конструкторы!$A764)</f>
        <v>0</v>
      </c>
      <c r="O764" s="166">
        <f>SUMIFS(Продажи!L$5:L$359,Продажи!$D$5:$D$359,Конструкторы!$B764,Продажи!$C$5:$C$359,Конструкторы!$A764)</f>
        <v>0</v>
      </c>
      <c r="P764" s="166">
        <f>SUMIFS(Продажи!M$5:M$359,Продажи!$D$5:$D$359,Конструкторы!$B764,Продажи!$C$5:$C$359,Конструкторы!$A764)</f>
        <v>0</v>
      </c>
      <c r="Q764" s="166">
        <f>SUMIFS(Продажи!N$5:N$359,Продажи!$D$5:$D$359,Конструкторы!$B764,Продажи!$C$5:$C$359,Конструкторы!$A764)</f>
        <v>0</v>
      </c>
      <c r="R764" s="166">
        <f>SUMIFS(Продажи!O$5:O$359,Продажи!$D$5:$D$359,Конструкторы!$B764,Продажи!$C$5:$C$359,Конструкторы!$A764)</f>
        <v>0</v>
      </c>
      <c r="S764" s="166">
        <f>SUMIFS(Продажи!P$5:P$359,Продажи!$D$5:$D$359,Конструкторы!$B764,Продажи!$C$5:$C$359,Конструкторы!$A764)</f>
        <v>0</v>
      </c>
      <c r="T764" s="166">
        <f>SUMIFS(Продажи!Q$5:Q$359,Продажи!$D$5:$D$359,Конструкторы!$B764,Продажи!$C$5:$C$359,Конструкторы!$A764)</f>
        <v>0</v>
      </c>
    </row>
    <row r="765" spans="1:20" ht="15.75" hidden="1" x14ac:dyDescent="0.25">
      <c r="A765" s="166" t="s">
        <v>397</v>
      </c>
      <c r="B765" s="167" t="s">
        <v>178</v>
      </c>
      <c r="C765" s="33" t="s">
        <v>75</v>
      </c>
      <c r="D765" s="149"/>
      <c r="E765" s="153" t="s">
        <v>70</v>
      </c>
      <c r="F765" s="148">
        <f>8</f>
        <v>8</v>
      </c>
      <c r="G765" s="156" t="s">
        <v>71</v>
      </c>
      <c r="H765" s="156">
        <f>F765</f>
        <v>8</v>
      </c>
      <c r="I765" s="166">
        <f>SUMIFS(Продажи!F$5:F$359,Продажи!$D$5:$D$359,Конструкторы!$B765,Продажи!$C$5:$C$359,Конструкторы!$A765)</f>
        <v>0</v>
      </c>
      <c r="J765" s="166">
        <f>SUMIFS(Продажи!G$5:G$359,Продажи!$D$5:$D$359,Конструкторы!$B765,Продажи!$C$5:$C$359,Конструкторы!$A765)</f>
        <v>0</v>
      </c>
      <c r="K765" s="166">
        <f>SUMIFS(Продажи!H$5:H$359,Продажи!$D$5:$D$359,Конструкторы!$B765,Продажи!$C$5:$C$359,Конструкторы!$A765)</f>
        <v>0</v>
      </c>
      <c r="L765" s="166">
        <f>SUMIFS(Продажи!I$5:I$359,Продажи!$D$5:$D$359,Конструкторы!$B765,Продажи!$C$5:$C$359,Конструкторы!$A765)</f>
        <v>0</v>
      </c>
      <c r="M765" s="166">
        <f>SUMIFS(Продажи!J$5:J$359,Продажи!$D$5:$D$359,Конструкторы!$B765,Продажи!$C$5:$C$359,Конструкторы!$A765)</f>
        <v>0</v>
      </c>
      <c r="N765" s="166">
        <f>SUMIFS(Продажи!K$5:K$359,Продажи!$D$5:$D$359,Конструкторы!$B765,Продажи!$C$5:$C$359,Конструкторы!$A765)</f>
        <v>0</v>
      </c>
      <c r="O765" s="166">
        <f>SUMIFS(Продажи!L$5:L$359,Продажи!$D$5:$D$359,Конструкторы!$B765,Продажи!$C$5:$C$359,Конструкторы!$A765)</f>
        <v>0</v>
      </c>
      <c r="P765" s="166">
        <f>SUMIFS(Продажи!M$5:M$359,Продажи!$D$5:$D$359,Конструкторы!$B765,Продажи!$C$5:$C$359,Конструкторы!$A765)</f>
        <v>0</v>
      </c>
      <c r="Q765" s="166">
        <f>SUMIFS(Продажи!N$5:N$359,Продажи!$D$5:$D$359,Конструкторы!$B765,Продажи!$C$5:$C$359,Конструкторы!$A765)</f>
        <v>0</v>
      </c>
      <c r="R765" s="166">
        <f>SUMIFS(Продажи!O$5:O$359,Продажи!$D$5:$D$359,Конструкторы!$B765,Продажи!$C$5:$C$359,Конструкторы!$A765)</f>
        <v>0</v>
      </c>
      <c r="S765" s="166">
        <f>SUMIFS(Продажи!P$5:P$359,Продажи!$D$5:$D$359,Конструкторы!$B765,Продажи!$C$5:$C$359,Конструкторы!$A765)</f>
        <v>0</v>
      </c>
      <c r="T765" s="166">
        <f>SUMIFS(Продажи!Q$5:Q$359,Продажи!$D$5:$D$359,Конструкторы!$B765,Продажи!$C$5:$C$359,Конструкторы!$A765)</f>
        <v>0</v>
      </c>
    </row>
    <row r="766" spans="1:20" ht="15.75" hidden="1" x14ac:dyDescent="0.25">
      <c r="A766" s="166" t="s">
        <v>397</v>
      </c>
      <c r="B766" s="167" t="s">
        <v>178</v>
      </c>
      <c r="C766" s="33" t="s">
        <v>69</v>
      </c>
      <c r="D766" s="149"/>
      <c r="E766" s="153" t="s">
        <v>70</v>
      </c>
      <c r="F766" s="148">
        <f>4</f>
        <v>4</v>
      </c>
      <c r="G766" s="156" t="s">
        <v>71</v>
      </c>
      <c r="H766" s="156">
        <f>F766</f>
        <v>4</v>
      </c>
      <c r="I766" s="166">
        <f>SUMIFS(Продажи!F$5:F$359,Продажи!$D$5:$D$359,Конструкторы!$B766,Продажи!$C$5:$C$359,Конструкторы!$A766)</f>
        <v>0</v>
      </c>
      <c r="J766" s="166">
        <f>SUMIFS(Продажи!G$5:G$359,Продажи!$D$5:$D$359,Конструкторы!$B766,Продажи!$C$5:$C$359,Конструкторы!$A766)</f>
        <v>0</v>
      </c>
      <c r="K766" s="166">
        <f>SUMIFS(Продажи!H$5:H$359,Продажи!$D$5:$D$359,Конструкторы!$B766,Продажи!$C$5:$C$359,Конструкторы!$A766)</f>
        <v>0</v>
      </c>
      <c r="L766" s="166">
        <f>SUMIFS(Продажи!I$5:I$359,Продажи!$D$5:$D$359,Конструкторы!$B766,Продажи!$C$5:$C$359,Конструкторы!$A766)</f>
        <v>0</v>
      </c>
      <c r="M766" s="166">
        <f>SUMIFS(Продажи!J$5:J$359,Продажи!$D$5:$D$359,Конструкторы!$B766,Продажи!$C$5:$C$359,Конструкторы!$A766)</f>
        <v>0</v>
      </c>
      <c r="N766" s="166">
        <f>SUMIFS(Продажи!K$5:K$359,Продажи!$D$5:$D$359,Конструкторы!$B766,Продажи!$C$5:$C$359,Конструкторы!$A766)</f>
        <v>0</v>
      </c>
      <c r="O766" s="166">
        <f>SUMIFS(Продажи!L$5:L$359,Продажи!$D$5:$D$359,Конструкторы!$B766,Продажи!$C$5:$C$359,Конструкторы!$A766)</f>
        <v>0</v>
      </c>
      <c r="P766" s="166">
        <f>SUMIFS(Продажи!M$5:M$359,Продажи!$D$5:$D$359,Конструкторы!$B766,Продажи!$C$5:$C$359,Конструкторы!$A766)</f>
        <v>0</v>
      </c>
      <c r="Q766" s="166">
        <f>SUMIFS(Продажи!N$5:N$359,Продажи!$D$5:$D$359,Конструкторы!$B766,Продажи!$C$5:$C$359,Конструкторы!$A766)</f>
        <v>0</v>
      </c>
      <c r="R766" s="166">
        <f>SUMIFS(Продажи!O$5:O$359,Продажи!$D$5:$D$359,Конструкторы!$B766,Продажи!$C$5:$C$359,Конструкторы!$A766)</f>
        <v>0</v>
      </c>
      <c r="S766" s="166">
        <f>SUMIFS(Продажи!P$5:P$359,Продажи!$D$5:$D$359,Конструкторы!$B766,Продажи!$C$5:$C$359,Конструкторы!$A766)</f>
        <v>0</v>
      </c>
      <c r="T766" s="166">
        <f>SUMIFS(Продажи!Q$5:Q$359,Продажи!$D$5:$D$359,Конструкторы!$B766,Продажи!$C$5:$C$359,Конструкторы!$A766)</f>
        <v>0</v>
      </c>
    </row>
    <row r="767" spans="1:20" ht="15.75" hidden="1" x14ac:dyDescent="0.25">
      <c r="A767" s="166" t="s">
        <v>397</v>
      </c>
      <c r="B767" s="167" t="s">
        <v>180</v>
      </c>
      <c r="C767" s="129" t="s">
        <v>53</v>
      </c>
      <c r="D767" s="130">
        <v>7038</v>
      </c>
      <c r="E767" s="153" t="s">
        <v>68</v>
      </c>
      <c r="F767" s="156">
        <f>(1.708*103)/100</f>
        <v>1.7592400000000001</v>
      </c>
      <c r="G767" s="156">
        <v>5.1240000000000174E-2</v>
      </c>
      <c r="H767" s="156">
        <f>F767+G767</f>
        <v>1.8104800000000003</v>
      </c>
      <c r="I767" s="166">
        <f>SUMIFS(Продажи!F$5:F$359,Продажи!$D$5:$D$359,Конструкторы!$B767,Продажи!$C$5:$C$359,Конструкторы!$A767)</f>
        <v>0</v>
      </c>
      <c r="J767" s="166">
        <f>SUMIFS(Продажи!G$5:G$359,Продажи!$D$5:$D$359,Конструкторы!$B767,Продажи!$C$5:$C$359,Конструкторы!$A767)</f>
        <v>0</v>
      </c>
      <c r="K767" s="166">
        <f>SUMIFS(Продажи!H$5:H$359,Продажи!$D$5:$D$359,Конструкторы!$B767,Продажи!$C$5:$C$359,Конструкторы!$A767)</f>
        <v>0</v>
      </c>
      <c r="L767" s="166">
        <f>SUMIFS(Продажи!I$5:I$359,Продажи!$D$5:$D$359,Конструкторы!$B767,Продажи!$C$5:$C$359,Конструкторы!$A767)</f>
        <v>0</v>
      </c>
      <c r="M767" s="166">
        <f>SUMIFS(Продажи!J$5:J$359,Продажи!$D$5:$D$359,Конструкторы!$B767,Продажи!$C$5:$C$359,Конструкторы!$A767)</f>
        <v>0</v>
      </c>
      <c r="N767" s="166">
        <f>SUMIFS(Продажи!K$5:K$359,Продажи!$D$5:$D$359,Конструкторы!$B767,Продажи!$C$5:$C$359,Конструкторы!$A767)</f>
        <v>0</v>
      </c>
      <c r="O767" s="166">
        <f>SUMIFS(Продажи!L$5:L$359,Продажи!$D$5:$D$359,Конструкторы!$B767,Продажи!$C$5:$C$359,Конструкторы!$A767)</f>
        <v>0</v>
      </c>
      <c r="P767" s="166">
        <f>SUMIFS(Продажи!M$5:M$359,Продажи!$D$5:$D$359,Конструкторы!$B767,Продажи!$C$5:$C$359,Конструкторы!$A767)</f>
        <v>0</v>
      </c>
      <c r="Q767" s="166">
        <f>SUMIFS(Продажи!N$5:N$359,Продажи!$D$5:$D$359,Конструкторы!$B767,Продажи!$C$5:$C$359,Конструкторы!$A767)</f>
        <v>0</v>
      </c>
      <c r="R767" s="166">
        <f>SUMIFS(Продажи!O$5:O$359,Продажи!$D$5:$D$359,Конструкторы!$B767,Продажи!$C$5:$C$359,Конструкторы!$A767)</f>
        <v>0</v>
      </c>
      <c r="S767" s="166">
        <f>SUMIFS(Продажи!P$5:P$359,Продажи!$D$5:$D$359,Конструкторы!$B767,Продажи!$C$5:$C$359,Конструкторы!$A767)</f>
        <v>0</v>
      </c>
      <c r="T767" s="166">
        <f>SUMIFS(Продажи!Q$5:Q$359,Продажи!$D$5:$D$359,Конструкторы!$B767,Продажи!$C$5:$C$359,Конструкторы!$A767)</f>
        <v>0</v>
      </c>
    </row>
    <row r="768" spans="1:20" ht="15.75" hidden="1" x14ac:dyDescent="0.25">
      <c r="A768" s="166" t="s">
        <v>397</v>
      </c>
      <c r="B768" s="167" t="s">
        <v>180</v>
      </c>
      <c r="C768" s="129" t="s">
        <v>52</v>
      </c>
      <c r="D768" s="149"/>
      <c r="E768" s="153" t="s">
        <v>68</v>
      </c>
      <c r="F768" s="156">
        <f>(1*103)/100</f>
        <v>1.03</v>
      </c>
      <c r="G768" s="156">
        <v>3.0000000000000027E-2</v>
      </c>
      <c r="H768" s="156">
        <f>F768+G768</f>
        <v>1.06</v>
      </c>
      <c r="I768" s="166">
        <f>SUMIFS(Продажи!F$5:F$359,Продажи!$D$5:$D$359,Конструкторы!$B768,Продажи!$C$5:$C$359,Конструкторы!$A768)</f>
        <v>0</v>
      </c>
      <c r="J768" s="166">
        <f>SUMIFS(Продажи!G$5:G$359,Продажи!$D$5:$D$359,Конструкторы!$B768,Продажи!$C$5:$C$359,Конструкторы!$A768)</f>
        <v>0</v>
      </c>
      <c r="K768" s="166">
        <f>SUMIFS(Продажи!H$5:H$359,Продажи!$D$5:$D$359,Конструкторы!$B768,Продажи!$C$5:$C$359,Конструкторы!$A768)</f>
        <v>0</v>
      </c>
      <c r="L768" s="166">
        <f>SUMIFS(Продажи!I$5:I$359,Продажи!$D$5:$D$359,Конструкторы!$B768,Продажи!$C$5:$C$359,Конструкторы!$A768)</f>
        <v>0</v>
      </c>
      <c r="M768" s="166">
        <f>SUMIFS(Продажи!J$5:J$359,Продажи!$D$5:$D$359,Конструкторы!$B768,Продажи!$C$5:$C$359,Конструкторы!$A768)</f>
        <v>0</v>
      </c>
      <c r="N768" s="166">
        <f>SUMIFS(Продажи!K$5:K$359,Продажи!$D$5:$D$359,Конструкторы!$B768,Продажи!$C$5:$C$359,Конструкторы!$A768)</f>
        <v>0</v>
      </c>
      <c r="O768" s="166">
        <f>SUMIFS(Продажи!L$5:L$359,Продажи!$D$5:$D$359,Конструкторы!$B768,Продажи!$C$5:$C$359,Конструкторы!$A768)</f>
        <v>0</v>
      </c>
      <c r="P768" s="166">
        <f>SUMIFS(Продажи!M$5:M$359,Продажи!$D$5:$D$359,Конструкторы!$B768,Продажи!$C$5:$C$359,Конструкторы!$A768)</f>
        <v>0</v>
      </c>
      <c r="Q768" s="166">
        <f>SUMIFS(Продажи!N$5:N$359,Продажи!$D$5:$D$359,Конструкторы!$B768,Продажи!$C$5:$C$359,Конструкторы!$A768)</f>
        <v>0</v>
      </c>
      <c r="R768" s="166">
        <f>SUMIFS(Продажи!O$5:O$359,Продажи!$D$5:$D$359,Конструкторы!$B768,Продажи!$C$5:$C$359,Конструкторы!$A768)</f>
        <v>0</v>
      </c>
      <c r="S768" s="166">
        <f>SUMIFS(Продажи!P$5:P$359,Продажи!$D$5:$D$359,Конструкторы!$B768,Продажи!$C$5:$C$359,Конструкторы!$A768)</f>
        <v>0</v>
      </c>
      <c r="T768" s="166">
        <f>SUMIFS(Продажи!Q$5:Q$359,Продажи!$D$5:$D$359,Конструкторы!$B768,Продажи!$C$5:$C$359,Конструкторы!$A768)</f>
        <v>0</v>
      </c>
    </row>
    <row r="769" spans="1:20" ht="15.75" hidden="1" x14ac:dyDescent="0.25">
      <c r="A769" s="166" t="s">
        <v>397</v>
      </c>
      <c r="B769" s="167" t="s">
        <v>180</v>
      </c>
      <c r="C769" s="33" t="s">
        <v>73</v>
      </c>
      <c r="D769" s="149"/>
      <c r="E769" s="153" t="s">
        <v>70</v>
      </c>
      <c r="F769" s="148">
        <f>2</f>
        <v>2</v>
      </c>
      <c r="G769" s="156" t="s">
        <v>71</v>
      </c>
      <c r="H769" s="156">
        <f>F769</f>
        <v>2</v>
      </c>
      <c r="I769" s="166">
        <f>SUMIFS(Продажи!F$5:F$359,Продажи!$D$5:$D$359,Конструкторы!$B769,Продажи!$C$5:$C$359,Конструкторы!$A769)</f>
        <v>0</v>
      </c>
      <c r="J769" s="166">
        <f>SUMIFS(Продажи!G$5:G$359,Продажи!$D$5:$D$359,Конструкторы!$B769,Продажи!$C$5:$C$359,Конструкторы!$A769)</f>
        <v>0</v>
      </c>
      <c r="K769" s="166">
        <f>SUMIFS(Продажи!H$5:H$359,Продажи!$D$5:$D$359,Конструкторы!$B769,Продажи!$C$5:$C$359,Конструкторы!$A769)</f>
        <v>0</v>
      </c>
      <c r="L769" s="166">
        <f>SUMIFS(Продажи!I$5:I$359,Продажи!$D$5:$D$359,Конструкторы!$B769,Продажи!$C$5:$C$359,Конструкторы!$A769)</f>
        <v>0</v>
      </c>
      <c r="M769" s="166">
        <f>SUMIFS(Продажи!J$5:J$359,Продажи!$D$5:$D$359,Конструкторы!$B769,Продажи!$C$5:$C$359,Конструкторы!$A769)</f>
        <v>0</v>
      </c>
      <c r="N769" s="166">
        <f>SUMIFS(Продажи!K$5:K$359,Продажи!$D$5:$D$359,Конструкторы!$B769,Продажи!$C$5:$C$359,Конструкторы!$A769)</f>
        <v>0</v>
      </c>
      <c r="O769" s="166">
        <f>SUMIFS(Продажи!L$5:L$359,Продажи!$D$5:$D$359,Конструкторы!$B769,Продажи!$C$5:$C$359,Конструкторы!$A769)</f>
        <v>0</v>
      </c>
      <c r="P769" s="166">
        <f>SUMIFS(Продажи!M$5:M$359,Продажи!$D$5:$D$359,Конструкторы!$B769,Продажи!$C$5:$C$359,Конструкторы!$A769)</f>
        <v>0</v>
      </c>
      <c r="Q769" s="166">
        <f>SUMIFS(Продажи!N$5:N$359,Продажи!$D$5:$D$359,Конструкторы!$B769,Продажи!$C$5:$C$359,Конструкторы!$A769)</f>
        <v>0</v>
      </c>
      <c r="R769" s="166">
        <f>SUMIFS(Продажи!O$5:O$359,Продажи!$D$5:$D$359,Конструкторы!$B769,Продажи!$C$5:$C$359,Конструкторы!$A769)</f>
        <v>0</v>
      </c>
      <c r="S769" s="166">
        <f>SUMIFS(Продажи!P$5:P$359,Продажи!$D$5:$D$359,Конструкторы!$B769,Продажи!$C$5:$C$359,Конструкторы!$A769)</f>
        <v>0</v>
      </c>
      <c r="T769" s="166">
        <f>SUMIFS(Продажи!Q$5:Q$359,Продажи!$D$5:$D$359,Конструкторы!$B769,Продажи!$C$5:$C$359,Конструкторы!$A769)</f>
        <v>0</v>
      </c>
    </row>
    <row r="770" spans="1:20" ht="15.75" hidden="1" x14ac:dyDescent="0.25">
      <c r="A770" s="166" t="s">
        <v>397</v>
      </c>
      <c r="B770" s="167" t="s">
        <v>180</v>
      </c>
      <c r="C770" s="33" t="s">
        <v>75</v>
      </c>
      <c r="D770" s="149"/>
      <c r="E770" s="153" t="s">
        <v>70</v>
      </c>
      <c r="F770" s="148">
        <f>8</f>
        <v>8</v>
      </c>
      <c r="G770" s="156" t="s">
        <v>71</v>
      </c>
      <c r="H770" s="156">
        <f>F770</f>
        <v>8</v>
      </c>
      <c r="I770" s="166">
        <f>SUMIFS(Продажи!F$5:F$359,Продажи!$D$5:$D$359,Конструкторы!$B770,Продажи!$C$5:$C$359,Конструкторы!$A770)</f>
        <v>0</v>
      </c>
      <c r="J770" s="166">
        <f>SUMIFS(Продажи!G$5:G$359,Продажи!$D$5:$D$359,Конструкторы!$B770,Продажи!$C$5:$C$359,Конструкторы!$A770)</f>
        <v>0</v>
      </c>
      <c r="K770" s="166">
        <f>SUMIFS(Продажи!H$5:H$359,Продажи!$D$5:$D$359,Конструкторы!$B770,Продажи!$C$5:$C$359,Конструкторы!$A770)</f>
        <v>0</v>
      </c>
      <c r="L770" s="166">
        <f>SUMIFS(Продажи!I$5:I$359,Продажи!$D$5:$D$359,Конструкторы!$B770,Продажи!$C$5:$C$359,Конструкторы!$A770)</f>
        <v>0</v>
      </c>
      <c r="M770" s="166">
        <f>SUMIFS(Продажи!J$5:J$359,Продажи!$D$5:$D$359,Конструкторы!$B770,Продажи!$C$5:$C$359,Конструкторы!$A770)</f>
        <v>0</v>
      </c>
      <c r="N770" s="166">
        <f>SUMIFS(Продажи!K$5:K$359,Продажи!$D$5:$D$359,Конструкторы!$B770,Продажи!$C$5:$C$359,Конструкторы!$A770)</f>
        <v>0</v>
      </c>
      <c r="O770" s="166">
        <f>SUMIFS(Продажи!L$5:L$359,Продажи!$D$5:$D$359,Конструкторы!$B770,Продажи!$C$5:$C$359,Конструкторы!$A770)</f>
        <v>0</v>
      </c>
      <c r="P770" s="166">
        <f>SUMIFS(Продажи!M$5:M$359,Продажи!$D$5:$D$359,Конструкторы!$B770,Продажи!$C$5:$C$359,Конструкторы!$A770)</f>
        <v>0</v>
      </c>
      <c r="Q770" s="166">
        <f>SUMIFS(Продажи!N$5:N$359,Продажи!$D$5:$D$359,Конструкторы!$B770,Продажи!$C$5:$C$359,Конструкторы!$A770)</f>
        <v>0</v>
      </c>
      <c r="R770" s="166">
        <f>SUMIFS(Продажи!O$5:O$359,Продажи!$D$5:$D$359,Конструкторы!$B770,Продажи!$C$5:$C$359,Конструкторы!$A770)</f>
        <v>0</v>
      </c>
      <c r="S770" s="166">
        <f>SUMIFS(Продажи!P$5:P$359,Продажи!$D$5:$D$359,Конструкторы!$B770,Продажи!$C$5:$C$359,Конструкторы!$A770)</f>
        <v>0</v>
      </c>
      <c r="T770" s="166">
        <f>SUMIFS(Продажи!Q$5:Q$359,Продажи!$D$5:$D$359,Конструкторы!$B770,Продажи!$C$5:$C$359,Конструкторы!$A770)</f>
        <v>0</v>
      </c>
    </row>
    <row r="771" spans="1:20" ht="15.75" hidden="1" x14ac:dyDescent="0.25">
      <c r="A771" s="166" t="s">
        <v>397</v>
      </c>
      <c r="B771" s="167" t="s">
        <v>180</v>
      </c>
      <c r="C771" s="33" t="s">
        <v>69</v>
      </c>
      <c r="D771" s="149"/>
      <c r="E771" s="153" t="s">
        <v>70</v>
      </c>
      <c r="F771" s="148">
        <f>4</f>
        <v>4</v>
      </c>
      <c r="G771" s="156" t="s">
        <v>71</v>
      </c>
      <c r="H771" s="156">
        <f>F771</f>
        <v>4</v>
      </c>
      <c r="I771" s="166">
        <f>SUMIFS(Продажи!F$5:F$359,Продажи!$D$5:$D$359,Конструкторы!$B771,Продажи!$C$5:$C$359,Конструкторы!$A771)</f>
        <v>0</v>
      </c>
      <c r="J771" s="166">
        <f>SUMIFS(Продажи!G$5:G$359,Продажи!$D$5:$D$359,Конструкторы!$B771,Продажи!$C$5:$C$359,Конструкторы!$A771)</f>
        <v>0</v>
      </c>
      <c r="K771" s="166">
        <f>SUMIFS(Продажи!H$5:H$359,Продажи!$D$5:$D$359,Конструкторы!$B771,Продажи!$C$5:$C$359,Конструкторы!$A771)</f>
        <v>0</v>
      </c>
      <c r="L771" s="166">
        <f>SUMIFS(Продажи!I$5:I$359,Продажи!$D$5:$D$359,Конструкторы!$B771,Продажи!$C$5:$C$359,Конструкторы!$A771)</f>
        <v>0</v>
      </c>
      <c r="M771" s="166">
        <f>SUMIFS(Продажи!J$5:J$359,Продажи!$D$5:$D$359,Конструкторы!$B771,Продажи!$C$5:$C$359,Конструкторы!$A771)</f>
        <v>0</v>
      </c>
      <c r="N771" s="166">
        <f>SUMIFS(Продажи!K$5:K$359,Продажи!$D$5:$D$359,Конструкторы!$B771,Продажи!$C$5:$C$359,Конструкторы!$A771)</f>
        <v>0</v>
      </c>
      <c r="O771" s="166">
        <f>SUMIFS(Продажи!L$5:L$359,Продажи!$D$5:$D$359,Конструкторы!$B771,Продажи!$C$5:$C$359,Конструкторы!$A771)</f>
        <v>0</v>
      </c>
      <c r="P771" s="166">
        <f>SUMIFS(Продажи!M$5:M$359,Продажи!$D$5:$D$359,Конструкторы!$B771,Продажи!$C$5:$C$359,Конструкторы!$A771)</f>
        <v>0</v>
      </c>
      <c r="Q771" s="166">
        <f>SUMIFS(Продажи!N$5:N$359,Продажи!$D$5:$D$359,Конструкторы!$B771,Продажи!$C$5:$C$359,Конструкторы!$A771)</f>
        <v>0</v>
      </c>
      <c r="R771" s="166">
        <f>SUMIFS(Продажи!O$5:O$359,Продажи!$D$5:$D$359,Конструкторы!$B771,Продажи!$C$5:$C$359,Конструкторы!$A771)</f>
        <v>0</v>
      </c>
      <c r="S771" s="166">
        <f>SUMIFS(Продажи!P$5:P$359,Продажи!$D$5:$D$359,Конструкторы!$B771,Продажи!$C$5:$C$359,Конструкторы!$A771)</f>
        <v>0</v>
      </c>
      <c r="T771" s="166">
        <f>SUMIFS(Продажи!Q$5:Q$359,Продажи!$D$5:$D$359,Конструкторы!$B771,Продажи!$C$5:$C$359,Конструкторы!$A771)</f>
        <v>0</v>
      </c>
    </row>
    <row r="772" spans="1:20" ht="15.75" hidden="1" x14ac:dyDescent="0.25">
      <c r="A772" s="166" t="s">
        <v>397</v>
      </c>
      <c r="B772" s="167" t="s">
        <v>261</v>
      </c>
      <c r="C772" s="129" t="s">
        <v>53</v>
      </c>
      <c r="D772" s="130">
        <v>7038</v>
      </c>
      <c r="E772" s="153" t="s">
        <v>68</v>
      </c>
      <c r="F772" s="156">
        <f>(1.332*103)/100</f>
        <v>1.3719600000000001</v>
      </c>
      <c r="G772" s="156">
        <v>3.9959999999999996E-2</v>
      </c>
      <c r="H772" s="156">
        <f>F772+G772</f>
        <v>1.4119200000000001</v>
      </c>
      <c r="I772" s="166">
        <f>SUMIFS(Продажи!F$5:F$359,Продажи!$D$5:$D$359,Конструкторы!$B772,Продажи!$C$5:$C$359,Конструкторы!$A772)</f>
        <v>0</v>
      </c>
      <c r="J772" s="166">
        <f>SUMIFS(Продажи!G$5:G$359,Продажи!$D$5:$D$359,Конструкторы!$B772,Продажи!$C$5:$C$359,Конструкторы!$A772)</f>
        <v>0</v>
      </c>
      <c r="K772" s="166">
        <f>SUMIFS(Продажи!H$5:H$359,Продажи!$D$5:$D$359,Конструкторы!$B772,Продажи!$C$5:$C$359,Конструкторы!$A772)</f>
        <v>0</v>
      </c>
      <c r="L772" s="166">
        <f>SUMIFS(Продажи!I$5:I$359,Продажи!$D$5:$D$359,Конструкторы!$B772,Продажи!$C$5:$C$359,Конструкторы!$A772)</f>
        <v>0</v>
      </c>
      <c r="M772" s="166">
        <f>SUMIFS(Продажи!J$5:J$359,Продажи!$D$5:$D$359,Конструкторы!$B772,Продажи!$C$5:$C$359,Конструкторы!$A772)</f>
        <v>0</v>
      </c>
      <c r="N772" s="166">
        <f>SUMIFS(Продажи!K$5:K$359,Продажи!$D$5:$D$359,Конструкторы!$B772,Продажи!$C$5:$C$359,Конструкторы!$A772)</f>
        <v>0</v>
      </c>
      <c r="O772" s="166">
        <f>SUMIFS(Продажи!L$5:L$359,Продажи!$D$5:$D$359,Конструкторы!$B772,Продажи!$C$5:$C$359,Конструкторы!$A772)</f>
        <v>0</v>
      </c>
      <c r="P772" s="166">
        <f>SUMIFS(Продажи!M$5:M$359,Продажи!$D$5:$D$359,Конструкторы!$B772,Продажи!$C$5:$C$359,Конструкторы!$A772)</f>
        <v>0</v>
      </c>
      <c r="Q772" s="166">
        <f>SUMIFS(Продажи!N$5:N$359,Продажи!$D$5:$D$359,Конструкторы!$B772,Продажи!$C$5:$C$359,Конструкторы!$A772)</f>
        <v>0</v>
      </c>
      <c r="R772" s="166">
        <f>SUMIFS(Продажи!O$5:O$359,Продажи!$D$5:$D$359,Конструкторы!$B772,Продажи!$C$5:$C$359,Конструкторы!$A772)</f>
        <v>0</v>
      </c>
      <c r="S772" s="166">
        <f>SUMIFS(Продажи!P$5:P$359,Продажи!$D$5:$D$359,Конструкторы!$B772,Продажи!$C$5:$C$359,Конструкторы!$A772)</f>
        <v>0</v>
      </c>
      <c r="T772" s="166">
        <f>SUMIFS(Продажи!Q$5:Q$359,Продажи!$D$5:$D$359,Конструкторы!$B772,Продажи!$C$5:$C$359,Конструкторы!$A772)</f>
        <v>0</v>
      </c>
    </row>
    <row r="773" spans="1:20" ht="15.75" hidden="1" x14ac:dyDescent="0.25">
      <c r="A773" s="166" t="s">
        <v>397</v>
      </c>
      <c r="B773" s="167" t="s">
        <v>261</v>
      </c>
      <c r="C773" s="129" t="s">
        <v>52</v>
      </c>
      <c r="D773" s="149"/>
      <c r="E773" s="153" t="s">
        <v>68</v>
      </c>
      <c r="F773" s="156">
        <f>(0.2*103)/100</f>
        <v>0.20600000000000002</v>
      </c>
      <c r="G773" s="156">
        <v>6.0000000000000053E-3</v>
      </c>
      <c r="H773" s="156">
        <f>F773+G773</f>
        <v>0.21200000000000002</v>
      </c>
      <c r="I773" s="166">
        <f>SUMIFS(Продажи!F$5:F$359,Продажи!$D$5:$D$359,Конструкторы!$B773,Продажи!$C$5:$C$359,Конструкторы!$A773)</f>
        <v>0</v>
      </c>
      <c r="J773" s="166">
        <f>SUMIFS(Продажи!G$5:G$359,Продажи!$D$5:$D$359,Конструкторы!$B773,Продажи!$C$5:$C$359,Конструкторы!$A773)</f>
        <v>0</v>
      </c>
      <c r="K773" s="166">
        <f>SUMIFS(Продажи!H$5:H$359,Продажи!$D$5:$D$359,Конструкторы!$B773,Продажи!$C$5:$C$359,Конструкторы!$A773)</f>
        <v>0</v>
      </c>
      <c r="L773" s="166">
        <f>SUMIFS(Продажи!I$5:I$359,Продажи!$D$5:$D$359,Конструкторы!$B773,Продажи!$C$5:$C$359,Конструкторы!$A773)</f>
        <v>0</v>
      </c>
      <c r="M773" s="166">
        <f>SUMIFS(Продажи!J$5:J$359,Продажи!$D$5:$D$359,Конструкторы!$B773,Продажи!$C$5:$C$359,Конструкторы!$A773)</f>
        <v>0</v>
      </c>
      <c r="N773" s="166">
        <f>SUMIFS(Продажи!K$5:K$359,Продажи!$D$5:$D$359,Конструкторы!$B773,Продажи!$C$5:$C$359,Конструкторы!$A773)</f>
        <v>0</v>
      </c>
      <c r="O773" s="166">
        <f>SUMIFS(Продажи!L$5:L$359,Продажи!$D$5:$D$359,Конструкторы!$B773,Продажи!$C$5:$C$359,Конструкторы!$A773)</f>
        <v>0</v>
      </c>
      <c r="P773" s="166">
        <f>SUMIFS(Продажи!M$5:M$359,Продажи!$D$5:$D$359,Конструкторы!$B773,Продажи!$C$5:$C$359,Конструкторы!$A773)</f>
        <v>0</v>
      </c>
      <c r="Q773" s="166">
        <f>SUMIFS(Продажи!N$5:N$359,Продажи!$D$5:$D$359,Конструкторы!$B773,Продажи!$C$5:$C$359,Конструкторы!$A773)</f>
        <v>0</v>
      </c>
      <c r="R773" s="166">
        <f>SUMIFS(Продажи!O$5:O$359,Продажи!$D$5:$D$359,Конструкторы!$B773,Продажи!$C$5:$C$359,Конструкторы!$A773)</f>
        <v>0</v>
      </c>
      <c r="S773" s="166">
        <f>SUMIFS(Продажи!P$5:P$359,Продажи!$D$5:$D$359,Конструкторы!$B773,Продажи!$C$5:$C$359,Конструкторы!$A773)</f>
        <v>0</v>
      </c>
      <c r="T773" s="166">
        <f>SUMIFS(Продажи!Q$5:Q$359,Продажи!$D$5:$D$359,Конструкторы!$B773,Продажи!$C$5:$C$359,Конструкторы!$A773)</f>
        <v>0</v>
      </c>
    </row>
    <row r="774" spans="1:20" ht="15.75" hidden="1" x14ac:dyDescent="0.25">
      <c r="A774" s="166" t="s">
        <v>397</v>
      </c>
      <c r="B774" s="167" t="s">
        <v>261</v>
      </c>
      <c r="C774" s="33" t="s">
        <v>73</v>
      </c>
      <c r="D774" s="149"/>
      <c r="E774" s="153" t="s">
        <v>70</v>
      </c>
      <c r="F774" s="148">
        <v>2</v>
      </c>
      <c r="G774" s="156" t="s">
        <v>71</v>
      </c>
      <c r="H774" s="156">
        <f>F774</f>
        <v>2</v>
      </c>
      <c r="I774" s="166">
        <f>SUMIFS(Продажи!F$5:F$359,Продажи!$D$5:$D$359,Конструкторы!$B774,Продажи!$C$5:$C$359,Конструкторы!$A774)</f>
        <v>0</v>
      </c>
      <c r="J774" s="166">
        <f>SUMIFS(Продажи!G$5:G$359,Продажи!$D$5:$D$359,Конструкторы!$B774,Продажи!$C$5:$C$359,Конструкторы!$A774)</f>
        <v>0</v>
      </c>
      <c r="K774" s="166">
        <f>SUMIFS(Продажи!H$5:H$359,Продажи!$D$5:$D$359,Конструкторы!$B774,Продажи!$C$5:$C$359,Конструкторы!$A774)</f>
        <v>0</v>
      </c>
      <c r="L774" s="166">
        <f>SUMIFS(Продажи!I$5:I$359,Продажи!$D$5:$D$359,Конструкторы!$B774,Продажи!$C$5:$C$359,Конструкторы!$A774)</f>
        <v>0</v>
      </c>
      <c r="M774" s="166">
        <f>SUMIFS(Продажи!J$5:J$359,Продажи!$D$5:$D$359,Конструкторы!$B774,Продажи!$C$5:$C$359,Конструкторы!$A774)</f>
        <v>0</v>
      </c>
      <c r="N774" s="166">
        <f>SUMIFS(Продажи!K$5:K$359,Продажи!$D$5:$D$359,Конструкторы!$B774,Продажи!$C$5:$C$359,Конструкторы!$A774)</f>
        <v>0</v>
      </c>
      <c r="O774" s="166">
        <f>SUMIFS(Продажи!L$5:L$359,Продажи!$D$5:$D$359,Конструкторы!$B774,Продажи!$C$5:$C$359,Конструкторы!$A774)</f>
        <v>0</v>
      </c>
      <c r="P774" s="166">
        <f>SUMIFS(Продажи!M$5:M$359,Продажи!$D$5:$D$359,Конструкторы!$B774,Продажи!$C$5:$C$359,Конструкторы!$A774)</f>
        <v>0</v>
      </c>
      <c r="Q774" s="166">
        <f>SUMIFS(Продажи!N$5:N$359,Продажи!$D$5:$D$359,Конструкторы!$B774,Продажи!$C$5:$C$359,Конструкторы!$A774)</f>
        <v>0</v>
      </c>
      <c r="R774" s="166">
        <f>SUMIFS(Продажи!O$5:O$359,Продажи!$D$5:$D$359,Конструкторы!$B774,Продажи!$C$5:$C$359,Конструкторы!$A774)</f>
        <v>0</v>
      </c>
      <c r="S774" s="166">
        <f>SUMIFS(Продажи!P$5:P$359,Продажи!$D$5:$D$359,Конструкторы!$B774,Продажи!$C$5:$C$359,Конструкторы!$A774)</f>
        <v>0</v>
      </c>
      <c r="T774" s="166">
        <f>SUMIFS(Продажи!Q$5:Q$359,Продажи!$D$5:$D$359,Конструкторы!$B774,Продажи!$C$5:$C$359,Конструкторы!$A774)</f>
        <v>0</v>
      </c>
    </row>
    <row r="775" spans="1:20" ht="15.75" hidden="1" x14ac:dyDescent="0.25">
      <c r="A775" s="166" t="s">
        <v>397</v>
      </c>
      <c r="B775" s="167" t="s">
        <v>261</v>
      </c>
      <c r="C775" s="33" t="s">
        <v>75</v>
      </c>
      <c r="D775" s="149"/>
      <c r="E775" s="153" t="s">
        <v>70</v>
      </c>
      <c r="F775" s="148">
        <v>8</v>
      </c>
      <c r="G775" s="156" t="s">
        <v>71</v>
      </c>
      <c r="H775" s="156">
        <f>F775</f>
        <v>8</v>
      </c>
      <c r="I775" s="166">
        <f>SUMIFS(Продажи!F$5:F$359,Продажи!$D$5:$D$359,Конструкторы!$B775,Продажи!$C$5:$C$359,Конструкторы!$A775)</f>
        <v>0</v>
      </c>
      <c r="J775" s="166">
        <f>SUMIFS(Продажи!G$5:G$359,Продажи!$D$5:$D$359,Конструкторы!$B775,Продажи!$C$5:$C$359,Конструкторы!$A775)</f>
        <v>0</v>
      </c>
      <c r="K775" s="166">
        <f>SUMIFS(Продажи!H$5:H$359,Продажи!$D$5:$D$359,Конструкторы!$B775,Продажи!$C$5:$C$359,Конструкторы!$A775)</f>
        <v>0</v>
      </c>
      <c r="L775" s="166">
        <f>SUMIFS(Продажи!I$5:I$359,Продажи!$D$5:$D$359,Конструкторы!$B775,Продажи!$C$5:$C$359,Конструкторы!$A775)</f>
        <v>0</v>
      </c>
      <c r="M775" s="166">
        <f>SUMIFS(Продажи!J$5:J$359,Продажи!$D$5:$D$359,Конструкторы!$B775,Продажи!$C$5:$C$359,Конструкторы!$A775)</f>
        <v>0</v>
      </c>
      <c r="N775" s="166">
        <f>SUMIFS(Продажи!K$5:K$359,Продажи!$D$5:$D$359,Конструкторы!$B775,Продажи!$C$5:$C$359,Конструкторы!$A775)</f>
        <v>0</v>
      </c>
      <c r="O775" s="166">
        <f>SUMIFS(Продажи!L$5:L$359,Продажи!$D$5:$D$359,Конструкторы!$B775,Продажи!$C$5:$C$359,Конструкторы!$A775)</f>
        <v>0</v>
      </c>
      <c r="P775" s="166">
        <f>SUMIFS(Продажи!M$5:M$359,Продажи!$D$5:$D$359,Конструкторы!$B775,Продажи!$C$5:$C$359,Конструкторы!$A775)</f>
        <v>0</v>
      </c>
      <c r="Q775" s="166">
        <f>SUMIFS(Продажи!N$5:N$359,Продажи!$D$5:$D$359,Конструкторы!$B775,Продажи!$C$5:$C$359,Конструкторы!$A775)</f>
        <v>0</v>
      </c>
      <c r="R775" s="166">
        <f>SUMIFS(Продажи!O$5:O$359,Продажи!$D$5:$D$359,Конструкторы!$B775,Продажи!$C$5:$C$359,Конструкторы!$A775)</f>
        <v>0</v>
      </c>
      <c r="S775" s="166">
        <f>SUMIFS(Продажи!P$5:P$359,Продажи!$D$5:$D$359,Конструкторы!$B775,Продажи!$C$5:$C$359,Конструкторы!$A775)</f>
        <v>0</v>
      </c>
      <c r="T775" s="166">
        <f>SUMIFS(Продажи!Q$5:Q$359,Продажи!$D$5:$D$359,Конструкторы!$B775,Продажи!$C$5:$C$359,Конструкторы!$A775)</f>
        <v>0</v>
      </c>
    </row>
    <row r="776" spans="1:20" ht="15.75" hidden="1" x14ac:dyDescent="0.25">
      <c r="A776" s="166" t="s">
        <v>397</v>
      </c>
      <c r="B776" s="167" t="s">
        <v>261</v>
      </c>
      <c r="C776" s="33" t="s">
        <v>69</v>
      </c>
      <c r="D776" s="149"/>
      <c r="E776" s="153" t="s">
        <v>70</v>
      </c>
      <c r="F776" s="148">
        <v>4</v>
      </c>
      <c r="G776" s="156" t="s">
        <v>71</v>
      </c>
      <c r="H776" s="156">
        <f>F776</f>
        <v>4</v>
      </c>
      <c r="I776" s="166">
        <f>SUMIFS(Продажи!F$5:F$359,Продажи!$D$5:$D$359,Конструкторы!$B776,Продажи!$C$5:$C$359,Конструкторы!$A776)</f>
        <v>0</v>
      </c>
      <c r="J776" s="166">
        <f>SUMIFS(Продажи!G$5:G$359,Продажи!$D$5:$D$359,Конструкторы!$B776,Продажи!$C$5:$C$359,Конструкторы!$A776)</f>
        <v>0</v>
      </c>
      <c r="K776" s="166">
        <f>SUMIFS(Продажи!H$5:H$359,Продажи!$D$5:$D$359,Конструкторы!$B776,Продажи!$C$5:$C$359,Конструкторы!$A776)</f>
        <v>0</v>
      </c>
      <c r="L776" s="166">
        <f>SUMIFS(Продажи!I$5:I$359,Продажи!$D$5:$D$359,Конструкторы!$B776,Продажи!$C$5:$C$359,Конструкторы!$A776)</f>
        <v>0</v>
      </c>
      <c r="M776" s="166">
        <f>SUMIFS(Продажи!J$5:J$359,Продажи!$D$5:$D$359,Конструкторы!$B776,Продажи!$C$5:$C$359,Конструкторы!$A776)</f>
        <v>0</v>
      </c>
      <c r="N776" s="166">
        <f>SUMIFS(Продажи!K$5:K$359,Продажи!$D$5:$D$359,Конструкторы!$B776,Продажи!$C$5:$C$359,Конструкторы!$A776)</f>
        <v>0</v>
      </c>
      <c r="O776" s="166">
        <f>SUMIFS(Продажи!L$5:L$359,Продажи!$D$5:$D$359,Конструкторы!$B776,Продажи!$C$5:$C$359,Конструкторы!$A776)</f>
        <v>0</v>
      </c>
      <c r="P776" s="166">
        <f>SUMIFS(Продажи!M$5:M$359,Продажи!$D$5:$D$359,Конструкторы!$B776,Продажи!$C$5:$C$359,Конструкторы!$A776)</f>
        <v>0</v>
      </c>
      <c r="Q776" s="166">
        <f>SUMIFS(Продажи!N$5:N$359,Продажи!$D$5:$D$359,Конструкторы!$B776,Продажи!$C$5:$C$359,Конструкторы!$A776)</f>
        <v>0</v>
      </c>
      <c r="R776" s="166">
        <f>SUMIFS(Продажи!O$5:O$359,Продажи!$D$5:$D$359,Конструкторы!$B776,Продажи!$C$5:$C$359,Конструкторы!$A776)</f>
        <v>0</v>
      </c>
      <c r="S776" s="166">
        <f>SUMIFS(Продажи!P$5:P$359,Продажи!$D$5:$D$359,Конструкторы!$B776,Продажи!$C$5:$C$359,Конструкторы!$A776)</f>
        <v>0</v>
      </c>
      <c r="T776" s="166">
        <f>SUMIFS(Продажи!Q$5:Q$359,Продажи!$D$5:$D$359,Конструкторы!$B776,Продажи!$C$5:$C$359,Конструкторы!$A776)</f>
        <v>0</v>
      </c>
    </row>
    <row r="777" spans="1:20" ht="15.75" hidden="1" x14ac:dyDescent="0.25">
      <c r="A777" s="166" t="s">
        <v>397</v>
      </c>
      <c r="B777" s="167" t="s">
        <v>262</v>
      </c>
      <c r="C777" s="129" t="s">
        <v>53</v>
      </c>
      <c r="D777" s="130">
        <v>7038</v>
      </c>
      <c r="E777" s="153" t="s">
        <v>68</v>
      </c>
      <c r="F777" s="156">
        <f>(1.248*103)/100</f>
        <v>1.2854400000000001</v>
      </c>
      <c r="G777" s="156">
        <v>3.744000000000014E-2</v>
      </c>
      <c r="H777" s="156">
        <f>F777+G777</f>
        <v>1.3228800000000003</v>
      </c>
      <c r="I777" s="166">
        <f>SUMIFS(Продажи!F$5:F$359,Продажи!$D$5:$D$359,Конструкторы!$B777,Продажи!$C$5:$C$359,Конструкторы!$A777)</f>
        <v>0</v>
      </c>
      <c r="J777" s="166">
        <f>SUMIFS(Продажи!G$5:G$359,Продажи!$D$5:$D$359,Конструкторы!$B777,Продажи!$C$5:$C$359,Конструкторы!$A777)</f>
        <v>0</v>
      </c>
      <c r="K777" s="166">
        <f>SUMIFS(Продажи!H$5:H$359,Продажи!$D$5:$D$359,Конструкторы!$B777,Продажи!$C$5:$C$359,Конструкторы!$A777)</f>
        <v>0</v>
      </c>
      <c r="L777" s="166">
        <f>SUMIFS(Продажи!I$5:I$359,Продажи!$D$5:$D$359,Конструкторы!$B777,Продажи!$C$5:$C$359,Конструкторы!$A777)</f>
        <v>0</v>
      </c>
      <c r="M777" s="166">
        <f>SUMIFS(Продажи!J$5:J$359,Продажи!$D$5:$D$359,Конструкторы!$B777,Продажи!$C$5:$C$359,Конструкторы!$A777)</f>
        <v>0</v>
      </c>
      <c r="N777" s="166">
        <f>SUMIFS(Продажи!K$5:K$359,Продажи!$D$5:$D$359,Конструкторы!$B777,Продажи!$C$5:$C$359,Конструкторы!$A777)</f>
        <v>0</v>
      </c>
      <c r="O777" s="166">
        <f>SUMIFS(Продажи!L$5:L$359,Продажи!$D$5:$D$359,Конструкторы!$B777,Продажи!$C$5:$C$359,Конструкторы!$A777)</f>
        <v>0</v>
      </c>
      <c r="P777" s="166">
        <f>SUMIFS(Продажи!M$5:M$359,Продажи!$D$5:$D$359,Конструкторы!$B777,Продажи!$C$5:$C$359,Конструкторы!$A777)</f>
        <v>0</v>
      </c>
      <c r="Q777" s="166">
        <f>SUMIFS(Продажи!N$5:N$359,Продажи!$D$5:$D$359,Конструкторы!$B777,Продажи!$C$5:$C$359,Конструкторы!$A777)</f>
        <v>0</v>
      </c>
      <c r="R777" s="166">
        <f>SUMIFS(Продажи!O$5:O$359,Продажи!$D$5:$D$359,Конструкторы!$B777,Продажи!$C$5:$C$359,Конструкторы!$A777)</f>
        <v>0</v>
      </c>
      <c r="S777" s="166">
        <f>SUMIFS(Продажи!P$5:P$359,Продажи!$D$5:$D$359,Конструкторы!$B777,Продажи!$C$5:$C$359,Конструкторы!$A777)</f>
        <v>0</v>
      </c>
      <c r="T777" s="166">
        <f>SUMIFS(Продажи!Q$5:Q$359,Продажи!$D$5:$D$359,Конструкторы!$B777,Продажи!$C$5:$C$359,Конструкторы!$A777)</f>
        <v>0</v>
      </c>
    </row>
    <row r="778" spans="1:20" ht="15.75" hidden="1" x14ac:dyDescent="0.25">
      <c r="A778" s="166" t="s">
        <v>397</v>
      </c>
      <c r="B778" s="167" t="s">
        <v>262</v>
      </c>
      <c r="C778" s="129" t="s">
        <v>52</v>
      </c>
      <c r="D778" s="149"/>
      <c r="E778" s="153" t="s">
        <v>68</v>
      </c>
      <c r="F778" s="156">
        <f>(0.4*103)/100</f>
        <v>0.41200000000000003</v>
      </c>
      <c r="G778" s="156">
        <v>1.2000000000000011E-2</v>
      </c>
      <c r="H778" s="156">
        <f>F778+G778</f>
        <v>0.42400000000000004</v>
      </c>
      <c r="I778" s="166">
        <f>SUMIFS(Продажи!F$5:F$359,Продажи!$D$5:$D$359,Конструкторы!$B778,Продажи!$C$5:$C$359,Конструкторы!$A778)</f>
        <v>0</v>
      </c>
      <c r="J778" s="166">
        <f>SUMIFS(Продажи!G$5:G$359,Продажи!$D$5:$D$359,Конструкторы!$B778,Продажи!$C$5:$C$359,Конструкторы!$A778)</f>
        <v>0</v>
      </c>
      <c r="K778" s="166">
        <f>SUMIFS(Продажи!H$5:H$359,Продажи!$D$5:$D$359,Конструкторы!$B778,Продажи!$C$5:$C$359,Конструкторы!$A778)</f>
        <v>0</v>
      </c>
      <c r="L778" s="166">
        <f>SUMIFS(Продажи!I$5:I$359,Продажи!$D$5:$D$359,Конструкторы!$B778,Продажи!$C$5:$C$359,Конструкторы!$A778)</f>
        <v>0</v>
      </c>
      <c r="M778" s="166">
        <f>SUMIFS(Продажи!J$5:J$359,Продажи!$D$5:$D$359,Конструкторы!$B778,Продажи!$C$5:$C$359,Конструкторы!$A778)</f>
        <v>0</v>
      </c>
      <c r="N778" s="166">
        <f>SUMIFS(Продажи!K$5:K$359,Продажи!$D$5:$D$359,Конструкторы!$B778,Продажи!$C$5:$C$359,Конструкторы!$A778)</f>
        <v>0</v>
      </c>
      <c r="O778" s="166">
        <f>SUMIFS(Продажи!L$5:L$359,Продажи!$D$5:$D$359,Конструкторы!$B778,Продажи!$C$5:$C$359,Конструкторы!$A778)</f>
        <v>0</v>
      </c>
      <c r="P778" s="166">
        <f>SUMIFS(Продажи!M$5:M$359,Продажи!$D$5:$D$359,Конструкторы!$B778,Продажи!$C$5:$C$359,Конструкторы!$A778)</f>
        <v>0</v>
      </c>
      <c r="Q778" s="166">
        <f>SUMIFS(Продажи!N$5:N$359,Продажи!$D$5:$D$359,Конструкторы!$B778,Продажи!$C$5:$C$359,Конструкторы!$A778)</f>
        <v>0</v>
      </c>
      <c r="R778" s="166">
        <f>SUMIFS(Продажи!O$5:O$359,Продажи!$D$5:$D$359,Конструкторы!$B778,Продажи!$C$5:$C$359,Конструкторы!$A778)</f>
        <v>0</v>
      </c>
      <c r="S778" s="166">
        <f>SUMIFS(Продажи!P$5:P$359,Продажи!$D$5:$D$359,Конструкторы!$B778,Продажи!$C$5:$C$359,Конструкторы!$A778)</f>
        <v>0</v>
      </c>
      <c r="T778" s="166">
        <f>SUMIFS(Продажи!Q$5:Q$359,Продажи!$D$5:$D$359,Конструкторы!$B778,Продажи!$C$5:$C$359,Конструкторы!$A778)</f>
        <v>0</v>
      </c>
    </row>
    <row r="779" spans="1:20" ht="15.75" hidden="1" x14ac:dyDescent="0.25">
      <c r="A779" s="166" t="s">
        <v>397</v>
      </c>
      <c r="B779" s="167" t="s">
        <v>262</v>
      </c>
      <c r="C779" s="33" t="s">
        <v>73</v>
      </c>
      <c r="D779" s="149"/>
      <c r="E779" s="153" t="s">
        <v>70</v>
      </c>
      <c r="F779" s="148">
        <v>2</v>
      </c>
      <c r="G779" s="156" t="s">
        <v>71</v>
      </c>
      <c r="H779" s="156">
        <f>F779</f>
        <v>2</v>
      </c>
      <c r="I779" s="166">
        <f>SUMIFS(Продажи!F$5:F$359,Продажи!$D$5:$D$359,Конструкторы!$B779,Продажи!$C$5:$C$359,Конструкторы!$A779)</f>
        <v>0</v>
      </c>
      <c r="J779" s="166">
        <f>SUMIFS(Продажи!G$5:G$359,Продажи!$D$5:$D$359,Конструкторы!$B779,Продажи!$C$5:$C$359,Конструкторы!$A779)</f>
        <v>0</v>
      </c>
      <c r="K779" s="166">
        <f>SUMIFS(Продажи!H$5:H$359,Продажи!$D$5:$D$359,Конструкторы!$B779,Продажи!$C$5:$C$359,Конструкторы!$A779)</f>
        <v>0</v>
      </c>
      <c r="L779" s="166">
        <f>SUMIFS(Продажи!I$5:I$359,Продажи!$D$5:$D$359,Конструкторы!$B779,Продажи!$C$5:$C$359,Конструкторы!$A779)</f>
        <v>0</v>
      </c>
      <c r="M779" s="166">
        <f>SUMIFS(Продажи!J$5:J$359,Продажи!$D$5:$D$359,Конструкторы!$B779,Продажи!$C$5:$C$359,Конструкторы!$A779)</f>
        <v>0</v>
      </c>
      <c r="N779" s="166">
        <f>SUMIFS(Продажи!K$5:K$359,Продажи!$D$5:$D$359,Конструкторы!$B779,Продажи!$C$5:$C$359,Конструкторы!$A779)</f>
        <v>0</v>
      </c>
      <c r="O779" s="166">
        <f>SUMIFS(Продажи!L$5:L$359,Продажи!$D$5:$D$359,Конструкторы!$B779,Продажи!$C$5:$C$359,Конструкторы!$A779)</f>
        <v>0</v>
      </c>
      <c r="P779" s="166">
        <f>SUMIFS(Продажи!M$5:M$359,Продажи!$D$5:$D$359,Конструкторы!$B779,Продажи!$C$5:$C$359,Конструкторы!$A779)</f>
        <v>0</v>
      </c>
      <c r="Q779" s="166">
        <f>SUMIFS(Продажи!N$5:N$359,Продажи!$D$5:$D$359,Конструкторы!$B779,Продажи!$C$5:$C$359,Конструкторы!$A779)</f>
        <v>0</v>
      </c>
      <c r="R779" s="166">
        <f>SUMIFS(Продажи!O$5:O$359,Продажи!$D$5:$D$359,Конструкторы!$B779,Продажи!$C$5:$C$359,Конструкторы!$A779)</f>
        <v>0</v>
      </c>
      <c r="S779" s="166">
        <f>SUMIFS(Продажи!P$5:P$359,Продажи!$D$5:$D$359,Конструкторы!$B779,Продажи!$C$5:$C$359,Конструкторы!$A779)</f>
        <v>0</v>
      </c>
      <c r="T779" s="166">
        <f>SUMIFS(Продажи!Q$5:Q$359,Продажи!$D$5:$D$359,Конструкторы!$B779,Продажи!$C$5:$C$359,Конструкторы!$A779)</f>
        <v>0</v>
      </c>
    </row>
    <row r="780" spans="1:20" ht="15.75" hidden="1" x14ac:dyDescent="0.25">
      <c r="A780" s="166" t="s">
        <v>397</v>
      </c>
      <c r="B780" s="167" t="s">
        <v>262</v>
      </c>
      <c r="C780" s="33" t="s">
        <v>75</v>
      </c>
      <c r="D780" s="149"/>
      <c r="E780" s="153" t="s">
        <v>70</v>
      </c>
      <c r="F780" s="148">
        <v>8</v>
      </c>
      <c r="G780" s="156" t="s">
        <v>71</v>
      </c>
      <c r="H780" s="156">
        <f>F780</f>
        <v>8</v>
      </c>
      <c r="I780" s="166">
        <f>SUMIFS(Продажи!F$5:F$359,Продажи!$D$5:$D$359,Конструкторы!$B780,Продажи!$C$5:$C$359,Конструкторы!$A780)</f>
        <v>0</v>
      </c>
      <c r="J780" s="166">
        <f>SUMIFS(Продажи!G$5:G$359,Продажи!$D$5:$D$359,Конструкторы!$B780,Продажи!$C$5:$C$359,Конструкторы!$A780)</f>
        <v>0</v>
      </c>
      <c r="K780" s="166">
        <f>SUMIFS(Продажи!H$5:H$359,Продажи!$D$5:$D$359,Конструкторы!$B780,Продажи!$C$5:$C$359,Конструкторы!$A780)</f>
        <v>0</v>
      </c>
      <c r="L780" s="166">
        <f>SUMIFS(Продажи!I$5:I$359,Продажи!$D$5:$D$359,Конструкторы!$B780,Продажи!$C$5:$C$359,Конструкторы!$A780)</f>
        <v>0</v>
      </c>
      <c r="M780" s="166">
        <f>SUMIFS(Продажи!J$5:J$359,Продажи!$D$5:$D$359,Конструкторы!$B780,Продажи!$C$5:$C$359,Конструкторы!$A780)</f>
        <v>0</v>
      </c>
      <c r="N780" s="166">
        <f>SUMIFS(Продажи!K$5:K$359,Продажи!$D$5:$D$359,Конструкторы!$B780,Продажи!$C$5:$C$359,Конструкторы!$A780)</f>
        <v>0</v>
      </c>
      <c r="O780" s="166">
        <f>SUMIFS(Продажи!L$5:L$359,Продажи!$D$5:$D$359,Конструкторы!$B780,Продажи!$C$5:$C$359,Конструкторы!$A780)</f>
        <v>0</v>
      </c>
      <c r="P780" s="166">
        <f>SUMIFS(Продажи!M$5:M$359,Продажи!$D$5:$D$359,Конструкторы!$B780,Продажи!$C$5:$C$359,Конструкторы!$A780)</f>
        <v>0</v>
      </c>
      <c r="Q780" s="166">
        <f>SUMIFS(Продажи!N$5:N$359,Продажи!$D$5:$D$359,Конструкторы!$B780,Продажи!$C$5:$C$359,Конструкторы!$A780)</f>
        <v>0</v>
      </c>
      <c r="R780" s="166">
        <f>SUMIFS(Продажи!O$5:O$359,Продажи!$D$5:$D$359,Конструкторы!$B780,Продажи!$C$5:$C$359,Конструкторы!$A780)</f>
        <v>0</v>
      </c>
      <c r="S780" s="166">
        <f>SUMIFS(Продажи!P$5:P$359,Продажи!$D$5:$D$359,Конструкторы!$B780,Продажи!$C$5:$C$359,Конструкторы!$A780)</f>
        <v>0</v>
      </c>
      <c r="T780" s="166">
        <f>SUMIFS(Продажи!Q$5:Q$359,Продажи!$D$5:$D$359,Конструкторы!$B780,Продажи!$C$5:$C$359,Конструкторы!$A780)</f>
        <v>0</v>
      </c>
    </row>
    <row r="781" spans="1:20" ht="15.75" hidden="1" x14ac:dyDescent="0.25">
      <c r="A781" s="166" t="s">
        <v>397</v>
      </c>
      <c r="B781" s="167" t="s">
        <v>262</v>
      </c>
      <c r="C781" s="33" t="s">
        <v>69</v>
      </c>
      <c r="D781" s="149"/>
      <c r="E781" s="153" t="s">
        <v>70</v>
      </c>
      <c r="F781" s="148">
        <v>4</v>
      </c>
      <c r="G781" s="156" t="s">
        <v>71</v>
      </c>
      <c r="H781" s="156">
        <f>F781</f>
        <v>4</v>
      </c>
      <c r="I781" s="166">
        <f>SUMIFS(Продажи!F$5:F$359,Продажи!$D$5:$D$359,Конструкторы!$B781,Продажи!$C$5:$C$359,Конструкторы!$A781)</f>
        <v>0</v>
      </c>
      <c r="J781" s="166">
        <f>SUMIFS(Продажи!G$5:G$359,Продажи!$D$5:$D$359,Конструкторы!$B781,Продажи!$C$5:$C$359,Конструкторы!$A781)</f>
        <v>0</v>
      </c>
      <c r="K781" s="166">
        <f>SUMIFS(Продажи!H$5:H$359,Продажи!$D$5:$D$359,Конструкторы!$B781,Продажи!$C$5:$C$359,Конструкторы!$A781)</f>
        <v>0</v>
      </c>
      <c r="L781" s="166">
        <f>SUMIFS(Продажи!I$5:I$359,Продажи!$D$5:$D$359,Конструкторы!$B781,Продажи!$C$5:$C$359,Конструкторы!$A781)</f>
        <v>0</v>
      </c>
      <c r="M781" s="166">
        <f>SUMIFS(Продажи!J$5:J$359,Продажи!$D$5:$D$359,Конструкторы!$B781,Продажи!$C$5:$C$359,Конструкторы!$A781)</f>
        <v>0</v>
      </c>
      <c r="N781" s="166">
        <f>SUMIFS(Продажи!K$5:K$359,Продажи!$D$5:$D$359,Конструкторы!$B781,Продажи!$C$5:$C$359,Конструкторы!$A781)</f>
        <v>0</v>
      </c>
      <c r="O781" s="166">
        <f>SUMIFS(Продажи!L$5:L$359,Продажи!$D$5:$D$359,Конструкторы!$B781,Продажи!$C$5:$C$359,Конструкторы!$A781)</f>
        <v>0</v>
      </c>
      <c r="P781" s="166">
        <f>SUMIFS(Продажи!M$5:M$359,Продажи!$D$5:$D$359,Конструкторы!$B781,Продажи!$C$5:$C$359,Конструкторы!$A781)</f>
        <v>0</v>
      </c>
      <c r="Q781" s="166">
        <f>SUMIFS(Продажи!N$5:N$359,Продажи!$D$5:$D$359,Конструкторы!$B781,Продажи!$C$5:$C$359,Конструкторы!$A781)</f>
        <v>0</v>
      </c>
      <c r="R781" s="166">
        <f>SUMIFS(Продажи!O$5:O$359,Продажи!$D$5:$D$359,Конструкторы!$B781,Продажи!$C$5:$C$359,Конструкторы!$A781)</f>
        <v>0</v>
      </c>
      <c r="S781" s="166">
        <f>SUMIFS(Продажи!P$5:P$359,Продажи!$D$5:$D$359,Конструкторы!$B781,Продажи!$C$5:$C$359,Конструкторы!$A781)</f>
        <v>0</v>
      </c>
      <c r="T781" s="166">
        <f>SUMIFS(Продажи!Q$5:Q$359,Продажи!$D$5:$D$359,Конструкторы!$B781,Продажи!$C$5:$C$359,Конструкторы!$A781)</f>
        <v>0</v>
      </c>
    </row>
    <row r="782" spans="1:20" ht="15.75" hidden="1" x14ac:dyDescent="0.25">
      <c r="A782" s="166" t="s">
        <v>397</v>
      </c>
      <c r="B782" s="167" t="s">
        <v>263</v>
      </c>
      <c r="C782" s="129" t="s">
        <v>53</v>
      </c>
      <c r="D782" s="130">
        <v>7038</v>
      </c>
      <c r="E782" s="153" t="s">
        <v>68</v>
      </c>
      <c r="F782" s="156">
        <f>(1.164*103)/100</f>
        <v>1.19892</v>
      </c>
      <c r="G782" s="156">
        <v>3.4920000000000062E-2</v>
      </c>
      <c r="H782" s="156">
        <f>F782+G782</f>
        <v>1.23384</v>
      </c>
      <c r="I782" s="166">
        <f>SUMIFS(Продажи!F$5:F$359,Продажи!$D$5:$D$359,Конструкторы!$B782,Продажи!$C$5:$C$359,Конструкторы!$A782)</f>
        <v>0</v>
      </c>
      <c r="J782" s="166">
        <f>SUMIFS(Продажи!G$5:G$359,Продажи!$D$5:$D$359,Конструкторы!$B782,Продажи!$C$5:$C$359,Конструкторы!$A782)</f>
        <v>0</v>
      </c>
      <c r="K782" s="166">
        <f>SUMIFS(Продажи!H$5:H$359,Продажи!$D$5:$D$359,Конструкторы!$B782,Продажи!$C$5:$C$359,Конструкторы!$A782)</f>
        <v>0</v>
      </c>
      <c r="L782" s="166">
        <f>SUMIFS(Продажи!I$5:I$359,Продажи!$D$5:$D$359,Конструкторы!$B782,Продажи!$C$5:$C$359,Конструкторы!$A782)</f>
        <v>0</v>
      </c>
      <c r="M782" s="166">
        <f>SUMIFS(Продажи!J$5:J$359,Продажи!$D$5:$D$359,Конструкторы!$B782,Продажи!$C$5:$C$359,Конструкторы!$A782)</f>
        <v>0</v>
      </c>
      <c r="N782" s="166">
        <f>SUMIFS(Продажи!K$5:K$359,Продажи!$D$5:$D$359,Конструкторы!$B782,Продажи!$C$5:$C$359,Конструкторы!$A782)</f>
        <v>0</v>
      </c>
      <c r="O782" s="166">
        <f>SUMIFS(Продажи!L$5:L$359,Продажи!$D$5:$D$359,Конструкторы!$B782,Продажи!$C$5:$C$359,Конструкторы!$A782)</f>
        <v>0</v>
      </c>
      <c r="P782" s="166">
        <f>SUMIFS(Продажи!M$5:M$359,Продажи!$D$5:$D$359,Конструкторы!$B782,Продажи!$C$5:$C$359,Конструкторы!$A782)</f>
        <v>0</v>
      </c>
      <c r="Q782" s="166">
        <f>SUMIFS(Продажи!N$5:N$359,Продажи!$D$5:$D$359,Конструкторы!$B782,Продажи!$C$5:$C$359,Конструкторы!$A782)</f>
        <v>0</v>
      </c>
      <c r="R782" s="166">
        <f>SUMIFS(Продажи!O$5:O$359,Продажи!$D$5:$D$359,Конструкторы!$B782,Продажи!$C$5:$C$359,Конструкторы!$A782)</f>
        <v>0</v>
      </c>
      <c r="S782" s="166">
        <f>SUMIFS(Продажи!P$5:P$359,Продажи!$D$5:$D$359,Конструкторы!$B782,Продажи!$C$5:$C$359,Конструкторы!$A782)</f>
        <v>0</v>
      </c>
      <c r="T782" s="166">
        <f>SUMIFS(Продажи!Q$5:Q$359,Продажи!$D$5:$D$359,Конструкторы!$B782,Продажи!$C$5:$C$359,Конструкторы!$A782)</f>
        <v>0</v>
      </c>
    </row>
    <row r="783" spans="1:20" ht="15.75" hidden="1" x14ac:dyDescent="0.25">
      <c r="A783" s="166" t="s">
        <v>397</v>
      </c>
      <c r="B783" s="167" t="s">
        <v>263</v>
      </c>
      <c r="C783" s="129" t="s">
        <v>52</v>
      </c>
      <c r="D783" s="149"/>
      <c r="E783" s="153" t="s">
        <v>68</v>
      </c>
      <c r="F783" s="156">
        <f>(0.6*103)/100</f>
        <v>0.61799999999999999</v>
      </c>
      <c r="G783" s="156">
        <v>1.8000000000000016E-2</v>
      </c>
      <c r="H783" s="156">
        <f>F783+G783</f>
        <v>0.63600000000000001</v>
      </c>
      <c r="I783" s="166">
        <f>SUMIFS(Продажи!F$5:F$359,Продажи!$D$5:$D$359,Конструкторы!$B783,Продажи!$C$5:$C$359,Конструкторы!$A783)</f>
        <v>0</v>
      </c>
      <c r="J783" s="166">
        <f>SUMIFS(Продажи!G$5:G$359,Продажи!$D$5:$D$359,Конструкторы!$B783,Продажи!$C$5:$C$359,Конструкторы!$A783)</f>
        <v>0</v>
      </c>
      <c r="K783" s="166">
        <f>SUMIFS(Продажи!H$5:H$359,Продажи!$D$5:$D$359,Конструкторы!$B783,Продажи!$C$5:$C$359,Конструкторы!$A783)</f>
        <v>0</v>
      </c>
      <c r="L783" s="166">
        <f>SUMIFS(Продажи!I$5:I$359,Продажи!$D$5:$D$359,Конструкторы!$B783,Продажи!$C$5:$C$359,Конструкторы!$A783)</f>
        <v>0</v>
      </c>
      <c r="M783" s="166">
        <f>SUMIFS(Продажи!J$5:J$359,Продажи!$D$5:$D$359,Конструкторы!$B783,Продажи!$C$5:$C$359,Конструкторы!$A783)</f>
        <v>0</v>
      </c>
      <c r="N783" s="166">
        <f>SUMIFS(Продажи!K$5:K$359,Продажи!$D$5:$D$359,Конструкторы!$B783,Продажи!$C$5:$C$359,Конструкторы!$A783)</f>
        <v>0</v>
      </c>
      <c r="O783" s="166">
        <f>SUMIFS(Продажи!L$5:L$359,Продажи!$D$5:$D$359,Конструкторы!$B783,Продажи!$C$5:$C$359,Конструкторы!$A783)</f>
        <v>0</v>
      </c>
      <c r="P783" s="166">
        <f>SUMIFS(Продажи!M$5:M$359,Продажи!$D$5:$D$359,Конструкторы!$B783,Продажи!$C$5:$C$359,Конструкторы!$A783)</f>
        <v>0</v>
      </c>
      <c r="Q783" s="166">
        <f>SUMIFS(Продажи!N$5:N$359,Продажи!$D$5:$D$359,Конструкторы!$B783,Продажи!$C$5:$C$359,Конструкторы!$A783)</f>
        <v>0</v>
      </c>
      <c r="R783" s="166">
        <f>SUMIFS(Продажи!O$5:O$359,Продажи!$D$5:$D$359,Конструкторы!$B783,Продажи!$C$5:$C$359,Конструкторы!$A783)</f>
        <v>0</v>
      </c>
      <c r="S783" s="166">
        <f>SUMIFS(Продажи!P$5:P$359,Продажи!$D$5:$D$359,Конструкторы!$B783,Продажи!$C$5:$C$359,Конструкторы!$A783)</f>
        <v>0</v>
      </c>
      <c r="T783" s="166">
        <f>SUMIFS(Продажи!Q$5:Q$359,Продажи!$D$5:$D$359,Конструкторы!$B783,Продажи!$C$5:$C$359,Конструкторы!$A783)</f>
        <v>0</v>
      </c>
    </row>
    <row r="784" spans="1:20" ht="15.75" hidden="1" x14ac:dyDescent="0.25">
      <c r="A784" s="166" t="s">
        <v>397</v>
      </c>
      <c r="B784" s="167" t="s">
        <v>263</v>
      </c>
      <c r="C784" s="33" t="s">
        <v>73</v>
      </c>
      <c r="D784" s="149"/>
      <c r="E784" s="153" t="s">
        <v>70</v>
      </c>
      <c r="F784" s="148">
        <v>2</v>
      </c>
      <c r="G784" s="156" t="s">
        <v>71</v>
      </c>
      <c r="H784" s="156">
        <f>F784</f>
        <v>2</v>
      </c>
      <c r="I784" s="166">
        <f>SUMIFS(Продажи!F$5:F$359,Продажи!$D$5:$D$359,Конструкторы!$B784,Продажи!$C$5:$C$359,Конструкторы!$A784)</f>
        <v>0</v>
      </c>
      <c r="J784" s="166">
        <f>SUMIFS(Продажи!G$5:G$359,Продажи!$D$5:$D$359,Конструкторы!$B784,Продажи!$C$5:$C$359,Конструкторы!$A784)</f>
        <v>0</v>
      </c>
      <c r="K784" s="166">
        <f>SUMIFS(Продажи!H$5:H$359,Продажи!$D$5:$D$359,Конструкторы!$B784,Продажи!$C$5:$C$359,Конструкторы!$A784)</f>
        <v>0</v>
      </c>
      <c r="L784" s="166">
        <f>SUMIFS(Продажи!I$5:I$359,Продажи!$D$5:$D$359,Конструкторы!$B784,Продажи!$C$5:$C$359,Конструкторы!$A784)</f>
        <v>0</v>
      </c>
      <c r="M784" s="166">
        <f>SUMIFS(Продажи!J$5:J$359,Продажи!$D$5:$D$359,Конструкторы!$B784,Продажи!$C$5:$C$359,Конструкторы!$A784)</f>
        <v>0</v>
      </c>
      <c r="N784" s="166">
        <f>SUMIFS(Продажи!K$5:K$359,Продажи!$D$5:$D$359,Конструкторы!$B784,Продажи!$C$5:$C$359,Конструкторы!$A784)</f>
        <v>0</v>
      </c>
      <c r="O784" s="166">
        <f>SUMIFS(Продажи!L$5:L$359,Продажи!$D$5:$D$359,Конструкторы!$B784,Продажи!$C$5:$C$359,Конструкторы!$A784)</f>
        <v>0</v>
      </c>
      <c r="P784" s="166">
        <f>SUMIFS(Продажи!M$5:M$359,Продажи!$D$5:$D$359,Конструкторы!$B784,Продажи!$C$5:$C$359,Конструкторы!$A784)</f>
        <v>0</v>
      </c>
      <c r="Q784" s="166">
        <f>SUMIFS(Продажи!N$5:N$359,Продажи!$D$5:$D$359,Конструкторы!$B784,Продажи!$C$5:$C$359,Конструкторы!$A784)</f>
        <v>0</v>
      </c>
      <c r="R784" s="166">
        <f>SUMIFS(Продажи!O$5:O$359,Продажи!$D$5:$D$359,Конструкторы!$B784,Продажи!$C$5:$C$359,Конструкторы!$A784)</f>
        <v>0</v>
      </c>
      <c r="S784" s="166">
        <f>SUMIFS(Продажи!P$5:P$359,Продажи!$D$5:$D$359,Конструкторы!$B784,Продажи!$C$5:$C$359,Конструкторы!$A784)</f>
        <v>0</v>
      </c>
      <c r="T784" s="166">
        <f>SUMIFS(Продажи!Q$5:Q$359,Продажи!$D$5:$D$359,Конструкторы!$B784,Продажи!$C$5:$C$359,Конструкторы!$A784)</f>
        <v>0</v>
      </c>
    </row>
    <row r="785" spans="1:20" ht="15.75" hidden="1" x14ac:dyDescent="0.25">
      <c r="A785" s="166" t="s">
        <v>397</v>
      </c>
      <c r="B785" s="167" t="s">
        <v>263</v>
      </c>
      <c r="C785" s="33" t="s">
        <v>75</v>
      </c>
      <c r="D785" s="149"/>
      <c r="E785" s="153" t="s">
        <v>70</v>
      </c>
      <c r="F785" s="148">
        <v>8</v>
      </c>
      <c r="G785" s="156" t="s">
        <v>71</v>
      </c>
      <c r="H785" s="156">
        <f>F785</f>
        <v>8</v>
      </c>
      <c r="I785" s="166">
        <f>SUMIFS(Продажи!F$5:F$359,Продажи!$D$5:$D$359,Конструкторы!$B785,Продажи!$C$5:$C$359,Конструкторы!$A785)</f>
        <v>0</v>
      </c>
      <c r="J785" s="166">
        <f>SUMIFS(Продажи!G$5:G$359,Продажи!$D$5:$D$359,Конструкторы!$B785,Продажи!$C$5:$C$359,Конструкторы!$A785)</f>
        <v>0</v>
      </c>
      <c r="K785" s="166">
        <f>SUMIFS(Продажи!H$5:H$359,Продажи!$D$5:$D$359,Конструкторы!$B785,Продажи!$C$5:$C$359,Конструкторы!$A785)</f>
        <v>0</v>
      </c>
      <c r="L785" s="166">
        <f>SUMIFS(Продажи!I$5:I$359,Продажи!$D$5:$D$359,Конструкторы!$B785,Продажи!$C$5:$C$359,Конструкторы!$A785)</f>
        <v>0</v>
      </c>
      <c r="M785" s="166">
        <f>SUMIFS(Продажи!J$5:J$359,Продажи!$D$5:$D$359,Конструкторы!$B785,Продажи!$C$5:$C$359,Конструкторы!$A785)</f>
        <v>0</v>
      </c>
      <c r="N785" s="166">
        <f>SUMIFS(Продажи!K$5:K$359,Продажи!$D$5:$D$359,Конструкторы!$B785,Продажи!$C$5:$C$359,Конструкторы!$A785)</f>
        <v>0</v>
      </c>
      <c r="O785" s="166">
        <f>SUMIFS(Продажи!L$5:L$359,Продажи!$D$5:$D$359,Конструкторы!$B785,Продажи!$C$5:$C$359,Конструкторы!$A785)</f>
        <v>0</v>
      </c>
      <c r="P785" s="166">
        <f>SUMIFS(Продажи!M$5:M$359,Продажи!$D$5:$D$359,Конструкторы!$B785,Продажи!$C$5:$C$359,Конструкторы!$A785)</f>
        <v>0</v>
      </c>
      <c r="Q785" s="166">
        <f>SUMIFS(Продажи!N$5:N$359,Продажи!$D$5:$D$359,Конструкторы!$B785,Продажи!$C$5:$C$359,Конструкторы!$A785)</f>
        <v>0</v>
      </c>
      <c r="R785" s="166">
        <f>SUMIFS(Продажи!O$5:O$359,Продажи!$D$5:$D$359,Конструкторы!$B785,Продажи!$C$5:$C$359,Конструкторы!$A785)</f>
        <v>0</v>
      </c>
      <c r="S785" s="166">
        <f>SUMIFS(Продажи!P$5:P$359,Продажи!$D$5:$D$359,Конструкторы!$B785,Продажи!$C$5:$C$359,Конструкторы!$A785)</f>
        <v>0</v>
      </c>
      <c r="T785" s="166">
        <f>SUMIFS(Продажи!Q$5:Q$359,Продажи!$D$5:$D$359,Конструкторы!$B785,Продажи!$C$5:$C$359,Конструкторы!$A785)</f>
        <v>0</v>
      </c>
    </row>
    <row r="786" spans="1:20" ht="15.75" hidden="1" x14ac:dyDescent="0.25">
      <c r="A786" s="166" t="s">
        <v>397</v>
      </c>
      <c r="B786" s="167" t="s">
        <v>263</v>
      </c>
      <c r="C786" s="33" t="s">
        <v>69</v>
      </c>
      <c r="D786" s="149"/>
      <c r="E786" s="153" t="s">
        <v>70</v>
      </c>
      <c r="F786" s="148">
        <v>4</v>
      </c>
      <c r="G786" s="156" t="s">
        <v>71</v>
      </c>
      <c r="H786" s="156">
        <f>F786</f>
        <v>4</v>
      </c>
      <c r="I786" s="166">
        <f>SUMIFS(Продажи!F$5:F$359,Продажи!$D$5:$D$359,Конструкторы!$B786,Продажи!$C$5:$C$359,Конструкторы!$A786)</f>
        <v>0</v>
      </c>
      <c r="J786" s="166">
        <f>SUMIFS(Продажи!G$5:G$359,Продажи!$D$5:$D$359,Конструкторы!$B786,Продажи!$C$5:$C$359,Конструкторы!$A786)</f>
        <v>0</v>
      </c>
      <c r="K786" s="166">
        <f>SUMIFS(Продажи!H$5:H$359,Продажи!$D$5:$D$359,Конструкторы!$B786,Продажи!$C$5:$C$359,Конструкторы!$A786)</f>
        <v>0</v>
      </c>
      <c r="L786" s="166">
        <f>SUMIFS(Продажи!I$5:I$359,Продажи!$D$5:$D$359,Конструкторы!$B786,Продажи!$C$5:$C$359,Конструкторы!$A786)</f>
        <v>0</v>
      </c>
      <c r="M786" s="166">
        <f>SUMIFS(Продажи!J$5:J$359,Продажи!$D$5:$D$359,Конструкторы!$B786,Продажи!$C$5:$C$359,Конструкторы!$A786)</f>
        <v>0</v>
      </c>
      <c r="N786" s="166">
        <f>SUMIFS(Продажи!K$5:K$359,Продажи!$D$5:$D$359,Конструкторы!$B786,Продажи!$C$5:$C$359,Конструкторы!$A786)</f>
        <v>0</v>
      </c>
      <c r="O786" s="166">
        <f>SUMIFS(Продажи!L$5:L$359,Продажи!$D$5:$D$359,Конструкторы!$B786,Продажи!$C$5:$C$359,Конструкторы!$A786)</f>
        <v>0</v>
      </c>
      <c r="P786" s="166">
        <f>SUMIFS(Продажи!M$5:M$359,Продажи!$D$5:$D$359,Конструкторы!$B786,Продажи!$C$5:$C$359,Конструкторы!$A786)</f>
        <v>0</v>
      </c>
      <c r="Q786" s="166">
        <f>SUMIFS(Продажи!N$5:N$359,Продажи!$D$5:$D$359,Конструкторы!$B786,Продажи!$C$5:$C$359,Конструкторы!$A786)</f>
        <v>0</v>
      </c>
      <c r="R786" s="166">
        <f>SUMIFS(Продажи!O$5:O$359,Продажи!$D$5:$D$359,Конструкторы!$B786,Продажи!$C$5:$C$359,Конструкторы!$A786)</f>
        <v>0</v>
      </c>
      <c r="S786" s="166">
        <f>SUMIFS(Продажи!P$5:P$359,Продажи!$D$5:$D$359,Конструкторы!$B786,Продажи!$C$5:$C$359,Конструкторы!$A786)</f>
        <v>0</v>
      </c>
      <c r="T786" s="166">
        <f>SUMIFS(Продажи!Q$5:Q$359,Продажи!$D$5:$D$359,Конструкторы!$B786,Продажи!$C$5:$C$359,Конструкторы!$A786)</f>
        <v>0</v>
      </c>
    </row>
    <row r="787" spans="1:20" ht="15.75" hidden="1" x14ac:dyDescent="0.25">
      <c r="A787" s="166" t="s">
        <v>397</v>
      </c>
      <c r="B787" s="167" t="s">
        <v>264</v>
      </c>
      <c r="C787" s="129" t="s">
        <v>53</v>
      </c>
      <c r="D787" s="130">
        <v>7038</v>
      </c>
      <c r="E787" s="153" t="s">
        <v>68</v>
      </c>
      <c r="F787" s="156">
        <f>(1.082*103)/100</f>
        <v>1.1144600000000002</v>
      </c>
      <c r="G787" s="156">
        <v>3.2460000000000155E-2</v>
      </c>
      <c r="H787" s="156">
        <f>F787+G787</f>
        <v>1.1469200000000004</v>
      </c>
      <c r="I787" s="166">
        <f>SUMIFS(Продажи!F$5:F$359,Продажи!$D$5:$D$359,Конструкторы!$B787,Продажи!$C$5:$C$359,Конструкторы!$A787)</f>
        <v>0</v>
      </c>
      <c r="J787" s="166">
        <f>SUMIFS(Продажи!G$5:G$359,Продажи!$D$5:$D$359,Конструкторы!$B787,Продажи!$C$5:$C$359,Конструкторы!$A787)</f>
        <v>0</v>
      </c>
      <c r="K787" s="166">
        <f>SUMIFS(Продажи!H$5:H$359,Продажи!$D$5:$D$359,Конструкторы!$B787,Продажи!$C$5:$C$359,Конструкторы!$A787)</f>
        <v>0</v>
      </c>
      <c r="L787" s="166">
        <f>SUMIFS(Продажи!I$5:I$359,Продажи!$D$5:$D$359,Конструкторы!$B787,Продажи!$C$5:$C$359,Конструкторы!$A787)</f>
        <v>0</v>
      </c>
      <c r="M787" s="166">
        <f>SUMIFS(Продажи!J$5:J$359,Продажи!$D$5:$D$359,Конструкторы!$B787,Продажи!$C$5:$C$359,Конструкторы!$A787)</f>
        <v>0</v>
      </c>
      <c r="N787" s="166">
        <f>SUMIFS(Продажи!K$5:K$359,Продажи!$D$5:$D$359,Конструкторы!$B787,Продажи!$C$5:$C$359,Конструкторы!$A787)</f>
        <v>0</v>
      </c>
      <c r="O787" s="166">
        <f>SUMIFS(Продажи!L$5:L$359,Продажи!$D$5:$D$359,Конструкторы!$B787,Продажи!$C$5:$C$359,Конструкторы!$A787)</f>
        <v>0</v>
      </c>
      <c r="P787" s="166">
        <f>SUMIFS(Продажи!M$5:M$359,Продажи!$D$5:$D$359,Конструкторы!$B787,Продажи!$C$5:$C$359,Конструкторы!$A787)</f>
        <v>0</v>
      </c>
      <c r="Q787" s="166">
        <f>SUMIFS(Продажи!N$5:N$359,Продажи!$D$5:$D$359,Конструкторы!$B787,Продажи!$C$5:$C$359,Конструкторы!$A787)</f>
        <v>0</v>
      </c>
      <c r="R787" s="166">
        <f>SUMIFS(Продажи!O$5:O$359,Продажи!$D$5:$D$359,Конструкторы!$B787,Продажи!$C$5:$C$359,Конструкторы!$A787)</f>
        <v>0</v>
      </c>
      <c r="S787" s="166">
        <f>SUMIFS(Продажи!P$5:P$359,Продажи!$D$5:$D$359,Конструкторы!$B787,Продажи!$C$5:$C$359,Конструкторы!$A787)</f>
        <v>0</v>
      </c>
      <c r="T787" s="166">
        <f>SUMIFS(Продажи!Q$5:Q$359,Продажи!$D$5:$D$359,Конструкторы!$B787,Продажи!$C$5:$C$359,Конструкторы!$A787)</f>
        <v>0</v>
      </c>
    </row>
    <row r="788" spans="1:20" ht="15.75" hidden="1" x14ac:dyDescent="0.25">
      <c r="A788" s="166" t="s">
        <v>397</v>
      </c>
      <c r="B788" s="167" t="s">
        <v>264</v>
      </c>
      <c r="C788" s="129" t="s">
        <v>52</v>
      </c>
      <c r="D788" s="149"/>
      <c r="E788" s="153" t="s">
        <v>68</v>
      </c>
      <c r="F788" s="156">
        <f>(0.8*103)/100</f>
        <v>0.82400000000000007</v>
      </c>
      <c r="G788" s="156">
        <v>2.4000000000000021E-2</v>
      </c>
      <c r="H788" s="156">
        <f>F788+G788</f>
        <v>0.84800000000000009</v>
      </c>
      <c r="I788" s="166">
        <f>SUMIFS(Продажи!F$5:F$359,Продажи!$D$5:$D$359,Конструкторы!$B788,Продажи!$C$5:$C$359,Конструкторы!$A788)</f>
        <v>0</v>
      </c>
      <c r="J788" s="166">
        <f>SUMIFS(Продажи!G$5:G$359,Продажи!$D$5:$D$359,Конструкторы!$B788,Продажи!$C$5:$C$359,Конструкторы!$A788)</f>
        <v>0</v>
      </c>
      <c r="K788" s="166">
        <f>SUMIFS(Продажи!H$5:H$359,Продажи!$D$5:$D$359,Конструкторы!$B788,Продажи!$C$5:$C$359,Конструкторы!$A788)</f>
        <v>0</v>
      </c>
      <c r="L788" s="166">
        <f>SUMIFS(Продажи!I$5:I$359,Продажи!$D$5:$D$359,Конструкторы!$B788,Продажи!$C$5:$C$359,Конструкторы!$A788)</f>
        <v>0</v>
      </c>
      <c r="M788" s="166">
        <f>SUMIFS(Продажи!J$5:J$359,Продажи!$D$5:$D$359,Конструкторы!$B788,Продажи!$C$5:$C$359,Конструкторы!$A788)</f>
        <v>0</v>
      </c>
      <c r="N788" s="166">
        <f>SUMIFS(Продажи!K$5:K$359,Продажи!$D$5:$D$359,Конструкторы!$B788,Продажи!$C$5:$C$359,Конструкторы!$A788)</f>
        <v>0</v>
      </c>
      <c r="O788" s="166">
        <f>SUMIFS(Продажи!L$5:L$359,Продажи!$D$5:$D$359,Конструкторы!$B788,Продажи!$C$5:$C$359,Конструкторы!$A788)</f>
        <v>0</v>
      </c>
      <c r="P788" s="166">
        <f>SUMIFS(Продажи!M$5:M$359,Продажи!$D$5:$D$359,Конструкторы!$B788,Продажи!$C$5:$C$359,Конструкторы!$A788)</f>
        <v>0</v>
      </c>
      <c r="Q788" s="166">
        <f>SUMIFS(Продажи!N$5:N$359,Продажи!$D$5:$D$359,Конструкторы!$B788,Продажи!$C$5:$C$359,Конструкторы!$A788)</f>
        <v>0</v>
      </c>
      <c r="R788" s="166">
        <f>SUMIFS(Продажи!O$5:O$359,Продажи!$D$5:$D$359,Конструкторы!$B788,Продажи!$C$5:$C$359,Конструкторы!$A788)</f>
        <v>0</v>
      </c>
      <c r="S788" s="166">
        <f>SUMIFS(Продажи!P$5:P$359,Продажи!$D$5:$D$359,Конструкторы!$B788,Продажи!$C$5:$C$359,Конструкторы!$A788)</f>
        <v>0</v>
      </c>
      <c r="T788" s="166">
        <f>SUMIFS(Продажи!Q$5:Q$359,Продажи!$D$5:$D$359,Конструкторы!$B788,Продажи!$C$5:$C$359,Конструкторы!$A788)</f>
        <v>0</v>
      </c>
    </row>
    <row r="789" spans="1:20" ht="15.75" hidden="1" x14ac:dyDescent="0.25">
      <c r="A789" s="166" t="s">
        <v>397</v>
      </c>
      <c r="B789" s="167" t="s">
        <v>264</v>
      </c>
      <c r="C789" s="33" t="s">
        <v>73</v>
      </c>
      <c r="D789" s="149"/>
      <c r="E789" s="153" t="s">
        <v>70</v>
      </c>
      <c r="F789" s="148">
        <v>2</v>
      </c>
      <c r="G789" s="156" t="s">
        <v>71</v>
      </c>
      <c r="H789" s="156">
        <f>F789</f>
        <v>2</v>
      </c>
      <c r="I789" s="166">
        <f>SUMIFS(Продажи!F$5:F$359,Продажи!$D$5:$D$359,Конструкторы!$B789,Продажи!$C$5:$C$359,Конструкторы!$A789)</f>
        <v>0</v>
      </c>
      <c r="J789" s="166">
        <f>SUMIFS(Продажи!G$5:G$359,Продажи!$D$5:$D$359,Конструкторы!$B789,Продажи!$C$5:$C$359,Конструкторы!$A789)</f>
        <v>0</v>
      </c>
      <c r="K789" s="166">
        <f>SUMIFS(Продажи!H$5:H$359,Продажи!$D$5:$D$359,Конструкторы!$B789,Продажи!$C$5:$C$359,Конструкторы!$A789)</f>
        <v>0</v>
      </c>
      <c r="L789" s="166">
        <f>SUMIFS(Продажи!I$5:I$359,Продажи!$D$5:$D$359,Конструкторы!$B789,Продажи!$C$5:$C$359,Конструкторы!$A789)</f>
        <v>0</v>
      </c>
      <c r="M789" s="166">
        <f>SUMIFS(Продажи!J$5:J$359,Продажи!$D$5:$D$359,Конструкторы!$B789,Продажи!$C$5:$C$359,Конструкторы!$A789)</f>
        <v>0</v>
      </c>
      <c r="N789" s="166">
        <f>SUMIFS(Продажи!K$5:K$359,Продажи!$D$5:$D$359,Конструкторы!$B789,Продажи!$C$5:$C$359,Конструкторы!$A789)</f>
        <v>0</v>
      </c>
      <c r="O789" s="166">
        <f>SUMIFS(Продажи!L$5:L$359,Продажи!$D$5:$D$359,Конструкторы!$B789,Продажи!$C$5:$C$359,Конструкторы!$A789)</f>
        <v>0</v>
      </c>
      <c r="P789" s="166">
        <f>SUMIFS(Продажи!M$5:M$359,Продажи!$D$5:$D$359,Конструкторы!$B789,Продажи!$C$5:$C$359,Конструкторы!$A789)</f>
        <v>0</v>
      </c>
      <c r="Q789" s="166">
        <f>SUMIFS(Продажи!N$5:N$359,Продажи!$D$5:$D$359,Конструкторы!$B789,Продажи!$C$5:$C$359,Конструкторы!$A789)</f>
        <v>0</v>
      </c>
      <c r="R789" s="166">
        <f>SUMIFS(Продажи!O$5:O$359,Продажи!$D$5:$D$359,Конструкторы!$B789,Продажи!$C$5:$C$359,Конструкторы!$A789)</f>
        <v>0</v>
      </c>
      <c r="S789" s="166">
        <f>SUMIFS(Продажи!P$5:P$359,Продажи!$D$5:$D$359,Конструкторы!$B789,Продажи!$C$5:$C$359,Конструкторы!$A789)</f>
        <v>0</v>
      </c>
      <c r="T789" s="166">
        <f>SUMIFS(Продажи!Q$5:Q$359,Продажи!$D$5:$D$359,Конструкторы!$B789,Продажи!$C$5:$C$359,Конструкторы!$A789)</f>
        <v>0</v>
      </c>
    </row>
    <row r="790" spans="1:20" ht="15.75" hidden="1" x14ac:dyDescent="0.25">
      <c r="A790" s="166" t="s">
        <v>397</v>
      </c>
      <c r="B790" s="167" t="s">
        <v>264</v>
      </c>
      <c r="C790" s="33" t="s">
        <v>75</v>
      </c>
      <c r="D790" s="149"/>
      <c r="E790" s="153" t="s">
        <v>70</v>
      </c>
      <c r="F790" s="148">
        <v>8</v>
      </c>
      <c r="G790" s="156" t="s">
        <v>71</v>
      </c>
      <c r="H790" s="156">
        <f>F790</f>
        <v>8</v>
      </c>
      <c r="I790" s="166">
        <f>SUMIFS(Продажи!F$5:F$359,Продажи!$D$5:$D$359,Конструкторы!$B790,Продажи!$C$5:$C$359,Конструкторы!$A790)</f>
        <v>0</v>
      </c>
      <c r="J790" s="166">
        <f>SUMIFS(Продажи!G$5:G$359,Продажи!$D$5:$D$359,Конструкторы!$B790,Продажи!$C$5:$C$359,Конструкторы!$A790)</f>
        <v>0</v>
      </c>
      <c r="K790" s="166">
        <f>SUMIFS(Продажи!H$5:H$359,Продажи!$D$5:$D$359,Конструкторы!$B790,Продажи!$C$5:$C$359,Конструкторы!$A790)</f>
        <v>0</v>
      </c>
      <c r="L790" s="166">
        <f>SUMIFS(Продажи!I$5:I$359,Продажи!$D$5:$D$359,Конструкторы!$B790,Продажи!$C$5:$C$359,Конструкторы!$A790)</f>
        <v>0</v>
      </c>
      <c r="M790" s="166">
        <f>SUMIFS(Продажи!J$5:J$359,Продажи!$D$5:$D$359,Конструкторы!$B790,Продажи!$C$5:$C$359,Конструкторы!$A790)</f>
        <v>0</v>
      </c>
      <c r="N790" s="166">
        <f>SUMIFS(Продажи!K$5:K$359,Продажи!$D$5:$D$359,Конструкторы!$B790,Продажи!$C$5:$C$359,Конструкторы!$A790)</f>
        <v>0</v>
      </c>
      <c r="O790" s="166">
        <f>SUMIFS(Продажи!L$5:L$359,Продажи!$D$5:$D$359,Конструкторы!$B790,Продажи!$C$5:$C$359,Конструкторы!$A790)</f>
        <v>0</v>
      </c>
      <c r="P790" s="166">
        <f>SUMIFS(Продажи!M$5:M$359,Продажи!$D$5:$D$359,Конструкторы!$B790,Продажи!$C$5:$C$359,Конструкторы!$A790)</f>
        <v>0</v>
      </c>
      <c r="Q790" s="166">
        <f>SUMIFS(Продажи!N$5:N$359,Продажи!$D$5:$D$359,Конструкторы!$B790,Продажи!$C$5:$C$359,Конструкторы!$A790)</f>
        <v>0</v>
      </c>
      <c r="R790" s="166">
        <f>SUMIFS(Продажи!O$5:O$359,Продажи!$D$5:$D$359,Конструкторы!$B790,Продажи!$C$5:$C$359,Конструкторы!$A790)</f>
        <v>0</v>
      </c>
      <c r="S790" s="166">
        <f>SUMIFS(Продажи!P$5:P$359,Продажи!$D$5:$D$359,Конструкторы!$B790,Продажи!$C$5:$C$359,Конструкторы!$A790)</f>
        <v>0</v>
      </c>
      <c r="T790" s="166">
        <f>SUMIFS(Продажи!Q$5:Q$359,Продажи!$D$5:$D$359,Конструкторы!$B790,Продажи!$C$5:$C$359,Конструкторы!$A790)</f>
        <v>0</v>
      </c>
    </row>
    <row r="791" spans="1:20" ht="15.75" hidden="1" x14ac:dyDescent="0.25">
      <c r="A791" s="166" t="s">
        <v>397</v>
      </c>
      <c r="B791" s="167" t="s">
        <v>264</v>
      </c>
      <c r="C791" s="33" t="s">
        <v>69</v>
      </c>
      <c r="D791" s="149"/>
      <c r="E791" s="153" t="s">
        <v>70</v>
      </c>
      <c r="F791" s="148">
        <v>4</v>
      </c>
      <c r="G791" s="156" t="s">
        <v>71</v>
      </c>
      <c r="H791" s="156">
        <f>F791</f>
        <v>4</v>
      </c>
      <c r="I791" s="166">
        <f>SUMIFS(Продажи!F$5:F$359,Продажи!$D$5:$D$359,Конструкторы!$B791,Продажи!$C$5:$C$359,Конструкторы!$A791)</f>
        <v>0</v>
      </c>
      <c r="J791" s="166">
        <f>SUMIFS(Продажи!G$5:G$359,Продажи!$D$5:$D$359,Конструкторы!$B791,Продажи!$C$5:$C$359,Конструкторы!$A791)</f>
        <v>0</v>
      </c>
      <c r="K791" s="166">
        <f>SUMIFS(Продажи!H$5:H$359,Продажи!$D$5:$D$359,Конструкторы!$B791,Продажи!$C$5:$C$359,Конструкторы!$A791)</f>
        <v>0</v>
      </c>
      <c r="L791" s="166">
        <f>SUMIFS(Продажи!I$5:I$359,Продажи!$D$5:$D$359,Конструкторы!$B791,Продажи!$C$5:$C$359,Конструкторы!$A791)</f>
        <v>0</v>
      </c>
      <c r="M791" s="166">
        <f>SUMIFS(Продажи!J$5:J$359,Продажи!$D$5:$D$359,Конструкторы!$B791,Продажи!$C$5:$C$359,Конструкторы!$A791)</f>
        <v>0</v>
      </c>
      <c r="N791" s="166">
        <f>SUMIFS(Продажи!K$5:K$359,Продажи!$D$5:$D$359,Конструкторы!$B791,Продажи!$C$5:$C$359,Конструкторы!$A791)</f>
        <v>0</v>
      </c>
      <c r="O791" s="166">
        <f>SUMIFS(Продажи!L$5:L$359,Продажи!$D$5:$D$359,Конструкторы!$B791,Продажи!$C$5:$C$359,Конструкторы!$A791)</f>
        <v>0</v>
      </c>
      <c r="P791" s="166">
        <f>SUMIFS(Продажи!M$5:M$359,Продажи!$D$5:$D$359,Конструкторы!$B791,Продажи!$C$5:$C$359,Конструкторы!$A791)</f>
        <v>0</v>
      </c>
      <c r="Q791" s="166">
        <f>SUMIFS(Продажи!N$5:N$359,Продажи!$D$5:$D$359,Конструкторы!$B791,Продажи!$C$5:$C$359,Конструкторы!$A791)</f>
        <v>0</v>
      </c>
      <c r="R791" s="166">
        <f>SUMIFS(Продажи!O$5:O$359,Продажи!$D$5:$D$359,Конструкторы!$B791,Продажи!$C$5:$C$359,Конструкторы!$A791)</f>
        <v>0</v>
      </c>
      <c r="S791" s="166">
        <f>SUMIFS(Продажи!P$5:P$359,Продажи!$D$5:$D$359,Конструкторы!$B791,Продажи!$C$5:$C$359,Конструкторы!$A791)</f>
        <v>0</v>
      </c>
      <c r="T791" s="166">
        <f>SUMIFS(Продажи!Q$5:Q$359,Продажи!$D$5:$D$359,Конструкторы!$B791,Продажи!$C$5:$C$359,Конструкторы!$A791)</f>
        <v>0</v>
      </c>
    </row>
    <row r="792" spans="1:20" ht="15.75" hidden="1" x14ac:dyDescent="0.25">
      <c r="A792" s="166" t="s">
        <v>397</v>
      </c>
      <c r="B792" s="167" t="s">
        <v>265</v>
      </c>
      <c r="C792" s="129" t="s">
        <v>53</v>
      </c>
      <c r="D792" s="130">
        <v>7038</v>
      </c>
      <c r="E792" s="153" t="s">
        <v>68</v>
      </c>
      <c r="F792" s="156">
        <f>(1.316*103)/100</f>
        <v>1.35548</v>
      </c>
      <c r="G792" s="156">
        <v>3.947999999999996E-2</v>
      </c>
      <c r="H792" s="156">
        <f>F792+G792</f>
        <v>1.39496</v>
      </c>
      <c r="I792" s="166">
        <f>SUMIFS(Продажи!F$5:F$359,Продажи!$D$5:$D$359,Конструкторы!$B792,Продажи!$C$5:$C$359,Конструкторы!$A792)</f>
        <v>60</v>
      </c>
      <c r="J792" s="166">
        <f>SUMIFS(Продажи!G$5:G$359,Продажи!$D$5:$D$359,Конструкторы!$B792,Продажи!$C$5:$C$359,Конструкторы!$A792)</f>
        <v>0</v>
      </c>
      <c r="K792" s="166">
        <f>SUMIFS(Продажи!H$5:H$359,Продажи!$D$5:$D$359,Конструкторы!$B792,Продажи!$C$5:$C$359,Конструкторы!$A792)</f>
        <v>0</v>
      </c>
      <c r="L792" s="166">
        <f>SUMIFS(Продажи!I$5:I$359,Продажи!$D$5:$D$359,Конструкторы!$B792,Продажи!$C$5:$C$359,Конструкторы!$A792)</f>
        <v>0</v>
      </c>
      <c r="M792" s="166">
        <f>SUMIFS(Продажи!J$5:J$359,Продажи!$D$5:$D$359,Конструкторы!$B792,Продажи!$C$5:$C$359,Конструкторы!$A792)</f>
        <v>0</v>
      </c>
      <c r="N792" s="166">
        <f>SUMIFS(Продажи!K$5:K$359,Продажи!$D$5:$D$359,Конструкторы!$B792,Продажи!$C$5:$C$359,Конструкторы!$A792)</f>
        <v>0</v>
      </c>
      <c r="O792" s="166">
        <f>SUMIFS(Продажи!L$5:L$359,Продажи!$D$5:$D$359,Конструкторы!$B792,Продажи!$C$5:$C$359,Конструкторы!$A792)</f>
        <v>0</v>
      </c>
      <c r="P792" s="166">
        <f>SUMIFS(Продажи!M$5:M$359,Продажи!$D$5:$D$359,Конструкторы!$B792,Продажи!$C$5:$C$359,Конструкторы!$A792)</f>
        <v>0</v>
      </c>
      <c r="Q792" s="166">
        <f>SUMIFS(Продажи!N$5:N$359,Продажи!$D$5:$D$359,Конструкторы!$B792,Продажи!$C$5:$C$359,Конструкторы!$A792)</f>
        <v>0</v>
      </c>
      <c r="R792" s="166">
        <f>SUMIFS(Продажи!O$5:O$359,Продажи!$D$5:$D$359,Конструкторы!$B792,Продажи!$C$5:$C$359,Конструкторы!$A792)</f>
        <v>0</v>
      </c>
      <c r="S792" s="166">
        <f>SUMIFS(Продажи!P$5:P$359,Продажи!$D$5:$D$359,Конструкторы!$B792,Продажи!$C$5:$C$359,Конструкторы!$A792)</f>
        <v>0</v>
      </c>
      <c r="T792" s="166">
        <f>SUMIFS(Продажи!Q$5:Q$359,Продажи!$D$5:$D$359,Конструкторы!$B792,Продажи!$C$5:$C$359,Конструкторы!$A792)</f>
        <v>0</v>
      </c>
    </row>
    <row r="793" spans="1:20" ht="15.75" hidden="1" x14ac:dyDescent="0.25">
      <c r="A793" s="166" t="s">
        <v>397</v>
      </c>
      <c r="B793" s="167" t="s">
        <v>265</v>
      </c>
      <c r="C793" s="129" t="s">
        <v>52</v>
      </c>
      <c r="D793" s="149"/>
      <c r="E793" s="153" t="s">
        <v>68</v>
      </c>
      <c r="F793" s="156">
        <f>(1.2*103)/100</f>
        <v>1.236</v>
      </c>
      <c r="G793" s="156">
        <v>3.6000000000000032E-2</v>
      </c>
      <c r="H793" s="156">
        <f>F793+G793</f>
        <v>1.272</v>
      </c>
      <c r="I793" s="166">
        <f>SUMIFS(Продажи!F$5:F$359,Продажи!$D$5:$D$359,Конструкторы!$B793,Продажи!$C$5:$C$359,Конструкторы!$A793)</f>
        <v>60</v>
      </c>
      <c r="J793" s="166">
        <f>SUMIFS(Продажи!G$5:G$359,Продажи!$D$5:$D$359,Конструкторы!$B793,Продажи!$C$5:$C$359,Конструкторы!$A793)</f>
        <v>0</v>
      </c>
      <c r="K793" s="166">
        <f>SUMIFS(Продажи!H$5:H$359,Продажи!$D$5:$D$359,Конструкторы!$B793,Продажи!$C$5:$C$359,Конструкторы!$A793)</f>
        <v>0</v>
      </c>
      <c r="L793" s="166">
        <f>SUMIFS(Продажи!I$5:I$359,Продажи!$D$5:$D$359,Конструкторы!$B793,Продажи!$C$5:$C$359,Конструкторы!$A793)</f>
        <v>0</v>
      </c>
      <c r="M793" s="166">
        <f>SUMIFS(Продажи!J$5:J$359,Продажи!$D$5:$D$359,Конструкторы!$B793,Продажи!$C$5:$C$359,Конструкторы!$A793)</f>
        <v>0</v>
      </c>
      <c r="N793" s="166">
        <f>SUMIFS(Продажи!K$5:K$359,Продажи!$D$5:$D$359,Конструкторы!$B793,Продажи!$C$5:$C$359,Конструкторы!$A793)</f>
        <v>0</v>
      </c>
      <c r="O793" s="166">
        <f>SUMIFS(Продажи!L$5:L$359,Продажи!$D$5:$D$359,Конструкторы!$B793,Продажи!$C$5:$C$359,Конструкторы!$A793)</f>
        <v>0</v>
      </c>
      <c r="P793" s="166">
        <f>SUMIFS(Продажи!M$5:M$359,Продажи!$D$5:$D$359,Конструкторы!$B793,Продажи!$C$5:$C$359,Конструкторы!$A793)</f>
        <v>0</v>
      </c>
      <c r="Q793" s="166">
        <f>SUMIFS(Продажи!N$5:N$359,Продажи!$D$5:$D$359,Конструкторы!$B793,Продажи!$C$5:$C$359,Конструкторы!$A793)</f>
        <v>0</v>
      </c>
      <c r="R793" s="166">
        <f>SUMIFS(Продажи!O$5:O$359,Продажи!$D$5:$D$359,Конструкторы!$B793,Продажи!$C$5:$C$359,Конструкторы!$A793)</f>
        <v>0</v>
      </c>
      <c r="S793" s="166">
        <f>SUMIFS(Продажи!P$5:P$359,Продажи!$D$5:$D$359,Конструкторы!$B793,Продажи!$C$5:$C$359,Конструкторы!$A793)</f>
        <v>0</v>
      </c>
      <c r="T793" s="166">
        <f>SUMIFS(Продажи!Q$5:Q$359,Продажи!$D$5:$D$359,Конструкторы!$B793,Продажи!$C$5:$C$359,Конструкторы!$A793)</f>
        <v>0</v>
      </c>
    </row>
    <row r="794" spans="1:20" ht="15.75" hidden="1" x14ac:dyDescent="0.25">
      <c r="A794" s="166" t="s">
        <v>397</v>
      </c>
      <c r="B794" s="167" t="s">
        <v>265</v>
      </c>
      <c r="C794" s="33" t="s">
        <v>73</v>
      </c>
      <c r="D794" s="149"/>
      <c r="E794" s="153" t="s">
        <v>70</v>
      </c>
      <c r="F794" s="148">
        <v>2</v>
      </c>
      <c r="G794" s="156" t="s">
        <v>71</v>
      </c>
      <c r="H794" s="156">
        <f>F794</f>
        <v>2</v>
      </c>
      <c r="I794" s="166">
        <f>SUMIFS(Продажи!F$5:F$359,Продажи!$D$5:$D$359,Конструкторы!$B794,Продажи!$C$5:$C$359,Конструкторы!$A794)</f>
        <v>60</v>
      </c>
      <c r="J794" s="166">
        <f>SUMIFS(Продажи!G$5:G$359,Продажи!$D$5:$D$359,Конструкторы!$B794,Продажи!$C$5:$C$359,Конструкторы!$A794)</f>
        <v>0</v>
      </c>
      <c r="K794" s="166">
        <f>SUMIFS(Продажи!H$5:H$359,Продажи!$D$5:$D$359,Конструкторы!$B794,Продажи!$C$5:$C$359,Конструкторы!$A794)</f>
        <v>0</v>
      </c>
      <c r="L794" s="166">
        <f>SUMIFS(Продажи!I$5:I$359,Продажи!$D$5:$D$359,Конструкторы!$B794,Продажи!$C$5:$C$359,Конструкторы!$A794)</f>
        <v>0</v>
      </c>
      <c r="M794" s="166">
        <f>SUMIFS(Продажи!J$5:J$359,Продажи!$D$5:$D$359,Конструкторы!$B794,Продажи!$C$5:$C$359,Конструкторы!$A794)</f>
        <v>0</v>
      </c>
      <c r="N794" s="166">
        <f>SUMIFS(Продажи!K$5:K$359,Продажи!$D$5:$D$359,Конструкторы!$B794,Продажи!$C$5:$C$359,Конструкторы!$A794)</f>
        <v>0</v>
      </c>
      <c r="O794" s="166">
        <f>SUMIFS(Продажи!L$5:L$359,Продажи!$D$5:$D$359,Конструкторы!$B794,Продажи!$C$5:$C$359,Конструкторы!$A794)</f>
        <v>0</v>
      </c>
      <c r="P794" s="166">
        <f>SUMIFS(Продажи!M$5:M$359,Продажи!$D$5:$D$359,Конструкторы!$B794,Продажи!$C$5:$C$359,Конструкторы!$A794)</f>
        <v>0</v>
      </c>
      <c r="Q794" s="166">
        <f>SUMIFS(Продажи!N$5:N$359,Продажи!$D$5:$D$359,Конструкторы!$B794,Продажи!$C$5:$C$359,Конструкторы!$A794)</f>
        <v>0</v>
      </c>
      <c r="R794" s="166">
        <f>SUMIFS(Продажи!O$5:O$359,Продажи!$D$5:$D$359,Конструкторы!$B794,Продажи!$C$5:$C$359,Конструкторы!$A794)</f>
        <v>0</v>
      </c>
      <c r="S794" s="166">
        <f>SUMIFS(Продажи!P$5:P$359,Продажи!$D$5:$D$359,Конструкторы!$B794,Продажи!$C$5:$C$359,Конструкторы!$A794)</f>
        <v>0</v>
      </c>
      <c r="T794" s="166">
        <f>SUMIFS(Продажи!Q$5:Q$359,Продажи!$D$5:$D$359,Конструкторы!$B794,Продажи!$C$5:$C$359,Конструкторы!$A794)</f>
        <v>0</v>
      </c>
    </row>
    <row r="795" spans="1:20" ht="15.75" hidden="1" x14ac:dyDescent="0.25">
      <c r="A795" s="166" t="s">
        <v>397</v>
      </c>
      <c r="B795" s="167" t="s">
        <v>265</v>
      </c>
      <c r="C795" s="33" t="s">
        <v>75</v>
      </c>
      <c r="D795" s="149"/>
      <c r="E795" s="153" t="s">
        <v>70</v>
      </c>
      <c r="F795" s="148">
        <v>8</v>
      </c>
      <c r="G795" s="156" t="s">
        <v>71</v>
      </c>
      <c r="H795" s="156">
        <f>F795</f>
        <v>8</v>
      </c>
      <c r="I795" s="166">
        <f>SUMIFS(Продажи!F$5:F$359,Продажи!$D$5:$D$359,Конструкторы!$B795,Продажи!$C$5:$C$359,Конструкторы!$A795)</f>
        <v>60</v>
      </c>
      <c r="J795" s="166">
        <f>SUMIFS(Продажи!G$5:G$359,Продажи!$D$5:$D$359,Конструкторы!$B795,Продажи!$C$5:$C$359,Конструкторы!$A795)</f>
        <v>0</v>
      </c>
      <c r="K795" s="166">
        <f>SUMIFS(Продажи!H$5:H$359,Продажи!$D$5:$D$359,Конструкторы!$B795,Продажи!$C$5:$C$359,Конструкторы!$A795)</f>
        <v>0</v>
      </c>
      <c r="L795" s="166">
        <f>SUMIFS(Продажи!I$5:I$359,Продажи!$D$5:$D$359,Конструкторы!$B795,Продажи!$C$5:$C$359,Конструкторы!$A795)</f>
        <v>0</v>
      </c>
      <c r="M795" s="166">
        <f>SUMIFS(Продажи!J$5:J$359,Продажи!$D$5:$D$359,Конструкторы!$B795,Продажи!$C$5:$C$359,Конструкторы!$A795)</f>
        <v>0</v>
      </c>
      <c r="N795" s="166">
        <f>SUMIFS(Продажи!K$5:K$359,Продажи!$D$5:$D$359,Конструкторы!$B795,Продажи!$C$5:$C$359,Конструкторы!$A795)</f>
        <v>0</v>
      </c>
      <c r="O795" s="166">
        <f>SUMIFS(Продажи!L$5:L$359,Продажи!$D$5:$D$359,Конструкторы!$B795,Продажи!$C$5:$C$359,Конструкторы!$A795)</f>
        <v>0</v>
      </c>
      <c r="P795" s="166">
        <f>SUMIFS(Продажи!M$5:M$359,Продажи!$D$5:$D$359,Конструкторы!$B795,Продажи!$C$5:$C$359,Конструкторы!$A795)</f>
        <v>0</v>
      </c>
      <c r="Q795" s="166">
        <f>SUMIFS(Продажи!N$5:N$359,Продажи!$D$5:$D$359,Конструкторы!$B795,Продажи!$C$5:$C$359,Конструкторы!$A795)</f>
        <v>0</v>
      </c>
      <c r="R795" s="166">
        <f>SUMIFS(Продажи!O$5:O$359,Продажи!$D$5:$D$359,Конструкторы!$B795,Продажи!$C$5:$C$359,Конструкторы!$A795)</f>
        <v>0</v>
      </c>
      <c r="S795" s="166">
        <f>SUMIFS(Продажи!P$5:P$359,Продажи!$D$5:$D$359,Конструкторы!$B795,Продажи!$C$5:$C$359,Конструкторы!$A795)</f>
        <v>0</v>
      </c>
      <c r="T795" s="166">
        <f>SUMIFS(Продажи!Q$5:Q$359,Продажи!$D$5:$D$359,Конструкторы!$B795,Продажи!$C$5:$C$359,Конструкторы!$A795)</f>
        <v>0</v>
      </c>
    </row>
    <row r="796" spans="1:20" ht="15.75" hidden="1" x14ac:dyDescent="0.25">
      <c r="A796" s="166" t="s">
        <v>397</v>
      </c>
      <c r="B796" s="167" t="s">
        <v>265</v>
      </c>
      <c r="C796" s="33" t="s">
        <v>69</v>
      </c>
      <c r="D796" s="149"/>
      <c r="E796" s="153" t="s">
        <v>70</v>
      </c>
      <c r="F796" s="148">
        <v>4</v>
      </c>
      <c r="G796" s="156" t="s">
        <v>71</v>
      </c>
      <c r="H796" s="156">
        <f>F796</f>
        <v>4</v>
      </c>
      <c r="I796" s="166">
        <f>SUMIFS(Продажи!F$5:F$359,Продажи!$D$5:$D$359,Конструкторы!$B796,Продажи!$C$5:$C$359,Конструкторы!$A796)</f>
        <v>60</v>
      </c>
      <c r="J796" s="166">
        <f>SUMIFS(Продажи!G$5:G$359,Продажи!$D$5:$D$359,Конструкторы!$B796,Продажи!$C$5:$C$359,Конструкторы!$A796)</f>
        <v>0</v>
      </c>
      <c r="K796" s="166">
        <f>SUMIFS(Продажи!H$5:H$359,Продажи!$D$5:$D$359,Конструкторы!$B796,Продажи!$C$5:$C$359,Конструкторы!$A796)</f>
        <v>0</v>
      </c>
      <c r="L796" s="166">
        <f>SUMIFS(Продажи!I$5:I$359,Продажи!$D$5:$D$359,Конструкторы!$B796,Продажи!$C$5:$C$359,Конструкторы!$A796)</f>
        <v>0</v>
      </c>
      <c r="M796" s="166">
        <f>SUMIFS(Продажи!J$5:J$359,Продажи!$D$5:$D$359,Конструкторы!$B796,Продажи!$C$5:$C$359,Конструкторы!$A796)</f>
        <v>0</v>
      </c>
      <c r="N796" s="166">
        <f>SUMIFS(Продажи!K$5:K$359,Продажи!$D$5:$D$359,Конструкторы!$B796,Продажи!$C$5:$C$359,Конструкторы!$A796)</f>
        <v>0</v>
      </c>
      <c r="O796" s="166">
        <f>SUMIFS(Продажи!L$5:L$359,Продажи!$D$5:$D$359,Конструкторы!$B796,Продажи!$C$5:$C$359,Конструкторы!$A796)</f>
        <v>0</v>
      </c>
      <c r="P796" s="166">
        <f>SUMIFS(Продажи!M$5:M$359,Продажи!$D$5:$D$359,Конструкторы!$B796,Продажи!$C$5:$C$359,Конструкторы!$A796)</f>
        <v>0</v>
      </c>
      <c r="Q796" s="166">
        <f>SUMIFS(Продажи!N$5:N$359,Продажи!$D$5:$D$359,Конструкторы!$B796,Продажи!$C$5:$C$359,Конструкторы!$A796)</f>
        <v>0</v>
      </c>
      <c r="R796" s="166">
        <f>SUMIFS(Продажи!O$5:O$359,Продажи!$D$5:$D$359,Конструкторы!$B796,Продажи!$C$5:$C$359,Конструкторы!$A796)</f>
        <v>0</v>
      </c>
      <c r="S796" s="166">
        <f>SUMIFS(Продажи!P$5:P$359,Продажи!$D$5:$D$359,Конструкторы!$B796,Продажи!$C$5:$C$359,Конструкторы!$A796)</f>
        <v>0</v>
      </c>
      <c r="T796" s="166">
        <f>SUMIFS(Продажи!Q$5:Q$359,Продажи!$D$5:$D$359,Конструкторы!$B796,Продажи!$C$5:$C$359,Конструкторы!$A796)</f>
        <v>0</v>
      </c>
    </row>
    <row r="797" spans="1:20" ht="15.75" hidden="1" x14ac:dyDescent="0.25">
      <c r="A797" s="166" t="s">
        <v>397</v>
      </c>
      <c r="B797" s="167" t="s">
        <v>338</v>
      </c>
      <c r="C797" s="129" t="s">
        <v>56</v>
      </c>
      <c r="D797" s="149"/>
      <c r="E797" s="153" t="s">
        <v>68</v>
      </c>
      <c r="F797" s="156">
        <f>(0.3*103)/100</f>
        <v>0.309</v>
      </c>
      <c r="G797" s="156">
        <v>9.000000000000008E-3</v>
      </c>
      <c r="H797" s="156">
        <f>F797+G797</f>
        <v>0.318</v>
      </c>
      <c r="I797" s="166">
        <f>SUMIFS(Продажи!F$5:F$359,Продажи!$D$5:$D$359,Конструкторы!$B797,Продажи!$C$5:$C$359,Конструкторы!$A797)</f>
        <v>0</v>
      </c>
      <c r="J797" s="166">
        <f>SUMIFS(Продажи!G$5:G$359,Продажи!$D$5:$D$359,Конструкторы!$B797,Продажи!$C$5:$C$359,Конструкторы!$A797)</f>
        <v>0</v>
      </c>
      <c r="K797" s="166">
        <f>SUMIFS(Продажи!H$5:H$359,Продажи!$D$5:$D$359,Конструкторы!$B797,Продажи!$C$5:$C$359,Конструкторы!$A797)</f>
        <v>0</v>
      </c>
      <c r="L797" s="166">
        <f>SUMIFS(Продажи!I$5:I$359,Продажи!$D$5:$D$359,Конструкторы!$B797,Продажи!$C$5:$C$359,Конструкторы!$A797)</f>
        <v>0</v>
      </c>
      <c r="M797" s="166">
        <f>SUMIFS(Продажи!J$5:J$359,Продажи!$D$5:$D$359,Конструкторы!$B797,Продажи!$C$5:$C$359,Конструкторы!$A797)</f>
        <v>0</v>
      </c>
      <c r="N797" s="166">
        <f>SUMIFS(Продажи!K$5:K$359,Продажи!$D$5:$D$359,Конструкторы!$B797,Продажи!$C$5:$C$359,Конструкторы!$A797)</f>
        <v>0</v>
      </c>
      <c r="O797" s="166">
        <f>SUMIFS(Продажи!L$5:L$359,Продажи!$D$5:$D$359,Конструкторы!$B797,Продажи!$C$5:$C$359,Конструкторы!$A797)</f>
        <v>0</v>
      </c>
      <c r="P797" s="166">
        <f>SUMIFS(Продажи!M$5:M$359,Продажи!$D$5:$D$359,Конструкторы!$B797,Продажи!$C$5:$C$359,Конструкторы!$A797)</f>
        <v>0</v>
      </c>
      <c r="Q797" s="166">
        <f>SUMIFS(Продажи!N$5:N$359,Продажи!$D$5:$D$359,Конструкторы!$B797,Продажи!$C$5:$C$359,Конструкторы!$A797)</f>
        <v>0</v>
      </c>
      <c r="R797" s="166">
        <f>SUMIFS(Продажи!O$5:O$359,Продажи!$D$5:$D$359,Конструкторы!$B797,Продажи!$C$5:$C$359,Конструкторы!$A797)</f>
        <v>0</v>
      </c>
      <c r="S797" s="166">
        <f>SUMIFS(Продажи!P$5:P$359,Продажи!$D$5:$D$359,Конструкторы!$B797,Продажи!$C$5:$C$359,Конструкторы!$A797)</f>
        <v>0</v>
      </c>
      <c r="T797" s="166">
        <f>SUMIFS(Продажи!Q$5:Q$359,Продажи!$D$5:$D$359,Конструкторы!$B797,Продажи!$C$5:$C$359,Конструкторы!$A797)</f>
        <v>0</v>
      </c>
    </row>
    <row r="798" spans="1:20" ht="15.75" hidden="1" x14ac:dyDescent="0.25">
      <c r="A798" s="166" t="s">
        <v>397</v>
      </c>
      <c r="B798" s="167" t="s">
        <v>338</v>
      </c>
      <c r="C798" s="33" t="s">
        <v>73</v>
      </c>
      <c r="D798" s="149"/>
      <c r="E798" s="153" t="s">
        <v>70</v>
      </c>
      <c r="F798" s="148">
        <v>2</v>
      </c>
      <c r="G798" s="156" t="s">
        <v>71</v>
      </c>
      <c r="H798" s="156">
        <f>F798</f>
        <v>2</v>
      </c>
      <c r="I798" s="166">
        <f>SUMIFS(Продажи!F$5:F$359,Продажи!$D$5:$D$359,Конструкторы!$B798,Продажи!$C$5:$C$359,Конструкторы!$A798)</f>
        <v>0</v>
      </c>
      <c r="J798" s="166">
        <f>SUMIFS(Продажи!G$5:G$359,Продажи!$D$5:$D$359,Конструкторы!$B798,Продажи!$C$5:$C$359,Конструкторы!$A798)</f>
        <v>0</v>
      </c>
      <c r="K798" s="166">
        <f>SUMIFS(Продажи!H$5:H$359,Продажи!$D$5:$D$359,Конструкторы!$B798,Продажи!$C$5:$C$359,Конструкторы!$A798)</f>
        <v>0</v>
      </c>
      <c r="L798" s="166">
        <f>SUMIFS(Продажи!I$5:I$359,Продажи!$D$5:$D$359,Конструкторы!$B798,Продажи!$C$5:$C$359,Конструкторы!$A798)</f>
        <v>0</v>
      </c>
      <c r="M798" s="166">
        <f>SUMIFS(Продажи!J$5:J$359,Продажи!$D$5:$D$359,Конструкторы!$B798,Продажи!$C$5:$C$359,Конструкторы!$A798)</f>
        <v>0</v>
      </c>
      <c r="N798" s="166">
        <f>SUMIFS(Продажи!K$5:K$359,Продажи!$D$5:$D$359,Конструкторы!$B798,Продажи!$C$5:$C$359,Конструкторы!$A798)</f>
        <v>0</v>
      </c>
      <c r="O798" s="166">
        <f>SUMIFS(Продажи!L$5:L$359,Продажи!$D$5:$D$359,Конструкторы!$B798,Продажи!$C$5:$C$359,Конструкторы!$A798)</f>
        <v>0</v>
      </c>
      <c r="P798" s="166">
        <f>SUMIFS(Продажи!M$5:M$359,Продажи!$D$5:$D$359,Конструкторы!$B798,Продажи!$C$5:$C$359,Конструкторы!$A798)</f>
        <v>0</v>
      </c>
      <c r="Q798" s="166">
        <f>SUMIFS(Продажи!N$5:N$359,Продажи!$D$5:$D$359,Конструкторы!$B798,Продажи!$C$5:$C$359,Конструкторы!$A798)</f>
        <v>0</v>
      </c>
      <c r="R798" s="166">
        <f>SUMIFS(Продажи!O$5:O$359,Продажи!$D$5:$D$359,Конструкторы!$B798,Продажи!$C$5:$C$359,Конструкторы!$A798)</f>
        <v>0</v>
      </c>
      <c r="S798" s="166">
        <f>SUMIFS(Продажи!P$5:P$359,Продажи!$D$5:$D$359,Конструкторы!$B798,Продажи!$C$5:$C$359,Конструкторы!$A798)</f>
        <v>0</v>
      </c>
      <c r="T798" s="166">
        <f>SUMIFS(Продажи!Q$5:Q$359,Продажи!$D$5:$D$359,Конструкторы!$B798,Продажи!$C$5:$C$359,Конструкторы!$A798)</f>
        <v>0</v>
      </c>
    </row>
    <row r="799" spans="1:20" ht="15.75" hidden="1" x14ac:dyDescent="0.25">
      <c r="A799" s="166" t="s">
        <v>397</v>
      </c>
      <c r="B799" s="167" t="s">
        <v>338</v>
      </c>
      <c r="C799" s="33" t="s">
        <v>75</v>
      </c>
      <c r="D799" s="149"/>
      <c r="E799" s="153" t="s">
        <v>70</v>
      </c>
      <c r="F799" s="148">
        <v>8</v>
      </c>
      <c r="G799" s="156" t="s">
        <v>71</v>
      </c>
      <c r="H799" s="156">
        <f>F799</f>
        <v>8</v>
      </c>
      <c r="I799" s="166">
        <f>SUMIFS(Продажи!F$5:F$359,Продажи!$D$5:$D$359,Конструкторы!$B799,Продажи!$C$5:$C$359,Конструкторы!$A799)</f>
        <v>0</v>
      </c>
      <c r="J799" s="166">
        <f>SUMIFS(Продажи!G$5:G$359,Продажи!$D$5:$D$359,Конструкторы!$B799,Продажи!$C$5:$C$359,Конструкторы!$A799)</f>
        <v>0</v>
      </c>
      <c r="K799" s="166">
        <f>SUMIFS(Продажи!H$5:H$359,Продажи!$D$5:$D$359,Конструкторы!$B799,Продажи!$C$5:$C$359,Конструкторы!$A799)</f>
        <v>0</v>
      </c>
      <c r="L799" s="166">
        <f>SUMIFS(Продажи!I$5:I$359,Продажи!$D$5:$D$359,Конструкторы!$B799,Продажи!$C$5:$C$359,Конструкторы!$A799)</f>
        <v>0</v>
      </c>
      <c r="M799" s="166">
        <f>SUMIFS(Продажи!J$5:J$359,Продажи!$D$5:$D$359,Конструкторы!$B799,Продажи!$C$5:$C$359,Конструкторы!$A799)</f>
        <v>0</v>
      </c>
      <c r="N799" s="166">
        <f>SUMIFS(Продажи!K$5:K$359,Продажи!$D$5:$D$359,Конструкторы!$B799,Продажи!$C$5:$C$359,Конструкторы!$A799)</f>
        <v>0</v>
      </c>
      <c r="O799" s="166">
        <f>SUMIFS(Продажи!L$5:L$359,Продажи!$D$5:$D$359,Конструкторы!$B799,Продажи!$C$5:$C$359,Конструкторы!$A799)</f>
        <v>0</v>
      </c>
      <c r="P799" s="166">
        <f>SUMIFS(Продажи!M$5:M$359,Продажи!$D$5:$D$359,Конструкторы!$B799,Продажи!$C$5:$C$359,Конструкторы!$A799)</f>
        <v>0</v>
      </c>
      <c r="Q799" s="166">
        <f>SUMIFS(Продажи!N$5:N$359,Продажи!$D$5:$D$359,Конструкторы!$B799,Продажи!$C$5:$C$359,Конструкторы!$A799)</f>
        <v>0</v>
      </c>
      <c r="R799" s="166">
        <f>SUMIFS(Продажи!O$5:O$359,Продажи!$D$5:$D$359,Конструкторы!$B799,Продажи!$C$5:$C$359,Конструкторы!$A799)</f>
        <v>0</v>
      </c>
      <c r="S799" s="166">
        <f>SUMIFS(Продажи!P$5:P$359,Продажи!$D$5:$D$359,Конструкторы!$B799,Продажи!$C$5:$C$359,Конструкторы!$A799)</f>
        <v>0</v>
      </c>
      <c r="T799" s="166">
        <f>SUMIFS(Продажи!Q$5:Q$359,Продажи!$D$5:$D$359,Конструкторы!$B799,Продажи!$C$5:$C$359,Конструкторы!$A799)</f>
        <v>0</v>
      </c>
    </row>
    <row r="800" spans="1:20" ht="15.75" hidden="1" x14ac:dyDescent="0.25">
      <c r="A800" s="166" t="s">
        <v>397</v>
      </c>
      <c r="B800" s="167" t="s">
        <v>339</v>
      </c>
      <c r="C800" s="129" t="s">
        <v>57</v>
      </c>
      <c r="D800" s="149"/>
      <c r="E800" s="153" t="s">
        <v>68</v>
      </c>
      <c r="F800" s="156">
        <f>(0.3*103)/100</f>
        <v>0.309</v>
      </c>
      <c r="G800" s="156">
        <v>9.000000000000008E-3</v>
      </c>
      <c r="H800" s="156">
        <f>F800+G800</f>
        <v>0.318</v>
      </c>
      <c r="I800" s="166">
        <f>SUMIFS(Продажи!F$5:F$359,Продажи!$D$5:$D$359,Конструкторы!$B800,Продажи!$C$5:$C$359,Конструкторы!$A800)</f>
        <v>0</v>
      </c>
      <c r="J800" s="166">
        <f>SUMIFS(Продажи!G$5:G$359,Продажи!$D$5:$D$359,Конструкторы!$B800,Продажи!$C$5:$C$359,Конструкторы!$A800)</f>
        <v>0</v>
      </c>
      <c r="K800" s="166">
        <f>SUMIFS(Продажи!H$5:H$359,Продажи!$D$5:$D$359,Конструкторы!$B800,Продажи!$C$5:$C$359,Конструкторы!$A800)</f>
        <v>0</v>
      </c>
      <c r="L800" s="166">
        <f>SUMIFS(Продажи!I$5:I$359,Продажи!$D$5:$D$359,Конструкторы!$B800,Продажи!$C$5:$C$359,Конструкторы!$A800)</f>
        <v>0</v>
      </c>
      <c r="M800" s="166">
        <f>SUMIFS(Продажи!J$5:J$359,Продажи!$D$5:$D$359,Конструкторы!$B800,Продажи!$C$5:$C$359,Конструкторы!$A800)</f>
        <v>0</v>
      </c>
      <c r="N800" s="166">
        <f>SUMIFS(Продажи!K$5:K$359,Продажи!$D$5:$D$359,Конструкторы!$B800,Продажи!$C$5:$C$359,Конструкторы!$A800)</f>
        <v>0</v>
      </c>
      <c r="O800" s="166">
        <f>SUMIFS(Продажи!L$5:L$359,Продажи!$D$5:$D$359,Конструкторы!$B800,Продажи!$C$5:$C$359,Конструкторы!$A800)</f>
        <v>0</v>
      </c>
      <c r="P800" s="166">
        <f>SUMIFS(Продажи!M$5:M$359,Продажи!$D$5:$D$359,Конструкторы!$B800,Продажи!$C$5:$C$359,Конструкторы!$A800)</f>
        <v>0</v>
      </c>
      <c r="Q800" s="166">
        <f>SUMIFS(Продажи!N$5:N$359,Продажи!$D$5:$D$359,Конструкторы!$B800,Продажи!$C$5:$C$359,Конструкторы!$A800)</f>
        <v>0</v>
      </c>
      <c r="R800" s="166">
        <f>SUMIFS(Продажи!O$5:O$359,Продажи!$D$5:$D$359,Конструкторы!$B800,Продажи!$C$5:$C$359,Конструкторы!$A800)</f>
        <v>0</v>
      </c>
      <c r="S800" s="166">
        <f>SUMIFS(Продажи!P$5:P$359,Продажи!$D$5:$D$359,Конструкторы!$B800,Продажи!$C$5:$C$359,Конструкторы!$A800)</f>
        <v>0</v>
      </c>
      <c r="T800" s="166">
        <f>SUMIFS(Продажи!Q$5:Q$359,Продажи!$D$5:$D$359,Конструкторы!$B800,Продажи!$C$5:$C$359,Конструкторы!$A800)</f>
        <v>0</v>
      </c>
    </row>
    <row r="801" spans="1:20" ht="15.75" hidden="1" x14ac:dyDescent="0.25">
      <c r="A801" s="166" t="s">
        <v>397</v>
      </c>
      <c r="B801" s="167" t="s">
        <v>339</v>
      </c>
      <c r="C801" s="33" t="s">
        <v>73</v>
      </c>
      <c r="D801" s="149"/>
      <c r="E801" s="153" t="s">
        <v>70</v>
      </c>
      <c r="F801" s="148">
        <v>2</v>
      </c>
      <c r="G801" s="156" t="s">
        <v>71</v>
      </c>
      <c r="H801" s="156">
        <f>F801</f>
        <v>2</v>
      </c>
      <c r="I801" s="166">
        <f>SUMIFS(Продажи!F$5:F$359,Продажи!$D$5:$D$359,Конструкторы!$B801,Продажи!$C$5:$C$359,Конструкторы!$A801)</f>
        <v>0</v>
      </c>
      <c r="J801" s="166">
        <f>SUMIFS(Продажи!G$5:G$359,Продажи!$D$5:$D$359,Конструкторы!$B801,Продажи!$C$5:$C$359,Конструкторы!$A801)</f>
        <v>0</v>
      </c>
      <c r="K801" s="166">
        <f>SUMIFS(Продажи!H$5:H$359,Продажи!$D$5:$D$359,Конструкторы!$B801,Продажи!$C$5:$C$359,Конструкторы!$A801)</f>
        <v>0</v>
      </c>
      <c r="L801" s="166">
        <f>SUMIFS(Продажи!I$5:I$359,Продажи!$D$5:$D$359,Конструкторы!$B801,Продажи!$C$5:$C$359,Конструкторы!$A801)</f>
        <v>0</v>
      </c>
      <c r="M801" s="166">
        <f>SUMIFS(Продажи!J$5:J$359,Продажи!$D$5:$D$359,Конструкторы!$B801,Продажи!$C$5:$C$359,Конструкторы!$A801)</f>
        <v>0</v>
      </c>
      <c r="N801" s="166">
        <f>SUMIFS(Продажи!K$5:K$359,Продажи!$D$5:$D$359,Конструкторы!$B801,Продажи!$C$5:$C$359,Конструкторы!$A801)</f>
        <v>0</v>
      </c>
      <c r="O801" s="166">
        <f>SUMIFS(Продажи!L$5:L$359,Продажи!$D$5:$D$359,Конструкторы!$B801,Продажи!$C$5:$C$359,Конструкторы!$A801)</f>
        <v>0</v>
      </c>
      <c r="P801" s="166">
        <f>SUMIFS(Продажи!M$5:M$359,Продажи!$D$5:$D$359,Конструкторы!$B801,Продажи!$C$5:$C$359,Конструкторы!$A801)</f>
        <v>0</v>
      </c>
      <c r="Q801" s="166">
        <f>SUMIFS(Продажи!N$5:N$359,Продажи!$D$5:$D$359,Конструкторы!$B801,Продажи!$C$5:$C$359,Конструкторы!$A801)</f>
        <v>0</v>
      </c>
      <c r="R801" s="166">
        <f>SUMIFS(Продажи!O$5:O$359,Продажи!$D$5:$D$359,Конструкторы!$B801,Продажи!$C$5:$C$359,Конструкторы!$A801)</f>
        <v>0</v>
      </c>
      <c r="S801" s="166">
        <f>SUMIFS(Продажи!P$5:P$359,Продажи!$D$5:$D$359,Конструкторы!$B801,Продажи!$C$5:$C$359,Конструкторы!$A801)</f>
        <v>0</v>
      </c>
      <c r="T801" s="166">
        <f>SUMIFS(Продажи!Q$5:Q$359,Продажи!$D$5:$D$359,Конструкторы!$B801,Продажи!$C$5:$C$359,Конструкторы!$A801)</f>
        <v>0</v>
      </c>
    </row>
    <row r="802" spans="1:20" ht="15.75" hidden="1" x14ac:dyDescent="0.25">
      <c r="A802" s="166" t="s">
        <v>397</v>
      </c>
      <c r="B802" s="167" t="s">
        <v>339</v>
      </c>
      <c r="C802" s="33" t="s">
        <v>75</v>
      </c>
      <c r="D802" s="149"/>
      <c r="E802" s="153" t="s">
        <v>70</v>
      </c>
      <c r="F802" s="148">
        <v>8</v>
      </c>
      <c r="G802" s="156" t="s">
        <v>71</v>
      </c>
      <c r="H802" s="156">
        <f>F802</f>
        <v>8</v>
      </c>
      <c r="I802" s="166">
        <f>SUMIFS(Продажи!F$5:F$359,Продажи!$D$5:$D$359,Конструкторы!$B802,Продажи!$C$5:$C$359,Конструкторы!$A802)</f>
        <v>0</v>
      </c>
      <c r="J802" s="166">
        <f>SUMIFS(Продажи!G$5:G$359,Продажи!$D$5:$D$359,Конструкторы!$B802,Продажи!$C$5:$C$359,Конструкторы!$A802)</f>
        <v>0</v>
      </c>
      <c r="K802" s="166">
        <f>SUMIFS(Продажи!H$5:H$359,Продажи!$D$5:$D$359,Конструкторы!$B802,Продажи!$C$5:$C$359,Конструкторы!$A802)</f>
        <v>0</v>
      </c>
      <c r="L802" s="166">
        <f>SUMIFS(Продажи!I$5:I$359,Продажи!$D$5:$D$359,Конструкторы!$B802,Продажи!$C$5:$C$359,Конструкторы!$A802)</f>
        <v>0</v>
      </c>
      <c r="M802" s="166">
        <f>SUMIFS(Продажи!J$5:J$359,Продажи!$D$5:$D$359,Конструкторы!$B802,Продажи!$C$5:$C$359,Конструкторы!$A802)</f>
        <v>0</v>
      </c>
      <c r="N802" s="166">
        <f>SUMIFS(Продажи!K$5:K$359,Продажи!$D$5:$D$359,Конструкторы!$B802,Продажи!$C$5:$C$359,Конструкторы!$A802)</f>
        <v>0</v>
      </c>
      <c r="O802" s="166">
        <f>SUMIFS(Продажи!L$5:L$359,Продажи!$D$5:$D$359,Конструкторы!$B802,Продажи!$C$5:$C$359,Конструкторы!$A802)</f>
        <v>0</v>
      </c>
      <c r="P802" s="166">
        <f>SUMIFS(Продажи!M$5:M$359,Продажи!$D$5:$D$359,Конструкторы!$B802,Продажи!$C$5:$C$359,Конструкторы!$A802)</f>
        <v>0</v>
      </c>
      <c r="Q802" s="166">
        <f>SUMIFS(Продажи!N$5:N$359,Продажи!$D$5:$D$359,Конструкторы!$B802,Продажи!$C$5:$C$359,Конструкторы!$A802)</f>
        <v>0</v>
      </c>
      <c r="R802" s="166">
        <f>SUMIFS(Продажи!O$5:O$359,Продажи!$D$5:$D$359,Конструкторы!$B802,Продажи!$C$5:$C$359,Конструкторы!$A802)</f>
        <v>0</v>
      </c>
      <c r="S802" s="166">
        <f>SUMIFS(Продажи!P$5:P$359,Продажи!$D$5:$D$359,Конструкторы!$B802,Продажи!$C$5:$C$359,Конструкторы!$A802)</f>
        <v>0</v>
      </c>
      <c r="T802" s="166">
        <f>SUMIFS(Продажи!Q$5:Q$359,Продажи!$D$5:$D$359,Конструкторы!$B802,Продажи!$C$5:$C$359,Конструкторы!$A802)</f>
        <v>0</v>
      </c>
    </row>
    <row r="803" spans="1:20" ht="15.75" hidden="1" x14ac:dyDescent="0.25">
      <c r="A803" s="166" t="s">
        <v>397</v>
      </c>
      <c r="B803" s="167" t="s">
        <v>340</v>
      </c>
      <c r="C803" s="129" t="s">
        <v>58</v>
      </c>
      <c r="D803" s="149"/>
      <c r="E803" s="153" t="s">
        <v>68</v>
      </c>
      <c r="F803" s="156">
        <f>(0.3*103)/100</f>
        <v>0.309</v>
      </c>
      <c r="G803" s="156">
        <v>9.000000000000008E-3</v>
      </c>
      <c r="H803" s="156">
        <f>F803+G803</f>
        <v>0.318</v>
      </c>
      <c r="I803" s="166">
        <f>SUMIFS(Продажи!F$5:F$359,Продажи!$D$5:$D$359,Конструкторы!$B803,Продажи!$C$5:$C$359,Конструкторы!$A803)</f>
        <v>0</v>
      </c>
      <c r="J803" s="166">
        <f>SUMIFS(Продажи!G$5:G$359,Продажи!$D$5:$D$359,Конструкторы!$B803,Продажи!$C$5:$C$359,Конструкторы!$A803)</f>
        <v>0</v>
      </c>
      <c r="K803" s="166">
        <f>SUMIFS(Продажи!H$5:H$359,Продажи!$D$5:$D$359,Конструкторы!$B803,Продажи!$C$5:$C$359,Конструкторы!$A803)</f>
        <v>0</v>
      </c>
      <c r="L803" s="166">
        <f>SUMIFS(Продажи!I$5:I$359,Продажи!$D$5:$D$359,Конструкторы!$B803,Продажи!$C$5:$C$359,Конструкторы!$A803)</f>
        <v>0</v>
      </c>
      <c r="M803" s="166">
        <f>SUMIFS(Продажи!J$5:J$359,Продажи!$D$5:$D$359,Конструкторы!$B803,Продажи!$C$5:$C$359,Конструкторы!$A803)</f>
        <v>0</v>
      </c>
      <c r="N803" s="166">
        <f>SUMIFS(Продажи!K$5:K$359,Продажи!$D$5:$D$359,Конструкторы!$B803,Продажи!$C$5:$C$359,Конструкторы!$A803)</f>
        <v>0</v>
      </c>
      <c r="O803" s="166">
        <f>SUMIFS(Продажи!L$5:L$359,Продажи!$D$5:$D$359,Конструкторы!$B803,Продажи!$C$5:$C$359,Конструкторы!$A803)</f>
        <v>0</v>
      </c>
      <c r="P803" s="166">
        <f>SUMIFS(Продажи!M$5:M$359,Продажи!$D$5:$D$359,Конструкторы!$B803,Продажи!$C$5:$C$359,Конструкторы!$A803)</f>
        <v>0</v>
      </c>
      <c r="Q803" s="166">
        <f>SUMIFS(Продажи!N$5:N$359,Продажи!$D$5:$D$359,Конструкторы!$B803,Продажи!$C$5:$C$359,Конструкторы!$A803)</f>
        <v>0</v>
      </c>
      <c r="R803" s="166">
        <f>SUMIFS(Продажи!O$5:O$359,Продажи!$D$5:$D$359,Конструкторы!$B803,Продажи!$C$5:$C$359,Конструкторы!$A803)</f>
        <v>0</v>
      </c>
      <c r="S803" s="166">
        <f>SUMIFS(Продажи!P$5:P$359,Продажи!$D$5:$D$359,Конструкторы!$B803,Продажи!$C$5:$C$359,Конструкторы!$A803)</f>
        <v>0</v>
      </c>
      <c r="T803" s="166">
        <f>SUMIFS(Продажи!Q$5:Q$359,Продажи!$D$5:$D$359,Конструкторы!$B803,Продажи!$C$5:$C$359,Конструкторы!$A803)</f>
        <v>0</v>
      </c>
    </row>
    <row r="804" spans="1:20" ht="15.75" hidden="1" x14ac:dyDescent="0.25">
      <c r="A804" s="166" t="s">
        <v>397</v>
      </c>
      <c r="B804" s="167" t="s">
        <v>340</v>
      </c>
      <c r="C804" s="33" t="s">
        <v>73</v>
      </c>
      <c r="D804" s="149"/>
      <c r="E804" s="153" t="s">
        <v>70</v>
      </c>
      <c r="F804" s="148">
        <v>2</v>
      </c>
      <c r="G804" s="156" t="s">
        <v>71</v>
      </c>
      <c r="H804" s="156">
        <f>F804</f>
        <v>2</v>
      </c>
      <c r="I804" s="166">
        <f>SUMIFS(Продажи!F$5:F$359,Продажи!$D$5:$D$359,Конструкторы!$B804,Продажи!$C$5:$C$359,Конструкторы!$A804)</f>
        <v>0</v>
      </c>
      <c r="J804" s="166">
        <f>SUMIFS(Продажи!G$5:G$359,Продажи!$D$5:$D$359,Конструкторы!$B804,Продажи!$C$5:$C$359,Конструкторы!$A804)</f>
        <v>0</v>
      </c>
      <c r="K804" s="166">
        <f>SUMIFS(Продажи!H$5:H$359,Продажи!$D$5:$D$359,Конструкторы!$B804,Продажи!$C$5:$C$359,Конструкторы!$A804)</f>
        <v>0</v>
      </c>
      <c r="L804" s="166">
        <f>SUMIFS(Продажи!I$5:I$359,Продажи!$D$5:$D$359,Конструкторы!$B804,Продажи!$C$5:$C$359,Конструкторы!$A804)</f>
        <v>0</v>
      </c>
      <c r="M804" s="166">
        <f>SUMIFS(Продажи!J$5:J$359,Продажи!$D$5:$D$359,Конструкторы!$B804,Продажи!$C$5:$C$359,Конструкторы!$A804)</f>
        <v>0</v>
      </c>
      <c r="N804" s="166">
        <f>SUMIFS(Продажи!K$5:K$359,Продажи!$D$5:$D$359,Конструкторы!$B804,Продажи!$C$5:$C$359,Конструкторы!$A804)</f>
        <v>0</v>
      </c>
      <c r="O804" s="166">
        <f>SUMIFS(Продажи!L$5:L$359,Продажи!$D$5:$D$359,Конструкторы!$B804,Продажи!$C$5:$C$359,Конструкторы!$A804)</f>
        <v>0</v>
      </c>
      <c r="P804" s="166">
        <f>SUMIFS(Продажи!M$5:M$359,Продажи!$D$5:$D$359,Конструкторы!$B804,Продажи!$C$5:$C$359,Конструкторы!$A804)</f>
        <v>0</v>
      </c>
      <c r="Q804" s="166">
        <f>SUMIFS(Продажи!N$5:N$359,Продажи!$D$5:$D$359,Конструкторы!$B804,Продажи!$C$5:$C$359,Конструкторы!$A804)</f>
        <v>0</v>
      </c>
      <c r="R804" s="166">
        <f>SUMIFS(Продажи!O$5:O$359,Продажи!$D$5:$D$359,Конструкторы!$B804,Продажи!$C$5:$C$359,Конструкторы!$A804)</f>
        <v>0</v>
      </c>
      <c r="S804" s="166">
        <f>SUMIFS(Продажи!P$5:P$359,Продажи!$D$5:$D$359,Конструкторы!$B804,Продажи!$C$5:$C$359,Конструкторы!$A804)</f>
        <v>0</v>
      </c>
      <c r="T804" s="166">
        <f>SUMIFS(Продажи!Q$5:Q$359,Продажи!$D$5:$D$359,Конструкторы!$B804,Продажи!$C$5:$C$359,Конструкторы!$A804)</f>
        <v>0</v>
      </c>
    </row>
    <row r="805" spans="1:20" ht="15.75" hidden="1" x14ac:dyDescent="0.25">
      <c r="A805" s="166" t="s">
        <v>397</v>
      </c>
      <c r="B805" s="167" t="s">
        <v>340</v>
      </c>
      <c r="C805" s="33" t="s">
        <v>75</v>
      </c>
      <c r="D805" s="149"/>
      <c r="E805" s="153" t="s">
        <v>70</v>
      </c>
      <c r="F805" s="148">
        <v>8</v>
      </c>
      <c r="G805" s="156" t="s">
        <v>71</v>
      </c>
      <c r="H805" s="156">
        <f>F805</f>
        <v>8</v>
      </c>
      <c r="I805" s="166">
        <f>SUMIFS(Продажи!F$5:F$359,Продажи!$D$5:$D$359,Конструкторы!$B805,Продажи!$C$5:$C$359,Конструкторы!$A805)</f>
        <v>0</v>
      </c>
      <c r="J805" s="166">
        <f>SUMIFS(Продажи!G$5:G$359,Продажи!$D$5:$D$359,Конструкторы!$B805,Продажи!$C$5:$C$359,Конструкторы!$A805)</f>
        <v>0</v>
      </c>
      <c r="K805" s="166">
        <f>SUMIFS(Продажи!H$5:H$359,Продажи!$D$5:$D$359,Конструкторы!$B805,Продажи!$C$5:$C$359,Конструкторы!$A805)</f>
        <v>0</v>
      </c>
      <c r="L805" s="166">
        <f>SUMIFS(Продажи!I$5:I$359,Продажи!$D$5:$D$359,Конструкторы!$B805,Продажи!$C$5:$C$359,Конструкторы!$A805)</f>
        <v>0</v>
      </c>
      <c r="M805" s="166">
        <f>SUMIFS(Продажи!J$5:J$359,Продажи!$D$5:$D$359,Конструкторы!$B805,Продажи!$C$5:$C$359,Конструкторы!$A805)</f>
        <v>0</v>
      </c>
      <c r="N805" s="166">
        <f>SUMIFS(Продажи!K$5:K$359,Продажи!$D$5:$D$359,Конструкторы!$B805,Продажи!$C$5:$C$359,Конструкторы!$A805)</f>
        <v>0</v>
      </c>
      <c r="O805" s="166">
        <f>SUMIFS(Продажи!L$5:L$359,Продажи!$D$5:$D$359,Конструкторы!$B805,Продажи!$C$5:$C$359,Конструкторы!$A805)</f>
        <v>0</v>
      </c>
      <c r="P805" s="166">
        <f>SUMIFS(Продажи!M$5:M$359,Продажи!$D$5:$D$359,Конструкторы!$B805,Продажи!$C$5:$C$359,Конструкторы!$A805)</f>
        <v>0</v>
      </c>
      <c r="Q805" s="166">
        <f>SUMIFS(Продажи!N$5:N$359,Продажи!$D$5:$D$359,Конструкторы!$B805,Продажи!$C$5:$C$359,Конструкторы!$A805)</f>
        <v>0</v>
      </c>
      <c r="R805" s="166">
        <f>SUMIFS(Продажи!O$5:O$359,Продажи!$D$5:$D$359,Конструкторы!$B805,Продажи!$C$5:$C$359,Конструкторы!$A805)</f>
        <v>0</v>
      </c>
      <c r="S805" s="166">
        <f>SUMIFS(Продажи!P$5:P$359,Продажи!$D$5:$D$359,Конструкторы!$B805,Продажи!$C$5:$C$359,Конструкторы!$A805)</f>
        <v>0</v>
      </c>
      <c r="T805" s="166">
        <f>SUMIFS(Продажи!Q$5:Q$359,Продажи!$D$5:$D$359,Конструкторы!$B805,Продажи!$C$5:$C$359,Конструкторы!$A805)</f>
        <v>0</v>
      </c>
    </row>
    <row r="806" spans="1:20" ht="15.75" hidden="1" x14ac:dyDescent="0.25">
      <c r="A806" s="166" t="s">
        <v>397</v>
      </c>
      <c r="B806" s="167" t="s">
        <v>341</v>
      </c>
      <c r="C806" s="129" t="s">
        <v>59</v>
      </c>
      <c r="D806" s="149"/>
      <c r="E806" s="153" t="s">
        <v>68</v>
      </c>
      <c r="F806" s="156">
        <f>(0.35*103)/100</f>
        <v>0.36049999999999999</v>
      </c>
      <c r="G806" s="156">
        <v>1.0500000000000009E-2</v>
      </c>
      <c r="H806" s="156">
        <f>F806+G806</f>
        <v>0.371</v>
      </c>
      <c r="I806" s="166">
        <f>SUMIFS(Продажи!F$5:F$359,Продажи!$D$5:$D$359,Конструкторы!$B806,Продажи!$C$5:$C$359,Конструкторы!$A806)</f>
        <v>0</v>
      </c>
      <c r="J806" s="166">
        <f>SUMIFS(Продажи!G$5:G$359,Продажи!$D$5:$D$359,Конструкторы!$B806,Продажи!$C$5:$C$359,Конструкторы!$A806)</f>
        <v>0</v>
      </c>
      <c r="K806" s="166">
        <f>SUMIFS(Продажи!H$5:H$359,Продажи!$D$5:$D$359,Конструкторы!$B806,Продажи!$C$5:$C$359,Конструкторы!$A806)</f>
        <v>0</v>
      </c>
      <c r="L806" s="166">
        <f>SUMIFS(Продажи!I$5:I$359,Продажи!$D$5:$D$359,Конструкторы!$B806,Продажи!$C$5:$C$359,Конструкторы!$A806)</f>
        <v>0</v>
      </c>
      <c r="M806" s="166">
        <f>SUMIFS(Продажи!J$5:J$359,Продажи!$D$5:$D$359,Конструкторы!$B806,Продажи!$C$5:$C$359,Конструкторы!$A806)</f>
        <v>0</v>
      </c>
      <c r="N806" s="166">
        <f>SUMIFS(Продажи!K$5:K$359,Продажи!$D$5:$D$359,Конструкторы!$B806,Продажи!$C$5:$C$359,Конструкторы!$A806)</f>
        <v>0</v>
      </c>
      <c r="O806" s="166">
        <f>SUMIFS(Продажи!L$5:L$359,Продажи!$D$5:$D$359,Конструкторы!$B806,Продажи!$C$5:$C$359,Конструкторы!$A806)</f>
        <v>0</v>
      </c>
      <c r="P806" s="166">
        <f>SUMIFS(Продажи!M$5:M$359,Продажи!$D$5:$D$359,Конструкторы!$B806,Продажи!$C$5:$C$359,Конструкторы!$A806)</f>
        <v>0</v>
      </c>
      <c r="Q806" s="166">
        <f>SUMIFS(Продажи!N$5:N$359,Продажи!$D$5:$D$359,Конструкторы!$B806,Продажи!$C$5:$C$359,Конструкторы!$A806)</f>
        <v>0</v>
      </c>
      <c r="R806" s="166">
        <f>SUMIFS(Продажи!O$5:O$359,Продажи!$D$5:$D$359,Конструкторы!$B806,Продажи!$C$5:$C$359,Конструкторы!$A806)</f>
        <v>0</v>
      </c>
      <c r="S806" s="166">
        <f>SUMIFS(Продажи!P$5:P$359,Продажи!$D$5:$D$359,Конструкторы!$B806,Продажи!$C$5:$C$359,Конструкторы!$A806)</f>
        <v>0</v>
      </c>
      <c r="T806" s="166">
        <f>SUMIFS(Продажи!Q$5:Q$359,Продажи!$D$5:$D$359,Конструкторы!$B806,Продажи!$C$5:$C$359,Конструкторы!$A806)</f>
        <v>0</v>
      </c>
    </row>
    <row r="807" spans="1:20" ht="15.75" hidden="1" x14ac:dyDescent="0.25">
      <c r="A807" s="166" t="s">
        <v>397</v>
      </c>
      <c r="B807" s="167" t="s">
        <v>341</v>
      </c>
      <c r="C807" s="33" t="s">
        <v>73</v>
      </c>
      <c r="D807" s="149"/>
      <c r="E807" s="153" t="s">
        <v>70</v>
      </c>
      <c r="F807" s="148">
        <v>2</v>
      </c>
      <c r="G807" s="156" t="s">
        <v>71</v>
      </c>
      <c r="H807" s="156">
        <f>F807</f>
        <v>2</v>
      </c>
      <c r="I807" s="166">
        <f>SUMIFS(Продажи!F$5:F$359,Продажи!$D$5:$D$359,Конструкторы!$B807,Продажи!$C$5:$C$359,Конструкторы!$A807)</f>
        <v>0</v>
      </c>
      <c r="J807" s="166">
        <f>SUMIFS(Продажи!G$5:G$359,Продажи!$D$5:$D$359,Конструкторы!$B807,Продажи!$C$5:$C$359,Конструкторы!$A807)</f>
        <v>0</v>
      </c>
      <c r="K807" s="166">
        <f>SUMIFS(Продажи!H$5:H$359,Продажи!$D$5:$D$359,Конструкторы!$B807,Продажи!$C$5:$C$359,Конструкторы!$A807)</f>
        <v>0</v>
      </c>
      <c r="L807" s="166">
        <f>SUMIFS(Продажи!I$5:I$359,Продажи!$D$5:$D$359,Конструкторы!$B807,Продажи!$C$5:$C$359,Конструкторы!$A807)</f>
        <v>0</v>
      </c>
      <c r="M807" s="166">
        <f>SUMIFS(Продажи!J$5:J$359,Продажи!$D$5:$D$359,Конструкторы!$B807,Продажи!$C$5:$C$359,Конструкторы!$A807)</f>
        <v>0</v>
      </c>
      <c r="N807" s="166">
        <f>SUMIFS(Продажи!K$5:K$359,Продажи!$D$5:$D$359,Конструкторы!$B807,Продажи!$C$5:$C$359,Конструкторы!$A807)</f>
        <v>0</v>
      </c>
      <c r="O807" s="166">
        <f>SUMIFS(Продажи!L$5:L$359,Продажи!$D$5:$D$359,Конструкторы!$B807,Продажи!$C$5:$C$359,Конструкторы!$A807)</f>
        <v>0</v>
      </c>
      <c r="P807" s="166">
        <f>SUMIFS(Продажи!M$5:M$359,Продажи!$D$5:$D$359,Конструкторы!$B807,Продажи!$C$5:$C$359,Конструкторы!$A807)</f>
        <v>0</v>
      </c>
      <c r="Q807" s="166">
        <f>SUMIFS(Продажи!N$5:N$359,Продажи!$D$5:$D$359,Конструкторы!$B807,Продажи!$C$5:$C$359,Конструкторы!$A807)</f>
        <v>0</v>
      </c>
      <c r="R807" s="166">
        <f>SUMIFS(Продажи!O$5:O$359,Продажи!$D$5:$D$359,Конструкторы!$B807,Продажи!$C$5:$C$359,Конструкторы!$A807)</f>
        <v>0</v>
      </c>
      <c r="S807" s="166">
        <f>SUMIFS(Продажи!P$5:P$359,Продажи!$D$5:$D$359,Конструкторы!$B807,Продажи!$C$5:$C$359,Конструкторы!$A807)</f>
        <v>0</v>
      </c>
      <c r="T807" s="166">
        <f>SUMIFS(Продажи!Q$5:Q$359,Продажи!$D$5:$D$359,Конструкторы!$B807,Продажи!$C$5:$C$359,Конструкторы!$A807)</f>
        <v>0</v>
      </c>
    </row>
    <row r="808" spans="1:20" ht="15.75" hidden="1" x14ac:dyDescent="0.25">
      <c r="A808" s="166" t="s">
        <v>397</v>
      </c>
      <c r="B808" s="167" t="s">
        <v>341</v>
      </c>
      <c r="C808" s="33" t="s">
        <v>75</v>
      </c>
      <c r="D808" s="149"/>
      <c r="E808" s="153" t="s">
        <v>70</v>
      </c>
      <c r="F808" s="148">
        <v>8</v>
      </c>
      <c r="G808" s="156" t="s">
        <v>71</v>
      </c>
      <c r="H808" s="156">
        <f>F808</f>
        <v>8</v>
      </c>
      <c r="I808" s="166">
        <f>SUMIFS(Продажи!F$5:F$359,Продажи!$D$5:$D$359,Конструкторы!$B808,Продажи!$C$5:$C$359,Конструкторы!$A808)</f>
        <v>0</v>
      </c>
      <c r="J808" s="166">
        <f>SUMIFS(Продажи!G$5:G$359,Продажи!$D$5:$D$359,Конструкторы!$B808,Продажи!$C$5:$C$359,Конструкторы!$A808)</f>
        <v>0</v>
      </c>
      <c r="K808" s="166">
        <f>SUMIFS(Продажи!H$5:H$359,Продажи!$D$5:$D$359,Конструкторы!$B808,Продажи!$C$5:$C$359,Конструкторы!$A808)</f>
        <v>0</v>
      </c>
      <c r="L808" s="166">
        <f>SUMIFS(Продажи!I$5:I$359,Продажи!$D$5:$D$359,Конструкторы!$B808,Продажи!$C$5:$C$359,Конструкторы!$A808)</f>
        <v>0</v>
      </c>
      <c r="M808" s="166">
        <f>SUMIFS(Продажи!J$5:J$359,Продажи!$D$5:$D$359,Конструкторы!$B808,Продажи!$C$5:$C$359,Конструкторы!$A808)</f>
        <v>0</v>
      </c>
      <c r="N808" s="166">
        <f>SUMIFS(Продажи!K$5:K$359,Продажи!$D$5:$D$359,Конструкторы!$B808,Продажи!$C$5:$C$359,Конструкторы!$A808)</f>
        <v>0</v>
      </c>
      <c r="O808" s="166">
        <f>SUMIFS(Продажи!L$5:L$359,Продажи!$D$5:$D$359,Конструкторы!$B808,Продажи!$C$5:$C$359,Конструкторы!$A808)</f>
        <v>0</v>
      </c>
      <c r="P808" s="166">
        <f>SUMIFS(Продажи!M$5:M$359,Продажи!$D$5:$D$359,Конструкторы!$B808,Продажи!$C$5:$C$359,Конструкторы!$A808)</f>
        <v>0</v>
      </c>
      <c r="Q808" s="166">
        <f>SUMIFS(Продажи!N$5:N$359,Продажи!$D$5:$D$359,Конструкторы!$B808,Продажи!$C$5:$C$359,Конструкторы!$A808)</f>
        <v>0</v>
      </c>
      <c r="R808" s="166">
        <f>SUMIFS(Продажи!O$5:O$359,Продажи!$D$5:$D$359,Конструкторы!$B808,Продажи!$C$5:$C$359,Конструкторы!$A808)</f>
        <v>0</v>
      </c>
      <c r="S808" s="166">
        <f>SUMIFS(Продажи!P$5:P$359,Продажи!$D$5:$D$359,Конструкторы!$B808,Продажи!$C$5:$C$359,Конструкторы!$A808)</f>
        <v>0</v>
      </c>
      <c r="T808" s="166">
        <f>SUMIFS(Продажи!Q$5:Q$359,Продажи!$D$5:$D$359,Конструкторы!$B808,Продажи!$C$5:$C$359,Конструкторы!$A808)</f>
        <v>0</v>
      </c>
    </row>
    <row r="809" spans="1:20" ht="15.75" hidden="1" x14ac:dyDescent="0.25">
      <c r="A809" s="166" t="s">
        <v>397</v>
      </c>
      <c r="B809" s="167" t="s">
        <v>256</v>
      </c>
      <c r="C809" s="129" t="s">
        <v>53</v>
      </c>
      <c r="D809" s="130">
        <v>7038</v>
      </c>
      <c r="E809" s="153" t="s">
        <v>68</v>
      </c>
      <c r="F809" s="156">
        <f>(1.936*103)/100</f>
        <v>1.9940799999999999</v>
      </c>
      <c r="G809" s="156">
        <v>5.8079999999999909E-2</v>
      </c>
      <c r="H809" s="156">
        <f>F809+G809</f>
        <v>2.0521599999999998</v>
      </c>
      <c r="I809" s="166">
        <f>SUMIFS(Продажи!F$5:F$359,Продажи!$D$5:$D$359,Конструкторы!$B809,Продажи!$C$5:$C$359,Конструкторы!$A809)</f>
        <v>2</v>
      </c>
      <c r="J809" s="166">
        <f>SUMIFS(Продажи!G$5:G$359,Продажи!$D$5:$D$359,Конструкторы!$B809,Продажи!$C$5:$C$359,Конструкторы!$A809)</f>
        <v>0</v>
      </c>
      <c r="K809" s="166">
        <f>SUMIFS(Продажи!H$5:H$359,Продажи!$D$5:$D$359,Конструкторы!$B809,Продажи!$C$5:$C$359,Конструкторы!$A809)</f>
        <v>0</v>
      </c>
      <c r="L809" s="166">
        <f>SUMIFS(Продажи!I$5:I$359,Продажи!$D$5:$D$359,Конструкторы!$B809,Продажи!$C$5:$C$359,Конструкторы!$A809)</f>
        <v>0</v>
      </c>
      <c r="M809" s="166">
        <f>SUMIFS(Продажи!J$5:J$359,Продажи!$D$5:$D$359,Конструкторы!$B809,Продажи!$C$5:$C$359,Конструкторы!$A809)</f>
        <v>0</v>
      </c>
      <c r="N809" s="166">
        <f>SUMIFS(Продажи!K$5:K$359,Продажи!$D$5:$D$359,Конструкторы!$B809,Продажи!$C$5:$C$359,Конструкторы!$A809)</f>
        <v>0</v>
      </c>
      <c r="O809" s="166">
        <f>SUMIFS(Продажи!L$5:L$359,Продажи!$D$5:$D$359,Конструкторы!$B809,Продажи!$C$5:$C$359,Конструкторы!$A809)</f>
        <v>0</v>
      </c>
      <c r="P809" s="166">
        <f>SUMIFS(Продажи!M$5:M$359,Продажи!$D$5:$D$359,Конструкторы!$B809,Продажи!$C$5:$C$359,Конструкторы!$A809)</f>
        <v>0</v>
      </c>
      <c r="Q809" s="166">
        <f>SUMIFS(Продажи!N$5:N$359,Продажи!$D$5:$D$359,Конструкторы!$B809,Продажи!$C$5:$C$359,Конструкторы!$A809)</f>
        <v>0</v>
      </c>
      <c r="R809" s="166">
        <f>SUMIFS(Продажи!O$5:O$359,Продажи!$D$5:$D$359,Конструкторы!$B809,Продажи!$C$5:$C$359,Конструкторы!$A809)</f>
        <v>0</v>
      </c>
      <c r="S809" s="166">
        <f>SUMIFS(Продажи!P$5:P$359,Продажи!$D$5:$D$359,Конструкторы!$B809,Продажи!$C$5:$C$359,Конструкторы!$A809)</f>
        <v>0</v>
      </c>
      <c r="T809" s="166">
        <f>SUMIFS(Продажи!Q$5:Q$359,Продажи!$D$5:$D$359,Конструкторы!$B809,Продажи!$C$5:$C$359,Конструкторы!$A809)</f>
        <v>0</v>
      </c>
    </row>
    <row r="810" spans="1:20" ht="15.75" hidden="1" x14ac:dyDescent="0.25">
      <c r="A810" s="166" t="s">
        <v>397</v>
      </c>
      <c r="B810" s="167" t="s">
        <v>256</v>
      </c>
      <c r="C810" s="129" t="s">
        <v>52</v>
      </c>
      <c r="D810" s="149"/>
      <c r="E810" s="153" t="s">
        <v>68</v>
      </c>
      <c r="F810" s="156">
        <f>(0.3*103)/100</f>
        <v>0.309</v>
      </c>
      <c r="G810" s="156">
        <v>9.000000000000008E-3</v>
      </c>
      <c r="H810" s="156">
        <f>F810+G810</f>
        <v>0.318</v>
      </c>
      <c r="I810" s="166">
        <f>SUMIFS(Продажи!F$5:F$359,Продажи!$D$5:$D$359,Конструкторы!$B810,Продажи!$C$5:$C$359,Конструкторы!$A810)</f>
        <v>2</v>
      </c>
      <c r="J810" s="166">
        <f>SUMIFS(Продажи!G$5:G$359,Продажи!$D$5:$D$359,Конструкторы!$B810,Продажи!$C$5:$C$359,Конструкторы!$A810)</f>
        <v>0</v>
      </c>
      <c r="K810" s="166">
        <f>SUMIFS(Продажи!H$5:H$359,Продажи!$D$5:$D$359,Конструкторы!$B810,Продажи!$C$5:$C$359,Конструкторы!$A810)</f>
        <v>0</v>
      </c>
      <c r="L810" s="166">
        <f>SUMIFS(Продажи!I$5:I$359,Продажи!$D$5:$D$359,Конструкторы!$B810,Продажи!$C$5:$C$359,Конструкторы!$A810)</f>
        <v>0</v>
      </c>
      <c r="M810" s="166">
        <f>SUMIFS(Продажи!J$5:J$359,Продажи!$D$5:$D$359,Конструкторы!$B810,Продажи!$C$5:$C$359,Конструкторы!$A810)</f>
        <v>0</v>
      </c>
      <c r="N810" s="166">
        <f>SUMIFS(Продажи!K$5:K$359,Продажи!$D$5:$D$359,Конструкторы!$B810,Продажи!$C$5:$C$359,Конструкторы!$A810)</f>
        <v>0</v>
      </c>
      <c r="O810" s="166">
        <f>SUMIFS(Продажи!L$5:L$359,Продажи!$D$5:$D$359,Конструкторы!$B810,Продажи!$C$5:$C$359,Конструкторы!$A810)</f>
        <v>0</v>
      </c>
      <c r="P810" s="166">
        <f>SUMIFS(Продажи!M$5:M$359,Продажи!$D$5:$D$359,Конструкторы!$B810,Продажи!$C$5:$C$359,Конструкторы!$A810)</f>
        <v>0</v>
      </c>
      <c r="Q810" s="166">
        <f>SUMIFS(Продажи!N$5:N$359,Продажи!$D$5:$D$359,Конструкторы!$B810,Продажи!$C$5:$C$359,Конструкторы!$A810)</f>
        <v>0</v>
      </c>
      <c r="R810" s="166">
        <f>SUMIFS(Продажи!O$5:O$359,Продажи!$D$5:$D$359,Конструкторы!$B810,Продажи!$C$5:$C$359,Конструкторы!$A810)</f>
        <v>0</v>
      </c>
      <c r="S810" s="166">
        <f>SUMIFS(Продажи!P$5:P$359,Продажи!$D$5:$D$359,Конструкторы!$B810,Продажи!$C$5:$C$359,Конструкторы!$A810)</f>
        <v>0</v>
      </c>
      <c r="T810" s="166">
        <f>SUMIFS(Продажи!Q$5:Q$359,Продажи!$D$5:$D$359,Конструкторы!$B810,Продажи!$C$5:$C$359,Конструкторы!$A810)</f>
        <v>0</v>
      </c>
    </row>
    <row r="811" spans="1:20" ht="15.75" hidden="1" x14ac:dyDescent="0.25">
      <c r="A811" s="166" t="s">
        <v>397</v>
      </c>
      <c r="B811" s="167" t="s">
        <v>256</v>
      </c>
      <c r="C811" s="33" t="s">
        <v>73</v>
      </c>
      <c r="D811" s="149"/>
      <c r="E811" s="153" t="s">
        <v>70</v>
      </c>
      <c r="F811" s="148">
        <v>4</v>
      </c>
      <c r="G811" s="156" t="s">
        <v>71</v>
      </c>
      <c r="H811" s="156">
        <f>F811</f>
        <v>4</v>
      </c>
      <c r="I811" s="166">
        <f>SUMIFS(Продажи!F$5:F$359,Продажи!$D$5:$D$359,Конструкторы!$B811,Продажи!$C$5:$C$359,Конструкторы!$A811)</f>
        <v>2</v>
      </c>
      <c r="J811" s="166">
        <f>SUMIFS(Продажи!G$5:G$359,Продажи!$D$5:$D$359,Конструкторы!$B811,Продажи!$C$5:$C$359,Конструкторы!$A811)</f>
        <v>0</v>
      </c>
      <c r="K811" s="166">
        <f>SUMIFS(Продажи!H$5:H$359,Продажи!$D$5:$D$359,Конструкторы!$B811,Продажи!$C$5:$C$359,Конструкторы!$A811)</f>
        <v>0</v>
      </c>
      <c r="L811" s="166">
        <f>SUMIFS(Продажи!I$5:I$359,Продажи!$D$5:$D$359,Конструкторы!$B811,Продажи!$C$5:$C$359,Конструкторы!$A811)</f>
        <v>0</v>
      </c>
      <c r="M811" s="166">
        <f>SUMIFS(Продажи!J$5:J$359,Продажи!$D$5:$D$359,Конструкторы!$B811,Продажи!$C$5:$C$359,Конструкторы!$A811)</f>
        <v>0</v>
      </c>
      <c r="N811" s="166">
        <f>SUMIFS(Продажи!K$5:K$359,Продажи!$D$5:$D$359,Конструкторы!$B811,Продажи!$C$5:$C$359,Конструкторы!$A811)</f>
        <v>0</v>
      </c>
      <c r="O811" s="166">
        <f>SUMIFS(Продажи!L$5:L$359,Продажи!$D$5:$D$359,Конструкторы!$B811,Продажи!$C$5:$C$359,Конструкторы!$A811)</f>
        <v>0</v>
      </c>
      <c r="P811" s="166">
        <f>SUMIFS(Продажи!M$5:M$359,Продажи!$D$5:$D$359,Конструкторы!$B811,Продажи!$C$5:$C$359,Конструкторы!$A811)</f>
        <v>0</v>
      </c>
      <c r="Q811" s="166">
        <f>SUMIFS(Продажи!N$5:N$359,Продажи!$D$5:$D$359,Конструкторы!$B811,Продажи!$C$5:$C$359,Конструкторы!$A811)</f>
        <v>0</v>
      </c>
      <c r="R811" s="166">
        <f>SUMIFS(Продажи!O$5:O$359,Продажи!$D$5:$D$359,Конструкторы!$B811,Продажи!$C$5:$C$359,Конструкторы!$A811)</f>
        <v>0</v>
      </c>
      <c r="S811" s="166">
        <f>SUMIFS(Продажи!P$5:P$359,Продажи!$D$5:$D$359,Конструкторы!$B811,Продажи!$C$5:$C$359,Конструкторы!$A811)</f>
        <v>0</v>
      </c>
      <c r="T811" s="166">
        <f>SUMIFS(Продажи!Q$5:Q$359,Продажи!$D$5:$D$359,Конструкторы!$B811,Продажи!$C$5:$C$359,Конструкторы!$A811)</f>
        <v>0</v>
      </c>
    </row>
    <row r="812" spans="1:20" ht="15.75" hidden="1" x14ac:dyDescent="0.25">
      <c r="A812" s="166" t="s">
        <v>397</v>
      </c>
      <c r="B812" s="167" t="s">
        <v>256</v>
      </c>
      <c r="C812" s="33" t="s">
        <v>75</v>
      </c>
      <c r="D812" s="149"/>
      <c r="E812" s="153" t="s">
        <v>70</v>
      </c>
      <c r="F812" s="148">
        <v>16</v>
      </c>
      <c r="G812" s="156" t="s">
        <v>71</v>
      </c>
      <c r="H812" s="156">
        <f>F812</f>
        <v>16</v>
      </c>
      <c r="I812" s="166">
        <f>SUMIFS(Продажи!F$5:F$359,Продажи!$D$5:$D$359,Конструкторы!$B812,Продажи!$C$5:$C$359,Конструкторы!$A812)</f>
        <v>2</v>
      </c>
      <c r="J812" s="166">
        <f>SUMIFS(Продажи!G$5:G$359,Продажи!$D$5:$D$359,Конструкторы!$B812,Продажи!$C$5:$C$359,Конструкторы!$A812)</f>
        <v>0</v>
      </c>
      <c r="K812" s="166">
        <f>SUMIFS(Продажи!H$5:H$359,Продажи!$D$5:$D$359,Конструкторы!$B812,Продажи!$C$5:$C$359,Конструкторы!$A812)</f>
        <v>0</v>
      </c>
      <c r="L812" s="166">
        <f>SUMIFS(Продажи!I$5:I$359,Продажи!$D$5:$D$359,Конструкторы!$B812,Продажи!$C$5:$C$359,Конструкторы!$A812)</f>
        <v>0</v>
      </c>
      <c r="M812" s="166">
        <f>SUMIFS(Продажи!J$5:J$359,Продажи!$D$5:$D$359,Конструкторы!$B812,Продажи!$C$5:$C$359,Конструкторы!$A812)</f>
        <v>0</v>
      </c>
      <c r="N812" s="166">
        <f>SUMIFS(Продажи!K$5:K$359,Продажи!$D$5:$D$359,Конструкторы!$B812,Продажи!$C$5:$C$359,Конструкторы!$A812)</f>
        <v>0</v>
      </c>
      <c r="O812" s="166">
        <f>SUMIFS(Продажи!L$5:L$359,Продажи!$D$5:$D$359,Конструкторы!$B812,Продажи!$C$5:$C$359,Конструкторы!$A812)</f>
        <v>0</v>
      </c>
      <c r="P812" s="166">
        <f>SUMIFS(Продажи!M$5:M$359,Продажи!$D$5:$D$359,Конструкторы!$B812,Продажи!$C$5:$C$359,Конструкторы!$A812)</f>
        <v>0</v>
      </c>
      <c r="Q812" s="166">
        <f>SUMIFS(Продажи!N$5:N$359,Продажи!$D$5:$D$359,Конструкторы!$B812,Продажи!$C$5:$C$359,Конструкторы!$A812)</f>
        <v>0</v>
      </c>
      <c r="R812" s="166">
        <f>SUMIFS(Продажи!O$5:O$359,Продажи!$D$5:$D$359,Конструкторы!$B812,Продажи!$C$5:$C$359,Конструкторы!$A812)</f>
        <v>0</v>
      </c>
      <c r="S812" s="166">
        <f>SUMIFS(Продажи!P$5:P$359,Продажи!$D$5:$D$359,Конструкторы!$B812,Продажи!$C$5:$C$359,Конструкторы!$A812)</f>
        <v>0</v>
      </c>
      <c r="T812" s="166">
        <f>SUMIFS(Продажи!Q$5:Q$359,Продажи!$D$5:$D$359,Конструкторы!$B812,Продажи!$C$5:$C$359,Конструкторы!$A812)</f>
        <v>0</v>
      </c>
    </row>
    <row r="813" spans="1:20" ht="15.75" hidden="1" x14ac:dyDescent="0.25">
      <c r="A813" s="166" t="s">
        <v>397</v>
      </c>
      <c r="B813" s="167" t="s">
        <v>256</v>
      </c>
      <c r="C813" s="33" t="s">
        <v>69</v>
      </c>
      <c r="D813" s="149"/>
      <c r="E813" s="153" t="s">
        <v>70</v>
      </c>
      <c r="F813" s="148">
        <v>6</v>
      </c>
      <c r="G813" s="156" t="s">
        <v>71</v>
      </c>
      <c r="H813" s="156">
        <f>F813</f>
        <v>6</v>
      </c>
      <c r="I813" s="166">
        <f>SUMIFS(Продажи!F$5:F$359,Продажи!$D$5:$D$359,Конструкторы!$B813,Продажи!$C$5:$C$359,Конструкторы!$A813)</f>
        <v>2</v>
      </c>
      <c r="J813" s="166">
        <f>SUMIFS(Продажи!G$5:G$359,Продажи!$D$5:$D$359,Конструкторы!$B813,Продажи!$C$5:$C$359,Конструкторы!$A813)</f>
        <v>0</v>
      </c>
      <c r="K813" s="166">
        <f>SUMIFS(Продажи!H$5:H$359,Продажи!$D$5:$D$359,Конструкторы!$B813,Продажи!$C$5:$C$359,Конструкторы!$A813)</f>
        <v>0</v>
      </c>
      <c r="L813" s="166">
        <f>SUMIFS(Продажи!I$5:I$359,Продажи!$D$5:$D$359,Конструкторы!$B813,Продажи!$C$5:$C$359,Конструкторы!$A813)</f>
        <v>0</v>
      </c>
      <c r="M813" s="166">
        <f>SUMIFS(Продажи!J$5:J$359,Продажи!$D$5:$D$359,Конструкторы!$B813,Продажи!$C$5:$C$359,Конструкторы!$A813)</f>
        <v>0</v>
      </c>
      <c r="N813" s="166">
        <f>SUMIFS(Продажи!K$5:K$359,Продажи!$D$5:$D$359,Конструкторы!$B813,Продажи!$C$5:$C$359,Конструкторы!$A813)</f>
        <v>0</v>
      </c>
      <c r="O813" s="166">
        <f>SUMIFS(Продажи!L$5:L$359,Продажи!$D$5:$D$359,Конструкторы!$B813,Продажи!$C$5:$C$359,Конструкторы!$A813)</f>
        <v>0</v>
      </c>
      <c r="P813" s="166">
        <f>SUMIFS(Продажи!M$5:M$359,Продажи!$D$5:$D$359,Конструкторы!$B813,Продажи!$C$5:$C$359,Конструкторы!$A813)</f>
        <v>0</v>
      </c>
      <c r="Q813" s="166">
        <f>SUMIFS(Продажи!N$5:N$359,Продажи!$D$5:$D$359,Конструкторы!$B813,Продажи!$C$5:$C$359,Конструкторы!$A813)</f>
        <v>0</v>
      </c>
      <c r="R813" s="166">
        <f>SUMIFS(Продажи!O$5:O$359,Продажи!$D$5:$D$359,Конструкторы!$B813,Продажи!$C$5:$C$359,Конструкторы!$A813)</f>
        <v>0</v>
      </c>
      <c r="S813" s="166">
        <f>SUMIFS(Продажи!P$5:P$359,Продажи!$D$5:$D$359,Конструкторы!$B813,Продажи!$C$5:$C$359,Конструкторы!$A813)</f>
        <v>0</v>
      </c>
      <c r="T813" s="166">
        <f>SUMIFS(Продажи!Q$5:Q$359,Продажи!$D$5:$D$359,Конструкторы!$B813,Продажи!$C$5:$C$359,Конструкторы!$A813)</f>
        <v>0</v>
      </c>
    </row>
    <row r="814" spans="1:20" ht="15.75" hidden="1" x14ac:dyDescent="0.25">
      <c r="A814" s="166" t="s">
        <v>397</v>
      </c>
      <c r="B814" s="167" t="s">
        <v>257</v>
      </c>
      <c r="C814" s="129" t="s">
        <v>53</v>
      </c>
      <c r="D814" s="130">
        <v>7038</v>
      </c>
      <c r="E814" s="153" t="s">
        <v>68</v>
      </c>
      <c r="F814" s="156">
        <f>(1.71*103)/100</f>
        <v>1.7612999999999999</v>
      </c>
      <c r="G814" s="156">
        <v>5.1299999999999901E-2</v>
      </c>
      <c r="H814" s="156">
        <f>F814+G814</f>
        <v>1.8125999999999998</v>
      </c>
      <c r="I814" s="166">
        <f>SUMIFS(Продажи!F$5:F$359,Продажи!$D$5:$D$359,Конструкторы!$B814,Продажи!$C$5:$C$359,Конструкторы!$A814)</f>
        <v>3</v>
      </c>
      <c r="J814" s="166">
        <f>SUMIFS(Продажи!G$5:G$359,Продажи!$D$5:$D$359,Конструкторы!$B814,Продажи!$C$5:$C$359,Конструкторы!$A814)</f>
        <v>0</v>
      </c>
      <c r="K814" s="166">
        <f>SUMIFS(Продажи!H$5:H$359,Продажи!$D$5:$D$359,Конструкторы!$B814,Продажи!$C$5:$C$359,Конструкторы!$A814)</f>
        <v>0</v>
      </c>
      <c r="L814" s="166">
        <f>SUMIFS(Продажи!I$5:I$359,Продажи!$D$5:$D$359,Конструкторы!$B814,Продажи!$C$5:$C$359,Конструкторы!$A814)</f>
        <v>0</v>
      </c>
      <c r="M814" s="166">
        <f>SUMIFS(Продажи!J$5:J$359,Продажи!$D$5:$D$359,Конструкторы!$B814,Продажи!$C$5:$C$359,Конструкторы!$A814)</f>
        <v>0</v>
      </c>
      <c r="N814" s="166">
        <f>SUMIFS(Продажи!K$5:K$359,Продажи!$D$5:$D$359,Конструкторы!$B814,Продажи!$C$5:$C$359,Конструкторы!$A814)</f>
        <v>0</v>
      </c>
      <c r="O814" s="166">
        <f>SUMIFS(Продажи!L$5:L$359,Продажи!$D$5:$D$359,Конструкторы!$B814,Продажи!$C$5:$C$359,Конструкторы!$A814)</f>
        <v>0</v>
      </c>
      <c r="P814" s="166">
        <f>SUMIFS(Продажи!M$5:M$359,Продажи!$D$5:$D$359,Конструкторы!$B814,Продажи!$C$5:$C$359,Конструкторы!$A814)</f>
        <v>0</v>
      </c>
      <c r="Q814" s="166">
        <f>SUMIFS(Продажи!N$5:N$359,Продажи!$D$5:$D$359,Конструкторы!$B814,Продажи!$C$5:$C$359,Конструкторы!$A814)</f>
        <v>0</v>
      </c>
      <c r="R814" s="166">
        <f>SUMIFS(Продажи!O$5:O$359,Продажи!$D$5:$D$359,Конструкторы!$B814,Продажи!$C$5:$C$359,Конструкторы!$A814)</f>
        <v>0</v>
      </c>
      <c r="S814" s="166">
        <f>SUMIFS(Продажи!P$5:P$359,Продажи!$D$5:$D$359,Конструкторы!$B814,Продажи!$C$5:$C$359,Конструкторы!$A814)</f>
        <v>0</v>
      </c>
      <c r="T814" s="166">
        <f>SUMIFS(Продажи!Q$5:Q$359,Продажи!$D$5:$D$359,Конструкторы!$B814,Продажи!$C$5:$C$359,Конструкторы!$A814)</f>
        <v>0</v>
      </c>
    </row>
    <row r="815" spans="1:20" ht="15.75" hidden="1" x14ac:dyDescent="0.25">
      <c r="A815" s="166" t="s">
        <v>397</v>
      </c>
      <c r="B815" s="167" t="s">
        <v>257</v>
      </c>
      <c r="C815" s="129" t="s">
        <v>52</v>
      </c>
      <c r="D815" s="149"/>
      <c r="E815" s="153" t="s">
        <v>68</v>
      </c>
      <c r="F815" s="156">
        <f>(0.6*103)/100</f>
        <v>0.61799999999999999</v>
      </c>
      <c r="G815" s="156">
        <v>1.8000000000000016E-2</v>
      </c>
      <c r="H815" s="156">
        <f>F815+G815</f>
        <v>0.63600000000000001</v>
      </c>
      <c r="I815" s="166">
        <f>SUMIFS(Продажи!F$5:F$359,Продажи!$D$5:$D$359,Конструкторы!$B815,Продажи!$C$5:$C$359,Конструкторы!$A815)</f>
        <v>3</v>
      </c>
      <c r="J815" s="166">
        <f>SUMIFS(Продажи!G$5:G$359,Продажи!$D$5:$D$359,Конструкторы!$B815,Продажи!$C$5:$C$359,Конструкторы!$A815)</f>
        <v>0</v>
      </c>
      <c r="K815" s="166">
        <f>SUMIFS(Продажи!H$5:H$359,Продажи!$D$5:$D$359,Конструкторы!$B815,Продажи!$C$5:$C$359,Конструкторы!$A815)</f>
        <v>0</v>
      </c>
      <c r="L815" s="166">
        <f>SUMIFS(Продажи!I$5:I$359,Продажи!$D$5:$D$359,Конструкторы!$B815,Продажи!$C$5:$C$359,Конструкторы!$A815)</f>
        <v>0</v>
      </c>
      <c r="M815" s="166">
        <f>SUMIFS(Продажи!J$5:J$359,Продажи!$D$5:$D$359,Конструкторы!$B815,Продажи!$C$5:$C$359,Конструкторы!$A815)</f>
        <v>0</v>
      </c>
      <c r="N815" s="166">
        <f>SUMIFS(Продажи!K$5:K$359,Продажи!$D$5:$D$359,Конструкторы!$B815,Продажи!$C$5:$C$359,Конструкторы!$A815)</f>
        <v>0</v>
      </c>
      <c r="O815" s="166">
        <f>SUMIFS(Продажи!L$5:L$359,Продажи!$D$5:$D$359,Конструкторы!$B815,Продажи!$C$5:$C$359,Конструкторы!$A815)</f>
        <v>0</v>
      </c>
      <c r="P815" s="166">
        <f>SUMIFS(Продажи!M$5:M$359,Продажи!$D$5:$D$359,Конструкторы!$B815,Продажи!$C$5:$C$359,Конструкторы!$A815)</f>
        <v>0</v>
      </c>
      <c r="Q815" s="166">
        <f>SUMIFS(Продажи!N$5:N$359,Продажи!$D$5:$D$359,Конструкторы!$B815,Продажи!$C$5:$C$359,Конструкторы!$A815)</f>
        <v>0</v>
      </c>
      <c r="R815" s="166">
        <f>SUMIFS(Продажи!O$5:O$359,Продажи!$D$5:$D$359,Конструкторы!$B815,Продажи!$C$5:$C$359,Конструкторы!$A815)</f>
        <v>0</v>
      </c>
      <c r="S815" s="166">
        <f>SUMIFS(Продажи!P$5:P$359,Продажи!$D$5:$D$359,Конструкторы!$B815,Продажи!$C$5:$C$359,Конструкторы!$A815)</f>
        <v>0</v>
      </c>
      <c r="T815" s="166">
        <f>SUMIFS(Продажи!Q$5:Q$359,Продажи!$D$5:$D$359,Конструкторы!$B815,Продажи!$C$5:$C$359,Конструкторы!$A815)</f>
        <v>0</v>
      </c>
    </row>
    <row r="816" spans="1:20" ht="15.75" hidden="1" x14ac:dyDescent="0.25">
      <c r="A816" s="166" t="s">
        <v>397</v>
      </c>
      <c r="B816" s="167" t="s">
        <v>257</v>
      </c>
      <c r="C816" s="33" t="s">
        <v>73</v>
      </c>
      <c r="D816" s="149"/>
      <c r="E816" s="153" t="s">
        <v>70</v>
      </c>
      <c r="F816" s="148">
        <v>4</v>
      </c>
      <c r="G816" s="156" t="s">
        <v>71</v>
      </c>
      <c r="H816" s="156">
        <f>F816</f>
        <v>4</v>
      </c>
      <c r="I816" s="166">
        <f>SUMIFS(Продажи!F$5:F$359,Продажи!$D$5:$D$359,Конструкторы!$B816,Продажи!$C$5:$C$359,Конструкторы!$A816)</f>
        <v>3</v>
      </c>
      <c r="J816" s="166">
        <f>SUMIFS(Продажи!G$5:G$359,Продажи!$D$5:$D$359,Конструкторы!$B816,Продажи!$C$5:$C$359,Конструкторы!$A816)</f>
        <v>0</v>
      </c>
      <c r="K816" s="166">
        <f>SUMIFS(Продажи!H$5:H$359,Продажи!$D$5:$D$359,Конструкторы!$B816,Продажи!$C$5:$C$359,Конструкторы!$A816)</f>
        <v>0</v>
      </c>
      <c r="L816" s="166">
        <f>SUMIFS(Продажи!I$5:I$359,Продажи!$D$5:$D$359,Конструкторы!$B816,Продажи!$C$5:$C$359,Конструкторы!$A816)</f>
        <v>0</v>
      </c>
      <c r="M816" s="166">
        <f>SUMIFS(Продажи!J$5:J$359,Продажи!$D$5:$D$359,Конструкторы!$B816,Продажи!$C$5:$C$359,Конструкторы!$A816)</f>
        <v>0</v>
      </c>
      <c r="N816" s="166">
        <f>SUMIFS(Продажи!K$5:K$359,Продажи!$D$5:$D$359,Конструкторы!$B816,Продажи!$C$5:$C$359,Конструкторы!$A816)</f>
        <v>0</v>
      </c>
      <c r="O816" s="166">
        <f>SUMIFS(Продажи!L$5:L$359,Продажи!$D$5:$D$359,Конструкторы!$B816,Продажи!$C$5:$C$359,Конструкторы!$A816)</f>
        <v>0</v>
      </c>
      <c r="P816" s="166">
        <f>SUMIFS(Продажи!M$5:M$359,Продажи!$D$5:$D$359,Конструкторы!$B816,Продажи!$C$5:$C$359,Конструкторы!$A816)</f>
        <v>0</v>
      </c>
      <c r="Q816" s="166">
        <f>SUMIFS(Продажи!N$5:N$359,Продажи!$D$5:$D$359,Конструкторы!$B816,Продажи!$C$5:$C$359,Конструкторы!$A816)</f>
        <v>0</v>
      </c>
      <c r="R816" s="166">
        <f>SUMIFS(Продажи!O$5:O$359,Продажи!$D$5:$D$359,Конструкторы!$B816,Продажи!$C$5:$C$359,Конструкторы!$A816)</f>
        <v>0</v>
      </c>
      <c r="S816" s="166">
        <f>SUMIFS(Продажи!P$5:P$359,Продажи!$D$5:$D$359,Конструкторы!$B816,Продажи!$C$5:$C$359,Конструкторы!$A816)</f>
        <v>0</v>
      </c>
      <c r="T816" s="166">
        <f>SUMIFS(Продажи!Q$5:Q$359,Продажи!$D$5:$D$359,Конструкторы!$B816,Продажи!$C$5:$C$359,Конструкторы!$A816)</f>
        <v>0</v>
      </c>
    </row>
    <row r="817" spans="1:20" ht="15.75" hidden="1" x14ac:dyDescent="0.25">
      <c r="A817" s="166" t="s">
        <v>397</v>
      </c>
      <c r="B817" s="167" t="s">
        <v>257</v>
      </c>
      <c r="C817" s="33" t="s">
        <v>75</v>
      </c>
      <c r="D817" s="149"/>
      <c r="E817" s="153" t="s">
        <v>70</v>
      </c>
      <c r="F817" s="148">
        <v>16</v>
      </c>
      <c r="G817" s="156" t="s">
        <v>71</v>
      </c>
      <c r="H817" s="156">
        <f>F817</f>
        <v>16</v>
      </c>
      <c r="I817" s="166">
        <f>SUMIFS(Продажи!F$5:F$359,Продажи!$D$5:$D$359,Конструкторы!$B817,Продажи!$C$5:$C$359,Конструкторы!$A817)</f>
        <v>3</v>
      </c>
      <c r="J817" s="166">
        <f>SUMIFS(Продажи!G$5:G$359,Продажи!$D$5:$D$359,Конструкторы!$B817,Продажи!$C$5:$C$359,Конструкторы!$A817)</f>
        <v>0</v>
      </c>
      <c r="K817" s="166">
        <f>SUMIFS(Продажи!H$5:H$359,Продажи!$D$5:$D$359,Конструкторы!$B817,Продажи!$C$5:$C$359,Конструкторы!$A817)</f>
        <v>0</v>
      </c>
      <c r="L817" s="166">
        <f>SUMIFS(Продажи!I$5:I$359,Продажи!$D$5:$D$359,Конструкторы!$B817,Продажи!$C$5:$C$359,Конструкторы!$A817)</f>
        <v>0</v>
      </c>
      <c r="M817" s="166">
        <f>SUMIFS(Продажи!J$5:J$359,Продажи!$D$5:$D$359,Конструкторы!$B817,Продажи!$C$5:$C$359,Конструкторы!$A817)</f>
        <v>0</v>
      </c>
      <c r="N817" s="166">
        <f>SUMIFS(Продажи!K$5:K$359,Продажи!$D$5:$D$359,Конструкторы!$B817,Продажи!$C$5:$C$359,Конструкторы!$A817)</f>
        <v>0</v>
      </c>
      <c r="O817" s="166">
        <f>SUMIFS(Продажи!L$5:L$359,Продажи!$D$5:$D$359,Конструкторы!$B817,Продажи!$C$5:$C$359,Конструкторы!$A817)</f>
        <v>0</v>
      </c>
      <c r="P817" s="166">
        <f>SUMIFS(Продажи!M$5:M$359,Продажи!$D$5:$D$359,Конструкторы!$B817,Продажи!$C$5:$C$359,Конструкторы!$A817)</f>
        <v>0</v>
      </c>
      <c r="Q817" s="166">
        <f>SUMIFS(Продажи!N$5:N$359,Продажи!$D$5:$D$359,Конструкторы!$B817,Продажи!$C$5:$C$359,Конструкторы!$A817)</f>
        <v>0</v>
      </c>
      <c r="R817" s="166">
        <f>SUMIFS(Продажи!O$5:O$359,Продажи!$D$5:$D$359,Конструкторы!$B817,Продажи!$C$5:$C$359,Конструкторы!$A817)</f>
        <v>0</v>
      </c>
      <c r="S817" s="166">
        <f>SUMIFS(Продажи!P$5:P$359,Продажи!$D$5:$D$359,Конструкторы!$B817,Продажи!$C$5:$C$359,Конструкторы!$A817)</f>
        <v>0</v>
      </c>
      <c r="T817" s="166">
        <f>SUMIFS(Продажи!Q$5:Q$359,Продажи!$D$5:$D$359,Конструкторы!$B817,Продажи!$C$5:$C$359,Конструкторы!$A817)</f>
        <v>0</v>
      </c>
    </row>
    <row r="818" spans="1:20" ht="15.75" hidden="1" x14ac:dyDescent="0.25">
      <c r="A818" s="166" t="s">
        <v>397</v>
      </c>
      <c r="B818" s="167" t="s">
        <v>257</v>
      </c>
      <c r="C818" s="33" t="s">
        <v>69</v>
      </c>
      <c r="D818" s="149"/>
      <c r="E818" s="153" t="s">
        <v>70</v>
      </c>
      <c r="F818" s="148">
        <v>6</v>
      </c>
      <c r="G818" s="156" t="s">
        <v>71</v>
      </c>
      <c r="H818" s="156">
        <f>F818</f>
        <v>6</v>
      </c>
      <c r="I818" s="166">
        <f>SUMIFS(Продажи!F$5:F$359,Продажи!$D$5:$D$359,Конструкторы!$B818,Продажи!$C$5:$C$359,Конструкторы!$A818)</f>
        <v>3</v>
      </c>
      <c r="J818" s="166">
        <f>SUMIFS(Продажи!G$5:G$359,Продажи!$D$5:$D$359,Конструкторы!$B818,Продажи!$C$5:$C$359,Конструкторы!$A818)</f>
        <v>0</v>
      </c>
      <c r="K818" s="166">
        <f>SUMIFS(Продажи!H$5:H$359,Продажи!$D$5:$D$359,Конструкторы!$B818,Продажи!$C$5:$C$359,Конструкторы!$A818)</f>
        <v>0</v>
      </c>
      <c r="L818" s="166">
        <f>SUMIFS(Продажи!I$5:I$359,Продажи!$D$5:$D$359,Конструкторы!$B818,Продажи!$C$5:$C$359,Конструкторы!$A818)</f>
        <v>0</v>
      </c>
      <c r="M818" s="166">
        <f>SUMIFS(Продажи!J$5:J$359,Продажи!$D$5:$D$359,Конструкторы!$B818,Продажи!$C$5:$C$359,Конструкторы!$A818)</f>
        <v>0</v>
      </c>
      <c r="N818" s="166">
        <f>SUMIFS(Продажи!K$5:K$359,Продажи!$D$5:$D$359,Конструкторы!$B818,Продажи!$C$5:$C$359,Конструкторы!$A818)</f>
        <v>0</v>
      </c>
      <c r="O818" s="166">
        <f>SUMIFS(Продажи!L$5:L$359,Продажи!$D$5:$D$359,Конструкторы!$B818,Продажи!$C$5:$C$359,Конструкторы!$A818)</f>
        <v>0</v>
      </c>
      <c r="P818" s="166">
        <f>SUMIFS(Продажи!M$5:M$359,Продажи!$D$5:$D$359,Конструкторы!$B818,Продажи!$C$5:$C$359,Конструкторы!$A818)</f>
        <v>0</v>
      </c>
      <c r="Q818" s="166">
        <f>SUMIFS(Продажи!N$5:N$359,Продажи!$D$5:$D$359,Конструкторы!$B818,Продажи!$C$5:$C$359,Конструкторы!$A818)</f>
        <v>0</v>
      </c>
      <c r="R818" s="166">
        <f>SUMIFS(Продажи!O$5:O$359,Продажи!$D$5:$D$359,Конструкторы!$B818,Продажи!$C$5:$C$359,Конструкторы!$A818)</f>
        <v>0</v>
      </c>
      <c r="S818" s="166">
        <f>SUMIFS(Продажи!P$5:P$359,Продажи!$D$5:$D$359,Конструкторы!$B818,Продажи!$C$5:$C$359,Конструкторы!$A818)</f>
        <v>0</v>
      </c>
      <c r="T818" s="166">
        <f>SUMIFS(Продажи!Q$5:Q$359,Продажи!$D$5:$D$359,Конструкторы!$B818,Продажи!$C$5:$C$359,Конструкторы!$A818)</f>
        <v>0</v>
      </c>
    </row>
    <row r="819" spans="1:20" ht="15.75" hidden="1" x14ac:dyDescent="0.25">
      <c r="A819" s="166" t="s">
        <v>397</v>
      </c>
      <c r="B819" s="167" t="s">
        <v>258</v>
      </c>
      <c r="C819" s="129" t="s">
        <v>53</v>
      </c>
      <c r="D819" s="130">
        <v>7038</v>
      </c>
      <c r="E819" s="153" t="s">
        <v>68</v>
      </c>
      <c r="F819" s="156">
        <f>(1.542*103)/100</f>
        <v>1.58826</v>
      </c>
      <c r="G819" s="156">
        <v>4.6259999999999968E-2</v>
      </c>
      <c r="H819" s="156">
        <f>F819+G819</f>
        <v>1.63452</v>
      </c>
      <c r="I819" s="166">
        <f>SUMIFS(Продажи!F$5:F$359,Продажи!$D$5:$D$359,Конструкторы!$B819,Продажи!$C$5:$C$359,Конструкторы!$A819)</f>
        <v>0</v>
      </c>
      <c r="J819" s="166">
        <f>SUMIFS(Продажи!G$5:G$359,Продажи!$D$5:$D$359,Конструкторы!$B819,Продажи!$C$5:$C$359,Конструкторы!$A819)</f>
        <v>0</v>
      </c>
      <c r="K819" s="166">
        <f>SUMIFS(Продажи!H$5:H$359,Продажи!$D$5:$D$359,Конструкторы!$B819,Продажи!$C$5:$C$359,Конструкторы!$A819)</f>
        <v>0</v>
      </c>
      <c r="L819" s="166">
        <f>SUMIFS(Продажи!I$5:I$359,Продажи!$D$5:$D$359,Конструкторы!$B819,Продажи!$C$5:$C$359,Конструкторы!$A819)</f>
        <v>0</v>
      </c>
      <c r="M819" s="166">
        <f>SUMIFS(Продажи!J$5:J$359,Продажи!$D$5:$D$359,Конструкторы!$B819,Продажи!$C$5:$C$359,Конструкторы!$A819)</f>
        <v>0</v>
      </c>
      <c r="N819" s="166">
        <f>SUMIFS(Продажи!K$5:K$359,Продажи!$D$5:$D$359,Конструкторы!$B819,Продажи!$C$5:$C$359,Конструкторы!$A819)</f>
        <v>0</v>
      </c>
      <c r="O819" s="166">
        <f>SUMIFS(Продажи!L$5:L$359,Продажи!$D$5:$D$359,Конструкторы!$B819,Продажи!$C$5:$C$359,Конструкторы!$A819)</f>
        <v>0</v>
      </c>
      <c r="P819" s="166">
        <f>SUMIFS(Продажи!M$5:M$359,Продажи!$D$5:$D$359,Конструкторы!$B819,Продажи!$C$5:$C$359,Конструкторы!$A819)</f>
        <v>0</v>
      </c>
      <c r="Q819" s="166">
        <f>SUMIFS(Продажи!N$5:N$359,Продажи!$D$5:$D$359,Конструкторы!$B819,Продажи!$C$5:$C$359,Конструкторы!$A819)</f>
        <v>0</v>
      </c>
      <c r="R819" s="166">
        <f>SUMIFS(Продажи!O$5:O$359,Продажи!$D$5:$D$359,Конструкторы!$B819,Продажи!$C$5:$C$359,Конструкторы!$A819)</f>
        <v>0</v>
      </c>
      <c r="S819" s="166">
        <f>SUMIFS(Продажи!P$5:P$359,Продажи!$D$5:$D$359,Конструкторы!$B819,Продажи!$C$5:$C$359,Конструкторы!$A819)</f>
        <v>0</v>
      </c>
      <c r="T819" s="166">
        <f>SUMIFS(Продажи!Q$5:Q$359,Продажи!$D$5:$D$359,Конструкторы!$B819,Продажи!$C$5:$C$359,Конструкторы!$A819)</f>
        <v>0</v>
      </c>
    </row>
    <row r="820" spans="1:20" ht="15.75" hidden="1" x14ac:dyDescent="0.25">
      <c r="A820" s="166" t="s">
        <v>397</v>
      </c>
      <c r="B820" s="167" t="s">
        <v>258</v>
      </c>
      <c r="C820" s="129" t="s">
        <v>52</v>
      </c>
      <c r="D820" s="149"/>
      <c r="E820" s="153" t="s">
        <v>68</v>
      </c>
      <c r="F820" s="156">
        <f>(0.9*103)/100</f>
        <v>0.92700000000000005</v>
      </c>
      <c r="G820" s="156">
        <v>2.7000000000000024E-2</v>
      </c>
      <c r="H820" s="156">
        <f>F820+G820</f>
        <v>0.95400000000000007</v>
      </c>
      <c r="I820" s="166">
        <f>SUMIFS(Продажи!F$5:F$359,Продажи!$D$5:$D$359,Конструкторы!$B820,Продажи!$C$5:$C$359,Конструкторы!$A820)</f>
        <v>0</v>
      </c>
      <c r="J820" s="166">
        <f>SUMIFS(Продажи!G$5:G$359,Продажи!$D$5:$D$359,Конструкторы!$B820,Продажи!$C$5:$C$359,Конструкторы!$A820)</f>
        <v>0</v>
      </c>
      <c r="K820" s="166">
        <f>SUMIFS(Продажи!H$5:H$359,Продажи!$D$5:$D$359,Конструкторы!$B820,Продажи!$C$5:$C$359,Конструкторы!$A820)</f>
        <v>0</v>
      </c>
      <c r="L820" s="166">
        <f>SUMIFS(Продажи!I$5:I$359,Продажи!$D$5:$D$359,Конструкторы!$B820,Продажи!$C$5:$C$359,Конструкторы!$A820)</f>
        <v>0</v>
      </c>
      <c r="M820" s="166">
        <f>SUMIFS(Продажи!J$5:J$359,Продажи!$D$5:$D$359,Конструкторы!$B820,Продажи!$C$5:$C$359,Конструкторы!$A820)</f>
        <v>0</v>
      </c>
      <c r="N820" s="166">
        <f>SUMIFS(Продажи!K$5:K$359,Продажи!$D$5:$D$359,Конструкторы!$B820,Продажи!$C$5:$C$359,Конструкторы!$A820)</f>
        <v>0</v>
      </c>
      <c r="O820" s="166">
        <f>SUMIFS(Продажи!L$5:L$359,Продажи!$D$5:$D$359,Конструкторы!$B820,Продажи!$C$5:$C$359,Конструкторы!$A820)</f>
        <v>0</v>
      </c>
      <c r="P820" s="166">
        <f>SUMIFS(Продажи!M$5:M$359,Продажи!$D$5:$D$359,Конструкторы!$B820,Продажи!$C$5:$C$359,Конструкторы!$A820)</f>
        <v>0</v>
      </c>
      <c r="Q820" s="166">
        <f>SUMIFS(Продажи!N$5:N$359,Продажи!$D$5:$D$359,Конструкторы!$B820,Продажи!$C$5:$C$359,Конструкторы!$A820)</f>
        <v>0</v>
      </c>
      <c r="R820" s="166">
        <f>SUMIFS(Продажи!O$5:O$359,Продажи!$D$5:$D$359,Конструкторы!$B820,Продажи!$C$5:$C$359,Конструкторы!$A820)</f>
        <v>0</v>
      </c>
      <c r="S820" s="166">
        <f>SUMIFS(Продажи!P$5:P$359,Продажи!$D$5:$D$359,Конструкторы!$B820,Продажи!$C$5:$C$359,Конструкторы!$A820)</f>
        <v>0</v>
      </c>
      <c r="T820" s="166">
        <f>SUMIFS(Продажи!Q$5:Q$359,Продажи!$D$5:$D$359,Конструкторы!$B820,Продажи!$C$5:$C$359,Конструкторы!$A820)</f>
        <v>0</v>
      </c>
    </row>
    <row r="821" spans="1:20" ht="15.75" hidden="1" x14ac:dyDescent="0.25">
      <c r="A821" s="166" t="s">
        <v>397</v>
      </c>
      <c r="B821" s="167" t="s">
        <v>258</v>
      </c>
      <c r="C821" s="33" t="s">
        <v>73</v>
      </c>
      <c r="D821" s="149"/>
      <c r="E821" s="153" t="s">
        <v>70</v>
      </c>
      <c r="F821" s="148">
        <v>4</v>
      </c>
      <c r="G821" s="156" t="s">
        <v>71</v>
      </c>
      <c r="H821" s="156">
        <f>F821</f>
        <v>4</v>
      </c>
      <c r="I821" s="166">
        <f>SUMIFS(Продажи!F$5:F$359,Продажи!$D$5:$D$359,Конструкторы!$B821,Продажи!$C$5:$C$359,Конструкторы!$A821)</f>
        <v>0</v>
      </c>
      <c r="J821" s="166">
        <f>SUMIFS(Продажи!G$5:G$359,Продажи!$D$5:$D$359,Конструкторы!$B821,Продажи!$C$5:$C$359,Конструкторы!$A821)</f>
        <v>0</v>
      </c>
      <c r="K821" s="166">
        <f>SUMIFS(Продажи!H$5:H$359,Продажи!$D$5:$D$359,Конструкторы!$B821,Продажи!$C$5:$C$359,Конструкторы!$A821)</f>
        <v>0</v>
      </c>
      <c r="L821" s="166">
        <f>SUMIFS(Продажи!I$5:I$359,Продажи!$D$5:$D$359,Конструкторы!$B821,Продажи!$C$5:$C$359,Конструкторы!$A821)</f>
        <v>0</v>
      </c>
      <c r="M821" s="166">
        <f>SUMIFS(Продажи!J$5:J$359,Продажи!$D$5:$D$359,Конструкторы!$B821,Продажи!$C$5:$C$359,Конструкторы!$A821)</f>
        <v>0</v>
      </c>
      <c r="N821" s="166">
        <f>SUMIFS(Продажи!K$5:K$359,Продажи!$D$5:$D$359,Конструкторы!$B821,Продажи!$C$5:$C$359,Конструкторы!$A821)</f>
        <v>0</v>
      </c>
      <c r="O821" s="166">
        <f>SUMIFS(Продажи!L$5:L$359,Продажи!$D$5:$D$359,Конструкторы!$B821,Продажи!$C$5:$C$359,Конструкторы!$A821)</f>
        <v>0</v>
      </c>
      <c r="P821" s="166">
        <f>SUMIFS(Продажи!M$5:M$359,Продажи!$D$5:$D$359,Конструкторы!$B821,Продажи!$C$5:$C$359,Конструкторы!$A821)</f>
        <v>0</v>
      </c>
      <c r="Q821" s="166">
        <f>SUMIFS(Продажи!N$5:N$359,Продажи!$D$5:$D$359,Конструкторы!$B821,Продажи!$C$5:$C$359,Конструкторы!$A821)</f>
        <v>0</v>
      </c>
      <c r="R821" s="166">
        <f>SUMIFS(Продажи!O$5:O$359,Продажи!$D$5:$D$359,Конструкторы!$B821,Продажи!$C$5:$C$359,Конструкторы!$A821)</f>
        <v>0</v>
      </c>
      <c r="S821" s="166">
        <f>SUMIFS(Продажи!P$5:P$359,Продажи!$D$5:$D$359,Конструкторы!$B821,Продажи!$C$5:$C$359,Конструкторы!$A821)</f>
        <v>0</v>
      </c>
      <c r="T821" s="166">
        <f>SUMIFS(Продажи!Q$5:Q$359,Продажи!$D$5:$D$359,Конструкторы!$B821,Продажи!$C$5:$C$359,Конструкторы!$A821)</f>
        <v>0</v>
      </c>
    </row>
    <row r="822" spans="1:20" ht="15.75" hidden="1" x14ac:dyDescent="0.25">
      <c r="A822" s="166" t="s">
        <v>397</v>
      </c>
      <c r="B822" s="167" t="s">
        <v>258</v>
      </c>
      <c r="C822" s="33" t="s">
        <v>75</v>
      </c>
      <c r="D822" s="149"/>
      <c r="E822" s="153" t="s">
        <v>70</v>
      </c>
      <c r="F822" s="148">
        <v>16</v>
      </c>
      <c r="G822" s="156" t="s">
        <v>71</v>
      </c>
      <c r="H822" s="156">
        <f>F822</f>
        <v>16</v>
      </c>
      <c r="I822" s="166">
        <f>SUMIFS(Продажи!F$5:F$359,Продажи!$D$5:$D$359,Конструкторы!$B822,Продажи!$C$5:$C$359,Конструкторы!$A822)</f>
        <v>0</v>
      </c>
      <c r="J822" s="166">
        <f>SUMIFS(Продажи!G$5:G$359,Продажи!$D$5:$D$359,Конструкторы!$B822,Продажи!$C$5:$C$359,Конструкторы!$A822)</f>
        <v>0</v>
      </c>
      <c r="K822" s="166">
        <f>SUMIFS(Продажи!H$5:H$359,Продажи!$D$5:$D$359,Конструкторы!$B822,Продажи!$C$5:$C$359,Конструкторы!$A822)</f>
        <v>0</v>
      </c>
      <c r="L822" s="166">
        <f>SUMIFS(Продажи!I$5:I$359,Продажи!$D$5:$D$359,Конструкторы!$B822,Продажи!$C$5:$C$359,Конструкторы!$A822)</f>
        <v>0</v>
      </c>
      <c r="M822" s="166">
        <f>SUMIFS(Продажи!J$5:J$359,Продажи!$D$5:$D$359,Конструкторы!$B822,Продажи!$C$5:$C$359,Конструкторы!$A822)</f>
        <v>0</v>
      </c>
      <c r="N822" s="166">
        <f>SUMIFS(Продажи!K$5:K$359,Продажи!$D$5:$D$359,Конструкторы!$B822,Продажи!$C$5:$C$359,Конструкторы!$A822)</f>
        <v>0</v>
      </c>
      <c r="O822" s="166">
        <f>SUMIFS(Продажи!L$5:L$359,Продажи!$D$5:$D$359,Конструкторы!$B822,Продажи!$C$5:$C$359,Конструкторы!$A822)</f>
        <v>0</v>
      </c>
      <c r="P822" s="166">
        <f>SUMIFS(Продажи!M$5:M$359,Продажи!$D$5:$D$359,Конструкторы!$B822,Продажи!$C$5:$C$359,Конструкторы!$A822)</f>
        <v>0</v>
      </c>
      <c r="Q822" s="166">
        <f>SUMIFS(Продажи!N$5:N$359,Продажи!$D$5:$D$359,Конструкторы!$B822,Продажи!$C$5:$C$359,Конструкторы!$A822)</f>
        <v>0</v>
      </c>
      <c r="R822" s="166">
        <f>SUMIFS(Продажи!O$5:O$359,Продажи!$D$5:$D$359,Конструкторы!$B822,Продажи!$C$5:$C$359,Конструкторы!$A822)</f>
        <v>0</v>
      </c>
      <c r="S822" s="166">
        <f>SUMIFS(Продажи!P$5:P$359,Продажи!$D$5:$D$359,Конструкторы!$B822,Продажи!$C$5:$C$359,Конструкторы!$A822)</f>
        <v>0</v>
      </c>
      <c r="T822" s="166">
        <f>SUMIFS(Продажи!Q$5:Q$359,Продажи!$D$5:$D$359,Конструкторы!$B822,Продажи!$C$5:$C$359,Конструкторы!$A822)</f>
        <v>0</v>
      </c>
    </row>
    <row r="823" spans="1:20" ht="15.75" hidden="1" x14ac:dyDescent="0.25">
      <c r="A823" s="166" t="s">
        <v>397</v>
      </c>
      <c r="B823" s="167" t="s">
        <v>258</v>
      </c>
      <c r="C823" s="33" t="s">
        <v>69</v>
      </c>
      <c r="D823" s="149"/>
      <c r="E823" s="153" t="s">
        <v>70</v>
      </c>
      <c r="F823" s="148">
        <v>6</v>
      </c>
      <c r="G823" s="156" t="s">
        <v>71</v>
      </c>
      <c r="H823" s="156">
        <f>F823</f>
        <v>6</v>
      </c>
      <c r="I823" s="166">
        <f>SUMIFS(Продажи!F$5:F$359,Продажи!$D$5:$D$359,Конструкторы!$B823,Продажи!$C$5:$C$359,Конструкторы!$A823)</f>
        <v>0</v>
      </c>
      <c r="J823" s="166">
        <f>SUMIFS(Продажи!G$5:G$359,Продажи!$D$5:$D$359,Конструкторы!$B823,Продажи!$C$5:$C$359,Конструкторы!$A823)</f>
        <v>0</v>
      </c>
      <c r="K823" s="166">
        <f>SUMIFS(Продажи!H$5:H$359,Продажи!$D$5:$D$359,Конструкторы!$B823,Продажи!$C$5:$C$359,Конструкторы!$A823)</f>
        <v>0</v>
      </c>
      <c r="L823" s="166">
        <f>SUMIFS(Продажи!I$5:I$359,Продажи!$D$5:$D$359,Конструкторы!$B823,Продажи!$C$5:$C$359,Конструкторы!$A823)</f>
        <v>0</v>
      </c>
      <c r="M823" s="166">
        <f>SUMIFS(Продажи!J$5:J$359,Продажи!$D$5:$D$359,Конструкторы!$B823,Продажи!$C$5:$C$359,Конструкторы!$A823)</f>
        <v>0</v>
      </c>
      <c r="N823" s="166">
        <f>SUMIFS(Продажи!K$5:K$359,Продажи!$D$5:$D$359,Конструкторы!$B823,Продажи!$C$5:$C$359,Конструкторы!$A823)</f>
        <v>0</v>
      </c>
      <c r="O823" s="166">
        <f>SUMIFS(Продажи!L$5:L$359,Продажи!$D$5:$D$359,Конструкторы!$B823,Продажи!$C$5:$C$359,Конструкторы!$A823)</f>
        <v>0</v>
      </c>
      <c r="P823" s="166">
        <f>SUMIFS(Продажи!M$5:M$359,Продажи!$D$5:$D$359,Конструкторы!$B823,Продажи!$C$5:$C$359,Конструкторы!$A823)</f>
        <v>0</v>
      </c>
      <c r="Q823" s="166">
        <f>SUMIFS(Продажи!N$5:N$359,Продажи!$D$5:$D$359,Конструкторы!$B823,Продажи!$C$5:$C$359,Конструкторы!$A823)</f>
        <v>0</v>
      </c>
      <c r="R823" s="166">
        <f>SUMIFS(Продажи!O$5:O$359,Продажи!$D$5:$D$359,Конструкторы!$B823,Продажи!$C$5:$C$359,Конструкторы!$A823)</f>
        <v>0</v>
      </c>
      <c r="S823" s="166">
        <f>SUMIFS(Продажи!P$5:P$359,Продажи!$D$5:$D$359,Конструкторы!$B823,Продажи!$C$5:$C$359,Конструкторы!$A823)</f>
        <v>0</v>
      </c>
      <c r="T823" s="166">
        <f>SUMIFS(Продажи!Q$5:Q$359,Продажи!$D$5:$D$359,Конструкторы!$B823,Продажи!$C$5:$C$359,Конструкторы!$A823)</f>
        <v>0</v>
      </c>
    </row>
    <row r="824" spans="1:20" ht="15.75" hidden="1" x14ac:dyDescent="0.25">
      <c r="A824" s="166" t="s">
        <v>397</v>
      </c>
      <c r="B824" s="167" t="s">
        <v>259</v>
      </c>
      <c r="C824" s="129" t="s">
        <v>53</v>
      </c>
      <c r="D824" s="130">
        <v>7038</v>
      </c>
      <c r="E824" s="153" t="s">
        <v>68</v>
      </c>
      <c r="F824" s="156">
        <f>(1.577*103)/100</f>
        <v>1.6243099999999999</v>
      </c>
      <c r="G824" s="156">
        <v>4.7309999999999963E-2</v>
      </c>
      <c r="H824" s="156">
        <f>F824+G824</f>
        <v>1.6716199999999999</v>
      </c>
      <c r="I824" s="166">
        <f>SUMIFS(Продажи!F$5:F$359,Продажи!$D$5:$D$359,Конструкторы!$B824,Продажи!$C$5:$C$359,Конструкторы!$A824)</f>
        <v>1</v>
      </c>
      <c r="J824" s="166">
        <f>SUMIFS(Продажи!G$5:G$359,Продажи!$D$5:$D$359,Конструкторы!$B824,Продажи!$C$5:$C$359,Конструкторы!$A824)</f>
        <v>0</v>
      </c>
      <c r="K824" s="166">
        <f>SUMIFS(Продажи!H$5:H$359,Продажи!$D$5:$D$359,Конструкторы!$B824,Продажи!$C$5:$C$359,Конструкторы!$A824)</f>
        <v>0</v>
      </c>
      <c r="L824" s="166">
        <f>SUMIFS(Продажи!I$5:I$359,Продажи!$D$5:$D$359,Конструкторы!$B824,Продажи!$C$5:$C$359,Конструкторы!$A824)</f>
        <v>0</v>
      </c>
      <c r="M824" s="166">
        <f>SUMIFS(Продажи!J$5:J$359,Продажи!$D$5:$D$359,Конструкторы!$B824,Продажи!$C$5:$C$359,Конструкторы!$A824)</f>
        <v>0</v>
      </c>
      <c r="N824" s="166">
        <f>SUMIFS(Продажи!K$5:K$359,Продажи!$D$5:$D$359,Конструкторы!$B824,Продажи!$C$5:$C$359,Конструкторы!$A824)</f>
        <v>0</v>
      </c>
      <c r="O824" s="166">
        <f>SUMIFS(Продажи!L$5:L$359,Продажи!$D$5:$D$359,Конструкторы!$B824,Продажи!$C$5:$C$359,Конструкторы!$A824)</f>
        <v>0</v>
      </c>
      <c r="P824" s="166">
        <f>SUMIFS(Продажи!M$5:M$359,Продажи!$D$5:$D$359,Конструкторы!$B824,Продажи!$C$5:$C$359,Конструкторы!$A824)</f>
        <v>0</v>
      </c>
      <c r="Q824" s="166">
        <f>SUMIFS(Продажи!N$5:N$359,Продажи!$D$5:$D$359,Конструкторы!$B824,Продажи!$C$5:$C$359,Конструкторы!$A824)</f>
        <v>0</v>
      </c>
      <c r="R824" s="166">
        <f>SUMIFS(Продажи!O$5:O$359,Продажи!$D$5:$D$359,Конструкторы!$B824,Продажи!$C$5:$C$359,Конструкторы!$A824)</f>
        <v>0</v>
      </c>
      <c r="S824" s="166">
        <f>SUMIFS(Продажи!P$5:P$359,Продажи!$D$5:$D$359,Конструкторы!$B824,Продажи!$C$5:$C$359,Конструкторы!$A824)</f>
        <v>0</v>
      </c>
      <c r="T824" s="166">
        <f>SUMIFS(Продажи!Q$5:Q$359,Продажи!$D$5:$D$359,Конструкторы!$B824,Продажи!$C$5:$C$359,Конструкторы!$A824)</f>
        <v>0</v>
      </c>
    </row>
    <row r="825" spans="1:20" ht="15.75" hidden="1" x14ac:dyDescent="0.25">
      <c r="A825" s="166" t="s">
        <v>397</v>
      </c>
      <c r="B825" s="167" t="s">
        <v>259</v>
      </c>
      <c r="C825" s="129" t="s">
        <v>52</v>
      </c>
      <c r="D825" s="149"/>
      <c r="E825" s="153" t="s">
        <v>68</v>
      </c>
      <c r="F825" s="156">
        <f>(1.2*103)/100</f>
        <v>1.236</v>
      </c>
      <c r="G825" s="156">
        <v>3.6000000000000032E-2</v>
      </c>
      <c r="H825" s="156">
        <f>F825+G825</f>
        <v>1.272</v>
      </c>
      <c r="I825" s="166">
        <f>SUMIFS(Продажи!F$5:F$359,Продажи!$D$5:$D$359,Конструкторы!$B825,Продажи!$C$5:$C$359,Конструкторы!$A825)</f>
        <v>1</v>
      </c>
      <c r="J825" s="166">
        <f>SUMIFS(Продажи!G$5:G$359,Продажи!$D$5:$D$359,Конструкторы!$B825,Продажи!$C$5:$C$359,Конструкторы!$A825)</f>
        <v>0</v>
      </c>
      <c r="K825" s="166">
        <f>SUMIFS(Продажи!H$5:H$359,Продажи!$D$5:$D$359,Конструкторы!$B825,Продажи!$C$5:$C$359,Конструкторы!$A825)</f>
        <v>0</v>
      </c>
      <c r="L825" s="166">
        <f>SUMIFS(Продажи!I$5:I$359,Продажи!$D$5:$D$359,Конструкторы!$B825,Продажи!$C$5:$C$359,Конструкторы!$A825)</f>
        <v>0</v>
      </c>
      <c r="M825" s="166">
        <f>SUMIFS(Продажи!J$5:J$359,Продажи!$D$5:$D$359,Конструкторы!$B825,Продажи!$C$5:$C$359,Конструкторы!$A825)</f>
        <v>0</v>
      </c>
      <c r="N825" s="166">
        <f>SUMIFS(Продажи!K$5:K$359,Продажи!$D$5:$D$359,Конструкторы!$B825,Продажи!$C$5:$C$359,Конструкторы!$A825)</f>
        <v>0</v>
      </c>
      <c r="O825" s="166">
        <f>SUMIFS(Продажи!L$5:L$359,Продажи!$D$5:$D$359,Конструкторы!$B825,Продажи!$C$5:$C$359,Конструкторы!$A825)</f>
        <v>0</v>
      </c>
      <c r="P825" s="166">
        <f>SUMIFS(Продажи!M$5:M$359,Продажи!$D$5:$D$359,Конструкторы!$B825,Продажи!$C$5:$C$359,Конструкторы!$A825)</f>
        <v>0</v>
      </c>
      <c r="Q825" s="166">
        <f>SUMIFS(Продажи!N$5:N$359,Продажи!$D$5:$D$359,Конструкторы!$B825,Продажи!$C$5:$C$359,Конструкторы!$A825)</f>
        <v>0</v>
      </c>
      <c r="R825" s="166">
        <f>SUMIFS(Продажи!O$5:O$359,Продажи!$D$5:$D$359,Конструкторы!$B825,Продажи!$C$5:$C$359,Конструкторы!$A825)</f>
        <v>0</v>
      </c>
      <c r="S825" s="166">
        <f>SUMIFS(Продажи!P$5:P$359,Продажи!$D$5:$D$359,Конструкторы!$B825,Продажи!$C$5:$C$359,Конструкторы!$A825)</f>
        <v>0</v>
      </c>
      <c r="T825" s="166">
        <f>SUMIFS(Продажи!Q$5:Q$359,Продажи!$D$5:$D$359,Конструкторы!$B825,Продажи!$C$5:$C$359,Конструкторы!$A825)</f>
        <v>0</v>
      </c>
    </row>
    <row r="826" spans="1:20" ht="15.75" hidden="1" x14ac:dyDescent="0.25">
      <c r="A826" s="166" t="s">
        <v>397</v>
      </c>
      <c r="B826" s="167" t="s">
        <v>259</v>
      </c>
      <c r="C826" s="33" t="s">
        <v>73</v>
      </c>
      <c r="D826" s="149"/>
      <c r="E826" s="153" t="s">
        <v>70</v>
      </c>
      <c r="F826" s="148">
        <v>4</v>
      </c>
      <c r="G826" s="156" t="s">
        <v>71</v>
      </c>
      <c r="H826" s="156">
        <f>F826</f>
        <v>4</v>
      </c>
      <c r="I826" s="166">
        <f>SUMIFS(Продажи!F$5:F$359,Продажи!$D$5:$D$359,Конструкторы!$B826,Продажи!$C$5:$C$359,Конструкторы!$A826)</f>
        <v>1</v>
      </c>
      <c r="J826" s="166">
        <f>SUMIFS(Продажи!G$5:G$359,Продажи!$D$5:$D$359,Конструкторы!$B826,Продажи!$C$5:$C$359,Конструкторы!$A826)</f>
        <v>0</v>
      </c>
      <c r="K826" s="166">
        <f>SUMIFS(Продажи!H$5:H$359,Продажи!$D$5:$D$359,Конструкторы!$B826,Продажи!$C$5:$C$359,Конструкторы!$A826)</f>
        <v>0</v>
      </c>
      <c r="L826" s="166">
        <f>SUMIFS(Продажи!I$5:I$359,Продажи!$D$5:$D$359,Конструкторы!$B826,Продажи!$C$5:$C$359,Конструкторы!$A826)</f>
        <v>0</v>
      </c>
      <c r="M826" s="166">
        <f>SUMIFS(Продажи!J$5:J$359,Продажи!$D$5:$D$359,Конструкторы!$B826,Продажи!$C$5:$C$359,Конструкторы!$A826)</f>
        <v>0</v>
      </c>
      <c r="N826" s="166">
        <f>SUMIFS(Продажи!K$5:K$359,Продажи!$D$5:$D$359,Конструкторы!$B826,Продажи!$C$5:$C$359,Конструкторы!$A826)</f>
        <v>0</v>
      </c>
      <c r="O826" s="166">
        <f>SUMIFS(Продажи!L$5:L$359,Продажи!$D$5:$D$359,Конструкторы!$B826,Продажи!$C$5:$C$359,Конструкторы!$A826)</f>
        <v>0</v>
      </c>
      <c r="P826" s="166">
        <f>SUMIFS(Продажи!M$5:M$359,Продажи!$D$5:$D$359,Конструкторы!$B826,Продажи!$C$5:$C$359,Конструкторы!$A826)</f>
        <v>0</v>
      </c>
      <c r="Q826" s="166">
        <f>SUMIFS(Продажи!N$5:N$359,Продажи!$D$5:$D$359,Конструкторы!$B826,Продажи!$C$5:$C$359,Конструкторы!$A826)</f>
        <v>0</v>
      </c>
      <c r="R826" s="166">
        <f>SUMIFS(Продажи!O$5:O$359,Продажи!$D$5:$D$359,Конструкторы!$B826,Продажи!$C$5:$C$359,Конструкторы!$A826)</f>
        <v>0</v>
      </c>
      <c r="S826" s="166">
        <f>SUMIFS(Продажи!P$5:P$359,Продажи!$D$5:$D$359,Конструкторы!$B826,Продажи!$C$5:$C$359,Конструкторы!$A826)</f>
        <v>0</v>
      </c>
      <c r="T826" s="166">
        <f>SUMIFS(Продажи!Q$5:Q$359,Продажи!$D$5:$D$359,Конструкторы!$B826,Продажи!$C$5:$C$359,Конструкторы!$A826)</f>
        <v>0</v>
      </c>
    </row>
    <row r="827" spans="1:20" ht="15.75" hidden="1" x14ac:dyDescent="0.25">
      <c r="A827" s="166" t="s">
        <v>397</v>
      </c>
      <c r="B827" s="167" t="s">
        <v>259</v>
      </c>
      <c r="C827" s="33" t="s">
        <v>75</v>
      </c>
      <c r="D827" s="149"/>
      <c r="E827" s="153" t="s">
        <v>70</v>
      </c>
      <c r="F827" s="148">
        <v>16</v>
      </c>
      <c r="G827" s="156" t="s">
        <v>71</v>
      </c>
      <c r="H827" s="156">
        <f>F827</f>
        <v>16</v>
      </c>
      <c r="I827" s="166">
        <f>SUMIFS(Продажи!F$5:F$359,Продажи!$D$5:$D$359,Конструкторы!$B827,Продажи!$C$5:$C$359,Конструкторы!$A827)</f>
        <v>1</v>
      </c>
      <c r="J827" s="166">
        <f>SUMIFS(Продажи!G$5:G$359,Продажи!$D$5:$D$359,Конструкторы!$B827,Продажи!$C$5:$C$359,Конструкторы!$A827)</f>
        <v>0</v>
      </c>
      <c r="K827" s="166">
        <f>SUMIFS(Продажи!H$5:H$359,Продажи!$D$5:$D$359,Конструкторы!$B827,Продажи!$C$5:$C$359,Конструкторы!$A827)</f>
        <v>0</v>
      </c>
      <c r="L827" s="166">
        <f>SUMIFS(Продажи!I$5:I$359,Продажи!$D$5:$D$359,Конструкторы!$B827,Продажи!$C$5:$C$359,Конструкторы!$A827)</f>
        <v>0</v>
      </c>
      <c r="M827" s="166">
        <f>SUMIFS(Продажи!J$5:J$359,Продажи!$D$5:$D$359,Конструкторы!$B827,Продажи!$C$5:$C$359,Конструкторы!$A827)</f>
        <v>0</v>
      </c>
      <c r="N827" s="166">
        <f>SUMIFS(Продажи!K$5:K$359,Продажи!$D$5:$D$359,Конструкторы!$B827,Продажи!$C$5:$C$359,Конструкторы!$A827)</f>
        <v>0</v>
      </c>
      <c r="O827" s="166">
        <f>SUMIFS(Продажи!L$5:L$359,Продажи!$D$5:$D$359,Конструкторы!$B827,Продажи!$C$5:$C$359,Конструкторы!$A827)</f>
        <v>0</v>
      </c>
      <c r="P827" s="166">
        <f>SUMIFS(Продажи!M$5:M$359,Продажи!$D$5:$D$359,Конструкторы!$B827,Продажи!$C$5:$C$359,Конструкторы!$A827)</f>
        <v>0</v>
      </c>
      <c r="Q827" s="166">
        <f>SUMIFS(Продажи!N$5:N$359,Продажи!$D$5:$D$359,Конструкторы!$B827,Продажи!$C$5:$C$359,Конструкторы!$A827)</f>
        <v>0</v>
      </c>
      <c r="R827" s="166">
        <f>SUMIFS(Продажи!O$5:O$359,Продажи!$D$5:$D$359,Конструкторы!$B827,Продажи!$C$5:$C$359,Конструкторы!$A827)</f>
        <v>0</v>
      </c>
      <c r="S827" s="166">
        <f>SUMIFS(Продажи!P$5:P$359,Продажи!$D$5:$D$359,Конструкторы!$B827,Продажи!$C$5:$C$359,Конструкторы!$A827)</f>
        <v>0</v>
      </c>
      <c r="T827" s="166">
        <f>SUMIFS(Продажи!Q$5:Q$359,Продажи!$D$5:$D$359,Конструкторы!$B827,Продажи!$C$5:$C$359,Конструкторы!$A827)</f>
        <v>0</v>
      </c>
    </row>
    <row r="828" spans="1:20" ht="15.75" hidden="1" x14ac:dyDescent="0.25">
      <c r="A828" s="166" t="s">
        <v>397</v>
      </c>
      <c r="B828" s="167" t="s">
        <v>259</v>
      </c>
      <c r="C828" s="33" t="s">
        <v>69</v>
      </c>
      <c r="D828" s="149"/>
      <c r="E828" s="153" t="s">
        <v>70</v>
      </c>
      <c r="F828" s="148">
        <v>6</v>
      </c>
      <c r="G828" s="156" t="s">
        <v>71</v>
      </c>
      <c r="H828" s="156">
        <f>F828</f>
        <v>6</v>
      </c>
      <c r="I828" s="166">
        <f>SUMIFS(Продажи!F$5:F$359,Продажи!$D$5:$D$359,Конструкторы!$B828,Продажи!$C$5:$C$359,Конструкторы!$A828)</f>
        <v>1</v>
      </c>
      <c r="J828" s="166">
        <f>SUMIFS(Продажи!G$5:G$359,Продажи!$D$5:$D$359,Конструкторы!$B828,Продажи!$C$5:$C$359,Конструкторы!$A828)</f>
        <v>0</v>
      </c>
      <c r="K828" s="166">
        <f>SUMIFS(Продажи!H$5:H$359,Продажи!$D$5:$D$359,Конструкторы!$B828,Продажи!$C$5:$C$359,Конструкторы!$A828)</f>
        <v>0</v>
      </c>
      <c r="L828" s="166">
        <f>SUMIFS(Продажи!I$5:I$359,Продажи!$D$5:$D$359,Конструкторы!$B828,Продажи!$C$5:$C$359,Конструкторы!$A828)</f>
        <v>0</v>
      </c>
      <c r="M828" s="166">
        <f>SUMIFS(Продажи!J$5:J$359,Продажи!$D$5:$D$359,Конструкторы!$B828,Продажи!$C$5:$C$359,Конструкторы!$A828)</f>
        <v>0</v>
      </c>
      <c r="N828" s="166">
        <f>SUMIFS(Продажи!K$5:K$359,Продажи!$D$5:$D$359,Конструкторы!$B828,Продажи!$C$5:$C$359,Конструкторы!$A828)</f>
        <v>0</v>
      </c>
      <c r="O828" s="166">
        <f>SUMIFS(Продажи!L$5:L$359,Продажи!$D$5:$D$359,Конструкторы!$B828,Продажи!$C$5:$C$359,Конструкторы!$A828)</f>
        <v>0</v>
      </c>
      <c r="P828" s="166">
        <f>SUMIFS(Продажи!M$5:M$359,Продажи!$D$5:$D$359,Конструкторы!$B828,Продажи!$C$5:$C$359,Конструкторы!$A828)</f>
        <v>0</v>
      </c>
      <c r="Q828" s="166">
        <f>SUMIFS(Продажи!N$5:N$359,Продажи!$D$5:$D$359,Конструкторы!$B828,Продажи!$C$5:$C$359,Конструкторы!$A828)</f>
        <v>0</v>
      </c>
      <c r="R828" s="166">
        <f>SUMIFS(Продажи!O$5:O$359,Продажи!$D$5:$D$359,Конструкторы!$B828,Продажи!$C$5:$C$359,Конструкторы!$A828)</f>
        <v>0</v>
      </c>
      <c r="S828" s="166">
        <f>SUMIFS(Продажи!P$5:P$359,Продажи!$D$5:$D$359,Конструкторы!$B828,Продажи!$C$5:$C$359,Конструкторы!$A828)</f>
        <v>0</v>
      </c>
      <c r="T828" s="166">
        <f>SUMIFS(Продажи!Q$5:Q$359,Продажи!$D$5:$D$359,Конструкторы!$B828,Продажи!$C$5:$C$359,Конструкторы!$A828)</f>
        <v>0</v>
      </c>
    </row>
    <row r="829" spans="1:20" ht="15.75" hidden="1" x14ac:dyDescent="0.25">
      <c r="A829" s="166" t="s">
        <v>397</v>
      </c>
      <c r="B829" s="167" t="s">
        <v>260</v>
      </c>
      <c r="C829" s="129" t="s">
        <v>53</v>
      </c>
      <c r="D829" s="130">
        <v>7038</v>
      </c>
      <c r="E829" s="153" t="s">
        <v>68</v>
      </c>
      <c r="F829" s="156">
        <f>(1.912*103)/100</f>
        <v>1.9693599999999998</v>
      </c>
      <c r="G829" s="156">
        <v>5.7359999999999856E-2</v>
      </c>
      <c r="H829" s="156">
        <f>F829+G829</f>
        <v>2.0267199999999996</v>
      </c>
      <c r="I829" s="166">
        <f>SUMIFS(Продажи!F$5:F$359,Продажи!$D$5:$D$359,Конструкторы!$B829,Продажи!$C$5:$C$359,Конструкторы!$A829)</f>
        <v>33</v>
      </c>
      <c r="J829" s="166">
        <f>SUMIFS(Продажи!G$5:G$359,Продажи!$D$5:$D$359,Конструкторы!$B829,Продажи!$C$5:$C$359,Конструкторы!$A829)</f>
        <v>0</v>
      </c>
      <c r="K829" s="166">
        <f>SUMIFS(Продажи!H$5:H$359,Продажи!$D$5:$D$359,Конструкторы!$B829,Продажи!$C$5:$C$359,Конструкторы!$A829)</f>
        <v>0</v>
      </c>
      <c r="L829" s="166">
        <f>SUMIFS(Продажи!I$5:I$359,Продажи!$D$5:$D$359,Конструкторы!$B829,Продажи!$C$5:$C$359,Конструкторы!$A829)</f>
        <v>0</v>
      </c>
      <c r="M829" s="166">
        <f>SUMIFS(Продажи!J$5:J$359,Продажи!$D$5:$D$359,Конструкторы!$B829,Продажи!$C$5:$C$359,Конструкторы!$A829)</f>
        <v>0</v>
      </c>
      <c r="N829" s="166">
        <f>SUMIFS(Продажи!K$5:K$359,Продажи!$D$5:$D$359,Конструкторы!$B829,Продажи!$C$5:$C$359,Конструкторы!$A829)</f>
        <v>0</v>
      </c>
      <c r="O829" s="166">
        <f>SUMIFS(Продажи!L$5:L$359,Продажи!$D$5:$D$359,Конструкторы!$B829,Продажи!$C$5:$C$359,Конструкторы!$A829)</f>
        <v>0</v>
      </c>
      <c r="P829" s="166">
        <f>SUMIFS(Продажи!M$5:M$359,Продажи!$D$5:$D$359,Конструкторы!$B829,Продажи!$C$5:$C$359,Конструкторы!$A829)</f>
        <v>0</v>
      </c>
      <c r="Q829" s="166">
        <f>SUMIFS(Продажи!N$5:N$359,Продажи!$D$5:$D$359,Конструкторы!$B829,Продажи!$C$5:$C$359,Конструкторы!$A829)</f>
        <v>0</v>
      </c>
      <c r="R829" s="166">
        <f>SUMIFS(Продажи!O$5:O$359,Продажи!$D$5:$D$359,Конструкторы!$B829,Продажи!$C$5:$C$359,Конструкторы!$A829)</f>
        <v>0</v>
      </c>
      <c r="S829" s="166">
        <f>SUMIFS(Продажи!P$5:P$359,Продажи!$D$5:$D$359,Конструкторы!$B829,Продажи!$C$5:$C$359,Конструкторы!$A829)</f>
        <v>0</v>
      </c>
      <c r="T829" s="166">
        <f>SUMIFS(Продажи!Q$5:Q$359,Продажи!$D$5:$D$359,Конструкторы!$B829,Продажи!$C$5:$C$359,Конструкторы!$A829)</f>
        <v>0</v>
      </c>
    </row>
    <row r="830" spans="1:20" ht="15.75" hidden="1" x14ac:dyDescent="0.25">
      <c r="A830" s="166" t="s">
        <v>397</v>
      </c>
      <c r="B830" s="167" t="s">
        <v>260</v>
      </c>
      <c r="C830" s="129" t="s">
        <v>52</v>
      </c>
      <c r="D830" s="149"/>
      <c r="E830" s="153" t="s">
        <v>68</v>
      </c>
      <c r="F830" s="156">
        <f>(1.8*103)/100</f>
        <v>1.8540000000000001</v>
      </c>
      <c r="G830" s="156">
        <v>5.4000000000000048E-2</v>
      </c>
      <c r="H830" s="156">
        <f>F830+G830</f>
        <v>1.9080000000000001</v>
      </c>
      <c r="I830" s="166">
        <f>SUMIFS(Продажи!F$5:F$359,Продажи!$D$5:$D$359,Конструкторы!$B830,Продажи!$C$5:$C$359,Конструкторы!$A830)</f>
        <v>33</v>
      </c>
      <c r="J830" s="166">
        <f>SUMIFS(Продажи!G$5:G$359,Продажи!$D$5:$D$359,Конструкторы!$B830,Продажи!$C$5:$C$359,Конструкторы!$A830)</f>
        <v>0</v>
      </c>
      <c r="K830" s="166">
        <f>SUMIFS(Продажи!H$5:H$359,Продажи!$D$5:$D$359,Конструкторы!$B830,Продажи!$C$5:$C$359,Конструкторы!$A830)</f>
        <v>0</v>
      </c>
      <c r="L830" s="166">
        <f>SUMIFS(Продажи!I$5:I$359,Продажи!$D$5:$D$359,Конструкторы!$B830,Продажи!$C$5:$C$359,Конструкторы!$A830)</f>
        <v>0</v>
      </c>
      <c r="M830" s="166">
        <f>SUMIFS(Продажи!J$5:J$359,Продажи!$D$5:$D$359,Конструкторы!$B830,Продажи!$C$5:$C$359,Конструкторы!$A830)</f>
        <v>0</v>
      </c>
      <c r="N830" s="166">
        <f>SUMIFS(Продажи!K$5:K$359,Продажи!$D$5:$D$359,Конструкторы!$B830,Продажи!$C$5:$C$359,Конструкторы!$A830)</f>
        <v>0</v>
      </c>
      <c r="O830" s="166">
        <f>SUMIFS(Продажи!L$5:L$359,Продажи!$D$5:$D$359,Конструкторы!$B830,Продажи!$C$5:$C$359,Конструкторы!$A830)</f>
        <v>0</v>
      </c>
      <c r="P830" s="166">
        <f>SUMIFS(Продажи!M$5:M$359,Продажи!$D$5:$D$359,Конструкторы!$B830,Продажи!$C$5:$C$359,Конструкторы!$A830)</f>
        <v>0</v>
      </c>
      <c r="Q830" s="166">
        <f>SUMIFS(Продажи!N$5:N$359,Продажи!$D$5:$D$359,Конструкторы!$B830,Продажи!$C$5:$C$359,Конструкторы!$A830)</f>
        <v>0</v>
      </c>
      <c r="R830" s="166">
        <f>SUMIFS(Продажи!O$5:O$359,Продажи!$D$5:$D$359,Конструкторы!$B830,Продажи!$C$5:$C$359,Конструкторы!$A830)</f>
        <v>0</v>
      </c>
      <c r="S830" s="166">
        <f>SUMIFS(Продажи!P$5:P$359,Продажи!$D$5:$D$359,Конструкторы!$B830,Продажи!$C$5:$C$359,Конструкторы!$A830)</f>
        <v>0</v>
      </c>
      <c r="T830" s="166">
        <f>SUMIFS(Продажи!Q$5:Q$359,Продажи!$D$5:$D$359,Конструкторы!$B830,Продажи!$C$5:$C$359,Конструкторы!$A830)</f>
        <v>0</v>
      </c>
    </row>
    <row r="831" spans="1:20" ht="15.75" hidden="1" x14ac:dyDescent="0.25">
      <c r="A831" s="166" t="s">
        <v>397</v>
      </c>
      <c r="B831" s="167" t="s">
        <v>260</v>
      </c>
      <c r="C831" s="33" t="s">
        <v>73</v>
      </c>
      <c r="D831" s="149"/>
      <c r="E831" s="153" t="s">
        <v>70</v>
      </c>
      <c r="F831" s="148">
        <v>4</v>
      </c>
      <c r="G831" s="156" t="s">
        <v>71</v>
      </c>
      <c r="H831" s="156">
        <f>F831</f>
        <v>4</v>
      </c>
      <c r="I831" s="166">
        <f>SUMIFS(Продажи!F$5:F$359,Продажи!$D$5:$D$359,Конструкторы!$B831,Продажи!$C$5:$C$359,Конструкторы!$A831)</f>
        <v>33</v>
      </c>
      <c r="J831" s="166">
        <f>SUMIFS(Продажи!G$5:G$359,Продажи!$D$5:$D$359,Конструкторы!$B831,Продажи!$C$5:$C$359,Конструкторы!$A831)</f>
        <v>0</v>
      </c>
      <c r="K831" s="166">
        <f>SUMIFS(Продажи!H$5:H$359,Продажи!$D$5:$D$359,Конструкторы!$B831,Продажи!$C$5:$C$359,Конструкторы!$A831)</f>
        <v>0</v>
      </c>
      <c r="L831" s="166">
        <f>SUMIFS(Продажи!I$5:I$359,Продажи!$D$5:$D$359,Конструкторы!$B831,Продажи!$C$5:$C$359,Конструкторы!$A831)</f>
        <v>0</v>
      </c>
      <c r="M831" s="166">
        <f>SUMIFS(Продажи!J$5:J$359,Продажи!$D$5:$D$359,Конструкторы!$B831,Продажи!$C$5:$C$359,Конструкторы!$A831)</f>
        <v>0</v>
      </c>
      <c r="N831" s="166">
        <f>SUMIFS(Продажи!K$5:K$359,Продажи!$D$5:$D$359,Конструкторы!$B831,Продажи!$C$5:$C$359,Конструкторы!$A831)</f>
        <v>0</v>
      </c>
      <c r="O831" s="166">
        <f>SUMIFS(Продажи!L$5:L$359,Продажи!$D$5:$D$359,Конструкторы!$B831,Продажи!$C$5:$C$359,Конструкторы!$A831)</f>
        <v>0</v>
      </c>
      <c r="P831" s="166">
        <f>SUMIFS(Продажи!M$5:M$359,Продажи!$D$5:$D$359,Конструкторы!$B831,Продажи!$C$5:$C$359,Конструкторы!$A831)</f>
        <v>0</v>
      </c>
      <c r="Q831" s="166">
        <f>SUMIFS(Продажи!N$5:N$359,Продажи!$D$5:$D$359,Конструкторы!$B831,Продажи!$C$5:$C$359,Конструкторы!$A831)</f>
        <v>0</v>
      </c>
      <c r="R831" s="166">
        <f>SUMIFS(Продажи!O$5:O$359,Продажи!$D$5:$D$359,Конструкторы!$B831,Продажи!$C$5:$C$359,Конструкторы!$A831)</f>
        <v>0</v>
      </c>
      <c r="S831" s="166">
        <f>SUMIFS(Продажи!P$5:P$359,Продажи!$D$5:$D$359,Конструкторы!$B831,Продажи!$C$5:$C$359,Конструкторы!$A831)</f>
        <v>0</v>
      </c>
      <c r="T831" s="166">
        <f>SUMIFS(Продажи!Q$5:Q$359,Продажи!$D$5:$D$359,Конструкторы!$B831,Продажи!$C$5:$C$359,Конструкторы!$A831)</f>
        <v>0</v>
      </c>
    </row>
    <row r="832" spans="1:20" ht="15.75" hidden="1" x14ac:dyDescent="0.25">
      <c r="A832" s="166" t="s">
        <v>397</v>
      </c>
      <c r="B832" s="167" t="s">
        <v>260</v>
      </c>
      <c r="C832" s="33" t="s">
        <v>75</v>
      </c>
      <c r="D832" s="149"/>
      <c r="E832" s="153" t="s">
        <v>70</v>
      </c>
      <c r="F832" s="148">
        <v>16</v>
      </c>
      <c r="G832" s="156" t="s">
        <v>71</v>
      </c>
      <c r="H832" s="156">
        <f>F832</f>
        <v>16</v>
      </c>
      <c r="I832" s="166">
        <f>SUMIFS(Продажи!F$5:F$359,Продажи!$D$5:$D$359,Конструкторы!$B832,Продажи!$C$5:$C$359,Конструкторы!$A832)</f>
        <v>33</v>
      </c>
      <c r="J832" s="166">
        <f>SUMIFS(Продажи!G$5:G$359,Продажи!$D$5:$D$359,Конструкторы!$B832,Продажи!$C$5:$C$359,Конструкторы!$A832)</f>
        <v>0</v>
      </c>
      <c r="K832" s="166">
        <f>SUMIFS(Продажи!H$5:H$359,Продажи!$D$5:$D$359,Конструкторы!$B832,Продажи!$C$5:$C$359,Конструкторы!$A832)</f>
        <v>0</v>
      </c>
      <c r="L832" s="166">
        <f>SUMIFS(Продажи!I$5:I$359,Продажи!$D$5:$D$359,Конструкторы!$B832,Продажи!$C$5:$C$359,Конструкторы!$A832)</f>
        <v>0</v>
      </c>
      <c r="M832" s="166">
        <f>SUMIFS(Продажи!J$5:J$359,Продажи!$D$5:$D$359,Конструкторы!$B832,Продажи!$C$5:$C$359,Конструкторы!$A832)</f>
        <v>0</v>
      </c>
      <c r="N832" s="166">
        <f>SUMIFS(Продажи!K$5:K$359,Продажи!$D$5:$D$359,Конструкторы!$B832,Продажи!$C$5:$C$359,Конструкторы!$A832)</f>
        <v>0</v>
      </c>
      <c r="O832" s="166">
        <f>SUMIFS(Продажи!L$5:L$359,Продажи!$D$5:$D$359,Конструкторы!$B832,Продажи!$C$5:$C$359,Конструкторы!$A832)</f>
        <v>0</v>
      </c>
      <c r="P832" s="166">
        <f>SUMIFS(Продажи!M$5:M$359,Продажи!$D$5:$D$359,Конструкторы!$B832,Продажи!$C$5:$C$359,Конструкторы!$A832)</f>
        <v>0</v>
      </c>
      <c r="Q832" s="166">
        <f>SUMIFS(Продажи!N$5:N$359,Продажи!$D$5:$D$359,Конструкторы!$B832,Продажи!$C$5:$C$359,Конструкторы!$A832)</f>
        <v>0</v>
      </c>
      <c r="R832" s="166">
        <f>SUMIFS(Продажи!O$5:O$359,Продажи!$D$5:$D$359,Конструкторы!$B832,Продажи!$C$5:$C$359,Конструкторы!$A832)</f>
        <v>0</v>
      </c>
      <c r="S832" s="166">
        <f>SUMIFS(Продажи!P$5:P$359,Продажи!$D$5:$D$359,Конструкторы!$B832,Продажи!$C$5:$C$359,Конструкторы!$A832)</f>
        <v>0</v>
      </c>
      <c r="T832" s="166">
        <f>SUMIFS(Продажи!Q$5:Q$359,Продажи!$D$5:$D$359,Конструкторы!$B832,Продажи!$C$5:$C$359,Конструкторы!$A832)</f>
        <v>0</v>
      </c>
    </row>
    <row r="833" spans="1:20" ht="15.75" hidden="1" x14ac:dyDescent="0.25">
      <c r="A833" s="166" t="s">
        <v>397</v>
      </c>
      <c r="B833" s="167" t="s">
        <v>260</v>
      </c>
      <c r="C833" s="33" t="s">
        <v>69</v>
      </c>
      <c r="D833" s="149"/>
      <c r="E833" s="153" t="s">
        <v>70</v>
      </c>
      <c r="F833" s="148">
        <v>6</v>
      </c>
      <c r="G833" s="156" t="s">
        <v>71</v>
      </c>
      <c r="H833" s="156">
        <f>F833</f>
        <v>6</v>
      </c>
      <c r="I833" s="166">
        <f>SUMIFS(Продажи!F$5:F$359,Продажи!$D$5:$D$359,Конструкторы!$B833,Продажи!$C$5:$C$359,Конструкторы!$A833)</f>
        <v>33</v>
      </c>
      <c r="J833" s="166">
        <f>SUMIFS(Продажи!G$5:G$359,Продажи!$D$5:$D$359,Конструкторы!$B833,Продажи!$C$5:$C$359,Конструкторы!$A833)</f>
        <v>0</v>
      </c>
      <c r="K833" s="166">
        <f>SUMIFS(Продажи!H$5:H$359,Продажи!$D$5:$D$359,Конструкторы!$B833,Продажи!$C$5:$C$359,Конструкторы!$A833)</f>
        <v>0</v>
      </c>
      <c r="L833" s="166">
        <f>SUMIFS(Продажи!I$5:I$359,Продажи!$D$5:$D$359,Конструкторы!$B833,Продажи!$C$5:$C$359,Конструкторы!$A833)</f>
        <v>0</v>
      </c>
      <c r="M833" s="166">
        <f>SUMIFS(Продажи!J$5:J$359,Продажи!$D$5:$D$359,Конструкторы!$B833,Продажи!$C$5:$C$359,Конструкторы!$A833)</f>
        <v>0</v>
      </c>
      <c r="N833" s="166">
        <f>SUMIFS(Продажи!K$5:K$359,Продажи!$D$5:$D$359,Конструкторы!$B833,Продажи!$C$5:$C$359,Конструкторы!$A833)</f>
        <v>0</v>
      </c>
      <c r="O833" s="166">
        <f>SUMIFS(Продажи!L$5:L$359,Продажи!$D$5:$D$359,Конструкторы!$B833,Продажи!$C$5:$C$359,Конструкторы!$A833)</f>
        <v>0</v>
      </c>
      <c r="P833" s="166">
        <f>SUMIFS(Продажи!M$5:M$359,Продажи!$D$5:$D$359,Конструкторы!$B833,Продажи!$C$5:$C$359,Конструкторы!$A833)</f>
        <v>0</v>
      </c>
      <c r="Q833" s="166">
        <f>SUMIFS(Продажи!N$5:N$359,Продажи!$D$5:$D$359,Конструкторы!$B833,Продажи!$C$5:$C$359,Конструкторы!$A833)</f>
        <v>0</v>
      </c>
      <c r="R833" s="166">
        <f>SUMIFS(Продажи!O$5:O$359,Продажи!$D$5:$D$359,Конструкторы!$B833,Продажи!$C$5:$C$359,Конструкторы!$A833)</f>
        <v>0</v>
      </c>
      <c r="S833" s="166">
        <f>SUMIFS(Продажи!P$5:P$359,Продажи!$D$5:$D$359,Конструкторы!$B833,Продажи!$C$5:$C$359,Конструкторы!$A833)</f>
        <v>0</v>
      </c>
      <c r="T833" s="166">
        <f>SUMIFS(Продажи!Q$5:Q$359,Продажи!$D$5:$D$359,Конструкторы!$B833,Продажи!$C$5:$C$359,Конструкторы!$A833)</f>
        <v>0</v>
      </c>
    </row>
    <row r="834" spans="1:20" ht="15.75" hidden="1" x14ac:dyDescent="0.25">
      <c r="A834" s="166" t="s">
        <v>397</v>
      </c>
      <c r="B834" s="167" t="s">
        <v>350</v>
      </c>
      <c r="C834" s="129" t="s">
        <v>56</v>
      </c>
      <c r="D834" s="149"/>
      <c r="E834" s="153" t="s">
        <v>68</v>
      </c>
      <c r="F834" s="156">
        <f>(0.583*103)/100</f>
        <v>0.60048999999999997</v>
      </c>
      <c r="G834" s="156">
        <v>1.7490000000000006E-2</v>
      </c>
      <c r="H834" s="156">
        <f>F834+G834</f>
        <v>0.61797999999999997</v>
      </c>
      <c r="I834" s="166">
        <f>SUMIFS(Продажи!F$5:F$359,Продажи!$D$5:$D$359,Конструкторы!$B834,Продажи!$C$5:$C$359,Конструкторы!$A834)</f>
        <v>0</v>
      </c>
      <c r="J834" s="166">
        <f>SUMIFS(Продажи!G$5:G$359,Продажи!$D$5:$D$359,Конструкторы!$B834,Продажи!$C$5:$C$359,Конструкторы!$A834)</f>
        <v>0</v>
      </c>
      <c r="K834" s="166">
        <f>SUMIFS(Продажи!H$5:H$359,Продажи!$D$5:$D$359,Конструкторы!$B834,Продажи!$C$5:$C$359,Конструкторы!$A834)</f>
        <v>0</v>
      </c>
      <c r="L834" s="166">
        <f>SUMIFS(Продажи!I$5:I$359,Продажи!$D$5:$D$359,Конструкторы!$B834,Продажи!$C$5:$C$359,Конструкторы!$A834)</f>
        <v>0</v>
      </c>
      <c r="M834" s="166">
        <f>SUMIFS(Продажи!J$5:J$359,Продажи!$D$5:$D$359,Конструкторы!$B834,Продажи!$C$5:$C$359,Конструкторы!$A834)</f>
        <v>0</v>
      </c>
      <c r="N834" s="166">
        <f>SUMIFS(Продажи!K$5:K$359,Продажи!$D$5:$D$359,Конструкторы!$B834,Продажи!$C$5:$C$359,Конструкторы!$A834)</f>
        <v>0</v>
      </c>
      <c r="O834" s="166">
        <f>SUMIFS(Продажи!L$5:L$359,Продажи!$D$5:$D$359,Конструкторы!$B834,Продажи!$C$5:$C$359,Конструкторы!$A834)</f>
        <v>0</v>
      </c>
      <c r="P834" s="166">
        <f>SUMIFS(Продажи!M$5:M$359,Продажи!$D$5:$D$359,Конструкторы!$B834,Продажи!$C$5:$C$359,Конструкторы!$A834)</f>
        <v>0</v>
      </c>
      <c r="Q834" s="166">
        <f>SUMIFS(Продажи!N$5:N$359,Продажи!$D$5:$D$359,Конструкторы!$B834,Продажи!$C$5:$C$359,Конструкторы!$A834)</f>
        <v>0</v>
      </c>
      <c r="R834" s="166">
        <f>SUMIFS(Продажи!O$5:O$359,Продажи!$D$5:$D$359,Конструкторы!$B834,Продажи!$C$5:$C$359,Конструкторы!$A834)</f>
        <v>0</v>
      </c>
      <c r="S834" s="166">
        <f>SUMIFS(Продажи!P$5:P$359,Продажи!$D$5:$D$359,Конструкторы!$B834,Продажи!$C$5:$C$359,Конструкторы!$A834)</f>
        <v>0</v>
      </c>
      <c r="T834" s="166">
        <f>SUMIFS(Продажи!Q$5:Q$359,Продажи!$D$5:$D$359,Конструкторы!$B834,Продажи!$C$5:$C$359,Конструкторы!$A834)</f>
        <v>0</v>
      </c>
    </row>
    <row r="835" spans="1:20" ht="15.75" hidden="1" x14ac:dyDescent="0.25">
      <c r="A835" s="166" t="s">
        <v>397</v>
      </c>
      <c r="B835" s="167" t="s">
        <v>350</v>
      </c>
      <c r="C835" s="33" t="s">
        <v>73</v>
      </c>
      <c r="D835" s="149"/>
      <c r="E835" s="153" t="s">
        <v>70</v>
      </c>
      <c r="F835" s="148">
        <v>4</v>
      </c>
      <c r="G835" s="156" t="s">
        <v>71</v>
      </c>
      <c r="H835" s="156">
        <f>F835</f>
        <v>4</v>
      </c>
      <c r="I835" s="166">
        <f>SUMIFS(Продажи!F$5:F$359,Продажи!$D$5:$D$359,Конструкторы!$B835,Продажи!$C$5:$C$359,Конструкторы!$A835)</f>
        <v>0</v>
      </c>
      <c r="J835" s="166">
        <f>SUMIFS(Продажи!G$5:G$359,Продажи!$D$5:$D$359,Конструкторы!$B835,Продажи!$C$5:$C$359,Конструкторы!$A835)</f>
        <v>0</v>
      </c>
      <c r="K835" s="166">
        <f>SUMIFS(Продажи!H$5:H$359,Продажи!$D$5:$D$359,Конструкторы!$B835,Продажи!$C$5:$C$359,Конструкторы!$A835)</f>
        <v>0</v>
      </c>
      <c r="L835" s="166">
        <f>SUMIFS(Продажи!I$5:I$359,Продажи!$D$5:$D$359,Конструкторы!$B835,Продажи!$C$5:$C$359,Конструкторы!$A835)</f>
        <v>0</v>
      </c>
      <c r="M835" s="166">
        <f>SUMIFS(Продажи!J$5:J$359,Продажи!$D$5:$D$359,Конструкторы!$B835,Продажи!$C$5:$C$359,Конструкторы!$A835)</f>
        <v>0</v>
      </c>
      <c r="N835" s="166">
        <f>SUMIFS(Продажи!K$5:K$359,Продажи!$D$5:$D$359,Конструкторы!$B835,Продажи!$C$5:$C$359,Конструкторы!$A835)</f>
        <v>0</v>
      </c>
      <c r="O835" s="166">
        <f>SUMIFS(Продажи!L$5:L$359,Продажи!$D$5:$D$359,Конструкторы!$B835,Продажи!$C$5:$C$359,Конструкторы!$A835)</f>
        <v>0</v>
      </c>
      <c r="P835" s="166">
        <f>SUMIFS(Продажи!M$5:M$359,Продажи!$D$5:$D$359,Конструкторы!$B835,Продажи!$C$5:$C$359,Конструкторы!$A835)</f>
        <v>0</v>
      </c>
      <c r="Q835" s="166">
        <f>SUMIFS(Продажи!N$5:N$359,Продажи!$D$5:$D$359,Конструкторы!$B835,Продажи!$C$5:$C$359,Конструкторы!$A835)</f>
        <v>0</v>
      </c>
      <c r="R835" s="166">
        <f>SUMIFS(Продажи!O$5:O$359,Продажи!$D$5:$D$359,Конструкторы!$B835,Продажи!$C$5:$C$359,Конструкторы!$A835)</f>
        <v>0</v>
      </c>
      <c r="S835" s="166">
        <f>SUMIFS(Продажи!P$5:P$359,Продажи!$D$5:$D$359,Конструкторы!$B835,Продажи!$C$5:$C$359,Конструкторы!$A835)</f>
        <v>0</v>
      </c>
      <c r="T835" s="166">
        <f>SUMIFS(Продажи!Q$5:Q$359,Продажи!$D$5:$D$359,Конструкторы!$B835,Продажи!$C$5:$C$359,Конструкторы!$A835)</f>
        <v>0</v>
      </c>
    </row>
    <row r="836" spans="1:20" ht="15.75" hidden="1" x14ac:dyDescent="0.25">
      <c r="A836" s="166" t="s">
        <v>397</v>
      </c>
      <c r="B836" s="167" t="s">
        <v>350</v>
      </c>
      <c r="C836" s="33" t="s">
        <v>75</v>
      </c>
      <c r="D836" s="149"/>
      <c r="E836" s="153" t="s">
        <v>70</v>
      </c>
      <c r="F836" s="148">
        <v>16</v>
      </c>
      <c r="G836" s="156" t="s">
        <v>71</v>
      </c>
      <c r="H836" s="156">
        <f>F836</f>
        <v>16</v>
      </c>
      <c r="I836" s="166">
        <f>SUMIFS(Продажи!F$5:F$359,Продажи!$D$5:$D$359,Конструкторы!$B836,Продажи!$C$5:$C$359,Конструкторы!$A836)</f>
        <v>0</v>
      </c>
      <c r="J836" s="166">
        <f>SUMIFS(Продажи!G$5:G$359,Продажи!$D$5:$D$359,Конструкторы!$B836,Продажи!$C$5:$C$359,Конструкторы!$A836)</f>
        <v>0</v>
      </c>
      <c r="K836" s="166">
        <f>SUMIFS(Продажи!H$5:H$359,Продажи!$D$5:$D$359,Конструкторы!$B836,Продажи!$C$5:$C$359,Конструкторы!$A836)</f>
        <v>0</v>
      </c>
      <c r="L836" s="166">
        <f>SUMIFS(Продажи!I$5:I$359,Продажи!$D$5:$D$359,Конструкторы!$B836,Продажи!$C$5:$C$359,Конструкторы!$A836)</f>
        <v>0</v>
      </c>
      <c r="M836" s="166">
        <f>SUMIFS(Продажи!J$5:J$359,Продажи!$D$5:$D$359,Конструкторы!$B836,Продажи!$C$5:$C$359,Конструкторы!$A836)</f>
        <v>0</v>
      </c>
      <c r="N836" s="166">
        <f>SUMIFS(Продажи!K$5:K$359,Продажи!$D$5:$D$359,Конструкторы!$B836,Продажи!$C$5:$C$359,Конструкторы!$A836)</f>
        <v>0</v>
      </c>
      <c r="O836" s="166">
        <f>SUMIFS(Продажи!L$5:L$359,Продажи!$D$5:$D$359,Конструкторы!$B836,Продажи!$C$5:$C$359,Конструкторы!$A836)</f>
        <v>0</v>
      </c>
      <c r="P836" s="166">
        <f>SUMIFS(Продажи!M$5:M$359,Продажи!$D$5:$D$359,Конструкторы!$B836,Продажи!$C$5:$C$359,Конструкторы!$A836)</f>
        <v>0</v>
      </c>
      <c r="Q836" s="166">
        <f>SUMIFS(Продажи!N$5:N$359,Продажи!$D$5:$D$359,Конструкторы!$B836,Продажи!$C$5:$C$359,Конструкторы!$A836)</f>
        <v>0</v>
      </c>
      <c r="R836" s="166">
        <f>SUMIFS(Продажи!O$5:O$359,Продажи!$D$5:$D$359,Конструкторы!$B836,Продажи!$C$5:$C$359,Конструкторы!$A836)</f>
        <v>0</v>
      </c>
      <c r="S836" s="166">
        <f>SUMIFS(Продажи!P$5:P$359,Продажи!$D$5:$D$359,Конструкторы!$B836,Продажи!$C$5:$C$359,Конструкторы!$A836)</f>
        <v>0</v>
      </c>
      <c r="T836" s="166">
        <f>SUMIFS(Продажи!Q$5:Q$359,Продажи!$D$5:$D$359,Конструкторы!$B836,Продажи!$C$5:$C$359,Конструкторы!$A836)</f>
        <v>0</v>
      </c>
    </row>
    <row r="837" spans="1:20" ht="15.75" hidden="1" x14ac:dyDescent="0.25">
      <c r="A837" s="166" t="s">
        <v>397</v>
      </c>
      <c r="B837" s="167" t="s">
        <v>351</v>
      </c>
      <c r="C837" s="129" t="s">
        <v>57</v>
      </c>
      <c r="D837" s="149"/>
      <c r="E837" s="153" t="s">
        <v>68</v>
      </c>
      <c r="F837" s="156">
        <f>(0.604*103)/100</f>
        <v>0.62212000000000001</v>
      </c>
      <c r="G837" s="156">
        <v>1.8120000000000025E-2</v>
      </c>
      <c r="H837" s="156">
        <f>F837+G837</f>
        <v>0.64024000000000003</v>
      </c>
      <c r="I837" s="166">
        <f>SUMIFS(Продажи!F$5:F$359,Продажи!$D$5:$D$359,Конструкторы!$B837,Продажи!$C$5:$C$359,Конструкторы!$A837)</f>
        <v>0</v>
      </c>
      <c r="J837" s="166">
        <f>SUMIFS(Продажи!G$5:G$359,Продажи!$D$5:$D$359,Конструкторы!$B837,Продажи!$C$5:$C$359,Конструкторы!$A837)</f>
        <v>0</v>
      </c>
      <c r="K837" s="166">
        <f>SUMIFS(Продажи!H$5:H$359,Продажи!$D$5:$D$359,Конструкторы!$B837,Продажи!$C$5:$C$359,Конструкторы!$A837)</f>
        <v>0</v>
      </c>
      <c r="L837" s="166">
        <f>SUMIFS(Продажи!I$5:I$359,Продажи!$D$5:$D$359,Конструкторы!$B837,Продажи!$C$5:$C$359,Конструкторы!$A837)</f>
        <v>0</v>
      </c>
      <c r="M837" s="166">
        <f>SUMIFS(Продажи!J$5:J$359,Продажи!$D$5:$D$359,Конструкторы!$B837,Продажи!$C$5:$C$359,Конструкторы!$A837)</f>
        <v>0</v>
      </c>
      <c r="N837" s="166">
        <f>SUMIFS(Продажи!K$5:K$359,Продажи!$D$5:$D$359,Конструкторы!$B837,Продажи!$C$5:$C$359,Конструкторы!$A837)</f>
        <v>0</v>
      </c>
      <c r="O837" s="166">
        <f>SUMIFS(Продажи!L$5:L$359,Продажи!$D$5:$D$359,Конструкторы!$B837,Продажи!$C$5:$C$359,Конструкторы!$A837)</f>
        <v>0</v>
      </c>
      <c r="P837" s="166">
        <f>SUMIFS(Продажи!M$5:M$359,Продажи!$D$5:$D$359,Конструкторы!$B837,Продажи!$C$5:$C$359,Конструкторы!$A837)</f>
        <v>0</v>
      </c>
      <c r="Q837" s="166">
        <f>SUMIFS(Продажи!N$5:N$359,Продажи!$D$5:$D$359,Конструкторы!$B837,Продажи!$C$5:$C$359,Конструкторы!$A837)</f>
        <v>0</v>
      </c>
      <c r="R837" s="166">
        <f>SUMIFS(Продажи!O$5:O$359,Продажи!$D$5:$D$359,Конструкторы!$B837,Продажи!$C$5:$C$359,Конструкторы!$A837)</f>
        <v>0</v>
      </c>
      <c r="S837" s="166">
        <f>SUMIFS(Продажи!P$5:P$359,Продажи!$D$5:$D$359,Конструкторы!$B837,Продажи!$C$5:$C$359,Конструкторы!$A837)</f>
        <v>0</v>
      </c>
      <c r="T837" s="166">
        <f>SUMIFS(Продажи!Q$5:Q$359,Продажи!$D$5:$D$359,Конструкторы!$B837,Продажи!$C$5:$C$359,Конструкторы!$A837)</f>
        <v>0</v>
      </c>
    </row>
    <row r="838" spans="1:20" ht="15.75" hidden="1" x14ac:dyDescent="0.25">
      <c r="A838" s="166" t="s">
        <v>397</v>
      </c>
      <c r="B838" s="167" t="s">
        <v>351</v>
      </c>
      <c r="C838" s="33" t="s">
        <v>73</v>
      </c>
      <c r="D838" s="149"/>
      <c r="E838" s="153" t="s">
        <v>70</v>
      </c>
      <c r="F838" s="148">
        <v>4</v>
      </c>
      <c r="G838" s="156" t="s">
        <v>71</v>
      </c>
      <c r="H838" s="156">
        <f>F838</f>
        <v>4</v>
      </c>
      <c r="I838" s="166">
        <f>SUMIFS(Продажи!F$5:F$359,Продажи!$D$5:$D$359,Конструкторы!$B838,Продажи!$C$5:$C$359,Конструкторы!$A838)</f>
        <v>0</v>
      </c>
      <c r="J838" s="166">
        <f>SUMIFS(Продажи!G$5:G$359,Продажи!$D$5:$D$359,Конструкторы!$B838,Продажи!$C$5:$C$359,Конструкторы!$A838)</f>
        <v>0</v>
      </c>
      <c r="K838" s="166">
        <f>SUMIFS(Продажи!H$5:H$359,Продажи!$D$5:$D$359,Конструкторы!$B838,Продажи!$C$5:$C$359,Конструкторы!$A838)</f>
        <v>0</v>
      </c>
      <c r="L838" s="166">
        <f>SUMIFS(Продажи!I$5:I$359,Продажи!$D$5:$D$359,Конструкторы!$B838,Продажи!$C$5:$C$359,Конструкторы!$A838)</f>
        <v>0</v>
      </c>
      <c r="M838" s="166">
        <f>SUMIFS(Продажи!J$5:J$359,Продажи!$D$5:$D$359,Конструкторы!$B838,Продажи!$C$5:$C$359,Конструкторы!$A838)</f>
        <v>0</v>
      </c>
      <c r="N838" s="166">
        <f>SUMIFS(Продажи!K$5:K$359,Продажи!$D$5:$D$359,Конструкторы!$B838,Продажи!$C$5:$C$359,Конструкторы!$A838)</f>
        <v>0</v>
      </c>
      <c r="O838" s="166">
        <f>SUMIFS(Продажи!L$5:L$359,Продажи!$D$5:$D$359,Конструкторы!$B838,Продажи!$C$5:$C$359,Конструкторы!$A838)</f>
        <v>0</v>
      </c>
      <c r="P838" s="166">
        <f>SUMIFS(Продажи!M$5:M$359,Продажи!$D$5:$D$359,Конструкторы!$B838,Продажи!$C$5:$C$359,Конструкторы!$A838)</f>
        <v>0</v>
      </c>
      <c r="Q838" s="166">
        <f>SUMIFS(Продажи!N$5:N$359,Продажи!$D$5:$D$359,Конструкторы!$B838,Продажи!$C$5:$C$359,Конструкторы!$A838)</f>
        <v>0</v>
      </c>
      <c r="R838" s="166">
        <f>SUMIFS(Продажи!O$5:O$359,Продажи!$D$5:$D$359,Конструкторы!$B838,Продажи!$C$5:$C$359,Конструкторы!$A838)</f>
        <v>0</v>
      </c>
      <c r="S838" s="166">
        <f>SUMIFS(Продажи!P$5:P$359,Продажи!$D$5:$D$359,Конструкторы!$B838,Продажи!$C$5:$C$359,Конструкторы!$A838)</f>
        <v>0</v>
      </c>
      <c r="T838" s="166">
        <f>SUMIFS(Продажи!Q$5:Q$359,Продажи!$D$5:$D$359,Конструкторы!$B838,Продажи!$C$5:$C$359,Конструкторы!$A838)</f>
        <v>0</v>
      </c>
    </row>
    <row r="839" spans="1:20" ht="15.75" hidden="1" x14ac:dyDescent="0.25">
      <c r="A839" s="166" t="s">
        <v>397</v>
      </c>
      <c r="B839" s="167" t="s">
        <v>351</v>
      </c>
      <c r="C839" s="33" t="s">
        <v>75</v>
      </c>
      <c r="D839" s="149"/>
      <c r="E839" s="153" t="s">
        <v>70</v>
      </c>
      <c r="F839" s="148">
        <v>16</v>
      </c>
      <c r="G839" s="156" t="s">
        <v>71</v>
      </c>
      <c r="H839" s="156">
        <f>F839</f>
        <v>16</v>
      </c>
      <c r="I839" s="166">
        <f>SUMIFS(Продажи!F$5:F$359,Продажи!$D$5:$D$359,Конструкторы!$B839,Продажи!$C$5:$C$359,Конструкторы!$A839)</f>
        <v>0</v>
      </c>
      <c r="J839" s="166">
        <f>SUMIFS(Продажи!G$5:G$359,Продажи!$D$5:$D$359,Конструкторы!$B839,Продажи!$C$5:$C$359,Конструкторы!$A839)</f>
        <v>0</v>
      </c>
      <c r="K839" s="166">
        <f>SUMIFS(Продажи!H$5:H$359,Продажи!$D$5:$D$359,Конструкторы!$B839,Продажи!$C$5:$C$359,Конструкторы!$A839)</f>
        <v>0</v>
      </c>
      <c r="L839" s="166">
        <f>SUMIFS(Продажи!I$5:I$359,Продажи!$D$5:$D$359,Конструкторы!$B839,Продажи!$C$5:$C$359,Конструкторы!$A839)</f>
        <v>0</v>
      </c>
      <c r="M839" s="166">
        <f>SUMIFS(Продажи!J$5:J$359,Продажи!$D$5:$D$359,Конструкторы!$B839,Продажи!$C$5:$C$359,Конструкторы!$A839)</f>
        <v>0</v>
      </c>
      <c r="N839" s="166">
        <f>SUMIFS(Продажи!K$5:K$359,Продажи!$D$5:$D$359,Конструкторы!$B839,Продажи!$C$5:$C$359,Конструкторы!$A839)</f>
        <v>0</v>
      </c>
      <c r="O839" s="166">
        <f>SUMIFS(Продажи!L$5:L$359,Продажи!$D$5:$D$359,Конструкторы!$B839,Продажи!$C$5:$C$359,Конструкторы!$A839)</f>
        <v>0</v>
      </c>
      <c r="P839" s="166">
        <f>SUMIFS(Продажи!M$5:M$359,Продажи!$D$5:$D$359,Конструкторы!$B839,Продажи!$C$5:$C$359,Конструкторы!$A839)</f>
        <v>0</v>
      </c>
      <c r="Q839" s="166">
        <f>SUMIFS(Продажи!N$5:N$359,Продажи!$D$5:$D$359,Конструкторы!$B839,Продажи!$C$5:$C$359,Конструкторы!$A839)</f>
        <v>0</v>
      </c>
      <c r="R839" s="166">
        <f>SUMIFS(Продажи!O$5:O$359,Продажи!$D$5:$D$359,Конструкторы!$B839,Продажи!$C$5:$C$359,Конструкторы!$A839)</f>
        <v>0</v>
      </c>
      <c r="S839" s="166">
        <f>SUMIFS(Продажи!P$5:P$359,Продажи!$D$5:$D$359,Конструкторы!$B839,Продажи!$C$5:$C$359,Конструкторы!$A839)</f>
        <v>0</v>
      </c>
      <c r="T839" s="166">
        <f>SUMIFS(Продажи!Q$5:Q$359,Продажи!$D$5:$D$359,Конструкторы!$B839,Продажи!$C$5:$C$359,Конструкторы!$A839)</f>
        <v>0</v>
      </c>
    </row>
    <row r="840" spans="1:20" ht="15.75" hidden="1" x14ac:dyDescent="0.25">
      <c r="A840" s="166" t="s">
        <v>397</v>
      </c>
      <c r="B840" s="167" t="s">
        <v>352</v>
      </c>
      <c r="C840" s="129" t="s">
        <v>58</v>
      </c>
      <c r="D840" s="149"/>
      <c r="E840" s="153" t="s">
        <v>68</v>
      </c>
      <c r="F840" s="156">
        <f>(0.724*103)/100</f>
        <v>0.74572000000000005</v>
      </c>
      <c r="G840" s="156">
        <v>2.1720000000000073E-2</v>
      </c>
      <c r="H840" s="156">
        <f>F840+G840</f>
        <v>0.76744000000000012</v>
      </c>
      <c r="I840" s="166">
        <f>SUMIFS(Продажи!F$5:F$359,Продажи!$D$5:$D$359,Конструкторы!$B840,Продажи!$C$5:$C$359,Конструкторы!$A840)</f>
        <v>0</v>
      </c>
      <c r="J840" s="166">
        <f>SUMIFS(Продажи!G$5:G$359,Продажи!$D$5:$D$359,Конструкторы!$B840,Продажи!$C$5:$C$359,Конструкторы!$A840)</f>
        <v>0</v>
      </c>
      <c r="K840" s="166">
        <f>SUMIFS(Продажи!H$5:H$359,Продажи!$D$5:$D$359,Конструкторы!$B840,Продажи!$C$5:$C$359,Конструкторы!$A840)</f>
        <v>0</v>
      </c>
      <c r="L840" s="166">
        <f>SUMIFS(Продажи!I$5:I$359,Продажи!$D$5:$D$359,Конструкторы!$B840,Продажи!$C$5:$C$359,Конструкторы!$A840)</f>
        <v>0</v>
      </c>
      <c r="M840" s="166">
        <f>SUMIFS(Продажи!J$5:J$359,Продажи!$D$5:$D$359,Конструкторы!$B840,Продажи!$C$5:$C$359,Конструкторы!$A840)</f>
        <v>0</v>
      </c>
      <c r="N840" s="166">
        <f>SUMIFS(Продажи!K$5:K$359,Продажи!$D$5:$D$359,Конструкторы!$B840,Продажи!$C$5:$C$359,Конструкторы!$A840)</f>
        <v>0</v>
      </c>
      <c r="O840" s="166">
        <f>SUMIFS(Продажи!L$5:L$359,Продажи!$D$5:$D$359,Конструкторы!$B840,Продажи!$C$5:$C$359,Конструкторы!$A840)</f>
        <v>0</v>
      </c>
      <c r="P840" s="166">
        <f>SUMIFS(Продажи!M$5:M$359,Продажи!$D$5:$D$359,Конструкторы!$B840,Продажи!$C$5:$C$359,Конструкторы!$A840)</f>
        <v>0</v>
      </c>
      <c r="Q840" s="166">
        <f>SUMIFS(Продажи!N$5:N$359,Продажи!$D$5:$D$359,Конструкторы!$B840,Продажи!$C$5:$C$359,Конструкторы!$A840)</f>
        <v>0</v>
      </c>
      <c r="R840" s="166">
        <f>SUMIFS(Продажи!O$5:O$359,Продажи!$D$5:$D$359,Конструкторы!$B840,Продажи!$C$5:$C$359,Конструкторы!$A840)</f>
        <v>0</v>
      </c>
      <c r="S840" s="166">
        <f>SUMIFS(Продажи!P$5:P$359,Продажи!$D$5:$D$359,Конструкторы!$B840,Продажи!$C$5:$C$359,Конструкторы!$A840)</f>
        <v>0</v>
      </c>
      <c r="T840" s="166">
        <f>SUMIFS(Продажи!Q$5:Q$359,Продажи!$D$5:$D$359,Конструкторы!$B840,Продажи!$C$5:$C$359,Конструкторы!$A840)</f>
        <v>0</v>
      </c>
    </row>
    <row r="841" spans="1:20" ht="15.75" hidden="1" x14ac:dyDescent="0.25">
      <c r="A841" s="166" t="s">
        <v>397</v>
      </c>
      <c r="B841" s="167" t="s">
        <v>352</v>
      </c>
      <c r="C841" s="33" t="s">
        <v>73</v>
      </c>
      <c r="D841" s="149"/>
      <c r="E841" s="153" t="s">
        <v>70</v>
      </c>
      <c r="F841" s="148">
        <v>4</v>
      </c>
      <c r="G841" s="156" t="s">
        <v>71</v>
      </c>
      <c r="H841" s="156">
        <f>F841</f>
        <v>4</v>
      </c>
      <c r="I841" s="166">
        <f>SUMIFS(Продажи!F$5:F$359,Продажи!$D$5:$D$359,Конструкторы!$B841,Продажи!$C$5:$C$359,Конструкторы!$A841)</f>
        <v>0</v>
      </c>
      <c r="J841" s="166">
        <f>SUMIFS(Продажи!G$5:G$359,Продажи!$D$5:$D$359,Конструкторы!$B841,Продажи!$C$5:$C$359,Конструкторы!$A841)</f>
        <v>0</v>
      </c>
      <c r="K841" s="166">
        <f>SUMIFS(Продажи!H$5:H$359,Продажи!$D$5:$D$359,Конструкторы!$B841,Продажи!$C$5:$C$359,Конструкторы!$A841)</f>
        <v>0</v>
      </c>
      <c r="L841" s="166">
        <f>SUMIFS(Продажи!I$5:I$359,Продажи!$D$5:$D$359,Конструкторы!$B841,Продажи!$C$5:$C$359,Конструкторы!$A841)</f>
        <v>0</v>
      </c>
      <c r="M841" s="166">
        <f>SUMIFS(Продажи!J$5:J$359,Продажи!$D$5:$D$359,Конструкторы!$B841,Продажи!$C$5:$C$359,Конструкторы!$A841)</f>
        <v>0</v>
      </c>
      <c r="N841" s="166">
        <f>SUMIFS(Продажи!K$5:K$359,Продажи!$D$5:$D$359,Конструкторы!$B841,Продажи!$C$5:$C$359,Конструкторы!$A841)</f>
        <v>0</v>
      </c>
      <c r="O841" s="166">
        <f>SUMIFS(Продажи!L$5:L$359,Продажи!$D$5:$D$359,Конструкторы!$B841,Продажи!$C$5:$C$359,Конструкторы!$A841)</f>
        <v>0</v>
      </c>
      <c r="P841" s="166">
        <f>SUMIFS(Продажи!M$5:M$359,Продажи!$D$5:$D$359,Конструкторы!$B841,Продажи!$C$5:$C$359,Конструкторы!$A841)</f>
        <v>0</v>
      </c>
      <c r="Q841" s="166">
        <f>SUMIFS(Продажи!N$5:N$359,Продажи!$D$5:$D$359,Конструкторы!$B841,Продажи!$C$5:$C$359,Конструкторы!$A841)</f>
        <v>0</v>
      </c>
      <c r="R841" s="166">
        <f>SUMIFS(Продажи!O$5:O$359,Продажи!$D$5:$D$359,Конструкторы!$B841,Продажи!$C$5:$C$359,Конструкторы!$A841)</f>
        <v>0</v>
      </c>
      <c r="S841" s="166">
        <f>SUMIFS(Продажи!P$5:P$359,Продажи!$D$5:$D$359,Конструкторы!$B841,Продажи!$C$5:$C$359,Конструкторы!$A841)</f>
        <v>0</v>
      </c>
      <c r="T841" s="166">
        <f>SUMIFS(Продажи!Q$5:Q$359,Продажи!$D$5:$D$359,Конструкторы!$B841,Продажи!$C$5:$C$359,Конструкторы!$A841)</f>
        <v>0</v>
      </c>
    </row>
    <row r="842" spans="1:20" ht="15.75" hidden="1" x14ac:dyDescent="0.25">
      <c r="A842" s="166" t="s">
        <v>397</v>
      </c>
      <c r="B842" s="167" t="s">
        <v>352</v>
      </c>
      <c r="C842" s="33" t="s">
        <v>75</v>
      </c>
      <c r="D842" s="149"/>
      <c r="E842" s="153" t="s">
        <v>70</v>
      </c>
      <c r="F842" s="148">
        <v>16</v>
      </c>
      <c r="G842" s="156" t="s">
        <v>71</v>
      </c>
      <c r="H842" s="156">
        <f>F842</f>
        <v>16</v>
      </c>
      <c r="I842" s="166">
        <f>SUMIFS(Продажи!F$5:F$359,Продажи!$D$5:$D$359,Конструкторы!$B842,Продажи!$C$5:$C$359,Конструкторы!$A842)</f>
        <v>0</v>
      </c>
      <c r="J842" s="166">
        <f>SUMIFS(Продажи!G$5:G$359,Продажи!$D$5:$D$359,Конструкторы!$B842,Продажи!$C$5:$C$359,Конструкторы!$A842)</f>
        <v>0</v>
      </c>
      <c r="K842" s="166">
        <f>SUMIFS(Продажи!H$5:H$359,Продажи!$D$5:$D$359,Конструкторы!$B842,Продажи!$C$5:$C$359,Конструкторы!$A842)</f>
        <v>0</v>
      </c>
      <c r="L842" s="166">
        <f>SUMIFS(Продажи!I$5:I$359,Продажи!$D$5:$D$359,Конструкторы!$B842,Продажи!$C$5:$C$359,Конструкторы!$A842)</f>
        <v>0</v>
      </c>
      <c r="M842" s="166">
        <f>SUMIFS(Продажи!J$5:J$359,Продажи!$D$5:$D$359,Конструкторы!$B842,Продажи!$C$5:$C$359,Конструкторы!$A842)</f>
        <v>0</v>
      </c>
      <c r="N842" s="166">
        <f>SUMIFS(Продажи!K$5:K$359,Продажи!$D$5:$D$359,Конструкторы!$B842,Продажи!$C$5:$C$359,Конструкторы!$A842)</f>
        <v>0</v>
      </c>
      <c r="O842" s="166">
        <f>SUMIFS(Продажи!L$5:L$359,Продажи!$D$5:$D$359,Конструкторы!$B842,Продажи!$C$5:$C$359,Конструкторы!$A842)</f>
        <v>0</v>
      </c>
      <c r="P842" s="166">
        <f>SUMIFS(Продажи!M$5:M$359,Продажи!$D$5:$D$359,Конструкторы!$B842,Продажи!$C$5:$C$359,Конструкторы!$A842)</f>
        <v>0</v>
      </c>
      <c r="Q842" s="166">
        <f>SUMIFS(Продажи!N$5:N$359,Продажи!$D$5:$D$359,Конструкторы!$B842,Продажи!$C$5:$C$359,Конструкторы!$A842)</f>
        <v>0</v>
      </c>
      <c r="R842" s="166">
        <f>SUMIFS(Продажи!O$5:O$359,Продажи!$D$5:$D$359,Конструкторы!$B842,Продажи!$C$5:$C$359,Конструкторы!$A842)</f>
        <v>0</v>
      </c>
      <c r="S842" s="166">
        <f>SUMIFS(Продажи!P$5:P$359,Продажи!$D$5:$D$359,Конструкторы!$B842,Продажи!$C$5:$C$359,Конструкторы!$A842)</f>
        <v>0</v>
      </c>
      <c r="T842" s="166">
        <f>SUMIFS(Продажи!Q$5:Q$359,Продажи!$D$5:$D$359,Конструкторы!$B842,Продажи!$C$5:$C$359,Конструкторы!$A842)</f>
        <v>0</v>
      </c>
    </row>
    <row r="843" spans="1:20" ht="15.75" hidden="1" x14ac:dyDescent="0.25">
      <c r="A843" s="166" t="s">
        <v>397</v>
      </c>
      <c r="B843" s="167" t="s">
        <v>353</v>
      </c>
      <c r="C843" s="129" t="s">
        <v>59</v>
      </c>
      <c r="D843" s="160"/>
      <c r="E843" s="153" t="s">
        <v>68</v>
      </c>
      <c r="F843" s="156">
        <f>(0.845*103)/100</f>
        <v>0.87034999999999996</v>
      </c>
      <c r="G843" s="156">
        <v>2.5349999999999984E-2</v>
      </c>
      <c r="H843" s="156">
        <f>F843+G843</f>
        <v>0.89569999999999994</v>
      </c>
      <c r="I843" s="166">
        <f>SUMIFS(Продажи!F$5:F$359,Продажи!$D$5:$D$359,Конструкторы!$B843,Продажи!$C$5:$C$359,Конструкторы!$A843)</f>
        <v>0</v>
      </c>
      <c r="J843" s="166">
        <f>SUMIFS(Продажи!G$5:G$359,Продажи!$D$5:$D$359,Конструкторы!$B843,Продажи!$C$5:$C$359,Конструкторы!$A843)</f>
        <v>0</v>
      </c>
      <c r="K843" s="166">
        <f>SUMIFS(Продажи!H$5:H$359,Продажи!$D$5:$D$359,Конструкторы!$B843,Продажи!$C$5:$C$359,Конструкторы!$A843)</f>
        <v>0</v>
      </c>
      <c r="L843" s="166">
        <f>SUMIFS(Продажи!I$5:I$359,Продажи!$D$5:$D$359,Конструкторы!$B843,Продажи!$C$5:$C$359,Конструкторы!$A843)</f>
        <v>0</v>
      </c>
      <c r="M843" s="166">
        <f>SUMIFS(Продажи!J$5:J$359,Продажи!$D$5:$D$359,Конструкторы!$B843,Продажи!$C$5:$C$359,Конструкторы!$A843)</f>
        <v>0</v>
      </c>
      <c r="N843" s="166">
        <f>SUMIFS(Продажи!K$5:K$359,Продажи!$D$5:$D$359,Конструкторы!$B843,Продажи!$C$5:$C$359,Конструкторы!$A843)</f>
        <v>0</v>
      </c>
      <c r="O843" s="166">
        <f>SUMIFS(Продажи!L$5:L$359,Продажи!$D$5:$D$359,Конструкторы!$B843,Продажи!$C$5:$C$359,Конструкторы!$A843)</f>
        <v>0</v>
      </c>
      <c r="P843" s="166">
        <f>SUMIFS(Продажи!M$5:M$359,Продажи!$D$5:$D$359,Конструкторы!$B843,Продажи!$C$5:$C$359,Конструкторы!$A843)</f>
        <v>0</v>
      </c>
      <c r="Q843" s="166">
        <f>SUMIFS(Продажи!N$5:N$359,Продажи!$D$5:$D$359,Конструкторы!$B843,Продажи!$C$5:$C$359,Конструкторы!$A843)</f>
        <v>0</v>
      </c>
      <c r="R843" s="166">
        <f>SUMIFS(Продажи!O$5:O$359,Продажи!$D$5:$D$359,Конструкторы!$B843,Продажи!$C$5:$C$359,Конструкторы!$A843)</f>
        <v>0</v>
      </c>
      <c r="S843" s="166">
        <f>SUMIFS(Продажи!P$5:P$359,Продажи!$D$5:$D$359,Конструкторы!$B843,Продажи!$C$5:$C$359,Конструкторы!$A843)</f>
        <v>0</v>
      </c>
      <c r="T843" s="166">
        <f>SUMIFS(Продажи!Q$5:Q$359,Продажи!$D$5:$D$359,Конструкторы!$B843,Продажи!$C$5:$C$359,Конструкторы!$A843)</f>
        <v>0</v>
      </c>
    </row>
    <row r="844" spans="1:20" ht="15.75" hidden="1" x14ac:dyDescent="0.25">
      <c r="A844" s="166" t="s">
        <v>397</v>
      </c>
      <c r="B844" s="167" t="s">
        <v>353</v>
      </c>
      <c r="C844" s="33" t="s">
        <v>73</v>
      </c>
      <c r="D844" s="149"/>
      <c r="E844" s="153" t="s">
        <v>70</v>
      </c>
      <c r="F844" s="148">
        <v>4</v>
      </c>
      <c r="G844" s="156" t="s">
        <v>71</v>
      </c>
      <c r="H844" s="156">
        <f>F844</f>
        <v>4</v>
      </c>
      <c r="I844" s="166">
        <f>SUMIFS(Продажи!F$5:F$359,Продажи!$D$5:$D$359,Конструкторы!$B844,Продажи!$C$5:$C$359,Конструкторы!$A844)</f>
        <v>0</v>
      </c>
      <c r="J844" s="166">
        <f>SUMIFS(Продажи!G$5:G$359,Продажи!$D$5:$D$359,Конструкторы!$B844,Продажи!$C$5:$C$359,Конструкторы!$A844)</f>
        <v>0</v>
      </c>
      <c r="K844" s="166">
        <f>SUMIFS(Продажи!H$5:H$359,Продажи!$D$5:$D$359,Конструкторы!$B844,Продажи!$C$5:$C$359,Конструкторы!$A844)</f>
        <v>0</v>
      </c>
      <c r="L844" s="166">
        <f>SUMIFS(Продажи!I$5:I$359,Продажи!$D$5:$D$359,Конструкторы!$B844,Продажи!$C$5:$C$359,Конструкторы!$A844)</f>
        <v>0</v>
      </c>
      <c r="M844" s="166">
        <f>SUMIFS(Продажи!J$5:J$359,Продажи!$D$5:$D$359,Конструкторы!$B844,Продажи!$C$5:$C$359,Конструкторы!$A844)</f>
        <v>0</v>
      </c>
      <c r="N844" s="166">
        <f>SUMIFS(Продажи!K$5:K$359,Продажи!$D$5:$D$359,Конструкторы!$B844,Продажи!$C$5:$C$359,Конструкторы!$A844)</f>
        <v>0</v>
      </c>
      <c r="O844" s="166">
        <f>SUMIFS(Продажи!L$5:L$359,Продажи!$D$5:$D$359,Конструкторы!$B844,Продажи!$C$5:$C$359,Конструкторы!$A844)</f>
        <v>0</v>
      </c>
      <c r="P844" s="166">
        <f>SUMIFS(Продажи!M$5:M$359,Продажи!$D$5:$D$359,Конструкторы!$B844,Продажи!$C$5:$C$359,Конструкторы!$A844)</f>
        <v>0</v>
      </c>
      <c r="Q844" s="166">
        <f>SUMIFS(Продажи!N$5:N$359,Продажи!$D$5:$D$359,Конструкторы!$B844,Продажи!$C$5:$C$359,Конструкторы!$A844)</f>
        <v>0</v>
      </c>
      <c r="R844" s="166">
        <f>SUMIFS(Продажи!O$5:O$359,Продажи!$D$5:$D$359,Конструкторы!$B844,Продажи!$C$5:$C$359,Конструкторы!$A844)</f>
        <v>0</v>
      </c>
      <c r="S844" s="166">
        <f>SUMIFS(Продажи!P$5:P$359,Продажи!$D$5:$D$359,Конструкторы!$B844,Продажи!$C$5:$C$359,Конструкторы!$A844)</f>
        <v>0</v>
      </c>
      <c r="T844" s="166">
        <f>SUMIFS(Продажи!Q$5:Q$359,Продажи!$D$5:$D$359,Конструкторы!$B844,Продажи!$C$5:$C$359,Конструкторы!$A844)</f>
        <v>0</v>
      </c>
    </row>
    <row r="845" spans="1:20" ht="15.75" hidden="1" x14ac:dyDescent="0.25">
      <c r="A845" s="166" t="s">
        <v>397</v>
      </c>
      <c r="B845" s="167" t="s">
        <v>353</v>
      </c>
      <c r="C845" s="33" t="s">
        <v>75</v>
      </c>
      <c r="D845" s="149"/>
      <c r="E845" s="153" t="s">
        <v>70</v>
      </c>
      <c r="F845" s="148">
        <v>16</v>
      </c>
      <c r="G845" s="156" t="s">
        <v>71</v>
      </c>
      <c r="H845" s="156">
        <f>F845</f>
        <v>16</v>
      </c>
      <c r="I845" s="166">
        <f>SUMIFS(Продажи!F$5:F$359,Продажи!$D$5:$D$359,Конструкторы!$B845,Продажи!$C$5:$C$359,Конструкторы!$A845)</f>
        <v>0</v>
      </c>
      <c r="J845" s="166">
        <f>SUMIFS(Продажи!G$5:G$359,Продажи!$D$5:$D$359,Конструкторы!$B845,Продажи!$C$5:$C$359,Конструкторы!$A845)</f>
        <v>0</v>
      </c>
      <c r="K845" s="166">
        <f>SUMIFS(Продажи!H$5:H$359,Продажи!$D$5:$D$359,Конструкторы!$B845,Продажи!$C$5:$C$359,Конструкторы!$A845)</f>
        <v>0</v>
      </c>
      <c r="L845" s="166">
        <f>SUMIFS(Продажи!I$5:I$359,Продажи!$D$5:$D$359,Конструкторы!$B845,Продажи!$C$5:$C$359,Конструкторы!$A845)</f>
        <v>0</v>
      </c>
      <c r="M845" s="166">
        <f>SUMIFS(Продажи!J$5:J$359,Продажи!$D$5:$D$359,Конструкторы!$B845,Продажи!$C$5:$C$359,Конструкторы!$A845)</f>
        <v>0</v>
      </c>
      <c r="N845" s="166">
        <f>SUMIFS(Продажи!K$5:K$359,Продажи!$D$5:$D$359,Конструкторы!$B845,Продажи!$C$5:$C$359,Конструкторы!$A845)</f>
        <v>0</v>
      </c>
      <c r="O845" s="166">
        <f>SUMIFS(Продажи!L$5:L$359,Продажи!$D$5:$D$359,Конструкторы!$B845,Продажи!$C$5:$C$359,Конструкторы!$A845)</f>
        <v>0</v>
      </c>
      <c r="P845" s="166">
        <f>SUMIFS(Продажи!M$5:M$359,Продажи!$D$5:$D$359,Конструкторы!$B845,Продажи!$C$5:$C$359,Конструкторы!$A845)</f>
        <v>0</v>
      </c>
      <c r="Q845" s="166">
        <f>SUMIFS(Продажи!N$5:N$359,Продажи!$D$5:$D$359,Конструкторы!$B845,Продажи!$C$5:$C$359,Конструкторы!$A845)</f>
        <v>0</v>
      </c>
      <c r="R845" s="166">
        <f>SUMIFS(Продажи!O$5:O$359,Продажи!$D$5:$D$359,Конструкторы!$B845,Продажи!$C$5:$C$359,Конструкторы!$A845)</f>
        <v>0</v>
      </c>
      <c r="S845" s="166">
        <f>SUMIFS(Продажи!P$5:P$359,Продажи!$D$5:$D$359,Конструкторы!$B845,Продажи!$C$5:$C$359,Конструкторы!$A845)</f>
        <v>0</v>
      </c>
      <c r="T845" s="166">
        <f>SUMIFS(Продажи!Q$5:Q$359,Продажи!$D$5:$D$359,Конструкторы!$B845,Продажи!$C$5:$C$359,Конструкторы!$A845)</f>
        <v>0</v>
      </c>
    </row>
    <row r="846" spans="1:20" ht="15.75" hidden="1" x14ac:dyDescent="0.25">
      <c r="A846" s="166" t="s">
        <v>397</v>
      </c>
      <c r="B846" s="167" t="s">
        <v>246</v>
      </c>
      <c r="C846" s="129" t="s">
        <v>53</v>
      </c>
      <c r="D846" s="130">
        <v>7038</v>
      </c>
      <c r="E846" s="153" t="s">
        <v>68</v>
      </c>
      <c r="F846" s="156">
        <f>(1.2*103)/100</f>
        <v>1.236</v>
      </c>
      <c r="G846" s="156">
        <v>3.6000000000000032E-2</v>
      </c>
      <c r="H846" s="156">
        <f>F846+G846</f>
        <v>1.272</v>
      </c>
      <c r="I846" s="166">
        <f>SUMIFS(Продажи!F$5:F$359,Продажи!$D$5:$D$359,Конструкторы!$B846,Продажи!$C$5:$C$359,Конструкторы!$A846)</f>
        <v>35</v>
      </c>
      <c r="J846" s="166">
        <f>SUMIFS(Продажи!G$5:G$359,Продажи!$D$5:$D$359,Конструкторы!$B846,Продажи!$C$5:$C$359,Конструкторы!$A846)</f>
        <v>0</v>
      </c>
      <c r="K846" s="166">
        <f>SUMIFS(Продажи!H$5:H$359,Продажи!$D$5:$D$359,Конструкторы!$B846,Продажи!$C$5:$C$359,Конструкторы!$A846)</f>
        <v>0</v>
      </c>
      <c r="L846" s="166">
        <f>SUMIFS(Продажи!I$5:I$359,Продажи!$D$5:$D$359,Конструкторы!$B846,Продажи!$C$5:$C$359,Конструкторы!$A846)</f>
        <v>0</v>
      </c>
      <c r="M846" s="166">
        <f>SUMIFS(Продажи!J$5:J$359,Продажи!$D$5:$D$359,Конструкторы!$B846,Продажи!$C$5:$C$359,Конструкторы!$A846)</f>
        <v>0</v>
      </c>
      <c r="N846" s="166">
        <f>SUMIFS(Продажи!K$5:K$359,Продажи!$D$5:$D$359,Конструкторы!$B846,Продажи!$C$5:$C$359,Конструкторы!$A846)</f>
        <v>0</v>
      </c>
      <c r="O846" s="166">
        <f>SUMIFS(Продажи!L$5:L$359,Продажи!$D$5:$D$359,Конструкторы!$B846,Продажи!$C$5:$C$359,Конструкторы!$A846)</f>
        <v>0</v>
      </c>
      <c r="P846" s="166">
        <f>SUMIFS(Продажи!M$5:M$359,Продажи!$D$5:$D$359,Конструкторы!$B846,Продажи!$C$5:$C$359,Конструкторы!$A846)</f>
        <v>0</v>
      </c>
      <c r="Q846" s="166">
        <f>SUMIFS(Продажи!N$5:N$359,Продажи!$D$5:$D$359,Конструкторы!$B846,Продажи!$C$5:$C$359,Конструкторы!$A846)</f>
        <v>0</v>
      </c>
      <c r="R846" s="166">
        <f>SUMIFS(Продажи!O$5:O$359,Продажи!$D$5:$D$359,Конструкторы!$B846,Продажи!$C$5:$C$359,Конструкторы!$A846)</f>
        <v>0</v>
      </c>
      <c r="S846" s="166">
        <f>SUMIFS(Продажи!P$5:P$359,Продажи!$D$5:$D$359,Конструкторы!$B846,Продажи!$C$5:$C$359,Конструкторы!$A846)</f>
        <v>0</v>
      </c>
      <c r="T846" s="166">
        <f>SUMIFS(Продажи!Q$5:Q$359,Продажи!$D$5:$D$359,Конструкторы!$B846,Продажи!$C$5:$C$359,Конструкторы!$A846)</f>
        <v>0</v>
      </c>
    </row>
    <row r="847" spans="1:20" ht="15.75" hidden="1" x14ac:dyDescent="0.25">
      <c r="A847" s="166" t="s">
        <v>397</v>
      </c>
      <c r="B847" s="167" t="s">
        <v>246</v>
      </c>
      <c r="C847" s="129" t="s">
        <v>52</v>
      </c>
      <c r="D847" s="149"/>
      <c r="E847" s="153" t="s">
        <v>68</v>
      </c>
      <c r="F847" s="156">
        <f>(0.2*103)/100</f>
        <v>0.20600000000000002</v>
      </c>
      <c r="G847" s="156">
        <v>6.0000000000000053E-3</v>
      </c>
      <c r="H847" s="156">
        <f>F847+G847</f>
        <v>0.21200000000000002</v>
      </c>
      <c r="I847" s="166">
        <f>SUMIFS(Продажи!F$5:F$359,Продажи!$D$5:$D$359,Конструкторы!$B847,Продажи!$C$5:$C$359,Конструкторы!$A847)</f>
        <v>35</v>
      </c>
      <c r="J847" s="166">
        <f>SUMIFS(Продажи!G$5:G$359,Продажи!$D$5:$D$359,Конструкторы!$B847,Продажи!$C$5:$C$359,Конструкторы!$A847)</f>
        <v>0</v>
      </c>
      <c r="K847" s="166">
        <f>SUMIFS(Продажи!H$5:H$359,Продажи!$D$5:$D$359,Конструкторы!$B847,Продажи!$C$5:$C$359,Конструкторы!$A847)</f>
        <v>0</v>
      </c>
      <c r="L847" s="166">
        <f>SUMIFS(Продажи!I$5:I$359,Продажи!$D$5:$D$359,Конструкторы!$B847,Продажи!$C$5:$C$359,Конструкторы!$A847)</f>
        <v>0</v>
      </c>
      <c r="M847" s="166">
        <f>SUMIFS(Продажи!J$5:J$359,Продажи!$D$5:$D$359,Конструкторы!$B847,Продажи!$C$5:$C$359,Конструкторы!$A847)</f>
        <v>0</v>
      </c>
      <c r="N847" s="166">
        <f>SUMIFS(Продажи!K$5:K$359,Продажи!$D$5:$D$359,Конструкторы!$B847,Продажи!$C$5:$C$359,Конструкторы!$A847)</f>
        <v>0</v>
      </c>
      <c r="O847" s="166">
        <f>SUMIFS(Продажи!L$5:L$359,Продажи!$D$5:$D$359,Конструкторы!$B847,Продажи!$C$5:$C$359,Конструкторы!$A847)</f>
        <v>0</v>
      </c>
      <c r="P847" s="166">
        <f>SUMIFS(Продажи!M$5:M$359,Продажи!$D$5:$D$359,Конструкторы!$B847,Продажи!$C$5:$C$359,Конструкторы!$A847)</f>
        <v>0</v>
      </c>
      <c r="Q847" s="166">
        <f>SUMIFS(Продажи!N$5:N$359,Продажи!$D$5:$D$359,Конструкторы!$B847,Продажи!$C$5:$C$359,Конструкторы!$A847)</f>
        <v>0</v>
      </c>
      <c r="R847" s="166">
        <f>SUMIFS(Продажи!O$5:O$359,Продажи!$D$5:$D$359,Конструкторы!$B847,Продажи!$C$5:$C$359,Конструкторы!$A847)</f>
        <v>0</v>
      </c>
      <c r="S847" s="166">
        <f>SUMIFS(Продажи!P$5:P$359,Продажи!$D$5:$D$359,Конструкторы!$B847,Продажи!$C$5:$C$359,Конструкторы!$A847)</f>
        <v>0</v>
      </c>
      <c r="T847" s="166">
        <f>SUMIFS(Продажи!Q$5:Q$359,Продажи!$D$5:$D$359,Конструкторы!$B847,Продажи!$C$5:$C$359,Конструкторы!$A847)</f>
        <v>0</v>
      </c>
    </row>
    <row r="848" spans="1:20" ht="15.75" hidden="1" x14ac:dyDescent="0.25">
      <c r="A848" s="166" t="s">
        <v>397</v>
      </c>
      <c r="B848" s="167" t="s">
        <v>246</v>
      </c>
      <c r="C848" s="33" t="s">
        <v>77</v>
      </c>
      <c r="D848" s="149"/>
      <c r="E848" s="153" t="s">
        <v>70</v>
      </c>
      <c r="F848" s="148">
        <v>2</v>
      </c>
      <c r="G848" s="156" t="s">
        <v>71</v>
      </c>
      <c r="H848" s="156">
        <f>F848</f>
        <v>2</v>
      </c>
      <c r="I848" s="166">
        <f>SUMIFS(Продажи!F$5:F$359,Продажи!$D$5:$D$359,Конструкторы!$B848,Продажи!$C$5:$C$359,Конструкторы!$A848)</f>
        <v>35</v>
      </c>
      <c r="J848" s="166">
        <f>SUMIFS(Продажи!G$5:G$359,Продажи!$D$5:$D$359,Конструкторы!$B848,Продажи!$C$5:$C$359,Конструкторы!$A848)</f>
        <v>0</v>
      </c>
      <c r="K848" s="166">
        <f>SUMIFS(Продажи!H$5:H$359,Продажи!$D$5:$D$359,Конструкторы!$B848,Продажи!$C$5:$C$359,Конструкторы!$A848)</f>
        <v>0</v>
      </c>
      <c r="L848" s="166">
        <f>SUMIFS(Продажи!I$5:I$359,Продажи!$D$5:$D$359,Конструкторы!$B848,Продажи!$C$5:$C$359,Конструкторы!$A848)</f>
        <v>0</v>
      </c>
      <c r="M848" s="166">
        <f>SUMIFS(Продажи!J$5:J$359,Продажи!$D$5:$D$359,Конструкторы!$B848,Продажи!$C$5:$C$359,Конструкторы!$A848)</f>
        <v>0</v>
      </c>
      <c r="N848" s="166">
        <f>SUMIFS(Продажи!K$5:K$359,Продажи!$D$5:$D$359,Конструкторы!$B848,Продажи!$C$5:$C$359,Конструкторы!$A848)</f>
        <v>0</v>
      </c>
      <c r="O848" s="166">
        <f>SUMIFS(Продажи!L$5:L$359,Продажи!$D$5:$D$359,Конструкторы!$B848,Продажи!$C$5:$C$359,Конструкторы!$A848)</f>
        <v>0</v>
      </c>
      <c r="P848" s="166">
        <f>SUMIFS(Продажи!M$5:M$359,Продажи!$D$5:$D$359,Конструкторы!$B848,Продажи!$C$5:$C$359,Конструкторы!$A848)</f>
        <v>0</v>
      </c>
      <c r="Q848" s="166">
        <f>SUMIFS(Продажи!N$5:N$359,Продажи!$D$5:$D$359,Конструкторы!$B848,Продажи!$C$5:$C$359,Конструкторы!$A848)</f>
        <v>0</v>
      </c>
      <c r="R848" s="166">
        <f>SUMIFS(Продажи!O$5:O$359,Продажи!$D$5:$D$359,Конструкторы!$B848,Продажи!$C$5:$C$359,Конструкторы!$A848)</f>
        <v>0</v>
      </c>
      <c r="S848" s="166">
        <f>SUMIFS(Продажи!P$5:P$359,Продажи!$D$5:$D$359,Конструкторы!$B848,Продажи!$C$5:$C$359,Конструкторы!$A848)</f>
        <v>0</v>
      </c>
      <c r="T848" s="166">
        <f>SUMIFS(Продажи!Q$5:Q$359,Продажи!$D$5:$D$359,Конструкторы!$B848,Продажи!$C$5:$C$359,Конструкторы!$A848)</f>
        <v>0</v>
      </c>
    </row>
    <row r="849" spans="1:20" ht="15.75" hidden="1" x14ac:dyDescent="0.25">
      <c r="A849" s="166" t="s">
        <v>397</v>
      </c>
      <c r="B849" s="167" t="s">
        <v>246</v>
      </c>
      <c r="C849" s="33" t="s">
        <v>75</v>
      </c>
      <c r="D849" s="149"/>
      <c r="E849" s="153" t="s">
        <v>70</v>
      </c>
      <c r="F849" s="148">
        <v>12</v>
      </c>
      <c r="G849" s="156" t="s">
        <v>71</v>
      </c>
      <c r="H849" s="156">
        <f>F849</f>
        <v>12</v>
      </c>
      <c r="I849" s="166">
        <f>SUMIFS(Продажи!F$5:F$359,Продажи!$D$5:$D$359,Конструкторы!$B849,Продажи!$C$5:$C$359,Конструкторы!$A849)</f>
        <v>35</v>
      </c>
      <c r="J849" s="166">
        <f>SUMIFS(Продажи!G$5:G$359,Продажи!$D$5:$D$359,Конструкторы!$B849,Продажи!$C$5:$C$359,Конструкторы!$A849)</f>
        <v>0</v>
      </c>
      <c r="K849" s="166">
        <f>SUMIFS(Продажи!H$5:H$359,Продажи!$D$5:$D$359,Конструкторы!$B849,Продажи!$C$5:$C$359,Конструкторы!$A849)</f>
        <v>0</v>
      </c>
      <c r="L849" s="166">
        <f>SUMIFS(Продажи!I$5:I$359,Продажи!$D$5:$D$359,Конструкторы!$B849,Продажи!$C$5:$C$359,Конструкторы!$A849)</f>
        <v>0</v>
      </c>
      <c r="M849" s="166">
        <f>SUMIFS(Продажи!J$5:J$359,Продажи!$D$5:$D$359,Конструкторы!$B849,Продажи!$C$5:$C$359,Конструкторы!$A849)</f>
        <v>0</v>
      </c>
      <c r="N849" s="166">
        <f>SUMIFS(Продажи!K$5:K$359,Продажи!$D$5:$D$359,Конструкторы!$B849,Продажи!$C$5:$C$359,Конструкторы!$A849)</f>
        <v>0</v>
      </c>
      <c r="O849" s="166">
        <f>SUMIFS(Продажи!L$5:L$359,Продажи!$D$5:$D$359,Конструкторы!$B849,Продажи!$C$5:$C$359,Конструкторы!$A849)</f>
        <v>0</v>
      </c>
      <c r="P849" s="166">
        <f>SUMIFS(Продажи!M$5:M$359,Продажи!$D$5:$D$359,Конструкторы!$B849,Продажи!$C$5:$C$359,Конструкторы!$A849)</f>
        <v>0</v>
      </c>
      <c r="Q849" s="166">
        <f>SUMIFS(Продажи!N$5:N$359,Продажи!$D$5:$D$359,Конструкторы!$B849,Продажи!$C$5:$C$359,Конструкторы!$A849)</f>
        <v>0</v>
      </c>
      <c r="R849" s="166">
        <f>SUMIFS(Продажи!O$5:O$359,Продажи!$D$5:$D$359,Конструкторы!$B849,Продажи!$C$5:$C$359,Конструкторы!$A849)</f>
        <v>0</v>
      </c>
      <c r="S849" s="166">
        <f>SUMIFS(Продажи!P$5:P$359,Продажи!$D$5:$D$359,Конструкторы!$B849,Продажи!$C$5:$C$359,Конструкторы!$A849)</f>
        <v>0</v>
      </c>
      <c r="T849" s="166">
        <f>SUMIFS(Продажи!Q$5:Q$359,Продажи!$D$5:$D$359,Конструкторы!$B849,Продажи!$C$5:$C$359,Конструкторы!$A849)</f>
        <v>0</v>
      </c>
    </row>
    <row r="850" spans="1:20" ht="15.75" hidden="1" x14ac:dyDescent="0.25">
      <c r="A850" s="166" t="s">
        <v>397</v>
      </c>
      <c r="B850" s="167" t="s">
        <v>246</v>
      </c>
      <c r="C850" s="33" t="s">
        <v>69</v>
      </c>
      <c r="D850" s="149"/>
      <c r="E850" s="153" t="s">
        <v>70</v>
      </c>
      <c r="F850" s="148">
        <v>4</v>
      </c>
      <c r="G850" s="156" t="s">
        <v>71</v>
      </c>
      <c r="H850" s="156">
        <f>F850</f>
        <v>4</v>
      </c>
      <c r="I850" s="166">
        <f>SUMIFS(Продажи!F$5:F$359,Продажи!$D$5:$D$359,Конструкторы!$B850,Продажи!$C$5:$C$359,Конструкторы!$A850)</f>
        <v>35</v>
      </c>
      <c r="J850" s="166">
        <f>SUMIFS(Продажи!G$5:G$359,Продажи!$D$5:$D$359,Конструкторы!$B850,Продажи!$C$5:$C$359,Конструкторы!$A850)</f>
        <v>0</v>
      </c>
      <c r="K850" s="166">
        <f>SUMIFS(Продажи!H$5:H$359,Продажи!$D$5:$D$359,Конструкторы!$B850,Продажи!$C$5:$C$359,Конструкторы!$A850)</f>
        <v>0</v>
      </c>
      <c r="L850" s="166">
        <f>SUMIFS(Продажи!I$5:I$359,Продажи!$D$5:$D$359,Конструкторы!$B850,Продажи!$C$5:$C$359,Конструкторы!$A850)</f>
        <v>0</v>
      </c>
      <c r="M850" s="166">
        <f>SUMIFS(Продажи!J$5:J$359,Продажи!$D$5:$D$359,Конструкторы!$B850,Продажи!$C$5:$C$359,Конструкторы!$A850)</f>
        <v>0</v>
      </c>
      <c r="N850" s="166">
        <f>SUMIFS(Продажи!K$5:K$359,Продажи!$D$5:$D$359,Конструкторы!$B850,Продажи!$C$5:$C$359,Конструкторы!$A850)</f>
        <v>0</v>
      </c>
      <c r="O850" s="166">
        <f>SUMIFS(Продажи!L$5:L$359,Продажи!$D$5:$D$359,Конструкторы!$B850,Продажи!$C$5:$C$359,Конструкторы!$A850)</f>
        <v>0</v>
      </c>
      <c r="P850" s="166">
        <f>SUMIFS(Продажи!M$5:M$359,Продажи!$D$5:$D$359,Конструкторы!$B850,Продажи!$C$5:$C$359,Конструкторы!$A850)</f>
        <v>0</v>
      </c>
      <c r="Q850" s="166">
        <f>SUMIFS(Продажи!N$5:N$359,Продажи!$D$5:$D$359,Конструкторы!$B850,Продажи!$C$5:$C$359,Конструкторы!$A850)</f>
        <v>0</v>
      </c>
      <c r="R850" s="166">
        <f>SUMIFS(Продажи!O$5:O$359,Продажи!$D$5:$D$359,Конструкторы!$B850,Продажи!$C$5:$C$359,Конструкторы!$A850)</f>
        <v>0</v>
      </c>
      <c r="S850" s="166">
        <f>SUMIFS(Продажи!P$5:P$359,Продажи!$D$5:$D$359,Конструкторы!$B850,Продажи!$C$5:$C$359,Конструкторы!$A850)</f>
        <v>0</v>
      </c>
      <c r="T850" s="166">
        <f>SUMIFS(Продажи!Q$5:Q$359,Продажи!$D$5:$D$359,Конструкторы!$B850,Продажи!$C$5:$C$359,Конструкторы!$A850)</f>
        <v>0</v>
      </c>
    </row>
    <row r="851" spans="1:20" ht="15.75" hidden="1" x14ac:dyDescent="0.25">
      <c r="A851" s="166" t="s">
        <v>397</v>
      </c>
      <c r="B851" s="167" t="s">
        <v>247</v>
      </c>
      <c r="C851" s="129" t="s">
        <v>53</v>
      </c>
      <c r="D851" s="130">
        <v>7038</v>
      </c>
      <c r="E851" s="153" t="s">
        <v>68</v>
      </c>
      <c r="F851" s="156">
        <f>(1.2*103)/100</f>
        <v>1.236</v>
      </c>
      <c r="G851" s="156">
        <v>3.6000000000000032E-2</v>
      </c>
      <c r="H851" s="156">
        <f>F851+G851</f>
        <v>1.272</v>
      </c>
      <c r="I851" s="166">
        <f>SUMIFS(Продажи!F$5:F$359,Продажи!$D$5:$D$359,Конструкторы!$B851,Продажи!$C$5:$C$359,Конструкторы!$A851)</f>
        <v>57</v>
      </c>
      <c r="J851" s="166">
        <f>SUMIFS(Продажи!G$5:G$359,Продажи!$D$5:$D$359,Конструкторы!$B851,Продажи!$C$5:$C$359,Конструкторы!$A851)</f>
        <v>0</v>
      </c>
      <c r="K851" s="166">
        <f>SUMIFS(Продажи!H$5:H$359,Продажи!$D$5:$D$359,Конструкторы!$B851,Продажи!$C$5:$C$359,Конструкторы!$A851)</f>
        <v>0</v>
      </c>
      <c r="L851" s="166">
        <f>SUMIFS(Продажи!I$5:I$359,Продажи!$D$5:$D$359,Конструкторы!$B851,Продажи!$C$5:$C$359,Конструкторы!$A851)</f>
        <v>0</v>
      </c>
      <c r="M851" s="166">
        <f>SUMIFS(Продажи!J$5:J$359,Продажи!$D$5:$D$359,Конструкторы!$B851,Продажи!$C$5:$C$359,Конструкторы!$A851)</f>
        <v>0</v>
      </c>
      <c r="N851" s="166">
        <f>SUMIFS(Продажи!K$5:K$359,Продажи!$D$5:$D$359,Конструкторы!$B851,Продажи!$C$5:$C$359,Конструкторы!$A851)</f>
        <v>0</v>
      </c>
      <c r="O851" s="166">
        <f>SUMIFS(Продажи!L$5:L$359,Продажи!$D$5:$D$359,Конструкторы!$B851,Продажи!$C$5:$C$359,Конструкторы!$A851)</f>
        <v>0</v>
      </c>
      <c r="P851" s="166">
        <f>SUMIFS(Продажи!M$5:M$359,Продажи!$D$5:$D$359,Конструкторы!$B851,Продажи!$C$5:$C$359,Конструкторы!$A851)</f>
        <v>0</v>
      </c>
      <c r="Q851" s="166">
        <f>SUMIFS(Продажи!N$5:N$359,Продажи!$D$5:$D$359,Конструкторы!$B851,Продажи!$C$5:$C$359,Конструкторы!$A851)</f>
        <v>0</v>
      </c>
      <c r="R851" s="166">
        <f>SUMIFS(Продажи!O$5:O$359,Продажи!$D$5:$D$359,Конструкторы!$B851,Продажи!$C$5:$C$359,Конструкторы!$A851)</f>
        <v>0</v>
      </c>
      <c r="S851" s="166">
        <f>SUMIFS(Продажи!P$5:P$359,Продажи!$D$5:$D$359,Конструкторы!$B851,Продажи!$C$5:$C$359,Конструкторы!$A851)</f>
        <v>0</v>
      </c>
      <c r="T851" s="166">
        <f>SUMIFS(Продажи!Q$5:Q$359,Продажи!$D$5:$D$359,Конструкторы!$B851,Продажи!$C$5:$C$359,Конструкторы!$A851)</f>
        <v>0</v>
      </c>
    </row>
    <row r="852" spans="1:20" ht="15.75" hidden="1" x14ac:dyDescent="0.25">
      <c r="A852" s="166" t="s">
        <v>397</v>
      </c>
      <c r="B852" s="167" t="s">
        <v>247</v>
      </c>
      <c r="C852" s="129" t="s">
        <v>52</v>
      </c>
      <c r="D852" s="149"/>
      <c r="E852" s="153" t="s">
        <v>68</v>
      </c>
      <c r="F852" s="156">
        <f>(0.4*103)/100</f>
        <v>0.41200000000000003</v>
      </c>
      <c r="G852" s="156">
        <v>1.2000000000000011E-2</v>
      </c>
      <c r="H852" s="156">
        <f>F852+G852</f>
        <v>0.42400000000000004</v>
      </c>
      <c r="I852" s="166">
        <f>SUMIFS(Продажи!F$5:F$359,Продажи!$D$5:$D$359,Конструкторы!$B852,Продажи!$C$5:$C$359,Конструкторы!$A852)</f>
        <v>57</v>
      </c>
      <c r="J852" s="166">
        <f>SUMIFS(Продажи!G$5:G$359,Продажи!$D$5:$D$359,Конструкторы!$B852,Продажи!$C$5:$C$359,Конструкторы!$A852)</f>
        <v>0</v>
      </c>
      <c r="K852" s="166">
        <f>SUMIFS(Продажи!H$5:H$359,Продажи!$D$5:$D$359,Конструкторы!$B852,Продажи!$C$5:$C$359,Конструкторы!$A852)</f>
        <v>0</v>
      </c>
      <c r="L852" s="166">
        <f>SUMIFS(Продажи!I$5:I$359,Продажи!$D$5:$D$359,Конструкторы!$B852,Продажи!$C$5:$C$359,Конструкторы!$A852)</f>
        <v>0</v>
      </c>
      <c r="M852" s="166">
        <f>SUMIFS(Продажи!J$5:J$359,Продажи!$D$5:$D$359,Конструкторы!$B852,Продажи!$C$5:$C$359,Конструкторы!$A852)</f>
        <v>0</v>
      </c>
      <c r="N852" s="166">
        <f>SUMIFS(Продажи!K$5:K$359,Продажи!$D$5:$D$359,Конструкторы!$B852,Продажи!$C$5:$C$359,Конструкторы!$A852)</f>
        <v>0</v>
      </c>
      <c r="O852" s="166">
        <f>SUMIFS(Продажи!L$5:L$359,Продажи!$D$5:$D$359,Конструкторы!$B852,Продажи!$C$5:$C$359,Конструкторы!$A852)</f>
        <v>0</v>
      </c>
      <c r="P852" s="166">
        <f>SUMIFS(Продажи!M$5:M$359,Продажи!$D$5:$D$359,Конструкторы!$B852,Продажи!$C$5:$C$359,Конструкторы!$A852)</f>
        <v>0</v>
      </c>
      <c r="Q852" s="166">
        <f>SUMIFS(Продажи!N$5:N$359,Продажи!$D$5:$D$359,Конструкторы!$B852,Продажи!$C$5:$C$359,Конструкторы!$A852)</f>
        <v>0</v>
      </c>
      <c r="R852" s="166">
        <f>SUMIFS(Продажи!O$5:O$359,Продажи!$D$5:$D$359,Конструкторы!$B852,Продажи!$C$5:$C$359,Конструкторы!$A852)</f>
        <v>0</v>
      </c>
      <c r="S852" s="166">
        <f>SUMIFS(Продажи!P$5:P$359,Продажи!$D$5:$D$359,Конструкторы!$B852,Продажи!$C$5:$C$359,Конструкторы!$A852)</f>
        <v>0</v>
      </c>
      <c r="T852" s="166">
        <f>SUMIFS(Продажи!Q$5:Q$359,Продажи!$D$5:$D$359,Конструкторы!$B852,Продажи!$C$5:$C$359,Конструкторы!$A852)</f>
        <v>0</v>
      </c>
    </row>
    <row r="853" spans="1:20" ht="15.75" hidden="1" x14ac:dyDescent="0.25">
      <c r="A853" s="166" t="s">
        <v>397</v>
      </c>
      <c r="B853" s="167" t="s">
        <v>247</v>
      </c>
      <c r="C853" s="33" t="s">
        <v>77</v>
      </c>
      <c r="D853" s="149"/>
      <c r="E853" s="153" t="s">
        <v>70</v>
      </c>
      <c r="F853" s="148">
        <v>2</v>
      </c>
      <c r="G853" s="156" t="s">
        <v>71</v>
      </c>
      <c r="H853" s="156">
        <f>F853</f>
        <v>2</v>
      </c>
      <c r="I853" s="166">
        <f>SUMIFS(Продажи!F$5:F$359,Продажи!$D$5:$D$359,Конструкторы!$B853,Продажи!$C$5:$C$359,Конструкторы!$A853)</f>
        <v>57</v>
      </c>
      <c r="J853" s="166">
        <f>SUMIFS(Продажи!G$5:G$359,Продажи!$D$5:$D$359,Конструкторы!$B853,Продажи!$C$5:$C$359,Конструкторы!$A853)</f>
        <v>0</v>
      </c>
      <c r="K853" s="166">
        <f>SUMIFS(Продажи!H$5:H$359,Продажи!$D$5:$D$359,Конструкторы!$B853,Продажи!$C$5:$C$359,Конструкторы!$A853)</f>
        <v>0</v>
      </c>
      <c r="L853" s="166">
        <f>SUMIFS(Продажи!I$5:I$359,Продажи!$D$5:$D$359,Конструкторы!$B853,Продажи!$C$5:$C$359,Конструкторы!$A853)</f>
        <v>0</v>
      </c>
      <c r="M853" s="166">
        <f>SUMIFS(Продажи!J$5:J$359,Продажи!$D$5:$D$359,Конструкторы!$B853,Продажи!$C$5:$C$359,Конструкторы!$A853)</f>
        <v>0</v>
      </c>
      <c r="N853" s="166">
        <f>SUMIFS(Продажи!K$5:K$359,Продажи!$D$5:$D$359,Конструкторы!$B853,Продажи!$C$5:$C$359,Конструкторы!$A853)</f>
        <v>0</v>
      </c>
      <c r="O853" s="166">
        <f>SUMIFS(Продажи!L$5:L$359,Продажи!$D$5:$D$359,Конструкторы!$B853,Продажи!$C$5:$C$359,Конструкторы!$A853)</f>
        <v>0</v>
      </c>
      <c r="P853" s="166">
        <f>SUMIFS(Продажи!M$5:M$359,Продажи!$D$5:$D$359,Конструкторы!$B853,Продажи!$C$5:$C$359,Конструкторы!$A853)</f>
        <v>0</v>
      </c>
      <c r="Q853" s="166">
        <f>SUMIFS(Продажи!N$5:N$359,Продажи!$D$5:$D$359,Конструкторы!$B853,Продажи!$C$5:$C$359,Конструкторы!$A853)</f>
        <v>0</v>
      </c>
      <c r="R853" s="166">
        <f>SUMIFS(Продажи!O$5:O$359,Продажи!$D$5:$D$359,Конструкторы!$B853,Продажи!$C$5:$C$359,Конструкторы!$A853)</f>
        <v>0</v>
      </c>
      <c r="S853" s="166">
        <f>SUMIFS(Продажи!P$5:P$359,Продажи!$D$5:$D$359,Конструкторы!$B853,Продажи!$C$5:$C$359,Конструкторы!$A853)</f>
        <v>0</v>
      </c>
      <c r="T853" s="166">
        <f>SUMIFS(Продажи!Q$5:Q$359,Продажи!$D$5:$D$359,Конструкторы!$B853,Продажи!$C$5:$C$359,Конструкторы!$A853)</f>
        <v>0</v>
      </c>
    </row>
    <row r="854" spans="1:20" ht="15.75" hidden="1" x14ac:dyDescent="0.25">
      <c r="A854" s="166" t="s">
        <v>397</v>
      </c>
      <c r="B854" s="167" t="s">
        <v>247</v>
      </c>
      <c r="C854" s="33" t="s">
        <v>75</v>
      </c>
      <c r="D854" s="149"/>
      <c r="E854" s="153" t="s">
        <v>70</v>
      </c>
      <c r="F854" s="148">
        <v>12</v>
      </c>
      <c r="G854" s="156" t="s">
        <v>71</v>
      </c>
      <c r="H854" s="156">
        <f>F854</f>
        <v>12</v>
      </c>
      <c r="I854" s="166">
        <f>SUMIFS(Продажи!F$5:F$359,Продажи!$D$5:$D$359,Конструкторы!$B854,Продажи!$C$5:$C$359,Конструкторы!$A854)</f>
        <v>57</v>
      </c>
      <c r="J854" s="166">
        <f>SUMIFS(Продажи!G$5:G$359,Продажи!$D$5:$D$359,Конструкторы!$B854,Продажи!$C$5:$C$359,Конструкторы!$A854)</f>
        <v>0</v>
      </c>
      <c r="K854" s="166">
        <f>SUMIFS(Продажи!H$5:H$359,Продажи!$D$5:$D$359,Конструкторы!$B854,Продажи!$C$5:$C$359,Конструкторы!$A854)</f>
        <v>0</v>
      </c>
      <c r="L854" s="166">
        <f>SUMIFS(Продажи!I$5:I$359,Продажи!$D$5:$D$359,Конструкторы!$B854,Продажи!$C$5:$C$359,Конструкторы!$A854)</f>
        <v>0</v>
      </c>
      <c r="M854" s="166">
        <f>SUMIFS(Продажи!J$5:J$359,Продажи!$D$5:$D$359,Конструкторы!$B854,Продажи!$C$5:$C$359,Конструкторы!$A854)</f>
        <v>0</v>
      </c>
      <c r="N854" s="166">
        <f>SUMIFS(Продажи!K$5:K$359,Продажи!$D$5:$D$359,Конструкторы!$B854,Продажи!$C$5:$C$359,Конструкторы!$A854)</f>
        <v>0</v>
      </c>
      <c r="O854" s="166">
        <f>SUMIFS(Продажи!L$5:L$359,Продажи!$D$5:$D$359,Конструкторы!$B854,Продажи!$C$5:$C$359,Конструкторы!$A854)</f>
        <v>0</v>
      </c>
      <c r="P854" s="166">
        <f>SUMIFS(Продажи!M$5:M$359,Продажи!$D$5:$D$359,Конструкторы!$B854,Продажи!$C$5:$C$359,Конструкторы!$A854)</f>
        <v>0</v>
      </c>
      <c r="Q854" s="166">
        <f>SUMIFS(Продажи!N$5:N$359,Продажи!$D$5:$D$359,Конструкторы!$B854,Продажи!$C$5:$C$359,Конструкторы!$A854)</f>
        <v>0</v>
      </c>
      <c r="R854" s="166">
        <f>SUMIFS(Продажи!O$5:O$359,Продажи!$D$5:$D$359,Конструкторы!$B854,Продажи!$C$5:$C$359,Конструкторы!$A854)</f>
        <v>0</v>
      </c>
      <c r="S854" s="166">
        <f>SUMIFS(Продажи!P$5:P$359,Продажи!$D$5:$D$359,Конструкторы!$B854,Продажи!$C$5:$C$359,Конструкторы!$A854)</f>
        <v>0</v>
      </c>
      <c r="T854" s="166">
        <f>SUMIFS(Продажи!Q$5:Q$359,Продажи!$D$5:$D$359,Конструкторы!$B854,Продажи!$C$5:$C$359,Конструкторы!$A854)</f>
        <v>0</v>
      </c>
    </row>
    <row r="855" spans="1:20" ht="15.75" hidden="1" x14ac:dyDescent="0.25">
      <c r="A855" s="166" t="s">
        <v>397</v>
      </c>
      <c r="B855" s="167" t="s">
        <v>247</v>
      </c>
      <c r="C855" s="33" t="s">
        <v>69</v>
      </c>
      <c r="D855" s="149"/>
      <c r="E855" s="153" t="s">
        <v>70</v>
      </c>
      <c r="F855" s="148">
        <v>4</v>
      </c>
      <c r="G855" s="156" t="s">
        <v>71</v>
      </c>
      <c r="H855" s="156">
        <f>F855</f>
        <v>4</v>
      </c>
      <c r="I855" s="166">
        <f>SUMIFS(Продажи!F$5:F$359,Продажи!$D$5:$D$359,Конструкторы!$B855,Продажи!$C$5:$C$359,Конструкторы!$A855)</f>
        <v>57</v>
      </c>
      <c r="J855" s="166">
        <f>SUMIFS(Продажи!G$5:G$359,Продажи!$D$5:$D$359,Конструкторы!$B855,Продажи!$C$5:$C$359,Конструкторы!$A855)</f>
        <v>0</v>
      </c>
      <c r="K855" s="166">
        <f>SUMIFS(Продажи!H$5:H$359,Продажи!$D$5:$D$359,Конструкторы!$B855,Продажи!$C$5:$C$359,Конструкторы!$A855)</f>
        <v>0</v>
      </c>
      <c r="L855" s="166">
        <f>SUMIFS(Продажи!I$5:I$359,Продажи!$D$5:$D$359,Конструкторы!$B855,Продажи!$C$5:$C$359,Конструкторы!$A855)</f>
        <v>0</v>
      </c>
      <c r="M855" s="166">
        <f>SUMIFS(Продажи!J$5:J$359,Продажи!$D$5:$D$359,Конструкторы!$B855,Продажи!$C$5:$C$359,Конструкторы!$A855)</f>
        <v>0</v>
      </c>
      <c r="N855" s="166">
        <f>SUMIFS(Продажи!K$5:K$359,Продажи!$D$5:$D$359,Конструкторы!$B855,Продажи!$C$5:$C$359,Конструкторы!$A855)</f>
        <v>0</v>
      </c>
      <c r="O855" s="166">
        <f>SUMIFS(Продажи!L$5:L$359,Продажи!$D$5:$D$359,Конструкторы!$B855,Продажи!$C$5:$C$359,Конструкторы!$A855)</f>
        <v>0</v>
      </c>
      <c r="P855" s="166">
        <f>SUMIFS(Продажи!M$5:M$359,Продажи!$D$5:$D$359,Конструкторы!$B855,Продажи!$C$5:$C$359,Конструкторы!$A855)</f>
        <v>0</v>
      </c>
      <c r="Q855" s="166">
        <f>SUMIFS(Продажи!N$5:N$359,Продажи!$D$5:$D$359,Конструкторы!$B855,Продажи!$C$5:$C$359,Конструкторы!$A855)</f>
        <v>0</v>
      </c>
      <c r="R855" s="166">
        <f>SUMIFS(Продажи!O$5:O$359,Продажи!$D$5:$D$359,Конструкторы!$B855,Продажи!$C$5:$C$359,Конструкторы!$A855)</f>
        <v>0</v>
      </c>
      <c r="S855" s="166">
        <f>SUMIFS(Продажи!P$5:P$359,Продажи!$D$5:$D$359,Конструкторы!$B855,Продажи!$C$5:$C$359,Конструкторы!$A855)</f>
        <v>0</v>
      </c>
      <c r="T855" s="166">
        <f>SUMIFS(Продажи!Q$5:Q$359,Продажи!$D$5:$D$359,Конструкторы!$B855,Продажи!$C$5:$C$359,Конструкторы!$A855)</f>
        <v>0</v>
      </c>
    </row>
    <row r="856" spans="1:20" ht="15.75" hidden="1" x14ac:dyDescent="0.25">
      <c r="A856" s="166" t="s">
        <v>397</v>
      </c>
      <c r="B856" s="167" t="s">
        <v>248</v>
      </c>
      <c r="C856" s="129" t="s">
        <v>53</v>
      </c>
      <c r="D856" s="130">
        <v>7038</v>
      </c>
      <c r="E856" s="153" t="s">
        <v>68</v>
      </c>
      <c r="F856" s="156">
        <f>(1.2*103)/100</f>
        <v>1.236</v>
      </c>
      <c r="G856" s="156">
        <v>3.6000000000000032E-2</v>
      </c>
      <c r="H856" s="156">
        <f>F856+G856</f>
        <v>1.272</v>
      </c>
      <c r="I856" s="166">
        <f>SUMIFS(Продажи!F$5:F$359,Продажи!$D$5:$D$359,Конструкторы!$B856,Продажи!$C$5:$C$359,Конструкторы!$A856)</f>
        <v>32</v>
      </c>
      <c r="J856" s="166">
        <f>SUMIFS(Продажи!G$5:G$359,Продажи!$D$5:$D$359,Конструкторы!$B856,Продажи!$C$5:$C$359,Конструкторы!$A856)</f>
        <v>0</v>
      </c>
      <c r="K856" s="166">
        <f>SUMIFS(Продажи!H$5:H$359,Продажи!$D$5:$D$359,Конструкторы!$B856,Продажи!$C$5:$C$359,Конструкторы!$A856)</f>
        <v>0</v>
      </c>
      <c r="L856" s="166">
        <f>SUMIFS(Продажи!I$5:I$359,Продажи!$D$5:$D$359,Конструкторы!$B856,Продажи!$C$5:$C$359,Конструкторы!$A856)</f>
        <v>0</v>
      </c>
      <c r="M856" s="166">
        <f>SUMIFS(Продажи!J$5:J$359,Продажи!$D$5:$D$359,Конструкторы!$B856,Продажи!$C$5:$C$359,Конструкторы!$A856)</f>
        <v>0</v>
      </c>
      <c r="N856" s="166">
        <f>SUMIFS(Продажи!K$5:K$359,Продажи!$D$5:$D$359,Конструкторы!$B856,Продажи!$C$5:$C$359,Конструкторы!$A856)</f>
        <v>0</v>
      </c>
      <c r="O856" s="166">
        <f>SUMIFS(Продажи!L$5:L$359,Продажи!$D$5:$D$359,Конструкторы!$B856,Продажи!$C$5:$C$359,Конструкторы!$A856)</f>
        <v>0</v>
      </c>
      <c r="P856" s="166">
        <f>SUMIFS(Продажи!M$5:M$359,Продажи!$D$5:$D$359,Конструкторы!$B856,Продажи!$C$5:$C$359,Конструкторы!$A856)</f>
        <v>0</v>
      </c>
      <c r="Q856" s="166">
        <f>SUMIFS(Продажи!N$5:N$359,Продажи!$D$5:$D$359,Конструкторы!$B856,Продажи!$C$5:$C$359,Конструкторы!$A856)</f>
        <v>0</v>
      </c>
      <c r="R856" s="166">
        <f>SUMIFS(Продажи!O$5:O$359,Продажи!$D$5:$D$359,Конструкторы!$B856,Продажи!$C$5:$C$359,Конструкторы!$A856)</f>
        <v>0</v>
      </c>
      <c r="S856" s="166">
        <f>SUMIFS(Продажи!P$5:P$359,Продажи!$D$5:$D$359,Конструкторы!$B856,Продажи!$C$5:$C$359,Конструкторы!$A856)</f>
        <v>0</v>
      </c>
      <c r="T856" s="166">
        <f>SUMIFS(Продажи!Q$5:Q$359,Продажи!$D$5:$D$359,Конструкторы!$B856,Продажи!$C$5:$C$359,Конструкторы!$A856)</f>
        <v>0</v>
      </c>
    </row>
    <row r="857" spans="1:20" ht="15.75" hidden="1" x14ac:dyDescent="0.25">
      <c r="A857" s="166" t="s">
        <v>397</v>
      </c>
      <c r="B857" s="167" t="s">
        <v>248</v>
      </c>
      <c r="C857" s="129" t="s">
        <v>52</v>
      </c>
      <c r="D857" s="149"/>
      <c r="E857" s="153" t="s">
        <v>68</v>
      </c>
      <c r="F857" s="156">
        <f>(0.6*103)/100</f>
        <v>0.61799999999999999</v>
      </c>
      <c r="G857" s="156">
        <v>1.8000000000000016E-2</v>
      </c>
      <c r="H857" s="156">
        <f>F857+G857</f>
        <v>0.63600000000000001</v>
      </c>
      <c r="I857" s="166">
        <f>SUMIFS(Продажи!F$5:F$359,Продажи!$D$5:$D$359,Конструкторы!$B857,Продажи!$C$5:$C$359,Конструкторы!$A857)</f>
        <v>32</v>
      </c>
      <c r="J857" s="166">
        <f>SUMIFS(Продажи!G$5:G$359,Продажи!$D$5:$D$359,Конструкторы!$B857,Продажи!$C$5:$C$359,Конструкторы!$A857)</f>
        <v>0</v>
      </c>
      <c r="K857" s="166">
        <f>SUMIFS(Продажи!H$5:H$359,Продажи!$D$5:$D$359,Конструкторы!$B857,Продажи!$C$5:$C$359,Конструкторы!$A857)</f>
        <v>0</v>
      </c>
      <c r="L857" s="166">
        <f>SUMIFS(Продажи!I$5:I$359,Продажи!$D$5:$D$359,Конструкторы!$B857,Продажи!$C$5:$C$359,Конструкторы!$A857)</f>
        <v>0</v>
      </c>
      <c r="M857" s="166">
        <f>SUMIFS(Продажи!J$5:J$359,Продажи!$D$5:$D$359,Конструкторы!$B857,Продажи!$C$5:$C$359,Конструкторы!$A857)</f>
        <v>0</v>
      </c>
      <c r="N857" s="166">
        <f>SUMIFS(Продажи!K$5:K$359,Продажи!$D$5:$D$359,Конструкторы!$B857,Продажи!$C$5:$C$359,Конструкторы!$A857)</f>
        <v>0</v>
      </c>
      <c r="O857" s="166">
        <f>SUMIFS(Продажи!L$5:L$359,Продажи!$D$5:$D$359,Конструкторы!$B857,Продажи!$C$5:$C$359,Конструкторы!$A857)</f>
        <v>0</v>
      </c>
      <c r="P857" s="166">
        <f>SUMIFS(Продажи!M$5:M$359,Продажи!$D$5:$D$359,Конструкторы!$B857,Продажи!$C$5:$C$359,Конструкторы!$A857)</f>
        <v>0</v>
      </c>
      <c r="Q857" s="166">
        <f>SUMIFS(Продажи!N$5:N$359,Продажи!$D$5:$D$359,Конструкторы!$B857,Продажи!$C$5:$C$359,Конструкторы!$A857)</f>
        <v>0</v>
      </c>
      <c r="R857" s="166">
        <f>SUMIFS(Продажи!O$5:O$359,Продажи!$D$5:$D$359,Конструкторы!$B857,Продажи!$C$5:$C$359,Конструкторы!$A857)</f>
        <v>0</v>
      </c>
      <c r="S857" s="166">
        <f>SUMIFS(Продажи!P$5:P$359,Продажи!$D$5:$D$359,Конструкторы!$B857,Продажи!$C$5:$C$359,Конструкторы!$A857)</f>
        <v>0</v>
      </c>
      <c r="T857" s="166">
        <f>SUMIFS(Продажи!Q$5:Q$359,Продажи!$D$5:$D$359,Конструкторы!$B857,Продажи!$C$5:$C$359,Конструкторы!$A857)</f>
        <v>0</v>
      </c>
    </row>
    <row r="858" spans="1:20" ht="15.75" hidden="1" x14ac:dyDescent="0.25">
      <c r="A858" s="166" t="s">
        <v>397</v>
      </c>
      <c r="B858" s="167" t="s">
        <v>248</v>
      </c>
      <c r="C858" s="33" t="s">
        <v>77</v>
      </c>
      <c r="D858" s="149"/>
      <c r="E858" s="153" t="s">
        <v>70</v>
      </c>
      <c r="F858" s="148">
        <v>2</v>
      </c>
      <c r="G858" s="156" t="s">
        <v>71</v>
      </c>
      <c r="H858" s="156">
        <f>F858</f>
        <v>2</v>
      </c>
      <c r="I858" s="166">
        <f>SUMIFS(Продажи!F$5:F$359,Продажи!$D$5:$D$359,Конструкторы!$B858,Продажи!$C$5:$C$359,Конструкторы!$A858)</f>
        <v>32</v>
      </c>
      <c r="J858" s="166">
        <f>SUMIFS(Продажи!G$5:G$359,Продажи!$D$5:$D$359,Конструкторы!$B858,Продажи!$C$5:$C$359,Конструкторы!$A858)</f>
        <v>0</v>
      </c>
      <c r="K858" s="166">
        <f>SUMIFS(Продажи!H$5:H$359,Продажи!$D$5:$D$359,Конструкторы!$B858,Продажи!$C$5:$C$359,Конструкторы!$A858)</f>
        <v>0</v>
      </c>
      <c r="L858" s="166">
        <f>SUMIFS(Продажи!I$5:I$359,Продажи!$D$5:$D$359,Конструкторы!$B858,Продажи!$C$5:$C$359,Конструкторы!$A858)</f>
        <v>0</v>
      </c>
      <c r="M858" s="166">
        <f>SUMIFS(Продажи!J$5:J$359,Продажи!$D$5:$D$359,Конструкторы!$B858,Продажи!$C$5:$C$359,Конструкторы!$A858)</f>
        <v>0</v>
      </c>
      <c r="N858" s="166">
        <f>SUMIFS(Продажи!K$5:K$359,Продажи!$D$5:$D$359,Конструкторы!$B858,Продажи!$C$5:$C$359,Конструкторы!$A858)</f>
        <v>0</v>
      </c>
      <c r="O858" s="166">
        <f>SUMIFS(Продажи!L$5:L$359,Продажи!$D$5:$D$359,Конструкторы!$B858,Продажи!$C$5:$C$359,Конструкторы!$A858)</f>
        <v>0</v>
      </c>
      <c r="P858" s="166">
        <f>SUMIFS(Продажи!M$5:M$359,Продажи!$D$5:$D$359,Конструкторы!$B858,Продажи!$C$5:$C$359,Конструкторы!$A858)</f>
        <v>0</v>
      </c>
      <c r="Q858" s="166">
        <f>SUMIFS(Продажи!N$5:N$359,Продажи!$D$5:$D$359,Конструкторы!$B858,Продажи!$C$5:$C$359,Конструкторы!$A858)</f>
        <v>0</v>
      </c>
      <c r="R858" s="166">
        <f>SUMIFS(Продажи!O$5:O$359,Продажи!$D$5:$D$359,Конструкторы!$B858,Продажи!$C$5:$C$359,Конструкторы!$A858)</f>
        <v>0</v>
      </c>
      <c r="S858" s="166">
        <f>SUMIFS(Продажи!P$5:P$359,Продажи!$D$5:$D$359,Конструкторы!$B858,Продажи!$C$5:$C$359,Конструкторы!$A858)</f>
        <v>0</v>
      </c>
      <c r="T858" s="166">
        <f>SUMIFS(Продажи!Q$5:Q$359,Продажи!$D$5:$D$359,Конструкторы!$B858,Продажи!$C$5:$C$359,Конструкторы!$A858)</f>
        <v>0</v>
      </c>
    </row>
    <row r="859" spans="1:20" ht="15.75" hidden="1" x14ac:dyDescent="0.25">
      <c r="A859" s="166" t="s">
        <v>397</v>
      </c>
      <c r="B859" s="167" t="s">
        <v>248</v>
      </c>
      <c r="C859" s="33" t="s">
        <v>75</v>
      </c>
      <c r="D859" s="149"/>
      <c r="E859" s="153" t="s">
        <v>70</v>
      </c>
      <c r="F859" s="148">
        <v>12</v>
      </c>
      <c r="G859" s="156" t="s">
        <v>71</v>
      </c>
      <c r="H859" s="156">
        <f>F859</f>
        <v>12</v>
      </c>
      <c r="I859" s="166">
        <f>SUMIFS(Продажи!F$5:F$359,Продажи!$D$5:$D$359,Конструкторы!$B859,Продажи!$C$5:$C$359,Конструкторы!$A859)</f>
        <v>32</v>
      </c>
      <c r="J859" s="166">
        <f>SUMIFS(Продажи!G$5:G$359,Продажи!$D$5:$D$359,Конструкторы!$B859,Продажи!$C$5:$C$359,Конструкторы!$A859)</f>
        <v>0</v>
      </c>
      <c r="K859" s="166">
        <f>SUMIFS(Продажи!H$5:H$359,Продажи!$D$5:$D$359,Конструкторы!$B859,Продажи!$C$5:$C$359,Конструкторы!$A859)</f>
        <v>0</v>
      </c>
      <c r="L859" s="166">
        <f>SUMIFS(Продажи!I$5:I$359,Продажи!$D$5:$D$359,Конструкторы!$B859,Продажи!$C$5:$C$359,Конструкторы!$A859)</f>
        <v>0</v>
      </c>
      <c r="M859" s="166">
        <f>SUMIFS(Продажи!J$5:J$359,Продажи!$D$5:$D$359,Конструкторы!$B859,Продажи!$C$5:$C$359,Конструкторы!$A859)</f>
        <v>0</v>
      </c>
      <c r="N859" s="166">
        <f>SUMIFS(Продажи!K$5:K$359,Продажи!$D$5:$D$359,Конструкторы!$B859,Продажи!$C$5:$C$359,Конструкторы!$A859)</f>
        <v>0</v>
      </c>
      <c r="O859" s="166">
        <f>SUMIFS(Продажи!L$5:L$359,Продажи!$D$5:$D$359,Конструкторы!$B859,Продажи!$C$5:$C$359,Конструкторы!$A859)</f>
        <v>0</v>
      </c>
      <c r="P859" s="166">
        <f>SUMIFS(Продажи!M$5:M$359,Продажи!$D$5:$D$359,Конструкторы!$B859,Продажи!$C$5:$C$359,Конструкторы!$A859)</f>
        <v>0</v>
      </c>
      <c r="Q859" s="166">
        <f>SUMIFS(Продажи!N$5:N$359,Продажи!$D$5:$D$359,Конструкторы!$B859,Продажи!$C$5:$C$359,Конструкторы!$A859)</f>
        <v>0</v>
      </c>
      <c r="R859" s="166">
        <f>SUMIFS(Продажи!O$5:O$359,Продажи!$D$5:$D$359,Конструкторы!$B859,Продажи!$C$5:$C$359,Конструкторы!$A859)</f>
        <v>0</v>
      </c>
      <c r="S859" s="166">
        <f>SUMIFS(Продажи!P$5:P$359,Продажи!$D$5:$D$359,Конструкторы!$B859,Продажи!$C$5:$C$359,Конструкторы!$A859)</f>
        <v>0</v>
      </c>
      <c r="T859" s="166">
        <f>SUMIFS(Продажи!Q$5:Q$359,Продажи!$D$5:$D$359,Конструкторы!$B859,Продажи!$C$5:$C$359,Конструкторы!$A859)</f>
        <v>0</v>
      </c>
    </row>
    <row r="860" spans="1:20" ht="15.75" hidden="1" x14ac:dyDescent="0.25">
      <c r="A860" s="166" t="s">
        <v>397</v>
      </c>
      <c r="B860" s="167" t="s">
        <v>248</v>
      </c>
      <c r="C860" s="33" t="s">
        <v>69</v>
      </c>
      <c r="D860" s="149"/>
      <c r="E860" s="153" t="s">
        <v>70</v>
      </c>
      <c r="F860" s="148">
        <v>4</v>
      </c>
      <c r="G860" s="156" t="s">
        <v>71</v>
      </c>
      <c r="H860" s="156">
        <f>F860</f>
        <v>4</v>
      </c>
      <c r="I860" s="166">
        <f>SUMIFS(Продажи!F$5:F$359,Продажи!$D$5:$D$359,Конструкторы!$B860,Продажи!$C$5:$C$359,Конструкторы!$A860)</f>
        <v>32</v>
      </c>
      <c r="J860" s="166">
        <f>SUMIFS(Продажи!G$5:G$359,Продажи!$D$5:$D$359,Конструкторы!$B860,Продажи!$C$5:$C$359,Конструкторы!$A860)</f>
        <v>0</v>
      </c>
      <c r="K860" s="166">
        <f>SUMIFS(Продажи!H$5:H$359,Продажи!$D$5:$D$359,Конструкторы!$B860,Продажи!$C$5:$C$359,Конструкторы!$A860)</f>
        <v>0</v>
      </c>
      <c r="L860" s="166">
        <f>SUMIFS(Продажи!I$5:I$359,Продажи!$D$5:$D$359,Конструкторы!$B860,Продажи!$C$5:$C$359,Конструкторы!$A860)</f>
        <v>0</v>
      </c>
      <c r="M860" s="166">
        <f>SUMIFS(Продажи!J$5:J$359,Продажи!$D$5:$D$359,Конструкторы!$B860,Продажи!$C$5:$C$359,Конструкторы!$A860)</f>
        <v>0</v>
      </c>
      <c r="N860" s="166">
        <f>SUMIFS(Продажи!K$5:K$359,Продажи!$D$5:$D$359,Конструкторы!$B860,Продажи!$C$5:$C$359,Конструкторы!$A860)</f>
        <v>0</v>
      </c>
      <c r="O860" s="166">
        <f>SUMIFS(Продажи!L$5:L$359,Продажи!$D$5:$D$359,Конструкторы!$B860,Продажи!$C$5:$C$359,Конструкторы!$A860)</f>
        <v>0</v>
      </c>
      <c r="P860" s="166">
        <f>SUMIFS(Продажи!M$5:M$359,Продажи!$D$5:$D$359,Конструкторы!$B860,Продажи!$C$5:$C$359,Конструкторы!$A860)</f>
        <v>0</v>
      </c>
      <c r="Q860" s="166">
        <f>SUMIFS(Продажи!N$5:N$359,Продажи!$D$5:$D$359,Конструкторы!$B860,Продажи!$C$5:$C$359,Конструкторы!$A860)</f>
        <v>0</v>
      </c>
      <c r="R860" s="166">
        <f>SUMIFS(Продажи!O$5:O$359,Продажи!$D$5:$D$359,Конструкторы!$B860,Продажи!$C$5:$C$359,Конструкторы!$A860)</f>
        <v>0</v>
      </c>
      <c r="S860" s="166">
        <f>SUMIFS(Продажи!P$5:P$359,Продажи!$D$5:$D$359,Конструкторы!$B860,Продажи!$C$5:$C$359,Конструкторы!$A860)</f>
        <v>0</v>
      </c>
      <c r="T860" s="166">
        <f>SUMIFS(Продажи!Q$5:Q$359,Продажи!$D$5:$D$359,Конструкторы!$B860,Продажи!$C$5:$C$359,Конструкторы!$A860)</f>
        <v>0</v>
      </c>
    </row>
    <row r="861" spans="1:20" ht="15.75" hidden="1" x14ac:dyDescent="0.25">
      <c r="A861" s="166" t="s">
        <v>397</v>
      </c>
      <c r="B861" s="167" t="s">
        <v>249</v>
      </c>
      <c r="C861" s="129" t="s">
        <v>53</v>
      </c>
      <c r="D861" s="130">
        <v>7038</v>
      </c>
      <c r="E861" s="153" t="s">
        <v>68</v>
      </c>
      <c r="F861" s="156">
        <f>(1.2*103)/100</f>
        <v>1.236</v>
      </c>
      <c r="G861" s="156">
        <v>3.6000000000000032E-2</v>
      </c>
      <c r="H861" s="156">
        <f>F861+G861</f>
        <v>1.272</v>
      </c>
      <c r="I861" s="166">
        <f>SUMIFS(Продажи!F$5:F$359,Продажи!$D$5:$D$359,Конструкторы!$B861,Продажи!$C$5:$C$359,Конструкторы!$A861)</f>
        <v>19</v>
      </c>
      <c r="J861" s="166">
        <f>SUMIFS(Продажи!G$5:G$359,Продажи!$D$5:$D$359,Конструкторы!$B861,Продажи!$C$5:$C$359,Конструкторы!$A861)</f>
        <v>0</v>
      </c>
      <c r="K861" s="166">
        <f>SUMIFS(Продажи!H$5:H$359,Продажи!$D$5:$D$359,Конструкторы!$B861,Продажи!$C$5:$C$359,Конструкторы!$A861)</f>
        <v>0</v>
      </c>
      <c r="L861" s="166">
        <f>SUMIFS(Продажи!I$5:I$359,Продажи!$D$5:$D$359,Конструкторы!$B861,Продажи!$C$5:$C$359,Конструкторы!$A861)</f>
        <v>0</v>
      </c>
      <c r="M861" s="166">
        <f>SUMIFS(Продажи!J$5:J$359,Продажи!$D$5:$D$359,Конструкторы!$B861,Продажи!$C$5:$C$359,Конструкторы!$A861)</f>
        <v>0</v>
      </c>
      <c r="N861" s="166">
        <f>SUMIFS(Продажи!K$5:K$359,Продажи!$D$5:$D$359,Конструкторы!$B861,Продажи!$C$5:$C$359,Конструкторы!$A861)</f>
        <v>0</v>
      </c>
      <c r="O861" s="166">
        <f>SUMIFS(Продажи!L$5:L$359,Продажи!$D$5:$D$359,Конструкторы!$B861,Продажи!$C$5:$C$359,Конструкторы!$A861)</f>
        <v>0</v>
      </c>
      <c r="P861" s="166">
        <f>SUMIFS(Продажи!M$5:M$359,Продажи!$D$5:$D$359,Конструкторы!$B861,Продажи!$C$5:$C$359,Конструкторы!$A861)</f>
        <v>0</v>
      </c>
      <c r="Q861" s="166">
        <f>SUMIFS(Продажи!N$5:N$359,Продажи!$D$5:$D$359,Конструкторы!$B861,Продажи!$C$5:$C$359,Конструкторы!$A861)</f>
        <v>0</v>
      </c>
      <c r="R861" s="166">
        <f>SUMIFS(Продажи!O$5:O$359,Продажи!$D$5:$D$359,Конструкторы!$B861,Продажи!$C$5:$C$359,Конструкторы!$A861)</f>
        <v>0</v>
      </c>
      <c r="S861" s="166">
        <f>SUMIFS(Продажи!P$5:P$359,Продажи!$D$5:$D$359,Конструкторы!$B861,Продажи!$C$5:$C$359,Конструкторы!$A861)</f>
        <v>0</v>
      </c>
      <c r="T861" s="166">
        <f>SUMIFS(Продажи!Q$5:Q$359,Продажи!$D$5:$D$359,Конструкторы!$B861,Продажи!$C$5:$C$359,Конструкторы!$A861)</f>
        <v>0</v>
      </c>
    </row>
    <row r="862" spans="1:20" ht="15.75" hidden="1" x14ac:dyDescent="0.25">
      <c r="A862" s="166" t="s">
        <v>397</v>
      </c>
      <c r="B862" s="167" t="s">
        <v>249</v>
      </c>
      <c r="C862" s="129" t="s">
        <v>52</v>
      </c>
      <c r="D862" s="149"/>
      <c r="E862" s="153" t="s">
        <v>68</v>
      </c>
      <c r="F862" s="156">
        <f>(0.8*103)/100</f>
        <v>0.82400000000000007</v>
      </c>
      <c r="G862" s="156">
        <v>2.4000000000000021E-2</v>
      </c>
      <c r="H862" s="156">
        <f>F862+G862</f>
        <v>0.84800000000000009</v>
      </c>
      <c r="I862" s="166">
        <f>SUMIFS(Продажи!F$5:F$359,Продажи!$D$5:$D$359,Конструкторы!$B862,Продажи!$C$5:$C$359,Конструкторы!$A862)</f>
        <v>19</v>
      </c>
      <c r="J862" s="166">
        <f>SUMIFS(Продажи!G$5:G$359,Продажи!$D$5:$D$359,Конструкторы!$B862,Продажи!$C$5:$C$359,Конструкторы!$A862)</f>
        <v>0</v>
      </c>
      <c r="K862" s="166">
        <f>SUMIFS(Продажи!H$5:H$359,Продажи!$D$5:$D$359,Конструкторы!$B862,Продажи!$C$5:$C$359,Конструкторы!$A862)</f>
        <v>0</v>
      </c>
      <c r="L862" s="166">
        <f>SUMIFS(Продажи!I$5:I$359,Продажи!$D$5:$D$359,Конструкторы!$B862,Продажи!$C$5:$C$359,Конструкторы!$A862)</f>
        <v>0</v>
      </c>
      <c r="M862" s="166">
        <f>SUMIFS(Продажи!J$5:J$359,Продажи!$D$5:$D$359,Конструкторы!$B862,Продажи!$C$5:$C$359,Конструкторы!$A862)</f>
        <v>0</v>
      </c>
      <c r="N862" s="166">
        <f>SUMIFS(Продажи!K$5:K$359,Продажи!$D$5:$D$359,Конструкторы!$B862,Продажи!$C$5:$C$359,Конструкторы!$A862)</f>
        <v>0</v>
      </c>
      <c r="O862" s="166">
        <f>SUMIFS(Продажи!L$5:L$359,Продажи!$D$5:$D$359,Конструкторы!$B862,Продажи!$C$5:$C$359,Конструкторы!$A862)</f>
        <v>0</v>
      </c>
      <c r="P862" s="166">
        <f>SUMIFS(Продажи!M$5:M$359,Продажи!$D$5:$D$359,Конструкторы!$B862,Продажи!$C$5:$C$359,Конструкторы!$A862)</f>
        <v>0</v>
      </c>
      <c r="Q862" s="166">
        <f>SUMIFS(Продажи!N$5:N$359,Продажи!$D$5:$D$359,Конструкторы!$B862,Продажи!$C$5:$C$359,Конструкторы!$A862)</f>
        <v>0</v>
      </c>
      <c r="R862" s="166">
        <f>SUMIFS(Продажи!O$5:O$359,Продажи!$D$5:$D$359,Конструкторы!$B862,Продажи!$C$5:$C$359,Конструкторы!$A862)</f>
        <v>0</v>
      </c>
      <c r="S862" s="166">
        <f>SUMIFS(Продажи!P$5:P$359,Продажи!$D$5:$D$359,Конструкторы!$B862,Продажи!$C$5:$C$359,Конструкторы!$A862)</f>
        <v>0</v>
      </c>
      <c r="T862" s="166">
        <f>SUMIFS(Продажи!Q$5:Q$359,Продажи!$D$5:$D$359,Конструкторы!$B862,Продажи!$C$5:$C$359,Конструкторы!$A862)</f>
        <v>0</v>
      </c>
    </row>
    <row r="863" spans="1:20" ht="15.75" hidden="1" x14ac:dyDescent="0.25">
      <c r="A863" s="166" t="s">
        <v>397</v>
      </c>
      <c r="B863" s="167" t="s">
        <v>249</v>
      </c>
      <c r="C863" s="33" t="s">
        <v>77</v>
      </c>
      <c r="D863" s="149"/>
      <c r="E863" s="153" t="s">
        <v>70</v>
      </c>
      <c r="F863" s="148">
        <v>2</v>
      </c>
      <c r="G863" s="156" t="s">
        <v>71</v>
      </c>
      <c r="H863" s="156">
        <f>F863</f>
        <v>2</v>
      </c>
      <c r="I863" s="166">
        <f>SUMIFS(Продажи!F$5:F$359,Продажи!$D$5:$D$359,Конструкторы!$B863,Продажи!$C$5:$C$359,Конструкторы!$A863)</f>
        <v>19</v>
      </c>
      <c r="J863" s="166">
        <f>SUMIFS(Продажи!G$5:G$359,Продажи!$D$5:$D$359,Конструкторы!$B863,Продажи!$C$5:$C$359,Конструкторы!$A863)</f>
        <v>0</v>
      </c>
      <c r="K863" s="166">
        <f>SUMIFS(Продажи!H$5:H$359,Продажи!$D$5:$D$359,Конструкторы!$B863,Продажи!$C$5:$C$359,Конструкторы!$A863)</f>
        <v>0</v>
      </c>
      <c r="L863" s="166">
        <f>SUMIFS(Продажи!I$5:I$359,Продажи!$D$5:$D$359,Конструкторы!$B863,Продажи!$C$5:$C$359,Конструкторы!$A863)</f>
        <v>0</v>
      </c>
      <c r="M863" s="166">
        <f>SUMIFS(Продажи!J$5:J$359,Продажи!$D$5:$D$359,Конструкторы!$B863,Продажи!$C$5:$C$359,Конструкторы!$A863)</f>
        <v>0</v>
      </c>
      <c r="N863" s="166">
        <f>SUMIFS(Продажи!K$5:K$359,Продажи!$D$5:$D$359,Конструкторы!$B863,Продажи!$C$5:$C$359,Конструкторы!$A863)</f>
        <v>0</v>
      </c>
      <c r="O863" s="166">
        <f>SUMIFS(Продажи!L$5:L$359,Продажи!$D$5:$D$359,Конструкторы!$B863,Продажи!$C$5:$C$359,Конструкторы!$A863)</f>
        <v>0</v>
      </c>
      <c r="P863" s="166">
        <f>SUMIFS(Продажи!M$5:M$359,Продажи!$D$5:$D$359,Конструкторы!$B863,Продажи!$C$5:$C$359,Конструкторы!$A863)</f>
        <v>0</v>
      </c>
      <c r="Q863" s="166">
        <f>SUMIFS(Продажи!N$5:N$359,Продажи!$D$5:$D$359,Конструкторы!$B863,Продажи!$C$5:$C$359,Конструкторы!$A863)</f>
        <v>0</v>
      </c>
      <c r="R863" s="166">
        <f>SUMIFS(Продажи!O$5:O$359,Продажи!$D$5:$D$359,Конструкторы!$B863,Продажи!$C$5:$C$359,Конструкторы!$A863)</f>
        <v>0</v>
      </c>
      <c r="S863" s="166">
        <f>SUMIFS(Продажи!P$5:P$359,Продажи!$D$5:$D$359,Конструкторы!$B863,Продажи!$C$5:$C$359,Конструкторы!$A863)</f>
        <v>0</v>
      </c>
      <c r="T863" s="166">
        <f>SUMIFS(Продажи!Q$5:Q$359,Продажи!$D$5:$D$359,Конструкторы!$B863,Продажи!$C$5:$C$359,Конструкторы!$A863)</f>
        <v>0</v>
      </c>
    </row>
    <row r="864" spans="1:20" ht="15.75" hidden="1" x14ac:dyDescent="0.25">
      <c r="A864" s="166" t="s">
        <v>397</v>
      </c>
      <c r="B864" s="167" t="s">
        <v>249</v>
      </c>
      <c r="C864" s="33" t="s">
        <v>75</v>
      </c>
      <c r="D864" s="149"/>
      <c r="E864" s="153" t="s">
        <v>70</v>
      </c>
      <c r="F864" s="148">
        <v>12</v>
      </c>
      <c r="G864" s="156" t="s">
        <v>71</v>
      </c>
      <c r="H864" s="156">
        <f>F864</f>
        <v>12</v>
      </c>
      <c r="I864" s="166">
        <f>SUMIFS(Продажи!F$5:F$359,Продажи!$D$5:$D$359,Конструкторы!$B864,Продажи!$C$5:$C$359,Конструкторы!$A864)</f>
        <v>19</v>
      </c>
      <c r="J864" s="166">
        <f>SUMIFS(Продажи!G$5:G$359,Продажи!$D$5:$D$359,Конструкторы!$B864,Продажи!$C$5:$C$359,Конструкторы!$A864)</f>
        <v>0</v>
      </c>
      <c r="K864" s="166">
        <f>SUMIFS(Продажи!H$5:H$359,Продажи!$D$5:$D$359,Конструкторы!$B864,Продажи!$C$5:$C$359,Конструкторы!$A864)</f>
        <v>0</v>
      </c>
      <c r="L864" s="166">
        <f>SUMIFS(Продажи!I$5:I$359,Продажи!$D$5:$D$359,Конструкторы!$B864,Продажи!$C$5:$C$359,Конструкторы!$A864)</f>
        <v>0</v>
      </c>
      <c r="M864" s="166">
        <f>SUMIFS(Продажи!J$5:J$359,Продажи!$D$5:$D$359,Конструкторы!$B864,Продажи!$C$5:$C$359,Конструкторы!$A864)</f>
        <v>0</v>
      </c>
      <c r="N864" s="166">
        <f>SUMIFS(Продажи!K$5:K$359,Продажи!$D$5:$D$359,Конструкторы!$B864,Продажи!$C$5:$C$359,Конструкторы!$A864)</f>
        <v>0</v>
      </c>
      <c r="O864" s="166">
        <f>SUMIFS(Продажи!L$5:L$359,Продажи!$D$5:$D$359,Конструкторы!$B864,Продажи!$C$5:$C$359,Конструкторы!$A864)</f>
        <v>0</v>
      </c>
      <c r="P864" s="166">
        <f>SUMIFS(Продажи!M$5:M$359,Продажи!$D$5:$D$359,Конструкторы!$B864,Продажи!$C$5:$C$359,Конструкторы!$A864)</f>
        <v>0</v>
      </c>
      <c r="Q864" s="166">
        <f>SUMIFS(Продажи!N$5:N$359,Продажи!$D$5:$D$359,Конструкторы!$B864,Продажи!$C$5:$C$359,Конструкторы!$A864)</f>
        <v>0</v>
      </c>
      <c r="R864" s="166">
        <f>SUMIFS(Продажи!O$5:O$359,Продажи!$D$5:$D$359,Конструкторы!$B864,Продажи!$C$5:$C$359,Конструкторы!$A864)</f>
        <v>0</v>
      </c>
      <c r="S864" s="166">
        <f>SUMIFS(Продажи!P$5:P$359,Продажи!$D$5:$D$359,Конструкторы!$B864,Продажи!$C$5:$C$359,Конструкторы!$A864)</f>
        <v>0</v>
      </c>
      <c r="T864" s="166">
        <f>SUMIFS(Продажи!Q$5:Q$359,Продажи!$D$5:$D$359,Конструкторы!$B864,Продажи!$C$5:$C$359,Конструкторы!$A864)</f>
        <v>0</v>
      </c>
    </row>
    <row r="865" spans="1:20" ht="15.75" hidden="1" x14ac:dyDescent="0.25">
      <c r="A865" s="166" t="s">
        <v>397</v>
      </c>
      <c r="B865" s="167" t="s">
        <v>249</v>
      </c>
      <c r="C865" s="33" t="s">
        <v>69</v>
      </c>
      <c r="D865" s="149"/>
      <c r="E865" s="153" t="s">
        <v>70</v>
      </c>
      <c r="F865" s="148">
        <v>4</v>
      </c>
      <c r="G865" s="156" t="s">
        <v>71</v>
      </c>
      <c r="H865" s="156">
        <f>F865</f>
        <v>4</v>
      </c>
      <c r="I865" s="166">
        <f>SUMIFS(Продажи!F$5:F$359,Продажи!$D$5:$D$359,Конструкторы!$B865,Продажи!$C$5:$C$359,Конструкторы!$A865)</f>
        <v>19</v>
      </c>
      <c r="J865" s="166">
        <f>SUMIFS(Продажи!G$5:G$359,Продажи!$D$5:$D$359,Конструкторы!$B865,Продажи!$C$5:$C$359,Конструкторы!$A865)</f>
        <v>0</v>
      </c>
      <c r="K865" s="166">
        <f>SUMIFS(Продажи!H$5:H$359,Продажи!$D$5:$D$359,Конструкторы!$B865,Продажи!$C$5:$C$359,Конструкторы!$A865)</f>
        <v>0</v>
      </c>
      <c r="L865" s="166">
        <f>SUMIFS(Продажи!I$5:I$359,Продажи!$D$5:$D$359,Конструкторы!$B865,Продажи!$C$5:$C$359,Конструкторы!$A865)</f>
        <v>0</v>
      </c>
      <c r="M865" s="166">
        <f>SUMIFS(Продажи!J$5:J$359,Продажи!$D$5:$D$359,Конструкторы!$B865,Продажи!$C$5:$C$359,Конструкторы!$A865)</f>
        <v>0</v>
      </c>
      <c r="N865" s="166">
        <f>SUMIFS(Продажи!K$5:K$359,Продажи!$D$5:$D$359,Конструкторы!$B865,Продажи!$C$5:$C$359,Конструкторы!$A865)</f>
        <v>0</v>
      </c>
      <c r="O865" s="166">
        <f>SUMIFS(Продажи!L$5:L$359,Продажи!$D$5:$D$359,Конструкторы!$B865,Продажи!$C$5:$C$359,Конструкторы!$A865)</f>
        <v>0</v>
      </c>
      <c r="P865" s="166">
        <f>SUMIFS(Продажи!M$5:M$359,Продажи!$D$5:$D$359,Конструкторы!$B865,Продажи!$C$5:$C$359,Конструкторы!$A865)</f>
        <v>0</v>
      </c>
      <c r="Q865" s="166">
        <f>SUMIFS(Продажи!N$5:N$359,Продажи!$D$5:$D$359,Конструкторы!$B865,Продажи!$C$5:$C$359,Конструкторы!$A865)</f>
        <v>0</v>
      </c>
      <c r="R865" s="166">
        <f>SUMIFS(Продажи!O$5:O$359,Продажи!$D$5:$D$359,Конструкторы!$B865,Продажи!$C$5:$C$359,Конструкторы!$A865)</f>
        <v>0</v>
      </c>
      <c r="S865" s="166">
        <f>SUMIFS(Продажи!P$5:P$359,Продажи!$D$5:$D$359,Конструкторы!$B865,Продажи!$C$5:$C$359,Конструкторы!$A865)</f>
        <v>0</v>
      </c>
      <c r="T865" s="166">
        <f>SUMIFS(Продажи!Q$5:Q$359,Продажи!$D$5:$D$359,Конструкторы!$B865,Продажи!$C$5:$C$359,Конструкторы!$A865)</f>
        <v>0</v>
      </c>
    </row>
    <row r="866" spans="1:20" ht="15.75" hidden="1" x14ac:dyDescent="0.25">
      <c r="A866" s="166" t="s">
        <v>397</v>
      </c>
      <c r="B866" s="167" t="s">
        <v>250</v>
      </c>
      <c r="C866" s="129" t="s">
        <v>53</v>
      </c>
      <c r="D866" s="130">
        <v>7038</v>
      </c>
      <c r="E866" s="153" t="s">
        <v>68</v>
      </c>
      <c r="F866" s="156">
        <f>(1.2*103)/100</f>
        <v>1.236</v>
      </c>
      <c r="G866" s="156">
        <v>3.6000000000000032E-2</v>
      </c>
      <c r="H866" s="156">
        <f>F866+G866</f>
        <v>1.272</v>
      </c>
      <c r="I866" s="166">
        <f>SUMIFS(Продажи!F$5:F$359,Продажи!$D$5:$D$359,Конструкторы!$B866,Продажи!$C$5:$C$359,Конструкторы!$A866)</f>
        <v>22</v>
      </c>
      <c r="J866" s="166">
        <f>SUMIFS(Продажи!G$5:G$359,Продажи!$D$5:$D$359,Конструкторы!$B866,Продажи!$C$5:$C$359,Конструкторы!$A866)</f>
        <v>0</v>
      </c>
      <c r="K866" s="166">
        <f>SUMIFS(Продажи!H$5:H$359,Продажи!$D$5:$D$359,Конструкторы!$B866,Продажи!$C$5:$C$359,Конструкторы!$A866)</f>
        <v>0</v>
      </c>
      <c r="L866" s="166">
        <f>SUMIFS(Продажи!I$5:I$359,Продажи!$D$5:$D$359,Конструкторы!$B866,Продажи!$C$5:$C$359,Конструкторы!$A866)</f>
        <v>0</v>
      </c>
      <c r="M866" s="166">
        <f>SUMIFS(Продажи!J$5:J$359,Продажи!$D$5:$D$359,Конструкторы!$B866,Продажи!$C$5:$C$359,Конструкторы!$A866)</f>
        <v>0</v>
      </c>
      <c r="N866" s="166">
        <f>SUMIFS(Продажи!K$5:K$359,Продажи!$D$5:$D$359,Конструкторы!$B866,Продажи!$C$5:$C$359,Конструкторы!$A866)</f>
        <v>0</v>
      </c>
      <c r="O866" s="166">
        <f>SUMIFS(Продажи!L$5:L$359,Продажи!$D$5:$D$359,Конструкторы!$B866,Продажи!$C$5:$C$359,Конструкторы!$A866)</f>
        <v>0</v>
      </c>
      <c r="P866" s="166">
        <f>SUMIFS(Продажи!M$5:M$359,Продажи!$D$5:$D$359,Конструкторы!$B866,Продажи!$C$5:$C$359,Конструкторы!$A866)</f>
        <v>0</v>
      </c>
      <c r="Q866" s="166">
        <f>SUMIFS(Продажи!N$5:N$359,Продажи!$D$5:$D$359,Конструкторы!$B866,Продажи!$C$5:$C$359,Конструкторы!$A866)</f>
        <v>0</v>
      </c>
      <c r="R866" s="166">
        <f>SUMIFS(Продажи!O$5:O$359,Продажи!$D$5:$D$359,Конструкторы!$B866,Продажи!$C$5:$C$359,Конструкторы!$A866)</f>
        <v>0</v>
      </c>
      <c r="S866" s="166">
        <f>SUMIFS(Продажи!P$5:P$359,Продажи!$D$5:$D$359,Конструкторы!$B866,Продажи!$C$5:$C$359,Конструкторы!$A866)</f>
        <v>0</v>
      </c>
      <c r="T866" s="166">
        <f>SUMIFS(Продажи!Q$5:Q$359,Продажи!$D$5:$D$359,Конструкторы!$B866,Продажи!$C$5:$C$359,Конструкторы!$A866)</f>
        <v>0</v>
      </c>
    </row>
    <row r="867" spans="1:20" ht="15.75" hidden="1" x14ac:dyDescent="0.25">
      <c r="A867" s="166" t="s">
        <v>397</v>
      </c>
      <c r="B867" s="167" t="s">
        <v>250</v>
      </c>
      <c r="C867" s="129" t="s">
        <v>52</v>
      </c>
      <c r="D867" s="149"/>
      <c r="E867" s="153" t="s">
        <v>68</v>
      </c>
      <c r="F867" s="156">
        <f>(1.2*103)/100</f>
        <v>1.236</v>
      </c>
      <c r="G867" s="156">
        <v>3.6000000000000032E-2</v>
      </c>
      <c r="H867" s="156">
        <f>F867+G867</f>
        <v>1.272</v>
      </c>
      <c r="I867" s="166">
        <f>SUMIFS(Продажи!F$5:F$359,Продажи!$D$5:$D$359,Конструкторы!$B867,Продажи!$C$5:$C$359,Конструкторы!$A867)</f>
        <v>22</v>
      </c>
      <c r="J867" s="166">
        <f>SUMIFS(Продажи!G$5:G$359,Продажи!$D$5:$D$359,Конструкторы!$B867,Продажи!$C$5:$C$359,Конструкторы!$A867)</f>
        <v>0</v>
      </c>
      <c r="K867" s="166">
        <f>SUMIFS(Продажи!H$5:H$359,Продажи!$D$5:$D$359,Конструкторы!$B867,Продажи!$C$5:$C$359,Конструкторы!$A867)</f>
        <v>0</v>
      </c>
      <c r="L867" s="166">
        <f>SUMIFS(Продажи!I$5:I$359,Продажи!$D$5:$D$359,Конструкторы!$B867,Продажи!$C$5:$C$359,Конструкторы!$A867)</f>
        <v>0</v>
      </c>
      <c r="M867" s="166">
        <f>SUMIFS(Продажи!J$5:J$359,Продажи!$D$5:$D$359,Конструкторы!$B867,Продажи!$C$5:$C$359,Конструкторы!$A867)</f>
        <v>0</v>
      </c>
      <c r="N867" s="166">
        <f>SUMIFS(Продажи!K$5:K$359,Продажи!$D$5:$D$359,Конструкторы!$B867,Продажи!$C$5:$C$359,Конструкторы!$A867)</f>
        <v>0</v>
      </c>
      <c r="O867" s="166">
        <f>SUMIFS(Продажи!L$5:L$359,Продажи!$D$5:$D$359,Конструкторы!$B867,Продажи!$C$5:$C$359,Конструкторы!$A867)</f>
        <v>0</v>
      </c>
      <c r="P867" s="166">
        <f>SUMIFS(Продажи!M$5:M$359,Продажи!$D$5:$D$359,Конструкторы!$B867,Продажи!$C$5:$C$359,Конструкторы!$A867)</f>
        <v>0</v>
      </c>
      <c r="Q867" s="166">
        <f>SUMIFS(Продажи!N$5:N$359,Продажи!$D$5:$D$359,Конструкторы!$B867,Продажи!$C$5:$C$359,Конструкторы!$A867)</f>
        <v>0</v>
      </c>
      <c r="R867" s="166">
        <f>SUMIFS(Продажи!O$5:O$359,Продажи!$D$5:$D$359,Конструкторы!$B867,Продажи!$C$5:$C$359,Конструкторы!$A867)</f>
        <v>0</v>
      </c>
      <c r="S867" s="166">
        <f>SUMIFS(Продажи!P$5:P$359,Продажи!$D$5:$D$359,Конструкторы!$B867,Продажи!$C$5:$C$359,Конструкторы!$A867)</f>
        <v>0</v>
      </c>
      <c r="T867" s="166">
        <f>SUMIFS(Продажи!Q$5:Q$359,Продажи!$D$5:$D$359,Конструкторы!$B867,Продажи!$C$5:$C$359,Конструкторы!$A867)</f>
        <v>0</v>
      </c>
    </row>
    <row r="868" spans="1:20" ht="15.75" hidden="1" x14ac:dyDescent="0.25">
      <c r="A868" s="166" t="s">
        <v>397</v>
      </c>
      <c r="B868" s="167" t="s">
        <v>250</v>
      </c>
      <c r="C868" s="33" t="s">
        <v>77</v>
      </c>
      <c r="D868" s="149"/>
      <c r="E868" s="153" t="s">
        <v>70</v>
      </c>
      <c r="F868" s="148">
        <v>2</v>
      </c>
      <c r="G868" s="156" t="s">
        <v>71</v>
      </c>
      <c r="H868" s="156">
        <f>F868</f>
        <v>2</v>
      </c>
      <c r="I868" s="166">
        <f>SUMIFS(Продажи!F$5:F$359,Продажи!$D$5:$D$359,Конструкторы!$B868,Продажи!$C$5:$C$359,Конструкторы!$A868)</f>
        <v>22</v>
      </c>
      <c r="J868" s="166">
        <f>SUMIFS(Продажи!G$5:G$359,Продажи!$D$5:$D$359,Конструкторы!$B868,Продажи!$C$5:$C$359,Конструкторы!$A868)</f>
        <v>0</v>
      </c>
      <c r="K868" s="166">
        <f>SUMIFS(Продажи!H$5:H$359,Продажи!$D$5:$D$359,Конструкторы!$B868,Продажи!$C$5:$C$359,Конструкторы!$A868)</f>
        <v>0</v>
      </c>
      <c r="L868" s="166">
        <f>SUMIFS(Продажи!I$5:I$359,Продажи!$D$5:$D$359,Конструкторы!$B868,Продажи!$C$5:$C$359,Конструкторы!$A868)</f>
        <v>0</v>
      </c>
      <c r="M868" s="166">
        <f>SUMIFS(Продажи!J$5:J$359,Продажи!$D$5:$D$359,Конструкторы!$B868,Продажи!$C$5:$C$359,Конструкторы!$A868)</f>
        <v>0</v>
      </c>
      <c r="N868" s="166">
        <f>SUMIFS(Продажи!K$5:K$359,Продажи!$D$5:$D$359,Конструкторы!$B868,Продажи!$C$5:$C$359,Конструкторы!$A868)</f>
        <v>0</v>
      </c>
      <c r="O868" s="166">
        <f>SUMIFS(Продажи!L$5:L$359,Продажи!$D$5:$D$359,Конструкторы!$B868,Продажи!$C$5:$C$359,Конструкторы!$A868)</f>
        <v>0</v>
      </c>
      <c r="P868" s="166">
        <f>SUMIFS(Продажи!M$5:M$359,Продажи!$D$5:$D$359,Конструкторы!$B868,Продажи!$C$5:$C$359,Конструкторы!$A868)</f>
        <v>0</v>
      </c>
      <c r="Q868" s="166">
        <f>SUMIFS(Продажи!N$5:N$359,Продажи!$D$5:$D$359,Конструкторы!$B868,Продажи!$C$5:$C$359,Конструкторы!$A868)</f>
        <v>0</v>
      </c>
      <c r="R868" s="166">
        <f>SUMIFS(Продажи!O$5:O$359,Продажи!$D$5:$D$359,Конструкторы!$B868,Продажи!$C$5:$C$359,Конструкторы!$A868)</f>
        <v>0</v>
      </c>
      <c r="S868" s="166">
        <f>SUMIFS(Продажи!P$5:P$359,Продажи!$D$5:$D$359,Конструкторы!$B868,Продажи!$C$5:$C$359,Конструкторы!$A868)</f>
        <v>0</v>
      </c>
      <c r="T868" s="166">
        <f>SUMIFS(Продажи!Q$5:Q$359,Продажи!$D$5:$D$359,Конструкторы!$B868,Продажи!$C$5:$C$359,Конструкторы!$A868)</f>
        <v>0</v>
      </c>
    </row>
    <row r="869" spans="1:20" ht="15.75" hidden="1" x14ac:dyDescent="0.25">
      <c r="A869" s="166" t="s">
        <v>397</v>
      </c>
      <c r="B869" s="167" t="s">
        <v>250</v>
      </c>
      <c r="C869" s="33" t="s">
        <v>75</v>
      </c>
      <c r="D869" s="149"/>
      <c r="E869" s="153" t="s">
        <v>70</v>
      </c>
      <c r="F869" s="148">
        <v>12</v>
      </c>
      <c r="G869" s="156" t="s">
        <v>71</v>
      </c>
      <c r="H869" s="156">
        <f>F869</f>
        <v>12</v>
      </c>
      <c r="I869" s="166">
        <f>SUMIFS(Продажи!F$5:F$359,Продажи!$D$5:$D$359,Конструкторы!$B869,Продажи!$C$5:$C$359,Конструкторы!$A869)</f>
        <v>22</v>
      </c>
      <c r="J869" s="166">
        <f>SUMIFS(Продажи!G$5:G$359,Продажи!$D$5:$D$359,Конструкторы!$B869,Продажи!$C$5:$C$359,Конструкторы!$A869)</f>
        <v>0</v>
      </c>
      <c r="K869" s="166">
        <f>SUMIFS(Продажи!H$5:H$359,Продажи!$D$5:$D$359,Конструкторы!$B869,Продажи!$C$5:$C$359,Конструкторы!$A869)</f>
        <v>0</v>
      </c>
      <c r="L869" s="166">
        <f>SUMIFS(Продажи!I$5:I$359,Продажи!$D$5:$D$359,Конструкторы!$B869,Продажи!$C$5:$C$359,Конструкторы!$A869)</f>
        <v>0</v>
      </c>
      <c r="M869" s="166">
        <f>SUMIFS(Продажи!J$5:J$359,Продажи!$D$5:$D$359,Конструкторы!$B869,Продажи!$C$5:$C$359,Конструкторы!$A869)</f>
        <v>0</v>
      </c>
      <c r="N869" s="166">
        <f>SUMIFS(Продажи!K$5:K$359,Продажи!$D$5:$D$359,Конструкторы!$B869,Продажи!$C$5:$C$359,Конструкторы!$A869)</f>
        <v>0</v>
      </c>
      <c r="O869" s="166">
        <f>SUMIFS(Продажи!L$5:L$359,Продажи!$D$5:$D$359,Конструкторы!$B869,Продажи!$C$5:$C$359,Конструкторы!$A869)</f>
        <v>0</v>
      </c>
      <c r="P869" s="166">
        <f>SUMIFS(Продажи!M$5:M$359,Продажи!$D$5:$D$359,Конструкторы!$B869,Продажи!$C$5:$C$359,Конструкторы!$A869)</f>
        <v>0</v>
      </c>
      <c r="Q869" s="166">
        <f>SUMIFS(Продажи!N$5:N$359,Продажи!$D$5:$D$359,Конструкторы!$B869,Продажи!$C$5:$C$359,Конструкторы!$A869)</f>
        <v>0</v>
      </c>
      <c r="R869" s="166">
        <f>SUMIFS(Продажи!O$5:O$359,Продажи!$D$5:$D$359,Конструкторы!$B869,Продажи!$C$5:$C$359,Конструкторы!$A869)</f>
        <v>0</v>
      </c>
      <c r="S869" s="166">
        <f>SUMIFS(Продажи!P$5:P$359,Продажи!$D$5:$D$359,Конструкторы!$B869,Продажи!$C$5:$C$359,Конструкторы!$A869)</f>
        <v>0</v>
      </c>
      <c r="T869" s="166">
        <f>SUMIFS(Продажи!Q$5:Q$359,Продажи!$D$5:$D$359,Конструкторы!$B869,Продажи!$C$5:$C$359,Конструкторы!$A869)</f>
        <v>0</v>
      </c>
    </row>
    <row r="870" spans="1:20" ht="15.75" hidden="1" x14ac:dyDescent="0.25">
      <c r="A870" s="166" t="s">
        <v>397</v>
      </c>
      <c r="B870" s="167" t="s">
        <v>250</v>
      </c>
      <c r="C870" s="33" t="s">
        <v>69</v>
      </c>
      <c r="D870" s="149"/>
      <c r="E870" s="153" t="s">
        <v>70</v>
      </c>
      <c r="F870" s="148">
        <v>4</v>
      </c>
      <c r="G870" s="156" t="s">
        <v>71</v>
      </c>
      <c r="H870" s="156">
        <f>F870</f>
        <v>4</v>
      </c>
      <c r="I870" s="166">
        <f>SUMIFS(Продажи!F$5:F$359,Продажи!$D$5:$D$359,Конструкторы!$B870,Продажи!$C$5:$C$359,Конструкторы!$A870)</f>
        <v>22</v>
      </c>
      <c r="J870" s="166">
        <f>SUMIFS(Продажи!G$5:G$359,Продажи!$D$5:$D$359,Конструкторы!$B870,Продажи!$C$5:$C$359,Конструкторы!$A870)</f>
        <v>0</v>
      </c>
      <c r="K870" s="166">
        <f>SUMIFS(Продажи!H$5:H$359,Продажи!$D$5:$D$359,Конструкторы!$B870,Продажи!$C$5:$C$359,Конструкторы!$A870)</f>
        <v>0</v>
      </c>
      <c r="L870" s="166">
        <f>SUMIFS(Продажи!I$5:I$359,Продажи!$D$5:$D$359,Конструкторы!$B870,Продажи!$C$5:$C$359,Конструкторы!$A870)</f>
        <v>0</v>
      </c>
      <c r="M870" s="166">
        <f>SUMIFS(Продажи!J$5:J$359,Продажи!$D$5:$D$359,Конструкторы!$B870,Продажи!$C$5:$C$359,Конструкторы!$A870)</f>
        <v>0</v>
      </c>
      <c r="N870" s="166">
        <f>SUMIFS(Продажи!K$5:K$359,Продажи!$D$5:$D$359,Конструкторы!$B870,Продажи!$C$5:$C$359,Конструкторы!$A870)</f>
        <v>0</v>
      </c>
      <c r="O870" s="166">
        <f>SUMIFS(Продажи!L$5:L$359,Продажи!$D$5:$D$359,Конструкторы!$B870,Продажи!$C$5:$C$359,Конструкторы!$A870)</f>
        <v>0</v>
      </c>
      <c r="P870" s="166">
        <f>SUMIFS(Продажи!M$5:M$359,Продажи!$D$5:$D$359,Конструкторы!$B870,Продажи!$C$5:$C$359,Конструкторы!$A870)</f>
        <v>0</v>
      </c>
      <c r="Q870" s="166">
        <f>SUMIFS(Продажи!N$5:N$359,Продажи!$D$5:$D$359,Конструкторы!$B870,Продажи!$C$5:$C$359,Конструкторы!$A870)</f>
        <v>0</v>
      </c>
      <c r="R870" s="166">
        <f>SUMIFS(Продажи!O$5:O$359,Продажи!$D$5:$D$359,Конструкторы!$B870,Продажи!$C$5:$C$359,Конструкторы!$A870)</f>
        <v>0</v>
      </c>
      <c r="S870" s="166">
        <f>SUMIFS(Продажи!P$5:P$359,Продажи!$D$5:$D$359,Конструкторы!$B870,Продажи!$C$5:$C$359,Конструкторы!$A870)</f>
        <v>0</v>
      </c>
      <c r="T870" s="166">
        <f>SUMIFS(Продажи!Q$5:Q$359,Продажи!$D$5:$D$359,Конструкторы!$B870,Продажи!$C$5:$C$359,Конструкторы!$A870)</f>
        <v>0</v>
      </c>
    </row>
    <row r="871" spans="1:20" ht="15.75" hidden="1" x14ac:dyDescent="0.25">
      <c r="A871" s="166" t="s">
        <v>397</v>
      </c>
      <c r="B871" s="167" t="s">
        <v>241</v>
      </c>
      <c r="C871" s="129" t="s">
        <v>53</v>
      </c>
      <c r="D871" s="130">
        <v>7038</v>
      </c>
      <c r="E871" s="153" t="s">
        <v>68</v>
      </c>
      <c r="F871" s="156">
        <f>(1.2*103)/100</f>
        <v>1.236</v>
      </c>
      <c r="G871" s="156">
        <v>3.6000000000000032E-2</v>
      </c>
      <c r="H871" s="156">
        <f>F871+G871</f>
        <v>1.272</v>
      </c>
      <c r="I871" s="166">
        <f>SUMIFS(Продажи!F$5:F$359,Продажи!$D$5:$D$359,Конструкторы!$B871,Продажи!$C$5:$C$359,Конструкторы!$A871)</f>
        <v>0</v>
      </c>
      <c r="J871" s="166">
        <f>SUMIFS(Продажи!G$5:G$359,Продажи!$D$5:$D$359,Конструкторы!$B871,Продажи!$C$5:$C$359,Конструкторы!$A871)</f>
        <v>0</v>
      </c>
      <c r="K871" s="166">
        <f>SUMIFS(Продажи!H$5:H$359,Продажи!$D$5:$D$359,Конструкторы!$B871,Продажи!$C$5:$C$359,Конструкторы!$A871)</f>
        <v>0</v>
      </c>
      <c r="L871" s="166">
        <f>SUMIFS(Продажи!I$5:I$359,Продажи!$D$5:$D$359,Конструкторы!$B871,Продажи!$C$5:$C$359,Конструкторы!$A871)</f>
        <v>0</v>
      </c>
      <c r="M871" s="166">
        <f>SUMIFS(Продажи!J$5:J$359,Продажи!$D$5:$D$359,Конструкторы!$B871,Продажи!$C$5:$C$359,Конструкторы!$A871)</f>
        <v>0</v>
      </c>
      <c r="N871" s="166">
        <f>SUMIFS(Продажи!K$5:K$359,Продажи!$D$5:$D$359,Конструкторы!$B871,Продажи!$C$5:$C$359,Конструкторы!$A871)</f>
        <v>0</v>
      </c>
      <c r="O871" s="166">
        <f>SUMIFS(Продажи!L$5:L$359,Продажи!$D$5:$D$359,Конструкторы!$B871,Продажи!$C$5:$C$359,Конструкторы!$A871)</f>
        <v>0</v>
      </c>
      <c r="P871" s="166">
        <f>SUMIFS(Продажи!M$5:M$359,Продажи!$D$5:$D$359,Конструкторы!$B871,Продажи!$C$5:$C$359,Конструкторы!$A871)</f>
        <v>0</v>
      </c>
      <c r="Q871" s="166">
        <f>SUMIFS(Продажи!N$5:N$359,Продажи!$D$5:$D$359,Конструкторы!$B871,Продажи!$C$5:$C$359,Конструкторы!$A871)</f>
        <v>0</v>
      </c>
      <c r="R871" s="166">
        <f>SUMIFS(Продажи!O$5:O$359,Продажи!$D$5:$D$359,Конструкторы!$B871,Продажи!$C$5:$C$359,Конструкторы!$A871)</f>
        <v>0</v>
      </c>
      <c r="S871" s="166">
        <f>SUMIFS(Продажи!P$5:P$359,Продажи!$D$5:$D$359,Конструкторы!$B871,Продажи!$C$5:$C$359,Конструкторы!$A871)</f>
        <v>0</v>
      </c>
      <c r="T871" s="166">
        <f>SUMIFS(Продажи!Q$5:Q$359,Продажи!$D$5:$D$359,Конструкторы!$B871,Продажи!$C$5:$C$359,Конструкторы!$A871)</f>
        <v>0</v>
      </c>
    </row>
    <row r="872" spans="1:20" ht="15.75" hidden="1" x14ac:dyDescent="0.25">
      <c r="A872" s="166" t="s">
        <v>397</v>
      </c>
      <c r="B872" s="167" t="s">
        <v>241</v>
      </c>
      <c r="C872" s="129" t="s">
        <v>52</v>
      </c>
      <c r="D872" s="149"/>
      <c r="E872" s="153" t="s">
        <v>68</v>
      </c>
      <c r="F872" s="156">
        <f>(0.2*103)/100</f>
        <v>0.20600000000000002</v>
      </c>
      <c r="G872" s="156">
        <v>6.0000000000000053E-3</v>
      </c>
      <c r="H872" s="156">
        <f>F872+G872</f>
        <v>0.21200000000000002</v>
      </c>
      <c r="I872" s="166">
        <f>SUMIFS(Продажи!F$5:F$359,Продажи!$D$5:$D$359,Конструкторы!$B872,Продажи!$C$5:$C$359,Конструкторы!$A872)</f>
        <v>0</v>
      </c>
      <c r="J872" s="166">
        <f>SUMIFS(Продажи!G$5:G$359,Продажи!$D$5:$D$359,Конструкторы!$B872,Продажи!$C$5:$C$359,Конструкторы!$A872)</f>
        <v>0</v>
      </c>
      <c r="K872" s="166">
        <f>SUMIFS(Продажи!H$5:H$359,Продажи!$D$5:$D$359,Конструкторы!$B872,Продажи!$C$5:$C$359,Конструкторы!$A872)</f>
        <v>0</v>
      </c>
      <c r="L872" s="166">
        <f>SUMIFS(Продажи!I$5:I$359,Продажи!$D$5:$D$359,Конструкторы!$B872,Продажи!$C$5:$C$359,Конструкторы!$A872)</f>
        <v>0</v>
      </c>
      <c r="M872" s="166">
        <f>SUMIFS(Продажи!J$5:J$359,Продажи!$D$5:$D$359,Конструкторы!$B872,Продажи!$C$5:$C$359,Конструкторы!$A872)</f>
        <v>0</v>
      </c>
      <c r="N872" s="166">
        <f>SUMIFS(Продажи!K$5:K$359,Продажи!$D$5:$D$359,Конструкторы!$B872,Продажи!$C$5:$C$359,Конструкторы!$A872)</f>
        <v>0</v>
      </c>
      <c r="O872" s="166">
        <f>SUMIFS(Продажи!L$5:L$359,Продажи!$D$5:$D$359,Конструкторы!$B872,Продажи!$C$5:$C$359,Конструкторы!$A872)</f>
        <v>0</v>
      </c>
      <c r="P872" s="166">
        <f>SUMIFS(Продажи!M$5:M$359,Продажи!$D$5:$D$359,Конструкторы!$B872,Продажи!$C$5:$C$359,Конструкторы!$A872)</f>
        <v>0</v>
      </c>
      <c r="Q872" s="166">
        <f>SUMIFS(Продажи!N$5:N$359,Продажи!$D$5:$D$359,Конструкторы!$B872,Продажи!$C$5:$C$359,Конструкторы!$A872)</f>
        <v>0</v>
      </c>
      <c r="R872" s="166">
        <f>SUMIFS(Продажи!O$5:O$359,Продажи!$D$5:$D$359,Конструкторы!$B872,Продажи!$C$5:$C$359,Конструкторы!$A872)</f>
        <v>0</v>
      </c>
      <c r="S872" s="166">
        <f>SUMIFS(Продажи!P$5:P$359,Продажи!$D$5:$D$359,Конструкторы!$B872,Продажи!$C$5:$C$359,Конструкторы!$A872)</f>
        <v>0</v>
      </c>
      <c r="T872" s="166">
        <f>SUMIFS(Продажи!Q$5:Q$359,Продажи!$D$5:$D$359,Конструкторы!$B872,Продажи!$C$5:$C$359,Конструкторы!$A872)</f>
        <v>0</v>
      </c>
    </row>
    <row r="873" spans="1:20" ht="15.75" hidden="1" x14ac:dyDescent="0.25">
      <c r="A873" s="166" t="s">
        <v>397</v>
      </c>
      <c r="B873" s="167" t="s">
        <v>241</v>
      </c>
      <c r="C873" s="33" t="s">
        <v>77</v>
      </c>
      <c r="D873" s="149"/>
      <c r="E873" s="153" t="s">
        <v>70</v>
      </c>
      <c r="F873" s="148">
        <v>2</v>
      </c>
      <c r="G873" s="156" t="s">
        <v>71</v>
      </c>
      <c r="H873" s="156">
        <f>F873</f>
        <v>2</v>
      </c>
      <c r="I873" s="166">
        <f>SUMIFS(Продажи!F$5:F$359,Продажи!$D$5:$D$359,Конструкторы!$B873,Продажи!$C$5:$C$359,Конструкторы!$A873)</f>
        <v>0</v>
      </c>
      <c r="J873" s="166">
        <f>SUMIFS(Продажи!G$5:G$359,Продажи!$D$5:$D$359,Конструкторы!$B873,Продажи!$C$5:$C$359,Конструкторы!$A873)</f>
        <v>0</v>
      </c>
      <c r="K873" s="166">
        <f>SUMIFS(Продажи!H$5:H$359,Продажи!$D$5:$D$359,Конструкторы!$B873,Продажи!$C$5:$C$359,Конструкторы!$A873)</f>
        <v>0</v>
      </c>
      <c r="L873" s="166">
        <f>SUMIFS(Продажи!I$5:I$359,Продажи!$D$5:$D$359,Конструкторы!$B873,Продажи!$C$5:$C$359,Конструкторы!$A873)</f>
        <v>0</v>
      </c>
      <c r="M873" s="166">
        <f>SUMIFS(Продажи!J$5:J$359,Продажи!$D$5:$D$359,Конструкторы!$B873,Продажи!$C$5:$C$359,Конструкторы!$A873)</f>
        <v>0</v>
      </c>
      <c r="N873" s="166">
        <f>SUMIFS(Продажи!K$5:K$359,Продажи!$D$5:$D$359,Конструкторы!$B873,Продажи!$C$5:$C$359,Конструкторы!$A873)</f>
        <v>0</v>
      </c>
      <c r="O873" s="166">
        <f>SUMIFS(Продажи!L$5:L$359,Продажи!$D$5:$D$359,Конструкторы!$B873,Продажи!$C$5:$C$359,Конструкторы!$A873)</f>
        <v>0</v>
      </c>
      <c r="P873" s="166">
        <f>SUMIFS(Продажи!M$5:M$359,Продажи!$D$5:$D$359,Конструкторы!$B873,Продажи!$C$5:$C$359,Конструкторы!$A873)</f>
        <v>0</v>
      </c>
      <c r="Q873" s="166">
        <f>SUMIFS(Продажи!N$5:N$359,Продажи!$D$5:$D$359,Конструкторы!$B873,Продажи!$C$5:$C$359,Конструкторы!$A873)</f>
        <v>0</v>
      </c>
      <c r="R873" s="166">
        <f>SUMIFS(Продажи!O$5:O$359,Продажи!$D$5:$D$359,Конструкторы!$B873,Продажи!$C$5:$C$359,Конструкторы!$A873)</f>
        <v>0</v>
      </c>
      <c r="S873" s="166">
        <f>SUMIFS(Продажи!P$5:P$359,Продажи!$D$5:$D$359,Конструкторы!$B873,Продажи!$C$5:$C$359,Конструкторы!$A873)</f>
        <v>0</v>
      </c>
      <c r="T873" s="166">
        <f>SUMIFS(Продажи!Q$5:Q$359,Продажи!$D$5:$D$359,Конструкторы!$B873,Продажи!$C$5:$C$359,Конструкторы!$A873)</f>
        <v>0</v>
      </c>
    </row>
    <row r="874" spans="1:20" ht="15.75" hidden="1" x14ac:dyDescent="0.25">
      <c r="A874" s="166" t="s">
        <v>397</v>
      </c>
      <c r="B874" s="167" t="s">
        <v>241</v>
      </c>
      <c r="C874" s="33" t="s">
        <v>75</v>
      </c>
      <c r="D874" s="149"/>
      <c r="E874" s="153" t="s">
        <v>70</v>
      </c>
      <c r="F874" s="148">
        <v>12</v>
      </c>
      <c r="G874" s="156" t="s">
        <v>71</v>
      </c>
      <c r="H874" s="156">
        <f>F874</f>
        <v>12</v>
      </c>
      <c r="I874" s="166">
        <f>SUMIFS(Продажи!F$5:F$359,Продажи!$D$5:$D$359,Конструкторы!$B874,Продажи!$C$5:$C$359,Конструкторы!$A874)</f>
        <v>0</v>
      </c>
      <c r="J874" s="166">
        <f>SUMIFS(Продажи!G$5:G$359,Продажи!$D$5:$D$359,Конструкторы!$B874,Продажи!$C$5:$C$359,Конструкторы!$A874)</f>
        <v>0</v>
      </c>
      <c r="K874" s="166">
        <f>SUMIFS(Продажи!H$5:H$359,Продажи!$D$5:$D$359,Конструкторы!$B874,Продажи!$C$5:$C$359,Конструкторы!$A874)</f>
        <v>0</v>
      </c>
      <c r="L874" s="166">
        <f>SUMIFS(Продажи!I$5:I$359,Продажи!$D$5:$D$359,Конструкторы!$B874,Продажи!$C$5:$C$359,Конструкторы!$A874)</f>
        <v>0</v>
      </c>
      <c r="M874" s="166">
        <f>SUMIFS(Продажи!J$5:J$359,Продажи!$D$5:$D$359,Конструкторы!$B874,Продажи!$C$5:$C$359,Конструкторы!$A874)</f>
        <v>0</v>
      </c>
      <c r="N874" s="166">
        <f>SUMIFS(Продажи!K$5:K$359,Продажи!$D$5:$D$359,Конструкторы!$B874,Продажи!$C$5:$C$359,Конструкторы!$A874)</f>
        <v>0</v>
      </c>
      <c r="O874" s="166">
        <f>SUMIFS(Продажи!L$5:L$359,Продажи!$D$5:$D$359,Конструкторы!$B874,Продажи!$C$5:$C$359,Конструкторы!$A874)</f>
        <v>0</v>
      </c>
      <c r="P874" s="166">
        <f>SUMIFS(Продажи!M$5:M$359,Продажи!$D$5:$D$359,Конструкторы!$B874,Продажи!$C$5:$C$359,Конструкторы!$A874)</f>
        <v>0</v>
      </c>
      <c r="Q874" s="166">
        <f>SUMIFS(Продажи!N$5:N$359,Продажи!$D$5:$D$359,Конструкторы!$B874,Продажи!$C$5:$C$359,Конструкторы!$A874)</f>
        <v>0</v>
      </c>
      <c r="R874" s="166">
        <f>SUMIFS(Продажи!O$5:O$359,Продажи!$D$5:$D$359,Конструкторы!$B874,Продажи!$C$5:$C$359,Конструкторы!$A874)</f>
        <v>0</v>
      </c>
      <c r="S874" s="166">
        <f>SUMIFS(Продажи!P$5:P$359,Продажи!$D$5:$D$359,Конструкторы!$B874,Продажи!$C$5:$C$359,Конструкторы!$A874)</f>
        <v>0</v>
      </c>
      <c r="T874" s="166">
        <f>SUMIFS(Продажи!Q$5:Q$359,Продажи!$D$5:$D$359,Конструкторы!$B874,Продажи!$C$5:$C$359,Конструкторы!$A874)</f>
        <v>0</v>
      </c>
    </row>
    <row r="875" spans="1:20" ht="15.75" hidden="1" x14ac:dyDescent="0.25">
      <c r="A875" s="166" t="s">
        <v>397</v>
      </c>
      <c r="B875" s="167" t="s">
        <v>241</v>
      </c>
      <c r="C875" s="33" t="s">
        <v>69</v>
      </c>
      <c r="D875" s="149"/>
      <c r="E875" s="153" t="s">
        <v>70</v>
      </c>
      <c r="F875" s="148">
        <v>4</v>
      </c>
      <c r="G875" s="156" t="s">
        <v>71</v>
      </c>
      <c r="H875" s="156">
        <f>F875</f>
        <v>4</v>
      </c>
      <c r="I875" s="166">
        <f>SUMIFS(Продажи!F$5:F$359,Продажи!$D$5:$D$359,Конструкторы!$B875,Продажи!$C$5:$C$359,Конструкторы!$A875)</f>
        <v>0</v>
      </c>
      <c r="J875" s="166">
        <f>SUMIFS(Продажи!G$5:G$359,Продажи!$D$5:$D$359,Конструкторы!$B875,Продажи!$C$5:$C$359,Конструкторы!$A875)</f>
        <v>0</v>
      </c>
      <c r="K875" s="166">
        <f>SUMIFS(Продажи!H$5:H$359,Продажи!$D$5:$D$359,Конструкторы!$B875,Продажи!$C$5:$C$359,Конструкторы!$A875)</f>
        <v>0</v>
      </c>
      <c r="L875" s="166">
        <f>SUMIFS(Продажи!I$5:I$359,Продажи!$D$5:$D$359,Конструкторы!$B875,Продажи!$C$5:$C$359,Конструкторы!$A875)</f>
        <v>0</v>
      </c>
      <c r="M875" s="166">
        <f>SUMIFS(Продажи!J$5:J$359,Продажи!$D$5:$D$359,Конструкторы!$B875,Продажи!$C$5:$C$359,Конструкторы!$A875)</f>
        <v>0</v>
      </c>
      <c r="N875" s="166">
        <f>SUMIFS(Продажи!K$5:K$359,Продажи!$D$5:$D$359,Конструкторы!$B875,Продажи!$C$5:$C$359,Конструкторы!$A875)</f>
        <v>0</v>
      </c>
      <c r="O875" s="166">
        <f>SUMIFS(Продажи!L$5:L$359,Продажи!$D$5:$D$359,Конструкторы!$B875,Продажи!$C$5:$C$359,Конструкторы!$A875)</f>
        <v>0</v>
      </c>
      <c r="P875" s="166">
        <f>SUMIFS(Продажи!M$5:M$359,Продажи!$D$5:$D$359,Конструкторы!$B875,Продажи!$C$5:$C$359,Конструкторы!$A875)</f>
        <v>0</v>
      </c>
      <c r="Q875" s="166">
        <f>SUMIFS(Продажи!N$5:N$359,Продажи!$D$5:$D$359,Конструкторы!$B875,Продажи!$C$5:$C$359,Конструкторы!$A875)</f>
        <v>0</v>
      </c>
      <c r="R875" s="166">
        <f>SUMIFS(Продажи!O$5:O$359,Продажи!$D$5:$D$359,Конструкторы!$B875,Продажи!$C$5:$C$359,Конструкторы!$A875)</f>
        <v>0</v>
      </c>
      <c r="S875" s="166">
        <f>SUMIFS(Продажи!P$5:P$359,Продажи!$D$5:$D$359,Конструкторы!$B875,Продажи!$C$5:$C$359,Конструкторы!$A875)</f>
        <v>0</v>
      </c>
      <c r="T875" s="166">
        <f>SUMIFS(Продажи!Q$5:Q$359,Продажи!$D$5:$D$359,Конструкторы!$B875,Продажи!$C$5:$C$359,Конструкторы!$A875)</f>
        <v>0</v>
      </c>
    </row>
    <row r="876" spans="1:20" ht="15.75" hidden="1" x14ac:dyDescent="0.25">
      <c r="A876" s="166" t="s">
        <v>397</v>
      </c>
      <c r="B876" s="167" t="s">
        <v>242</v>
      </c>
      <c r="C876" s="129" t="s">
        <v>53</v>
      </c>
      <c r="D876" s="130">
        <v>7038</v>
      </c>
      <c r="E876" s="153" t="s">
        <v>68</v>
      </c>
      <c r="F876" s="156">
        <f>(1.2*103)/100</f>
        <v>1.236</v>
      </c>
      <c r="G876" s="156">
        <v>3.6000000000000032E-2</v>
      </c>
      <c r="H876" s="156">
        <f>F876+G876</f>
        <v>1.272</v>
      </c>
      <c r="I876" s="166">
        <f>SUMIFS(Продажи!F$5:F$359,Продажи!$D$5:$D$359,Конструкторы!$B876,Продажи!$C$5:$C$359,Конструкторы!$A876)</f>
        <v>0</v>
      </c>
      <c r="J876" s="166">
        <f>SUMIFS(Продажи!G$5:G$359,Продажи!$D$5:$D$359,Конструкторы!$B876,Продажи!$C$5:$C$359,Конструкторы!$A876)</f>
        <v>0</v>
      </c>
      <c r="K876" s="166">
        <f>SUMIFS(Продажи!H$5:H$359,Продажи!$D$5:$D$359,Конструкторы!$B876,Продажи!$C$5:$C$359,Конструкторы!$A876)</f>
        <v>0</v>
      </c>
      <c r="L876" s="166">
        <f>SUMIFS(Продажи!I$5:I$359,Продажи!$D$5:$D$359,Конструкторы!$B876,Продажи!$C$5:$C$359,Конструкторы!$A876)</f>
        <v>0</v>
      </c>
      <c r="M876" s="166">
        <f>SUMIFS(Продажи!J$5:J$359,Продажи!$D$5:$D$359,Конструкторы!$B876,Продажи!$C$5:$C$359,Конструкторы!$A876)</f>
        <v>0</v>
      </c>
      <c r="N876" s="166">
        <f>SUMIFS(Продажи!K$5:K$359,Продажи!$D$5:$D$359,Конструкторы!$B876,Продажи!$C$5:$C$359,Конструкторы!$A876)</f>
        <v>0</v>
      </c>
      <c r="O876" s="166">
        <f>SUMIFS(Продажи!L$5:L$359,Продажи!$D$5:$D$359,Конструкторы!$B876,Продажи!$C$5:$C$359,Конструкторы!$A876)</f>
        <v>0</v>
      </c>
      <c r="P876" s="166">
        <f>SUMIFS(Продажи!M$5:M$359,Продажи!$D$5:$D$359,Конструкторы!$B876,Продажи!$C$5:$C$359,Конструкторы!$A876)</f>
        <v>0</v>
      </c>
      <c r="Q876" s="166">
        <f>SUMIFS(Продажи!N$5:N$359,Продажи!$D$5:$D$359,Конструкторы!$B876,Продажи!$C$5:$C$359,Конструкторы!$A876)</f>
        <v>0</v>
      </c>
      <c r="R876" s="166">
        <f>SUMIFS(Продажи!O$5:O$359,Продажи!$D$5:$D$359,Конструкторы!$B876,Продажи!$C$5:$C$359,Конструкторы!$A876)</f>
        <v>0</v>
      </c>
      <c r="S876" s="166">
        <f>SUMIFS(Продажи!P$5:P$359,Продажи!$D$5:$D$359,Конструкторы!$B876,Продажи!$C$5:$C$359,Конструкторы!$A876)</f>
        <v>0</v>
      </c>
      <c r="T876" s="166">
        <f>SUMIFS(Продажи!Q$5:Q$359,Продажи!$D$5:$D$359,Конструкторы!$B876,Продажи!$C$5:$C$359,Конструкторы!$A876)</f>
        <v>0</v>
      </c>
    </row>
    <row r="877" spans="1:20" ht="15.75" hidden="1" x14ac:dyDescent="0.25">
      <c r="A877" s="166" t="s">
        <v>397</v>
      </c>
      <c r="B877" s="167" t="s">
        <v>242</v>
      </c>
      <c r="C877" s="129" t="s">
        <v>52</v>
      </c>
      <c r="D877" s="149"/>
      <c r="E877" s="153" t="s">
        <v>68</v>
      </c>
      <c r="F877" s="156">
        <f>(0.4*103)/100</f>
        <v>0.41200000000000003</v>
      </c>
      <c r="G877" s="156">
        <v>1.2000000000000011E-2</v>
      </c>
      <c r="H877" s="156">
        <f>F877+G877</f>
        <v>0.42400000000000004</v>
      </c>
      <c r="I877" s="166">
        <f>SUMIFS(Продажи!F$5:F$359,Продажи!$D$5:$D$359,Конструкторы!$B877,Продажи!$C$5:$C$359,Конструкторы!$A877)</f>
        <v>0</v>
      </c>
      <c r="J877" s="166">
        <f>SUMIFS(Продажи!G$5:G$359,Продажи!$D$5:$D$359,Конструкторы!$B877,Продажи!$C$5:$C$359,Конструкторы!$A877)</f>
        <v>0</v>
      </c>
      <c r="K877" s="166">
        <f>SUMIFS(Продажи!H$5:H$359,Продажи!$D$5:$D$359,Конструкторы!$B877,Продажи!$C$5:$C$359,Конструкторы!$A877)</f>
        <v>0</v>
      </c>
      <c r="L877" s="166">
        <f>SUMIFS(Продажи!I$5:I$359,Продажи!$D$5:$D$359,Конструкторы!$B877,Продажи!$C$5:$C$359,Конструкторы!$A877)</f>
        <v>0</v>
      </c>
      <c r="M877" s="166">
        <f>SUMIFS(Продажи!J$5:J$359,Продажи!$D$5:$D$359,Конструкторы!$B877,Продажи!$C$5:$C$359,Конструкторы!$A877)</f>
        <v>0</v>
      </c>
      <c r="N877" s="166">
        <f>SUMIFS(Продажи!K$5:K$359,Продажи!$D$5:$D$359,Конструкторы!$B877,Продажи!$C$5:$C$359,Конструкторы!$A877)</f>
        <v>0</v>
      </c>
      <c r="O877" s="166">
        <f>SUMIFS(Продажи!L$5:L$359,Продажи!$D$5:$D$359,Конструкторы!$B877,Продажи!$C$5:$C$359,Конструкторы!$A877)</f>
        <v>0</v>
      </c>
      <c r="P877" s="166">
        <f>SUMIFS(Продажи!M$5:M$359,Продажи!$D$5:$D$359,Конструкторы!$B877,Продажи!$C$5:$C$359,Конструкторы!$A877)</f>
        <v>0</v>
      </c>
      <c r="Q877" s="166">
        <f>SUMIFS(Продажи!N$5:N$359,Продажи!$D$5:$D$359,Конструкторы!$B877,Продажи!$C$5:$C$359,Конструкторы!$A877)</f>
        <v>0</v>
      </c>
      <c r="R877" s="166">
        <f>SUMIFS(Продажи!O$5:O$359,Продажи!$D$5:$D$359,Конструкторы!$B877,Продажи!$C$5:$C$359,Конструкторы!$A877)</f>
        <v>0</v>
      </c>
      <c r="S877" s="166">
        <f>SUMIFS(Продажи!P$5:P$359,Продажи!$D$5:$D$359,Конструкторы!$B877,Продажи!$C$5:$C$359,Конструкторы!$A877)</f>
        <v>0</v>
      </c>
      <c r="T877" s="166">
        <f>SUMIFS(Продажи!Q$5:Q$359,Продажи!$D$5:$D$359,Конструкторы!$B877,Продажи!$C$5:$C$359,Конструкторы!$A877)</f>
        <v>0</v>
      </c>
    </row>
    <row r="878" spans="1:20" ht="15.75" hidden="1" x14ac:dyDescent="0.25">
      <c r="A878" s="166" t="s">
        <v>397</v>
      </c>
      <c r="B878" s="167" t="s">
        <v>242</v>
      </c>
      <c r="C878" s="33" t="s">
        <v>77</v>
      </c>
      <c r="D878" s="149"/>
      <c r="E878" s="153" t="s">
        <v>70</v>
      </c>
      <c r="F878" s="148">
        <v>2</v>
      </c>
      <c r="G878" s="156" t="s">
        <v>71</v>
      </c>
      <c r="H878" s="156">
        <f>F878</f>
        <v>2</v>
      </c>
      <c r="I878" s="166">
        <f>SUMIFS(Продажи!F$5:F$359,Продажи!$D$5:$D$359,Конструкторы!$B878,Продажи!$C$5:$C$359,Конструкторы!$A878)</f>
        <v>0</v>
      </c>
      <c r="J878" s="166">
        <f>SUMIFS(Продажи!G$5:G$359,Продажи!$D$5:$D$359,Конструкторы!$B878,Продажи!$C$5:$C$359,Конструкторы!$A878)</f>
        <v>0</v>
      </c>
      <c r="K878" s="166">
        <f>SUMIFS(Продажи!H$5:H$359,Продажи!$D$5:$D$359,Конструкторы!$B878,Продажи!$C$5:$C$359,Конструкторы!$A878)</f>
        <v>0</v>
      </c>
      <c r="L878" s="166">
        <f>SUMIFS(Продажи!I$5:I$359,Продажи!$D$5:$D$359,Конструкторы!$B878,Продажи!$C$5:$C$359,Конструкторы!$A878)</f>
        <v>0</v>
      </c>
      <c r="M878" s="166">
        <f>SUMIFS(Продажи!J$5:J$359,Продажи!$D$5:$D$359,Конструкторы!$B878,Продажи!$C$5:$C$359,Конструкторы!$A878)</f>
        <v>0</v>
      </c>
      <c r="N878" s="166">
        <f>SUMIFS(Продажи!K$5:K$359,Продажи!$D$5:$D$359,Конструкторы!$B878,Продажи!$C$5:$C$359,Конструкторы!$A878)</f>
        <v>0</v>
      </c>
      <c r="O878" s="166">
        <f>SUMIFS(Продажи!L$5:L$359,Продажи!$D$5:$D$359,Конструкторы!$B878,Продажи!$C$5:$C$359,Конструкторы!$A878)</f>
        <v>0</v>
      </c>
      <c r="P878" s="166">
        <f>SUMIFS(Продажи!M$5:M$359,Продажи!$D$5:$D$359,Конструкторы!$B878,Продажи!$C$5:$C$359,Конструкторы!$A878)</f>
        <v>0</v>
      </c>
      <c r="Q878" s="166">
        <f>SUMIFS(Продажи!N$5:N$359,Продажи!$D$5:$D$359,Конструкторы!$B878,Продажи!$C$5:$C$359,Конструкторы!$A878)</f>
        <v>0</v>
      </c>
      <c r="R878" s="166">
        <f>SUMIFS(Продажи!O$5:O$359,Продажи!$D$5:$D$359,Конструкторы!$B878,Продажи!$C$5:$C$359,Конструкторы!$A878)</f>
        <v>0</v>
      </c>
      <c r="S878" s="166">
        <f>SUMIFS(Продажи!P$5:P$359,Продажи!$D$5:$D$359,Конструкторы!$B878,Продажи!$C$5:$C$359,Конструкторы!$A878)</f>
        <v>0</v>
      </c>
      <c r="T878" s="166">
        <f>SUMIFS(Продажи!Q$5:Q$359,Продажи!$D$5:$D$359,Конструкторы!$B878,Продажи!$C$5:$C$359,Конструкторы!$A878)</f>
        <v>0</v>
      </c>
    </row>
    <row r="879" spans="1:20" ht="15.75" hidden="1" x14ac:dyDescent="0.25">
      <c r="A879" s="166" t="s">
        <v>397</v>
      </c>
      <c r="B879" s="167" t="s">
        <v>242</v>
      </c>
      <c r="C879" s="33" t="s">
        <v>75</v>
      </c>
      <c r="D879" s="149"/>
      <c r="E879" s="153" t="s">
        <v>70</v>
      </c>
      <c r="F879" s="148">
        <v>12</v>
      </c>
      <c r="G879" s="156" t="s">
        <v>71</v>
      </c>
      <c r="H879" s="156">
        <f>F879</f>
        <v>12</v>
      </c>
      <c r="I879" s="166">
        <f>SUMIFS(Продажи!F$5:F$359,Продажи!$D$5:$D$359,Конструкторы!$B879,Продажи!$C$5:$C$359,Конструкторы!$A879)</f>
        <v>0</v>
      </c>
      <c r="J879" s="166">
        <f>SUMIFS(Продажи!G$5:G$359,Продажи!$D$5:$D$359,Конструкторы!$B879,Продажи!$C$5:$C$359,Конструкторы!$A879)</f>
        <v>0</v>
      </c>
      <c r="K879" s="166">
        <f>SUMIFS(Продажи!H$5:H$359,Продажи!$D$5:$D$359,Конструкторы!$B879,Продажи!$C$5:$C$359,Конструкторы!$A879)</f>
        <v>0</v>
      </c>
      <c r="L879" s="166">
        <f>SUMIFS(Продажи!I$5:I$359,Продажи!$D$5:$D$359,Конструкторы!$B879,Продажи!$C$5:$C$359,Конструкторы!$A879)</f>
        <v>0</v>
      </c>
      <c r="M879" s="166">
        <f>SUMIFS(Продажи!J$5:J$359,Продажи!$D$5:$D$359,Конструкторы!$B879,Продажи!$C$5:$C$359,Конструкторы!$A879)</f>
        <v>0</v>
      </c>
      <c r="N879" s="166">
        <f>SUMIFS(Продажи!K$5:K$359,Продажи!$D$5:$D$359,Конструкторы!$B879,Продажи!$C$5:$C$359,Конструкторы!$A879)</f>
        <v>0</v>
      </c>
      <c r="O879" s="166">
        <f>SUMIFS(Продажи!L$5:L$359,Продажи!$D$5:$D$359,Конструкторы!$B879,Продажи!$C$5:$C$359,Конструкторы!$A879)</f>
        <v>0</v>
      </c>
      <c r="P879" s="166">
        <f>SUMIFS(Продажи!M$5:M$359,Продажи!$D$5:$D$359,Конструкторы!$B879,Продажи!$C$5:$C$359,Конструкторы!$A879)</f>
        <v>0</v>
      </c>
      <c r="Q879" s="166">
        <f>SUMIFS(Продажи!N$5:N$359,Продажи!$D$5:$D$359,Конструкторы!$B879,Продажи!$C$5:$C$359,Конструкторы!$A879)</f>
        <v>0</v>
      </c>
      <c r="R879" s="166">
        <f>SUMIFS(Продажи!O$5:O$359,Продажи!$D$5:$D$359,Конструкторы!$B879,Продажи!$C$5:$C$359,Конструкторы!$A879)</f>
        <v>0</v>
      </c>
      <c r="S879" s="166">
        <f>SUMIFS(Продажи!P$5:P$359,Продажи!$D$5:$D$359,Конструкторы!$B879,Продажи!$C$5:$C$359,Конструкторы!$A879)</f>
        <v>0</v>
      </c>
      <c r="T879" s="166">
        <f>SUMIFS(Продажи!Q$5:Q$359,Продажи!$D$5:$D$359,Конструкторы!$B879,Продажи!$C$5:$C$359,Конструкторы!$A879)</f>
        <v>0</v>
      </c>
    </row>
    <row r="880" spans="1:20" ht="15.75" hidden="1" x14ac:dyDescent="0.25">
      <c r="A880" s="166" t="s">
        <v>397</v>
      </c>
      <c r="B880" s="167" t="s">
        <v>242</v>
      </c>
      <c r="C880" s="33" t="s">
        <v>69</v>
      </c>
      <c r="D880" s="149"/>
      <c r="E880" s="153" t="s">
        <v>70</v>
      </c>
      <c r="F880" s="148">
        <v>4</v>
      </c>
      <c r="G880" s="156" t="s">
        <v>71</v>
      </c>
      <c r="H880" s="156">
        <f>F880</f>
        <v>4</v>
      </c>
      <c r="I880" s="166">
        <f>SUMIFS(Продажи!F$5:F$359,Продажи!$D$5:$D$359,Конструкторы!$B880,Продажи!$C$5:$C$359,Конструкторы!$A880)</f>
        <v>0</v>
      </c>
      <c r="J880" s="166">
        <f>SUMIFS(Продажи!G$5:G$359,Продажи!$D$5:$D$359,Конструкторы!$B880,Продажи!$C$5:$C$359,Конструкторы!$A880)</f>
        <v>0</v>
      </c>
      <c r="K880" s="166">
        <f>SUMIFS(Продажи!H$5:H$359,Продажи!$D$5:$D$359,Конструкторы!$B880,Продажи!$C$5:$C$359,Конструкторы!$A880)</f>
        <v>0</v>
      </c>
      <c r="L880" s="166">
        <f>SUMIFS(Продажи!I$5:I$359,Продажи!$D$5:$D$359,Конструкторы!$B880,Продажи!$C$5:$C$359,Конструкторы!$A880)</f>
        <v>0</v>
      </c>
      <c r="M880" s="166">
        <f>SUMIFS(Продажи!J$5:J$359,Продажи!$D$5:$D$359,Конструкторы!$B880,Продажи!$C$5:$C$359,Конструкторы!$A880)</f>
        <v>0</v>
      </c>
      <c r="N880" s="166">
        <f>SUMIFS(Продажи!K$5:K$359,Продажи!$D$5:$D$359,Конструкторы!$B880,Продажи!$C$5:$C$359,Конструкторы!$A880)</f>
        <v>0</v>
      </c>
      <c r="O880" s="166">
        <f>SUMIFS(Продажи!L$5:L$359,Продажи!$D$5:$D$359,Конструкторы!$B880,Продажи!$C$5:$C$359,Конструкторы!$A880)</f>
        <v>0</v>
      </c>
      <c r="P880" s="166">
        <f>SUMIFS(Продажи!M$5:M$359,Продажи!$D$5:$D$359,Конструкторы!$B880,Продажи!$C$5:$C$359,Конструкторы!$A880)</f>
        <v>0</v>
      </c>
      <c r="Q880" s="166">
        <f>SUMIFS(Продажи!N$5:N$359,Продажи!$D$5:$D$359,Конструкторы!$B880,Продажи!$C$5:$C$359,Конструкторы!$A880)</f>
        <v>0</v>
      </c>
      <c r="R880" s="166">
        <f>SUMIFS(Продажи!O$5:O$359,Продажи!$D$5:$D$359,Конструкторы!$B880,Продажи!$C$5:$C$359,Конструкторы!$A880)</f>
        <v>0</v>
      </c>
      <c r="S880" s="166">
        <f>SUMIFS(Продажи!P$5:P$359,Продажи!$D$5:$D$359,Конструкторы!$B880,Продажи!$C$5:$C$359,Конструкторы!$A880)</f>
        <v>0</v>
      </c>
      <c r="T880" s="166">
        <f>SUMIFS(Продажи!Q$5:Q$359,Продажи!$D$5:$D$359,Конструкторы!$B880,Продажи!$C$5:$C$359,Конструкторы!$A880)</f>
        <v>0</v>
      </c>
    </row>
    <row r="881" spans="1:20" ht="15.75" hidden="1" x14ac:dyDescent="0.25">
      <c r="A881" s="166" t="s">
        <v>397</v>
      </c>
      <c r="B881" s="167" t="s">
        <v>243</v>
      </c>
      <c r="C881" s="129" t="s">
        <v>53</v>
      </c>
      <c r="D881" s="130">
        <v>7038</v>
      </c>
      <c r="E881" s="153" t="s">
        <v>68</v>
      </c>
      <c r="F881" s="156">
        <f>(1.2*103)/100</f>
        <v>1.236</v>
      </c>
      <c r="G881" s="156">
        <v>3.6000000000000032E-2</v>
      </c>
      <c r="H881" s="156">
        <f>F881+G881</f>
        <v>1.272</v>
      </c>
      <c r="I881" s="166">
        <f>SUMIFS(Продажи!F$5:F$359,Продажи!$D$5:$D$359,Конструкторы!$B881,Продажи!$C$5:$C$359,Конструкторы!$A881)</f>
        <v>16</v>
      </c>
      <c r="J881" s="166">
        <f>SUMIFS(Продажи!G$5:G$359,Продажи!$D$5:$D$359,Конструкторы!$B881,Продажи!$C$5:$C$359,Конструкторы!$A881)</f>
        <v>0</v>
      </c>
      <c r="K881" s="166">
        <f>SUMIFS(Продажи!H$5:H$359,Продажи!$D$5:$D$359,Конструкторы!$B881,Продажи!$C$5:$C$359,Конструкторы!$A881)</f>
        <v>0</v>
      </c>
      <c r="L881" s="166">
        <f>SUMIFS(Продажи!I$5:I$359,Продажи!$D$5:$D$359,Конструкторы!$B881,Продажи!$C$5:$C$359,Конструкторы!$A881)</f>
        <v>0</v>
      </c>
      <c r="M881" s="166">
        <f>SUMIFS(Продажи!J$5:J$359,Продажи!$D$5:$D$359,Конструкторы!$B881,Продажи!$C$5:$C$359,Конструкторы!$A881)</f>
        <v>0</v>
      </c>
      <c r="N881" s="166">
        <f>SUMIFS(Продажи!K$5:K$359,Продажи!$D$5:$D$359,Конструкторы!$B881,Продажи!$C$5:$C$359,Конструкторы!$A881)</f>
        <v>0</v>
      </c>
      <c r="O881" s="166">
        <f>SUMIFS(Продажи!L$5:L$359,Продажи!$D$5:$D$359,Конструкторы!$B881,Продажи!$C$5:$C$359,Конструкторы!$A881)</f>
        <v>0</v>
      </c>
      <c r="P881" s="166">
        <f>SUMIFS(Продажи!M$5:M$359,Продажи!$D$5:$D$359,Конструкторы!$B881,Продажи!$C$5:$C$359,Конструкторы!$A881)</f>
        <v>0</v>
      </c>
      <c r="Q881" s="166">
        <f>SUMIFS(Продажи!N$5:N$359,Продажи!$D$5:$D$359,Конструкторы!$B881,Продажи!$C$5:$C$359,Конструкторы!$A881)</f>
        <v>0</v>
      </c>
      <c r="R881" s="166">
        <f>SUMIFS(Продажи!O$5:O$359,Продажи!$D$5:$D$359,Конструкторы!$B881,Продажи!$C$5:$C$359,Конструкторы!$A881)</f>
        <v>0</v>
      </c>
      <c r="S881" s="166">
        <f>SUMIFS(Продажи!P$5:P$359,Продажи!$D$5:$D$359,Конструкторы!$B881,Продажи!$C$5:$C$359,Конструкторы!$A881)</f>
        <v>0</v>
      </c>
      <c r="T881" s="166">
        <f>SUMIFS(Продажи!Q$5:Q$359,Продажи!$D$5:$D$359,Конструкторы!$B881,Продажи!$C$5:$C$359,Конструкторы!$A881)</f>
        <v>0</v>
      </c>
    </row>
    <row r="882" spans="1:20" ht="15.75" hidden="1" x14ac:dyDescent="0.25">
      <c r="A882" s="166" t="s">
        <v>397</v>
      </c>
      <c r="B882" s="167" t="s">
        <v>243</v>
      </c>
      <c r="C882" s="129" t="s">
        <v>52</v>
      </c>
      <c r="D882" s="149"/>
      <c r="E882" s="153" t="s">
        <v>68</v>
      </c>
      <c r="F882" s="156">
        <f>(0.6*103)/100</f>
        <v>0.61799999999999999</v>
      </c>
      <c r="G882" s="156">
        <v>1.8000000000000016E-2</v>
      </c>
      <c r="H882" s="156">
        <f>F882+G882</f>
        <v>0.63600000000000001</v>
      </c>
      <c r="I882" s="166">
        <f>SUMIFS(Продажи!F$5:F$359,Продажи!$D$5:$D$359,Конструкторы!$B882,Продажи!$C$5:$C$359,Конструкторы!$A882)</f>
        <v>16</v>
      </c>
      <c r="J882" s="166">
        <f>SUMIFS(Продажи!G$5:G$359,Продажи!$D$5:$D$359,Конструкторы!$B882,Продажи!$C$5:$C$359,Конструкторы!$A882)</f>
        <v>0</v>
      </c>
      <c r="K882" s="166">
        <f>SUMIFS(Продажи!H$5:H$359,Продажи!$D$5:$D$359,Конструкторы!$B882,Продажи!$C$5:$C$359,Конструкторы!$A882)</f>
        <v>0</v>
      </c>
      <c r="L882" s="166">
        <f>SUMIFS(Продажи!I$5:I$359,Продажи!$D$5:$D$359,Конструкторы!$B882,Продажи!$C$5:$C$359,Конструкторы!$A882)</f>
        <v>0</v>
      </c>
      <c r="M882" s="166">
        <f>SUMIFS(Продажи!J$5:J$359,Продажи!$D$5:$D$359,Конструкторы!$B882,Продажи!$C$5:$C$359,Конструкторы!$A882)</f>
        <v>0</v>
      </c>
      <c r="N882" s="166">
        <f>SUMIFS(Продажи!K$5:K$359,Продажи!$D$5:$D$359,Конструкторы!$B882,Продажи!$C$5:$C$359,Конструкторы!$A882)</f>
        <v>0</v>
      </c>
      <c r="O882" s="166">
        <f>SUMIFS(Продажи!L$5:L$359,Продажи!$D$5:$D$359,Конструкторы!$B882,Продажи!$C$5:$C$359,Конструкторы!$A882)</f>
        <v>0</v>
      </c>
      <c r="P882" s="166">
        <f>SUMIFS(Продажи!M$5:M$359,Продажи!$D$5:$D$359,Конструкторы!$B882,Продажи!$C$5:$C$359,Конструкторы!$A882)</f>
        <v>0</v>
      </c>
      <c r="Q882" s="166">
        <f>SUMIFS(Продажи!N$5:N$359,Продажи!$D$5:$D$359,Конструкторы!$B882,Продажи!$C$5:$C$359,Конструкторы!$A882)</f>
        <v>0</v>
      </c>
      <c r="R882" s="166">
        <f>SUMIFS(Продажи!O$5:O$359,Продажи!$D$5:$D$359,Конструкторы!$B882,Продажи!$C$5:$C$359,Конструкторы!$A882)</f>
        <v>0</v>
      </c>
      <c r="S882" s="166">
        <f>SUMIFS(Продажи!P$5:P$359,Продажи!$D$5:$D$359,Конструкторы!$B882,Продажи!$C$5:$C$359,Конструкторы!$A882)</f>
        <v>0</v>
      </c>
      <c r="T882" s="166">
        <f>SUMIFS(Продажи!Q$5:Q$359,Продажи!$D$5:$D$359,Конструкторы!$B882,Продажи!$C$5:$C$359,Конструкторы!$A882)</f>
        <v>0</v>
      </c>
    </row>
    <row r="883" spans="1:20" ht="15.75" hidden="1" x14ac:dyDescent="0.25">
      <c r="A883" s="166" t="s">
        <v>397</v>
      </c>
      <c r="B883" s="167" t="s">
        <v>243</v>
      </c>
      <c r="C883" s="33" t="s">
        <v>77</v>
      </c>
      <c r="D883" s="149"/>
      <c r="E883" s="153" t="s">
        <v>70</v>
      </c>
      <c r="F883" s="148">
        <v>2</v>
      </c>
      <c r="G883" s="156" t="s">
        <v>71</v>
      </c>
      <c r="H883" s="156">
        <f>F883</f>
        <v>2</v>
      </c>
      <c r="I883" s="166">
        <f>SUMIFS(Продажи!F$5:F$359,Продажи!$D$5:$D$359,Конструкторы!$B883,Продажи!$C$5:$C$359,Конструкторы!$A883)</f>
        <v>16</v>
      </c>
      <c r="J883" s="166">
        <f>SUMIFS(Продажи!G$5:G$359,Продажи!$D$5:$D$359,Конструкторы!$B883,Продажи!$C$5:$C$359,Конструкторы!$A883)</f>
        <v>0</v>
      </c>
      <c r="K883" s="166">
        <f>SUMIFS(Продажи!H$5:H$359,Продажи!$D$5:$D$359,Конструкторы!$B883,Продажи!$C$5:$C$359,Конструкторы!$A883)</f>
        <v>0</v>
      </c>
      <c r="L883" s="166">
        <f>SUMIFS(Продажи!I$5:I$359,Продажи!$D$5:$D$359,Конструкторы!$B883,Продажи!$C$5:$C$359,Конструкторы!$A883)</f>
        <v>0</v>
      </c>
      <c r="M883" s="166">
        <f>SUMIFS(Продажи!J$5:J$359,Продажи!$D$5:$D$359,Конструкторы!$B883,Продажи!$C$5:$C$359,Конструкторы!$A883)</f>
        <v>0</v>
      </c>
      <c r="N883" s="166">
        <f>SUMIFS(Продажи!K$5:K$359,Продажи!$D$5:$D$359,Конструкторы!$B883,Продажи!$C$5:$C$359,Конструкторы!$A883)</f>
        <v>0</v>
      </c>
      <c r="O883" s="166">
        <f>SUMIFS(Продажи!L$5:L$359,Продажи!$D$5:$D$359,Конструкторы!$B883,Продажи!$C$5:$C$359,Конструкторы!$A883)</f>
        <v>0</v>
      </c>
      <c r="P883" s="166">
        <f>SUMIFS(Продажи!M$5:M$359,Продажи!$D$5:$D$359,Конструкторы!$B883,Продажи!$C$5:$C$359,Конструкторы!$A883)</f>
        <v>0</v>
      </c>
      <c r="Q883" s="166">
        <f>SUMIFS(Продажи!N$5:N$359,Продажи!$D$5:$D$359,Конструкторы!$B883,Продажи!$C$5:$C$359,Конструкторы!$A883)</f>
        <v>0</v>
      </c>
      <c r="R883" s="166">
        <f>SUMIFS(Продажи!O$5:O$359,Продажи!$D$5:$D$359,Конструкторы!$B883,Продажи!$C$5:$C$359,Конструкторы!$A883)</f>
        <v>0</v>
      </c>
      <c r="S883" s="166">
        <f>SUMIFS(Продажи!P$5:P$359,Продажи!$D$5:$D$359,Конструкторы!$B883,Продажи!$C$5:$C$359,Конструкторы!$A883)</f>
        <v>0</v>
      </c>
      <c r="T883" s="166">
        <f>SUMIFS(Продажи!Q$5:Q$359,Продажи!$D$5:$D$359,Конструкторы!$B883,Продажи!$C$5:$C$359,Конструкторы!$A883)</f>
        <v>0</v>
      </c>
    </row>
    <row r="884" spans="1:20" ht="15.75" hidden="1" x14ac:dyDescent="0.25">
      <c r="A884" s="166" t="s">
        <v>397</v>
      </c>
      <c r="B884" s="167" t="s">
        <v>243</v>
      </c>
      <c r="C884" s="33" t="s">
        <v>75</v>
      </c>
      <c r="D884" s="149"/>
      <c r="E884" s="153" t="s">
        <v>70</v>
      </c>
      <c r="F884" s="148">
        <v>12</v>
      </c>
      <c r="G884" s="156" t="s">
        <v>71</v>
      </c>
      <c r="H884" s="156">
        <f>F884</f>
        <v>12</v>
      </c>
      <c r="I884" s="166">
        <f>SUMIFS(Продажи!F$5:F$359,Продажи!$D$5:$D$359,Конструкторы!$B884,Продажи!$C$5:$C$359,Конструкторы!$A884)</f>
        <v>16</v>
      </c>
      <c r="J884" s="166">
        <f>SUMIFS(Продажи!G$5:G$359,Продажи!$D$5:$D$359,Конструкторы!$B884,Продажи!$C$5:$C$359,Конструкторы!$A884)</f>
        <v>0</v>
      </c>
      <c r="K884" s="166">
        <f>SUMIFS(Продажи!H$5:H$359,Продажи!$D$5:$D$359,Конструкторы!$B884,Продажи!$C$5:$C$359,Конструкторы!$A884)</f>
        <v>0</v>
      </c>
      <c r="L884" s="166">
        <f>SUMIFS(Продажи!I$5:I$359,Продажи!$D$5:$D$359,Конструкторы!$B884,Продажи!$C$5:$C$359,Конструкторы!$A884)</f>
        <v>0</v>
      </c>
      <c r="M884" s="166">
        <f>SUMIFS(Продажи!J$5:J$359,Продажи!$D$5:$D$359,Конструкторы!$B884,Продажи!$C$5:$C$359,Конструкторы!$A884)</f>
        <v>0</v>
      </c>
      <c r="N884" s="166">
        <f>SUMIFS(Продажи!K$5:K$359,Продажи!$D$5:$D$359,Конструкторы!$B884,Продажи!$C$5:$C$359,Конструкторы!$A884)</f>
        <v>0</v>
      </c>
      <c r="O884" s="166">
        <f>SUMIFS(Продажи!L$5:L$359,Продажи!$D$5:$D$359,Конструкторы!$B884,Продажи!$C$5:$C$359,Конструкторы!$A884)</f>
        <v>0</v>
      </c>
      <c r="P884" s="166">
        <f>SUMIFS(Продажи!M$5:M$359,Продажи!$D$5:$D$359,Конструкторы!$B884,Продажи!$C$5:$C$359,Конструкторы!$A884)</f>
        <v>0</v>
      </c>
      <c r="Q884" s="166">
        <f>SUMIFS(Продажи!N$5:N$359,Продажи!$D$5:$D$359,Конструкторы!$B884,Продажи!$C$5:$C$359,Конструкторы!$A884)</f>
        <v>0</v>
      </c>
      <c r="R884" s="166">
        <f>SUMIFS(Продажи!O$5:O$359,Продажи!$D$5:$D$359,Конструкторы!$B884,Продажи!$C$5:$C$359,Конструкторы!$A884)</f>
        <v>0</v>
      </c>
      <c r="S884" s="166">
        <f>SUMIFS(Продажи!P$5:P$359,Продажи!$D$5:$D$359,Конструкторы!$B884,Продажи!$C$5:$C$359,Конструкторы!$A884)</f>
        <v>0</v>
      </c>
      <c r="T884" s="166">
        <f>SUMIFS(Продажи!Q$5:Q$359,Продажи!$D$5:$D$359,Конструкторы!$B884,Продажи!$C$5:$C$359,Конструкторы!$A884)</f>
        <v>0</v>
      </c>
    </row>
    <row r="885" spans="1:20" ht="15.75" hidden="1" x14ac:dyDescent="0.25">
      <c r="A885" s="166" t="s">
        <v>397</v>
      </c>
      <c r="B885" s="167" t="s">
        <v>243</v>
      </c>
      <c r="C885" s="33" t="s">
        <v>69</v>
      </c>
      <c r="D885" s="149"/>
      <c r="E885" s="153" t="s">
        <v>70</v>
      </c>
      <c r="F885" s="148">
        <v>4</v>
      </c>
      <c r="G885" s="156" t="s">
        <v>71</v>
      </c>
      <c r="H885" s="156">
        <f>F885</f>
        <v>4</v>
      </c>
      <c r="I885" s="166">
        <f>SUMIFS(Продажи!F$5:F$359,Продажи!$D$5:$D$359,Конструкторы!$B885,Продажи!$C$5:$C$359,Конструкторы!$A885)</f>
        <v>16</v>
      </c>
      <c r="J885" s="166">
        <f>SUMIFS(Продажи!G$5:G$359,Продажи!$D$5:$D$359,Конструкторы!$B885,Продажи!$C$5:$C$359,Конструкторы!$A885)</f>
        <v>0</v>
      </c>
      <c r="K885" s="166">
        <f>SUMIFS(Продажи!H$5:H$359,Продажи!$D$5:$D$359,Конструкторы!$B885,Продажи!$C$5:$C$359,Конструкторы!$A885)</f>
        <v>0</v>
      </c>
      <c r="L885" s="166">
        <f>SUMIFS(Продажи!I$5:I$359,Продажи!$D$5:$D$359,Конструкторы!$B885,Продажи!$C$5:$C$359,Конструкторы!$A885)</f>
        <v>0</v>
      </c>
      <c r="M885" s="166">
        <f>SUMIFS(Продажи!J$5:J$359,Продажи!$D$5:$D$359,Конструкторы!$B885,Продажи!$C$5:$C$359,Конструкторы!$A885)</f>
        <v>0</v>
      </c>
      <c r="N885" s="166">
        <f>SUMIFS(Продажи!K$5:K$359,Продажи!$D$5:$D$359,Конструкторы!$B885,Продажи!$C$5:$C$359,Конструкторы!$A885)</f>
        <v>0</v>
      </c>
      <c r="O885" s="166">
        <f>SUMIFS(Продажи!L$5:L$359,Продажи!$D$5:$D$359,Конструкторы!$B885,Продажи!$C$5:$C$359,Конструкторы!$A885)</f>
        <v>0</v>
      </c>
      <c r="P885" s="166">
        <f>SUMIFS(Продажи!M$5:M$359,Продажи!$D$5:$D$359,Конструкторы!$B885,Продажи!$C$5:$C$359,Конструкторы!$A885)</f>
        <v>0</v>
      </c>
      <c r="Q885" s="166">
        <f>SUMIFS(Продажи!N$5:N$359,Продажи!$D$5:$D$359,Конструкторы!$B885,Продажи!$C$5:$C$359,Конструкторы!$A885)</f>
        <v>0</v>
      </c>
      <c r="R885" s="166">
        <f>SUMIFS(Продажи!O$5:O$359,Продажи!$D$5:$D$359,Конструкторы!$B885,Продажи!$C$5:$C$359,Конструкторы!$A885)</f>
        <v>0</v>
      </c>
      <c r="S885" s="166">
        <f>SUMIFS(Продажи!P$5:P$359,Продажи!$D$5:$D$359,Конструкторы!$B885,Продажи!$C$5:$C$359,Конструкторы!$A885)</f>
        <v>0</v>
      </c>
      <c r="T885" s="166">
        <f>SUMIFS(Продажи!Q$5:Q$359,Продажи!$D$5:$D$359,Конструкторы!$B885,Продажи!$C$5:$C$359,Конструкторы!$A885)</f>
        <v>0</v>
      </c>
    </row>
    <row r="886" spans="1:20" ht="15.75" hidden="1" x14ac:dyDescent="0.25">
      <c r="A886" s="166" t="s">
        <v>397</v>
      </c>
      <c r="B886" s="167" t="s">
        <v>244</v>
      </c>
      <c r="C886" s="129" t="s">
        <v>53</v>
      </c>
      <c r="D886" s="130">
        <v>7038</v>
      </c>
      <c r="E886" s="153" t="s">
        <v>68</v>
      </c>
      <c r="F886" s="156">
        <f>(1.2*103)/100</f>
        <v>1.236</v>
      </c>
      <c r="G886" s="156">
        <v>3.6000000000000032E-2</v>
      </c>
      <c r="H886" s="156">
        <f>F886+G886</f>
        <v>1.272</v>
      </c>
      <c r="I886" s="166">
        <f>SUMIFS(Продажи!F$5:F$359,Продажи!$D$5:$D$359,Конструкторы!$B886,Продажи!$C$5:$C$359,Конструкторы!$A886)</f>
        <v>6</v>
      </c>
      <c r="J886" s="166">
        <f>SUMIFS(Продажи!G$5:G$359,Продажи!$D$5:$D$359,Конструкторы!$B886,Продажи!$C$5:$C$359,Конструкторы!$A886)</f>
        <v>0</v>
      </c>
      <c r="K886" s="166">
        <f>SUMIFS(Продажи!H$5:H$359,Продажи!$D$5:$D$359,Конструкторы!$B886,Продажи!$C$5:$C$359,Конструкторы!$A886)</f>
        <v>0</v>
      </c>
      <c r="L886" s="166">
        <f>SUMIFS(Продажи!I$5:I$359,Продажи!$D$5:$D$359,Конструкторы!$B886,Продажи!$C$5:$C$359,Конструкторы!$A886)</f>
        <v>0</v>
      </c>
      <c r="M886" s="166">
        <f>SUMIFS(Продажи!J$5:J$359,Продажи!$D$5:$D$359,Конструкторы!$B886,Продажи!$C$5:$C$359,Конструкторы!$A886)</f>
        <v>0</v>
      </c>
      <c r="N886" s="166">
        <f>SUMIFS(Продажи!K$5:K$359,Продажи!$D$5:$D$359,Конструкторы!$B886,Продажи!$C$5:$C$359,Конструкторы!$A886)</f>
        <v>0</v>
      </c>
      <c r="O886" s="166">
        <f>SUMIFS(Продажи!L$5:L$359,Продажи!$D$5:$D$359,Конструкторы!$B886,Продажи!$C$5:$C$359,Конструкторы!$A886)</f>
        <v>0</v>
      </c>
      <c r="P886" s="166">
        <f>SUMIFS(Продажи!M$5:M$359,Продажи!$D$5:$D$359,Конструкторы!$B886,Продажи!$C$5:$C$359,Конструкторы!$A886)</f>
        <v>0</v>
      </c>
      <c r="Q886" s="166">
        <f>SUMIFS(Продажи!N$5:N$359,Продажи!$D$5:$D$359,Конструкторы!$B886,Продажи!$C$5:$C$359,Конструкторы!$A886)</f>
        <v>0</v>
      </c>
      <c r="R886" s="166">
        <f>SUMIFS(Продажи!O$5:O$359,Продажи!$D$5:$D$359,Конструкторы!$B886,Продажи!$C$5:$C$359,Конструкторы!$A886)</f>
        <v>0</v>
      </c>
      <c r="S886" s="166">
        <f>SUMIFS(Продажи!P$5:P$359,Продажи!$D$5:$D$359,Конструкторы!$B886,Продажи!$C$5:$C$359,Конструкторы!$A886)</f>
        <v>0</v>
      </c>
      <c r="T886" s="166">
        <f>SUMIFS(Продажи!Q$5:Q$359,Продажи!$D$5:$D$359,Конструкторы!$B886,Продажи!$C$5:$C$359,Конструкторы!$A886)</f>
        <v>0</v>
      </c>
    </row>
    <row r="887" spans="1:20" ht="15.75" hidden="1" x14ac:dyDescent="0.25">
      <c r="A887" s="166" t="s">
        <v>397</v>
      </c>
      <c r="B887" s="167" t="s">
        <v>244</v>
      </c>
      <c r="C887" s="129" t="s">
        <v>52</v>
      </c>
      <c r="D887" s="149"/>
      <c r="E887" s="153" t="s">
        <v>68</v>
      </c>
      <c r="F887" s="156">
        <f>(0.8*103)/100</f>
        <v>0.82400000000000007</v>
      </c>
      <c r="G887" s="156">
        <v>2.4000000000000021E-2</v>
      </c>
      <c r="H887" s="156">
        <f>F887+G887</f>
        <v>0.84800000000000009</v>
      </c>
      <c r="I887" s="166">
        <f>SUMIFS(Продажи!F$5:F$359,Продажи!$D$5:$D$359,Конструкторы!$B887,Продажи!$C$5:$C$359,Конструкторы!$A887)</f>
        <v>6</v>
      </c>
      <c r="J887" s="166">
        <f>SUMIFS(Продажи!G$5:G$359,Продажи!$D$5:$D$359,Конструкторы!$B887,Продажи!$C$5:$C$359,Конструкторы!$A887)</f>
        <v>0</v>
      </c>
      <c r="K887" s="166">
        <f>SUMIFS(Продажи!H$5:H$359,Продажи!$D$5:$D$359,Конструкторы!$B887,Продажи!$C$5:$C$359,Конструкторы!$A887)</f>
        <v>0</v>
      </c>
      <c r="L887" s="166">
        <f>SUMIFS(Продажи!I$5:I$359,Продажи!$D$5:$D$359,Конструкторы!$B887,Продажи!$C$5:$C$359,Конструкторы!$A887)</f>
        <v>0</v>
      </c>
      <c r="M887" s="166">
        <f>SUMIFS(Продажи!J$5:J$359,Продажи!$D$5:$D$359,Конструкторы!$B887,Продажи!$C$5:$C$359,Конструкторы!$A887)</f>
        <v>0</v>
      </c>
      <c r="N887" s="166">
        <f>SUMIFS(Продажи!K$5:K$359,Продажи!$D$5:$D$359,Конструкторы!$B887,Продажи!$C$5:$C$359,Конструкторы!$A887)</f>
        <v>0</v>
      </c>
      <c r="O887" s="166">
        <f>SUMIFS(Продажи!L$5:L$359,Продажи!$D$5:$D$359,Конструкторы!$B887,Продажи!$C$5:$C$359,Конструкторы!$A887)</f>
        <v>0</v>
      </c>
      <c r="P887" s="166">
        <f>SUMIFS(Продажи!M$5:M$359,Продажи!$D$5:$D$359,Конструкторы!$B887,Продажи!$C$5:$C$359,Конструкторы!$A887)</f>
        <v>0</v>
      </c>
      <c r="Q887" s="166">
        <f>SUMIFS(Продажи!N$5:N$359,Продажи!$D$5:$D$359,Конструкторы!$B887,Продажи!$C$5:$C$359,Конструкторы!$A887)</f>
        <v>0</v>
      </c>
      <c r="R887" s="166">
        <f>SUMIFS(Продажи!O$5:O$359,Продажи!$D$5:$D$359,Конструкторы!$B887,Продажи!$C$5:$C$359,Конструкторы!$A887)</f>
        <v>0</v>
      </c>
      <c r="S887" s="166">
        <f>SUMIFS(Продажи!P$5:P$359,Продажи!$D$5:$D$359,Конструкторы!$B887,Продажи!$C$5:$C$359,Конструкторы!$A887)</f>
        <v>0</v>
      </c>
      <c r="T887" s="166">
        <f>SUMIFS(Продажи!Q$5:Q$359,Продажи!$D$5:$D$359,Конструкторы!$B887,Продажи!$C$5:$C$359,Конструкторы!$A887)</f>
        <v>0</v>
      </c>
    </row>
    <row r="888" spans="1:20" ht="15.75" hidden="1" x14ac:dyDescent="0.25">
      <c r="A888" s="166" t="s">
        <v>397</v>
      </c>
      <c r="B888" s="167" t="s">
        <v>244</v>
      </c>
      <c r="C888" s="33" t="s">
        <v>77</v>
      </c>
      <c r="D888" s="149"/>
      <c r="E888" s="153" t="s">
        <v>70</v>
      </c>
      <c r="F888" s="148">
        <v>2</v>
      </c>
      <c r="G888" s="156" t="s">
        <v>71</v>
      </c>
      <c r="H888" s="156">
        <f>F888</f>
        <v>2</v>
      </c>
      <c r="I888" s="166">
        <f>SUMIFS(Продажи!F$5:F$359,Продажи!$D$5:$D$359,Конструкторы!$B888,Продажи!$C$5:$C$359,Конструкторы!$A888)</f>
        <v>6</v>
      </c>
      <c r="J888" s="166">
        <f>SUMIFS(Продажи!G$5:G$359,Продажи!$D$5:$D$359,Конструкторы!$B888,Продажи!$C$5:$C$359,Конструкторы!$A888)</f>
        <v>0</v>
      </c>
      <c r="K888" s="166">
        <f>SUMIFS(Продажи!H$5:H$359,Продажи!$D$5:$D$359,Конструкторы!$B888,Продажи!$C$5:$C$359,Конструкторы!$A888)</f>
        <v>0</v>
      </c>
      <c r="L888" s="166">
        <f>SUMIFS(Продажи!I$5:I$359,Продажи!$D$5:$D$359,Конструкторы!$B888,Продажи!$C$5:$C$359,Конструкторы!$A888)</f>
        <v>0</v>
      </c>
      <c r="M888" s="166">
        <f>SUMIFS(Продажи!J$5:J$359,Продажи!$D$5:$D$359,Конструкторы!$B888,Продажи!$C$5:$C$359,Конструкторы!$A888)</f>
        <v>0</v>
      </c>
      <c r="N888" s="166">
        <f>SUMIFS(Продажи!K$5:K$359,Продажи!$D$5:$D$359,Конструкторы!$B888,Продажи!$C$5:$C$359,Конструкторы!$A888)</f>
        <v>0</v>
      </c>
      <c r="O888" s="166">
        <f>SUMIFS(Продажи!L$5:L$359,Продажи!$D$5:$D$359,Конструкторы!$B888,Продажи!$C$5:$C$359,Конструкторы!$A888)</f>
        <v>0</v>
      </c>
      <c r="P888" s="166">
        <f>SUMIFS(Продажи!M$5:M$359,Продажи!$D$5:$D$359,Конструкторы!$B888,Продажи!$C$5:$C$359,Конструкторы!$A888)</f>
        <v>0</v>
      </c>
      <c r="Q888" s="166">
        <f>SUMIFS(Продажи!N$5:N$359,Продажи!$D$5:$D$359,Конструкторы!$B888,Продажи!$C$5:$C$359,Конструкторы!$A888)</f>
        <v>0</v>
      </c>
      <c r="R888" s="166">
        <f>SUMIFS(Продажи!O$5:O$359,Продажи!$D$5:$D$359,Конструкторы!$B888,Продажи!$C$5:$C$359,Конструкторы!$A888)</f>
        <v>0</v>
      </c>
      <c r="S888" s="166">
        <f>SUMIFS(Продажи!P$5:P$359,Продажи!$D$5:$D$359,Конструкторы!$B888,Продажи!$C$5:$C$359,Конструкторы!$A888)</f>
        <v>0</v>
      </c>
      <c r="T888" s="166">
        <f>SUMIFS(Продажи!Q$5:Q$359,Продажи!$D$5:$D$359,Конструкторы!$B888,Продажи!$C$5:$C$359,Конструкторы!$A888)</f>
        <v>0</v>
      </c>
    </row>
    <row r="889" spans="1:20" ht="15.75" hidden="1" x14ac:dyDescent="0.25">
      <c r="A889" s="166" t="s">
        <v>397</v>
      </c>
      <c r="B889" s="167" t="s">
        <v>244</v>
      </c>
      <c r="C889" s="33" t="s">
        <v>75</v>
      </c>
      <c r="D889" s="149"/>
      <c r="E889" s="153" t="s">
        <v>70</v>
      </c>
      <c r="F889" s="148">
        <v>12</v>
      </c>
      <c r="G889" s="156" t="s">
        <v>71</v>
      </c>
      <c r="H889" s="156">
        <f>F889</f>
        <v>12</v>
      </c>
      <c r="I889" s="166">
        <f>SUMIFS(Продажи!F$5:F$359,Продажи!$D$5:$D$359,Конструкторы!$B889,Продажи!$C$5:$C$359,Конструкторы!$A889)</f>
        <v>6</v>
      </c>
      <c r="J889" s="166">
        <f>SUMIFS(Продажи!G$5:G$359,Продажи!$D$5:$D$359,Конструкторы!$B889,Продажи!$C$5:$C$359,Конструкторы!$A889)</f>
        <v>0</v>
      </c>
      <c r="K889" s="166">
        <f>SUMIFS(Продажи!H$5:H$359,Продажи!$D$5:$D$359,Конструкторы!$B889,Продажи!$C$5:$C$359,Конструкторы!$A889)</f>
        <v>0</v>
      </c>
      <c r="L889" s="166">
        <f>SUMIFS(Продажи!I$5:I$359,Продажи!$D$5:$D$359,Конструкторы!$B889,Продажи!$C$5:$C$359,Конструкторы!$A889)</f>
        <v>0</v>
      </c>
      <c r="M889" s="166">
        <f>SUMIFS(Продажи!J$5:J$359,Продажи!$D$5:$D$359,Конструкторы!$B889,Продажи!$C$5:$C$359,Конструкторы!$A889)</f>
        <v>0</v>
      </c>
      <c r="N889" s="166">
        <f>SUMIFS(Продажи!K$5:K$359,Продажи!$D$5:$D$359,Конструкторы!$B889,Продажи!$C$5:$C$359,Конструкторы!$A889)</f>
        <v>0</v>
      </c>
      <c r="O889" s="166">
        <f>SUMIFS(Продажи!L$5:L$359,Продажи!$D$5:$D$359,Конструкторы!$B889,Продажи!$C$5:$C$359,Конструкторы!$A889)</f>
        <v>0</v>
      </c>
      <c r="P889" s="166">
        <f>SUMIFS(Продажи!M$5:M$359,Продажи!$D$5:$D$359,Конструкторы!$B889,Продажи!$C$5:$C$359,Конструкторы!$A889)</f>
        <v>0</v>
      </c>
      <c r="Q889" s="166">
        <f>SUMIFS(Продажи!N$5:N$359,Продажи!$D$5:$D$359,Конструкторы!$B889,Продажи!$C$5:$C$359,Конструкторы!$A889)</f>
        <v>0</v>
      </c>
      <c r="R889" s="166">
        <f>SUMIFS(Продажи!O$5:O$359,Продажи!$D$5:$D$359,Конструкторы!$B889,Продажи!$C$5:$C$359,Конструкторы!$A889)</f>
        <v>0</v>
      </c>
      <c r="S889" s="166">
        <f>SUMIFS(Продажи!P$5:P$359,Продажи!$D$5:$D$359,Конструкторы!$B889,Продажи!$C$5:$C$359,Конструкторы!$A889)</f>
        <v>0</v>
      </c>
      <c r="T889" s="166">
        <f>SUMIFS(Продажи!Q$5:Q$359,Продажи!$D$5:$D$359,Конструкторы!$B889,Продажи!$C$5:$C$359,Конструкторы!$A889)</f>
        <v>0</v>
      </c>
    </row>
    <row r="890" spans="1:20" ht="15.75" hidden="1" x14ac:dyDescent="0.25">
      <c r="A890" s="166" t="s">
        <v>397</v>
      </c>
      <c r="B890" s="167" t="s">
        <v>244</v>
      </c>
      <c r="C890" s="33" t="s">
        <v>69</v>
      </c>
      <c r="D890" s="149"/>
      <c r="E890" s="153" t="s">
        <v>70</v>
      </c>
      <c r="F890" s="148">
        <v>4</v>
      </c>
      <c r="G890" s="156" t="s">
        <v>71</v>
      </c>
      <c r="H890" s="156">
        <f>F890</f>
        <v>4</v>
      </c>
      <c r="I890" s="166">
        <f>SUMIFS(Продажи!F$5:F$359,Продажи!$D$5:$D$359,Конструкторы!$B890,Продажи!$C$5:$C$359,Конструкторы!$A890)</f>
        <v>6</v>
      </c>
      <c r="J890" s="166">
        <f>SUMIFS(Продажи!G$5:G$359,Продажи!$D$5:$D$359,Конструкторы!$B890,Продажи!$C$5:$C$359,Конструкторы!$A890)</f>
        <v>0</v>
      </c>
      <c r="K890" s="166">
        <f>SUMIFS(Продажи!H$5:H$359,Продажи!$D$5:$D$359,Конструкторы!$B890,Продажи!$C$5:$C$359,Конструкторы!$A890)</f>
        <v>0</v>
      </c>
      <c r="L890" s="166">
        <f>SUMIFS(Продажи!I$5:I$359,Продажи!$D$5:$D$359,Конструкторы!$B890,Продажи!$C$5:$C$359,Конструкторы!$A890)</f>
        <v>0</v>
      </c>
      <c r="M890" s="166">
        <f>SUMIFS(Продажи!J$5:J$359,Продажи!$D$5:$D$359,Конструкторы!$B890,Продажи!$C$5:$C$359,Конструкторы!$A890)</f>
        <v>0</v>
      </c>
      <c r="N890" s="166">
        <f>SUMIFS(Продажи!K$5:K$359,Продажи!$D$5:$D$359,Конструкторы!$B890,Продажи!$C$5:$C$359,Конструкторы!$A890)</f>
        <v>0</v>
      </c>
      <c r="O890" s="166">
        <f>SUMIFS(Продажи!L$5:L$359,Продажи!$D$5:$D$359,Конструкторы!$B890,Продажи!$C$5:$C$359,Конструкторы!$A890)</f>
        <v>0</v>
      </c>
      <c r="P890" s="166">
        <f>SUMIFS(Продажи!M$5:M$359,Продажи!$D$5:$D$359,Конструкторы!$B890,Продажи!$C$5:$C$359,Конструкторы!$A890)</f>
        <v>0</v>
      </c>
      <c r="Q890" s="166">
        <f>SUMIFS(Продажи!N$5:N$359,Продажи!$D$5:$D$359,Конструкторы!$B890,Продажи!$C$5:$C$359,Конструкторы!$A890)</f>
        <v>0</v>
      </c>
      <c r="R890" s="166">
        <f>SUMIFS(Продажи!O$5:O$359,Продажи!$D$5:$D$359,Конструкторы!$B890,Продажи!$C$5:$C$359,Конструкторы!$A890)</f>
        <v>0</v>
      </c>
      <c r="S890" s="166">
        <f>SUMIFS(Продажи!P$5:P$359,Продажи!$D$5:$D$359,Конструкторы!$B890,Продажи!$C$5:$C$359,Конструкторы!$A890)</f>
        <v>0</v>
      </c>
      <c r="T890" s="166">
        <f>SUMIFS(Продажи!Q$5:Q$359,Продажи!$D$5:$D$359,Конструкторы!$B890,Продажи!$C$5:$C$359,Конструкторы!$A890)</f>
        <v>0</v>
      </c>
    </row>
    <row r="891" spans="1:20" ht="15.75" hidden="1" x14ac:dyDescent="0.25">
      <c r="A891" s="166" t="s">
        <v>397</v>
      </c>
      <c r="B891" s="167" t="s">
        <v>245</v>
      </c>
      <c r="C891" s="129" t="s">
        <v>53</v>
      </c>
      <c r="D891" s="130">
        <v>7038</v>
      </c>
      <c r="E891" s="153" t="s">
        <v>68</v>
      </c>
      <c r="F891" s="156">
        <f>(1.2*103)/100</f>
        <v>1.236</v>
      </c>
      <c r="G891" s="156">
        <v>3.6000000000000032E-2</v>
      </c>
      <c r="H891" s="156">
        <f>F891+G891</f>
        <v>1.272</v>
      </c>
      <c r="I891" s="166">
        <f>SUMIFS(Продажи!F$5:F$359,Продажи!$D$5:$D$359,Конструкторы!$B891,Продажи!$C$5:$C$359,Конструкторы!$A891)</f>
        <v>0</v>
      </c>
      <c r="J891" s="166">
        <f>SUMIFS(Продажи!G$5:G$359,Продажи!$D$5:$D$359,Конструкторы!$B891,Продажи!$C$5:$C$359,Конструкторы!$A891)</f>
        <v>0</v>
      </c>
      <c r="K891" s="166">
        <f>SUMIFS(Продажи!H$5:H$359,Продажи!$D$5:$D$359,Конструкторы!$B891,Продажи!$C$5:$C$359,Конструкторы!$A891)</f>
        <v>0</v>
      </c>
      <c r="L891" s="166">
        <f>SUMIFS(Продажи!I$5:I$359,Продажи!$D$5:$D$359,Конструкторы!$B891,Продажи!$C$5:$C$359,Конструкторы!$A891)</f>
        <v>0</v>
      </c>
      <c r="M891" s="166">
        <f>SUMIFS(Продажи!J$5:J$359,Продажи!$D$5:$D$359,Конструкторы!$B891,Продажи!$C$5:$C$359,Конструкторы!$A891)</f>
        <v>0</v>
      </c>
      <c r="N891" s="166">
        <f>SUMIFS(Продажи!K$5:K$359,Продажи!$D$5:$D$359,Конструкторы!$B891,Продажи!$C$5:$C$359,Конструкторы!$A891)</f>
        <v>0</v>
      </c>
      <c r="O891" s="166">
        <f>SUMIFS(Продажи!L$5:L$359,Продажи!$D$5:$D$359,Конструкторы!$B891,Продажи!$C$5:$C$359,Конструкторы!$A891)</f>
        <v>0</v>
      </c>
      <c r="P891" s="166">
        <f>SUMIFS(Продажи!M$5:M$359,Продажи!$D$5:$D$359,Конструкторы!$B891,Продажи!$C$5:$C$359,Конструкторы!$A891)</f>
        <v>0</v>
      </c>
      <c r="Q891" s="166">
        <f>SUMIFS(Продажи!N$5:N$359,Продажи!$D$5:$D$359,Конструкторы!$B891,Продажи!$C$5:$C$359,Конструкторы!$A891)</f>
        <v>0</v>
      </c>
      <c r="R891" s="166">
        <f>SUMIFS(Продажи!O$5:O$359,Продажи!$D$5:$D$359,Конструкторы!$B891,Продажи!$C$5:$C$359,Конструкторы!$A891)</f>
        <v>0</v>
      </c>
      <c r="S891" s="166">
        <f>SUMIFS(Продажи!P$5:P$359,Продажи!$D$5:$D$359,Конструкторы!$B891,Продажи!$C$5:$C$359,Конструкторы!$A891)</f>
        <v>0</v>
      </c>
      <c r="T891" s="166">
        <f>SUMIFS(Продажи!Q$5:Q$359,Продажи!$D$5:$D$359,Конструкторы!$B891,Продажи!$C$5:$C$359,Конструкторы!$A891)</f>
        <v>0</v>
      </c>
    </row>
    <row r="892" spans="1:20" ht="15.75" hidden="1" x14ac:dyDescent="0.25">
      <c r="A892" s="166" t="s">
        <v>397</v>
      </c>
      <c r="B892" s="167" t="s">
        <v>245</v>
      </c>
      <c r="C892" s="129" t="s">
        <v>52</v>
      </c>
      <c r="D892" s="149"/>
      <c r="E892" s="153" t="s">
        <v>68</v>
      </c>
      <c r="F892" s="156">
        <f>(1.2*103)/100</f>
        <v>1.236</v>
      </c>
      <c r="G892" s="156">
        <v>3.6000000000000032E-2</v>
      </c>
      <c r="H892" s="156">
        <f>F892+G892</f>
        <v>1.272</v>
      </c>
      <c r="I892" s="166">
        <f>SUMIFS(Продажи!F$5:F$359,Продажи!$D$5:$D$359,Конструкторы!$B892,Продажи!$C$5:$C$359,Конструкторы!$A892)</f>
        <v>0</v>
      </c>
      <c r="J892" s="166">
        <f>SUMIFS(Продажи!G$5:G$359,Продажи!$D$5:$D$359,Конструкторы!$B892,Продажи!$C$5:$C$359,Конструкторы!$A892)</f>
        <v>0</v>
      </c>
      <c r="K892" s="166">
        <f>SUMIFS(Продажи!H$5:H$359,Продажи!$D$5:$D$359,Конструкторы!$B892,Продажи!$C$5:$C$359,Конструкторы!$A892)</f>
        <v>0</v>
      </c>
      <c r="L892" s="166">
        <f>SUMIFS(Продажи!I$5:I$359,Продажи!$D$5:$D$359,Конструкторы!$B892,Продажи!$C$5:$C$359,Конструкторы!$A892)</f>
        <v>0</v>
      </c>
      <c r="M892" s="166">
        <f>SUMIFS(Продажи!J$5:J$359,Продажи!$D$5:$D$359,Конструкторы!$B892,Продажи!$C$5:$C$359,Конструкторы!$A892)</f>
        <v>0</v>
      </c>
      <c r="N892" s="166">
        <f>SUMIFS(Продажи!K$5:K$359,Продажи!$D$5:$D$359,Конструкторы!$B892,Продажи!$C$5:$C$359,Конструкторы!$A892)</f>
        <v>0</v>
      </c>
      <c r="O892" s="166">
        <f>SUMIFS(Продажи!L$5:L$359,Продажи!$D$5:$D$359,Конструкторы!$B892,Продажи!$C$5:$C$359,Конструкторы!$A892)</f>
        <v>0</v>
      </c>
      <c r="P892" s="166">
        <f>SUMIFS(Продажи!M$5:M$359,Продажи!$D$5:$D$359,Конструкторы!$B892,Продажи!$C$5:$C$359,Конструкторы!$A892)</f>
        <v>0</v>
      </c>
      <c r="Q892" s="166">
        <f>SUMIFS(Продажи!N$5:N$359,Продажи!$D$5:$D$359,Конструкторы!$B892,Продажи!$C$5:$C$359,Конструкторы!$A892)</f>
        <v>0</v>
      </c>
      <c r="R892" s="166">
        <f>SUMIFS(Продажи!O$5:O$359,Продажи!$D$5:$D$359,Конструкторы!$B892,Продажи!$C$5:$C$359,Конструкторы!$A892)</f>
        <v>0</v>
      </c>
      <c r="S892" s="166">
        <f>SUMIFS(Продажи!P$5:P$359,Продажи!$D$5:$D$359,Конструкторы!$B892,Продажи!$C$5:$C$359,Конструкторы!$A892)</f>
        <v>0</v>
      </c>
      <c r="T892" s="166">
        <f>SUMIFS(Продажи!Q$5:Q$359,Продажи!$D$5:$D$359,Конструкторы!$B892,Продажи!$C$5:$C$359,Конструкторы!$A892)</f>
        <v>0</v>
      </c>
    </row>
    <row r="893" spans="1:20" ht="15.75" hidden="1" x14ac:dyDescent="0.25">
      <c r="A893" s="166" t="s">
        <v>397</v>
      </c>
      <c r="B893" s="167" t="s">
        <v>245</v>
      </c>
      <c r="C893" s="33" t="s">
        <v>77</v>
      </c>
      <c r="D893" s="149"/>
      <c r="E893" s="153" t="s">
        <v>70</v>
      </c>
      <c r="F893" s="148">
        <v>2</v>
      </c>
      <c r="G893" s="156" t="s">
        <v>71</v>
      </c>
      <c r="H893" s="156">
        <f>F893</f>
        <v>2</v>
      </c>
      <c r="I893" s="166">
        <f>SUMIFS(Продажи!F$5:F$359,Продажи!$D$5:$D$359,Конструкторы!$B893,Продажи!$C$5:$C$359,Конструкторы!$A893)</f>
        <v>0</v>
      </c>
      <c r="J893" s="166">
        <f>SUMIFS(Продажи!G$5:G$359,Продажи!$D$5:$D$359,Конструкторы!$B893,Продажи!$C$5:$C$359,Конструкторы!$A893)</f>
        <v>0</v>
      </c>
      <c r="K893" s="166">
        <f>SUMIFS(Продажи!H$5:H$359,Продажи!$D$5:$D$359,Конструкторы!$B893,Продажи!$C$5:$C$359,Конструкторы!$A893)</f>
        <v>0</v>
      </c>
      <c r="L893" s="166">
        <f>SUMIFS(Продажи!I$5:I$359,Продажи!$D$5:$D$359,Конструкторы!$B893,Продажи!$C$5:$C$359,Конструкторы!$A893)</f>
        <v>0</v>
      </c>
      <c r="M893" s="166">
        <f>SUMIFS(Продажи!J$5:J$359,Продажи!$D$5:$D$359,Конструкторы!$B893,Продажи!$C$5:$C$359,Конструкторы!$A893)</f>
        <v>0</v>
      </c>
      <c r="N893" s="166">
        <f>SUMIFS(Продажи!K$5:K$359,Продажи!$D$5:$D$359,Конструкторы!$B893,Продажи!$C$5:$C$359,Конструкторы!$A893)</f>
        <v>0</v>
      </c>
      <c r="O893" s="166">
        <f>SUMIFS(Продажи!L$5:L$359,Продажи!$D$5:$D$359,Конструкторы!$B893,Продажи!$C$5:$C$359,Конструкторы!$A893)</f>
        <v>0</v>
      </c>
      <c r="P893" s="166">
        <f>SUMIFS(Продажи!M$5:M$359,Продажи!$D$5:$D$359,Конструкторы!$B893,Продажи!$C$5:$C$359,Конструкторы!$A893)</f>
        <v>0</v>
      </c>
      <c r="Q893" s="166">
        <f>SUMIFS(Продажи!N$5:N$359,Продажи!$D$5:$D$359,Конструкторы!$B893,Продажи!$C$5:$C$359,Конструкторы!$A893)</f>
        <v>0</v>
      </c>
      <c r="R893" s="166">
        <f>SUMIFS(Продажи!O$5:O$359,Продажи!$D$5:$D$359,Конструкторы!$B893,Продажи!$C$5:$C$359,Конструкторы!$A893)</f>
        <v>0</v>
      </c>
      <c r="S893" s="166">
        <f>SUMIFS(Продажи!P$5:P$359,Продажи!$D$5:$D$359,Конструкторы!$B893,Продажи!$C$5:$C$359,Конструкторы!$A893)</f>
        <v>0</v>
      </c>
      <c r="T893" s="166">
        <f>SUMIFS(Продажи!Q$5:Q$359,Продажи!$D$5:$D$359,Конструкторы!$B893,Продажи!$C$5:$C$359,Конструкторы!$A893)</f>
        <v>0</v>
      </c>
    </row>
    <row r="894" spans="1:20" ht="15.75" hidden="1" x14ac:dyDescent="0.25">
      <c r="A894" s="166" t="s">
        <v>397</v>
      </c>
      <c r="B894" s="167" t="s">
        <v>245</v>
      </c>
      <c r="C894" s="33" t="s">
        <v>75</v>
      </c>
      <c r="D894" s="149"/>
      <c r="E894" s="153" t="s">
        <v>70</v>
      </c>
      <c r="F894" s="148">
        <v>12</v>
      </c>
      <c r="G894" s="156" t="s">
        <v>71</v>
      </c>
      <c r="H894" s="156">
        <f>F894</f>
        <v>12</v>
      </c>
      <c r="I894" s="166">
        <f>SUMIFS(Продажи!F$5:F$359,Продажи!$D$5:$D$359,Конструкторы!$B894,Продажи!$C$5:$C$359,Конструкторы!$A894)</f>
        <v>0</v>
      </c>
      <c r="J894" s="166">
        <f>SUMIFS(Продажи!G$5:G$359,Продажи!$D$5:$D$359,Конструкторы!$B894,Продажи!$C$5:$C$359,Конструкторы!$A894)</f>
        <v>0</v>
      </c>
      <c r="K894" s="166">
        <f>SUMIFS(Продажи!H$5:H$359,Продажи!$D$5:$D$359,Конструкторы!$B894,Продажи!$C$5:$C$359,Конструкторы!$A894)</f>
        <v>0</v>
      </c>
      <c r="L894" s="166">
        <f>SUMIFS(Продажи!I$5:I$359,Продажи!$D$5:$D$359,Конструкторы!$B894,Продажи!$C$5:$C$359,Конструкторы!$A894)</f>
        <v>0</v>
      </c>
      <c r="M894" s="166">
        <f>SUMIFS(Продажи!J$5:J$359,Продажи!$D$5:$D$359,Конструкторы!$B894,Продажи!$C$5:$C$359,Конструкторы!$A894)</f>
        <v>0</v>
      </c>
      <c r="N894" s="166">
        <f>SUMIFS(Продажи!K$5:K$359,Продажи!$D$5:$D$359,Конструкторы!$B894,Продажи!$C$5:$C$359,Конструкторы!$A894)</f>
        <v>0</v>
      </c>
      <c r="O894" s="166">
        <f>SUMIFS(Продажи!L$5:L$359,Продажи!$D$5:$D$359,Конструкторы!$B894,Продажи!$C$5:$C$359,Конструкторы!$A894)</f>
        <v>0</v>
      </c>
      <c r="P894" s="166">
        <f>SUMIFS(Продажи!M$5:M$359,Продажи!$D$5:$D$359,Конструкторы!$B894,Продажи!$C$5:$C$359,Конструкторы!$A894)</f>
        <v>0</v>
      </c>
      <c r="Q894" s="166">
        <f>SUMIFS(Продажи!N$5:N$359,Продажи!$D$5:$D$359,Конструкторы!$B894,Продажи!$C$5:$C$359,Конструкторы!$A894)</f>
        <v>0</v>
      </c>
      <c r="R894" s="166">
        <f>SUMIFS(Продажи!O$5:O$359,Продажи!$D$5:$D$359,Конструкторы!$B894,Продажи!$C$5:$C$359,Конструкторы!$A894)</f>
        <v>0</v>
      </c>
      <c r="S894" s="166">
        <f>SUMIFS(Продажи!P$5:P$359,Продажи!$D$5:$D$359,Конструкторы!$B894,Продажи!$C$5:$C$359,Конструкторы!$A894)</f>
        <v>0</v>
      </c>
      <c r="T894" s="166">
        <f>SUMIFS(Продажи!Q$5:Q$359,Продажи!$D$5:$D$359,Конструкторы!$B894,Продажи!$C$5:$C$359,Конструкторы!$A894)</f>
        <v>0</v>
      </c>
    </row>
    <row r="895" spans="1:20" ht="15.75" hidden="1" x14ac:dyDescent="0.25">
      <c r="A895" s="166" t="s">
        <v>397</v>
      </c>
      <c r="B895" s="167" t="s">
        <v>245</v>
      </c>
      <c r="C895" s="33" t="s">
        <v>69</v>
      </c>
      <c r="D895" s="149"/>
      <c r="E895" s="153" t="s">
        <v>70</v>
      </c>
      <c r="F895" s="148">
        <v>4</v>
      </c>
      <c r="G895" s="156" t="s">
        <v>71</v>
      </c>
      <c r="H895" s="156">
        <f>F895</f>
        <v>4</v>
      </c>
      <c r="I895" s="166">
        <f>SUMIFS(Продажи!F$5:F$359,Продажи!$D$5:$D$359,Конструкторы!$B895,Продажи!$C$5:$C$359,Конструкторы!$A895)</f>
        <v>0</v>
      </c>
      <c r="J895" s="166">
        <f>SUMIFS(Продажи!G$5:G$359,Продажи!$D$5:$D$359,Конструкторы!$B895,Продажи!$C$5:$C$359,Конструкторы!$A895)</f>
        <v>0</v>
      </c>
      <c r="K895" s="166">
        <f>SUMIFS(Продажи!H$5:H$359,Продажи!$D$5:$D$359,Конструкторы!$B895,Продажи!$C$5:$C$359,Конструкторы!$A895)</f>
        <v>0</v>
      </c>
      <c r="L895" s="166">
        <f>SUMIFS(Продажи!I$5:I$359,Продажи!$D$5:$D$359,Конструкторы!$B895,Продажи!$C$5:$C$359,Конструкторы!$A895)</f>
        <v>0</v>
      </c>
      <c r="M895" s="166">
        <f>SUMIFS(Продажи!J$5:J$359,Продажи!$D$5:$D$359,Конструкторы!$B895,Продажи!$C$5:$C$359,Конструкторы!$A895)</f>
        <v>0</v>
      </c>
      <c r="N895" s="166">
        <f>SUMIFS(Продажи!K$5:K$359,Продажи!$D$5:$D$359,Конструкторы!$B895,Продажи!$C$5:$C$359,Конструкторы!$A895)</f>
        <v>0</v>
      </c>
      <c r="O895" s="166">
        <f>SUMIFS(Продажи!L$5:L$359,Продажи!$D$5:$D$359,Конструкторы!$B895,Продажи!$C$5:$C$359,Конструкторы!$A895)</f>
        <v>0</v>
      </c>
      <c r="P895" s="166">
        <f>SUMIFS(Продажи!M$5:M$359,Продажи!$D$5:$D$359,Конструкторы!$B895,Продажи!$C$5:$C$359,Конструкторы!$A895)</f>
        <v>0</v>
      </c>
      <c r="Q895" s="166">
        <f>SUMIFS(Продажи!N$5:N$359,Продажи!$D$5:$D$359,Конструкторы!$B895,Продажи!$C$5:$C$359,Конструкторы!$A895)</f>
        <v>0</v>
      </c>
      <c r="R895" s="166">
        <f>SUMIFS(Продажи!O$5:O$359,Продажи!$D$5:$D$359,Конструкторы!$B895,Продажи!$C$5:$C$359,Конструкторы!$A895)</f>
        <v>0</v>
      </c>
      <c r="S895" s="166">
        <f>SUMIFS(Продажи!P$5:P$359,Продажи!$D$5:$D$359,Конструкторы!$B895,Продажи!$C$5:$C$359,Конструкторы!$A895)</f>
        <v>0</v>
      </c>
      <c r="T895" s="166">
        <f>SUMIFS(Продажи!Q$5:Q$359,Продажи!$D$5:$D$359,Конструкторы!$B895,Продажи!$C$5:$C$359,Конструкторы!$A895)</f>
        <v>0</v>
      </c>
    </row>
    <row r="896" spans="1:20" ht="15.75" hidden="1" x14ac:dyDescent="0.25">
      <c r="A896" s="166" t="s">
        <v>397</v>
      </c>
      <c r="B896" s="167" t="s">
        <v>231</v>
      </c>
      <c r="C896" s="129" t="s">
        <v>53</v>
      </c>
      <c r="D896" s="130">
        <v>7038</v>
      </c>
      <c r="E896" s="153" t="s">
        <v>68</v>
      </c>
      <c r="F896" s="156">
        <f>(2.048*103)/100</f>
        <v>2.1094400000000002</v>
      </c>
      <c r="G896" s="156">
        <v>6.1440000000000161E-2</v>
      </c>
      <c r="H896" s="156">
        <f>F896+G896</f>
        <v>2.1708800000000004</v>
      </c>
      <c r="I896" s="166">
        <f>SUMIFS(Продажи!F$5:F$359,Продажи!$D$5:$D$359,Конструкторы!$B896,Продажи!$C$5:$C$359,Конструкторы!$A896)</f>
        <v>2</v>
      </c>
      <c r="J896" s="166">
        <f>SUMIFS(Продажи!G$5:G$359,Продажи!$D$5:$D$359,Конструкторы!$B896,Продажи!$C$5:$C$359,Конструкторы!$A896)</f>
        <v>0</v>
      </c>
      <c r="K896" s="166">
        <f>SUMIFS(Продажи!H$5:H$359,Продажи!$D$5:$D$359,Конструкторы!$B896,Продажи!$C$5:$C$359,Конструкторы!$A896)</f>
        <v>0</v>
      </c>
      <c r="L896" s="166">
        <f>SUMIFS(Продажи!I$5:I$359,Продажи!$D$5:$D$359,Конструкторы!$B896,Продажи!$C$5:$C$359,Конструкторы!$A896)</f>
        <v>0</v>
      </c>
      <c r="M896" s="166">
        <f>SUMIFS(Продажи!J$5:J$359,Продажи!$D$5:$D$359,Конструкторы!$B896,Продажи!$C$5:$C$359,Конструкторы!$A896)</f>
        <v>0</v>
      </c>
      <c r="N896" s="166">
        <f>SUMIFS(Продажи!K$5:K$359,Продажи!$D$5:$D$359,Конструкторы!$B896,Продажи!$C$5:$C$359,Конструкторы!$A896)</f>
        <v>0</v>
      </c>
      <c r="O896" s="166">
        <f>SUMIFS(Продажи!L$5:L$359,Продажи!$D$5:$D$359,Конструкторы!$B896,Продажи!$C$5:$C$359,Конструкторы!$A896)</f>
        <v>0</v>
      </c>
      <c r="P896" s="166">
        <f>SUMIFS(Продажи!M$5:M$359,Продажи!$D$5:$D$359,Конструкторы!$B896,Продажи!$C$5:$C$359,Конструкторы!$A896)</f>
        <v>0</v>
      </c>
      <c r="Q896" s="166">
        <f>SUMIFS(Продажи!N$5:N$359,Продажи!$D$5:$D$359,Конструкторы!$B896,Продажи!$C$5:$C$359,Конструкторы!$A896)</f>
        <v>0</v>
      </c>
      <c r="R896" s="166">
        <f>SUMIFS(Продажи!O$5:O$359,Продажи!$D$5:$D$359,Конструкторы!$B896,Продажи!$C$5:$C$359,Конструкторы!$A896)</f>
        <v>0</v>
      </c>
      <c r="S896" s="166">
        <f>SUMIFS(Продажи!P$5:P$359,Продажи!$D$5:$D$359,Конструкторы!$B896,Продажи!$C$5:$C$359,Конструкторы!$A896)</f>
        <v>0</v>
      </c>
      <c r="T896" s="166">
        <f>SUMIFS(Продажи!Q$5:Q$359,Продажи!$D$5:$D$359,Конструкторы!$B896,Продажи!$C$5:$C$359,Конструкторы!$A896)</f>
        <v>0</v>
      </c>
    </row>
    <row r="897" spans="1:20" ht="15.75" hidden="1" x14ac:dyDescent="0.25">
      <c r="A897" s="166" t="s">
        <v>397</v>
      </c>
      <c r="B897" s="167" t="s">
        <v>231</v>
      </c>
      <c r="C897" s="129" t="s">
        <v>52</v>
      </c>
      <c r="D897" s="149"/>
      <c r="E897" s="153" t="s">
        <v>68</v>
      </c>
      <c r="F897" s="156">
        <f>(0.3*103)/100</f>
        <v>0.309</v>
      </c>
      <c r="G897" s="156">
        <v>9.000000000000008E-3</v>
      </c>
      <c r="H897" s="156">
        <f>F897+G897</f>
        <v>0.318</v>
      </c>
      <c r="I897" s="166">
        <f>SUMIFS(Продажи!F$5:F$359,Продажи!$D$5:$D$359,Конструкторы!$B897,Продажи!$C$5:$C$359,Конструкторы!$A897)</f>
        <v>2</v>
      </c>
      <c r="J897" s="166">
        <f>SUMIFS(Продажи!G$5:G$359,Продажи!$D$5:$D$359,Конструкторы!$B897,Продажи!$C$5:$C$359,Конструкторы!$A897)</f>
        <v>0</v>
      </c>
      <c r="K897" s="166">
        <f>SUMIFS(Продажи!H$5:H$359,Продажи!$D$5:$D$359,Конструкторы!$B897,Продажи!$C$5:$C$359,Конструкторы!$A897)</f>
        <v>0</v>
      </c>
      <c r="L897" s="166">
        <f>SUMIFS(Продажи!I$5:I$359,Продажи!$D$5:$D$359,Конструкторы!$B897,Продажи!$C$5:$C$359,Конструкторы!$A897)</f>
        <v>0</v>
      </c>
      <c r="M897" s="166">
        <f>SUMIFS(Продажи!J$5:J$359,Продажи!$D$5:$D$359,Конструкторы!$B897,Продажи!$C$5:$C$359,Конструкторы!$A897)</f>
        <v>0</v>
      </c>
      <c r="N897" s="166">
        <f>SUMIFS(Продажи!K$5:K$359,Продажи!$D$5:$D$359,Конструкторы!$B897,Продажи!$C$5:$C$359,Конструкторы!$A897)</f>
        <v>0</v>
      </c>
      <c r="O897" s="166">
        <f>SUMIFS(Продажи!L$5:L$359,Продажи!$D$5:$D$359,Конструкторы!$B897,Продажи!$C$5:$C$359,Конструкторы!$A897)</f>
        <v>0</v>
      </c>
      <c r="P897" s="166">
        <f>SUMIFS(Продажи!M$5:M$359,Продажи!$D$5:$D$359,Конструкторы!$B897,Продажи!$C$5:$C$359,Конструкторы!$A897)</f>
        <v>0</v>
      </c>
      <c r="Q897" s="166">
        <f>SUMIFS(Продажи!N$5:N$359,Продажи!$D$5:$D$359,Конструкторы!$B897,Продажи!$C$5:$C$359,Конструкторы!$A897)</f>
        <v>0</v>
      </c>
      <c r="R897" s="166">
        <f>SUMIFS(Продажи!O$5:O$359,Продажи!$D$5:$D$359,Конструкторы!$B897,Продажи!$C$5:$C$359,Конструкторы!$A897)</f>
        <v>0</v>
      </c>
      <c r="S897" s="166">
        <f>SUMIFS(Продажи!P$5:P$359,Продажи!$D$5:$D$359,Конструкторы!$B897,Продажи!$C$5:$C$359,Конструкторы!$A897)</f>
        <v>0</v>
      </c>
      <c r="T897" s="166">
        <f>SUMIFS(Продажи!Q$5:Q$359,Продажи!$D$5:$D$359,Конструкторы!$B897,Продажи!$C$5:$C$359,Конструкторы!$A897)</f>
        <v>0</v>
      </c>
    </row>
    <row r="898" spans="1:20" ht="15.75" hidden="1" x14ac:dyDescent="0.25">
      <c r="A898" s="166" t="s">
        <v>397</v>
      </c>
      <c r="B898" s="167" t="s">
        <v>231</v>
      </c>
      <c r="C898" s="33" t="s">
        <v>77</v>
      </c>
      <c r="D898" s="149"/>
      <c r="E898" s="153" t="s">
        <v>70</v>
      </c>
      <c r="F898" s="148">
        <v>4</v>
      </c>
      <c r="G898" s="156" t="s">
        <v>71</v>
      </c>
      <c r="H898" s="156">
        <f>F898</f>
        <v>4</v>
      </c>
      <c r="I898" s="166">
        <f>SUMIFS(Продажи!F$5:F$359,Продажи!$D$5:$D$359,Конструкторы!$B898,Продажи!$C$5:$C$359,Конструкторы!$A898)</f>
        <v>2</v>
      </c>
      <c r="J898" s="166">
        <f>SUMIFS(Продажи!G$5:G$359,Продажи!$D$5:$D$359,Конструкторы!$B898,Продажи!$C$5:$C$359,Конструкторы!$A898)</f>
        <v>0</v>
      </c>
      <c r="K898" s="166">
        <f>SUMIFS(Продажи!H$5:H$359,Продажи!$D$5:$D$359,Конструкторы!$B898,Продажи!$C$5:$C$359,Конструкторы!$A898)</f>
        <v>0</v>
      </c>
      <c r="L898" s="166">
        <f>SUMIFS(Продажи!I$5:I$359,Продажи!$D$5:$D$359,Конструкторы!$B898,Продажи!$C$5:$C$359,Конструкторы!$A898)</f>
        <v>0</v>
      </c>
      <c r="M898" s="166">
        <f>SUMIFS(Продажи!J$5:J$359,Продажи!$D$5:$D$359,Конструкторы!$B898,Продажи!$C$5:$C$359,Конструкторы!$A898)</f>
        <v>0</v>
      </c>
      <c r="N898" s="166">
        <f>SUMIFS(Продажи!K$5:K$359,Продажи!$D$5:$D$359,Конструкторы!$B898,Продажи!$C$5:$C$359,Конструкторы!$A898)</f>
        <v>0</v>
      </c>
      <c r="O898" s="166">
        <f>SUMIFS(Продажи!L$5:L$359,Продажи!$D$5:$D$359,Конструкторы!$B898,Продажи!$C$5:$C$359,Конструкторы!$A898)</f>
        <v>0</v>
      </c>
      <c r="P898" s="166">
        <f>SUMIFS(Продажи!M$5:M$359,Продажи!$D$5:$D$359,Конструкторы!$B898,Продажи!$C$5:$C$359,Конструкторы!$A898)</f>
        <v>0</v>
      </c>
      <c r="Q898" s="166">
        <f>SUMIFS(Продажи!N$5:N$359,Продажи!$D$5:$D$359,Конструкторы!$B898,Продажи!$C$5:$C$359,Конструкторы!$A898)</f>
        <v>0</v>
      </c>
      <c r="R898" s="166">
        <f>SUMIFS(Продажи!O$5:O$359,Продажи!$D$5:$D$359,Конструкторы!$B898,Продажи!$C$5:$C$359,Конструкторы!$A898)</f>
        <v>0</v>
      </c>
      <c r="S898" s="166">
        <f>SUMIFS(Продажи!P$5:P$359,Продажи!$D$5:$D$359,Конструкторы!$B898,Продажи!$C$5:$C$359,Конструкторы!$A898)</f>
        <v>0</v>
      </c>
      <c r="T898" s="166">
        <f>SUMIFS(Продажи!Q$5:Q$359,Продажи!$D$5:$D$359,Конструкторы!$B898,Продажи!$C$5:$C$359,Конструкторы!$A898)</f>
        <v>0</v>
      </c>
    </row>
    <row r="899" spans="1:20" ht="15.75" hidden="1" x14ac:dyDescent="0.25">
      <c r="A899" s="166" t="s">
        <v>397</v>
      </c>
      <c r="B899" s="167" t="s">
        <v>231</v>
      </c>
      <c r="C899" s="33" t="s">
        <v>75</v>
      </c>
      <c r="D899" s="149"/>
      <c r="E899" s="153" t="s">
        <v>70</v>
      </c>
      <c r="F899" s="148">
        <v>24</v>
      </c>
      <c r="G899" s="156" t="s">
        <v>71</v>
      </c>
      <c r="H899" s="156">
        <f>F899</f>
        <v>24</v>
      </c>
      <c r="I899" s="166">
        <f>SUMIFS(Продажи!F$5:F$359,Продажи!$D$5:$D$359,Конструкторы!$B899,Продажи!$C$5:$C$359,Конструкторы!$A899)</f>
        <v>2</v>
      </c>
      <c r="J899" s="166">
        <f>SUMIFS(Продажи!G$5:G$359,Продажи!$D$5:$D$359,Конструкторы!$B899,Продажи!$C$5:$C$359,Конструкторы!$A899)</f>
        <v>0</v>
      </c>
      <c r="K899" s="166">
        <f>SUMIFS(Продажи!H$5:H$359,Продажи!$D$5:$D$359,Конструкторы!$B899,Продажи!$C$5:$C$359,Конструкторы!$A899)</f>
        <v>0</v>
      </c>
      <c r="L899" s="166">
        <f>SUMIFS(Продажи!I$5:I$359,Продажи!$D$5:$D$359,Конструкторы!$B899,Продажи!$C$5:$C$359,Конструкторы!$A899)</f>
        <v>0</v>
      </c>
      <c r="M899" s="166">
        <f>SUMIFS(Продажи!J$5:J$359,Продажи!$D$5:$D$359,Конструкторы!$B899,Продажи!$C$5:$C$359,Конструкторы!$A899)</f>
        <v>0</v>
      </c>
      <c r="N899" s="166">
        <f>SUMIFS(Продажи!K$5:K$359,Продажи!$D$5:$D$359,Конструкторы!$B899,Продажи!$C$5:$C$359,Конструкторы!$A899)</f>
        <v>0</v>
      </c>
      <c r="O899" s="166">
        <f>SUMIFS(Продажи!L$5:L$359,Продажи!$D$5:$D$359,Конструкторы!$B899,Продажи!$C$5:$C$359,Конструкторы!$A899)</f>
        <v>0</v>
      </c>
      <c r="P899" s="166">
        <f>SUMIFS(Продажи!M$5:M$359,Продажи!$D$5:$D$359,Конструкторы!$B899,Продажи!$C$5:$C$359,Конструкторы!$A899)</f>
        <v>0</v>
      </c>
      <c r="Q899" s="166">
        <f>SUMIFS(Продажи!N$5:N$359,Продажи!$D$5:$D$359,Конструкторы!$B899,Продажи!$C$5:$C$359,Конструкторы!$A899)</f>
        <v>0</v>
      </c>
      <c r="R899" s="166">
        <f>SUMIFS(Продажи!O$5:O$359,Продажи!$D$5:$D$359,Конструкторы!$B899,Продажи!$C$5:$C$359,Конструкторы!$A899)</f>
        <v>0</v>
      </c>
      <c r="S899" s="166">
        <f>SUMIFS(Продажи!P$5:P$359,Продажи!$D$5:$D$359,Конструкторы!$B899,Продажи!$C$5:$C$359,Конструкторы!$A899)</f>
        <v>0</v>
      </c>
      <c r="T899" s="166">
        <f>SUMIFS(Продажи!Q$5:Q$359,Продажи!$D$5:$D$359,Конструкторы!$B899,Продажи!$C$5:$C$359,Конструкторы!$A899)</f>
        <v>0</v>
      </c>
    </row>
    <row r="900" spans="1:20" ht="15.75" hidden="1" x14ac:dyDescent="0.25">
      <c r="A900" s="166" t="s">
        <v>397</v>
      </c>
      <c r="B900" s="167" t="s">
        <v>231</v>
      </c>
      <c r="C900" s="33" t="s">
        <v>69</v>
      </c>
      <c r="D900" s="149"/>
      <c r="E900" s="153" t="s">
        <v>70</v>
      </c>
      <c r="F900" s="148">
        <v>6</v>
      </c>
      <c r="G900" s="156" t="s">
        <v>71</v>
      </c>
      <c r="H900" s="156">
        <f>F900</f>
        <v>6</v>
      </c>
      <c r="I900" s="166">
        <f>SUMIFS(Продажи!F$5:F$359,Продажи!$D$5:$D$359,Конструкторы!$B900,Продажи!$C$5:$C$359,Конструкторы!$A900)</f>
        <v>2</v>
      </c>
      <c r="J900" s="166">
        <f>SUMIFS(Продажи!G$5:G$359,Продажи!$D$5:$D$359,Конструкторы!$B900,Продажи!$C$5:$C$359,Конструкторы!$A900)</f>
        <v>0</v>
      </c>
      <c r="K900" s="166">
        <f>SUMIFS(Продажи!H$5:H$359,Продажи!$D$5:$D$359,Конструкторы!$B900,Продажи!$C$5:$C$359,Конструкторы!$A900)</f>
        <v>0</v>
      </c>
      <c r="L900" s="166">
        <f>SUMIFS(Продажи!I$5:I$359,Продажи!$D$5:$D$359,Конструкторы!$B900,Продажи!$C$5:$C$359,Конструкторы!$A900)</f>
        <v>0</v>
      </c>
      <c r="M900" s="166">
        <f>SUMIFS(Продажи!J$5:J$359,Продажи!$D$5:$D$359,Конструкторы!$B900,Продажи!$C$5:$C$359,Конструкторы!$A900)</f>
        <v>0</v>
      </c>
      <c r="N900" s="166">
        <f>SUMIFS(Продажи!K$5:K$359,Продажи!$D$5:$D$359,Конструкторы!$B900,Продажи!$C$5:$C$359,Конструкторы!$A900)</f>
        <v>0</v>
      </c>
      <c r="O900" s="166">
        <f>SUMIFS(Продажи!L$5:L$359,Продажи!$D$5:$D$359,Конструкторы!$B900,Продажи!$C$5:$C$359,Конструкторы!$A900)</f>
        <v>0</v>
      </c>
      <c r="P900" s="166">
        <f>SUMIFS(Продажи!M$5:M$359,Продажи!$D$5:$D$359,Конструкторы!$B900,Продажи!$C$5:$C$359,Конструкторы!$A900)</f>
        <v>0</v>
      </c>
      <c r="Q900" s="166">
        <f>SUMIFS(Продажи!N$5:N$359,Продажи!$D$5:$D$359,Конструкторы!$B900,Продажи!$C$5:$C$359,Конструкторы!$A900)</f>
        <v>0</v>
      </c>
      <c r="R900" s="166">
        <f>SUMIFS(Продажи!O$5:O$359,Продажи!$D$5:$D$359,Конструкторы!$B900,Продажи!$C$5:$C$359,Конструкторы!$A900)</f>
        <v>0</v>
      </c>
      <c r="S900" s="166">
        <f>SUMIFS(Продажи!P$5:P$359,Продажи!$D$5:$D$359,Конструкторы!$B900,Продажи!$C$5:$C$359,Конструкторы!$A900)</f>
        <v>0</v>
      </c>
      <c r="T900" s="166">
        <f>SUMIFS(Продажи!Q$5:Q$359,Продажи!$D$5:$D$359,Конструкторы!$B900,Продажи!$C$5:$C$359,Конструкторы!$A900)</f>
        <v>0</v>
      </c>
    </row>
    <row r="901" spans="1:20" ht="15.75" hidden="1" x14ac:dyDescent="0.25">
      <c r="A901" s="166" t="s">
        <v>397</v>
      </c>
      <c r="B901" s="167" t="s">
        <v>232</v>
      </c>
      <c r="C901" s="129" t="s">
        <v>53</v>
      </c>
      <c r="D901" s="130">
        <v>7038</v>
      </c>
      <c r="E901" s="153" t="s">
        <v>68</v>
      </c>
      <c r="F901" s="156">
        <f>(2.048*103)/100</f>
        <v>2.1094400000000002</v>
      </c>
      <c r="G901" s="156">
        <v>6.1440000000000161E-2</v>
      </c>
      <c r="H901" s="156">
        <f>F901+G901</f>
        <v>2.1708800000000004</v>
      </c>
      <c r="I901" s="166">
        <f>SUMIFS(Продажи!F$5:F$359,Продажи!$D$5:$D$359,Конструкторы!$B901,Продажи!$C$5:$C$359,Конструкторы!$A901)</f>
        <v>19</v>
      </c>
      <c r="J901" s="166">
        <f>SUMIFS(Продажи!G$5:G$359,Продажи!$D$5:$D$359,Конструкторы!$B901,Продажи!$C$5:$C$359,Конструкторы!$A901)</f>
        <v>0</v>
      </c>
      <c r="K901" s="166">
        <f>SUMIFS(Продажи!H$5:H$359,Продажи!$D$5:$D$359,Конструкторы!$B901,Продажи!$C$5:$C$359,Конструкторы!$A901)</f>
        <v>0</v>
      </c>
      <c r="L901" s="166">
        <f>SUMIFS(Продажи!I$5:I$359,Продажи!$D$5:$D$359,Конструкторы!$B901,Продажи!$C$5:$C$359,Конструкторы!$A901)</f>
        <v>0</v>
      </c>
      <c r="M901" s="166">
        <f>SUMIFS(Продажи!J$5:J$359,Продажи!$D$5:$D$359,Конструкторы!$B901,Продажи!$C$5:$C$359,Конструкторы!$A901)</f>
        <v>0</v>
      </c>
      <c r="N901" s="166">
        <f>SUMIFS(Продажи!K$5:K$359,Продажи!$D$5:$D$359,Конструкторы!$B901,Продажи!$C$5:$C$359,Конструкторы!$A901)</f>
        <v>0</v>
      </c>
      <c r="O901" s="166">
        <f>SUMIFS(Продажи!L$5:L$359,Продажи!$D$5:$D$359,Конструкторы!$B901,Продажи!$C$5:$C$359,Конструкторы!$A901)</f>
        <v>0</v>
      </c>
      <c r="P901" s="166">
        <f>SUMIFS(Продажи!M$5:M$359,Продажи!$D$5:$D$359,Конструкторы!$B901,Продажи!$C$5:$C$359,Конструкторы!$A901)</f>
        <v>0</v>
      </c>
      <c r="Q901" s="166">
        <f>SUMIFS(Продажи!N$5:N$359,Продажи!$D$5:$D$359,Конструкторы!$B901,Продажи!$C$5:$C$359,Конструкторы!$A901)</f>
        <v>0</v>
      </c>
      <c r="R901" s="166">
        <f>SUMIFS(Продажи!O$5:O$359,Продажи!$D$5:$D$359,Конструкторы!$B901,Продажи!$C$5:$C$359,Конструкторы!$A901)</f>
        <v>0</v>
      </c>
      <c r="S901" s="166">
        <f>SUMIFS(Продажи!P$5:P$359,Продажи!$D$5:$D$359,Конструкторы!$B901,Продажи!$C$5:$C$359,Конструкторы!$A901)</f>
        <v>0</v>
      </c>
      <c r="T901" s="166">
        <f>SUMIFS(Продажи!Q$5:Q$359,Продажи!$D$5:$D$359,Конструкторы!$B901,Продажи!$C$5:$C$359,Конструкторы!$A901)</f>
        <v>0</v>
      </c>
    </row>
    <row r="902" spans="1:20" ht="15.75" hidden="1" x14ac:dyDescent="0.25">
      <c r="A902" s="166" t="s">
        <v>397</v>
      </c>
      <c r="B902" s="167" t="s">
        <v>232</v>
      </c>
      <c r="C902" s="129" t="s">
        <v>52</v>
      </c>
      <c r="D902" s="149"/>
      <c r="E902" s="153" t="s">
        <v>68</v>
      </c>
      <c r="F902" s="156">
        <f>(0.6*103)/100</f>
        <v>0.61799999999999999</v>
      </c>
      <c r="G902" s="156">
        <v>1.8000000000000016E-2</v>
      </c>
      <c r="H902" s="156">
        <f>F902+G902</f>
        <v>0.63600000000000001</v>
      </c>
      <c r="I902" s="166">
        <f>SUMIFS(Продажи!F$5:F$359,Продажи!$D$5:$D$359,Конструкторы!$B902,Продажи!$C$5:$C$359,Конструкторы!$A902)</f>
        <v>19</v>
      </c>
      <c r="J902" s="166">
        <f>SUMIFS(Продажи!G$5:G$359,Продажи!$D$5:$D$359,Конструкторы!$B902,Продажи!$C$5:$C$359,Конструкторы!$A902)</f>
        <v>0</v>
      </c>
      <c r="K902" s="166">
        <f>SUMIFS(Продажи!H$5:H$359,Продажи!$D$5:$D$359,Конструкторы!$B902,Продажи!$C$5:$C$359,Конструкторы!$A902)</f>
        <v>0</v>
      </c>
      <c r="L902" s="166">
        <f>SUMIFS(Продажи!I$5:I$359,Продажи!$D$5:$D$359,Конструкторы!$B902,Продажи!$C$5:$C$359,Конструкторы!$A902)</f>
        <v>0</v>
      </c>
      <c r="M902" s="166">
        <f>SUMIFS(Продажи!J$5:J$359,Продажи!$D$5:$D$359,Конструкторы!$B902,Продажи!$C$5:$C$359,Конструкторы!$A902)</f>
        <v>0</v>
      </c>
      <c r="N902" s="166">
        <f>SUMIFS(Продажи!K$5:K$359,Продажи!$D$5:$D$359,Конструкторы!$B902,Продажи!$C$5:$C$359,Конструкторы!$A902)</f>
        <v>0</v>
      </c>
      <c r="O902" s="166">
        <f>SUMIFS(Продажи!L$5:L$359,Продажи!$D$5:$D$359,Конструкторы!$B902,Продажи!$C$5:$C$359,Конструкторы!$A902)</f>
        <v>0</v>
      </c>
      <c r="P902" s="166">
        <f>SUMIFS(Продажи!M$5:M$359,Продажи!$D$5:$D$359,Конструкторы!$B902,Продажи!$C$5:$C$359,Конструкторы!$A902)</f>
        <v>0</v>
      </c>
      <c r="Q902" s="166">
        <f>SUMIFS(Продажи!N$5:N$359,Продажи!$D$5:$D$359,Конструкторы!$B902,Продажи!$C$5:$C$359,Конструкторы!$A902)</f>
        <v>0</v>
      </c>
      <c r="R902" s="166">
        <f>SUMIFS(Продажи!O$5:O$359,Продажи!$D$5:$D$359,Конструкторы!$B902,Продажи!$C$5:$C$359,Конструкторы!$A902)</f>
        <v>0</v>
      </c>
      <c r="S902" s="166">
        <f>SUMIFS(Продажи!P$5:P$359,Продажи!$D$5:$D$359,Конструкторы!$B902,Продажи!$C$5:$C$359,Конструкторы!$A902)</f>
        <v>0</v>
      </c>
      <c r="T902" s="166">
        <f>SUMIFS(Продажи!Q$5:Q$359,Продажи!$D$5:$D$359,Конструкторы!$B902,Продажи!$C$5:$C$359,Конструкторы!$A902)</f>
        <v>0</v>
      </c>
    </row>
    <row r="903" spans="1:20" ht="15.75" hidden="1" x14ac:dyDescent="0.25">
      <c r="A903" s="166" t="s">
        <v>397</v>
      </c>
      <c r="B903" s="167" t="s">
        <v>232</v>
      </c>
      <c r="C903" s="33" t="s">
        <v>77</v>
      </c>
      <c r="D903" s="149"/>
      <c r="E903" s="153" t="s">
        <v>70</v>
      </c>
      <c r="F903" s="148">
        <v>4</v>
      </c>
      <c r="G903" s="156" t="s">
        <v>71</v>
      </c>
      <c r="H903" s="156">
        <f>F903</f>
        <v>4</v>
      </c>
      <c r="I903" s="166">
        <f>SUMIFS(Продажи!F$5:F$359,Продажи!$D$5:$D$359,Конструкторы!$B903,Продажи!$C$5:$C$359,Конструкторы!$A903)</f>
        <v>19</v>
      </c>
      <c r="J903" s="166">
        <f>SUMIFS(Продажи!G$5:G$359,Продажи!$D$5:$D$359,Конструкторы!$B903,Продажи!$C$5:$C$359,Конструкторы!$A903)</f>
        <v>0</v>
      </c>
      <c r="K903" s="166">
        <f>SUMIFS(Продажи!H$5:H$359,Продажи!$D$5:$D$359,Конструкторы!$B903,Продажи!$C$5:$C$359,Конструкторы!$A903)</f>
        <v>0</v>
      </c>
      <c r="L903" s="166">
        <f>SUMIFS(Продажи!I$5:I$359,Продажи!$D$5:$D$359,Конструкторы!$B903,Продажи!$C$5:$C$359,Конструкторы!$A903)</f>
        <v>0</v>
      </c>
      <c r="M903" s="166">
        <f>SUMIFS(Продажи!J$5:J$359,Продажи!$D$5:$D$359,Конструкторы!$B903,Продажи!$C$5:$C$359,Конструкторы!$A903)</f>
        <v>0</v>
      </c>
      <c r="N903" s="166">
        <f>SUMIFS(Продажи!K$5:K$359,Продажи!$D$5:$D$359,Конструкторы!$B903,Продажи!$C$5:$C$359,Конструкторы!$A903)</f>
        <v>0</v>
      </c>
      <c r="O903" s="166">
        <f>SUMIFS(Продажи!L$5:L$359,Продажи!$D$5:$D$359,Конструкторы!$B903,Продажи!$C$5:$C$359,Конструкторы!$A903)</f>
        <v>0</v>
      </c>
      <c r="P903" s="166">
        <f>SUMIFS(Продажи!M$5:M$359,Продажи!$D$5:$D$359,Конструкторы!$B903,Продажи!$C$5:$C$359,Конструкторы!$A903)</f>
        <v>0</v>
      </c>
      <c r="Q903" s="166">
        <f>SUMIFS(Продажи!N$5:N$359,Продажи!$D$5:$D$359,Конструкторы!$B903,Продажи!$C$5:$C$359,Конструкторы!$A903)</f>
        <v>0</v>
      </c>
      <c r="R903" s="166">
        <f>SUMIFS(Продажи!O$5:O$359,Продажи!$D$5:$D$359,Конструкторы!$B903,Продажи!$C$5:$C$359,Конструкторы!$A903)</f>
        <v>0</v>
      </c>
      <c r="S903" s="166">
        <f>SUMIFS(Продажи!P$5:P$359,Продажи!$D$5:$D$359,Конструкторы!$B903,Продажи!$C$5:$C$359,Конструкторы!$A903)</f>
        <v>0</v>
      </c>
      <c r="T903" s="166">
        <f>SUMIFS(Продажи!Q$5:Q$359,Продажи!$D$5:$D$359,Конструкторы!$B903,Продажи!$C$5:$C$359,Конструкторы!$A903)</f>
        <v>0</v>
      </c>
    </row>
    <row r="904" spans="1:20" ht="15.75" hidden="1" x14ac:dyDescent="0.25">
      <c r="A904" s="166" t="s">
        <v>397</v>
      </c>
      <c r="B904" s="167" t="s">
        <v>232</v>
      </c>
      <c r="C904" s="33" t="s">
        <v>75</v>
      </c>
      <c r="D904" s="149"/>
      <c r="E904" s="153" t="s">
        <v>70</v>
      </c>
      <c r="F904" s="148">
        <v>24</v>
      </c>
      <c r="G904" s="156" t="s">
        <v>71</v>
      </c>
      <c r="H904" s="156">
        <f>F904</f>
        <v>24</v>
      </c>
      <c r="I904" s="166">
        <f>SUMIFS(Продажи!F$5:F$359,Продажи!$D$5:$D$359,Конструкторы!$B904,Продажи!$C$5:$C$359,Конструкторы!$A904)</f>
        <v>19</v>
      </c>
      <c r="J904" s="166">
        <f>SUMIFS(Продажи!G$5:G$359,Продажи!$D$5:$D$359,Конструкторы!$B904,Продажи!$C$5:$C$359,Конструкторы!$A904)</f>
        <v>0</v>
      </c>
      <c r="K904" s="166">
        <f>SUMIFS(Продажи!H$5:H$359,Продажи!$D$5:$D$359,Конструкторы!$B904,Продажи!$C$5:$C$359,Конструкторы!$A904)</f>
        <v>0</v>
      </c>
      <c r="L904" s="166">
        <f>SUMIFS(Продажи!I$5:I$359,Продажи!$D$5:$D$359,Конструкторы!$B904,Продажи!$C$5:$C$359,Конструкторы!$A904)</f>
        <v>0</v>
      </c>
      <c r="M904" s="166">
        <f>SUMIFS(Продажи!J$5:J$359,Продажи!$D$5:$D$359,Конструкторы!$B904,Продажи!$C$5:$C$359,Конструкторы!$A904)</f>
        <v>0</v>
      </c>
      <c r="N904" s="166">
        <f>SUMIFS(Продажи!K$5:K$359,Продажи!$D$5:$D$359,Конструкторы!$B904,Продажи!$C$5:$C$359,Конструкторы!$A904)</f>
        <v>0</v>
      </c>
      <c r="O904" s="166">
        <f>SUMIFS(Продажи!L$5:L$359,Продажи!$D$5:$D$359,Конструкторы!$B904,Продажи!$C$5:$C$359,Конструкторы!$A904)</f>
        <v>0</v>
      </c>
      <c r="P904" s="166">
        <f>SUMIFS(Продажи!M$5:M$359,Продажи!$D$5:$D$359,Конструкторы!$B904,Продажи!$C$5:$C$359,Конструкторы!$A904)</f>
        <v>0</v>
      </c>
      <c r="Q904" s="166">
        <f>SUMIFS(Продажи!N$5:N$359,Продажи!$D$5:$D$359,Конструкторы!$B904,Продажи!$C$5:$C$359,Конструкторы!$A904)</f>
        <v>0</v>
      </c>
      <c r="R904" s="166">
        <f>SUMIFS(Продажи!O$5:O$359,Продажи!$D$5:$D$359,Конструкторы!$B904,Продажи!$C$5:$C$359,Конструкторы!$A904)</f>
        <v>0</v>
      </c>
      <c r="S904" s="166">
        <f>SUMIFS(Продажи!P$5:P$359,Продажи!$D$5:$D$359,Конструкторы!$B904,Продажи!$C$5:$C$359,Конструкторы!$A904)</f>
        <v>0</v>
      </c>
      <c r="T904" s="166">
        <f>SUMIFS(Продажи!Q$5:Q$359,Продажи!$D$5:$D$359,Конструкторы!$B904,Продажи!$C$5:$C$359,Конструкторы!$A904)</f>
        <v>0</v>
      </c>
    </row>
    <row r="905" spans="1:20" ht="15.75" hidden="1" x14ac:dyDescent="0.25">
      <c r="A905" s="166" t="s">
        <v>397</v>
      </c>
      <c r="B905" s="167" t="s">
        <v>232</v>
      </c>
      <c r="C905" s="33" t="s">
        <v>69</v>
      </c>
      <c r="D905" s="149"/>
      <c r="E905" s="153" t="s">
        <v>70</v>
      </c>
      <c r="F905" s="148">
        <v>6</v>
      </c>
      <c r="G905" s="156" t="s">
        <v>71</v>
      </c>
      <c r="H905" s="156">
        <f>F905</f>
        <v>6</v>
      </c>
      <c r="I905" s="166">
        <f>SUMIFS(Продажи!F$5:F$359,Продажи!$D$5:$D$359,Конструкторы!$B905,Продажи!$C$5:$C$359,Конструкторы!$A905)</f>
        <v>19</v>
      </c>
      <c r="J905" s="166">
        <f>SUMIFS(Продажи!G$5:G$359,Продажи!$D$5:$D$359,Конструкторы!$B905,Продажи!$C$5:$C$359,Конструкторы!$A905)</f>
        <v>0</v>
      </c>
      <c r="K905" s="166">
        <f>SUMIFS(Продажи!H$5:H$359,Продажи!$D$5:$D$359,Конструкторы!$B905,Продажи!$C$5:$C$359,Конструкторы!$A905)</f>
        <v>0</v>
      </c>
      <c r="L905" s="166">
        <f>SUMIFS(Продажи!I$5:I$359,Продажи!$D$5:$D$359,Конструкторы!$B905,Продажи!$C$5:$C$359,Конструкторы!$A905)</f>
        <v>0</v>
      </c>
      <c r="M905" s="166">
        <f>SUMIFS(Продажи!J$5:J$359,Продажи!$D$5:$D$359,Конструкторы!$B905,Продажи!$C$5:$C$359,Конструкторы!$A905)</f>
        <v>0</v>
      </c>
      <c r="N905" s="166">
        <f>SUMIFS(Продажи!K$5:K$359,Продажи!$D$5:$D$359,Конструкторы!$B905,Продажи!$C$5:$C$359,Конструкторы!$A905)</f>
        <v>0</v>
      </c>
      <c r="O905" s="166">
        <f>SUMIFS(Продажи!L$5:L$359,Продажи!$D$5:$D$359,Конструкторы!$B905,Продажи!$C$5:$C$359,Конструкторы!$A905)</f>
        <v>0</v>
      </c>
      <c r="P905" s="166">
        <f>SUMIFS(Продажи!M$5:M$359,Продажи!$D$5:$D$359,Конструкторы!$B905,Продажи!$C$5:$C$359,Конструкторы!$A905)</f>
        <v>0</v>
      </c>
      <c r="Q905" s="166">
        <f>SUMIFS(Продажи!N$5:N$359,Продажи!$D$5:$D$359,Конструкторы!$B905,Продажи!$C$5:$C$359,Конструкторы!$A905)</f>
        <v>0</v>
      </c>
      <c r="R905" s="166">
        <f>SUMIFS(Продажи!O$5:O$359,Продажи!$D$5:$D$359,Конструкторы!$B905,Продажи!$C$5:$C$359,Конструкторы!$A905)</f>
        <v>0</v>
      </c>
      <c r="S905" s="166">
        <f>SUMIFS(Продажи!P$5:P$359,Продажи!$D$5:$D$359,Конструкторы!$B905,Продажи!$C$5:$C$359,Конструкторы!$A905)</f>
        <v>0</v>
      </c>
      <c r="T905" s="166">
        <f>SUMIFS(Продажи!Q$5:Q$359,Продажи!$D$5:$D$359,Конструкторы!$B905,Продажи!$C$5:$C$359,Конструкторы!$A905)</f>
        <v>0</v>
      </c>
    </row>
    <row r="906" spans="1:20" ht="15.75" hidden="1" x14ac:dyDescent="0.25">
      <c r="A906" s="166" t="s">
        <v>397</v>
      </c>
      <c r="B906" s="167" t="s">
        <v>233</v>
      </c>
      <c r="C906" s="129" t="s">
        <v>53</v>
      </c>
      <c r="D906" s="130">
        <v>7038</v>
      </c>
      <c r="E906" s="153" t="s">
        <v>68</v>
      </c>
      <c r="F906" s="156">
        <f>(2.048*103)/100</f>
        <v>2.1094400000000002</v>
      </c>
      <c r="G906" s="156">
        <v>6.1440000000000161E-2</v>
      </c>
      <c r="H906" s="156">
        <f>F906+G906</f>
        <v>2.1708800000000004</v>
      </c>
      <c r="I906" s="166">
        <f>SUMIFS(Продажи!F$5:F$359,Продажи!$D$5:$D$359,Конструкторы!$B906,Продажи!$C$5:$C$359,Конструкторы!$A906)</f>
        <v>0</v>
      </c>
      <c r="J906" s="166">
        <f>SUMIFS(Продажи!G$5:G$359,Продажи!$D$5:$D$359,Конструкторы!$B906,Продажи!$C$5:$C$359,Конструкторы!$A906)</f>
        <v>0</v>
      </c>
      <c r="K906" s="166">
        <f>SUMIFS(Продажи!H$5:H$359,Продажи!$D$5:$D$359,Конструкторы!$B906,Продажи!$C$5:$C$359,Конструкторы!$A906)</f>
        <v>0</v>
      </c>
      <c r="L906" s="166">
        <f>SUMIFS(Продажи!I$5:I$359,Продажи!$D$5:$D$359,Конструкторы!$B906,Продажи!$C$5:$C$359,Конструкторы!$A906)</f>
        <v>0</v>
      </c>
      <c r="M906" s="166">
        <f>SUMIFS(Продажи!J$5:J$359,Продажи!$D$5:$D$359,Конструкторы!$B906,Продажи!$C$5:$C$359,Конструкторы!$A906)</f>
        <v>0</v>
      </c>
      <c r="N906" s="166">
        <f>SUMIFS(Продажи!K$5:K$359,Продажи!$D$5:$D$359,Конструкторы!$B906,Продажи!$C$5:$C$359,Конструкторы!$A906)</f>
        <v>0</v>
      </c>
      <c r="O906" s="166">
        <f>SUMIFS(Продажи!L$5:L$359,Продажи!$D$5:$D$359,Конструкторы!$B906,Продажи!$C$5:$C$359,Конструкторы!$A906)</f>
        <v>0</v>
      </c>
      <c r="P906" s="166">
        <f>SUMIFS(Продажи!M$5:M$359,Продажи!$D$5:$D$359,Конструкторы!$B906,Продажи!$C$5:$C$359,Конструкторы!$A906)</f>
        <v>0</v>
      </c>
      <c r="Q906" s="166">
        <f>SUMIFS(Продажи!N$5:N$359,Продажи!$D$5:$D$359,Конструкторы!$B906,Продажи!$C$5:$C$359,Конструкторы!$A906)</f>
        <v>0</v>
      </c>
      <c r="R906" s="166">
        <f>SUMIFS(Продажи!O$5:O$359,Продажи!$D$5:$D$359,Конструкторы!$B906,Продажи!$C$5:$C$359,Конструкторы!$A906)</f>
        <v>0</v>
      </c>
      <c r="S906" s="166">
        <f>SUMIFS(Продажи!P$5:P$359,Продажи!$D$5:$D$359,Конструкторы!$B906,Продажи!$C$5:$C$359,Конструкторы!$A906)</f>
        <v>0</v>
      </c>
      <c r="T906" s="166">
        <f>SUMIFS(Продажи!Q$5:Q$359,Продажи!$D$5:$D$359,Конструкторы!$B906,Продажи!$C$5:$C$359,Конструкторы!$A906)</f>
        <v>0</v>
      </c>
    </row>
    <row r="907" spans="1:20" ht="15.75" hidden="1" x14ac:dyDescent="0.25">
      <c r="A907" s="166" t="s">
        <v>397</v>
      </c>
      <c r="B907" s="167" t="s">
        <v>233</v>
      </c>
      <c r="C907" s="129" t="s">
        <v>52</v>
      </c>
      <c r="D907" s="149"/>
      <c r="E907" s="153" t="s">
        <v>68</v>
      </c>
      <c r="F907" s="156">
        <f>(0.9*103)/100</f>
        <v>0.92700000000000005</v>
      </c>
      <c r="G907" s="156">
        <v>2.7000000000000024E-2</v>
      </c>
      <c r="H907" s="156">
        <f>F907+G907</f>
        <v>0.95400000000000007</v>
      </c>
      <c r="I907" s="166">
        <f>SUMIFS(Продажи!F$5:F$359,Продажи!$D$5:$D$359,Конструкторы!$B907,Продажи!$C$5:$C$359,Конструкторы!$A907)</f>
        <v>0</v>
      </c>
      <c r="J907" s="166">
        <f>SUMIFS(Продажи!G$5:G$359,Продажи!$D$5:$D$359,Конструкторы!$B907,Продажи!$C$5:$C$359,Конструкторы!$A907)</f>
        <v>0</v>
      </c>
      <c r="K907" s="166">
        <f>SUMIFS(Продажи!H$5:H$359,Продажи!$D$5:$D$359,Конструкторы!$B907,Продажи!$C$5:$C$359,Конструкторы!$A907)</f>
        <v>0</v>
      </c>
      <c r="L907" s="166">
        <f>SUMIFS(Продажи!I$5:I$359,Продажи!$D$5:$D$359,Конструкторы!$B907,Продажи!$C$5:$C$359,Конструкторы!$A907)</f>
        <v>0</v>
      </c>
      <c r="M907" s="166">
        <f>SUMIFS(Продажи!J$5:J$359,Продажи!$D$5:$D$359,Конструкторы!$B907,Продажи!$C$5:$C$359,Конструкторы!$A907)</f>
        <v>0</v>
      </c>
      <c r="N907" s="166">
        <f>SUMIFS(Продажи!K$5:K$359,Продажи!$D$5:$D$359,Конструкторы!$B907,Продажи!$C$5:$C$359,Конструкторы!$A907)</f>
        <v>0</v>
      </c>
      <c r="O907" s="166">
        <f>SUMIFS(Продажи!L$5:L$359,Продажи!$D$5:$D$359,Конструкторы!$B907,Продажи!$C$5:$C$359,Конструкторы!$A907)</f>
        <v>0</v>
      </c>
      <c r="P907" s="166">
        <f>SUMIFS(Продажи!M$5:M$359,Продажи!$D$5:$D$359,Конструкторы!$B907,Продажи!$C$5:$C$359,Конструкторы!$A907)</f>
        <v>0</v>
      </c>
      <c r="Q907" s="166">
        <f>SUMIFS(Продажи!N$5:N$359,Продажи!$D$5:$D$359,Конструкторы!$B907,Продажи!$C$5:$C$359,Конструкторы!$A907)</f>
        <v>0</v>
      </c>
      <c r="R907" s="166">
        <f>SUMIFS(Продажи!O$5:O$359,Продажи!$D$5:$D$359,Конструкторы!$B907,Продажи!$C$5:$C$359,Конструкторы!$A907)</f>
        <v>0</v>
      </c>
      <c r="S907" s="166">
        <f>SUMIFS(Продажи!P$5:P$359,Продажи!$D$5:$D$359,Конструкторы!$B907,Продажи!$C$5:$C$359,Конструкторы!$A907)</f>
        <v>0</v>
      </c>
      <c r="T907" s="166">
        <f>SUMIFS(Продажи!Q$5:Q$359,Продажи!$D$5:$D$359,Конструкторы!$B907,Продажи!$C$5:$C$359,Конструкторы!$A907)</f>
        <v>0</v>
      </c>
    </row>
    <row r="908" spans="1:20" ht="15.75" hidden="1" x14ac:dyDescent="0.25">
      <c r="A908" s="166" t="s">
        <v>397</v>
      </c>
      <c r="B908" s="167" t="s">
        <v>233</v>
      </c>
      <c r="C908" s="33" t="s">
        <v>77</v>
      </c>
      <c r="D908" s="149"/>
      <c r="E908" s="153" t="s">
        <v>70</v>
      </c>
      <c r="F908" s="148">
        <v>4</v>
      </c>
      <c r="G908" s="156" t="s">
        <v>71</v>
      </c>
      <c r="H908" s="156">
        <f>F908</f>
        <v>4</v>
      </c>
      <c r="I908" s="166">
        <f>SUMIFS(Продажи!F$5:F$359,Продажи!$D$5:$D$359,Конструкторы!$B908,Продажи!$C$5:$C$359,Конструкторы!$A908)</f>
        <v>0</v>
      </c>
      <c r="J908" s="166">
        <f>SUMIFS(Продажи!G$5:G$359,Продажи!$D$5:$D$359,Конструкторы!$B908,Продажи!$C$5:$C$359,Конструкторы!$A908)</f>
        <v>0</v>
      </c>
      <c r="K908" s="166">
        <f>SUMIFS(Продажи!H$5:H$359,Продажи!$D$5:$D$359,Конструкторы!$B908,Продажи!$C$5:$C$359,Конструкторы!$A908)</f>
        <v>0</v>
      </c>
      <c r="L908" s="166">
        <f>SUMIFS(Продажи!I$5:I$359,Продажи!$D$5:$D$359,Конструкторы!$B908,Продажи!$C$5:$C$359,Конструкторы!$A908)</f>
        <v>0</v>
      </c>
      <c r="M908" s="166">
        <f>SUMIFS(Продажи!J$5:J$359,Продажи!$D$5:$D$359,Конструкторы!$B908,Продажи!$C$5:$C$359,Конструкторы!$A908)</f>
        <v>0</v>
      </c>
      <c r="N908" s="166">
        <f>SUMIFS(Продажи!K$5:K$359,Продажи!$D$5:$D$359,Конструкторы!$B908,Продажи!$C$5:$C$359,Конструкторы!$A908)</f>
        <v>0</v>
      </c>
      <c r="O908" s="166">
        <f>SUMIFS(Продажи!L$5:L$359,Продажи!$D$5:$D$359,Конструкторы!$B908,Продажи!$C$5:$C$359,Конструкторы!$A908)</f>
        <v>0</v>
      </c>
      <c r="P908" s="166">
        <f>SUMIFS(Продажи!M$5:M$359,Продажи!$D$5:$D$359,Конструкторы!$B908,Продажи!$C$5:$C$359,Конструкторы!$A908)</f>
        <v>0</v>
      </c>
      <c r="Q908" s="166">
        <f>SUMIFS(Продажи!N$5:N$359,Продажи!$D$5:$D$359,Конструкторы!$B908,Продажи!$C$5:$C$359,Конструкторы!$A908)</f>
        <v>0</v>
      </c>
      <c r="R908" s="166">
        <f>SUMIFS(Продажи!O$5:O$359,Продажи!$D$5:$D$359,Конструкторы!$B908,Продажи!$C$5:$C$359,Конструкторы!$A908)</f>
        <v>0</v>
      </c>
      <c r="S908" s="166">
        <f>SUMIFS(Продажи!P$5:P$359,Продажи!$D$5:$D$359,Конструкторы!$B908,Продажи!$C$5:$C$359,Конструкторы!$A908)</f>
        <v>0</v>
      </c>
      <c r="T908" s="166">
        <f>SUMIFS(Продажи!Q$5:Q$359,Продажи!$D$5:$D$359,Конструкторы!$B908,Продажи!$C$5:$C$359,Конструкторы!$A908)</f>
        <v>0</v>
      </c>
    </row>
    <row r="909" spans="1:20" ht="15.75" hidden="1" x14ac:dyDescent="0.25">
      <c r="A909" s="166" t="s">
        <v>397</v>
      </c>
      <c r="B909" s="167" t="s">
        <v>233</v>
      </c>
      <c r="C909" s="33" t="s">
        <v>75</v>
      </c>
      <c r="D909" s="149"/>
      <c r="E909" s="153" t="s">
        <v>70</v>
      </c>
      <c r="F909" s="148">
        <v>24</v>
      </c>
      <c r="G909" s="156" t="s">
        <v>71</v>
      </c>
      <c r="H909" s="156">
        <f>F909</f>
        <v>24</v>
      </c>
      <c r="I909" s="166">
        <f>SUMIFS(Продажи!F$5:F$359,Продажи!$D$5:$D$359,Конструкторы!$B909,Продажи!$C$5:$C$359,Конструкторы!$A909)</f>
        <v>0</v>
      </c>
      <c r="J909" s="166">
        <f>SUMIFS(Продажи!G$5:G$359,Продажи!$D$5:$D$359,Конструкторы!$B909,Продажи!$C$5:$C$359,Конструкторы!$A909)</f>
        <v>0</v>
      </c>
      <c r="K909" s="166">
        <f>SUMIFS(Продажи!H$5:H$359,Продажи!$D$5:$D$359,Конструкторы!$B909,Продажи!$C$5:$C$359,Конструкторы!$A909)</f>
        <v>0</v>
      </c>
      <c r="L909" s="166">
        <f>SUMIFS(Продажи!I$5:I$359,Продажи!$D$5:$D$359,Конструкторы!$B909,Продажи!$C$5:$C$359,Конструкторы!$A909)</f>
        <v>0</v>
      </c>
      <c r="M909" s="166">
        <f>SUMIFS(Продажи!J$5:J$359,Продажи!$D$5:$D$359,Конструкторы!$B909,Продажи!$C$5:$C$359,Конструкторы!$A909)</f>
        <v>0</v>
      </c>
      <c r="N909" s="166">
        <f>SUMIFS(Продажи!K$5:K$359,Продажи!$D$5:$D$359,Конструкторы!$B909,Продажи!$C$5:$C$359,Конструкторы!$A909)</f>
        <v>0</v>
      </c>
      <c r="O909" s="166">
        <f>SUMIFS(Продажи!L$5:L$359,Продажи!$D$5:$D$359,Конструкторы!$B909,Продажи!$C$5:$C$359,Конструкторы!$A909)</f>
        <v>0</v>
      </c>
      <c r="P909" s="166">
        <f>SUMIFS(Продажи!M$5:M$359,Продажи!$D$5:$D$359,Конструкторы!$B909,Продажи!$C$5:$C$359,Конструкторы!$A909)</f>
        <v>0</v>
      </c>
      <c r="Q909" s="166">
        <f>SUMIFS(Продажи!N$5:N$359,Продажи!$D$5:$D$359,Конструкторы!$B909,Продажи!$C$5:$C$359,Конструкторы!$A909)</f>
        <v>0</v>
      </c>
      <c r="R909" s="166">
        <f>SUMIFS(Продажи!O$5:O$359,Продажи!$D$5:$D$359,Конструкторы!$B909,Продажи!$C$5:$C$359,Конструкторы!$A909)</f>
        <v>0</v>
      </c>
      <c r="S909" s="166">
        <f>SUMIFS(Продажи!P$5:P$359,Продажи!$D$5:$D$359,Конструкторы!$B909,Продажи!$C$5:$C$359,Конструкторы!$A909)</f>
        <v>0</v>
      </c>
      <c r="T909" s="166">
        <f>SUMIFS(Продажи!Q$5:Q$359,Продажи!$D$5:$D$359,Конструкторы!$B909,Продажи!$C$5:$C$359,Конструкторы!$A909)</f>
        <v>0</v>
      </c>
    </row>
    <row r="910" spans="1:20" ht="15.75" hidden="1" x14ac:dyDescent="0.25">
      <c r="A910" s="166" t="s">
        <v>397</v>
      </c>
      <c r="B910" s="167" t="s">
        <v>233</v>
      </c>
      <c r="C910" s="33" t="s">
        <v>69</v>
      </c>
      <c r="D910" s="149"/>
      <c r="E910" s="153" t="s">
        <v>70</v>
      </c>
      <c r="F910" s="148">
        <v>6</v>
      </c>
      <c r="G910" s="156" t="s">
        <v>71</v>
      </c>
      <c r="H910" s="156">
        <f>F910</f>
        <v>6</v>
      </c>
      <c r="I910" s="166">
        <f>SUMIFS(Продажи!F$5:F$359,Продажи!$D$5:$D$359,Конструкторы!$B910,Продажи!$C$5:$C$359,Конструкторы!$A910)</f>
        <v>0</v>
      </c>
      <c r="J910" s="166">
        <f>SUMIFS(Продажи!G$5:G$359,Продажи!$D$5:$D$359,Конструкторы!$B910,Продажи!$C$5:$C$359,Конструкторы!$A910)</f>
        <v>0</v>
      </c>
      <c r="K910" s="166">
        <f>SUMIFS(Продажи!H$5:H$359,Продажи!$D$5:$D$359,Конструкторы!$B910,Продажи!$C$5:$C$359,Конструкторы!$A910)</f>
        <v>0</v>
      </c>
      <c r="L910" s="166">
        <f>SUMIFS(Продажи!I$5:I$359,Продажи!$D$5:$D$359,Конструкторы!$B910,Продажи!$C$5:$C$359,Конструкторы!$A910)</f>
        <v>0</v>
      </c>
      <c r="M910" s="166">
        <f>SUMIFS(Продажи!J$5:J$359,Продажи!$D$5:$D$359,Конструкторы!$B910,Продажи!$C$5:$C$359,Конструкторы!$A910)</f>
        <v>0</v>
      </c>
      <c r="N910" s="166">
        <f>SUMIFS(Продажи!K$5:K$359,Продажи!$D$5:$D$359,Конструкторы!$B910,Продажи!$C$5:$C$359,Конструкторы!$A910)</f>
        <v>0</v>
      </c>
      <c r="O910" s="166">
        <f>SUMIFS(Продажи!L$5:L$359,Продажи!$D$5:$D$359,Конструкторы!$B910,Продажи!$C$5:$C$359,Конструкторы!$A910)</f>
        <v>0</v>
      </c>
      <c r="P910" s="166">
        <f>SUMIFS(Продажи!M$5:M$359,Продажи!$D$5:$D$359,Конструкторы!$B910,Продажи!$C$5:$C$359,Конструкторы!$A910)</f>
        <v>0</v>
      </c>
      <c r="Q910" s="166">
        <f>SUMIFS(Продажи!N$5:N$359,Продажи!$D$5:$D$359,Конструкторы!$B910,Продажи!$C$5:$C$359,Конструкторы!$A910)</f>
        <v>0</v>
      </c>
      <c r="R910" s="166">
        <f>SUMIFS(Продажи!O$5:O$359,Продажи!$D$5:$D$359,Конструкторы!$B910,Продажи!$C$5:$C$359,Конструкторы!$A910)</f>
        <v>0</v>
      </c>
      <c r="S910" s="166">
        <f>SUMIFS(Продажи!P$5:P$359,Продажи!$D$5:$D$359,Конструкторы!$B910,Продажи!$C$5:$C$359,Конструкторы!$A910)</f>
        <v>0</v>
      </c>
      <c r="T910" s="166">
        <f>SUMIFS(Продажи!Q$5:Q$359,Продажи!$D$5:$D$359,Конструкторы!$B910,Продажи!$C$5:$C$359,Конструкторы!$A910)</f>
        <v>0</v>
      </c>
    </row>
    <row r="911" spans="1:20" ht="15.75" hidden="1" x14ac:dyDescent="0.25">
      <c r="A911" s="166" t="s">
        <v>397</v>
      </c>
      <c r="B911" s="167" t="s">
        <v>234</v>
      </c>
      <c r="C911" s="129" t="s">
        <v>53</v>
      </c>
      <c r="D911" s="130">
        <v>7038</v>
      </c>
      <c r="E911" s="153" t="s">
        <v>68</v>
      </c>
      <c r="F911" s="156">
        <f>(2.048*103)/100</f>
        <v>2.1094400000000002</v>
      </c>
      <c r="G911" s="156">
        <v>6.1440000000000161E-2</v>
      </c>
      <c r="H911" s="156">
        <f>F911+G911</f>
        <v>2.1708800000000004</v>
      </c>
      <c r="I911" s="166">
        <f>SUMIFS(Продажи!F$5:F$359,Продажи!$D$5:$D$359,Конструкторы!$B911,Продажи!$C$5:$C$359,Конструкторы!$A911)</f>
        <v>12</v>
      </c>
      <c r="J911" s="166">
        <f>SUMIFS(Продажи!G$5:G$359,Продажи!$D$5:$D$359,Конструкторы!$B911,Продажи!$C$5:$C$359,Конструкторы!$A911)</f>
        <v>0</v>
      </c>
      <c r="K911" s="166">
        <f>SUMIFS(Продажи!H$5:H$359,Продажи!$D$5:$D$359,Конструкторы!$B911,Продажи!$C$5:$C$359,Конструкторы!$A911)</f>
        <v>0</v>
      </c>
      <c r="L911" s="166">
        <f>SUMIFS(Продажи!I$5:I$359,Продажи!$D$5:$D$359,Конструкторы!$B911,Продажи!$C$5:$C$359,Конструкторы!$A911)</f>
        <v>0</v>
      </c>
      <c r="M911" s="166">
        <f>SUMIFS(Продажи!J$5:J$359,Продажи!$D$5:$D$359,Конструкторы!$B911,Продажи!$C$5:$C$359,Конструкторы!$A911)</f>
        <v>0</v>
      </c>
      <c r="N911" s="166">
        <f>SUMIFS(Продажи!K$5:K$359,Продажи!$D$5:$D$359,Конструкторы!$B911,Продажи!$C$5:$C$359,Конструкторы!$A911)</f>
        <v>0</v>
      </c>
      <c r="O911" s="166">
        <f>SUMIFS(Продажи!L$5:L$359,Продажи!$D$5:$D$359,Конструкторы!$B911,Продажи!$C$5:$C$359,Конструкторы!$A911)</f>
        <v>0</v>
      </c>
      <c r="P911" s="166">
        <f>SUMIFS(Продажи!M$5:M$359,Продажи!$D$5:$D$359,Конструкторы!$B911,Продажи!$C$5:$C$359,Конструкторы!$A911)</f>
        <v>0</v>
      </c>
      <c r="Q911" s="166">
        <f>SUMIFS(Продажи!N$5:N$359,Продажи!$D$5:$D$359,Конструкторы!$B911,Продажи!$C$5:$C$359,Конструкторы!$A911)</f>
        <v>0</v>
      </c>
      <c r="R911" s="166">
        <f>SUMIFS(Продажи!O$5:O$359,Продажи!$D$5:$D$359,Конструкторы!$B911,Продажи!$C$5:$C$359,Конструкторы!$A911)</f>
        <v>0</v>
      </c>
      <c r="S911" s="166">
        <f>SUMIFS(Продажи!P$5:P$359,Продажи!$D$5:$D$359,Конструкторы!$B911,Продажи!$C$5:$C$359,Конструкторы!$A911)</f>
        <v>0</v>
      </c>
      <c r="T911" s="166">
        <f>SUMIFS(Продажи!Q$5:Q$359,Продажи!$D$5:$D$359,Конструкторы!$B911,Продажи!$C$5:$C$359,Конструкторы!$A911)</f>
        <v>0</v>
      </c>
    </row>
    <row r="912" spans="1:20" ht="15.75" hidden="1" x14ac:dyDescent="0.25">
      <c r="A912" s="166" t="s">
        <v>397</v>
      </c>
      <c r="B912" s="167" t="s">
        <v>234</v>
      </c>
      <c r="C912" s="129" t="s">
        <v>52</v>
      </c>
      <c r="D912" s="149"/>
      <c r="E912" s="153" t="s">
        <v>68</v>
      </c>
      <c r="F912" s="156">
        <f>(1.2*103)/100</f>
        <v>1.236</v>
      </c>
      <c r="G912" s="156">
        <v>3.6000000000000032E-2</v>
      </c>
      <c r="H912" s="156">
        <f>F912+G912</f>
        <v>1.272</v>
      </c>
      <c r="I912" s="166">
        <f>SUMIFS(Продажи!F$5:F$359,Продажи!$D$5:$D$359,Конструкторы!$B912,Продажи!$C$5:$C$359,Конструкторы!$A912)</f>
        <v>12</v>
      </c>
      <c r="J912" s="166">
        <f>SUMIFS(Продажи!G$5:G$359,Продажи!$D$5:$D$359,Конструкторы!$B912,Продажи!$C$5:$C$359,Конструкторы!$A912)</f>
        <v>0</v>
      </c>
      <c r="K912" s="166">
        <f>SUMIFS(Продажи!H$5:H$359,Продажи!$D$5:$D$359,Конструкторы!$B912,Продажи!$C$5:$C$359,Конструкторы!$A912)</f>
        <v>0</v>
      </c>
      <c r="L912" s="166">
        <f>SUMIFS(Продажи!I$5:I$359,Продажи!$D$5:$D$359,Конструкторы!$B912,Продажи!$C$5:$C$359,Конструкторы!$A912)</f>
        <v>0</v>
      </c>
      <c r="M912" s="166">
        <f>SUMIFS(Продажи!J$5:J$359,Продажи!$D$5:$D$359,Конструкторы!$B912,Продажи!$C$5:$C$359,Конструкторы!$A912)</f>
        <v>0</v>
      </c>
      <c r="N912" s="166">
        <f>SUMIFS(Продажи!K$5:K$359,Продажи!$D$5:$D$359,Конструкторы!$B912,Продажи!$C$5:$C$359,Конструкторы!$A912)</f>
        <v>0</v>
      </c>
      <c r="O912" s="166">
        <f>SUMIFS(Продажи!L$5:L$359,Продажи!$D$5:$D$359,Конструкторы!$B912,Продажи!$C$5:$C$359,Конструкторы!$A912)</f>
        <v>0</v>
      </c>
      <c r="P912" s="166">
        <f>SUMIFS(Продажи!M$5:M$359,Продажи!$D$5:$D$359,Конструкторы!$B912,Продажи!$C$5:$C$359,Конструкторы!$A912)</f>
        <v>0</v>
      </c>
      <c r="Q912" s="166">
        <f>SUMIFS(Продажи!N$5:N$359,Продажи!$D$5:$D$359,Конструкторы!$B912,Продажи!$C$5:$C$359,Конструкторы!$A912)</f>
        <v>0</v>
      </c>
      <c r="R912" s="166">
        <f>SUMIFS(Продажи!O$5:O$359,Продажи!$D$5:$D$359,Конструкторы!$B912,Продажи!$C$5:$C$359,Конструкторы!$A912)</f>
        <v>0</v>
      </c>
      <c r="S912" s="166">
        <f>SUMIFS(Продажи!P$5:P$359,Продажи!$D$5:$D$359,Конструкторы!$B912,Продажи!$C$5:$C$359,Конструкторы!$A912)</f>
        <v>0</v>
      </c>
      <c r="T912" s="166">
        <f>SUMIFS(Продажи!Q$5:Q$359,Продажи!$D$5:$D$359,Конструкторы!$B912,Продажи!$C$5:$C$359,Конструкторы!$A912)</f>
        <v>0</v>
      </c>
    </row>
    <row r="913" spans="1:20" ht="15.75" hidden="1" x14ac:dyDescent="0.25">
      <c r="A913" s="166" t="s">
        <v>397</v>
      </c>
      <c r="B913" s="167" t="s">
        <v>234</v>
      </c>
      <c r="C913" s="33" t="s">
        <v>77</v>
      </c>
      <c r="D913" s="149"/>
      <c r="E913" s="153" t="s">
        <v>70</v>
      </c>
      <c r="F913" s="148">
        <v>4</v>
      </c>
      <c r="G913" s="156" t="s">
        <v>71</v>
      </c>
      <c r="H913" s="156">
        <f>F913</f>
        <v>4</v>
      </c>
      <c r="I913" s="166">
        <f>SUMIFS(Продажи!F$5:F$359,Продажи!$D$5:$D$359,Конструкторы!$B913,Продажи!$C$5:$C$359,Конструкторы!$A913)</f>
        <v>12</v>
      </c>
      <c r="J913" s="166">
        <f>SUMIFS(Продажи!G$5:G$359,Продажи!$D$5:$D$359,Конструкторы!$B913,Продажи!$C$5:$C$359,Конструкторы!$A913)</f>
        <v>0</v>
      </c>
      <c r="K913" s="166">
        <f>SUMIFS(Продажи!H$5:H$359,Продажи!$D$5:$D$359,Конструкторы!$B913,Продажи!$C$5:$C$359,Конструкторы!$A913)</f>
        <v>0</v>
      </c>
      <c r="L913" s="166">
        <f>SUMIFS(Продажи!I$5:I$359,Продажи!$D$5:$D$359,Конструкторы!$B913,Продажи!$C$5:$C$359,Конструкторы!$A913)</f>
        <v>0</v>
      </c>
      <c r="M913" s="166">
        <f>SUMIFS(Продажи!J$5:J$359,Продажи!$D$5:$D$359,Конструкторы!$B913,Продажи!$C$5:$C$359,Конструкторы!$A913)</f>
        <v>0</v>
      </c>
      <c r="N913" s="166">
        <f>SUMIFS(Продажи!K$5:K$359,Продажи!$D$5:$D$359,Конструкторы!$B913,Продажи!$C$5:$C$359,Конструкторы!$A913)</f>
        <v>0</v>
      </c>
      <c r="O913" s="166">
        <f>SUMIFS(Продажи!L$5:L$359,Продажи!$D$5:$D$359,Конструкторы!$B913,Продажи!$C$5:$C$359,Конструкторы!$A913)</f>
        <v>0</v>
      </c>
      <c r="P913" s="166">
        <f>SUMIFS(Продажи!M$5:M$359,Продажи!$D$5:$D$359,Конструкторы!$B913,Продажи!$C$5:$C$359,Конструкторы!$A913)</f>
        <v>0</v>
      </c>
      <c r="Q913" s="166">
        <f>SUMIFS(Продажи!N$5:N$359,Продажи!$D$5:$D$359,Конструкторы!$B913,Продажи!$C$5:$C$359,Конструкторы!$A913)</f>
        <v>0</v>
      </c>
      <c r="R913" s="166">
        <f>SUMIFS(Продажи!O$5:O$359,Продажи!$D$5:$D$359,Конструкторы!$B913,Продажи!$C$5:$C$359,Конструкторы!$A913)</f>
        <v>0</v>
      </c>
      <c r="S913" s="166">
        <f>SUMIFS(Продажи!P$5:P$359,Продажи!$D$5:$D$359,Конструкторы!$B913,Продажи!$C$5:$C$359,Конструкторы!$A913)</f>
        <v>0</v>
      </c>
      <c r="T913" s="166">
        <f>SUMIFS(Продажи!Q$5:Q$359,Продажи!$D$5:$D$359,Конструкторы!$B913,Продажи!$C$5:$C$359,Конструкторы!$A913)</f>
        <v>0</v>
      </c>
    </row>
    <row r="914" spans="1:20" ht="15.75" hidden="1" x14ac:dyDescent="0.25">
      <c r="A914" s="166" t="s">
        <v>397</v>
      </c>
      <c r="B914" s="167" t="s">
        <v>234</v>
      </c>
      <c r="C914" s="33" t="s">
        <v>75</v>
      </c>
      <c r="D914" s="149"/>
      <c r="E914" s="153" t="s">
        <v>70</v>
      </c>
      <c r="F914" s="148">
        <v>24</v>
      </c>
      <c r="G914" s="156" t="s">
        <v>71</v>
      </c>
      <c r="H914" s="156">
        <f>F914</f>
        <v>24</v>
      </c>
      <c r="I914" s="166">
        <f>SUMIFS(Продажи!F$5:F$359,Продажи!$D$5:$D$359,Конструкторы!$B914,Продажи!$C$5:$C$359,Конструкторы!$A914)</f>
        <v>12</v>
      </c>
      <c r="J914" s="166">
        <f>SUMIFS(Продажи!G$5:G$359,Продажи!$D$5:$D$359,Конструкторы!$B914,Продажи!$C$5:$C$359,Конструкторы!$A914)</f>
        <v>0</v>
      </c>
      <c r="K914" s="166">
        <f>SUMIFS(Продажи!H$5:H$359,Продажи!$D$5:$D$359,Конструкторы!$B914,Продажи!$C$5:$C$359,Конструкторы!$A914)</f>
        <v>0</v>
      </c>
      <c r="L914" s="166">
        <f>SUMIFS(Продажи!I$5:I$359,Продажи!$D$5:$D$359,Конструкторы!$B914,Продажи!$C$5:$C$359,Конструкторы!$A914)</f>
        <v>0</v>
      </c>
      <c r="M914" s="166">
        <f>SUMIFS(Продажи!J$5:J$359,Продажи!$D$5:$D$359,Конструкторы!$B914,Продажи!$C$5:$C$359,Конструкторы!$A914)</f>
        <v>0</v>
      </c>
      <c r="N914" s="166">
        <f>SUMIFS(Продажи!K$5:K$359,Продажи!$D$5:$D$359,Конструкторы!$B914,Продажи!$C$5:$C$359,Конструкторы!$A914)</f>
        <v>0</v>
      </c>
      <c r="O914" s="166">
        <f>SUMIFS(Продажи!L$5:L$359,Продажи!$D$5:$D$359,Конструкторы!$B914,Продажи!$C$5:$C$359,Конструкторы!$A914)</f>
        <v>0</v>
      </c>
      <c r="P914" s="166">
        <f>SUMIFS(Продажи!M$5:M$359,Продажи!$D$5:$D$359,Конструкторы!$B914,Продажи!$C$5:$C$359,Конструкторы!$A914)</f>
        <v>0</v>
      </c>
      <c r="Q914" s="166">
        <f>SUMIFS(Продажи!N$5:N$359,Продажи!$D$5:$D$359,Конструкторы!$B914,Продажи!$C$5:$C$359,Конструкторы!$A914)</f>
        <v>0</v>
      </c>
      <c r="R914" s="166">
        <f>SUMIFS(Продажи!O$5:O$359,Продажи!$D$5:$D$359,Конструкторы!$B914,Продажи!$C$5:$C$359,Конструкторы!$A914)</f>
        <v>0</v>
      </c>
      <c r="S914" s="166">
        <f>SUMIFS(Продажи!P$5:P$359,Продажи!$D$5:$D$359,Конструкторы!$B914,Продажи!$C$5:$C$359,Конструкторы!$A914)</f>
        <v>0</v>
      </c>
      <c r="T914" s="166">
        <f>SUMIFS(Продажи!Q$5:Q$359,Продажи!$D$5:$D$359,Конструкторы!$B914,Продажи!$C$5:$C$359,Конструкторы!$A914)</f>
        <v>0</v>
      </c>
    </row>
    <row r="915" spans="1:20" ht="15.75" hidden="1" x14ac:dyDescent="0.25">
      <c r="A915" s="166" t="s">
        <v>397</v>
      </c>
      <c r="B915" s="167" t="s">
        <v>234</v>
      </c>
      <c r="C915" s="33" t="s">
        <v>69</v>
      </c>
      <c r="D915" s="149"/>
      <c r="E915" s="153" t="s">
        <v>70</v>
      </c>
      <c r="F915" s="148">
        <v>6</v>
      </c>
      <c r="G915" s="156" t="s">
        <v>71</v>
      </c>
      <c r="H915" s="156">
        <f>F915</f>
        <v>6</v>
      </c>
      <c r="I915" s="166">
        <f>SUMIFS(Продажи!F$5:F$359,Продажи!$D$5:$D$359,Конструкторы!$B915,Продажи!$C$5:$C$359,Конструкторы!$A915)</f>
        <v>12</v>
      </c>
      <c r="J915" s="166">
        <f>SUMIFS(Продажи!G$5:G$359,Продажи!$D$5:$D$359,Конструкторы!$B915,Продажи!$C$5:$C$359,Конструкторы!$A915)</f>
        <v>0</v>
      </c>
      <c r="K915" s="166">
        <f>SUMIFS(Продажи!H$5:H$359,Продажи!$D$5:$D$359,Конструкторы!$B915,Продажи!$C$5:$C$359,Конструкторы!$A915)</f>
        <v>0</v>
      </c>
      <c r="L915" s="166">
        <f>SUMIFS(Продажи!I$5:I$359,Продажи!$D$5:$D$359,Конструкторы!$B915,Продажи!$C$5:$C$359,Конструкторы!$A915)</f>
        <v>0</v>
      </c>
      <c r="M915" s="166">
        <f>SUMIFS(Продажи!J$5:J$359,Продажи!$D$5:$D$359,Конструкторы!$B915,Продажи!$C$5:$C$359,Конструкторы!$A915)</f>
        <v>0</v>
      </c>
      <c r="N915" s="166">
        <f>SUMIFS(Продажи!K$5:K$359,Продажи!$D$5:$D$359,Конструкторы!$B915,Продажи!$C$5:$C$359,Конструкторы!$A915)</f>
        <v>0</v>
      </c>
      <c r="O915" s="166">
        <f>SUMIFS(Продажи!L$5:L$359,Продажи!$D$5:$D$359,Конструкторы!$B915,Продажи!$C$5:$C$359,Конструкторы!$A915)</f>
        <v>0</v>
      </c>
      <c r="P915" s="166">
        <f>SUMIFS(Продажи!M$5:M$359,Продажи!$D$5:$D$359,Конструкторы!$B915,Продажи!$C$5:$C$359,Конструкторы!$A915)</f>
        <v>0</v>
      </c>
      <c r="Q915" s="166">
        <f>SUMIFS(Продажи!N$5:N$359,Продажи!$D$5:$D$359,Конструкторы!$B915,Продажи!$C$5:$C$359,Конструкторы!$A915)</f>
        <v>0</v>
      </c>
      <c r="R915" s="166">
        <f>SUMIFS(Продажи!O$5:O$359,Продажи!$D$5:$D$359,Конструкторы!$B915,Продажи!$C$5:$C$359,Конструкторы!$A915)</f>
        <v>0</v>
      </c>
      <c r="S915" s="166">
        <f>SUMIFS(Продажи!P$5:P$359,Продажи!$D$5:$D$359,Конструкторы!$B915,Продажи!$C$5:$C$359,Конструкторы!$A915)</f>
        <v>0</v>
      </c>
      <c r="T915" s="166">
        <f>SUMIFS(Продажи!Q$5:Q$359,Продажи!$D$5:$D$359,Конструкторы!$B915,Продажи!$C$5:$C$359,Конструкторы!$A915)</f>
        <v>0</v>
      </c>
    </row>
    <row r="916" spans="1:20" ht="15.75" hidden="1" x14ac:dyDescent="0.25">
      <c r="A916" s="166" t="s">
        <v>397</v>
      </c>
      <c r="B916" s="167" t="s">
        <v>235</v>
      </c>
      <c r="C916" s="129" t="s">
        <v>53</v>
      </c>
      <c r="D916" s="130">
        <v>7038</v>
      </c>
      <c r="E916" s="153" t="s">
        <v>68</v>
      </c>
      <c r="F916" s="156">
        <f>(2.048*103)/100</f>
        <v>2.1094400000000002</v>
      </c>
      <c r="G916" s="156">
        <v>6.1440000000000161E-2</v>
      </c>
      <c r="H916" s="156">
        <f>F916+G916</f>
        <v>2.1708800000000004</v>
      </c>
      <c r="I916" s="166">
        <f>SUMIFS(Продажи!F$5:F$359,Продажи!$D$5:$D$359,Конструкторы!$B916,Продажи!$C$5:$C$359,Конструкторы!$A916)</f>
        <v>9</v>
      </c>
      <c r="J916" s="166">
        <f>SUMIFS(Продажи!G$5:G$359,Продажи!$D$5:$D$359,Конструкторы!$B916,Продажи!$C$5:$C$359,Конструкторы!$A916)</f>
        <v>0</v>
      </c>
      <c r="K916" s="166">
        <f>SUMIFS(Продажи!H$5:H$359,Продажи!$D$5:$D$359,Конструкторы!$B916,Продажи!$C$5:$C$359,Конструкторы!$A916)</f>
        <v>0</v>
      </c>
      <c r="L916" s="166">
        <f>SUMIFS(Продажи!I$5:I$359,Продажи!$D$5:$D$359,Конструкторы!$B916,Продажи!$C$5:$C$359,Конструкторы!$A916)</f>
        <v>0</v>
      </c>
      <c r="M916" s="166">
        <f>SUMIFS(Продажи!J$5:J$359,Продажи!$D$5:$D$359,Конструкторы!$B916,Продажи!$C$5:$C$359,Конструкторы!$A916)</f>
        <v>0</v>
      </c>
      <c r="N916" s="166">
        <f>SUMIFS(Продажи!K$5:K$359,Продажи!$D$5:$D$359,Конструкторы!$B916,Продажи!$C$5:$C$359,Конструкторы!$A916)</f>
        <v>0</v>
      </c>
      <c r="O916" s="166">
        <f>SUMIFS(Продажи!L$5:L$359,Продажи!$D$5:$D$359,Конструкторы!$B916,Продажи!$C$5:$C$359,Конструкторы!$A916)</f>
        <v>0</v>
      </c>
      <c r="P916" s="166">
        <f>SUMIFS(Продажи!M$5:M$359,Продажи!$D$5:$D$359,Конструкторы!$B916,Продажи!$C$5:$C$359,Конструкторы!$A916)</f>
        <v>0</v>
      </c>
      <c r="Q916" s="166">
        <f>SUMIFS(Продажи!N$5:N$359,Продажи!$D$5:$D$359,Конструкторы!$B916,Продажи!$C$5:$C$359,Конструкторы!$A916)</f>
        <v>0</v>
      </c>
      <c r="R916" s="166">
        <f>SUMIFS(Продажи!O$5:O$359,Продажи!$D$5:$D$359,Конструкторы!$B916,Продажи!$C$5:$C$359,Конструкторы!$A916)</f>
        <v>0</v>
      </c>
      <c r="S916" s="166">
        <f>SUMIFS(Продажи!P$5:P$359,Продажи!$D$5:$D$359,Конструкторы!$B916,Продажи!$C$5:$C$359,Конструкторы!$A916)</f>
        <v>0</v>
      </c>
      <c r="T916" s="166">
        <f>SUMIFS(Продажи!Q$5:Q$359,Продажи!$D$5:$D$359,Конструкторы!$B916,Продажи!$C$5:$C$359,Конструкторы!$A916)</f>
        <v>0</v>
      </c>
    </row>
    <row r="917" spans="1:20" ht="15.75" hidden="1" x14ac:dyDescent="0.25">
      <c r="A917" s="166" t="s">
        <v>397</v>
      </c>
      <c r="B917" s="167" t="s">
        <v>235</v>
      </c>
      <c r="C917" s="129" t="s">
        <v>52</v>
      </c>
      <c r="D917" s="149"/>
      <c r="E917" s="153" t="s">
        <v>68</v>
      </c>
      <c r="F917" s="156">
        <f>(1.8*103)/100</f>
        <v>1.8540000000000001</v>
      </c>
      <c r="G917" s="156">
        <v>5.4000000000000048E-2</v>
      </c>
      <c r="H917" s="156">
        <f>F917+G917</f>
        <v>1.9080000000000001</v>
      </c>
      <c r="I917" s="166">
        <f>SUMIFS(Продажи!F$5:F$359,Продажи!$D$5:$D$359,Конструкторы!$B917,Продажи!$C$5:$C$359,Конструкторы!$A917)</f>
        <v>9</v>
      </c>
      <c r="J917" s="166">
        <f>SUMIFS(Продажи!G$5:G$359,Продажи!$D$5:$D$359,Конструкторы!$B917,Продажи!$C$5:$C$359,Конструкторы!$A917)</f>
        <v>0</v>
      </c>
      <c r="K917" s="166">
        <f>SUMIFS(Продажи!H$5:H$359,Продажи!$D$5:$D$359,Конструкторы!$B917,Продажи!$C$5:$C$359,Конструкторы!$A917)</f>
        <v>0</v>
      </c>
      <c r="L917" s="166">
        <f>SUMIFS(Продажи!I$5:I$359,Продажи!$D$5:$D$359,Конструкторы!$B917,Продажи!$C$5:$C$359,Конструкторы!$A917)</f>
        <v>0</v>
      </c>
      <c r="M917" s="166">
        <f>SUMIFS(Продажи!J$5:J$359,Продажи!$D$5:$D$359,Конструкторы!$B917,Продажи!$C$5:$C$359,Конструкторы!$A917)</f>
        <v>0</v>
      </c>
      <c r="N917" s="166">
        <f>SUMIFS(Продажи!K$5:K$359,Продажи!$D$5:$D$359,Конструкторы!$B917,Продажи!$C$5:$C$359,Конструкторы!$A917)</f>
        <v>0</v>
      </c>
      <c r="O917" s="166">
        <f>SUMIFS(Продажи!L$5:L$359,Продажи!$D$5:$D$359,Конструкторы!$B917,Продажи!$C$5:$C$359,Конструкторы!$A917)</f>
        <v>0</v>
      </c>
      <c r="P917" s="166">
        <f>SUMIFS(Продажи!M$5:M$359,Продажи!$D$5:$D$359,Конструкторы!$B917,Продажи!$C$5:$C$359,Конструкторы!$A917)</f>
        <v>0</v>
      </c>
      <c r="Q917" s="166">
        <f>SUMIFS(Продажи!N$5:N$359,Продажи!$D$5:$D$359,Конструкторы!$B917,Продажи!$C$5:$C$359,Конструкторы!$A917)</f>
        <v>0</v>
      </c>
      <c r="R917" s="166">
        <f>SUMIFS(Продажи!O$5:O$359,Продажи!$D$5:$D$359,Конструкторы!$B917,Продажи!$C$5:$C$359,Конструкторы!$A917)</f>
        <v>0</v>
      </c>
      <c r="S917" s="166">
        <f>SUMIFS(Продажи!P$5:P$359,Продажи!$D$5:$D$359,Конструкторы!$B917,Продажи!$C$5:$C$359,Конструкторы!$A917)</f>
        <v>0</v>
      </c>
      <c r="T917" s="166">
        <f>SUMIFS(Продажи!Q$5:Q$359,Продажи!$D$5:$D$359,Конструкторы!$B917,Продажи!$C$5:$C$359,Конструкторы!$A917)</f>
        <v>0</v>
      </c>
    </row>
    <row r="918" spans="1:20" ht="15.75" hidden="1" x14ac:dyDescent="0.25">
      <c r="A918" s="166" t="s">
        <v>397</v>
      </c>
      <c r="B918" s="167" t="s">
        <v>235</v>
      </c>
      <c r="C918" s="33" t="s">
        <v>77</v>
      </c>
      <c r="D918" s="149"/>
      <c r="E918" s="153" t="s">
        <v>70</v>
      </c>
      <c r="F918" s="148">
        <v>4</v>
      </c>
      <c r="G918" s="156" t="s">
        <v>71</v>
      </c>
      <c r="H918" s="156">
        <f>F918</f>
        <v>4</v>
      </c>
      <c r="I918" s="166">
        <f>SUMIFS(Продажи!F$5:F$359,Продажи!$D$5:$D$359,Конструкторы!$B918,Продажи!$C$5:$C$359,Конструкторы!$A918)</f>
        <v>9</v>
      </c>
      <c r="J918" s="166">
        <f>SUMIFS(Продажи!G$5:G$359,Продажи!$D$5:$D$359,Конструкторы!$B918,Продажи!$C$5:$C$359,Конструкторы!$A918)</f>
        <v>0</v>
      </c>
      <c r="K918" s="166">
        <f>SUMIFS(Продажи!H$5:H$359,Продажи!$D$5:$D$359,Конструкторы!$B918,Продажи!$C$5:$C$359,Конструкторы!$A918)</f>
        <v>0</v>
      </c>
      <c r="L918" s="166">
        <f>SUMIFS(Продажи!I$5:I$359,Продажи!$D$5:$D$359,Конструкторы!$B918,Продажи!$C$5:$C$359,Конструкторы!$A918)</f>
        <v>0</v>
      </c>
      <c r="M918" s="166">
        <f>SUMIFS(Продажи!J$5:J$359,Продажи!$D$5:$D$359,Конструкторы!$B918,Продажи!$C$5:$C$359,Конструкторы!$A918)</f>
        <v>0</v>
      </c>
      <c r="N918" s="166">
        <f>SUMIFS(Продажи!K$5:K$359,Продажи!$D$5:$D$359,Конструкторы!$B918,Продажи!$C$5:$C$359,Конструкторы!$A918)</f>
        <v>0</v>
      </c>
      <c r="O918" s="166">
        <f>SUMIFS(Продажи!L$5:L$359,Продажи!$D$5:$D$359,Конструкторы!$B918,Продажи!$C$5:$C$359,Конструкторы!$A918)</f>
        <v>0</v>
      </c>
      <c r="P918" s="166">
        <f>SUMIFS(Продажи!M$5:M$359,Продажи!$D$5:$D$359,Конструкторы!$B918,Продажи!$C$5:$C$359,Конструкторы!$A918)</f>
        <v>0</v>
      </c>
      <c r="Q918" s="166">
        <f>SUMIFS(Продажи!N$5:N$359,Продажи!$D$5:$D$359,Конструкторы!$B918,Продажи!$C$5:$C$359,Конструкторы!$A918)</f>
        <v>0</v>
      </c>
      <c r="R918" s="166">
        <f>SUMIFS(Продажи!O$5:O$359,Продажи!$D$5:$D$359,Конструкторы!$B918,Продажи!$C$5:$C$359,Конструкторы!$A918)</f>
        <v>0</v>
      </c>
      <c r="S918" s="166">
        <f>SUMIFS(Продажи!P$5:P$359,Продажи!$D$5:$D$359,Конструкторы!$B918,Продажи!$C$5:$C$359,Конструкторы!$A918)</f>
        <v>0</v>
      </c>
      <c r="T918" s="166">
        <f>SUMIFS(Продажи!Q$5:Q$359,Продажи!$D$5:$D$359,Конструкторы!$B918,Продажи!$C$5:$C$359,Конструкторы!$A918)</f>
        <v>0</v>
      </c>
    </row>
    <row r="919" spans="1:20" ht="15.75" hidden="1" x14ac:dyDescent="0.25">
      <c r="A919" s="166" t="s">
        <v>397</v>
      </c>
      <c r="B919" s="167" t="s">
        <v>235</v>
      </c>
      <c r="C919" s="33" t="s">
        <v>75</v>
      </c>
      <c r="D919" s="149"/>
      <c r="E919" s="153" t="s">
        <v>70</v>
      </c>
      <c r="F919" s="148">
        <v>24</v>
      </c>
      <c r="G919" s="156" t="s">
        <v>71</v>
      </c>
      <c r="H919" s="156">
        <f>F919</f>
        <v>24</v>
      </c>
      <c r="I919" s="166">
        <f>SUMIFS(Продажи!F$5:F$359,Продажи!$D$5:$D$359,Конструкторы!$B919,Продажи!$C$5:$C$359,Конструкторы!$A919)</f>
        <v>9</v>
      </c>
      <c r="J919" s="166">
        <f>SUMIFS(Продажи!G$5:G$359,Продажи!$D$5:$D$359,Конструкторы!$B919,Продажи!$C$5:$C$359,Конструкторы!$A919)</f>
        <v>0</v>
      </c>
      <c r="K919" s="166">
        <f>SUMIFS(Продажи!H$5:H$359,Продажи!$D$5:$D$359,Конструкторы!$B919,Продажи!$C$5:$C$359,Конструкторы!$A919)</f>
        <v>0</v>
      </c>
      <c r="L919" s="166">
        <f>SUMIFS(Продажи!I$5:I$359,Продажи!$D$5:$D$359,Конструкторы!$B919,Продажи!$C$5:$C$359,Конструкторы!$A919)</f>
        <v>0</v>
      </c>
      <c r="M919" s="166">
        <f>SUMIFS(Продажи!J$5:J$359,Продажи!$D$5:$D$359,Конструкторы!$B919,Продажи!$C$5:$C$359,Конструкторы!$A919)</f>
        <v>0</v>
      </c>
      <c r="N919" s="166">
        <f>SUMIFS(Продажи!K$5:K$359,Продажи!$D$5:$D$359,Конструкторы!$B919,Продажи!$C$5:$C$359,Конструкторы!$A919)</f>
        <v>0</v>
      </c>
      <c r="O919" s="166">
        <f>SUMIFS(Продажи!L$5:L$359,Продажи!$D$5:$D$359,Конструкторы!$B919,Продажи!$C$5:$C$359,Конструкторы!$A919)</f>
        <v>0</v>
      </c>
      <c r="P919" s="166">
        <f>SUMIFS(Продажи!M$5:M$359,Продажи!$D$5:$D$359,Конструкторы!$B919,Продажи!$C$5:$C$359,Конструкторы!$A919)</f>
        <v>0</v>
      </c>
      <c r="Q919" s="166">
        <f>SUMIFS(Продажи!N$5:N$359,Продажи!$D$5:$D$359,Конструкторы!$B919,Продажи!$C$5:$C$359,Конструкторы!$A919)</f>
        <v>0</v>
      </c>
      <c r="R919" s="166">
        <f>SUMIFS(Продажи!O$5:O$359,Продажи!$D$5:$D$359,Конструкторы!$B919,Продажи!$C$5:$C$359,Конструкторы!$A919)</f>
        <v>0</v>
      </c>
      <c r="S919" s="166">
        <f>SUMIFS(Продажи!P$5:P$359,Продажи!$D$5:$D$359,Конструкторы!$B919,Продажи!$C$5:$C$359,Конструкторы!$A919)</f>
        <v>0</v>
      </c>
      <c r="T919" s="166">
        <f>SUMIFS(Продажи!Q$5:Q$359,Продажи!$D$5:$D$359,Конструкторы!$B919,Продажи!$C$5:$C$359,Конструкторы!$A919)</f>
        <v>0</v>
      </c>
    </row>
    <row r="920" spans="1:20" ht="15.75" hidden="1" x14ac:dyDescent="0.25">
      <c r="A920" s="166" t="s">
        <v>397</v>
      </c>
      <c r="B920" s="167" t="s">
        <v>235</v>
      </c>
      <c r="C920" s="33" t="s">
        <v>69</v>
      </c>
      <c r="D920" s="149"/>
      <c r="E920" s="153" t="s">
        <v>70</v>
      </c>
      <c r="F920" s="148">
        <v>6</v>
      </c>
      <c r="G920" s="156" t="s">
        <v>71</v>
      </c>
      <c r="H920" s="156">
        <f>F920</f>
        <v>6</v>
      </c>
      <c r="I920" s="166">
        <f>SUMIFS(Продажи!F$5:F$359,Продажи!$D$5:$D$359,Конструкторы!$B920,Продажи!$C$5:$C$359,Конструкторы!$A920)</f>
        <v>9</v>
      </c>
      <c r="J920" s="166">
        <f>SUMIFS(Продажи!G$5:G$359,Продажи!$D$5:$D$359,Конструкторы!$B920,Продажи!$C$5:$C$359,Конструкторы!$A920)</f>
        <v>0</v>
      </c>
      <c r="K920" s="166">
        <f>SUMIFS(Продажи!H$5:H$359,Продажи!$D$5:$D$359,Конструкторы!$B920,Продажи!$C$5:$C$359,Конструкторы!$A920)</f>
        <v>0</v>
      </c>
      <c r="L920" s="166">
        <f>SUMIFS(Продажи!I$5:I$359,Продажи!$D$5:$D$359,Конструкторы!$B920,Продажи!$C$5:$C$359,Конструкторы!$A920)</f>
        <v>0</v>
      </c>
      <c r="M920" s="166">
        <f>SUMIFS(Продажи!J$5:J$359,Продажи!$D$5:$D$359,Конструкторы!$B920,Продажи!$C$5:$C$359,Конструкторы!$A920)</f>
        <v>0</v>
      </c>
      <c r="N920" s="166">
        <f>SUMIFS(Продажи!K$5:K$359,Продажи!$D$5:$D$359,Конструкторы!$B920,Продажи!$C$5:$C$359,Конструкторы!$A920)</f>
        <v>0</v>
      </c>
      <c r="O920" s="166">
        <f>SUMIFS(Продажи!L$5:L$359,Продажи!$D$5:$D$359,Конструкторы!$B920,Продажи!$C$5:$C$359,Конструкторы!$A920)</f>
        <v>0</v>
      </c>
      <c r="P920" s="166">
        <f>SUMIFS(Продажи!M$5:M$359,Продажи!$D$5:$D$359,Конструкторы!$B920,Продажи!$C$5:$C$359,Конструкторы!$A920)</f>
        <v>0</v>
      </c>
      <c r="Q920" s="166">
        <f>SUMIFS(Продажи!N$5:N$359,Продажи!$D$5:$D$359,Конструкторы!$B920,Продажи!$C$5:$C$359,Конструкторы!$A920)</f>
        <v>0</v>
      </c>
      <c r="R920" s="166">
        <f>SUMIFS(Продажи!O$5:O$359,Продажи!$D$5:$D$359,Конструкторы!$B920,Продажи!$C$5:$C$359,Конструкторы!$A920)</f>
        <v>0</v>
      </c>
      <c r="S920" s="166">
        <f>SUMIFS(Продажи!P$5:P$359,Продажи!$D$5:$D$359,Конструкторы!$B920,Продажи!$C$5:$C$359,Конструкторы!$A920)</f>
        <v>0</v>
      </c>
      <c r="T920" s="166">
        <f>SUMIFS(Продажи!Q$5:Q$359,Продажи!$D$5:$D$359,Конструкторы!$B920,Продажи!$C$5:$C$359,Конструкторы!$A920)</f>
        <v>0</v>
      </c>
    </row>
    <row r="921" spans="1:20" ht="15.75" hidden="1" x14ac:dyDescent="0.25">
      <c r="A921" s="166" t="s">
        <v>397</v>
      </c>
      <c r="B921" s="167" t="s">
        <v>358</v>
      </c>
      <c r="C921" s="129" t="s">
        <v>56</v>
      </c>
      <c r="D921" s="149"/>
      <c r="E921" s="153" t="s">
        <v>68</v>
      </c>
      <c r="F921" s="156">
        <f>(0.583*103)/100</f>
        <v>0.60048999999999997</v>
      </c>
      <c r="G921" s="156">
        <v>1.7490000000000006E-2</v>
      </c>
      <c r="H921" s="156">
        <f>F921+G921</f>
        <v>0.61797999999999997</v>
      </c>
      <c r="I921" s="166">
        <f>SUMIFS(Продажи!F$5:F$359,Продажи!$D$5:$D$359,Конструкторы!$B921,Продажи!$C$5:$C$359,Конструкторы!$A921)</f>
        <v>0</v>
      </c>
      <c r="J921" s="166">
        <f>SUMIFS(Продажи!G$5:G$359,Продажи!$D$5:$D$359,Конструкторы!$B921,Продажи!$C$5:$C$359,Конструкторы!$A921)</f>
        <v>0</v>
      </c>
      <c r="K921" s="166">
        <f>SUMIFS(Продажи!H$5:H$359,Продажи!$D$5:$D$359,Конструкторы!$B921,Продажи!$C$5:$C$359,Конструкторы!$A921)</f>
        <v>0</v>
      </c>
      <c r="L921" s="166">
        <f>SUMIFS(Продажи!I$5:I$359,Продажи!$D$5:$D$359,Конструкторы!$B921,Продажи!$C$5:$C$359,Конструкторы!$A921)</f>
        <v>0</v>
      </c>
      <c r="M921" s="166">
        <f>SUMIFS(Продажи!J$5:J$359,Продажи!$D$5:$D$359,Конструкторы!$B921,Продажи!$C$5:$C$359,Конструкторы!$A921)</f>
        <v>0</v>
      </c>
      <c r="N921" s="166">
        <f>SUMIFS(Продажи!K$5:K$359,Продажи!$D$5:$D$359,Конструкторы!$B921,Продажи!$C$5:$C$359,Конструкторы!$A921)</f>
        <v>0</v>
      </c>
      <c r="O921" s="166">
        <f>SUMIFS(Продажи!L$5:L$359,Продажи!$D$5:$D$359,Конструкторы!$B921,Продажи!$C$5:$C$359,Конструкторы!$A921)</f>
        <v>0</v>
      </c>
      <c r="P921" s="166">
        <f>SUMIFS(Продажи!M$5:M$359,Продажи!$D$5:$D$359,Конструкторы!$B921,Продажи!$C$5:$C$359,Конструкторы!$A921)</f>
        <v>0</v>
      </c>
      <c r="Q921" s="166">
        <f>SUMIFS(Продажи!N$5:N$359,Продажи!$D$5:$D$359,Конструкторы!$B921,Продажи!$C$5:$C$359,Конструкторы!$A921)</f>
        <v>0</v>
      </c>
      <c r="R921" s="166">
        <f>SUMIFS(Продажи!O$5:O$359,Продажи!$D$5:$D$359,Конструкторы!$B921,Продажи!$C$5:$C$359,Конструкторы!$A921)</f>
        <v>0</v>
      </c>
      <c r="S921" s="166">
        <f>SUMIFS(Продажи!P$5:P$359,Продажи!$D$5:$D$359,Конструкторы!$B921,Продажи!$C$5:$C$359,Конструкторы!$A921)</f>
        <v>0</v>
      </c>
      <c r="T921" s="166">
        <f>SUMIFS(Продажи!Q$5:Q$359,Продажи!$D$5:$D$359,Конструкторы!$B921,Продажи!$C$5:$C$359,Конструкторы!$A921)</f>
        <v>0</v>
      </c>
    </row>
    <row r="922" spans="1:20" ht="15.75" hidden="1" x14ac:dyDescent="0.25">
      <c r="A922" s="166" t="s">
        <v>397</v>
      </c>
      <c r="B922" s="167" t="s">
        <v>358</v>
      </c>
      <c r="C922" s="33" t="s">
        <v>77</v>
      </c>
      <c r="D922" s="149"/>
      <c r="E922" s="153" t="s">
        <v>70</v>
      </c>
      <c r="F922" s="148">
        <v>4</v>
      </c>
      <c r="G922" s="156" t="s">
        <v>71</v>
      </c>
      <c r="H922" s="156">
        <f>F922</f>
        <v>4</v>
      </c>
      <c r="I922" s="166">
        <f>SUMIFS(Продажи!F$5:F$359,Продажи!$D$5:$D$359,Конструкторы!$B922,Продажи!$C$5:$C$359,Конструкторы!$A922)</f>
        <v>0</v>
      </c>
      <c r="J922" s="166">
        <f>SUMIFS(Продажи!G$5:G$359,Продажи!$D$5:$D$359,Конструкторы!$B922,Продажи!$C$5:$C$359,Конструкторы!$A922)</f>
        <v>0</v>
      </c>
      <c r="K922" s="166">
        <f>SUMIFS(Продажи!H$5:H$359,Продажи!$D$5:$D$359,Конструкторы!$B922,Продажи!$C$5:$C$359,Конструкторы!$A922)</f>
        <v>0</v>
      </c>
      <c r="L922" s="166">
        <f>SUMIFS(Продажи!I$5:I$359,Продажи!$D$5:$D$359,Конструкторы!$B922,Продажи!$C$5:$C$359,Конструкторы!$A922)</f>
        <v>0</v>
      </c>
      <c r="M922" s="166">
        <f>SUMIFS(Продажи!J$5:J$359,Продажи!$D$5:$D$359,Конструкторы!$B922,Продажи!$C$5:$C$359,Конструкторы!$A922)</f>
        <v>0</v>
      </c>
      <c r="N922" s="166">
        <f>SUMIFS(Продажи!K$5:K$359,Продажи!$D$5:$D$359,Конструкторы!$B922,Продажи!$C$5:$C$359,Конструкторы!$A922)</f>
        <v>0</v>
      </c>
      <c r="O922" s="166">
        <f>SUMIFS(Продажи!L$5:L$359,Продажи!$D$5:$D$359,Конструкторы!$B922,Продажи!$C$5:$C$359,Конструкторы!$A922)</f>
        <v>0</v>
      </c>
      <c r="P922" s="166">
        <f>SUMIFS(Продажи!M$5:M$359,Продажи!$D$5:$D$359,Конструкторы!$B922,Продажи!$C$5:$C$359,Конструкторы!$A922)</f>
        <v>0</v>
      </c>
      <c r="Q922" s="166">
        <f>SUMIFS(Продажи!N$5:N$359,Продажи!$D$5:$D$359,Конструкторы!$B922,Продажи!$C$5:$C$359,Конструкторы!$A922)</f>
        <v>0</v>
      </c>
      <c r="R922" s="166">
        <f>SUMIFS(Продажи!O$5:O$359,Продажи!$D$5:$D$359,Конструкторы!$B922,Продажи!$C$5:$C$359,Конструкторы!$A922)</f>
        <v>0</v>
      </c>
      <c r="S922" s="166">
        <f>SUMIFS(Продажи!P$5:P$359,Продажи!$D$5:$D$359,Конструкторы!$B922,Продажи!$C$5:$C$359,Конструкторы!$A922)</f>
        <v>0</v>
      </c>
      <c r="T922" s="166">
        <f>SUMIFS(Продажи!Q$5:Q$359,Продажи!$D$5:$D$359,Конструкторы!$B922,Продажи!$C$5:$C$359,Конструкторы!$A922)</f>
        <v>0</v>
      </c>
    </row>
    <row r="923" spans="1:20" ht="15.75" hidden="1" x14ac:dyDescent="0.25">
      <c r="A923" s="166" t="s">
        <v>397</v>
      </c>
      <c r="B923" s="167" t="s">
        <v>358</v>
      </c>
      <c r="C923" s="33" t="s">
        <v>75</v>
      </c>
      <c r="D923" s="149"/>
      <c r="E923" s="153" t="s">
        <v>70</v>
      </c>
      <c r="F923" s="148">
        <v>24</v>
      </c>
      <c r="G923" s="156" t="s">
        <v>71</v>
      </c>
      <c r="H923" s="156">
        <f>F923</f>
        <v>24</v>
      </c>
      <c r="I923" s="166">
        <f>SUMIFS(Продажи!F$5:F$359,Продажи!$D$5:$D$359,Конструкторы!$B923,Продажи!$C$5:$C$359,Конструкторы!$A923)</f>
        <v>0</v>
      </c>
      <c r="J923" s="166">
        <f>SUMIFS(Продажи!G$5:G$359,Продажи!$D$5:$D$359,Конструкторы!$B923,Продажи!$C$5:$C$359,Конструкторы!$A923)</f>
        <v>0</v>
      </c>
      <c r="K923" s="166">
        <f>SUMIFS(Продажи!H$5:H$359,Продажи!$D$5:$D$359,Конструкторы!$B923,Продажи!$C$5:$C$359,Конструкторы!$A923)</f>
        <v>0</v>
      </c>
      <c r="L923" s="166">
        <f>SUMIFS(Продажи!I$5:I$359,Продажи!$D$5:$D$359,Конструкторы!$B923,Продажи!$C$5:$C$359,Конструкторы!$A923)</f>
        <v>0</v>
      </c>
      <c r="M923" s="166">
        <f>SUMIFS(Продажи!J$5:J$359,Продажи!$D$5:$D$359,Конструкторы!$B923,Продажи!$C$5:$C$359,Конструкторы!$A923)</f>
        <v>0</v>
      </c>
      <c r="N923" s="166">
        <f>SUMIFS(Продажи!K$5:K$359,Продажи!$D$5:$D$359,Конструкторы!$B923,Продажи!$C$5:$C$359,Конструкторы!$A923)</f>
        <v>0</v>
      </c>
      <c r="O923" s="166">
        <f>SUMIFS(Продажи!L$5:L$359,Продажи!$D$5:$D$359,Конструкторы!$B923,Продажи!$C$5:$C$359,Конструкторы!$A923)</f>
        <v>0</v>
      </c>
      <c r="P923" s="166">
        <f>SUMIFS(Продажи!M$5:M$359,Продажи!$D$5:$D$359,Конструкторы!$B923,Продажи!$C$5:$C$359,Конструкторы!$A923)</f>
        <v>0</v>
      </c>
      <c r="Q923" s="166">
        <f>SUMIFS(Продажи!N$5:N$359,Продажи!$D$5:$D$359,Конструкторы!$B923,Продажи!$C$5:$C$359,Конструкторы!$A923)</f>
        <v>0</v>
      </c>
      <c r="R923" s="166">
        <f>SUMIFS(Продажи!O$5:O$359,Продажи!$D$5:$D$359,Конструкторы!$B923,Продажи!$C$5:$C$359,Конструкторы!$A923)</f>
        <v>0</v>
      </c>
      <c r="S923" s="166">
        <f>SUMIFS(Продажи!P$5:P$359,Продажи!$D$5:$D$359,Конструкторы!$B923,Продажи!$C$5:$C$359,Конструкторы!$A923)</f>
        <v>0</v>
      </c>
      <c r="T923" s="166">
        <f>SUMIFS(Продажи!Q$5:Q$359,Продажи!$D$5:$D$359,Конструкторы!$B923,Продажи!$C$5:$C$359,Конструкторы!$A923)</f>
        <v>0</v>
      </c>
    </row>
    <row r="924" spans="1:20" ht="15.75" hidden="1" x14ac:dyDescent="0.25">
      <c r="A924" s="166" t="s">
        <v>397</v>
      </c>
      <c r="B924" s="167" t="s">
        <v>359</v>
      </c>
      <c r="C924" s="129" t="s">
        <v>57</v>
      </c>
      <c r="D924" s="149"/>
      <c r="E924" s="153" t="s">
        <v>68</v>
      </c>
      <c r="F924" s="156">
        <f>(0.583*103)/100</f>
        <v>0.60048999999999997</v>
      </c>
      <c r="G924" s="156">
        <v>1.7490000000000006E-2</v>
      </c>
      <c r="H924" s="156">
        <f>F924+G924</f>
        <v>0.61797999999999997</v>
      </c>
      <c r="I924" s="166">
        <f>SUMIFS(Продажи!F$5:F$359,Продажи!$D$5:$D$359,Конструкторы!$B924,Продажи!$C$5:$C$359,Конструкторы!$A924)</f>
        <v>0</v>
      </c>
      <c r="J924" s="166">
        <f>SUMIFS(Продажи!G$5:G$359,Продажи!$D$5:$D$359,Конструкторы!$B924,Продажи!$C$5:$C$359,Конструкторы!$A924)</f>
        <v>0</v>
      </c>
      <c r="K924" s="166">
        <f>SUMIFS(Продажи!H$5:H$359,Продажи!$D$5:$D$359,Конструкторы!$B924,Продажи!$C$5:$C$359,Конструкторы!$A924)</f>
        <v>0</v>
      </c>
      <c r="L924" s="166">
        <f>SUMIFS(Продажи!I$5:I$359,Продажи!$D$5:$D$359,Конструкторы!$B924,Продажи!$C$5:$C$359,Конструкторы!$A924)</f>
        <v>0</v>
      </c>
      <c r="M924" s="166">
        <f>SUMIFS(Продажи!J$5:J$359,Продажи!$D$5:$D$359,Конструкторы!$B924,Продажи!$C$5:$C$359,Конструкторы!$A924)</f>
        <v>0</v>
      </c>
      <c r="N924" s="166">
        <f>SUMIFS(Продажи!K$5:K$359,Продажи!$D$5:$D$359,Конструкторы!$B924,Продажи!$C$5:$C$359,Конструкторы!$A924)</f>
        <v>0</v>
      </c>
      <c r="O924" s="166">
        <f>SUMIFS(Продажи!L$5:L$359,Продажи!$D$5:$D$359,Конструкторы!$B924,Продажи!$C$5:$C$359,Конструкторы!$A924)</f>
        <v>0</v>
      </c>
      <c r="P924" s="166">
        <f>SUMIFS(Продажи!M$5:M$359,Продажи!$D$5:$D$359,Конструкторы!$B924,Продажи!$C$5:$C$359,Конструкторы!$A924)</f>
        <v>0</v>
      </c>
      <c r="Q924" s="166">
        <f>SUMIFS(Продажи!N$5:N$359,Продажи!$D$5:$D$359,Конструкторы!$B924,Продажи!$C$5:$C$359,Конструкторы!$A924)</f>
        <v>0</v>
      </c>
      <c r="R924" s="166">
        <f>SUMIFS(Продажи!O$5:O$359,Продажи!$D$5:$D$359,Конструкторы!$B924,Продажи!$C$5:$C$359,Конструкторы!$A924)</f>
        <v>0</v>
      </c>
      <c r="S924" s="166">
        <f>SUMIFS(Продажи!P$5:P$359,Продажи!$D$5:$D$359,Конструкторы!$B924,Продажи!$C$5:$C$359,Конструкторы!$A924)</f>
        <v>0</v>
      </c>
      <c r="T924" s="166">
        <f>SUMIFS(Продажи!Q$5:Q$359,Продажи!$D$5:$D$359,Конструкторы!$B924,Продажи!$C$5:$C$359,Конструкторы!$A924)</f>
        <v>0</v>
      </c>
    </row>
    <row r="925" spans="1:20" ht="15.75" hidden="1" x14ac:dyDescent="0.25">
      <c r="A925" s="166" t="s">
        <v>397</v>
      </c>
      <c r="B925" s="167" t="s">
        <v>359</v>
      </c>
      <c r="C925" s="33" t="s">
        <v>77</v>
      </c>
      <c r="D925" s="149"/>
      <c r="E925" s="153" t="s">
        <v>70</v>
      </c>
      <c r="F925" s="148">
        <v>4</v>
      </c>
      <c r="G925" s="156" t="s">
        <v>71</v>
      </c>
      <c r="H925" s="156">
        <f>F925</f>
        <v>4</v>
      </c>
      <c r="I925" s="166">
        <f>SUMIFS(Продажи!F$5:F$359,Продажи!$D$5:$D$359,Конструкторы!$B925,Продажи!$C$5:$C$359,Конструкторы!$A925)</f>
        <v>0</v>
      </c>
      <c r="J925" s="166">
        <f>SUMIFS(Продажи!G$5:G$359,Продажи!$D$5:$D$359,Конструкторы!$B925,Продажи!$C$5:$C$359,Конструкторы!$A925)</f>
        <v>0</v>
      </c>
      <c r="K925" s="166">
        <f>SUMIFS(Продажи!H$5:H$359,Продажи!$D$5:$D$359,Конструкторы!$B925,Продажи!$C$5:$C$359,Конструкторы!$A925)</f>
        <v>0</v>
      </c>
      <c r="L925" s="166">
        <f>SUMIFS(Продажи!I$5:I$359,Продажи!$D$5:$D$359,Конструкторы!$B925,Продажи!$C$5:$C$359,Конструкторы!$A925)</f>
        <v>0</v>
      </c>
      <c r="M925" s="166">
        <f>SUMIFS(Продажи!J$5:J$359,Продажи!$D$5:$D$359,Конструкторы!$B925,Продажи!$C$5:$C$359,Конструкторы!$A925)</f>
        <v>0</v>
      </c>
      <c r="N925" s="166">
        <f>SUMIFS(Продажи!K$5:K$359,Продажи!$D$5:$D$359,Конструкторы!$B925,Продажи!$C$5:$C$359,Конструкторы!$A925)</f>
        <v>0</v>
      </c>
      <c r="O925" s="166">
        <f>SUMIFS(Продажи!L$5:L$359,Продажи!$D$5:$D$359,Конструкторы!$B925,Продажи!$C$5:$C$359,Конструкторы!$A925)</f>
        <v>0</v>
      </c>
      <c r="P925" s="166">
        <f>SUMIFS(Продажи!M$5:M$359,Продажи!$D$5:$D$359,Конструкторы!$B925,Продажи!$C$5:$C$359,Конструкторы!$A925)</f>
        <v>0</v>
      </c>
      <c r="Q925" s="166">
        <f>SUMIFS(Продажи!N$5:N$359,Продажи!$D$5:$D$359,Конструкторы!$B925,Продажи!$C$5:$C$359,Конструкторы!$A925)</f>
        <v>0</v>
      </c>
      <c r="R925" s="166">
        <f>SUMIFS(Продажи!O$5:O$359,Продажи!$D$5:$D$359,Конструкторы!$B925,Продажи!$C$5:$C$359,Конструкторы!$A925)</f>
        <v>0</v>
      </c>
      <c r="S925" s="166">
        <f>SUMIFS(Продажи!P$5:P$359,Продажи!$D$5:$D$359,Конструкторы!$B925,Продажи!$C$5:$C$359,Конструкторы!$A925)</f>
        <v>0</v>
      </c>
      <c r="T925" s="166">
        <f>SUMIFS(Продажи!Q$5:Q$359,Продажи!$D$5:$D$359,Конструкторы!$B925,Продажи!$C$5:$C$359,Конструкторы!$A925)</f>
        <v>0</v>
      </c>
    </row>
    <row r="926" spans="1:20" ht="15.75" hidden="1" x14ac:dyDescent="0.25">
      <c r="A926" s="166" t="s">
        <v>397</v>
      </c>
      <c r="B926" s="167" t="s">
        <v>359</v>
      </c>
      <c r="C926" s="33" t="s">
        <v>75</v>
      </c>
      <c r="D926" s="149"/>
      <c r="E926" s="153" t="s">
        <v>70</v>
      </c>
      <c r="F926" s="148">
        <v>24</v>
      </c>
      <c r="G926" s="156" t="s">
        <v>71</v>
      </c>
      <c r="H926" s="156">
        <f>F926</f>
        <v>24</v>
      </c>
      <c r="I926" s="166">
        <f>SUMIFS(Продажи!F$5:F$359,Продажи!$D$5:$D$359,Конструкторы!$B926,Продажи!$C$5:$C$359,Конструкторы!$A926)</f>
        <v>0</v>
      </c>
      <c r="J926" s="166">
        <f>SUMIFS(Продажи!G$5:G$359,Продажи!$D$5:$D$359,Конструкторы!$B926,Продажи!$C$5:$C$359,Конструкторы!$A926)</f>
        <v>0</v>
      </c>
      <c r="K926" s="166">
        <f>SUMIFS(Продажи!H$5:H$359,Продажи!$D$5:$D$359,Конструкторы!$B926,Продажи!$C$5:$C$359,Конструкторы!$A926)</f>
        <v>0</v>
      </c>
      <c r="L926" s="166">
        <f>SUMIFS(Продажи!I$5:I$359,Продажи!$D$5:$D$359,Конструкторы!$B926,Продажи!$C$5:$C$359,Конструкторы!$A926)</f>
        <v>0</v>
      </c>
      <c r="M926" s="166">
        <f>SUMIFS(Продажи!J$5:J$359,Продажи!$D$5:$D$359,Конструкторы!$B926,Продажи!$C$5:$C$359,Конструкторы!$A926)</f>
        <v>0</v>
      </c>
      <c r="N926" s="166">
        <f>SUMIFS(Продажи!K$5:K$359,Продажи!$D$5:$D$359,Конструкторы!$B926,Продажи!$C$5:$C$359,Конструкторы!$A926)</f>
        <v>0</v>
      </c>
      <c r="O926" s="166">
        <f>SUMIFS(Продажи!L$5:L$359,Продажи!$D$5:$D$359,Конструкторы!$B926,Продажи!$C$5:$C$359,Конструкторы!$A926)</f>
        <v>0</v>
      </c>
      <c r="P926" s="166">
        <f>SUMIFS(Продажи!M$5:M$359,Продажи!$D$5:$D$359,Конструкторы!$B926,Продажи!$C$5:$C$359,Конструкторы!$A926)</f>
        <v>0</v>
      </c>
      <c r="Q926" s="166">
        <f>SUMIFS(Продажи!N$5:N$359,Продажи!$D$5:$D$359,Конструкторы!$B926,Продажи!$C$5:$C$359,Конструкторы!$A926)</f>
        <v>0</v>
      </c>
      <c r="R926" s="166">
        <f>SUMIFS(Продажи!O$5:O$359,Продажи!$D$5:$D$359,Конструкторы!$B926,Продажи!$C$5:$C$359,Конструкторы!$A926)</f>
        <v>0</v>
      </c>
      <c r="S926" s="166">
        <f>SUMIFS(Продажи!P$5:P$359,Продажи!$D$5:$D$359,Конструкторы!$B926,Продажи!$C$5:$C$359,Конструкторы!$A926)</f>
        <v>0</v>
      </c>
      <c r="T926" s="166">
        <f>SUMIFS(Продажи!Q$5:Q$359,Продажи!$D$5:$D$359,Конструкторы!$B926,Продажи!$C$5:$C$359,Конструкторы!$A926)</f>
        <v>0</v>
      </c>
    </row>
    <row r="927" spans="1:20" ht="15.75" hidden="1" x14ac:dyDescent="0.25">
      <c r="A927" s="166" t="s">
        <v>397</v>
      </c>
      <c r="B927" s="167" t="s">
        <v>360</v>
      </c>
      <c r="C927" s="129" t="s">
        <v>58</v>
      </c>
      <c r="D927" s="149"/>
      <c r="E927" s="153" t="s">
        <v>68</v>
      </c>
      <c r="F927" s="156">
        <f>(0.583*103)/100</f>
        <v>0.60048999999999997</v>
      </c>
      <c r="G927" s="156">
        <v>1.7490000000000006E-2</v>
      </c>
      <c r="H927" s="156">
        <f>F927+G927</f>
        <v>0.61797999999999997</v>
      </c>
      <c r="I927" s="166">
        <f>SUMIFS(Продажи!F$5:F$359,Продажи!$D$5:$D$359,Конструкторы!$B927,Продажи!$C$5:$C$359,Конструкторы!$A927)</f>
        <v>0</v>
      </c>
      <c r="J927" s="166">
        <f>SUMIFS(Продажи!G$5:G$359,Продажи!$D$5:$D$359,Конструкторы!$B927,Продажи!$C$5:$C$359,Конструкторы!$A927)</f>
        <v>0</v>
      </c>
      <c r="K927" s="166">
        <f>SUMIFS(Продажи!H$5:H$359,Продажи!$D$5:$D$359,Конструкторы!$B927,Продажи!$C$5:$C$359,Конструкторы!$A927)</f>
        <v>0</v>
      </c>
      <c r="L927" s="166">
        <f>SUMIFS(Продажи!I$5:I$359,Продажи!$D$5:$D$359,Конструкторы!$B927,Продажи!$C$5:$C$359,Конструкторы!$A927)</f>
        <v>0</v>
      </c>
      <c r="M927" s="166">
        <f>SUMIFS(Продажи!J$5:J$359,Продажи!$D$5:$D$359,Конструкторы!$B927,Продажи!$C$5:$C$359,Конструкторы!$A927)</f>
        <v>0</v>
      </c>
      <c r="N927" s="166">
        <f>SUMIFS(Продажи!K$5:K$359,Продажи!$D$5:$D$359,Конструкторы!$B927,Продажи!$C$5:$C$359,Конструкторы!$A927)</f>
        <v>0</v>
      </c>
      <c r="O927" s="166">
        <f>SUMIFS(Продажи!L$5:L$359,Продажи!$D$5:$D$359,Конструкторы!$B927,Продажи!$C$5:$C$359,Конструкторы!$A927)</f>
        <v>0</v>
      </c>
      <c r="P927" s="166">
        <f>SUMIFS(Продажи!M$5:M$359,Продажи!$D$5:$D$359,Конструкторы!$B927,Продажи!$C$5:$C$359,Конструкторы!$A927)</f>
        <v>0</v>
      </c>
      <c r="Q927" s="166">
        <f>SUMIFS(Продажи!N$5:N$359,Продажи!$D$5:$D$359,Конструкторы!$B927,Продажи!$C$5:$C$359,Конструкторы!$A927)</f>
        <v>0</v>
      </c>
      <c r="R927" s="166">
        <f>SUMIFS(Продажи!O$5:O$359,Продажи!$D$5:$D$359,Конструкторы!$B927,Продажи!$C$5:$C$359,Конструкторы!$A927)</f>
        <v>0</v>
      </c>
      <c r="S927" s="166">
        <f>SUMIFS(Продажи!P$5:P$359,Продажи!$D$5:$D$359,Конструкторы!$B927,Продажи!$C$5:$C$359,Конструкторы!$A927)</f>
        <v>0</v>
      </c>
      <c r="T927" s="166">
        <f>SUMIFS(Продажи!Q$5:Q$359,Продажи!$D$5:$D$359,Конструкторы!$B927,Продажи!$C$5:$C$359,Конструкторы!$A927)</f>
        <v>0</v>
      </c>
    </row>
    <row r="928" spans="1:20" ht="15.75" hidden="1" x14ac:dyDescent="0.25">
      <c r="A928" s="166" t="s">
        <v>397</v>
      </c>
      <c r="B928" s="167" t="s">
        <v>360</v>
      </c>
      <c r="C928" s="33" t="s">
        <v>77</v>
      </c>
      <c r="D928" s="149"/>
      <c r="E928" s="153" t="s">
        <v>70</v>
      </c>
      <c r="F928" s="148">
        <v>4</v>
      </c>
      <c r="G928" s="156" t="s">
        <v>71</v>
      </c>
      <c r="H928" s="156">
        <f>F928</f>
        <v>4</v>
      </c>
      <c r="I928" s="166">
        <f>SUMIFS(Продажи!F$5:F$359,Продажи!$D$5:$D$359,Конструкторы!$B928,Продажи!$C$5:$C$359,Конструкторы!$A928)</f>
        <v>0</v>
      </c>
      <c r="J928" s="166">
        <f>SUMIFS(Продажи!G$5:G$359,Продажи!$D$5:$D$359,Конструкторы!$B928,Продажи!$C$5:$C$359,Конструкторы!$A928)</f>
        <v>0</v>
      </c>
      <c r="K928" s="166">
        <f>SUMIFS(Продажи!H$5:H$359,Продажи!$D$5:$D$359,Конструкторы!$B928,Продажи!$C$5:$C$359,Конструкторы!$A928)</f>
        <v>0</v>
      </c>
      <c r="L928" s="166">
        <f>SUMIFS(Продажи!I$5:I$359,Продажи!$D$5:$D$359,Конструкторы!$B928,Продажи!$C$5:$C$359,Конструкторы!$A928)</f>
        <v>0</v>
      </c>
      <c r="M928" s="166">
        <f>SUMIFS(Продажи!J$5:J$359,Продажи!$D$5:$D$359,Конструкторы!$B928,Продажи!$C$5:$C$359,Конструкторы!$A928)</f>
        <v>0</v>
      </c>
      <c r="N928" s="166">
        <f>SUMIFS(Продажи!K$5:K$359,Продажи!$D$5:$D$359,Конструкторы!$B928,Продажи!$C$5:$C$359,Конструкторы!$A928)</f>
        <v>0</v>
      </c>
      <c r="O928" s="166">
        <f>SUMIFS(Продажи!L$5:L$359,Продажи!$D$5:$D$359,Конструкторы!$B928,Продажи!$C$5:$C$359,Конструкторы!$A928)</f>
        <v>0</v>
      </c>
      <c r="P928" s="166">
        <f>SUMIFS(Продажи!M$5:M$359,Продажи!$D$5:$D$359,Конструкторы!$B928,Продажи!$C$5:$C$359,Конструкторы!$A928)</f>
        <v>0</v>
      </c>
      <c r="Q928" s="166">
        <f>SUMIFS(Продажи!N$5:N$359,Продажи!$D$5:$D$359,Конструкторы!$B928,Продажи!$C$5:$C$359,Конструкторы!$A928)</f>
        <v>0</v>
      </c>
      <c r="R928" s="166">
        <f>SUMIFS(Продажи!O$5:O$359,Продажи!$D$5:$D$359,Конструкторы!$B928,Продажи!$C$5:$C$359,Конструкторы!$A928)</f>
        <v>0</v>
      </c>
      <c r="S928" s="166">
        <f>SUMIFS(Продажи!P$5:P$359,Продажи!$D$5:$D$359,Конструкторы!$B928,Продажи!$C$5:$C$359,Конструкторы!$A928)</f>
        <v>0</v>
      </c>
      <c r="T928" s="166">
        <f>SUMIFS(Продажи!Q$5:Q$359,Продажи!$D$5:$D$359,Конструкторы!$B928,Продажи!$C$5:$C$359,Конструкторы!$A928)</f>
        <v>0</v>
      </c>
    </row>
    <row r="929" spans="1:20" ht="15.75" hidden="1" x14ac:dyDescent="0.25">
      <c r="A929" s="166" t="s">
        <v>397</v>
      </c>
      <c r="B929" s="167" t="s">
        <v>360</v>
      </c>
      <c r="C929" s="33" t="s">
        <v>75</v>
      </c>
      <c r="D929" s="149"/>
      <c r="E929" s="153" t="s">
        <v>70</v>
      </c>
      <c r="F929" s="148">
        <v>24</v>
      </c>
      <c r="G929" s="156" t="s">
        <v>71</v>
      </c>
      <c r="H929" s="156">
        <f>F929</f>
        <v>24</v>
      </c>
      <c r="I929" s="166">
        <f>SUMIFS(Продажи!F$5:F$359,Продажи!$D$5:$D$359,Конструкторы!$B929,Продажи!$C$5:$C$359,Конструкторы!$A929)</f>
        <v>0</v>
      </c>
      <c r="J929" s="166">
        <f>SUMIFS(Продажи!G$5:G$359,Продажи!$D$5:$D$359,Конструкторы!$B929,Продажи!$C$5:$C$359,Конструкторы!$A929)</f>
        <v>0</v>
      </c>
      <c r="K929" s="166">
        <f>SUMIFS(Продажи!H$5:H$359,Продажи!$D$5:$D$359,Конструкторы!$B929,Продажи!$C$5:$C$359,Конструкторы!$A929)</f>
        <v>0</v>
      </c>
      <c r="L929" s="166">
        <f>SUMIFS(Продажи!I$5:I$359,Продажи!$D$5:$D$359,Конструкторы!$B929,Продажи!$C$5:$C$359,Конструкторы!$A929)</f>
        <v>0</v>
      </c>
      <c r="M929" s="166">
        <f>SUMIFS(Продажи!J$5:J$359,Продажи!$D$5:$D$359,Конструкторы!$B929,Продажи!$C$5:$C$359,Конструкторы!$A929)</f>
        <v>0</v>
      </c>
      <c r="N929" s="166">
        <f>SUMIFS(Продажи!K$5:K$359,Продажи!$D$5:$D$359,Конструкторы!$B929,Продажи!$C$5:$C$359,Конструкторы!$A929)</f>
        <v>0</v>
      </c>
      <c r="O929" s="166">
        <f>SUMIFS(Продажи!L$5:L$359,Продажи!$D$5:$D$359,Конструкторы!$B929,Продажи!$C$5:$C$359,Конструкторы!$A929)</f>
        <v>0</v>
      </c>
      <c r="P929" s="166">
        <f>SUMIFS(Продажи!M$5:M$359,Продажи!$D$5:$D$359,Конструкторы!$B929,Продажи!$C$5:$C$359,Конструкторы!$A929)</f>
        <v>0</v>
      </c>
      <c r="Q929" s="166">
        <f>SUMIFS(Продажи!N$5:N$359,Продажи!$D$5:$D$359,Конструкторы!$B929,Продажи!$C$5:$C$359,Конструкторы!$A929)</f>
        <v>0</v>
      </c>
      <c r="R929" s="166">
        <f>SUMIFS(Продажи!O$5:O$359,Продажи!$D$5:$D$359,Конструкторы!$B929,Продажи!$C$5:$C$359,Конструкторы!$A929)</f>
        <v>0</v>
      </c>
      <c r="S929" s="166">
        <f>SUMIFS(Продажи!P$5:P$359,Продажи!$D$5:$D$359,Конструкторы!$B929,Продажи!$C$5:$C$359,Конструкторы!$A929)</f>
        <v>0</v>
      </c>
      <c r="T929" s="166">
        <f>SUMIFS(Продажи!Q$5:Q$359,Продажи!$D$5:$D$359,Конструкторы!$B929,Продажи!$C$5:$C$359,Конструкторы!$A929)</f>
        <v>0</v>
      </c>
    </row>
    <row r="930" spans="1:20" ht="15.75" hidden="1" x14ac:dyDescent="0.25">
      <c r="A930" s="166" t="s">
        <v>397</v>
      </c>
      <c r="B930" s="167" t="s">
        <v>361</v>
      </c>
      <c r="C930" s="129" t="s">
        <v>59</v>
      </c>
      <c r="D930" s="149"/>
      <c r="E930" s="153" t="s">
        <v>68</v>
      </c>
      <c r="F930" s="156">
        <f>(0.583*103)/100</f>
        <v>0.60048999999999997</v>
      </c>
      <c r="G930" s="156">
        <v>1.7490000000000006E-2</v>
      </c>
      <c r="H930" s="156">
        <f>F930+G930</f>
        <v>0.61797999999999997</v>
      </c>
      <c r="I930" s="166">
        <f>SUMIFS(Продажи!F$5:F$359,Продажи!$D$5:$D$359,Конструкторы!$B930,Продажи!$C$5:$C$359,Конструкторы!$A930)</f>
        <v>0</v>
      </c>
      <c r="J930" s="166">
        <f>SUMIFS(Продажи!G$5:G$359,Продажи!$D$5:$D$359,Конструкторы!$B930,Продажи!$C$5:$C$359,Конструкторы!$A930)</f>
        <v>0</v>
      </c>
      <c r="K930" s="166">
        <f>SUMIFS(Продажи!H$5:H$359,Продажи!$D$5:$D$359,Конструкторы!$B930,Продажи!$C$5:$C$359,Конструкторы!$A930)</f>
        <v>0</v>
      </c>
      <c r="L930" s="166">
        <f>SUMIFS(Продажи!I$5:I$359,Продажи!$D$5:$D$359,Конструкторы!$B930,Продажи!$C$5:$C$359,Конструкторы!$A930)</f>
        <v>0</v>
      </c>
      <c r="M930" s="166">
        <f>SUMIFS(Продажи!J$5:J$359,Продажи!$D$5:$D$359,Конструкторы!$B930,Продажи!$C$5:$C$359,Конструкторы!$A930)</f>
        <v>0</v>
      </c>
      <c r="N930" s="166">
        <f>SUMIFS(Продажи!K$5:K$359,Продажи!$D$5:$D$359,Конструкторы!$B930,Продажи!$C$5:$C$359,Конструкторы!$A930)</f>
        <v>0</v>
      </c>
      <c r="O930" s="166">
        <f>SUMIFS(Продажи!L$5:L$359,Продажи!$D$5:$D$359,Конструкторы!$B930,Продажи!$C$5:$C$359,Конструкторы!$A930)</f>
        <v>0</v>
      </c>
      <c r="P930" s="166">
        <f>SUMIFS(Продажи!M$5:M$359,Продажи!$D$5:$D$359,Конструкторы!$B930,Продажи!$C$5:$C$359,Конструкторы!$A930)</f>
        <v>0</v>
      </c>
      <c r="Q930" s="166">
        <f>SUMIFS(Продажи!N$5:N$359,Продажи!$D$5:$D$359,Конструкторы!$B930,Продажи!$C$5:$C$359,Конструкторы!$A930)</f>
        <v>0</v>
      </c>
      <c r="R930" s="166">
        <f>SUMIFS(Продажи!O$5:O$359,Продажи!$D$5:$D$359,Конструкторы!$B930,Продажи!$C$5:$C$359,Конструкторы!$A930)</f>
        <v>0</v>
      </c>
      <c r="S930" s="166">
        <f>SUMIFS(Продажи!P$5:P$359,Продажи!$D$5:$D$359,Конструкторы!$B930,Продажи!$C$5:$C$359,Конструкторы!$A930)</f>
        <v>0</v>
      </c>
      <c r="T930" s="166">
        <f>SUMIFS(Продажи!Q$5:Q$359,Продажи!$D$5:$D$359,Конструкторы!$B930,Продажи!$C$5:$C$359,Конструкторы!$A930)</f>
        <v>0</v>
      </c>
    </row>
    <row r="931" spans="1:20" ht="15.75" hidden="1" x14ac:dyDescent="0.25">
      <c r="A931" s="166" t="s">
        <v>397</v>
      </c>
      <c r="B931" s="167" t="s">
        <v>361</v>
      </c>
      <c r="C931" s="33" t="s">
        <v>77</v>
      </c>
      <c r="D931" s="149"/>
      <c r="E931" s="153" t="s">
        <v>70</v>
      </c>
      <c r="F931" s="148">
        <v>4</v>
      </c>
      <c r="G931" s="156" t="s">
        <v>71</v>
      </c>
      <c r="H931" s="156">
        <f>F931</f>
        <v>4</v>
      </c>
      <c r="I931" s="166">
        <f>SUMIFS(Продажи!F$5:F$359,Продажи!$D$5:$D$359,Конструкторы!$B931,Продажи!$C$5:$C$359,Конструкторы!$A931)</f>
        <v>0</v>
      </c>
      <c r="J931" s="166">
        <f>SUMIFS(Продажи!G$5:G$359,Продажи!$D$5:$D$359,Конструкторы!$B931,Продажи!$C$5:$C$359,Конструкторы!$A931)</f>
        <v>0</v>
      </c>
      <c r="K931" s="166">
        <f>SUMIFS(Продажи!H$5:H$359,Продажи!$D$5:$D$359,Конструкторы!$B931,Продажи!$C$5:$C$359,Конструкторы!$A931)</f>
        <v>0</v>
      </c>
      <c r="L931" s="166">
        <f>SUMIFS(Продажи!I$5:I$359,Продажи!$D$5:$D$359,Конструкторы!$B931,Продажи!$C$5:$C$359,Конструкторы!$A931)</f>
        <v>0</v>
      </c>
      <c r="M931" s="166">
        <f>SUMIFS(Продажи!J$5:J$359,Продажи!$D$5:$D$359,Конструкторы!$B931,Продажи!$C$5:$C$359,Конструкторы!$A931)</f>
        <v>0</v>
      </c>
      <c r="N931" s="166">
        <f>SUMIFS(Продажи!K$5:K$359,Продажи!$D$5:$D$359,Конструкторы!$B931,Продажи!$C$5:$C$359,Конструкторы!$A931)</f>
        <v>0</v>
      </c>
      <c r="O931" s="166">
        <f>SUMIFS(Продажи!L$5:L$359,Продажи!$D$5:$D$359,Конструкторы!$B931,Продажи!$C$5:$C$359,Конструкторы!$A931)</f>
        <v>0</v>
      </c>
      <c r="P931" s="166">
        <f>SUMIFS(Продажи!M$5:M$359,Продажи!$D$5:$D$359,Конструкторы!$B931,Продажи!$C$5:$C$359,Конструкторы!$A931)</f>
        <v>0</v>
      </c>
      <c r="Q931" s="166">
        <f>SUMIFS(Продажи!N$5:N$359,Продажи!$D$5:$D$359,Конструкторы!$B931,Продажи!$C$5:$C$359,Конструкторы!$A931)</f>
        <v>0</v>
      </c>
      <c r="R931" s="166">
        <f>SUMIFS(Продажи!O$5:O$359,Продажи!$D$5:$D$359,Конструкторы!$B931,Продажи!$C$5:$C$359,Конструкторы!$A931)</f>
        <v>0</v>
      </c>
      <c r="S931" s="166">
        <f>SUMIFS(Продажи!P$5:P$359,Продажи!$D$5:$D$359,Конструкторы!$B931,Продажи!$C$5:$C$359,Конструкторы!$A931)</f>
        <v>0</v>
      </c>
      <c r="T931" s="166">
        <f>SUMIFS(Продажи!Q$5:Q$359,Продажи!$D$5:$D$359,Конструкторы!$B931,Продажи!$C$5:$C$359,Конструкторы!$A931)</f>
        <v>0</v>
      </c>
    </row>
    <row r="932" spans="1:20" ht="15.75" hidden="1" x14ac:dyDescent="0.25">
      <c r="A932" s="166" t="s">
        <v>397</v>
      </c>
      <c r="B932" s="167" t="s">
        <v>361</v>
      </c>
      <c r="C932" s="33" t="s">
        <v>75</v>
      </c>
      <c r="D932" s="149"/>
      <c r="E932" s="153" t="s">
        <v>70</v>
      </c>
      <c r="F932" s="148">
        <v>24</v>
      </c>
      <c r="G932" s="156" t="s">
        <v>71</v>
      </c>
      <c r="H932" s="156">
        <f>F932</f>
        <v>24</v>
      </c>
      <c r="I932" s="166">
        <f>SUMIFS(Продажи!F$5:F$359,Продажи!$D$5:$D$359,Конструкторы!$B932,Продажи!$C$5:$C$359,Конструкторы!$A932)</f>
        <v>0</v>
      </c>
      <c r="J932" s="166">
        <f>SUMIFS(Продажи!G$5:G$359,Продажи!$D$5:$D$359,Конструкторы!$B932,Продажи!$C$5:$C$359,Конструкторы!$A932)</f>
        <v>0</v>
      </c>
      <c r="K932" s="166">
        <f>SUMIFS(Продажи!H$5:H$359,Продажи!$D$5:$D$359,Конструкторы!$B932,Продажи!$C$5:$C$359,Конструкторы!$A932)</f>
        <v>0</v>
      </c>
      <c r="L932" s="166">
        <f>SUMIFS(Продажи!I$5:I$359,Продажи!$D$5:$D$359,Конструкторы!$B932,Продажи!$C$5:$C$359,Конструкторы!$A932)</f>
        <v>0</v>
      </c>
      <c r="M932" s="166">
        <f>SUMIFS(Продажи!J$5:J$359,Продажи!$D$5:$D$359,Конструкторы!$B932,Продажи!$C$5:$C$359,Конструкторы!$A932)</f>
        <v>0</v>
      </c>
      <c r="N932" s="166">
        <f>SUMIFS(Продажи!K$5:K$359,Продажи!$D$5:$D$359,Конструкторы!$B932,Продажи!$C$5:$C$359,Конструкторы!$A932)</f>
        <v>0</v>
      </c>
      <c r="O932" s="166">
        <f>SUMIFS(Продажи!L$5:L$359,Продажи!$D$5:$D$359,Конструкторы!$B932,Продажи!$C$5:$C$359,Конструкторы!$A932)</f>
        <v>0</v>
      </c>
      <c r="P932" s="166">
        <f>SUMIFS(Продажи!M$5:M$359,Продажи!$D$5:$D$359,Конструкторы!$B932,Продажи!$C$5:$C$359,Конструкторы!$A932)</f>
        <v>0</v>
      </c>
      <c r="Q932" s="166">
        <f>SUMIFS(Продажи!N$5:N$359,Продажи!$D$5:$D$359,Конструкторы!$B932,Продажи!$C$5:$C$359,Конструкторы!$A932)</f>
        <v>0</v>
      </c>
      <c r="R932" s="166">
        <f>SUMIFS(Продажи!O$5:O$359,Продажи!$D$5:$D$359,Конструкторы!$B932,Продажи!$C$5:$C$359,Конструкторы!$A932)</f>
        <v>0</v>
      </c>
      <c r="S932" s="166">
        <f>SUMIFS(Продажи!P$5:P$359,Продажи!$D$5:$D$359,Конструкторы!$B932,Продажи!$C$5:$C$359,Конструкторы!$A932)</f>
        <v>0</v>
      </c>
      <c r="T932" s="166">
        <f>SUMIFS(Продажи!Q$5:Q$359,Продажи!$D$5:$D$359,Конструкторы!$B932,Продажи!$C$5:$C$359,Конструкторы!$A932)</f>
        <v>0</v>
      </c>
    </row>
    <row r="933" spans="1:20" ht="15.75" hidden="1" x14ac:dyDescent="0.25">
      <c r="A933" s="166" t="s">
        <v>397</v>
      </c>
      <c r="B933" s="167" t="s">
        <v>221</v>
      </c>
      <c r="C933" s="129" t="s">
        <v>53</v>
      </c>
      <c r="D933" s="130">
        <v>7038</v>
      </c>
      <c r="E933" s="153" t="s">
        <v>68</v>
      </c>
      <c r="F933" s="156">
        <f>(2.048*103)/100</f>
        <v>2.1094400000000002</v>
      </c>
      <c r="G933" s="156">
        <v>6.1440000000000161E-2</v>
      </c>
      <c r="H933" s="156">
        <f>F933+G933</f>
        <v>2.1708800000000004</v>
      </c>
      <c r="I933" s="166">
        <f>SUMIFS(Продажи!F$5:F$359,Продажи!$D$5:$D$359,Конструкторы!$B933,Продажи!$C$5:$C$359,Конструкторы!$A933)</f>
        <v>22</v>
      </c>
      <c r="J933" s="166">
        <f>SUMIFS(Продажи!G$5:G$359,Продажи!$D$5:$D$359,Конструкторы!$B933,Продажи!$C$5:$C$359,Конструкторы!$A933)</f>
        <v>0</v>
      </c>
      <c r="K933" s="166">
        <f>SUMIFS(Продажи!H$5:H$359,Продажи!$D$5:$D$359,Конструкторы!$B933,Продажи!$C$5:$C$359,Конструкторы!$A933)</f>
        <v>0</v>
      </c>
      <c r="L933" s="166">
        <f>SUMIFS(Продажи!I$5:I$359,Продажи!$D$5:$D$359,Конструкторы!$B933,Продажи!$C$5:$C$359,Конструкторы!$A933)</f>
        <v>0</v>
      </c>
      <c r="M933" s="166">
        <f>SUMIFS(Продажи!J$5:J$359,Продажи!$D$5:$D$359,Конструкторы!$B933,Продажи!$C$5:$C$359,Конструкторы!$A933)</f>
        <v>0</v>
      </c>
      <c r="N933" s="166">
        <f>SUMIFS(Продажи!K$5:K$359,Продажи!$D$5:$D$359,Конструкторы!$B933,Продажи!$C$5:$C$359,Конструкторы!$A933)</f>
        <v>0</v>
      </c>
      <c r="O933" s="166">
        <f>SUMIFS(Продажи!L$5:L$359,Продажи!$D$5:$D$359,Конструкторы!$B933,Продажи!$C$5:$C$359,Конструкторы!$A933)</f>
        <v>0</v>
      </c>
      <c r="P933" s="166">
        <f>SUMIFS(Продажи!M$5:M$359,Продажи!$D$5:$D$359,Конструкторы!$B933,Продажи!$C$5:$C$359,Конструкторы!$A933)</f>
        <v>0</v>
      </c>
      <c r="Q933" s="166">
        <f>SUMIFS(Продажи!N$5:N$359,Продажи!$D$5:$D$359,Конструкторы!$B933,Продажи!$C$5:$C$359,Конструкторы!$A933)</f>
        <v>0</v>
      </c>
      <c r="R933" s="166">
        <f>SUMIFS(Продажи!O$5:O$359,Продажи!$D$5:$D$359,Конструкторы!$B933,Продажи!$C$5:$C$359,Конструкторы!$A933)</f>
        <v>0</v>
      </c>
      <c r="S933" s="166">
        <f>SUMIFS(Продажи!P$5:P$359,Продажи!$D$5:$D$359,Конструкторы!$B933,Продажи!$C$5:$C$359,Конструкторы!$A933)</f>
        <v>0</v>
      </c>
      <c r="T933" s="166">
        <f>SUMIFS(Продажи!Q$5:Q$359,Продажи!$D$5:$D$359,Конструкторы!$B933,Продажи!$C$5:$C$359,Конструкторы!$A933)</f>
        <v>0</v>
      </c>
    </row>
    <row r="934" spans="1:20" ht="15.75" hidden="1" x14ac:dyDescent="0.25">
      <c r="A934" s="166" t="s">
        <v>397</v>
      </c>
      <c r="B934" s="167" t="s">
        <v>221</v>
      </c>
      <c r="C934" s="129" t="s">
        <v>52</v>
      </c>
      <c r="D934" s="149"/>
      <c r="E934" s="153" t="s">
        <v>68</v>
      </c>
      <c r="F934" s="156">
        <f>(0.3*103)/100</f>
        <v>0.309</v>
      </c>
      <c r="G934" s="156">
        <v>9.000000000000008E-3</v>
      </c>
      <c r="H934" s="156">
        <f>F934+G934</f>
        <v>0.318</v>
      </c>
      <c r="I934" s="166">
        <f>SUMIFS(Продажи!F$5:F$359,Продажи!$D$5:$D$359,Конструкторы!$B934,Продажи!$C$5:$C$359,Конструкторы!$A934)</f>
        <v>22</v>
      </c>
      <c r="J934" s="166">
        <f>SUMIFS(Продажи!G$5:G$359,Продажи!$D$5:$D$359,Конструкторы!$B934,Продажи!$C$5:$C$359,Конструкторы!$A934)</f>
        <v>0</v>
      </c>
      <c r="K934" s="166">
        <f>SUMIFS(Продажи!H$5:H$359,Продажи!$D$5:$D$359,Конструкторы!$B934,Продажи!$C$5:$C$359,Конструкторы!$A934)</f>
        <v>0</v>
      </c>
      <c r="L934" s="166">
        <f>SUMIFS(Продажи!I$5:I$359,Продажи!$D$5:$D$359,Конструкторы!$B934,Продажи!$C$5:$C$359,Конструкторы!$A934)</f>
        <v>0</v>
      </c>
      <c r="M934" s="166">
        <f>SUMIFS(Продажи!J$5:J$359,Продажи!$D$5:$D$359,Конструкторы!$B934,Продажи!$C$5:$C$359,Конструкторы!$A934)</f>
        <v>0</v>
      </c>
      <c r="N934" s="166">
        <f>SUMIFS(Продажи!K$5:K$359,Продажи!$D$5:$D$359,Конструкторы!$B934,Продажи!$C$5:$C$359,Конструкторы!$A934)</f>
        <v>0</v>
      </c>
      <c r="O934" s="166">
        <f>SUMIFS(Продажи!L$5:L$359,Продажи!$D$5:$D$359,Конструкторы!$B934,Продажи!$C$5:$C$359,Конструкторы!$A934)</f>
        <v>0</v>
      </c>
      <c r="P934" s="166">
        <f>SUMIFS(Продажи!M$5:M$359,Продажи!$D$5:$D$359,Конструкторы!$B934,Продажи!$C$5:$C$359,Конструкторы!$A934)</f>
        <v>0</v>
      </c>
      <c r="Q934" s="166">
        <f>SUMIFS(Продажи!N$5:N$359,Продажи!$D$5:$D$359,Конструкторы!$B934,Продажи!$C$5:$C$359,Конструкторы!$A934)</f>
        <v>0</v>
      </c>
      <c r="R934" s="166">
        <f>SUMIFS(Продажи!O$5:O$359,Продажи!$D$5:$D$359,Конструкторы!$B934,Продажи!$C$5:$C$359,Конструкторы!$A934)</f>
        <v>0</v>
      </c>
      <c r="S934" s="166">
        <f>SUMIFS(Продажи!P$5:P$359,Продажи!$D$5:$D$359,Конструкторы!$B934,Продажи!$C$5:$C$359,Конструкторы!$A934)</f>
        <v>0</v>
      </c>
      <c r="T934" s="166">
        <f>SUMIFS(Продажи!Q$5:Q$359,Продажи!$D$5:$D$359,Конструкторы!$B934,Продажи!$C$5:$C$359,Конструкторы!$A934)</f>
        <v>0</v>
      </c>
    </row>
    <row r="935" spans="1:20" ht="15.75" hidden="1" x14ac:dyDescent="0.25">
      <c r="A935" s="166" t="s">
        <v>397</v>
      </c>
      <c r="B935" s="167" t="s">
        <v>221</v>
      </c>
      <c r="C935" s="33" t="s">
        <v>77</v>
      </c>
      <c r="D935" s="149"/>
      <c r="E935" s="153" t="s">
        <v>70</v>
      </c>
      <c r="F935" s="148">
        <v>4</v>
      </c>
      <c r="G935" s="156" t="s">
        <v>71</v>
      </c>
      <c r="H935" s="156">
        <f>F935</f>
        <v>4</v>
      </c>
      <c r="I935" s="166">
        <f>SUMIFS(Продажи!F$5:F$359,Продажи!$D$5:$D$359,Конструкторы!$B935,Продажи!$C$5:$C$359,Конструкторы!$A935)</f>
        <v>22</v>
      </c>
      <c r="J935" s="166">
        <f>SUMIFS(Продажи!G$5:G$359,Продажи!$D$5:$D$359,Конструкторы!$B935,Продажи!$C$5:$C$359,Конструкторы!$A935)</f>
        <v>0</v>
      </c>
      <c r="K935" s="166">
        <f>SUMIFS(Продажи!H$5:H$359,Продажи!$D$5:$D$359,Конструкторы!$B935,Продажи!$C$5:$C$359,Конструкторы!$A935)</f>
        <v>0</v>
      </c>
      <c r="L935" s="166">
        <f>SUMIFS(Продажи!I$5:I$359,Продажи!$D$5:$D$359,Конструкторы!$B935,Продажи!$C$5:$C$359,Конструкторы!$A935)</f>
        <v>0</v>
      </c>
      <c r="M935" s="166">
        <f>SUMIFS(Продажи!J$5:J$359,Продажи!$D$5:$D$359,Конструкторы!$B935,Продажи!$C$5:$C$359,Конструкторы!$A935)</f>
        <v>0</v>
      </c>
      <c r="N935" s="166">
        <f>SUMIFS(Продажи!K$5:K$359,Продажи!$D$5:$D$359,Конструкторы!$B935,Продажи!$C$5:$C$359,Конструкторы!$A935)</f>
        <v>0</v>
      </c>
      <c r="O935" s="166">
        <f>SUMIFS(Продажи!L$5:L$359,Продажи!$D$5:$D$359,Конструкторы!$B935,Продажи!$C$5:$C$359,Конструкторы!$A935)</f>
        <v>0</v>
      </c>
      <c r="P935" s="166">
        <f>SUMIFS(Продажи!M$5:M$359,Продажи!$D$5:$D$359,Конструкторы!$B935,Продажи!$C$5:$C$359,Конструкторы!$A935)</f>
        <v>0</v>
      </c>
      <c r="Q935" s="166">
        <f>SUMIFS(Продажи!N$5:N$359,Продажи!$D$5:$D$359,Конструкторы!$B935,Продажи!$C$5:$C$359,Конструкторы!$A935)</f>
        <v>0</v>
      </c>
      <c r="R935" s="166">
        <f>SUMIFS(Продажи!O$5:O$359,Продажи!$D$5:$D$359,Конструкторы!$B935,Продажи!$C$5:$C$359,Конструкторы!$A935)</f>
        <v>0</v>
      </c>
      <c r="S935" s="166">
        <f>SUMIFS(Продажи!P$5:P$359,Продажи!$D$5:$D$359,Конструкторы!$B935,Продажи!$C$5:$C$359,Конструкторы!$A935)</f>
        <v>0</v>
      </c>
      <c r="T935" s="166">
        <f>SUMIFS(Продажи!Q$5:Q$359,Продажи!$D$5:$D$359,Конструкторы!$B935,Продажи!$C$5:$C$359,Конструкторы!$A935)</f>
        <v>0</v>
      </c>
    </row>
    <row r="936" spans="1:20" ht="15.75" hidden="1" x14ac:dyDescent="0.25">
      <c r="A936" s="166" t="s">
        <v>397</v>
      </c>
      <c r="B936" s="167" t="s">
        <v>221</v>
      </c>
      <c r="C936" s="33" t="s">
        <v>75</v>
      </c>
      <c r="D936" s="149"/>
      <c r="E936" s="153" t="s">
        <v>70</v>
      </c>
      <c r="F936" s="148">
        <v>24</v>
      </c>
      <c r="G936" s="156" t="s">
        <v>71</v>
      </c>
      <c r="H936" s="156">
        <f>F936</f>
        <v>24</v>
      </c>
      <c r="I936" s="166">
        <f>SUMIFS(Продажи!F$5:F$359,Продажи!$D$5:$D$359,Конструкторы!$B936,Продажи!$C$5:$C$359,Конструкторы!$A936)</f>
        <v>22</v>
      </c>
      <c r="J936" s="166">
        <f>SUMIFS(Продажи!G$5:G$359,Продажи!$D$5:$D$359,Конструкторы!$B936,Продажи!$C$5:$C$359,Конструкторы!$A936)</f>
        <v>0</v>
      </c>
      <c r="K936" s="166">
        <f>SUMIFS(Продажи!H$5:H$359,Продажи!$D$5:$D$359,Конструкторы!$B936,Продажи!$C$5:$C$359,Конструкторы!$A936)</f>
        <v>0</v>
      </c>
      <c r="L936" s="166">
        <f>SUMIFS(Продажи!I$5:I$359,Продажи!$D$5:$D$359,Конструкторы!$B936,Продажи!$C$5:$C$359,Конструкторы!$A936)</f>
        <v>0</v>
      </c>
      <c r="M936" s="166">
        <f>SUMIFS(Продажи!J$5:J$359,Продажи!$D$5:$D$359,Конструкторы!$B936,Продажи!$C$5:$C$359,Конструкторы!$A936)</f>
        <v>0</v>
      </c>
      <c r="N936" s="166">
        <f>SUMIFS(Продажи!K$5:K$359,Продажи!$D$5:$D$359,Конструкторы!$B936,Продажи!$C$5:$C$359,Конструкторы!$A936)</f>
        <v>0</v>
      </c>
      <c r="O936" s="166">
        <f>SUMIFS(Продажи!L$5:L$359,Продажи!$D$5:$D$359,Конструкторы!$B936,Продажи!$C$5:$C$359,Конструкторы!$A936)</f>
        <v>0</v>
      </c>
      <c r="P936" s="166">
        <f>SUMIFS(Продажи!M$5:M$359,Продажи!$D$5:$D$359,Конструкторы!$B936,Продажи!$C$5:$C$359,Конструкторы!$A936)</f>
        <v>0</v>
      </c>
      <c r="Q936" s="166">
        <f>SUMIFS(Продажи!N$5:N$359,Продажи!$D$5:$D$359,Конструкторы!$B936,Продажи!$C$5:$C$359,Конструкторы!$A936)</f>
        <v>0</v>
      </c>
      <c r="R936" s="166">
        <f>SUMIFS(Продажи!O$5:O$359,Продажи!$D$5:$D$359,Конструкторы!$B936,Продажи!$C$5:$C$359,Конструкторы!$A936)</f>
        <v>0</v>
      </c>
      <c r="S936" s="166">
        <f>SUMIFS(Продажи!P$5:P$359,Продажи!$D$5:$D$359,Конструкторы!$B936,Продажи!$C$5:$C$359,Конструкторы!$A936)</f>
        <v>0</v>
      </c>
      <c r="T936" s="166">
        <f>SUMIFS(Продажи!Q$5:Q$359,Продажи!$D$5:$D$359,Конструкторы!$B936,Продажи!$C$5:$C$359,Конструкторы!$A936)</f>
        <v>0</v>
      </c>
    </row>
    <row r="937" spans="1:20" ht="15.75" hidden="1" x14ac:dyDescent="0.25">
      <c r="A937" s="166" t="s">
        <v>397</v>
      </c>
      <c r="B937" s="167" t="s">
        <v>221</v>
      </c>
      <c r="C937" s="33" t="s">
        <v>69</v>
      </c>
      <c r="D937" s="149"/>
      <c r="E937" s="153" t="s">
        <v>70</v>
      </c>
      <c r="F937" s="148">
        <v>6</v>
      </c>
      <c r="G937" s="156" t="s">
        <v>71</v>
      </c>
      <c r="H937" s="156">
        <f>F937</f>
        <v>6</v>
      </c>
      <c r="I937" s="166">
        <f>SUMIFS(Продажи!F$5:F$359,Продажи!$D$5:$D$359,Конструкторы!$B937,Продажи!$C$5:$C$359,Конструкторы!$A937)</f>
        <v>22</v>
      </c>
      <c r="J937" s="166">
        <f>SUMIFS(Продажи!G$5:G$359,Продажи!$D$5:$D$359,Конструкторы!$B937,Продажи!$C$5:$C$359,Конструкторы!$A937)</f>
        <v>0</v>
      </c>
      <c r="K937" s="166">
        <f>SUMIFS(Продажи!H$5:H$359,Продажи!$D$5:$D$359,Конструкторы!$B937,Продажи!$C$5:$C$359,Конструкторы!$A937)</f>
        <v>0</v>
      </c>
      <c r="L937" s="166">
        <f>SUMIFS(Продажи!I$5:I$359,Продажи!$D$5:$D$359,Конструкторы!$B937,Продажи!$C$5:$C$359,Конструкторы!$A937)</f>
        <v>0</v>
      </c>
      <c r="M937" s="166">
        <f>SUMIFS(Продажи!J$5:J$359,Продажи!$D$5:$D$359,Конструкторы!$B937,Продажи!$C$5:$C$359,Конструкторы!$A937)</f>
        <v>0</v>
      </c>
      <c r="N937" s="166">
        <f>SUMIFS(Продажи!K$5:K$359,Продажи!$D$5:$D$359,Конструкторы!$B937,Продажи!$C$5:$C$359,Конструкторы!$A937)</f>
        <v>0</v>
      </c>
      <c r="O937" s="166">
        <f>SUMIFS(Продажи!L$5:L$359,Продажи!$D$5:$D$359,Конструкторы!$B937,Продажи!$C$5:$C$359,Конструкторы!$A937)</f>
        <v>0</v>
      </c>
      <c r="P937" s="166">
        <f>SUMIFS(Продажи!M$5:M$359,Продажи!$D$5:$D$359,Конструкторы!$B937,Продажи!$C$5:$C$359,Конструкторы!$A937)</f>
        <v>0</v>
      </c>
      <c r="Q937" s="166">
        <f>SUMIFS(Продажи!N$5:N$359,Продажи!$D$5:$D$359,Конструкторы!$B937,Продажи!$C$5:$C$359,Конструкторы!$A937)</f>
        <v>0</v>
      </c>
      <c r="R937" s="166">
        <f>SUMIFS(Продажи!O$5:O$359,Продажи!$D$5:$D$359,Конструкторы!$B937,Продажи!$C$5:$C$359,Конструкторы!$A937)</f>
        <v>0</v>
      </c>
      <c r="S937" s="166">
        <f>SUMIFS(Продажи!P$5:P$359,Продажи!$D$5:$D$359,Конструкторы!$B937,Продажи!$C$5:$C$359,Конструкторы!$A937)</f>
        <v>0</v>
      </c>
      <c r="T937" s="166">
        <f>SUMIFS(Продажи!Q$5:Q$359,Продажи!$D$5:$D$359,Конструкторы!$B937,Продажи!$C$5:$C$359,Конструкторы!$A937)</f>
        <v>0</v>
      </c>
    </row>
    <row r="938" spans="1:20" ht="15.75" hidden="1" x14ac:dyDescent="0.25">
      <c r="A938" s="166" t="s">
        <v>397</v>
      </c>
      <c r="B938" s="167" t="s">
        <v>222</v>
      </c>
      <c r="C938" s="129" t="s">
        <v>53</v>
      </c>
      <c r="D938" s="130">
        <v>7038</v>
      </c>
      <c r="E938" s="153" t="s">
        <v>68</v>
      </c>
      <c r="F938" s="156">
        <f>(2.048*103)/100</f>
        <v>2.1094400000000002</v>
      </c>
      <c r="G938" s="156">
        <v>6.1440000000000161E-2</v>
      </c>
      <c r="H938" s="156">
        <f>F938+G938</f>
        <v>2.1708800000000004</v>
      </c>
      <c r="I938" s="166">
        <f>SUMIFS(Продажи!F$5:F$359,Продажи!$D$5:$D$359,Конструкторы!$B938,Продажи!$C$5:$C$359,Конструкторы!$A938)</f>
        <v>37</v>
      </c>
      <c r="J938" s="166">
        <f>SUMIFS(Продажи!G$5:G$359,Продажи!$D$5:$D$359,Конструкторы!$B938,Продажи!$C$5:$C$359,Конструкторы!$A938)</f>
        <v>0</v>
      </c>
      <c r="K938" s="166">
        <f>SUMIFS(Продажи!H$5:H$359,Продажи!$D$5:$D$359,Конструкторы!$B938,Продажи!$C$5:$C$359,Конструкторы!$A938)</f>
        <v>0</v>
      </c>
      <c r="L938" s="166">
        <f>SUMIFS(Продажи!I$5:I$359,Продажи!$D$5:$D$359,Конструкторы!$B938,Продажи!$C$5:$C$359,Конструкторы!$A938)</f>
        <v>0</v>
      </c>
      <c r="M938" s="166">
        <f>SUMIFS(Продажи!J$5:J$359,Продажи!$D$5:$D$359,Конструкторы!$B938,Продажи!$C$5:$C$359,Конструкторы!$A938)</f>
        <v>0</v>
      </c>
      <c r="N938" s="166">
        <f>SUMIFS(Продажи!K$5:K$359,Продажи!$D$5:$D$359,Конструкторы!$B938,Продажи!$C$5:$C$359,Конструкторы!$A938)</f>
        <v>0</v>
      </c>
      <c r="O938" s="166">
        <f>SUMIFS(Продажи!L$5:L$359,Продажи!$D$5:$D$359,Конструкторы!$B938,Продажи!$C$5:$C$359,Конструкторы!$A938)</f>
        <v>0</v>
      </c>
      <c r="P938" s="166">
        <f>SUMIFS(Продажи!M$5:M$359,Продажи!$D$5:$D$359,Конструкторы!$B938,Продажи!$C$5:$C$359,Конструкторы!$A938)</f>
        <v>0</v>
      </c>
      <c r="Q938" s="166">
        <f>SUMIFS(Продажи!N$5:N$359,Продажи!$D$5:$D$359,Конструкторы!$B938,Продажи!$C$5:$C$359,Конструкторы!$A938)</f>
        <v>0</v>
      </c>
      <c r="R938" s="166">
        <f>SUMIFS(Продажи!O$5:O$359,Продажи!$D$5:$D$359,Конструкторы!$B938,Продажи!$C$5:$C$359,Конструкторы!$A938)</f>
        <v>0</v>
      </c>
      <c r="S938" s="166">
        <f>SUMIFS(Продажи!P$5:P$359,Продажи!$D$5:$D$359,Конструкторы!$B938,Продажи!$C$5:$C$359,Конструкторы!$A938)</f>
        <v>0</v>
      </c>
      <c r="T938" s="166">
        <f>SUMIFS(Продажи!Q$5:Q$359,Продажи!$D$5:$D$359,Конструкторы!$B938,Продажи!$C$5:$C$359,Конструкторы!$A938)</f>
        <v>0</v>
      </c>
    </row>
    <row r="939" spans="1:20" ht="15.75" hidden="1" x14ac:dyDescent="0.25">
      <c r="A939" s="166" t="s">
        <v>397</v>
      </c>
      <c r="B939" s="167" t="s">
        <v>222</v>
      </c>
      <c r="C939" s="129" t="s">
        <v>52</v>
      </c>
      <c r="D939" s="149"/>
      <c r="E939" s="153" t="s">
        <v>68</v>
      </c>
      <c r="F939" s="156">
        <f>(0.6*103)/100</f>
        <v>0.61799999999999999</v>
      </c>
      <c r="G939" s="156">
        <v>1.8000000000000016E-2</v>
      </c>
      <c r="H939" s="156">
        <f>F939+G939</f>
        <v>0.63600000000000001</v>
      </c>
      <c r="I939" s="166">
        <f>SUMIFS(Продажи!F$5:F$359,Продажи!$D$5:$D$359,Конструкторы!$B939,Продажи!$C$5:$C$359,Конструкторы!$A939)</f>
        <v>37</v>
      </c>
      <c r="J939" s="166">
        <f>SUMIFS(Продажи!G$5:G$359,Продажи!$D$5:$D$359,Конструкторы!$B939,Продажи!$C$5:$C$359,Конструкторы!$A939)</f>
        <v>0</v>
      </c>
      <c r="K939" s="166">
        <f>SUMIFS(Продажи!H$5:H$359,Продажи!$D$5:$D$359,Конструкторы!$B939,Продажи!$C$5:$C$359,Конструкторы!$A939)</f>
        <v>0</v>
      </c>
      <c r="L939" s="166">
        <f>SUMIFS(Продажи!I$5:I$359,Продажи!$D$5:$D$359,Конструкторы!$B939,Продажи!$C$5:$C$359,Конструкторы!$A939)</f>
        <v>0</v>
      </c>
      <c r="M939" s="166">
        <f>SUMIFS(Продажи!J$5:J$359,Продажи!$D$5:$D$359,Конструкторы!$B939,Продажи!$C$5:$C$359,Конструкторы!$A939)</f>
        <v>0</v>
      </c>
      <c r="N939" s="166">
        <f>SUMIFS(Продажи!K$5:K$359,Продажи!$D$5:$D$359,Конструкторы!$B939,Продажи!$C$5:$C$359,Конструкторы!$A939)</f>
        <v>0</v>
      </c>
      <c r="O939" s="166">
        <f>SUMIFS(Продажи!L$5:L$359,Продажи!$D$5:$D$359,Конструкторы!$B939,Продажи!$C$5:$C$359,Конструкторы!$A939)</f>
        <v>0</v>
      </c>
      <c r="P939" s="166">
        <f>SUMIFS(Продажи!M$5:M$359,Продажи!$D$5:$D$359,Конструкторы!$B939,Продажи!$C$5:$C$359,Конструкторы!$A939)</f>
        <v>0</v>
      </c>
      <c r="Q939" s="166">
        <f>SUMIFS(Продажи!N$5:N$359,Продажи!$D$5:$D$359,Конструкторы!$B939,Продажи!$C$5:$C$359,Конструкторы!$A939)</f>
        <v>0</v>
      </c>
      <c r="R939" s="166">
        <f>SUMIFS(Продажи!O$5:O$359,Продажи!$D$5:$D$359,Конструкторы!$B939,Продажи!$C$5:$C$359,Конструкторы!$A939)</f>
        <v>0</v>
      </c>
      <c r="S939" s="166">
        <f>SUMIFS(Продажи!P$5:P$359,Продажи!$D$5:$D$359,Конструкторы!$B939,Продажи!$C$5:$C$359,Конструкторы!$A939)</f>
        <v>0</v>
      </c>
      <c r="T939" s="166">
        <f>SUMIFS(Продажи!Q$5:Q$359,Продажи!$D$5:$D$359,Конструкторы!$B939,Продажи!$C$5:$C$359,Конструкторы!$A939)</f>
        <v>0</v>
      </c>
    </row>
    <row r="940" spans="1:20" ht="15.75" hidden="1" x14ac:dyDescent="0.25">
      <c r="A940" s="166" t="s">
        <v>397</v>
      </c>
      <c r="B940" s="167" t="s">
        <v>222</v>
      </c>
      <c r="C940" s="33" t="s">
        <v>77</v>
      </c>
      <c r="D940" s="149"/>
      <c r="E940" s="153" t="s">
        <v>70</v>
      </c>
      <c r="F940" s="148">
        <v>4</v>
      </c>
      <c r="G940" s="156" t="s">
        <v>71</v>
      </c>
      <c r="H940" s="156">
        <f>F940</f>
        <v>4</v>
      </c>
      <c r="I940" s="166">
        <f>SUMIFS(Продажи!F$5:F$359,Продажи!$D$5:$D$359,Конструкторы!$B940,Продажи!$C$5:$C$359,Конструкторы!$A940)</f>
        <v>37</v>
      </c>
      <c r="J940" s="166">
        <f>SUMIFS(Продажи!G$5:G$359,Продажи!$D$5:$D$359,Конструкторы!$B940,Продажи!$C$5:$C$359,Конструкторы!$A940)</f>
        <v>0</v>
      </c>
      <c r="K940" s="166">
        <f>SUMIFS(Продажи!H$5:H$359,Продажи!$D$5:$D$359,Конструкторы!$B940,Продажи!$C$5:$C$359,Конструкторы!$A940)</f>
        <v>0</v>
      </c>
      <c r="L940" s="166">
        <f>SUMIFS(Продажи!I$5:I$359,Продажи!$D$5:$D$359,Конструкторы!$B940,Продажи!$C$5:$C$359,Конструкторы!$A940)</f>
        <v>0</v>
      </c>
      <c r="M940" s="166">
        <f>SUMIFS(Продажи!J$5:J$359,Продажи!$D$5:$D$359,Конструкторы!$B940,Продажи!$C$5:$C$359,Конструкторы!$A940)</f>
        <v>0</v>
      </c>
      <c r="N940" s="166">
        <f>SUMIFS(Продажи!K$5:K$359,Продажи!$D$5:$D$359,Конструкторы!$B940,Продажи!$C$5:$C$359,Конструкторы!$A940)</f>
        <v>0</v>
      </c>
      <c r="O940" s="166">
        <f>SUMIFS(Продажи!L$5:L$359,Продажи!$D$5:$D$359,Конструкторы!$B940,Продажи!$C$5:$C$359,Конструкторы!$A940)</f>
        <v>0</v>
      </c>
      <c r="P940" s="166">
        <f>SUMIFS(Продажи!M$5:M$359,Продажи!$D$5:$D$359,Конструкторы!$B940,Продажи!$C$5:$C$359,Конструкторы!$A940)</f>
        <v>0</v>
      </c>
      <c r="Q940" s="166">
        <f>SUMIFS(Продажи!N$5:N$359,Продажи!$D$5:$D$359,Конструкторы!$B940,Продажи!$C$5:$C$359,Конструкторы!$A940)</f>
        <v>0</v>
      </c>
      <c r="R940" s="166">
        <f>SUMIFS(Продажи!O$5:O$359,Продажи!$D$5:$D$359,Конструкторы!$B940,Продажи!$C$5:$C$359,Конструкторы!$A940)</f>
        <v>0</v>
      </c>
      <c r="S940" s="166">
        <f>SUMIFS(Продажи!P$5:P$359,Продажи!$D$5:$D$359,Конструкторы!$B940,Продажи!$C$5:$C$359,Конструкторы!$A940)</f>
        <v>0</v>
      </c>
      <c r="T940" s="166">
        <f>SUMIFS(Продажи!Q$5:Q$359,Продажи!$D$5:$D$359,Конструкторы!$B940,Продажи!$C$5:$C$359,Конструкторы!$A940)</f>
        <v>0</v>
      </c>
    </row>
    <row r="941" spans="1:20" ht="15.75" hidden="1" x14ac:dyDescent="0.25">
      <c r="A941" s="166" t="s">
        <v>397</v>
      </c>
      <c r="B941" s="167" t="s">
        <v>222</v>
      </c>
      <c r="C941" s="33" t="s">
        <v>75</v>
      </c>
      <c r="D941" s="149"/>
      <c r="E941" s="153" t="s">
        <v>70</v>
      </c>
      <c r="F941" s="148">
        <v>24</v>
      </c>
      <c r="G941" s="156" t="s">
        <v>71</v>
      </c>
      <c r="H941" s="156">
        <f>F941</f>
        <v>24</v>
      </c>
      <c r="I941" s="166">
        <f>SUMIFS(Продажи!F$5:F$359,Продажи!$D$5:$D$359,Конструкторы!$B941,Продажи!$C$5:$C$359,Конструкторы!$A941)</f>
        <v>37</v>
      </c>
      <c r="J941" s="166">
        <f>SUMIFS(Продажи!G$5:G$359,Продажи!$D$5:$D$359,Конструкторы!$B941,Продажи!$C$5:$C$359,Конструкторы!$A941)</f>
        <v>0</v>
      </c>
      <c r="K941" s="166">
        <f>SUMIFS(Продажи!H$5:H$359,Продажи!$D$5:$D$359,Конструкторы!$B941,Продажи!$C$5:$C$359,Конструкторы!$A941)</f>
        <v>0</v>
      </c>
      <c r="L941" s="166">
        <f>SUMIFS(Продажи!I$5:I$359,Продажи!$D$5:$D$359,Конструкторы!$B941,Продажи!$C$5:$C$359,Конструкторы!$A941)</f>
        <v>0</v>
      </c>
      <c r="M941" s="166">
        <f>SUMIFS(Продажи!J$5:J$359,Продажи!$D$5:$D$359,Конструкторы!$B941,Продажи!$C$5:$C$359,Конструкторы!$A941)</f>
        <v>0</v>
      </c>
      <c r="N941" s="166">
        <f>SUMIFS(Продажи!K$5:K$359,Продажи!$D$5:$D$359,Конструкторы!$B941,Продажи!$C$5:$C$359,Конструкторы!$A941)</f>
        <v>0</v>
      </c>
      <c r="O941" s="166">
        <f>SUMIFS(Продажи!L$5:L$359,Продажи!$D$5:$D$359,Конструкторы!$B941,Продажи!$C$5:$C$359,Конструкторы!$A941)</f>
        <v>0</v>
      </c>
      <c r="P941" s="166">
        <f>SUMIFS(Продажи!M$5:M$359,Продажи!$D$5:$D$359,Конструкторы!$B941,Продажи!$C$5:$C$359,Конструкторы!$A941)</f>
        <v>0</v>
      </c>
      <c r="Q941" s="166">
        <f>SUMIFS(Продажи!N$5:N$359,Продажи!$D$5:$D$359,Конструкторы!$B941,Продажи!$C$5:$C$359,Конструкторы!$A941)</f>
        <v>0</v>
      </c>
      <c r="R941" s="166">
        <f>SUMIFS(Продажи!O$5:O$359,Продажи!$D$5:$D$359,Конструкторы!$B941,Продажи!$C$5:$C$359,Конструкторы!$A941)</f>
        <v>0</v>
      </c>
      <c r="S941" s="166">
        <f>SUMIFS(Продажи!P$5:P$359,Продажи!$D$5:$D$359,Конструкторы!$B941,Продажи!$C$5:$C$359,Конструкторы!$A941)</f>
        <v>0</v>
      </c>
      <c r="T941" s="166">
        <f>SUMIFS(Продажи!Q$5:Q$359,Продажи!$D$5:$D$359,Конструкторы!$B941,Продажи!$C$5:$C$359,Конструкторы!$A941)</f>
        <v>0</v>
      </c>
    </row>
    <row r="942" spans="1:20" ht="15.75" hidden="1" x14ac:dyDescent="0.25">
      <c r="A942" s="166" t="s">
        <v>397</v>
      </c>
      <c r="B942" s="167" t="s">
        <v>222</v>
      </c>
      <c r="C942" s="33" t="s">
        <v>69</v>
      </c>
      <c r="D942" s="149"/>
      <c r="E942" s="153" t="s">
        <v>70</v>
      </c>
      <c r="F942" s="148">
        <v>6</v>
      </c>
      <c r="G942" s="156" t="s">
        <v>71</v>
      </c>
      <c r="H942" s="156">
        <f>F942</f>
        <v>6</v>
      </c>
      <c r="I942" s="166">
        <f>SUMIFS(Продажи!F$5:F$359,Продажи!$D$5:$D$359,Конструкторы!$B942,Продажи!$C$5:$C$359,Конструкторы!$A942)</f>
        <v>37</v>
      </c>
      <c r="J942" s="166">
        <f>SUMIFS(Продажи!G$5:G$359,Продажи!$D$5:$D$359,Конструкторы!$B942,Продажи!$C$5:$C$359,Конструкторы!$A942)</f>
        <v>0</v>
      </c>
      <c r="K942" s="166">
        <f>SUMIFS(Продажи!H$5:H$359,Продажи!$D$5:$D$359,Конструкторы!$B942,Продажи!$C$5:$C$359,Конструкторы!$A942)</f>
        <v>0</v>
      </c>
      <c r="L942" s="166">
        <f>SUMIFS(Продажи!I$5:I$359,Продажи!$D$5:$D$359,Конструкторы!$B942,Продажи!$C$5:$C$359,Конструкторы!$A942)</f>
        <v>0</v>
      </c>
      <c r="M942" s="166">
        <f>SUMIFS(Продажи!J$5:J$359,Продажи!$D$5:$D$359,Конструкторы!$B942,Продажи!$C$5:$C$359,Конструкторы!$A942)</f>
        <v>0</v>
      </c>
      <c r="N942" s="166">
        <f>SUMIFS(Продажи!K$5:K$359,Продажи!$D$5:$D$359,Конструкторы!$B942,Продажи!$C$5:$C$359,Конструкторы!$A942)</f>
        <v>0</v>
      </c>
      <c r="O942" s="166">
        <f>SUMIFS(Продажи!L$5:L$359,Продажи!$D$5:$D$359,Конструкторы!$B942,Продажи!$C$5:$C$359,Конструкторы!$A942)</f>
        <v>0</v>
      </c>
      <c r="P942" s="166">
        <f>SUMIFS(Продажи!M$5:M$359,Продажи!$D$5:$D$359,Конструкторы!$B942,Продажи!$C$5:$C$359,Конструкторы!$A942)</f>
        <v>0</v>
      </c>
      <c r="Q942" s="166">
        <f>SUMIFS(Продажи!N$5:N$359,Продажи!$D$5:$D$359,Конструкторы!$B942,Продажи!$C$5:$C$359,Конструкторы!$A942)</f>
        <v>0</v>
      </c>
      <c r="R942" s="166">
        <f>SUMIFS(Продажи!O$5:O$359,Продажи!$D$5:$D$359,Конструкторы!$B942,Продажи!$C$5:$C$359,Конструкторы!$A942)</f>
        <v>0</v>
      </c>
      <c r="S942" s="166">
        <f>SUMIFS(Продажи!P$5:P$359,Продажи!$D$5:$D$359,Конструкторы!$B942,Продажи!$C$5:$C$359,Конструкторы!$A942)</f>
        <v>0</v>
      </c>
      <c r="T942" s="166">
        <f>SUMIFS(Продажи!Q$5:Q$359,Продажи!$D$5:$D$359,Конструкторы!$B942,Продажи!$C$5:$C$359,Конструкторы!$A942)</f>
        <v>0</v>
      </c>
    </row>
    <row r="943" spans="1:20" ht="15.75" hidden="1" x14ac:dyDescent="0.25">
      <c r="A943" s="166" t="s">
        <v>397</v>
      </c>
      <c r="B943" s="167" t="s">
        <v>223</v>
      </c>
      <c r="C943" s="129" t="s">
        <v>53</v>
      </c>
      <c r="D943" s="130">
        <v>7038</v>
      </c>
      <c r="E943" s="153" t="s">
        <v>68</v>
      </c>
      <c r="F943" s="156">
        <f>(2.048*103)/100</f>
        <v>2.1094400000000002</v>
      </c>
      <c r="G943" s="156">
        <v>6.1440000000000161E-2</v>
      </c>
      <c r="H943" s="156">
        <f>F943+G943</f>
        <v>2.1708800000000004</v>
      </c>
      <c r="I943" s="166">
        <f>SUMIFS(Продажи!F$5:F$359,Продажи!$D$5:$D$359,Конструкторы!$B943,Продажи!$C$5:$C$359,Конструкторы!$A943)</f>
        <v>30</v>
      </c>
      <c r="J943" s="166">
        <f>SUMIFS(Продажи!G$5:G$359,Продажи!$D$5:$D$359,Конструкторы!$B943,Продажи!$C$5:$C$359,Конструкторы!$A943)</f>
        <v>0</v>
      </c>
      <c r="K943" s="166">
        <f>SUMIFS(Продажи!H$5:H$359,Продажи!$D$5:$D$359,Конструкторы!$B943,Продажи!$C$5:$C$359,Конструкторы!$A943)</f>
        <v>0</v>
      </c>
      <c r="L943" s="166">
        <f>SUMIFS(Продажи!I$5:I$359,Продажи!$D$5:$D$359,Конструкторы!$B943,Продажи!$C$5:$C$359,Конструкторы!$A943)</f>
        <v>0</v>
      </c>
      <c r="M943" s="166">
        <f>SUMIFS(Продажи!J$5:J$359,Продажи!$D$5:$D$359,Конструкторы!$B943,Продажи!$C$5:$C$359,Конструкторы!$A943)</f>
        <v>0</v>
      </c>
      <c r="N943" s="166">
        <f>SUMIFS(Продажи!K$5:K$359,Продажи!$D$5:$D$359,Конструкторы!$B943,Продажи!$C$5:$C$359,Конструкторы!$A943)</f>
        <v>0</v>
      </c>
      <c r="O943" s="166">
        <f>SUMIFS(Продажи!L$5:L$359,Продажи!$D$5:$D$359,Конструкторы!$B943,Продажи!$C$5:$C$359,Конструкторы!$A943)</f>
        <v>0</v>
      </c>
      <c r="P943" s="166">
        <f>SUMIFS(Продажи!M$5:M$359,Продажи!$D$5:$D$359,Конструкторы!$B943,Продажи!$C$5:$C$359,Конструкторы!$A943)</f>
        <v>0</v>
      </c>
      <c r="Q943" s="166">
        <f>SUMIFS(Продажи!N$5:N$359,Продажи!$D$5:$D$359,Конструкторы!$B943,Продажи!$C$5:$C$359,Конструкторы!$A943)</f>
        <v>0</v>
      </c>
      <c r="R943" s="166">
        <f>SUMIFS(Продажи!O$5:O$359,Продажи!$D$5:$D$359,Конструкторы!$B943,Продажи!$C$5:$C$359,Конструкторы!$A943)</f>
        <v>0</v>
      </c>
      <c r="S943" s="166">
        <f>SUMIFS(Продажи!P$5:P$359,Продажи!$D$5:$D$359,Конструкторы!$B943,Продажи!$C$5:$C$359,Конструкторы!$A943)</f>
        <v>0</v>
      </c>
      <c r="T943" s="166">
        <f>SUMIFS(Продажи!Q$5:Q$359,Продажи!$D$5:$D$359,Конструкторы!$B943,Продажи!$C$5:$C$359,Конструкторы!$A943)</f>
        <v>0</v>
      </c>
    </row>
    <row r="944" spans="1:20" ht="15.75" hidden="1" x14ac:dyDescent="0.25">
      <c r="A944" s="166" t="s">
        <v>397</v>
      </c>
      <c r="B944" s="167" t="s">
        <v>223</v>
      </c>
      <c r="C944" s="129" t="s">
        <v>52</v>
      </c>
      <c r="D944" s="149"/>
      <c r="E944" s="153" t="s">
        <v>68</v>
      </c>
      <c r="F944" s="156">
        <f>(0.9*103)/100</f>
        <v>0.92700000000000005</v>
      </c>
      <c r="G944" s="156">
        <v>2.7000000000000024E-2</v>
      </c>
      <c r="H944" s="156">
        <f>F944+G944</f>
        <v>0.95400000000000007</v>
      </c>
      <c r="I944" s="166">
        <f>SUMIFS(Продажи!F$5:F$359,Продажи!$D$5:$D$359,Конструкторы!$B944,Продажи!$C$5:$C$359,Конструкторы!$A944)</f>
        <v>30</v>
      </c>
      <c r="J944" s="166">
        <f>SUMIFS(Продажи!G$5:G$359,Продажи!$D$5:$D$359,Конструкторы!$B944,Продажи!$C$5:$C$359,Конструкторы!$A944)</f>
        <v>0</v>
      </c>
      <c r="K944" s="166">
        <f>SUMIFS(Продажи!H$5:H$359,Продажи!$D$5:$D$359,Конструкторы!$B944,Продажи!$C$5:$C$359,Конструкторы!$A944)</f>
        <v>0</v>
      </c>
      <c r="L944" s="166">
        <f>SUMIFS(Продажи!I$5:I$359,Продажи!$D$5:$D$359,Конструкторы!$B944,Продажи!$C$5:$C$359,Конструкторы!$A944)</f>
        <v>0</v>
      </c>
      <c r="M944" s="166">
        <f>SUMIFS(Продажи!J$5:J$359,Продажи!$D$5:$D$359,Конструкторы!$B944,Продажи!$C$5:$C$359,Конструкторы!$A944)</f>
        <v>0</v>
      </c>
      <c r="N944" s="166">
        <f>SUMIFS(Продажи!K$5:K$359,Продажи!$D$5:$D$359,Конструкторы!$B944,Продажи!$C$5:$C$359,Конструкторы!$A944)</f>
        <v>0</v>
      </c>
      <c r="O944" s="166">
        <f>SUMIFS(Продажи!L$5:L$359,Продажи!$D$5:$D$359,Конструкторы!$B944,Продажи!$C$5:$C$359,Конструкторы!$A944)</f>
        <v>0</v>
      </c>
      <c r="P944" s="166">
        <f>SUMIFS(Продажи!M$5:M$359,Продажи!$D$5:$D$359,Конструкторы!$B944,Продажи!$C$5:$C$359,Конструкторы!$A944)</f>
        <v>0</v>
      </c>
      <c r="Q944" s="166">
        <f>SUMIFS(Продажи!N$5:N$359,Продажи!$D$5:$D$359,Конструкторы!$B944,Продажи!$C$5:$C$359,Конструкторы!$A944)</f>
        <v>0</v>
      </c>
      <c r="R944" s="166">
        <f>SUMIFS(Продажи!O$5:O$359,Продажи!$D$5:$D$359,Конструкторы!$B944,Продажи!$C$5:$C$359,Конструкторы!$A944)</f>
        <v>0</v>
      </c>
      <c r="S944" s="166">
        <f>SUMIFS(Продажи!P$5:P$359,Продажи!$D$5:$D$359,Конструкторы!$B944,Продажи!$C$5:$C$359,Конструкторы!$A944)</f>
        <v>0</v>
      </c>
      <c r="T944" s="166">
        <f>SUMIFS(Продажи!Q$5:Q$359,Продажи!$D$5:$D$359,Конструкторы!$B944,Продажи!$C$5:$C$359,Конструкторы!$A944)</f>
        <v>0</v>
      </c>
    </row>
    <row r="945" spans="1:20" ht="15.75" hidden="1" x14ac:dyDescent="0.25">
      <c r="A945" s="166" t="s">
        <v>397</v>
      </c>
      <c r="B945" s="167" t="s">
        <v>223</v>
      </c>
      <c r="C945" s="33" t="s">
        <v>77</v>
      </c>
      <c r="D945" s="149"/>
      <c r="E945" s="153" t="s">
        <v>70</v>
      </c>
      <c r="F945" s="148">
        <v>4</v>
      </c>
      <c r="G945" s="156" t="s">
        <v>71</v>
      </c>
      <c r="H945" s="156">
        <f>F945</f>
        <v>4</v>
      </c>
      <c r="I945" s="166">
        <f>SUMIFS(Продажи!F$5:F$359,Продажи!$D$5:$D$359,Конструкторы!$B945,Продажи!$C$5:$C$359,Конструкторы!$A945)</f>
        <v>30</v>
      </c>
      <c r="J945" s="166">
        <f>SUMIFS(Продажи!G$5:G$359,Продажи!$D$5:$D$359,Конструкторы!$B945,Продажи!$C$5:$C$359,Конструкторы!$A945)</f>
        <v>0</v>
      </c>
      <c r="K945" s="166">
        <f>SUMIFS(Продажи!H$5:H$359,Продажи!$D$5:$D$359,Конструкторы!$B945,Продажи!$C$5:$C$359,Конструкторы!$A945)</f>
        <v>0</v>
      </c>
      <c r="L945" s="166">
        <f>SUMIFS(Продажи!I$5:I$359,Продажи!$D$5:$D$359,Конструкторы!$B945,Продажи!$C$5:$C$359,Конструкторы!$A945)</f>
        <v>0</v>
      </c>
      <c r="M945" s="166">
        <f>SUMIFS(Продажи!J$5:J$359,Продажи!$D$5:$D$359,Конструкторы!$B945,Продажи!$C$5:$C$359,Конструкторы!$A945)</f>
        <v>0</v>
      </c>
      <c r="N945" s="166">
        <f>SUMIFS(Продажи!K$5:K$359,Продажи!$D$5:$D$359,Конструкторы!$B945,Продажи!$C$5:$C$359,Конструкторы!$A945)</f>
        <v>0</v>
      </c>
      <c r="O945" s="166">
        <f>SUMIFS(Продажи!L$5:L$359,Продажи!$D$5:$D$359,Конструкторы!$B945,Продажи!$C$5:$C$359,Конструкторы!$A945)</f>
        <v>0</v>
      </c>
      <c r="P945" s="166">
        <f>SUMIFS(Продажи!M$5:M$359,Продажи!$D$5:$D$359,Конструкторы!$B945,Продажи!$C$5:$C$359,Конструкторы!$A945)</f>
        <v>0</v>
      </c>
      <c r="Q945" s="166">
        <f>SUMIFS(Продажи!N$5:N$359,Продажи!$D$5:$D$359,Конструкторы!$B945,Продажи!$C$5:$C$359,Конструкторы!$A945)</f>
        <v>0</v>
      </c>
      <c r="R945" s="166">
        <f>SUMIFS(Продажи!O$5:O$359,Продажи!$D$5:$D$359,Конструкторы!$B945,Продажи!$C$5:$C$359,Конструкторы!$A945)</f>
        <v>0</v>
      </c>
      <c r="S945" s="166">
        <f>SUMIFS(Продажи!P$5:P$359,Продажи!$D$5:$D$359,Конструкторы!$B945,Продажи!$C$5:$C$359,Конструкторы!$A945)</f>
        <v>0</v>
      </c>
      <c r="T945" s="166">
        <f>SUMIFS(Продажи!Q$5:Q$359,Продажи!$D$5:$D$359,Конструкторы!$B945,Продажи!$C$5:$C$359,Конструкторы!$A945)</f>
        <v>0</v>
      </c>
    </row>
    <row r="946" spans="1:20" ht="15.75" hidden="1" x14ac:dyDescent="0.25">
      <c r="A946" s="166" t="s">
        <v>397</v>
      </c>
      <c r="B946" s="167" t="s">
        <v>223</v>
      </c>
      <c r="C946" s="33" t="s">
        <v>75</v>
      </c>
      <c r="D946" s="149"/>
      <c r="E946" s="153" t="s">
        <v>70</v>
      </c>
      <c r="F946" s="148">
        <v>24</v>
      </c>
      <c r="G946" s="156" t="s">
        <v>71</v>
      </c>
      <c r="H946" s="156">
        <f>F946</f>
        <v>24</v>
      </c>
      <c r="I946" s="166">
        <f>SUMIFS(Продажи!F$5:F$359,Продажи!$D$5:$D$359,Конструкторы!$B946,Продажи!$C$5:$C$359,Конструкторы!$A946)</f>
        <v>30</v>
      </c>
      <c r="J946" s="166">
        <f>SUMIFS(Продажи!G$5:G$359,Продажи!$D$5:$D$359,Конструкторы!$B946,Продажи!$C$5:$C$359,Конструкторы!$A946)</f>
        <v>0</v>
      </c>
      <c r="K946" s="166">
        <f>SUMIFS(Продажи!H$5:H$359,Продажи!$D$5:$D$359,Конструкторы!$B946,Продажи!$C$5:$C$359,Конструкторы!$A946)</f>
        <v>0</v>
      </c>
      <c r="L946" s="166">
        <f>SUMIFS(Продажи!I$5:I$359,Продажи!$D$5:$D$359,Конструкторы!$B946,Продажи!$C$5:$C$359,Конструкторы!$A946)</f>
        <v>0</v>
      </c>
      <c r="M946" s="166">
        <f>SUMIFS(Продажи!J$5:J$359,Продажи!$D$5:$D$359,Конструкторы!$B946,Продажи!$C$5:$C$359,Конструкторы!$A946)</f>
        <v>0</v>
      </c>
      <c r="N946" s="166">
        <f>SUMIFS(Продажи!K$5:K$359,Продажи!$D$5:$D$359,Конструкторы!$B946,Продажи!$C$5:$C$359,Конструкторы!$A946)</f>
        <v>0</v>
      </c>
      <c r="O946" s="166">
        <f>SUMIFS(Продажи!L$5:L$359,Продажи!$D$5:$D$359,Конструкторы!$B946,Продажи!$C$5:$C$359,Конструкторы!$A946)</f>
        <v>0</v>
      </c>
      <c r="P946" s="166">
        <f>SUMIFS(Продажи!M$5:M$359,Продажи!$D$5:$D$359,Конструкторы!$B946,Продажи!$C$5:$C$359,Конструкторы!$A946)</f>
        <v>0</v>
      </c>
      <c r="Q946" s="166">
        <f>SUMIFS(Продажи!N$5:N$359,Продажи!$D$5:$D$359,Конструкторы!$B946,Продажи!$C$5:$C$359,Конструкторы!$A946)</f>
        <v>0</v>
      </c>
      <c r="R946" s="166">
        <f>SUMIFS(Продажи!O$5:O$359,Продажи!$D$5:$D$359,Конструкторы!$B946,Продажи!$C$5:$C$359,Конструкторы!$A946)</f>
        <v>0</v>
      </c>
      <c r="S946" s="166">
        <f>SUMIFS(Продажи!P$5:P$359,Продажи!$D$5:$D$359,Конструкторы!$B946,Продажи!$C$5:$C$359,Конструкторы!$A946)</f>
        <v>0</v>
      </c>
      <c r="T946" s="166">
        <f>SUMIFS(Продажи!Q$5:Q$359,Продажи!$D$5:$D$359,Конструкторы!$B946,Продажи!$C$5:$C$359,Конструкторы!$A946)</f>
        <v>0</v>
      </c>
    </row>
    <row r="947" spans="1:20" ht="15.75" hidden="1" x14ac:dyDescent="0.25">
      <c r="A947" s="166" t="s">
        <v>397</v>
      </c>
      <c r="B947" s="167" t="s">
        <v>223</v>
      </c>
      <c r="C947" s="33" t="s">
        <v>69</v>
      </c>
      <c r="D947" s="149"/>
      <c r="E947" s="153" t="s">
        <v>70</v>
      </c>
      <c r="F947" s="148">
        <v>6</v>
      </c>
      <c r="G947" s="156" t="s">
        <v>71</v>
      </c>
      <c r="H947" s="156">
        <f>F947</f>
        <v>6</v>
      </c>
      <c r="I947" s="166">
        <f>SUMIFS(Продажи!F$5:F$359,Продажи!$D$5:$D$359,Конструкторы!$B947,Продажи!$C$5:$C$359,Конструкторы!$A947)</f>
        <v>30</v>
      </c>
      <c r="J947" s="166">
        <f>SUMIFS(Продажи!G$5:G$359,Продажи!$D$5:$D$359,Конструкторы!$B947,Продажи!$C$5:$C$359,Конструкторы!$A947)</f>
        <v>0</v>
      </c>
      <c r="K947" s="166">
        <f>SUMIFS(Продажи!H$5:H$359,Продажи!$D$5:$D$359,Конструкторы!$B947,Продажи!$C$5:$C$359,Конструкторы!$A947)</f>
        <v>0</v>
      </c>
      <c r="L947" s="166">
        <f>SUMIFS(Продажи!I$5:I$359,Продажи!$D$5:$D$359,Конструкторы!$B947,Продажи!$C$5:$C$359,Конструкторы!$A947)</f>
        <v>0</v>
      </c>
      <c r="M947" s="166">
        <f>SUMIFS(Продажи!J$5:J$359,Продажи!$D$5:$D$359,Конструкторы!$B947,Продажи!$C$5:$C$359,Конструкторы!$A947)</f>
        <v>0</v>
      </c>
      <c r="N947" s="166">
        <f>SUMIFS(Продажи!K$5:K$359,Продажи!$D$5:$D$359,Конструкторы!$B947,Продажи!$C$5:$C$359,Конструкторы!$A947)</f>
        <v>0</v>
      </c>
      <c r="O947" s="166">
        <f>SUMIFS(Продажи!L$5:L$359,Продажи!$D$5:$D$359,Конструкторы!$B947,Продажи!$C$5:$C$359,Конструкторы!$A947)</f>
        <v>0</v>
      </c>
      <c r="P947" s="166">
        <f>SUMIFS(Продажи!M$5:M$359,Продажи!$D$5:$D$359,Конструкторы!$B947,Продажи!$C$5:$C$359,Конструкторы!$A947)</f>
        <v>0</v>
      </c>
      <c r="Q947" s="166">
        <f>SUMIFS(Продажи!N$5:N$359,Продажи!$D$5:$D$359,Конструкторы!$B947,Продажи!$C$5:$C$359,Конструкторы!$A947)</f>
        <v>0</v>
      </c>
      <c r="R947" s="166">
        <f>SUMIFS(Продажи!O$5:O$359,Продажи!$D$5:$D$359,Конструкторы!$B947,Продажи!$C$5:$C$359,Конструкторы!$A947)</f>
        <v>0</v>
      </c>
      <c r="S947" s="166">
        <f>SUMIFS(Продажи!P$5:P$359,Продажи!$D$5:$D$359,Конструкторы!$B947,Продажи!$C$5:$C$359,Конструкторы!$A947)</f>
        <v>0</v>
      </c>
      <c r="T947" s="166">
        <f>SUMIFS(Продажи!Q$5:Q$359,Продажи!$D$5:$D$359,Конструкторы!$B947,Продажи!$C$5:$C$359,Конструкторы!$A947)</f>
        <v>0</v>
      </c>
    </row>
    <row r="948" spans="1:20" ht="15.75" hidden="1" x14ac:dyDescent="0.25">
      <c r="A948" s="166" t="s">
        <v>397</v>
      </c>
      <c r="B948" s="167" t="s">
        <v>224</v>
      </c>
      <c r="C948" s="129" t="s">
        <v>53</v>
      </c>
      <c r="D948" s="130">
        <v>7038</v>
      </c>
      <c r="E948" s="153" t="s">
        <v>68</v>
      </c>
      <c r="F948" s="156">
        <f>(2.048*103)/100</f>
        <v>2.1094400000000002</v>
      </c>
      <c r="G948" s="156">
        <v>6.1440000000000161E-2</v>
      </c>
      <c r="H948" s="156">
        <f>F948+G948</f>
        <v>2.1708800000000004</v>
      </c>
      <c r="I948" s="166">
        <f>SUMIFS(Продажи!F$5:F$359,Продажи!$D$5:$D$359,Конструкторы!$B948,Продажи!$C$5:$C$359,Конструкторы!$A948)</f>
        <v>3</v>
      </c>
      <c r="J948" s="166">
        <f>SUMIFS(Продажи!G$5:G$359,Продажи!$D$5:$D$359,Конструкторы!$B948,Продажи!$C$5:$C$359,Конструкторы!$A948)</f>
        <v>0</v>
      </c>
      <c r="K948" s="166">
        <f>SUMIFS(Продажи!H$5:H$359,Продажи!$D$5:$D$359,Конструкторы!$B948,Продажи!$C$5:$C$359,Конструкторы!$A948)</f>
        <v>0</v>
      </c>
      <c r="L948" s="166">
        <f>SUMIFS(Продажи!I$5:I$359,Продажи!$D$5:$D$359,Конструкторы!$B948,Продажи!$C$5:$C$359,Конструкторы!$A948)</f>
        <v>0</v>
      </c>
      <c r="M948" s="166">
        <f>SUMIFS(Продажи!J$5:J$359,Продажи!$D$5:$D$359,Конструкторы!$B948,Продажи!$C$5:$C$359,Конструкторы!$A948)</f>
        <v>0</v>
      </c>
      <c r="N948" s="166">
        <f>SUMIFS(Продажи!K$5:K$359,Продажи!$D$5:$D$359,Конструкторы!$B948,Продажи!$C$5:$C$359,Конструкторы!$A948)</f>
        <v>0</v>
      </c>
      <c r="O948" s="166">
        <f>SUMIFS(Продажи!L$5:L$359,Продажи!$D$5:$D$359,Конструкторы!$B948,Продажи!$C$5:$C$359,Конструкторы!$A948)</f>
        <v>0</v>
      </c>
      <c r="P948" s="166">
        <f>SUMIFS(Продажи!M$5:M$359,Продажи!$D$5:$D$359,Конструкторы!$B948,Продажи!$C$5:$C$359,Конструкторы!$A948)</f>
        <v>0</v>
      </c>
      <c r="Q948" s="166">
        <f>SUMIFS(Продажи!N$5:N$359,Продажи!$D$5:$D$359,Конструкторы!$B948,Продажи!$C$5:$C$359,Конструкторы!$A948)</f>
        <v>0</v>
      </c>
      <c r="R948" s="166">
        <f>SUMIFS(Продажи!O$5:O$359,Продажи!$D$5:$D$359,Конструкторы!$B948,Продажи!$C$5:$C$359,Конструкторы!$A948)</f>
        <v>0</v>
      </c>
      <c r="S948" s="166">
        <f>SUMIFS(Продажи!P$5:P$359,Продажи!$D$5:$D$359,Конструкторы!$B948,Продажи!$C$5:$C$359,Конструкторы!$A948)</f>
        <v>0</v>
      </c>
      <c r="T948" s="166">
        <f>SUMIFS(Продажи!Q$5:Q$359,Продажи!$D$5:$D$359,Конструкторы!$B948,Продажи!$C$5:$C$359,Конструкторы!$A948)</f>
        <v>0</v>
      </c>
    </row>
    <row r="949" spans="1:20" ht="15.75" hidden="1" x14ac:dyDescent="0.25">
      <c r="A949" s="166" t="s">
        <v>397</v>
      </c>
      <c r="B949" s="167" t="s">
        <v>224</v>
      </c>
      <c r="C949" s="129" t="s">
        <v>52</v>
      </c>
      <c r="D949" s="149"/>
      <c r="E949" s="153" t="s">
        <v>68</v>
      </c>
      <c r="F949" s="156">
        <f>(1.2*103)/100</f>
        <v>1.236</v>
      </c>
      <c r="G949" s="156">
        <v>3.6000000000000032E-2</v>
      </c>
      <c r="H949" s="156">
        <f>F949+G949</f>
        <v>1.272</v>
      </c>
      <c r="I949" s="166">
        <f>SUMIFS(Продажи!F$5:F$359,Продажи!$D$5:$D$359,Конструкторы!$B949,Продажи!$C$5:$C$359,Конструкторы!$A949)</f>
        <v>3</v>
      </c>
      <c r="J949" s="166">
        <f>SUMIFS(Продажи!G$5:G$359,Продажи!$D$5:$D$359,Конструкторы!$B949,Продажи!$C$5:$C$359,Конструкторы!$A949)</f>
        <v>0</v>
      </c>
      <c r="K949" s="166">
        <f>SUMIFS(Продажи!H$5:H$359,Продажи!$D$5:$D$359,Конструкторы!$B949,Продажи!$C$5:$C$359,Конструкторы!$A949)</f>
        <v>0</v>
      </c>
      <c r="L949" s="166">
        <f>SUMIFS(Продажи!I$5:I$359,Продажи!$D$5:$D$359,Конструкторы!$B949,Продажи!$C$5:$C$359,Конструкторы!$A949)</f>
        <v>0</v>
      </c>
      <c r="M949" s="166">
        <f>SUMIFS(Продажи!J$5:J$359,Продажи!$D$5:$D$359,Конструкторы!$B949,Продажи!$C$5:$C$359,Конструкторы!$A949)</f>
        <v>0</v>
      </c>
      <c r="N949" s="166">
        <f>SUMIFS(Продажи!K$5:K$359,Продажи!$D$5:$D$359,Конструкторы!$B949,Продажи!$C$5:$C$359,Конструкторы!$A949)</f>
        <v>0</v>
      </c>
      <c r="O949" s="166">
        <f>SUMIFS(Продажи!L$5:L$359,Продажи!$D$5:$D$359,Конструкторы!$B949,Продажи!$C$5:$C$359,Конструкторы!$A949)</f>
        <v>0</v>
      </c>
      <c r="P949" s="166">
        <f>SUMIFS(Продажи!M$5:M$359,Продажи!$D$5:$D$359,Конструкторы!$B949,Продажи!$C$5:$C$359,Конструкторы!$A949)</f>
        <v>0</v>
      </c>
      <c r="Q949" s="166">
        <f>SUMIFS(Продажи!N$5:N$359,Продажи!$D$5:$D$359,Конструкторы!$B949,Продажи!$C$5:$C$359,Конструкторы!$A949)</f>
        <v>0</v>
      </c>
      <c r="R949" s="166">
        <f>SUMIFS(Продажи!O$5:O$359,Продажи!$D$5:$D$359,Конструкторы!$B949,Продажи!$C$5:$C$359,Конструкторы!$A949)</f>
        <v>0</v>
      </c>
      <c r="S949" s="166">
        <f>SUMIFS(Продажи!P$5:P$359,Продажи!$D$5:$D$359,Конструкторы!$B949,Продажи!$C$5:$C$359,Конструкторы!$A949)</f>
        <v>0</v>
      </c>
      <c r="T949" s="166">
        <f>SUMIFS(Продажи!Q$5:Q$359,Продажи!$D$5:$D$359,Конструкторы!$B949,Продажи!$C$5:$C$359,Конструкторы!$A949)</f>
        <v>0</v>
      </c>
    </row>
    <row r="950" spans="1:20" ht="15.75" hidden="1" x14ac:dyDescent="0.25">
      <c r="A950" s="166" t="s">
        <v>397</v>
      </c>
      <c r="B950" s="167" t="s">
        <v>224</v>
      </c>
      <c r="C950" s="33" t="s">
        <v>77</v>
      </c>
      <c r="D950" s="149"/>
      <c r="E950" s="153" t="s">
        <v>70</v>
      </c>
      <c r="F950" s="148">
        <v>4</v>
      </c>
      <c r="G950" s="156" t="s">
        <v>71</v>
      </c>
      <c r="H950" s="156">
        <f>F950</f>
        <v>4</v>
      </c>
      <c r="I950" s="166">
        <f>SUMIFS(Продажи!F$5:F$359,Продажи!$D$5:$D$359,Конструкторы!$B950,Продажи!$C$5:$C$359,Конструкторы!$A950)</f>
        <v>3</v>
      </c>
      <c r="J950" s="166">
        <f>SUMIFS(Продажи!G$5:G$359,Продажи!$D$5:$D$359,Конструкторы!$B950,Продажи!$C$5:$C$359,Конструкторы!$A950)</f>
        <v>0</v>
      </c>
      <c r="K950" s="166">
        <f>SUMIFS(Продажи!H$5:H$359,Продажи!$D$5:$D$359,Конструкторы!$B950,Продажи!$C$5:$C$359,Конструкторы!$A950)</f>
        <v>0</v>
      </c>
      <c r="L950" s="166">
        <f>SUMIFS(Продажи!I$5:I$359,Продажи!$D$5:$D$359,Конструкторы!$B950,Продажи!$C$5:$C$359,Конструкторы!$A950)</f>
        <v>0</v>
      </c>
      <c r="M950" s="166">
        <f>SUMIFS(Продажи!J$5:J$359,Продажи!$D$5:$D$359,Конструкторы!$B950,Продажи!$C$5:$C$359,Конструкторы!$A950)</f>
        <v>0</v>
      </c>
      <c r="N950" s="166">
        <f>SUMIFS(Продажи!K$5:K$359,Продажи!$D$5:$D$359,Конструкторы!$B950,Продажи!$C$5:$C$359,Конструкторы!$A950)</f>
        <v>0</v>
      </c>
      <c r="O950" s="166">
        <f>SUMIFS(Продажи!L$5:L$359,Продажи!$D$5:$D$359,Конструкторы!$B950,Продажи!$C$5:$C$359,Конструкторы!$A950)</f>
        <v>0</v>
      </c>
      <c r="P950" s="166">
        <f>SUMIFS(Продажи!M$5:M$359,Продажи!$D$5:$D$359,Конструкторы!$B950,Продажи!$C$5:$C$359,Конструкторы!$A950)</f>
        <v>0</v>
      </c>
      <c r="Q950" s="166">
        <f>SUMIFS(Продажи!N$5:N$359,Продажи!$D$5:$D$359,Конструкторы!$B950,Продажи!$C$5:$C$359,Конструкторы!$A950)</f>
        <v>0</v>
      </c>
      <c r="R950" s="166">
        <f>SUMIFS(Продажи!O$5:O$359,Продажи!$D$5:$D$359,Конструкторы!$B950,Продажи!$C$5:$C$359,Конструкторы!$A950)</f>
        <v>0</v>
      </c>
      <c r="S950" s="166">
        <f>SUMIFS(Продажи!P$5:P$359,Продажи!$D$5:$D$359,Конструкторы!$B950,Продажи!$C$5:$C$359,Конструкторы!$A950)</f>
        <v>0</v>
      </c>
      <c r="T950" s="166">
        <f>SUMIFS(Продажи!Q$5:Q$359,Продажи!$D$5:$D$359,Конструкторы!$B950,Продажи!$C$5:$C$359,Конструкторы!$A950)</f>
        <v>0</v>
      </c>
    </row>
    <row r="951" spans="1:20" ht="15.75" hidden="1" x14ac:dyDescent="0.25">
      <c r="A951" s="166" t="s">
        <v>397</v>
      </c>
      <c r="B951" s="167" t="s">
        <v>224</v>
      </c>
      <c r="C951" s="33" t="s">
        <v>75</v>
      </c>
      <c r="D951" s="149"/>
      <c r="E951" s="153" t="s">
        <v>70</v>
      </c>
      <c r="F951" s="148">
        <v>24</v>
      </c>
      <c r="G951" s="156" t="s">
        <v>71</v>
      </c>
      <c r="H951" s="156">
        <f>F951</f>
        <v>24</v>
      </c>
      <c r="I951" s="166">
        <f>SUMIFS(Продажи!F$5:F$359,Продажи!$D$5:$D$359,Конструкторы!$B951,Продажи!$C$5:$C$359,Конструкторы!$A951)</f>
        <v>3</v>
      </c>
      <c r="J951" s="166">
        <f>SUMIFS(Продажи!G$5:G$359,Продажи!$D$5:$D$359,Конструкторы!$B951,Продажи!$C$5:$C$359,Конструкторы!$A951)</f>
        <v>0</v>
      </c>
      <c r="K951" s="166">
        <f>SUMIFS(Продажи!H$5:H$359,Продажи!$D$5:$D$359,Конструкторы!$B951,Продажи!$C$5:$C$359,Конструкторы!$A951)</f>
        <v>0</v>
      </c>
      <c r="L951" s="166">
        <f>SUMIFS(Продажи!I$5:I$359,Продажи!$D$5:$D$359,Конструкторы!$B951,Продажи!$C$5:$C$359,Конструкторы!$A951)</f>
        <v>0</v>
      </c>
      <c r="M951" s="166">
        <f>SUMIFS(Продажи!J$5:J$359,Продажи!$D$5:$D$359,Конструкторы!$B951,Продажи!$C$5:$C$359,Конструкторы!$A951)</f>
        <v>0</v>
      </c>
      <c r="N951" s="166">
        <f>SUMIFS(Продажи!K$5:K$359,Продажи!$D$5:$D$359,Конструкторы!$B951,Продажи!$C$5:$C$359,Конструкторы!$A951)</f>
        <v>0</v>
      </c>
      <c r="O951" s="166">
        <f>SUMIFS(Продажи!L$5:L$359,Продажи!$D$5:$D$359,Конструкторы!$B951,Продажи!$C$5:$C$359,Конструкторы!$A951)</f>
        <v>0</v>
      </c>
      <c r="P951" s="166">
        <f>SUMIFS(Продажи!M$5:M$359,Продажи!$D$5:$D$359,Конструкторы!$B951,Продажи!$C$5:$C$359,Конструкторы!$A951)</f>
        <v>0</v>
      </c>
      <c r="Q951" s="166">
        <f>SUMIFS(Продажи!N$5:N$359,Продажи!$D$5:$D$359,Конструкторы!$B951,Продажи!$C$5:$C$359,Конструкторы!$A951)</f>
        <v>0</v>
      </c>
      <c r="R951" s="166">
        <f>SUMIFS(Продажи!O$5:O$359,Продажи!$D$5:$D$359,Конструкторы!$B951,Продажи!$C$5:$C$359,Конструкторы!$A951)</f>
        <v>0</v>
      </c>
      <c r="S951" s="166">
        <f>SUMIFS(Продажи!P$5:P$359,Продажи!$D$5:$D$359,Конструкторы!$B951,Продажи!$C$5:$C$359,Конструкторы!$A951)</f>
        <v>0</v>
      </c>
      <c r="T951" s="166">
        <f>SUMIFS(Продажи!Q$5:Q$359,Продажи!$D$5:$D$359,Конструкторы!$B951,Продажи!$C$5:$C$359,Конструкторы!$A951)</f>
        <v>0</v>
      </c>
    </row>
    <row r="952" spans="1:20" ht="15.75" hidden="1" x14ac:dyDescent="0.25">
      <c r="A952" s="166" t="s">
        <v>397</v>
      </c>
      <c r="B952" s="167" t="s">
        <v>224</v>
      </c>
      <c r="C952" s="33" t="s">
        <v>69</v>
      </c>
      <c r="D952" s="149"/>
      <c r="E952" s="153" t="s">
        <v>70</v>
      </c>
      <c r="F952" s="148">
        <v>6</v>
      </c>
      <c r="G952" s="156" t="s">
        <v>71</v>
      </c>
      <c r="H952" s="156">
        <f>F952</f>
        <v>6</v>
      </c>
      <c r="I952" s="166">
        <f>SUMIFS(Продажи!F$5:F$359,Продажи!$D$5:$D$359,Конструкторы!$B952,Продажи!$C$5:$C$359,Конструкторы!$A952)</f>
        <v>3</v>
      </c>
      <c r="J952" s="166">
        <f>SUMIFS(Продажи!G$5:G$359,Продажи!$D$5:$D$359,Конструкторы!$B952,Продажи!$C$5:$C$359,Конструкторы!$A952)</f>
        <v>0</v>
      </c>
      <c r="K952" s="166">
        <f>SUMIFS(Продажи!H$5:H$359,Продажи!$D$5:$D$359,Конструкторы!$B952,Продажи!$C$5:$C$359,Конструкторы!$A952)</f>
        <v>0</v>
      </c>
      <c r="L952" s="166">
        <f>SUMIFS(Продажи!I$5:I$359,Продажи!$D$5:$D$359,Конструкторы!$B952,Продажи!$C$5:$C$359,Конструкторы!$A952)</f>
        <v>0</v>
      </c>
      <c r="M952" s="166">
        <f>SUMIFS(Продажи!J$5:J$359,Продажи!$D$5:$D$359,Конструкторы!$B952,Продажи!$C$5:$C$359,Конструкторы!$A952)</f>
        <v>0</v>
      </c>
      <c r="N952" s="166">
        <f>SUMIFS(Продажи!K$5:K$359,Продажи!$D$5:$D$359,Конструкторы!$B952,Продажи!$C$5:$C$359,Конструкторы!$A952)</f>
        <v>0</v>
      </c>
      <c r="O952" s="166">
        <f>SUMIFS(Продажи!L$5:L$359,Продажи!$D$5:$D$359,Конструкторы!$B952,Продажи!$C$5:$C$359,Конструкторы!$A952)</f>
        <v>0</v>
      </c>
      <c r="P952" s="166">
        <f>SUMIFS(Продажи!M$5:M$359,Продажи!$D$5:$D$359,Конструкторы!$B952,Продажи!$C$5:$C$359,Конструкторы!$A952)</f>
        <v>0</v>
      </c>
      <c r="Q952" s="166">
        <f>SUMIFS(Продажи!N$5:N$359,Продажи!$D$5:$D$359,Конструкторы!$B952,Продажи!$C$5:$C$359,Конструкторы!$A952)</f>
        <v>0</v>
      </c>
      <c r="R952" s="166">
        <f>SUMIFS(Продажи!O$5:O$359,Продажи!$D$5:$D$359,Конструкторы!$B952,Продажи!$C$5:$C$359,Конструкторы!$A952)</f>
        <v>0</v>
      </c>
      <c r="S952" s="166">
        <f>SUMIFS(Продажи!P$5:P$359,Продажи!$D$5:$D$359,Конструкторы!$B952,Продажи!$C$5:$C$359,Конструкторы!$A952)</f>
        <v>0</v>
      </c>
      <c r="T952" s="166">
        <f>SUMIFS(Продажи!Q$5:Q$359,Продажи!$D$5:$D$359,Конструкторы!$B952,Продажи!$C$5:$C$359,Конструкторы!$A952)</f>
        <v>0</v>
      </c>
    </row>
    <row r="953" spans="1:20" ht="15.75" hidden="1" x14ac:dyDescent="0.25">
      <c r="A953" s="166" t="s">
        <v>397</v>
      </c>
      <c r="B953" s="167" t="s">
        <v>225</v>
      </c>
      <c r="C953" s="129" t="s">
        <v>53</v>
      </c>
      <c r="D953" s="130">
        <v>7038</v>
      </c>
      <c r="E953" s="153" t="s">
        <v>68</v>
      </c>
      <c r="F953" s="156">
        <f>(2.048*103)/100</f>
        <v>2.1094400000000002</v>
      </c>
      <c r="G953" s="156">
        <v>6.1440000000000161E-2</v>
      </c>
      <c r="H953" s="156">
        <f>F953+G953</f>
        <v>2.1708800000000004</v>
      </c>
      <c r="I953" s="166">
        <f>SUMIFS(Продажи!F$5:F$359,Продажи!$D$5:$D$359,Конструкторы!$B953,Продажи!$C$5:$C$359,Конструкторы!$A953)</f>
        <v>13</v>
      </c>
      <c r="J953" s="166">
        <f>SUMIFS(Продажи!G$5:G$359,Продажи!$D$5:$D$359,Конструкторы!$B953,Продажи!$C$5:$C$359,Конструкторы!$A953)</f>
        <v>0</v>
      </c>
      <c r="K953" s="166">
        <f>SUMIFS(Продажи!H$5:H$359,Продажи!$D$5:$D$359,Конструкторы!$B953,Продажи!$C$5:$C$359,Конструкторы!$A953)</f>
        <v>0</v>
      </c>
      <c r="L953" s="166">
        <f>SUMIFS(Продажи!I$5:I$359,Продажи!$D$5:$D$359,Конструкторы!$B953,Продажи!$C$5:$C$359,Конструкторы!$A953)</f>
        <v>0</v>
      </c>
      <c r="M953" s="166">
        <f>SUMIFS(Продажи!J$5:J$359,Продажи!$D$5:$D$359,Конструкторы!$B953,Продажи!$C$5:$C$359,Конструкторы!$A953)</f>
        <v>0</v>
      </c>
      <c r="N953" s="166">
        <f>SUMIFS(Продажи!K$5:K$359,Продажи!$D$5:$D$359,Конструкторы!$B953,Продажи!$C$5:$C$359,Конструкторы!$A953)</f>
        <v>0</v>
      </c>
      <c r="O953" s="166">
        <f>SUMIFS(Продажи!L$5:L$359,Продажи!$D$5:$D$359,Конструкторы!$B953,Продажи!$C$5:$C$359,Конструкторы!$A953)</f>
        <v>0</v>
      </c>
      <c r="P953" s="166">
        <f>SUMIFS(Продажи!M$5:M$359,Продажи!$D$5:$D$359,Конструкторы!$B953,Продажи!$C$5:$C$359,Конструкторы!$A953)</f>
        <v>0</v>
      </c>
      <c r="Q953" s="166">
        <f>SUMIFS(Продажи!N$5:N$359,Продажи!$D$5:$D$359,Конструкторы!$B953,Продажи!$C$5:$C$359,Конструкторы!$A953)</f>
        <v>0</v>
      </c>
      <c r="R953" s="166">
        <f>SUMIFS(Продажи!O$5:O$359,Продажи!$D$5:$D$359,Конструкторы!$B953,Продажи!$C$5:$C$359,Конструкторы!$A953)</f>
        <v>0</v>
      </c>
      <c r="S953" s="166">
        <f>SUMIFS(Продажи!P$5:P$359,Продажи!$D$5:$D$359,Конструкторы!$B953,Продажи!$C$5:$C$359,Конструкторы!$A953)</f>
        <v>0</v>
      </c>
      <c r="T953" s="166">
        <f>SUMIFS(Продажи!Q$5:Q$359,Продажи!$D$5:$D$359,Конструкторы!$B953,Продажи!$C$5:$C$359,Конструкторы!$A953)</f>
        <v>0</v>
      </c>
    </row>
    <row r="954" spans="1:20" ht="15.75" hidden="1" x14ac:dyDescent="0.25">
      <c r="A954" s="166" t="s">
        <v>397</v>
      </c>
      <c r="B954" s="167" t="s">
        <v>225</v>
      </c>
      <c r="C954" s="129" t="s">
        <v>52</v>
      </c>
      <c r="D954" s="149"/>
      <c r="E954" s="153" t="s">
        <v>68</v>
      </c>
      <c r="F954" s="156">
        <f>(1.8*103)/100</f>
        <v>1.8540000000000001</v>
      </c>
      <c r="G954" s="156">
        <v>5.4000000000000048E-2</v>
      </c>
      <c r="H954" s="156">
        <f>F954+G954</f>
        <v>1.9080000000000001</v>
      </c>
      <c r="I954" s="166">
        <f>SUMIFS(Продажи!F$5:F$359,Продажи!$D$5:$D$359,Конструкторы!$B954,Продажи!$C$5:$C$359,Конструкторы!$A954)</f>
        <v>13</v>
      </c>
      <c r="J954" s="166">
        <f>SUMIFS(Продажи!G$5:G$359,Продажи!$D$5:$D$359,Конструкторы!$B954,Продажи!$C$5:$C$359,Конструкторы!$A954)</f>
        <v>0</v>
      </c>
      <c r="K954" s="166">
        <f>SUMIFS(Продажи!H$5:H$359,Продажи!$D$5:$D$359,Конструкторы!$B954,Продажи!$C$5:$C$359,Конструкторы!$A954)</f>
        <v>0</v>
      </c>
      <c r="L954" s="166">
        <f>SUMIFS(Продажи!I$5:I$359,Продажи!$D$5:$D$359,Конструкторы!$B954,Продажи!$C$5:$C$359,Конструкторы!$A954)</f>
        <v>0</v>
      </c>
      <c r="M954" s="166">
        <f>SUMIFS(Продажи!J$5:J$359,Продажи!$D$5:$D$359,Конструкторы!$B954,Продажи!$C$5:$C$359,Конструкторы!$A954)</f>
        <v>0</v>
      </c>
      <c r="N954" s="166">
        <f>SUMIFS(Продажи!K$5:K$359,Продажи!$D$5:$D$359,Конструкторы!$B954,Продажи!$C$5:$C$359,Конструкторы!$A954)</f>
        <v>0</v>
      </c>
      <c r="O954" s="166">
        <f>SUMIFS(Продажи!L$5:L$359,Продажи!$D$5:$D$359,Конструкторы!$B954,Продажи!$C$5:$C$359,Конструкторы!$A954)</f>
        <v>0</v>
      </c>
      <c r="P954" s="166">
        <f>SUMIFS(Продажи!M$5:M$359,Продажи!$D$5:$D$359,Конструкторы!$B954,Продажи!$C$5:$C$359,Конструкторы!$A954)</f>
        <v>0</v>
      </c>
      <c r="Q954" s="166">
        <f>SUMIFS(Продажи!N$5:N$359,Продажи!$D$5:$D$359,Конструкторы!$B954,Продажи!$C$5:$C$359,Конструкторы!$A954)</f>
        <v>0</v>
      </c>
      <c r="R954" s="166">
        <f>SUMIFS(Продажи!O$5:O$359,Продажи!$D$5:$D$359,Конструкторы!$B954,Продажи!$C$5:$C$359,Конструкторы!$A954)</f>
        <v>0</v>
      </c>
      <c r="S954" s="166">
        <f>SUMIFS(Продажи!P$5:P$359,Продажи!$D$5:$D$359,Конструкторы!$B954,Продажи!$C$5:$C$359,Конструкторы!$A954)</f>
        <v>0</v>
      </c>
      <c r="T954" s="166">
        <f>SUMIFS(Продажи!Q$5:Q$359,Продажи!$D$5:$D$359,Конструкторы!$B954,Продажи!$C$5:$C$359,Конструкторы!$A954)</f>
        <v>0</v>
      </c>
    </row>
    <row r="955" spans="1:20" ht="15.75" hidden="1" x14ac:dyDescent="0.25">
      <c r="A955" s="166" t="s">
        <v>397</v>
      </c>
      <c r="B955" s="167" t="s">
        <v>225</v>
      </c>
      <c r="C955" s="33" t="s">
        <v>77</v>
      </c>
      <c r="D955" s="149"/>
      <c r="E955" s="153" t="s">
        <v>70</v>
      </c>
      <c r="F955" s="148">
        <v>4</v>
      </c>
      <c r="G955" s="156" t="s">
        <v>71</v>
      </c>
      <c r="H955" s="156">
        <f>F955</f>
        <v>4</v>
      </c>
      <c r="I955" s="166">
        <f>SUMIFS(Продажи!F$5:F$359,Продажи!$D$5:$D$359,Конструкторы!$B955,Продажи!$C$5:$C$359,Конструкторы!$A955)</f>
        <v>13</v>
      </c>
      <c r="J955" s="166">
        <f>SUMIFS(Продажи!G$5:G$359,Продажи!$D$5:$D$359,Конструкторы!$B955,Продажи!$C$5:$C$359,Конструкторы!$A955)</f>
        <v>0</v>
      </c>
      <c r="K955" s="166">
        <f>SUMIFS(Продажи!H$5:H$359,Продажи!$D$5:$D$359,Конструкторы!$B955,Продажи!$C$5:$C$359,Конструкторы!$A955)</f>
        <v>0</v>
      </c>
      <c r="L955" s="166">
        <f>SUMIFS(Продажи!I$5:I$359,Продажи!$D$5:$D$359,Конструкторы!$B955,Продажи!$C$5:$C$359,Конструкторы!$A955)</f>
        <v>0</v>
      </c>
      <c r="M955" s="166">
        <f>SUMIFS(Продажи!J$5:J$359,Продажи!$D$5:$D$359,Конструкторы!$B955,Продажи!$C$5:$C$359,Конструкторы!$A955)</f>
        <v>0</v>
      </c>
      <c r="N955" s="166">
        <f>SUMIFS(Продажи!K$5:K$359,Продажи!$D$5:$D$359,Конструкторы!$B955,Продажи!$C$5:$C$359,Конструкторы!$A955)</f>
        <v>0</v>
      </c>
      <c r="O955" s="166">
        <f>SUMIFS(Продажи!L$5:L$359,Продажи!$D$5:$D$359,Конструкторы!$B955,Продажи!$C$5:$C$359,Конструкторы!$A955)</f>
        <v>0</v>
      </c>
      <c r="P955" s="166">
        <f>SUMIFS(Продажи!M$5:M$359,Продажи!$D$5:$D$359,Конструкторы!$B955,Продажи!$C$5:$C$359,Конструкторы!$A955)</f>
        <v>0</v>
      </c>
      <c r="Q955" s="166">
        <f>SUMIFS(Продажи!N$5:N$359,Продажи!$D$5:$D$359,Конструкторы!$B955,Продажи!$C$5:$C$359,Конструкторы!$A955)</f>
        <v>0</v>
      </c>
      <c r="R955" s="166">
        <f>SUMIFS(Продажи!O$5:O$359,Продажи!$D$5:$D$359,Конструкторы!$B955,Продажи!$C$5:$C$359,Конструкторы!$A955)</f>
        <v>0</v>
      </c>
      <c r="S955" s="166">
        <f>SUMIFS(Продажи!P$5:P$359,Продажи!$D$5:$D$359,Конструкторы!$B955,Продажи!$C$5:$C$359,Конструкторы!$A955)</f>
        <v>0</v>
      </c>
      <c r="T955" s="166">
        <f>SUMIFS(Продажи!Q$5:Q$359,Продажи!$D$5:$D$359,Конструкторы!$B955,Продажи!$C$5:$C$359,Конструкторы!$A955)</f>
        <v>0</v>
      </c>
    </row>
    <row r="956" spans="1:20" ht="15.75" hidden="1" x14ac:dyDescent="0.25">
      <c r="A956" s="166" t="s">
        <v>397</v>
      </c>
      <c r="B956" s="167" t="s">
        <v>225</v>
      </c>
      <c r="C956" s="33" t="s">
        <v>75</v>
      </c>
      <c r="D956" s="149"/>
      <c r="E956" s="153" t="s">
        <v>70</v>
      </c>
      <c r="F956" s="148">
        <v>24</v>
      </c>
      <c r="G956" s="156" t="s">
        <v>71</v>
      </c>
      <c r="H956" s="156">
        <f>F956</f>
        <v>24</v>
      </c>
      <c r="I956" s="166">
        <f>SUMIFS(Продажи!F$5:F$359,Продажи!$D$5:$D$359,Конструкторы!$B956,Продажи!$C$5:$C$359,Конструкторы!$A956)</f>
        <v>13</v>
      </c>
      <c r="J956" s="166">
        <f>SUMIFS(Продажи!G$5:G$359,Продажи!$D$5:$D$359,Конструкторы!$B956,Продажи!$C$5:$C$359,Конструкторы!$A956)</f>
        <v>0</v>
      </c>
      <c r="K956" s="166">
        <f>SUMIFS(Продажи!H$5:H$359,Продажи!$D$5:$D$359,Конструкторы!$B956,Продажи!$C$5:$C$359,Конструкторы!$A956)</f>
        <v>0</v>
      </c>
      <c r="L956" s="166">
        <f>SUMIFS(Продажи!I$5:I$359,Продажи!$D$5:$D$359,Конструкторы!$B956,Продажи!$C$5:$C$359,Конструкторы!$A956)</f>
        <v>0</v>
      </c>
      <c r="M956" s="166">
        <f>SUMIFS(Продажи!J$5:J$359,Продажи!$D$5:$D$359,Конструкторы!$B956,Продажи!$C$5:$C$359,Конструкторы!$A956)</f>
        <v>0</v>
      </c>
      <c r="N956" s="166">
        <f>SUMIFS(Продажи!K$5:K$359,Продажи!$D$5:$D$359,Конструкторы!$B956,Продажи!$C$5:$C$359,Конструкторы!$A956)</f>
        <v>0</v>
      </c>
      <c r="O956" s="166">
        <f>SUMIFS(Продажи!L$5:L$359,Продажи!$D$5:$D$359,Конструкторы!$B956,Продажи!$C$5:$C$359,Конструкторы!$A956)</f>
        <v>0</v>
      </c>
      <c r="P956" s="166">
        <f>SUMIFS(Продажи!M$5:M$359,Продажи!$D$5:$D$359,Конструкторы!$B956,Продажи!$C$5:$C$359,Конструкторы!$A956)</f>
        <v>0</v>
      </c>
      <c r="Q956" s="166">
        <f>SUMIFS(Продажи!N$5:N$359,Продажи!$D$5:$D$359,Конструкторы!$B956,Продажи!$C$5:$C$359,Конструкторы!$A956)</f>
        <v>0</v>
      </c>
      <c r="R956" s="166">
        <f>SUMIFS(Продажи!O$5:O$359,Продажи!$D$5:$D$359,Конструкторы!$B956,Продажи!$C$5:$C$359,Конструкторы!$A956)</f>
        <v>0</v>
      </c>
      <c r="S956" s="166">
        <f>SUMIFS(Продажи!P$5:P$359,Продажи!$D$5:$D$359,Конструкторы!$B956,Продажи!$C$5:$C$359,Конструкторы!$A956)</f>
        <v>0</v>
      </c>
      <c r="T956" s="166">
        <f>SUMIFS(Продажи!Q$5:Q$359,Продажи!$D$5:$D$359,Конструкторы!$B956,Продажи!$C$5:$C$359,Конструкторы!$A956)</f>
        <v>0</v>
      </c>
    </row>
    <row r="957" spans="1:20" ht="15.75" hidden="1" x14ac:dyDescent="0.25">
      <c r="A957" s="166" t="s">
        <v>397</v>
      </c>
      <c r="B957" s="167" t="s">
        <v>225</v>
      </c>
      <c r="C957" s="33" t="s">
        <v>69</v>
      </c>
      <c r="D957" s="149"/>
      <c r="E957" s="153" t="s">
        <v>70</v>
      </c>
      <c r="F957" s="148">
        <v>6</v>
      </c>
      <c r="G957" s="156" t="s">
        <v>71</v>
      </c>
      <c r="H957" s="156">
        <f>F957</f>
        <v>6</v>
      </c>
      <c r="I957" s="166">
        <f>SUMIFS(Продажи!F$5:F$359,Продажи!$D$5:$D$359,Конструкторы!$B957,Продажи!$C$5:$C$359,Конструкторы!$A957)</f>
        <v>13</v>
      </c>
      <c r="J957" s="166">
        <f>SUMIFS(Продажи!G$5:G$359,Продажи!$D$5:$D$359,Конструкторы!$B957,Продажи!$C$5:$C$359,Конструкторы!$A957)</f>
        <v>0</v>
      </c>
      <c r="K957" s="166">
        <f>SUMIFS(Продажи!H$5:H$359,Продажи!$D$5:$D$359,Конструкторы!$B957,Продажи!$C$5:$C$359,Конструкторы!$A957)</f>
        <v>0</v>
      </c>
      <c r="L957" s="166">
        <f>SUMIFS(Продажи!I$5:I$359,Продажи!$D$5:$D$359,Конструкторы!$B957,Продажи!$C$5:$C$359,Конструкторы!$A957)</f>
        <v>0</v>
      </c>
      <c r="M957" s="166">
        <f>SUMIFS(Продажи!J$5:J$359,Продажи!$D$5:$D$359,Конструкторы!$B957,Продажи!$C$5:$C$359,Конструкторы!$A957)</f>
        <v>0</v>
      </c>
      <c r="N957" s="166">
        <f>SUMIFS(Продажи!K$5:K$359,Продажи!$D$5:$D$359,Конструкторы!$B957,Продажи!$C$5:$C$359,Конструкторы!$A957)</f>
        <v>0</v>
      </c>
      <c r="O957" s="166">
        <f>SUMIFS(Продажи!L$5:L$359,Продажи!$D$5:$D$359,Конструкторы!$B957,Продажи!$C$5:$C$359,Конструкторы!$A957)</f>
        <v>0</v>
      </c>
      <c r="P957" s="166">
        <f>SUMIFS(Продажи!M$5:M$359,Продажи!$D$5:$D$359,Конструкторы!$B957,Продажи!$C$5:$C$359,Конструкторы!$A957)</f>
        <v>0</v>
      </c>
      <c r="Q957" s="166">
        <f>SUMIFS(Продажи!N$5:N$359,Продажи!$D$5:$D$359,Конструкторы!$B957,Продажи!$C$5:$C$359,Конструкторы!$A957)</f>
        <v>0</v>
      </c>
      <c r="R957" s="166">
        <f>SUMIFS(Продажи!O$5:O$359,Продажи!$D$5:$D$359,Конструкторы!$B957,Продажи!$C$5:$C$359,Конструкторы!$A957)</f>
        <v>0</v>
      </c>
      <c r="S957" s="166">
        <f>SUMIFS(Продажи!P$5:P$359,Продажи!$D$5:$D$359,Конструкторы!$B957,Продажи!$C$5:$C$359,Конструкторы!$A957)</f>
        <v>0</v>
      </c>
      <c r="T957" s="166">
        <f>SUMIFS(Продажи!Q$5:Q$359,Продажи!$D$5:$D$359,Конструкторы!$B957,Продажи!$C$5:$C$359,Конструкторы!$A957)</f>
        <v>0</v>
      </c>
    </row>
    <row r="958" spans="1:20" ht="15.75" hidden="1" x14ac:dyDescent="0.25">
      <c r="A958" s="166" t="s">
        <v>397</v>
      </c>
      <c r="B958" s="167" t="s">
        <v>366</v>
      </c>
      <c r="C958" s="129" t="s">
        <v>56</v>
      </c>
      <c r="D958" s="149"/>
      <c r="E958" s="153" t="s">
        <v>68</v>
      </c>
      <c r="F958" s="156">
        <f>(0.58*103)/100</f>
        <v>0.59739999999999993</v>
      </c>
      <c r="G958" s="156">
        <v>1.7399999999999971E-2</v>
      </c>
      <c r="H958" s="156">
        <f>F958+G958</f>
        <v>0.6147999999999999</v>
      </c>
      <c r="I958" s="166">
        <f>SUMIFS(Продажи!F$5:F$359,Продажи!$D$5:$D$359,Конструкторы!$B958,Продажи!$C$5:$C$359,Конструкторы!$A958)</f>
        <v>0</v>
      </c>
      <c r="J958" s="166">
        <f>SUMIFS(Продажи!G$5:G$359,Продажи!$D$5:$D$359,Конструкторы!$B958,Продажи!$C$5:$C$359,Конструкторы!$A958)</f>
        <v>0</v>
      </c>
      <c r="K958" s="166">
        <f>SUMIFS(Продажи!H$5:H$359,Продажи!$D$5:$D$359,Конструкторы!$B958,Продажи!$C$5:$C$359,Конструкторы!$A958)</f>
        <v>0</v>
      </c>
      <c r="L958" s="166">
        <f>SUMIFS(Продажи!I$5:I$359,Продажи!$D$5:$D$359,Конструкторы!$B958,Продажи!$C$5:$C$359,Конструкторы!$A958)</f>
        <v>0</v>
      </c>
      <c r="M958" s="166">
        <f>SUMIFS(Продажи!J$5:J$359,Продажи!$D$5:$D$359,Конструкторы!$B958,Продажи!$C$5:$C$359,Конструкторы!$A958)</f>
        <v>0</v>
      </c>
      <c r="N958" s="166">
        <f>SUMIFS(Продажи!K$5:K$359,Продажи!$D$5:$D$359,Конструкторы!$B958,Продажи!$C$5:$C$359,Конструкторы!$A958)</f>
        <v>0</v>
      </c>
      <c r="O958" s="166">
        <f>SUMIFS(Продажи!L$5:L$359,Продажи!$D$5:$D$359,Конструкторы!$B958,Продажи!$C$5:$C$359,Конструкторы!$A958)</f>
        <v>0</v>
      </c>
      <c r="P958" s="166">
        <f>SUMIFS(Продажи!M$5:M$359,Продажи!$D$5:$D$359,Конструкторы!$B958,Продажи!$C$5:$C$359,Конструкторы!$A958)</f>
        <v>0</v>
      </c>
      <c r="Q958" s="166">
        <f>SUMIFS(Продажи!N$5:N$359,Продажи!$D$5:$D$359,Конструкторы!$B958,Продажи!$C$5:$C$359,Конструкторы!$A958)</f>
        <v>0</v>
      </c>
      <c r="R958" s="166">
        <f>SUMIFS(Продажи!O$5:O$359,Продажи!$D$5:$D$359,Конструкторы!$B958,Продажи!$C$5:$C$359,Конструкторы!$A958)</f>
        <v>0</v>
      </c>
      <c r="S958" s="166">
        <f>SUMIFS(Продажи!P$5:P$359,Продажи!$D$5:$D$359,Конструкторы!$B958,Продажи!$C$5:$C$359,Конструкторы!$A958)</f>
        <v>0</v>
      </c>
      <c r="T958" s="166">
        <f>SUMIFS(Продажи!Q$5:Q$359,Продажи!$D$5:$D$359,Конструкторы!$B958,Продажи!$C$5:$C$359,Конструкторы!$A958)</f>
        <v>0</v>
      </c>
    </row>
    <row r="959" spans="1:20" ht="15.75" hidden="1" x14ac:dyDescent="0.25">
      <c r="A959" s="166" t="s">
        <v>397</v>
      </c>
      <c r="B959" s="167" t="s">
        <v>366</v>
      </c>
      <c r="C959" s="33" t="s">
        <v>77</v>
      </c>
      <c r="D959" s="149"/>
      <c r="E959" s="153" t="s">
        <v>70</v>
      </c>
      <c r="F959" s="148">
        <v>4</v>
      </c>
      <c r="G959" s="156" t="s">
        <v>71</v>
      </c>
      <c r="H959" s="156">
        <f>F959</f>
        <v>4</v>
      </c>
      <c r="I959" s="166">
        <f>SUMIFS(Продажи!F$5:F$359,Продажи!$D$5:$D$359,Конструкторы!$B959,Продажи!$C$5:$C$359,Конструкторы!$A959)</f>
        <v>0</v>
      </c>
      <c r="J959" s="166">
        <f>SUMIFS(Продажи!G$5:G$359,Продажи!$D$5:$D$359,Конструкторы!$B959,Продажи!$C$5:$C$359,Конструкторы!$A959)</f>
        <v>0</v>
      </c>
      <c r="K959" s="166">
        <f>SUMIFS(Продажи!H$5:H$359,Продажи!$D$5:$D$359,Конструкторы!$B959,Продажи!$C$5:$C$359,Конструкторы!$A959)</f>
        <v>0</v>
      </c>
      <c r="L959" s="166">
        <f>SUMIFS(Продажи!I$5:I$359,Продажи!$D$5:$D$359,Конструкторы!$B959,Продажи!$C$5:$C$359,Конструкторы!$A959)</f>
        <v>0</v>
      </c>
      <c r="M959" s="166">
        <f>SUMIFS(Продажи!J$5:J$359,Продажи!$D$5:$D$359,Конструкторы!$B959,Продажи!$C$5:$C$359,Конструкторы!$A959)</f>
        <v>0</v>
      </c>
      <c r="N959" s="166">
        <f>SUMIFS(Продажи!K$5:K$359,Продажи!$D$5:$D$359,Конструкторы!$B959,Продажи!$C$5:$C$359,Конструкторы!$A959)</f>
        <v>0</v>
      </c>
      <c r="O959" s="166">
        <f>SUMIFS(Продажи!L$5:L$359,Продажи!$D$5:$D$359,Конструкторы!$B959,Продажи!$C$5:$C$359,Конструкторы!$A959)</f>
        <v>0</v>
      </c>
      <c r="P959" s="166">
        <f>SUMIFS(Продажи!M$5:M$359,Продажи!$D$5:$D$359,Конструкторы!$B959,Продажи!$C$5:$C$359,Конструкторы!$A959)</f>
        <v>0</v>
      </c>
      <c r="Q959" s="166">
        <f>SUMIFS(Продажи!N$5:N$359,Продажи!$D$5:$D$359,Конструкторы!$B959,Продажи!$C$5:$C$359,Конструкторы!$A959)</f>
        <v>0</v>
      </c>
      <c r="R959" s="166">
        <f>SUMIFS(Продажи!O$5:O$359,Продажи!$D$5:$D$359,Конструкторы!$B959,Продажи!$C$5:$C$359,Конструкторы!$A959)</f>
        <v>0</v>
      </c>
      <c r="S959" s="166">
        <f>SUMIFS(Продажи!P$5:P$359,Продажи!$D$5:$D$359,Конструкторы!$B959,Продажи!$C$5:$C$359,Конструкторы!$A959)</f>
        <v>0</v>
      </c>
      <c r="T959" s="166">
        <f>SUMIFS(Продажи!Q$5:Q$359,Продажи!$D$5:$D$359,Конструкторы!$B959,Продажи!$C$5:$C$359,Конструкторы!$A959)</f>
        <v>0</v>
      </c>
    </row>
    <row r="960" spans="1:20" ht="15.75" hidden="1" x14ac:dyDescent="0.25">
      <c r="A960" s="166" t="s">
        <v>397</v>
      </c>
      <c r="B960" s="167" t="s">
        <v>366</v>
      </c>
      <c r="C960" s="33" t="s">
        <v>75</v>
      </c>
      <c r="D960" s="149"/>
      <c r="E960" s="153" t="s">
        <v>70</v>
      </c>
      <c r="F960" s="148">
        <v>24</v>
      </c>
      <c r="G960" s="156" t="s">
        <v>71</v>
      </c>
      <c r="H960" s="156">
        <f>F960</f>
        <v>24</v>
      </c>
      <c r="I960" s="166">
        <f>SUMIFS(Продажи!F$5:F$359,Продажи!$D$5:$D$359,Конструкторы!$B960,Продажи!$C$5:$C$359,Конструкторы!$A960)</f>
        <v>0</v>
      </c>
      <c r="J960" s="166">
        <f>SUMIFS(Продажи!G$5:G$359,Продажи!$D$5:$D$359,Конструкторы!$B960,Продажи!$C$5:$C$359,Конструкторы!$A960)</f>
        <v>0</v>
      </c>
      <c r="K960" s="166">
        <f>SUMIFS(Продажи!H$5:H$359,Продажи!$D$5:$D$359,Конструкторы!$B960,Продажи!$C$5:$C$359,Конструкторы!$A960)</f>
        <v>0</v>
      </c>
      <c r="L960" s="166">
        <f>SUMIFS(Продажи!I$5:I$359,Продажи!$D$5:$D$359,Конструкторы!$B960,Продажи!$C$5:$C$359,Конструкторы!$A960)</f>
        <v>0</v>
      </c>
      <c r="M960" s="166">
        <f>SUMIFS(Продажи!J$5:J$359,Продажи!$D$5:$D$359,Конструкторы!$B960,Продажи!$C$5:$C$359,Конструкторы!$A960)</f>
        <v>0</v>
      </c>
      <c r="N960" s="166">
        <f>SUMIFS(Продажи!K$5:K$359,Продажи!$D$5:$D$359,Конструкторы!$B960,Продажи!$C$5:$C$359,Конструкторы!$A960)</f>
        <v>0</v>
      </c>
      <c r="O960" s="166">
        <f>SUMIFS(Продажи!L$5:L$359,Продажи!$D$5:$D$359,Конструкторы!$B960,Продажи!$C$5:$C$359,Конструкторы!$A960)</f>
        <v>0</v>
      </c>
      <c r="P960" s="166">
        <f>SUMIFS(Продажи!M$5:M$359,Продажи!$D$5:$D$359,Конструкторы!$B960,Продажи!$C$5:$C$359,Конструкторы!$A960)</f>
        <v>0</v>
      </c>
      <c r="Q960" s="166">
        <f>SUMIFS(Продажи!N$5:N$359,Продажи!$D$5:$D$359,Конструкторы!$B960,Продажи!$C$5:$C$359,Конструкторы!$A960)</f>
        <v>0</v>
      </c>
      <c r="R960" s="166">
        <f>SUMIFS(Продажи!O$5:O$359,Продажи!$D$5:$D$359,Конструкторы!$B960,Продажи!$C$5:$C$359,Конструкторы!$A960)</f>
        <v>0</v>
      </c>
      <c r="S960" s="166">
        <f>SUMIFS(Продажи!P$5:P$359,Продажи!$D$5:$D$359,Конструкторы!$B960,Продажи!$C$5:$C$359,Конструкторы!$A960)</f>
        <v>0</v>
      </c>
      <c r="T960" s="166">
        <f>SUMIFS(Продажи!Q$5:Q$359,Продажи!$D$5:$D$359,Конструкторы!$B960,Продажи!$C$5:$C$359,Конструкторы!$A960)</f>
        <v>0</v>
      </c>
    </row>
    <row r="961" spans="1:20" ht="15.75" hidden="1" x14ac:dyDescent="0.25">
      <c r="A961" s="166" t="s">
        <v>397</v>
      </c>
      <c r="B961" s="167" t="s">
        <v>367</v>
      </c>
      <c r="C961" s="129" t="s">
        <v>57</v>
      </c>
      <c r="D961" s="149"/>
      <c r="E961" s="153" t="s">
        <v>68</v>
      </c>
      <c r="F961" s="156">
        <f>(0.58*103)/100</f>
        <v>0.59739999999999993</v>
      </c>
      <c r="G961" s="156">
        <v>1.7399999999999971E-2</v>
      </c>
      <c r="H961" s="156">
        <f>F961+G961</f>
        <v>0.6147999999999999</v>
      </c>
      <c r="I961" s="166">
        <f>SUMIFS(Продажи!F$5:F$359,Продажи!$D$5:$D$359,Конструкторы!$B961,Продажи!$C$5:$C$359,Конструкторы!$A961)</f>
        <v>0</v>
      </c>
      <c r="J961" s="166">
        <f>SUMIFS(Продажи!G$5:G$359,Продажи!$D$5:$D$359,Конструкторы!$B961,Продажи!$C$5:$C$359,Конструкторы!$A961)</f>
        <v>0</v>
      </c>
      <c r="K961" s="166">
        <f>SUMIFS(Продажи!H$5:H$359,Продажи!$D$5:$D$359,Конструкторы!$B961,Продажи!$C$5:$C$359,Конструкторы!$A961)</f>
        <v>0</v>
      </c>
      <c r="L961" s="166">
        <f>SUMIFS(Продажи!I$5:I$359,Продажи!$D$5:$D$359,Конструкторы!$B961,Продажи!$C$5:$C$359,Конструкторы!$A961)</f>
        <v>0</v>
      </c>
      <c r="M961" s="166">
        <f>SUMIFS(Продажи!J$5:J$359,Продажи!$D$5:$D$359,Конструкторы!$B961,Продажи!$C$5:$C$359,Конструкторы!$A961)</f>
        <v>0</v>
      </c>
      <c r="N961" s="166">
        <f>SUMIFS(Продажи!K$5:K$359,Продажи!$D$5:$D$359,Конструкторы!$B961,Продажи!$C$5:$C$359,Конструкторы!$A961)</f>
        <v>0</v>
      </c>
      <c r="O961" s="166">
        <f>SUMIFS(Продажи!L$5:L$359,Продажи!$D$5:$D$359,Конструкторы!$B961,Продажи!$C$5:$C$359,Конструкторы!$A961)</f>
        <v>0</v>
      </c>
      <c r="P961" s="166">
        <f>SUMIFS(Продажи!M$5:M$359,Продажи!$D$5:$D$359,Конструкторы!$B961,Продажи!$C$5:$C$359,Конструкторы!$A961)</f>
        <v>0</v>
      </c>
      <c r="Q961" s="166">
        <f>SUMIFS(Продажи!N$5:N$359,Продажи!$D$5:$D$359,Конструкторы!$B961,Продажи!$C$5:$C$359,Конструкторы!$A961)</f>
        <v>0</v>
      </c>
      <c r="R961" s="166">
        <f>SUMIFS(Продажи!O$5:O$359,Продажи!$D$5:$D$359,Конструкторы!$B961,Продажи!$C$5:$C$359,Конструкторы!$A961)</f>
        <v>0</v>
      </c>
      <c r="S961" s="166">
        <f>SUMIFS(Продажи!P$5:P$359,Продажи!$D$5:$D$359,Конструкторы!$B961,Продажи!$C$5:$C$359,Конструкторы!$A961)</f>
        <v>0</v>
      </c>
      <c r="T961" s="166">
        <f>SUMIFS(Продажи!Q$5:Q$359,Продажи!$D$5:$D$359,Конструкторы!$B961,Продажи!$C$5:$C$359,Конструкторы!$A961)</f>
        <v>0</v>
      </c>
    </row>
    <row r="962" spans="1:20" ht="15.75" hidden="1" x14ac:dyDescent="0.25">
      <c r="A962" s="166" t="s">
        <v>397</v>
      </c>
      <c r="B962" s="167" t="s">
        <v>367</v>
      </c>
      <c r="C962" s="33" t="s">
        <v>77</v>
      </c>
      <c r="D962" s="149"/>
      <c r="E962" s="153" t="s">
        <v>70</v>
      </c>
      <c r="F962" s="148">
        <v>4</v>
      </c>
      <c r="G962" s="156" t="s">
        <v>71</v>
      </c>
      <c r="H962" s="156">
        <f>F962</f>
        <v>4</v>
      </c>
      <c r="I962" s="166">
        <f>SUMIFS(Продажи!F$5:F$359,Продажи!$D$5:$D$359,Конструкторы!$B962,Продажи!$C$5:$C$359,Конструкторы!$A962)</f>
        <v>0</v>
      </c>
      <c r="J962" s="166">
        <f>SUMIFS(Продажи!G$5:G$359,Продажи!$D$5:$D$359,Конструкторы!$B962,Продажи!$C$5:$C$359,Конструкторы!$A962)</f>
        <v>0</v>
      </c>
      <c r="K962" s="166">
        <f>SUMIFS(Продажи!H$5:H$359,Продажи!$D$5:$D$359,Конструкторы!$B962,Продажи!$C$5:$C$359,Конструкторы!$A962)</f>
        <v>0</v>
      </c>
      <c r="L962" s="166">
        <f>SUMIFS(Продажи!I$5:I$359,Продажи!$D$5:$D$359,Конструкторы!$B962,Продажи!$C$5:$C$359,Конструкторы!$A962)</f>
        <v>0</v>
      </c>
      <c r="M962" s="166">
        <f>SUMIFS(Продажи!J$5:J$359,Продажи!$D$5:$D$359,Конструкторы!$B962,Продажи!$C$5:$C$359,Конструкторы!$A962)</f>
        <v>0</v>
      </c>
      <c r="N962" s="166">
        <f>SUMIFS(Продажи!K$5:K$359,Продажи!$D$5:$D$359,Конструкторы!$B962,Продажи!$C$5:$C$359,Конструкторы!$A962)</f>
        <v>0</v>
      </c>
      <c r="O962" s="166">
        <f>SUMIFS(Продажи!L$5:L$359,Продажи!$D$5:$D$359,Конструкторы!$B962,Продажи!$C$5:$C$359,Конструкторы!$A962)</f>
        <v>0</v>
      </c>
      <c r="P962" s="166">
        <f>SUMIFS(Продажи!M$5:M$359,Продажи!$D$5:$D$359,Конструкторы!$B962,Продажи!$C$5:$C$359,Конструкторы!$A962)</f>
        <v>0</v>
      </c>
      <c r="Q962" s="166">
        <f>SUMIFS(Продажи!N$5:N$359,Продажи!$D$5:$D$359,Конструкторы!$B962,Продажи!$C$5:$C$359,Конструкторы!$A962)</f>
        <v>0</v>
      </c>
      <c r="R962" s="166">
        <f>SUMIFS(Продажи!O$5:O$359,Продажи!$D$5:$D$359,Конструкторы!$B962,Продажи!$C$5:$C$359,Конструкторы!$A962)</f>
        <v>0</v>
      </c>
      <c r="S962" s="166">
        <f>SUMIFS(Продажи!P$5:P$359,Продажи!$D$5:$D$359,Конструкторы!$B962,Продажи!$C$5:$C$359,Конструкторы!$A962)</f>
        <v>0</v>
      </c>
      <c r="T962" s="166">
        <f>SUMIFS(Продажи!Q$5:Q$359,Продажи!$D$5:$D$359,Конструкторы!$B962,Продажи!$C$5:$C$359,Конструкторы!$A962)</f>
        <v>0</v>
      </c>
    </row>
    <row r="963" spans="1:20" ht="15.75" hidden="1" x14ac:dyDescent="0.25">
      <c r="A963" s="166" t="s">
        <v>397</v>
      </c>
      <c r="B963" s="167" t="s">
        <v>367</v>
      </c>
      <c r="C963" s="33" t="s">
        <v>75</v>
      </c>
      <c r="D963" s="149"/>
      <c r="E963" s="153" t="s">
        <v>70</v>
      </c>
      <c r="F963" s="148">
        <v>24</v>
      </c>
      <c r="G963" s="156" t="s">
        <v>71</v>
      </c>
      <c r="H963" s="156">
        <f>F963</f>
        <v>24</v>
      </c>
      <c r="I963" s="166">
        <f>SUMIFS(Продажи!F$5:F$359,Продажи!$D$5:$D$359,Конструкторы!$B963,Продажи!$C$5:$C$359,Конструкторы!$A963)</f>
        <v>0</v>
      </c>
      <c r="J963" s="166">
        <f>SUMIFS(Продажи!G$5:G$359,Продажи!$D$5:$D$359,Конструкторы!$B963,Продажи!$C$5:$C$359,Конструкторы!$A963)</f>
        <v>0</v>
      </c>
      <c r="K963" s="166">
        <f>SUMIFS(Продажи!H$5:H$359,Продажи!$D$5:$D$359,Конструкторы!$B963,Продажи!$C$5:$C$359,Конструкторы!$A963)</f>
        <v>0</v>
      </c>
      <c r="L963" s="166">
        <f>SUMIFS(Продажи!I$5:I$359,Продажи!$D$5:$D$359,Конструкторы!$B963,Продажи!$C$5:$C$359,Конструкторы!$A963)</f>
        <v>0</v>
      </c>
      <c r="M963" s="166">
        <f>SUMIFS(Продажи!J$5:J$359,Продажи!$D$5:$D$359,Конструкторы!$B963,Продажи!$C$5:$C$359,Конструкторы!$A963)</f>
        <v>0</v>
      </c>
      <c r="N963" s="166">
        <f>SUMIFS(Продажи!K$5:K$359,Продажи!$D$5:$D$359,Конструкторы!$B963,Продажи!$C$5:$C$359,Конструкторы!$A963)</f>
        <v>0</v>
      </c>
      <c r="O963" s="166">
        <f>SUMIFS(Продажи!L$5:L$359,Продажи!$D$5:$D$359,Конструкторы!$B963,Продажи!$C$5:$C$359,Конструкторы!$A963)</f>
        <v>0</v>
      </c>
      <c r="P963" s="166">
        <f>SUMIFS(Продажи!M$5:M$359,Продажи!$D$5:$D$359,Конструкторы!$B963,Продажи!$C$5:$C$359,Конструкторы!$A963)</f>
        <v>0</v>
      </c>
      <c r="Q963" s="166">
        <f>SUMIFS(Продажи!N$5:N$359,Продажи!$D$5:$D$359,Конструкторы!$B963,Продажи!$C$5:$C$359,Конструкторы!$A963)</f>
        <v>0</v>
      </c>
      <c r="R963" s="166">
        <f>SUMIFS(Продажи!O$5:O$359,Продажи!$D$5:$D$359,Конструкторы!$B963,Продажи!$C$5:$C$359,Конструкторы!$A963)</f>
        <v>0</v>
      </c>
      <c r="S963" s="166">
        <f>SUMIFS(Продажи!P$5:P$359,Продажи!$D$5:$D$359,Конструкторы!$B963,Продажи!$C$5:$C$359,Конструкторы!$A963)</f>
        <v>0</v>
      </c>
      <c r="T963" s="166">
        <f>SUMIFS(Продажи!Q$5:Q$359,Продажи!$D$5:$D$359,Конструкторы!$B963,Продажи!$C$5:$C$359,Конструкторы!$A963)</f>
        <v>0</v>
      </c>
    </row>
    <row r="964" spans="1:20" ht="15.75" hidden="1" x14ac:dyDescent="0.25">
      <c r="A964" s="166" t="s">
        <v>397</v>
      </c>
      <c r="B964" s="167" t="s">
        <v>368</v>
      </c>
      <c r="C964" s="129" t="s">
        <v>58</v>
      </c>
      <c r="D964" s="149"/>
      <c r="E964" s="153" t="s">
        <v>68</v>
      </c>
      <c r="F964" s="156">
        <f>(0.579*103)/100</f>
        <v>0.59636999999999996</v>
      </c>
      <c r="G964" s="156">
        <v>1.7369999999999997E-2</v>
      </c>
      <c r="H964" s="156">
        <f>F964+G964</f>
        <v>0.61373999999999995</v>
      </c>
      <c r="I964" s="166">
        <f>SUMIFS(Продажи!F$5:F$359,Продажи!$D$5:$D$359,Конструкторы!$B964,Продажи!$C$5:$C$359,Конструкторы!$A964)</f>
        <v>0</v>
      </c>
      <c r="J964" s="166">
        <f>SUMIFS(Продажи!G$5:G$359,Продажи!$D$5:$D$359,Конструкторы!$B964,Продажи!$C$5:$C$359,Конструкторы!$A964)</f>
        <v>0</v>
      </c>
      <c r="K964" s="166">
        <f>SUMIFS(Продажи!H$5:H$359,Продажи!$D$5:$D$359,Конструкторы!$B964,Продажи!$C$5:$C$359,Конструкторы!$A964)</f>
        <v>0</v>
      </c>
      <c r="L964" s="166">
        <f>SUMIFS(Продажи!I$5:I$359,Продажи!$D$5:$D$359,Конструкторы!$B964,Продажи!$C$5:$C$359,Конструкторы!$A964)</f>
        <v>0</v>
      </c>
      <c r="M964" s="166">
        <f>SUMIFS(Продажи!J$5:J$359,Продажи!$D$5:$D$359,Конструкторы!$B964,Продажи!$C$5:$C$359,Конструкторы!$A964)</f>
        <v>0</v>
      </c>
      <c r="N964" s="166">
        <f>SUMIFS(Продажи!K$5:K$359,Продажи!$D$5:$D$359,Конструкторы!$B964,Продажи!$C$5:$C$359,Конструкторы!$A964)</f>
        <v>0</v>
      </c>
      <c r="O964" s="166">
        <f>SUMIFS(Продажи!L$5:L$359,Продажи!$D$5:$D$359,Конструкторы!$B964,Продажи!$C$5:$C$359,Конструкторы!$A964)</f>
        <v>0</v>
      </c>
      <c r="P964" s="166">
        <f>SUMIFS(Продажи!M$5:M$359,Продажи!$D$5:$D$359,Конструкторы!$B964,Продажи!$C$5:$C$359,Конструкторы!$A964)</f>
        <v>0</v>
      </c>
      <c r="Q964" s="166">
        <f>SUMIFS(Продажи!N$5:N$359,Продажи!$D$5:$D$359,Конструкторы!$B964,Продажи!$C$5:$C$359,Конструкторы!$A964)</f>
        <v>0</v>
      </c>
      <c r="R964" s="166">
        <f>SUMIFS(Продажи!O$5:O$359,Продажи!$D$5:$D$359,Конструкторы!$B964,Продажи!$C$5:$C$359,Конструкторы!$A964)</f>
        <v>0</v>
      </c>
      <c r="S964" s="166">
        <f>SUMIFS(Продажи!P$5:P$359,Продажи!$D$5:$D$359,Конструкторы!$B964,Продажи!$C$5:$C$359,Конструкторы!$A964)</f>
        <v>0</v>
      </c>
      <c r="T964" s="166">
        <f>SUMIFS(Продажи!Q$5:Q$359,Продажи!$D$5:$D$359,Конструкторы!$B964,Продажи!$C$5:$C$359,Конструкторы!$A964)</f>
        <v>0</v>
      </c>
    </row>
    <row r="965" spans="1:20" ht="15.75" hidden="1" x14ac:dyDescent="0.25">
      <c r="A965" s="166" t="s">
        <v>397</v>
      </c>
      <c r="B965" s="167" t="s">
        <v>368</v>
      </c>
      <c r="C965" s="33" t="s">
        <v>77</v>
      </c>
      <c r="D965" s="149"/>
      <c r="E965" s="153" t="s">
        <v>70</v>
      </c>
      <c r="F965" s="148">
        <v>4</v>
      </c>
      <c r="G965" s="156" t="s">
        <v>71</v>
      </c>
      <c r="H965" s="156">
        <f>F965</f>
        <v>4</v>
      </c>
      <c r="I965" s="166">
        <f>SUMIFS(Продажи!F$5:F$359,Продажи!$D$5:$D$359,Конструкторы!$B965,Продажи!$C$5:$C$359,Конструкторы!$A965)</f>
        <v>0</v>
      </c>
      <c r="J965" s="166">
        <f>SUMIFS(Продажи!G$5:G$359,Продажи!$D$5:$D$359,Конструкторы!$B965,Продажи!$C$5:$C$359,Конструкторы!$A965)</f>
        <v>0</v>
      </c>
      <c r="K965" s="166">
        <f>SUMIFS(Продажи!H$5:H$359,Продажи!$D$5:$D$359,Конструкторы!$B965,Продажи!$C$5:$C$359,Конструкторы!$A965)</f>
        <v>0</v>
      </c>
      <c r="L965" s="166">
        <f>SUMIFS(Продажи!I$5:I$359,Продажи!$D$5:$D$359,Конструкторы!$B965,Продажи!$C$5:$C$359,Конструкторы!$A965)</f>
        <v>0</v>
      </c>
      <c r="M965" s="166">
        <f>SUMIFS(Продажи!J$5:J$359,Продажи!$D$5:$D$359,Конструкторы!$B965,Продажи!$C$5:$C$359,Конструкторы!$A965)</f>
        <v>0</v>
      </c>
      <c r="N965" s="166">
        <f>SUMIFS(Продажи!K$5:K$359,Продажи!$D$5:$D$359,Конструкторы!$B965,Продажи!$C$5:$C$359,Конструкторы!$A965)</f>
        <v>0</v>
      </c>
      <c r="O965" s="166">
        <f>SUMIFS(Продажи!L$5:L$359,Продажи!$D$5:$D$359,Конструкторы!$B965,Продажи!$C$5:$C$359,Конструкторы!$A965)</f>
        <v>0</v>
      </c>
      <c r="P965" s="166">
        <f>SUMIFS(Продажи!M$5:M$359,Продажи!$D$5:$D$359,Конструкторы!$B965,Продажи!$C$5:$C$359,Конструкторы!$A965)</f>
        <v>0</v>
      </c>
      <c r="Q965" s="166">
        <f>SUMIFS(Продажи!N$5:N$359,Продажи!$D$5:$D$359,Конструкторы!$B965,Продажи!$C$5:$C$359,Конструкторы!$A965)</f>
        <v>0</v>
      </c>
      <c r="R965" s="166">
        <f>SUMIFS(Продажи!O$5:O$359,Продажи!$D$5:$D$359,Конструкторы!$B965,Продажи!$C$5:$C$359,Конструкторы!$A965)</f>
        <v>0</v>
      </c>
      <c r="S965" s="166">
        <f>SUMIFS(Продажи!P$5:P$359,Продажи!$D$5:$D$359,Конструкторы!$B965,Продажи!$C$5:$C$359,Конструкторы!$A965)</f>
        <v>0</v>
      </c>
      <c r="T965" s="166">
        <f>SUMIFS(Продажи!Q$5:Q$359,Продажи!$D$5:$D$359,Конструкторы!$B965,Продажи!$C$5:$C$359,Конструкторы!$A965)</f>
        <v>0</v>
      </c>
    </row>
    <row r="966" spans="1:20" ht="15.75" hidden="1" x14ac:dyDescent="0.25">
      <c r="A966" s="166" t="s">
        <v>397</v>
      </c>
      <c r="B966" s="167" t="s">
        <v>368</v>
      </c>
      <c r="C966" s="33" t="s">
        <v>75</v>
      </c>
      <c r="D966" s="149"/>
      <c r="E966" s="153" t="s">
        <v>70</v>
      </c>
      <c r="F966" s="148">
        <v>24</v>
      </c>
      <c r="G966" s="156" t="s">
        <v>71</v>
      </c>
      <c r="H966" s="156">
        <f>F966</f>
        <v>24</v>
      </c>
      <c r="I966" s="166">
        <f>SUMIFS(Продажи!F$5:F$359,Продажи!$D$5:$D$359,Конструкторы!$B966,Продажи!$C$5:$C$359,Конструкторы!$A966)</f>
        <v>0</v>
      </c>
      <c r="J966" s="166">
        <f>SUMIFS(Продажи!G$5:G$359,Продажи!$D$5:$D$359,Конструкторы!$B966,Продажи!$C$5:$C$359,Конструкторы!$A966)</f>
        <v>0</v>
      </c>
      <c r="K966" s="166">
        <f>SUMIFS(Продажи!H$5:H$359,Продажи!$D$5:$D$359,Конструкторы!$B966,Продажи!$C$5:$C$359,Конструкторы!$A966)</f>
        <v>0</v>
      </c>
      <c r="L966" s="166">
        <f>SUMIFS(Продажи!I$5:I$359,Продажи!$D$5:$D$359,Конструкторы!$B966,Продажи!$C$5:$C$359,Конструкторы!$A966)</f>
        <v>0</v>
      </c>
      <c r="M966" s="166">
        <f>SUMIFS(Продажи!J$5:J$359,Продажи!$D$5:$D$359,Конструкторы!$B966,Продажи!$C$5:$C$359,Конструкторы!$A966)</f>
        <v>0</v>
      </c>
      <c r="N966" s="166">
        <f>SUMIFS(Продажи!K$5:K$359,Продажи!$D$5:$D$359,Конструкторы!$B966,Продажи!$C$5:$C$359,Конструкторы!$A966)</f>
        <v>0</v>
      </c>
      <c r="O966" s="166">
        <f>SUMIFS(Продажи!L$5:L$359,Продажи!$D$5:$D$359,Конструкторы!$B966,Продажи!$C$5:$C$359,Конструкторы!$A966)</f>
        <v>0</v>
      </c>
      <c r="P966" s="166">
        <f>SUMIFS(Продажи!M$5:M$359,Продажи!$D$5:$D$359,Конструкторы!$B966,Продажи!$C$5:$C$359,Конструкторы!$A966)</f>
        <v>0</v>
      </c>
      <c r="Q966" s="166">
        <f>SUMIFS(Продажи!N$5:N$359,Продажи!$D$5:$D$359,Конструкторы!$B966,Продажи!$C$5:$C$359,Конструкторы!$A966)</f>
        <v>0</v>
      </c>
      <c r="R966" s="166">
        <f>SUMIFS(Продажи!O$5:O$359,Продажи!$D$5:$D$359,Конструкторы!$B966,Продажи!$C$5:$C$359,Конструкторы!$A966)</f>
        <v>0</v>
      </c>
      <c r="S966" s="166">
        <f>SUMIFS(Продажи!P$5:P$359,Продажи!$D$5:$D$359,Конструкторы!$B966,Продажи!$C$5:$C$359,Конструкторы!$A966)</f>
        <v>0</v>
      </c>
      <c r="T966" s="166">
        <f>SUMIFS(Продажи!Q$5:Q$359,Продажи!$D$5:$D$359,Конструкторы!$B966,Продажи!$C$5:$C$359,Конструкторы!$A966)</f>
        <v>0</v>
      </c>
    </row>
    <row r="967" spans="1:20" ht="15.75" hidden="1" x14ac:dyDescent="0.25">
      <c r="A967" s="166" t="s">
        <v>397</v>
      </c>
      <c r="B967" s="167" t="s">
        <v>369</v>
      </c>
      <c r="C967" s="129" t="s">
        <v>59</v>
      </c>
      <c r="D967" s="149"/>
      <c r="E967" s="153" t="s">
        <v>68</v>
      </c>
      <c r="F967" s="156">
        <f>(0.579*103)/100</f>
        <v>0.59636999999999996</v>
      </c>
      <c r="G967" s="156">
        <v>1.7369999999999997E-2</v>
      </c>
      <c r="H967" s="156">
        <f>F967+G967</f>
        <v>0.61373999999999995</v>
      </c>
      <c r="I967" s="166">
        <f>SUMIFS(Продажи!F$5:F$359,Продажи!$D$5:$D$359,Конструкторы!$B967,Продажи!$C$5:$C$359,Конструкторы!$A967)</f>
        <v>0</v>
      </c>
      <c r="J967" s="166">
        <f>SUMIFS(Продажи!G$5:G$359,Продажи!$D$5:$D$359,Конструкторы!$B967,Продажи!$C$5:$C$359,Конструкторы!$A967)</f>
        <v>0</v>
      </c>
      <c r="K967" s="166">
        <f>SUMIFS(Продажи!H$5:H$359,Продажи!$D$5:$D$359,Конструкторы!$B967,Продажи!$C$5:$C$359,Конструкторы!$A967)</f>
        <v>0</v>
      </c>
      <c r="L967" s="166">
        <f>SUMIFS(Продажи!I$5:I$359,Продажи!$D$5:$D$359,Конструкторы!$B967,Продажи!$C$5:$C$359,Конструкторы!$A967)</f>
        <v>0</v>
      </c>
      <c r="M967" s="166">
        <f>SUMIFS(Продажи!J$5:J$359,Продажи!$D$5:$D$359,Конструкторы!$B967,Продажи!$C$5:$C$359,Конструкторы!$A967)</f>
        <v>0</v>
      </c>
      <c r="N967" s="166">
        <f>SUMIFS(Продажи!K$5:K$359,Продажи!$D$5:$D$359,Конструкторы!$B967,Продажи!$C$5:$C$359,Конструкторы!$A967)</f>
        <v>0</v>
      </c>
      <c r="O967" s="166">
        <f>SUMIFS(Продажи!L$5:L$359,Продажи!$D$5:$D$359,Конструкторы!$B967,Продажи!$C$5:$C$359,Конструкторы!$A967)</f>
        <v>0</v>
      </c>
      <c r="P967" s="166">
        <f>SUMIFS(Продажи!M$5:M$359,Продажи!$D$5:$D$359,Конструкторы!$B967,Продажи!$C$5:$C$359,Конструкторы!$A967)</f>
        <v>0</v>
      </c>
      <c r="Q967" s="166">
        <f>SUMIFS(Продажи!N$5:N$359,Продажи!$D$5:$D$359,Конструкторы!$B967,Продажи!$C$5:$C$359,Конструкторы!$A967)</f>
        <v>0</v>
      </c>
      <c r="R967" s="166">
        <f>SUMIFS(Продажи!O$5:O$359,Продажи!$D$5:$D$359,Конструкторы!$B967,Продажи!$C$5:$C$359,Конструкторы!$A967)</f>
        <v>0</v>
      </c>
      <c r="S967" s="166">
        <f>SUMIFS(Продажи!P$5:P$359,Продажи!$D$5:$D$359,Конструкторы!$B967,Продажи!$C$5:$C$359,Конструкторы!$A967)</f>
        <v>0</v>
      </c>
      <c r="T967" s="166">
        <f>SUMIFS(Продажи!Q$5:Q$359,Продажи!$D$5:$D$359,Конструкторы!$B967,Продажи!$C$5:$C$359,Конструкторы!$A967)</f>
        <v>0</v>
      </c>
    </row>
    <row r="968" spans="1:20" ht="15.75" hidden="1" x14ac:dyDescent="0.25">
      <c r="A968" s="166" t="s">
        <v>397</v>
      </c>
      <c r="B968" s="167" t="s">
        <v>369</v>
      </c>
      <c r="C968" s="33" t="s">
        <v>77</v>
      </c>
      <c r="D968" s="149"/>
      <c r="E968" s="153" t="s">
        <v>70</v>
      </c>
      <c r="F968" s="148">
        <v>4</v>
      </c>
      <c r="G968" s="156" t="s">
        <v>71</v>
      </c>
      <c r="H968" s="156">
        <f>F968</f>
        <v>4</v>
      </c>
      <c r="I968" s="166">
        <f>SUMIFS(Продажи!F$5:F$359,Продажи!$D$5:$D$359,Конструкторы!$B968,Продажи!$C$5:$C$359,Конструкторы!$A968)</f>
        <v>0</v>
      </c>
      <c r="J968" s="166">
        <f>SUMIFS(Продажи!G$5:G$359,Продажи!$D$5:$D$359,Конструкторы!$B968,Продажи!$C$5:$C$359,Конструкторы!$A968)</f>
        <v>0</v>
      </c>
      <c r="K968" s="166">
        <f>SUMIFS(Продажи!H$5:H$359,Продажи!$D$5:$D$359,Конструкторы!$B968,Продажи!$C$5:$C$359,Конструкторы!$A968)</f>
        <v>0</v>
      </c>
      <c r="L968" s="166">
        <f>SUMIFS(Продажи!I$5:I$359,Продажи!$D$5:$D$359,Конструкторы!$B968,Продажи!$C$5:$C$359,Конструкторы!$A968)</f>
        <v>0</v>
      </c>
      <c r="M968" s="166">
        <f>SUMIFS(Продажи!J$5:J$359,Продажи!$D$5:$D$359,Конструкторы!$B968,Продажи!$C$5:$C$359,Конструкторы!$A968)</f>
        <v>0</v>
      </c>
      <c r="N968" s="166">
        <f>SUMIFS(Продажи!K$5:K$359,Продажи!$D$5:$D$359,Конструкторы!$B968,Продажи!$C$5:$C$359,Конструкторы!$A968)</f>
        <v>0</v>
      </c>
      <c r="O968" s="166">
        <f>SUMIFS(Продажи!L$5:L$359,Продажи!$D$5:$D$359,Конструкторы!$B968,Продажи!$C$5:$C$359,Конструкторы!$A968)</f>
        <v>0</v>
      </c>
      <c r="P968" s="166">
        <f>SUMIFS(Продажи!M$5:M$359,Продажи!$D$5:$D$359,Конструкторы!$B968,Продажи!$C$5:$C$359,Конструкторы!$A968)</f>
        <v>0</v>
      </c>
      <c r="Q968" s="166">
        <f>SUMIFS(Продажи!N$5:N$359,Продажи!$D$5:$D$359,Конструкторы!$B968,Продажи!$C$5:$C$359,Конструкторы!$A968)</f>
        <v>0</v>
      </c>
      <c r="R968" s="166">
        <f>SUMIFS(Продажи!O$5:O$359,Продажи!$D$5:$D$359,Конструкторы!$B968,Продажи!$C$5:$C$359,Конструкторы!$A968)</f>
        <v>0</v>
      </c>
      <c r="S968" s="166">
        <f>SUMIFS(Продажи!P$5:P$359,Продажи!$D$5:$D$359,Конструкторы!$B968,Продажи!$C$5:$C$359,Конструкторы!$A968)</f>
        <v>0</v>
      </c>
      <c r="T968" s="166">
        <f>SUMIFS(Продажи!Q$5:Q$359,Продажи!$D$5:$D$359,Конструкторы!$B968,Продажи!$C$5:$C$359,Конструкторы!$A968)</f>
        <v>0</v>
      </c>
    </row>
    <row r="969" spans="1:20" ht="15.75" hidden="1" x14ac:dyDescent="0.25">
      <c r="A969" s="166" t="s">
        <v>397</v>
      </c>
      <c r="B969" s="167" t="s">
        <v>369</v>
      </c>
      <c r="C969" s="33" t="s">
        <v>75</v>
      </c>
      <c r="D969" s="149"/>
      <c r="E969" s="153" t="s">
        <v>70</v>
      </c>
      <c r="F969" s="148">
        <v>24</v>
      </c>
      <c r="G969" s="156" t="s">
        <v>71</v>
      </c>
      <c r="H969" s="156">
        <f>F969</f>
        <v>24</v>
      </c>
      <c r="I969" s="166">
        <f>SUMIFS(Продажи!F$5:F$359,Продажи!$D$5:$D$359,Конструкторы!$B969,Продажи!$C$5:$C$359,Конструкторы!$A969)</f>
        <v>0</v>
      </c>
      <c r="J969" s="166">
        <f>SUMIFS(Продажи!G$5:G$359,Продажи!$D$5:$D$359,Конструкторы!$B969,Продажи!$C$5:$C$359,Конструкторы!$A969)</f>
        <v>0</v>
      </c>
      <c r="K969" s="166">
        <f>SUMIFS(Продажи!H$5:H$359,Продажи!$D$5:$D$359,Конструкторы!$B969,Продажи!$C$5:$C$359,Конструкторы!$A969)</f>
        <v>0</v>
      </c>
      <c r="L969" s="166">
        <f>SUMIFS(Продажи!I$5:I$359,Продажи!$D$5:$D$359,Конструкторы!$B969,Продажи!$C$5:$C$359,Конструкторы!$A969)</f>
        <v>0</v>
      </c>
      <c r="M969" s="166">
        <f>SUMIFS(Продажи!J$5:J$359,Продажи!$D$5:$D$359,Конструкторы!$B969,Продажи!$C$5:$C$359,Конструкторы!$A969)</f>
        <v>0</v>
      </c>
      <c r="N969" s="166">
        <f>SUMIFS(Продажи!K$5:K$359,Продажи!$D$5:$D$359,Конструкторы!$B969,Продажи!$C$5:$C$359,Конструкторы!$A969)</f>
        <v>0</v>
      </c>
      <c r="O969" s="166">
        <f>SUMIFS(Продажи!L$5:L$359,Продажи!$D$5:$D$359,Конструкторы!$B969,Продажи!$C$5:$C$359,Конструкторы!$A969)</f>
        <v>0</v>
      </c>
      <c r="P969" s="166">
        <f>SUMIFS(Продажи!M$5:M$359,Продажи!$D$5:$D$359,Конструкторы!$B969,Продажи!$C$5:$C$359,Конструкторы!$A969)</f>
        <v>0</v>
      </c>
      <c r="Q969" s="166">
        <f>SUMIFS(Продажи!N$5:N$359,Продажи!$D$5:$D$359,Конструкторы!$B969,Продажи!$C$5:$C$359,Конструкторы!$A969)</f>
        <v>0</v>
      </c>
      <c r="R969" s="166">
        <f>SUMIFS(Продажи!O$5:O$359,Продажи!$D$5:$D$359,Конструкторы!$B969,Продажи!$C$5:$C$359,Конструкторы!$A969)</f>
        <v>0</v>
      </c>
      <c r="S969" s="166">
        <f>SUMIFS(Продажи!P$5:P$359,Продажи!$D$5:$D$359,Конструкторы!$B969,Продажи!$C$5:$C$359,Конструкторы!$A969)</f>
        <v>0</v>
      </c>
      <c r="T969" s="166">
        <f>SUMIFS(Продажи!Q$5:Q$359,Продажи!$D$5:$D$359,Конструкторы!$B969,Продажи!$C$5:$C$359,Конструкторы!$A969)</f>
        <v>0</v>
      </c>
    </row>
    <row r="970" spans="1:20" ht="15.75" hidden="1" x14ac:dyDescent="0.25">
      <c r="A970" s="166" t="s">
        <v>397</v>
      </c>
      <c r="B970" s="167" t="s">
        <v>202</v>
      </c>
      <c r="C970" s="129" t="s">
        <v>53</v>
      </c>
      <c r="D970" s="130">
        <v>7038</v>
      </c>
      <c r="E970" s="153" t="s">
        <v>68</v>
      </c>
      <c r="F970" s="156">
        <f>(1.858*103)/100</f>
        <v>1.9137400000000002</v>
      </c>
      <c r="G970" s="156">
        <v>5.5740000000000123E-2</v>
      </c>
      <c r="H970" s="156">
        <f>F970+G970</f>
        <v>1.9694800000000003</v>
      </c>
      <c r="I970" s="166">
        <f>SUMIFS(Продажи!F$5:F$359,Продажи!$D$5:$D$359,Конструкторы!$B970,Продажи!$C$5:$C$359,Конструкторы!$A970)</f>
        <v>7</v>
      </c>
      <c r="J970" s="166">
        <f>SUMIFS(Продажи!G$5:G$359,Продажи!$D$5:$D$359,Конструкторы!$B970,Продажи!$C$5:$C$359,Конструкторы!$A970)</f>
        <v>0</v>
      </c>
      <c r="K970" s="166">
        <f>SUMIFS(Продажи!H$5:H$359,Продажи!$D$5:$D$359,Конструкторы!$B970,Продажи!$C$5:$C$359,Конструкторы!$A970)</f>
        <v>0</v>
      </c>
      <c r="L970" s="166">
        <f>SUMIFS(Продажи!I$5:I$359,Продажи!$D$5:$D$359,Конструкторы!$B970,Продажи!$C$5:$C$359,Конструкторы!$A970)</f>
        <v>0</v>
      </c>
      <c r="M970" s="166">
        <f>SUMIFS(Продажи!J$5:J$359,Продажи!$D$5:$D$359,Конструкторы!$B970,Продажи!$C$5:$C$359,Конструкторы!$A970)</f>
        <v>0</v>
      </c>
      <c r="N970" s="166">
        <f>SUMIFS(Продажи!K$5:K$359,Продажи!$D$5:$D$359,Конструкторы!$B970,Продажи!$C$5:$C$359,Конструкторы!$A970)</f>
        <v>0</v>
      </c>
      <c r="O970" s="166">
        <f>SUMIFS(Продажи!L$5:L$359,Продажи!$D$5:$D$359,Конструкторы!$B970,Продажи!$C$5:$C$359,Конструкторы!$A970)</f>
        <v>0</v>
      </c>
      <c r="P970" s="166">
        <f>SUMIFS(Продажи!M$5:M$359,Продажи!$D$5:$D$359,Конструкторы!$B970,Продажи!$C$5:$C$359,Конструкторы!$A970)</f>
        <v>0</v>
      </c>
      <c r="Q970" s="166">
        <f>SUMIFS(Продажи!N$5:N$359,Продажи!$D$5:$D$359,Конструкторы!$B970,Продажи!$C$5:$C$359,Конструкторы!$A970)</f>
        <v>0</v>
      </c>
      <c r="R970" s="166">
        <f>SUMIFS(Продажи!O$5:O$359,Продажи!$D$5:$D$359,Конструкторы!$B970,Продажи!$C$5:$C$359,Конструкторы!$A970)</f>
        <v>0</v>
      </c>
      <c r="S970" s="166">
        <f>SUMIFS(Продажи!P$5:P$359,Продажи!$D$5:$D$359,Конструкторы!$B970,Продажи!$C$5:$C$359,Конструкторы!$A970)</f>
        <v>0</v>
      </c>
      <c r="T970" s="166">
        <f>SUMIFS(Продажи!Q$5:Q$359,Продажи!$D$5:$D$359,Конструкторы!$B970,Продажи!$C$5:$C$359,Конструкторы!$A970)</f>
        <v>0</v>
      </c>
    </row>
    <row r="971" spans="1:20" ht="15.75" hidden="1" x14ac:dyDescent="0.25">
      <c r="A971" s="166" t="s">
        <v>397</v>
      </c>
      <c r="B971" s="167" t="s">
        <v>202</v>
      </c>
      <c r="C971" s="129" t="s">
        <v>52</v>
      </c>
      <c r="D971" s="149"/>
      <c r="E971" s="153" t="s">
        <v>68</v>
      </c>
      <c r="F971" s="156">
        <f>(0.644*103)/100</f>
        <v>0.66332000000000013</v>
      </c>
      <c r="G971" s="156">
        <v>1.9320000000000115E-2</v>
      </c>
      <c r="H971" s="156">
        <f>F971+G971</f>
        <v>0.68264000000000025</v>
      </c>
      <c r="I971" s="166">
        <f>SUMIFS(Продажи!F$5:F$359,Продажи!$D$5:$D$359,Конструкторы!$B971,Продажи!$C$5:$C$359,Конструкторы!$A971)</f>
        <v>7</v>
      </c>
      <c r="J971" s="166">
        <f>SUMIFS(Продажи!G$5:G$359,Продажи!$D$5:$D$359,Конструкторы!$B971,Продажи!$C$5:$C$359,Конструкторы!$A971)</f>
        <v>0</v>
      </c>
      <c r="K971" s="166">
        <f>SUMIFS(Продажи!H$5:H$359,Продажи!$D$5:$D$359,Конструкторы!$B971,Продажи!$C$5:$C$359,Конструкторы!$A971)</f>
        <v>0</v>
      </c>
      <c r="L971" s="166">
        <f>SUMIFS(Продажи!I$5:I$359,Продажи!$D$5:$D$359,Конструкторы!$B971,Продажи!$C$5:$C$359,Конструкторы!$A971)</f>
        <v>0</v>
      </c>
      <c r="M971" s="166">
        <f>SUMIFS(Продажи!J$5:J$359,Продажи!$D$5:$D$359,Конструкторы!$B971,Продажи!$C$5:$C$359,Конструкторы!$A971)</f>
        <v>0</v>
      </c>
      <c r="N971" s="166">
        <f>SUMIFS(Продажи!K$5:K$359,Продажи!$D$5:$D$359,Конструкторы!$B971,Продажи!$C$5:$C$359,Конструкторы!$A971)</f>
        <v>0</v>
      </c>
      <c r="O971" s="166">
        <f>SUMIFS(Продажи!L$5:L$359,Продажи!$D$5:$D$359,Конструкторы!$B971,Продажи!$C$5:$C$359,Конструкторы!$A971)</f>
        <v>0</v>
      </c>
      <c r="P971" s="166">
        <f>SUMIFS(Продажи!M$5:M$359,Продажи!$D$5:$D$359,Конструкторы!$B971,Продажи!$C$5:$C$359,Конструкторы!$A971)</f>
        <v>0</v>
      </c>
      <c r="Q971" s="166">
        <f>SUMIFS(Продажи!N$5:N$359,Продажи!$D$5:$D$359,Конструкторы!$B971,Продажи!$C$5:$C$359,Конструкторы!$A971)</f>
        <v>0</v>
      </c>
      <c r="R971" s="166">
        <f>SUMIFS(Продажи!O$5:O$359,Продажи!$D$5:$D$359,Конструкторы!$B971,Продажи!$C$5:$C$359,Конструкторы!$A971)</f>
        <v>0</v>
      </c>
      <c r="S971" s="166">
        <f>SUMIFS(Продажи!P$5:P$359,Продажи!$D$5:$D$359,Конструкторы!$B971,Продажи!$C$5:$C$359,Конструкторы!$A971)</f>
        <v>0</v>
      </c>
      <c r="T971" s="166">
        <f>SUMIFS(Продажи!Q$5:Q$359,Продажи!$D$5:$D$359,Конструкторы!$B971,Продажи!$C$5:$C$359,Конструкторы!$A971)</f>
        <v>0</v>
      </c>
    </row>
    <row r="972" spans="1:20" ht="15.75" hidden="1" x14ac:dyDescent="0.25">
      <c r="A972" s="166" t="s">
        <v>397</v>
      </c>
      <c r="B972" s="167" t="s">
        <v>202</v>
      </c>
      <c r="C972" s="33" t="s">
        <v>73</v>
      </c>
      <c r="D972" s="149"/>
      <c r="E972" s="153" t="s">
        <v>70</v>
      </c>
      <c r="F972" s="148">
        <v>4</v>
      </c>
      <c r="G972" s="156" t="s">
        <v>71</v>
      </c>
      <c r="H972" s="156">
        <f>F972</f>
        <v>4</v>
      </c>
      <c r="I972" s="166">
        <f>SUMIFS(Продажи!F$5:F$359,Продажи!$D$5:$D$359,Конструкторы!$B972,Продажи!$C$5:$C$359,Конструкторы!$A972)</f>
        <v>7</v>
      </c>
      <c r="J972" s="166">
        <f>SUMIFS(Продажи!G$5:G$359,Продажи!$D$5:$D$359,Конструкторы!$B972,Продажи!$C$5:$C$359,Конструкторы!$A972)</f>
        <v>0</v>
      </c>
      <c r="K972" s="166">
        <f>SUMIFS(Продажи!H$5:H$359,Продажи!$D$5:$D$359,Конструкторы!$B972,Продажи!$C$5:$C$359,Конструкторы!$A972)</f>
        <v>0</v>
      </c>
      <c r="L972" s="166">
        <f>SUMIFS(Продажи!I$5:I$359,Продажи!$D$5:$D$359,Конструкторы!$B972,Продажи!$C$5:$C$359,Конструкторы!$A972)</f>
        <v>0</v>
      </c>
      <c r="M972" s="166">
        <f>SUMIFS(Продажи!J$5:J$359,Продажи!$D$5:$D$359,Конструкторы!$B972,Продажи!$C$5:$C$359,Конструкторы!$A972)</f>
        <v>0</v>
      </c>
      <c r="N972" s="166">
        <f>SUMIFS(Продажи!K$5:K$359,Продажи!$D$5:$D$359,Конструкторы!$B972,Продажи!$C$5:$C$359,Конструкторы!$A972)</f>
        <v>0</v>
      </c>
      <c r="O972" s="166">
        <f>SUMIFS(Продажи!L$5:L$359,Продажи!$D$5:$D$359,Конструкторы!$B972,Продажи!$C$5:$C$359,Конструкторы!$A972)</f>
        <v>0</v>
      </c>
      <c r="P972" s="166">
        <f>SUMIFS(Продажи!M$5:M$359,Продажи!$D$5:$D$359,Конструкторы!$B972,Продажи!$C$5:$C$359,Конструкторы!$A972)</f>
        <v>0</v>
      </c>
      <c r="Q972" s="166">
        <f>SUMIFS(Продажи!N$5:N$359,Продажи!$D$5:$D$359,Конструкторы!$B972,Продажи!$C$5:$C$359,Конструкторы!$A972)</f>
        <v>0</v>
      </c>
      <c r="R972" s="166">
        <f>SUMIFS(Продажи!O$5:O$359,Продажи!$D$5:$D$359,Конструкторы!$B972,Продажи!$C$5:$C$359,Конструкторы!$A972)</f>
        <v>0</v>
      </c>
      <c r="S972" s="166">
        <f>SUMIFS(Продажи!P$5:P$359,Продажи!$D$5:$D$359,Конструкторы!$B972,Продажи!$C$5:$C$359,Конструкторы!$A972)</f>
        <v>0</v>
      </c>
      <c r="T972" s="166">
        <f>SUMIFS(Продажи!Q$5:Q$359,Продажи!$D$5:$D$359,Конструкторы!$B972,Продажи!$C$5:$C$359,Конструкторы!$A972)</f>
        <v>0</v>
      </c>
    </row>
    <row r="973" spans="1:20" ht="15.75" hidden="1" x14ac:dyDescent="0.25">
      <c r="A973" s="166" t="s">
        <v>397</v>
      </c>
      <c r="B973" s="167" t="s">
        <v>202</v>
      </c>
      <c r="C973" s="33" t="s">
        <v>75</v>
      </c>
      <c r="D973" s="149"/>
      <c r="E973" s="153" t="s">
        <v>70</v>
      </c>
      <c r="F973" s="148">
        <v>12</v>
      </c>
      <c r="G973" s="156" t="s">
        <v>71</v>
      </c>
      <c r="H973" s="156">
        <f>F973</f>
        <v>12</v>
      </c>
      <c r="I973" s="166">
        <f>SUMIFS(Продажи!F$5:F$359,Продажи!$D$5:$D$359,Конструкторы!$B973,Продажи!$C$5:$C$359,Конструкторы!$A973)</f>
        <v>7</v>
      </c>
      <c r="J973" s="166">
        <f>SUMIFS(Продажи!G$5:G$359,Продажи!$D$5:$D$359,Конструкторы!$B973,Продажи!$C$5:$C$359,Конструкторы!$A973)</f>
        <v>0</v>
      </c>
      <c r="K973" s="166">
        <f>SUMIFS(Продажи!H$5:H$359,Продажи!$D$5:$D$359,Конструкторы!$B973,Продажи!$C$5:$C$359,Конструкторы!$A973)</f>
        <v>0</v>
      </c>
      <c r="L973" s="166">
        <f>SUMIFS(Продажи!I$5:I$359,Продажи!$D$5:$D$359,Конструкторы!$B973,Продажи!$C$5:$C$359,Конструкторы!$A973)</f>
        <v>0</v>
      </c>
      <c r="M973" s="166">
        <f>SUMIFS(Продажи!J$5:J$359,Продажи!$D$5:$D$359,Конструкторы!$B973,Продажи!$C$5:$C$359,Конструкторы!$A973)</f>
        <v>0</v>
      </c>
      <c r="N973" s="166">
        <f>SUMIFS(Продажи!K$5:K$359,Продажи!$D$5:$D$359,Конструкторы!$B973,Продажи!$C$5:$C$359,Конструкторы!$A973)</f>
        <v>0</v>
      </c>
      <c r="O973" s="166">
        <f>SUMIFS(Продажи!L$5:L$359,Продажи!$D$5:$D$359,Конструкторы!$B973,Продажи!$C$5:$C$359,Конструкторы!$A973)</f>
        <v>0</v>
      </c>
      <c r="P973" s="166">
        <f>SUMIFS(Продажи!M$5:M$359,Продажи!$D$5:$D$359,Конструкторы!$B973,Продажи!$C$5:$C$359,Конструкторы!$A973)</f>
        <v>0</v>
      </c>
      <c r="Q973" s="166">
        <f>SUMIFS(Продажи!N$5:N$359,Продажи!$D$5:$D$359,Конструкторы!$B973,Продажи!$C$5:$C$359,Конструкторы!$A973)</f>
        <v>0</v>
      </c>
      <c r="R973" s="166">
        <f>SUMIFS(Продажи!O$5:O$359,Продажи!$D$5:$D$359,Конструкторы!$B973,Продажи!$C$5:$C$359,Конструкторы!$A973)</f>
        <v>0</v>
      </c>
      <c r="S973" s="166">
        <f>SUMIFS(Продажи!P$5:P$359,Продажи!$D$5:$D$359,Конструкторы!$B973,Продажи!$C$5:$C$359,Конструкторы!$A973)</f>
        <v>0</v>
      </c>
      <c r="T973" s="166">
        <f>SUMIFS(Продажи!Q$5:Q$359,Продажи!$D$5:$D$359,Конструкторы!$B973,Продажи!$C$5:$C$359,Конструкторы!$A973)</f>
        <v>0</v>
      </c>
    </row>
    <row r="974" spans="1:20" ht="15.75" hidden="1" x14ac:dyDescent="0.25">
      <c r="A974" s="166" t="s">
        <v>397</v>
      </c>
      <c r="B974" s="167" t="s">
        <v>202</v>
      </c>
      <c r="C974" s="33" t="s">
        <v>69</v>
      </c>
      <c r="D974" s="149"/>
      <c r="E974" s="153" t="s">
        <v>70</v>
      </c>
      <c r="F974" s="148">
        <v>10</v>
      </c>
      <c r="G974" s="156" t="s">
        <v>71</v>
      </c>
      <c r="H974" s="156">
        <f>F974</f>
        <v>10</v>
      </c>
      <c r="I974" s="166">
        <f>SUMIFS(Продажи!F$5:F$359,Продажи!$D$5:$D$359,Конструкторы!$B974,Продажи!$C$5:$C$359,Конструкторы!$A974)</f>
        <v>7</v>
      </c>
      <c r="J974" s="166">
        <f>SUMIFS(Продажи!G$5:G$359,Продажи!$D$5:$D$359,Конструкторы!$B974,Продажи!$C$5:$C$359,Конструкторы!$A974)</f>
        <v>0</v>
      </c>
      <c r="K974" s="166">
        <f>SUMIFS(Продажи!H$5:H$359,Продажи!$D$5:$D$359,Конструкторы!$B974,Продажи!$C$5:$C$359,Конструкторы!$A974)</f>
        <v>0</v>
      </c>
      <c r="L974" s="166">
        <f>SUMIFS(Продажи!I$5:I$359,Продажи!$D$5:$D$359,Конструкторы!$B974,Продажи!$C$5:$C$359,Конструкторы!$A974)</f>
        <v>0</v>
      </c>
      <c r="M974" s="166">
        <f>SUMIFS(Продажи!J$5:J$359,Продажи!$D$5:$D$359,Конструкторы!$B974,Продажи!$C$5:$C$359,Конструкторы!$A974)</f>
        <v>0</v>
      </c>
      <c r="N974" s="166">
        <f>SUMIFS(Продажи!K$5:K$359,Продажи!$D$5:$D$359,Конструкторы!$B974,Продажи!$C$5:$C$359,Конструкторы!$A974)</f>
        <v>0</v>
      </c>
      <c r="O974" s="166">
        <f>SUMIFS(Продажи!L$5:L$359,Продажи!$D$5:$D$359,Конструкторы!$B974,Продажи!$C$5:$C$359,Конструкторы!$A974)</f>
        <v>0</v>
      </c>
      <c r="P974" s="166">
        <f>SUMIFS(Продажи!M$5:M$359,Продажи!$D$5:$D$359,Конструкторы!$B974,Продажи!$C$5:$C$359,Конструкторы!$A974)</f>
        <v>0</v>
      </c>
      <c r="Q974" s="166">
        <f>SUMIFS(Продажи!N$5:N$359,Продажи!$D$5:$D$359,Конструкторы!$B974,Продажи!$C$5:$C$359,Конструкторы!$A974)</f>
        <v>0</v>
      </c>
      <c r="R974" s="166">
        <f>SUMIFS(Продажи!O$5:O$359,Продажи!$D$5:$D$359,Конструкторы!$B974,Продажи!$C$5:$C$359,Конструкторы!$A974)</f>
        <v>0</v>
      </c>
      <c r="S974" s="166">
        <f>SUMIFS(Продажи!P$5:P$359,Продажи!$D$5:$D$359,Конструкторы!$B974,Продажи!$C$5:$C$359,Конструкторы!$A974)</f>
        <v>0</v>
      </c>
      <c r="T974" s="166">
        <f>SUMIFS(Продажи!Q$5:Q$359,Продажи!$D$5:$D$359,Конструкторы!$B974,Продажи!$C$5:$C$359,Конструкторы!$A974)</f>
        <v>0</v>
      </c>
    </row>
    <row r="975" spans="1:20" ht="15.75" hidden="1" x14ac:dyDescent="0.25">
      <c r="A975" s="166" t="s">
        <v>397</v>
      </c>
      <c r="B975" s="167" t="s">
        <v>203</v>
      </c>
      <c r="C975" s="129" t="s">
        <v>53</v>
      </c>
      <c r="D975" s="130">
        <v>7038</v>
      </c>
      <c r="E975" s="153" t="s">
        <v>68</v>
      </c>
      <c r="F975" s="156">
        <f>(1.858*103)/100</f>
        <v>1.9137400000000002</v>
      </c>
      <c r="G975" s="156">
        <v>5.5740000000000123E-2</v>
      </c>
      <c r="H975" s="156">
        <f>F975+G975</f>
        <v>1.9694800000000003</v>
      </c>
      <c r="I975" s="166">
        <f>SUMIFS(Продажи!F$5:F$359,Продажи!$D$5:$D$359,Конструкторы!$B975,Продажи!$C$5:$C$359,Конструкторы!$A975)</f>
        <v>0</v>
      </c>
      <c r="J975" s="166">
        <f>SUMIFS(Продажи!G$5:G$359,Продажи!$D$5:$D$359,Конструкторы!$B975,Продажи!$C$5:$C$359,Конструкторы!$A975)</f>
        <v>0</v>
      </c>
      <c r="K975" s="166">
        <f>SUMIFS(Продажи!H$5:H$359,Продажи!$D$5:$D$359,Конструкторы!$B975,Продажи!$C$5:$C$359,Конструкторы!$A975)</f>
        <v>0</v>
      </c>
      <c r="L975" s="166">
        <f>SUMIFS(Продажи!I$5:I$359,Продажи!$D$5:$D$359,Конструкторы!$B975,Продажи!$C$5:$C$359,Конструкторы!$A975)</f>
        <v>0</v>
      </c>
      <c r="M975" s="166">
        <f>SUMIFS(Продажи!J$5:J$359,Продажи!$D$5:$D$359,Конструкторы!$B975,Продажи!$C$5:$C$359,Конструкторы!$A975)</f>
        <v>0</v>
      </c>
      <c r="N975" s="166">
        <f>SUMIFS(Продажи!K$5:K$359,Продажи!$D$5:$D$359,Конструкторы!$B975,Продажи!$C$5:$C$359,Конструкторы!$A975)</f>
        <v>0</v>
      </c>
      <c r="O975" s="166">
        <f>SUMIFS(Продажи!L$5:L$359,Продажи!$D$5:$D$359,Конструкторы!$B975,Продажи!$C$5:$C$359,Конструкторы!$A975)</f>
        <v>0</v>
      </c>
      <c r="P975" s="166">
        <f>SUMIFS(Продажи!M$5:M$359,Продажи!$D$5:$D$359,Конструкторы!$B975,Продажи!$C$5:$C$359,Конструкторы!$A975)</f>
        <v>0</v>
      </c>
      <c r="Q975" s="166">
        <f>SUMIFS(Продажи!N$5:N$359,Продажи!$D$5:$D$359,Конструкторы!$B975,Продажи!$C$5:$C$359,Конструкторы!$A975)</f>
        <v>0</v>
      </c>
      <c r="R975" s="166">
        <f>SUMIFS(Продажи!O$5:O$359,Продажи!$D$5:$D$359,Конструкторы!$B975,Продажи!$C$5:$C$359,Конструкторы!$A975)</f>
        <v>0</v>
      </c>
      <c r="S975" s="166">
        <f>SUMIFS(Продажи!P$5:P$359,Продажи!$D$5:$D$359,Конструкторы!$B975,Продажи!$C$5:$C$359,Конструкторы!$A975)</f>
        <v>0</v>
      </c>
      <c r="T975" s="166">
        <f>SUMIFS(Продажи!Q$5:Q$359,Продажи!$D$5:$D$359,Конструкторы!$B975,Продажи!$C$5:$C$359,Конструкторы!$A975)</f>
        <v>0</v>
      </c>
    </row>
    <row r="976" spans="1:20" ht="15.75" hidden="1" x14ac:dyDescent="0.25">
      <c r="A976" s="166" t="s">
        <v>397</v>
      </c>
      <c r="B976" s="167" t="s">
        <v>203</v>
      </c>
      <c r="C976" s="129" t="s">
        <v>52</v>
      </c>
      <c r="D976" s="149"/>
      <c r="E976" s="153" t="s">
        <v>68</v>
      </c>
      <c r="F976" s="156">
        <f>(1.048*103)/100</f>
        <v>1.07944</v>
      </c>
      <c r="G976" s="156">
        <v>3.1439999999999912E-2</v>
      </c>
      <c r="H976" s="156">
        <f>F976+G976</f>
        <v>1.1108799999999999</v>
      </c>
      <c r="I976" s="166">
        <f>SUMIFS(Продажи!F$5:F$359,Продажи!$D$5:$D$359,Конструкторы!$B976,Продажи!$C$5:$C$359,Конструкторы!$A976)</f>
        <v>0</v>
      </c>
      <c r="J976" s="166">
        <f>SUMIFS(Продажи!G$5:G$359,Продажи!$D$5:$D$359,Конструкторы!$B976,Продажи!$C$5:$C$359,Конструкторы!$A976)</f>
        <v>0</v>
      </c>
      <c r="K976" s="166">
        <f>SUMIFS(Продажи!H$5:H$359,Продажи!$D$5:$D$359,Конструкторы!$B976,Продажи!$C$5:$C$359,Конструкторы!$A976)</f>
        <v>0</v>
      </c>
      <c r="L976" s="166">
        <f>SUMIFS(Продажи!I$5:I$359,Продажи!$D$5:$D$359,Конструкторы!$B976,Продажи!$C$5:$C$359,Конструкторы!$A976)</f>
        <v>0</v>
      </c>
      <c r="M976" s="166">
        <f>SUMIFS(Продажи!J$5:J$359,Продажи!$D$5:$D$359,Конструкторы!$B976,Продажи!$C$5:$C$359,Конструкторы!$A976)</f>
        <v>0</v>
      </c>
      <c r="N976" s="166">
        <f>SUMIFS(Продажи!K$5:K$359,Продажи!$D$5:$D$359,Конструкторы!$B976,Продажи!$C$5:$C$359,Конструкторы!$A976)</f>
        <v>0</v>
      </c>
      <c r="O976" s="166">
        <f>SUMIFS(Продажи!L$5:L$359,Продажи!$D$5:$D$359,Конструкторы!$B976,Продажи!$C$5:$C$359,Конструкторы!$A976)</f>
        <v>0</v>
      </c>
      <c r="P976" s="166">
        <f>SUMIFS(Продажи!M$5:M$359,Продажи!$D$5:$D$359,Конструкторы!$B976,Продажи!$C$5:$C$359,Конструкторы!$A976)</f>
        <v>0</v>
      </c>
      <c r="Q976" s="166">
        <f>SUMIFS(Продажи!N$5:N$359,Продажи!$D$5:$D$359,Конструкторы!$B976,Продажи!$C$5:$C$359,Конструкторы!$A976)</f>
        <v>0</v>
      </c>
      <c r="R976" s="166">
        <f>SUMIFS(Продажи!O$5:O$359,Продажи!$D$5:$D$359,Конструкторы!$B976,Продажи!$C$5:$C$359,Конструкторы!$A976)</f>
        <v>0</v>
      </c>
      <c r="S976" s="166">
        <f>SUMIFS(Продажи!P$5:P$359,Продажи!$D$5:$D$359,Конструкторы!$B976,Продажи!$C$5:$C$359,Конструкторы!$A976)</f>
        <v>0</v>
      </c>
      <c r="T976" s="166">
        <f>SUMIFS(Продажи!Q$5:Q$359,Продажи!$D$5:$D$359,Конструкторы!$B976,Продажи!$C$5:$C$359,Конструкторы!$A976)</f>
        <v>0</v>
      </c>
    </row>
    <row r="977" spans="1:20" ht="15.75" hidden="1" x14ac:dyDescent="0.25">
      <c r="A977" s="166" t="s">
        <v>397</v>
      </c>
      <c r="B977" s="167" t="s">
        <v>203</v>
      </c>
      <c r="C977" s="33" t="s">
        <v>73</v>
      </c>
      <c r="D977" s="149"/>
      <c r="E977" s="153" t="s">
        <v>70</v>
      </c>
      <c r="F977" s="148">
        <v>4</v>
      </c>
      <c r="G977" s="156" t="s">
        <v>71</v>
      </c>
      <c r="H977" s="156">
        <f>F977</f>
        <v>4</v>
      </c>
      <c r="I977" s="166">
        <f>SUMIFS(Продажи!F$5:F$359,Продажи!$D$5:$D$359,Конструкторы!$B977,Продажи!$C$5:$C$359,Конструкторы!$A977)</f>
        <v>0</v>
      </c>
      <c r="J977" s="166">
        <f>SUMIFS(Продажи!G$5:G$359,Продажи!$D$5:$D$359,Конструкторы!$B977,Продажи!$C$5:$C$359,Конструкторы!$A977)</f>
        <v>0</v>
      </c>
      <c r="K977" s="166">
        <f>SUMIFS(Продажи!H$5:H$359,Продажи!$D$5:$D$359,Конструкторы!$B977,Продажи!$C$5:$C$359,Конструкторы!$A977)</f>
        <v>0</v>
      </c>
      <c r="L977" s="166">
        <f>SUMIFS(Продажи!I$5:I$359,Продажи!$D$5:$D$359,Конструкторы!$B977,Продажи!$C$5:$C$359,Конструкторы!$A977)</f>
        <v>0</v>
      </c>
      <c r="M977" s="166">
        <f>SUMIFS(Продажи!J$5:J$359,Продажи!$D$5:$D$359,Конструкторы!$B977,Продажи!$C$5:$C$359,Конструкторы!$A977)</f>
        <v>0</v>
      </c>
      <c r="N977" s="166">
        <f>SUMIFS(Продажи!K$5:K$359,Продажи!$D$5:$D$359,Конструкторы!$B977,Продажи!$C$5:$C$359,Конструкторы!$A977)</f>
        <v>0</v>
      </c>
      <c r="O977" s="166">
        <f>SUMIFS(Продажи!L$5:L$359,Продажи!$D$5:$D$359,Конструкторы!$B977,Продажи!$C$5:$C$359,Конструкторы!$A977)</f>
        <v>0</v>
      </c>
      <c r="P977" s="166">
        <f>SUMIFS(Продажи!M$5:M$359,Продажи!$D$5:$D$359,Конструкторы!$B977,Продажи!$C$5:$C$359,Конструкторы!$A977)</f>
        <v>0</v>
      </c>
      <c r="Q977" s="166">
        <f>SUMIFS(Продажи!N$5:N$359,Продажи!$D$5:$D$359,Конструкторы!$B977,Продажи!$C$5:$C$359,Конструкторы!$A977)</f>
        <v>0</v>
      </c>
      <c r="R977" s="166">
        <f>SUMIFS(Продажи!O$5:O$359,Продажи!$D$5:$D$359,Конструкторы!$B977,Продажи!$C$5:$C$359,Конструкторы!$A977)</f>
        <v>0</v>
      </c>
      <c r="S977" s="166">
        <f>SUMIFS(Продажи!P$5:P$359,Продажи!$D$5:$D$359,Конструкторы!$B977,Продажи!$C$5:$C$359,Конструкторы!$A977)</f>
        <v>0</v>
      </c>
      <c r="T977" s="166">
        <f>SUMIFS(Продажи!Q$5:Q$359,Продажи!$D$5:$D$359,Конструкторы!$B977,Продажи!$C$5:$C$359,Конструкторы!$A977)</f>
        <v>0</v>
      </c>
    </row>
    <row r="978" spans="1:20" ht="15.75" hidden="1" x14ac:dyDescent="0.25">
      <c r="A978" s="166" t="s">
        <v>397</v>
      </c>
      <c r="B978" s="167" t="s">
        <v>203</v>
      </c>
      <c r="C978" s="33" t="s">
        <v>75</v>
      </c>
      <c r="D978" s="149"/>
      <c r="E978" s="153" t="s">
        <v>70</v>
      </c>
      <c r="F978" s="148">
        <v>12</v>
      </c>
      <c r="G978" s="156" t="s">
        <v>71</v>
      </c>
      <c r="H978" s="156">
        <f>F978</f>
        <v>12</v>
      </c>
      <c r="I978" s="166">
        <f>SUMIFS(Продажи!F$5:F$359,Продажи!$D$5:$D$359,Конструкторы!$B978,Продажи!$C$5:$C$359,Конструкторы!$A978)</f>
        <v>0</v>
      </c>
      <c r="J978" s="166">
        <f>SUMIFS(Продажи!G$5:G$359,Продажи!$D$5:$D$359,Конструкторы!$B978,Продажи!$C$5:$C$359,Конструкторы!$A978)</f>
        <v>0</v>
      </c>
      <c r="K978" s="166">
        <f>SUMIFS(Продажи!H$5:H$359,Продажи!$D$5:$D$359,Конструкторы!$B978,Продажи!$C$5:$C$359,Конструкторы!$A978)</f>
        <v>0</v>
      </c>
      <c r="L978" s="166">
        <f>SUMIFS(Продажи!I$5:I$359,Продажи!$D$5:$D$359,Конструкторы!$B978,Продажи!$C$5:$C$359,Конструкторы!$A978)</f>
        <v>0</v>
      </c>
      <c r="M978" s="166">
        <f>SUMIFS(Продажи!J$5:J$359,Продажи!$D$5:$D$359,Конструкторы!$B978,Продажи!$C$5:$C$359,Конструкторы!$A978)</f>
        <v>0</v>
      </c>
      <c r="N978" s="166">
        <f>SUMIFS(Продажи!K$5:K$359,Продажи!$D$5:$D$359,Конструкторы!$B978,Продажи!$C$5:$C$359,Конструкторы!$A978)</f>
        <v>0</v>
      </c>
      <c r="O978" s="166">
        <f>SUMIFS(Продажи!L$5:L$359,Продажи!$D$5:$D$359,Конструкторы!$B978,Продажи!$C$5:$C$359,Конструкторы!$A978)</f>
        <v>0</v>
      </c>
      <c r="P978" s="166">
        <f>SUMIFS(Продажи!M$5:M$359,Продажи!$D$5:$D$359,Конструкторы!$B978,Продажи!$C$5:$C$359,Конструкторы!$A978)</f>
        <v>0</v>
      </c>
      <c r="Q978" s="166">
        <f>SUMIFS(Продажи!N$5:N$359,Продажи!$D$5:$D$359,Конструкторы!$B978,Продажи!$C$5:$C$359,Конструкторы!$A978)</f>
        <v>0</v>
      </c>
      <c r="R978" s="166">
        <f>SUMIFS(Продажи!O$5:O$359,Продажи!$D$5:$D$359,Конструкторы!$B978,Продажи!$C$5:$C$359,Конструкторы!$A978)</f>
        <v>0</v>
      </c>
      <c r="S978" s="166">
        <f>SUMIFS(Продажи!P$5:P$359,Продажи!$D$5:$D$359,Конструкторы!$B978,Продажи!$C$5:$C$359,Конструкторы!$A978)</f>
        <v>0</v>
      </c>
      <c r="T978" s="166">
        <f>SUMIFS(Продажи!Q$5:Q$359,Продажи!$D$5:$D$359,Конструкторы!$B978,Продажи!$C$5:$C$359,Конструкторы!$A978)</f>
        <v>0</v>
      </c>
    </row>
    <row r="979" spans="1:20" ht="15.75" hidden="1" x14ac:dyDescent="0.25">
      <c r="A979" s="166" t="s">
        <v>397</v>
      </c>
      <c r="B979" s="167" t="s">
        <v>203</v>
      </c>
      <c r="C979" s="33" t="s">
        <v>69</v>
      </c>
      <c r="D979" s="149"/>
      <c r="E979" s="153" t="s">
        <v>70</v>
      </c>
      <c r="F979" s="148">
        <v>10</v>
      </c>
      <c r="G979" s="156" t="s">
        <v>71</v>
      </c>
      <c r="H979" s="156">
        <f>F979</f>
        <v>10</v>
      </c>
      <c r="I979" s="166">
        <f>SUMIFS(Продажи!F$5:F$359,Продажи!$D$5:$D$359,Конструкторы!$B979,Продажи!$C$5:$C$359,Конструкторы!$A979)</f>
        <v>0</v>
      </c>
      <c r="J979" s="166">
        <f>SUMIFS(Продажи!G$5:G$359,Продажи!$D$5:$D$359,Конструкторы!$B979,Продажи!$C$5:$C$359,Конструкторы!$A979)</f>
        <v>0</v>
      </c>
      <c r="K979" s="166">
        <f>SUMIFS(Продажи!H$5:H$359,Продажи!$D$5:$D$359,Конструкторы!$B979,Продажи!$C$5:$C$359,Конструкторы!$A979)</f>
        <v>0</v>
      </c>
      <c r="L979" s="166">
        <f>SUMIFS(Продажи!I$5:I$359,Продажи!$D$5:$D$359,Конструкторы!$B979,Продажи!$C$5:$C$359,Конструкторы!$A979)</f>
        <v>0</v>
      </c>
      <c r="M979" s="166">
        <f>SUMIFS(Продажи!J$5:J$359,Продажи!$D$5:$D$359,Конструкторы!$B979,Продажи!$C$5:$C$359,Конструкторы!$A979)</f>
        <v>0</v>
      </c>
      <c r="N979" s="166">
        <f>SUMIFS(Продажи!K$5:K$359,Продажи!$D$5:$D$359,Конструкторы!$B979,Продажи!$C$5:$C$359,Конструкторы!$A979)</f>
        <v>0</v>
      </c>
      <c r="O979" s="166">
        <f>SUMIFS(Продажи!L$5:L$359,Продажи!$D$5:$D$359,Конструкторы!$B979,Продажи!$C$5:$C$359,Конструкторы!$A979)</f>
        <v>0</v>
      </c>
      <c r="P979" s="166">
        <f>SUMIFS(Продажи!M$5:M$359,Продажи!$D$5:$D$359,Конструкторы!$B979,Продажи!$C$5:$C$359,Конструкторы!$A979)</f>
        <v>0</v>
      </c>
      <c r="Q979" s="166">
        <f>SUMIFS(Продажи!N$5:N$359,Продажи!$D$5:$D$359,Конструкторы!$B979,Продажи!$C$5:$C$359,Конструкторы!$A979)</f>
        <v>0</v>
      </c>
      <c r="R979" s="166">
        <f>SUMIFS(Продажи!O$5:O$359,Продажи!$D$5:$D$359,Конструкторы!$B979,Продажи!$C$5:$C$359,Конструкторы!$A979)</f>
        <v>0</v>
      </c>
      <c r="S979" s="166">
        <f>SUMIFS(Продажи!P$5:P$359,Продажи!$D$5:$D$359,Конструкторы!$B979,Продажи!$C$5:$C$359,Конструкторы!$A979)</f>
        <v>0</v>
      </c>
      <c r="T979" s="166">
        <f>SUMIFS(Продажи!Q$5:Q$359,Продажи!$D$5:$D$359,Конструкторы!$B979,Продажи!$C$5:$C$359,Конструкторы!$A979)</f>
        <v>0</v>
      </c>
    </row>
    <row r="980" spans="1:20" ht="15.75" hidden="1" x14ac:dyDescent="0.25">
      <c r="A980" s="166" t="s">
        <v>397</v>
      </c>
      <c r="B980" s="167" t="s">
        <v>204</v>
      </c>
      <c r="C980" s="129" t="s">
        <v>53</v>
      </c>
      <c r="D980" s="130">
        <v>7038</v>
      </c>
      <c r="E980" s="153" t="s">
        <v>68</v>
      </c>
      <c r="F980" s="156">
        <f>(1.856*103)/100</f>
        <v>1.91168</v>
      </c>
      <c r="G980" s="156">
        <v>5.5679999999999952E-2</v>
      </c>
      <c r="H980" s="156">
        <f>F980+G980</f>
        <v>1.96736</v>
      </c>
      <c r="I980" s="166">
        <f>SUMIFS(Продажи!F$5:F$359,Продажи!$D$5:$D$359,Конструкторы!$B980,Продажи!$C$5:$C$359,Конструкторы!$A980)</f>
        <v>0</v>
      </c>
      <c r="J980" s="166">
        <f>SUMIFS(Продажи!G$5:G$359,Продажи!$D$5:$D$359,Конструкторы!$B980,Продажи!$C$5:$C$359,Конструкторы!$A980)</f>
        <v>0</v>
      </c>
      <c r="K980" s="166">
        <f>SUMIFS(Продажи!H$5:H$359,Продажи!$D$5:$D$359,Конструкторы!$B980,Продажи!$C$5:$C$359,Конструкторы!$A980)</f>
        <v>0</v>
      </c>
      <c r="L980" s="166">
        <f>SUMIFS(Продажи!I$5:I$359,Продажи!$D$5:$D$359,Конструкторы!$B980,Продажи!$C$5:$C$359,Конструкторы!$A980)</f>
        <v>0</v>
      </c>
      <c r="M980" s="166">
        <f>SUMIFS(Продажи!J$5:J$359,Продажи!$D$5:$D$359,Конструкторы!$B980,Продажи!$C$5:$C$359,Конструкторы!$A980)</f>
        <v>0</v>
      </c>
      <c r="N980" s="166">
        <f>SUMIFS(Продажи!K$5:K$359,Продажи!$D$5:$D$359,Конструкторы!$B980,Продажи!$C$5:$C$359,Конструкторы!$A980)</f>
        <v>0</v>
      </c>
      <c r="O980" s="166">
        <f>SUMIFS(Продажи!L$5:L$359,Продажи!$D$5:$D$359,Конструкторы!$B980,Продажи!$C$5:$C$359,Конструкторы!$A980)</f>
        <v>0</v>
      </c>
      <c r="P980" s="166">
        <f>SUMIFS(Продажи!M$5:M$359,Продажи!$D$5:$D$359,Конструкторы!$B980,Продажи!$C$5:$C$359,Конструкторы!$A980)</f>
        <v>0</v>
      </c>
      <c r="Q980" s="166">
        <f>SUMIFS(Продажи!N$5:N$359,Продажи!$D$5:$D$359,Конструкторы!$B980,Продажи!$C$5:$C$359,Конструкторы!$A980)</f>
        <v>0</v>
      </c>
      <c r="R980" s="166">
        <f>SUMIFS(Продажи!O$5:O$359,Продажи!$D$5:$D$359,Конструкторы!$B980,Продажи!$C$5:$C$359,Конструкторы!$A980)</f>
        <v>0</v>
      </c>
      <c r="S980" s="166">
        <f>SUMIFS(Продажи!P$5:P$359,Продажи!$D$5:$D$359,Конструкторы!$B980,Продажи!$C$5:$C$359,Конструкторы!$A980)</f>
        <v>0</v>
      </c>
      <c r="T980" s="166">
        <f>SUMIFS(Продажи!Q$5:Q$359,Продажи!$D$5:$D$359,Конструкторы!$B980,Продажи!$C$5:$C$359,Конструкторы!$A980)</f>
        <v>0</v>
      </c>
    </row>
    <row r="981" spans="1:20" ht="15.75" hidden="1" x14ac:dyDescent="0.25">
      <c r="A981" s="166" t="s">
        <v>397</v>
      </c>
      <c r="B981" s="167" t="s">
        <v>204</v>
      </c>
      <c r="C981" s="129" t="s">
        <v>52</v>
      </c>
      <c r="D981" s="149"/>
      <c r="E981" s="153" t="s">
        <v>68</v>
      </c>
      <c r="F981" s="156">
        <f>(1.448*103)/100</f>
        <v>1.4914400000000001</v>
      </c>
      <c r="G981" s="156">
        <v>4.3440000000000145E-2</v>
      </c>
      <c r="H981" s="156">
        <f>F981+G981</f>
        <v>1.5348800000000002</v>
      </c>
      <c r="I981" s="166">
        <f>SUMIFS(Продажи!F$5:F$359,Продажи!$D$5:$D$359,Конструкторы!$B981,Продажи!$C$5:$C$359,Конструкторы!$A981)</f>
        <v>0</v>
      </c>
      <c r="J981" s="166">
        <f>SUMIFS(Продажи!G$5:G$359,Продажи!$D$5:$D$359,Конструкторы!$B981,Продажи!$C$5:$C$359,Конструкторы!$A981)</f>
        <v>0</v>
      </c>
      <c r="K981" s="166">
        <f>SUMIFS(Продажи!H$5:H$359,Продажи!$D$5:$D$359,Конструкторы!$B981,Продажи!$C$5:$C$359,Конструкторы!$A981)</f>
        <v>0</v>
      </c>
      <c r="L981" s="166">
        <f>SUMIFS(Продажи!I$5:I$359,Продажи!$D$5:$D$359,Конструкторы!$B981,Продажи!$C$5:$C$359,Конструкторы!$A981)</f>
        <v>0</v>
      </c>
      <c r="M981" s="166">
        <f>SUMIFS(Продажи!J$5:J$359,Продажи!$D$5:$D$359,Конструкторы!$B981,Продажи!$C$5:$C$359,Конструкторы!$A981)</f>
        <v>0</v>
      </c>
      <c r="N981" s="166">
        <f>SUMIFS(Продажи!K$5:K$359,Продажи!$D$5:$D$359,Конструкторы!$B981,Продажи!$C$5:$C$359,Конструкторы!$A981)</f>
        <v>0</v>
      </c>
      <c r="O981" s="166">
        <f>SUMIFS(Продажи!L$5:L$359,Продажи!$D$5:$D$359,Конструкторы!$B981,Продажи!$C$5:$C$359,Конструкторы!$A981)</f>
        <v>0</v>
      </c>
      <c r="P981" s="166">
        <f>SUMIFS(Продажи!M$5:M$359,Продажи!$D$5:$D$359,Конструкторы!$B981,Продажи!$C$5:$C$359,Конструкторы!$A981)</f>
        <v>0</v>
      </c>
      <c r="Q981" s="166">
        <f>SUMIFS(Продажи!N$5:N$359,Продажи!$D$5:$D$359,Конструкторы!$B981,Продажи!$C$5:$C$359,Конструкторы!$A981)</f>
        <v>0</v>
      </c>
      <c r="R981" s="166">
        <f>SUMIFS(Продажи!O$5:O$359,Продажи!$D$5:$D$359,Конструкторы!$B981,Продажи!$C$5:$C$359,Конструкторы!$A981)</f>
        <v>0</v>
      </c>
      <c r="S981" s="166">
        <f>SUMIFS(Продажи!P$5:P$359,Продажи!$D$5:$D$359,Конструкторы!$B981,Продажи!$C$5:$C$359,Конструкторы!$A981)</f>
        <v>0</v>
      </c>
      <c r="T981" s="166">
        <f>SUMIFS(Продажи!Q$5:Q$359,Продажи!$D$5:$D$359,Конструкторы!$B981,Продажи!$C$5:$C$359,Конструкторы!$A981)</f>
        <v>0</v>
      </c>
    </row>
    <row r="982" spans="1:20" ht="15.75" hidden="1" x14ac:dyDescent="0.25">
      <c r="A982" s="166" t="s">
        <v>397</v>
      </c>
      <c r="B982" s="167" t="s">
        <v>204</v>
      </c>
      <c r="C982" s="33" t="s">
        <v>73</v>
      </c>
      <c r="D982" s="149"/>
      <c r="E982" s="153" t="s">
        <v>70</v>
      </c>
      <c r="F982" s="148">
        <v>4</v>
      </c>
      <c r="G982" s="156" t="s">
        <v>71</v>
      </c>
      <c r="H982" s="156">
        <f>F982</f>
        <v>4</v>
      </c>
      <c r="I982" s="166">
        <f>SUMIFS(Продажи!F$5:F$359,Продажи!$D$5:$D$359,Конструкторы!$B982,Продажи!$C$5:$C$359,Конструкторы!$A982)</f>
        <v>0</v>
      </c>
      <c r="J982" s="166">
        <f>SUMIFS(Продажи!G$5:G$359,Продажи!$D$5:$D$359,Конструкторы!$B982,Продажи!$C$5:$C$359,Конструкторы!$A982)</f>
        <v>0</v>
      </c>
      <c r="K982" s="166">
        <f>SUMIFS(Продажи!H$5:H$359,Продажи!$D$5:$D$359,Конструкторы!$B982,Продажи!$C$5:$C$359,Конструкторы!$A982)</f>
        <v>0</v>
      </c>
      <c r="L982" s="166">
        <f>SUMIFS(Продажи!I$5:I$359,Продажи!$D$5:$D$359,Конструкторы!$B982,Продажи!$C$5:$C$359,Конструкторы!$A982)</f>
        <v>0</v>
      </c>
      <c r="M982" s="166">
        <f>SUMIFS(Продажи!J$5:J$359,Продажи!$D$5:$D$359,Конструкторы!$B982,Продажи!$C$5:$C$359,Конструкторы!$A982)</f>
        <v>0</v>
      </c>
      <c r="N982" s="166">
        <f>SUMIFS(Продажи!K$5:K$359,Продажи!$D$5:$D$359,Конструкторы!$B982,Продажи!$C$5:$C$359,Конструкторы!$A982)</f>
        <v>0</v>
      </c>
      <c r="O982" s="166">
        <f>SUMIFS(Продажи!L$5:L$359,Продажи!$D$5:$D$359,Конструкторы!$B982,Продажи!$C$5:$C$359,Конструкторы!$A982)</f>
        <v>0</v>
      </c>
      <c r="P982" s="166">
        <f>SUMIFS(Продажи!M$5:M$359,Продажи!$D$5:$D$359,Конструкторы!$B982,Продажи!$C$5:$C$359,Конструкторы!$A982)</f>
        <v>0</v>
      </c>
      <c r="Q982" s="166">
        <f>SUMIFS(Продажи!N$5:N$359,Продажи!$D$5:$D$359,Конструкторы!$B982,Продажи!$C$5:$C$359,Конструкторы!$A982)</f>
        <v>0</v>
      </c>
      <c r="R982" s="166">
        <f>SUMIFS(Продажи!O$5:O$359,Продажи!$D$5:$D$359,Конструкторы!$B982,Продажи!$C$5:$C$359,Конструкторы!$A982)</f>
        <v>0</v>
      </c>
      <c r="S982" s="166">
        <f>SUMIFS(Продажи!P$5:P$359,Продажи!$D$5:$D$359,Конструкторы!$B982,Продажи!$C$5:$C$359,Конструкторы!$A982)</f>
        <v>0</v>
      </c>
      <c r="T982" s="166">
        <f>SUMIFS(Продажи!Q$5:Q$359,Продажи!$D$5:$D$359,Конструкторы!$B982,Продажи!$C$5:$C$359,Конструкторы!$A982)</f>
        <v>0</v>
      </c>
    </row>
    <row r="983" spans="1:20" ht="15.75" hidden="1" x14ac:dyDescent="0.25">
      <c r="A983" s="166" t="s">
        <v>397</v>
      </c>
      <c r="B983" s="167" t="s">
        <v>204</v>
      </c>
      <c r="C983" s="33" t="s">
        <v>75</v>
      </c>
      <c r="D983" s="149"/>
      <c r="E983" s="153" t="s">
        <v>70</v>
      </c>
      <c r="F983" s="148">
        <v>12</v>
      </c>
      <c r="G983" s="156" t="s">
        <v>71</v>
      </c>
      <c r="H983" s="156">
        <f>F983</f>
        <v>12</v>
      </c>
      <c r="I983" s="166">
        <f>SUMIFS(Продажи!F$5:F$359,Продажи!$D$5:$D$359,Конструкторы!$B983,Продажи!$C$5:$C$359,Конструкторы!$A983)</f>
        <v>0</v>
      </c>
      <c r="J983" s="166">
        <f>SUMIFS(Продажи!G$5:G$359,Продажи!$D$5:$D$359,Конструкторы!$B983,Продажи!$C$5:$C$359,Конструкторы!$A983)</f>
        <v>0</v>
      </c>
      <c r="K983" s="166">
        <f>SUMIFS(Продажи!H$5:H$359,Продажи!$D$5:$D$359,Конструкторы!$B983,Продажи!$C$5:$C$359,Конструкторы!$A983)</f>
        <v>0</v>
      </c>
      <c r="L983" s="166">
        <f>SUMIFS(Продажи!I$5:I$359,Продажи!$D$5:$D$359,Конструкторы!$B983,Продажи!$C$5:$C$359,Конструкторы!$A983)</f>
        <v>0</v>
      </c>
      <c r="M983" s="166">
        <f>SUMIFS(Продажи!J$5:J$359,Продажи!$D$5:$D$359,Конструкторы!$B983,Продажи!$C$5:$C$359,Конструкторы!$A983)</f>
        <v>0</v>
      </c>
      <c r="N983" s="166">
        <f>SUMIFS(Продажи!K$5:K$359,Продажи!$D$5:$D$359,Конструкторы!$B983,Продажи!$C$5:$C$359,Конструкторы!$A983)</f>
        <v>0</v>
      </c>
      <c r="O983" s="166">
        <f>SUMIFS(Продажи!L$5:L$359,Продажи!$D$5:$D$359,Конструкторы!$B983,Продажи!$C$5:$C$359,Конструкторы!$A983)</f>
        <v>0</v>
      </c>
      <c r="P983" s="166">
        <f>SUMIFS(Продажи!M$5:M$359,Продажи!$D$5:$D$359,Конструкторы!$B983,Продажи!$C$5:$C$359,Конструкторы!$A983)</f>
        <v>0</v>
      </c>
      <c r="Q983" s="166">
        <f>SUMIFS(Продажи!N$5:N$359,Продажи!$D$5:$D$359,Конструкторы!$B983,Продажи!$C$5:$C$359,Конструкторы!$A983)</f>
        <v>0</v>
      </c>
      <c r="R983" s="166">
        <f>SUMIFS(Продажи!O$5:O$359,Продажи!$D$5:$D$359,Конструкторы!$B983,Продажи!$C$5:$C$359,Конструкторы!$A983)</f>
        <v>0</v>
      </c>
      <c r="S983" s="166">
        <f>SUMIFS(Продажи!P$5:P$359,Продажи!$D$5:$D$359,Конструкторы!$B983,Продажи!$C$5:$C$359,Конструкторы!$A983)</f>
        <v>0</v>
      </c>
      <c r="T983" s="166">
        <f>SUMIFS(Продажи!Q$5:Q$359,Продажи!$D$5:$D$359,Конструкторы!$B983,Продажи!$C$5:$C$359,Конструкторы!$A983)</f>
        <v>0</v>
      </c>
    </row>
    <row r="984" spans="1:20" ht="15.75" hidden="1" x14ac:dyDescent="0.25">
      <c r="A984" s="166" t="s">
        <v>397</v>
      </c>
      <c r="B984" s="167" t="s">
        <v>204</v>
      </c>
      <c r="C984" s="33" t="s">
        <v>69</v>
      </c>
      <c r="D984" s="149"/>
      <c r="E984" s="153" t="s">
        <v>70</v>
      </c>
      <c r="F984" s="148">
        <v>10</v>
      </c>
      <c r="G984" s="156" t="s">
        <v>71</v>
      </c>
      <c r="H984" s="156">
        <f>F984</f>
        <v>10</v>
      </c>
      <c r="I984" s="166">
        <f>SUMIFS(Продажи!F$5:F$359,Продажи!$D$5:$D$359,Конструкторы!$B984,Продажи!$C$5:$C$359,Конструкторы!$A984)</f>
        <v>0</v>
      </c>
      <c r="J984" s="166">
        <f>SUMIFS(Продажи!G$5:G$359,Продажи!$D$5:$D$359,Конструкторы!$B984,Продажи!$C$5:$C$359,Конструкторы!$A984)</f>
        <v>0</v>
      </c>
      <c r="K984" s="166">
        <f>SUMIFS(Продажи!H$5:H$359,Продажи!$D$5:$D$359,Конструкторы!$B984,Продажи!$C$5:$C$359,Конструкторы!$A984)</f>
        <v>0</v>
      </c>
      <c r="L984" s="166">
        <f>SUMIFS(Продажи!I$5:I$359,Продажи!$D$5:$D$359,Конструкторы!$B984,Продажи!$C$5:$C$359,Конструкторы!$A984)</f>
        <v>0</v>
      </c>
      <c r="M984" s="166">
        <f>SUMIFS(Продажи!J$5:J$359,Продажи!$D$5:$D$359,Конструкторы!$B984,Продажи!$C$5:$C$359,Конструкторы!$A984)</f>
        <v>0</v>
      </c>
      <c r="N984" s="166">
        <f>SUMIFS(Продажи!K$5:K$359,Продажи!$D$5:$D$359,Конструкторы!$B984,Продажи!$C$5:$C$359,Конструкторы!$A984)</f>
        <v>0</v>
      </c>
      <c r="O984" s="166">
        <f>SUMIFS(Продажи!L$5:L$359,Продажи!$D$5:$D$359,Конструкторы!$B984,Продажи!$C$5:$C$359,Конструкторы!$A984)</f>
        <v>0</v>
      </c>
      <c r="P984" s="166">
        <f>SUMIFS(Продажи!M$5:M$359,Продажи!$D$5:$D$359,Конструкторы!$B984,Продажи!$C$5:$C$359,Конструкторы!$A984)</f>
        <v>0</v>
      </c>
      <c r="Q984" s="166">
        <f>SUMIFS(Продажи!N$5:N$359,Продажи!$D$5:$D$359,Конструкторы!$B984,Продажи!$C$5:$C$359,Конструкторы!$A984)</f>
        <v>0</v>
      </c>
      <c r="R984" s="166">
        <f>SUMIFS(Продажи!O$5:O$359,Продажи!$D$5:$D$359,Конструкторы!$B984,Продажи!$C$5:$C$359,Конструкторы!$A984)</f>
        <v>0</v>
      </c>
      <c r="S984" s="166">
        <f>SUMIFS(Продажи!P$5:P$359,Продажи!$D$5:$D$359,Конструкторы!$B984,Продажи!$C$5:$C$359,Конструкторы!$A984)</f>
        <v>0</v>
      </c>
      <c r="T984" s="166">
        <f>SUMIFS(Продажи!Q$5:Q$359,Продажи!$D$5:$D$359,Конструкторы!$B984,Продажи!$C$5:$C$359,Конструкторы!$A984)</f>
        <v>0</v>
      </c>
    </row>
    <row r="985" spans="1:20" ht="15.75" hidden="1" x14ac:dyDescent="0.25">
      <c r="A985" s="166" t="s">
        <v>397</v>
      </c>
      <c r="B985" s="167" t="s">
        <v>205</v>
      </c>
      <c r="C985" s="129" t="s">
        <v>53</v>
      </c>
      <c r="D985" s="130">
        <v>7038</v>
      </c>
      <c r="E985" s="153" t="s">
        <v>68</v>
      </c>
      <c r="F985" s="156">
        <f>(1.856*103)/100</f>
        <v>1.91168</v>
      </c>
      <c r="G985" s="156">
        <v>5.5679999999999952E-2</v>
      </c>
      <c r="H985" s="156">
        <f>F985+G985</f>
        <v>1.96736</v>
      </c>
      <c r="I985" s="166">
        <f>SUMIFS(Продажи!F$5:F$359,Продажи!$D$5:$D$359,Конструкторы!$B985,Продажи!$C$5:$C$359,Конструкторы!$A985)</f>
        <v>0</v>
      </c>
      <c r="J985" s="166">
        <f>SUMIFS(Продажи!G$5:G$359,Продажи!$D$5:$D$359,Конструкторы!$B985,Продажи!$C$5:$C$359,Конструкторы!$A985)</f>
        <v>0</v>
      </c>
      <c r="K985" s="166">
        <f>SUMIFS(Продажи!H$5:H$359,Продажи!$D$5:$D$359,Конструкторы!$B985,Продажи!$C$5:$C$359,Конструкторы!$A985)</f>
        <v>0</v>
      </c>
      <c r="L985" s="166">
        <f>SUMIFS(Продажи!I$5:I$359,Продажи!$D$5:$D$359,Конструкторы!$B985,Продажи!$C$5:$C$359,Конструкторы!$A985)</f>
        <v>0</v>
      </c>
      <c r="M985" s="166">
        <f>SUMIFS(Продажи!J$5:J$359,Продажи!$D$5:$D$359,Конструкторы!$B985,Продажи!$C$5:$C$359,Конструкторы!$A985)</f>
        <v>0</v>
      </c>
      <c r="N985" s="166">
        <f>SUMIFS(Продажи!K$5:K$359,Продажи!$D$5:$D$359,Конструкторы!$B985,Продажи!$C$5:$C$359,Конструкторы!$A985)</f>
        <v>0</v>
      </c>
      <c r="O985" s="166">
        <f>SUMIFS(Продажи!L$5:L$359,Продажи!$D$5:$D$359,Конструкторы!$B985,Продажи!$C$5:$C$359,Конструкторы!$A985)</f>
        <v>0</v>
      </c>
      <c r="P985" s="166">
        <f>SUMIFS(Продажи!M$5:M$359,Продажи!$D$5:$D$359,Конструкторы!$B985,Продажи!$C$5:$C$359,Конструкторы!$A985)</f>
        <v>0</v>
      </c>
      <c r="Q985" s="166">
        <f>SUMIFS(Продажи!N$5:N$359,Продажи!$D$5:$D$359,Конструкторы!$B985,Продажи!$C$5:$C$359,Конструкторы!$A985)</f>
        <v>0</v>
      </c>
      <c r="R985" s="166">
        <f>SUMIFS(Продажи!O$5:O$359,Продажи!$D$5:$D$359,Конструкторы!$B985,Продажи!$C$5:$C$359,Конструкторы!$A985)</f>
        <v>0</v>
      </c>
      <c r="S985" s="166">
        <f>SUMIFS(Продажи!P$5:P$359,Продажи!$D$5:$D$359,Конструкторы!$B985,Продажи!$C$5:$C$359,Конструкторы!$A985)</f>
        <v>0</v>
      </c>
      <c r="T985" s="166">
        <f>SUMIFS(Продажи!Q$5:Q$359,Продажи!$D$5:$D$359,Конструкторы!$B985,Продажи!$C$5:$C$359,Конструкторы!$A985)</f>
        <v>0</v>
      </c>
    </row>
    <row r="986" spans="1:20" ht="15.75" hidden="1" x14ac:dyDescent="0.25">
      <c r="A986" s="166" t="s">
        <v>397</v>
      </c>
      <c r="B986" s="167" t="s">
        <v>205</v>
      </c>
      <c r="C986" s="129" t="s">
        <v>52</v>
      </c>
      <c r="D986" s="149"/>
      <c r="E986" s="153" t="s">
        <v>68</v>
      </c>
      <c r="F986" s="156">
        <f>(1.848*103)/100</f>
        <v>1.9034400000000002</v>
      </c>
      <c r="G986" s="156">
        <v>5.5440000000000156E-2</v>
      </c>
      <c r="H986" s="156">
        <f>F986+G986</f>
        <v>1.9588800000000004</v>
      </c>
      <c r="I986" s="166">
        <f>SUMIFS(Продажи!F$5:F$359,Продажи!$D$5:$D$359,Конструкторы!$B986,Продажи!$C$5:$C$359,Конструкторы!$A986)</f>
        <v>0</v>
      </c>
      <c r="J986" s="166">
        <f>SUMIFS(Продажи!G$5:G$359,Продажи!$D$5:$D$359,Конструкторы!$B986,Продажи!$C$5:$C$359,Конструкторы!$A986)</f>
        <v>0</v>
      </c>
      <c r="K986" s="166">
        <f>SUMIFS(Продажи!H$5:H$359,Продажи!$D$5:$D$359,Конструкторы!$B986,Продажи!$C$5:$C$359,Конструкторы!$A986)</f>
        <v>0</v>
      </c>
      <c r="L986" s="166">
        <f>SUMIFS(Продажи!I$5:I$359,Продажи!$D$5:$D$359,Конструкторы!$B986,Продажи!$C$5:$C$359,Конструкторы!$A986)</f>
        <v>0</v>
      </c>
      <c r="M986" s="166">
        <f>SUMIFS(Продажи!J$5:J$359,Продажи!$D$5:$D$359,Конструкторы!$B986,Продажи!$C$5:$C$359,Конструкторы!$A986)</f>
        <v>0</v>
      </c>
      <c r="N986" s="166">
        <f>SUMIFS(Продажи!K$5:K$359,Продажи!$D$5:$D$359,Конструкторы!$B986,Продажи!$C$5:$C$359,Конструкторы!$A986)</f>
        <v>0</v>
      </c>
      <c r="O986" s="166">
        <f>SUMIFS(Продажи!L$5:L$359,Продажи!$D$5:$D$359,Конструкторы!$B986,Продажи!$C$5:$C$359,Конструкторы!$A986)</f>
        <v>0</v>
      </c>
      <c r="P986" s="166">
        <f>SUMIFS(Продажи!M$5:M$359,Продажи!$D$5:$D$359,Конструкторы!$B986,Продажи!$C$5:$C$359,Конструкторы!$A986)</f>
        <v>0</v>
      </c>
      <c r="Q986" s="166">
        <f>SUMIFS(Продажи!N$5:N$359,Продажи!$D$5:$D$359,Конструкторы!$B986,Продажи!$C$5:$C$359,Конструкторы!$A986)</f>
        <v>0</v>
      </c>
      <c r="R986" s="166">
        <f>SUMIFS(Продажи!O$5:O$359,Продажи!$D$5:$D$359,Конструкторы!$B986,Продажи!$C$5:$C$359,Конструкторы!$A986)</f>
        <v>0</v>
      </c>
      <c r="S986" s="166">
        <f>SUMIFS(Продажи!P$5:P$359,Продажи!$D$5:$D$359,Конструкторы!$B986,Продажи!$C$5:$C$359,Конструкторы!$A986)</f>
        <v>0</v>
      </c>
      <c r="T986" s="166">
        <f>SUMIFS(Продажи!Q$5:Q$359,Продажи!$D$5:$D$359,Конструкторы!$B986,Продажи!$C$5:$C$359,Конструкторы!$A986)</f>
        <v>0</v>
      </c>
    </row>
    <row r="987" spans="1:20" ht="15.75" hidden="1" x14ac:dyDescent="0.25">
      <c r="A987" s="166" t="s">
        <v>397</v>
      </c>
      <c r="B987" s="167" t="s">
        <v>205</v>
      </c>
      <c r="C987" s="33" t="s">
        <v>73</v>
      </c>
      <c r="D987" s="149"/>
      <c r="E987" s="153" t="s">
        <v>70</v>
      </c>
      <c r="F987" s="148">
        <v>4</v>
      </c>
      <c r="G987" s="156" t="s">
        <v>71</v>
      </c>
      <c r="H987" s="156">
        <f>F987</f>
        <v>4</v>
      </c>
      <c r="I987" s="166">
        <f>SUMIFS(Продажи!F$5:F$359,Продажи!$D$5:$D$359,Конструкторы!$B987,Продажи!$C$5:$C$359,Конструкторы!$A987)</f>
        <v>0</v>
      </c>
      <c r="J987" s="166">
        <f>SUMIFS(Продажи!G$5:G$359,Продажи!$D$5:$D$359,Конструкторы!$B987,Продажи!$C$5:$C$359,Конструкторы!$A987)</f>
        <v>0</v>
      </c>
      <c r="K987" s="166">
        <f>SUMIFS(Продажи!H$5:H$359,Продажи!$D$5:$D$359,Конструкторы!$B987,Продажи!$C$5:$C$359,Конструкторы!$A987)</f>
        <v>0</v>
      </c>
      <c r="L987" s="166">
        <f>SUMIFS(Продажи!I$5:I$359,Продажи!$D$5:$D$359,Конструкторы!$B987,Продажи!$C$5:$C$359,Конструкторы!$A987)</f>
        <v>0</v>
      </c>
      <c r="M987" s="166">
        <f>SUMIFS(Продажи!J$5:J$359,Продажи!$D$5:$D$359,Конструкторы!$B987,Продажи!$C$5:$C$359,Конструкторы!$A987)</f>
        <v>0</v>
      </c>
      <c r="N987" s="166">
        <f>SUMIFS(Продажи!K$5:K$359,Продажи!$D$5:$D$359,Конструкторы!$B987,Продажи!$C$5:$C$359,Конструкторы!$A987)</f>
        <v>0</v>
      </c>
      <c r="O987" s="166">
        <f>SUMIFS(Продажи!L$5:L$359,Продажи!$D$5:$D$359,Конструкторы!$B987,Продажи!$C$5:$C$359,Конструкторы!$A987)</f>
        <v>0</v>
      </c>
      <c r="P987" s="166">
        <f>SUMIFS(Продажи!M$5:M$359,Продажи!$D$5:$D$359,Конструкторы!$B987,Продажи!$C$5:$C$359,Конструкторы!$A987)</f>
        <v>0</v>
      </c>
      <c r="Q987" s="166">
        <f>SUMIFS(Продажи!N$5:N$359,Продажи!$D$5:$D$359,Конструкторы!$B987,Продажи!$C$5:$C$359,Конструкторы!$A987)</f>
        <v>0</v>
      </c>
      <c r="R987" s="166">
        <f>SUMIFS(Продажи!O$5:O$359,Продажи!$D$5:$D$359,Конструкторы!$B987,Продажи!$C$5:$C$359,Конструкторы!$A987)</f>
        <v>0</v>
      </c>
      <c r="S987" s="166">
        <f>SUMIFS(Продажи!P$5:P$359,Продажи!$D$5:$D$359,Конструкторы!$B987,Продажи!$C$5:$C$359,Конструкторы!$A987)</f>
        <v>0</v>
      </c>
      <c r="T987" s="166">
        <f>SUMIFS(Продажи!Q$5:Q$359,Продажи!$D$5:$D$359,Конструкторы!$B987,Продажи!$C$5:$C$359,Конструкторы!$A987)</f>
        <v>0</v>
      </c>
    </row>
    <row r="988" spans="1:20" ht="15.75" hidden="1" x14ac:dyDescent="0.25">
      <c r="A988" s="166" t="s">
        <v>397</v>
      </c>
      <c r="B988" s="167" t="s">
        <v>205</v>
      </c>
      <c r="C988" s="33" t="s">
        <v>75</v>
      </c>
      <c r="D988" s="149"/>
      <c r="E988" s="153" t="s">
        <v>70</v>
      </c>
      <c r="F988" s="148">
        <v>12</v>
      </c>
      <c r="G988" s="156" t="s">
        <v>71</v>
      </c>
      <c r="H988" s="156">
        <f>F988</f>
        <v>12</v>
      </c>
      <c r="I988" s="166">
        <f>SUMIFS(Продажи!F$5:F$359,Продажи!$D$5:$D$359,Конструкторы!$B988,Продажи!$C$5:$C$359,Конструкторы!$A988)</f>
        <v>0</v>
      </c>
      <c r="J988" s="166">
        <f>SUMIFS(Продажи!G$5:G$359,Продажи!$D$5:$D$359,Конструкторы!$B988,Продажи!$C$5:$C$359,Конструкторы!$A988)</f>
        <v>0</v>
      </c>
      <c r="K988" s="166">
        <f>SUMIFS(Продажи!H$5:H$359,Продажи!$D$5:$D$359,Конструкторы!$B988,Продажи!$C$5:$C$359,Конструкторы!$A988)</f>
        <v>0</v>
      </c>
      <c r="L988" s="166">
        <f>SUMIFS(Продажи!I$5:I$359,Продажи!$D$5:$D$359,Конструкторы!$B988,Продажи!$C$5:$C$359,Конструкторы!$A988)</f>
        <v>0</v>
      </c>
      <c r="M988" s="166">
        <f>SUMIFS(Продажи!J$5:J$359,Продажи!$D$5:$D$359,Конструкторы!$B988,Продажи!$C$5:$C$359,Конструкторы!$A988)</f>
        <v>0</v>
      </c>
      <c r="N988" s="166">
        <f>SUMIFS(Продажи!K$5:K$359,Продажи!$D$5:$D$359,Конструкторы!$B988,Продажи!$C$5:$C$359,Конструкторы!$A988)</f>
        <v>0</v>
      </c>
      <c r="O988" s="166">
        <f>SUMIFS(Продажи!L$5:L$359,Продажи!$D$5:$D$359,Конструкторы!$B988,Продажи!$C$5:$C$359,Конструкторы!$A988)</f>
        <v>0</v>
      </c>
      <c r="P988" s="166">
        <f>SUMIFS(Продажи!M$5:M$359,Продажи!$D$5:$D$359,Конструкторы!$B988,Продажи!$C$5:$C$359,Конструкторы!$A988)</f>
        <v>0</v>
      </c>
      <c r="Q988" s="166">
        <f>SUMIFS(Продажи!N$5:N$359,Продажи!$D$5:$D$359,Конструкторы!$B988,Продажи!$C$5:$C$359,Конструкторы!$A988)</f>
        <v>0</v>
      </c>
      <c r="R988" s="166">
        <f>SUMIFS(Продажи!O$5:O$359,Продажи!$D$5:$D$359,Конструкторы!$B988,Продажи!$C$5:$C$359,Конструкторы!$A988)</f>
        <v>0</v>
      </c>
      <c r="S988" s="166">
        <f>SUMIFS(Продажи!P$5:P$359,Продажи!$D$5:$D$359,Конструкторы!$B988,Продажи!$C$5:$C$359,Конструкторы!$A988)</f>
        <v>0</v>
      </c>
      <c r="T988" s="166">
        <f>SUMIFS(Продажи!Q$5:Q$359,Продажи!$D$5:$D$359,Конструкторы!$B988,Продажи!$C$5:$C$359,Конструкторы!$A988)</f>
        <v>0</v>
      </c>
    </row>
    <row r="989" spans="1:20" ht="15.75" hidden="1" x14ac:dyDescent="0.25">
      <c r="A989" s="166" t="s">
        <v>397</v>
      </c>
      <c r="B989" s="167" t="s">
        <v>205</v>
      </c>
      <c r="C989" s="33" t="s">
        <v>69</v>
      </c>
      <c r="D989" s="149"/>
      <c r="E989" s="153" t="s">
        <v>70</v>
      </c>
      <c r="F989" s="148">
        <v>10</v>
      </c>
      <c r="G989" s="156" t="s">
        <v>71</v>
      </c>
      <c r="H989" s="156">
        <f>F989</f>
        <v>10</v>
      </c>
      <c r="I989" s="166">
        <f>SUMIFS(Продажи!F$5:F$359,Продажи!$D$5:$D$359,Конструкторы!$B989,Продажи!$C$5:$C$359,Конструкторы!$A989)</f>
        <v>0</v>
      </c>
      <c r="J989" s="166">
        <f>SUMIFS(Продажи!G$5:G$359,Продажи!$D$5:$D$359,Конструкторы!$B989,Продажи!$C$5:$C$359,Конструкторы!$A989)</f>
        <v>0</v>
      </c>
      <c r="K989" s="166">
        <f>SUMIFS(Продажи!H$5:H$359,Продажи!$D$5:$D$359,Конструкторы!$B989,Продажи!$C$5:$C$359,Конструкторы!$A989)</f>
        <v>0</v>
      </c>
      <c r="L989" s="166">
        <f>SUMIFS(Продажи!I$5:I$359,Продажи!$D$5:$D$359,Конструкторы!$B989,Продажи!$C$5:$C$359,Конструкторы!$A989)</f>
        <v>0</v>
      </c>
      <c r="M989" s="166">
        <f>SUMIFS(Продажи!J$5:J$359,Продажи!$D$5:$D$359,Конструкторы!$B989,Продажи!$C$5:$C$359,Конструкторы!$A989)</f>
        <v>0</v>
      </c>
      <c r="N989" s="166">
        <f>SUMIFS(Продажи!K$5:K$359,Продажи!$D$5:$D$359,Конструкторы!$B989,Продажи!$C$5:$C$359,Конструкторы!$A989)</f>
        <v>0</v>
      </c>
      <c r="O989" s="166">
        <f>SUMIFS(Продажи!L$5:L$359,Продажи!$D$5:$D$359,Конструкторы!$B989,Продажи!$C$5:$C$359,Конструкторы!$A989)</f>
        <v>0</v>
      </c>
      <c r="P989" s="166">
        <f>SUMIFS(Продажи!M$5:M$359,Продажи!$D$5:$D$359,Конструкторы!$B989,Продажи!$C$5:$C$359,Конструкторы!$A989)</f>
        <v>0</v>
      </c>
      <c r="Q989" s="166">
        <f>SUMIFS(Продажи!N$5:N$359,Продажи!$D$5:$D$359,Конструкторы!$B989,Продажи!$C$5:$C$359,Конструкторы!$A989)</f>
        <v>0</v>
      </c>
      <c r="R989" s="166">
        <f>SUMIFS(Продажи!O$5:O$359,Продажи!$D$5:$D$359,Конструкторы!$B989,Продажи!$C$5:$C$359,Конструкторы!$A989)</f>
        <v>0</v>
      </c>
      <c r="S989" s="166">
        <f>SUMIFS(Продажи!P$5:P$359,Продажи!$D$5:$D$359,Конструкторы!$B989,Продажи!$C$5:$C$359,Конструкторы!$A989)</f>
        <v>0</v>
      </c>
      <c r="T989" s="166">
        <f>SUMIFS(Продажи!Q$5:Q$359,Продажи!$D$5:$D$359,Конструкторы!$B989,Продажи!$C$5:$C$359,Конструкторы!$A989)</f>
        <v>0</v>
      </c>
    </row>
    <row r="990" spans="1:20" ht="15.75" hidden="1" x14ac:dyDescent="0.25">
      <c r="A990" s="166" t="s">
        <v>397</v>
      </c>
      <c r="B990" s="167" t="s">
        <v>206</v>
      </c>
      <c r="C990" s="129" t="s">
        <v>53</v>
      </c>
      <c r="D990" s="130">
        <v>7038</v>
      </c>
      <c r="E990" s="153" t="s">
        <v>68</v>
      </c>
      <c r="F990" s="156">
        <f>(1.856*103)/100</f>
        <v>1.91168</v>
      </c>
      <c r="G990" s="156">
        <v>5.5679999999999952E-2</v>
      </c>
      <c r="H990" s="156">
        <f>F990+G990</f>
        <v>1.96736</v>
      </c>
      <c r="I990" s="166">
        <f>SUMIFS(Продажи!F$5:F$359,Продажи!$D$5:$D$359,Конструкторы!$B990,Продажи!$C$5:$C$359,Конструкторы!$A990)</f>
        <v>0</v>
      </c>
      <c r="J990" s="166">
        <f>SUMIFS(Продажи!G$5:G$359,Продажи!$D$5:$D$359,Конструкторы!$B990,Продажи!$C$5:$C$359,Конструкторы!$A990)</f>
        <v>0</v>
      </c>
      <c r="K990" s="166">
        <f>SUMIFS(Продажи!H$5:H$359,Продажи!$D$5:$D$359,Конструкторы!$B990,Продажи!$C$5:$C$359,Конструкторы!$A990)</f>
        <v>0</v>
      </c>
      <c r="L990" s="166">
        <f>SUMIFS(Продажи!I$5:I$359,Продажи!$D$5:$D$359,Конструкторы!$B990,Продажи!$C$5:$C$359,Конструкторы!$A990)</f>
        <v>0</v>
      </c>
      <c r="M990" s="166">
        <f>SUMIFS(Продажи!J$5:J$359,Продажи!$D$5:$D$359,Конструкторы!$B990,Продажи!$C$5:$C$359,Конструкторы!$A990)</f>
        <v>0</v>
      </c>
      <c r="N990" s="166">
        <f>SUMIFS(Продажи!K$5:K$359,Продажи!$D$5:$D$359,Конструкторы!$B990,Продажи!$C$5:$C$359,Конструкторы!$A990)</f>
        <v>0</v>
      </c>
      <c r="O990" s="166">
        <f>SUMIFS(Продажи!L$5:L$359,Продажи!$D$5:$D$359,Конструкторы!$B990,Продажи!$C$5:$C$359,Конструкторы!$A990)</f>
        <v>0</v>
      </c>
      <c r="P990" s="166">
        <f>SUMIFS(Продажи!M$5:M$359,Продажи!$D$5:$D$359,Конструкторы!$B990,Продажи!$C$5:$C$359,Конструкторы!$A990)</f>
        <v>0</v>
      </c>
      <c r="Q990" s="166">
        <f>SUMIFS(Продажи!N$5:N$359,Продажи!$D$5:$D$359,Конструкторы!$B990,Продажи!$C$5:$C$359,Конструкторы!$A990)</f>
        <v>0</v>
      </c>
      <c r="R990" s="166">
        <f>SUMIFS(Продажи!O$5:O$359,Продажи!$D$5:$D$359,Конструкторы!$B990,Продажи!$C$5:$C$359,Конструкторы!$A990)</f>
        <v>0</v>
      </c>
      <c r="S990" s="166">
        <f>SUMIFS(Продажи!P$5:P$359,Продажи!$D$5:$D$359,Конструкторы!$B990,Продажи!$C$5:$C$359,Конструкторы!$A990)</f>
        <v>0</v>
      </c>
      <c r="T990" s="166">
        <f>SUMIFS(Продажи!Q$5:Q$359,Продажи!$D$5:$D$359,Конструкторы!$B990,Продажи!$C$5:$C$359,Конструкторы!$A990)</f>
        <v>0</v>
      </c>
    </row>
    <row r="991" spans="1:20" ht="15.75" hidden="1" x14ac:dyDescent="0.25">
      <c r="A991" s="166" t="s">
        <v>397</v>
      </c>
      <c r="B991" s="167" t="s">
        <v>206</v>
      </c>
      <c r="C991" s="129" t="s">
        <v>52</v>
      </c>
      <c r="D991" s="149"/>
      <c r="E991" s="153" t="s">
        <v>68</v>
      </c>
      <c r="F991" s="156">
        <f>(2.65*103)/100</f>
        <v>2.7294999999999998</v>
      </c>
      <c r="G991" s="156">
        <v>7.9499999999999904E-2</v>
      </c>
      <c r="H991" s="156">
        <f>F991+G991</f>
        <v>2.8089999999999997</v>
      </c>
      <c r="I991" s="166">
        <f>SUMIFS(Продажи!F$5:F$359,Продажи!$D$5:$D$359,Конструкторы!$B991,Продажи!$C$5:$C$359,Конструкторы!$A991)</f>
        <v>0</v>
      </c>
      <c r="J991" s="166">
        <f>SUMIFS(Продажи!G$5:G$359,Продажи!$D$5:$D$359,Конструкторы!$B991,Продажи!$C$5:$C$359,Конструкторы!$A991)</f>
        <v>0</v>
      </c>
      <c r="K991" s="166">
        <f>SUMIFS(Продажи!H$5:H$359,Продажи!$D$5:$D$359,Конструкторы!$B991,Продажи!$C$5:$C$359,Конструкторы!$A991)</f>
        <v>0</v>
      </c>
      <c r="L991" s="166">
        <f>SUMIFS(Продажи!I$5:I$359,Продажи!$D$5:$D$359,Конструкторы!$B991,Продажи!$C$5:$C$359,Конструкторы!$A991)</f>
        <v>0</v>
      </c>
      <c r="M991" s="166">
        <f>SUMIFS(Продажи!J$5:J$359,Продажи!$D$5:$D$359,Конструкторы!$B991,Продажи!$C$5:$C$359,Конструкторы!$A991)</f>
        <v>0</v>
      </c>
      <c r="N991" s="166">
        <f>SUMIFS(Продажи!K$5:K$359,Продажи!$D$5:$D$359,Конструкторы!$B991,Продажи!$C$5:$C$359,Конструкторы!$A991)</f>
        <v>0</v>
      </c>
      <c r="O991" s="166">
        <f>SUMIFS(Продажи!L$5:L$359,Продажи!$D$5:$D$359,Конструкторы!$B991,Продажи!$C$5:$C$359,Конструкторы!$A991)</f>
        <v>0</v>
      </c>
      <c r="P991" s="166">
        <f>SUMIFS(Продажи!M$5:M$359,Продажи!$D$5:$D$359,Конструкторы!$B991,Продажи!$C$5:$C$359,Конструкторы!$A991)</f>
        <v>0</v>
      </c>
      <c r="Q991" s="166">
        <f>SUMIFS(Продажи!N$5:N$359,Продажи!$D$5:$D$359,Конструкторы!$B991,Продажи!$C$5:$C$359,Конструкторы!$A991)</f>
        <v>0</v>
      </c>
      <c r="R991" s="166">
        <f>SUMIFS(Продажи!O$5:O$359,Продажи!$D$5:$D$359,Конструкторы!$B991,Продажи!$C$5:$C$359,Конструкторы!$A991)</f>
        <v>0</v>
      </c>
      <c r="S991" s="166">
        <f>SUMIFS(Продажи!P$5:P$359,Продажи!$D$5:$D$359,Конструкторы!$B991,Продажи!$C$5:$C$359,Конструкторы!$A991)</f>
        <v>0</v>
      </c>
      <c r="T991" s="166">
        <f>SUMIFS(Продажи!Q$5:Q$359,Продажи!$D$5:$D$359,Конструкторы!$B991,Продажи!$C$5:$C$359,Конструкторы!$A991)</f>
        <v>0</v>
      </c>
    </row>
    <row r="992" spans="1:20" ht="15.75" hidden="1" x14ac:dyDescent="0.25">
      <c r="A992" s="166" t="s">
        <v>397</v>
      </c>
      <c r="B992" s="167" t="s">
        <v>206</v>
      </c>
      <c r="C992" s="33" t="s">
        <v>73</v>
      </c>
      <c r="D992" s="149"/>
      <c r="E992" s="153" t="s">
        <v>70</v>
      </c>
      <c r="F992" s="148">
        <v>4</v>
      </c>
      <c r="G992" s="156" t="s">
        <v>71</v>
      </c>
      <c r="H992" s="156">
        <f>F992</f>
        <v>4</v>
      </c>
      <c r="I992" s="166">
        <f>SUMIFS(Продажи!F$5:F$359,Продажи!$D$5:$D$359,Конструкторы!$B992,Продажи!$C$5:$C$359,Конструкторы!$A992)</f>
        <v>0</v>
      </c>
      <c r="J992" s="166">
        <f>SUMIFS(Продажи!G$5:G$359,Продажи!$D$5:$D$359,Конструкторы!$B992,Продажи!$C$5:$C$359,Конструкторы!$A992)</f>
        <v>0</v>
      </c>
      <c r="K992" s="166">
        <f>SUMIFS(Продажи!H$5:H$359,Продажи!$D$5:$D$359,Конструкторы!$B992,Продажи!$C$5:$C$359,Конструкторы!$A992)</f>
        <v>0</v>
      </c>
      <c r="L992" s="166">
        <f>SUMIFS(Продажи!I$5:I$359,Продажи!$D$5:$D$359,Конструкторы!$B992,Продажи!$C$5:$C$359,Конструкторы!$A992)</f>
        <v>0</v>
      </c>
      <c r="M992" s="166">
        <f>SUMIFS(Продажи!J$5:J$359,Продажи!$D$5:$D$359,Конструкторы!$B992,Продажи!$C$5:$C$359,Конструкторы!$A992)</f>
        <v>0</v>
      </c>
      <c r="N992" s="166">
        <f>SUMIFS(Продажи!K$5:K$359,Продажи!$D$5:$D$359,Конструкторы!$B992,Продажи!$C$5:$C$359,Конструкторы!$A992)</f>
        <v>0</v>
      </c>
      <c r="O992" s="166">
        <f>SUMIFS(Продажи!L$5:L$359,Продажи!$D$5:$D$359,Конструкторы!$B992,Продажи!$C$5:$C$359,Конструкторы!$A992)</f>
        <v>0</v>
      </c>
      <c r="P992" s="166">
        <f>SUMIFS(Продажи!M$5:M$359,Продажи!$D$5:$D$359,Конструкторы!$B992,Продажи!$C$5:$C$359,Конструкторы!$A992)</f>
        <v>0</v>
      </c>
      <c r="Q992" s="166">
        <f>SUMIFS(Продажи!N$5:N$359,Продажи!$D$5:$D$359,Конструкторы!$B992,Продажи!$C$5:$C$359,Конструкторы!$A992)</f>
        <v>0</v>
      </c>
      <c r="R992" s="166">
        <f>SUMIFS(Продажи!O$5:O$359,Продажи!$D$5:$D$359,Конструкторы!$B992,Продажи!$C$5:$C$359,Конструкторы!$A992)</f>
        <v>0</v>
      </c>
      <c r="S992" s="166">
        <f>SUMIFS(Продажи!P$5:P$359,Продажи!$D$5:$D$359,Конструкторы!$B992,Продажи!$C$5:$C$359,Конструкторы!$A992)</f>
        <v>0</v>
      </c>
      <c r="T992" s="166">
        <f>SUMIFS(Продажи!Q$5:Q$359,Продажи!$D$5:$D$359,Конструкторы!$B992,Продажи!$C$5:$C$359,Конструкторы!$A992)</f>
        <v>0</v>
      </c>
    </row>
    <row r="993" spans="1:20" ht="15.75" hidden="1" x14ac:dyDescent="0.25">
      <c r="A993" s="166" t="s">
        <v>397</v>
      </c>
      <c r="B993" s="167" t="s">
        <v>206</v>
      </c>
      <c r="C993" s="33" t="s">
        <v>75</v>
      </c>
      <c r="D993" s="149"/>
      <c r="E993" s="153" t="s">
        <v>70</v>
      </c>
      <c r="F993" s="148">
        <v>12</v>
      </c>
      <c r="G993" s="156" t="s">
        <v>71</v>
      </c>
      <c r="H993" s="156">
        <f>F993</f>
        <v>12</v>
      </c>
      <c r="I993" s="166">
        <f>SUMIFS(Продажи!F$5:F$359,Продажи!$D$5:$D$359,Конструкторы!$B993,Продажи!$C$5:$C$359,Конструкторы!$A993)</f>
        <v>0</v>
      </c>
      <c r="J993" s="166">
        <f>SUMIFS(Продажи!G$5:G$359,Продажи!$D$5:$D$359,Конструкторы!$B993,Продажи!$C$5:$C$359,Конструкторы!$A993)</f>
        <v>0</v>
      </c>
      <c r="K993" s="166">
        <f>SUMIFS(Продажи!H$5:H$359,Продажи!$D$5:$D$359,Конструкторы!$B993,Продажи!$C$5:$C$359,Конструкторы!$A993)</f>
        <v>0</v>
      </c>
      <c r="L993" s="166">
        <f>SUMIFS(Продажи!I$5:I$359,Продажи!$D$5:$D$359,Конструкторы!$B993,Продажи!$C$5:$C$359,Конструкторы!$A993)</f>
        <v>0</v>
      </c>
      <c r="M993" s="166">
        <f>SUMIFS(Продажи!J$5:J$359,Продажи!$D$5:$D$359,Конструкторы!$B993,Продажи!$C$5:$C$359,Конструкторы!$A993)</f>
        <v>0</v>
      </c>
      <c r="N993" s="166">
        <f>SUMIFS(Продажи!K$5:K$359,Продажи!$D$5:$D$359,Конструкторы!$B993,Продажи!$C$5:$C$359,Конструкторы!$A993)</f>
        <v>0</v>
      </c>
      <c r="O993" s="166">
        <f>SUMIFS(Продажи!L$5:L$359,Продажи!$D$5:$D$359,Конструкторы!$B993,Продажи!$C$5:$C$359,Конструкторы!$A993)</f>
        <v>0</v>
      </c>
      <c r="P993" s="166">
        <f>SUMIFS(Продажи!M$5:M$359,Продажи!$D$5:$D$359,Конструкторы!$B993,Продажи!$C$5:$C$359,Конструкторы!$A993)</f>
        <v>0</v>
      </c>
      <c r="Q993" s="166">
        <f>SUMIFS(Продажи!N$5:N$359,Продажи!$D$5:$D$359,Конструкторы!$B993,Продажи!$C$5:$C$359,Конструкторы!$A993)</f>
        <v>0</v>
      </c>
      <c r="R993" s="166">
        <f>SUMIFS(Продажи!O$5:O$359,Продажи!$D$5:$D$359,Конструкторы!$B993,Продажи!$C$5:$C$359,Конструкторы!$A993)</f>
        <v>0</v>
      </c>
      <c r="S993" s="166">
        <f>SUMIFS(Продажи!P$5:P$359,Продажи!$D$5:$D$359,Конструкторы!$B993,Продажи!$C$5:$C$359,Конструкторы!$A993)</f>
        <v>0</v>
      </c>
      <c r="T993" s="166">
        <f>SUMIFS(Продажи!Q$5:Q$359,Продажи!$D$5:$D$359,Конструкторы!$B993,Продажи!$C$5:$C$359,Конструкторы!$A993)</f>
        <v>0</v>
      </c>
    </row>
    <row r="994" spans="1:20" ht="15.75" hidden="1" x14ac:dyDescent="0.25">
      <c r="A994" s="166" t="s">
        <v>397</v>
      </c>
      <c r="B994" s="167" t="s">
        <v>206</v>
      </c>
      <c r="C994" s="33" t="s">
        <v>69</v>
      </c>
      <c r="D994" s="149"/>
      <c r="E994" s="153" t="s">
        <v>70</v>
      </c>
      <c r="F994" s="148">
        <v>10</v>
      </c>
      <c r="G994" s="156" t="s">
        <v>71</v>
      </c>
      <c r="H994" s="156">
        <f>F994</f>
        <v>10</v>
      </c>
      <c r="I994" s="166">
        <f>SUMIFS(Продажи!F$5:F$359,Продажи!$D$5:$D$359,Конструкторы!$B994,Продажи!$C$5:$C$359,Конструкторы!$A994)</f>
        <v>0</v>
      </c>
      <c r="J994" s="166">
        <f>SUMIFS(Продажи!G$5:G$359,Продажи!$D$5:$D$359,Конструкторы!$B994,Продажи!$C$5:$C$359,Конструкторы!$A994)</f>
        <v>0</v>
      </c>
      <c r="K994" s="166">
        <f>SUMIFS(Продажи!H$5:H$359,Продажи!$D$5:$D$359,Конструкторы!$B994,Продажи!$C$5:$C$359,Конструкторы!$A994)</f>
        <v>0</v>
      </c>
      <c r="L994" s="166">
        <f>SUMIFS(Продажи!I$5:I$359,Продажи!$D$5:$D$359,Конструкторы!$B994,Продажи!$C$5:$C$359,Конструкторы!$A994)</f>
        <v>0</v>
      </c>
      <c r="M994" s="166">
        <f>SUMIFS(Продажи!J$5:J$359,Продажи!$D$5:$D$359,Конструкторы!$B994,Продажи!$C$5:$C$359,Конструкторы!$A994)</f>
        <v>0</v>
      </c>
      <c r="N994" s="166">
        <f>SUMIFS(Продажи!K$5:K$359,Продажи!$D$5:$D$359,Конструкторы!$B994,Продажи!$C$5:$C$359,Конструкторы!$A994)</f>
        <v>0</v>
      </c>
      <c r="O994" s="166">
        <f>SUMIFS(Продажи!L$5:L$359,Продажи!$D$5:$D$359,Конструкторы!$B994,Продажи!$C$5:$C$359,Конструкторы!$A994)</f>
        <v>0</v>
      </c>
      <c r="P994" s="166">
        <f>SUMIFS(Продажи!M$5:M$359,Продажи!$D$5:$D$359,Конструкторы!$B994,Продажи!$C$5:$C$359,Конструкторы!$A994)</f>
        <v>0</v>
      </c>
      <c r="Q994" s="166">
        <f>SUMIFS(Продажи!N$5:N$359,Продажи!$D$5:$D$359,Конструкторы!$B994,Продажи!$C$5:$C$359,Конструкторы!$A994)</f>
        <v>0</v>
      </c>
      <c r="R994" s="166">
        <f>SUMIFS(Продажи!O$5:O$359,Продажи!$D$5:$D$359,Конструкторы!$B994,Продажи!$C$5:$C$359,Конструкторы!$A994)</f>
        <v>0</v>
      </c>
      <c r="S994" s="166">
        <f>SUMIFS(Продажи!P$5:P$359,Продажи!$D$5:$D$359,Конструкторы!$B994,Продажи!$C$5:$C$359,Конструкторы!$A994)</f>
        <v>0</v>
      </c>
      <c r="T994" s="166">
        <f>SUMIFS(Продажи!Q$5:Q$359,Продажи!$D$5:$D$359,Конструкторы!$B994,Продажи!$C$5:$C$359,Конструкторы!$A994)</f>
        <v>0</v>
      </c>
    </row>
    <row r="995" spans="1:20" ht="15.75" hidden="1" x14ac:dyDescent="0.25">
      <c r="A995" s="166" t="s">
        <v>397</v>
      </c>
      <c r="B995" s="167" t="s">
        <v>207</v>
      </c>
      <c r="C995" s="129" t="s">
        <v>53</v>
      </c>
      <c r="D995" s="130">
        <v>7038</v>
      </c>
      <c r="E995" s="153" t="s">
        <v>68</v>
      </c>
      <c r="F995" s="156">
        <f>(1.958*103)/100</f>
        <v>2.01674</v>
      </c>
      <c r="G995" s="156">
        <v>5.8740000000000014E-2</v>
      </c>
      <c r="H995" s="156">
        <f>F995+G995</f>
        <v>2.0754799999999998</v>
      </c>
      <c r="I995" s="166">
        <f>SUMIFS(Продажи!F$5:F$359,Продажи!$D$5:$D$359,Конструкторы!$B995,Продажи!$C$5:$C$359,Конструкторы!$A995)</f>
        <v>0</v>
      </c>
      <c r="J995" s="166">
        <f>SUMIFS(Продажи!G$5:G$359,Продажи!$D$5:$D$359,Конструкторы!$B995,Продажи!$C$5:$C$359,Конструкторы!$A995)</f>
        <v>0</v>
      </c>
      <c r="K995" s="166">
        <f>SUMIFS(Продажи!H$5:H$359,Продажи!$D$5:$D$359,Конструкторы!$B995,Продажи!$C$5:$C$359,Конструкторы!$A995)</f>
        <v>0</v>
      </c>
      <c r="L995" s="166">
        <f>SUMIFS(Продажи!I$5:I$359,Продажи!$D$5:$D$359,Конструкторы!$B995,Продажи!$C$5:$C$359,Конструкторы!$A995)</f>
        <v>0</v>
      </c>
      <c r="M995" s="166">
        <f>SUMIFS(Продажи!J$5:J$359,Продажи!$D$5:$D$359,Конструкторы!$B995,Продажи!$C$5:$C$359,Конструкторы!$A995)</f>
        <v>0</v>
      </c>
      <c r="N995" s="166">
        <f>SUMIFS(Продажи!K$5:K$359,Продажи!$D$5:$D$359,Конструкторы!$B995,Продажи!$C$5:$C$359,Конструкторы!$A995)</f>
        <v>0</v>
      </c>
      <c r="O995" s="166">
        <f>SUMIFS(Продажи!L$5:L$359,Продажи!$D$5:$D$359,Конструкторы!$B995,Продажи!$C$5:$C$359,Конструкторы!$A995)</f>
        <v>0</v>
      </c>
      <c r="P995" s="166">
        <f>SUMIFS(Продажи!M$5:M$359,Продажи!$D$5:$D$359,Конструкторы!$B995,Продажи!$C$5:$C$359,Конструкторы!$A995)</f>
        <v>0</v>
      </c>
      <c r="Q995" s="166">
        <f>SUMIFS(Продажи!N$5:N$359,Продажи!$D$5:$D$359,Конструкторы!$B995,Продажи!$C$5:$C$359,Конструкторы!$A995)</f>
        <v>0</v>
      </c>
      <c r="R995" s="166">
        <f>SUMIFS(Продажи!O$5:O$359,Продажи!$D$5:$D$359,Конструкторы!$B995,Продажи!$C$5:$C$359,Конструкторы!$A995)</f>
        <v>0</v>
      </c>
      <c r="S995" s="166">
        <f>SUMIFS(Продажи!P$5:P$359,Продажи!$D$5:$D$359,Конструкторы!$B995,Продажи!$C$5:$C$359,Конструкторы!$A995)</f>
        <v>0</v>
      </c>
      <c r="T995" s="166">
        <f>SUMIFS(Продажи!Q$5:Q$359,Продажи!$D$5:$D$359,Конструкторы!$B995,Продажи!$C$5:$C$359,Конструкторы!$A995)</f>
        <v>0</v>
      </c>
    </row>
    <row r="996" spans="1:20" ht="15.75" hidden="1" x14ac:dyDescent="0.25">
      <c r="A996" s="166" t="s">
        <v>397</v>
      </c>
      <c r="B996" s="167" t="s">
        <v>207</v>
      </c>
      <c r="C996" s="129" t="s">
        <v>52</v>
      </c>
      <c r="D996" s="149"/>
      <c r="E996" s="153" t="s">
        <v>68</v>
      </c>
      <c r="F996" s="156">
        <f>(0.782*103)/100</f>
        <v>0.80546000000000006</v>
      </c>
      <c r="G996" s="156">
        <v>2.3460000000000036E-2</v>
      </c>
      <c r="H996" s="156">
        <f>F996+G996</f>
        <v>0.8289200000000001</v>
      </c>
      <c r="I996" s="166">
        <f>SUMIFS(Продажи!F$5:F$359,Продажи!$D$5:$D$359,Конструкторы!$B996,Продажи!$C$5:$C$359,Конструкторы!$A996)</f>
        <v>0</v>
      </c>
      <c r="J996" s="166">
        <f>SUMIFS(Продажи!G$5:G$359,Продажи!$D$5:$D$359,Конструкторы!$B996,Продажи!$C$5:$C$359,Конструкторы!$A996)</f>
        <v>0</v>
      </c>
      <c r="K996" s="166">
        <f>SUMIFS(Продажи!H$5:H$359,Продажи!$D$5:$D$359,Конструкторы!$B996,Продажи!$C$5:$C$359,Конструкторы!$A996)</f>
        <v>0</v>
      </c>
      <c r="L996" s="166">
        <f>SUMIFS(Продажи!I$5:I$359,Продажи!$D$5:$D$359,Конструкторы!$B996,Продажи!$C$5:$C$359,Конструкторы!$A996)</f>
        <v>0</v>
      </c>
      <c r="M996" s="166">
        <f>SUMIFS(Продажи!J$5:J$359,Продажи!$D$5:$D$359,Конструкторы!$B996,Продажи!$C$5:$C$359,Конструкторы!$A996)</f>
        <v>0</v>
      </c>
      <c r="N996" s="166">
        <f>SUMIFS(Продажи!K$5:K$359,Продажи!$D$5:$D$359,Конструкторы!$B996,Продажи!$C$5:$C$359,Конструкторы!$A996)</f>
        <v>0</v>
      </c>
      <c r="O996" s="166">
        <f>SUMIFS(Продажи!L$5:L$359,Продажи!$D$5:$D$359,Конструкторы!$B996,Продажи!$C$5:$C$359,Конструкторы!$A996)</f>
        <v>0</v>
      </c>
      <c r="P996" s="166">
        <f>SUMIFS(Продажи!M$5:M$359,Продажи!$D$5:$D$359,Конструкторы!$B996,Продажи!$C$5:$C$359,Конструкторы!$A996)</f>
        <v>0</v>
      </c>
      <c r="Q996" s="166">
        <f>SUMIFS(Продажи!N$5:N$359,Продажи!$D$5:$D$359,Конструкторы!$B996,Продажи!$C$5:$C$359,Конструкторы!$A996)</f>
        <v>0</v>
      </c>
      <c r="R996" s="166">
        <f>SUMIFS(Продажи!O$5:O$359,Продажи!$D$5:$D$359,Конструкторы!$B996,Продажи!$C$5:$C$359,Конструкторы!$A996)</f>
        <v>0</v>
      </c>
      <c r="S996" s="166">
        <f>SUMIFS(Продажи!P$5:P$359,Продажи!$D$5:$D$359,Конструкторы!$B996,Продажи!$C$5:$C$359,Конструкторы!$A996)</f>
        <v>0</v>
      </c>
      <c r="T996" s="166">
        <f>SUMIFS(Продажи!Q$5:Q$359,Продажи!$D$5:$D$359,Конструкторы!$B996,Продажи!$C$5:$C$359,Конструкторы!$A996)</f>
        <v>0</v>
      </c>
    </row>
    <row r="997" spans="1:20" ht="15.75" hidden="1" x14ac:dyDescent="0.25">
      <c r="A997" s="166" t="s">
        <v>397</v>
      </c>
      <c r="B997" s="167" t="s">
        <v>207</v>
      </c>
      <c r="C997" s="33" t="s">
        <v>73</v>
      </c>
      <c r="D997" s="149"/>
      <c r="E997" s="153" t="s">
        <v>70</v>
      </c>
      <c r="F997" s="148">
        <v>4</v>
      </c>
      <c r="G997" s="156" t="s">
        <v>71</v>
      </c>
      <c r="H997" s="156">
        <f>F997</f>
        <v>4</v>
      </c>
      <c r="I997" s="166">
        <f>SUMIFS(Продажи!F$5:F$359,Продажи!$D$5:$D$359,Конструкторы!$B997,Продажи!$C$5:$C$359,Конструкторы!$A997)</f>
        <v>0</v>
      </c>
      <c r="J997" s="166">
        <f>SUMIFS(Продажи!G$5:G$359,Продажи!$D$5:$D$359,Конструкторы!$B997,Продажи!$C$5:$C$359,Конструкторы!$A997)</f>
        <v>0</v>
      </c>
      <c r="K997" s="166">
        <f>SUMIFS(Продажи!H$5:H$359,Продажи!$D$5:$D$359,Конструкторы!$B997,Продажи!$C$5:$C$359,Конструкторы!$A997)</f>
        <v>0</v>
      </c>
      <c r="L997" s="166">
        <f>SUMIFS(Продажи!I$5:I$359,Продажи!$D$5:$D$359,Конструкторы!$B997,Продажи!$C$5:$C$359,Конструкторы!$A997)</f>
        <v>0</v>
      </c>
      <c r="M997" s="166">
        <f>SUMIFS(Продажи!J$5:J$359,Продажи!$D$5:$D$359,Конструкторы!$B997,Продажи!$C$5:$C$359,Конструкторы!$A997)</f>
        <v>0</v>
      </c>
      <c r="N997" s="166">
        <f>SUMIFS(Продажи!K$5:K$359,Продажи!$D$5:$D$359,Конструкторы!$B997,Продажи!$C$5:$C$359,Конструкторы!$A997)</f>
        <v>0</v>
      </c>
      <c r="O997" s="166">
        <f>SUMIFS(Продажи!L$5:L$359,Продажи!$D$5:$D$359,Конструкторы!$B997,Продажи!$C$5:$C$359,Конструкторы!$A997)</f>
        <v>0</v>
      </c>
      <c r="P997" s="166">
        <f>SUMIFS(Продажи!M$5:M$359,Продажи!$D$5:$D$359,Конструкторы!$B997,Продажи!$C$5:$C$359,Конструкторы!$A997)</f>
        <v>0</v>
      </c>
      <c r="Q997" s="166">
        <f>SUMIFS(Продажи!N$5:N$359,Продажи!$D$5:$D$359,Конструкторы!$B997,Продажи!$C$5:$C$359,Конструкторы!$A997)</f>
        <v>0</v>
      </c>
      <c r="R997" s="166">
        <f>SUMIFS(Продажи!O$5:O$359,Продажи!$D$5:$D$359,Конструкторы!$B997,Продажи!$C$5:$C$359,Конструкторы!$A997)</f>
        <v>0</v>
      </c>
      <c r="S997" s="166">
        <f>SUMIFS(Продажи!P$5:P$359,Продажи!$D$5:$D$359,Конструкторы!$B997,Продажи!$C$5:$C$359,Конструкторы!$A997)</f>
        <v>0</v>
      </c>
      <c r="T997" s="166">
        <f>SUMIFS(Продажи!Q$5:Q$359,Продажи!$D$5:$D$359,Конструкторы!$B997,Продажи!$C$5:$C$359,Конструкторы!$A997)</f>
        <v>0</v>
      </c>
    </row>
    <row r="998" spans="1:20" ht="15.75" hidden="1" x14ac:dyDescent="0.25">
      <c r="A998" s="166" t="s">
        <v>397</v>
      </c>
      <c r="B998" s="167" t="s">
        <v>207</v>
      </c>
      <c r="C998" s="33" t="s">
        <v>75</v>
      </c>
      <c r="D998" s="149"/>
      <c r="E998" s="153" t="s">
        <v>70</v>
      </c>
      <c r="F998" s="148">
        <v>12</v>
      </c>
      <c r="G998" s="156" t="s">
        <v>71</v>
      </c>
      <c r="H998" s="156">
        <f>F998</f>
        <v>12</v>
      </c>
      <c r="I998" s="166">
        <f>SUMIFS(Продажи!F$5:F$359,Продажи!$D$5:$D$359,Конструкторы!$B998,Продажи!$C$5:$C$359,Конструкторы!$A998)</f>
        <v>0</v>
      </c>
      <c r="J998" s="166">
        <f>SUMIFS(Продажи!G$5:G$359,Продажи!$D$5:$D$359,Конструкторы!$B998,Продажи!$C$5:$C$359,Конструкторы!$A998)</f>
        <v>0</v>
      </c>
      <c r="K998" s="166">
        <f>SUMIFS(Продажи!H$5:H$359,Продажи!$D$5:$D$359,Конструкторы!$B998,Продажи!$C$5:$C$359,Конструкторы!$A998)</f>
        <v>0</v>
      </c>
      <c r="L998" s="166">
        <f>SUMIFS(Продажи!I$5:I$359,Продажи!$D$5:$D$359,Конструкторы!$B998,Продажи!$C$5:$C$359,Конструкторы!$A998)</f>
        <v>0</v>
      </c>
      <c r="M998" s="166">
        <f>SUMIFS(Продажи!J$5:J$359,Продажи!$D$5:$D$359,Конструкторы!$B998,Продажи!$C$5:$C$359,Конструкторы!$A998)</f>
        <v>0</v>
      </c>
      <c r="N998" s="166">
        <f>SUMIFS(Продажи!K$5:K$359,Продажи!$D$5:$D$359,Конструкторы!$B998,Продажи!$C$5:$C$359,Конструкторы!$A998)</f>
        <v>0</v>
      </c>
      <c r="O998" s="166">
        <f>SUMIFS(Продажи!L$5:L$359,Продажи!$D$5:$D$359,Конструкторы!$B998,Продажи!$C$5:$C$359,Конструкторы!$A998)</f>
        <v>0</v>
      </c>
      <c r="P998" s="166">
        <f>SUMIFS(Продажи!M$5:M$359,Продажи!$D$5:$D$359,Конструкторы!$B998,Продажи!$C$5:$C$359,Конструкторы!$A998)</f>
        <v>0</v>
      </c>
      <c r="Q998" s="166">
        <f>SUMIFS(Продажи!N$5:N$359,Продажи!$D$5:$D$359,Конструкторы!$B998,Продажи!$C$5:$C$359,Конструкторы!$A998)</f>
        <v>0</v>
      </c>
      <c r="R998" s="166">
        <f>SUMIFS(Продажи!O$5:O$359,Продажи!$D$5:$D$359,Конструкторы!$B998,Продажи!$C$5:$C$359,Конструкторы!$A998)</f>
        <v>0</v>
      </c>
      <c r="S998" s="166">
        <f>SUMIFS(Продажи!P$5:P$359,Продажи!$D$5:$D$359,Конструкторы!$B998,Продажи!$C$5:$C$359,Конструкторы!$A998)</f>
        <v>0</v>
      </c>
      <c r="T998" s="166">
        <f>SUMIFS(Продажи!Q$5:Q$359,Продажи!$D$5:$D$359,Конструкторы!$B998,Продажи!$C$5:$C$359,Конструкторы!$A998)</f>
        <v>0</v>
      </c>
    </row>
    <row r="999" spans="1:20" ht="15.75" hidden="1" x14ac:dyDescent="0.25">
      <c r="A999" s="166" t="s">
        <v>397</v>
      </c>
      <c r="B999" s="167" t="s">
        <v>207</v>
      </c>
      <c r="C999" s="33" t="s">
        <v>69</v>
      </c>
      <c r="D999" s="149"/>
      <c r="E999" s="153" t="s">
        <v>70</v>
      </c>
      <c r="F999" s="148">
        <v>10</v>
      </c>
      <c r="G999" s="156" t="s">
        <v>71</v>
      </c>
      <c r="H999" s="156">
        <f>F999</f>
        <v>10</v>
      </c>
      <c r="I999" s="166">
        <f>SUMIFS(Продажи!F$5:F$359,Продажи!$D$5:$D$359,Конструкторы!$B999,Продажи!$C$5:$C$359,Конструкторы!$A999)</f>
        <v>0</v>
      </c>
      <c r="J999" s="166">
        <f>SUMIFS(Продажи!G$5:G$359,Продажи!$D$5:$D$359,Конструкторы!$B999,Продажи!$C$5:$C$359,Конструкторы!$A999)</f>
        <v>0</v>
      </c>
      <c r="K999" s="166">
        <f>SUMIFS(Продажи!H$5:H$359,Продажи!$D$5:$D$359,Конструкторы!$B999,Продажи!$C$5:$C$359,Конструкторы!$A999)</f>
        <v>0</v>
      </c>
      <c r="L999" s="166">
        <f>SUMIFS(Продажи!I$5:I$359,Продажи!$D$5:$D$359,Конструкторы!$B999,Продажи!$C$5:$C$359,Конструкторы!$A999)</f>
        <v>0</v>
      </c>
      <c r="M999" s="166">
        <f>SUMIFS(Продажи!J$5:J$359,Продажи!$D$5:$D$359,Конструкторы!$B999,Продажи!$C$5:$C$359,Конструкторы!$A999)</f>
        <v>0</v>
      </c>
      <c r="N999" s="166">
        <f>SUMIFS(Продажи!K$5:K$359,Продажи!$D$5:$D$359,Конструкторы!$B999,Продажи!$C$5:$C$359,Конструкторы!$A999)</f>
        <v>0</v>
      </c>
      <c r="O999" s="166">
        <f>SUMIFS(Продажи!L$5:L$359,Продажи!$D$5:$D$359,Конструкторы!$B999,Продажи!$C$5:$C$359,Конструкторы!$A999)</f>
        <v>0</v>
      </c>
      <c r="P999" s="166">
        <f>SUMIFS(Продажи!M$5:M$359,Продажи!$D$5:$D$359,Конструкторы!$B999,Продажи!$C$5:$C$359,Конструкторы!$A999)</f>
        <v>0</v>
      </c>
      <c r="Q999" s="166">
        <f>SUMIFS(Продажи!N$5:N$359,Продажи!$D$5:$D$359,Конструкторы!$B999,Продажи!$C$5:$C$359,Конструкторы!$A999)</f>
        <v>0</v>
      </c>
      <c r="R999" s="166">
        <f>SUMIFS(Продажи!O$5:O$359,Продажи!$D$5:$D$359,Конструкторы!$B999,Продажи!$C$5:$C$359,Конструкторы!$A999)</f>
        <v>0</v>
      </c>
      <c r="S999" s="166">
        <f>SUMIFS(Продажи!P$5:P$359,Продажи!$D$5:$D$359,Конструкторы!$B999,Продажи!$C$5:$C$359,Конструкторы!$A999)</f>
        <v>0</v>
      </c>
      <c r="T999" s="166">
        <f>SUMIFS(Продажи!Q$5:Q$359,Продажи!$D$5:$D$359,Конструкторы!$B999,Продажи!$C$5:$C$359,Конструкторы!$A999)</f>
        <v>0</v>
      </c>
    </row>
    <row r="1000" spans="1:20" ht="15.75" hidden="1" x14ac:dyDescent="0.25">
      <c r="A1000" s="166" t="s">
        <v>397</v>
      </c>
      <c r="B1000" s="167" t="s">
        <v>208</v>
      </c>
      <c r="C1000" s="129" t="s">
        <v>53</v>
      </c>
      <c r="D1000" s="130">
        <v>7038</v>
      </c>
      <c r="E1000" s="153" t="s">
        <v>68</v>
      </c>
      <c r="F1000" s="156">
        <f>(1.954*103)/100</f>
        <v>2.0126200000000001</v>
      </c>
      <c r="G1000" s="156">
        <v>5.8620000000000116E-2</v>
      </c>
      <c r="H1000" s="156">
        <f>F1000+G1000</f>
        <v>2.0712400000000004</v>
      </c>
      <c r="I1000" s="166">
        <f>SUMIFS(Продажи!F$5:F$359,Продажи!$D$5:$D$359,Конструкторы!$B1000,Продажи!$C$5:$C$359,Конструкторы!$A1000)</f>
        <v>0</v>
      </c>
      <c r="J1000" s="166">
        <f>SUMIFS(Продажи!G$5:G$359,Продажи!$D$5:$D$359,Конструкторы!$B1000,Продажи!$C$5:$C$359,Конструкторы!$A1000)</f>
        <v>0</v>
      </c>
      <c r="K1000" s="166">
        <f>SUMIFS(Продажи!H$5:H$359,Продажи!$D$5:$D$359,Конструкторы!$B1000,Продажи!$C$5:$C$359,Конструкторы!$A1000)</f>
        <v>0</v>
      </c>
      <c r="L1000" s="166">
        <f>SUMIFS(Продажи!I$5:I$359,Продажи!$D$5:$D$359,Конструкторы!$B1000,Продажи!$C$5:$C$359,Конструкторы!$A1000)</f>
        <v>0</v>
      </c>
      <c r="M1000" s="166">
        <f>SUMIFS(Продажи!J$5:J$359,Продажи!$D$5:$D$359,Конструкторы!$B1000,Продажи!$C$5:$C$359,Конструкторы!$A1000)</f>
        <v>0</v>
      </c>
      <c r="N1000" s="166">
        <f>SUMIFS(Продажи!K$5:K$359,Продажи!$D$5:$D$359,Конструкторы!$B1000,Продажи!$C$5:$C$359,Конструкторы!$A1000)</f>
        <v>0</v>
      </c>
      <c r="O1000" s="166">
        <f>SUMIFS(Продажи!L$5:L$359,Продажи!$D$5:$D$359,Конструкторы!$B1000,Продажи!$C$5:$C$359,Конструкторы!$A1000)</f>
        <v>0</v>
      </c>
      <c r="P1000" s="166">
        <f>SUMIFS(Продажи!M$5:M$359,Продажи!$D$5:$D$359,Конструкторы!$B1000,Продажи!$C$5:$C$359,Конструкторы!$A1000)</f>
        <v>0</v>
      </c>
      <c r="Q1000" s="166">
        <f>SUMIFS(Продажи!N$5:N$359,Продажи!$D$5:$D$359,Конструкторы!$B1000,Продажи!$C$5:$C$359,Конструкторы!$A1000)</f>
        <v>0</v>
      </c>
      <c r="R1000" s="166">
        <f>SUMIFS(Продажи!O$5:O$359,Продажи!$D$5:$D$359,Конструкторы!$B1000,Продажи!$C$5:$C$359,Конструкторы!$A1000)</f>
        <v>0</v>
      </c>
      <c r="S1000" s="166">
        <f>SUMIFS(Продажи!P$5:P$359,Продажи!$D$5:$D$359,Конструкторы!$B1000,Продажи!$C$5:$C$359,Конструкторы!$A1000)</f>
        <v>0</v>
      </c>
      <c r="T1000" s="166">
        <f>SUMIFS(Продажи!Q$5:Q$359,Продажи!$D$5:$D$359,Конструкторы!$B1000,Продажи!$C$5:$C$359,Конструкторы!$A1000)</f>
        <v>0</v>
      </c>
    </row>
    <row r="1001" spans="1:20" ht="15.75" hidden="1" x14ac:dyDescent="0.25">
      <c r="A1001" s="166" t="s">
        <v>397</v>
      </c>
      <c r="B1001" s="167" t="s">
        <v>208</v>
      </c>
      <c r="C1001" s="129" t="s">
        <v>52</v>
      </c>
      <c r="D1001" s="149"/>
      <c r="E1001" s="153" t="s">
        <v>68</v>
      </c>
      <c r="F1001" s="156">
        <f>(1.156*103)/100</f>
        <v>1.19068</v>
      </c>
      <c r="G1001" s="156">
        <v>3.4680000000000044E-2</v>
      </c>
      <c r="H1001" s="156">
        <f>F1001+G1001</f>
        <v>1.22536</v>
      </c>
      <c r="I1001" s="166">
        <f>SUMIFS(Продажи!F$5:F$359,Продажи!$D$5:$D$359,Конструкторы!$B1001,Продажи!$C$5:$C$359,Конструкторы!$A1001)</f>
        <v>0</v>
      </c>
      <c r="J1001" s="166">
        <f>SUMIFS(Продажи!G$5:G$359,Продажи!$D$5:$D$359,Конструкторы!$B1001,Продажи!$C$5:$C$359,Конструкторы!$A1001)</f>
        <v>0</v>
      </c>
      <c r="K1001" s="166">
        <f>SUMIFS(Продажи!H$5:H$359,Продажи!$D$5:$D$359,Конструкторы!$B1001,Продажи!$C$5:$C$359,Конструкторы!$A1001)</f>
        <v>0</v>
      </c>
      <c r="L1001" s="166">
        <f>SUMIFS(Продажи!I$5:I$359,Продажи!$D$5:$D$359,Конструкторы!$B1001,Продажи!$C$5:$C$359,Конструкторы!$A1001)</f>
        <v>0</v>
      </c>
      <c r="M1001" s="166">
        <f>SUMIFS(Продажи!J$5:J$359,Продажи!$D$5:$D$359,Конструкторы!$B1001,Продажи!$C$5:$C$359,Конструкторы!$A1001)</f>
        <v>0</v>
      </c>
      <c r="N1001" s="166">
        <f>SUMIFS(Продажи!K$5:K$359,Продажи!$D$5:$D$359,Конструкторы!$B1001,Продажи!$C$5:$C$359,Конструкторы!$A1001)</f>
        <v>0</v>
      </c>
      <c r="O1001" s="166">
        <f>SUMIFS(Продажи!L$5:L$359,Продажи!$D$5:$D$359,Конструкторы!$B1001,Продажи!$C$5:$C$359,Конструкторы!$A1001)</f>
        <v>0</v>
      </c>
      <c r="P1001" s="166">
        <f>SUMIFS(Продажи!M$5:M$359,Продажи!$D$5:$D$359,Конструкторы!$B1001,Продажи!$C$5:$C$359,Конструкторы!$A1001)</f>
        <v>0</v>
      </c>
      <c r="Q1001" s="166">
        <f>SUMIFS(Продажи!N$5:N$359,Продажи!$D$5:$D$359,Конструкторы!$B1001,Продажи!$C$5:$C$359,Конструкторы!$A1001)</f>
        <v>0</v>
      </c>
      <c r="R1001" s="166">
        <f>SUMIFS(Продажи!O$5:O$359,Продажи!$D$5:$D$359,Конструкторы!$B1001,Продажи!$C$5:$C$359,Конструкторы!$A1001)</f>
        <v>0</v>
      </c>
      <c r="S1001" s="166">
        <f>SUMIFS(Продажи!P$5:P$359,Продажи!$D$5:$D$359,Конструкторы!$B1001,Продажи!$C$5:$C$359,Конструкторы!$A1001)</f>
        <v>0</v>
      </c>
      <c r="T1001" s="166">
        <f>SUMIFS(Продажи!Q$5:Q$359,Продажи!$D$5:$D$359,Конструкторы!$B1001,Продажи!$C$5:$C$359,Конструкторы!$A1001)</f>
        <v>0</v>
      </c>
    </row>
    <row r="1002" spans="1:20" ht="15.75" hidden="1" x14ac:dyDescent="0.25">
      <c r="A1002" s="166" t="s">
        <v>397</v>
      </c>
      <c r="B1002" s="167" t="s">
        <v>208</v>
      </c>
      <c r="C1002" s="33" t="s">
        <v>73</v>
      </c>
      <c r="D1002" s="149"/>
      <c r="E1002" s="153" t="s">
        <v>70</v>
      </c>
      <c r="F1002" s="148">
        <v>4</v>
      </c>
      <c r="G1002" s="156" t="s">
        <v>71</v>
      </c>
      <c r="H1002" s="156">
        <f>F1002</f>
        <v>4</v>
      </c>
      <c r="I1002" s="166">
        <f>SUMIFS(Продажи!F$5:F$359,Продажи!$D$5:$D$359,Конструкторы!$B1002,Продажи!$C$5:$C$359,Конструкторы!$A1002)</f>
        <v>0</v>
      </c>
      <c r="J1002" s="166">
        <f>SUMIFS(Продажи!G$5:G$359,Продажи!$D$5:$D$359,Конструкторы!$B1002,Продажи!$C$5:$C$359,Конструкторы!$A1002)</f>
        <v>0</v>
      </c>
      <c r="K1002" s="166">
        <f>SUMIFS(Продажи!H$5:H$359,Продажи!$D$5:$D$359,Конструкторы!$B1002,Продажи!$C$5:$C$359,Конструкторы!$A1002)</f>
        <v>0</v>
      </c>
      <c r="L1002" s="166">
        <f>SUMIFS(Продажи!I$5:I$359,Продажи!$D$5:$D$359,Конструкторы!$B1002,Продажи!$C$5:$C$359,Конструкторы!$A1002)</f>
        <v>0</v>
      </c>
      <c r="M1002" s="166">
        <f>SUMIFS(Продажи!J$5:J$359,Продажи!$D$5:$D$359,Конструкторы!$B1002,Продажи!$C$5:$C$359,Конструкторы!$A1002)</f>
        <v>0</v>
      </c>
      <c r="N1002" s="166">
        <f>SUMIFS(Продажи!K$5:K$359,Продажи!$D$5:$D$359,Конструкторы!$B1002,Продажи!$C$5:$C$359,Конструкторы!$A1002)</f>
        <v>0</v>
      </c>
      <c r="O1002" s="166">
        <f>SUMIFS(Продажи!L$5:L$359,Продажи!$D$5:$D$359,Конструкторы!$B1002,Продажи!$C$5:$C$359,Конструкторы!$A1002)</f>
        <v>0</v>
      </c>
      <c r="P1002" s="166">
        <f>SUMIFS(Продажи!M$5:M$359,Продажи!$D$5:$D$359,Конструкторы!$B1002,Продажи!$C$5:$C$359,Конструкторы!$A1002)</f>
        <v>0</v>
      </c>
      <c r="Q1002" s="166">
        <f>SUMIFS(Продажи!N$5:N$359,Продажи!$D$5:$D$359,Конструкторы!$B1002,Продажи!$C$5:$C$359,Конструкторы!$A1002)</f>
        <v>0</v>
      </c>
      <c r="R1002" s="166">
        <f>SUMIFS(Продажи!O$5:O$359,Продажи!$D$5:$D$359,Конструкторы!$B1002,Продажи!$C$5:$C$359,Конструкторы!$A1002)</f>
        <v>0</v>
      </c>
      <c r="S1002" s="166">
        <f>SUMIFS(Продажи!P$5:P$359,Продажи!$D$5:$D$359,Конструкторы!$B1002,Продажи!$C$5:$C$359,Конструкторы!$A1002)</f>
        <v>0</v>
      </c>
      <c r="T1002" s="166">
        <f>SUMIFS(Продажи!Q$5:Q$359,Продажи!$D$5:$D$359,Конструкторы!$B1002,Продажи!$C$5:$C$359,Конструкторы!$A1002)</f>
        <v>0</v>
      </c>
    </row>
    <row r="1003" spans="1:20" ht="15.75" hidden="1" x14ac:dyDescent="0.25">
      <c r="A1003" s="166" t="s">
        <v>397</v>
      </c>
      <c r="B1003" s="167" t="s">
        <v>208</v>
      </c>
      <c r="C1003" s="33" t="s">
        <v>75</v>
      </c>
      <c r="D1003" s="149"/>
      <c r="E1003" s="153" t="s">
        <v>70</v>
      </c>
      <c r="F1003" s="148">
        <v>12</v>
      </c>
      <c r="G1003" s="156" t="s">
        <v>71</v>
      </c>
      <c r="H1003" s="156">
        <f>F1003</f>
        <v>12</v>
      </c>
      <c r="I1003" s="166">
        <f>SUMIFS(Продажи!F$5:F$359,Продажи!$D$5:$D$359,Конструкторы!$B1003,Продажи!$C$5:$C$359,Конструкторы!$A1003)</f>
        <v>0</v>
      </c>
      <c r="J1003" s="166">
        <f>SUMIFS(Продажи!G$5:G$359,Продажи!$D$5:$D$359,Конструкторы!$B1003,Продажи!$C$5:$C$359,Конструкторы!$A1003)</f>
        <v>0</v>
      </c>
      <c r="K1003" s="166">
        <f>SUMIFS(Продажи!H$5:H$359,Продажи!$D$5:$D$359,Конструкторы!$B1003,Продажи!$C$5:$C$359,Конструкторы!$A1003)</f>
        <v>0</v>
      </c>
      <c r="L1003" s="166">
        <f>SUMIFS(Продажи!I$5:I$359,Продажи!$D$5:$D$359,Конструкторы!$B1003,Продажи!$C$5:$C$359,Конструкторы!$A1003)</f>
        <v>0</v>
      </c>
      <c r="M1003" s="166">
        <f>SUMIFS(Продажи!J$5:J$359,Продажи!$D$5:$D$359,Конструкторы!$B1003,Продажи!$C$5:$C$359,Конструкторы!$A1003)</f>
        <v>0</v>
      </c>
      <c r="N1003" s="166">
        <f>SUMIFS(Продажи!K$5:K$359,Продажи!$D$5:$D$359,Конструкторы!$B1003,Продажи!$C$5:$C$359,Конструкторы!$A1003)</f>
        <v>0</v>
      </c>
      <c r="O1003" s="166">
        <f>SUMIFS(Продажи!L$5:L$359,Продажи!$D$5:$D$359,Конструкторы!$B1003,Продажи!$C$5:$C$359,Конструкторы!$A1003)</f>
        <v>0</v>
      </c>
      <c r="P1003" s="166">
        <f>SUMIFS(Продажи!M$5:M$359,Продажи!$D$5:$D$359,Конструкторы!$B1003,Продажи!$C$5:$C$359,Конструкторы!$A1003)</f>
        <v>0</v>
      </c>
      <c r="Q1003" s="166">
        <f>SUMIFS(Продажи!N$5:N$359,Продажи!$D$5:$D$359,Конструкторы!$B1003,Продажи!$C$5:$C$359,Конструкторы!$A1003)</f>
        <v>0</v>
      </c>
      <c r="R1003" s="166">
        <f>SUMIFS(Продажи!O$5:O$359,Продажи!$D$5:$D$359,Конструкторы!$B1003,Продажи!$C$5:$C$359,Конструкторы!$A1003)</f>
        <v>0</v>
      </c>
      <c r="S1003" s="166">
        <f>SUMIFS(Продажи!P$5:P$359,Продажи!$D$5:$D$359,Конструкторы!$B1003,Продажи!$C$5:$C$359,Конструкторы!$A1003)</f>
        <v>0</v>
      </c>
      <c r="T1003" s="166">
        <f>SUMIFS(Продажи!Q$5:Q$359,Продажи!$D$5:$D$359,Конструкторы!$B1003,Продажи!$C$5:$C$359,Конструкторы!$A1003)</f>
        <v>0</v>
      </c>
    </row>
    <row r="1004" spans="1:20" ht="15.75" hidden="1" x14ac:dyDescent="0.25">
      <c r="A1004" s="166" t="s">
        <v>397</v>
      </c>
      <c r="B1004" s="167" t="s">
        <v>208</v>
      </c>
      <c r="C1004" s="33" t="s">
        <v>69</v>
      </c>
      <c r="D1004" s="149"/>
      <c r="E1004" s="153" t="s">
        <v>70</v>
      </c>
      <c r="F1004" s="148">
        <v>10</v>
      </c>
      <c r="G1004" s="156" t="s">
        <v>71</v>
      </c>
      <c r="H1004" s="156">
        <f>F1004</f>
        <v>10</v>
      </c>
      <c r="I1004" s="166">
        <f>SUMIFS(Продажи!F$5:F$359,Продажи!$D$5:$D$359,Конструкторы!$B1004,Продажи!$C$5:$C$359,Конструкторы!$A1004)</f>
        <v>0</v>
      </c>
      <c r="J1004" s="166">
        <f>SUMIFS(Продажи!G$5:G$359,Продажи!$D$5:$D$359,Конструкторы!$B1004,Продажи!$C$5:$C$359,Конструкторы!$A1004)</f>
        <v>0</v>
      </c>
      <c r="K1004" s="166">
        <f>SUMIFS(Продажи!H$5:H$359,Продажи!$D$5:$D$359,Конструкторы!$B1004,Продажи!$C$5:$C$359,Конструкторы!$A1004)</f>
        <v>0</v>
      </c>
      <c r="L1004" s="166">
        <f>SUMIFS(Продажи!I$5:I$359,Продажи!$D$5:$D$359,Конструкторы!$B1004,Продажи!$C$5:$C$359,Конструкторы!$A1004)</f>
        <v>0</v>
      </c>
      <c r="M1004" s="166">
        <f>SUMIFS(Продажи!J$5:J$359,Продажи!$D$5:$D$359,Конструкторы!$B1004,Продажи!$C$5:$C$359,Конструкторы!$A1004)</f>
        <v>0</v>
      </c>
      <c r="N1004" s="166">
        <f>SUMIFS(Продажи!K$5:K$359,Продажи!$D$5:$D$359,Конструкторы!$B1004,Продажи!$C$5:$C$359,Конструкторы!$A1004)</f>
        <v>0</v>
      </c>
      <c r="O1004" s="166">
        <f>SUMIFS(Продажи!L$5:L$359,Продажи!$D$5:$D$359,Конструкторы!$B1004,Продажи!$C$5:$C$359,Конструкторы!$A1004)</f>
        <v>0</v>
      </c>
      <c r="P1004" s="166">
        <f>SUMIFS(Продажи!M$5:M$359,Продажи!$D$5:$D$359,Конструкторы!$B1004,Продажи!$C$5:$C$359,Конструкторы!$A1004)</f>
        <v>0</v>
      </c>
      <c r="Q1004" s="166">
        <f>SUMIFS(Продажи!N$5:N$359,Продажи!$D$5:$D$359,Конструкторы!$B1004,Продажи!$C$5:$C$359,Конструкторы!$A1004)</f>
        <v>0</v>
      </c>
      <c r="R1004" s="166">
        <f>SUMIFS(Продажи!O$5:O$359,Продажи!$D$5:$D$359,Конструкторы!$B1004,Продажи!$C$5:$C$359,Конструкторы!$A1004)</f>
        <v>0</v>
      </c>
      <c r="S1004" s="166">
        <f>SUMIFS(Продажи!P$5:P$359,Продажи!$D$5:$D$359,Конструкторы!$B1004,Продажи!$C$5:$C$359,Конструкторы!$A1004)</f>
        <v>0</v>
      </c>
      <c r="T1004" s="166">
        <f>SUMIFS(Продажи!Q$5:Q$359,Продажи!$D$5:$D$359,Конструкторы!$B1004,Продажи!$C$5:$C$359,Конструкторы!$A1004)</f>
        <v>0</v>
      </c>
    </row>
    <row r="1005" spans="1:20" ht="15.75" hidden="1" x14ac:dyDescent="0.25">
      <c r="A1005" s="166" t="s">
        <v>397</v>
      </c>
      <c r="B1005" s="167" t="s">
        <v>209</v>
      </c>
      <c r="C1005" s="129" t="s">
        <v>53</v>
      </c>
      <c r="D1005" s="130">
        <v>7038</v>
      </c>
      <c r="E1005" s="153" t="s">
        <v>68</v>
      </c>
      <c r="F1005" s="156">
        <f>(1.954*103)/100</f>
        <v>2.0126200000000001</v>
      </c>
      <c r="G1005" s="156">
        <v>5.8620000000000116E-2</v>
      </c>
      <c r="H1005" s="156">
        <f>F1005+G1005</f>
        <v>2.0712400000000004</v>
      </c>
      <c r="I1005" s="166">
        <f>SUMIFS(Продажи!F$5:F$359,Продажи!$D$5:$D$359,Конструкторы!$B1005,Продажи!$C$5:$C$359,Конструкторы!$A1005)</f>
        <v>0</v>
      </c>
      <c r="J1005" s="166">
        <f>SUMIFS(Продажи!G$5:G$359,Продажи!$D$5:$D$359,Конструкторы!$B1005,Продажи!$C$5:$C$359,Конструкторы!$A1005)</f>
        <v>0</v>
      </c>
      <c r="K1005" s="166">
        <f>SUMIFS(Продажи!H$5:H$359,Продажи!$D$5:$D$359,Конструкторы!$B1005,Продажи!$C$5:$C$359,Конструкторы!$A1005)</f>
        <v>0</v>
      </c>
      <c r="L1005" s="166">
        <f>SUMIFS(Продажи!I$5:I$359,Продажи!$D$5:$D$359,Конструкторы!$B1005,Продажи!$C$5:$C$359,Конструкторы!$A1005)</f>
        <v>0</v>
      </c>
      <c r="M1005" s="166">
        <f>SUMIFS(Продажи!J$5:J$359,Продажи!$D$5:$D$359,Конструкторы!$B1005,Продажи!$C$5:$C$359,Конструкторы!$A1005)</f>
        <v>0</v>
      </c>
      <c r="N1005" s="166">
        <f>SUMIFS(Продажи!K$5:K$359,Продажи!$D$5:$D$359,Конструкторы!$B1005,Продажи!$C$5:$C$359,Конструкторы!$A1005)</f>
        <v>0</v>
      </c>
      <c r="O1005" s="166">
        <f>SUMIFS(Продажи!L$5:L$359,Продажи!$D$5:$D$359,Конструкторы!$B1005,Продажи!$C$5:$C$359,Конструкторы!$A1005)</f>
        <v>0</v>
      </c>
      <c r="P1005" s="166">
        <f>SUMIFS(Продажи!M$5:M$359,Продажи!$D$5:$D$359,Конструкторы!$B1005,Продажи!$C$5:$C$359,Конструкторы!$A1005)</f>
        <v>0</v>
      </c>
      <c r="Q1005" s="166">
        <f>SUMIFS(Продажи!N$5:N$359,Продажи!$D$5:$D$359,Конструкторы!$B1005,Продажи!$C$5:$C$359,Конструкторы!$A1005)</f>
        <v>0</v>
      </c>
      <c r="R1005" s="166">
        <f>SUMIFS(Продажи!O$5:O$359,Продажи!$D$5:$D$359,Конструкторы!$B1005,Продажи!$C$5:$C$359,Конструкторы!$A1005)</f>
        <v>0</v>
      </c>
      <c r="S1005" s="166">
        <f>SUMIFS(Продажи!P$5:P$359,Продажи!$D$5:$D$359,Конструкторы!$B1005,Продажи!$C$5:$C$359,Конструкторы!$A1005)</f>
        <v>0</v>
      </c>
      <c r="T1005" s="166">
        <f>SUMIFS(Продажи!Q$5:Q$359,Продажи!$D$5:$D$359,Конструкторы!$B1005,Продажи!$C$5:$C$359,Конструкторы!$A1005)</f>
        <v>0</v>
      </c>
    </row>
    <row r="1006" spans="1:20" ht="15.75" hidden="1" x14ac:dyDescent="0.25">
      <c r="A1006" s="166" t="s">
        <v>397</v>
      </c>
      <c r="B1006" s="167" t="s">
        <v>209</v>
      </c>
      <c r="C1006" s="129" t="s">
        <v>52</v>
      </c>
      <c r="D1006" s="149"/>
      <c r="E1006" s="153" t="s">
        <v>68</v>
      </c>
      <c r="F1006" s="156">
        <f>(1.57*103)/100</f>
        <v>1.6171</v>
      </c>
      <c r="G1006" s="156">
        <v>4.709999999999992E-2</v>
      </c>
      <c r="H1006" s="156">
        <f>F1006+G1006</f>
        <v>1.6641999999999999</v>
      </c>
      <c r="I1006" s="166">
        <f>SUMIFS(Продажи!F$5:F$359,Продажи!$D$5:$D$359,Конструкторы!$B1006,Продажи!$C$5:$C$359,Конструкторы!$A1006)</f>
        <v>0</v>
      </c>
      <c r="J1006" s="166">
        <f>SUMIFS(Продажи!G$5:G$359,Продажи!$D$5:$D$359,Конструкторы!$B1006,Продажи!$C$5:$C$359,Конструкторы!$A1006)</f>
        <v>0</v>
      </c>
      <c r="K1006" s="166">
        <f>SUMIFS(Продажи!H$5:H$359,Продажи!$D$5:$D$359,Конструкторы!$B1006,Продажи!$C$5:$C$359,Конструкторы!$A1006)</f>
        <v>0</v>
      </c>
      <c r="L1006" s="166">
        <f>SUMIFS(Продажи!I$5:I$359,Продажи!$D$5:$D$359,Конструкторы!$B1006,Продажи!$C$5:$C$359,Конструкторы!$A1006)</f>
        <v>0</v>
      </c>
      <c r="M1006" s="166">
        <f>SUMIFS(Продажи!J$5:J$359,Продажи!$D$5:$D$359,Конструкторы!$B1006,Продажи!$C$5:$C$359,Конструкторы!$A1006)</f>
        <v>0</v>
      </c>
      <c r="N1006" s="166">
        <f>SUMIFS(Продажи!K$5:K$359,Продажи!$D$5:$D$359,Конструкторы!$B1006,Продажи!$C$5:$C$359,Конструкторы!$A1006)</f>
        <v>0</v>
      </c>
      <c r="O1006" s="166">
        <f>SUMIFS(Продажи!L$5:L$359,Продажи!$D$5:$D$359,Конструкторы!$B1006,Продажи!$C$5:$C$359,Конструкторы!$A1006)</f>
        <v>0</v>
      </c>
      <c r="P1006" s="166">
        <f>SUMIFS(Продажи!M$5:M$359,Продажи!$D$5:$D$359,Конструкторы!$B1006,Продажи!$C$5:$C$359,Конструкторы!$A1006)</f>
        <v>0</v>
      </c>
      <c r="Q1006" s="166">
        <f>SUMIFS(Продажи!N$5:N$359,Продажи!$D$5:$D$359,Конструкторы!$B1006,Продажи!$C$5:$C$359,Конструкторы!$A1006)</f>
        <v>0</v>
      </c>
      <c r="R1006" s="166">
        <f>SUMIFS(Продажи!O$5:O$359,Продажи!$D$5:$D$359,Конструкторы!$B1006,Продажи!$C$5:$C$359,Конструкторы!$A1006)</f>
        <v>0</v>
      </c>
      <c r="S1006" s="166">
        <f>SUMIFS(Продажи!P$5:P$359,Продажи!$D$5:$D$359,Конструкторы!$B1006,Продажи!$C$5:$C$359,Конструкторы!$A1006)</f>
        <v>0</v>
      </c>
      <c r="T1006" s="166">
        <f>SUMIFS(Продажи!Q$5:Q$359,Продажи!$D$5:$D$359,Конструкторы!$B1006,Продажи!$C$5:$C$359,Конструкторы!$A1006)</f>
        <v>0</v>
      </c>
    </row>
    <row r="1007" spans="1:20" ht="15.75" hidden="1" x14ac:dyDescent="0.25">
      <c r="A1007" s="166" t="s">
        <v>397</v>
      </c>
      <c r="B1007" s="167" t="s">
        <v>209</v>
      </c>
      <c r="C1007" s="33" t="s">
        <v>73</v>
      </c>
      <c r="D1007" s="149"/>
      <c r="E1007" s="153" t="s">
        <v>70</v>
      </c>
      <c r="F1007" s="148">
        <v>4</v>
      </c>
      <c r="G1007" s="156" t="s">
        <v>71</v>
      </c>
      <c r="H1007" s="156">
        <f>F1007</f>
        <v>4</v>
      </c>
      <c r="I1007" s="166">
        <f>SUMIFS(Продажи!F$5:F$359,Продажи!$D$5:$D$359,Конструкторы!$B1007,Продажи!$C$5:$C$359,Конструкторы!$A1007)</f>
        <v>0</v>
      </c>
      <c r="J1007" s="166">
        <f>SUMIFS(Продажи!G$5:G$359,Продажи!$D$5:$D$359,Конструкторы!$B1007,Продажи!$C$5:$C$359,Конструкторы!$A1007)</f>
        <v>0</v>
      </c>
      <c r="K1007" s="166">
        <f>SUMIFS(Продажи!H$5:H$359,Продажи!$D$5:$D$359,Конструкторы!$B1007,Продажи!$C$5:$C$359,Конструкторы!$A1007)</f>
        <v>0</v>
      </c>
      <c r="L1007" s="166">
        <f>SUMIFS(Продажи!I$5:I$359,Продажи!$D$5:$D$359,Конструкторы!$B1007,Продажи!$C$5:$C$359,Конструкторы!$A1007)</f>
        <v>0</v>
      </c>
      <c r="M1007" s="166">
        <f>SUMIFS(Продажи!J$5:J$359,Продажи!$D$5:$D$359,Конструкторы!$B1007,Продажи!$C$5:$C$359,Конструкторы!$A1007)</f>
        <v>0</v>
      </c>
      <c r="N1007" s="166">
        <f>SUMIFS(Продажи!K$5:K$359,Продажи!$D$5:$D$359,Конструкторы!$B1007,Продажи!$C$5:$C$359,Конструкторы!$A1007)</f>
        <v>0</v>
      </c>
      <c r="O1007" s="166">
        <f>SUMIFS(Продажи!L$5:L$359,Продажи!$D$5:$D$359,Конструкторы!$B1007,Продажи!$C$5:$C$359,Конструкторы!$A1007)</f>
        <v>0</v>
      </c>
      <c r="P1007" s="166">
        <f>SUMIFS(Продажи!M$5:M$359,Продажи!$D$5:$D$359,Конструкторы!$B1007,Продажи!$C$5:$C$359,Конструкторы!$A1007)</f>
        <v>0</v>
      </c>
      <c r="Q1007" s="166">
        <f>SUMIFS(Продажи!N$5:N$359,Продажи!$D$5:$D$359,Конструкторы!$B1007,Продажи!$C$5:$C$359,Конструкторы!$A1007)</f>
        <v>0</v>
      </c>
      <c r="R1007" s="166">
        <f>SUMIFS(Продажи!O$5:O$359,Продажи!$D$5:$D$359,Конструкторы!$B1007,Продажи!$C$5:$C$359,Конструкторы!$A1007)</f>
        <v>0</v>
      </c>
      <c r="S1007" s="166">
        <f>SUMIFS(Продажи!P$5:P$359,Продажи!$D$5:$D$359,Конструкторы!$B1007,Продажи!$C$5:$C$359,Конструкторы!$A1007)</f>
        <v>0</v>
      </c>
      <c r="T1007" s="166">
        <f>SUMIFS(Продажи!Q$5:Q$359,Продажи!$D$5:$D$359,Конструкторы!$B1007,Продажи!$C$5:$C$359,Конструкторы!$A1007)</f>
        <v>0</v>
      </c>
    </row>
    <row r="1008" spans="1:20" ht="15.75" hidden="1" x14ac:dyDescent="0.25">
      <c r="A1008" s="166" t="s">
        <v>397</v>
      </c>
      <c r="B1008" s="167" t="s">
        <v>209</v>
      </c>
      <c r="C1008" s="33" t="s">
        <v>75</v>
      </c>
      <c r="D1008" s="149"/>
      <c r="E1008" s="153" t="s">
        <v>70</v>
      </c>
      <c r="F1008" s="148">
        <v>12</v>
      </c>
      <c r="G1008" s="156" t="s">
        <v>71</v>
      </c>
      <c r="H1008" s="156">
        <f>F1008</f>
        <v>12</v>
      </c>
      <c r="I1008" s="166">
        <f>SUMIFS(Продажи!F$5:F$359,Продажи!$D$5:$D$359,Конструкторы!$B1008,Продажи!$C$5:$C$359,Конструкторы!$A1008)</f>
        <v>0</v>
      </c>
      <c r="J1008" s="166">
        <f>SUMIFS(Продажи!G$5:G$359,Продажи!$D$5:$D$359,Конструкторы!$B1008,Продажи!$C$5:$C$359,Конструкторы!$A1008)</f>
        <v>0</v>
      </c>
      <c r="K1008" s="166">
        <f>SUMIFS(Продажи!H$5:H$359,Продажи!$D$5:$D$359,Конструкторы!$B1008,Продажи!$C$5:$C$359,Конструкторы!$A1008)</f>
        <v>0</v>
      </c>
      <c r="L1008" s="166">
        <f>SUMIFS(Продажи!I$5:I$359,Продажи!$D$5:$D$359,Конструкторы!$B1008,Продажи!$C$5:$C$359,Конструкторы!$A1008)</f>
        <v>0</v>
      </c>
      <c r="M1008" s="166">
        <f>SUMIFS(Продажи!J$5:J$359,Продажи!$D$5:$D$359,Конструкторы!$B1008,Продажи!$C$5:$C$359,Конструкторы!$A1008)</f>
        <v>0</v>
      </c>
      <c r="N1008" s="166">
        <f>SUMIFS(Продажи!K$5:K$359,Продажи!$D$5:$D$359,Конструкторы!$B1008,Продажи!$C$5:$C$359,Конструкторы!$A1008)</f>
        <v>0</v>
      </c>
      <c r="O1008" s="166">
        <f>SUMIFS(Продажи!L$5:L$359,Продажи!$D$5:$D$359,Конструкторы!$B1008,Продажи!$C$5:$C$359,Конструкторы!$A1008)</f>
        <v>0</v>
      </c>
      <c r="P1008" s="166">
        <f>SUMIFS(Продажи!M$5:M$359,Продажи!$D$5:$D$359,Конструкторы!$B1008,Продажи!$C$5:$C$359,Конструкторы!$A1008)</f>
        <v>0</v>
      </c>
      <c r="Q1008" s="166">
        <f>SUMIFS(Продажи!N$5:N$359,Продажи!$D$5:$D$359,Конструкторы!$B1008,Продажи!$C$5:$C$359,Конструкторы!$A1008)</f>
        <v>0</v>
      </c>
      <c r="R1008" s="166">
        <f>SUMIFS(Продажи!O$5:O$359,Продажи!$D$5:$D$359,Конструкторы!$B1008,Продажи!$C$5:$C$359,Конструкторы!$A1008)</f>
        <v>0</v>
      </c>
      <c r="S1008" s="166">
        <f>SUMIFS(Продажи!P$5:P$359,Продажи!$D$5:$D$359,Конструкторы!$B1008,Продажи!$C$5:$C$359,Конструкторы!$A1008)</f>
        <v>0</v>
      </c>
      <c r="T1008" s="166">
        <f>SUMIFS(Продажи!Q$5:Q$359,Продажи!$D$5:$D$359,Конструкторы!$B1008,Продажи!$C$5:$C$359,Конструкторы!$A1008)</f>
        <v>0</v>
      </c>
    </row>
    <row r="1009" spans="1:20" ht="15.75" hidden="1" x14ac:dyDescent="0.25">
      <c r="A1009" s="166" t="s">
        <v>397</v>
      </c>
      <c r="B1009" s="167" t="s">
        <v>209</v>
      </c>
      <c r="C1009" s="33" t="s">
        <v>69</v>
      </c>
      <c r="D1009" s="149"/>
      <c r="E1009" s="153" t="s">
        <v>70</v>
      </c>
      <c r="F1009" s="148">
        <v>10</v>
      </c>
      <c r="G1009" s="156" t="s">
        <v>71</v>
      </c>
      <c r="H1009" s="156">
        <f>F1009</f>
        <v>10</v>
      </c>
      <c r="I1009" s="166">
        <f>SUMIFS(Продажи!F$5:F$359,Продажи!$D$5:$D$359,Конструкторы!$B1009,Продажи!$C$5:$C$359,Конструкторы!$A1009)</f>
        <v>0</v>
      </c>
      <c r="J1009" s="166">
        <f>SUMIFS(Продажи!G$5:G$359,Продажи!$D$5:$D$359,Конструкторы!$B1009,Продажи!$C$5:$C$359,Конструкторы!$A1009)</f>
        <v>0</v>
      </c>
      <c r="K1009" s="166">
        <f>SUMIFS(Продажи!H$5:H$359,Продажи!$D$5:$D$359,Конструкторы!$B1009,Продажи!$C$5:$C$359,Конструкторы!$A1009)</f>
        <v>0</v>
      </c>
      <c r="L1009" s="166">
        <f>SUMIFS(Продажи!I$5:I$359,Продажи!$D$5:$D$359,Конструкторы!$B1009,Продажи!$C$5:$C$359,Конструкторы!$A1009)</f>
        <v>0</v>
      </c>
      <c r="M1009" s="166">
        <f>SUMIFS(Продажи!J$5:J$359,Продажи!$D$5:$D$359,Конструкторы!$B1009,Продажи!$C$5:$C$359,Конструкторы!$A1009)</f>
        <v>0</v>
      </c>
      <c r="N1009" s="166">
        <f>SUMIFS(Продажи!K$5:K$359,Продажи!$D$5:$D$359,Конструкторы!$B1009,Продажи!$C$5:$C$359,Конструкторы!$A1009)</f>
        <v>0</v>
      </c>
      <c r="O1009" s="166">
        <f>SUMIFS(Продажи!L$5:L$359,Продажи!$D$5:$D$359,Конструкторы!$B1009,Продажи!$C$5:$C$359,Конструкторы!$A1009)</f>
        <v>0</v>
      </c>
      <c r="P1009" s="166">
        <f>SUMIFS(Продажи!M$5:M$359,Продажи!$D$5:$D$359,Конструкторы!$B1009,Продажи!$C$5:$C$359,Конструкторы!$A1009)</f>
        <v>0</v>
      </c>
      <c r="Q1009" s="166">
        <f>SUMIFS(Продажи!N$5:N$359,Продажи!$D$5:$D$359,Конструкторы!$B1009,Продажи!$C$5:$C$359,Конструкторы!$A1009)</f>
        <v>0</v>
      </c>
      <c r="R1009" s="166">
        <f>SUMIFS(Продажи!O$5:O$359,Продажи!$D$5:$D$359,Конструкторы!$B1009,Продажи!$C$5:$C$359,Конструкторы!$A1009)</f>
        <v>0</v>
      </c>
      <c r="S1009" s="166">
        <f>SUMIFS(Продажи!P$5:P$359,Продажи!$D$5:$D$359,Конструкторы!$B1009,Продажи!$C$5:$C$359,Конструкторы!$A1009)</f>
        <v>0</v>
      </c>
      <c r="T1009" s="166">
        <f>SUMIFS(Продажи!Q$5:Q$359,Продажи!$D$5:$D$359,Конструкторы!$B1009,Продажи!$C$5:$C$359,Конструкторы!$A1009)</f>
        <v>0</v>
      </c>
    </row>
    <row r="1010" spans="1:20" ht="15.75" hidden="1" x14ac:dyDescent="0.25">
      <c r="A1010" s="166" t="s">
        <v>397</v>
      </c>
      <c r="B1010" s="167" t="s">
        <v>210</v>
      </c>
      <c r="C1010" s="129" t="s">
        <v>53</v>
      </c>
      <c r="D1010" s="130">
        <v>7038</v>
      </c>
      <c r="E1010" s="153" t="s">
        <v>68</v>
      </c>
      <c r="F1010" s="156">
        <f>(1.954*103)/100</f>
        <v>2.0126200000000001</v>
      </c>
      <c r="G1010" s="156">
        <v>5.8620000000000116E-2</v>
      </c>
      <c r="H1010" s="156">
        <f>F1010+G1010</f>
        <v>2.0712400000000004</v>
      </c>
      <c r="I1010" s="166">
        <f>SUMIFS(Продажи!F$5:F$359,Продажи!$D$5:$D$359,Конструкторы!$B1010,Продажи!$C$5:$C$359,Конструкторы!$A1010)</f>
        <v>0</v>
      </c>
      <c r="J1010" s="166">
        <f>SUMIFS(Продажи!G$5:G$359,Продажи!$D$5:$D$359,Конструкторы!$B1010,Продажи!$C$5:$C$359,Конструкторы!$A1010)</f>
        <v>0</v>
      </c>
      <c r="K1010" s="166">
        <f>SUMIFS(Продажи!H$5:H$359,Продажи!$D$5:$D$359,Конструкторы!$B1010,Продажи!$C$5:$C$359,Конструкторы!$A1010)</f>
        <v>0</v>
      </c>
      <c r="L1010" s="166">
        <f>SUMIFS(Продажи!I$5:I$359,Продажи!$D$5:$D$359,Конструкторы!$B1010,Продажи!$C$5:$C$359,Конструкторы!$A1010)</f>
        <v>0</v>
      </c>
      <c r="M1010" s="166">
        <f>SUMIFS(Продажи!J$5:J$359,Продажи!$D$5:$D$359,Конструкторы!$B1010,Продажи!$C$5:$C$359,Конструкторы!$A1010)</f>
        <v>0</v>
      </c>
      <c r="N1010" s="166">
        <f>SUMIFS(Продажи!K$5:K$359,Продажи!$D$5:$D$359,Конструкторы!$B1010,Продажи!$C$5:$C$359,Конструкторы!$A1010)</f>
        <v>0</v>
      </c>
      <c r="O1010" s="166">
        <f>SUMIFS(Продажи!L$5:L$359,Продажи!$D$5:$D$359,Конструкторы!$B1010,Продажи!$C$5:$C$359,Конструкторы!$A1010)</f>
        <v>0</v>
      </c>
      <c r="P1010" s="166">
        <f>SUMIFS(Продажи!M$5:M$359,Продажи!$D$5:$D$359,Конструкторы!$B1010,Продажи!$C$5:$C$359,Конструкторы!$A1010)</f>
        <v>0</v>
      </c>
      <c r="Q1010" s="166">
        <f>SUMIFS(Продажи!N$5:N$359,Продажи!$D$5:$D$359,Конструкторы!$B1010,Продажи!$C$5:$C$359,Конструкторы!$A1010)</f>
        <v>0</v>
      </c>
      <c r="R1010" s="166">
        <f>SUMIFS(Продажи!O$5:O$359,Продажи!$D$5:$D$359,Конструкторы!$B1010,Продажи!$C$5:$C$359,Конструкторы!$A1010)</f>
        <v>0</v>
      </c>
      <c r="S1010" s="166">
        <f>SUMIFS(Продажи!P$5:P$359,Продажи!$D$5:$D$359,Конструкторы!$B1010,Продажи!$C$5:$C$359,Конструкторы!$A1010)</f>
        <v>0</v>
      </c>
      <c r="T1010" s="166">
        <f>SUMIFS(Продажи!Q$5:Q$359,Продажи!$D$5:$D$359,Конструкторы!$B1010,Продажи!$C$5:$C$359,Конструкторы!$A1010)</f>
        <v>0</v>
      </c>
    </row>
    <row r="1011" spans="1:20" ht="15.75" hidden="1" x14ac:dyDescent="0.25">
      <c r="A1011" s="166" t="s">
        <v>397</v>
      </c>
      <c r="B1011" s="167" t="s">
        <v>210</v>
      </c>
      <c r="C1011" s="129" t="s">
        <v>52</v>
      </c>
      <c r="D1011" s="149"/>
      <c r="E1011" s="153" t="s">
        <v>68</v>
      </c>
      <c r="F1011" s="156">
        <f>(1.966*103)/100</f>
        <v>2.0249799999999998</v>
      </c>
      <c r="G1011" s="156">
        <v>5.897999999999981E-2</v>
      </c>
      <c r="H1011" s="156">
        <f>F1011+G1011</f>
        <v>2.0839599999999994</v>
      </c>
      <c r="I1011" s="166">
        <f>SUMIFS(Продажи!F$5:F$359,Продажи!$D$5:$D$359,Конструкторы!$B1011,Продажи!$C$5:$C$359,Конструкторы!$A1011)</f>
        <v>0</v>
      </c>
      <c r="J1011" s="166">
        <f>SUMIFS(Продажи!G$5:G$359,Продажи!$D$5:$D$359,Конструкторы!$B1011,Продажи!$C$5:$C$359,Конструкторы!$A1011)</f>
        <v>0</v>
      </c>
      <c r="K1011" s="166">
        <f>SUMIFS(Продажи!H$5:H$359,Продажи!$D$5:$D$359,Конструкторы!$B1011,Продажи!$C$5:$C$359,Конструкторы!$A1011)</f>
        <v>0</v>
      </c>
      <c r="L1011" s="166">
        <f>SUMIFS(Продажи!I$5:I$359,Продажи!$D$5:$D$359,Конструкторы!$B1011,Продажи!$C$5:$C$359,Конструкторы!$A1011)</f>
        <v>0</v>
      </c>
      <c r="M1011" s="166">
        <f>SUMIFS(Продажи!J$5:J$359,Продажи!$D$5:$D$359,Конструкторы!$B1011,Продажи!$C$5:$C$359,Конструкторы!$A1011)</f>
        <v>0</v>
      </c>
      <c r="N1011" s="166">
        <f>SUMIFS(Продажи!K$5:K$359,Продажи!$D$5:$D$359,Конструкторы!$B1011,Продажи!$C$5:$C$359,Конструкторы!$A1011)</f>
        <v>0</v>
      </c>
      <c r="O1011" s="166">
        <f>SUMIFS(Продажи!L$5:L$359,Продажи!$D$5:$D$359,Конструкторы!$B1011,Продажи!$C$5:$C$359,Конструкторы!$A1011)</f>
        <v>0</v>
      </c>
      <c r="P1011" s="166">
        <f>SUMIFS(Продажи!M$5:M$359,Продажи!$D$5:$D$359,Конструкторы!$B1011,Продажи!$C$5:$C$359,Конструкторы!$A1011)</f>
        <v>0</v>
      </c>
      <c r="Q1011" s="166">
        <f>SUMIFS(Продажи!N$5:N$359,Продажи!$D$5:$D$359,Конструкторы!$B1011,Продажи!$C$5:$C$359,Конструкторы!$A1011)</f>
        <v>0</v>
      </c>
      <c r="R1011" s="166">
        <f>SUMIFS(Продажи!O$5:O$359,Продажи!$D$5:$D$359,Конструкторы!$B1011,Продажи!$C$5:$C$359,Конструкторы!$A1011)</f>
        <v>0</v>
      </c>
      <c r="S1011" s="166">
        <f>SUMIFS(Продажи!P$5:P$359,Продажи!$D$5:$D$359,Конструкторы!$B1011,Продажи!$C$5:$C$359,Конструкторы!$A1011)</f>
        <v>0</v>
      </c>
      <c r="T1011" s="166">
        <f>SUMIFS(Продажи!Q$5:Q$359,Продажи!$D$5:$D$359,Конструкторы!$B1011,Продажи!$C$5:$C$359,Конструкторы!$A1011)</f>
        <v>0</v>
      </c>
    </row>
    <row r="1012" spans="1:20" ht="15.75" hidden="1" x14ac:dyDescent="0.25">
      <c r="A1012" s="166" t="s">
        <v>397</v>
      </c>
      <c r="B1012" s="167" t="s">
        <v>210</v>
      </c>
      <c r="C1012" s="33" t="s">
        <v>73</v>
      </c>
      <c r="D1012" s="149"/>
      <c r="E1012" s="153" t="s">
        <v>70</v>
      </c>
      <c r="F1012" s="148">
        <v>4</v>
      </c>
      <c r="G1012" s="156" t="s">
        <v>71</v>
      </c>
      <c r="H1012" s="156">
        <f>F1012</f>
        <v>4</v>
      </c>
      <c r="I1012" s="166">
        <f>SUMIFS(Продажи!F$5:F$359,Продажи!$D$5:$D$359,Конструкторы!$B1012,Продажи!$C$5:$C$359,Конструкторы!$A1012)</f>
        <v>0</v>
      </c>
      <c r="J1012" s="166">
        <f>SUMIFS(Продажи!G$5:G$359,Продажи!$D$5:$D$359,Конструкторы!$B1012,Продажи!$C$5:$C$359,Конструкторы!$A1012)</f>
        <v>0</v>
      </c>
      <c r="K1012" s="166">
        <f>SUMIFS(Продажи!H$5:H$359,Продажи!$D$5:$D$359,Конструкторы!$B1012,Продажи!$C$5:$C$359,Конструкторы!$A1012)</f>
        <v>0</v>
      </c>
      <c r="L1012" s="166">
        <f>SUMIFS(Продажи!I$5:I$359,Продажи!$D$5:$D$359,Конструкторы!$B1012,Продажи!$C$5:$C$359,Конструкторы!$A1012)</f>
        <v>0</v>
      </c>
      <c r="M1012" s="166">
        <f>SUMIFS(Продажи!J$5:J$359,Продажи!$D$5:$D$359,Конструкторы!$B1012,Продажи!$C$5:$C$359,Конструкторы!$A1012)</f>
        <v>0</v>
      </c>
      <c r="N1012" s="166">
        <f>SUMIFS(Продажи!K$5:K$359,Продажи!$D$5:$D$359,Конструкторы!$B1012,Продажи!$C$5:$C$359,Конструкторы!$A1012)</f>
        <v>0</v>
      </c>
      <c r="O1012" s="166">
        <f>SUMIFS(Продажи!L$5:L$359,Продажи!$D$5:$D$359,Конструкторы!$B1012,Продажи!$C$5:$C$359,Конструкторы!$A1012)</f>
        <v>0</v>
      </c>
      <c r="P1012" s="166">
        <f>SUMIFS(Продажи!M$5:M$359,Продажи!$D$5:$D$359,Конструкторы!$B1012,Продажи!$C$5:$C$359,Конструкторы!$A1012)</f>
        <v>0</v>
      </c>
      <c r="Q1012" s="166">
        <f>SUMIFS(Продажи!N$5:N$359,Продажи!$D$5:$D$359,Конструкторы!$B1012,Продажи!$C$5:$C$359,Конструкторы!$A1012)</f>
        <v>0</v>
      </c>
      <c r="R1012" s="166">
        <f>SUMIFS(Продажи!O$5:O$359,Продажи!$D$5:$D$359,Конструкторы!$B1012,Продажи!$C$5:$C$359,Конструкторы!$A1012)</f>
        <v>0</v>
      </c>
      <c r="S1012" s="166">
        <f>SUMIFS(Продажи!P$5:P$359,Продажи!$D$5:$D$359,Конструкторы!$B1012,Продажи!$C$5:$C$359,Конструкторы!$A1012)</f>
        <v>0</v>
      </c>
      <c r="T1012" s="166">
        <f>SUMIFS(Продажи!Q$5:Q$359,Продажи!$D$5:$D$359,Конструкторы!$B1012,Продажи!$C$5:$C$359,Конструкторы!$A1012)</f>
        <v>0</v>
      </c>
    </row>
    <row r="1013" spans="1:20" ht="15.75" hidden="1" x14ac:dyDescent="0.25">
      <c r="A1013" s="166" t="s">
        <v>397</v>
      </c>
      <c r="B1013" s="167" t="s">
        <v>210</v>
      </c>
      <c r="C1013" s="33" t="s">
        <v>75</v>
      </c>
      <c r="D1013" s="149"/>
      <c r="E1013" s="153" t="s">
        <v>70</v>
      </c>
      <c r="F1013" s="148">
        <v>12</v>
      </c>
      <c r="G1013" s="156" t="s">
        <v>71</v>
      </c>
      <c r="H1013" s="156">
        <f>F1013</f>
        <v>12</v>
      </c>
      <c r="I1013" s="166">
        <f>SUMIFS(Продажи!F$5:F$359,Продажи!$D$5:$D$359,Конструкторы!$B1013,Продажи!$C$5:$C$359,Конструкторы!$A1013)</f>
        <v>0</v>
      </c>
      <c r="J1013" s="166">
        <f>SUMIFS(Продажи!G$5:G$359,Продажи!$D$5:$D$359,Конструкторы!$B1013,Продажи!$C$5:$C$359,Конструкторы!$A1013)</f>
        <v>0</v>
      </c>
      <c r="K1013" s="166">
        <f>SUMIFS(Продажи!H$5:H$359,Продажи!$D$5:$D$359,Конструкторы!$B1013,Продажи!$C$5:$C$359,Конструкторы!$A1013)</f>
        <v>0</v>
      </c>
      <c r="L1013" s="166">
        <f>SUMIFS(Продажи!I$5:I$359,Продажи!$D$5:$D$359,Конструкторы!$B1013,Продажи!$C$5:$C$359,Конструкторы!$A1013)</f>
        <v>0</v>
      </c>
      <c r="M1013" s="166">
        <f>SUMIFS(Продажи!J$5:J$359,Продажи!$D$5:$D$359,Конструкторы!$B1013,Продажи!$C$5:$C$359,Конструкторы!$A1013)</f>
        <v>0</v>
      </c>
      <c r="N1013" s="166">
        <f>SUMIFS(Продажи!K$5:K$359,Продажи!$D$5:$D$359,Конструкторы!$B1013,Продажи!$C$5:$C$359,Конструкторы!$A1013)</f>
        <v>0</v>
      </c>
      <c r="O1013" s="166">
        <f>SUMIFS(Продажи!L$5:L$359,Продажи!$D$5:$D$359,Конструкторы!$B1013,Продажи!$C$5:$C$359,Конструкторы!$A1013)</f>
        <v>0</v>
      </c>
      <c r="P1013" s="166">
        <f>SUMIFS(Продажи!M$5:M$359,Продажи!$D$5:$D$359,Конструкторы!$B1013,Продажи!$C$5:$C$359,Конструкторы!$A1013)</f>
        <v>0</v>
      </c>
      <c r="Q1013" s="166">
        <f>SUMIFS(Продажи!N$5:N$359,Продажи!$D$5:$D$359,Конструкторы!$B1013,Продажи!$C$5:$C$359,Конструкторы!$A1013)</f>
        <v>0</v>
      </c>
      <c r="R1013" s="166">
        <f>SUMIFS(Продажи!O$5:O$359,Продажи!$D$5:$D$359,Конструкторы!$B1013,Продажи!$C$5:$C$359,Конструкторы!$A1013)</f>
        <v>0</v>
      </c>
      <c r="S1013" s="166">
        <f>SUMIFS(Продажи!P$5:P$359,Продажи!$D$5:$D$359,Конструкторы!$B1013,Продажи!$C$5:$C$359,Конструкторы!$A1013)</f>
        <v>0</v>
      </c>
      <c r="T1013" s="166">
        <f>SUMIFS(Продажи!Q$5:Q$359,Продажи!$D$5:$D$359,Конструкторы!$B1013,Продажи!$C$5:$C$359,Конструкторы!$A1013)</f>
        <v>0</v>
      </c>
    </row>
    <row r="1014" spans="1:20" ht="15.75" hidden="1" x14ac:dyDescent="0.25">
      <c r="A1014" s="166" t="s">
        <v>397</v>
      </c>
      <c r="B1014" s="167" t="s">
        <v>210</v>
      </c>
      <c r="C1014" s="33" t="s">
        <v>69</v>
      </c>
      <c r="D1014" s="149"/>
      <c r="E1014" s="153" t="s">
        <v>70</v>
      </c>
      <c r="F1014" s="148">
        <v>10</v>
      </c>
      <c r="G1014" s="156" t="s">
        <v>71</v>
      </c>
      <c r="H1014" s="156">
        <f>F1014</f>
        <v>10</v>
      </c>
      <c r="I1014" s="166">
        <f>SUMIFS(Продажи!F$5:F$359,Продажи!$D$5:$D$359,Конструкторы!$B1014,Продажи!$C$5:$C$359,Конструкторы!$A1014)</f>
        <v>0</v>
      </c>
      <c r="J1014" s="166">
        <f>SUMIFS(Продажи!G$5:G$359,Продажи!$D$5:$D$359,Конструкторы!$B1014,Продажи!$C$5:$C$359,Конструкторы!$A1014)</f>
        <v>0</v>
      </c>
      <c r="K1014" s="166">
        <f>SUMIFS(Продажи!H$5:H$359,Продажи!$D$5:$D$359,Конструкторы!$B1014,Продажи!$C$5:$C$359,Конструкторы!$A1014)</f>
        <v>0</v>
      </c>
      <c r="L1014" s="166">
        <f>SUMIFS(Продажи!I$5:I$359,Продажи!$D$5:$D$359,Конструкторы!$B1014,Продажи!$C$5:$C$359,Конструкторы!$A1014)</f>
        <v>0</v>
      </c>
      <c r="M1014" s="166">
        <f>SUMIFS(Продажи!J$5:J$359,Продажи!$D$5:$D$359,Конструкторы!$B1014,Продажи!$C$5:$C$359,Конструкторы!$A1014)</f>
        <v>0</v>
      </c>
      <c r="N1014" s="166">
        <f>SUMIFS(Продажи!K$5:K$359,Продажи!$D$5:$D$359,Конструкторы!$B1014,Продажи!$C$5:$C$359,Конструкторы!$A1014)</f>
        <v>0</v>
      </c>
      <c r="O1014" s="166">
        <f>SUMIFS(Продажи!L$5:L$359,Продажи!$D$5:$D$359,Конструкторы!$B1014,Продажи!$C$5:$C$359,Конструкторы!$A1014)</f>
        <v>0</v>
      </c>
      <c r="P1014" s="166">
        <f>SUMIFS(Продажи!M$5:M$359,Продажи!$D$5:$D$359,Конструкторы!$B1014,Продажи!$C$5:$C$359,Конструкторы!$A1014)</f>
        <v>0</v>
      </c>
      <c r="Q1014" s="166">
        <f>SUMIFS(Продажи!N$5:N$359,Продажи!$D$5:$D$359,Конструкторы!$B1014,Продажи!$C$5:$C$359,Конструкторы!$A1014)</f>
        <v>0</v>
      </c>
      <c r="R1014" s="166">
        <f>SUMIFS(Продажи!O$5:O$359,Продажи!$D$5:$D$359,Конструкторы!$B1014,Продажи!$C$5:$C$359,Конструкторы!$A1014)</f>
        <v>0</v>
      </c>
      <c r="S1014" s="166">
        <f>SUMIFS(Продажи!P$5:P$359,Продажи!$D$5:$D$359,Конструкторы!$B1014,Продажи!$C$5:$C$359,Конструкторы!$A1014)</f>
        <v>0</v>
      </c>
      <c r="T1014" s="166">
        <f>SUMIFS(Продажи!Q$5:Q$359,Продажи!$D$5:$D$359,Конструкторы!$B1014,Продажи!$C$5:$C$359,Конструкторы!$A1014)</f>
        <v>0</v>
      </c>
    </row>
    <row r="1015" spans="1:20" ht="15.75" hidden="1" x14ac:dyDescent="0.25">
      <c r="A1015" s="166" t="s">
        <v>397</v>
      </c>
      <c r="B1015" s="167" t="s">
        <v>211</v>
      </c>
      <c r="C1015" s="129" t="s">
        <v>53</v>
      </c>
      <c r="D1015" s="130">
        <v>7038</v>
      </c>
      <c r="E1015" s="153" t="s">
        <v>68</v>
      </c>
      <c r="F1015" s="156">
        <f>(1.954*103)/100</f>
        <v>2.0126200000000001</v>
      </c>
      <c r="G1015" s="156">
        <v>5.8620000000000116E-2</v>
      </c>
      <c r="H1015" s="156">
        <f>F1015+G1015</f>
        <v>2.0712400000000004</v>
      </c>
      <c r="I1015" s="166">
        <f>SUMIFS(Продажи!F$5:F$359,Продажи!$D$5:$D$359,Конструкторы!$B1015,Продажи!$C$5:$C$359,Конструкторы!$A1015)</f>
        <v>0</v>
      </c>
      <c r="J1015" s="166">
        <f>SUMIFS(Продажи!G$5:G$359,Продажи!$D$5:$D$359,Конструкторы!$B1015,Продажи!$C$5:$C$359,Конструкторы!$A1015)</f>
        <v>0</v>
      </c>
      <c r="K1015" s="166">
        <f>SUMIFS(Продажи!H$5:H$359,Продажи!$D$5:$D$359,Конструкторы!$B1015,Продажи!$C$5:$C$359,Конструкторы!$A1015)</f>
        <v>0</v>
      </c>
      <c r="L1015" s="166">
        <f>SUMIFS(Продажи!I$5:I$359,Продажи!$D$5:$D$359,Конструкторы!$B1015,Продажи!$C$5:$C$359,Конструкторы!$A1015)</f>
        <v>0</v>
      </c>
      <c r="M1015" s="166">
        <f>SUMIFS(Продажи!J$5:J$359,Продажи!$D$5:$D$359,Конструкторы!$B1015,Продажи!$C$5:$C$359,Конструкторы!$A1015)</f>
        <v>0</v>
      </c>
      <c r="N1015" s="166">
        <f>SUMIFS(Продажи!K$5:K$359,Продажи!$D$5:$D$359,Конструкторы!$B1015,Продажи!$C$5:$C$359,Конструкторы!$A1015)</f>
        <v>0</v>
      </c>
      <c r="O1015" s="166">
        <f>SUMIFS(Продажи!L$5:L$359,Продажи!$D$5:$D$359,Конструкторы!$B1015,Продажи!$C$5:$C$359,Конструкторы!$A1015)</f>
        <v>0</v>
      </c>
      <c r="P1015" s="166">
        <f>SUMIFS(Продажи!M$5:M$359,Продажи!$D$5:$D$359,Конструкторы!$B1015,Продажи!$C$5:$C$359,Конструкторы!$A1015)</f>
        <v>0</v>
      </c>
      <c r="Q1015" s="166">
        <f>SUMIFS(Продажи!N$5:N$359,Продажи!$D$5:$D$359,Конструкторы!$B1015,Продажи!$C$5:$C$359,Конструкторы!$A1015)</f>
        <v>0</v>
      </c>
      <c r="R1015" s="166">
        <f>SUMIFS(Продажи!O$5:O$359,Продажи!$D$5:$D$359,Конструкторы!$B1015,Продажи!$C$5:$C$359,Конструкторы!$A1015)</f>
        <v>0</v>
      </c>
      <c r="S1015" s="166">
        <f>SUMIFS(Продажи!P$5:P$359,Продажи!$D$5:$D$359,Конструкторы!$B1015,Продажи!$C$5:$C$359,Конструкторы!$A1015)</f>
        <v>0</v>
      </c>
      <c r="T1015" s="166">
        <f>SUMIFS(Продажи!Q$5:Q$359,Продажи!$D$5:$D$359,Конструкторы!$B1015,Продажи!$C$5:$C$359,Конструкторы!$A1015)</f>
        <v>0</v>
      </c>
    </row>
    <row r="1016" spans="1:20" ht="15.75" hidden="1" x14ac:dyDescent="0.25">
      <c r="A1016" s="166" t="s">
        <v>397</v>
      </c>
      <c r="B1016" s="167" t="s">
        <v>211</v>
      </c>
      <c r="C1016" s="129" t="s">
        <v>52</v>
      </c>
      <c r="D1016" s="149"/>
      <c r="E1016" s="153" t="s">
        <v>68</v>
      </c>
      <c r="F1016" s="156">
        <f>(2.756*103)/100</f>
        <v>2.8386800000000001</v>
      </c>
      <c r="G1016" s="156">
        <v>8.2680000000000309E-2</v>
      </c>
      <c r="H1016" s="156">
        <f>F1016+G1016</f>
        <v>2.9213600000000004</v>
      </c>
      <c r="I1016" s="166">
        <f>SUMIFS(Продажи!F$5:F$359,Продажи!$D$5:$D$359,Конструкторы!$B1016,Продажи!$C$5:$C$359,Конструкторы!$A1016)</f>
        <v>0</v>
      </c>
      <c r="J1016" s="166">
        <f>SUMIFS(Продажи!G$5:G$359,Продажи!$D$5:$D$359,Конструкторы!$B1016,Продажи!$C$5:$C$359,Конструкторы!$A1016)</f>
        <v>0</v>
      </c>
      <c r="K1016" s="166">
        <f>SUMIFS(Продажи!H$5:H$359,Продажи!$D$5:$D$359,Конструкторы!$B1016,Продажи!$C$5:$C$359,Конструкторы!$A1016)</f>
        <v>0</v>
      </c>
      <c r="L1016" s="166">
        <f>SUMIFS(Продажи!I$5:I$359,Продажи!$D$5:$D$359,Конструкторы!$B1016,Продажи!$C$5:$C$359,Конструкторы!$A1016)</f>
        <v>0</v>
      </c>
      <c r="M1016" s="166">
        <f>SUMIFS(Продажи!J$5:J$359,Продажи!$D$5:$D$359,Конструкторы!$B1016,Продажи!$C$5:$C$359,Конструкторы!$A1016)</f>
        <v>0</v>
      </c>
      <c r="N1016" s="166">
        <f>SUMIFS(Продажи!K$5:K$359,Продажи!$D$5:$D$359,Конструкторы!$B1016,Продажи!$C$5:$C$359,Конструкторы!$A1016)</f>
        <v>0</v>
      </c>
      <c r="O1016" s="166">
        <f>SUMIFS(Продажи!L$5:L$359,Продажи!$D$5:$D$359,Конструкторы!$B1016,Продажи!$C$5:$C$359,Конструкторы!$A1016)</f>
        <v>0</v>
      </c>
      <c r="P1016" s="166">
        <f>SUMIFS(Продажи!M$5:M$359,Продажи!$D$5:$D$359,Конструкторы!$B1016,Продажи!$C$5:$C$359,Конструкторы!$A1016)</f>
        <v>0</v>
      </c>
      <c r="Q1016" s="166">
        <f>SUMIFS(Продажи!N$5:N$359,Продажи!$D$5:$D$359,Конструкторы!$B1016,Продажи!$C$5:$C$359,Конструкторы!$A1016)</f>
        <v>0</v>
      </c>
      <c r="R1016" s="166">
        <f>SUMIFS(Продажи!O$5:O$359,Продажи!$D$5:$D$359,Конструкторы!$B1016,Продажи!$C$5:$C$359,Конструкторы!$A1016)</f>
        <v>0</v>
      </c>
      <c r="S1016" s="166">
        <f>SUMIFS(Продажи!P$5:P$359,Продажи!$D$5:$D$359,Конструкторы!$B1016,Продажи!$C$5:$C$359,Конструкторы!$A1016)</f>
        <v>0</v>
      </c>
      <c r="T1016" s="166">
        <f>SUMIFS(Продажи!Q$5:Q$359,Продажи!$D$5:$D$359,Конструкторы!$B1016,Продажи!$C$5:$C$359,Конструкторы!$A1016)</f>
        <v>0</v>
      </c>
    </row>
    <row r="1017" spans="1:20" ht="15.75" hidden="1" x14ac:dyDescent="0.25">
      <c r="A1017" s="166" t="s">
        <v>397</v>
      </c>
      <c r="B1017" s="167" t="s">
        <v>211</v>
      </c>
      <c r="C1017" s="33" t="s">
        <v>73</v>
      </c>
      <c r="D1017" s="149"/>
      <c r="E1017" s="153" t="s">
        <v>70</v>
      </c>
      <c r="F1017" s="148">
        <v>4</v>
      </c>
      <c r="G1017" s="156" t="s">
        <v>71</v>
      </c>
      <c r="H1017" s="156">
        <f>F1017</f>
        <v>4</v>
      </c>
      <c r="I1017" s="166">
        <f>SUMIFS(Продажи!F$5:F$359,Продажи!$D$5:$D$359,Конструкторы!$B1017,Продажи!$C$5:$C$359,Конструкторы!$A1017)</f>
        <v>0</v>
      </c>
      <c r="J1017" s="166">
        <f>SUMIFS(Продажи!G$5:G$359,Продажи!$D$5:$D$359,Конструкторы!$B1017,Продажи!$C$5:$C$359,Конструкторы!$A1017)</f>
        <v>0</v>
      </c>
      <c r="K1017" s="166">
        <f>SUMIFS(Продажи!H$5:H$359,Продажи!$D$5:$D$359,Конструкторы!$B1017,Продажи!$C$5:$C$359,Конструкторы!$A1017)</f>
        <v>0</v>
      </c>
      <c r="L1017" s="166">
        <f>SUMIFS(Продажи!I$5:I$359,Продажи!$D$5:$D$359,Конструкторы!$B1017,Продажи!$C$5:$C$359,Конструкторы!$A1017)</f>
        <v>0</v>
      </c>
      <c r="M1017" s="166">
        <f>SUMIFS(Продажи!J$5:J$359,Продажи!$D$5:$D$359,Конструкторы!$B1017,Продажи!$C$5:$C$359,Конструкторы!$A1017)</f>
        <v>0</v>
      </c>
      <c r="N1017" s="166">
        <f>SUMIFS(Продажи!K$5:K$359,Продажи!$D$5:$D$359,Конструкторы!$B1017,Продажи!$C$5:$C$359,Конструкторы!$A1017)</f>
        <v>0</v>
      </c>
      <c r="O1017" s="166">
        <f>SUMIFS(Продажи!L$5:L$359,Продажи!$D$5:$D$359,Конструкторы!$B1017,Продажи!$C$5:$C$359,Конструкторы!$A1017)</f>
        <v>0</v>
      </c>
      <c r="P1017" s="166">
        <f>SUMIFS(Продажи!M$5:M$359,Продажи!$D$5:$D$359,Конструкторы!$B1017,Продажи!$C$5:$C$359,Конструкторы!$A1017)</f>
        <v>0</v>
      </c>
      <c r="Q1017" s="166">
        <f>SUMIFS(Продажи!N$5:N$359,Продажи!$D$5:$D$359,Конструкторы!$B1017,Продажи!$C$5:$C$359,Конструкторы!$A1017)</f>
        <v>0</v>
      </c>
      <c r="R1017" s="166">
        <f>SUMIFS(Продажи!O$5:O$359,Продажи!$D$5:$D$359,Конструкторы!$B1017,Продажи!$C$5:$C$359,Конструкторы!$A1017)</f>
        <v>0</v>
      </c>
      <c r="S1017" s="166">
        <f>SUMIFS(Продажи!P$5:P$359,Продажи!$D$5:$D$359,Конструкторы!$B1017,Продажи!$C$5:$C$359,Конструкторы!$A1017)</f>
        <v>0</v>
      </c>
      <c r="T1017" s="166">
        <f>SUMIFS(Продажи!Q$5:Q$359,Продажи!$D$5:$D$359,Конструкторы!$B1017,Продажи!$C$5:$C$359,Конструкторы!$A1017)</f>
        <v>0</v>
      </c>
    </row>
    <row r="1018" spans="1:20" ht="15.75" hidden="1" x14ac:dyDescent="0.25">
      <c r="A1018" s="166" t="s">
        <v>397</v>
      </c>
      <c r="B1018" s="167" t="s">
        <v>211</v>
      </c>
      <c r="C1018" s="33" t="s">
        <v>75</v>
      </c>
      <c r="D1018" s="149"/>
      <c r="E1018" s="153" t="s">
        <v>70</v>
      </c>
      <c r="F1018" s="148">
        <v>12</v>
      </c>
      <c r="G1018" s="156" t="s">
        <v>71</v>
      </c>
      <c r="H1018" s="156">
        <f>F1018</f>
        <v>12</v>
      </c>
      <c r="I1018" s="166">
        <f>SUMIFS(Продажи!F$5:F$359,Продажи!$D$5:$D$359,Конструкторы!$B1018,Продажи!$C$5:$C$359,Конструкторы!$A1018)</f>
        <v>0</v>
      </c>
      <c r="J1018" s="166">
        <f>SUMIFS(Продажи!G$5:G$359,Продажи!$D$5:$D$359,Конструкторы!$B1018,Продажи!$C$5:$C$359,Конструкторы!$A1018)</f>
        <v>0</v>
      </c>
      <c r="K1018" s="166">
        <f>SUMIFS(Продажи!H$5:H$359,Продажи!$D$5:$D$359,Конструкторы!$B1018,Продажи!$C$5:$C$359,Конструкторы!$A1018)</f>
        <v>0</v>
      </c>
      <c r="L1018" s="166">
        <f>SUMIFS(Продажи!I$5:I$359,Продажи!$D$5:$D$359,Конструкторы!$B1018,Продажи!$C$5:$C$359,Конструкторы!$A1018)</f>
        <v>0</v>
      </c>
      <c r="M1018" s="166">
        <f>SUMIFS(Продажи!J$5:J$359,Продажи!$D$5:$D$359,Конструкторы!$B1018,Продажи!$C$5:$C$359,Конструкторы!$A1018)</f>
        <v>0</v>
      </c>
      <c r="N1018" s="166">
        <f>SUMIFS(Продажи!K$5:K$359,Продажи!$D$5:$D$359,Конструкторы!$B1018,Продажи!$C$5:$C$359,Конструкторы!$A1018)</f>
        <v>0</v>
      </c>
      <c r="O1018" s="166">
        <f>SUMIFS(Продажи!L$5:L$359,Продажи!$D$5:$D$359,Конструкторы!$B1018,Продажи!$C$5:$C$359,Конструкторы!$A1018)</f>
        <v>0</v>
      </c>
      <c r="P1018" s="166">
        <f>SUMIFS(Продажи!M$5:M$359,Продажи!$D$5:$D$359,Конструкторы!$B1018,Продажи!$C$5:$C$359,Конструкторы!$A1018)</f>
        <v>0</v>
      </c>
      <c r="Q1018" s="166">
        <f>SUMIFS(Продажи!N$5:N$359,Продажи!$D$5:$D$359,Конструкторы!$B1018,Продажи!$C$5:$C$359,Конструкторы!$A1018)</f>
        <v>0</v>
      </c>
      <c r="R1018" s="166">
        <f>SUMIFS(Продажи!O$5:O$359,Продажи!$D$5:$D$359,Конструкторы!$B1018,Продажи!$C$5:$C$359,Конструкторы!$A1018)</f>
        <v>0</v>
      </c>
      <c r="S1018" s="166">
        <f>SUMIFS(Продажи!P$5:P$359,Продажи!$D$5:$D$359,Конструкторы!$B1018,Продажи!$C$5:$C$359,Конструкторы!$A1018)</f>
        <v>0</v>
      </c>
      <c r="T1018" s="166">
        <f>SUMIFS(Продажи!Q$5:Q$359,Продажи!$D$5:$D$359,Конструкторы!$B1018,Продажи!$C$5:$C$359,Конструкторы!$A1018)</f>
        <v>0</v>
      </c>
    </row>
    <row r="1019" spans="1:20" ht="15.75" hidden="1" x14ac:dyDescent="0.25">
      <c r="A1019" s="166" t="s">
        <v>397</v>
      </c>
      <c r="B1019" s="167" t="s">
        <v>211</v>
      </c>
      <c r="C1019" s="33" t="s">
        <v>69</v>
      </c>
      <c r="D1019" s="149"/>
      <c r="E1019" s="153" t="s">
        <v>70</v>
      </c>
      <c r="F1019" s="148">
        <v>10</v>
      </c>
      <c r="G1019" s="156" t="s">
        <v>71</v>
      </c>
      <c r="H1019" s="156">
        <f>F1019</f>
        <v>10</v>
      </c>
      <c r="I1019" s="166">
        <f>SUMIFS(Продажи!F$5:F$359,Продажи!$D$5:$D$359,Конструкторы!$B1019,Продажи!$C$5:$C$359,Конструкторы!$A1019)</f>
        <v>0</v>
      </c>
      <c r="J1019" s="166">
        <f>SUMIFS(Продажи!G$5:G$359,Продажи!$D$5:$D$359,Конструкторы!$B1019,Продажи!$C$5:$C$359,Конструкторы!$A1019)</f>
        <v>0</v>
      </c>
      <c r="K1019" s="166">
        <f>SUMIFS(Продажи!H$5:H$359,Продажи!$D$5:$D$359,Конструкторы!$B1019,Продажи!$C$5:$C$359,Конструкторы!$A1019)</f>
        <v>0</v>
      </c>
      <c r="L1019" s="166">
        <f>SUMIFS(Продажи!I$5:I$359,Продажи!$D$5:$D$359,Конструкторы!$B1019,Продажи!$C$5:$C$359,Конструкторы!$A1019)</f>
        <v>0</v>
      </c>
      <c r="M1019" s="166">
        <f>SUMIFS(Продажи!J$5:J$359,Продажи!$D$5:$D$359,Конструкторы!$B1019,Продажи!$C$5:$C$359,Конструкторы!$A1019)</f>
        <v>0</v>
      </c>
      <c r="N1019" s="166">
        <f>SUMIFS(Продажи!K$5:K$359,Продажи!$D$5:$D$359,Конструкторы!$B1019,Продажи!$C$5:$C$359,Конструкторы!$A1019)</f>
        <v>0</v>
      </c>
      <c r="O1019" s="166">
        <f>SUMIFS(Продажи!L$5:L$359,Продажи!$D$5:$D$359,Конструкторы!$B1019,Продажи!$C$5:$C$359,Конструкторы!$A1019)</f>
        <v>0</v>
      </c>
      <c r="P1019" s="166">
        <f>SUMIFS(Продажи!M$5:M$359,Продажи!$D$5:$D$359,Конструкторы!$B1019,Продажи!$C$5:$C$359,Конструкторы!$A1019)</f>
        <v>0</v>
      </c>
      <c r="Q1019" s="166">
        <f>SUMIFS(Продажи!N$5:N$359,Продажи!$D$5:$D$359,Конструкторы!$B1019,Продажи!$C$5:$C$359,Конструкторы!$A1019)</f>
        <v>0</v>
      </c>
      <c r="R1019" s="166">
        <f>SUMIFS(Продажи!O$5:O$359,Продажи!$D$5:$D$359,Конструкторы!$B1019,Продажи!$C$5:$C$359,Конструкторы!$A1019)</f>
        <v>0</v>
      </c>
      <c r="S1019" s="166">
        <f>SUMIFS(Продажи!P$5:P$359,Продажи!$D$5:$D$359,Конструкторы!$B1019,Продажи!$C$5:$C$359,Конструкторы!$A1019)</f>
        <v>0</v>
      </c>
      <c r="T1019" s="166">
        <f>SUMIFS(Продажи!Q$5:Q$359,Продажи!$D$5:$D$359,Конструкторы!$B1019,Продажи!$C$5:$C$359,Конструкторы!$A1019)</f>
        <v>0</v>
      </c>
    </row>
    <row r="1020" spans="1:20" ht="15.75" hidden="1" x14ac:dyDescent="0.25">
      <c r="A1020" s="166" t="s">
        <v>397</v>
      </c>
      <c r="B1020" s="167" t="s">
        <v>212</v>
      </c>
      <c r="C1020" s="129" t="s">
        <v>53</v>
      </c>
      <c r="D1020" s="130">
        <v>7038</v>
      </c>
      <c r="E1020" s="153" t="s">
        <v>68</v>
      </c>
      <c r="F1020" s="156">
        <f>(2.058*103)/100</f>
        <v>2.1197399999999997</v>
      </c>
      <c r="G1020" s="156">
        <v>6.1739999999999906E-2</v>
      </c>
      <c r="H1020" s="156">
        <f>F1020+G1020</f>
        <v>2.1814799999999996</v>
      </c>
      <c r="I1020" s="166">
        <f>SUMIFS(Продажи!F$5:F$359,Продажи!$D$5:$D$359,Конструкторы!$B1020,Продажи!$C$5:$C$359,Конструкторы!$A1020)</f>
        <v>0</v>
      </c>
      <c r="J1020" s="166">
        <f>SUMIFS(Продажи!G$5:G$359,Продажи!$D$5:$D$359,Конструкторы!$B1020,Продажи!$C$5:$C$359,Конструкторы!$A1020)</f>
        <v>0</v>
      </c>
      <c r="K1020" s="166">
        <f>SUMIFS(Продажи!H$5:H$359,Продажи!$D$5:$D$359,Конструкторы!$B1020,Продажи!$C$5:$C$359,Конструкторы!$A1020)</f>
        <v>0</v>
      </c>
      <c r="L1020" s="166">
        <f>SUMIFS(Продажи!I$5:I$359,Продажи!$D$5:$D$359,Конструкторы!$B1020,Продажи!$C$5:$C$359,Конструкторы!$A1020)</f>
        <v>0</v>
      </c>
      <c r="M1020" s="166">
        <f>SUMIFS(Продажи!J$5:J$359,Продажи!$D$5:$D$359,Конструкторы!$B1020,Продажи!$C$5:$C$359,Конструкторы!$A1020)</f>
        <v>0</v>
      </c>
      <c r="N1020" s="166">
        <f>SUMIFS(Продажи!K$5:K$359,Продажи!$D$5:$D$359,Конструкторы!$B1020,Продажи!$C$5:$C$359,Конструкторы!$A1020)</f>
        <v>0</v>
      </c>
      <c r="O1020" s="166">
        <f>SUMIFS(Продажи!L$5:L$359,Продажи!$D$5:$D$359,Конструкторы!$B1020,Продажи!$C$5:$C$359,Конструкторы!$A1020)</f>
        <v>0</v>
      </c>
      <c r="P1020" s="166">
        <f>SUMIFS(Продажи!M$5:M$359,Продажи!$D$5:$D$359,Конструкторы!$B1020,Продажи!$C$5:$C$359,Конструкторы!$A1020)</f>
        <v>0</v>
      </c>
      <c r="Q1020" s="166">
        <f>SUMIFS(Продажи!N$5:N$359,Продажи!$D$5:$D$359,Конструкторы!$B1020,Продажи!$C$5:$C$359,Конструкторы!$A1020)</f>
        <v>0</v>
      </c>
      <c r="R1020" s="166">
        <f>SUMIFS(Продажи!O$5:O$359,Продажи!$D$5:$D$359,Конструкторы!$B1020,Продажи!$C$5:$C$359,Конструкторы!$A1020)</f>
        <v>0</v>
      </c>
      <c r="S1020" s="166">
        <f>SUMIFS(Продажи!P$5:P$359,Продажи!$D$5:$D$359,Конструкторы!$B1020,Продажи!$C$5:$C$359,Конструкторы!$A1020)</f>
        <v>0</v>
      </c>
      <c r="T1020" s="166">
        <f>SUMIFS(Продажи!Q$5:Q$359,Продажи!$D$5:$D$359,Конструкторы!$B1020,Продажи!$C$5:$C$359,Конструкторы!$A1020)</f>
        <v>0</v>
      </c>
    </row>
    <row r="1021" spans="1:20" ht="15.75" hidden="1" x14ac:dyDescent="0.25">
      <c r="A1021" s="166" t="s">
        <v>397</v>
      </c>
      <c r="B1021" s="167" t="s">
        <v>212</v>
      </c>
      <c r="C1021" s="129" t="s">
        <v>52</v>
      </c>
      <c r="D1021" s="149"/>
      <c r="E1021" s="153" t="s">
        <v>68</v>
      </c>
      <c r="F1021" s="156">
        <f>(0.932*103)/100</f>
        <v>0.95996000000000015</v>
      </c>
      <c r="G1021" s="156">
        <v>2.7960000000000096E-2</v>
      </c>
      <c r="H1021" s="156">
        <f>F1021+G1021</f>
        <v>0.98792000000000024</v>
      </c>
      <c r="I1021" s="166">
        <f>SUMIFS(Продажи!F$5:F$359,Продажи!$D$5:$D$359,Конструкторы!$B1021,Продажи!$C$5:$C$359,Конструкторы!$A1021)</f>
        <v>0</v>
      </c>
      <c r="J1021" s="166">
        <f>SUMIFS(Продажи!G$5:G$359,Продажи!$D$5:$D$359,Конструкторы!$B1021,Продажи!$C$5:$C$359,Конструкторы!$A1021)</f>
        <v>0</v>
      </c>
      <c r="K1021" s="166">
        <f>SUMIFS(Продажи!H$5:H$359,Продажи!$D$5:$D$359,Конструкторы!$B1021,Продажи!$C$5:$C$359,Конструкторы!$A1021)</f>
        <v>0</v>
      </c>
      <c r="L1021" s="166">
        <f>SUMIFS(Продажи!I$5:I$359,Продажи!$D$5:$D$359,Конструкторы!$B1021,Продажи!$C$5:$C$359,Конструкторы!$A1021)</f>
        <v>0</v>
      </c>
      <c r="M1021" s="166">
        <f>SUMIFS(Продажи!J$5:J$359,Продажи!$D$5:$D$359,Конструкторы!$B1021,Продажи!$C$5:$C$359,Конструкторы!$A1021)</f>
        <v>0</v>
      </c>
      <c r="N1021" s="166">
        <f>SUMIFS(Продажи!K$5:K$359,Продажи!$D$5:$D$359,Конструкторы!$B1021,Продажи!$C$5:$C$359,Конструкторы!$A1021)</f>
        <v>0</v>
      </c>
      <c r="O1021" s="166">
        <f>SUMIFS(Продажи!L$5:L$359,Продажи!$D$5:$D$359,Конструкторы!$B1021,Продажи!$C$5:$C$359,Конструкторы!$A1021)</f>
        <v>0</v>
      </c>
      <c r="P1021" s="166">
        <f>SUMIFS(Продажи!M$5:M$359,Продажи!$D$5:$D$359,Конструкторы!$B1021,Продажи!$C$5:$C$359,Конструкторы!$A1021)</f>
        <v>0</v>
      </c>
      <c r="Q1021" s="166">
        <f>SUMIFS(Продажи!N$5:N$359,Продажи!$D$5:$D$359,Конструкторы!$B1021,Продажи!$C$5:$C$359,Конструкторы!$A1021)</f>
        <v>0</v>
      </c>
      <c r="R1021" s="166">
        <f>SUMIFS(Продажи!O$5:O$359,Продажи!$D$5:$D$359,Конструкторы!$B1021,Продажи!$C$5:$C$359,Конструкторы!$A1021)</f>
        <v>0</v>
      </c>
      <c r="S1021" s="166">
        <f>SUMIFS(Продажи!P$5:P$359,Продажи!$D$5:$D$359,Конструкторы!$B1021,Продажи!$C$5:$C$359,Конструкторы!$A1021)</f>
        <v>0</v>
      </c>
      <c r="T1021" s="166">
        <f>SUMIFS(Продажи!Q$5:Q$359,Продажи!$D$5:$D$359,Конструкторы!$B1021,Продажи!$C$5:$C$359,Конструкторы!$A1021)</f>
        <v>0</v>
      </c>
    </row>
    <row r="1022" spans="1:20" ht="15.75" hidden="1" x14ac:dyDescent="0.25">
      <c r="A1022" s="166" t="s">
        <v>397</v>
      </c>
      <c r="B1022" s="167" t="s">
        <v>212</v>
      </c>
      <c r="C1022" s="33" t="s">
        <v>73</v>
      </c>
      <c r="D1022" s="149"/>
      <c r="E1022" s="153" t="s">
        <v>70</v>
      </c>
      <c r="F1022" s="148">
        <v>4</v>
      </c>
      <c r="G1022" s="156" t="s">
        <v>71</v>
      </c>
      <c r="H1022" s="156">
        <f>F1022</f>
        <v>4</v>
      </c>
      <c r="I1022" s="166">
        <f>SUMIFS(Продажи!F$5:F$359,Продажи!$D$5:$D$359,Конструкторы!$B1022,Продажи!$C$5:$C$359,Конструкторы!$A1022)</f>
        <v>0</v>
      </c>
      <c r="J1022" s="166">
        <f>SUMIFS(Продажи!G$5:G$359,Продажи!$D$5:$D$359,Конструкторы!$B1022,Продажи!$C$5:$C$359,Конструкторы!$A1022)</f>
        <v>0</v>
      </c>
      <c r="K1022" s="166">
        <f>SUMIFS(Продажи!H$5:H$359,Продажи!$D$5:$D$359,Конструкторы!$B1022,Продажи!$C$5:$C$359,Конструкторы!$A1022)</f>
        <v>0</v>
      </c>
      <c r="L1022" s="166">
        <f>SUMIFS(Продажи!I$5:I$359,Продажи!$D$5:$D$359,Конструкторы!$B1022,Продажи!$C$5:$C$359,Конструкторы!$A1022)</f>
        <v>0</v>
      </c>
      <c r="M1022" s="166">
        <f>SUMIFS(Продажи!J$5:J$359,Продажи!$D$5:$D$359,Конструкторы!$B1022,Продажи!$C$5:$C$359,Конструкторы!$A1022)</f>
        <v>0</v>
      </c>
      <c r="N1022" s="166">
        <f>SUMIFS(Продажи!K$5:K$359,Продажи!$D$5:$D$359,Конструкторы!$B1022,Продажи!$C$5:$C$359,Конструкторы!$A1022)</f>
        <v>0</v>
      </c>
      <c r="O1022" s="166">
        <f>SUMIFS(Продажи!L$5:L$359,Продажи!$D$5:$D$359,Конструкторы!$B1022,Продажи!$C$5:$C$359,Конструкторы!$A1022)</f>
        <v>0</v>
      </c>
      <c r="P1022" s="166">
        <f>SUMIFS(Продажи!M$5:M$359,Продажи!$D$5:$D$359,Конструкторы!$B1022,Продажи!$C$5:$C$359,Конструкторы!$A1022)</f>
        <v>0</v>
      </c>
      <c r="Q1022" s="166">
        <f>SUMIFS(Продажи!N$5:N$359,Продажи!$D$5:$D$359,Конструкторы!$B1022,Продажи!$C$5:$C$359,Конструкторы!$A1022)</f>
        <v>0</v>
      </c>
      <c r="R1022" s="166">
        <f>SUMIFS(Продажи!O$5:O$359,Продажи!$D$5:$D$359,Конструкторы!$B1022,Продажи!$C$5:$C$359,Конструкторы!$A1022)</f>
        <v>0</v>
      </c>
      <c r="S1022" s="166">
        <f>SUMIFS(Продажи!P$5:P$359,Продажи!$D$5:$D$359,Конструкторы!$B1022,Продажи!$C$5:$C$359,Конструкторы!$A1022)</f>
        <v>0</v>
      </c>
      <c r="T1022" s="166">
        <f>SUMIFS(Продажи!Q$5:Q$359,Продажи!$D$5:$D$359,Конструкторы!$B1022,Продажи!$C$5:$C$359,Конструкторы!$A1022)</f>
        <v>0</v>
      </c>
    </row>
    <row r="1023" spans="1:20" ht="15.75" hidden="1" x14ac:dyDescent="0.25">
      <c r="A1023" s="166" t="s">
        <v>397</v>
      </c>
      <c r="B1023" s="167" t="s">
        <v>212</v>
      </c>
      <c r="C1023" s="33" t="s">
        <v>75</v>
      </c>
      <c r="D1023" s="149"/>
      <c r="E1023" s="153" t="s">
        <v>70</v>
      </c>
      <c r="F1023" s="148">
        <v>12</v>
      </c>
      <c r="G1023" s="156" t="s">
        <v>71</v>
      </c>
      <c r="H1023" s="156">
        <f>F1023</f>
        <v>12</v>
      </c>
      <c r="I1023" s="166">
        <f>SUMIFS(Продажи!F$5:F$359,Продажи!$D$5:$D$359,Конструкторы!$B1023,Продажи!$C$5:$C$359,Конструкторы!$A1023)</f>
        <v>0</v>
      </c>
      <c r="J1023" s="166">
        <f>SUMIFS(Продажи!G$5:G$359,Продажи!$D$5:$D$359,Конструкторы!$B1023,Продажи!$C$5:$C$359,Конструкторы!$A1023)</f>
        <v>0</v>
      </c>
      <c r="K1023" s="166">
        <f>SUMIFS(Продажи!H$5:H$359,Продажи!$D$5:$D$359,Конструкторы!$B1023,Продажи!$C$5:$C$359,Конструкторы!$A1023)</f>
        <v>0</v>
      </c>
      <c r="L1023" s="166">
        <f>SUMIFS(Продажи!I$5:I$359,Продажи!$D$5:$D$359,Конструкторы!$B1023,Продажи!$C$5:$C$359,Конструкторы!$A1023)</f>
        <v>0</v>
      </c>
      <c r="M1023" s="166">
        <f>SUMIFS(Продажи!J$5:J$359,Продажи!$D$5:$D$359,Конструкторы!$B1023,Продажи!$C$5:$C$359,Конструкторы!$A1023)</f>
        <v>0</v>
      </c>
      <c r="N1023" s="166">
        <f>SUMIFS(Продажи!K$5:K$359,Продажи!$D$5:$D$359,Конструкторы!$B1023,Продажи!$C$5:$C$359,Конструкторы!$A1023)</f>
        <v>0</v>
      </c>
      <c r="O1023" s="166">
        <f>SUMIFS(Продажи!L$5:L$359,Продажи!$D$5:$D$359,Конструкторы!$B1023,Продажи!$C$5:$C$359,Конструкторы!$A1023)</f>
        <v>0</v>
      </c>
      <c r="P1023" s="166">
        <f>SUMIFS(Продажи!M$5:M$359,Продажи!$D$5:$D$359,Конструкторы!$B1023,Продажи!$C$5:$C$359,Конструкторы!$A1023)</f>
        <v>0</v>
      </c>
      <c r="Q1023" s="166">
        <f>SUMIFS(Продажи!N$5:N$359,Продажи!$D$5:$D$359,Конструкторы!$B1023,Продажи!$C$5:$C$359,Конструкторы!$A1023)</f>
        <v>0</v>
      </c>
      <c r="R1023" s="166">
        <f>SUMIFS(Продажи!O$5:O$359,Продажи!$D$5:$D$359,Конструкторы!$B1023,Продажи!$C$5:$C$359,Конструкторы!$A1023)</f>
        <v>0</v>
      </c>
      <c r="S1023" s="166">
        <f>SUMIFS(Продажи!P$5:P$359,Продажи!$D$5:$D$359,Конструкторы!$B1023,Продажи!$C$5:$C$359,Конструкторы!$A1023)</f>
        <v>0</v>
      </c>
      <c r="T1023" s="166">
        <f>SUMIFS(Продажи!Q$5:Q$359,Продажи!$D$5:$D$359,Конструкторы!$B1023,Продажи!$C$5:$C$359,Конструкторы!$A1023)</f>
        <v>0</v>
      </c>
    </row>
    <row r="1024" spans="1:20" ht="15.75" hidden="1" x14ac:dyDescent="0.25">
      <c r="A1024" s="166" t="s">
        <v>397</v>
      </c>
      <c r="B1024" s="167" t="s">
        <v>212</v>
      </c>
      <c r="C1024" s="33" t="s">
        <v>69</v>
      </c>
      <c r="D1024" s="149"/>
      <c r="E1024" s="153" t="s">
        <v>70</v>
      </c>
      <c r="F1024" s="148">
        <v>10</v>
      </c>
      <c r="G1024" s="156" t="s">
        <v>71</v>
      </c>
      <c r="H1024" s="156">
        <f>F1024</f>
        <v>10</v>
      </c>
      <c r="I1024" s="166">
        <f>SUMIFS(Продажи!F$5:F$359,Продажи!$D$5:$D$359,Конструкторы!$B1024,Продажи!$C$5:$C$359,Конструкторы!$A1024)</f>
        <v>0</v>
      </c>
      <c r="J1024" s="166">
        <f>SUMIFS(Продажи!G$5:G$359,Продажи!$D$5:$D$359,Конструкторы!$B1024,Продажи!$C$5:$C$359,Конструкторы!$A1024)</f>
        <v>0</v>
      </c>
      <c r="K1024" s="166">
        <f>SUMIFS(Продажи!H$5:H$359,Продажи!$D$5:$D$359,Конструкторы!$B1024,Продажи!$C$5:$C$359,Конструкторы!$A1024)</f>
        <v>0</v>
      </c>
      <c r="L1024" s="166">
        <f>SUMIFS(Продажи!I$5:I$359,Продажи!$D$5:$D$359,Конструкторы!$B1024,Продажи!$C$5:$C$359,Конструкторы!$A1024)</f>
        <v>0</v>
      </c>
      <c r="M1024" s="166">
        <f>SUMIFS(Продажи!J$5:J$359,Продажи!$D$5:$D$359,Конструкторы!$B1024,Продажи!$C$5:$C$359,Конструкторы!$A1024)</f>
        <v>0</v>
      </c>
      <c r="N1024" s="166">
        <f>SUMIFS(Продажи!K$5:K$359,Продажи!$D$5:$D$359,Конструкторы!$B1024,Продажи!$C$5:$C$359,Конструкторы!$A1024)</f>
        <v>0</v>
      </c>
      <c r="O1024" s="166">
        <f>SUMIFS(Продажи!L$5:L$359,Продажи!$D$5:$D$359,Конструкторы!$B1024,Продажи!$C$5:$C$359,Конструкторы!$A1024)</f>
        <v>0</v>
      </c>
      <c r="P1024" s="166">
        <f>SUMIFS(Продажи!M$5:M$359,Продажи!$D$5:$D$359,Конструкторы!$B1024,Продажи!$C$5:$C$359,Конструкторы!$A1024)</f>
        <v>0</v>
      </c>
      <c r="Q1024" s="166">
        <f>SUMIFS(Продажи!N$5:N$359,Продажи!$D$5:$D$359,Конструкторы!$B1024,Продажи!$C$5:$C$359,Конструкторы!$A1024)</f>
        <v>0</v>
      </c>
      <c r="R1024" s="166">
        <f>SUMIFS(Продажи!O$5:O$359,Продажи!$D$5:$D$359,Конструкторы!$B1024,Продажи!$C$5:$C$359,Конструкторы!$A1024)</f>
        <v>0</v>
      </c>
      <c r="S1024" s="166">
        <f>SUMIFS(Продажи!P$5:P$359,Продажи!$D$5:$D$359,Конструкторы!$B1024,Продажи!$C$5:$C$359,Конструкторы!$A1024)</f>
        <v>0</v>
      </c>
      <c r="T1024" s="166">
        <f>SUMIFS(Продажи!Q$5:Q$359,Продажи!$D$5:$D$359,Конструкторы!$B1024,Продажи!$C$5:$C$359,Конструкторы!$A1024)</f>
        <v>0</v>
      </c>
    </row>
    <row r="1025" spans="1:20" ht="15.75" hidden="1" x14ac:dyDescent="0.25">
      <c r="A1025" s="166" t="s">
        <v>397</v>
      </c>
      <c r="B1025" s="167" t="s">
        <v>213</v>
      </c>
      <c r="C1025" s="129" t="s">
        <v>53</v>
      </c>
      <c r="D1025" s="130">
        <v>7038</v>
      </c>
      <c r="E1025" s="153" t="s">
        <v>68</v>
      </c>
      <c r="F1025" s="156">
        <f>(2.054*103)/100</f>
        <v>2.1156199999999998</v>
      </c>
      <c r="G1025" s="156">
        <v>6.1620000000000008E-2</v>
      </c>
      <c r="H1025" s="156">
        <f>F1025+G1025</f>
        <v>2.1772399999999998</v>
      </c>
      <c r="I1025" s="166">
        <f>SUMIFS(Продажи!F$5:F$359,Продажи!$D$5:$D$359,Конструкторы!$B1025,Продажи!$C$5:$C$359,Конструкторы!$A1025)</f>
        <v>0</v>
      </c>
      <c r="J1025" s="166">
        <f>SUMIFS(Продажи!G$5:G$359,Продажи!$D$5:$D$359,Конструкторы!$B1025,Продажи!$C$5:$C$359,Конструкторы!$A1025)</f>
        <v>0</v>
      </c>
      <c r="K1025" s="166">
        <f>SUMIFS(Продажи!H$5:H$359,Продажи!$D$5:$D$359,Конструкторы!$B1025,Продажи!$C$5:$C$359,Конструкторы!$A1025)</f>
        <v>0</v>
      </c>
      <c r="L1025" s="166">
        <f>SUMIFS(Продажи!I$5:I$359,Продажи!$D$5:$D$359,Конструкторы!$B1025,Продажи!$C$5:$C$359,Конструкторы!$A1025)</f>
        <v>0</v>
      </c>
      <c r="M1025" s="166">
        <f>SUMIFS(Продажи!J$5:J$359,Продажи!$D$5:$D$359,Конструкторы!$B1025,Продажи!$C$5:$C$359,Конструкторы!$A1025)</f>
        <v>0</v>
      </c>
      <c r="N1025" s="166">
        <f>SUMIFS(Продажи!K$5:K$359,Продажи!$D$5:$D$359,Конструкторы!$B1025,Продажи!$C$5:$C$359,Конструкторы!$A1025)</f>
        <v>0</v>
      </c>
      <c r="O1025" s="166">
        <f>SUMIFS(Продажи!L$5:L$359,Продажи!$D$5:$D$359,Конструкторы!$B1025,Продажи!$C$5:$C$359,Конструкторы!$A1025)</f>
        <v>0</v>
      </c>
      <c r="P1025" s="166">
        <f>SUMIFS(Продажи!M$5:M$359,Продажи!$D$5:$D$359,Конструкторы!$B1025,Продажи!$C$5:$C$359,Конструкторы!$A1025)</f>
        <v>0</v>
      </c>
      <c r="Q1025" s="166">
        <f>SUMIFS(Продажи!N$5:N$359,Продажи!$D$5:$D$359,Конструкторы!$B1025,Продажи!$C$5:$C$359,Конструкторы!$A1025)</f>
        <v>0</v>
      </c>
      <c r="R1025" s="166">
        <f>SUMIFS(Продажи!O$5:O$359,Продажи!$D$5:$D$359,Конструкторы!$B1025,Продажи!$C$5:$C$359,Конструкторы!$A1025)</f>
        <v>0</v>
      </c>
      <c r="S1025" s="166">
        <f>SUMIFS(Продажи!P$5:P$359,Продажи!$D$5:$D$359,Конструкторы!$B1025,Продажи!$C$5:$C$359,Конструкторы!$A1025)</f>
        <v>0</v>
      </c>
      <c r="T1025" s="166">
        <f>SUMIFS(Продажи!Q$5:Q$359,Продажи!$D$5:$D$359,Конструкторы!$B1025,Продажи!$C$5:$C$359,Конструкторы!$A1025)</f>
        <v>0</v>
      </c>
    </row>
    <row r="1026" spans="1:20" ht="15.75" hidden="1" x14ac:dyDescent="0.25">
      <c r="A1026" s="166" t="s">
        <v>397</v>
      </c>
      <c r="B1026" s="167" t="s">
        <v>213</v>
      </c>
      <c r="C1026" s="129" t="s">
        <v>52</v>
      </c>
      <c r="D1026" s="149"/>
      <c r="E1026" s="153" t="s">
        <v>68</v>
      </c>
      <c r="F1026" s="156">
        <f>(1.322*103)/100</f>
        <v>1.3616599999999999</v>
      </c>
      <c r="G1026" s="156">
        <v>3.9659999999999807E-2</v>
      </c>
      <c r="H1026" s="156">
        <f>F1026+G1026</f>
        <v>1.4013199999999997</v>
      </c>
      <c r="I1026" s="166">
        <f>SUMIFS(Продажи!F$5:F$359,Продажи!$D$5:$D$359,Конструкторы!$B1026,Продажи!$C$5:$C$359,Конструкторы!$A1026)</f>
        <v>0</v>
      </c>
      <c r="J1026" s="166">
        <f>SUMIFS(Продажи!G$5:G$359,Продажи!$D$5:$D$359,Конструкторы!$B1026,Продажи!$C$5:$C$359,Конструкторы!$A1026)</f>
        <v>0</v>
      </c>
      <c r="K1026" s="166">
        <f>SUMIFS(Продажи!H$5:H$359,Продажи!$D$5:$D$359,Конструкторы!$B1026,Продажи!$C$5:$C$359,Конструкторы!$A1026)</f>
        <v>0</v>
      </c>
      <c r="L1026" s="166">
        <f>SUMIFS(Продажи!I$5:I$359,Продажи!$D$5:$D$359,Конструкторы!$B1026,Продажи!$C$5:$C$359,Конструкторы!$A1026)</f>
        <v>0</v>
      </c>
      <c r="M1026" s="166">
        <f>SUMIFS(Продажи!J$5:J$359,Продажи!$D$5:$D$359,Конструкторы!$B1026,Продажи!$C$5:$C$359,Конструкторы!$A1026)</f>
        <v>0</v>
      </c>
      <c r="N1026" s="166">
        <f>SUMIFS(Продажи!K$5:K$359,Продажи!$D$5:$D$359,Конструкторы!$B1026,Продажи!$C$5:$C$359,Конструкторы!$A1026)</f>
        <v>0</v>
      </c>
      <c r="O1026" s="166">
        <f>SUMIFS(Продажи!L$5:L$359,Продажи!$D$5:$D$359,Конструкторы!$B1026,Продажи!$C$5:$C$359,Конструкторы!$A1026)</f>
        <v>0</v>
      </c>
      <c r="P1026" s="166">
        <f>SUMIFS(Продажи!M$5:M$359,Продажи!$D$5:$D$359,Конструкторы!$B1026,Продажи!$C$5:$C$359,Конструкторы!$A1026)</f>
        <v>0</v>
      </c>
      <c r="Q1026" s="166">
        <f>SUMIFS(Продажи!N$5:N$359,Продажи!$D$5:$D$359,Конструкторы!$B1026,Продажи!$C$5:$C$359,Конструкторы!$A1026)</f>
        <v>0</v>
      </c>
      <c r="R1026" s="166">
        <f>SUMIFS(Продажи!O$5:O$359,Продажи!$D$5:$D$359,Конструкторы!$B1026,Продажи!$C$5:$C$359,Конструкторы!$A1026)</f>
        <v>0</v>
      </c>
      <c r="S1026" s="166">
        <f>SUMIFS(Продажи!P$5:P$359,Продажи!$D$5:$D$359,Конструкторы!$B1026,Продажи!$C$5:$C$359,Конструкторы!$A1026)</f>
        <v>0</v>
      </c>
      <c r="T1026" s="166">
        <f>SUMIFS(Продажи!Q$5:Q$359,Продажи!$D$5:$D$359,Конструкторы!$B1026,Продажи!$C$5:$C$359,Конструкторы!$A1026)</f>
        <v>0</v>
      </c>
    </row>
    <row r="1027" spans="1:20" ht="15.75" hidden="1" x14ac:dyDescent="0.25">
      <c r="A1027" s="166" t="s">
        <v>397</v>
      </c>
      <c r="B1027" s="167" t="s">
        <v>213</v>
      </c>
      <c r="C1027" s="33" t="s">
        <v>73</v>
      </c>
      <c r="D1027" s="149"/>
      <c r="E1027" s="153" t="s">
        <v>70</v>
      </c>
      <c r="F1027" s="148">
        <v>4</v>
      </c>
      <c r="G1027" s="156" t="s">
        <v>71</v>
      </c>
      <c r="H1027" s="156">
        <f>F1027</f>
        <v>4</v>
      </c>
      <c r="I1027" s="166">
        <f>SUMIFS(Продажи!F$5:F$359,Продажи!$D$5:$D$359,Конструкторы!$B1027,Продажи!$C$5:$C$359,Конструкторы!$A1027)</f>
        <v>0</v>
      </c>
      <c r="J1027" s="166">
        <f>SUMIFS(Продажи!G$5:G$359,Продажи!$D$5:$D$359,Конструкторы!$B1027,Продажи!$C$5:$C$359,Конструкторы!$A1027)</f>
        <v>0</v>
      </c>
      <c r="K1027" s="166">
        <f>SUMIFS(Продажи!H$5:H$359,Продажи!$D$5:$D$359,Конструкторы!$B1027,Продажи!$C$5:$C$359,Конструкторы!$A1027)</f>
        <v>0</v>
      </c>
      <c r="L1027" s="166">
        <f>SUMIFS(Продажи!I$5:I$359,Продажи!$D$5:$D$359,Конструкторы!$B1027,Продажи!$C$5:$C$359,Конструкторы!$A1027)</f>
        <v>0</v>
      </c>
      <c r="M1027" s="166">
        <f>SUMIFS(Продажи!J$5:J$359,Продажи!$D$5:$D$359,Конструкторы!$B1027,Продажи!$C$5:$C$359,Конструкторы!$A1027)</f>
        <v>0</v>
      </c>
      <c r="N1027" s="166">
        <f>SUMIFS(Продажи!K$5:K$359,Продажи!$D$5:$D$359,Конструкторы!$B1027,Продажи!$C$5:$C$359,Конструкторы!$A1027)</f>
        <v>0</v>
      </c>
      <c r="O1027" s="166">
        <f>SUMIFS(Продажи!L$5:L$359,Продажи!$D$5:$D$359,Конструкторы!$B1027,Продажи!$C$5:$C$359,Конструкторы!$A1027)</f>
        <v>0</v>
      </c>
      <c r="P1027" s="166">
        <f>SUMIFS(Продажи!M$5:M$359,Продажи!$D$5:$D$359,Конструкторы!$B1027,Продажи!$C$5:$C$359,Конструкторы!$A1027)</f>
        <v>0</v>
      </c>
      <c r="Q1027" s="166">
        <f>SUMIFS(Продажи!N$5:N$359,Продажи!$D$5:$D$359,Конструкторы!$B1027,Продажи!$C$5:$C$359,Конструкторы!$A1027)</f>
        <v>0</v>
      </c>
      <c r="R1027" s="166">
        <f>SUMIFS(Продажи!O$5:O$359,Продажи!$D$5:$D$359,Конструкторы!$B1027,Продажи!$C$5:$C$359,Конструкторы!$A1027)</f>
        <v>0</v>
      </c>
      <c r="S1027" s="166">
        <f>SUMIFS(Продажи!P$5:P$359,Продажи!$D$5:$D$359,Конструкторы!$B1027,Продажи!$C$5:$C$359,Конструкторы!$A1027)</f>
        <v>0</v>
      </c>
      <c r="T1027" s="166">
        <f>SUMIFS(Продажи!Q$5:Q$359,Продажи!$D$5:$D$359,Конструкторы!$B1027,Продажи!$C$5:$C$359,Конструкторы!$A1027)</f>
        <v>0</v>
      </c>
    </row>
    <row r="1028" spans="1:20" ht="15.75" hidden="1" x14ac:dyDescent="0.25">
      <c r="A1028" s="166" t="s">
        <v>397</v>
      </c>
      <c r="B1028" s="167" t="s">
        <v>213</v>
      </c>
      <c r="C1028" s="33" t="s">
        <v>75</v>
      </c>
      <c r="D1028" s="149"/>
      <c r="E1028" s="153" t="s">
        <v>70</v>
      </c>
      <c r="F1028" s="148">
        <v>12</v>
      </c>
      <c r="G1028" s="156" t="s">
        <v>71</v>
      </c>
      <c r="H1028" s="156">
        <f>F1028</f>
        <v>12</v>
      </c>
      <c r="I1028" s="166">
        <f>SUMIFS(Продажи!F$5:F$359,Продажи!$D$5:$D$359,Конструкторы!$B1028,Продажи!$C$5:$C$359,Конструкторы!$A1028)</f>
        <v>0</v>
      </c>
      <c r="J1028" s="166">
        <f>SUMIFS(Продажи!G$5:G$359,Продажи!$D$5:$D$359,Конструкторы!$B1028,Продажи!$C$5:$C$359,Конструкторы!$A1028)</f>
        <v>0</v>
      </c>
      <c r="K1028" s="166">
        <f>SUMIFS(Продажи!H$5:H$359,Продажи!$D$5:$D$359,Конструкторы!$B1028,Продажи!$C$5:$C$359,Конструкторы!$A1028)</f>
        <v>0</v>
      </c>
      <c r="L1028" s="166">
        <f>SUMIFS(Продажи!I$5:I$359,Продажи!$D$5:$D$359,Конструкторы!$B1028,Продажи!$C$5:$C$359,Конструкторы!$A1028)</f>
        <v>0</v>
      </c>
      <c r="M1028" s="166">
        <f>SUMIFS(Продажи!J$5:J$359,Продажи!$D$5:$D$359,Конструкторы!$B1028,Продажи!$C$5:$C$359,Конструкторы!$A1028)</f>
        <v>0</v>
      </c>
      <c r="N1028" s="166">
        <f>SUMIFS(Продажи!K$5:K$359,Продажи!$D$5:$D$359,Конструкторы!$B1028,Продажи!$C$5:$C$359,Конструкторы!$A1028)</f>
        <v>0</v>
      </c>
      <c r="O1028" s="166">
        <f>SUMIFS(Продажи!L$5:L$359,Продажи!$D$5:$D$359,Конструкторы!$B1028,Продажи!$C$5:$C$359,Конструкторы!$A1028)</f>
        <v>0</v>
      </c>
      <c r="P1028" s="166">
        <f>SUMIFS(Продажи!M$5:M$359,Продажи!$D$5:$D$359,Конструкторы!$B1028,Продажи!$C$5:$C$359,Конструкторы!$A1028)</f>
        <v>0</v>
      </c>
      <c r="Q1028" s="166">
        <f>SUMIFS(Продажи!N$5:N$359,Продажи!$D$5:$D$359,Конструкторы!$B1028,Продажи!$C$5:$C$359,Конструкторы!$A1028)</f>
        <v>0</v>
      </c>
      <c r="R1028" s="166">
        <f>SUMIFS(Продажи!O$5:O$359,Продажи!$D$5:$D$359,Конструкторы!$B1028,Продажи!$C$5:$C$359,Конструкторы!$A1028)</f>
        <v>0</v>
      </c>
      <c r="S1028" s="166">
        <f>SUMIFS(Продажи!P$5:P$359,Продажи!$D$5:$D$359,Конструкторы!$B1028,Продажи!$C$5:$C$359,Конструкторы!$A1028)</f>
        <v>0</v>
      </c>
      <c r="T1028" s="166">
        <f>SUMIFS(Продажи!Q$5:Q$359,Продажи!$D$5:$D$359,Конструкторы!$B1028,Продажи!$C$5:$C$359,Конструкторы!$A1028)</f>
        <v>0</v>
      </c>
    </row>
    <row r="1029" spans="1:20" ht="15.75" hidden="1" x14ac:dyDescent="0.25">
      <c r="A1029" s="166" t="s">
        <v>397</v>
      </c>
      <c r="B1029" s="167" t="s">
        <v>213</v>
      </c>
      <c r="C1029" s="33" t="s">
        <v>69</v>
      </c>
      <c r="D1029" s="149"/>
      <c r="E1029" s="153" t="s">
        <v>70</v>
      </c>
      <c r="F1029" s="148">
        <v>10</v>
      </c>
      <c r="G1029" s="156" t="s">
        <v>71</v>
      </c>
      <c r="H1029" s="156">
        <f>F1029</f>
        <v>10</v>
      </c>
      <c r="I1029" s="166">
        <f>SUMIFS(Продажи!F$5:F$359,Продажи!$D$5:$D$359,Конструкторы!$B1029,Продажи!$C$5:$C$359,Конструкторы!$A1029)</f>
        <v>0</v>
      </c>
      <c r="J1029" s="166">
        <f>SUMIFS(Продажи!G$5:G$359,Продажи!$D$5:$D$359,Конструкторы!$B1029,Продажи!$C$5:$C$359,Конструкторы!$A1029)</f>
        <v>0</v>
      </c>
      <c r="K1029" s="166">
        <f>SUMIFS(Продажи!H$5:H$359,Продажи!$D$5:$D$359,Конструкторы!$B1029,Продажи!$C$5:$C$359,Конструкторы!$A1029)</f>
        <v>0</v>
      </c>
      <c r="L1029" s="166">
        <f>SUMIFS(Продажи!I$5:I$359,Продажи!$D$5:$D$359,Конструкторы!$B1029,Продажи!$C$5:$C$359,Конструкторы!$A1029)</f>
        <v>0</v>
      </c>
      <c r="M1029" s="166">
        <f>SUMIFS(Продажи!J$5:J$359,Продажи!$D$5:$D$359,Конструкторы!$B1029,Продажи!$C$5:$C$359,Конструкторы!$A1029)</f>
        <v>0</v>
      </c>
      <c r="N1029" s="166">
        <f>SUMIFS(Продажи!K$5:K$359,Продажи!$D$5:$D$359,Конструкторы!$B1029,Продажи!$C$5:$C$359,Конструкторы!$A1029)</f>
        <v>0</v>
      </c>
      <c r="O1029" s="166">
        <f>SUMIFS(Продажи!L$5:L$359,Продажи!$D$5:$D$359,Конструкторы!$B1029,Продажи!$C$5:$C$359,Конструкторы!$A1029)</f>
        <v>0</v>
      </c>
      <c r="P1029" s="166">
        <f>SUMIFS(Продажи!M$5:M$359,Продажи!$D$5:$D$359,Конструкторы!$B1029,Продажи!$C$5:$C$359,Конструкторы!$A1029)</f>
        <v>0</v>
      </c>
      <c r="Q1029" s="166">
        <f>SUMIFS(Продажи!N$5:N$359,Продажи!$D$5:$D$359,Конструкторы!$B1029,Продажи!$C$5:$C$359,Конструкторы!$A1029)</f>
        <v>0</v>
      </c>
      <c r="R1029" s="166">
        <f>SUMIFS(Продажи!O$5:O$359,Продажи!$D$5:$D$359,Конструкторы!$B1029,Продажи!$C$5:$C$359,Конструкторы!$A1029)</f>
        <v>0</v>
      </c>
      <c r="S1029" s="166">
        <f>SUMIFS(Продажи!P$5:P$359,Продажи!$D$5:$D$359,Конструкторы!$B1029,Продажи!$C$5:$C$359,Конструкторы!$A1029)</f>
        <v>0</v>
      </c>
      <c r="T1029" s="166">
        <f>SUMIFS(Продажи!Q$5:Q$359,Продажи!$D$5:$D$359,Конструкторы!$B1029,Продажи!$C$5:$C$359,Конструкторы!$A1029)</f>
        <v>0</v>
      </c>
    </row>
    <row r="1030" spans="1:20" ht="15.75" hidden="1" x14ac:dyDescent="0.25">
      <c r="A1030" s="166" t="s">
        <v>397</v>
      </c>
      <c r="B1030" s="167" t="s">
        <v>214</v>
      </c>
      <c r="C1030" s="129" t="s">
        <v>53</v>
      </c>
      <c r="D1030" s="130">
        <v>7038</v>
      </c>
      <c r="E1030" s="153" t="s">
        <v>68</v>
      </c>
      <c r="F1030" s="156">
        <f>(2.054*103)/100</f>
        <v>2.1156199999999998</v>
      </c>
      <c r="G1030" s="156">
        <v>6.1620000000000008E-2</v>
      </c>
      <c r="H1030" s="156">
        <f>F1030+G1030</f>
        <v>2.1772399999999998</v>
      </c>
      <c r="I1030" s="166">
        <f>SUMIFS(Продажи!F$5:F$359,Продажи!$D$5:$D$359,Конструкторы!$B1030,Продажи!$C$5:$C$359,Конструкторы!$A1030)</f>
        <v>0</v>
      </c>
      <c r="J1030" s="166">
        <f>SUMIFS(Продажи!G$5:G$359,Продажи!$D$5:$D$359,Конструкторы!$B1030,Продажи!$C$5:$C$359,Конструкторы!$A1030)</f>
        <v>0</v>
      </c>
      <c r="K1030" s="166">
        <f>SUMIFS(Продажи!H$5:H$359,Продажи!$D$5:$D$359,Конструкторы!$B1030,Продажи!$C$5:$C$359,Конструкторы!$A1030)</f>
        <v>0</v>
      </c>
      <c r="L1030" s="166">
        <f>SUMIFS(Продажи!I$5:I$359,Продажи!$D$5:$D$359,Конструкторы!$B1030,Продажи!$C$5:$C$359,Конструкторы!$A1030)</f>
        <v>0</v>
      </c>
      <c r="M1030" s="166">
        <f>SUMIFS(Продажи!J$5:J$359,Продажи!$D$5:$D$359,Конструкторы!$B1030,Продажи!$C$5:$C$359,Конструкторы!$A1030)</f>
        <v>0</v>
      </c>
      <c r="N1030" s="166">
        <f>SUMIFS(Продажи!K$5:K$359,Продажи!$D$5:$D$359,Конструкторы!$B1030,Продажи!$C$5:$C$359,Конструкторы!$A1030)</f>
        <v>0</v>
      </c>
      <c r="O1030" s="166">
        <f>SUMIFS(Продажи!L$5:L$359,Продажи!$D$5:$D$359,Конструкторы!$B1030,Продажи!$C$5:$C$359,Конструкторы!$A1030)</f>
        <v>0</v>
      </c>
      <c r="P1030" s="166">
        <f>SUMIFS(Продажи!M$5:M$359,Продажи!$D$5:$D$359,Конструкторы!$B1030,Продажи!$C$5:$C$359,Конструкторы!$A1030)</f>
        <v>0</v>
      </c>
      <c r="Q1030" s="166">
        <f>SUMIFS(Продажи!N$5:N$359,Продажи!$D$5:$D$359,Конструкторы!$B1030,Продажи!$C$5:$C$359,Конструкторы!$A1030)</f>
        <v>0</v>
      </c>
      <c r="R1030" s="166">
        <f>SUMIFS(Продажи!O$5:O$359,Продажи!$D$5:$D$359,Конструкторы!$B1030,Продажи!$C$5:$C$359,Конструкторы!$A1030)</f>
        <v>0</v>
      </c>
      <c r="S1030" s="166">
        <f>SUMIFS(Продажи!P$5:P$359,Продажи!$D$5:$D$359,Конструкторы!$B1030,Продажи!$C$5:$C$359,Конструкторы!$A1030)</f>
        <v>0</v>
      </c>
      <c r="T1030" s="166">
        <f>SUMIFS(Продажи!Q$5:Q$359,Продажи!$D$5:$D$359,Конструкторы!$B1030,Продажи!$C$5:$C$359,Конструкторы!$A1030)</f>
        <v>0</v>
      </c>
    </row>
    <row r="1031" spans="1:20" ht="15.75" hidden="1" x14ac:dyDescent="0.25">
      <c r="A1031" s="166" t="s">
        <v>397</v>
      </c>
      <c r="B1031" s="167" t="s">
        <v>214</v>
      </c>
      <c r="C1031" s="129" t="s">
        <v>52</v>
      </c>
      <c r="D1031" s="149"/>
      <c r="E1031" s="153" t="s">
        <v>68</v>
      </c>
      <c r="F1031" s="156">
        <f>(1.66*103)/100</f>
        <v>1.7098</v>
      </c>
      <c r="G1031" s="156">
        <v>4.9800000000000066E-2</v>
      </c>
      <c r="H1031" s="156">
        <f>F1031+G1031</f>
        <v>1.7596000000000001</v>
      </c>
      <c r="I1031" s="166">
        <f>SUMIFS(Продажи!F$5:F$359,Продажи!$D$5:$D$359,Конструкторы!$B1031,Продажи!$C$5:$C$359,Конструкторы!$A1031)</f>
        <v>0</v>
      </c>
      <c r="J1031" s="166">
        <f>SUMIFS(Продажи!G$5:G$359,Продажи!$D$5:$D$359,Конструкторы!$B1031,Продажи!$C$5:$C$359,Конструкторы!$A1031)</f>
        <v>0</v>
      </c>
      <c r="K1031" s="166">
        <f>SUMIFS(Продажи!H$5:H$359,Продажи!$D$5:$D$359,Конструкторы!$B1031,Продажи!$C$5:$C$359,Конструкторы!$A1031)</f>
        <v>0</v>
      </c>
      <c r="L1031" s="166">
        <f>SUMIFS(Продажи!I$5:I$359,Продажи!$D$5:$D$359,Конструкторы!$B1031,Продажи!$C$5:$C$359,Конструкторы!$A1031)</f>
        <v>0</v>
      </c>
      <c r="M1031" s="166">
        <f>SUMIFS(Продажи!J$5:J$359,Продажи!$D$5:$D$359,Конструкторы!$B1031,Продажи!$C$5:$C$359,Конструкторы!$A1031)</f>
        <v>0</v>
      </c>
      <c r="N1031" s="166">
        <f>SUMIFS(Продажи!K$5:K$359,Продажи!$D$5:$D$359,Конструкторы!$B1031,Продажи!$C$5:$C$359,Конструкторы!$A1031)</f>
        <v>0</v>
      </c>
      <c r="O1031" s="166">
        <f>SUMIFS(Продажи!L$5:L$359,Продажи!$D$5:$D$359,Конструкторы!$B1031,Продажи!$C$5:$C$359,Конструкторы!$A1031)</f>
        <v>0</v>
      </c>
      <c r="P1031" s="166">
        <f>SUMIFS(Продажи!M$5:M$359,Продажи!$D$5:$D$359,Конструкторы!$B1031,Продажи!$C$5:$C$359,Конструкторы!$A1031)</f>
        <v>0</v>
      </c>
      <c r="Q1031" s="166">
        <f>SUMIFS(Продажи!N$5:N$359,Продажи!$D$5:$D$359,Конструкторы!$B1031,Продажи!$C$5:$C$359,Конструкторы!$A1031)</f>
        <v>0</v>
      </c>
      <c r="R1031" s="166">
        <f>SUMIFS(Продажи!O$5:O$359,Продажи!$D$5:$D$359,Конструкторы!$B1031,Продажи!$C$5:$C$359,Конструкторы!$A1031)</f>
        <v>0</v>
      </c>
      <c r="S1031" s="166">
        <f>SUMIFS(Продажи!P$5:P$359,Продажи!$D$5:$D$359,Конструкторы!$B1031,Продажи!$C$5:$C$359,Конструкторы!$A1031)</f>
        <v>0</v>
      </c>
      <c r="T1031" s="166">
        <f>SUMIFS(Продажи!Q$5:Q$359,Продажи!$D$5:$D$359,Конструкторы!$B1031,Продажи!$C$5:$C$359,Конструкторы!$A1031)</f>
        <v>0</v>
      </c>
    </row>
    <row r="1032" spans="1:20" ht="15.75" hidden="1" x14ac:dyDescent="0.25">
      <c r="A1032" s="166" t="s">
        <v>397</v>
      </c>
      <c r="B1032" s="167" t="s">
        <v>214</v>
      </c>
      <c r="C1032" s="33" t="s">
        <v>73</v>
      </c>
      <c r="D1032" s="149"/>
      <c r="E1032" s="153" t="s">
        <v>70</v>
      </c>
      <c r="F1032" s="148">
        <v>4</v>
      </c>
      <c r="G1032" s="156" t="s">
        <v>71</v>
      </c>
      <c r="H1032" s="156">
        <f>F1032</f>
        <v>4</v>
      </c>
      <c r="I1032" s="166">
        <f>SUMIFS(Продажи!F$5:F$359,Продажи!$D$5:$D$359,Конструкторы!$B1032,Продажи!$C$5:$C$359,Конструкторы!$A1032)</f>
        <v>0</v>
      </c>
      <c r="J1032" s="166">
        <f>SUMIFS(Продажи!G$5:G$359,Продажи!$D$5:$D$359,Конструкторы!$B1032,Продажи!$C$5:$C$359,Конструкторы!$A1032)</f>
        <v>0</v>
      </c>
      <c r="K1032" s="166">
        <f>SUMIFS(Продажи!H$5:H$359,Продажи!$D$5:$D$359,Конструкторы!$B1032,Продажи!$C$5:$C$359,Конструкторы!$A1032)</f>
        <v>0</v>
      </c>
      <c r="L1032" s="166">
        <f>SUMIFS(Продажи!I$5:I$359,Продажи!$D$5:$D$359,Конструкторы!$B1032,Продажи!$C$5:$C$359,Конструкторы!$A1032)</f>
        <v>0</v>
      </c>
      <c r="M1032" s="166">
        <f>SUMIFS(Продажи!J$5:J$359,Продажи!$D$5:$D$359,Конструкторы!$B1032,Продажи!$C$5:$C$359,Конструкторы!$A1032)</f>
        <v>0</v>
      </c>
      <c r="N1032" s="166">
        <f>SUMIFS(Продажи!K$5:K$359,Продажи!$D$5:$D$359,Конструкторы!$B1032,Продажи!$C$5:$C$359,Конструкторы!$A1032)</f>
        <v>0</v>
      </c>
      <c r="O1032" s="166">
        <f>SUMIFS(Продажи!L$5:L$359,Продажи!$D$5:$D$359,Конструкторы!$B1032,Продажи!$C$5:$C$359,Конструкторы!$A1032)</f>
        <v>0</v>
      </c>
      <c r="P1032" s="166">
        <f>SUMIFS(Продажи!M$5:M$359,Продажи!$D$5:$D$359,Конструкторы!$B1032,Продажи!$C$5:$C$359,Конструкторы!$A1032)</f>
        <v>0</v>
      </c>
      <c r="Q1032" s="166">
        <f>SUMIFS(Продажи!N$5:N$359,Продажи!$D$5:$D$359,Конструкторы!$B1032,Продажи!$C$5:$C$359,Конструкторы!$A1032)</f>
        <v>0</v>
      </c>
      <c r="R1032" s="166">
        <f>SUMIFS(Продажи!O$5:O$359,Продажи!$D$5:$D$359,Конструкторы!$B1032,Продажи!$C$5:$C$359,Конструкторы!$A1032)</f>
        <v>0</v>
      </c>
      <c r="S1032" s="166">
        <f>SUMIFS(Продажи!P$5:P$359,Продажи!$D$5:$D$359,Конструкторы!$B1032,Продажи!$C$5:$C$359,Конструкторы!$A1032)</f>
        <v>0</v>
      </c>
      <c r="T1032" s="166">
        <f>SUMIFS(Продажи!Q$5:Q$359,Продажи!$D$5:$D$359,Конструкторы!$B1032,Продажи!$C$5:$C$359,Конструкторы!$A1032)</f>
        <v>0</v>
      </c>
    </row>
    <row r="1033" spans="1:20" ht="15.75" hidden="1" x14ac:dyDescent="0.25">
      <c r="A1033" s="166" t="s">
        <v>397</v>
      </c>
      <c r="B1033" s="167" t="s">
        <v>214</v>
      </c>
      <c r="C1033" s="33" t="s">
        <v>75</v>
      </c>
      <c r="D1033" s="149"/>
      <c r="E1033" s="153" t="s">
        <v>70</v>
      </c>
      <c r="F1033" s="148">
        <v>12</v>
      </c>
      <c r="G1033" s="156" t="s">
        <v>71</v>
      </c>
      <c r="H1033" s="156">
        <f>F1033</f>
        <v>12</v>
      </c>
      <c r="I1033" s="166">
        <f>SUMIFS(Продажи!F$5:F$359,Продажи!$D$5:$D$359,Конструкторы!$B1033,Продажи!$C$5:$C$359,Конструкторы!$A1033)</f>
        <v>0</v>
      </c>
      <c r="J1033" s="166">
        <f>SUMIFS(Продажи!G$5:G$359,Продажи!$D$5:$D$359,Конструкторы!$B1033,Продажи!$C$5:$C$359,Конструкторы!$A1033)</f>
        <v>0</v>
      </c>
      <c r="K1033" s="166">
        <f>SUMIFS(Продажи!H$5:H$359,Продажи!$D$5:$D$359,Конструкторы!$B1033,Продажи!$C$5:$C$359,Конструкторы!$A1033)</f>
        <v>0</v>
      </c>
      <c r="L1033" s="166">
        <f>SUMIFS(Продажи!I$5:I$359,Продажи!$D$5:$D$359,Конструкторы!$B1033,Продажи!$C$5:$C$359,Конструкторы!$A1033)</f>
        <v>0</v>
      </c>
      <c r="M1033" s="166">
        <f>SUMIFS(Продажи!J$5:J$359,Продажи!$D$5:$D$359,Конструкторы!$B1033,Продажи!$C$5:$C$359,Конструкторы!$A1033)</f>
        <v>0</v>
      </c>
      <c r="N1033" s="166">
        <f>SUMIFS(Продажи!K$5:K$359,Продажи!$D$5:$D$359,Конструкторы!$B1033,Продажи!$C$5:$C$359,Конструкторы!$A1033)</f>
        <v>0</v>
      </c>
      <c r="O1033" s="166">
        <f>SUMIFS(Продажи!L$5:L$359,Продажи!$D$5:$D$359,Конструкторы!$B1033,Продажи!$C$5:$C$359,Конструкторы!$A1033)</f>
        <v>0</v>
      </c>
      <c r="P1033" s="166">
        <f>SUMIFS(Продажи!M$5:M$359,Продажи!$D$5:$D$359,Конструкторы!$B1033,Продажи!$C$5:$C$359,Конструкторы!$A1033)</f>
        <v>0</v>
      </c>
      <c r="Q1033" s="166">
        <f>SUMIFS(Продажи!N$5:N$359,Продажи!$D$5:$D$359,Конструкторы!$B1033,Продажи!$C$5:$C$359,Конструкторы!$A1033)</f>
        <v>0</v>
      </c>
      <c r="R1033" s="166">
        <f>SUMIFS(Продажи!O$5:O$359,Продажи!$D$5:$D$359,Конструкторы!$B1033,Продажи!$C$5:$C$359,Конструкторы!$A1033)</f>
        <v>0</v>
      </c>
      <c r="S1033" s="166">
        <f>SUMIFS(Продажи!P$5:P$359,Продажи!$D$5:$D$359,Конструкторы!$B1033,Продажи!$C$5:$C$359,Конструкторы!$A1033)</f>
        <v>0</v>
      </c>
      <c r="T1033" s="166">
        <f>SUMIFS(Продажи!Q$5:Q$359,Продажи!$D$5:$D$359,Конструкторы!$B1033,Продажи!$C$5:$C$359,Конструкторы!$A1033)</f>
        <v>0</v>
      </c>
    </row>
    <row r="1034" spans="1:20" ht="15.75" hidden="1" x14ac:dyDescent="0.25">
      <c r="A1034" s="166" t="s">
        <v>397</v>
      </c>
      <c r="B1034" s="167" t="s">
        <v>214</v>
      </c>
      <c r="C1034" s="33" t="s">
        <v>69</v>
      </c>
      <c r="D1034" s="149"/>
      <c r="E1034" s="153" t="s">
        <v>70</v>
      </c>
      <c r="F1034" s="148">
        <v>10</v>
      </c>
      <c r="G1034" s="156" t="s">
        <v>71</v>
      </c>
      <c r="H1034" s="156">
        <f>F1034</f>
        <v>10</v>
      </c>
      <c r="I1034" s="166">
        <f>SUMIFS(Продажи!F$5:F$359,Продажи!$D$5:$D$359,Конструкторы!$B1034,Продажи!$C$5:$C$359,Конструкторы!$A1034)</f>
        <v>0</v>
      </c>
      <c r="J1034" s="166">
        <f>SUMIFS(Продажи!G$5:G$359,Продажи!$D$5:$D$359,Конструкторы!$B1034,Продажи!$C$5:$C$359,Конструкторы!$A1034)</f>
        <v>0</v>
      </c>
      <c r="K1034" s="166">
        <f>SUMIFS(Продажи!H$5:H$359,Продажи!$D$5:$D$359,Конструкторы!$B1034,Продажи!$C$5:$C$359,Конструкторы!$A1034)</f>
        <v>0</v>
      </c>
      <c r="L1034" s="166">
        <f>SUMIFS(Продажи!I$5:I$359,Продажи!$D$5:$D$359,Конструкторы!$B1034,Продажи!$C$5:$C$359,Конструкторы!$A1034)</f>
        <v>0</v>
      </c>
      <c r="M1034" s="166">
        <f>SUMIFS(Продажи!J$5:J$359,Продажи!$D$5:$D$359,Конструкторы!$B1034,Продажи!$C$5:$C$359,Конструкторы!$A1034)</f>
        <v>0</v>
      </c>
      <c r="N1034" s="166">
        <f>SUMIFS(Продажи!K$5:K$359,Продажи!$D$5:$D$359,Конструкторы!$B1034,Продажи!$C$5:$C$359,Конструкторы!$A1034)</f>
        <v>0</v>
      </c>
      <c r="O1034" s="166">
        <f>SUMIFS(Продажи!L$5:L$359,Продажи!$D$5:$D$359,Конструкторы!$B1034,Продажи!$C$5:$C$359,Конструкторы!$A1034)</f>
        <v>0</v>
      </c>
      <c r="P1034" s="166">
        <f>SUMIFS(Продажи!M$5:M$359,Продажи!$D$5:$D$359,Конструкторы!$B1034,Продажи!$C$5:$C$359,Конструкторы!$A1034)</f>
        <v>0</v>
      </c>
      <c r="Q1034" s="166">
        <f>SUMIFS(Продажи!N$5:N$359,Продажи!$D$5:$D$359,Конструкторы!$B1034,Продажи!$C$5:$C$359,Конструкторы!$A1034)</f>
        <v>0</v>
      </c>
      <c r="R1034" s="166">
        <f>SUMIFS(Продажи!O$5:O$359,Продажи!$D$5:$D$359,Конструкторы!$B1034,Продажи!$C$5:$C$359,Конструкторы!$A1034)</f>
        <v>0</v>
      </c>
      <c r="S1034" s="166">
        <f>SUMIFS(Продажи!P$5:P$359,Продажи!$D$5:$D$359,Конструкторы!$B1034,Продажи!$C$5:$C$359,Конструкторы!$A1034)</f>
        <v>0</v>
      </c>
      <c r="T1034" s="166">
        <f>SUMIFS(Продажи!Q$5:Q$359,Продажи!$D$5:$D$359,Конструкторы!$B1034,Продажи!$C$5:$C$359,Конструкторы!$A1034)</f>
        <v>0</v>
      </c>
    </row>
    <row r="1035" spans="1:20" ht="15.75" hidden="1" x14ac:dyDescent="0.25">
      <c r="A1035" s="166" t="s">
        <v>397</v>
      </c>
      <c r="B1035" s="167" t="s">
        <v>215</v>
      </c>
      <c r="C1035" s="129" t="s">
        <v>53</v>
      </c>
      <c r="D1035" s="130">
        <v>7038</v>
      </c>
      <c r="E1035" s="153" t="s">
        <v>68</v>
      </c>
      <c r="F1035" s="156">
        <f>(2.054*103)/100</f>
        <v>2.1156199999999998</v>
      </c>
      <c r="G1035" s="156">
        <v>6.1620000000000008E-2</v>
      </c>
      <c r="H1035" s="156">
        <f>F1035+G1035</f>
        <v>2.1772399999999998</v>
      </c>
      <c r="I1035" s="166">
        <f>SUMIFS(Продажи!F$5:F$359,Продажи!$D$5:$D$359,Конструкторы!$B1035,Продажи!$C$5:$C$359,Конструкторы!$A1035)</f>
        <v>0</v>
      </c>
      <c r="J1035" s="166">
        <f>SUMIFS(Продажи!G$5:G$359,Продажи!$D$5:$D$359,Конструкторы!$B1035,Продажи!$C$5:$C$359,Конструкторы!$A1035)</f>
        <v>0</v>
      </c>
      <c r="K1035" s="166">
        <f>SUMIFS(Продажи!H$5:H$359,Продажи!$D$5:$D$359,Конструкторы!$B1035,Продажи!$C$5:$C$359,Конструкторы!$A1035)</f>
        <v>0</v>
      </c>
      <c r="L1035" s="166">
        <f>SUMIFS(Продажи!I$5:I$359,Продажи!$D$5:$D$359,Конструкторы!$B1035,Продажи!$C$5:$C$359,Конструкторы!$A1035)</f>
        <v>0</v>
      </c>
      <c r="M1035" s="166">
        <f>SUMIFS(Продажи!J$5:J$359,Продажи!$D$5:$D$359,Конструкторы!$B1035,Продажи!$C$5:$C$359,Конструкторы!$A1035)</f>
        <v>0</v>
      </c>
      <c r="N1035" s="166">
        <f>SUMIFS(Продажи!K$5:K$359,Продажи!$D$5:$D$359,Конструкторы!$B1035,Продажи!$C$5:$C$359,Конструкторы!$A1035)</f>
        <v>0</v>
      </c>
      <c r="O1035" s="166">
        <f>SUMIFS(Продажи!L$5:L$359,Продажи!$D$5:$D$359,Конструкторы!$B1035,Продажи!$C$5:$C$359,Конструкторы!$A1035)</f>
        <v>0</v>
      </c>
      <c r="P1035" s="166">
        <f>SUMIFS(Продажи!M$5:M$359,Продажи!$D$5:$D$359,Конструкторы!$B1035,Продажи!$C$5:$C$359,Конструкторы!$A1035)</f>
        <v>0</v>
      </c>
      <c r="Q1035" s="166">
        <f>SUMIFS(Продажи!N$5:N$359,Продажи!$D$5:$D$359,Конструкторы!$B1035,Продажи!$C$5:$C$359,Конструкторы!$A1035)</f>
        <v>0</v>
      </c>
      <c r="R1035" s="166">
        <f>SUMIFS(Продажи!O$5:O$359,Продажи!$D$5:$D$359,Конструкторы!$B1035,Продажи!$C$5:$C$359,Конструкторы!$A1035)</f>
        <v>0</v>
      </c>
      <c r="S1035" s="166">
        <f>SUMIFS(Продажи!P$5:P$359,Продажи!$D$5:$D$359,Конструкторы!$B1035,Продажи!$C$5:$C$359,Конструкторы!$A1035)</f>
        <v>0</v>
      </c>
      <c r="T1035" s="166">
        <f>SUMIFS(Продажи!Q$5:Q$359,Продажи!$D$5:$D$359,Конструкторы!$B1035,Продажи!$C$5:$C$359,Конструкторы!$A1035)</f>
        <v>0</v>
      </c>
    </row>
    <row r="1036" spans="1:20" ht="15.75" hidden="1" x14ac:dyDescent="0.25">
      <c r="A1036" s="166" t="s">
        <v>397</v>
      </c>
      <c r="B1036" s="167" t="s">
        <v>215</v>
      </c>
      <c r="C1036" s="129" t="s">
        <v>52</v>
      </c>
      <c r="D1036" s="149"/>
      <c r="E1036" s="153" t="s">
        <v>68</v>
      </c>
      <c r="F1036" s="156">
        <f>(2.066*103)/100</f>
        <v>2.1279799999999995</v>
      </c>
      <c r="G1036" s="156">
        <v>6.1979999999999702E-2</v>
      </c>
      <c r="H1036" s="156">
        <f>F1036+G1036</f>
        <v>2.1899599999999992</v>
      </c>
      <c r="I1036" s="166">
        <f>SUMIFS(Продажи!F$5:F$359,Продажи!$D$5:$D$359,Конструкторы!$B1036,Продажи!$C$5:$C$359,Конструкторы!$A1036)</f>
        <v>0</v>
      </c>
      <c r="J1036" s="166">
        <f>SUMIFS(Продажи!G$5:G$359,Продажи!$D$5:$D$359,Конструкторы!$B1036,Продажи!$C$5:$C$359,Конструкторы!$A1036)</f>
        <v>0</v>
      </c>
      <c r="K1036" s="166">
        <f>SUMIFS(Продажи!H$5:H$359,Продажи!$D$5:$D$359,Конструкторы!$B1036,Продажи!$C$5:$C$359,Конструкторы!$A1036)</f>
        <v>0</v>
      </c>
      <c r="L1036" s="166">
        <f>SUMIFS(Продажи!I$5:I$359,Продажи!$D$5:$D$359,Конструкторы!$B1036,Продажи!$C$5:$C$359,Конструкторы!$A1036)</f>
        <v>0</v>
      </c>
      <c r="M1036" s="166">
        <f>SUMIFS(Продажи!J$5:J$359,Продажи!$D$5:$D$359,Конструкторы!$B1036,Продажи!$C$5:$C$359,Конструкторы!$A1036)</f>
        <v>0</v>
      </c>
      <c r="N1036" s="166">
        <f>SUMIFS(Продажи!K$5:K$359,Продажи!$D$5:$D$359,Конструкторы!$B1036,Продажи!$C$5:$C$359,Конструкторы!$A1036)</f>
        <v>0</v>
      </c>
      <c r="O1036" s="166">
        <f>SUMIFS(Продажи!L$5:L$359,Продажи!$D$5:$D$359,Конструкторы!$B1036,Продажи!$C$5:$C$359,Конструкторы!$A1036)</f>
        <v>0</v>
      </c>
      <c r="P1036" s="166">
        <f>SUMIFS(Продажи!M$5:M$359,Продажи!$D$5:$D$359,Конструкторы!$B1036,Продажи!$C$5:$C$359,Конструкторы!$A1036)</f>
        <v>0</v>
      </c>
      <c r="Q1036" s="166">
        <f>SUMIFS(Продажи!N$5:N$359,Продажи!$D$5:$D$359,Конструкторы!$B1036,Продажи!$C$5:$C$359,Конструкторы!$A1036)</f>
        <v>0</v>
      </c>
      <c r="R1036" s="166">
        <f>SUMIFS(Продажи!O$5:O$359,Продажи!$D$5:$D$359,Конструкторы!$B1036,Продажи!$C$5:$C$359,Конструкторы!$A1036)</f>
        <v>0</v>
      </c>
      <c r="S1036" s="166">
        <f>SUMIFS(Продажи!P$5:P$359,Продажи!$D$5:$D$359,Конструкторы!$B1036,Продажи!$C$5:$C$359,Конструкторы!$A1036)</f>
        <v>0</v>
      </c>
      <c r="T1036" s="166">
        <f>SUMIFS(Продажи!Q$5:Q$359,Продажи!$D$5:$D$359,Конструкторы!$B1036,Продажи!$C$5:$C$359,Конструкторы!$A1036)</f>
        <v>0</v>
      </c>
    </row>
    <row r="1037" spans="1:20" ht="15.75" hidden="1" x14ac:dyDescent="0.25">
      <c r="A1037" s="166" t="s">
        <v>397</v>
      </c>
      <c r="B1037" s="167" t="s">
        <v>215</v>
      </c>
      <c r="C1037" s="33" t="s">
        <v>73</v>
      </c>
      <c r="D1037" s="149"/>
      <c r="E1037" s="153" t="s">
        <v>70</v>
      </c>
      <c r="F1037" s="148">
        <v>4</v>
      </c>
      <c r="G1037" s="156" t="s">
        <v>71</v>
      </c>
      <c r="H1037" s="156">
        <f>F1037</f>
        <v>4</v>
      </c>
      <c r="I1037" s="166">
        <f>SUMIFS(Продажи!F$5:F$359,Продажи!$D$5:$D$359,Конструкторы!$B1037,Продажи!$C$5:$C$359,Конструкторы!$A1037)</f>
        <v>0</v>
      </c>
      <c r="J1037" s="166">
        <f>SUMIFS(Продажи!G$5:G$359,Продажи!$D$5:$D$359,Конструкторы!$B1037,Продажи!$C$5:$C$359,Конструкторы!$A1037)</f>
        <v>0</v>
      </c>
      <c r="K1037" s="166">
        <f>SUMIFS(Продажи!H$5:H$359,Продажи!$D$5:$D$359,Конструкторы!$B1037,Продажи!$C$5:$C$359,Конструкторы!$A1037)</f>
        <v>0</v>
      </c>
      <c r="L1037" s="166">
        <f>SUMIFS(Продажи!I$5:I$359,Продажи!$D$5:$D$359,Конструкторы!$B1037,Продажи!$C$5:$C$359,Конструкторы!$A1037)</f>
        <v>0</v>
      </c>
      <c r="M1037" s="166">
        <f>SUMIFS(Продажи!J$5:J$359,Продажи!$D$5:$D$359,Конструкторы!$B1037,Продажи!$C$5:$C$359,Конструкторы!$A1037)</f>
        <v>0</v>
      </c>
      <c r="N1037" s="166">
        <f>SUMIFS(Продажи!K$5:K$359,Продажи!$D$5:$D$359,Конструкторы!$B1037,Продажи!$C$5:$C$359,Конструкторы!$A1037)</f>
        <v>0</v>
      </c>
      <c r="O1037" s="166">
        <f>SUMIFS(Продажи!L$5:L$359,Продажи!$D$5:$D$359,Конструкторы!$B1037,Продажи!$C$5:$C$359,Конструкторы!$A1037)</f>
        <v>0</v>
      </c>
      <c r="P1037" s="166">
        <f>SUMIFS(Продажи!M$5:M$359,Продажи!$D$5:$D$359,Конструкторы!$B1037,Продажи!$C$5:$C$359,Конструкторы!$A1037)</f>
        <v>0</v>
      </c>
      <c r="Q1037" s="166">
        <f>SUMIFS(Продажи!N$5:N$359,Продажи!$D$5:$D$359,Конструкторы!$B1037,Продажи!$C$5:$C$359,Конструкторы!$A1037)</f>
        <v>0</v>
      </c>
      <c r="R1037" s="166">
        <f>SUMIFS(Продажи!O$5:O$359,Продажи!$D$5:$D$359,Конструкторы!$B1037,Продажи!$C$5:$C$359,Конструкторы!$A1037)</f>
        <v>0</v>
      </c>
      <c r="S1037" s="166">
        <f>SUMIFS(Продажи!P$5:P$359,Продажи!$D$5:$D$359,Конструкторы!$B1037,Продажи!$C$5:$C$359,Конструкторы!$A1037)</f>
        <v>0</v>
      </c>
      <c r="T1037" s="166">
        <f>SUMIFS(Продажи!Q$5:Q$359,Продажи!$D$5:$D$359,Конструкторы!$B1037,Продажи!$C$5:$C$359,Конструкторы!$A1037)</f>
        <v>0</v>
      </c>
    </row>
    <row r="1038" spans="1:20" ht="15.75" hidden="1" x14ac:dyDescent="0.25">
      <c r="A1038" s="166" t="s">
        <v>397</v>
      </c>
      <c r="B1038" s="167" t="s">
        <v>215</v>
      </c>
      <c r="C1038" s="33" t="s">
        <v>75</v>
      </c>
      <c r="D1038" s="149"/>
      <c r="E1038" s="153" t="s">
        <v>70</v>
      </c>
      <c r="F1038" s="148">
        <v>12</v>
      </c>
      <c r="G1038" s="156" t="s">
        <v>71</v>
      </c>
      <c r="H1038" s="156">
        <f>F1038</f>
        <v>12</v>
      </c>
      <c r="I1038" s="166">
        <f>SUMIFS(Продажи!F$5:F$359,Продажи!$D$5:$D$359,Конструкторы!$B1038,Продажи!$C$5:$C$359,Конструкторы!$A1038)</f>
        <v>0</v>
      </c>
      <c r="J1038" s="166">
        <f>SUMIFS(Продажи!G$5:G$359,Продажи!$D$5:$D$359,Конструкторы!$B1038,Продажи!$C$5:$C$359,Конструкторы!$A1038)</f>
        <v>0</v>
      </c>
      <c r="K1038" s="166">
        <f>SUMIFS(Продажи!H$5:H$359,Продажи!$D$5:$D$359,Конструкторы!$B1038,Продажи!$C$5:$C$359,Конструкторы!$A1038)</f>
        <v>0</v>
      </c>
      <c r="L1038" s="166">
        <f>SUMIFS(Продажи!I$5:I$359,Продажи!$D$5:$D$359,Конструкторы!$B1038,Продажи!$C$5:$C$359,Конструкторы!$A1038)</f>
        <v>0</v>
      </c>
      <c r="M1038" s="166">
        <f>SUMIFS(Продажи!J$5:J$359,Продажи!$D$5:$D$359,Конструкторы!$B1038,Продажи!$C$5:$C$359,Конструкторы!$A1038)</f>
        <v>0</v>
      </c>
      <c r="N1038" s="166">
        <f>SUMIFS(Продажи!K$5:K$359,Продажи!$D$5:$D$359,Конструкторы!$B1038,Продажи!$C$5:$C$359,Конструкторы!$A1038)</f>
        <v>0</v>
      </c>
      <c r="O1038" s="166">
        <f>SUMIFS(Продажи!L$5:L$359,Продажи!$D$5:$D$359,Конструкторы!$B1038,Продажи!$C$5:$C$359,Конструкторы!$A1038)</f>
        <v>0</v>
      </c>
      <c r="P1038" s="166">
        <f>SUMIFS(Продажи!M$5:M$359,Продажи!$D$5:$D$359,Конструкторы!$B1038,Продажи!$C$5:$C$359,Конструкторы!$A1038)</f>
        <v>0</v>
      </c>
      <c r="Q1038" s="166">
        <f>SUMIFS(Продажи!N$5:N$359,Продажи!$D$5:$D$359,Конструкторы!$B1038,Продажи!$C$5:$C$359,Конструкторы!$A1038)</f>
        <v>0</v>
      </c>
      <c r="R1038" s="166">
        <f>SUMIFS(Продажи!O$5:O$359,Продажи!$D$5:$D$359,Конструкторы!$B1038,Продажи!$C$5:$C$359,Конструкторы!$A1038)</f>
        <v>0</v>
      </c>
      <c r="S1038" s="166">
        <f>SUMIFS(Продажи!P$5:P$359,Продажи!$D$5:$D$359,Конструкторы!$B1038,Продажи!$C$5:$C$359,Конструкторы!$A1038)</f>
        <v>0</v>
      </c>
      <c r="T1038" s="166">
        <f>SUMIFS(Продажи!Q$5:Q$359,Продажи!$D$5:$D$359,Конструкторы!$B1038,Продажи!$C$5:$C$359,Конструкторы!$A1038)</f>
        <v>0</v>
      </c>
    </row>
    <row r="1039" spans="1:20" ht="15.75" hidden="1" x14ac:dyDescent="0.25">
      <c r="A1039" s="166" t="s">
        <v>397</v>
      </c>
      <c r="B1039" s="167" t="s">
        <v>215</v>
      </c>
      <c r="C1039" s="33" t="s">
        <v>69</v>
      </c>
      <c r="D1039" s="149"/>
      <c r="E1039" s="153" t="s">
        <v>70</v>
      </c>
      <c r="F1039" s="148">
        <v>10</v>
      </c>
      <c r="G1039" s="156" t="s">
        <v>71</v>
      </c>
      <c r="H1039" s="156">
        <f>F1039</f>
        <v>10</v>
      </c>
      <c r="I1039" s="166">
        <f>SUMIFS(Продажи!F$5:F$359,Продажи!$D$5:$D$359,Конструкторы!$B1039,Продажи!$C$5:$C$359,Конструкторы!$A1039)</f>
        <v>0</v>
      </c>
      <c r="J1039" s="166">
        <f>SUMIFS(Продажи!G$5:G$359,Продажи!$D$5:$D$359,Конструкторы!$B1039,Продажи!$C$5:$C$359,Конструкторы!$A1039)</f>
        <v>0</v>
      </c>
      <c r="K1039" s="166">
        <f>SUMIFS(Продажи!H$5:H$359,Продажи!$D$5:$D$359,Конструкторы!$B1039,Продажи!$C$5:$C$359,Конструкторы!$A1039)</f>
        <v>0</v>
      </c>
      <c r="L1039" s="166">
        <f>SUMIFS(Продажи!I$5:I$359,Продажи!$D$5:$D$359,Конструкторы!$B1039,Продажи!$C$5:$C$359,Конструкторы!$A1039)</f>
        <v>0</v>
      </c>
      <c r="M1039" s="166">
        <f>SUMIFS(Продажи!J$5:J$359,Продажи!$D$5:$D$359,Конструкторы!$B1039,Продажи!$C$5:$C$359,Конструкторы!$A1039)</f>
        <v>0</v>
      </c>
      <c r="N1039" s="166">
        <f>SUMIFS(Продажи!K$5:K$359,Продажи!$D$5:$D$359,Конструкторы!$B1039,Продажи!$C$5:$C$359,Конструкторы!$A1039)</f>
        <v>0</v>
      </c>
      <c r="O1039" s="166">
        <f>SUMIFS(Продажи!L$5:L$359,Продажи!$D$5:$D$359,Конструкторы!$B1039,Продажи!$C$5:$C$359,Конструкторы!$A1039)</f>
        <v>0</v>
      </c>
      <c r="P1039" s="166">
        <f>SUMIFS(Продажи!M$5:M$359,Продажи!$D$5:$D$359,Конструкторы!$B1039,Продажи!$C$5:$C$359,Конструкторы!$A1039)</f>
        <v>0</v>
      </c>
      <c r="Q1039" s="166">
        <f>SUMIFS(Продажи!N$5:N$359,Продажи!$D$5:$D$359,Конструкторы!$B1039,Продажи!$C$5:$C$359,Конструкторы!$A1039)</f>
        <v>0</v>
      </c>
      <c r="R1039" s="166">
        <f>SUMIFS(Продажи!O$5:O$359,Продажи!$D$5:$D$359,Конструкторы!$B1039,Продажи!$C$5:$C$359,Конструкторы!$A1039)</f>
        <v>0</v>
      </c>
      <c r="S1039" s="166">
        <f>SUMIFS(Продажи!P$5:P$359,Продажи!$D$5:$D$359,Конструкторы!$B1039,Продажи!$C$5:$C$359,Конструкторы!$A1039)</f>
        <v>0</v>
      </c>
      <c r="T1039" s="166">
        <f>SUMIFS(Продажи!Q$5:Q$359,Продажи!$D$5:$D$359,Конструкторы!$B1039,Продажи!$C$5:$C$359,Конструкторы!$A1039)</f>
        <v>0</v>
      </c>
    </row>
    <row r="1040" spans="1:20" ht="15.75" hidden="1" x14ac:dyDescent="0.25">
      <c r="A1040" s="166" t="s">
        <v>397</v>
      </c>
      <c r="B1040" s="167" t="s">
        <v>191</v>
      </c>
      <c r="C1040" s="129" t="s">
        <v>53</v>
      </c>
      <c r="D1040" s="130">
        <v>7038</v>
      </c>
      <c r="E1040" s="153" t="s">
        <v>68</v>
      </c>
      <c r="F1040" s="156">
        <f>(2.054*103)/100</f>
        <v>2.1156199999999998</v>
      </c>
      <c r="G1040" s="156">
        <v>6.1620000000000008E-2</v>
      </c>
      <c r="H1040" s="156">
        <f>F1040+G1040</f>
        <v>2.1772399999999998</v>
      </c>
      <c r="I1040" s="166">
        <f>SUMIFS(Продажи!F$5:F$359,Продажи!$D$5:$D$359,Конструкторы!$B1040,Продажи!$C$5:$C$359,Конструкторы!$A1040)</f>
        <v>0</v>
      </c>
      <c r="J1040" s="166">
        <f>SUMIFS(Продажи!G$5:G$359,Продажи!$D$5:$D$359,Конструкторы!$B1040,Продажи!$C$5:$C$359,Конструкторы!$A1040)</f>
        <v>0</v>
      </c>
      <c r="K1040" s="166">
        <f>SUMIFS(Продажи!H$5:H$359,Продажи!$D$5:$D$359,Конструкторы!$B1040,Продажи!$C$5:$C$359,Конструкторы!$A1040)</f>
        <v>0</v>
      </c>
      <c r="L1040" s="166">
        <f>SUMIFS(Продажи!I$5:I$359,Продажи!$D$5:$D$359,Конструкторы!$B1040,Продажи!$C$5:$C$359,Конструкторы!$A1040)</f>
        <v>0</v>
      </c>
      <c r="M1040" s="166">
        <f>SUMIFS(Продажи!J$5:J$359,Продажи!$D$5:$D$359,Конструкторы!$B1040,Продажи!$C$5:$C$359,Конструкторы!$A1040)</f>
        <v>0</v>
      </c>
      <c r="N1040" s="166">
        <f>SUMIFS(Продажи!K$5:K$359,Продажи!$D$5:$D$359,Конструкторы!$B1040,Продажи!$C$5:$C$359,Конструкторы!$A1040)</f>
        <v>0</v>
      </c>
      <c r="O1040" s="166">
        <f>SUMIFS(Продажи!L$5:L$359,Продажи!$D$5:$D$359,Конструкторы!$B1040,Продажи!$C$5:$C$359,Конструкторы!$A1040)</f>
        <v>0</v>
      </c>
      <c r="P1040" s="166">
        <f>SUMIFS(Продажи!M$5:M$359,Продажи!$D$5:$D$359,Конструкторы!$B1040,Продажи!$C$5:$C$359,Конструкторы!$A1040)</f>
        <v>0</v>
      </c>
      <c r="Q1040" s="166">
        <f>SUMIFS(Продажи!N$5:N$359,Продажи!$D$5:$D$359,Конструкторы!$B1040,Продажи!$C$5:$C$359,Конструкторы!$A1040)</f>
        <v>0</v>
      </c>
      <c r="R1040" s="166">
        <f>SUMIFS(Продажи!O$5:O$359,Продажи!$D$5:$D$359,Конструкторы!$B1040,Продажи!$C$5:$C$359,Конструкторы!$A1040)</f>
        <v>0</v>
      </c>
      <c r="S1040" s="166">
        <f>SUMIFS(Продажи!P$5:P$359,Продажи!$D$5:$D$359,Конструкторы!$B1040,Продажи!$C$5:$C$359,Конструкторы!$A1040)</f>
        <v>0</v>
      </c>
      <c r="T1040" s="166">
        <f>SUMIFS(Продажи!Q$5:Q$359,Продажи!$D$5:$D$359,Конструкторы!$B1040,Продажи!$C$5:$C$359,Конструкторы!$A1040)</f>
        <v>0</v>
      </c>
    </row>
    <row r="1041" spans="1:20" ht="15.75" hidden="1" x14ac:dyDescent="0.25">
      <c r="A1041" s="166" t="s">
        <v>397</v>
      </c>
      <c r="B1041" s="167" t="s">
        <v>191</v>
      </c>
      <c r="C1041" s="129" t="s">
        <v>52</v>
      </c>
      <c r="D1041" s="149"/>
      <c r="E1041" s="153" t="s">
        <v>68</v>
      </c>
      <c r="F1041" s="156">
        <f>(2.856*103)/100</f>
        <v>2.9416799999999999</v>
      </c>
      <c r="G1041" s="156">
        <v>8.5679999999999978E-2</v>
      </c>
      <c r="H1041" s="156">
        <f>F1041+G1041</f>
        <v>3.0273599999999998</v>
      </c>
      <c r="I1041" s="166">
        <f>SUMIFS(Продажи!F$5:F$359,Продажи!$D$5:$D$359,Конструкторы!$B1041,Продажи!$C$5:$C$359,Конструкторы!$A1041)</f>
        <v>0</v>
      </c>
      <c r="J1041" s="166">
        <f>SUMIFS(Продажи!G$5:G$359,Продажи!$D$5:$D$359,Конструкторы!$B1041,Продажи!$C$5:$C$359,Конструкторы!$A1041)</f>
        <v>0</v>
      </c>
      <c r="K1041" s="166">
        <f>SUMIFS(Продажи!H$5:H$359,Продажи!$D$5:$D$359,Конструкторы!$B1041,Продажи!$C$5:$C$359,Конструкторы!$A1041)</f>
        <v>0</v>
      </c>
      <c r="L1041" s="166">
        <f>SUMIFS(Продажи!I$5:I$359,Продажи!$D$5:$D$359,Конструкторы!$B1041,Продажи!$C$5:$C$359,Конструкторы!$A1041)</f>
        <v>0</v>
      </c>
      <c r="M1041" s="166">
        <f>SUMIFS(Продажи!J$5:J$359,Продажи!$D$5:$D$359,Конструкторы!$B1041,Продажи!$C$5:$C$359,Конструкторы!$A1041)</f>
        <v>0</v>
      </c>
      <c r="N1041" s="166">
        <f>SUMIFS(Продажи!K$5:K$359,Продажи!$D$5:$D$359,Конструкторы!$B1041,Продажи!$C$5:$C$359,Конструкторы!$A1041)</f>
        <v>0</v>
      </c>
      <c r="O1041" s="166">
        <f>SUMIFS(Продажи!L$5:L$359,Продажи!$D$5:$D$359,Конструкторы!$B1041,Продажи!$C$5:$C$359,Конструкторы!$A1041)</f>
        <v>0</v>
      </c>
      <c r="P1041" s="166">
        <f>SUMIFS(Продажи!M$5:M$359,Продажи!$D$5:$D$359,Конструкторы!$B1041,Продажи!$C$5:$C$359,Конструкторы!$A1041)</f>
        <v>0</v>
      </c>
      <c r="Q1041" s="166">
        <f>SUMIFS(Продажи!N$5:N$359,Продажи!$D$5:$D$359,Конструкторы!$B1041,Продажи!$C$5:$C$359,Конструкторы!$A1041)</f>
        <v>0</v>
      </c>
      <c r="R1041" s="166">
        <f>SUMIFS(Продажи!O$5:O$359,Продажи!$D$5:$D$359,Конструкторы!$B1041,Продажи!$C$5:$C$359,Конструкторы!$A1041)</f>
        <v>0</v>
      </c>
      <c r="S1041" s="166">
        <f>SUMIFS(Продажи!P$5:P$359,Продажи!$D$5:$D$359,Конструкторы!$B1041,Продажи!$C$5:$C$359,Конструкторы!$A1041)</f>
        <v>0</v>
      </c>
      <c r="T1041" s="166">
        <f>SUMIFS(Продажи!Q$5:Q$359,Продажи!$D$5:$D$359,Конструкторы!$B1041,Продажи!$C$5:$C$359,Конструкторы!$A1041)</f>
        <v>0</v>
      </c>
    </row>
    <row r="1042" spans="1:20" ht="15.75" hidden="1" x14ac:dyDescent="0.25">
      <c r="A1042" s="166" t="s">
        <v>397</v>
      </c>
      <c r="B1042" s="167" t="s">
        <v>191</v>
      </c>
      <c r="C1042" s="33" t="s">
        <v>73</v>
      </c>
      <c r="D1042" s="149"/>
      <c r="E1042" s="153" t="s">
        <v>70</v>
      </c>
      <c r="F1042" s="148">
        <v>4</v>
      </c>
      <c r="G1042" s="156" t="s">
        <v>71</v>
      </c>
      <c r="H1042" s="156">
        <f>F1042</f>
        <v>4</v>
      </c>
      <c r="I1042" s="166">
        <f>SUMIFS(Продажи!F$5:F$359,Продажи!$D$5:$D$359,Конструкторы!$B1042,Продажи!$C$5:$C$359,Конструкторы!$A1042)</f>
        <v>0</v>
      </c>
      <c r="J1042" s="166">
        <f>SUMIFS(Продажи!G$5:G$359,Продажи!$D$5:$D$359,Конструкторы!$B1042,Продажи!$C$5:$C$359,Конструкторы!$A1042)</f>
        <v>0</v>
      </c>
      <c r="K1042" s="166">
        <f>SUMIFS(Продажи!H$5:H$359,Продажи!$D$5:$D$359,Конструкторы!$B1042,Продажи!$C$5:$C$359,Конструкторы!$A1042)</f>
        <v>0</v>
      </c>
      <c r="L1042" s="166">
        <f>SUMIFS(Продажи!I$5:I$359,Продажи!$D$5:$D$359,Конструкторы!$B1042,Продажи!$C$5:$C$359,Конструкторы!$A1042)</f>
        <v>0</v>
      </c>
      <c r="M1042" s="166">
        <f>SUMIFS(Продажи!J$5:J$359,Продажи!$D$5:$D$359,Конструкторы!$B1042,Продажи!$C$5:$C$359,Конструкторы!$A1042)</f>
        <v>0</v>
      </c>
      <c r="N1042" s="166">
        <f>SUMIFS(Продажи!K$5:K$359,Продажи!$D$5:$D$359,Конструкторы!$B1042,Продажи!$C$5:$C$359,Конструкторы!$A1042)</f>
        <v>0</v>
      </c>
      <c r="O1042" s="166">
        <f>SUMIFS(Продажи!L$5:L$359,Продажи!$D$5:$D$359,Конструкторы!$B1042,Продажи!$C$5:$C$359,Конструкторы!$A1042)</f>
        <v>0</v>
      </c>
      <c r="P1042" s="166">
        <f>SUMIFS(Продажи!M$5:M$359,Продажи!$D$5:$D$359,Конструкторы!$B1042,Продажи!$C$5:$C$359,Конструкторы!$A1042)</f>
        <v>0</v>
      </c>
      <c r="Q1042" s="166">
        <f>SUMIFS(Продажи!N$5:N$359,Продажи!$D$5:$D$359,Конструкторы!$B1042,Продажи!$C$5:$C$359,Конструкторы!$A1042)</f>
        <v>0</v>
      </c>
      <c r="R1042" s="166">
        <f>SUMIFS(Продажи!O$5:O$359,Продажи!$D$5:$D$359,Конструкторы!$B1042,Продажи!$C$5:$C$359,Конструкторы!$A1042)</f>
        <v>0</v>
      </c>
      <c r="S1042" s="166">
        <f>SUMIFS(Продажи!P$5:P$359,Продажи!$D$5:$D$359,Конструкторы!$B1042,Продажи!$C$5:$C$359,Конструкторы!$A1042)</f>
        <v>0</v>
      </c>
      <c r="T1042" s="166">
        <f>SUMIFS(Продажи!Q$5:Q$359,Продажи!$D$5:$D$359,Конструкторы!$B1042,Продажи!$C$5:$C$359,Конструкторы!$A1042)</f>
        <v>0</v>
      </c>
    </row>
    <row r="1043" spans="1:20" ht="15.75" hidden="1" x14ac:dyDescent="0.25">
      <c r="A1043" s="166" t="s">
        <v>397</v>
      </c>
      <c r="B1043" s="167" t="s">
        <v>191</v>
      </c>
      <c r="C1043" s="33" t="s">
        <v>75</v>
      </c>
      <c r="D1043" s="149"/>
      <c r="E1043" s="153" t="s">
        <v>70</v>
      </c>
      <c r="F1043" s="148">
        <v>12</v>
      </c>
      <c r="G1043" s="156" t="s">
        <v>71</v>
      </c>
      <c r="H1043" s="156">
        <f>F1043</f>
        <v>12</v>
      </c>
      <c r="I1043" s="166">
        <f>SUMIFS(Продажи!F$5:F$359,Продажи!$D$5:$D$359,Конструкторы!$B1043,Продажи!$C$5:$C$359,Конструкторы!$A1043)</f>
        <v>0</v>
      </c>
      <c r="J1043" s="166">
        <f>SUMIFS(Продажи!G$5:G$359,Продажи!$D$5:$D$359,Конструкторы!$B1043,Продажи!$C$5:$C$359,Конструкторы!$A1043)</f>
        <v>0</v>
      </c>
      <c r="K1043" s="166">
        <f>SUMIFS(Продажи!H$5:H$359,Продажи!$D$5:$D$359,Конструкторы!$B1043,Продажи!$C$5:$C$359,Конструкторы!$A1043)</f>
        <v>0</v>
      </c>
      <c r="L1043" s="166">
        <f>SUMIFS(Продажи!I$5:I$359,Продажи!$D$5:$D$359,Конструкторы!$B1043,Продажи!$C$5:$C$359,Конструкторы!$A1043)</f>
        <v>0</v>
      </c>
      <c r="M1043" s="166">
        <f>SUMIFS(Продажи!J$5:J$359,Продажи!$D$5:$D$359,Конструкторы!$B1043,Продажи!$C$5:$C$359,Конструкторы!$A1043)</f>
        <v>0</v>
      </c>
      <c r="N1043" s="166">
        <f>SUMIFS(Продажи!K$5:K$359,Продажи!$D$5:$D$359,Конструкторы!$B1043,Продажи!$C$5:$C$359,Конструкторы!$A1043)</f>
        <v>0</v>
      </c>
      <c r="O1043" s="166">
        <f>SUMIFS(Продажи!L$5:L$359,Продажи!$D$5:$D$359,Конструкторы!$B1043,Продажи!$C$5:$C$359,Конструкторы!$A1043)</f>
        <v>0</v>
      </c>
      <c r="P1043" s="166">
        <f>SUMIFS(Продажи!M$5:M$359,Продажи!$D$5:$D$359,Конструкторы!$B1043,Продажи!$C$5:$C$359,Конструкторы!$A1043)</f>
        <v>0</v>
      </c>
      <c r="Q1043" s="166">
        <f>SUMIFS(Продажи!N$5:N$359,Продажи!$D$5:$D$359,Конструкторы!$B1043,Продажи!$C$5:$C$359,Конструкторы!$A1043)</f>
        <v>0</v>
      </c>
      <c r="R1043" s="166">
        <f>SUMIFS(Продажи!O$5:O$359,Продажи!$D$5:$D$359,Конструкторы!$B1043,Продажи!$C$5:$C$359,Конструкторы!$A1043)</f>
        <v>0</v>
      </c>
      <c r="S1043" s="166">
        <f>SUMIFS(Продажи!P$5:P$359,Продажи!$D$5:$D$359,Конструкторы!$B1043,Продажи!$C$5:$C$359,Конструкторы!$A1043)</f>
        <v>0</v>
      </c>
      <c r="T1043" s="166">
        <f>SUMIFS(Продажи!Q$5:Q$359,Продажи!$D$5:$D$359,Конструкторы!$B1043,Продажи!$C$5:$C$359,Конструкторы!$A1043)</f>
        <v>0</v>
      </c>
    </row>
    <row r="1044" spans="1:20" ht="15.75" hidden="1" x14ac:dyDescent="0.25">
      <c r="A1044" s="166" t="s">
        <v>397</v>
      </c>
      <c r="B1044" s="167" t="s">
        <v>191</v>
      </c>
      <c r="C1044" s="33" t="s">
        <v>69</v>
      </c>
      <c r="D1044" s="149"/>
      <c r="E1044" s="153" t="s">
        <v>70</v>
      </c>
      <c r="F1044" s="148">
        <v>10</v>
      </c>
      <c r="G1044" s="156" t="s">
        <v>71</v>
      </c>
      <c r="H1044" s="156">
        <f>F1044</f>
        <v>10</v>
      </c>
      <c r="I1044" s="166">
        <f>SUMIFS(Продажи!F$5:F$359,Продажи!$D$5:$D$359,Конструкторы!$B1044,Продажи!$C$5:$C$359,Конструкторы!$A1044)</f>
        <v>0</v>
      </c>
      <c r="J1044" s="166">
        <f>SUMIFS(Продажи!G$5:G$359,Продажи!$D$5:$D$359,Конструкторы!$B1044,Продажи!$C$5:$C$359,Конструкторы!$A1044)</f>
        <v>0</v>
      </c>
      <c r="K1044" s="166">
        <f>SUMIFS(Продажи!H$5:H$359,Продажи!$D$5:$D$359,Конструкторы!$B1044,Продажи!$C$5:$C$359,Конструкторы!$A1044)</f>
        <v>0</v>
      </c>
      <c r="L1044" s="166">
        <f>SUMIFS(Продажи!I$5:I$359,Продажи!$D$5:$D$359,Конструкторы!$B1044,Продажи!$C$5:$C$359,Конструкторы!$A1044)</f>
        <v>0</v>
      </c>
      <c r="M1044" s="166">
        <f>SUMIFS(Продажи!J$5:J$359,Продажи!$D$5:$D$359,Конструкторы!$B1044,Продажи!$C$5:$C$359,Конструкторы!$A1044)</f>
        <v>0</v>
      </c>
      <c r="N1044" s="166">
        <f>SUMIFS(Продажи!K$5:K$359,Продажи!$D$5:$D$359,Конструкторы!$B1044,Продажи!$C$5:$C$359,Конструкторы!$A1044)</f>
        <v>0</v>
      </c>
      <c r="O1044" s="166">
        <f>SUMIFS(Продажи!L$5:L$359,Продажи!$D$5:$D$359,Конструкторы!$B1044,Продажи!$C$5:$C$359,Конструкторы!$A1044)</f>
        <v>0</v>
      </c>
      <c r="P1044" s="166">
        <f>SUMIFS(Продажи!M$5:M$359,Продажи!$D$5:$D$359,Конструкторы!$B1044,Продажи!$C$5:$C$359,Конструкторы!$A1044)</f>
        <v>0</v>
      </c>
      <c r="Q1044" s="166">
        <f>SUMIFS(Продажи!N$5:N$359,Продажи!$D$5:$D$359,Конструкторы!$B1044,Продажи!$C$5:$C$359,Конструкторы!$A1044)</f>
        <v>0</v>
      </c>
      <c r="R1044" s="166">
        <f>SUMIFS(Продажи!O$5:O$359,Продажи!$D$5:$D$359,Конструкторы!$B1044,Продажи!$C$5:$C$359,Конструкторы!$A1044)</f>
        <v>0</v>
      </c>
      <c r="S1044" s="166">
        <f>SUMIFS(Продажи!P$5:P$359,Продажи!$D$5:$D$359,Конструкторы!$B1044,Продажи!$C$5:$C$359,Конструкторы!$A1044)</f>
        <v>0</v>
      </c>
      <c r="T1044" s="166">
        <f>SUMIFS(Продажи!Q$5:Q$359,Продажи!$D$5:$D$359,Конструкторы!$B1044,Продажи!$C$5:$C$359,Конструкторы!$A1044)</f>
        <v>0</v>
      </c>
    </row>
    <row r="1045" spans="1:20" ht="15.75" hidden="1" x14ac:dyDescent="0.25">
      <c r="A1045" s="166" t="s">
        <v>397</v>
      </c>
      <c r="B1045" s="167" t="s">
        <v>192</v>
      </c>
      <c r="C1045" s="129" t="s">
        <v>53</v>
      </c>
      <c r="D1045" s="130">
        <v>7038</v>
      </c>
      <c r="E1045" s="153" t="s">
        <v>68</v>
      </c>
      <c r="F1045" s="156">
        <f>(2.158*103)/100</f>
        <v>2.2227399999999999</v>
      </c>
      <c r="G1045" s="156">
        <v>6.474000000000002E-2</v>
      </c>
      <c r="H1045" s="156">
        <f>F1045+G1045</f>
        <v>2.28748</v>
      </c>
      <c r="I1045" s="166">
        <f>SUMIFS(Продажи!F$5:F$359,Продажи!$D$5:$D$359,Конструкторы!$B1045,Продажи!$C$5:$C$359,Конструкторы!$A1045)</f>
        <v>0</v>
      </c>
      <c r="J1045" s="166">
        <f>SUMIFS(Продажи!G$5:G$359,Продажи!$D$5:$D$359,Конструкторы!$B1045,Продажи!$C$5:$C$359,Конструкторы!$A1045)</f>
        <v>0</v>
      </c>
      <c r="K1045" s="166">
        <f>SUMIFS(Продажи!H$5:H$359,Продажи!$D$5:$D$359,Конструкторы!$B1045,Продажи!$C$5:$C$359,Конструкторы!$A1045)</f>
        <v>0</v>
      </c>
      <c r="L1045" s="166">
        <f>SUMIFS(Продажи!I$5:I$359,Продажи!$D$5:$D$359,Конструкторы!$B1045,Продажи!$C$5:$C$359,Конструкторы!$A1045)</f>
        <v>0</v>
      </c>
      <c r="M1045" s="166">
        <f>SUMIFS(Продажи!J$5:J$359,Продажи!$D$5:$D$359,Конструкторы!$B1045,Продажи!$C$5:$C$359,Конструкторы!$A1045)</f>
        <v>0</v>
      </c>
      <c r="N1045" s="166">
        <f>SUMIFS(Продажи!K$5:K$359,Продажи!$D$5:$D$359,Конструкторы!$B1045,Продажи!$C$5:$C$359,Конструкторы!$A1045)</f>
        <v>0</v>
      </c>
      <c r="O1045" s="166">
        <f>SUMIFS(Продажи!L$5:L$359,Продажи!$D$5:$D$359,Конструкторы!$B1045,Продажи!$C$5:$C$359,Конструкторы!$A1045)</f>
        <v>0</v>
      </c>
      <c r="P1045" s="166">
        <f>SUMIFS(Продажи!M$5:M$359,Продажи!$D$5:$D$359,Конструкторы!$B1045,Продажи!$C$5:$C$359,Конструкторы!$A1045)</f>
        <v>0</v>
      </c>
      <c r="Q1045" s="166">
        <f>SUMIFS(Продажи!N$5:N$359,Продажи!$D$5:$D$359,Конструкторы!$B1045,Продажи!$C$5:$C$359,Конструкторы!$A1045)</f>
        <v>0</v>
      </c>
      <c r="R1045" s="166">
        <f>SUMIFS(Продажи!O$5:O$359,Продажи!$D$5:$D$359,Конструкторы!$B1045,Продажи!$C$5:$C$359,Конструкторы!$A1045)</f>
        <v>0</v>
      </c>
      <c r="S1045" s="166">
        <f>SUMIFS(Продажи!P$5:P$359,Продажи!$D$5:$D$359,Конструкторы!$B1045,Продажи!$C$5:$C$359,Конструкторы!$A1045)</f>
        <v>0</v>
      </c>
      <c r="T1045" s="166">
        <f>SUMIFS(Продажи!Q$5:Q$359,Продажи!$D$5:$D$359,Конструкторы!$B1045,Продажи!$C$5:$C$359,Конструкторы!$A1045)</f>
        <v>0</v>
      </c>
    </row>
    <row r="1046" spans="1:20" ht="15.75" hidden="1" x14ac:dyDescent="0.25">
      <c r="A1046" s="166" t="s">
        <v>397</v>
      </c>
      <c r="B1046" s="167" t="s">
        <v>192</v>
      </c>
      <c r="C1046" s="129" t="s">
        <v>52</v>
      </c>
      <c r="D1046" s="149"/>
      <c r="E1046" s="153" t="s">
        <v>68</v>
      </c>
      <c r="F1046" s="156">
        <f>(1.082*103)/100</f>
        <v>1.1144600000000002</v>
      </c>
      <c r="G1046" s="156">
        <v>3.2460000000000155E-2</v>
      </c>
      <c r="H1046" s="156">
        <f>F1046+G1046</f>
        <v>1.1469200000000004</v>
      </c>
      <c r="I1046" s="166">
        <f>SUMIFS(Продажи!F$5:F$359,Продажи!$D$5:$D$359,Конструкторы!$B1046,Продажи!$C$5:$C$359,Конструкторы!$A1046)</f>
        <v>0</v>
      </c>
      <c r="J1046" s="166">
        <f>SUMIFS(Продажи!G$5:G$359,Продажи!$D$5:$D$359,Конструкторы!$B1046,Продажи!$C$5:$C$359,Конструкторы!$A1046)</f>
        <v>0</v>
      </c>
      <c r="K1046" s="166">
        <f>SUMIFS(Продажи!H$5:H$359,Продажи!$D$5:$D$359,Конструкторы!$B1046,Продажи!$C$5:$C$359,Конструкторы!$A1046)</f>
        <v>0</v>
      </c>
      <c r="L1046" s="166">
        <f>SUMIFS(Продажи!I$5:I$359,Продажи!$D$5:$D$359,Конструкторы!$B1046,Продажи!$C$5:$C$359,Конструкторы!$A1046)</f>
        <v>0</v>
      </c>
      <c r="M1046" s="166">
        <f>SUMIFS(Продажи!J$5:J$359,Продажи!$D$5:$D$359,Конструкторы!$B1046,Продажи!$C$5:$C$359,Конструкторы!$A1046)</f>
        <v>0</v>
      </c>
      <c r="N1046" s="166">
        <f>SUMIFS(Продажи!K$5:K$359,Продажи!$D$5:$D$359,Конструкторы!$B1046,Продажи!$C$5:$C$359,Конструкторы!$A1046)</f>
        <v>0</v>
      </c>
      <c r="O1046" s="166">
        <f>SUMIFS(Продажи!L$5:L$359,Продажи!$D$5:$D$359,Конструкторы!$B1046,Продажи!$C$5:$C$359,Конструкторы!$A1046)</f>
        <v>0</v>
      </c>
      <c r="P1046" s="166">
        <f>SUMIFS(Продажи!M$5:M$359,Продажи!$D$5:$D$359,Конструкторы!$B1046,Продажи!$C$5:$C$359,Конструкторы!$A1046)</f>
        <v>0</v>
      </c>
      <c r="Q1046" s="166">
        <f>SUMIFS(Продажи!N$5:N$359,Продажи!$D$5:$D$359,Конструкторы!$B1046,Продажи!$C$5:$C$359,Конструкторы!$A1046)</f>
        <v>0</v>
      </c>
      <c r="R1046" s="166">
        <f>SUMIFS(Продажи!O$5:O$359,Продажи!$D$5:$D$359,Конструкторы!$B1046,Продажи!$C$5:$C$359,Конструкторы!$A1046)</f>
        <v>0</v>
      </c>
      <c r="S1046" s="166">
        <f>SUMIFS(Продажи!P$5:P$359,Продажи!$D$5:$D$359,Конструкторы!$B1046,Продажи!$C$5:$C$359,Конструкторы!$A1046)</f>
        <v>0</v>
      </c>
      <c r="T1046" s="166">
        <f>SUMIFS(Продажи!Q$5:Q$359,Продажи!$D$5:$D$359,Конструкторы!$B1046,Продажи!$C$5:$C$359,Конструкторы!$A1046)</f>
        <v>0</v>
      </c>
    </row>
    <row r="1047" spans="1:20" ht="15.75" hidden="1" x14ac:dyDescent="0.25">
      <c r="A1047" s="166" t="s">
        <v>397</v>
      </c>
      <c r="B1047" s="167" t="s">
        <v>192</v>
      </c>
      <c r="C1047" s="33" t="s">
        <v>73</v>
      </c>
      <c r="D1047" s="149"/>
      <c r="E1047" s="153" t="s">
        <v>70</v>
      </c>
      <c r="F1047" s="148">
        <v>4</v>
      </c>
      <c r="G1047" s="156" t="s">
        <v>71</v>
      </c>
      <c r="H1047" s="156">
        <f>F1047</f>
        <v>4</v>
      </c>
      <c r="I1047" s="166">
        <f>SUMIFS(Продажи!F$5:F$359,Продажи!$D$5:$D$359,Конструкторы!$B1047,Продажи!$C$5:$C$359,Конструкторы!$A1047)</f>
        <v>0</v>
      </c>
      <c r="J1047" s="166">
        <f>SUMIFS(Продажи!G$5:G$359,Продажи!$D$5:$D$359,Конструкторы!$B1047,Продажи!$C$5:$C$359,Конструкторы!$A1047)</f>
        <v>0</v>
      </c>
      <c r="K1047" s="166">
        <f>SUMIFS(Продажи!H$5:H$359,Продажи!$D$5:$D$359,Конструкторы!$B1047,Продажи!$C$5:$C$359,Конструкторы!$A1047)</f>
        <v>0</v>
      </c>
      <c r="L1047" s="166">
        <f>SUMIFS(Продажи!I$5:I$359,Продажи!$D$5:$D$359,Конструкторы!$B1047,Продажи!$C$5:$C$359,Конструкторы!$A1047)</f>
        <v>0</v>
      </c>
      <c r="M1047" s="166">
        <f>SUMIFS(Продажи!J$5:J$359,Продажи!$D$5:$D$359,Конструкторы!$B1047,Продажи!$C$5:$C$359,Конструкторы!$A1047)</f>
        <v>0</v>
      </c>
      <c r="N1047" s="166">
        <f>SUMIFS(Продажи!K$5:K$359,Продажи!$D$5:$D$359,Конструкторы!$B1047,Продажи!$C$5:$C$359,Конструкторы!$A1047)</f>
        <v>0</v>
      </c>
      <c r="O1047" s="166">
        <f>SUMIFS(Продажи!L$5:L$359,Продажи!$D$5:$D$359,Конструкторы!$B1047,Продажи!$C$5:$C$359,Конструкторы!$A1047)</f>
        <v>0</v>
      </c>
      <c r="P1047" s="166">
        <f>SUMIFS(Продажи!M$5:M$359,Продажи!$D$5:$D$359,Конструкторы!$B1047,Продажи!$C$5:$C$359,Конструкторы!$A1047)</f>
        <v>0</v>
      </c>
      <c r="Q1047" s="166">
        <f>SUMIFS(Продажи!N$5:N$359,Продажи!$D$5:$D$359,Конструкторы!$B1047,Продажи!$C$5:$C$359,Конструкторы!$A1047)</f>
        <v>0</v>
      </c>
      <c r="R1047" s="166">
        <f>SUMIFS(Продажи!O$5:O$359,Продажи!$D$5:$D$359,Конструкторы!$B1047,Продажи!$C$5:$C$359,Конструкторы!$A1047)</f>
        <v>0</v>
      </c>
      <c r="S1047" s="166">
        <f>SUMIFS(Продажи!P$5:P$359,Продажи!$D$5:$D$359,Конструкторы!$B1047,Продажи!$C$5:$C$359,Конструкторы!$A1047)</f>
        <v>0</v>
      </c>
      <c r="T1047" s="166">
        <f>SUMIFS(Продажи!Q$5:Q$359,Продажи!$D$5:$D$359,Конструкторы!$B1047,Продажи!$C$5:$C$359,Конструкторы!$A1047)</f>
        <v>0</v>
      </c>
    </row>
    <row r="1048" spans="1:20" ht="15.75" hidden="1" x14ac:dyDescent="0.25">
      <c r="A1048" s="166" t="s">
        <v>397</v>
      </c>
      <c r="B1048" s="167" t="s">
        <v>192</v>
      </c>
      <c r="C1048" s="33" t="s">
        <v>75</v>
      </c>
      <c r="D1048" s="149"/>
      <c r="E1048" s="153" t="s">
        <v>70</v>
      </c>
      <c r="F1048" s="148">
        <v>12</v>
      </c>
      <c r="G1048" s="156" t="s">
        <v>71</v>
      </c>
      <c r="H1048" s="156">
        <f>F1048</f>
        <v>12</v>
      </c>
      <c r="I1048" s="166">
        <f>SUMIFS(Продажи!F$5:F$359,Продажи!$D$5:$D$359,Конструкторы!$B1048,Продажи!$C$5:$C$359,Конструкторы!$A1048)</f>
        <v>0</v>
      </c>
      <c r="J1048" s="166">
        <f>SUMIFS(Продажи!G$5:G$359,Продажи!$D$5:$D$359,Конструкторы!$B1048,Продажи!$C$5:$C$359,Конструкторы!$A1048)</f>
        <v>0</v>
      </c>
      <c r="K1048" s="166">
        <f>SUMIFS(Продажи!H$5:H$359,Продажи!$D$5:$D$359,Конструкторы!$B1048,Продажи!$C$5:$C$359,Конструкторы!$A1048)</f>
        <v>0</v>
      </c>
      <c r="L1048" s="166">
        <f>SUMIFS(Продажи!I$5:I$359,Продажи!$D$5:$D$359,Конструкторы!$B1048,Продажи!$C$5:$C$359,Конструкторы!$A1048)</f>
        <v>0</v>
      </c>
      <c r="M1048" s="166">
        <f>SUMIFS(Продажи!J$5:J$359,Продажи!$D$5:$D$359,Конструкторы!$B1048,Продажи!$C$5:$C$359,Конструкторы!$A1048)</f>
        <v>0</v>
      </c>
      <c r="N1048" s="166">
        <f>SUMIFS(Продажи!K$5:K$359,Продажи!$D$5:$D$359,Конструкторы!$B1048,Продажи!$C$5:$C$359,Конструкторы!$A1048)</f>
        <v>0</v>
      </c>
      <c r="O1048" s="166">
        <f>SUMIFS(Продажи!L$5:L$359,Продажи!$D$5:$D$359,Конструкторы!$B1048,Продажи!$C$5:$C$359,Конструкторы!$A1048)</f>
        <v>0</v>
      </c>
      <c r="P1048" s="166">
        <f>SUMIFS(Продажи!M$5:M$359,Продажи!$D$5:$D$359,Конструкторы!$B1048,Продажи!$C$5:$C$359,Конструкторы!$A1048)</f>
        <v>0</v>
      </c>
      <c r="Q1048" s="166">
        <f>SUMIFS(Продажи!N$5:N$359,Продажи!$D$5:$D$359,Конструкторы!$B1048,Продажи!$C$5:$C$359,Конструкторы!$A1048)</f>
        <v>0</v>
      </c>
      <c r="R1048" s="166">
        <f>SUMIFS(Продажи!O$5:O$359,Продажи!$D$5:$D$359,Конструкторы!$B1048,Продажи!$C$5:$C$359,Конструкторы!$A1048)</f>
        <v>0</v>
      </c>
      <c r="S1048" s="166">
        <f>SUMIFS(Продажи!P$5:P$359,Продажи!$D$5:$D$359,Конструкторы!$B1048,Продажи!$C$5:$C$359,Конструкторы!$A1048)</f>
        <v>0</v>
      </c>
      <c r="T1048" s="166">
        <f>SUMIFS(Продажи!Q$5:Q$359,Продажи!$D$5:$D$359,Конструкторы!$B1048,Продажи!$C$5:$C$359,Конструкторы!$A1048)</f>
        <v>0</v>
      </c>
    </row>
    <row r="1049" spans="1:20" ht="15.75" hidden="1" x14ac:dyDescent="0.25">
      <c r="A1049" s="166" t="s">
        <v>397</v>
      </c>
      <c r="B1049" s="167" t="s">
        <v>192</v>
      </c>
      <c r="C1049" s="33" t="s">
        <v>69</v>
      </c>
      <c r="D1049" s="149"/>
      <c r="E1049" s="153" t="s">
        <v>70</v>
      </c>
      <c r="F1049" s="148">
        <v>10</v>
      </c>
      <c r="G1049" s="156" t="s">
        <v>71</v>
      </c>
      <c r="H1049" s="156">
        <f>F1049</f>
        <v>10</v>
      </c>
      <c r="I1049" s="166">
        <f>SUMIFS(Продажи!F$5:F$359,Продажи!$D$5:$D$359,Конструкторы!$B1049,Продажи!$C$5:$C$359,Конструкторы!$A1049)</f>
        <v>0</v>
      </c>
      <c r="J1049" s="166">
        <f>SUMIFS(Продажи!G$5:G$359,Продажи!$D$5:$D$359,Конструкторы!$B1049,Продажи!$C$5:$C$359,Конструкторы!$A1049)</f>
        <v>0</v>
      </c>
      <c r="K1049" s="166">
        <f>SUMIFS(Продажи!H$5:H$359,Продажи!$D$5:$D$359,Конструкторы!$B1049,Продажи!$C$5:$C$359,Конструкторы!$A1049)</f>
        <v>0</v>
      </c>
      <c r="L1049" s="166">
        <f>SUMIFS(Продажи!I$5:I$359,Продажи!$D$5:$D$359,Конструкторы!$B1049,Продажи!$C$5:$C$359,Конструкторы!$A1049)</f>
        <v>0</v>
      </c>
      <c r="M1049" s="166">
        <f>SUMIFS(Продажи!J$5:J$359,Продажи!$D$5:$D$359,Конструкторы!$B1049,Продажи!$C$5:$C$359,Конструкторы!$A1049)</f>
        <v>0</v>
      </c>
      <c r="N1049" s="166">
        <f>SUMIFS(Продажи!K$5:K$359,Продажи!$D$5:$D$359,Конструкторы!$B1049,Продажи!$C$5:$C$359,Конструкторы!$A1049)</f>
        <v>0</v>
      </c>
      <c r="O1049" s="166">
        <f>SUMIFS(Продажи!L$5:L$359,Продажи!$D$5:$D$359,Конструкторы!$B1049,Продажи!$C$5:$C$359,Конструкторы!$A1049)</f>
        <v>0</v>
      </c>
      <c r="P1049" s="166">
        <f>SUMIFS(Продажи!M$5:M$359,Продажи!$D$5:$D$359,Конструкторы!$B1049,Продажи!$C$5:$C$359,Конструкторы!$A1049)</f>
        <v>0</v>
      </c>
      <c r="Q1049" s="166">
        <f>SUMIFS(Продажи!N$5:N$359,Продажи!$D$5:$D$359,Конструкторы!$B1049,Продажи!$C$5:$C$359,Конструкторы!$A1049)</f>
        <v>0</v>
      </c>
      <c r="R1049" s="166">
        <f>SUMIFS(Продажи!O$5:O$359,Продажи!$D$5:$D$359,Конструкторы!$B1049,Продажи!$C$5:$C$359,Конструкторы!$A1049)</f>
        <v>0</v>
      </c>
      <c r="S1049" s="166">
        <f>SUMIFS(Продажи!P$5:P$359,Продажи!$D$5:$D$359,Конструкторы!$B1049,Продажи!$C$5:$C$359,Конструкторы!$A1049)</f>
        <v>0</v>
      </c>
      <c r="T1049" s="166">
        <f>SUMIFS(Продажи!Q$5:Q$359,Продажи!$D$5:$D$359,Конструкторы!$B1049,Продажи!$C$5:$C$359,Конструкторы!$A1049)</f>
        <v>0</v>
      </c>
    </row>
    <row r="1050" spans="1:20" ht="15.75" hidden="1" x14ac:dyDescent="0.25">
      <c r="A1050" s="166" t="s">
        <v>397</v>
      </c>
      <c r="B1050" s="167" t="s">
        <v>193</v>
      </c>
      <c r="C1050" s="129" t="s">
        <v>53</v>
      </c>
      <c r="D1050" s="130">
        <v>7038</v>
      </c>
      <c r="E1050" s="153" t="s">
        <v>68</v>
      </c>
      <c r="F1050" s="156">
        <f>(2.154*103)/100</f>
        <v>2.21862</v>
      </c>
      <c r="G1050" s="156">
        <v>6.4620000000000122E-2</v>
      </c>
      <c r="H1050" s="156">
        <f>F1050+G1050</f>
        <v>2.2832400000000002</v>
      </c>
      <c r="I1050" s="166">
        <f>SUMIFS(Продажи!F$5:F$359,Продажи!$D$5:$D$359,Конструкторы!$B1050,Продажи!$C$5:$C$359,Конструкторы!$A1050)</f>
        <v>0</v>
      </c>
      <c r="J1050" s="166">
        <f>SUMIFS(Продажи!G$5:G$359,Продажи!$D$5:$D$359,Конструкторы!$B1050,Продажи!$C$5:$C$359,Конструкторы!$A1050)</f>
        <v>0</v>
      </c>
      <c r="K1050" s="166">
        <f>SUMIFS(Продажи!H$5:H$359,Продажи!$D$5:$D$359,Конструкторы!$B1050,Продажи!$C$5:$C$359,Конструкторы!$A1050)</f>
        <v>0</v>
      </c>
      <c r="L1050" s="166">
        <f>SUMIFS(Продажи!I$5:I$359,Продажи!$D$5:$D$359,Конструкторы!$B1050,Продажи!$C$5:$C$359,Конструкторы!$A1050)</f>
        <v>0</v>
      </c>
      <c r="M1050" s="166">
        <f>SUMIFS(Продажи!J$5:J$359,Продажи!$D$5:$D$359,Конструкторы!$B1050,Продажи!$C$5:$C$359,Конструкторы!$A1050)</f>
        <v>0</v>
      </c>
      <c r="N1050" s="166">
        <f>SUMIFS(Продажи!K$5:K$359,Продажи!$D$5:$D$359,Конструкторы!$B1050,Продажи!$C$5:$C$359,Конструкторы!$A1050)</f>
        <v>0</v>
      </c>
      <c r="O1050" s="166">
        <f>SUMIFS(Продажи!L$5:L$359,Продажи!$D$5:$D$359,Конструкторы!$B1050,Продажи!$C$5:$C$359,Конструкторы!$A1050)</f>
        <v>0</v>
      </c>
      <c r="P1050" s="166">
        <f>SUMIFS(Продажи!M$5:M$359,Продажи!$D$5:$D$359,Конструкторы!$B1050,Продажи!$C$5:$C$359,Конструкторы!$A1050)</f>
        <v>0</v>
      </c>
      <c r="Q1050" s="166">
        <f>SUMIFS(Продажи!N$5:N$359,Продажи!$D$5:$D$359,Конструкторы!$B1050,Продажи!$C$5:$C$359,Конструкторы!$A1050)</f>
        <v>0</v>
      </c>
      <c r="R1050" s="166">
        <f>SUMIFS(Продажи!O$5:O$359,Продажи!$D$5:$D$359,Конструкторы!$B1050,Продажи!$C$5:$C$359,Конструкторы!$A1050)</f>
        <v>0</v>
      </c>
      <c r="S1050" s="166">
        <f>SUMIFS(Продажи!P$5:P$359,Продажи!$D$5:$D$359,Конструкторы!$B1050,Продажи!$C$5:$C$359,Конструкторы!$A1050)</f>
        <v>0</v>
      </c>
      <c r="T1050" s="166">
        <f>SUMIFS(Продажи!Q$5:Q$359,Продажи!$D$5:$D$359,Конструкторы!$B1050,Продажи!$C$5:$C$359,Конструкторы!$A1050)</f>
        <v>0</v>
      </c>
    </row>
    <row r="1051" spans="1:20" ht="15.75" hidden="1" x14ac:dyDescent="0.25">
      <c r="A1051" s="166" t="s">
        <v>397</v>
      </c>
      <c r="B1051" s="167" t="s">
        <v>193</v>
      </c>
      <c r="C1051" s="129" t="s">
        <v>52</v>
      </c>
      <c r="D1051" s="149"/>
      <c r="E1051" s="153" t="s">
        <v>68</v>
      </c>
      <c r="F1051" s="156">
        <f>(1.022*103)/100</f>
        <v>1.0526600000000002</v>
      </c>
      <c r="G1051" s="156">
        <v>3.0660000000000132E-2</v>
      </c>
      <c r="H1051" s="156">
        <f>F1051+G1051</f>
        <v>1.0833200000000003</v>
      </c>
      <c r="I1051" s="166">
        <f>SUMIFS(Продажи!F$5:F$359,Продажи!$D$5:$D$359,Конструкторы!$B1051,Продажи!$C$5:$C$359,Конструкторы!$A1051)</f>
        <v>0</v>
      </c>
      <c r="J1051" s="166">
        <f>SUMIFS(Продажи!G$5:G$359,Продажи!$D$5:$D$359,Конструкторы!$B1051,Продажи!$C$5:$C$359,Конструкторы!$A1051)</f>
        <v>0</v>
      </c>
      <c r="K1051" s="166">
        <f>SUMIFS(Продажи!H$5:H$359,Продажи!$D$5:$D$359,Конструкторы!$B1051,Продажи!$C$5:$C$359,Конструкторы!$A1051)</f>
        <v>0</v>
      </c>
      <c r="L1051" s="166">
        <f>SUMIFS(Продажи!I$5:I$359,Продажи!$D$5:$D$359,Конструкторы!$B1051,Продажи!$C$5:$C$359,Конструкторы!$A1051)</f>
        <v>0</v>
      </c>
      <c r="M1051" s="166">
        <f>SUMIFS(Продажи!J$5:J$359,Продажи!$D$5:$D$359,Конструкторы!$B1051,Продажи!$C$5:$C$359,Конструкторы!$A1051)</f>
        <v>0</v>
      </c>
      <c r="N1051" s="166">
        <f>SUMIFS(Продажи!K$5:K$359,Продажи!$D$5:$D$359,Конструкторы!$B1051,Продажи!$C$5:$C$359,Конструкторы!$A1051)</f>
        <v>0</v>
      </c>
      <c r="O1051" s="166">
        <f>SUMIFS(Продажи!L$5:L$359,Продажи!$D$5:$D$359,Конструкторы!$B1051,Продажи!$C$5:$C$359,Конструкторы!$A1051)</f>
        <v>0</v>
      </c>
      <c r="P1051" s="166">
        <f>SUMIFS(Продажи!M$5:M$359,Продажи!$D$5:$D$359,Конструкторы!$B1051,Продажи!$C$5:$C$359,Конструкторы!$A1051)</f>
        <v>0</v>
      </c>
      <c r="Q1051" s="166">
        <f>SUMIFS(Продажи!N$5:N$359,Продажи!$D$5:$D$359,Конструкторы!$B1051,Продажи!$C$5:$C$359,Конструкторы!$A1051)</f>
        <v>0</v>
      </c>
      <c r="R1051" s="166">
        <f>SUMIFS(Продажи!O$5:O$359,Продажи!$D$5:$D$359,Конструкторы!$B1051,Продажи!$C$5:$C$359,Конструкторы!$A1051)</f>
        <v>0</v>
      </c>
      <c r="S1051" s="166">
        <f>SUMIFS(Продажи!P$5:P$359,Продажи!$D$5:$D$359,Конструкторы!$B1051,Продажи!$C$5:$C$359,Конструкторы!$A1051)</f>
        <v>0</v>
      </c>
      <c r="T1051" s="166">
        <f>SUMIFS(Продажи!Q$5:Q$359,Продажи!$D$5:$D$359,Конструкторы!$B1051,Продажи!$C$5:$C$359,Конструкторы!$A1051)</f>
        <v>0</v>
      </c>
    </row>
    <row r="1052" spans="1:20" ht="15.75" hidden="1" x14ac:dyDescent="0.25">
      <c r="A1052" s="166" t="s">
        <v>397</v>
      </c>
      <c r="B1052" s="167" t="s">
        <v>193</v>
      </c>
      <c r="C1052" s="33" t="s">
        <v>73</v>
      </c>
      <c r="D1052" s="149"/>
      <c r="E1052" s="153" t="s">
        <v>70</v>
      </c>
      <c r="F1052" s="148">
        <v>4</v>
      </c>
      <c r="G1052" s="156" t="s">
        <v>71</v>
      </c>
      <c r="H1052" s="156">
        <f>F1052</f>
        <v>4</v>
      </c>
      <c r="I1052" s="166">
        <f>SUMIFS(Продажи!F$5:F$359,Продажи!$D$5:$D$359,Конструкторы!$B1052,Продажи!$C$5:$C$359,Конструкторы!$A1052)</f>
        <v>0</v>
      </c>
      <c r="J1052" s="166">
        <f>SUMIFS(Продажи!G$5:G$359,Продажи!$D$5:$D$359,Конструкторы!$B1052,Продажи!$C$5:$C$359,Конструкторы!$A1052)</f>
        <v>0</v>
      </c>
      <c r="K1052" s="166">
        <f>SUMIFS(Продажи!H$5:H$359,Продажи!$D$5:$D$359,Конструкторы!$B1052,Продажи!$C$5:$C$359,Конструкторы!$A1052)</f>
        <v>0</v>
      </c>
      <c r="L1052" s="166">
        <f>SUMIFS(Продажи!I$5:I$359,Продажи!$D$5:$D$359,Конструкторы!$B1052,Продажи!$C$5:$C$359,Конструкторы!$A1052)</f>
        <v>0</v>
      </c>
      <c r="M1052" s="166">
        <f>SUMIFS(Продажи!J$5:J$359,Продажи!$D$5:$D$359,Конструкторы!$B1052,Продажи!$C$5:$C$359,Конструкторы!$A1052)</f>
        <v>0</v>
      </c>
      <c r="N1052" s="166">
        <f>SUMIFS(Продажи!K$5:K$359,Продажи!$D$5:$D$359,Конструкторы!$B1052,Продажи!$C$5:$C$359,Конструкторы!$A1052)</f>
        <v>0</v>
      </c>
      <c r="O1052" s="166">
        <f>SUMIFS(Продажи!L$5:L$359,Продажи!$D$5:$D$359,Конструкторы!$B1052,Продажи!$C$5:$C$359,Конструкторы!$A1052)</f>
        <v>0</v>
      </c>
      <c r="P1052" s="166">
        <f>SUMIFS(Продажи!M$5:M$359,Продажи!$D$5:$D$359,Конструкторы!$B1052,Продажи!$C$5:$C$359,Конструкторы!$A1052)</f>
        <v>0</v>
      </c>
      <c r="Q1052" s="166">
        <f>SUMIFS(Продажи!N$5:N$359,Продажи!$D$5:$D$359,Конструкторы!$B1052,Продажи!$C$5:$C$359,Конструкторы!$A1052)</f>
        <v>0</v>
      </c>
      <c r="R1052" s="166">
        <f>SUMIFS(Продажи!O$5:O$359,Продажи!$D$5:$D$359,Конструкторы!$B1052,Продажи!$C$5:$C$359,Конструкторы!$A1052)</f>
        <v>0</v>
      </c>
      <c r="S1052" s="166">
        <f>SUMIFS(Продажи!P$5:P$359,Продажи!$D$5:$D$359,Конструкторы!$B1052,Продажи!$C$5:$C$359,Конструкторы!$A1052)</f>
        <v>0</v>
      </c>
      <c r="T1052" s="166">
        <f>SUMIFS(Продажи!Q$5:Q$359,Продажи!$D$5:$D$359,Конструкторы!$B1052,Продажи!$C$5:$C$359,Конструкторы!$A1052)</f>
        <v>0</v>
      </c>
    </row>
    <row r="1053" spans="1:20" ht="15.75" hidden="1" x14ac:dyDescent="0.25">
      <c r="A1053" s="166" t="s">
        <v>397</v>
      </c>
      <c r="B1053" s="167" t="s">
        <v>193</v>
      </c>
      <c r="C1053" s="33" t="s">
        <v>75</v>
      </c>
      <c r="D1053" s="149"/>
      <c r="E1053" s="153" t="s">
        <v>70</v>
      </c>
      <c r="F1053" s="148">
        <v>12</v>
      </c>
      <c r="G1053" s="156" t="s">
        <v>71</v>
      </c>
      <c r="H1053" s="156">
        <f>F1053</f>
        <v>12</v>
      </c>
      <c r="I1053" s="166">
        <f>SUMIFS(Продажи!F$5:F$359,Продажи!$D$5:$D$359,Конструкторы!$B1053,Продажи!$C$5:$C$359,Конструкторы!$A1053)</f>
        <v>0</v>
      </c>
      <c r="J1053" s="166">
        <f>SUMIFS(Продажи!G$5:G$359,Продажи!$D$5:$D$359,Конструкторы!$B1053,Продажи!$C$5:$C$359,Конструкторы!$A1053)</f>
        <v>0</v>
      </c>
      <c r="K1053" s="166">
        <f>SUMIFS(Продажи!H$5:H$359,Продажи!$D$5:$D$359,Конструкторы!$B1053,Продажи!$C$5:$C$359,Конструкторы!$A1053)</f>
        <v>0</v>
      </c>
      <c r="L1053" s="166">
        <f>SUMIFS(Продажи!I$5:I$359,Продажи!$D$5:$D$359,Конструкторы!$B1053,Продажи!$C$5:$C$359,Конструкторы!$A1053)</f>
        <v>0</v>
      </c>
      <c r="M1053" s="166">
        <f>SUMIFS(Продажи!J$5:J$359,Продажи!$D$5:$D$359,Конструкторы!$B1053,Продажи!$C$5:$C$359,Конструкторы!$A1053)</f>
        <v>0</v>
      </c>
      <c r="N1053" s="166">
        <f>SUMIFS(Продажи!K$5:K$359,Продажи!$D$5:$D$359,Конструкторы!$B1053,Продажи!$C$5:$C$359,Конструкторы!$A1053)</f>
        <v>0</v>
      </c>
      <c r="O1053" s="166">
        <f>SUMIFS(Продажи!L$5:L$359,Продажи!$D$5:$D$359,Конструкторы!$B1053,Продажи!$C$5:$C$359,Конструкторы!$A1053)</f>
        <v>0</v>
      </c>
      <c r="P1053" s="166">
        <f>SUMIFS(Продажи!M$5:M$359,Продажи!$D$5:$D$359,Конструкторы!$B1053,Продажи!$C$5:$C$359,Конструкторы!$A1053)</f>
        <v>0</v>
      </c>
      <c r="Q1053" s="166">
        <f>SUMIFS(Продажи!N$5:N$359,Продажи!$D$5:$D$359,Конструкторы!$B1053,Продажи!$C$5:$C$359,Конструкторы!$A1053)</f>
        <v>0</v>
      </c>
      <c r="R1053" s="166">
        <f>SUMIFS(Продажи!O$5:O$359,Продажи!$D$5:$D$359,Конструкторы!$B1053,Продажи!$C$5:$C$359,Конструкторы!$A1053)</f>
        <v>0</v>
      </c>
      <c r="S1053" s="166">
        <f>SUMIFS(Продажи!P$5:P$359,Продажи!$D$5:$D$359,Конструкторы!$B1053,Продажи!$C$5:$C$359,Конструкторы!$A1053)</f>
        <v>0</v>
      </c>
      <c r="T1053" s="166">
        <f>SUMIFS(Продажи!Q$5:Q$359,Продажи!$D$5:$D$359,Конструкторы!$B1053,Продажи!$C$5:$C$359,Конструкторы!$A1053)</f>
        <v>0</v>
      </c>
    </row>
    <row r="1054" spans="1:20" ht="15.75" hidden="1" x14ac:dyDescent="0.25">
      <c r="A1054" s="166" t="s">
        <v>397</v>
      </c>
      <c r="B1054" s="167" t="s">
        <v>193</v>
      </c>
      <c r="C1054" s="33" t="s">
        <v>69</v>
      </c>
      <c r="D1054" s="149"/>
      <c r="E1054" s="153" t="s">
        <v>70</v>
      </c>
      <c r="F1054" s="148">
        <v>10</v>
      </c>
      <c r="G1054" s="156" t="s">
        <v>71</v>
      </c>
      <c r="H1054" s="156">
        <f>F1054</f>
        <v>10</v>
      </c>
      <c r="I1054" s="166">
        <f>SUMIFS(Продажи!F$5:F$359,Продажи!$D$5:$D$359,Конструкторы!$B1054,Продажи!$C$5:$C$359,Конструкторы!$A1054)</f>
        <v>0</v>
      </c>
      <c r="J1054" s="166">
        <f>SUMIFS(Продажи!G$5:G$359,Продажи!$D$5:$D$359,Конструкторы!$B1054,Продажи!$C$5:$C$359,Конструкторы!$A1054)</f>
        <v>0</v>
      </c>
      <c r="K1054" s="166">
        <f>SUMIFS(Продажи!H$5:H$359,Продажи!$D$5:$D$359,Конструкторы!$B1054,Продажи!$C$5:$C$359,Конструкторы!$A1054)</f>
        <v>0</v>
      </c>
      <c r="L1054" s="166">
        <f>SUMIFS(Продажи!I$5:I$359,Продажи!$D$5:$D$359,Конструкторы!$B1054,Продажи!$C$5:$C$359,Конструкторы!$A1054)</f>
        <v>0</v>
      </c>
      <c r="M1054" s="166">
        <f>SUMIFS(Продажи!J$5:J$359,Продажи!$D$5:$D$359,Конструкторы!$B1054,Продажи!$C$5:$C$359,Конструкторы!$A1054)</f>
        <v>0</v>
      </c>
      <c r="N1054" s="166">
        <f>SUMIFS(Продажи!K$5:K$359,Продажи!$D$5:$D$359,Конструкторы!$B1054,Продажи!$C$5:$C$359,Конструкторы!$A1054)</f>
        <v>0</v>
      </c>
      <c r="O1054" s="166">
        <f>SUMIFS(Продажи!L$5:L$359,Продажи!$D$5:$D$359,Конструкторы!$B1054,Продажи!$C$5:$C$359,Конструкторы!$A1054)</f>
        <v>0</v>
      </c>
      <c r="P1054" s="166">
        <f>SUMIFS(Продажи!M$5:M$359,Продажи!$D$5:$D$359,Конструкторы!$B1054,Продажи!$C$5:$C$359,Конструкторы!$A1054)</f>
        <v>0</v>
      </c>
      <c r="Q1054" s="166">
        <f>SUMIFS(Продажи!N$5:N$359,Продажи!$D$5:$D$359,Конструкторы!$B1054,Продажи!$C$5:$C$359,Конструкторы!$A1054)</f>
        <v>0</v>
      </c>
      <c r="R1054" s="166">
        <f>SUMIFS(Продажи!O$5:O$359,Продажи!$D$5:$D$359,Конструкторы!$B1054,Продажи!$C$5:$C$359,Конструкторы!$A1054)</f>
        <v>0</v>
      </c>
      <c r="S1054" s="166">
        <f>SUMIFS(Продажи!P$5:P$359,Продажи!$D$5:$D$359,Конструкторы!$B1054,Продажи!$C$5:$C$359,Конструкторы!$A1054)</f>
        <v>0</v>
      </c>
      <c r="T1054" s="166">
        <f>SUMIFS(Продажи!Q$5:Q$359,Продажи!$D$5:$D$359,Конструкторы!$B1054,Продажи!$C$5:$C$359,Конструкторы!$A1054)</f>
        <v>0</v>
      </c>
    </row>
    <row r="1055" spans="1:20" ht="15.75" hidden="1" x14ac:dyDescent="0.25">
      <c r="A1055" s="166" t="s">
        <v>397</v>
      </c>
      <c r="B1055" s="167" t="s">
        <v>194</v>
      </c>
      <c r="C1055" s="129" t="s">
        <v>53</v>
      </c>
      <c r="D1055" s="130">
        <v>7038</v>
      </c>
      <c r="E1055" s="153" t="s">
        <v>68</v>
      </c>
      <c r="F1055" s="156">
        <f>(2.154*103)/100</f>
        <v>2.21862</v>
      </c>
      <c r="G1055" s="156">
        <v>6.4620000000000122E-2</v>
      </c>
      <c r="H1055" s="156">
        <f>F1055+G1055</f>
        <v>2.2832400000000002</v>
      </c>
      <c r="I1055" s="166">
        <f>SUMIFS(Продажи!F$5:F$359,Продажи!$D$5:$D$359,Конструкторы!$B1055,Продажи!$C$5:$C$359,Конструкторы!$A1055)</f>
        <v>0</v>
      </c>
      <c r="J1055" s="166">
        <f>SUMIFS(Продажи!G$5:G$359,Продажи!$D$5:$D$359,Конструкторы!$B1055,Продажи!$C$5:$C$359,Конструкторы!$A1055)</f>
        <v>0</v>
      </c>
      <c r="K1055" s="166">
        <f>SUMIFS(Продажи!H$5:H$359,Продажи!$D$5:$D$359,Конструкторы!$B1055,Продажи!$C$5:$C$359,Конструкторы!$A1055)</f>
        <v>0</v>
      </c>
      <c r="L1055" s="166">
        <f>SUMIFS(Продажи!I$5:I$359,Продажи!$D$5:$D$359,Конструкторы!$B1055,Продажи!$C$5:$C$359,Конструкторы!$A1055)</f>
        <v>0</v>
      </c>
      <c r="M1055" s="166">
        <f>SUMIFS(Продажи!J$5:J$359,Продажи!$D$5:$D$359,Конструкторы!$B1055,Продажи!$C$5:$C$359,Конструкторы!$A1055)</f>
        <v>0</v>
      </c>
      <c r="N1055" s="166">
        <f>SUMIFS(Продажи!K$5:K$359,Продажи!$D$5:$D$359,Конструкторы!$B1055,Продажи!$C$5:$C$359,Конструкторы!$A1055)</f>
        <v>0</v>
      </c>
      <c r="O1055" s="166">
        <f>SUMIFS(Продажи!L$5:L$359,Продажи!$D$5:$D$359,Конструкторы!$B1055,Продажи!$C$5:$C$359,Конструкторы!$A1055)</f>
        <v>0</v>
      </c>
      <c r="P1055" s="166">
        <f>SUMIFS(Продажи!M$5:M$359,Продажи!$D$5:$D$359,Конструкторы!$B1055,Продажи!$C$5:$C$359,Конструкторы!$A1055)</f>
        <v>0</v>
      </c>
      <c r="Q1055" s="166">
        <f>SUMIFS(Продажи!N$5:N$359,Продажи!$D$5:$D$359,Конструкторы!$B1055,Продажи!$C$5:$C$359,Конструкторы!$A1055)</f>
        <v>0</v>
      </c>
      <c r="R1055" s="166">
        <f>SUMIFS(Продажи!O$5:O$359,Продажи!$D$5:$D$359,Конструкторы!$B1055,Продажи!$C$5:$C$359,Конструкторы!$A1055)</f>
        <v>0</v>
      </c>
      <c r="S1055" s="166">
        <f>SUMIFS(Продажи!P$5:P$359,Продажи!$D$5:$D$359,Конструкторы!$B1055,Продажи!$C$5:$C$359,Конструкторы!$A1055)</f>
        <v>0</v>
      </c>
      <c r="T1055" s="166">
        <f>SUMIFS(Продажи!Q$5:Q$359,Продажи!$D$5:$D$359,Конструкторы!$B1055,Продажи!$C$5:$C$359,Конструкторы!$A1055)</f>
        <v>0</v>
      </c>
    </row>
    <row r="1056" spans="1:20" ht="15.75" hidden="1" x14ac:dyDescent="0.25">
      <c r="A1056" s="166" t="s">
        <v>397</v>
      </c>
      <c r="B1056" s="167" t="s">
        <v>194</v>
      </c>
      <c r="C1056" s="129" t="s">
        <v>52</v>
      </c>
      <c r="D1056" s="149"/>
      <c r="E1056" s="153" t="s">
        <v>68</v>
      </c>
      <c r="F1056" s="156">
        <f>(1.798*103)/100</f>
        <v>1.8519400000000001</v>
      </c>
      <c r="G1056" s="156">
        <v>5.3940000000000099E-2</v>
      </c>
      <c r="H1056" s="156">
        <f>F1056+G1056</f>
        <v>1.9058800000000002</v>
      </c>
      <c r="I1056" s="166">
        <f>SUMIFS(Продажи!F$5:F$359,Продажи!$D$5:$D$359,Конструкторы!$B1056,Продажи!$C$5:$C$359,Конструкторы!$A1056)</f>
        <v>0</v>
      </c>
      <c r="J1056" s="166">
        <f>SUMIFS(Продажи!G$5:G$359,Продажи!$D$5:$D$359,Конструкторы!$B1056,Продажи!$C$5:$C$359,Конструкторы!$A1056)</f>
        <v>0</v>
      </c>
      <c r="K1056" s="166">
        <f>SUMIFS(Продажи!H$5:H$359,Продажи!$D$5:$D$359,Конструкторы!$B1056,Продажи!$C$5:$C$359,Конструкторы!$A1056)</f>
        <v>0</v>
      </c>
      <c r="L1056" s="166">
        <f>SUMIFS(Продажи!I$5:I$359,Продажи!$D$5:$D$359,Конструкторы!$B1056,Продажи!$C$5:$C$359,Конструкторы!$A1056)</f>
        <v>0</v>
      </c>
      <c r="M1056" s="166">
        <f>SUMIFS(Продажи!J$5:J$359,Продажи!$D$5:$D$359,Конструкторы!$B1056,Продажи!$C$5:$C$359,Конструкторы!$A1056)</f>
        <v>0</v>
      </c>
      <c r="N1056" s="166">
        <f>SUMIFS(Продажи!K$5:K$359,Продажи!$D$5:$D$359,Конструкторы!$B1056,Продажи!$C$5:$C$359,Конструкторы!$A1056)</f>
        <v>0</v>
      </c>
      <c r="O1056" s="166">
        <f>SUMIFS(Продажи!L$5:L$359,Продажи!$D$5:$D$359,Конструкторы!$B1056,Продажи!$C$5:$C$359,Конструкторы!$A1056)</f>
        <v>0</v>
      </c>
      <c r="P1056" s="166">
        <f>SUMIFS(Продажи!M$5:M$359,Продажи!$D$5:$D$359,Конструкторы!$B1056,Продажи!$C$5:$C$359,Конструкторы!$A1056)</f>
        <v>0</v>
      </c>
      <c r="Q1056" s="166">
        <f>SUMIFS(Продажи!N$5:N$359,Продажи!$D$5:$D$359,Конструкторы!$B1056,Продажи!$C$5:$C$359,Конструкторы!$A1056)</f>
        <v>0</v>
      </c>
      <c r="R1056" s="166">
        <f>SUMIFS(Продажи!O$5:O$359,Продажи!$D$5:$D$359,Конструкторы!$B1056,Продажи!$C$5:$C$359,Конструкторы!$A1056)</f>
        <v>0</v>
      </c>
      <c r="S1056" s="166">
        <f>SUMIFS(Продажи!P$5:P$359,Продажи!$D$5:$D$359,Конструкторы!$B1056,Продажи!$C$5:$C$359,Конструкторы!$A1056)</f>
        <v>0</v>
      </c>
      <c r="T1056" s="166">
        <f>SUMIFS(Продажи!Q$5:Q$359,Продажи!$D$5:$D$359,Конструкторы!$B1056,Продажи!$C$5:$C$359,Конструкторы!$A1056)</f>
        <v>0</v>
      </c>
    </row>
    <row r="1057" spans="1:20" ht="15.75" hidden="1" x14ac:dyDescent="0.25">
      <c r="A1057" s="166" t="s">
        <v>397</v>
      </c>
      <c r="B1057" s="167" t="s">
        <v>194</v>
      </c>
      <c r="C1057" s="33" t="s">
        <v>73</v>
      </c>
      <c r="D1057" s="149"/>
      <c r="E1057" s="153" t="s">
        <v>70</v>
      </c>
      <c r="F1057" s="148">
        <v>4</v>
      </c>
      <c r="G1057" s="156" t="s">
        <v>71</v>
      </c>
      <c r="H1057" s="156">
        <f>F1057</f>
        <v>4</v>
      </c>
      <c r="I1057" s="166">
        <f>SUMIFS(Продажи!F$5:F$359,Продажи!$D$5:$D$359,Конструкторы!$B1057,Продажи!$C$5:$C$359,Конструкторы!$A1057)</f>
        <v>0</v>
      </c>
      <c r="J1057" s="166">
        <f>SUMIFS(Продажи!G$5:G$359,Продажи!$D$5:$D$359,Конструкторы!$B1057,Продажи!$C$5:$C$359,Конструкторы!$A1057)</f>
        <v>0</v>
      </c>
      <c r="K1057" s="166">
        <f>SUMIFS(Продажи!H$5:H$359,Продажи!$D$5:$D$359,Конструкторы!$B1057,Продажи!$C$5:$C$359,Конструкторы!$A1057)</f>
        <v>0</v>
      </c>
      <c r="L1057" s="166">
        <f>SUMIFS(Продажи!I$5:I$359,Продажи!$D$5:$D$359,Конструкторы!$B1057,Продажи!$C$5:$C$359,Конструкторы!$A1057)</f>
        <v>0</v>
      </c>
      <c r="M1057" s="166">
        <f>SUMIFS(Продажи!J$5:J$359,Продажи!$D$5:$D$359,Конструкторы!$B1057,Продажи!$C$5:$C$359,Конструкторы!$A1057)</f>
        <v>0</v>
      </c>
      <c r="N1057" s="166">
        <f>SUMIFS(Продажи!K$5:K$359,Продажи!$D$5:$D$359,Конструкторы!$B1057,Продажи!$C$5:$C$359,Конструкторы!$A1057)</f>
        <v>0</v>
      </c>
      <c r="O1057" s="166">
        <f>SUMIFS(Продажи!L$5:L$359,Продажи!$D$5:$D$359,Конструкторы!$B1057,Продажи!$C$5:$C$359,Конструкторы!$A1057)</f>
        <v>0</v>
      </c>
      <c r="P1057" s="166">
        <f>SUMIFS(Продажи!M$5:M$359,Продажи!$D$5:$D$359,Конструкторы!$B1057,Продажи!$C$5:$C$359,Конструкторы!$A1057)</f>
        <v>0</v>
      </c>
      <c r="Q1057" s="166">
        <f>SUMIFS(Продажи!N$5:N$359,Продажи!$D$5:$D$359,Конструкторы!$B1057,Продажи!$C$5:$C$359,Конструкторы!$A1057)</f>
        <v>0</v>
      </c>
      <c r="R1057" s="166">
        <f>SUMIFS(Продажи!O$5:O$359,Продажи!$D$5:$D$359,Конструкторы!$B1057,Продажи!$C$5:$C$359,Конструкторы!$A1057)</f>
        <v>0</v>
      </c>
      <c r="S1057" s="166">
        <f>SUMIFS(Продажи!P$5:P$359,Продажи!$D$5:$D$359,Конструкторы!$B1057,Продажи!$C$5:$C$359,Конструкторы!$A1057)</f>
        <v>0</v>
      </c>
      <c r="T1057" s="166">
        <f>SUMIFS(Продажи!Q$5:Q$359,Продажи!$D$5:$D$359,Конструкторы!$B1057,Продажи!$C$5:$C$359,Конструкторы!$A1057)</f>
        <v>0</v>
      </c>
    </row>
    <row r="1058" spans="1:20" ht="15.75" hidden="1" x14ac:dyDescent="0.25">
      <c r="A1058" s="166" t="s">
        <v>397</v>
      </c>
      <c r="B1058" s="167" t="s">
        <v>194</v>
      </c>
      <c r="C1058" s="33" t="s">
        <v>75</v>
      </c>
      <c r="D1058" s="149"/>
      <c r="E1058" s="153" t="s">
        <v>70</v>
      </c>
      <c r="F1058" s="148">
        <v>12</v>
      </c>
      <c r="G1058" s="156" t="s">
        <v>71</v>
      </c>
      <c r="H1058" s="156">
        <f>F1058</f>
        <v>12</v>
      </c>
      <c r="I1058" s="166">
        <f>SUMIFS(Продажи!F$5:F$359,Продажи!$D$5:$D$359,Конструкторы!$B1058,Продажи!$C$5:$C$359,Конструкторы!$A1058)</f>
        <v>0</v>
      </c>
      <c r="J1058" s="166">
        <f>SUMIFS(Продажи!G$5:G$359,Продажи!$D$5:$D$359,Конструкторы!$B1058,Продажи!$C$5:$C$359,Конструкторы!$A1058)</f>
        <v>0</v>
      </c>
      <c r="K1058" s="166">
        <f>SUMIFS(Продажи!H$5:H$359,Продажи!$D$5:$D$359,Конструкторы!$B1058,Продажи!$C$5:$C$359,Конструкторы!$A1058)</f>
        <v>0</v>
      </c>
      <c r="L1058" s="166">
        <f>SUMIFS(Продажи!I$5:I$359,Продажи!$D$5:$D$359,Конструкторы!$B1058,Продажи!$C$5:$C$359,Конструкторы!$A1058)</f>
        <v>0</v>
      </c>
      <c r="M1058" s="166">
        <f>SUMIFS(Продажи!J$5:J$359,Продажи!$D$5:$D$359,Конструкторы!$B1058,Продажи!$C$5:$C$359,Конструкторы!$A1058)</f>
        <v>0</v>
      </c>
      <c r="N1058" s="166">
        <f>SUMIFS(Продажи!K$5:K$359,Продажи!$D$5:$D$359,Конструкторы!$B1058,Продажи!$C$5:$C$359,Конструкторы!$A1058)</f>
        <v>0</v>
      </c>
      <c r="O1058" s="166">
        <f>SUMIFS(Продажи!L$5:L$359,Продажи!$D$5:$D$359,Конструкторы!$B1058,Продажи!$C$5:$C$359,Конструкторы!$A1058)</f>
        <v>0</v>
      </c>
      <c r="P1058" s="166">
        <f>SUMIFS(Продажи!M$5:M$359,Продажи!$D$5:$D$359,Конструкторы!$B1058,Продажи!$C$5:$C$359,Конструкторы!$A1058)</f>
        <v>0</v>
      </c>
      <c r="Q1058" s="166">
        <f>SUMIFS(Продажи!N$5:N$359,Продажи!$D$5:$D$359,Конструкторы!$B1058,Продажи!$C$5:$C$359,Конструкторы!$A1058)</f>
        <v>0</v>
      </c>
      <c r="R1058" s="166">
        <f>SUMIFS(Продажи!O$5:O$359,Продажи!$D$5:$D$359,Конструкторы!$B1058,Продажи!$C$5:$C$359,Конструкторы!$A1058)</f>
        <v>0</v>
      </c>
      <c r="S1058" s="166">
        <f>SUMIFS(Продажи!P$5:P$359,Продажи!$D$5:$D$359,Конструкторы!$B1058,Продажи!$C$5:$C$359,Конструкторы!$A1058)</f>
        <v>0</v>
      </c>
      <c r="T1058" s="166">
        <f>SUMIFS(Продажи!Q$5:Q$359,Продажи!$D$5:$D$359,Конструкторы!$B1058,Продажи!$C$5:$C$359,Конструкторы!$A1058)</f>
        <v>0</v>
      </c>
    </row>
    <row r="1059" spans="1:20" ht="15.75" hidden="1" x14ac:dyDescent="0.25">
      <c r="A1059" s="166" t="s">
        <v>397</v>
      </c>
      <c r="B1059" s="167" t="s">
        <v>194</v>
      </c>
      <c r="C1059" s="33" t="s">
        <v>69</v>
      </c>
      <c r="D1059" s="149"/>
      <c r="E1059" s="153" t="s">
        <v>70</v>
      </c>
      <c r="F1059" s="148">
        <v>10</v>
      </c>
      <c r="G1059" s="156" t="s">
        <v>71</v>
      </c>
      <c r="H1059" s="156">
        <f>F1059</f>
        <v>10</v>
      </c>
      <c r="I1059" s="166">
        <f>SUMIFS(Продажи!F$5:F$359,Продажи!$D$5:$D$359,Конструкторы!$B1059,Продажи!$C$5:$C$359,Конструкторы!$A1059)</f>
        <v>0</v>
      </c>
      <c r="J1059" s="166">
        <f>SUMIFS(Продажи!G$5:G$359,Продажи!$D$5:$D$359,Конструкторы!$B1059,Продажи!$C$5:$C$359,Конструкторы!$A1059)</f>
        <v>0</v>
      </c>
      <c r="K1059" s="166">
        <f>SUMIFS(Продажи!H$5:H$359,Продажи!$D$5:$D$359,Конструкторы!$B1059,Продажи!$C$5:$C$359,Конструкторы!$A1059)</f>
        <v>0</v>
      </c>
      <c r="L1059" s="166">
        <f>SUMIFS(Продажи!I$5:I$359,Продажи!$D$5:$D$359,Конструкторы!$B1059,Продажи!$C$5:$C$359,Конструкторы!$A1059)</f>
        <v>0</v>
      </c>
      <c r="M1059" s="166">
        <f>SUMIFS(Продажи!J$5:J$359,Продажи!$D$5:$D$359,Конструкторы!$B1059,Продажи!$C$5:$C$359,Конструкторы!$A1059)</f>
        <v>0</v>
      </c>
      <c r="N1059" s="166">
        <f>SUMIFS(Продажи!K$5:K$359,Продажи!$D$5:$D$359,Конструкторы!$B1059,Продажи!$C$5:$C$359,Конструкторы!$A1059)</f>
        <v>0</v>
      </c>
      <c r="O1059" s="166">
        <f>SUMIFS(Продажи!L$5:L$359,Продажи!$D$5:$D$359,Конструкторы!$B1059,Продажи!$C$5:$C$359,Конструкторы!$A1059)</f>
        <v>0</v>
      </c>
      <c r="P1059" s="166">
        <f>SUMIFS(Продажи!M$5:M$359,Продажи!$D$5:$D$359,Конструкторы!$B1059,Продажи!$C$5:$C$359,Конструкторы!$A1059)</f>
        <v>0</v>
      </c>
      <c r="Q1059" s="166">
        <f>SUMIFS(Продажи!N$5:N$359,Продажи!$D$5:$D$359,Конструкторы!$B1059,Продажи!$C$5:$C$359,Конструкторы!$A1059)</f>
        <v>0</v>
      </c>
      <c r="R1059" s="166">
        <f>SUMIFS(Продажи!O$5:O$359,Продажи!$D$5:$D$359,Конструкторы!$B1059,Продажи!$C$5:$C$359,Конструкторы!$A1059)</f>
        <v>0</v>
      </c>
      <c r="S1059" s="166">
        <f>SUMIFS(Продажи!P$5:P$359,Продажи!$D$5:$D$359,Конструкторы!$B1059,Продажи!$C$5:$C$359,Конструкторы!$A1059)</f>
        <v>0</v>
      </c>
      <c r="T1059" s="166">
        <f>SUMIFS(Продажи!Q$5:Q$359,Продажи!$D$5:$D$359,Конструкторы!$B1059,Продажи!$C$5:$C$359,Конструкторы!$A1059)</f>
        <v>0</v>
      </c>
    </row>
    <row r="1060" spans="1:20" ht="15.75" hidden="1" x14ac:dyDescent="0.25">
      <c r="A1060" s="166" t="s">
        <v>397</v>
      </c>
      <c r="B1060" s="167" t="s">
        <v>195</v>
      </c>
      <c r="C1060" s="129" t="s">
        <v>53</v>
      </c>
      <c r="D1060" s="130">
        <v>7038</v>
      </c>
      <c r="E1060" s="153" t="s">
        <v>68</v>
      </c>
      <c r="F1060" s="156">
        <f>(2.154*103)/100</f>
        <v>2.21862</v>
      </c>
      <c r="G1060" s="156">
        <v>6.4620000000000122E-2</v>
      </c>
      <c r="H1060" s="156">
        <f>F1060+G1060</f>
        <v>2.2832400000000002</v>
      </c>
      <c r="I1060" s="166">
        <f>SUMIFS(Продажи!F$5:F$359,Продажи!$D$5:$D$359,Конструкторы!$B1060,Продажи!$C$5:$C$359,Конструкторы!$A1060)</f>
        <v>0</v>
      </c>
      <c r="J1060" s="166">
        <f>SUMIFS(Продажи!G$5:G$359,Продажи!$D$5:$D$359,Конструкторы!$B1060,Продажи!$C$5:$C$359,Конструкторы!$A1060)</f>
        <v>0</v>
      </c>
      <c r="K1060" s="166">
        <f>SUMIFS(Продажи!H$5:H$359,Продажи!$D$5:$D$359,Конструкторы!$B1060,Продажи!$C$5:$C$359,Конструкторы!$A1060)</f>
        <v>0</v>
      </c>
      <c r="L1060" s="166">
        <f>SUMIFS(Продажи!I$5:I$359,Продажи!$D$5:$D$359,Конструкторы!$B1060,Продажи!$C$5:$C$359,Конструкторы!$A1060)</f>
        <v>0</v>
      </c>
      <c r="M1060" s="166">
        <f>SUMIFS(Продажи!J$5:J$359,Продажи!$D$5:$D$359,Конструкторы!$B1060,Продажи!$C$5:$C$359,Конструкторы!$A1060)</f>
        <v>0</v>
      </c>
      <c r="N1060" s="166">
        <f>SUMIFS(Продажи!K$5:K$359,Продажи!$D$5:$D$359,Конструкторы!$B1060,Продажи!$C$5:$C$359,Конструкторы!$A1060)</f>
        <v>0</v>
      </c>
      <c r="O1060" s="166">
        <f>SUMIFS(Продажи!L$5:L$359,Продажи!$D$5:$D$359,Конструкторы!$B1060,Продажи!$C$5:$C$359,Конструкторы!$A1060)</f>
        <v>0</v>
      </c>
      <c r="P1060" s="166">
        <f>SUMIFS(Продажи!M$5:M$359,Продажи!$D$5:$D$359,Конструкторы!$B1060,Продажи!$C$5:$C$359,Конструкторы!$A1060)</f>
        <v>0</v>
      </c>
      <c r="Q1060" s="166">
        <f>SUMIFS(Продажи!N$5:N$359,Продажи!$D$5:$D$359,Конструкторы!$B1060,Продажи!$C$5:$C$359,Конструкторы!$A1060)</f>
        <v>0</v>
      </c>
      <c r="R1060" s="166">
        <f>SUMIFS(Продажи!O$5:O$359,Продажи!$D$5:$D$359,Конструкторы!$B1060,Продажи!$C$5:$C$359,Конструкторы!$A1060)</f>
        <v>0</v>
      </c>
      <c r="S1060" s="166">
        <f>SUMIFS(Продажи!P$5:P$359,Продажи!$D$5:$D$359,Конструкторы!$B1060,Продажи!$C$5:$C$359,Конструкторы!$A1060)</f>
        <v>0</v>
      </c>
      <c r="T1060" s="166">
        <f>SUMIFS(Продажи!Q$5:Q$359,Продажи!$D$5:$D$359,Конструкторы!$B1060,Продажи!$C$5:$C$359,Конструкторы!$A1060)</f>
        <v>0</v>
      </c>
    </row>
    <row r="1061" spans="1:20" ht="15.75" hidden="1" x14ac:dyDescent="0.25">
      <c r="A1061" s="166" t="s">
        <v>397</v>
      </c>
      <c r="B1061" s="167" t="s">
        <v>195</v>
      </c>
      <c r="C1061" s="129" t="s">
        <v>52</v>
      </c>
      <c r="D1061" s="149"/>
      <c r="E1061" s="153" t="s">
        <v>68</v>
      </c>
      <c r="F1061" s="156">
        <f>(2.188*103)/100</f>
        <v>2.2536399999999999</v>
      </c>
      <c r="G1061" s="156">
        <v>6.5639999999999699E-2</v>
      </c>
      <c r="H1061" s="156">
        <f>F1061+G1061</f>
        <v>2.3192799999999996</v>
      </c>
      <c r="I1061" s="166">
        <f>SUMIFS(Продажи!F$5:F$359,Продажи!$D$5:$D$359,Конструкторы!$B1061,Продажи!$C$5:$C$359,Конструкторы!$A1061)</f>
        <v>0</v>
      </c>
      <c r="J1061" s="166">
        <f>SUMIFS(Продажи!G$5:G$359,Продажи!$D$5:$D$359,Конструкторы!$B1061,Продажи!$C$5:$C$359,Конструкторы!$A1061)</f>
        <v>0</v>
      </c>
      <c r="K1061" s="166">
        <f>SUMIFS(Продажи!H$5:H$359,Продажи!$D$5:$D$359,Конструкторы!$B1061,Продажи!$C$5:$C$359,Конструкторы!$A1061)</f>
        <v>0</v>
      </c>
      <c r="L1061" s="166">
        <f>SUMIFS(Продажи!I$5:I$359,Продажи!$D$5:$D$359,Конструкторы!$B1061,Продажи!$C$5:$C$359,Конструкторы!$A1061)</f>
        <v>0</v>
      </c>
      <c r="M1061" s="166">
        <f>SUMIFS(Продажи!J$5:J$359,Продажи!$D$5:$D$359,Конструкторы!$B1061,Продажи!$C$5:$C$359,Конструкторы!$A1061)</f>
        <v>0</v>
      </c>
      <c r="N1061" s="166">
        <f>SUMIFS(Продажи!K$5:K$359,Продажи!$D$5:$D$359,Конструкторы!$B1061,Продажи!$C$5:$C$359,Конструкторы!$A1061)</f>
        <v>0</v>
      </c>
      <c r="O1061" s="166">
        <f>SUMIFS(Продажи!L$5:L$359,Продажи!$D$5:$D$359,Конструкторы!$B1061,Продажи!$C$5:$C$359,Конструкторы!$A1061)</f>
        <v>0</v>
      </c>
      <c r="P1061" s="166">
        <f>SUMIFS(Продажи!M$5:M$359,Продажи!$D$5:$D$359,Конструкторы!$B1061,Продажи!$C$5:$C$359,Конструкторы!$A1061)</f>
        <v>0</v>
      </c>
      <c r="Q1061" s="166">
        <f>SUMIFS(Продажи!N$5:N$359,Продажи!$D$5:$D$359,Конструкторы!$B1061,Продажи!$C$5:$C$359,Конструкторы!$A1061)</f>
        <v>0</v>
      </c>
      <c r="R1061" s="166">
        <f>SUMIFS(Продажи!O$5:O$359,Продажи!$D$5:$D$359,Конструкторы!$B1061,Продажи!$C$5:$C$359,Конструкторы!$A1061)</f>
        <v>0</v>
      </c>
      <c r="S1061" s="166">
        <f>SUMIFS(Продажи!P$5:P$359,Продажи!$D$5:$D$359,Конструкторы!$B1061,Продажи!$C$5:$C$359,Конструкторы!$A1061)</f>
        <v>0</v>
      </c>
      <c r="T1061" s="166">
        <f>SUMIFS(Продажи!Q$5:Q$359,Продажи!$D$5:$D$359,Конструкторы!$B1061,Продажи!$C$5:$C$359,Конструкторы!$A1061)</f>
        <v>0</v>
      </c>
    </row>
    <row r="1062" spans="1:20" ht="15.75" hidden="1" x14ac:dyDescent="0.25">
      <c r="A1062" s="166" t="s">
        <v>397</v>
      </c>
      <c r="B1062" s="167" t="s">
        <v>195</v>
      </c>
      <c r="C1062" s="33" t="s">
        <v>73</v>
      </c>
      <c r="D1062" s="149"/>
      <c r="E1062" s="153" t="s">
        <v>70</v>
      </c>
      <c r="F1062" s="148">
        <v>4</v>
      </c>
      <c r="G1062" s="156" t="s">
        <v>71</v>
      </c>
      <c r="H1062" s="156">
        <f>F1062</f>
        <v>4</v>
      </c>
      <c r="I1062" s="166">
        <f>SUMIFS(Продажи!F$5:F$359,Продажи!$D$5:$D$359,Конструкторы!$B1062,Продажи!$C$5:$C$359,Конструкторы!$A1062)</f>
        <v>0</v>
      </c>
      <c r="J1062" s="166">
        <f>SUMIFS(Продажи!G$5:G$359,Продажи!$D$5:$D$359,Конструкторы!$B1062,Продажи!$C$5:$C$359,Конструкторы!$A1062)</f>
        <v>0</v>
      </c>
      <c r="K1062" s="166">
        <f>SUMIFS(Продажи!H$5:H$359,Продажи!$D$5:$D$359,Конструкторы!$B1062,Продажи!$C$5:$C$359,Конструкторы!$A1062)</f>
        <v>0</v>
      </c>
      <c r="L1062" s="166">
        <f>SUMIFS(Продажи!I$5:I$359,Продажи!$D$5:$D$359,Конструкторы!$B1062,Продажи!$C$5:$C$359,Конструкторы!$A1062)</f>
        <v>0</v>
      </c>
      <c r="M1062" s="166">
        <f>SUMIFS(Продажи!J$5:J$359,Продажи!$D$5:$D$359,Конструкторы!$B1062,Продажи!$C$5:$C$359,Конструкторы!$A1062)</f>
        <v>0</v>
      </c>
      <c r="N1062" s="166">
        <f>SUMIFS(Продажи!K$5:K$359,Продажи!$D$5:$D$359,Конструкторы!$B1062,Продажи!$C$5:$C$359,Конструкторы!$A1062)</f>
        <v>0</v>
      </c>
      <c r="O1062" s="166">
        <f>SUMIFS(Продажи!L$5:L$359,Продажи!$D$5:$D$359,Конструкторы!$B1062,Продажи!$C$5:$C$359,Конструкторы!$A1062)</f>
        <v>0</v>
      </c>
      <c r="P1062" s="166">
        <f>SUMIFS(Продажи!M$5:M$359,Продажи!$D$5:$D$359,Конструкторы!$B1062,Продажи!$C$5:$C$359,Конструкторы!$A1062)</f>
        <v>0</v>
      </c>
      <c r="Q1062" s="166">
        <f>SUMIFS(Продажи!N$5:N$359,Продажи!$D$5:$D$359,Конструкторы!$B1062,Продажи!$C$5:$C$359,Конструкторы!$A1062)</f>
        <v>0</v>
      </c>
      <c r="R1062" s="166">
        <f>SUMIFS(Продажи!O$5:O$359,Продажи!$D$5:$D$359,Конструкторы!$B1062,Продажи!$C$5:$C$359,Конструкторы!$A1062)</f>
        <v>0</v>
      </c>
      <c r="S1062" s="166">
        <f>SUMIFS(Продажи!P$5:P$359,Продажи!$D$5:$D$359,Конструкторы!$B1062,Продажи!$C$5:$C$359,Конструкторы!$A1062)</f>
        <v>0</v>
      </c>
      <c r="T1062" s="166">
        <f>SUMIFS(Продажи!Q$5:Q$359,Продажи!$D$5:$D$359,Конструкторы!$B1062,Продажи!$C$5:$C$359,Конструкторы!$A1062)</f>
        <v>0</v>
      </c>
    </row>
    <row r="1063" spans="1:20" ht="15.75" hidden="1" x14ac:dyDescent="0.25">
      <c r="A1063" s="166" t="s">
        <v>397</v>
      </c>
      <c r="B1063" s="167" t="s">
        <v>195</v>
      </c>
      <c r="C1063" s="33" t="s">
        <v>75</v>
      </c>
      <c r="D1063" s="149"/>
      <c r="E1063" s="153" t="s">
        <v>70</v>
      </c>
      <c r="F1063" s="148">
        <v>12</v>
      </c>
      <c r="G1063" s="156" t="s">
        <v>71</v>
      </c>
      <c r="H1063" s="156">
        <f>F1063</f>
        <v>12</v>
      </c>
      <c r="I1063" s="166">
        <f>SUMIFS(Продажи!F$5:F$359,Продажи!$D$5:$D$359,Конструкторы!$B1063,Продажи!$C$5:$C$359,Конструкторы!$A1063)</f>
        <v>0</v>
      </c>
      <c r="J1063" s="166">
        <f>SUMIFS(Продажи!G$5:G$359,Продажи!$D$5:$D$359,Конструкторы!$B1063,Продажи!$C$5:$C$359,Конструкторы!$A1063)</f>
        <v>0</v>
      </c>
      <c r="K1063" s="166">
        <f>SUMIFS(Продажи!H$5:H$359,Продажи!$D$5:$D$359,Конструкторы!$B1063,Продажи!$C$5:$C$359,Конструкторы!$A1063)</f>
        <v>0</v>
      </c>
      <c r="L1063" s="166">
        <f>SUMIFS(Продажи!I$5:I$359,Продажи!$D$5:$D$359,Конструкторы!$B1063,Продажи!$C$5:$C$359,Конструкторы!$A1063)</f>
        <v>0</v>
      </c>
      <c r="M1063" s="166">
        <f>SUMIFS(Продажи!J$5:J$359,Продажи!$D$5:$D$359,Конструкторы!$B1063,Продажи!$C$5:$C$359,Конструкторы!$A1063)</f>
        <v>0</v>
      </c>
      <c r="N1063" s="166">
        <f>SUMIFS(Продажи!K$5:K$359,Продажи!$D$5:$D$359,Конструкторы!$B1063,Продажи!$C$5:$C$359,Конструкторы!$A1063)</f>
        <v>0</v>
      </c>
      <c r="O1063" s="166">
        <f>SUMIFS(Продажи!L$5:L$359,Продажи!$D$5:$D$359,Конструкторы!$B1063,Продажи!$C$5:$C$359,Конструкторы!$A1063)</f>
        <v>0</v>
      </c>
      <c r="P1063" s="166">
        <f>SUMIFS(Продажи!M$5:M$359,Продажи!$D$5:$D$359,Конструкторы!$B1063,Продажи!$C$5:$C$359,Конструкторы!$A1063)</f>
        <v>0</v>
      </c>
      <c r="Q1063" s="166">
        <f>SUMIFS(Продажи!N$5:N$359,Продажи!$D$5:$D$359,Конструкторы!$B1063,Продажи!$C$5:$C$359,Конструкторы!$A1063)</f>
        <v>0</v>
      </c>
      <c r="R1063" s="166">
        <f>SUMIFS(Продажи!O$5:O$359,Продажи!$D$5:$D$359,Конструкторы!$B1063,Продажи!$C$5:$C$359,Конструкторы!$A1063)</f>
        <v>0</v>
      </c>
      <c r="S1063" s="166">
        <f>SUMIFS(Продажи!P$5:P$359,Продажи!$D$5:$D$359,Конструкторы!$B1063,Продажи!$C$5:$C$359,Конструкторы!$A1063)</f>
        <v>0</v>
      </c>
      <c r="T1063" s="166">
        <f>SUMIFS(Продажи!Q$5:Q$359,Продажи!$D$5:$D$359,Конструкторы!$B1063,Продажи!$C$5:$C$359,Конструкторы!$A1063)</f>
        <v>0</v>
      </c>
    </row>
    <row r="1064" spans="1:20" ht="15.75" hidden="1" x14ac:dyDescent="0.25">
      <c r="A1064" s="166" t="s">
        <v>397</v>
      </c>
      <c r="B1064" s="167" t="s">
        <v>195</v>
      </c>
      <c r="C1064" s="33" t="s">
        <v>69</v>
      </c>
      <c r="D1064" s="149"/>
      <c r="E1064" s="153" t="s">
        <v>70</v>
      </c>
      <c r="F1064" s="148">
        <v>10</v>
      </c>
      <c r="G1064" s="156" t="s">
        <v>71</v>
      </c>
      <c r="H1064" s="156">
        <f>F1064</f>
        <v>10</v>
      </c>
      <c r="I1064" s="166">
        <f>SUMIFS(Продажи!F$5:F$359,Продажи!$D$5:$D$359,Конструкторы!$B1064,Продажи!$C$5:$C$359,Конструкторы!$A1064)</f>
        <v>0</v>
      </c>
      <c r="J1064" s="166">
        <f>SUMIFS(Продажи!G$5:G$359,Продажи!$D$5:$D$359,Конструкторы!$B1064,Продажи!$C$5:$C$359,Конструкторы!$A1064)</f>
        <v>0</v>
      </c>
      <c r="K1064" s="166">
        <f>SUMIFS(Продажи!H$5:H$359,Продажи!$D$5:$D$359,Конструкторы!$B1064,Продажи!$C$5:$C$359,Конструкторы!$A1064)</f>
        <v>0</v>
      </c>
      <c r="L1064" s="166">
        <f>SUMIFS(Продажи!I$5:I$359,Продажи!$D$5:$D$359,Конструкторы!$B1064,Продажи!$C$5:$C$359,Конструкторы!$A1064)</f>
        <v>0</v>
      </c>
      <c r="M1064" s="166">
        <f>SUMIFS(Продажи!J$5:J$359,Продажи!$D$5:$D$359,Конструкторы!$B1064,Продажи!$C$5:$C$359,Конструкторы!$A1064)</f>
        <v>0</v>
      </c>
      <c r="N1064" s="166">
        <f>SUMIFS(Продажи!K$5:K$359,Продажи!$D$5:$D$359,Конструкторы!$B1064,Продажи!$C$5:$C$359,Конструкторы!$A1064)</f>
        <v>0</v>
      </c>
      <c r="O1064" s="166">
        <f>SUMIFS(Продажи!L$5:L$359,Продажи!$D$5:$D$359,Конструкторы!$B1064,Продажи!$C$5:$C$359,Конструкторы!$A1064)</f>
        <v>0</v>
      </c>
      <c r="P1064" s="166">
        <f>SUMIFS(Продажи!M$5:M$359,Продажи!$D$5:$D$359,Конструкторы!$B1064,Продажи!$C$5:$C$359,Конструкторы!$A1064)</f>
        <v>0</v>
      </c>
      <c r="Q1064" s="166">
        <f>SUMIFS(Продажи!N$5:N$359,Продажи!$D$5:$D$359,Конструкторы!$B1064,Продажи!$C$5:$C$359,Конструкторы!$A1064)</f>
        <v>0</v>
      </c>
      <c r="R1064" s="166">
        <f>SUMIFS(Продажи!O$5:O$359,Продажи!$D$5:$D$359,Конструкторы!$B1064,Продажи!$C$5:$C$359,Конструкторы!$A1064)</f>
        <v>0</v>
      </c>
      <c r="S1064" s="166">
        <f>SUMIFS(Продажи!P$5:P$359,Продажи!$D$5:$D$359,Конструкторы!$B1064,Продажи!$C$5:$C$359,Конструкторы!$A1064)</f>
        <v>0</v>
      </c>
      <c r="T1064" s="166">
        <f>SUMIFS(Продажи!Q$5:Q$359,Продажи!$D$5:$D$359,Конструкторы!$B1064,Продажи!$C$5:$C$359,Конструкторы!$A1064)</f>
        <v>0</v>
      </c>
    </row>
    <row r="1065" spans="1:20" ht="15.75" hidden="1" x14ac:dyDescent="0.25">
      <c r="A1065" s="166" t="s">
        <v>397</v>
      </c>
      <c r="B1065" s="167" t="s">
        <v>196</v>
      </c>
      <c r="C1065" s="129" t="s">
        <v>53</v>
      </c>
      <c r="D1065" s="130">
        <v>7038</v>
      </c>
      <c r="E1065" s="153" t="s">
        <v>68</v>
      </c>
      <c r="F1065" s="156">
        <f>(2.154*103)/100</f>
        <v>2.21862</v>
      </c>
      <c r="G1065" s="156">
        <v>6.4620000000000122E-2</v>
      </c>
      <c r="H1065" s="156">
        <f>F1065+G1065</f>
        <v>2.2832400000000002</v>
      </c>
      <c r="I1065" s="166">
        <f>SUMIFS(Продажи!F$5:F$359,Продажи!$D$5:$D$359,Конструкторы!$B1065,Продажи!$C$5:$C$359,Конструкторы!$A1065)</f>
        <v>0</v>
      </c>
      <c r="J1065" s="166">
        <f>SUMIFS(Продажи!G$5:G$359,Продажи!$D$5:$D$359,Конструкторы!$B1065,Продажи!$C$5:$C$359,Конструкторы!$A1065)</f>
        <v>0</v>
      </c>
      <c r="K1065" s="166">
        <f>SUMIFS(Продажи!H$5:H$359,Продажи!$D$5:$D$359,Конструкторы!$B1065,Продажи!$C$5:$C$359,Конструкторы!$A1065)</f>
        <v>0</v>
      </c>
      <c r="L1065" s="166">
        <f>SUMIFS(Продажи!I$5:I$359,Продажи!$D$5:$D$359,Конструкторы!$B1065,Продажи!$C$5:$C$359,Конструкторы!$A1065)</f>
        <v>0</v>
      </c>
      <c r="M1065" s="166">
        <f>SUMIFS(Продажи!J$5:J$359,Продажи!$D$5:$D$359,Конструкторы!$B1065,Продажи!$C$5:$C$359,Конструкторы!$A1065)</f>
        <v>0</v>
      </c>
      <c r="N1065" s="166">
        <f>SUMIFS(Продажи!K$5:K$359,Продажи!$D$5:$D$359,Конструкторы!$B1065,Продажи!$C$5:$C$359,Конструкторы!$A1065)</f>
        <v>0</v>
      </c>
      <c r="O1065" s="166">
        <f>SUMIFS(Продажи!L$5:L$359,Продажи!$D$5:$D$359,Конструкторы!$B1065,Продажи!$C$5:$C$359,Конструкторы!$A1065)</f>
        <v>0</v>
      </c>
      <c r="P1065" s="166">
        <f>SUMIFS(Продажи!M$5:M$359,Продажи!$D$5:$D$359,Конструкторы!$B1065,Продажи!$C$5:$C$359,Конструкторы!$A1065)</f>
        <v>0</v>
      </c>
      <c r="Q1065" s="166">
        <f>SUMIFS(Продажи!N$5:N$359,Продажи!$D$5:$D$359,Конструкторы!$B1065,Продажи!$C$5:$C$359,Конструкторы!$A1065)</f>
        <v>0</v>
      </c>
      <c r="R1065" s="166">
        <f>SUMIFS(Продажи!O$5:O$359,Продажи!$D$5:$D$359,Конструкторы!$B1065,Продажи!$C$5:$C$359,Конструкторы!$A1065)</f>
        <v>0</v>
      </c>
      <c r="S1065" s="166">
        <f>SUMIFS(Продажи!P$5:P$359,Продажи!$D$5:$D$359,Конструкторы!$B1065,Продажи!$C$5:$C$359,Конструкторы!$A1065)</f>
        <v>0</v>
      </c>
      <c r="T1065" s="166">
        <f>SUMIFS(Продажи!Q$5:Q$359,Продажи!$D$5:$D$359,Конструкторы!$B1065,Продажи!$C$5:$C$359,Конструкторы!$A1065)</f>
        <v>0</v>
      </c>
    </row>
    <row r="1066" spans="1:20" ht="15.75" hidden="1" x14ac:dyDescent="0.25">
      <c r="A1066" s="166" t="s">
        <v>397</v>
      </c>
      <c r="B1066" s="167" t="s">
        <v>196</v>
      </c>
      <c r="C1066" s="129" t="s">
        <v>52</v>
      </c>
      <c r="D1066" s="149"/>
      <c r="E1066" s="153" t="s">
        <v>68</v>
      </c>
      <c r="F1066" s="156">
        <f>(2.97*103)/100</f>
        <v>3.0591000000000004</v>
      </c>
      <c r="G1066" s="156">
        <v>8.9100000000000179E-2</v>
      </c>
      <c r="H1066" s="156">
        <f>F1066+G1066</f>
        <v>3.1482000000000006</v>
      </c>
      <c r="I1066" s="166">
        <f>SUMIFS(Продажи!F$5:F$359,Продажи!$D$5:$D$359,Конструкторы!$B1066,Продажи!$C$5:$C$359,Конструкторы!$A1066)</f>
        <v>0</v>
      </c>
      <c r="J1066" s="166">
        <f>SUMIFS(Продажи!G$5:G$359,Продажи!$D$5:$D$359,Конструкторы!$B1066,Продажи!$C$5:$C$359,Конструкторы!$A1066)</f>
        <v>0</v>
      </c>
      <c r="K1066" s="166">
        <f>SUMIFS(Продажи!H$5:H$359,Продажи!$D$5:$D$359,Конструкторы!$B1066,Продажи!$C$5:$C$359,Конструкторы!$A1066)</f>
        <v>0</v>
      </c>
      <c r="L1066" s="166">
        <f>SUMIFS(Продажи!I$5:I$359,Продажи!$D$5:$D$359,Конструкторы!$B1066,Продажи!$C$5:$C$359,Конструкторы!$A1066)</f>
        <v>0</v>
      </c>
      <c r="M1066" s="166">
        <f>SUMIFS(Продажи!J$5:J$359,Продажи!$D$5:$D$359,Конструкторы!$B1066,Продажи!$C$5:$C$359,Конструкторы!$A1066)</f>
        <v>0</v>
      </c>
      <c r="N1066" s="166">
        <f>SUMIFS(Продажи!K$5:K$359,Продажи!$D$5:$D$359,Конструкторы!$B1066,Продажи!$C$5:$C$359,Конструкторы!$A1066)</f>
        <v>0</v>
      </c>
      <c r="O1066" s="166">
        <f>SUMIFS(Продажи!L$5:L$359,Продажи!$D$5:$D$359,Конструкторы!$B1066,Продажи!$C$5:$C$359,Конструкторы!$A1066)</f>
        <v>0</v>
      </c>
      <c r="P1066" s="166">
        <f>SUMIFS(Продажи!M$5:M$359,Продажи!$D$5:$D$359,Конструкторы!$B1066,Продажи!$C$5:$C$359,Конструкторы!$A1066)</f>
        <v>0</v>
      </c>
      <c r="Q1066" s="166">
        <f>SUMIFS(Продажи!N$5:N$359,Продажи!$D$5:$D$359,Конструкторы!$B1066,Продажи!$C$5:$C$359,Конструкторы!$A1066)</f>
        <v>0</v>
      </c>
      <c r="R1066" s="166">
        <f>SUMIFS(Продажи!O$5:O$359,Продажи!$D$5:$D$359,Конструкторы!$B1066,Продажи!$C$5:$C$359,Конструкторы!$A1066)</f>
        <v>0</v>
      </c>
      <c r="S1066" s="166">
        <f>SUMIFS(Продажи!P$5:P$359,Продажи!$D$5:$D$359,Конструкторы!$B1066,Продажи!$C$5:$C$359,Конструкторы!$A1066)</f>
        <v>0</v>
      </c>
      <c r="T1066" s="166">
        <f>SUMIFS(Продажи!Q$5:Q$359,Продажи!$D$5:$D$359,Конструкторы!$B1066,Продажи!$C$5:$C$359,Конструкторы!$A1066)</f>
        <v>0</v>
      </c>
    </row>
    <row r="1067" spans="1:20" ht="15.75" hidden="1" x14ac:dyDescent="0.25">
      <c r="A1067" s="166" t="s">
        <v>397</v>
      </c>
      <c r="B1067" s="167" t="s">
        <v>196</v>
      </c>
      <c r="C1067" s="33" t="s">
        <v>73</v>
      </c>
      <c r="D1067" s="149"/>
      <c r="E1067" s="153" t="s">
        <v>70</v>
      </c>
      <c r="F1067" s="148">
        <v>4</v>
      </c>
      <c r="G1067" s="156" t="s">
        <v>71</v>
      </c>
      <c r="H1067" s="156">
        <f>F1067</f>
        <v>4</v>
      </c>
      <c r="I1067" s="166">
        <f>SUMIFS(Продажи!F$5:F$359,Продажи!$D$5:$D$359,Конструкторы!$B1067,Продажи!$C$5:$C$359,Конструкторы!$A1067)</f>
        <v>0</v>
      </c>
      <c r="J1067" s="166">
        <f>SUMIFS(Продажи!G$5:G$359,Продажи!$D$5:$D$359,Конструкторы!$B1067,Продажи!$C$5:$C$359,Конструкторы!$A1067)</f>
        <v>0</v>
      </c>
      <c r="K1067" s="166">
        <f>SUMIFS(Продажи!H$5:H$359,Продажи!$D$5:$D$359,Конструкторы!$B1067,Продажи!$C$5:$C$359,Конструкторы!$A1067)</f>
        <v>0</v>
      </c>
      <c r="L1067" s="166">
        <f>SUMIFS(Продажи!I$5:I$359,Продажи!$D$5:$D$359,Конструкторы!$B1067,Продажи!$C$5:$C$359,Конструкторы!$A1067)</f>
        <v>0</v>
      </c>
      <c r="M1067" s="166">
        <f>SUMIFS(Продажи!J$5:J$359,Продажи!$D$5:$D$359,Конструкторы!$B1067,Продажи!$C$5:$C$359,Конструкторы!$A1067)</f>
        <v>0</v>
      </c>
      <c r="N1067" s="166">
        <f>SUMIFS(Продажи!K$5:K$359,Продажи!$D$5:$D$359,Конструкторы!$B1067,Продажи!$C$5:$C$359,Конструкторы!$A1067)</f>
        <v>0</v>
      </c>
      <c r="O1067" s="166">
        <f>SUMIFS(Продажи!L$5:L$359,Продажи!$D$5:$D$359,Конструкторы!$B1067,Продажи!$C$5:$C$359,Конструкторы!$A1067)</f>
        <v>0</v>
      </c>
      <c r="P1067" s="166">
        <f>SUMIFS(Продажи!M$5:M$359,Продажи!$D$5:$D$359,Конструкторы!$B1067,Продажи!$C$5:$C$359,Конструкторы!$A1067)</f>
        <v>0</v>
      </c>
      <c r="Q1067" s="166">
        <f>SUMIFS(Продажи!N$5:N$359,Продажи!$D$5:$D$359,Конструкторы!$B1067,Продажи!$C$5:$C$359,Конструкторы!$A1067)</f>
        <v>0</v>
      </c>
      <c r="R1067" s="166">
        <f>SUMIFS(Продажи!O$5:O$359,Продажи!$D$5:$D$359,Конструкторы!$B1067,Продажи!$C$5:$C$359,Конструкторы!$A1067)</f>
        <v>0</v>
      </c>
      <c r="S1067" s="166">
        <f>SUMIFS(Продажи!P$5:P$359,Продажи!$D$5:$D$359,Конструкторы!$B1067,Продажи!$C$5:$C$359,Конструкторы!$A1067)</f>
        <v>0</v>
      </c>
      <c r="T1067" s="166">
        <f>SUMIFS(Продажи!Q$5:Q$359,Продажи!$D$5:$D$359,Конструкторы!$B1067,Продажи!$C$5:$C$359,Конструкторы!$A1067)</f>
        <v>0</v>
      </c>
    </row>
    <row r="1068" spans="1:20" ht="15.75" hidden="1" x14ac:dyDescent="0.25">
      <c r="A1068" s="166" t="s">
        <v>397</v>
      </c>
      <c r="B1068" s="167" t="s">
        <v>196</v>
      </c>
      <c r="C1068" s="33" t="s">
        <v>75</v>
      </c>
      <c r="D1068" s="149"/>
      <c r="E1068" s="153" t="s">
        <v>70</v>
      </c>
      <c r="F1068" s="148">
        <v>12</v>
      </c>
      <c r="G1068" s="156" t="s">
        <v>71</v>
      </c>
      <c r="H1068" s="156">
        <f>F1068</f>
        <v>12</v>
      </c>
      <c r="I1068" s="166">
        <f>SUMIFS(Продажи!F$5:F$359,Продажи!$D$5:$D$359,Конструкторы!$B1068,Продажи!$C$5:$C$359,Конструкторы!$A1068)</f>
        <v>0</v>
      </c>
      <c r="J1068" s="166">
        <f>SUMIFS(Продажи!G$5:G$359,Продажи!$D$5:$D$359,Конструкторы!$B1068,Продажи!$C$5:$C$359,Конструкторы!$A1068)</f>
        <v>0</v>
      </c>
      <c r="K1068" s="166">
        <f>SUMIFS(Продажи!H$5:H$359,Продажи!$D$5:$D$359,Конструкторы!$B1068,Продажи!$C$5:$C$359,Конструкторы!$A1068)</f>
        <v>0</v>
      </c>
      <c r="L1068" s="166">
        <f>SUMIFS(Продажи!I$5:I$359,Продажи!$D$5:$D$359,Конструкторы!$B1068,Продажи!$C$5:$C$359,Конструкторы!$A1068)</f>
        <v>0</v>
      </c>
      <c r="M1068" s="166">
        <f>SUMIFS(Продажи!J$5:J$359,Продажи!$D$5:$D$359,Конструкторы!$B1068,Продажи!$C$5:$C$359,Конструкторы!$A1068)</f>
        <v>0</v>
      </c>
      <c r="N1068" s="166">
        <f>SUMIFS(Продажи!K$5:K$359,Продажи!$D$5:$D$359,Конструкторы!$B1068,Продажи!$C$5:$C$359,Конструкторы!$A1068)</f>
        <v>0</v>
      </c>
      <c r="O1068" s="166">
        <f>SUMIFS(Продажи!L$5:L$359,Продажи!$D$5:$D$359,Конструкторы!$B1068,Продажи!$C$5:$C$359,Конструкторы!$A1068)</f>
        <v>0</v>
      </c>
      <c r="P1068" s="166">
        <f>SUMIFS(Продажи!M$5:M$359,Продажи!$D$5:$D$359,Конструкторы!$B1068,Продажи!$C$5:$C$359,Конструкторы!$A1068)</f>
        <v>0</v>
      </c>
      <c r="Q1068" s="166">
        <f>SUMIFS(Продажи!N$5:N$359,Продажи!$D$5:$D$359,Конструкторы!$B1068,Продажи!$C$5:$C$359,Конструкторы!$A1068)</f>
        <v>0</v>
      </c>
      <c r="R1068" s="166">
        <f>SUMIFS(Продажи!O$5:O$359,Продажи!$D$5:$D$359,Конструкторы!$B1068,Продажи!$C$5:$C$359,Конструкторы!$A1068)</f>
        <v>0</v>
      </c>
      <c r="S1068" s="166">
        <f>SUMIFS(Продажи!P$5:P$359,Продажи!$D$5:$D$359,Конструкторы!$B1068,Продажи!$C$5:$C$359,Конструкторы!$A1068)</f>
        <v>0</v>
      </c>
      <c r="T1068" s="166">
        <f>SUMIFS(Продажи!Q$5:Q$359,Продажи!$D$5:$D$359,Конструкторы!$B1068,Продажи!$C$5:$C$359,Конструкторы!$A1068)</f>
        <v>0</v>
      </c>
    </row>
    <row r="1069" spans="1:20" ht="15.75" hidden="1" x14ac:dyDescent="0.25">
      <c r="A1069" s="166" t="s">
        <v>397</v>
      </c>
      <c r="B1069" s="167" t="s">
        <v>196</v>
      </c>
      <c r="C1069" s="33" t="s">
        <v>69</v>
      </c>
      <c r="D1069" s="149"/>
      <c r="E1069" s="153" t="s">
        <v>70</v>
      </c>
      <c r="F1069" s="148">
        <v>10</v>
      </c>
      <c r="G1069" s="156" t="s">
        <v>71</v>
      </c>
      <c r="H1069" s="156">
        <f>F1069</f>
        <v>10</v>
      </c>
      <c r="I1069" s="166">
        <f>SUMIFS(Продажи!F$5:F$359,Продажи!$D$5:$D$359,Конструкторы!$B1069,Продажи!$C$5:$C$359,Конструкторы!$A1069)</f>
        <v>0</v>
      </c>
      <c r="J1069" s="166">
        <f>SUMIFS(Продажи!G$5:G$359,Продажи!$D$5:$D$359,Конструкторы!$B1069,Продажи!$C$5:$C$359,Конструкторы!$A1069)</f>
        <v>0</v>
      </c>
      <c r="K1069" s="166">
        <f>SUMIFS(Продажи!H$5:H$359,Продажи!$D$5:$D$359,Конструкторы!$B1069,Продажи!$C$5:$C$359,Конструкторы!$A1069)</f>
        <v>0</v>
      </c>
      <c r="L1069" s="166">
        <f>SUMIFS(Продажи!I$5:I$359,Продажи!$D$5:$D$359,Конструкторы!$B1069,Продажи!$C$5:$C$359,Конструкторы!$A1069)</f>
        <v>0</v>
      </c>
      <c r="M1069" s="166">
        <f>SUMIFS(Продажи!J$5:J$359,Продажи!$D$5:$D$359,Конструкторы!$B1069,Продажи!$C$5:$C$359,Конструкторы!$A1069)</f>
        <v>0</v>
      </c>
      <c r="N1069" s="166">
        <f>SUMIFS(Продажи!K$5:K$359,Продажи!$D$5:$D$359,Конструкторы!$B1069,Продажи!$C$5:$C$359,Конструкторы!$A1069)</f>
        <v>0</v>
      </c>
      <c r="O1069" s="166">
        <f>SUMIFS(Продажи!L$5:L$359,Продажи!$D$5:$D$359,Конструкторы!$B1069,Продажи!$C$5:$C$359,Конструкторы!$A1069)</f>
        <v>0</v>
      </c>
      <c r="P1069" s="166">
        <f>SUMIFS(Продажи!M$5:M$359,Продажи!$D$5:$D$359,Конструкторы!$B1069,Продажи!$C$5:$C$359,Конструкторы!$A1069)</f>
        <v>0</v>
      </c>
      <c r="Q1069" s="166">
        <f>SUMIFS(Продажи!N$5:N$359,Продажи!$D$5:$D$359,Конструкторы!$B1069,Продажи!$C$5:$C$359,Конструкторы!$A1069)</f>
        <v>0</v>
      </c>
      <c r="R1069" s="166">
        <f>SUMIFS(Продажи!O$5:O$359,Продажи!$D$5:$D$359,Конструкторы!$B1069,Продажи!$C$5:$C$359,Конструкторы!$A1069)</f>
        <v>0</v>
      </c>
      <c r="S1069" s="166">
        <f>SUMIFS(Продажи!P$5:P$359,Продажи!$D$5:$D$359,Конструкторы!$B1069,Продажи!$C$5:$C$359,Конструкторы!$A1069)</f>
        <v>0</v>
      </c>
      <c r="T1069" s="166">
        <f>SUMIFS(Продажи!Q$5:Q$359,Продажи!$D$5:$D$359,Конструкторы!$B1069,Продажи!$C$5:$C$359,Конструкторы!$A1069)</f>
        <v>0</v>
      </c>
    </row>
    <row r="1070" spans="1:20" ht="15.75" hidden="1" x14ac:dyDescent="0.25">
      <c r="A1070" s="166" t="s">
        <v>397</v>
      </c>
      <c r="B1070" s="167" t="s">
        <v>197</v>
      </c>
      <c r="C1070" s="129" t="s">
        <v>53</v>
      </c>
      <c r="D1070" s="130">
        <v>7038</v>
      </c>
      <c r="E1070" s="153" t="s">
        <v>68</v>
      </c>
      <c r="F1070" s="156">
        <f>(2.358*103)/100</f>
        <v>2.4287400000000003</v>
      </c>
      <c r="G1070" s="156">
        <v>7.0740000000000247E-2</v>
      </c>
      <c r="H1070" s="156">
        <f>F1070+G1070</f>
        <v>2.4994800000000006</v>
      </c>
      <c r="I1070" s="166">
        <f>SUMIFS(Продажи!F$5:F$359,Продажи!$D$5:$D$359,Конструкторы!$B1070,Продажи!$C$5:$C$359,Конструкторы!$A1070)</f>
        <v>0</v>
      </c>
      <c r="J1070" s="166">
        <f>SUMIFS(Продажи!G$5:G$359,Продажи!$D$5:$D$359,Конструкторы!$B1070,Продажи!$C$5:$C$359,Конструкторы!$A1070)</f>
        <v>0</v>
      </c>
      <c r="K1070" s="166">
        <f>SUMIFS(Продажи!H$5:H$359,Продажи!$D$5:$D$359,Конструкторы!$B1070,Продажи!$C$5:$C$359,Конструкторы!$A1070)</f>
        <v>0</v>
      </c>
      <c r="L1070" s="166">
        <f>SUMIFS(Продажи!I$5:I$359,Продажи!$D$5:$D$359,Конструкторы!$B1070,Продажи!$C$5:$C$359,Конструкторы!$A1070)</f>
        <v>0</v>
      </c>
      <c r="M1070" s="166">
        <f>SUMIFS(Продажи!J$5:J$359,Продажи!$D$5:$D$359,Конструкторы!$B1070,Продажи!$C$5:$C$359,Конструкторы!$A1070)</f>
        <v>0</v>
      </c>
      <c r="N1070" s="166">
        <f>SUMIFS(Продажи!K$5:K$359,Продажи!$D$5:$D$359,Конструкторы!$B1070,Продажи!$C$5:$C$359,Конструкторы!$A1070)</f>
        <v>0</v>
      </c>
      <c r="O1070" s="166">
        <f>SUMIFS(Продажи!L$5:L$359,Продажи!$D$5:$D$359,Конструкторы!$B1070,Продажи!$C$5:$C$359,Конструкторы!$A1070)</f>
        <v>0</v>
      </c>
      <c r="P1070" s="166">
        <f>SUMIFS(Продажи!M$5:M$359,Продажи!$D$5:$D$359,Конструкторы!$B1070,Продажи!$C$5:$C$359,Конструкторы!$A1070)</f>
        <v>0</v>
      </c>
      <c r="Q1070" s="166">
        <f>SUMIFS(Продажи!N$5:N$359,Продажи!$D$5:$D$359,Конструкторы!$B1070,Продажи!$C$5:$C$359,Конструкторы!$A1070)</f>
        <v>0</v>
      </c>
      <c r="R1070" s="166">
        <f>SUMIFS(Продажи!O$5:O$359,Продажи!$D$5:$D$359,Конструкторы!$B1070,Продажи!$C$5:$C$359,Конструкторы!$A1070)</f>
        <v>0</v>
      </c>
      <c r="S1070" s="166">
        <f>SUMIFS(Продажи!P$5:P$359,Продажи!$D$5:$D$359,Конструкторы!$B1070,Продажи!$C$5:$C$359,Конструкторы!$A1070)</f>
        <v>0</v>
      </c>
      <c r="T1070" s="166">
        <f>SUMIFS(Продажи!Q$5:Q$359,Продажи!$D$5:$D$359,Конструкторы!$B1070,Продажи!$C$5:$C$359,Конструкторы!$A1070)</f>
        <v>0</v>
      </c>
    </row>
    <row r="1071" spans="1:20" ht="15.75" hidden="1" x14ac:dyDescent="0.25">
      <c r="A1071" s="166" t="s">
        <v>397</v>
      </c>
      <c r="B1071" s="167" t="s">
        <v>197</v>
      </c>
      <c r="C1071" s="129" t="s">
        <v>52</v>
      </c>
      <c r="D1071" s="149"/>
      <c r="E1071" s="153" t="s">
        <v>68</v>
      </c>
      <c r="F1071" s="156">
        <f>(1.516*103)/100</f>
        <v>1.56148</v>
      </c>
      <c r="G1071" s="156">
        <v>4.5479999999999965E-2</v>
      </c>
      <c r="H1071" s="156">
        <f>F1071+G1071</f>
        <v>1.6069599999999999</v>
      </c>
      <c r="I1071" s="166">
        <f>SUMIFS(Продажи!F$5:F$359,Продажи!$D$5:$D$359,Конструкторы!$B1071,Продажи!$C$5:$C$359,Конструкторы!$A1071)</f>
        <v>0</v>
      </c>
      <c r="J1071" s="166">
        <f>SUMIFS(Продажи!G$5:G$359,Продажи!$D$5:$D$359,Конструкторы!$B1071,Продажи!$C$5:$C$359,Конструкторы!$A1071)</f>
        <v>0</v>
      </c>
      <c r="K1071" s="166">
        <f>SUMIFS(Продажи!H$5:H$359,Продажи!$D$5:$D$359,Конструкторы!$B1071,Продажи!$C$5:$C$359,Конструкторы!$A1071)</f>
        <v>0</v>
      </c>
      <c r="L1071" s="166">
        <f>SUMIFS(Продажи!I$5:I$359,Продажи!$D$5:$D$359,Конструкторы!$B1071,Продажи!$C$5:$C$359,Конструкторы!$A1071)</f>
        <v>0</v>
      </c>
      <c r="M1071" s="166">
        <f>SUMIFS(Продажи!J$5:J$359,Продажи!$D$5:$D$359,Конструкторы!$B1071,Продажи!$C$5:$C$359,Конструкторы!$A1071)</f>
        <v>0</v>
      </c>
      <c r="N1071" s="166">
        <f>SUMIFS(Продажи!K$5:K$359,Продажи!$D$5:$D$359,Конструкторы!$B1071,Продажи!$C$5:$C$359,Конструкторы!$A1071)</f>
        <v>0</v>
      </c>
      <c r="O1071" s="166">
        <f>SUMIFS(Продажи!L$5:L$359,Продажи!$D$5:$D$359,Конструкторы!$B1071,Продажи!$C$5:$C$359,Конструкторы!$A1071)</f>
        <v>0</v>
      </c>
      <c r="P1071" s="166">
        <f>SUMIFS(Продажи!M$5:M$359,Продажи!$D$5:$D$359,Конструкторы!$B1071,Продажи!$C$5:$C$359,Конструкторы!$A1071)</f>
        <v>0</v>
      </c>
      <c r="Q1071" s="166">
        <f>SUMIFS(Продажи!N$5:N$359,Продажи!$D$5:$D$359,Конструкторы!$B1071,Продажи!$C$5:$C$359,Конструкторы!$A1071)</f>
        <v>0</v>
      </c>
      <c r="R1071" s="166">
        <f>SUMIFS(Продажи!O$5:O$359,Продажи!$D$5:$D$359,Конструкторы!$B1071,Продажи!$C$5:$C$359,Конструкторы!$A1071)</f>
        <v>0</v>
      </c>
      <c r="S1071" s="166">
        <f>SUMIFS(Продажи!P$5:P$359,Продажи!$D$5:$D$359,Конструкторы!$B1071,Продажи!$C$5:$C$359,Конструкторы!$A1071)</f>
        <v>0</v>
      </c>
      <c r="T1071" s="166">
        <f>SUMIFS(Продажи!Q$5:Q$359,Продажи!$D$5:$D$359,Конструкторы!$B1071,Продажи!$C$5:$C$359,Конструкторы!$A1071)</f>
        <v>0</v>
      </c>
    </row>
    <row r="1072" spans="1:20" ht="15.75" hidden="1" x14ac:dyDescent="0.25">
      <c r="A1072" s="166" t="s">
        <v>397</v>
      </c>
      <c r="B1072" s="167" t="s">
        <v>197</v>
      </c>
      <c r="C1072" s="33" t="s">
        <v>73</v>
      </c>
      <c r="D1072" s="149"/>
      <c r="E1072" s="153" t="s">
        <v>70</v>
      </c>
      <c r="F1072" s="148">
        <v>4</v>
      </c>
      <c r="G1072" s="156" t="s">
        <v>71</v>
      </c>
      <c r="H1072" s="156">
        <f>F1072</f>
        <v>4</v>
      </c>
      <c r="I1072" s="166">
        <f>SUMIFS(Продажи!F$5:F$359,Продажи!$D$5:$D$359,Конструкторы!$B1072,Продажи!$C$5:$C$359,Конструкторы!$A1072)</f>
        <v>0</v>
      </c>
      <c r="J1072" s="166">
        <f>SUMIFS(Продажи!G$5:G$359,Продажи!$D$5:$D$359,Конструкторы!$B1072,Продажи!$C$5:$C$359,Конструкторы!$A1072)</f>
        <v>0</v>
      </c>
      <c r="K1072" s="166">
        <f>SUMIFS(Продажи!H$5:H$359,Продажи!$D$5:$D$359,Конструкторы!$B1072,Продажи!$C$5:$C$359,Конструкторы!$A1072)</f>
        <v>0</v>
      </c>
      <c r="L1072" s="166">
        <f>SUMIFS(Продажи!I$5:I$359,Продажи!$D$5:$D$359,Конструкторы!$B1072,Продажи!$C$5:$C$359,Конструкторы!$A1072)</f>
        <v>0</v>
      </c>
      <c r="M1072" s="166">
        <f>SUMIFS(Продажи!J$5:J$359,Продажи!$D$5:$D$359,Конструкторы!$B1072,Продажи!$C$5:$C$359,Конструкторы!$A1072)</f>
        <v>0</v>
      </c>
      <c r="N1072" s="166">
        <f>SUMIFS(Продажи!K$5:K$359,Продажи!$D$5:$D$359,Конструкторы!$B1072,Продажи!$C$5:$C$359,Конструкторы!$A1072)</f>
        <v>0</v>
      </c>
      <c r="O1072" s="166">
        <f>SUMIFS(Продажи!L$5:L$359,Продажи!$D$5:$D$359,Конструкторы!$B1072,Продажи!$C$5:$C$359,Конструкторы!$A1072)</f>
        <v>0</v>
      </c>
      <c r="P1072" s="166">
        <f>SUMIFS(Продажи!M$5:M$359,Продажи!$D$5:$D$359,Конструкторы!$B1072,Продажи!$C$5:$C$359,Конструкторы!$A1072)</f>
        <v>0</v>
      </c>
      <c r="Q1072" s="166">
        <f>SUMIFS(Продажи!N$5:N$359,Продажи!$D$5:$D$359,Конструкторы!$B1072,Продажи!$C$5:$C$359,Конструкторы!$A1072)</f>
        <v>0</v>
      </c>
      <c r="R1072" s="166">
        <f>SUMIFS(Продажи!O$5:O$359,Продажи!$D$5:$D$359,Конструкторы!$B1072,Продажи!$C$5:$C$359,Конструкторы!$A1072)</f>
        <v>0</v>
      </c>
      <c r="S1072" s="166">
        <f>SUMIFS(Продажи!P$5:P$359,Продажи!$D$5:$D$359,Конструкторы!$B1072,Продажи!$C$5:$C$359,Конструкторы!$A1072)</f>
        <v>0</v>
      </c>
      <c r="T1072" s="166">
        <f>SUMIFS(Продажи!Q$5:Q$359,Продажи!$D$5:$D$359,Конструкторы!$B1072,Продажи!$C$5:$C$359,Конструкторы!$A1072)</f>
        <v>0</v>
      </c>
    </row>
    <row r="1073" spans="1:20" ht="15.75" hidden="1" x14ac:dyDescent="0.25">
      <c r="A1073" s="166" t="s">
        <v>397</v>
      </c>
      <c r="B1073" s="167" t="s">
        <v>197</v>
      </c>
      <c r="C1073" s="33" t="s">
        <v>75</v>
      </c>
      <c r="D1073" s="149"/>
      <c r="E1073" s="153" t="s">
        <v>70</v>
      </c>
      <c r="F1073" s="148">
        <v>12</v>
      </c>
      <c r="G1073" s="156" t="s">
        <v>71</v>
      </c>
      <c r="H1073" s="156">
        <f>F1073</f>
        <v>12</v>
      </c>
      <c r="I1073" s="166">
        <f>SUMIFS(Продажи!F$5:F$359,Продажи!$D$5:$D$359,Конструкторы!$B1073,Продажи!$C$5:$C$359,Конструкторы!$A1073)</f>
        <v>0</v>
      </c>
      <c r="J1073" s="166">
        <f>SUMIFS(Продажи!G$5:G$359,Продажи!$D$5:$D$359,Конструкторы!$B1073,Продажи!$C$5:$C$359,Конструкторы!$A1073)</f>
        <v>0</v>
      </c>
      <c r="K1073" s="166">
        <f>SUMIFS(Продажи!H$5:H$359,Продажи!$D$5:$D$359,Конструкторы!$B1073,Продажи!$C$5:$C$359,Конструкторы!$A1073)</f>
        <v>0</v>
      </c>
      <c r="L1073" s="166">
        <f>SUMIFS(Продажи!I$5:I$359,Продажи!$D$5:$D$359,Конструкторы!$B1073,Продажи!$C$5:$C$359,Конструкторы!$A1073)</f>
        <v>0</v>
      </c>
      <c r="M1073" s="166">
        <f>SUMIFS(Продажи!J$5:J$359,Продажи!$D$5:$D$359,Конструкторы!$B1073,Продажи!$C$5:$C$359,Конструкторы!$A1073)</f>
        <v>0</v>
      </c>
      <c r="N1073" s="166">
        <f>SUMIFS(Продажи!K$5:K$359,Продажи!$D$5:$D$359,Конструкторы!$B1073,Продажи!$C$5:$C$359,Конструкторы!$A1073)</f>
        <v>0</v>
      </c>
      <c r="O1073" s="166">
        <f>SUMIFS(Продажи!L$5:L$359,Продажи!$D$5:$D$359,Конструкторы!$B1073,Продажи!$C$5:$C$359,Конструкторы!$A1073)</f>
        <v>0</v>
      </c>
      <c r="P1073" s="166">
        <f>SUMIFS(Продажи!M$5:M$359,Продажи!$D$5:$D$359,Конструкторы!$B1073,Продажи!$C$5:$C$359,Конструкторы!$A1073)</f>
        <v>0</v>
      </c>
      <c r="Q1073" s="166">
        <f>SUMIFS(Продажи!N$5:N$359,Продажи!$D$5:$D$359,Конструкторы!$B1073,Продажи!$C$5:$C$359,Конструкторы!$A1073)</f>
        <v>0</v>
      </c>
      <c r="R1073" s="166">
        <f>SUMIFS(Продажи!O$5:O$359,Продажи!$D$5:$D$359,Конструкторы!$B1073,Продажи!$C$5:$C$359,Конструкторы!$A1073)</f>
        <v>0</v>
      </c>
      <c r="S1073" s="166">
        <f>SUMIFS(Продажи!P$5:P$359,Продажи!$D$5:$D$359,Конструкторы!$B1073,Продажи!$C$5:$C$359,Конструкторы!$A1073)</f>
        <v>0</v>
      </c>
      <c r="T1073" s="166">
        <f>SUMIFS(Продажи!Q$5:Q$359,Продажи!$D$5:$D$359,Конструкторы!$B1073,Продажи!$C$5:$C$359,Конструкторы!$A1073)</f>
        <v>0</v>
      </c>
    </row>
    <row r="1074" spans="1:20" ht="15.75" hidden="1" x14ac:dyDescent="0.25">
      <c r="A1074" s="166" t="s">
        <v>397</v>
      </c>
      <c r="B1074" s="167" t="s">
        <v>197</v>
      </c>
      <c r="C1074" s="33" t="s">
        <v>69</v>
      </c>
      <c r="D1074" s="149"/>
      <c r="E1074" s="153" t="s">
        <v>70</v>
      </c>
      <c r="F1074" s="148">
        <v>10</v>
      </c>
      <c r="G1074" s="156" t="s">
        <v>71</v>
      </c>
      <c r="H1074" s="156">
        <f>F1074</f>
        <v>10</v>
      </c>
      <c r="I1074" s="166">
        <f>SUMIFS(Продажи!F$5:F$359,Продажи!$D$5:$D$359,Конструкторы!$B1074,Продажи!$C$5:$C$359,Конструкторы!$A1074)</f>
        <v>0</v>
      </c>
      <c r="J1074" s="166">
        <f>SUMIFS(Продажи!G$5:G$359,Продажи!$D$5:$D$359,Конструкторы!$B1074,Продажи!$C$5:$C$359,Конструкторы!$A1074)</f>
        <v>0</v>
      </c>
      <c r="K1074" s="166">
        <f>SUMIFS(Продажи!H$5:H$359,Продажи!$D$5:$D$359,Конструкторы!$B1074,Продажи!$C$5:$C$359,Конструкторы!$A1074)</f>
        <v>0</v>
      </c>
      <c r="L1074" s="166">
        <f>SUMIFS(Продажи!I$5:I$359,Продажи!$D$5:$D$359,Конструкторы!$B1074,Продажи!$C$5:$C$359,Конструкторы!$A1074)</f>
        <v>0</v>
      </c>
      <c r="M1074" s="166">
        <f>SUMIFS(Продажи!J$5:J$359,Продажи!$D$5:$D$359,Конструкторы!$B1074,Продажи!$C$5:$C$359,Конструкторы!$A1074)</f>
        <v>0</v>
      </c>
      <c r="N1074" s="166">
        <f>SUMIFS(Продажи!K$5:K$359,Продажи!$D$5:$D$359,Конструкторы!$B1074,Продажи!$C$5:$C$359,Конструкторы!$A1074)</f>
        <v>0</v>
      </c>
      <c r="O1074" s="166">
        <f>SUMIFS(Продажи!L$5:L$359,Продажи!$D$5:$D$359,Конструкторы!$B1074,Продажи!$C$5:$C$359,Конструкторы!$A1074)</f>
        <v>0</v>
      </c>
      <c r="P1074" s="166">
        <f>SUMIFS(Продажи!M$5:M$359,Продажи!$D$5:$D$359,Конструкторы!$B1074,Продажи!$C$5:$C$359,Конструкторы!$A1074)</f>
        <v>0</v>
      </c>
      <c r="Q1074" s="166">
        <f>SUMIFS(Продажи!N$5:N$359,Продажи!$D$5:$D$359,Конструкторы!$B1074,Продажи!$C$5:$C$359,Конструкторы!$A1074)</f>
        <v>0</v>
      </c>
      <c r="R1074" s="166">
        <f>SUMIFS(Продажи!O$5:O$359,Продажи!$D$5:$D$359,Конструкторы!$B1074,Продажи!$C$5:$C$359,Конструкторы!$A1074)</f>
        <v>0</v>
      </c>
      <c r="S1074" s="166">
        <f>SUMIFS(Продажи!P$5:P$359,Продажи!$D$5:$D$359,Конструкторы!$B1074,Продажи!$C$5:$C$359,Конструкторы!$A1074)</f>
        <v>0</v>
      </c>
      <c r="T1074" s="166">
        <f>SUMIFS(Продажи!Q$5:Q$359,Продажи!$D$5:$D$359,Конструкторы!$B1074,Продажи!$C$5:$C$359,Конструкторы!$A1074)</f>
        <v>0</v>
      </c>
    </row>
    <row r="1075" spans="1:20" ht="15.75" hidden="1" x14ac:dyDescent="0.25">
      <c r="A1075" s="166" t="s">
        <v>397</v>
      </c>
      <c r="B1075" s="167" t="s">
        <v>198</v>
      </c>
      <c r="C1075" s="129" t="s">
        <v>53</v>
      </c>
      <c r="D1075" s="130">
        <v>7038</v>
      </c>
      <c r="E1075" s="153" t="s">
        <v>68</v>
      </c>
      <c r="F1075" s="156">
        <f>(2.354*103)/100</f>
        <v>2.42462</v>
      </c>
      <c r="G1075" s="156">
        <v>7.0619999999999905E-2</v>
      </c>
      <c r="H1075" s="156">
        <f>F1075+G1075</f>
        <v>2.4952399999999999</v>
      </c>
      <c r="I1075" s="166">
        <f>SUMIFS(Продажи!F$5:F$359,Продажи!$D$5:$D$359,Конструкторы!$B1075,Продажи!$C$5:$C$359,Конструкторы!$A1075)</f>
        <v>0</v>
      </c>
      <c r="J1075" s="166">
        <f>SUMIFS(Продажи!G$5:G$359,Продажи!$D$5:$D$359,Конструкторы!$B1075,Продажи!$C$5:$C$359,Конструкторы!$A1075)</f>
        <v>0</v>
      </c>
      <c r="K1075" s="166">
        <f>SUMIFS(Продажи!H$5:H$359,Продажи!$D$5:$D$359,Конструкторы!$B1075,Продажи!$C$5:$C$359,Конструкторы!$A1075)</f>
        <v>0</v>
      </c>
      <c r="L1075" s="166">
        <f>SUMIFS(Продажи!I$5:I$359,Продажи!$D$5:$D$359,Конструкторы!$B1075,Продажи!$C$5:$C$359,Конструкторы!$A1075)</f>
        <v>0</v>
      </c>
      <c r="M1075" s="166">
        <f>SUMIFS(Продажи!J$5:J$359,Продажи!$D$5:$D$359,Конструкторы!$B1075,Продажи!$C$5:$C$359,Конструкторы!$A1075)</f>
        <v>0</v>
      </c>
      <c r="N1075" s="166">
        <f>SUMIFS(Продажи!K$5:K$359,Продажи!$D$5:$D$359,Конструкторы!$B1075,Продажи!$C$5:$C$359,Конструкторы!$A1075)</f>
        <v>0</v>
      </c>
      <c r="O1075" s="166">
        <f>SUMIFS(Продажи!L$5:L$359,Продажи!$D$5:$D$359,Конструкторы!$B1075,Продажи!$C$5:$C$359,Конструкторы!$A1075)</f>
        <v>0</v>
      </c>
      <c r="P1075" s="166">
        <f>SUMIFS(Продажи!M$5:M$359,Продажи!$D$5:$D$359,Конструкторы!$B1075,Продажи!$C$5:$C$359,Конструкторы!$A1075)</f>
        <v>0</v>
      </c>
      <c r="Q1075" s="166">
        <f>SUMIFS(Продажи!N$5:N$359,Продажи!$D$5:$D$359,Конструкторы!$B1075,Продажи!$C$5:$C$359,Конструкторы!$A1075)</f>
        <v>0</v>
      </c>
      <c r="R1075" s="166">
        <f>SUMIFS(Продажи!O$5:O$359,Продажи!$D$5:$D$359,Конструкторы!$B1075,Продажи!$C$5:$C$359,Конструкторы!$A1075)</f>
        <v>0</v>
      </c>
      <c r="S1075" s="166">
        <f>SUMIFS(Продажи!P$5:P$359,Продажи!$D$5:$D$359,Конструкторы!$B1075,Продажи!$C$5:$C$359,Конструкторы!$A1075)</f>
        <v>0</v>
      </c>
      <c r="T1075" s="166">
        <f>SUMIFS(Продажи!Q$5:Q$359,Продажи!$D$5:$D$359,Конструкторы!$B1075,Продажи!$C$5:$C$359,Конструкторы!$A1075)</f>
        <v>0</v>
      </c>
    </row>
    <row r="1076" spans="1:20" ht="15.75" hidden="1" x14ac:dyDescent="0.25">
      <c r="A1076" s="166" t="s">
        <v>397</v>
      </c>
      <c r="B1076" s="167" t="s">
        <v>198</v>
      </c>
      <c r="C1076" s="129" t="s">
        <v>52</v>
      </c>
      <c r="D1076" s="149"/>
      <c r="E1076" s="153" t="s">
        <v>68</v>
      </c>
      <c r="F1076" s="156">
        <f>(1.762*103)/100</f>
        <v>1.8148599999999999</v>
      </c>
      <c r="G1076" s="156">
        <v>5.2859999999999907E-2</v>
      </c>
      <c r="H1076" s="156">
        <f>F1076+G1076</f>
        <v>1.8677199999999998</v>
      </c>
      <c r="I1076" s="166">
        <f>SUMIFS(Продажи!F$5:F$359,Продажи!$D$5:$D$359,Конструкторы!$B1076,Продажи!$C$5:$C$359,Конструкторы!$A1076)</f>
        <v>0</v>
      </c>
      <c r="J1076" s="166">
        <f>SUMIFS(Продажи!G$5:G$359,Продажи!$D$5:$D$359,Конструкторы!$B1076,Продажи!$C$5:$C$359,Конструкторы!$A1076)</f>
        <v>0</v>
      </c>
      <c r="K1076" s="166">
        <f>SUMIFS(Продажи!H$5:H$359,Продажи!$D$5:$D$359,Конструкторы!$B1076,Продажи!$C$5:$C$359,Конструкторы!$A1076)</f>
        <v>0</v>
      </c>
      <c r="L1076" s="166">
        <f>SUMIFS(Продажи!I$5:I$359,Продажи!$D$5:$D$359,Конструкторы!$B1076,Продажи!$C$5:$C$359,Конструкторы!$A1076)</f>
        <v>0</v>
      </c>
      <c r="M1076" s="166">
        <f>SUMIFS(Продажи!J$5:J$359,Продажи!$D$5:$D$359,Конструкторы!$B1076,Продажи!$C$5:$C$359,Конструкторы!$A1076)</f>
        <v>0</v>
      </c>
      <c r="N1076" s="166">
        <f>SUMIFS(Продажи!K$5:K$359,Продажи!$D$5:$D$359,Конструкторы!$B1076,Продажи!$C$5:$C$359,Конструкторы!$A1076)</f>
        <v>0</v>
      </c>
      <c r="O1076" s="166">
        <f>SUMIFS(Продажи!L$5:L$359,Продажи!$D$5:$D$359,Конструкторы!$B1076,Продажи!$C$5:$C$359,Конструкторы!$A1076)</f>
        <v>0</v>
      </c>
      <c r="P1076" s="166">
        <f>SUMIFS(Продажи!M$5:M$359,Продажи!$D$5:$D$359,Конструкторы!$B1076,Продажи!$C$5:$C$359,Конструкторы!$A1076)</f>
        <v>0</v>
      </c>
      <c r="Q1076" s="166">
        <f>SUMIFS(Продажи!N$5:N$359,Продажи!$D$5:$D$359,Конструкторы!$B1076,Продажи!$C$5:$C$359,Конструкторы!$A1076)</f>
        <v>0</v>
      </c>
      <c r="R1076" s="166">
        <f>SUMIFS(Продажи!O$5:O$359,Продажи!$D$5:$D$359,Конструкторы!$B1076,Продажи!$C$5:$C$359,Конструкторы!$A1076)</f>
        <v>0</v>
      </c>
      <c r="S1076" s="166">
        <f>SUMIFS(Продажи!P$5:P$359,Продажи!$D$5:$D$359,Конструкторы!$B1076,Продажи!$C$5:$C$359,Конструкторы!$A1076)</f>
        <v>0</v>
      </c>
      <c r="T1076" s="166">
        <f>SUMIFS(Продажи!Q$5:Q$359,Продажи!$D$5:$D$359,Конструкторы!$B1076,Продажи!$C$5:$C$359,Конструкторы!$A1076)</f>
        <v>0</v>
      </c>
    </row>
    <row r="1077" spans="1:20" ht="15.75" hidden="1" x14ac:dyDescent="0.25">
      <c r="A1077" s="166" t="s">
        <v>397</v>
      </c>
      <c r="B1077" s="167" t="s">
        <v>198</v>
      </c>
      <c r="C1077" s="33" t="s">
        <v>73</v>
      </c>
      <c r="D1077" s="149"/>
      <c r="E1077" s="153" t="s">
        <v>70</v>
      </c>
      <c r="F1077" s="148">
        <v>4</v>
      </c>
      <c r="G1077" s="156" t="s">
        <v>71</v>
      </c>
      <c r="H1077" s="156">
        <f>F1077</f>
        <v>4</v>
      </c>
      <c r="I1077" s="166">
        <f>SUMIFS(Продажи!F$5:F$359,Продажи!$D$5:$D$359,Конструкторы!$B1077,Продажи!$C$5:$C$359,Конструкторы!$A1077)</f>
        <v>0</v>
      </c>
      <c r="J1077" s="166">
        <f>SUMIFS(Продажи!G$5:G$359,Продажи!$D$5:$D$359,Конструкторы!$B1077,Продажи!$C$5:$C$359,Конструкторы!$A1077)</f>
        <v>0</v>
      </c>
      <c r="K1077" s="166">
        <f>SUMIFS(Продажи!H$5:H$359,Продажи!$D$5:$D$359,Конструкторы!$B1077,Продажи!$C$5:$C$359,Конструкторы!$A1077)</f>
        <v>0</v>
      </c>
      <c r="L1077" s="166">
        <f>SUMIFS(Продажи!I$5:I$359,Продажи!$D$5:$D$359,Конструкторы!$B1077,Продажи!$C$5:$C$359,Конструкторы!$A1077)</f>
        <v>0</v>
      </c>
      <c r="M1077" s="166">
        <f>SUMIFS(Продажи!J$5:J$359,Продажи!$D$5:$D$359,Конструкторы!$B1077,Продажи!$C$5:$C$359,Конструкторы!$A1077)</f>
        <v>0</v>
      </c>
      <c r="N1077" s="166">
        <f>SUMIFS(Продажи!K$5:K$359,Продажи!$D$5:$D$359,Конструкторы!$B1077,Продажи!$C$5:$C$359,Конструкторы!$A1077)</f>
        <v>0</v>
      </c>
      <c r="O1077" s="166">
        <f>SUMIFS(Продажи!L$5:L$359,Продажи!$D$5:$D$359,Конструкторы!$B1077,Продажи!$C$5:$C$359,Конструкторы!$A1077)</f>
        <v>0</v>
      </c>
      <c r="P1077" s="166">
        <f>SUMIFS(Продажи!M$5:M$359,Продажи!$D$5:$D$359,Конструкторы!$B1077,Продажи!$C$5:$C$359,Конструкторы!$A1077)</f>
        <v>0</v>
      </c>
      <c r="Q1077" s="166">
        <f>SUMIFS(Продажи!N$5:N$359,Продажи!$D$5:$D$359,Конструкторы!$B1077,Продажи!$C$5:$C$359,Конструкторы!$A1077)</f>
        <v>0</v>
      </c>
      <c r="R1077" s="166">
        <f>SUMIFS(Продажи!O$5:O$359,Продажи!$D$5:$D$359,Конструкторы!$B1077,Продажи!$C$5:$C$359,Конструкторы!$A1077)</f>
        <v>0</v>
      </c>
      <c r="S1077" s="166">
        <f>SUMIFS(Продажи!P$5:P$359,Продажи!$D$5:$D$359,Конструкторы!$B1077,Продажи!$C$5:$C$359,Конструкторы!$A1077)</f>
        <v>0</v>
      </c>
      <c r="T1077" s="166">
        <f>SUMIFS(Продажи!Q$5:Q$359,Продажи!$D$5:$D$359,Конструкторы!$B1077,Продажи!$C$5:$C$359,Конструкторы!$A1077)</f>
        <v>0</v>
      </c>
    </row>
    <row r="1078" spans="1:20" ht="15.75" hidden="1" x14ac:dyDescent="0.25">
      <c r="A1078" s="166" t="s">
        <v>397</v>
      </c>
      <c r="B1078" s="167" t="s">
        <v>198</v>
      </c>
      <c r="C1078" s="33" t="s">
        <v>75</v>
      </c>
      <c r="D1078" s="149"/>
      <c r="E1078" s="153" t="s">
        <v>70</v>
      </c>
      <c r="F1078" s="148">
        <v>12</v>
      </c>
      <c r="G1078" s="156" t="s">
        <v>71</v>
      </c>
      <c r="H1078" s="156">
        <f>F1078</f>
        <v>12</v>
      </c>
      <c r="I1078" s="166">
        <f>SUMIFS(Продажи!F$5:F$359,Продажи!$D$5:$D$359,Конструкторы!$B1078,Продажи!$C$5:$C$359,Конструкторы!$A1078)</f>
        <v>0</v>
      </c>
      <c r="J1078" s="166">
        <f>SUMIFS(Продажи!G$5:G$359,Продажи!$D$5:$D$359,Конструкторы!$B1078,Продажи!$C$5:$C$359,Конструкторы!$A1078)</f>
        <v>0</v>
      </c>
      <c r="K1078" s="166">
        <f>SUMIFS(Продажи!H$5:H$359,Продажи!$D$5:$D$359,Конструкторы!$B1078,Продажи!$C$5:$C$359,Конструкторы!$A1078)</f>
        <v>0</v>
      </c>
      <c r="L1078" s="166">
        <f>SUMIFS(Продажи!I$5:I$359,Продажи!$D$5:$D$359,Конструкторы!$B1078,Продажи!$C$5:$C$359,Конструкторы!$A1078)</f>
        <v>0</v>
      </c>
      <c r="M1078" s="166">
        <f>SUMIFS(Продажи!J$5:J$359,Продажи!$D$5:$D$359,Конструкторы!$B1078,Продажи!$C$5:$C$359,Конструкторы!$A1078)</f>
        <v>0</v>
      </c>
      <c r="N1078" s="166">
        <f>SUMIFS(Продажи!K$5:K$359,Продажи!$D$5:$D$359,Конструкторы!$B1078,Продажи!$C$5:$C$359,Конструкторы!$A1078)</f>
        <v>0</v>
      </c>
      <c r="O1078" s="166">
        <f>SUMIFS(Продажи!L$5:L$359,Продажи!$D$5:$D$359,Конструкторы!$B1078,Продажи!$C$5:$C$359,Конструкторы!$A1078)</f>
        <v>0</v>
      </c>
      <c r="P1078" s="166">
        <f>SUMIFS(Продажи!M$5:M$359,Продажи!$D$5:$D$359,Конструкторы!$B1078,Продажи!$C$5:$C$359,Конструкторы!$A1078)</f>
        <v>0</v>
      </c>
      <c r="Q1078" s="166">
        <f>SUMIFS(Продажи!N$5:N$359,Продажи!$D$5:$D$359,Конструкторы!$B1078,Продажи!$C$5:$C$359,Конструкторы!$A1078)</f>
        <v>0</v>
      </c>
      <c r="R1078" s="166">
        <f>SUMIFS(Продажи!O$5:O$359,Продажи!$D$5:$D$359,Конструкторы!$B1078,Продажи!$C$5:$C$359,Конструкторы!$A1078)</f>
        <v>0</v>
      </c>
      <c r="S1078" s="166">
        <f>SUMIFS(Продажи!P$5:P$359,Продажи!$D$5:$D$359,Конструкторы!$B1078,Продажи!$C$5:$C$359,Конструкторы!$A1078)</f>
        <v>0</v>
      </c>
      <c r="T1078" s="166">
        <f>SUMIFS(Продажи!Q$5:Q$359,Продажи!$D$5:$D$359,Конструкторы!$B1078,Продажи!$C$5:$C$359,Конструкторы!$A1078)</f>
        <v>0</v>
      </c>
    </row>
    <row r="1079" spans="1:20" ht="15.75" hidden="1" x14ac:dyDescent="0.25">
      <c r="A1079" s="166" t="s">
        <v>397</v>
      </c>
      <c r="B1079" s="167" t="s">
        <v>198</v>
      </c>
      <c r="C1079" s="33" t="s">
        <v>69</v>
      </c>
      <c r="D1079" s="149"/>
      <c r="E1079" s="153" t="s">
        <v>70</v>
      </c>
      <c r="F1079" s="148">
        <v>10</v>
      </c>
      <c r="G1079" s="156" t="s">
        <v>71</v>
      </c>
      <c r="H1079" s="156">
        <f>F1079</f>
        <v>10</v>
      </c>
      <c r="I1079" s="166">
        <f>SUMIFS(Продажи!F$5:F$359,Продажи!$D$5:$D$359,Конструкторы!$B1079,Продажи!$C$5:$C$359,Конструкторы!$A1079)</f>
        <v>0</v>
      </c>
      <c r="J1079" s="166">
        <f>SUMIFS(Продажи!G$5:G$359,Продажи!$D$5:$D$359,Конструкторы!$B1079,Продажи!$C$5:$C$359,Конструкторы!$A1079)</f>
        <v>0</v>
      </c>
      <c r="K1079" s="166">
        <f>SUMIFS(Продажи!H$5:H$359,Продажи!$D$5:$D$359,Конструкторы!$B1079,Продажи!$C$5:$C$359,Конструкторы!$A1079)</f>
        <v>0</v>
      </c>
      <c r="L1079" s="166">
        <f>SUMIFS(Продажи!I$5:I$359,Продажи!$D$5:$D$359,Конструкторы!$B1079,Продажи!$C$5:$C$359,Конструкторы!$A1079)</f>
        <v>0</v>
      </c>
      <c r="M1079" s="166">
        <f>SUMIFS(Продажи!J$5:J$359,Продажи!$D$5:$D$359,Конструкторы!$B1079,Продажи!$C$5:$C$359,Конструкторы!$A1079)</f>
        <v>0</v>
      </c>
      <c r="N1079" s="166">
        <f>SUMIFS(Продажи!K$5:K$359,Продажи!$D$5:$D$359,Конструкторы!$B1079,Продажи!$C$5:$C$359,Конструкторы!$A1079)</f>
        <v>0</v>
      </c>
      <c r="O1079" s="166">
        <f>SUMIFS(Продажи!L$5:L$359,Продажи!$D$5:$D$359,Конструкторы!$B1079,Продажи!$C$5:$C$359,Конструкторы!$A1079)</f>
        <v>0</v>
      </c>
      <c r="P1079" s="166">
        <f>SUMIFS(Продажи!M$5:M$359,Продажи!$D$5:$D$359,Конструкторы!$B1079,Продажи!$C$5:$C$359,Конструкторы!$A1079)</f>
        <v>0</v>
      </c>
      <c r="Q1079" s="166">
        <f>SUMIFS(Продажи!N$5:N$359,Продажи!$D$5:$D$359,Конструкторы!$B1079,Продажи!$C$5:$C$359,Конструкторы!$A1079)</f>
        <v>0</v>
      </c>
      <c r="R1079" s="166">
        <f>SUMIFS(Продажи!O$5:O$359,Продажи!$D$5:$D$359,Конструкторы!$B1079,Продажи!$C$5:$C$359,Конструкторы!$A1079)</f>
        <v>0</v>
      </c>
      <c r="S1079" s="166">
        <f>SUMIFS(Продажи!P$5:P$359,Продажи!$D$5:$D$359,Конструкторы!$B1079,Продажи!$C$5:$C$359,Конструкторы!$A1079)</f>
        <v>0</v>
      </c>
      <c r="T1079" s="166">
        <f>SUMIFS(Продажи!Q$5:Q$359,Продажи!$D$5:$D$359,Конструкторы!$B1079,Продажи!$C$5:$C$359,Конструкторы!$A1079)</f>
        <v>0</v>
      </c>
    </row>
    <row r="1080" spans="1:20" ht="15.75" hidden="1" x14ac:dyDescent="0.25">
      <c r="A1080" s="166" t="s">
        <v>397</v>
      </c>
      <c r="B1080" s="167" t="s">
        <v>199</v>
      </c>
      <c r="C1080" s="129" t="s">
        <v>53</v>
      </c>
      <c r="D1080" s="130">
        <v>7038</v>
      </c>
      <c r="E1080" s="153" t="s">
        <v>68</v>
      </c>
      <c r="F1080" s="156">
        <f>(2.354*103)/100</f>
        <v>2.42462</v>
      </c>
      <c r="G1080" s="156">
        <v>7.0619999999999905E-2</v>
      </c>
      <c r="H1080" s="156">
        <f>F1080+G1080</f>
        <v>2.4952399999999999</v>
      </c>
      <c r="I1080" s="166">
        <f>SUMIFS(Продажи!F$5:F$359,Продажи!$D$5:$D$359,Конструкторы!$B1080,Продажи!$C$5:$C$359,Конструкторы!$A1080)</f>
        <v>0</v>
      </c>
      <c r="J1080" s="166">
        <f>SUMIFS(Продажи!G$5:G$359,Продажи!$D$5:$D$359,Конструкторы!$B1080,Продажи!$C$5:$C$359,Конструкторы!$A1080)</f>
        <v>0</v>
      </c>
      <c r="K1080" s="166">
        <f>SUMIFS(Продажи!H$5:H$359,Продажи!$D$5:$D$359,Конструкторы!$B1080,Продажи!$C$5:$C$359,Конструкторы!$A1080)</f>
        <v>0</v>
      </c>
      <c r="L1080" s="166">
        <f>SUMIFS(Продажи!I$5:I$359,Продажи!$D$5:$D$359,Конструкторы!$B1080,Продажи!$C$5:$C$359,Конструкторы!$A1080)</f>
        <v>0</v>
      </c>
      <c r="M1080" s="166">
        <f>SUMIFS(Продажи!J$5:J$359,Продажи!$D$5:$D$359,Конструкторы!$B1080,Продажи!$C$5:$C$359,Конструкторы!$A1080)</f>
        <v>0</v>
      </c>
      <c r="N1080" s="166">
        <f>SUMIFS(Продажи!K$5:K$359,Продажи!$D$5:$D$359,Конструкторы!$B1080,Продажи!$C$5:$C$359,Конструкторы!$A1080)</f>
        <v>0</v>
      </c>
      <c r="O1080" s="166">
        <f>SUMIFS(Продажи!L$5:L$359,Продажи!$D$5:$D$359,Конструкторы!$B1080,Продажи!$C$5:$C$359,Конструкторы!$A1080)</f>
        <v>0</v>
      </c>
      <c r="P1080" s="166">
        <f>SUMIFS(Продажи!M$5:M$359,Продажи!$D$5:$D$359,Конструкторы!$B1080,Продажи!$C$5:$C$359,Конструкторы!$A1080)</f>
        <v>0</v>
      </c>
      <c r="Q1080" s="166">
        <f>SUMIFS(Продажи!N$5:N$359,Продажи!$D$5:$D$359,Конструкторы!$B1080,Продажи!$C$5:$C$359,Конструкторы!$A1080)</f>
        <v>0</v>
      </c>
      <c r="R1080" s="166">
        <f>SUMIFS(Продажи!O$5:O$359,Продажи!$D$5:$D$359,Конструкторы!$B1080,Продажи!$C$5:$C$359,Конструкторы!$A1080)</f>
        <v>0</v>
      </c>
      <c r="S1080" s="166">
        <f>SUMIFS(Продажи!P$5:P$359,Продажи!$D$5:$D$359,Конструкторы!$B1080,Продажи!$C$5:$C$359,Конструкторы!$A1080)</f>
        <v>0</v>
      </c>
      <c r="T1080" s="166">
        <f>SUMIFS(Продажи!Q$5:Q$359,Продажи!$D$5:$D$359,Конструкторы!$B1080,Продажи!$C$5:$C$359,Конструкторы!$A1080)</f>
        <v>0</v>
      </c>
    </row>
    <row r="1081" spans="1:20" ht="15.75" hidden="1" x14ac:dyDescent="0.25">
      <c r="A1081" s="166" t="s">
        <v>397</v>
      </c>
      <c r="B1081" s="167" t="s">
        <v>199</v>
      </c>
      <c r="C1081" s="129" t="s">
        <v>52</v>
      </c>
      <c r="D1081" s="149"/>
      <c r="E1081" s="153" t="s">
        <v>68</v>
      </c>
      <c r="F1081" s="156">
        <f>(2.096*103)/100</f>
        <v>2.1588799999999999</v>
      </c>
      <c r="G1081" s="156">
        <v>6.2879999999999825E-2</v>
      </c>
      <c r="H1081" s="156">
        <f>F1081+G1081</f>
        <v>2.2217599999999997</v>
      </c>
      <c r="I1081" s="166">
        <f>SUMIFS(Продажи!F$5:F$359,Продажи!$D$5:$D$359,Конструкторы!$B1081,Продажи!$C$5:$C$359,Конструкторы!$A1081)</f>
        <v>0</v>
      </c>
      <c r="J1081" s="166">
        <f>SUMIFS(Продажи!G$5:G$359,Продажи!$D$5:$D$359,Конструкторы!$B1081,Продажи!$C$5:$C$359,Конструкторы!$A1081)</f>
        <v>0</v>
      </c>
      <c r="K1081" s="166">
        <f>SUMIFS(Продажи!H$5:H$359,Продажи!$D$5:$D$359,Конструкторы!$B1081,Продажи!$C$5:$C$359,Конструкторы!$A1081)</f>
        <v>0</v>
      </c>
      <c r="L1081" s="166">
        <f>SUMIFS(Продажи!I$5:I$359,Продажи!$D$5:$D$359,Конструкторы!$B1081,Продажи!$C$5:$C$359,Конструкторы!$A1081)</f>
        <v>0</v>
      </c>
      <c r="M1081" s="166">
        <f>SUMIFS(Продажи!J$5:J$359,Продажи!$D$5:$D$359,Конструкторы!$B1081,Продажи!$C$5:$C$359,Конструкторы!$A1081)</f>
        <v>0</v>
      </c>
      <c r="N1081" s="166">
        <f>SUMIFS(Продажи!K$5:K$359,Продажи!$D$5:$D$359,Конструкторы!$B1081,Продажи!$C$5:$C$359,Конструкторы!$A1081)</f>
        <v>0</v>
      </c>
      <c r="O1081" s="166">
        <f>SUMIFS(Продажи!L$5:L$359,Продажи!$D$5:$D$359,Конструкторы!$B1081,Продажи!$C$5:$C$359,Конструкторы!$A1081)</f>
        <v>0</v>
      </c>
      <c r="P1081" s="166">
        <f>SUMIFS(Продажи!M$5:M$359,Продажи!$D$5:$D$359,Конструкторы!$B1081,Продажи!$C$5:$C$359,Конструкторы!$A1081)</f>
        <v>0</v>
      </c>
      <c r="Q1081" s="166">
        <f>SUMIFS(Продажи!N$5:N$359,Продажи!$D$5:$D$359,Конструкторы!$B1081,Продажи!$C$5:$C$359,Конструкторы!$A1081)</f>
        <v>0</v>
      </c>
      <c r="R1081" s="166">
        <f>SUMIFS(Продажи!O$5:O$359,Продажи!$D$5:$D$359,Конструкторы!$B1081,Продажи!$C$5:$C$359,Конструкторы!$A1081)</f>
        <v>0</v>
      </c>
      <c r="S1081" s="166">
        <f>SUMIFS(Продажи!P$5:P$359,Продажи!$D$5:$D$359,Конструкторы!$B1081,Продажи!$C$5:$C$359,Конструкторы!$A1081)</f>
        <v>0</v>
      </c>
      <c r="T1081" s="166">
        <f>SUMIFS(Продажи!Q$5:Q$359,Продажи!$D$5:$D$359,Конструкторы!$B1081,Продажи!$C$5:$C$359,Конструкторы!$A1081)</f>
        <v>0</v>
      </c>
    </row>
    <row r="1082" spans="1:20" ht="15.75" hidden="1" x14ac:dyDescent="0.25">
      <c r="A1082" s="166" t="s">
        <v>397</v>
      </c>
      <c r="B1082" s="167" t="s">
        <v>199</v>
      </c>
      <c r="C1082" s="33" t="s">
        <v>73</v>
      </c>
      <c r="D1082" s="149"/>
      <c r="E1082" s="153" t="s">
        <v>70</v>
      </c>
      <c r="F1082" s="148">
        <v>4</v>
      </c>
      <c r="G1082" s="156" t="s">
        <v>71</v>
      </c>
      <c r="H1082" s="156">
        <f>F1082</f>
        <v>4</v>
      </c>
      <c r="I1082" s="166">
        <f>SUMIFS(Продажи!F$5:F$359,Продажи!$D$5:$D$359,Конструкторы!$B1082,Продажи!$C$5:$C$359,Конструкторы!$A1082)</f>
        <v>0</v>
      </c>
      <c r="J1082" s="166">
        <f>SUMIFS(Продажи!G$5:G$359,Продажи!$D$5:$D$359,Конструкторы!$B1082,Продажи!$C$5:$C$359,Конструкторы!$A1082)</f>
        <v>0</v>
      </c>
      <c r="K1082" s="166">
        <f>SUMIFS(Продажи!H$5:H$359,Продажи!$D$5:$D$359,Конструкторы!$B1082,Продажи!$C$5:$C$359,Конструкторы!$A1082)</f>
        <v>0</v>
      </c>
      <c r="L1082" s="166">
        <f>SUMIFS(Продажи!I$5:I$359,Продажи!$D$5:$D$359,Конструкторы!$B1082,Продажи!$C$5:$C$359,Конструкторы!$A1082)</f>
        <v>0</v>
      </c>
      <c r="M1082" s="166">
        <f>SUMIFS(Продажи!J$5:J$359,Продажи!$D$5:$D$359,Конструкторы!$B1082,Продажи!$C$5:$C$359,Конструкторы!$A1082)</f>
        <v>0</v>
      </c>
      <c r="N1082" s="166">
        <f>SUMIFS(Продажи!K$5:K$359,Продажи!$D$5:$D$359,Конструкторы!$B1082,Продажи!$C$5:$C$359,Конструкторы!$A1082)</f>
        <v>0</v>
      </c>
      <c r="O1082" s="166">
        <f>SUMIFS(Продажи!L$5:L$359,Продажи!$D$5:$D$359,Конструкторы!$B1082,Продажи!$C$5:$C$359,Конструкторы!$A1082)</f>
        <v>0</v>
      </c>
      <c r="P1082" s="166">
        <f>SUMIFS(Продажи!M$5:M$359,Продажи!$D$5:$D$359,Конструкторы!$B1082,Продажи!$C$5:$C$359,Конструкторы!$A1082)</f>
        <v>0</v>
      </c>
      <c r="Q1082" s="166">
        <f>SUMIFS(Продажи!N$5:N$359,Продажи!$D$5:$D$359,Конструкторы!$B1082,Продажи!$C$5:$C$359,Конструкторы!$A1082)</f>
        <v>0</v>
      </c>
      <c r="R1082" s="166">
        <f>SUMIFS(Продажи!O$5:O$359,Продажи!$D$5:$D$359,Конструкторы!$B1082,Продажи!$C$5:$C$359,Конструкторы!$A1082)</f>
        <v>0</v>
      </c>
      <c r="S1082" s="166">
        <f>SUMIFS(Продажи!P$5:P$359,Продажи!$D$5:$D$359,Конструкторы!$B1082,Продажи!$C$5:$C$359,Конструкторы!$A1082)</f>
        <v>0</v>
      </c>
      <c r="T1082" s="166">
        <f>SUMIFS(Продажи!Q$5:Q$359,Продажи!$D$5:$D$359,Конструкторы!$B1082,Продажи!$C$5:$C$359,Конструкторы!$A1082)</f>
        <v>0</v>
      </c>
    </row>
    <row r="1083" spans="1:20" ht="15.75" hidden="1" x14ac:dyDescent="0.25">
      <c r="A1083" s="166" t="s">
        <v>397</v>
      </c>
      <c r="B1083" s="167" t="s">
        <v>199</v>
      </c>
      <c r="C1083" s="33" t="s">
        <v>75</v>
      </c>
      <c r="D1083" s="149"/>
      <c r="E1083" s="153" t="s">
        <v>70</v>
      </c>
      <c r="F1083" s="148">
        <v>12</v>
      </c>
      <c r="G1083" s="156" t="s">
        <v>71</v>
      </c>
      <c r="H1083" s="156">
        <f>F1083</f>
        <v>12</v>
      </c>
      <c r="I1083" s="166">
        <f>SUMIFS(Продажи!F$5:F$359,Продажи!$D$5:$D$359,Конструкторы!$B1083,Продажи!$C$5:$C$359,Конструкторы!$A1083)</f>
        <v>0</v>
      </c>
      <c r="J1083" s="166">
        <f>SUMIFS(Продажи!G$5:G$359,Продажи!$D$5:$D$359,Конструкторы!$B1083,Продажи!$C$5:$C$359,Конструкторы!$A1083)</f>
        <v>0</v>
      </c>
      <c r="K1083" s="166">
        <f>SUMIFS(Продажи!H$5:H$359,Продажи!$D$5:$D$359,Конструкторы!$B1083,Продажи!$C$5:$C$359,Конструкторы!$A1083)</f>
        <v>0</v>
      </c>
      <c r="L1083" s="166">
        <f>SUMIFS(Продажи!I$5:I$359,Продажи!$D$5:$D$359,Конструкторы!$B1083,Продажи!$C$5:$C$359,Конструкторы!$A1083)</f>
        <v>0</v>
      </c>
      <c r="M1083" s="166">
        <f>SUMIFS(Продажи!J$5:J$359,Продажи!$D$5:$D$359,Конструкторы!$B1083,Продажи!$C$5:$C$359,Конструкторы!$A1083)</f>
        <v>0</v>
      </c>
      <c r="N1083" s="166">
        <f>SUMIFS(Продажи!K$5:K$359,Продажи!$D$5:$D$359,Конструкторы!$B1083,Продажи!$C$5:$C$359,Конструкторы!$A1083)</f>
        <v>0</v>
      </c>
      <c r="O1083" s="166">
        <f>SUMIFS(Продажи!L$5:L$359,Продажи!$D$5:$D$359,Конструкторы!$B1083,Продажи!$C$5:$C$359,Конструкторы!$A1083)</f>
        <v>0</v>
      </c>
      <c r="P1083" s="166">
        <f>SUMIFS(Продажи!M$5:M$359,Продажи!$D$5:$D$359,Конструкторы!$B1083,Продажи!$C$5:$C$359,Конструкторы!$A1083)</f>
        <v>0</v>
      </c>
      <c r="Q1083" s="166">
        <f>SUMIFS(Продажи!N$5:N$359,Продажи!$D$5:$D$359,Конструкторы!$B1083,Продажи!$C$5:$C$359,Конструкторы!$A1083)</f>
        <v>0</v>
      </c>
      <c r="R1083" s="166">
        <f>SUMIFS(Продажи!O$5:O$359,Продажи!$D$5:$D$359,Конструкторы!$B1083,Продажи!$C$5:$C$359,Конструкторы!$A1083)</f>
        <v>0</v>
      </c>
      <c r="S1083" s="166">
        <f>SUMIFS(Продажи!P$5:P$359,Продажи!$D$5:$D$359,Конструкторы!$B1083,Продажи!$C$5:$C$359,Конструкторы!$A1083)</f>
        <v>0</v>
      </c>
      <c r="T1083" s="166">
        <f>SUMIFS(Продажи!Q$5:Q$359,Продажи!$D$5:$D$359,Конструкторы!$B1083,Продажи!$C$5:$C$359,Конструкторы!$A1083)</f>
        <v>0</v>
      </c>
    </row>
    <row r="1084" spans="1:20" ht="15.75" hidden="1" x14ac:dyDescent="0.25">
      <c r="A1084" s="166" t="s">
        <v>397</v>
      </c>
      <c r="B1084" s="167" t="s">
        <v>199</v>
      </c>
      <c r="C1084" s="33" t="s">
        <v>69</v>
      </c>
      <c r="D1084" s="149"/>
      <c r="E1084" s="153" t="s">
        <v>70</v>
      </c>
      <c r="F1084" s="148">
        <v>10</v>
      </c>
      <c r="G1084" s="156" t="s">
        <v>71</v>
      </c>
      <c r="H1084" s="156">
        <f>F1084</f>
        <v>10</v>
      </c>
      <c r="I1084" s="166">
        <f>SUMIFS(Продажи!F$5:F$359,Продажи!$D$5:$D$359,Конструкторы!$B1084,Продажи!$C$5:$C$359,Конструкторы!$A1084)</f>
        <v>0</v>
      </c>
      <c r="J1084" s="166">
        <f>SUMIFS(Продажи!G$5:G$359,Продажи!$D$5:$D$359,Конструкторы!$B1084,Продажи!$C$5:$C$359,Конструкторы!$A1084)</f>
        <v>0</v>
      </c>
      <c r="K1084" s="166">
        <f>SUMIFS(Продажи!H$5:H$359,Продажи!$D$5:$D$359,Конструкторы!$B1084,Продажи!$C$5:$C$359,Конструкторы!$A1084)</f>
        <v>0</v>
      </c>
      <c r="L1084" s="166">
        <f>SUMIFS(Продажи!I$5:I$359,Продажи!$D$5:$D$359,Конструкторы!$B1084,Продажи!$C$5:$C$359,Конструкторы!$A1084)</f>
        <v>0</v>
      </c>
      <c r="M1084" s="166">
        <f>SUMIFS(Продажи!J$5:J$359,Продажи!$D$5:$D$359,Конструкторы!$B1084,Продажи!$C$5:$C$359,Конструкторы!$A1084)</f>
        <v>0</v>
      </c>
      <c r="N1084" s="166">
        <f>SUMIFS(Продажи!K$5:K$359,Продажи!$D$5:$D$359,Конструкторы!$B1084,Продажи!$C$5:$C$359,Конструкторы!$A1084)</f>
        <v>0</v>
      </c>
      <c r="O1084" s="166">
        <f>SUMIFS(Продажи!L$5:L$359,Продажи!$D$5:$D$359,Конструкторы!$B1084,Продажи!$C$5:$C$359,Конструкторы!$A1084)</f>
        <v>0</v>
      </c>
      <c r="P1084" s="166">
        <f>SUMIFS(Продажи!M$5:M$359,Продажи!$D$5:$D$359,Конструкторы!$B1084,Продажи!$C$5:$C$359,Конструкторы!$A1084)</f>
        <v>0</v>
      </c>
      <c r="Q1084" s="166">
        <f>SUMIFS(Продажи!N$5:N$359,Продажи!$D$5:$D$359,Конструкторы!$B1084,Продажи!$C$5:$C$359,Конструкторы!$A1084)</f>
        <v>0</v>
      </c>
      <c r="R1084" s="166">
        <f>SUMIFS(Продажи!O$5:O$359,Продажи!$D$5:$D$359,Конструкторы!$B1084,Продажи!$C$5:$C$359,Конструкторы!$A1084)</f>
        <v>0</v>
      </c>
      <c r="S1084" s="166">
        <f>SUMIFS(Продажи!P$5:P$359,Продажи!$D$5:$D$359,Конструкторы!$B1084,Продажи!$C$5:$C$359,Конструкторы!$A1084)</f>
        <v>0</v>
      </c>
      <c r="T1084" s="166">
        <f>SUMIFS(Продажи!Q$5:Q$359,Продажи!$D$5:$D$359,Конструкторы!$B1084,Продажи!$C$5:$C$359,Конструкторы!$A1084)</f>
        <v>0</v>
      </c>
    </row>
    <row r="1085" spans="1:20" ht="15.75" hidden="1" x14ac:dyDescent="0.25">
      <c r="A1085" s="166" t="s">
        <v>397</v>
      </c>
      <c r="B1085" s="167" t="s">
        <v>200</v>
      </c>
      <c r="C1085" s="129" t="s">
        <v>53</v>
      </c>
      <c r="D1085" s="130">
        <v>7038</v>
      </c>
      <c r="E1085" s="153" t="s">
        <v>68</v>
      </c>
      <c r="F1085" s="156">
        <f>(2.354*103)/100</f>
        <v>2.42462</v>
      </c>
      <c r="G1085" s="156">
        <v>7.0619999999999905E-2</v>
      </c>
      <c r="H1085" s="156">
        <f>F1085+G1085</f>
        <v>2.4952399999999999</v>
      </c>
      <c r="I1085" s="166">
        <f>SUMIFS(Продажи!F$5:F$359,Продажи!$D$5:$D$359,Конструкторы!$B1085,Продажи!$C$5:$C$359,Конструкторы!$A1085)</f>
        <v>0</v>
      </c>
      <c r="J1085" s="166">
        <f>SUMIFS(Продажи!G$5:G$359,Продажи!$D$5:$D$359,Конструкторы!$B1085,Продажи!$C$5:$C$359,Конструкторы!$A1085)</f>
        <v>0</v>
      </c>
      <c r="K1085" s="166">
        <f>SUMIFS(Продажи!H$5:H$359,Продажи!$D$5:$D$359,Конструкторы!$B1085,Продажи!$C$5:$C$359,Конструкторы!$A1085)</f>
        <v>0</v>
      </c>
      <c r="L1085" s="166">
        <f>SUMIFS(Продажи!I$5:I$359,Продажи!$D$5:$D$359,Конструкторы!$B1085,Продажи!$C$5:$C$359,Конструкторы!$A1085)</f>
        <v>0</v>
      </c>
      <c r="M1085" s="166">
        <f>SUMIFS(Продажи!J$5:J$359,Продажи!$D$5:$D$359,Конструкторы!$B1085,Продажи!$C$5:$C$359,Конструкторы!$A1085)</f>
        <v>0</v>
      </c>
      <c r="N1085" s="166">
        <f>SUMIFS(Продажи!K$5:K$359,Продажи!$D$5:$D$359,Конструкторы!$B1085,Продажи!$C$5:$C$359,Конструкторы!$A1085)</f>
        <v>0</v>
      </c>
      <c r="O1085" s="166">
        <f>SUMIFS(Продажи!L$5:L$359,Продажи!$D$5:$D$359,Конструкторы!$B1085,Продажи!$C$5:$C$359,Конструкторы!$A1085)</f>
        <v>0</v>
      </c>
      <c r="P1085" s="166">
        <f>SUMIFS(Продажи!M$5:M$359,Продажи!$D$5:$D$359,Конструкторы!$B1085,Продажи!$C$5:$C$359,Конструкторы!$A1085)</f>
        <v>0</v>
      </c>
      <c r="Q1085" s="166">
        <f>SUMIFS(Продажи!N$5:N$359,Продажи!$D$5:$D$359,Конструкторы!$B1085,Продажи!$C$5:$C$359,Конструкторы!$A1085)</f>
        <v>0</v>
      </c>
      <c r="R1085" s="166">
        <f>SUMIFS(Продажи!O$5:O$359,Продажи!$D$5:$D$359,Конструкторы!$B1085,Продажи!$C$5:$C$359,Конструкторы!$A1085)</f>
        <v>0</v>
      </c>
      <c r="S1085" s="166">
        <f>SUMIFS(Продажи!P$5:P$359,Продажи!$D$5:$D$359,Конструкторы!$B1085,Продажи!$C$5:$C$359,Конструкторы!$A1085)</f>
        <v>0</v>
      </c>
      <c r="T1085" s="166">
        <f>SUMIFS(Продажи!Q$5:Q$359,Продажи!$D$5:$D$359,Конструкторы!$B1085,Продажи!$C$5:$C$359,Конструкторы!$A1085)</f>
        <v>0</v>
      </c>
    </row>
    <row r="1086" spans="1:20" ht="15.75" hidden="1" x14ac:dyDescent="0.25">
      <c r="A1086" s="166" t="s">
        <v>397</v>
      </c>
      <c r="B1086" s="167" t="s">
        <v>200</v>
      </c>
      <c r="C1086" s="129" t="s">
        <v>52</v>
      </c>
      <c r="D1086" s="149"/>
      <c r="E1086" s="153" t="s">
        <v>68</v>
      </c>
      <c r="F1086" s="156">
        <f>(2.462*103)/100</f>
        <v>2.53586</v>
      </c>
      <c r="G1086" s="156">
        <v>7.3859999999999815E-2</v>
      </c>
      <c r="H1086" s="156">
        <f>F1086+G1086</f>
        <v>2.6097199999999998</v>
      </c>
      <c r="I1086" s="166">
        <f>SUMIFS(Продажи!F$5:F$359,Продажи!$D$5:$D$359,Конструкторы!$B1086,Продажи!$C$5:$C$359,Конструкторы!$A1086)</f>
        <v>0</v>
      </c>
      <c r="J1086" s="166">
        <f>SUMIFS(Продажи!G$5:G$359,Продажи!$D$5:$D$359,Конструкторы!$B1086,Продажи!$C$5:$C$359,Конструкторы!$A1086)</f>
        <v>0</v>
      </c>
      <c r="K1086" s="166">
        <f>SUMIFS(Продажи!H$5:H$359,Продажи!$D$5:$D$359,Конструкторы!$B1086,Продажи!$C$5:$C$359,Конструкторы!$A1086)</f>
        <v>0</v>
      </c>
      <c r="L1086" s="166">
        <f>SUMIFS(Продажи!I$5:I$359,Продажи!$D$5:$D$359,Конструкторы!$B1086,Продажи!$C$5:$C$359,Конструкторы!$A1086)</f>
        <v>0</v>
      </c>
      <c r="M1086" s="166">
        <f>SUMIFS(Продажи!J$5:J$359,Продажи!$D$5:$D$359,Конструкторы!$B1086,Продажи!$C$5:$C$359,Конструкторы!$A1086)</f>
        <v>0</v>
      </c>
      <c r="N1086" s="166">
        <f>SUMIFS(Продажи!K$5:K$359,Продажи!$D$5:$D$359,Конструкторы!$B1086,Продажи!$C$5:$C$359,Конструкторы!$A1086)</f>
        <v>0</v>
      </c>
      <c r="O1086" s="166">
        <f>SUMIFS(Продажи!L$5:L$359,Продажи!$D$5:$D$359,Конструкторы!$B1086,Продажи!$C$5:$C$359,Конструкторы!$A1086)</f>
        <v>0</v>
      </c>
      <c r="P1086" s="166">
        <f>SUMIFS(Продажи!M$5:M$359,Продажи!$D$5:$D$359,Конструкторы!$B1086,Продажи!$C$5:$C$359,Конструкторы!$A1086)</f>
        <v>0</v>
      </c>
      <c r="Q1086" s="166">
        <f>SUMIFS(Продажи!N$5:N$359,Продажи!$D$5:$D$359,Конструкторы!$B1086,Продажи!$C$5:$C$359,Конструкторы!$A1086)</f>
        <v>0</v>
      </c>
      <c r="R1086" s="166">
        <f>SUMIFS(Продажи!O$5:O$359,Продажи!$D$5:$D$359,Конструкторы!$B1086,Продажи!$C$5:$C$359,Конструкторы!$A1086)</f>
        <v>0</v>
      </c>
      <c r="S1086" s="166">
        <f>SUMIFS(Продажи!P$5:P$359,Продажи!$D$5:$D$359,Конструкторы!$B1086,Продажи!$C$5:$C$359,Конструкторы!$A1086)</f>
        <v>0</v>
      </c>
      <c r="T1086" s="166">
        <f>SUMIFS(Продажи!Q$5:Q$359,Продажи!$D$5:$D$359,Конструкторы!$B1086,Продажи!$C$5:$C$359,Конструкторы!$A1086)</f>
        <v>0</v>
      </c>
    </row>
    <row r="1087" spans="1:20" ht="15.75" hidden="1" x14ac:dyDescent="0.25">
      <c r="A1087" s="166" t="s">
        <v>397</v>
      </c>
      <c r="B1087" s="167" t="s">
        <v>200</v>
      </c>
      <c r="C1087" s="33" t="s">
        <v>73</v>
      </c>
      <c r="D1087" s="149"/>
      <c r="E1087" s="153" t="s">
        <v>70</v>
      </c>
      <c r="F1087" s="148">
        <v>4</v>
      </c>
      <c r="G1087" s="156" t="s">
        <v>71</v>
      </c>
      <c r="H1087" s="156">
        <f>F1087</f>
        <v>4</v>
      </c>
      <c r="I1087" s="166">
        <f>SUMIFS(Продажи!F$5:F$359,Продажи!$D$5:$D$359,Конструкторы!$B1087,Продажи!$C$5:$C$359,Конструкторы!$A1087)</f>
        <v>0</v>
      </c>
      <c r="J1087" s="166">
        <f>SUMIFS(Продажи!G$5:G$359,Продажи!$D$5:$D$359,Конструкторы!$B1087,Продажи!$C$5:$C$359,Конструкторы!$A1087)</f>
        <v>0</v>
      </c>
      <c r="K1087" s="166">
        <f>SUMIFS(Продажи!H$5:H$359,Продажи!$D$5:$D$359,Конструкторы!$B1087,Продажи!$C$5:$C$359,Конструкторы!$A1087)</f>
        <v>0</v>
      </c>
      <c r="L1087" s="166">
        <f>SUMIFS(Продажи!I$5:I$359,Продажи!$D$5:$D$359,Конструкторы!$B1087,Продажи!$C$5:$C$359,Конструкторы!$A1087)</f>
        <v>0</v>
      </c>
      <c r="M1087" s="166">
        <f>SUMIFS(Продажи!J$5:J$359,Продажи!$D$5:$D$359,Конструкторы!$B1087,Продажи!$C$5:$C$359,Конструкторы!$A1087)</f>
        <v>0</v>
      </c>
      <c r="N1087" s="166">
        <f>SUMIFS(Продажи!K$5:K$359,Продажи!$D$5:$D$359,Конструкторы!$B1087,Продажи!$C$5:$C$359,Конструкторы!$A1087)</f>
        <v>0</v>
      </c>
      <c r="O1087" s="166">
        <f>SUMIFS(Продажи!L$5:L$359,Продажи!$D$5:$D$359,Конструкторы!$B1087,Продажи!$C$5:$C$359,Конструкторы!$A1087)</f>
        <v>0</v>
      </c>
      <c r="P1087" s="166">
        <f>SUMIFS(Продажи!M$5:M$359,Продажи!$D$5:$D$359,Конструкторы!$B1087,Продажи!$C$5:$C$359,Конструкторы!$A1087)</f>
        <v>0</v>
      </c>
      <c r="Q1087" s="166">
        <f>SUMIFS(Продажи!N$5:N$359,Продажи!$D$5:$D$359,Конструкторы!$B1087,Продажи!$C$5:$C$359,Конструкторы!$A1087)</f>
        <v>0</v>
      </c>
      <c r="R1087" s="166">
        <f>SUMIFS(Продажи!O$5:O$359,Продажи!$D$5:$D$359,Конструкторы!$B1087,Продажи!$C$5:$C$359,Конструкторы!$A1087)</f>
        <v>0</v>
      </c>
      <c r="S1087" s="166">
        <f>SUMIFS(Продажи!P$5:P$359,Продажи!$D$5:$D$359,Конструкторы!$B1087,Продажи!$C$5:$C$359,Конструкторы!$A1087)</f>
        <v>0</v>
      </c>
      <c r="T1087" s="166">
        <f>SUMIFS(Продажи!Q$5:Q$359,Продажи!$D$5:$D$359,Конструкторы!$B1087,Продажи!$C$5:$C$359,Конструкторы!$A1087)</f>
        <v>0</v>
      </c>
    </row>
    <row r="1088" spans="1:20" ht="15.75" hidden="1" x14ac:dyDescent="0.25">
      <c r="A1088" s="166" t="s">
        <v>397</v>
      </c>
      <c r="B1088" s="167" t="s">
        <v>200</v>
      </c>
      <c r="C1088" s="33" t="s">
        <v>75</v>
      </c>
      <c r="D1088" s="149"/>
      <c r="E1088" s="153" t="s">
        <v>70</v>
      </c>
      <c r="F1088" s="148">
        <v>12</v>
      </c>
      <c r="G1088" s="156" t="s">
        <v>71</v>
      </c>
      <c r="H1088" s="156">
        <f>F1088</f>
        <v>12</v>
      </c>
      <c r="I1088" s="166">
        <f>SUMIFS(Продажи!F$5:F$359,Продажи!$D$5:$D$359,Конструкторы!$B1088,Продажи!$C$5:$C$359,Конструкторы!$A1088)</f>
        <v>0</v>
      </c>
      <c r="J1088" s="166">
        <f>SUMIFS(Продажи!G$5:G$359,Продажи!$D$5:$D$359,Конструкторы!$B1088,Продажи!$C$5:$C$359,Конструкторы!$A1088)</f>
        <v>0</v>
      </c>
      <c r="K1088" s="166">
        <f>SUMIFS(Продажи!H$5:H$359,Продажи!$D$5:$D$359,Конструкторы!$B1088,Продажи!$C$5:$C$359,Конструкторы!$A1088)</f>
        <v>0</v>
      </c>
      <c r="L1088" s="166">
        <f>SUMIFS(Продажи!I$5:I$359,Продажи!$D$5:$D$359,Конструкторы!$B1088,Продажи!$C$5:$C$359,Конструкторы!$A1088)</f>
        <v>0</v>
      </c>
      <c r="M1088" s="166">
        <f>SUMIFS(Продажи!J$5:J$359,Продажи!$D$5:$D$359,Конструкторы!$B1088,Продажи!$C$5:$C$359,Конструкторы!$A1088)</f>
        <v>0</v>
      </c>
      <c r="N1088" s="166">
        <f>SUMIFS(Продажи!K$5:K$359,Продажи!$D$5:$D$359,Конструкторы!$B1088,Продажи!$C$5:$C$359,Конструкторы!$A1088)</f>
        <v>0</v>
      </c>
      <c r="O1088" s="166">
        <f>SUMIFS(Продажи!L$5:L$359,Продажи!$D$5:$D$359,Конструкторы!$B1088,Продажи!$C$5:$C$359,Конструкторы!$A1088)</f>
        <v>0</v>
      </c>
      <c r="P1088" s="166">
        <f>SUMIFS(Продажи!M$5:M$359,Продажи!$D$5:$D$359,Конструкторы!$B1088,Продажи!$C$5:$C$359,Конструкторы!$A1088)</f>
        <v>0</v>
      </c>
      <c r="Q1088" s="166">
        <f>SUMIFS(Продажи!N$5:N$359,Продажи!$D$5:$D$359,Конструкторы!$B1088,Продажи!$C$5:$C$359,Конструкторы!$A1088)</f>
        <v>0</v>
      </c>
      <c r="R1088" s="166">
        <f>SUMIFS(Продажи!O$5:O$359,Продажи!$D$5:$D$359,Конструкторы!$B1088,Продажи!$C$5:$C$359,Конструкторы!$A1088)</f>
        <v>0</v>
      </c>
      <c r="S1088" s="166">
        <f>SUMIFS(Продажи!P$5:P$359,Продажи!$D$5:$D$359,Конструкторы!$B1088,Продажи!$C$5:$C$359,Конструкторы!$A1088)</f>
        <v>0</v>
      </c>
      <c r="T1088" s="166">
        <f>SUMIFS(Продажи!Q$5:Q$359,Продажи!$D$5:$D$359,Конструкторы!$B1088,Продажи!$C$5:$C$359,Конструкторы!$A1088)</f>
        <v>0</v>
      </c>
    </row>
    <row r="1089" spans="1:20" ht="15.75" hidden="1" x14ac:dyDescent="0.25">
      <c r="A1089" s="166" t="s">
        <v>397</v>
      </c>
      <c r="B1089" s="167" t="s">
        <v>200</v>
      </c>
      <c r="C1089" s="33" t="s">
        <v>69</v>
      </c>
      <c r="D1089" s="149"/>
      <c r="E1089" s="153" t="s">
        <v>70</v>
      </c>
      <c r="F1089" s="148">
        <v>10</v>
      </c>
      <c r="G1089" s="156" t="s">
        <v>71</v>
      </c>
      <c r="H1089" s="156">
        <f>F1089</f>
        <v>10</v>
      </c>
      <c r="I1089" s="166">
        <f>SUMIFS(Продажи!F$5:F$359,Продажи!$D$5:$D$359,Конструкторы!$B1089,Продажи!$C$5:$C$359,Конструкторы!$A1089)</f>
        <v>0</v>
      </c>
      <c r="J1089" s="166">
        <f>SUMIFS(Продажи!G$5:G$359,Продажи!$D$5:$D$359,Конструкторы!$B1089,Продажи!$C$5:$C$359,Конструкторы!$A1089)</f>
        <v>0</v>
      </c>
      <c r="K1089" s="166">
        <f>SUMIFS(Продажи!H$5:H$359,Продажи!$D$5:$D$359,Конструкторы!$B1089,Продажи!$C$5:$C$359,Конструкторы!$A1089)</f>
        <v>0</v>
      </c>
      <c r="L1089" s="166">
        <f>SUMIFS(Продажи!I$5:I$359,Продажи!$D$5:$D$359,Конструкторы!$B1089,Продажи!$C$5:$C$359,Конструкторы!$A1089)</f>
        <v>0</v>
      </c>
      <c r="M1089" s="166">
        <f>SUMIFS(Продажи!J$5:J$359,Продажи!$D$5:$D$359,Конструкторы!$B1089,Продажи!$C$5:$C$359,Конструкторы!$A1089)</f>
        <v>0</v>
      </c>
      <c r="N1089" s="166">
        <f>SUMIFS(Продажи!K$5:K$359,Продажи!$D$5:$D$359,Конструкторы!$B1089,Продажи!$C$5:$C$359,Конструкторы!$A1089)</f>
        <v>0</v>
      </c>
      <c r="O1089" s="166">
        <f>SUMIFS(Продажи!L$5:L$359,Продажи!$D$5:$D$359,Конструкторы!$B1089,Продажи!$C$5:$C$359,Конструкторы!$A1089)</f>
        <v>0</v>
      </c>
      <c r="P1089" s="166">
        <f>SUMIFS(Продажи!M$5:M$359,Продажи!$D$5:$D$359,Конструкторы!$B1089,Продажи!$C$5:$C$359,Конструкторы!$A1089)</f>
        <v>0</v>
      </c>
      <c r="Q1089" s="166">
        <f>SUMIFS(Продажи!N$5:N$359,Продажи!$D$5:$D$359,Конструкторы!$B1089,Продажи!$C$5:$C$359,Конструкторы!$A1089)</f>
        <v>0</v>
      </c>
      <c r="R1089" s="166">
        <f>SUMIFS(Продажи!O$5:O$359,Продажи!$D$5:$D$359,Конструкторы!$B1089,Продажи!$C$5:$C$359,Конструкторы!$A1089)</f>
        <v>0</v>
      </c>
      <c r="S1089" s="166">
        <f>SUMIFS(Продажи!P$5:P$359,Продажи!$D$5:$D$359,Конструкторы!$B1089,Продажи!$C$5:$C$359,Конструкторы!$A1089)</f>
        <v>0</v>
      </c>
      <c r="T1089" s="166">
        <f>SUMIFS(Продажи!Q$5:Q$359,Продажи!$D$5:$D$359,Конструкторы!$B1089,Продажи!$C$5:$C$359,Конструкторы!$A1089)</f>
        <v>0</v>
      </c>
    </row>
    <row r="1090" spans="1:20" ht="15.75" hidden="1" x14ac:dyDescent="0.25">
      <c r="A1090" s="166" t="s">
        <v>397</v>
      </c>
      <c r="B1090" s="167" t="s">
        <v>201</v>
      </c>
      <c r="C1090" s="129" t="s">
        <v>53</v>
      </c>
      <c r="D1090" s="130">
        <v>7038</v>
      </c>
      <c r="E1090" s="153" t="s">
        <v>68</v>
      </c>
      <c r="F1090" s="156">
        <f>(2.354*103)/100</f>
        <v>2.42462</v>
      </c>
      <c r="G1090" s="156">
        <v>7.0619999999999905E-2</v>
      </c>
      <c r="H1090" s="156">
        <f>F1090+G1090</f>
        <v>2.4952399999999999</v>
      </c>
      <c r="I1090" s="166">
        <f>SUMIFS(Продажи!F$5:F$359,Продажи!$D$5:$D$359,Конструкторы!$B1090,Продажи!$C$5:$C$359,Конструкторы!$A1090)</f>
        <v>61</v>
      </c>
      <c r="J1090" s="166">
        <f>SUMIFS(Продажи!G$5:G$359,Продажи!$D$5:$D$359,Конструкторы!$B1090,Продажи!$C$5:$C$359,Конструкторы!$A1090)</f>
        <v>0</v>
      </c>
      <c r="K1090" s="166">
        <f>SUMIFS(Продажи!H$5:H$359,Продажи!$D$5:$D$359,Конструкторы!$B1090,Продажи!$C$5:$C$359,Конструкторы!$A1090)</f>
        <v>0</v>
      </c>
      <c r="L1090" s="166">
        <f>SUMIFS(Продажи!I$5:I$359,Продажи!$D$5:$D$359,Конструкторы!$B1090,Продажи!$C$5:$C$359,Конструкторы!$A1090)</f>
        <v>0</v>
      </c>
      <c r="M1090" s="166">
        <f>SUMIFS(Продажи!J$5:J$359,Продажи!$D$5:$D$359,Конструкторы!$B1090,Продажи!$C$5:$C$359,Конструкторы!$A1090)</f>
        <v>0</v>
      </c>
      <c r="N1090" s="166">
        <f>SUMIFS(Продажи!K$5:K$359,Продажи!$D$5:$D$359,Конструкторы!$B1090,Продажи!$C$5:$C$359,Конструкторы!$A1090)</f>
        <v>0</v>
      </c>
      <c r="O1090" s="166">
        <f>SUMIFS(Продажи!L$5:L$359,Продажи!$D$5:$D$359,Конструкторы!$B1090,Продажи!$C$5:$C$359,Конструкторы!$A1090)</f>
        <v>0</v>
      </c>
      <c r="P1090" s="166">
        <f>SUMIFS(Продажи!M$5:M$359,Продажи!$D$5:$D$359,Конструкторы!$B1090,Продажи!$C$5:$C$359,Конструкторы!$A1090)</f>
        <v>0</v>
      </c>
      <c r="Q1090" s="166">
        <f>SUMIFS(Продажи!N$5:N$359,Продажи!$D$5:$D$359,Конструкторы!$B1090,Продажи!$C$5:$C$359,Конструкторы!$A1090)</f>
        <v>0</v>
      </c>
      <c r="R1090" s="166">
        <f>SUMIFS(Продажи!O$5:O$359,Продажи!$D$5:$D$359,Конструкторы!$B1090,Продажи!$C$5:$C$359,Конструкторы!$A1090)</f>
        <v>0</v>
      </c>
      <c r="S1090" s="166">
        <f>SUMIFS(Продажи!P$5:P$359,Продажи!$D$5:$D$359,Конструкторы!$B1090,Продажи!$C$5:$C$359,Конструкторы!$A1090)</f>
        <v>0</v>
      </c>
      <c r="T1090" s="166">
        <f>SUMIFS(Продажи!Q$5:Q$359,Продажи!$D$5:$D$359,Конструкторы!$B1090,Продажи!$C$5:$C$359,Конструкторы!$A1090)</f>
        <v>0</v>
      </c>
    </row>
    <row r="1091" spans="1:20" ht="15.75" hidden="1" x14ac:dyDescent="0.25">
      <c r="A1091" s="166" t="s">
        <v>397</v>
      </c>
      <c r="B1091" s="167" t="s">
        <v>201</v>
      </c>
      <c r="C1091" s="129" t="s">
        <v>52</v>
      </c>
      <c r="D1091" s="149"/>
      <c r="E1091" s="153" t="s">
        <v>68</v>
      </c>
      <c r="F1091" s="156">
        <f>(0.224*103)/100</f>
        <v>0.23071999999999998</v>
      </c>
      <c r="G1091" s="156">
        <v>6.719999999999976E-3</v>
      </c>
      <c r="H1091" s="156">
        <f>F1091+G1091</f>
        <v>0.23743999999999996</v>
      </c>
      <c r="I1091" s="166">
        <f>SUMIFS(Продажи!F$5:F$359,Продажи!$D$5:$D$359,Конструкторы!$B1091,Продажи!$C$5:$C$359,Конструкторы!$A1091)</f>
        <v>61</v>
      </c>
      <c r="J1091" s="166">
        <f>SUMIFS(Продажи!G$5:G$359,Продажи!$D$5:$D$359,Конструкторы!$B1091,Продажи!$C$5:$C$359,Конструкторы!$A1091)</f>
        <v>0</v>
      </c>
      <c r="K1091" s="166">
        <f>SUMIFS(Продажи!H$5:H$359,Продажи!$D$5:$D$359,Конструкторы!$B1091,Продажи!$C$5:$C$359,Конструкторы!$A1091)</f>
        <v>0</v>
      </c>
      <c r="L1091" s="166">
        <f>SUMIFS(Продажи!I$5:I$359,Продажи!$D$5:$D$359,Конструкторы!$B1091,Продажи!$C$5:$C$359,Конструкторы!$A1091)</f>
        <v>0</v>
      </c>
      <c r="M1091" s="166">
        <f>SUMIFS(Продажи!J$5:J$359,Продажи!$D$5:$D$359,Конструкторы!$B1091,Продажи!$C$5:$C$359,Конструкторы!$A1091)</f>
        <v>0</v>
      </c>
      <c r="N1091" s="166">
        <f>SUMIFS(Продажи!K$5:K$359,Продажи!$D$5:$D$359,Конструкторы!$B1091,Продажи!$C$5:$C$359,Конструкторы!$A1091)</f>
        <v>0</v>
      </c>
      <c r="O1091" s="166">
        <f>SUMIFS(Продажи!L$5:L$359,Продажи!$D$5:$D$359,Конструкторы!$B1091,Продажи!$C$5:$C$359,Конструкторы!$A1091)</f>
        <v>0</v>
      </c>
      <c r="P1091" s="166">
        <f>SUMIFS(Продажи!M$5:M$359,Продажи!$D$5:$D$359,Конструкторы!$B1091,Продажи!$C$5:$C$359,Конструкторы!$A1091)</f>
        <v>0</v>
      </c>
      <c r="Q1091" s="166">
        <f>SUMIFS(Продажи!N$5:N$359,Продажи!$D$5:$D$359,Конструкторы!$B1091,Продажи!$C$5:$C$359,Конструкторы!$A1091)</f>
        <v>0</v>
      </c>
      <c r="R1091" s="166">
        <f>SUMIFS(Продажи!O$5:O$359,Продажи!$D$5:$D$359,Конструкторы!$B1091,Продажи!$C$5:$C$359,Конструкторы!$A1091)</f>
        <v>0</v>
      </c>
      <c r="S1091" s="166">
        <f>SUMIFS(Продажи!P$5:P$359,Продажи!$D$5:$D$359,Конструкторы!$B1091,Продажи!$C$5:$C$359,Конструкторы!$A1091)</f>
        <v>0</v>
      </c>
      <c r="T1091" s="166">
        <f>SUMIFS(Продажи!Q$5:Q$359,Продажи!$D$5:$D$359,Конструкторы!$B1091,Продажи!$C$5:$C$359,Конструкторы!$A1091)</f>
        <v>0</v>
      </c>
    </row>
    <row r="1092" spans="1:20" ht="15.75" hidden="1" x14ac:dyDescent="0.25">
      <c r="A1092" s="166" t="s">
        <v>397</v>
      </c>
      <c r="B1092" s="167" t="s">
        <v>201</v>
      </c>
      <c r="C1092" s="33" t="s">
        <v>73</v>
      </c>
      <c r="D1092" s="149"/>
      <c r="E1092" s="153" t="s">
        <v>70</v>
      </c>
      <c r="F1092" s="148">
        <v>4</v>
      </c>
      <c r="G1092" s="156" t="s">
        <v>71</v>
      </c>
      <c r="H1092" s="156">
        <f>F1092</f>
        <v>4</v>
      </c>
      <c r="I1092" s="166">
        <f>SUMIFS(Продажи!F$5:F$359,Продажи!$D$5:$D$359,Конструкторы!$B1092,Продажи!$C$5:$C$359,Конструкторы!$A1092)</f>
        <v>61</v>
      </c>
      <c r="J1092" s="166">
        <f>SUMIFS(Продажи!G$5:G$359,Продажи!$D$5:$D$359,Конструкторы!$B1092,Продажи!$C$5:$C$359,Конструкторы!$A1092)</f>
        <v>0</v>
      </c>
      <c r="K1092" s="166">
        <f>SUMIFS(Продажи!H$5:H$359,Продажи!$D$5:$D$359,Конструкторы!$B1092,Продажи!$C$5:$C$359,Конструкторы!$A1092)</f>
        <v>0</v>
      </c>
      <c r="L1092" s="166">
        <f>SUMIFS(Продажи!I$5:I$359,Продажи!$D$5:$D$359,Конструкторы!$B1092,Продажи!$C$5:$C$359,Конструкторы!$A1092)</f>
        <v>0</v>
      </c>
      <c r="M1092" s="166">
        <f>SUMIFS(Продажи!J$5:J$359,Продажи!$D$5:$D$359,Конструкторы!$B1092,Продажи!$C$5:$C$359,Конструкторы!$A1092)</f>
        <v>0</v>
      </c>
      <c r="N1092" s="166">
        <f>SUMIFS(Продажи!K$5:K$359,Продажи!$D$5:$D$359,Конструкторы!$B1092,Продажи!$C$5:$C$359,Конструкторы!$A1092)</f>
        <v>0</v>
      </c>
      <c r="O1092" s="166">
        <f>SUMIFS(Продажи!L$5:L$359,Продажи!$D$5:$D$359,Конструкторы!$B1092,Продажи!$C$5:$C$359,Конструкторы!$A1092)</f>
        <v>0</v>
      </c>
      <c r="P1092" s="166">
        <f>SUMIFS(Продажи!M$5:M$359,Продажи!$D$5:$D$359,Конструкторы!$B1092,Продажи!$C$5:$C$359,Конструкторы!$A1092)</f>
        <v>0</v>
      </c>
      <c r="Q1092" s="166">
        <f>SUMIFS(Продажи!N$5:N$359,Продажи!$D$5:$D$359,Конструкторы!$B1092,Продажи!$C$5:$C$359,Конструкторы!$A1092)</f>
        <v>0</v>
      </c>
      <c r="R1092" s="166">
        <f>SUMIFS(Продажи!O$5:O$359,Продажи!$D$5:$D$359,Конструкторы!$B1092,Продажи!$C$5:$C$359,Конструкторы!$A1092)</f>
        <v>0</v>
      </c>
      <c r="S1092" s="166">
        <f>SUMIFS(Продажи!P$5:P$359,Продажи!$D$5:$D$359,Конструкторы!$B1092,Продажи!$C$5:$C$359,Конструкторы!$A1092)</f>
        <v>0</v>
      </c>
      <c r="T1092" s="166">
        <f>SUMIFS(Продажи!Q$5:Q$359,Продажи!$D$5:$D$359,Конструкторы!$B1092,Продажи!$C$5:$C$359,Конструкторы!$A1092)</f>
        <v>0</v>
      </c>
    </row>
    <row r="1093" spans="1:20" ht="15.75" hidden="1" x14ac:dyDescent="0.25">
      <c r="A1093" s="166" t="s">
        <v>397</v>
      </c>
      <c r="B1093" s="167" t="s">
        <v>201</v>
      </c>
      <c r="C1093" s="33" t="s">
        <v>75</v>
      </c>
      <c r="D1093" s="149"/>
      <c r="E1093" s="153" t="s">
        <v>70</v>
      </c>
      <c r="F1093" s="148">
        <v>12</v>
      </c>
      <c r="G1093" s="156" t="s">
        <v>71</v>
      </c>
      <c r="H1093" s="156">
        <f>F1093</f>
        <v>12</v>
      </c>
      <c r="I1093" s="166">
        <f>SUMIFS(Продажи!F$5:F$359,Продажи!$D$5:$D$359,Конструкторы!$B1093,Продажи!$C$5:$C$359,Конструкторы!$A1093)</f>
        <v>61</v>
      </c>
      <c r="J1093" s="166">
        <f>SUMIFS(Продажи!G$5:G$359,Продажи!$D$5:$D$359,Конструкторы!$B1093,Продажи!$C$5:$C$359,Конструкторы!$A1093)</f>
        <v>0</v>
      </c>
      <c r="K1093" s="166">
        <f>SUMIFS(Продажи!H$5:H$359,Продажи!$D$5:$D$359,Конструкторы!$B1093,Продажи!$C$5:$C$359,Конструкторы!$A1093)</f>
        <v>0</v>
      </c>
      <c r="L1093" s="166">
        <f>SUMIFS(Продажи!I$5:I$359,Продажи!$D$5:$D$359,Конструкторы!$B1093,Продажи!$C$5:$C$359,Конструкторы!$A1093)</f>
        <v>0</v>
      </c>
      <c r="M1093" s="166">
        <f>SUMIFS(Продажи!J$5:J$359,Продажи!$D$5:$D$359,Конструкторы!$B1093,Продажи!$C$5:$C$359,Конструкторы!$A1093)</f>
        <v>0</v>
      </c>
      <c r="N1093" s="166">
        <f>SUMIFS(Продажи!K$5:K$359,Продажи!$D$5:$D$359,Конструкторы!$B1093,Продажи!$C$5:$C$359,Конструкторы!$A1093)</f>
        <v>0</v>
      </c>
      <c r="O1093" s="166">
        <f>SUMIFS(Продажи!L$5:L$359,Продажи!$D$5:$D$359,Конструкторы!$B1093,Продажи!$C$5:$C$359,Конструкторы!$A1093)</f>
        <v>0</v>
      </c>
      <c r="P1093" s="166">
        <f>SUMIFS(Продажи!M$5:M$359,Продажи!$D$5:$D$359,Конструкторы!$B1093,Продажи!$C$5:$C$359,Конструкторы!$A1093)</f>
        <v>0</v>
      </c>
      <c r="Q1093" s="166">
        <f>SUMIFS(Продажи!N$5:N$359,Продажи!$D$5:$D$359,Конструкторы!$B1093,Продажи!$C$5:$C$359,Конструкторы!$A1093)</f>
        <v>0</v>
      </c>
      <c r="R1093" s="166">
        <f>SUMIFS(Продажи!O$5:O$359,Продажи!$D$5:$D$359,Конструкторы!$B1093,Продажи!$C$5:$C$359,Конструкторы!$A1093)</f>
        <v>0</v>
      </c>
      <c r="S1093" s="166">
        <f>SUMIFS(Продажи!P$5:P$359,Продажи!$D$5:$D$359,Конструкторы!$B1093,Продажи!$C$5:$C$359,Конструкторы!$A1093)</f>
        <v>0</v>
      </c>
      <c r="T1093" s="166">
        <f>SUMIFS(Продажи!Q$5:Q$359,Продажи!$D$5:$D$359,Конструкторы!$B1093,Продажи!$C$5:$C$359,Конструкторы!$A1093)</f>
        <v>0</v>
      </c>
    </row>
    <row r="1094" spans="1:20" ht="15.75" hidden="1" x14ac:dyDescent="0.25">
      <c r="A1094" s="166" t="s">
        <v>397</v>
      </c>
      <c r="B1094" s="167" t="s">
        <v>201</v>
      </c>
      <c r="C1094" s="33" t="s">
        <v>69</v>
      </c>
      <c r="D1094" s="149"/>
      <c r="E1094" s="153" t="s">
        <v>70</v>
      </c>
      <c r="F1094" s="148">
        <v>10</v>
      </c>
      <c r="G1094" s="156" t="s">
        <v>71</v>
      </c>
      <c r="H1094" s="156">
        <f>F1094</f>
        <v>10</v>
      </c>
      <c r="I1094" s="166">
        <f>SUMIFS(Продажи!F$5:F$359,Продажи!$D$5:$D$359,Конструкторы!$B1094,Продажи!$C$5:$C$359,Конструкторы!$A1094)</f>
        <v>61</v>
      </c>
      <c r="J1094" s="166">
        <f>SUMIFS(Продажи!G$5:G$359,Продажи!$D$5:$D$359,Конструкторы!$B1094,Продажи!$C$5:$C$359,Конструкторы!$A1094)</f>
        <v>0</v>
      </c>
      <c r="K1094" s="166">
        <f>SUMIFS(Продажи!H$5:H$359,Продажи!$D$5:$D$359,Конструкторы!$B1094,Продажи!$C$5:$C$359,Конструкторы!$A1094)</f>
        <v>0</v>
      </c>
      <c r="L1094" s="166">
        <f>SUMIFS(Продажи!I$5:I$359,Продажи!$D$5:$D$359,Конструкторы!$B1094,Продажи!$C$5:$C$359,Конструкторы!$A1094)</f>
        <v>0</v>
      </c>
      <c r="M1094" s="166">
        <f>SUMIFS(Продажи!J$5:J$359,Продажи!$D$5:$D$359,Конструкторы!$B1094,Продажи!$C$5:$C$359,Конструкторы!$A1094)</f>
        <v>0</v>
      </c>
      <c r="N1094" s="166">
        <f>SUMIFS(Продажи!K$5:K$359,Продажи!$D$5:$D$359,Конструкторы!$B1094,Продажи!$C$5:$C$359,Конструкторы!$A1094)</f>
        <v>0</v>
      </c>
      <c r="O1094" s="166">
        <f>SUMIFS(Продажи!L$5:L$359,Продажи!$D$5:$D$359,Конструкторы!$B1094,Продажи!$C$5:$C$359,Конструкторы!$A1094)</f>
        <v>0</v>
      </c>
      <c r="P1094" s="166">
        <f>SUMIFS(Продажи!M$5:M$359,Продажи!$D$5:$D$359,Конструкторы!$B1094,Продажи!$C$5:$C$359,Конструкторы!$A1094)</f>
        <v>0</v>
      </c>
      <c r="Q1094" s="166">
        <f>SUMIFS(Продажи!N$5:N$359,Продажи!$D$5:$D$359,Конструкторы!$B1094,Продажи!$C$5:$C$359,Конструкторы!$A1094)</f>
        <v>0</v>
      </c>
      <c r="R1094" s="166">
        <f>SUMIFS(Продажи!O$5:O$359,Продажи!$D$5:$D$359,Конструкторы!$B1094,Продажи!$C$5:$C$359,Конструкторы!$A1094)</f>
        <v>0</v>
      </c>
      <c r="S1094" s="166">
        <f>SUMIFS(Продажи!P$5:P$359,Продажи!$D$5:$D$359,Конструкторы!$B1094,Продажи!$C$5:$C$359,Конструкторы!$A1094)</f>
        <v>0</v>
      </c>
      <c r="T1094" s="166">
        <f>SUMIFS(Продажи!Q$5:Q$359,Продажи!$D$5:$D$359,Конструкторы!$B1094,Продажи!$C$5:$C$359,Конструкторы!$A1094)</f>
        <v>0</v>
      </c>
    </row>
    <row r="1095" spans="1:20" ht="15.75" hidden="1" x14ac:dyDescent="0.25">
      <c r="A1095" s="166" t="s">
        <v>397</v>
      </c>
      <c r="B1095" s="167" t="s">
        <v>318</v>
      </c>
      <c r="C1095" s="129" t="s">
        <v>56</v>
      </c>
      <c r="D1095" s="149"/>
      <c r="E1095" s="153" t="s">
        <v>68</v>
      </c>
      <c r="F1095" s="156">
        <f>(0.7*103)/100</f>
        <v>0.72099999999999997</v>
      </c>
      <c r="G1095" s="156">
        <v>2.1000000000000019E-2</v>
      </c>
      <c r="H1095" s="156">
        <f>F1095+G1095</f>
        <v>0.74199999999999999</v>
      </c>
      <c r="I1095" s="166">
        <f>SUMIFS(Продажи!F$5:F$359,Продажи!$D$5:$D$359,Конструкторы!$B1095,Продажи!$C$5:$C$359,Конструкторы!$A1095)</f>
        <v>0</v>
      </c>
      <c r="J1095" s="166">
        <f>SUMIFS(Продажи!G$5:G$359,Продажи!$D$5:$D$359,Конструкторы!$B1095,Продажи!$C$5:$C$359,Конструкторы!$A1095)</f>
        <v>0</v>
      </c>
      <c r="K1095" s="166">
        <f>SUMIFS(Продажи!H$5:H$359,Продажи!$D$5:$D$359,Конструкторы!$B1095,Продажи!$C$5:$C$359,Конструкторы!$A1095)</f>
        <v>0</v>
      </c>
      <c r="L1095" s="166">
        <f>SUMIFS(Продажи!I$5:I$359,Продажи!$D$5:$D$359,Конструкторы!$B1095,Продажи!$C$5:$C$359,Конструкторы!$A1095)</f>
        <v>0</v>
      </c>
      <c r="M1095" s="166">
        <f>SUMIFS(Продажи!J$5:J$359,Продажи!$D$5:$D$359,Конструкторы!$B1095,Продажи!$C$5:$C$359,Конструкторы!$A1095)</f>
        <v>0</v>
      </c>
      <c r="N1095" s="166">
        <f>SUMIFS(Продажи!K$5:K$359,Продажи!$D$5:$D$359,Конструкторы!$B1095,Продажи!$C$5:$C$359,Конструкторы!$A1095)</f>
        <v>0</v>
      </c>
      <c r="O1095" s="166">
        <f>SUMIFS(Продажи!L$5:L$359,Продажи!$D$5:$D$359,Конструкторы!$B1095,Продажи!$C$5:$C$359,Конструкторы!$A1095)</f>
        <v>0</v>
      </c>
      <c r="P1095" s="166">
        <f>SUMIFS(Продажи!M$5:M$359,Продажи!$D$5:$D$359,Конструкторы!$B1095,Продажи!$C$5:$C$359,Конструкторы!$A1095)</f>
        <v>0</v>
      </c>
      <c r="Q1095" s="166">
        <f>SUMIFS(Продажи!N$5:N$359,Продажи!$D$5:$D$359,Конструкторы!$B1095,Продажи!$C$5:$C$359,Конструкторы!$A1095)</f>
        <v>0</v>
      </c>
      <c r="R1095" s="166">
        <f>SUMIFS(Продажи!O$5:O$359,Продажи!$D$5:$D$359,Конструкторы!$B1095,Продажи!$C$5:$C$359,Конструкторы!$A1095)</f>
        <v>0</v>
      </c>
      <c r="S1095" s="166">
        <f>SUMIFS(Продажи!P$5:P$359,Продажи!$D$5:$D$359,Конструкторы!$B1095,Продажи!$C$5:$C$359,Конструкторы!$A1095)</f>
        <v>0</v>
      </c>
      <c r="T1095" s="166">
        <f>SUMIFS(Продажи!Q$5:Q$359,Продажи!$D$5:$D$359,Конструкторы!$B1095,Продажи!$C$5:$C$359,Конструкторы!$A1095)</f>
        <v>0</v>
      </c>
    </row>
    <row r="1096" spans="1:20" ht="15.75" hidden="1" x14ac:dyDescent="0.25">
      <c r="A1096" s="166" t="s">
        <v>397</v>
      </c>
      <c r="B1096" s="167" t="s">
        <v>318</v>
      </c>
      <c r="C1096" s="33" t="s">
        <v>88</v>
      </c>
      <c r="D1096" s="149"/>
      <c r="E1096" s="153" t="s">
        <v>70</v>
      </c>
      <c r="F1096" s="148">
        <v>2</v>
      </c>
      <c r="G1096" s="156" t="s">
        <v>71</v>
      </c>
      <c r="H1096" s="156">
        <f>F1096</f>
        <v>2</v>
      </c>
      <c r="I1096" s="166">
        <f>SUMIFS(Продажи!F$5:F$359,Продажи!$D$5:$D$359,Конструкторы!$B1096,Продажи!$C$5:$C$359,Конструкторы!$A1096)</f>
        <v>0</v>
      </c>
      <c r="J1096" s="166">
        <f>SUMIFS(Продажи!G$5:G$359,Продажи!$D$5:$D$359,Конструкторы!$B1096,Продажи!$C$5:$C$359,Конструкторы!$A1096)</f>
        <v>0</v>
      </c>
      <c r="K1096" s="166">
        <f>SUMIFS(Продажи!H$5:H$359,Продажи!$D$5:$D$359,Конструкторы!$B1096,Продажи!$C$5:$C$359,Конструкторы!$A1096)</f>
        <v>0</v>
      </c>
      <c r="L1096" s="166">
        <f>SUMIFS(Продажи!I$5:I$359,Продажи!$D$5:$D$359,Конструкторы!$B1096,Продажи!$C$5:$C$359,Конструкторы!$A1096)</f>
        <v>0</v>
      </c>
      <c r="M1096" s="166">
        <f>SUMIFS(Продажи!J$5:J$359,Продажи!$D$5:$D$359,Конструкторы!$B1096,Продажи!$C$5:$C$359,Конструкторы!$A1096)</f>
        <v>0</v>
      </c>
      <c r="N1096" s="166">
        <f>SUMIFS(Продажи!K$5:K$359,Продажи!$D$5:$D$359,Конструкторы!$B1096,Продажи!$C$5:$C$359,Конструкторы!$A1096)</f>
        <v>0</v>
      </c>
      <c r="O1096" s="166">
        <f>SUMIFS(Продажи!L$5:L$359,Продажи!$D$5:$D$359,Конструкторы!$B1096,Продажи!$C$5:$C$359,Конструкторы!$A1096)</f>
        <v>0</v>
      </c>
      <c r="P1096" s="166">
        <f>SUMIFS(Продажи!M$5:M$359,Продажи!$D$5:$D$359,Конструкторы!$B1096,Продажи!$C$5:$C$359,Конструкторы!$A1096)</f>
        <v>0</v>
      </c>
      <c r="Q1096" s="166">
        <f>SUMIFS(Продажи!N$5:N$359,Продажи!$D$5:$D$359,Конструкторы!$B1096,Продажи!$C$5:$C$359,Конструкторы!$A1096)</f>
        <v>0</v>
      </c>
      <c r="R1096" s="166">
        <f>SUMIFS(Продажи!O$5:O$359,Продажи!$D$5:$D$359,Конструкторы!$B1096,Продажи!$C$5:$C$359,Конструкторы!$A1096)</f>
        <v>0</v>
      </c>
      <c r="S1096" s="166">
        <f>SUMIFS(Продажи!P$5:P$359,Продажи!$D$5:$D$359,Конструкторы!$B1096,Продажи!$C$5:$C$359,Конструкторы!$A1096)</f>
        <v>0</v>
      </c>
      <c r="T1096" s="166">
        <f>SUMIFS(Продажи!Q$5:Q$359,Продажи!$D$5:$D$359,Конструкторы!$B1096,Продажи!$C$5:$C$359,Конструкторы!$A1096)</f>
        <v>0</v>
      </c>
    </row>
    <row r="1097" spans="1:20" ht="15.75" hidden="1" x14ac:dyDescent="0.25">
      <c r="A1097" s="166" t="s">
        <v>397</v>
      </c>
      <c r="B1097" s="167" t="s">
        <v>318</v>
      </c>
      <c r="C1097" s="33" t="s">
        <v>75</v>
      </c>
      <c r="D1097" s="149"/>
      <c r="E1097" s="153" t="s">
        <v>70</v>
      </c>
      <c r="F1097" s="148">
        <v>8</v>
      </c>
      <c r="G1097" s="156" t="s">
        <v>71</v>
      </c>
      <c r="H1097" s="156">
        <f>F1097</f>
        <v>8</v>
      </c>
      <c r="I1097" s="166">
        <f>SUMIFS(Продажи!F$5:F$359,Продажи!$D$5:$D$359,Конструкторы!$B1097,Продажи!$C$5:$C$359,Конструкторы!$A1097)</f>
        <v>0</v>
      </c>
      <c r="J1097" s="166">
        <f>SUMIFS(Продажи!G$5:G$359,Продажи!$D$5:$D$359,Конструкторы!$B1097,Продажи!$C$5:$C$359,Конструкторы!$A1097)</f>
        <v>0</v>
      </c>
      <c r="K1097" s="166">
        <f>SUMIFS(Продажи!H$5:H$359,Продажи!$D$5:$D$359,Конструкторы!$B1097,Продажи!$C$5:$C$359,Конструкторы!$A1097)</f>
        <v>0</v>
      </c>
      <c r="L1097" s="166">
        <f>SUMIFS(Продажи!I$5:I$359,Продажи!$D$5:$D$359,Конструкторы!$B1097,Продажи!$C$5:$C$359,Конструкторы!$A1097)</f>
        <v>0</v>
      </c>
      <c r="M1097" s="166">
        <f>SUMIFS(Продажи!J$5:J$359,Продажи!$D$5:$D$359,Конструкторы!$B1097,Продажи!$C$5:$C$359,Конструкторы!$A1097)</f>
        <v>0</v>
      </c>
      <c r="N1097" s="166">
        <f>SUMIFS(Продажи!K$5:K$359,Продажи!$D$5:$D$359,Конструкторы!$B1097,Продажи!$C$5:$C$359,Конструкторы!$A1097)</f>
        <v>0</v>
      </c>
      <c r="O1097" s="166">
        <f>SUMIFS(Продажи!L$5:L$359,Продажи!$D$5:$D$359,Конструкторы!$B1097,Продажи!$C$5:$C$359,Конструкторы!$A1097)</f>
        <v>0</v>
      </c>
      <c r="P1097" s="166">
        <f>SUMIFS(Продажи!M$5:M$359,Продажи!$D$5:$D$359,Конструкторы!$B1097,Продажи!$C$5:$C$359,Конструкторы!$A1097)</f>
        <v>0</v>
      </c>
      <c r="Q1097" s="166">
        <f>SUMIFS(Продажи!N$5:N$359,Продажи!$D$5:$D$359,Конструкторы!$B1097,Продажи!$C$5:$C$359,Конструкторы!$A1097)</f>
        <v>0</v>
      </c>
      <c r="R1097" s="166">
        <f>SUMIFS(Продажи!O$5:O$359,Продажи!$D$5:$D$359,Конструкторы!$B1097,Продажи!$C$5:$C$359,Конструкторы!$A1097)</f>
        <v>0</v>
      </c>
      <c r="S1097" s="166">
        <f>SUMIFS(Продажи!P$5:P$359,Продажи!$D$5:$D$359,Конструкторы!$B1097,Продажи!$C$5:$C$359,Конструкторы!$A1097)</f>
        <v>0</v>
      </c>
      <c r="T1097" s="166">
        <f>SUMIFS(Продажи!Q$5:Q$359,Продажи!$D$5:$D$359,Конструкторы!$B1097,Продажи!$C$5:$C$359,Конструкторы!$A1097)</f>
        <v>0</v>
      </c>
    </row>
    <row r="1098" spans="1:20" ht="15.75" hidden="1" x14ac:dyDescent="0.25">
      <c r="A1098" s="166" t="s">
        <v>397</v>
      </c>
      <c r="B1098" s="167" t="s">
        <v>319</v>
      </c>
      <c r="C1098" s="129" t="s">
        <v>56</v>
      </c>
      <c r="D1098" s="149"/>
      <c r="E1098" s="153" t="s">
        <v>68</v>
      </c>
      <c r="F1098" s="156">
        <f>(0.2*103)/100</f>
        <v>0.20600000000000002</v>
      </c>
      <c r="G1098" s="156">
        <v>6.0000000000000053E-3</v>
      </c>
      <c r="H1098" s="156">
        <f>F1098+G1098</f>
        <v>0.21200000000000002</v>
      </c>
      <c r="I1098" s="166">
        <f>SUMIFS(Продажи!F$5:F$359,Продажи!$D$5:$D$359,Конструкторы!$B1098,Продажи!$C$5:$C$359,Конструкторы!$A1098)</f>
        <v>0</v>
      </c>
      <c r="J1098" s="166">
        <f>SUMIFS(Продажи!G$5:G$359,Продажи!$D$5:$D$359,Конструкторы!$B1098,Продажи!$C$5:$C$359,Конструкторы!$A1098)</f>
        <v>0</v>
      </c>
      <c r="K1098" s="166">
        <f>SUMIFS(Продажи!H$5:H$359,Продажи!$D$5:$D$359,Конструкторы!$B1098,Продажи!$C$5:$C$359,Конструкторы!$A1098)</f>
        <v>0</v>
      </c>
      <c r="L1098" s="166">
        <f>SUMIFS(Продажи!I$5:I$359,Продажи!$D$5:$D$359,Конструкторы!$B1098,Продажи!$C$5:$C$359,Конструкторы!$A1098)</f>
        <v>0</v>
      </c>
      <c r="M1098" s="166">
        <f>SUMIFS(Продажи!J$5:J$359,Продажи!$D$5:$D$359,Конструкторы!$B1098,Продажи!$C$5:$C$359,Конструкторы!$A1098)</f>
        <v>0</v>
      </c>
      <c r="N1098" s="166">
        <f>SUMIFS(Продажи!K$5:K$359,Продажи!$D$5:$D$359,Конструкторы!$B1098,Продажи!$C$5:$C$359,Конструкторы!$A1098)</f>
        <v>0</v>
      </c>
      <c r="O1098" s="166">
        <f>SUMIFS(Продажи!L$5:L$359,Продажи!$D$5:$D$359,Конструкторы!$B1098,Продажи!$C$5:$C$359,Конструкторы!$A1098)</f>
        <v>0</v>
      </c>
      <c r="P1098" s="166">
        <f>SUMIFS(Продажи!M$5:M$359,Продажи!$D$5:$D$359,Конструкторы!$B1098,Продажи!$C$5:$C$359,Конструкторы!$A1098)</f>
        <v>0</v>
      </c>
      <c r="Q1098" s="166">
        <f>SUMIFS(Продажи!N$5:N$359,Продажи!$D$5:$D$359,Конструкторы!$B1098,Продажи!$C$5:$C$359,Конструкторы!$A1098)</f>
        <v>0</v>
      </c>
      <c r="R1098" s="166">
        <f>SUMIFS(Продажи!O$5:O$359,Продажи!$D$5:$D$359,Конструкторы!$B1098,Продажи!$C$5:$C$359,Конструкторы!$A1098)</f>
        <v>0</v>
      </c>
      <c r="S1098" s="166">
        <f>SUMIFS(Продажи!P$5:P$359,Продажи!$D$5:$D$359,Конструкторы!$B1098,Продажи!$C$5:$C$359,Конструкторы!$A1098)</f>
        <v>0</v>
      </c>
      <c r="T1098" s="166">
        <f>SUMIFS(Продажи!Q$5:Q$359,Продажи!$D$5:$D$359,Конструкторы!$B1098,Продажи!$C$5:$C$359,Конструкторы!$A1098)</f>
        <v>0</v>
      </c>
    </row>
    <row r="1099" spans="1:20" ht="15.75" hidden="1" x14ac:dyDescent="0.25">
      <c r="A1099" s="166" t="s">
        <v>397</v>
      </c>
      <c r="B1099" s="167" t="s">
        <v>319</v>
      </c>
      <c r="C1099" s="129" t="s">
        <v>57</v>
      </c>
      <c r="D1099" s="149"/>
      <c r="E1099" s="153" t="s">
        <v>68</v>
      </c>
      <c r="F1099" s="156">
        <f>(0.5*103)/100</f>
        <v>0.51500000000000001</v>
      </c>
      <c r="G1099" s="156">
        <v>1.5000000000000013E-2</v>
      </c>
      <c r="H1099" s="156">
        <f>F1099+G1099</f>
        <v>0.53</v>
      </c>
      <c r="I1099" s="166">
        <f>SUMIFS(Продажи!F$5:F$359,Продажи!$D$5:$D$359,Конструкторы!$B1099,Продажи!$C$5:$C$359,Конструкторы!$A1099)</f>
        <v>0</v>
      </c>
      <c r="J1099" s="166">
        <f>SUMIFS(Продажи!G$5:G$359,Продажи!$D$5:$D$359,Конструкторы!$B1099,Продажи!$C$5:$C$359,Конструкторы!$A1099)</f>
        <v>0</v>
      </c>
      <c r="K1099" s="166">
        <f>SUMIFS(Продажи!H$5:H$359,Продажи!$D$5:$D$359,Конструкторы!$B1099,Продажи!$C$5:$C$359,Конструкторы!$A1099)</f>
        <v>0</v>
      </c>
      <c r="L1099" s="166">
        <f>SUMIFS(Продажи!I$5:I$359,Продажи!$D$5:$D$359,Конструкторы!$B1099,Продажи!$C$5:$C$359,Конструкторы!$A1099)</f>
        <v>0</v>
      </c>
      <c r="M1099" s="166">
        <f>SUMIFS(Продажи!J$5:J$359,Продажи!$D$5:$D$359,Конструкторы!$B1099,Продажи!$C$5:$C$359,Конструкторы!$A1099)</f>
        <v>0</v>
      </c>
      <c r="N1099" s="166">
        <f>SUMIFS(Продажи!K$5:K$359,Продажи!$D$5:$D$359,Конструкторы!$B1099,Продажи!$C$5:$C$359,Конструкторы!$A1099)</f>
        <v>0</v>
      </c>
      <c r="O1099" s="166">
        <f>SUMIFS(Продажи!L$5:L$359,Продажи!$D$5:$D$359,Конструкторы!$B1099,Продажи!$C$5:$C$359,Конструкторы!$A1099)</f>
        <v>0</v>
      </c>
      <c r="P1099" s="166">
        <f>SUMIFS(Продажи!M$5:M$359,Продажи!$D$5:$D$359,Конструкторы!$B1099,Продажи!$C$5:$C$359,Конструкторы!$A1099)</f>
        <v>0</v>
      </c>
      <c r="Q1099" s="166">
        <f>SUMIFS(Продажи!N$5:N$359,Продажи!$D$5:$D$359,Конструкторы!$B1099,Продажи!$C$5:$C$359,Конструкторы!$A1099)</f>
        <v>0</v>
      </c>
      <c r="R1099" s="166">
        <f>SUMIFS(Продажи!O$5:O$359,Продажи!$D$5:$D$359,Конструкторы!$B1099,Продажи!$C$5:$C$359,Конструкторы!$A1099)</f>
        <v>0</v>
      </c>
      <c r="S1099" s="166">
        <f>SUMIFS(Продажи!P$5:P$359,Продажи!$D$5:$D$359,Конструкторы!$B1099,Продажи!$C$5:$C$359,Конструкторы!$A1099)</f>
        <v>0</v>
      </c>
      <c r="T1099" s="166">
        <f>SUMIFS(Продажи!Q$5:Q$359,Продажи!$D$5:$D$359,Конструкторы!$B1099,Продажи!$C$5:$C$359,Конструкторы!$A1099)</f>
        <v>0</v>
      </c>
    </row>
    <row r="1100" spans="1:20" ht="15.75" hidden="1" x14ac:dyDescent="0.25">
      <c r="A1100" s="166" t="s">
        <v>397</v>
      </c>
      <c r="B1100" s="167" t="s">
        <v>319</v>
      </c>
      <c r="C1100" s="33" t="s">
        <v>88</v>
      </c>
      <c r="D1100" s="149"/>
      <c r="E1100" s="153" t="s">
        <v>70</v>
      </c>
      <c r="F1100" s="148">
        <v>2</v>
      </c>
      <c r="G1100" s="156" t="s">
        <v>71</v>
      </c>
      <c r="H1100" s="156">
        <f>F1100</f>
        <v>2</v>
      </c>
      <c r="I1100" s="166">
        <f>SUMIFS(Продажи!F$5:F$359,Продажи!$D$5:$D$359,Конструкторы!$B1100,Продажи!$C$5:$C$359,Конструкторы!$A1100)</f>
        <v>0</v>
      </c>
      <c r="J1100" s="166">
        <f>SUMIFS(Продажи!G$5:G$359,Продажи!$D$5:$D$359,Конструкторы!$B1100,Продажи!$C$5:$C$359,Конструкторы!$A1100)</f>
        <v>0</v>
      </c>
      <c r="K1100" s="166">
        <f>SUMIFS(Продажи!H$5:H$359,Продажи!$D$5:$D$359,Конструкторы!$B1100,Продажи!$C$5:$C$359,Конструкторы!$A1100)</f>
        <v>0</v>
      </c>
      <c r="L1100" s="166">
        <f>SUMIFS(Продажи!I$5:I$359,Продажи!$D$5:$D$359,Конструкторы!$B1100,Продажи!$C$5:$C$359,Конструкторы!$A1100)</f>
        <v>0</v>
      </c>
      <c r="M1100" s="166">
        <f>SUMIFS(Продажи!J$5:J$359,Продажи!$D$5:$D$359,Конструкторы!$B1100,Продажи!$C$5:$C$359,Конструкторы!$A1100)</f>
        <v>0</v>
      </c>
      <c r="N1100" s="166">
        <f>SUMIFS(Продажи!K$5:K$359,Продажи!$D$5:$D$359,Конструкторы!$B1100,Продажи!$C$5:$C$359,Конструкторы!$A1100)</f>
        <v>0</v>
      </c>
      <c r="O1100" s="166">
        <f>SUMIFS(Продажи!L$5:L$359,Продажи!$D$5:$D$359,Конструкторы!$B1100,Продажи!$C$5:$C$359,Конструкторы!$A1100)</f>
        <v>0</v>
      </c>
      <c r="P1100" s="166">
        <f>SUMIFS(Продажи!M$5:M$359,Продажи!$D$5:$D$359,Конструкторы!$B1100,Продажи!$C$5:$C$359,Конструкторы!$A1100)</f>
        <v>0</v>
      </c>
      <c r="Q1100" s="166">
        <f>SUMIFS(Продажи!N$5:N$359,Продажи!$D$5:$D$359,Конструкторы!$B1100,Продажи!$C$5:$C$359,Конструкторы!$A1100)</f>
        <v>0</v>
      </c>
      <c r="R1100" s="166">
        <f>SUMIFS(Продажи!O$5:O$359,Продажи!$D$5:$D$359,Конструкторы!$B1100,Продажи!$C$5:$C$359,Конструкторы!$A1100)</f>
        <v>0</v>
      </c>
      <c r="S1100" s="166">
        <f>SUMIFS(Продажи!P$5:P$359,Продажи!$D$5:$D$359,Конструкторы!$B1100,Продажи!$C$5:$C$359,Конструкторы!$A1100)</f>
        <v>0</v>
      </c>
      <c r="T1100" s="166">
        <f>SUMIFS(Продажи!Q$5:Q$359,Продажи!$D$5:$D$359,Конструкторы!$B1100,Продажи!$C$5:$C$359,Конструкторы!$A1100)</f>
        <v>0</v>
      </c>
    </row>
    <row r="1101" spans="1:20" ht="15.75" hidden="1" x14ac:dyDescent="0.25">
      <c r="A1101" s="166" t="s">
        <v>397</v>
      </c>
      <c r="B1101" s="167" t="s">
        <v>319</v>
      </c>
      <c r="C1101" s="33" t="s">
        <v>75</v>
      </c>
      <c r="D1101" s="149"/>
      <c r="E1101" s="153" t="s">
        <v>70</v>
      </c>
      <c r="F1101" s="148">
        <v>8</v>
      </c>
      <c r="G1101" s="156" t="s">
        <v>71</v>
      </c>
      <c r="H1101" s="156">
        <f>F1101</f>
        <v>8</v>
      </c>
      <c r="I1101" s="166">
        <f>SUMIFS(Продажи!F$5:F$359,Продажи!$D$5:$D$359,Конструкторы!$B1101,Продажи!$C$5:$C$359,Конструкторы!$A1101)</f>
        <v>0</v>
      </c>
      <c r="J1101" s="166">
        <f>SUMIFS(Продажи!G$5:G$359,Продажи!$D$5:$D$359,Конструкторы!$B1101,Продажи!$C$5:$C$359,Конструкторы!$A1101)</f>
        <v>0</v>
      </c>
      <c r="K1101" s="166">
        <f>SUMIFS(Продажи!H$5:H$359,Продажи!$D$5:$D$359,Конструкторы!$B1101,Продажи!$C$5:$C$359,Конструкторы!$A1101)</f>
        <v>0</v>
      </c>
      <c r="L1101" s="166">
        <f>SUMIFS(Продажи!I$5:I$359,Продажи!$D$5:$D$359,Конструкторы!$B1101,Продажи!$C$5:$C$359,Конструкторы!$A1101)</f>
        <v>0</v>
      </c>
      <c r="M1101" s="166">
        <f>SUMIFS(Продажи!J$5:J$359,Продажи!$D$5:$D$359,Конструкторы!$B1101,Продажи!$C$5:$C$359,Конструкторы!$A1101)</f>
        <v>0</v>
      </c>
      <c r="N1101" s="166">
        <f>SUMIFS(Продажи!K$5:K$359,Продажи!$D$5:$D$359,Конструкторы!$B1101,Продажи!$C$5:$C$359,Конструкторы!$A1101)</f>
        <v>0</v>
      </c>
      <c r="O1101" s="166">
        <f>SUMIFS(Продажи!L$5:L$359,Продажи!$D$5:$D$359,Конструкторы!$B1101,Продажи!$C$5:$C$359,Конструкторы!$A1101)</f>
        <v>0</v>
      </c>
      <c r="P1101" s="166">
        <f>SUMIFS(Продажи!M$5:M$359,Продажи!$D$5:$D$359,Конструкторы!$B1101,Продажи!$C$5:$C$359,Конструкторы!$A1101)</f>
        <v>0</v>
      </c>
      <c r="Q1101" s="166">
        <f>SUMIFS(Продажи!N$5:N$359,Продажи!$D$5:$D$359,Конструкторы!$B1101,Продажи!$C$5:$C$359,Конструкторы!$A1101)</f>
        <v>0</v>
      </c>
      <c r="R1101" s="166">
        <f>SUMIFS(Продажи!O$5:O$359,Продажи!$D$5:$D$359,Конструкторы!$B1101,Продажи!$C$5:$C$359,Конструкторы!$A1101)</f>
        <v>0</v>
      </c>
      <c r="S1101" s="166">
        <f>SUMIFS(Продажи!P$5:P$359,Продажи!$D$5:$D$359,Конструкторы!$B1101,Продажи!$C$5:$C$359,Конструкторы!$A1101)</f>
        <v>0</v>
      </c>
      <c r="T1101" s="166">
        <f>SUMIFS(Продажи!Q$5:Q$359,Продажи!$D$5:$D$359,Конструкторы!$B1101,Продажи!$C$5:$C$359,Конструкторы!$A1101)</f>
        <v>0</v>
      </c>
    </row>
    <row r="1102" spans="1:20" ht="15.75" hidden="1" x14ac:dyDescent="0.25">
      <c r="A1102" s="166" t="s">
        <v>397</v>
      </c>
      <c r="B1102" s="167" t="s">
        <v>320</v>
      </c>
      <c r="C1102" s="129" t="s">
        <v>56</v>
      </c>
      <c r="D1102" s="149"/>
      <c r="E1102" s="153" t="s">
        <v>68</v>
      </c>
      <c r="F1102" s="156">
        <f>(0.502*103)/100</f>
        <v>0.51706000000000008</v>
      </c>
      <c r="G1102" s="156">
        <v>1.5060000000000073E-2</v>
      </c>
      <c r="H1102" s="156">
        <f>F1102+G1102</f>
        <v>0.53212000000000015</v>
      </c>
      <c r="I1102" s="166">
        <f>SUMIFS(Продажи!F$5:F$359,Продажи!$D$5:$D$359,Конструкторы!$B1102,Продажи!$C$5:$C$359,Конструкторы!$A1102)</f>
        <v>0</v>
      </c>
      <c r="J1102" s="166">
        <f>SUMIFS(Продажи!G$5:G$359,Продажи!$D$5:$D$359,Конструкторы!$B1102,Продажи!$C$5:$C$359,Конструкторы!$A1102)</f>
        <v>0</v>
      </c>
      <c r="K1102" s="166">
        <f>SUMIFS(Продажи!H$5:H$359,Продажи!$D$5:$D$359,Конструкторы!$B1102,Продажи!$C$5:$C$359,Конструкторы!$A1102)</f>
        <v>0</v>
      </c>
      <c r="L1102" s="166">
        <f>SUMIFS(Продажи!I$5:I$359,Продажи!$D$5:$D$359,Конструкторы!$B1102,Продажи!$C$5:$C$359,Конструкторы!$A1102)</f>
        <v>0</v>
      </c>
      <c r="M1102" s="166">
        <f>SUMIFS(Продажи!J$5:J$359,Продажи!$D$5:$D$359,Конструкторы!$B1102,Продажи!$C$5:$C$359,Конструкторы!$A1102)</f>
        <v>0</v>
      </c>
      <c r="N1102" s="166">
        <f>SUMIFS(Продажи!K$5:K$359,Продажи!$D$5:$D$359,Конструкторы!$B1102,Продажи!$C$5:$C$359,Конструкторы!$A1102)</f>
        <v>0</v>
      </c>
      <c r="O1102" s="166">
        <f>SUMIFS(Продажи!L$5:L$359,Продажи!$D$5:$D$359,Конструкторы!$B1102,Продажи!$C$5:$C$359,Конструкторы!$A1102)</f>
        <v>0</v>
      </c>
      <c r="P1102" s="166">
        <f>SUMIFS(Продажи!M$5:M$359,Продажи!$D$5:$D$359,Конструкторы!$B1102,Продажи!$C$5:$C$359,Конструкторы!$A1102)</f>
        <v>0</v>
      </c>
      <c r="Q1102" s="166">
        <f>SUMIFS(Продажи!N$5:N$359,Продажи!$D$5:$D$359,Конструкторы!$B1102,Продажи!$C$5:$C$359,Конструкторы!$A1102)</f>
        <v>0</v>
      </c>
      <c r="R1102" s="166">
        <f>SUMIFS(Продажи!O$5:O$359,Продажи!$D$5:$D$359,Конструкторы!$B1102,Продажи!$C$5:$C$359,Конструкторы!$A1102)</f>
        <v>0</v>
      </c>
      <c r="S1102" s="166">
        <f>SUMIFS(Продажи!P$5:P$359,Продажи!$D$5:$D$359,Конструкторы!$B1102,Продажи!$C$5:$C$359,Конструкторы!$A1102)</f>
        <v>0</v>
      </c>
      <c r="T1102" s="166">
        <f>SUMIFS(Продажи!Q$5:Q$359,Продажи!$D$5:$D$359,Конструкторы!$B1102,Продажи!$C$5:$C$359,Конструкторы!$A1102)</f>
        <v>0</v>
      </c>
    </row>
    <row r="1103" spans="1:20" ht="15.75" hidden="1" x14ac:dyDescent="0.25">
      <c r="A1103" s="166" t="s">
        <v>397</v>
      </c>
      <c r="B1103" s="167" t="s">
        <v>320</v>
      </c>
      <c r="C1103" s="129" t="s">
        <v>57</v>
      </c>
      <c r="D1103" s="149"/>
      <c r="E1103" s="153" t="s">
        <v>68</v>
      </c>
      <c r="F1103" s="156">
        <f>(0.297*103)/100</f>
        <v>0.30590999999999996</v>
      </c>
      <c r="G1103" s="156">
        <v>8.9099999999999735E-3</v>
      </c>
      <c r="H1103" s="156">
        <f>F1103+G1103</f>
        <v>0.31481999999999993</v>
      </c>
      <c r="I1103" s="166">
        <f>SUMIFS(Продажи!F$5:F$359,Продажи!$D$5:$D$359,Конструкторы!$B1103,Продажи!$C$5:$C$359,Конструкторы!$A1103)</f>
        <v>0</v>
      </c>
      <c r="J1103" s="166">
        <f>SUMIFS(Продажи!G$5:G$359,Продажи!$D$5:$D$359,Конструкторы!$B1103,Продажи!$C$5:$C$359,Конструкторы!$A1103)</f>
        <v>0</v>
      </c>
      <c r="K1103" s="166">
        <f>SUMIFS(Продажи!H$5:H$359,Продажи!$D$5:$D$359,Конструкторы!$B1103,Продажи!$C$5:$C$359,Конструкторы!$A1103)</f>
        <v>0</v>
      </c>
      <c r="L1103" s="166">
        <f>SUMIFS(Продажи!I$5:I$359,Продажи!$D$5:$D$359,Конструкторы!$B1103,Продажи!$C$5:$C$359,Конструкторы!$A1103)</f>
        <v>0</v>
      </c>
      <c r="M1103" s="166">
        <f>SUMIFS(Продажи!J$5:J$359,Продажи!$D$5:$D$359,Конструкторы!$B1103,Продажи!$C$5:$C$359,Конструкторы!$A1103)</f>
        <v>0</v>
      </c>
      <c r="N1103" s="166">
        <f>SUMIFS(Продажи!K$5:K$359,Продажи!$D$5:$D$359,Конструкторы!$B1103,Продажи!$C$5:$C$359,Конструкторы!$A1103)</f>
        <v>0</v>
      </c>
      <c r="O1103" s="166">
        <f>SUMIFS(Продажи!L$5:L$359,Продажи!$D$5:$D$359,Конструкторы!$B1103,Продажи!$C$5:$C$359,Конструкторы!$A1103)</f>
        <v>0</v>
      </c>
      <c r="P1103" s="166">
        <f>SUMIFS(Продажи!M$5:M$359,Продажи!$D$5:$D$359,Конструкторы!$B1103,Продажи!$C$5:$C$359,Конструкторы!$A1103)</f>
        <v>0</v>
      </c>
      <c r="Q1103" s="166">
        <f>SUMIFS(Продажи!N$5:N$359,Продажи!$D$5:$D$359,Конструкторы!$B1103,Продажи!$C$5:$C$359,Конструкторы!$A1103)</f>
        <v>0</v>
      </c>
      <c r="R1103" s="166">
        <f>SUMIFS(Продажи!O$5:O$359,Продажи!$D$5:$D$359,Конструкторы!$B1103,Продажи!$C$5:$C$359,Конструкторы!$A1103)</f>
        <v>0</v>
      </c>
      <c r="S1103" s="166">
        <f>SUMIFS(Продажи!P$5:P$359,Продажи!$D$5:$D$359,Конструкторы!$B1103,Продажи!$C$5:$C$359,Конструкторы!$A1103)</f>
        <v>0</v>
      </c>
      <c r="T1103" s="166">
        <f>SUMIFS(Продажи!Q$5:Q$359,Продажи!$D$5:$D$359,Конструкторы!$B1103,Продажи!$C$5:$C$359,Конструкторы!$A1103)</f>
        <v>0</v>
      </c>
    </row>
    <row r="1104" spans="1:20" ht="15.75" hidden="1" x14ac:dyDescent="0.25">
      <c r="A1104" s="166" t="s">
        <v>397</v>
      </c>
      <c r="B1104" s="167" t="s">
        <v>320</v>
      </c>
      <c r="C1104" s="129" t="s">
        <v>24</v>
      </c>
      <c r="D1104" s="149"/>
      <c r="E1104" s="153" t="s">
        <v>68</v>
      </c>
      <c r="F1104" s="156">
        <f>(0.05*103)/100</f>
        <v>5.1500000000000004E-2</v>
      </c>
      <c r="G1104" s="156">
        <v>1.5000000000000013E-3</v>
      </c>
      <c r="H1104" s="156">
        <f>F1104+G1104</f>
        <v>5.3000000000000005E-2</v>
      </c>
      <c r="I1104" s="166">
        <f>SUMIFS(Продажи!F$5:F$359,Продажи!$D$5:$D$359,Конструкторы!$B1104,Продажи!$C$5:$C$359,Конструкторы!$A1104)</f>
        <v>0</v>
      </c>
      <c r="J1104" s="166">
        <f>SUMIFS(Продажи!G$5:G$359,Продажи!$D$5:$D$359,Конструкторы!$B1104,Продажи!$C$5:$C$359,Конструкторы!$A1104)</f>
        <v>0</v>
      </c>
      <c r="K1104" s="166">
        <f>SUMIFS(Продажи!H$5:H$359,Продажи!$D$5:$D$359,Конструкторы!$B1104,Продажи!$C$5:$C$359,Конструкторы!$A1104)</f>
        <v>0</v>
      </c>
      <c r="L1104" s="166">
        <f>SUMIFS(Продажи!I$5:I$359,Продажи!$D$5:$D$359,Конструкторы!$B1104,Продажи!$C$5:$C$359,Конструкторы!$A1104)</f>
        <v>0</v>
      </c>
      <c r="M1104" s="166">
        <f>SUMIFS(Продажи!J$5:J$359,Продажи!$D$5:$D$359,Конструкторы!$B1104,Продажи!$C$5:$C$359,Конструкторы!$A1104)</f>
        <v>0</v>
      </c>
      <c r="N1104" s="166">
        <f>SUMIFS(Продажи!K$5:K$359,Продажи!$D$5:$D$359,Конструкторы!$B1104,Продажи!$C$5:$C$359,Конструкторы!$A1104)</f>
        <v>0</v>
      </c>
      <c r="O1104" s="166">
        <f>SUMIFS(Продажи!L$5:L$359,Продажи!$D$5:$D$359,Конструкторы!$B1104,Продажи!$C$5:$C$359,Конструкторы!$A1104)</f>
        <v>0</v>
      </c>
      <c r="P1104" s="166">
        <f>SUMIFS(Продажи!M$5:M$359,Продажи!$D$5:$D$359,Конструкторы!$B1104,Продажи!$C$5:$C$359,Конструкторы!$A1104)</f>
        <v>0</v>
      </c>
      <c r="Q1104" s="166">
        <f>SUMIFS(Продажи!N$5:N$359,Продажи!$D$5:$D$359,Конструкторы!$B1104,Продажи!$C$5:$C$359,Конструкторы!$A1104)</f>
        <v>0</v>
      </c>
      <c r="R1104" s="166">
        <f>SUMIFS(Продажи!O$5:O$359,Продажи!$D$5:$D$359,Конструкторы!$B1104,Продажи!$C$5:$C$359,Конструкторы!$A1104)</f>
        <v>0</v>
      </c>
      <c r="S1104" s="166">
        <f>SUMIFS(Продажи!P$5:P$359,Продажи!$D$5:$D$359,Конструкторы!$B1104,Продажи!$C$5:$C$359,Конструкторы!$A1104)</f>
        <v>0</v>
      </c>
      <c r="T1104" s="166">
        <f>SUMIFS(Продажи!Q$5:Q$359,Продажи!$D$5:$D$359,Конструкторы!$B1104,Продажи!$C$5:$C$359,Конструкторы!$A1104)</f>
        <v>0</v>
      </c>
    </row>
    <row r="1105" spans="1:20" ht="15.75" hidden="1" x14ac:dyDescent="0.25">
      <c r="A1105" s="166" t="s">
        <v>397</v>
      </c>
      <c r="B1105" s="167" t="s">
        <v>320</v>
      </c>
      <c r="C1105" s="33" t="s">
        <v>89</v>
      </c>
      <c r="D1105" s="149"/>
      <c r="E1105" s="153" t="s">
        <v>70</v>
      </c>
      <c r="F1105" s="159">
        <v>1</v>
      </c>
      <c r="G1105" s="156" t="s">
        <v>71</v>
      </c>
      <c r="H1105" s="156">
        <f>F1105</f>
        <v>1</v>
      </c>
      <c r="I1105" s="166">
        <f>SUMIFS(Продажи!F$5:F$359,Продажи!$D$5:$D$359,Конструкторы!$B1105,Продажи!$C$5:$C$359,Конструкторы!$A1105)</f>
        <v>0</v>
      </c>
      <c r="J1105" s="166">
        <f>SUMIFS(Продажи!G$5:G$359,Продажи!$D$5:$D$359,Конструкторы!$B1105,Продажи!$C$5:$C$359,Конструкторы!$A1105)</f>
        <v>0</v>
      </c>
      <c r="K1105" s="166">
        <f>SUMIFS(Продажи!H$5:H$359,Продажи!$D$5:$D$359,Конструкторы!$B1105,Продажи!$C$5:$C$359,Конструкторы!$A1105)</f>
        <v>0</v>
      </c>
      <c r="L1105" s="166">
        <f>SUMIFS(Продажи!I$5:I$359,Продажи!$D$5:$D$359,Конструкторы!$B1105,Продажи!$C$5:$C$359,Конструкторы!$A1105)</f>
        <v>0</v>
      </c>
      <c r="M1105" s="166">
        <f>SUMIFS(Продажи!J$5:J$359,Продажи!$D$5:$D$359,Конструкторы!$B1105,Продажи!$C$5:$C$359,Конструкторы!$A1105)</f>
        <v>0</v>
      </c>
      <c r="N1105" s="166">
        <f>SUMIFS(Продажи!K$5:K$359,Продажи!$D$5:$D$359,Конструкторы!$B1105,Продажи!$C$5:$C$359,Конструкторы!$A1105)</f>
        <v>0</v>
      </c>
      <c r="O1105" s="166">
        <f>SUMIFS(Продажи!L$5:L$359,Продажи!$D$5:$D$359,Конструкторы!$B1105,Продажи!$C$5:$C$359,Конструкторы!$A1105)</f>
        <v>0</v>
      </c>
      <c r="P1105" s="166">
        <f>SUMIFS(Продажи!M$5:M$359,Продажи!$D$5:$D$359,Конструкторы!$B1105,Продажи!$C$5:$C$359,Конструкторы!$A1105)</f>
        <v>0</v>
      </c>
      <c r="Q1105" s="166">
        <f>SUMIFS(Продажи!N$5:N$359,Продажи!$D$5:$D$359,Конструкторы!$B1105,Продажи!$C$5:$C$359,Конструкторы!$A1105)</f>
        <v>0</v>
      </c>
      <c r="R1105" s="166">
        <f>SUMIFS(Продажи!O$5:O$359,Продажи!$D$5:$D$359,Конструкторы!$B1105,Продажи!$C$5:$C$359,Конструкторы!$A1105)</f>
        <v>0</v>
      </c>
      <c r="S1105" s="166">
        <f>SUMIFS(Продажи!P$5:P$359,Продажи!$D$5:$D$359,Конструкторы!$B1105,Продажи!$C$5:$C$359,Конструкторы!$A1105)</f>
        <v>0</v>
      </c>
      <c r="T1105" s="166">
        <f>SUMIFS(Продажи!Q$5:Q$359,Продажи!$D$5:$D$359,Конструкторы!$B1105,Продажи!$C$5:$C$359,Конструкторы!$A1105)</f>
        <v>0</v>
      </c>
    </row>
    <row r="1106" spans="1:20" ht="15.75" hidden="1" x14ac:dyDescent="0.25">
      <c r="A1106" s="166" t="s">
        <v>397</v>
      </c>
      <c r="B1106" s="167" t="s">
        <v>320</v>
      </c>
      <c r="C1106" s="33" t="s">
        <v>88</v>
      </c>
      <c r="D1106" s="149"/>
      <c r="E1106" s="153" t="s">
        <v>70</v>
      </c>
      <c r="F1106" s="148">
        <v>2</v>
      </c>
      <c r="G1106" s="156" t="s">
        <v>71</v>
      </c>
      <c r="H1106" s="156">
        <f>F1106</f>
        <v>2</v>
      </c>
      <c r="I1106" s="166">
        <f>SUMIFS(Продажи!F$5:F$359,Продажи!$D$5:$D$359,Конструкторы!$B1106,Продажи!$C$5:$C$359,Конструкторы!$A1106)</f>
        <v>0</v>
      </c>
      <c r="J1106" s="166">
        <f>SUMIFS(Продажи!G$5:G$359,Продажи!$D$5:$D$359,Конструкторы!$B1106,Продажи!$C$5:$C$359,Конструкторы!$A1106)</f>
        <v>0</v>
      </c>
      <c r="K1106" s="166">
        <f>SUMIFS(Продажи!H$5:H$359,Продажи!$D$5:$D$359,Конструкторы!$B1106,Продажи!$C$5:$C$359,Конструкторы!$A1106)</f>
        <v>0</v>
      </c>
      <c r="L1106" s="166">
        <f>SUMIFS(Продажи!I$5:I$359,Продажи!$D$5:$D$359,Конструкторы!$B1106,Продажи!$C$5:$C$359,Конструкторы!$A1106)</f>
        <v>0</v>
      </c>
      <c r="M1106" s="166">
        <f>SUMIFS(Продажи!J$5:J$359,Продажи!$D$5:$D$359,Конструкторы!$B1106,Продажи!$C$5:$C$359,Конструкторы!$A1106)</f>
        <v>0</v>
      </c>
      <c r="N1106" s="166">
        <f>SUMIFS(Продажи!K$5:K$359,Продажи!$D$5:$D$359,Конструкторы!$B1106,Продажи!$C$5:$C$359,Конструкторы!$A1106)</f>
        <v>0</v>
      </c>
      <c r="O1106" s="166">
        <f>SUMIFS(Продажи!L$5:L$359,Продажи!$D$5:$D$359,Конструкторы!$B1106,Продажи!$C$5:$C$359,Конструкторы!$A1106)</f>
        <v>0</v>
      </c>
      <c r="P1106" s="166">
        <f>SUMIFS(Продажи!M$5:M$359,Продажи!$D$5:$D$359,Конструкторы!$B1106,Продажи!$C$5:$C$359,Конструкторы!$A1106)</f>
        <v>0</v>
      </c>
      <c r="Q1106" s="166">
        <f>SUMIFS(Продажи!N$5:N$359,Продажи!$D$5:$D$359,Конструкторы!$B1106,Продажи!$C$5:$C$359,Конструкторы!$A1106)</f>
        <v>0</v>
      </c>
      <c r="R1106" s="166">
        <f>SUMIFS(Продажи!O$5:O$359,Продажи!$D$5:$D$359,Конструкторы!$B1106,Продажи!$C$5:$C$359,Конструкторы!$A1106)</f>
        <v>0</v>
      </c>
      <c r="S1106" s="166">
        <f>SUMIFS(Продажи!P$5:P$359,Продажи!$D$5:$D$359,Конструкторы!$B1106,Продажи!$C$5:$C$359,Конструкторы!$A1106)</f>
        <v>0</v>
      </c>
      <c r="T1106" s="166">
        <f>SUMIFS(Продажи!Q$5:Q$359,Продажи!$D$5:$D$359,Конструкторы!$B1106,Продажи!$C$5:$C$359,Конструкторы!$A1106)</f>
        <v>0</v>
      </c>
    </row>
    <row r="1107" spans="1:20" ht="15.75" hidden="1" x14ac:dyDescent="0.25">
      <c r="A1107" s="166" t="s">
        <v>397</v>
      </c>
      <c r="B1107" s="167" t="s">
        <v>320</v>
      </c>
      <c r="C1107" s="33" t="s">
        <v>75</v>
      </c>
      <c r="D1107" s="149"/>
      <c r="E1107" s="153" t="s">
        <v>70</v>
      </c>
      <c r="F1107" s="148">
        <v>16</v>
      </c>
      <c r="G1107" s="156" t="s">
        <v>71</v>
      </c>
      <c r="H1107" s="156">
        <f>F1107</f>
        <v>16</v>
      </c>
      <c r="I1107" s="166">
        <f>SUMIFS(Продажи!F$5:F$359,Продажи!$D$5:$D$359,Конструкторы!$B1107,Продажи!$C$5:$C$359,Конструкторы!$A1107)</f>
        <v>0</v>
      </c>
      <c r="J1107" s="166">
        <f>SUMIFS(Продажи!G$5:G$359,Продажи!$D$5:$D$359,Конструкторы!$B1107,Продажи!$C$5:$C$359,Конструкторы!$A1107)</f>
        <v>0</v>
      </c>
      <c r="K1107" s="166">
        <f>SUMIFS(Продажи!H$5:H$359,Продажи!$D$5:$D$359,Конструкторы!$B1107,Продажи!$C$5:$C$359,Конструкторы!$A1107)</f>
        <v>0</v>
      </c>
      <c r="L1107" s="166">
        <f>SUMIFS(Продажи!I$5:I$359,Продажи!$D$5:$D$359,Конструкторы!$B1107,Продажи!$C$5:$C$359,Конструкторы!$A1107)</f>
        <v>0</v>
      </c>
      <c r="M1107" s="166">
        <f>SUMIFS(Продажи!J$5:J$359,Продажи!$D$5:$D$359,Конструкторы!$B1107,Продажи!$C$5:$C$359,Конструкторы!$A1107)</f>
        <v>0</v>
      </c>
      <c r="N1107" s="166">
        <f>SUMIFS(Продажи!K$5:K$359,Продажи!$D$5:$D$359,Конструкторы!$B1107,Продажи!$C$5:$C$359,Конструкторы!$A1107)</f>
        <v>0</v>
      </c>
      <c r="O1107" s="166">
        <f>SUMIFS(Продажи!L$5:L$359,Продажи!$D$5:$D$359,Конструкторы!$B1107,Продажи!$C$5:$C$359,Конструкторы!$A1107)</f>
        <v>0</v>
      </c>
      <c r="P1107" s="166">
        <f>SUMIFS(Продажи!M$5:M$359,Продажи!$D$5:$D$359,Конструкторы!$B1107,Продажи!$C$5:$C$359,Конструкторы!$A1107)</f>
        <v>0</v>
      </c>
      <c r="Q1107" s="166">
        <f>SUMIFS(Продажи!N$5:N$359,Продажи!$D$5:$D$359,Конструкторы!$B1107,Продажи!$C$5:$C$359,Конструкторы!$A1107)</f>
        <v>0</v>
      </c>
      <c r="R1107" s="166">
        <f>SUMIFS(Продажи!O$5:O$359,Продажи!$D$5:$D$359,Конструкторы!$B1107,Продажи!$C$5:$C$359,Конструкторы!$A1107)</f>
        <v>0</v>
      </c>
      <c r="S1107" s="166">
        <f>SUMIFS(Продажи!P$5:P$359,Продажи!$D$5:$D$359,Конструкторы!$B1107,Продажи!$C$5:$C$359,Конструкторы!$A1107)</f>
        <v>0</v>
      </c>
      <c r="T1107" s="166">
        <f>SUMIFS(Продажи!Q$5:Q$359,Продажи!$D$5:$D$359,Конструкторы!$B1107,Продажи!$C$5:$C$359,Конструкторы!$A1107)</f>
        <v>0</v>
      </c>
    </row>
    <row r="1108" spans="1:20" ht="15.75" hidden="1" x14ac:dyDescent="0.25">
      <c r="A1108" s="166" t="s">
        <v>397</v>
      </c>
      <c r="B1108" s="167" t="s">
        <v>320</v>
      </c>
      <c r="C1108" s="33" t="s">
        <v>69</v>
      </c>
      <c r="D1108" s="149"/>
      <c r="E1108" s="153" t="s">
        <v>70</v>
      </c>
      <c r="F1108" s="148">
        <v>2</v>
      </c>
      <c r="G1108" s="156" t="s">
        <v>71</v>
      </c>
      <c r="H1108" s="156">
        <f>F1108</f>
        <v>2</v>
      </c>
      <c r="I1108" s="166">
        <f>SUMIFS(Продажи!F$5:F$359,Продажи!$D$5:$D$359,Конструкторы!$B1108,Продажи!$C$5:$C$359,Конструкторы!$A1108)</f>
        <v>0</v>
      </c>
      <c r="J1108" s="166">
        <f>SUMIFS(Продажи!G$5:G$359,Продажи!$D$5:$D$359,Конструкторы!$B1108,Продажи!$C$5:$C$359,Конструкторы!$A1108)</f>
        <v>0</v>
      </c>
      <c r="K1108" s="166">
        <f>SUMIFS(Продажи!H$5:H$359,Продажи!$D$5:$D$359,Конструкторы!$B1108,Продажи!$C$5:$C$359,Конструкторы!$A1108)</f>
        <v>0</v>
      </c>
      <c r="L1108" s="166">
        <f>SUMIFS(Продажи!I$5:I$359,Продажи!$D$5:$D$359,Конструкторы!$B1108,Продажи!$C$5:$C$359,Конструкторы!$A1108)</f>
        <v>0</v>
      </c>
      <c r="M1108" s="166">
        <f>SUMIFS(Продажи!J$5:J$359,Продажи!$D$5:$D$359,Конструкторы!$B1108,Продажи!$C$5:$C$359,Конструкторы!$A1108)</f>
        <v>0</v>
      </c>
      <c r="N1108" s="166">
        <f>SUMIFS(Продажи!K$5:K$359,Продажи!$D$5:$D$359,Конструкторы!$B1108,Продажи!$C$5:$C$359,Конструкторы!$A1108)</f>
        <v>0</v>
      </c>
      <c r="O1108" s="166">
        <f>SUMIFS(Продажи!L$5:L$359,Продажи!$D$5:$D$359,Конструкторы!$B1108,Продажи!$C$5:$C$359,Конструкторы!$A1108)</f>
        <v>0</v>
      </c>
      <c r="P1108" s="166">
        <f>SUMIFS(Продажи!M$5:M$359,Продажи!$D$5:$D$359,Конструкторы!$B1108,Продажи!$C$5:$C$359,Конструкторы!$A1108)</f>
        <v>0</v>
      </c>
      <c r="Q1108" s="166">
        <f>SUMIFS(Продажи!N$5:N$359,Продажи!$D$5:$D$359,Конструкторы!$B1108,Продажи!$C$5:$C$359,Конструкторы!$A1108)</f>
        <v>0</v>
      </c>
      <c r="R1108" s="166">
        <f>SUMIFS(Продажи!O$5:O$359,Продажи!$D$5:$D$359,Конструкторы!$B1108,Продажи!$C$5:$C$359,Конструкторы!$A1108)</f>
        <v>0</v>
      </c>
      <c r="S1108" s="166">
        <f>SUMIFS(Продажи!P$5:P$359,Продажи!$D$5:$D$359,Конструкторы!$B1108,Продажи!$C$5:$C$359,Конструкторы!$A1108)</f>
        <v>0</v>
      </c>
      <c r="T1108" s="166">
        <f>SUMIFS(Продажи!Q$5:Q$359,Продажи!$D$5:$D$359,Конструкторы!$B1108,Продажи!$C$5:$C$359,Конструкторы!$A1108)</f>
        <v>0</v>
      </c>
    </row>
    <row r="1109" spans="1:20" ht="15.75" hidden="1" x14ac:dyDescent="0.25">
      <c r="A1109" s="166" t="s">
        <v>397</v>
      </c>
      <c r="B1109" s="167" t="s">
        <v>321</v>
      </c>
      <c r="C1109" s="129" t="s">
        <v>56</v>
      </c>
      <c r="D1109" s="149"/>
      <c r="E1109" s="153" t="s">
        <v>68</v>
      </c>
      <c r="F1109" s="156">
        <f>(0.2*103)/100</f>
        <v>0.20600000000000002</v>
      </c>
      <c r="G1109" s="156">
        <v>6.0000000000000053E-3</v>
      </c>
      <c r="H1109" s="156">
        <f>F1109+G1109</f>
        <v>0.21200000000000002</v>
      </c>
      <c r="I1109" s="166">
        <f>SUMIFS(Продажи!F$5:F$359,Продажи!$D$5:$D$359,Конструкторы!$B1109,Продажи!$C$5:$C$359,Конструкторы!$A1109)</f>
        <v>0</v>
      </c>
      <c r="J1109" s="166">
        <f>SUMIFS(Продажи!G$5:G$359,Продажи!$D$5:$D$359,Конструкторы!$B1109,Продажи!$C$5:$C$359,Конструкторы!$A1109)</f>
        <v>0</v>
      </c>
      <c r="K1109" s="166">
        <f>SUMIFS(Продажи!H$5:H$359,Продажи!$D$5:$D$359,Конструкторы!$B1109,Продажи!$C$5:$C$359,Конструкторы!$A1109)</f>
        <v>0</v>
      </c>
      <c r="L1109" s="166">
        <f>SUMIFS(Продажи!I$5:I$359,Продажи!$D$5:$D$359,Конструкторы!$B1109,Продажи!$C$5:$C$359,Конструкторы!$A1109)</f>
        <v>0</v>
      </c>
      <c r="M1109" s="166">
        <f>SUMIFS(Продажи!J$5:J$359,Продажи!$D$5:$D$359,Конструкторы!$B1109,Продажи!$C$5:$C$359,Конструкторы!$A1109)</f>
        <v>0</v>
      </c>
      <c r="N1109" s="166">
        <f>SUMIFS(Продажи!K$5:K$359,Продажи!$D$5:$D$359,Конструкторы!$B1109,Продажи!$C$5:$C$359,Конструкторы!$A1109)</f>
        <v>0</v>
      </c>
      <c r="O1109" s="166">
        <f>SUMIFS(Продажи!L$5:L$359,Продажи!$D$5:$D$359,Конструкторы!$B1109,Продажи!$C$5:$C$359,Конструкторы!$A1109)</f>
        <v>0</v>
      </c>
      <c r="P1109" s="166">
        <f>SUMIFS(Продажи!M$5:M$359,Продажи!$D$5:$D$359,Конструкторы!$B1109,Продажи!$C$5:$C$359,Конструкторы!$A1109)</f>
        <v>0</v>
      </c>
      <c r="Q1109" s="166">
        <f>SUMIFS(Продажи!N$5:N$359,Продажи!$D$5:$D$359,Конструкторы!$B1109,Продажи!$C$5:$C$359,Конструкторы!$A1109)</f>
        <v>0</v>
      </c>
      <c r="R1109" s="166">
        <f>SUMIFS(Продажи!O$5:O$359,Продажи!$D$5:$D$359,Конструкторы!$B1109,Продажи!$C$5:$C$359,Конструкторы!$A1109)</f>
        <v>0</v>
      </c>
      <c r="S1109" s="166">
        <f>SUMIFS(Продажи!P$5:P$359,Продажи!$D$5:$D$359,Конструкторы!$B1109,Продажи!$C$5:$C$359,Конструкторы!$A1109)</f>
        <v>0</v>
      </c>
      <c r="T1109" s="166">
        <f>SUMIFS(Продажи!Q$5:Q$359,Продажи!$D$5:$D$359,Конструкторы!$B1109,Продажи!$C$5:$C$359,Конструкторы!$A1109)</f>
        <v>0</v>
      </c>
    </row>
    <row r="1110" spans="1:20" ht="15.75" hidden="1" x14ac:dyDescent="0.25">
      <c r="A1110" s="166" t="s">
        <v>397</v>
      </c>
      <c r="B1110" s="167" t="s">
        <v>321</v>
      </c>
      <c r="C1110" s="129" t="s">
        <v>58</v>
      </c>
      <c r="D1110" s="149"/>
      <c r="E1110" s="153" t="s">
        <v>68</v>
      </c>
      <c r="F1110" s="156">
        <f>(0.5*103)/100</f>
        <v>0.51500000000000001</v>
      </c>
      <c r="G1110" s="156">
        <v>1.5000000000000013E-2</v>
      </c>
      <c r="H1110" s="156">
        <f>F1110+G1110</f>
        <v>0.53</v>
      </c>
      <c r="I1110" s="166">
        <f>SUMIFS(Продажи!F$5:F$359,Продажи!$D$5:$D$359,Конструкторы!$B1110,Продажи!$C$5:$C$359,Конструкторы!$A1110)</f>
        <v>0</v>
      </c>
      <c r="J1110" s="166">
        <f>SUMIFS(Продажи!G$5:G$359,Продажи!$D$5:$D$359,Конструкторы!$B1110,Продажи!$C$5:$C$359,Конструкторы!$A1110)</f>
        <v>0</v>
      </c>
      <c r="K1110" s="166">
        <f>SUMIFS(Продажи!H$5:H$359,Продажи!$D$5:$D$359,Конструкторы!$B1110,Продажи!$C$5:$C$359,Конструкторы!$A1110)</f>
        <v>0</v>
      </c>
      <c r="L1110" s="166">
        <f>SUMIFS(Продажи!I$5:I$359,Продажи!$D$5:$D$359,Конструкторы!$B1110,Продажи!$C$5:$C$359,Конструкторы!$A1110)</f>
        <v>0</v>
      </c>
      <c r="M1110" s="166">
        <f>SUMIFS(Продажи!J$5:J$359,Продажи!$D$5:$D$359,Конструкторы!$B1110,Продажи!$C$5:$C$359,Конструкторы!$A1110)</f>
        <v>0</v>
      </c>
      <c r="N1110" s="166">
        <f>SUMIFS(Продажи!K$5:K$359,Продажи!$D$5:$D$359,Конструкторы!$B1110,Продажи!$C$5:$C$359,Конструкторы!$A1110)</f>
        <v>0</v>
      </c>
      <c r="O1110" s="166">
        <f>SUMIFS(Продажи!L$5:L$359,Продажи!$D$5:$D$359,Конструкторы!$B1110,Продажи!$C$5:$C$359,Конструкторы!$A1110)</f>
        <v>0</v>
      </c>
      <c r="P1110" s="166">
        <f>SUMIFS(Продажи!M$5:M$359,Продажи!$D$5:$D$359,Конструкторы!$B1110,Продажи!$C$5:$C$359,Конструкторы!$A1110)</f>
        <v>0</v>
      </c>
      <c r="Q1110" s="166">
        <f>SUMIFS(Продажи!N$5:N$359,Продажи!$D$5:$D$359,Конструкторы!$B1110,Продажи!$C$5:$C$359,Конструкторы!$A1110)</f>
        <v>0</v>
      </c>
      <c r="R1110" s="166">
        <f>SUMIFS(Продажи!O$5:O$359,Продажи!$D$5:$D$359,Конструкторы!$B1110,Продажи!$C$5:$C$359,Конструкторы!$A1110)</f>
        <v>0</v>
      </c>
      <c r="S1110" s="166">
        <f>SUMIFS(Продажи!P$5:P$359,Продажи!$D$5:$D$359,Конструкторы!$B1110,Продажи!$C$5:$C$359,Конструкторы!$A1110)</f>
        <v>0</v>
      </c>
      <c r="T1110" s="166">
        <f>SUMIFS(Продажи!Q$5:Q$359,Продажи!$D$5:$D$359,Конструкторы!$B1110,Продажи!$C$5:$C$359,Конструкторы!$A1110)</f>
        <v>0</v>
      </c>
    </row>
    <row r="1111" spans="1:20" ht="15.75" hidden="1" x14ac:dyDescent="0.25">
      <c r="A1111" s="166" t="s">
        <v>397</v>
      </c>
      <c r="B1111" s="167" t="s">
        <v>321</v>
      </c>
      <c r="C1111" s="33" t="s">
        <v>88</v>
      </c>
      <c r="D1111" s="149"/>
      <c r="E1111" s="153" t="s">
        <v>70</v>
      </c>
      <c r="F1111" s="148">
        <v>2</v>
      </c>
      <c r="G1111" s="156" t="s">
        <v>71</v>
      </c>
      <c r="H1111" s="156">
        <f>F1111</f>
        <v>2</v>
      </c>
      <c r="I1111" s="166">
        <f>SUMIFS(Продажи!F$5:F$359,Продажи!$D$5:$D$359,Конструкторы!$B1111,Продажи!$C$5:$C$359,Конструкторы!$A1111)</f>
        <v>0</v>
      </c>
      <c r="J1111" s="166">
        <f>SUMIFS(Продажи!G$5:G$359,Продажи!$D$5:$D$359,Конструкторы!$B1111,Продажи!$C$5:$C$359,Конструкторы!$A1111)</f>
        <v>0</v>
      </c>
      <c r="K1111" s="166">
        <f>SUMIFS(Продажи!H$5:H$359,Продажи!$D$5:$D$359,Конструкторы!$B1111,Продажи!$C$5:$C$359,Конструкторы!$A1111)</f>
        <v>0</v>
      </c>
      <c r="L1111" s="166">
        <f>SUMIFS(Продажи!I$5:I$359,Продажи!$D$5:$D$359,Конструкторы!$B1111,Продажи!$C$5:$C$359,Конструкторы!$A1111)</f>
        <v>0</v>
      </c>
      <c r="M1111" s="166">
        <f>SUMIFS(Продажи!J$5:J$359,Продажи!$D$5:$D$359,Конструкторы!$B1111,Продажи!$C$5:$C$359,Конструкторы!$A1111)</f>
        <v>0</v>
      </c>
      <c r="N1111" s="166">
        <f>SUMIFS(Продажи!K$5:K$359,Продажи!$D$5:$D$359,Конструкторы!$B1111,Продажи!$C$5:$C$359,Конструкторы!$A1111)</f>
        <v>0</v>
      </c>
      <c r="O1111" s="166">
        <f>SUMIFS(Продажи!L$5:L$359,Продажи!$D$5:$D$359,Конструкторы!$B1111,Продажи!$C$5:$C$359,Конструкторы!$A1111)</f>
        <v>0</v>
      </c>
      <c r="P1111" s="166">
        <f>SUMIFS(Продажи!M$5:M$359,Продажи!$D$5:$D$359,Конструкторы!$B1111,Продажи!$C$5:$C$359,Конструкторы!$A1111)</f>
        <v>0</v>
      </c>
      <c r="Q1111" s="166">
        <f>SUMIFS(Продажи!N$5:N$359,Продажи!$D$5:$D$359,Конструкторы!$B1111,Продажи!$C$5:$C$359,Конструкторы!$A1111)</f>
        <v>0</v>
      </c>
      <c r="R1111" s="166">
        <f>SUMIFS(Продажи!O$5:O$359,Продажи!$D$5:$D$359,Конструкторы!$B1111,Продажи!$C$5:$C$359,Конструкторы!$A1111)</f>
        <v>0</v>
      </c>
      <c r="S1111" s="166">
        <f>SUMIFS(Продажи!P$5:P$359,Продажи!$D$5:$D$359,Конструкторы!$B1111,Продажи!$C$5:$C$359,Конструкторы!$A1111)</f>
        <v>0</v>
      </c>
      <c r="T1111" s="166">
        <f>SUMIFS(Продажи!Q$5:Q$359,Продажи!$D$5:$D$359,Конструкторы!$B1111,Продажи!$C$5:$C$359,Конструкторы!$A1111)</f>
        <v>0</v>
      </c>
    </row>
    <row r="1112" spans="1:20" ht="15.75" hidden="1" x14ac:dyDescent="0.25">
      <c r="A1112" s="166" t="s">
        <v>397</v>
      </c>
      <c r="B1112" s="167" t="s">
        <v>321</v>
      </c>
      <c r="C1112" s="33" t="s">
        <v>75</v>
      </c>
      <c r="D1112" s="149"/>
      <c r="E1112" s="153" t="s">
        <v>70</v>
      </c>
      <c r="F1112" s="148">
        <v>8</v>
      </c>
      <c r="G1112" s="156" t="s">
        <v>71</v>
      </c>
      <c r="H1112" s="156">
        <f>F1112</f>
        <v>8</v>
      </c>
      <c r="I1112" s="166">
        <f>SUMIFS(Продажи!F$5:F$359,Продажи!$D$5:$D$359,Конструкторы!$B1112,Продажи!$C$5:$C$359,Конструкторы!$A1112)</f>
        <v>0</v>
      </c>
      <c r="J1112" s="166">
        <f>SUMIFS(Продажи!G$5:G$359,Продажи!$D$5:$D$359,Конструкторы!$B1112,Продажи!$C$5:$C$359,Конструкторы!$A1112)</f>
        <v>0</v>
      </c>
      <c r="K1112" s="166">
        <f>SUMIFS(Продажи!H$5:H$359,Продажи!$D$5:$D$359,Конструкторы!$B1112,Продажи!$C$5:$C$359,Конструкторы!$A1112)</f>
        <v>0</v>
      </c>
      <c r="L1112" s="166">
        <f>SUMIFS(Продажи!I$5:I$359,Продажи!$D$5:$D$359,Конструкторы!$B1112,Продажи!$C$5:$C$359,Конструкторы!$A1112)</f>
        <v>0</v>
      </c>
      <c r="M1112" s="166">
        <f>SUMIFS(Продажи!J$5:J$359,Продажи!$D$5:$D$359,Конструкторы!$B1112,Продажи!$C$5:$C$359,Конструкторы!$A1112)</f>
        <v>0</v>
      </c>
      <c r="N1112" s="166">
        <f>SUMIFS(Продажи!K$5:K$359,Продажи!$D$5:$D$359,Конструкторы!$B1112,Продажи!$C$5:$C$359,Конструкторы!$A1112)</f>
        <v>0</v>
      </c>
      <c r="O1112" s="166">
        <f>SUMIFS(Продажи!L$5:L$359,Продажи!$D$5:$D$359,Конструкторы!$B1112,Продажи!$C$5:$C$359,Конструкторы!$A1112)</f>
        <v>0</v>
      </c>
      <c r="P1112" s="166">
        <f>SUMIFS(Продажи!M$5:M$359,Продажи!$D$5:$D$359,Конструкторы!$B1112,Продажи!$C$5:$C$359,Конструкторы!$A1112)</f>
        <v>0</v>
      </c>
      <c r="Q1112" s="166">
        <f>SUMIFS(Продажи!N$5:N$359,Продажи!$D$5:$D$359,Конструкторы!$B1112,Продажи!$C$5:$C$359,Конструкторы!$A1112)</f>
        <v>0</v>
      </c>
      <c r="R1112" s="166">
        <f>SUMIFS(Продажи!O$5:O$359,Продажи!$D$5:$D$359,Конструкторы!$B1112,Продажи!$C$5:$C$359,Конструкторы!$A1112)</f>
        <v>0</v>
      </c>
      <c r="S1112" s="166">
        <f>SUMIFS(Продажи!P$5:P$359,Продажи!$D$5:$D$359,Конструкторы!$B1112,Продажи!$C$5:$C$359,Конструкторы!$A1112)</f>
        <v>0</v>
      </c>
      <c r="T1112" s="166">
        <f>SUMIFS(Продажи!Q$5:Q$359,Продажи!$D$5:$D$359,Конструкторы!$B1112,Продажи!$C$5:$C$359,Конструкторы!$A1112)</f>
        <v>0</v>
      </c>
    </row>
    <row r="1113" spans="1:20" ht="15.75" hidden="1" x14ac:dyDescent="0.25">
      <c r="A1113" s="166" t="s">
        <v>397</v>
      </c>
      <c r="B1113" s="167" t="s">
        <v>322</v>
      </c>
      <c r="C1113" s="129" t="s">
        <v>56</v>
      </c>
      <c r="D1113" s="149"/>
      <c r="E1113" s="153" t="s">
        <v>68</v>
      </c>
      <c r="F1113" s="156">
        <f>(0.602*103)/100</f>
        <v>0.62006000000000006</v>
      </c>
      <c r="G1113" s="156">
        <v>1.8060000000000076E-2</v>
      </c>
      <c r="H1113" s="156">
        <f>F1113+G1113</f>
        <v>0.63812000000000013</v>
      </c>
      <c r="I1113" s="166">
        <f>SUMIFS(Продажи!F$5:F$359,Продажи!$D$5:$D$359,Конструкторы!$B1113,Продажи!$C$5:$C$359,Конструкторы!$A1113)</f>
        <v>0</v>
      </c>
      <c r="J1113" s="166">
        <f>SUMIFS(Продажи!G$5:G$359,Продажи!$D$5:$D$359,Конструкторы!$B1113,Продажи!$C$5:$C$359,Конструкторы!$A1113)</f>
        <v>0</v>
      </c>
      <c r="K1113" s="166">
        <f>SUMIFS(Продажи!H$5:H$359,Продажи!$D$5:$D$359,Конструкторы!$B1113,Продажи!$C$5:$C$359,Конструкторы!$A1113)</f>
        <v>0</v>
      </c>
      <c r="L1113" s="166">
        <f>SUMIFS(Продажи!I$5:I$359,Продажи!$D$5:$D$359,Конструкторы!$B1113,Продажи!$C$5:$C$359,Конструкторы!$A1113)</f>
        <v>0</v>
      </c>
      <c r="M1113" s="166">
        <f>SUMIFS(Продажи!J$5:J$359,Продажи!$D$5:$D$359,Конструкторы!$B1113,Продажи!$C$5:$C$359,Конструкторы!$A1113)</f>
        <v>0</v>
      </c>
      <c r="N1113" s="166">
        <f>SUMIFS(Продажи!K$5:K$359,Продажи!$D$5:$D$359,Конструкторы!$B1113,Продажи!$C$5:$C$359,Конструкторы!$A1113)</f>
        <v>0</v>
      </c>
      <c r="O1113" s="166">
        <f>SUMIFS(Продажи!L$5:L$359,Продажи!$D$5:$D$359,Конструкторы!$B1113,Продажи!$C$5:$C$359,Конструкторы!$A1113)</f>
        <v>0</v>
      </c>
      <c r="P1113" s="166">
        <f>SUMIFS(Продажи!M$5:M$359,Продажи!$D$5:$D$359,Конструкторы!$B1113,Продажи!$C$5:$C$359,Конструкторы!$A1113)</f>
        <v>0</v>
      </c>
      <c r="Q1113" s="166">
        <f>SUMIFS(Продажи!N$5:N$359,Продажи!$D$5:$D$359,Конструкторы!$B1113,Продажи!$C$5:$C$359,Конструкторы!$A1113)</f>
        <v>0</v>
      </c>
      <c r="R1113" s="166">
        <f>SUMIFS(Продажи!O$5:O$359,Продажи!$D$5:$D$359,Конструкторы!$B1113,Продажи!$C$5:$C$359,Конструкторы!$A1113)</f>
        <v>0</v>
      </c>
      <c r="S1113" s="166">
        <f>SUMIFS(Продажи!P$5:P$359,Продажи!$D$5:$D$359,Конструкторы!$B1113,Продажи!$C$5:$C$359,Конструкторы!$A1113)</f>
        <v>0</v>
      </c>
      <c r="T1113" s="166">
        <f>SUMIFS(Продажи!Q$5:Q$359,Продажи!$D$5:$D$359,Конструкторы!$B1113,Продажи!$C$5:$C$359,Конструкторы!$A1113)</f>
        <v>0</v>
      </c>
    </row>
    <row r="1114" spans="1:20" ht="15.75" hidden="1" x14ac:dyDescent="0.25">
      <c r="A1114" s="166" t="s">
        <v>397</v>
      </c>
      <c r="B1114" s="167" t="s">
        <v>322</v>
      </c>
      <c r="C1114" s="129" t="s">
        <v>58</v>
      </c>
      <c r="D1114" s="149"/>
      <c r="E1114" s="153" t="s">
        <v>68</v>
      </c>
      <c r="F1114" s="156">
        <f>(0.297*103)/100</f>
        <v>0.30590999999999996</v>
      </c>
      <c r="G1114" s="156">
        <v>8.9099999999999735E-3</v>
      </c>
      <c r="H1114" s="156">
        <f>F1114+G1114</f>
        <v>0.31481999999999993</v>
      </c>
      <c r="I1114" s="166">
        <f>SUMIFS(Продажи!F$5:F$359,Продажи!$D$5:$D$359,Конструкторы!$B1114,Продажи!$C$5:$C$359,Конструкторы!$A1114)</f>
        <v>0</v>
      </c>
      <c r="J1114" s="166">
        <f>SUMIFS(Продажи!G$5:G$359,Продажи!$D$5:$D$359,Конструкторы!$B1114,Продажи!$C$5:$C$359,Конструкторы!$A1114)</f>
        <v>0</v>
      </c>
      <c r="K1114" s="166">
        <f>SUMIFS(Продажи!H$5:H$359,Продажи!$D$5:$D$359,Конструкторы!$B1114,Продажи!$C$5:$C$359,Конструкторы!$A1114)</f>
        <v>0</v>
      </c>
      <c r="L1114" s="166">
        <f>SUMIFS(Продажи!I$5:I$359,Продажи!$D$5:$D$359,Конструкторы!$B1114,Продажи!$C$5:$C$359,Конструкторы!$A1114)</f>
        <v>0</v>
      </c>
      <c r="M1114" s="166">
        <f>SUMIFS(Продажи!J$5:J$359,Продажи!$D$5:$D$359,Конструкторы!$B1114,Продажи!$C$5:$C$359,Конструкторы!$A1114)</f>
        <v>0</v>
      </c>
      <c r="N1114" s="166">
        <f>SUMIFS(Продажи!K$5:K$359,Продажи!$D$5:$D$359,Конструкторы!$B1114,Продажи!$C$5:$C$359,Конструкторы!$A1114)</f>
        <v>0</v>
      </c>
      <c r="O1114" s="166">
        <f>SUMIFS(Продажи!L$5:L$359,Продажи!$D$5:$D$359,Конструкторы!$B1114,Продажи!$C$5:$C$359,Конструкторы!$A1114)</f>
        <v>0</v>
      </c>
      <c r="P1114" s="166">
        <f>SUMIFS(Продажи!M$5:M$359,Продажи!$D$5:$D$359,Конструкторы!$B1114,Продажи!$C$5:$C$359,Конструкторы!$A1114)</f>
        <v>0</v>
      </c>
      <c r="Q1114" s="166">
        <f>SUMIFS(Продажи!N$5:N$359,Продажи!$D$5:$D$359,Конструкторы!$B1114,Продажи!$C$5:$C$359,Конструкторы!$A1114)</f>
        <v>0</v>
      </c>
      <c r="R1114" s="166">
        <f>SUMIFS(Продажи!O$5:O$359,Продажи!$D$5:$D$359,Конструкторы!$B1114,Продажи!$C$5:$C$359,Конструкторы!$A1114)</f>
        <v>0</v>
      </c>
      <c r="S1114" s="166">
        <f>SUMIFS(Продажи!P$5:P$359,Продажи!$D$5:$D$359,Конструкторы!$B1114,Продажи!$C$5:$C$359,Конструкторы!$A1114)</f>
        <v>0</v>
      </c>
      <c r="T1114" s="166">
        <f>SUMIFS(Продажи!Q$5:Q$359,Продажи!$D$5:$D$359,Конструкторы!$B1114,Продажи!$C$5:$C$359,Конструкторы!$A1114)</f>
        <v>0</v>
      </c>
    </row>
    <row r="1115" spans="1:20" ht="15.75" hidden="1" x14ac:dyDescent="0.25">
      <c r="A1115" s="166" t="s">
        <v>397</v>
      </c>
      <c r="B1115" s="167" t="s">
        <v>322</v>
      </c>
      <c r="C1115" s="129" t="s">
        <v>24</v>
      </c>
      <c r="D1115" s="149"/>
      <c r="E1115" s="153" t="s">
        <v>68</v>
      </c>
      <c r="F1115" s="156">
        <f>(0.05*103)/100</f>
        <v>5.1500000000000004E-2</v>
      </c>
      <c r="G1115" s="156">
        <v>1.5000000000000013E-3</v>
      </c>
      <c r="H1115" s="156">
        <f>F1115+G1115</f>
        <v>5.3000000000000005E-2</v>
      </c>
      <c r="I1115" s="166">
        <f>SUMIFS(Продажи!F$5:F$359,Продажи!$D$5:$D$359,Конструкторы!$B1115,Продажи!$C$5:$C$359,Конструкторы!$A1115)</f>
        <v>0</v>
      </c>
      <c r="J1115" s="166">
        <f>SUMIFS(Продажи!G$5:G$359,Продажи!$D$5:$D$359,Конструкторы!$B1115,Продажи!$C$5:$C$359,Конструкторы!$A1115)</f>
        <v>0</v>
      </c>
      <c r="K1115" s="166">
        <f>SUMIFS(Продажи!H$5:H$359,Продажи!$D$5:$D$359,Конструкторы!$B1115,Продажи!$C$5:$C$359,Конструкторы!$A1115)</f>
        <v>0</v>
      </c>
      <c r="L1115" s="166">
        <f>SUMIFS(Продажи!I$5:I$359,Продажи!$D$5:$D$359,Конструкторы!$B1115,Продажи!$C$5:$C$359,Конструкторы!$A1115)</f>
        <v>0</v>
      </c>
      <c r="M1115" s="166">
        <f>SUMIFS(Продажи!J$5:J$359,Продажи!$D$5:$D$359,Конструкторы!$B1115,Продажи!$C$5:$C$359,Конструкторы!$A1115)</f>
        <v>0</v>
      </c>
      <c r="N1115" s="166">
        <f>SUMIFS(Продажи!K$5:K$359,Продажи!$D$5:$D$359,Конструкторы!$B1115,Продажи!$C$5:$C$359,Конструкторы!$A1115)</f>
        <v>0</v>
      </c>
      <c r="O1115" s="166">
        <f>SUMIFS(Продажи!L$5:L$359,Продажи!$D$5:$D$359,Конструкторы!$B1115,Продажи!$C$5:$C$359,Конструкторы!$A1115)</f>
        <v>0</v>
      </c>
      <c r="P1115" s="166">
        <f>SUMIFS(Продажи!M$5:M$359,Продажи!$D$5:$D$359,Конструкторы!$B1115,Продажи!$C$5:$C$359,Конструкторы!$A1115)</f>
        <v>0</v>
      </c>
      <c r="Q1115" s="166">
        <f>SUMIFS(Продажи!N$5:N$359,Продажи!$D$5:$D$359,Конструкторы!$B1115,Продажи!$C$5:$C$359,Конструкторы!$A1115)</f>
        <v>0</v>
      </c>
      <c r="R1115" s="166">
        <f>SUMIFS(Продажи!O$5:O$359,Продажи!$D$5:$D$359,Конструкторы!$B1115,Продажи!$C$5:$C$359,Конструкторы!$A1115)</f>
        <v>0</v>
      </c>
      <c r="S1115" s="166">
        <f>SUMIFS(Продажи!P$5:P$359,Продажи!$D$5:$D$359,Конструкторы!$B1115,Продажи!$C$5:$C$359,Конструкторы!$A1115)</f>
        <v>0</v>
      </c>
      <c r="T1115" s="166">
        <f>SUMIFS(Продажи!Q$5:Q$359,Продажи!$D$5:$D$359,Конструкторы!$B1115,Продажи!$C$5:$C$359,Конструкторы!$A1115)</f>
        <v>0</v>
      </c>
    </row>
    <row r="1116" spans="1:20" ht="15.75" hidden="1" x14ac:dyDescent="0.25">
      <c r="A1116" s="166" t="s">
        <v>397</v>
      </c>
      <c r="B1116" s="167" t="s">
        <v>322</v>
      </c>
      <c r="C1116" s="33" t="s">
        <v>89</v>
      </c>
      <c r="D1116" s="149"/>
      <c r="E1116" s="153" t="s">
        <v>70</v>
      </c>
      <c r="F1116" s="159">
        <v>1</v>
      </c>
      <c r="G1116" s="156" t="s">
        <v>71</v>
      </c>
      <c r="H1116" s="156">
        <f>F1116</f>
        <v>1</v>
      </c>
      <c r="I1116" s="166">
        <f>SUMIFS(Продажи!F$5:F$359,Продажи!$D$5:$D$359,Конструкторы!$B1116,Продажи!$C$5:$C$359,Конструкторы!$A1116)</f>
        <v>0</v>
      </c>
      <c r="J1116" s="166">
        <f>SUMIFS(Продажи!G$5:G$359,Продажи!$D$5:$D$359,Конструкторы!$B1116,Продажи!$C$5:$C$359,Конструкторы!$A1116)</f>
        <v>0</v>
      </c>
      <c r="K1116" s="166">
        <f>SUMIFS(Продажи!H$5:H$359,Продажи!$D$5:$D$359,Конструкторы!$B1116,Продажи!$C$5:$C$359,Конструкторы!$A1116)</f>
        <v>0</v>
      </c>
      <c r="L1116" s="166">
        <f>SUMIFS(Продажи!I$5:I$359,Продажи!$D$5:$D$359,Конструкторы!$B1116,Продажи!$C$5:$C$359,Конструкторы!$A1116)</f>
        <v>0</v>
      </c>
      <c r="M1116" s="166">
        <f>SUMIFS(Продажи!J$5:J$359,Продажи!$D$5:$D$359,Конструкторы!$B1116,Продажи!$C$5:$C$359,Конструкторы!$A1116)</f>
        <v>0</v>
      </c>
      <c r="N1116" s="166">
        <f>SUMIFS(Продажи!K$5:K$359,Продажи!$D$5:$D$359,Конструкторы!$B1116,Продажи!$C$5:$C$359,Конструкторы!$A1116)</f>
        <v>0</v>
      </c>
      <c r="O1116" s="166">
        <f>SUMIFS(Продажи!L$5:L$359,Продажи!$D$5:$D$359,Конструкторы!$B1116,Продажи!$C$5:$C$359,Конструкторы!$A1116)</f>
        <v>0</v>
      </c>
      <c r="P1116" s="166">
        <f>SUMIFS(Продажи!M$5:M$359,Продажи!$D$5:$D$359,Конструкторы!$B1116,Продажи!$C$5:$C$359,Конструкторы!$A1116)</f>
        <v>0</v>
      </c>
      <c r="Q1116" s="166">
        <f>SUMIFS(Продажи!N$5:N$359,Продажи!$D$5:$D$359,Конструкторы!$B1116,Продажи!$C$5:$C$359,Конструкторы!$A1116)</f>
        <v>0</v>
      </c>
      <c r="R1116" s="166">
        <f>SUMIFS(Продажи!O$5:O$359,Продажи!$D$5:$D$359,Конструкторы!$B1116,Продажи!$C$5:$C$359,Конструкторы!$A1116)</f>
        <v>0</v>
      </c>
      <c r="S1116" s="166">
        <f>SUMIFS(Продажи!P$5:P$359,Продажи!$D$5:$D$359,Конструкторы!$B1116,Продажи!$C$5:$C$359,Конструкторы!$A1116)</f>
        <v>0</v>
      </c>
      <c r="T1116" s="166">
        <f>SUMIFS(Продажи!Q$5:Q$359,Продажи!$D$5:$D$359,Конструкторы!$B1116,Продажи!$C$5:$C$359,Конструкторы!$A1116)</f>
        <v>0</v>
      </c>
    </row>
    <row r="1117" spans="1:20" ht="15.75" hidden="1" x14ac:dyDescent="0.25">
      <c r="A1117" s="166" t="s">
        <v>397</v>
      </c>
      <c r="B1117" s="167" t="s">
        <v>322</v>
      </c>
      <c r="C1117" s="33" t="s">
        <v>88</v>
      </c>
      <c r="D1117" s="149"/>
      <c r="E1117" s="153" t="s">
        <v>70</v>
      </c>
      <c r="F1117" s="148">
        <v>2</v>
      </c>
      <c r="G1117" s="156" t="s">
        <v>71</v>
      </c>
      <c r="H1117" s="156">
        <f>F1117</f>
        <v>2</v>
      </c>
      <c r="I1117" s="166">
        <f>SUMIFS(Продажи!F$5:F$359,Продажи!$D$5:$D$359,Конструкторы!$B1117,Продажи!$C$5:$C$359,Конструкторы!$A1117)</f>
        <v>0</v>
      </c>
      <c r="J1117" s="166">
        <f>SUMIFS(Продажи!G$5:G$359,Продажи!$D$5:$D$359,Конструкторы!$B1117,Продажи!$C$5:$C$359,Конструкторы!$A1117)</f>
        <v>0</v>
      </c>
      <c r="K1117" s="166">
        <f>SUMIFS(Продажи!H$5:H$359,Продажи!$D$5:$D$359,Конструкторы!$B1117,Продажи!$C$5:$C$359,Конструкторы!$A1117)</f>
        <v>0</v>
      </c>
      <c r="L1117" s="166">
        <f>SUMIFS(Продажи!I$5:I$359,Продажи!$D$5:$D$359,Конструкторы!$B1117,Продажи!$C$5:$C$359,Конструкторы!$A1117)</f>
        <v>0</v>
      </c>
      <c r="M1117" s="166">
        <f>SUMIFS(Продажи!J$5:J$359,Продажи!$D$5:$D$359,Конструкторы!$B1117,Продажи!$C$5:$C$359,Конструкторы!$A1117)</f>
        <v>0</v>
      </c>
      <c r="N1117" s="166">
        <f>SUMIFS(Продажи!K$5:K$359,Продажи!$D$5:$D$359,Конструкторы!$B1117,Продажи!$C$5:$C$359,Конструкторы!$A1117)</f>
        <v>0</v>
      </c>
      <c r="O1117" s="166">
        <f>SUMIFS(Продажи!L$5:L$359,Продажи!$D$5:$D$359,Конструкторы!$B1117,Продажи!$C$5:$C$359,Конструкторы!$A1117)</f>
        <v>0</v>
      </c>
      <c r="P1117" s="166">
        <f>SUMIFS(Продажи!M$5:M$359,Продажи!$D$5:$D$359,Конструкторы!$B1117,Продажи!$C$5:$C$359,Конструкторы!$A1117)</f>
        <v>0</v>
      </c>
      <c r="Q1117" s="166">
        <f>SUMIFS(Продажи!N$5:N$359,Продажи!$D$5:$D$359,Конструкторы!$B1117,Продажи!$C$5:$C$359,Конструкторы!$A1117)</f>
        <v>0</v>
      </c>
      <c r="R1117" s="166">
        <f>SUMIFS(Продажи!O$5:O$359,Продажи!$D$5:$D$359,Конструкторы!$B1117,Продажи!$C$5:$C$359,Конструкторы!$A1117)</f>
        <v>0</v>
      </c>
      <c r="S1117" s="166">
        <f>SUMIFS(Продажи!P$5:P$359,Продажи!$D$5:$D$359,Конструкторы!$B1117,Продажи!$C$5:$C$359,Конструкторы!$A1117)</f>
        <v>0</v>
      </c>
      <c r="T1117" s="166">
        <f>SUMIFS(Продажи!Q$5:Q$359,Продажи!$D$5:$D$359,Конструкторы!$B1117,Продажи!$C$5:$C$359,Конструкторы!$A1117)</f>
        <v>0</v>
      </c>
    </row>
    <row r="1118" spans="1:20" ht="15.75" hidden="1" x14ac:dyDescent="0.25">
      <c r="A1118" s="166" t="s">
        <v>397</v>
      </c>
      <c r="B1118" s="167" t="s">
        <v>322</v>
      </c>
      <c r="C1118" s="33" t="s">
        <v>75</v>
      </c>
      <c r="D1118" s="149"/>
      <c r="E1118" s="153" t="s">
        <v>70</v>
      </c>
      <c r="F1118" s="148">
        <v>16</v>
      </c>
      <c r="G1118" s="156" t="s">
        <v>71</v>
      </c>
      <c r="H1118" s="156">
        <f>F1118</f>
        <v>16</v>
      </c>
      <c r="I1118" s="166">
        <f>SUMIFS(Продажи!F$5:F$359,Продажи!$D$5:$D$359,Конструкторы!$B1118,Продажи!$C$5:$C$359,Конструкторы!$A1118)</f>
        <v>0</v>
      </c>
      <c r="J1118" s="166">
        <f>SUMIFS(Продажи!G$5:G$359,Продажи!$D$5:$D$359,Конструкторы!$B1118,Продажи!$C$5:$C$359,Конструкторы!$A1118)</f>
        <v>0</v>
      </c>
      <c r="K1118" s="166">
        <f>SUMIFS(Продажи!H$5:H$359,Продажи!$D$5:$D$359,Конструкторы!$B1118,Продажи!$C$5:$C$359,Конструкторы!$A1118)</f>
        <v>0</v>
      </c>
      <c r="L1118" s="166">
        <f>SUMIFS(Продажи!I$5:I$359,Продажи!$D$5:$D$359,Конструкторы!$B1118,Продажи!$C$5:$C$359,Конструкторы!$A1118)</f>
        <v>0</v>
      </c>
      <c r="M1118" s="166">
        <f>SUMIFS(Продажи!J$5:J$359,Продажи!$D$5:$D$359,Конструкторы!$B1118,Продажи!$C$5:$C$359,Конструкторы!$A1118)</f>
        <v>0</v>
      </c>
      <c r="N1118" s="166">
        <f>SUMIFS(Продажи!K$5:K$359,Продажи!$D$5:$D$359,Конструкторы!$B1118,Продажи!$C$5:$C$359,Конструкторы!$A1118)</f>
        <v>0</v>
      </c>
      <c r="O1118" s="166">
        <f>SUMIFS(Продажи!L$5:L$359,Продажи!$D$5:$D$359,Конструкторы!$B1118,Продажи!$C$5:$C$359,Конструкторы!$A1118)</f>
        <v>0</v>
      </c>
      <c r="P1118" s="166">
        <f>SUMIFS(Продажи!M$5:M$359,Продажи!$D$5:$D$359,Конструкторы!$B1118,Продажи!$C$5:$C$359,Конструкторы!$A1118)</f>
        <v>0</v>
      </c>
      <c r="Q1118" s="166">
        <f>SUMIFS(Продажи!N$5:N$359,Продажи!$D$5:$D$359,Конструкторы!$B1118,Продажи!$C$5:$C$359,Конструкторы!$A1118)</f>
        <v>0</v>
      </c>
      <c r="R1118" s="166">
        <f>SUMIFS(Продажи!O$5:O$359,Продажи!$D$5:$D$359,Конструкторы!$B1118,Продажи!$C$5:$C$359,Конструкторы!$A1118)</f>
        <v>0</v>
      </c>
      <c r="S1118" s="166">
        <f>SUMIFS(Продажи!P$5:P$359,Продажи!$D$5:$D$359,Конструкторы!$B1118,Продажи!$C$5:$C$359,Конструкторы!$A1118)</f>
        <v>0</v>
      </c>
      <c r="T1118" s="166">
        <f>SUMIFS(Продажи!Q$5:Q$359,Продажи!$D$5:$D$359,Конструкторы!$B1118,Продажи!$C$5:$C$359,Конструкторы!$A1118)</f>
        <v>0</v>
      </c>
    </row>
    <row r="1119" spans="1:20" ht="15.75" hidden="1" x14ac:dyDescent="0.25">
      <c r="A1119" s="166" t="s">
        <v>397</v>
      </c>
      <c r="B1119" s="167" t="s">
        <v>322</v>
      </c>
      <c r="C1119" s="33" t="s">
        <v>69</v>
      </c>
      <c r="D1119" s="149"/>
      <c r="E1119" s="153" t="s">
        <v>70</v>
      </c>
      <c r="F1119" s="148">
        <v>2</v>
      </c>
      <c r="G1119" s="156" t="s">
        <v>71</v>
      </c>
      <c r="H1119" s="156">
        <f>F1119</f>
        <v>2</v>
      </c>
      <c r="I1119" s="166">
        <f>SUMIFS(Продажи!F$5:F$359,Продажи!$D$5:$D$359,Конструкторы!$B1119,Продажи!$C$5:$C$359,Конструкторы!$A1119)</f>
        <v>0</v>
      </c>
      <c r="J1119" s="166">
        <f>SUMIFS(Продажи!G$5:G$359,Продажи!$D$5:$D$359,Конструкторы!$B1119,Продажи!$C$5:$C$359,Конструкторы!$A1119)</f>
        <v>0</v>
      </c>
      <c r="K1119" s="166">
        <f>SUMIFS(Продажи!H$5:H$359,Продажи!$D$5:$D$359,Конструкторы!$B1119,Продажи!$C$5:$C$359,Конструкторы!$A1119)</f>
        <v>0</v>
      </c>
      <c r="L1119" s="166">
        <f>SUMIFS(Продажи!I$5:I$359,Продажи!$D$5:$D$359,Конструкторы!$B1119,Продажи!$C$5:$C$359,Конструкторы!$A1119)</f>
        <v>0</v>
      </c>
      <c r="M1119" s="166">
        <f>SUMIFS(Продажи!J$5:J$359,Продажи!$D$5:$D$359,Конструкторы!$B1119,Продажи!$C$5:$C$359,Конструкторы!$A1119)</f>
        <v>0</v>
      </c>
      <c r="N1119" s="166">
        <f>SUMIFS(Продажи!K$5:K$359,Продажи!$D$5:$D$359,Конструкторы!$B1119,Продажи!$C$5:$C$359,Конструкторы!$A1119)</f>
        <v>0</v>
      </c>
      <c r="O1119" s="166">
        <f>SUMIFS(Продажи!L$5:L$359,Продажи!$D$5:$D$359,Конструкторы!$B1119,Продажи!$C$5:$C$359,Конструкторы!$A1119)</f>
        <v>0</v>
      </c>
      <c r="P1119" s="166">
        <f>SUMIFS(Продажи!M$5:M$359,Продажи!$D$5:$D$359,Конструкторы!$B1119,Продажи!$C$5:$C$359,Конструкторы!$A1119)</f>
        <v>0</v>
      </c>
      <c r="Q1119" s="166">
        <f>SUMIFS(Продажи!N$5:N$359,Продажи!$D$5:$D$359,Конструкторы!$B1119,Продажи!$C$5:$C$359,Конструкторы!$A1119)</f>
        <v>0</v>
      </c>
      <c r="R1119" s="166">
        <f>SUMIFS(Продажи!O$5:O$359,Продажи!$D$5:$D$359,Конструкторы!$B1119,Продажи!$C$5:$C$359,Конструкторы!$A1119)</f>
        <v>0</v>
      </c>
      <c r="S1119" s="166">
        <f>SUMIFS(Продажи!P$5:P$359,Продажи!$D$5:$D$359,Конструкторы!$B1119,Продажи!$C$5:$C$359,Конструкторы!$A1119)</f>
        <v>0</v>
      </c>
      <c r="T1119" s="166">
        <f>SUMIFS(Продажи!Q$5:Q$359,Продажи!$D$5:$D$359,Конструкторы!$B1119,Продажи!$C$5:$C$359,Конструкторы!$A1119)</f>
        <v>0</v>
      </c>
    </row>
    <row r="1120" spans="1:20" ht="15.75" hidden="1" x14ac:dyDescent="0.25">
      <c r="A1120" s="166" t="s">
        <v>397</v>
      </c>
      <c r="B1120" s="167" t="s">
        <v>323</v>
      </c>
      <c r="C1120" s="129" t="s">
        <v>56</v>
      </c>
      <c r="D1120" s="149"/>
      <c r="E1120" s="153" t="s">
        <v>68</v>
      </c>
      <c r="F1120" s="156">
        <f>(0.3*103)/100</f>
        <v>0.309</v>
      </c>
      <c r="G1120" s="156">
        <v>9.000000000000008E-3</v>
      </c>
      <c r="H1120" s="156">
        <f>F1120+G1120</f>
        <v>0.318</v>
      </c>
      <c r="I1120" s="166">
        <f>SUMIFS(Продажи!F$5:F$359,Продажи!$D$5:$D$359,Конструкторы!$B1120,Продажи!$C$5:$C$359,Конструкторы!$A1120)</f>
        <v>0</v>
      </c>
      <c r="J1120" s="166">
        <f>SUMIFS(Продажи!G$5:G$359,Продажи!$D$5:$D$359,Конструкторы!$B1120,Продажи!$C$5:$C$359,Конструкторы!$A1120)</f>
        <v>0</v>
      </c>
      <c r="K1120" s="166">
        <f>SUMIFS(Продажи!H$5:H$359,Продажи!$D$5:$D$359,Конструкторы!$B1120,Продажи!$C$5:$C$359,Конструкторы!$A1120)</f>
        <v>0</v>
      </c>
      <c r="L1120" s="166">
        <f>SUMIFS(Продажи!I$5:I$359,Продажи!$D$5:$D$359,Конструкторы!$B1120,Продажи!$C$5:$C$359,Конструкторы!$A1120)</f>
        <v>0</v>
      </c>
      <c r="M1120" s="166">
        <f>SUMIFS(Продажи!J$5:J$359,Продажи!$D$5:$D$359,Конструкторы!$B1120,Продажи!$C$5:$C$359,Конструкторы!$A1120)</f>
        <v>0</v>
      </c>
      <c r="N1120" s="166">
        <f>SUMIFS(Продажи!K$5:K$359,Продажи!$D$5:$D$359,Конструкторы!$B1120,Продажи!$C$5:$C$359,Конструкторы!$A1120)</f>
        <v>0</v>
      </c>
      <c r="O1120" s="166">
        <f>SUMIFS(Продажи!L$5:L$359,Продажи!$D$5:$D$359,Конструкторы!$B1120,Продажи!$C$5:$C$359,Конструкторы!$A1120)</f>
        <v>0</v>
      </c>
      <c r="P1120" s="166">
        <f>SUMIFS(Продажи!M$5:M$359,Продажи!$D$5:$D$359,Конструкторы!$B1120,Продажи!$C$5:$C$359,Конструкторы!$A1120)</f>
        <v>0</v>
      </c>
      <c r="Q1120" s="166">
        <f>SUMIFS(Продажи!N$5:N$359,Продажи!$D$5:$D$359,Конструкторы!$B1120,Продажи!$C$5:$C$359,Конструкторы!$A1120)</f>
        <v>0</v>
      </c>
      <c r="R1120" s="166">
        <f>SUMIFS(Продажи!O$5:O$359,Продажи!$D$5:$D$359,Конструкторы!$B1120,Продажи!$C$5:$C$359,Конструкторы!$A1120)</f>
        <v>0</v>
      </c>
      <c r="S1120" s="166">
        <f>SUMIFS(Продажи!P$5:P$359,Продажи!$D$5:$D$359,Конструкторы!$B1120,Продажи!$C$5:$C$359,Конструкторы!$A1120)</f>
        <v>0</v>
      </c>
      <c r="T1120" s="166">
        <f>SUMIFS(Продажи!Q$5:Q$359,Продажи!$D$5:$D$359,Конструкторы!$B1120,Продажи!$C$5:$C$359,Конструкторы!$A1120)</f>
        <v>0</v>
      </c>
    </row>
    <row r="1121" spans="1:20" ht="15.75" hidden="1" x14ac:dyDescent="0.25">
      <c r="A1121" s="166" t="s">
        <v>397</v>
      </c>
      <c r="B1121" s="167" t="s">
        <v>323</v>
      </c>
      <c r="C1121" s="129" t="s">
        <v>57</v>
      </c>
      <c r="D1121" s="149"/>
      <c r="E1121" s="153" t="s">
        <v>68</v>
      </c>
      <c r="F1121" s="156">
        <f>(0.202*103)/100</f>
        <v>0.20806000000000002</v>
      </c>
      <c r="G1121" s="156">
        <v>6.0600000000000098E-3</v>
      </c>
      <c r="H1121" s="156">
        <f>F1121+G1121</f>
        <v>0.21412000000000003</v>
      </c>
      <c r="I1121" s="166">
        <f>SUMIFS(Продажи!F$5:F$359,Продажи!$D$5:$D$359,Конструкторы!$B1121,Продажи!$C$5:$C$359,Конструкторы!$A1121)</f>
        <v>0</v>
      </c>
      <c r="J1121" s="166">
        <f>SUMIFS(Продажи!G$5:G$359,Продажи!$D$5:$D$359,Конструкторы!$B1121,Продажи!$C$5:$C$359,Конструкторы!$A1121)</f>
        <v>0</v>
      </c>
      <c r="K1121" s="166">
        <f>SUMIFS(Продажи!H$5:H$359,Продажи!$D$5:$D$359,Конструкторы!$B1121,Продажи!$C$5:$C$359,Конструкторы!$A1121)</f>
        <v>0</v>
      </c>
      <c r="L1121" s="166">
        <f>SUMIFS(Продажи!I$5:I$359,Продажи!$D$5:$D$359,Конструкторы!$B1121,Продажи!$C$5:$C$359,Конструкторы!$A1121)</f>
        <v>0</v>
      </c>
      <c r="M1121" s="166">
        <f>SUMIFS(Продажи!J$5:J$359,Продажи!$D$5:$D$359,Конструкторы!$B1121,Продажи!$C$5:$C$359,Конструкторы!$A1121)</f>
        <v>0</v>
      </c>
      <c r="N1121" s="166">
        <f>SUMIFS(Продажи!K$5:K$359,Продажи!$D$5:$D$359,Конструкторы!$B1121,Продажи!$C$5:$C$359,Конструкторы!$A1121)</f>
        <v>0</v>
      </c>
      <c r="O1121" s="166">
        <f>SUMIFS(Продажи!L$5:L$359,Продажи!$D$5:$D$359,Конструкторы!$B1121,Продажи!$C$5:$C$359,Конструкторы!$A1121)</f>
        <v>0</v>
      </c>
      <c r="P1121" s="166">
        <f>SUMIFS(Продажи!M$5:M$359,Продажи!$D$5:$D$359,Конструкторы!$B1121,Продажи!$C$5:$C$359,Конструкторы!$A1121)</f>
        <v>0</v>
      </c>
      <c r="Q1121" s="166">
        <f>SUMIFS(Продажи!N$5:N$359,Продажи!$D$5:$D$359,Конструкторы!$B1121,Продажи!$C$5:$C$359,Конструкторы!$A1121)</f>
        <v>0</v>
      </c>
      <c r="R1121" s="166">
        <f>SUMIFS(Продажи!O$5:O$359,Продажи!$D$5:$D$359,Конструкторы!$B1121,Продажи!$C$5:$C$359,Конструкторы!$A1121)</f>
        <v>0</v>
      </c>
      <c r="S1121" s="166">
        <f>SUMIFS(Продажи!P$5:P$359,Продажи!$D$5:$D$359,Конструкторы!$B1121,Продажи!$C$5:$C$359,Конструкторы!$A1121)</f>
        <v>0</v>
      </c>
      <c r="T1121" s="166">
        <f>SUMIFS(Продажи!Q$5:Q$359,Продажи!$D$5:$D$359,Конструкторы!$B1121,Продажи!$C$5:$C$359,Конструкторы!$A1121)</f>
        <v>0</v>
      </c>
    </row>
    <row r="1122" spans="1:20" ht="15.75" hidden="1" x14ac:dyDescent="0.25">
      <c r="A1122" s="166" t="s">
        <v>397</v>
      </c>
      <c r="B1122" s="167" t="s">
        <v>323</v>
      </c>
      <c r="C1122" s="129" t="s">
        <v>58</v>
      </c>
      <c r="D1122" s="149"/>
      <c r="E1122" s="153" t="s">
        <v>68</v>
      </c>
      <c r="F1122" s="156">
        <f>(0.297*103)/100</f>
        <v>0.30590999999999996</v>
      </c>
      <c r="G1122" s="156">
        <v>8.9099999999999735E-3</v>
      </c>
      <c r="H1122" s="156">
        <f>F1122+G1122</f>
        <v>0.31481999999999993</v>
      </c>
      <c r="I1122" s="166">
        <f>SUMIFS(Продажи!F$5:F$359,Продажи!$D$5:$D$359,Конструкторы!$B1122,Продажи!$C$5:$C$359,Конструкторы!$A1122)</f>
        <v>0</v>
      </c>
      <c r="J1122" s="166">
        <f>SUMIFS(Продажи!G$5:G$359,Продажи!$D$5:$D$359,Конструкторы!$B1122,Продажи!$C$5:$C$359,Конструкторы!$A1122)</f>
        <v>0</v>
      </c>
      <c r="K1122" s="166">
        <f>SUMIFS(Продажи!H$5:H$359,Продажи!$D$5:$D$359,Конструкторы!$B1122,Продажи!$C$5:$C$359,Конструкторы!$A1122)</f>
        <v>0</v>
      </c>
      <c r="L1122" s="166">
        <f>SUMIFS(Продажи!I$5:I$359,Продажи!$D$5:$D$359,Конструкторы!$B1122,Продажи!$C$5:$C$359,Конструкторы!$A1122)</f>
        <v>0</v>
      </c>
      <c r="M1122" s="166">
        <f>SUMIFS(Продажи!J$5:J$359,Продажи!$D$5:$D$359,Конструкторы!$B1122,Продажи!$C$5:$C$359,Конструкторы!$A1122)</f>
        <v>0</v>
      </c>
      <c r="N1122" s="166">
        <f>SUMIFS(Продажи!K$5:K$359,Продажи!$D$5:$D$359,Конструкторы!$B1122,Продажи!$C$5:$C$359,Конструкторы!$A1122)</f>
        <v>0</v>
      </c>
      <c r="O1122" s="166">
        <f>SUMIFS(Продажи!L$5:L$359,Продажи!$D$5:$D$359,Конструкторы!$B1122,Продажи!$C$5:$C$359,Конструкторы!$A1122)</f>
        <v>0</v>
      </c>
      <c r="P1122" s="166">
        <f>SUMIFS(Продажи!M$5:M$359,Продажи!$D$5:$D$359,Конструкторы!$B1122,Продажи!$C$5:$C$359,Конструкторы!$A1122)</f>
        <v>0</v>
      </c>
      <c r="Q1122" s="166">
        <f>SUMIFS(Продажи!N$5:N$359,Продажи!$D$5:$D$359,Конструкторы!$B1122,Продажи!$C$5:$C$359,Конструкторы!$A1122)</f>
        <v>0</v>
      </c>
      <c r="R1122" s="166">
        <f>SUMIFS(Продажи!O$5:O$359,Продажи!$D$5:$D$359,Конструкторы!$B1122,Продажи!$C$5:$C$359,Конструкторы!$A1122)</f>
        <v>0</v>
      </c>
      <c r="S1122" s="166">
        <f>SUMIFS(Продажи!P$5:P$359,Продажи!$D$5:$D$359,Конструкторы!$B1122,Продажи!$C$5:$C$359,Конструкторы!$A1122)</f>
        <v>0</v>
      </c>
      <c r="T1122" s="166">
        <f>SUMIFS(Продажи!Q$5:Q$359,Продажи!$D$5:$D$359,Конструкторы!$B1122,Продажи!$C$5:$C$359,Конструкторы!$A1122)</f>
        <v>0</v>
      </c>
    </row>
    <row r="1123" spans="1:20" ht="15.75" hidden="1" x14ac:dyDescent="0.25">
      <c r="A1123" s="166" t="s">
        <v>397</v>
      </c>
      <c r="B1123" s="167" t="s">
        <v>323</v>
      </c>
      <c r="C1123" s="129" t="s">
        <v>24</v>
      </c>
      <c r="D1123" s="149"/>
      <c r="E1123" s="153" t="s">
        <v>68</v>
      </c>
      <c r="F1123" s="156">
        <f>(0.05*103)/100</f>
        <v>5.1500000000000004E-2</v>
      </c>
      <c r="G1123" s="156">
        <v>1.5000000000000013E-3</v>
      </c>
      <c r="H1123" s="156">
        <f>F1123+G1123</f>
        <v>5.3000000000000005E-2</v>
      </c>
      <c r="I1123" s="166">
        <f>SUMIFS(Продажи!F$5:F$359,Продажи!$D$5:$D$359,Конструкторы!$B1123,Продажи!$C$5:$C$359,Конструкторы!$A1123)</f>
        <v>0</v>
      </c>
      <c r="J1123" s="166">
        <f>SUMIFS(Продажи!G$5:G$359,Продажи!$D$5:$D$359,Конструкторы!$B1123,Продажи!$C$5:$C$359,Конструкторы!$A1123)</f>
        <v>0</v>
      </c>
      <c r="K1123" s="166">
        <f>SUMIFS(Продажи!H$5:H$359,Продажи!$D$5:$D$359,Конструкторы!$B1123,Продажи!$C$5:$C$359,Конструкторы!$A1123)</f>
        <v>0</v>
      </c>
      <c r="L1123" s="166">
        <f>SUMIFS(Продажи!I$5:I$359,Продажи!$D$5:$D$359,Конструкторы!$B1123,Продажи!$C$5:$C$359,Конструкторы!$A1123)</f>
        <v>0</v>
      </c>
      <c r="M1123" s="166">
        <f>SUMIFS(Продажи!J$5:J$359,Продажи!$D$5:$D$359,Конструкторы!$B1123,Продажи!$C$5:$C$359,Конструкторы!$A1123)</f>
        <v>0</v>
      </c>
      <c r="N1123" s="166">
        <f>SUMIFS(Продажи!K$5:K$359,Продажи!$D$5:$D$359,Конструкторы!$B1123,Продажи!$C$5:$C$359,Конструкторы!$A1123)</f>
        <v>0</v>
      </c>
      <c r="O1123" s="166">
        <f>SUMIFS(Продажи!L$5:L$359,Продажи!$D$5:$D$359,Конструкторы!$B1123,Продажи!$C$5:$C$359,Конструкторы!$A1123)</f>
        <v>0</v>
      </c>
      <c r="P1123" s="166">
        <f>SUMIFS(Продажи!M$5:M$359,Продажи!$D$5:$D$359,Конструкторы!$B1123,Продажи!$C$5:$C$359,Конструкторы!$A1123)</f>
        <v>0</v>
      </c>
      <c r="Q1123" s="166">
        <f>SUMIFS(Продажи!N$5:N$359,Продажи!$D$5:$D$359,Конструкторы!$B1123,Продажи!$C$5:$C$359,Конструкторы!$A1123)</f>
        <v>0</v>
      </c>
      <c r="R1123" s="166">
        <f>SUMIFS(Продажи!O$5:O$359,Продажи!$D$5:$D$359,Конструкторы!$B1123,Продажи!$C$5:$C$359,Конструкторы!$A1123)</f>
        <v>0</v>
      </c>
      <c r="S1123" s="166">
        <f>SUMIFS(Продажи!P$5:P$359,Продажи!$D$5:$D$359,Конструкторы!$B1123,Продажи!$C$5:$C$359,Конструкторы!$A1123)</f>
        <v>0</v>
      </c>
      <c r="T1123" s="166">
        <f>SUMIFS(Продажи!Q$5:Q$359,Продажи!$D$5:$D$359,Конструкторы!$B1123,Продажи!$C$5:$C$359,Конструкторы!$A1123)</f>
        <v>0</v>
      </c>
    </row>
    <row r="1124" spans="1:20" ht="15.75" hidden="1" x14ac:dyDescent="0.25">
      <c r="A1124" s="166" t="s">
        <v>397</v>
      </c>
      <c r="B1124" s="167" t="s">
        <v>323</v>
      </c>
      <c r="C1124" s="33" t="s">
        <v>89</v>
      </c>
      <c r="D1124" s="149"/>
      <c r="E1124" s="153" t="s">
        <v>70</v>
      </c>
      <c r="F1124" s="159">
        <v>1</v>
      </c>
      <c r="G1124" s="156" t="s">
        <v>71</v>
      </c>
      <c r="H1124" s="156">
        <f>F1124</f>
        <v>1</v>
      </c>
      <c r="I1124" s="166">
        <f>SUMIFS(Продажи!F$5:F$359,Продажи!$D$5:$D$359,Конструкторы!$B1124,Продажи!$C$5:$C$359,Конструкторы!$A1124)</f>
        <v>0</v>
      </c>
      <c r="J1124" s="166">
        <f>SUMIFS(Продажи!G$5:G$359,Продажи!$D$5:$D$359,Конструкторы!$B1124,Продажи!$C$5:$C$359,Конструкторы!$A1124)</f>
        <v>0</v>
      </c>
      <c r="K1124" s="166">
        <f>SUMIFS(Продажи!H$5:H$359,Продажи!$D$5:$D$359,Конструкторы!$B1124,Продажи!$C$5:$C$359,Конструкторы!$A1124)</f>
        <v>0</v>
      </c>
      <c r="L1124" s="166">
        <f>SUMIFS(Продажи!I$5:I$359,Продажи!$D$5:$D$359,Конструкторы!$B1124,Продажи!$C$5:$C$359,Конструкторы!$A1124)</f>
        <v>0</v>
      </c>
      <c r="M1124" s="166">
        <f>SUMIFS(Продажи!J$5:J$359,Продажи!$D$5:$D$359,Конструкторы!$B1124,Продажи!$C$5:$C$359,Конструкторы!$A1124)</f>
        <v>0</v>
      </c>
      <c r="N1124" s="166">
        <f>SUMIFS(Продажи!K$5:K$359,Продажи!$D$5:$D$359,Конструкторы!$B1124,Продажи!$C$5:$C$359,Конструкторы!$A1124)</f>
        <v>0</v>
      </c>
      <c r="O1124" s="166">
        <f>SUMIFS(Продажи!L$5:L$359,Продажи!$D$5:$D$359,Конструкторы!$B1124,Продажи!$C$5:$C$359,Конструкторы!$A1124)</f>
        <v>0</v>
      </c>
      <c r="P1124" s="166">
        <f>SUMIFS(Продажи!M$5:M$359,Продажи!$D$5:$D$359,Конструкторы!$B1124,Продажи!$C$5:$C$359,Конструкторы!$A1124)</f>
        <v>0</v>
      </c>
      <c r="Q1124" s="166">
        <f>SUMIFS(Продажи!N$5:N$359,Продажи!$D$5:$D$359,Конструкторы!$B1124,Продажи!$C$5:$C$359,Конструкторы!$A1124)</f>
        <v>0</v>
      </c>
      <c r="R1124" s="166">
        <f>SUMIFS(Продажи!O$5:O$359,Продажи!$D$5:$D$359,Конструкторы!$B1124,Продажи!$C$5:$C$359,Конструкторы!$A1124)</f>
        <v>0</v>
      </c>
      <c r="S1124" s="166">
        <f>SUMIFS(Продажи!P$5:P$359,Продажи!$D$5:$D$359,Конструкторы!$B1124,Продажи!$C$5:$C$359,Конструкторы!$A1124)</f>
        <v>0</v>
      </c>
      <c r="T1124" s="166">
        <f>SUMIFS(Продажи!Q$5:Q$359,Продажи!$D$5:$D$359,Конструкторы!$B1124,Продажи!$C$5:$C$359,Конструкторы!$A1124)</f>
        <v>0</v>
      </c>
    </row>
    <row r="1125" spans="1:20" ht="15.75" hidden="1" x14ac:dyDescent="0.25">
      <c r="A1125" s="166" t="s">
        <v>397</v>
      </c>
      <c r="B1125" s="167" t="s">
        <v>323</v>
      </c>
      <c r="C1125" s="33" t="s">
        <v>88</v>
      </c>
      <c r="D1125" s="149"/>
      <c r="E1125" s="153" t="s">
        <v>70</v>
      </c>
      <c r="F1125" s="148">
        <v>2</v>
      </c>
      <c r="G1125" s="156" t="s">
        <v>71</v>
      </c>
      <c r="H1125" s="156">
        <f>F1125</f>
        <v>2</v>
      </c>
      <c r="I1125" s="166">
        <f>SUMIFS(Продажи!F$5:F$359,Продажи!$D$5:$D$359,Конструкторы!$B1125,Продажи!$C$5:$C$359,Конструкторы!$A1125)</f>
        <v>0</v>
      </c>
      <c r="J1125" s="166">
        <f>SUMIFS(Продажи!G$5:G$359,Продажи!$D$5:$D$359,Конструкторы!$B1125,Продажи!$C$5:$C$359,Конструкторы!$A1125)</f>
        <v>0</v>
      </c>
      <c r="K1125" s="166">
        <f>SUMIFS(Продажи!H$5:H$359,Продажи!$D$5:$D$359,Конструкторы!$B1125,Продажи!$C$5:$C$359,Конструкторы!$A1125)</f>
        <v>0</v>
      </c>
      <c r="L1125" s="166">
        <f>SUMIFS(Продажи!I$5:I$359,Продажи!$D$5:$D$359,Конструкторы!$B1125,Продажи!$C$5:$C$359,Конструкторы!$A1125)</f>
        <v>0</v>
      </c>
      <c r="M1125" s="166">
        <f>SUMIFS(Продажи!J$5:J$359,Продажи!$D$5:$D$359,Конструкторы!$B1125,Продажи!$C$5:$C$359,Конструкторы!$A1125)</f>
        <v>0</v>
      </c>
      <c r="N1125" s="166">
        <f>SUMIFS(Продажи!K$5:K$359,Продажи!$D$5:$D$359,Конструкторы!$B1125,Продажи!$C$5:$C$359,Конструкторы!$A1125)</f>
        <v>0</v>
      </c>
      <c r="O1125" s="166">
        <f>SUMIFS(Продажи!L$5:L$359,Продажи!$D$5:$D$359,Конструкторы!$B1125,Продажи!$C$5:$C$359,Конструкторы!$A1125)</f>
        <v>0</v>
      </c>
      <c r="P1125" s="166">
        <f>SUMIFS(Продажи!M$5:M$359,Продажи!$D$5:$D$359,Конструкторы!$B1125,Продажи!$C$5:$C$359,Конструкторы!$A1125)</f>
        <v>0</v>
      </c>
      <c r="Q1125" s="166">
        <f>SUMIFS(Продажи!N$5:N$359,Продажи!$D$5:$D$359,Конструкторы!$B1125,Продажи!$C$5:$C$359,Конструкторы!$A1125)</f>
        <v>0</v>
      </c>
      <c r="R1125" s="166">
        <f>SUMIFS(Продажи!O$5:O$359,Продажи!$D$5:$D$359,Конструкторы!$B1125,Продажи!$C$5:$C$359,Конструкторы!$A1125)</f>
        <v>0</v>
      </c>
      <c r="S1125" s="166">
        <f>SUMIFS(Продажи!P$5:P$359,Продажи!$D$5:$D$359,Конструкторы!$B1125,Продажи!$C$5:$C$359,Конструкторы!$A1125)</f>
        <v>0</v>
      </c>
      <c r="T1125" s="166">
        <f>SUMIFS(Продажи!Q$5:Q$359,Продажи!$D$5:$D$359,Конструкторы!$B1125,Продажи!$C$5:$C$359,Конструкторы!$A1125)</f>
        <v>0</v>
      </c>
    </row>
    <row r="1126" spans="1:20" ht="15.75" hidden="1" x14ac:dyDescent="0.25">
      <c r="A1126" s="166" t="s">
        <v>397</v>
      </c>
      <c r="B1126" s="167" t="s">
        <v>323</v>
      </c>
      <c r="C1126" s="33" t="s">
        <v>75</v>
      </c>
      <c r="D1126" s="149"/>
      <c r="E1126" s="153" t="s">
        <v>70</v>
      </c>
      <c r="F1126" s="148">
        <v>16</v>
      </c>
      <c r="G1126" s="156" t="s">
        <v>71</v>
      </c>
      <c r="H1126" s="156">
        <f>F1126</f>
        <v>16</v>
      </c>
      <c r="I1126" s="166">
        <f>SUMIFS(Продажи!F$5:F$359,Продажи!$D$5:$D$359,Конструкторы!$B1126,Продажи!$C$5:$C$359,Конструкторы!$A1126)</f>
        <v>0</v>
      </c>
      <c r="J1126" s="166">
        <f>SUMIFS(Продажи!G$5:G$359,Продажи!$D$5:$D$359,Конструкторы!$B1126,Продажи!$C$5:$C$359,Конструкторы!$A1126)</f>
        <v>0</v>
      </c>
      <c r="K1126" s="166">
        <f>SUMIFS(Продажи!H$5:H$359,Продажи!$D$5:$D$359,Конструкторы!$B1126,Продажи!$C$5:$C$359,Конструкторы!$A1126)</f>
        <v>0</v>
      </c>
      <c r="L1126" s="166">
        <f>SUMIFS(Продажи!I$5:I$359,Продажи!$D$5:$D$359,Конструкторы!$B1126,Продажи!$C$5:$C$359,Конструкторы!$A1126)</f>
        <v>0</v>
      </c>
      <c r="M1126" s="166">
        <f>SUMIFS(Продажи!J$5:J$359,Продажи!$D$5:$D$359,Конструкторы!$B1126,Продажи!$C$5:$C$359,Конструкторы!$A1126)</f>
        <v>0</v>
      </c>
      <c r="N1126" s="166">
        <f>SUMIFS(Продажи!K$5:K$359,Продажи!$D$5:$D$359,Конструкторы!$B1126,Продажи!$C$5:$C$359,Конструкторы!$A1126)</f>
        <v>0</v>
      </c>
      <c r="O1126" s="166">
        <f>SUMIFS(Продажи!L$5:L$359,Продажи!$D$5:$D$359,Конструкторы!$B1126,Продажи!$C$5:$C$359,Конструкторы!$A1126)</f>
        <v>0</v>
      </c>
      <c r="P1126" s="166">
        <f>SUMIFS(Продажи!M$5:M$359,Продажи!$D$5:$D$359,Конструкторы!$B1126,Продажи!$C$5:$C$359,Конструкторы!$A1126)</f>
        <v>0</v>
      </c>
      <c r="Q1126" s="166">
        <f>SUMIFS(Продажи!N$5:N$359,Продажи!$D$5:$D$359,Конструкторы!$B1126,Продажи!$C$5:$C$359,Конструкторы!$A1126)</f>
        <v>0</v>
      </c>
      <c r="R1126" s="166">
        <f>SUMIFS(Продажи!O$5:O$359,Продажи!$D$5:$D$359,Конструкторы!$B1126,Продажи!$C$5:$C$359,Конструкторы!$A1126)</f>
        <v>0</v>
      </c>
      <c r="S1126" s="166">
        <f>SUMIFS(Продажи!P$5:P$359,Продажи!$D$5:$D$359,Конструкторы!$B1126,Продажи!$C$5:$C$359,Конструкторы!$A1126)</f>
        <v>0</v>
      </c>
      <c r="T1126" s="166">
        <f>SUMIFS(Продажи!Q$5:Q$359,Продажи!$D$5:$D$359,Конструкторы!$B1126,Продажи!$C$5:$C$359,Конструкторы!$A1126)</f>
        <v>0</v>
      </c>
    </row>
    <row r="1127" spans="1:20" ht="15.75" hidden="1" x14ac:dyDescent="0.25">
      <c r="A1127" s="166" t="s">
        <v>397</v>
      </c>
      <c r="B1127" s="167" t="s">
        <v>323</v>
      </c>
      <c r="C1127" s="33" t="s">
        <v>69</v>
      </c>
      <c r="D1127" s="149"/>
      <c r="E1127" s="153" t="s">
        <v>70</v>
      </c>
      <c r="F1127" s="148">
        <v>2</v>
      </c>
      <c r="G1127" s="156" t="s">
        <v>71</v>
      </c>
      <c r="H1127" s="156">
        <f>F1127</f>
        <v>2</v>
      </c>
      <c r="I1127" s="166">
        <f>SUMIFS(Продажи!F$5:F$359,Продажи!$D$5:$D$359,Конструкторы!$B1127,Продажи!$C$5:$C$359,Конструкторы!$A1127)</f>
        <v>0</v>
      </c>
      <c r="J1127" s="166">
        <f>SUMIFS(Продажи!G$5:G$359,Продажи!$D$5:$D$359,Конструкторы!$B1127,Продажи!$C$5:$C$359,Конструкторы!$A1127)</f>
        <v>0</v>
      </c>
      <c r="K1127" s="166">
        <f>SUMIFS(Продажи!H$5:H$359,Продажи!$D$5:$D$359,Конструкторы!$B1127,Продажи!$C$5:$C$359,Конструкторы!$A1127)</f>
        <v>0</v>
      </c>
      <c r="L1127" s="166">
        <f>SUMIFS(Продажи!I$5:I$359,Продажи!$D$5:$D$359,Конструкторы!$B1127,Продажи!$C$5:$C$359,Конструкторы!$A1127)</f>
        <v>0</v>
      </c>
      <c r="M1127" s="166">
        <f>SUMIFS(Продажи!J$5:J$359,Продажи!$D$5:$D$359,Конструкторы!$B1127,Продажи!$C$5:$C$359,Конструкторы!$A1127)</f>
        <v>0</v>
      </c>
      <c r="N1127" s="166">
        <f>SUMIFS(Продажи!K$5:K$359,Продажи!$D$5:$D$359,Конструкторы!$B1127,Продажи!$C$5:$C$359,Конструкторы!$A1127)</f>
        <v>0</v>
      </c>
      <c r="O1127" s="166">
        <f>SUMIFS(Продажи!L$5:L$359,Продажи!$D$5:$D$359,Конструкторы!$B1127,Продажи!$C$5:$C$359,Конструкторы!$A1127)</f>
        <v>0</v>
      </c>
      <c r="P1127" s="166">
        <f>SUMIFS(Продажи!M$5:M$359,Продажи!$D$5:$D$359,Конструкторы!$B1127,Продажи!$C$5:$C$359,Конструкторы!$A1127)</f>
        <v>0</v>
      </c>
      <c r="Q1127" s="166">
        <f>SUMIFS(Продажи!N$5:N$359,Продажи!$D$5:$D$359,Конструкторы!$B1127,Продажи!$C$5:$C$359,Конструкторы!$A1127)</f>
        <v>0</v>
      </c>
      <c r="R1127" s="166">
        <f>SUMIFS(Продажи!O$5:O$359,Продажи!$D$5:$D$359,Конструкторы!$B1127,Продажи!$C$5:$C$359,Конструкторы!$A1127)</f>
        <v>0</v>
      </c>
      <c r="S1127" s="166">
        <f>SUMIFS(Продажи!P$5:P$359,Продажи!$D$5:$D$359,Конструкторы!$B1127,Продажи!$C$5:$C$359,Конструкторы!$A1127)</f>
        <v>0</v>
      </c>
      <c r="T1127" s="166">
        <f>SUMIFS(Продажи!Q$5:Q$359,Продажи!$D$5:$D$359,Конструкторы!$B1127,Продажи!$C$5:$C$359,Конструкторы!$A1127)</f>
        <v>0</v>
      </c>
    </row>
    <row r="1128" spans="1:20" ht="15.75" hidden="1" x14ac:dyDescent="0.25">
      <c r="A1128" s="166" t="s">
        <v>397</v>
      </c>
      <c r="B1128" s="167" t="s">
        <v>324</v>
      </c>
      <c r="C1128" s="129" t="s">
        <v>56</v>
      </c>
      <c r="D1128" s="149"/>
      <c r="E1128" s="153" t="s">
        <v>68</v>
      </c>
      <c r="F1128" s="156">
        <f>(0.2*103)/100</f>
        <v>0.20600000000000002</v>
      </c>
      <c r="G1128" s="156">
        <v>6.0000000000000053E-3</v>
      </c>
      <c r="H1128" s="156">
        <f>F1128+G1128</f>
        <v>0.21200000000000002</v>
      </c>
      <c r="I1128" s="166">
        <f>SUMIFS(Продажи!F$5:F$359,Продажи!$D$5:$D$359,Конструкторы!$B1128,Продажи!$C$5:$C$359,Конструкторы!$A1128)</f>
        <v>0</v>
      </c>
      <c r="J1128" s="166">
        <f>SUMIFS(Продажи!G$5:G$359,Продажи!$D$5:$D$359,Конструкторы!$B1128,Продажи!$C$5:$C$359,Конструкторы!$A1128)</f>
        <v>0</v>
      </c>
      <c r="K1128" s="166">
        <f>SUMIFS(Продажи!H$5:H$359,Продажи!$D$5:$D$359,Конструкторы!$B1128,Продажи!$C$5:$C$359,Конструкторы!$A1128)</f>
        <v>0</v>
      </c>
      <c r="L1128" s="166">
        <f>SUMIFS(Продажи!I$5:I$359,Продажи!$D$5:$D$359,Конструкторы!$B1128,Продажи!$C$5:$C$359,Конструкторы!$A1128)</f>
        <v>0</v>
      </c>
      <c r="M1128" s="166">
        <f>SUMIFS(Продажи!J$5:J$359,Продажи!$D$5:$D$359,Конструкторы!$B1128,Продажи!$C$5:$C$359,Конструкторы!$A1128)</f>
        <v>0</v>
      </c>
      <c r="N1128" s="166">
        <f>SUMIFS(Продажи!K$5:K$359,Продажи!$D$5:$D$359,Конструкторы!$B1128,Продажи!$C$5:$C$359,Конструкторы!$A1128)</f>
        <v>0</v>
      </c>
      <c r="O1128" s="166">
        <f>SUMIFS(Продажи!L$5:L$359,Продажи!$D$5:$D$359,Конструкторы!$B1128,Продажи!$C$5:$C$359,Конструкторы!$A1128)</f>
        <v>0</v>
      </c>
      <c r="P1128" s="166">
        <f>SUMIFS(Продажи!M$5:M$359,Продажи!$D$5:$D$359,Конструкторы!$B1128,Продажи!$C$5:$C$359,Конструкторы!$A1128)</f>
        <v>0</v>
      </c>
      <c r="Q1128" s="166">
        <f>SUMIFS(Продажи!N$5:N$359,Продажи!$D$5:$D$359,Конструкторы!$B1128,Продажи!$C$5:$C$359,Конструкторы!$A1128)</f>
        <v>0</v>
      </c>
      <c r="R1128" s="166">
        <f>SUMIFS(Продажи!O$5:O$359,Продажи!$D$5:$D$359,Конструкторы!$B1128,Продажи!$C$5:$C$359,Конструкторы!$A1128)</f>
        <v>0</v>
      </c>
      <c r="S1128" s="166">
        <f>SUMIFS(Продажи!P$5:P$359,Продажи!$D$5:$D$359,Конструкторы!$B1128,Продажи!$C$5:$C$359,Конструкторы!$A1128)</f>
        <v>0</v>
      </c>
      <c r="T1128" s="166">
        <f>SUMIFS(Продажи!Q$5:Q$359,Продажи!$D$5:$D$359,Конструкторы!$B1128,Продажи!$C$5:$C$359,Конструкторы!$A1128)</f>
        <v>0</v>
      </c>
    </row>
    <row r="1129" spans="1:20" ht="15.75" hidden="1" x14ac:dyDescent="0.25">
      <c r="A1129" s="166" t="s">
        <v>397</v>
      </c>
      <c r="B1129" s="167" t="s">
        <v>324</v>
      </c>
      <c r="C1129" s="129" t="s">
        <v>59</v>
      </c>
      <c r="D1129" s="149"/>
      <c r="E1129" s="153" t="s">
        <v>68</v>
      </c>
      <c r="F1129" s="156">
        <f>(0.5*103)/100</f>
        <v>0.51500000000000001</v>
      </c>
      <c r="G1129" s="156">
        <v>1.5000000000000013E-2</v>
      </c>
      <c r="H1129" s="156">
        <f>F1129+G1129</f>
        <v>0.53</v>
      </c>
      <c r="I1129" s="166">
        <f>SUMIFS(Продажи!F$5:F$359,Продажи!$D$5:$D$359,Конструкторы!$B1129,Продажи!$C$5:$C$359,Конструкторы!$A1129)</f>
        <v>0</v>
      </c>
      <c r="J1129" s="166">
        <f>SUMIFS(Продажи!G$5:G$359,Продажи!$D$5:$D$359,Конструкторы!$B1129,Продажи!$C$5:$C$359,Конструкторы!$A1129)</f>
        <v>0</v>
      </c>
      <c r="K1129" s="166">
        <f>SUMIFS(Продажи!H$5:H$359,Продажи!$D$5:$D$359,Конструкторы!$B1129,Продажи!$C$5:$C$359,Конструкторы!$A1129)</f>
        <v>0</v>
      </c>
      <c r="L1129" s="166">
        <f>SUMIFS(Продажи!I$5:I$359,Продажи!$D$5:$D$359,Конструкторы!$B1129,Продажи!$C$5:$C$359,Конструкторы!$A1129)</f>
        <v>0</v>
      </c>
      <c r="M1129" s="166">
        <f>SUMIFS(Продажи!J$5:J$359,Продажи!$D$5:$D$359,Конструкторы!$B1129,Продажи!$C$5:$C$359,Конструкторы!$A1129)</f>
        <v>0</v>
      </c>
      <c r="N1129" s="166">
        <f>SUMIFS(Продажи!K$5:K$359,Продажи!$D$5:$D$359,Конструкторы!$B1129,Продажи!$C$5:$C$359,Конструкторы!$A1129)</f>
        <v>0</v>
      </c>
      <c r="O1129" s="166">
        <f>SUMIFS(Продажи!L$5:L$359,Продажи!$D$5:$D$359,Конструкторы!$B1129,Продажи!$C$5:$C$359,Конструкторы!$A1129)</f>
        <v>0</v>
      </c>
      <c r="P1129" s="166">
        <f>SUMIFS(Продажи!M$5:M$359,Продажи!$D$5:$D$359,Конструкторы!$B1129,Продажи!$C$5:$C$359,Конструкторы!$A1129)</f>
        <v>0</v>
      </c>
      <c r="Q1129" s="166">
        <f>SUMIFS(Продажи!N$5:N$359,Продажи!$D$5:$D$359,Конструкторы!$B1129,Продажи!$C$5:$C$359,Конструкторы!$A1129)</f>
        <v>0</v>
      </c>
      <c r="R1129" s="166">
        <f>SUMIFS(Продажи!O$5:O$359,Продажи!$D$5:$D$359,Конструкторы!$B1129,Продажи!$C$5:$C$359,Конструкторы!$A1129)</f>
        <v>0</v>
      </c>
      <c r="S1129" s="166">
        <f>SUMIFS(Продажи!P$5:P$359,Продажи!$D$5:$D$359,Конструкторы!$B1129,Продажи!$C$5:$C$359,Конструкторы!$A1129)</f>
        <v>0</v>
      </c>
      <c r="T1129" s="166">
        <f>SUMIFS(Продажи!Q$5:Q$359,Продажи!$D$5:$D$359,Конструкторы!$B1129,Продажи!$C$5:$C$359,Конструкторы!$A1129)</f>
        <v>0</v>
      </c>
    </row>
    <row r="1130" spans="1:20" ht="15.75" hidden="1" x14ac:dyDescent="0.25">
      <c r="A1130" s="166" t="s">
        <v>397</v>
      </c>
      <c r="B1130" s="167" t="s">
        <v>324</v>
      </c>
      <c r="C1130" s="33" t="s">
        <v>88</v>
      </c>
      <c r="D1130" s="149"/>
      <c r="E1130" s="153" t="s">
        <v>70</v>
      </c>
      <c r="F1130" s="148">
        <v>2</v>
      </c>
      <c r="G1130" s="156" t="s">
        <v>71</v>
      </c>
      <c r="H1130" s="156">
        <f>F1130</f>
        <v>2</v>
      </c>
      <c r="I1130" s="166">
        <f>SUMIFS(Продажи!F$5:F$359,Продажи!$D$5:$D$359,Конструкторы!$B1130,Продажи!$C$5:$C$359,Конструкторы!$A1130)</f>
        <v>0</v>
      </c>
      <c r="J1130" s="166">
        <f>SUMIFS(Продажи!G$5:G$359,Продажи!$D$5:$D$359,Конструкторы!$B1130,Продажи!$C$5:$C$359,Конструкторы!$A1130)</f>
        <v>0</v>
      </c>
      <c r="K1130" s="166">
        <f>SUMIFS(Продажи!H$5:H$359,Продажи!$D$5:$D$359,Конструкторы!$B1130,Продажи!$C$5:$C$359,Конструкторы!$A1130)</f>
        <v>0</v>
      </c>
      <c r="L1130" s="166">
        <f>SUMIFS(Продажи!I$5:I$359,Продажи!$D$5:$D$359,Конструкторы!$B1130,Продажи!$C$5:$C$359,Конструкторы!$A1130)</f>
        <v>0</v>
      </c>
      <c r="M1130" s="166">
        <f>SUMIFS(Продажи!J$5:J$359,Продажи!$D$5:$D$359,Конструкторы!$B1130,Продажи!$C$5:$C$359,Конструкторы!$A1130)</f>
        <v>0</v>
      </c>
      <c r="N1130" s="166">
        <f>SUMIFS(Продажи!K$5:K$359,Продажи!$D$5:$D$359,Конструкторы!$B1130,Продажи!$C$5:$C$359,Конструкторы!$A1130)</f>
        <v>0</v>
      </c>
      <c r="O1130" s="166">
        <f>SUMIFS(Продажи!L$5:L$359,Продажи!$D$5:$D$359,Конструкторы!$B1130,Продажи!$C$5:$C$359,Конструкторы!$A1130)</f>
        <v>0</v>
      </c>
      <c r="P1130" s="166">
        <f>SUMIFS(Продажи!M$5:M$359,Продажи!$D$5:$D$359,Конструкторы!$B1130,Продажи!$C$5:$C$359,Конструкторы!$A1130)</f>
        <v>0</v>
      </c>
      <c r="Q1130" s="166">
        <f>SUMIFS(Продажи!N$5:N$359,Продажи!$D$5:$D$359,Конструкторы!$B1130,Продажи!$C$5:$C$359,Конструкторы!$A1130)</f>
        <v>0</v>
      </c>
      <c r="R1130" s="166">
        <f>SUMIFS(Продажи!O$5:O$359,Продажи!$D$5:$D$359,Конструкторы!$B1130,Продажи!$C$5:$C$359,Конструкторы!$A1130)</f>
        <v>0</v>
      </c>
      <c r="S1130" s="166">
        <f>SUMIFS(Продажи!P$5:P$359,Продажи!$D$5:$D$359,Конструкторы!$B1130,Продажи!$C$5:$C$359,Конструкторы!$A1130)</f>
        <v>0</v>
      </c>
      <c r="T1130" s="166">
        <f>SUMIFS(Продажи!Q$5:Q$359,Продажи!$D$5:$D$359,Конструкторы!$B1130,Продажи!$C$5:$C$359,Конструкторы!$A1130)</f>
        <v>0</v>
      </c>
    </row>
    <row r="1131" spans="1:20" ht="15.75" hidden="1" x14ac:dyDescent="0.25">
      <c r="A1131" s="166" t="s">
        <v>397</v>
      </c>
      <c r="B1131" s="167" t="s">
        <v>324</v>
      </c>
      <c r="C1131" s="33" t="s">
        <v>75</v>
      </c>
      <c r="D1131" s="149"/>
      <c r="E1131" s="153" t="s">
        <v>70</v>
      </c>
      <c r="F1131" s="148">
        <v>8</v>
      </c>
      <c r="G1131" s="156" t="s">
        <v>71</v>
      </c>
      <c r="H1131" s="156">
        <f>F1131</f>
        <v>8</v>
      </c>
      <c r="I1131" s="166">
        <f>SUMIFS(Продажи!F$5:F$359,Продажи!$D$5:$D$359,Конструкторы!$B1131,Продажи!$C$5:$C$359,Конструкторы!$A1131)</f>
        <v>0</v>
      </c>
      <c r="J1131" s="166">
        <f>SUMIFS(Продажи!G$5:G$359,Продажи!$D$5:$D$359,Конструкторы!$B1131,Продажи!$C$5:$C$359,Конструкторы!$A1131)</f>
        <v>0</v>
      </c>
      <c r="K1131" s="166">
        <f>SUMIFS(Продажи!H$5:H$359,Продажи!$D$5:$D$359,Конструкторы!$B1131,Продажи!$C$5:$C$359,Конструкторы!$A1131)</f>
        <v>0</v>
      </c>
      <c r="L1131" s="166">
        <f>SUMIFS(Продажи!I$5:I$359,Продажи!$D$5:$D$359,Конструкторы!$B1131,Продажи!$C$5:$C$359,Конструкторы!$A1131)</f>
        <v>0</v>
      </c>
      <c r="M1131" s="166">
        <f>SUMIFS(Продажи!J$5:J$359,Продажи!$D$5:$D$359,Конструкторы!$B1131,Продажи!$C$5:$C$359,Конструкторы!$A1131)</f>
        <v>0</v>
      </c>
      <c r="N1131" s="166">
        <f>SUMIFS(Продажи!K$5:K$359,Продажи!$D$5:$D$359,Конструкторы!$B1131,Продажи!$C$5:$C$359,Конструкторы!$A1131)</f>
        <v>0</v>
      </c>
      <c r="O1131" s="166">
        <f>SUMIFS(Продажи!L$5:L$359,Продажи!$D$5:$D$359,Конструкторы!$B1131,Продажи!$C$5:$C$359,Конструкторы!$A1131)</f>
        <v>0</v>
      </c>
      <c r="P1131" s="166">
        <f>SUMIFS(Продажи!M$5:M$359,Продажи!$D$5:$D$359,Конструкторы!$B1131,Продажи!$C$5:$C$359,Конструкторы!$A1131)</f>
        <v>0</v>
      </c>
      <c r="Q1131" s="166">
        <f>SUMIFS(Продажи!N$5:N$359,Продажи!$D$5:$D$359,Конструкторы!$B1131,Продажи!$C$5:$C$359,Конструкторы!$A1131)</f>
        <v>0</v>
      </c>
      <c r="R1131" s="166">
        <f>SUMIFS(Продажи!O$5:O$359,Продажи!$D$5:$D$359,Конструкторы!$B1131,Продажи!$C$5:$C$359,Конструкторы!$A1131)</f>
        <v>0</v>
      </c>
      <c r="S1131" s="166">
        <f>SUMIFS(Продажи!P$5:P$359,Продажи!$D$5:$D$359,Конструкторы!$B1131,Продажи!$C$5:$C$359,Конструкторы!$A1131)</f>
        <v>0</v>
      </c>
      <c r="T1131" s="166">
        <f>SUMIFS(Продажи!Q$5:Q$359,Продажи!$D$5:$D$359,Конструкторы!$B1131,Продажи!$C$5:$C$359,Конструкторы!$A1131)</f>
        <v>0</v>
      </c>
    </row>
    <row r="1132" spans="1:20" ht="15.75" hidden="1" x14ac:dyDescent="0.25">
      <c r="A1132" s="166" t="s">
        <v>397</v>
      </c>
      <c r="B1132" s="167" t="s">
        <v>325</v>
      </c>
      <c r="C1132" s="129" t="s">
        <v>56</v>
      </c>
      <c r="D1132" s="149"/>
      <c r="E1132" s="153" t="s">
        <v>68</v>
      </c>
      <c r="F1132" s="156">
        <f>(0.3*103)/100</f>
        <v>0.309</v>
      </c>
      <c r="G1132" s="156">
        <v>9.000000000000008E-3</v>
      </c>
      <c r="H1132" s="156">
        <f>F1132+G1132</f>
        <v>0.318</v>
      </c>
      <c r="I1132" s="166">
        <f>SUMIFS(Продажи!F$5:F$359,Продажи!$D$5:$D$359,Конструкторы!$B1132,Продажи!$C$5:$C$359,Конструкторы!$A1132)</f>
        <v>0</v>
      </c>
      <c r="J1132" s="166">
        <f>SUMIFS(Продажи!G$5:G$359,Продажи!$D$5:$D$359,Конструкторы!$B1132,Продажи!$C$5:$C$359,Конструкторы!$A1132)</f>
        <v>0</v>
      </c>
      <c r="K1132" s="166">
        <f>SUMIFS(Продажи!H$5:H$359,Продажи!$D$5:$D$359,Конструкторы!$B1132,Продажи!$C$5:$C$359,Конструкторы!$A1132)</f>
        <v>0</v>
      </c>
      <c r="L1132" s="166">
        <f>SUMIFS(Продажи!I$5:I$359,Продажи!$D$5:$D$359,Конструкторы!$B1132,Продажи!$C$5:$C$359,Конструкторы!$A1132)</f>
        <v>0</v>
      </c>
      <c r="M1132" s="166">
        <f>SUMIFS(Продажи!J$5:J$359,Продажи!$D$5:$D$359,Конструкторы!$B1132,Продажи!$C$5:$C$359,Конструкторы!$A1132)</f>
        <v>0</v>
      </c>
      <c r="N1132" s="166">
        <f>SUMIFS(Продажи!K$5:K$359,Продажи!$D$5:$D$359,Конструкторы!$B1132,Продажи!$C$5:$C$359,Конструкторы!$A1132)</f>
        <v>0</v>
      </c>
      <c r="O1132" s="166">
        <f>SUMIFS(Продажи!L$5:L$359,Продажи!$D$5:$D$359,Конструкторы!$B1132,Продажи!$C$5:$C$359,Конструкторы!$A1132)</f>
        <v>0</v>
      </c>
      <c r="P1132" s="166">
        <f>SUMIFS(Продажи!M$5:M$359,Продажи!$D$5:$D$359,Конструкторы!$B1132,Продажи!$C$5:$C$359,Конструкторы!$A1132)</f>
        <v>0</v>
      </c>
      <c r="Q1132" s="166">
        <f>SUMIFS(Продажи!N$5:N$359,Продажи!$D$5:$D$359,Конструкторы!$B1132,Продажи!$C$5:$C$359,Конструкторы!$A1132)</f>
        <v>0</v>
      </c>
      <c r="R1132" s="166">
        <f>SUMIFS(Продажи!O$5:O$359,Продажи!$D$5:$D$359,Конструкторы!$B1132,Продажи!$C$5:$C$359,Конструкторы!$A1132)</f>
        <v>0</v>
      </c>
      <c r="S1132" s="166">
        <f>SUMIFS(Продажи!P$5:P$359,Продажи!$D$5:$D$359,Конструкторы!$B1132,Продажи!$C$5:$C$359,Конструкторы!$A1132)</f>
        <v>0</v>
      </c>
      <c r="T1132" s="166">
        <f>SUMIFS(Продажи!Q$5:Q$359,Продажи!$D$5:$D$359,Конструкторы!$B1132,Продажи!$C$5:$C$359,Конструкторы!$A1132)</f>
        <v>0</v>
      </c>
    </row>
    <row r="1133" spans="1:20" ht="15.75" hidden="1" x14ac:dyDescent="0.25">
      <c r="A1133" s="166" t="s">
        <v>397</v>
      </c>
      <c r="B1133" s="167" t="s">
        <v>325</v>
      </c>
      <c r="C1133" s="129" t="s">
        <v>58</v>
      </c>
      <c r="D1133" s="149"/>
      <c r="E1133" s="153" t="s">
        <v>68</v>
      </c>
      <c r="F1133" s="156">
        <f>(0.202*103)/100</f>
        <v>0.20806000000000002</v>
      </c>
      <c r="G1133" s="156">
        <v>6.0600000000000098E-3</v>
      </c>
      <c r="H1133" s="156">
        <f>F1133+G1133</f>
        <v>0.21412000000000003</v>
      </c>
      <c r="I1133" s="166">
        <f>SUMIFS(Продажи!F$5:F$359,Продажи!$D$5:$D$359,Конструкторы!$B1133,Продажи!$C$5:$C$359,Конструкторы!$A1133)</f>
        <v>0</v>
      </c>
      <c r="J1133" s="166">
        <f>SUMIFS(Продажи!G$5:G$359,Продажи!$D$5:$D$359,Конструкторы!$B1133,Продажи!$C$5:$C$359,Конструкторы!$A1133)</f>
        <v>0</v>
      </c>
      <c r="K1133" s="166">
        <f>SUMIFS(Продажи!H$5:H$359,Продажи!$D$5:$D$359,Конструкторы!$B1133,Продажи!$C$5:$C$359,Конструкторы!$A1133)</f>
        <v>0</v>
      </c>
      <c r="L1133" s="166">
        <f>SUMIFS(Продажи!I$5:I$359,Продажи!$D$5:$D$359,Конструкторы!$B1133,Продажи!$C$5:$C$359,Конструкторы!$A1133)</f>
        <v>0</v>
      </c>
      <c r="M1133" s="166">
        <f>SUMIFS(Продажи!J$5:J$359,Продажи!$D$5:$D$359,Конструкторы!$B1133,Продажи!$C$5:$C$359,Конструкторы!$A1133)</f>
        <v>0</v>
      </c>
      <c r="N1133" s="166">
        <f>SUMIFS(Продажи!K$5:K$359,Продажи!$D$5:$D$359,Конструкторы!$B1133,Продажи!$C$5:$C$359,Конструкторы!$A1133)</f>
        <v>0</v>
      </c>
      <c r="O1133" s="166">
        <f>SUMIFS(Продажи!L$5:L$359,Продажи!$D$5:$D$359,Конструкторы!$B1133,Продажи!$C$5:$C$359,Конструкторы!$A1133)</f>
        <v>0</v>
      </c>
      <c r="P1133" s="166">
        <f>SUMIFS(Продажи!M$5:M$359,Продажи!$D$5:$D$359,Конструкторы!$B1133,Продажи!$C$5:$C$359,Конструкторы!$A1133)</f>
        <v>0</v>
      </c>
      <c r="Q1133" s="166">
        <f>SUMIFS(Продажи!N$5:N$359,Продажи!$D$5:$D$359,Конструкторы!$B1133,Продажи!$C$5:$C$359,Конструкторы!$A1133)</f>
        <v>0</v>
      </c>
      <c r="R1133" s="166">
        <f>SUMIFS(Продажи!O$5:O$359,Продажи!$D$5:$D$359,Конструкторы!$B1133,Продажи!$C$5:$C$359,Конструкторы!$A1133)</f>
        <v>0</v>
      </c>
      <c r="S1133" s="166">
        <f>SUMIFS(Продажи!P$5:P$359,Продажи!$D$5:$D$359,Конструкторы!$B1133,Продажи!$C$5:$C$359,Конструкторы!$A1133)</f>
        <v>0</v>
      </c>
      <c r="T1133" s="166">
        <f>SUMIFS(Продажи!Q$5:Q$359,Продажи!$D$5:$D$359,Конструкторы!$B1133,Продажи!$C$5:$C$359,Конструкторы!$A1133)</f>
        <v>0</v>
      </c>
    </row>
    <row r="1134" spans="1:20" ht="15.75" hidden="1" x14ac:dyDescent="0.25">
      <c r="A1134" s="166" t="s">
        <v>397</v>
      </c>
      <c r="B1134" s="167" t="s">
        <v>325</v>
      </c>
      <c r="C1134" s="129" t="s">
        <v>59</v>
      </c>
      <c r="D1134" s="149"/>
      <c r="E1134" s="153" t="s">
        <v>68</v>
      </c>
      <c r="F1134" s="156">
        <f>(0.297*103)/100</f>
        <v>0.30590999999999996</v>
      </c>
      <c r="G1134" s="156">
        <v>8.9099999999999735E-3</v>
      </c>
      <c r="H1134" s="156">
        <f>F1134+G1134</f>
        <v>0.31481999999999993</v>
      </c>
      <c r="I1134" s="166">
        <f>SUMIFS(Продажи!F$5:F$359,Продажи!$D$5:$D$359,Конструкторы!$B1134,Продажи!$C$5:$C$359,Конструкторы!$A1134)</f>
        <v>0</v>
      </c>
      <c r="J1134" s="166">
        <f>SUMIFS(Продажи!G$5:G$359,Продажи!$D$5:$D$359,Конструкторы!$B1134,Продажи!$C$5:$C$359,Конструкторы!$A1134)</f>
        <v>0</v>
      </c>
      <c r="K1134" s="166">
        <f>SUMIFS(Продажи!H$5:H$359,Продажи!$D$5:$D$359,Конструкторы!$B1134,Продажи!$C$5:$C$359,Конструкторы!$A1134)</f>
        <v>0</v>
      </c>
      <c r="L1134" s="166">
        <f>SUMIFS(Продажи!I$5:I$359,Продажи!$D$5:$D$359,Конструкторы!$B1134,Продажи!$C$5:$C$359,Конструкторы!$A1134)</f>
        <v>0</v>
      </c>
      <c r="M1134" s="166">
        <f>SUMIFS(Продажи!J$5:J$359,Продажи!$D$5:$D$359,Конструкторы!$B1134,Продажи!$C$5:$C$359,Конструкторы!$A1134)</f>
        <v>0</v>
      </c>
      <c r="N1134" s="166">
        <f>SUMIFS(Продажи!K$5:K$359,Продажи!$D$5:$D$359,Конструкторы!$B1134,Продажи!$C$5:$C$359,Конструкторы!$A1134)</f>
        <v>0</v>
      </c>
      <c r="O1134" s="166">
        <f>SUMIFS(Продажи!L$5:L$359,Продажи!$D$5:$D$359,Конструкторы!$B1134,Продажи!$C$5:$C$359,Конструкторы!$A1134)</f>
        <v>0</v>
      </c>
      <c r="P1134" s="166">
        <f>SUMIFS(Продажи!M$5:M$359,Продажи!$D$5:$D$359,Конструкторы!$B1134,Продажи!$C$5:$C$359,Конструкторы!$A1134)</f>
        <v>0</v>
      </c>
      <c r="Q1134" s="166">
        <f>SUMIFS(Продажи!N$5:N$359,Продажи!$D$5:$D$359,Конструкторы!$B1134,Продажи!$C$5:$C$359,Конструкторы!$A1134)</f>
        <v>0</v>
      </c>
      <c r="R1134" s="166">
        <f>SUMIFS(Продажи!O$5:O$359,Продажи!$D$5:$D$359,Конструкторы!$B1134,Продажи!$C$5:$C$359,Конструкторы!$A1134)</f>
        <v>0</v>
      </c>
      <c r="S1134" s="166">
        <f>SUMIFS(Продажи!P$5:P$359,Продажи!$D$5:$D$359,Конструкторы!$B1134,Продажи!$C$5:$C$359,Конструкторы!$A1134)</f>
        <v>0</v>
      </c>
      <c r="T1134" s="166">
        <f>SUMIFS(Продажи!Q$5:Q$359,Продажи!$D$5:$D$359,Конструкторы!$B1134,Продажи!$C$5:$C$359,Конструкторы!$A1134)</f>
        <v>0</v>
      </c>
    </row>
    <row r="1135" spans="1:20" ht="15.75" hidden="1" x14ac:dyDescent="0.25">
      <c r="A1135" s="166" t="s">
        <v>397</v>
      </c>
      <c r="B1135" s="167" t="s">
        <v>325</v>
      </c>
      <c r="C1135" s="129" t="s">
        <v>24</v>
      </c>
      <c r="D1135" s="149"/>
      <c r="E1135" s="153" t="s">
        <v>68</v>
      </c>
      <c r="F1135" s="156">
        <f>(0.05*103)/100</f>
        <v>5.1500000000000004E-2</v>
      </c>
      <c r="G1135" s="156">
        <v>1.5000000000000013E-3</v>
      </c>
      <c r="H1135" s="156">
        <f>F1135+G1135</f>
        <v>5.3000000000000005E-2</v>
      </c>
      <c r="I1135" s="166">
        <f>SUMIFS(Продажи!F$5:F$359,Продажи!$D$5:$D$359,Конструкторы!$B1135,Продажи!$C$5:$C$359,Конструкторы!$A1135)</f>
        <v>0</v>
      </c>
      <c r="J1135" s="166">
        <f>SUMIFS(Продажи!G$5:G$359,Продажи!$D$5:$D$359,Конструкторы!$B1135,Продажи!$C$5:$C$359,Конструкторы!$A1135)</f>
        <v>0</v>
      </c>
      <c r="K1135" s="166">
        <f>SUMIFS(Продажи!H$5:H$359,Продажи!$D$5:$D$359,Конструкторы!$B1135,Продажи!$C$5:$C$359,Конструкторы!$A1135)</f>
        <v>0</v>
      </c>
      <c r="L1135" s="166">
        <f>SUMIFS(Продажи!I$5:I$359,Продажи!$D$5:$D$359,Конструкторы!$B1135,Продажи!$C$5:$C$359,Конструкторы!$A1135)</f>
        <v>0</v>
      </c>
      <c r="M1135" s="166">
        <f>SUMIFS(Продажи!J$5:J$359,Продажи!$D$5:$D$359,Конструкторы!$B1135,Продажи!$C$5:$C$359,Конструкторы!$A1135)</f>
        <v>0</v>
      </c>
      <c r="N1135" s="166">
        <f>SUMIFS(Продажи!K$5:K$359,Продажи!$D$5:$D$359,Конструкторы!$B1135,Продажи!$C$5:$C$359,Конструкторы!$A1135)</f>
        <v>0</v>
      </c>
      <c r="O1135" s="166">
        <f>SUMIFS(Продажи!L$5:L$359,Продажи!$D$5:$D$359,Конструкторы!$B1135,Продажи!$C$5:$C$359,Конструкторы!$A1135)</f>
        <v>0</v>
      </c>
      <c r="P1135" s="166">
        <f>SUMIFS(Продажи!M$5:M$359,Продажи!$D$5:$D$359,Конструкторы!$B1135,Продажи!$C$5:$C$359,Конструкторы!$A1135)</f>
        <v>0</v>
      </c>
      <c r="Q1135" s="166">
        <f>SUMIFS(Продажи!N$5:N$359,Продажи!$D$5:$D$359,Конструкторы!$B1135,Продажи!$C$5:$C$359,Конструкторы!$A1135)</f>
        <v>0</v>
      </c>
      <c r="R1135" s="166">
        <f>SUMIFS(Продажи!O$5:O$359,Продажи!$D$5:$D$359,Конструкторы!$B1135,Продажи!$C$5:$C$359,Конструкторы!$A1135)</f>
        <v>0</v>
      </c>
      <c r="S1135" s="166">
        <f>SUMIFS(Продажи!P$5:P$359,Продажи!$D$5:$D$359,Конструкторы!$B1135,Продажи!$C$5:$C$359,Конструкторы!$A1135)</f>
        <v>0</v>
      </c>
      <c r="T1135" s="166">
        <f>SUMIFS(Продажи!Q$5:Q$359,Продажи!$D$5:$D$359,Конструкторы!$B1135,Продажи!$C$5:$C$359,Конструкторы!$A1135)</f>
        <v>0</v>
      </c>
    </row>
    <row r="1136" spans="1:20" ht="15.75" hidden="1" x14ac:dyDescent="0.25">
      <c r="A1136" s="166" t="s">
        <v>397</v>
      </c>
      <c r="B1136" s="167" t="s">
        <v>325</v>
      </c>
      <c r="C1136" s="33" t="s">
        <v>89</v>
      </c>
      <c r="D1136" s="149"/>
      <c r="E1136" s="153" t="s">
        <v>70</v>
      </c>
      <c r="F1136" s="159">
        <v>1</v>
      </c>
      <c r="G1136" s="156" t="s">
        <v>71</v>
      </c>
      <c r="H1136" s="156">
        <f>F1136</f>
        <v>1</v>
      </c>
      <c r="I1136" s="166">
        <f>SUMIFS(Продажи!F$5:F$359,Продажи!$D$5:$D$359,Конструкторы!$B1136,Продажи!$C$5:$C$359,Конструкторы!$A1136)</f>
        <v>0</v>
      </c>
      <c r="J1136" s="166">
        <f>SUMIFS(Продажи!G$5:G$359,Продажи!$D$5:$D$359,Конструкторы!$B1136,Продажи!$C$5:$C$359,Конструкторы!$A1136)</f>
        <v>0</v>
      </c>
      <c r="K1136" s="166">
        <f>SUMIFS(Продажи!H$5:H$359,Продажи!$D$5:$D$359,Конструкторы!$B1136,Продажи!$C$5:$C$359,Конструкторы!$A1136)</f>
        <v>0</v>
      </c>
      <c r="L1136" s="166">
        <f>SUMIFS(Продажи!I$5:I$359,Продажи!$D$5:$D$359,Конструкторы!$B1136,Продажи!$C$5:$C$359,Конструкторы!$A1136)</f>
        <v>0</v>
      </c>
      <c r="M1136" s="166">
        <f>SUMIFS(Продажи!J$5:J$359,Продажи!$D$5:$D$359,Конструкторы!$B1136,Продажи!$C$5:$C$359,Конструкторы!$A1136)</f>
        <v>0</v>
      </c>
      <c r="N1136" s="166">
        <f>SUMIFS(Продажи!K$5:K$359,Продажи!$D$5:$D$359,Конструкторы!$B1136,Продажи!$C$5:$C$359,Конструкторы!$A1136)</f>
        <v>0</v>
      </c>
      <c r="O1136" s="166">
        <f>SUMIFS(Продажи!L$5:L$359,Продажи!$D$5:$D$359,Конструкторы!$B1136,Продажи!$C$5:$C$359,Конструкторы!$A1136)</f>
        <v>0</v>
      </c>
      <c r="P1136" s="166">
        <f>SUMIFS(Продажи!M$5:M$359,Продажи!$D$5:$D$359,Конструкторы!$B1136,Продажи!$C$5:$C$359,Конструкторы!$A1136)</f>
        <v>0</v>
      </c>
      <c r="Q1136" s="166">
        <f>SUMIFS(Продажи!N$5:N$359,Продажи!$D$5:$D$359,Конструкторы!$B1136,Продажи!$C$5:$C$359,Конструкторы!$A1136)</f>
        <v>0</v>
      </c>
      <c r="R1136" s="166">
        <f>SUMIFS(Продажи!O$5:O$359,Продажи!$D$5:$D$359,Конструкторы!$B1136,Продажи!$C$5:$C$359,Конструкторы!$A1136)</f>
        <v>0</v>
      </c>
      <c r="S1136" s="166">
        <f>SUMIFS(Продажи!P$5:P$359,Продажи!$D$5:$D$359,Конструкторы!$B1136,Продажи!$C$5:$C$359,Конструкторы!$A1136)</f>
        <v>0</v>
      </c>
      <c r="T1136" s="166">
        <f>SUMIFS(Продажи!Q$5:Q$359,Продажи!$D$5:$D$359,Конструкторы!$B1136,Продажи!$C$5:$C$359,Конструкторы!$A1136)</f>
        <v>0</v>
      </c>
    </row>
    <row r="1137" spans="1:20" ht="15.75" hidden="1" x14ac:dyDescent="0.25">
      <c r="A1137" s="166" t="s">
        <v>397</v>
      </c>
      <c r="B1137" s="167" t="s">
        <v>325</v>
      </c>
      <c r="C1137" s="33" t="s">
        <v>88</v>
      </c>
      <c r="D1137" s="149"/>
      <c r="E1137" s="153" t="s">
        <v>70</v>
      </c>
      <c r="F1137" s="148">
        <v>2</v>
      </c>
      <c r="G1137" s="156" t="s">
        <v>71</v>
      </c>
      <c r="H1137" s="156">
        <f>F1137</f>
        <v>2</v>
      </c>
      <c r="I1137" s="166">
        <f>SUMIFS(Продажи!F$5:F$359,Продажи!$D$5:$D$359,Конструкторы!$B1137,Продажи!$C$5:$C$359,Конструкторы!$A1137)</f>
        <v>0</v>
      </c>
      <c r="J1137" s="166">
        <f>SUMIFS(Продажи!G$5:G$359,Продажи!$D$5:$D$359,Конструкторы!$B1137,Продажи!$C$5:$C$359,Конструкторы!$A1137)</f>
        <v>0</v>
      </c>
      <c r="K1137" s="166">
        <f>SUMIFS(Продажи!H$5:H$359,Продажи!$D$5:$D$359,Конструкторы!$B1137,Продажи!$C$5:$C$359,Конструкторы!$A1137)</f>
        <v>0</v>
      </c>
      <c r="L1137" s="166">
        <f>SUMIFS(Продажи!I$5:I$359,Продажи!$D$5:$D$359,Конструкторы!$B1137,Продажи!$C$5:$C$359,Конструкторы!$A1137)</f>
        <v>0</v>
      </c>
      <c r="M1137" s="166">
        <f>SUMIFS(Продажи!J$5:J$359,Продажи!$D$5:$D$359,Конструкторы!$B1137,Продажи!$C$5:$C$359,Конструкторы!$A1137)</f>
        <v>0</v>
      </c>
      <c r="N1137" s="166">
        <f>SUMIFS(Продажи!K$5:K$359,Продажи!$D$5:$D$359,Конструкторы!$B1137,Продажи!$C$5:$C$359,Конструкторы!$A1137)</f>
        <v>0</v>
      </c>
      <c r="O1137" s="166">
        <f>SUMIFS(Продажи!L$5:L$359,Продажи!$D$5:$D$359,Конструкторы!$B1137,Продажи!$C$5:$C$359,Конструкторы!$A1137)</f>
        <v>0</v>
      </c>
      <c r="P1137" s="166">
        <f>SUMIFS(Продажи!M$5:M$359,Продажи!$D$5:$D$359,Конструкторы!$B1137,Продажи!$C$5:$C$359,Конструкторы!$A1137)</f>
        <v>0</v>
      </c>
      <c r="Q1137" s="166">
        <f>SUMIFS(Продажи!N$5:N$359,Продажи!$D$5:$D$359,Конструкторы!$B1137,Продажи!$C$5:$C$359,Конструкторы!$A1137)</f>
        <v>0</v>
      </c>
      <c r="R1137" s="166">
        <f>SUMIFS(Продажи!O$5:O$359,Продажи!$D$5:$D$359,Конструкторы!$B1137,Продажи!$C$5:$C$359,Конструкторы!$A1137)</f>
        <v>0</v>
      </c>
      <c r="S1137" s="166">
        <f>SUMIFS(Продажи!P$5:P$359,Продажи!$D$5:$D$359,Конструкторы!$B1137,Продажи!$C$5:$C$359,Конструкторы!$A1137)</f>
        <v>0</v>
      </c>
      <c r="T1137" s="166">
        <f>SUMIFS(Продажи!Q$5:Q$359,Продажи!$D$5:$D$359,Конструкторы!$B1137,Продажи!$C$5:$C$359,Конструкторы!$A1137)</f>
        <v>0</v>
      </c>
    </row>
    <row r="1138" spans="1:20" ht="15.75" hidden="1" x14ac:dyDescent="0.25">
      <c r="A1138" s="166" t="s">
        <v>397</v>
      </c>
      <c r="B1138" s="167" t="s">
        <v>325</v>
      </c>
      <c r="C1138" s="33" t="s">
        <v>75</v>
      </c>
      <c r="D1138" s="149"/>
      <c r="E1138" s="153" t="s">
        <v>70</v>
      </c>
      <c r="F1138" s="148">
        <v>16</v>
      </c>
      <c r="G1138" s="156" t="s">
        <v>71</v>
      </c>
      <c r="H1138" s="156">
        <f>F1138</f>
        <v>16</v>
      </c>
      <c r="I1138" s="166">
        <f>SUMIFS(Продажи!F$5:F$359,Продажи!$D$5:$D$359,Конструкторы!$B1138,Продажи!$C$5:$C$359,Конструкторы!$A1138)</f>
        <v>0</v>
      </c>
      <c r="J1138" s="166">
        <f>SUMIFS(Продажи!G$5:G$359,Продажи!$D$5:$D$359,Конструкторы!$B1138,Продажи!$C$5:$C$359,Конструкторы!$A1138)</f>
        <v>0</v>
      </c>
      <c r="K1138" s="166">
        <f>SUMIFS(Продажи!H$5:H$359,Продажи!$D$5:$D$359,Конструкторы!$B1138,Продажи!$C$5:$C$359,Конструкторы!$A1138)</f>
        <v>0</v>
      </c>
      <c r="L1138" s="166">
        <f>SUMIFS(Продажи!I$5:I$359,Продажи!$D$5:$D$359,Конструкторы!$B1138,Продажи!$C$5:$C$359,Конструкторы!$A1138)</f>
        <v>0</v>
      </c>
      <c r="M1138" s="166">
        <f>SUMIFS(Продажи!J$5:J$359,Продажи!$D$5:$D$359,Конструкторы!$B1138,Продажи!$C$5:$C$359,Конструкторы!$A1138)</f>
        <v>0</v>
      </c>
      <c r="N1138" s="166">
        <f>SUMIFS(Продажи!K$5:K$359,Продажи!$D$5:$D$359,Конструкторы!$B1138,Продажи!$C$5:$C$359,Конструкторы!$A1138)</f>
        <v>0</v>
      </c>
      <c r="O1138" s="166">
        <f>SUMIFS(Продажи!L$5:L$359,Продажи!$D$5:$D$359,Конструкторы!$B1138,Продажи!$C$5:$C$359,Конструкторы!$A1138)</f>
        <v>0</v>
      </c>
      <c r="P1138" s="166">
        <f>SUMIFS(Продажи!M$5:M$359,Продажи!$D$5:$D$359,Конструкторы!$B1138,Продажи!$C$5:$C$359,Конструкторы!$A1138)</f>
        <v>0</v>
      </c>
      <c r="Q1138" s="166">
        <f>SUMIFS(Продажи!N$5:N$359,Продажи!$D$5:$D$359,Конструкторы!$B1138,Продажи!$C$5:$C$359,Конструкторы!$A1138)</f>
        <v>0</v>
      </c>
      <c r="R1138" s="166">
        <f>SUMIFS(Продажи!O$5:O$359,Продажи!$D$5:$D$359,Конструкторы!$B1138,Продажи!$C$5:$C$359,Конструкторы!$A1138)</f>
        <v>0</v>
      </c>
      <c r="S1138" s="166">
        <f>SUMIFS(Продажи!P$5:P$359,Продажи!$D$5:$D$359,Конструкторы!$B1138,Продажи!$C$5:$C$359,Конструкторы!$A1138)</f>
        <v>0</v>
      </c>
      <c r="T1138" s="166">
        <f>SUMIFS(Продажи!Q$5:Q$359,Продажи!$D$5:$D$359,Конструкторы!$B1138,Продажи!$C$5:$C$359,Конструкторы!$A1138)</f>
        <v>0</v>
      </c>
    </row>
    <row r="1139" spans="1:20" ht="15.75" hidden="1" x14ac:dyDescent="0.25">
      <c r="A1139" s="166" t="s">
        <v>397</v>
      </c>
      <c r="B1139" s="167" t="s">
        <v>325</v>
      </c>
      <c r="C1139" s="33" t="s">
        <v>69</v>
      </c>
      <c r="D1139" s="149"/>
      <c r="E1139" s="153" t="s">
        <v>70</v>
      </c>
      <c r="F1139" s="148">
        <v>2</v>
      </c>
      <c r="G1139" s="156" t="s">
        <v>71</v>
      </c>
      <c r="H1139" s="156">
        <f>F1139</f>
        <v>2</v>
      </c>
      <c r="I1139" s="166">
        <f>SUMIFS(Продажи!F$5:F$359,Продажи!$D$5:$D$359,Конструкторы!$B1139,Продажи!$C$5:$C$359,Конструкторы!$A1139)</f>
        <v>0</v>
      </c>
      <c r="J1139" s="166">
        <f>SUMIFS(Продажи!G$5:G$359,Продажи!$D$5:$D$359,Конструкторы!$B1139,Продажи!$C$5:$C$359,Конструкторы!$A1139)</f>
        <v>0</v>
      </c>
      <c r="K1139" s="166">
        <f>SUMIFS(Продажи!H$5:H$359,Продажи!$D$5:$D$359,Конструкторы!$B1139,Продажи!$C$5:$C$359,Конструкторы!$A1139)</f>
        <v>0</v>
      </c>
      <c r="L1139" s="166">
        <f>SUMIFS(Продажи!I$5:I$359,Продажи!$D$5:$D$359,Конструкторы!$B1139,Продажи!$C$5:$C$359,Конструкторы!$A1139)</f>
        <v>0</v>
      </c>
      <c r="M1139" s="166">
        <f>SUMIFS(Продажи!J$5:J$359,Продажи!$D$5:$D$359,Конструкторы!$B1139,Продажи!$C$5:$C$359,Конструкторы!$A1139)</f>
        <v>0</v>
      </c>
      <c r="N1139" s="166">
        <f>SUMIFS(Продажи!K$5:K$359,Продажи!$D$5:$D$359,Конструкторы!$B1139,Продажи!$C$5:$C$359,Конструкторы!$A1139)</f>
        <v>0</v>
      </c>
      <c r="O1139" s="166">
        <f>SUMIFS(Продажи!L$5:L$359,Продажи!$D$5:$D$359,Конструкторы!$B1139,Продажи!$C$5:$C$359,Конструкторы!$A1139)</f>
        <v>0</v>
      </c>
      <c r="P1139" s="166">
        <f>SUMIFS(Продажи!M$5:M$359,Продажи!$D$5:$D$359,Конструкторы!$B1139,Продажи!$C$5:$C$359,Конструкторы!$A1139)</f>
        <v>0</v>
      </c>
      <c r="Q1139" s="166">
        <f>SUMIFS(Продажи!N$5:N$359,Продажи!$D$5:$D$359,Конструкторы!$B1139,Продажи!$C$5:$C$359,Конструкторы!$A1139)</f>
        <v>0</v>
      </c>
      <c r="R1139" s="166">
        <f>SUMIFS(Продажи!O$5:O$359,Продажи!$D$5:$D$359,Конструкторы!$B1139,Продажи!$C$5:$C$359,Конструкторы!$A1139)</f>
        <v>0</v>
      </c>
      <c r="S1139" s="166">
        <f>SUMIFS(Продажи!P$5:P$359,Продажи!$D$5:$D$359,Конструкторы!$B1139,Продажи!$C$5:$C$359,Конструкторы!$A1139)</f>
        <v>0</v>
      </c>
      <c r="T1139" s="166">
        <f>SUMIFS(Продажи!Q$5:Q$359,Продажи!$D$5:$D$359,Конструкторы!$B1139,Продажи!$C$5:$C$359,Конструкторы!$A1139)</f>
        <v>0</v>
      </c>
    </row>
    <row r="1140" spans="1:20" ht="15.75" hidden="1" x14ac:dyDescent="0.25">
      <c r="A1140" s="166" t="s">
        <v>397</v>
      </c>
      <c r="B1140" s="167" t="s">
        <v>326</v>
      </c>
      <c r="C1140" s="129" t="s">
        <v>57</v>
      </c>
      <c r="D1140" s="149"/>
      <c r="E1140" s="153" t="s">
        <v>68</v>
      </c>
      <c r="F1140" s="156">
        <f>(0.2*103)/100</f>
        <v>0.20600000000000002</v>
      </c>
      <c r="G1140" s="156">
        <v>6.0000000000000053E-3</v>
      </c>
      <c r="H1140" s="156">
        <f>F1140+G1140</f>
        <v>0.21200000000000002</v>
      </c>
      <c r="I1140" s="166">
        <f>SUMIFS(Продажи!F$5:F$359,Продажи!$D$5:$D$359,Конструкторы!$B1140,Продажи!$C$5:$C$359,Конструкторы!$A1140)</f>
        <v>0</v>
      </c>
      <c r="J1140" s="166">
        <f>SUMIFS(Продажи!G$5:G$359,Продажи!$D$5:$D$359,Конструкторы!$B1140,Продажи!$C$5:$C$359,Конструкторы!$A1140)</f>
        <v>0</v>
      </c>
      <c r="K1140" s="166">
        <f>SUMIFS(Продажи!H$5:H$359,Продажи!$D$5:$D$359,Конструкторы!$B1140,Продажи!$C$5:$C$359,Конструкторы!$A1140)</f>
        <v>0</v>
      </c>
      <c r="L1140" s="166">
        <f>SUMIFS(Продажи!I$5:I$359,Продажи!$D$5:$D$359,Конструкторы!$B1140,Продажи!$C$5:$C$359,Конструкторы!$A1140)</f>
        <v>0</v>
      </c>
      <c r="M1140" s="166">
        <f>SUMIFS(Продажи!J$5:J$359,Продажи!$D$5:$D$359,Конструкторы!$B1140,Продажи!$C$5:$C$359,Конструкторы!$A1140)</f>
        <v>0</v>
      </c>
      <c r="N1140" s="166">
        <f>SUMIFS(Продажи!K$5:K$359,Продажи!$D$5:$D$359,Конструкторы!$B1140,Продажи!$C$5:$C$359,Конструкторы!$A1140)</f>
        <v>0</v>
      </c>
      <c r="O1140" s="166">
        <f>SUMIFS(Продажи!L$5:L$359,Продажи!$D$5:$D$359,Конструкторы!$B1140,Продажи!$C$5:$C$359,Конструкторы!$A1140)</f>
        <v>0</v>
      </c>
      <c r="P1140" s="166">
        <f>SUMIFS(Продажи!M$5:M$359,Продажи!$D$5:$D$359,Конструкторы!$B1140,Продажи!$C$5:$C$359,Конструкторы!$A1140)</f>
        <v>0</v>
      </c>
      <c r="Q1140" s="166">
        <f>SUMIFS(Продажи!N$5:N$359,Продажи!$D$5:$D$359,Конструкторы!$B1140,Продажи!$C$5:$C$359,Конструкторы!$A1140)</f>
        <v>0</v>
      </c>
      <c r="R1140" s="166">
        <f>SUMIFS(Продажи!O$5:O$359,Продажи!$D$5:$D$359,Конструкторы!$B1140,Продажи!$C$5:$C$359,Конструкторы!$A1140)</f>
        <v>0</v>
      </c>
      <c r="S1140" s="166">
        <f>SUMIFS(Продажи!P$5:P$359,Продажи!$D$5:$D$359,Конструкторы!$B1140,Продажи!$C$5:$C$359,Конструкторы!$A1140)</f>
        <v>0</v>
      </c>
      <c r="T1140" s="166">
        <f>SUMIFS(Продажи!Q$5:Q$359,Продажи!$D$5:$D$359,Конструкторы!$B1140,Продажи!$C$5:$C$359,Конструкторы!$A1140)</f>
        <v>0</v>
      </c>
    </row>
    <row r="1141" spans="1:20" ht="15.75" hidden="1" x14ac:dyDescent="0.25">
      <c r="A1141" s="166" t="s">
        <v>397</v>
      </c>
      <c r="B1141" s="167" t="s">
        <v>326</v>
      </c>
      <c r="C1141" s="129" t="s">
        <v>56</v>
      </c>
      <c r="D1141" s="149"/>
      <c r="E1141" s="153" t="s">
        <v>68</v>
      </c>
      <c r="F1141" s="156">
        <f>(0.5*103)/100</f>
        <v>0.51500000000000001</v>
      </c>
      <c r="G1141" s="156">
        <v>1.5000000000000013E-2</v>
      </c>
      <c r="H1141" s="156">
        <f>F1141+G1141</f>
        <v>0.53</v>
      </c>
      <c r="I1141" s="166">
        <f>SUMIFS(Продажи!F$5:F$359,Продажи!$D$5:$D$359,Конструкторы!$B1141,Продажи!$C$5:$C$359,Конструкторы!$A1141)</f>
        <v>0</v>
      </c>
      <c r="J1141" s="166">
        <f>SUMIFS(Продажи!G$5:G$359,Продажи!$D$5:$D$359,Конструкторы!$B1141,Продажи!$C$5:$C$359,Конструкторы!$A1141)</f>
        <v>0</v>
      </c>
      <c r="K1141" s="166">
        <f>SUMIFS(Продажи!H$5:H$359,Продажи!$D$5:$D$359,Конструкторы!$B1141,Продажи!$C$5:$C$359,Конструкторы!$A1141)</f>
        <v>0</v>
      </c>
      <c r="L1141" s="166">
        <f>SUMIFS(Продажи!I$5:I$359,Продажи!$D$5:$D$359,Конструкторы!$B1141,Продажи!$C$5:$C$359,Конструкторы!$A1141)</f>
        <v>0</v>
      </c>
      <c r="M1141" s="166">
        <f>SUMIFS(Продажи!J$5:J$359,Продажи!$D$5:$D$359,Конструкторы!$B1141,Продажи!$C$5:$C$359,Конструкторы!$A1141)</f>
        <v>0</v>
      </c>
      <c r="N1141" s="166">
        <f>SUMIFS(Продажи!K$5:K$359,Продажи!$D$5:$D$359,Конструкторы!$B1141,Продажи!$C$5:$C$359,Конструкторы!$A1141)</f>
        <v>0</v>
      </c>
      <c r="O1141" s="166">
        <f>SUMIFS(Продажи!L$5:L$359,Продажи!$D$5:$D$359,Конструкторы!$B1141,Продажи!$C$5:$C$359,Конструкторы!$A1141)</f>
        <v>0</v>
      </c>
      <c r="P1141" s="166">
        <f>SUMIFS(Продажи!M$5:M$359,Продажи!$D$5:$D$359,Конструкторы!$B1141,Продажи!$C$5:$C$359,Конструкторы!$A1141)</f>
        <v>0</v>
      </c>
      <c r="Q1141" s="166">
        <f>SUMIFS(Продажи!N$5:N$359,Продажи!$D$5:$D$359,Конструкторы!$B1141,Продажи!$C$5:$C$359,Конструкторы!$A1141)</f>
        <v>0</v>
      </c>
      <c r="R1141" s="166">
        <f>SUMIFS(Продажи!O$5:O$359,Продажи!$D$5:$D$359,Конструкторы!$B1141,Продажи!$C$5:$C$359,Конструкторы!$A1141)</f>
        <v>0</v>
      </c>
      <c r="S1141" s="166">
        <f>SUMIFS(Продажи!P$5:P$359,Продажи!$D$5:$D$359,Конструкторы!$B1141,Продажи!$C$5:$C$359,Конструкторы!$A1141)</f>
        <v>0</v>
      </c>
      <c r="T1141" s="166">
        <f>SUMIFS(Продажи!Q$5:Q$359,Продажи!$D$5:$D$359,Конструкторы!$B1141,Продажи!$C$5:$C$359,Конструкторы!$A1141)</f>
        <v>0</v>
      </c>
    </row>
    <row r="1142" spans="1:20" ht="15.75" hidden="1" x14ac:dyDescent="0.25">
      <c r="A1142" s="166" t="s">
        <v>397</v>
      </c>
      <c r="B1142" s="167" t="s">
        <v>326</v>
      </c>
      <c r="C1142" s="33" t="s">
        <v>88</v>
      </c>
      <c r="D1142" s="149"/>
      <c r="E1142" s="153" t="s">
        <v>70</v>
      </c>
      <c r="F1142" s="148">
        <v>2</v>
      </c>
      <c r="G1142" s="156" t="s">
        <v>71</v>
      </c>
      <c r="H1142" s="156">
        <f>F1142</f>
        <v>2</v>
      </c>
      <c r="I1142" s="166">
        <f>SUMIFS(Продажи!F$5:F$359,Продажи!$D$5:$D$359,Конструкторы!$B1142,Продажи!$C$5:$C$359,Конструкторы!$A1142)</f>
        <v>0</v>
      </c>
      <c r="J1142" s="166">
        <f>SUMIFS(Продажи!G$5:G$359,Продажи!$D$5:$D$359,Конструкторы!$B1142,Продажи!$C$5:$C$359,Конструкторы!$A1142)</f>
        <v>0</v>
      </c>
      <c r="K1142" s="166">
        <f>SUMIFS(Продажи!H$5:H$359,Продажи!$D$5:$D$359,Конструкторы!$B1142,Продажи!$C$5:$C$359,Конструкторы!$A1142)</f>
        <v>0</v>
      </c>
      <c r="L1142" s="166">
        <f>SUMIFS(Продажи!I$5:I$359,Продажи!$D$5:$D$359,Конструкторы!$B1142,Продажи!$C$5:$C$359,Конструкторы!$A1142)</f>
        <v>0</v>
      </c>
      <c r="M1142" s="166">
        <f>SUMIFS(Продажи!J$5:J$359,Продажи!$D$5:$D$359,Конструкторы!$B1142,Продажи!$C$5:$C$359,Конструкторы!$A1142)</f>
        <v>0</v>
      </c>
      <c r="N1142" s="166">
        <f>SUMIFS(Продажи!K$5:K$359,Продажи!$D$5:$D$359,Конструкторы!$B1142,Продажи!$C$5:$C$359,Конструкторы!$A1142)</f>
        <v>0</v>
      </c>
      <c r="O1142" s="166">
        <f>SUMIFS(Продажи!L$5:L$359,Продажи!$D$5:$D$359,Конструкторы!$B1142,Продажи!$C$5:$C$359,Конструкторы!$A1142)</f>
        <v>0</v>
      </c>
      <c r="P1142" s="166">
        <f>SUMIFS(Продажи!M$5:M$359,Продажи!$D$5:$D$359,Конструкторы!$B1142,Продажи!$C$5:$C$359,Конструкторы!$A1142)</f>
        <v>0</v>
      </c>
      <c r="Q1142" s="166">
        <f>SUMIFS(Продажи!N$5:N$359,Продажи!$D$5:$D$359,Конструкторы!$B1142,Продажи!$C$5:$C$359,Конструкторы!$A1142)</f>
        <v>0</v>
      </c>
      <c r="R1142" s="166">
        <f>SUMIFS(Продажи!O$5:O$359,Продажи!$D$5:$D$359,Конструкторы!$B1142,Продажи!$C$5:$C$359,Конструкторы!$A1142)</f>
        <v>0</v>
      </c>
      <c r="S1142" s="166">
        <f>SUMIFS(Продажи!P$5:P$359,Продажи!$D$5:$D$359,Конструкторы!$B1142,Продажи!$C$5:$C$359,Конструкторы!$A1142)</f>
        <v>0</v>
      </c>
      <c r="T1142" s="166">
        <f>SUMIFS(Продажи!Q$5:Q$359,Продажи!$D$5:$D$359,Конструкторы!$B1142,Продажи!$C$5:$C$359,Конструкторы!$A1142)</f>
        <v>0</v>
      </c>
    </row>
    <row r="1143" spans="1:20" ht="15.75" hidden="1" x14ac:dyDescent="0.25">
      <c r="A1143" s="166" t="s">
        <v>397</v>
      </c>
      <c r="B1143" s="167" t="s">
        <v>326</v>
      </c>
      <c r="C1143" s="33" t="s">
        <v>75</v>
      </c>
      <c r="D1143" s="149"/>
      <c r="E1143" s="153" t="s">
        <v>70</v>
      </c>
      <c r="F1143" s="148">
        <v>8</v>
      </c>
      <c r="G1143" s="156" t="s">
        <v>71</v>
      </c>
      <c r="H1143" s="156">
        <f>F1143</f>
        <v>8</v>
      </c>
      <c r="I1143" s="166">
        <f>SUMIFS(Продажи!F$5:F$359,Продажи!$D$5:$D$359,Конструкторы!$B1143,Продажи!$C$5:$C$359,Конструкторы!$A1143)</f>
        <v>0</v>
      </c>
      <c r="J1143" s="166">
        <f>SUMIFS(Продажи!G$5:G$359,Продажи!$D$5:$D$359,Конструкторы!$B1143,Продажи!$C$5:$C$359,Конструкторы!$A1143)</f>
        <v>0</v>
      </c>
      <c r="K1143" s="166">
        <f>SUMIFS(Продажи!H$5:H$359,Продажи!$D$5:$D$359,Конструкторы!$B1143,Продажи!$C$5:$C$359,Конструкторы!$A1143)</f>
        <v>0</v>
      </c>
      <c r="L1143" s="166">
        <f>SUMIFS(Продажи!I$5:I$359,Продажи!$D$5:$D$359,Конструкторы!$B1143,Продажи!$C$5:$C$359,Конструкторы!$A1143)</f>
        <v>0</v>
      </c>
      <c r="M1143" s="166">
        <f>SUMIFS(Продажи!J$5:J$359,Продажи!$D$5:$D$359,Конструкторы!$B1143,Продажи!$C$5:$C$359,Конструкторы!$A1143)</f>
        <v>0</v>
      </c>
      <c r="N1143" s="166">
        <f>SUMIFS(Продажи!K$5:K$359,Продажи!$D$5:$D$359,Конструкторы!$B1143,Продажи!$C$5:$C$359,Конструкторы!$A1143)</f>
        <v>0</v>
      </c>
      <c r="O1143" s="166">
        <f>SUMIFS(Продажи!L$5:L$359,Продажи!$D$5:$D$359,Конструкторы!$B1143,Продажи!$C$5:$C$359,Конструкторы!$A1143)</f>
        <v>0</v>
      </c>
      <c r="P1143" s="166">
        <f>SUMIFS(Продажи!M$5:M$359,Продажи!$D$5:$D$359,Конструкторы!$B1143,Продажи!$C$5:$C$359,Конструкторы!$A1143)</f>
        <v>0</v>
      </c>
      <c r="Q1143" s="166">
        <f>SUMIFS(Продажи!N$5:N$359,Продажи!$D$5:$D$359,Конструкторы!$B1143,Продажи!$C$5:$C$359,Конструкторы!$A1143)</f>
        <v>0</v>
      </c>
      <c r="R1143" s="166">
        <f>SUMIFS(Продажи!O$5:O$359,Продажи!$D$5:$D$359,Конструкторы!$B1143,Продажи!$C$5:$C$359,Конструкторы!$A1143)</f>
        <v>0</v>
      </c>
      <c r="S1143" s="166">
        <f>SUMIFS(Продажи!P$5:P$359,Продажи!$D$5:$D$359,Конструкторы!$B1143,Продажи!$C$5:$C$359,Конструкторы!$A1143)</f>
        <v>0</v>
      </c>
      <c r="T1143" s="166">
        <f>SUMIFS(Продажи!Q$5:Q$359,Продажи!$D$5:$D$359,Конструкторы!$B1143,Продажи!$C$5:$C$359,Конструкторы!$A1143)</f>
        <v>0</v>
      </c>
    </row>
    <row r="1144" spans="1:20" ht="15.75" hidden="1" x14ac:dyDescent="0.25">
      <c r="A1144" s="166" t="s">
        <v>397</v>
      </c>
      <c r="B1144" s="167" t="s">
        <v>327</v>
      </c>
      <c r="C1144" s="129" t="s">
        <v>57</v>
      </c>
      <c r="D1144" s="149"/>
      <c r="E1144" s="153" t="s">
        <v>68</v>
      </c>
      <c r="F1144" s="156">
        <f>(0.7*103)/100</f>
        <v>0.72099999999999997</v>
      </c>
      <c r="G1144" s="156">
        <v>2.1000000000000019E-2</v>
      </c>
      <c r="H1144" s="156">
        <f>F1144+G1144</f>
        <v>0.74199999999999999</v>
      </c>
      <c r="I1144" s="166">
        <f>SUMIFS(Продажи!F$5:F$359,Продажи!$D$5:$D$359,Конструкторы!$B1144,Продажи!$C$5:$C$359,Конструкторы!$A1144)</f>
        <v>0</v>
      </c>
      <c r="J1144" s="166">
        <f>SUMIFS(Продажи!G$5:G$359,Продажи!$D$5:$D$359,Конструкторы!$B1144,Продажи!$C$5:$C$359,Конструкторы!$A1144)</f>
        <v>0</v>
      </c>
      <c r="K1144" s="166">
        <f>SUMIFS(Продажи!H$5:H$359,Продажи!$D$5:$D$359,Конструкторы!$B1144,Продажи!$C$5:$C$359,Конструкторы!$A1144)</f>
        <v>0</v>
      </c>
      <c r="L1144" s="166">
        <f>SUMIFS(Продажи!I$5:I$359,Продажи!$D$5:$D$359,Конструкторы!$B1144,Продажи!$C$5:$C$359,Конструкторы!$A1144)</f>
        <v>0</v>
      </c>
      <c r="M1144" s="166">
        <f>SUMIFS(Продажи!J$5:J$359,Продажи!$D$5:$D$359,Конструкторы!$B1144,Продажи!$C$5:$C$359,Конструкторы!$A1144)</f>
        <v>0</v>
      </c>
      <c r="N1144" s="166">
        <f>SUMIFS(Продажи!K$5:K$359,Продажи!$D$5:$D$359,Конструкторы!$B1144,Продажи!$C$5:$C$359,Конструкторы!$A1144)</f>
        <v>0</v>
      </c>
      <c r="O1144" s="166">
        <f>SUMIFS(Продажи!L$5:L$359,Продажи!$D$5:$D$359,Конструкторы!$B1144,Продажи!$C$5:$C$359,Конструкторы!$A1144)</f>
        <v>0</v>
      </c>
      <c r="P1144" s="166">
        <f>SUMIFS(Продажи!M$5:M$359,Продажи!$D$5:$D$359,Конструкторы!$B1144,Продажи!$C$5:$C$359,Конструкторы!$A1144)</f>
        <v>0</v>
      </c>
      <c r="Q1144" s="166">
        <f>SUMIFS(Продажи!N$5:N$359,Продажи!$D$5:$D$359,Конструкторы!$B1144,Продажи!$C$5:$C$359,Конструкторы!$A1144)</f>
        <v>0</v>
      </c>
      <c r="R1144" s="166">
        <f>SUMIFS(Продажи!O$5:O$359,Продажи!$D$5:$D$359,Конструкторы!$B1144,Продажи!$C$5:$C$359,Конструкторы!$A1144)</f>
        <v>0</v>
      </c>
      <c r="S1144" s="166">
        <f>SUMIFS(Продажи!P$5:P$359,Продажи!$D$5:$D$359,Конструкторы!$B1144,Продажи!$C$5:$C$359,Конструкторы!$A1144)</f>
        <v>0</v>
      </c>
      <c r="T1144" s="166">
        <f>SUMIFS(Продажи!Q$5:Q$359,Продажи!$D$5:$D$359,Конструкторы!$B1144,Продажи!$C$5:$C$359,Конструкторы!$A1144)</f>
        <v>0</v>
      </c>
    </row>
    <row r="1145" spans="1:20" ht="15.75" hidden="1" x14ac:dyDescent="0.25">
      <c r="A1145" s="166" t="s">
        <v>397</v>
      </c>
      <c r="B1145" s="167" t="s">
        <v>327</v>
      </c>
      <c r="C1145" s="33" t="s">
        <v>88</v>
      </c>
      <c r="D1145" s="149"/>
      <c r="E1145" s="153" t="s">
        <v>70</v>
      </c>
      <c r="F1145" s="148">
        <v>2</v>
      </c>
      <c r="G1145" s="156" t="s">
        <v>71</v>
      </c>
      <c r="H1145" s="156">
        <f>F1145</f>
        <v>2</v>
      </c>
      <c r="I1145" s="166">
        <f>SUMIFS(Продажи!F$5:F$359,Продажи!$D$5:$D$359,Конструкторы!$B1145,Продажи!$C$5:$C$359,Конструкторы!$A1145)</f>
        <v>0</v>
      </c>
      <c r="J1145" s="166">
        <f>SUMIFS(Продажи!G$5:G$359,Продажи!$D$5:$D$359,Конструкторы!$B1145,Продажи!$C$5:$C$359,Конструкторы!$A1145)</f>
        <v>0</v>
      </c>
      <c r="K1145" s="166">
        <f>SUMIFS(Продажи!H$5:H$359,Продажи!$D$5:$D$359,Конструкторы!$B1145,Продажи!$C$5:$C$359,Конструкторы!$A1145)</f>
        <v>0</v>
      </c>
      <c r="L1145" s="166">
        <f>SUMIFS(Продажи!I$5:I$359,Продажи!$D$5:$D$359,Конструкторы!$B1145,Продажи!$C$5:$C$359,Конструкторы!$A1145)</f>
        <v>0</v>
      </c>
      <c r="M1145" s="166">
        <f>SUMIFS(Продажи!J$5:J$359,Продажи!$D$5:$D$359,Конструкторы!$B1145,Продажи!$C$5:$C$359,Конструкторы!$A1145)</f>
        <v>0</v>
      </c>
      <c r="N1145" s="166">
        <f>SUMIFS(Продажи!K$5:K$359,Продажи!$D$5:$D$359,Конструкторы!$B1145,Продажи!$C$5:$C$359,Конструкторы!$A1145)</f>
        <v>0</v>
      </c>
      <c r="O1145" s="166">
        <f>SUMIFS(Продажи!L$5:L$359,Продажи!$D$5:$D$359,Конструкторы!$B1145,Продажи!$C$5:$C$359,Конструкторы!$A1145)</f>
        <v>0</v>
      </c>
      <c r="P1145" s="166">
        <f>SUMIFS(Продажи!M$5:M$359,Продажи!$D$5:$D$359,Конструкторы!$B1145,Продажи!$C$5:$C$359,Конструкторы!$A1145)</f>
        <v>0</v>
      </c>
      <c r="Q1145" s="166">
        <f>SUMIFS(Продажи!N$5:N$359,Продажи!$D$5:$D$359,Конструкторы!$B1145,Продажи!$C$5:$C$359,Конструкторы!$A1145)</f>
        <v>0</v>
      </c>
      <c r="R1145" s="166">
        <f>SUMIFS(Продажи!O$5:O$359,Продажи!$D$5:$D$359,Конструкторы!$B1145,Продажи!$C$5:$C$359,Конструкторы!$A1145)</f>
        <v>0</v>
      </c>
      <c r="S1145" s="166">
        <f>SUMIFS(Продажи!P$5:P$359,Продажи!$D$5:$D$359,Конструкторы!$B1145,Продажи!$C$5:$C$359,Конструкторы!$A1145)</f>
        <v>0</v>
      </c>
      <c r="T1145" s="166">
        <f>SUMIFS(Продажи!Q$5:Q$359,Продажи!$D$5:$D$359,Конструкторы!$B1145,Продажи!$C$5:$C$359,Конструкторы!$A1145)</f>
        <v>0</v>
      </c>
    </row>
    <row r="1146" spans="1:20" ht="15.75" hidden="1" x14ac:dyDescent="0.25">
      <c r="A1146" s="166" t="s">
        <v>397</v>
      </c>
      <c r="B1146" s="167" t="s">
        <v>327</v>
      </c>
      <c r="C1146" s="33" t="s">
        <v>75</v>
      </c>
      <c r="D1146" s="149"/>
      <c r="E1146" s="153" t="s">
        <v>70</v>
      </c>
      <c r="F1146" s="148">
        <v>8</v>
      </c>
      <c r="G1146" s="156" t="s">
        <v>71</v>
      </c>
      <c r="H1146" s="156">
        <f>F1146</f>
        <v>8</v>
      </c>
      <c r="I1146" s="166">
        <f>SUMIFS(Продажи!F$5:F$359,Продажи!$D$5:$D$359,Конструкторы!$B1146,Продажи!$C$5:$C$359,Конструкторы!$A1146)</f>
        <v>0</v>
      </c>
      <c r="J1146" s="166">
        <f>SUMIFS(Продажи!G$5:G$359,Продажи!$D$5:$D$359,Конструкторы!$B1146,Продажи!$C$5:$C$359,Конструкторы!$A1146)</f>
        <v>0</v>
      </c>
      <c r="K1146" s="166">
        <f>SUMIFS(Продажи!H$5:H$359,Продажи!$D$5:$D$359,Конструкторы!$B1146,Продажи!$C$5:$C$359,Конструкторы!$A1146)</f>
        <v>0</v>
      </c>
      <c r="L1146" s="166">
        <f>SUMIFS(Продажи!I$5:I$359,Продажи!$D$5:$D$359,Конструкторы!$B1146,Продажи!$C$5:$C$359,Конструкторы!$A1146)</f>
        <v>0</v>
      </c>
      <c r="M1146" s="166">
        <f>SUMIFS(Продажи!J$5:J$359,Продажи!$D$5:$D$359,Конструкторы!$B1146,Продажи!$C$5:$C$359,Конструкторы!$A1146)</f>
        <v>0</v>
      </c>
      <c r="N1146" s="166">
        <f>SUMIFS(Продажи!K$5:K$359,Продажи!$D$5:$D$359,Конструкторы!$B1146,Продажи!$C$5:$C$359,Конструкторы!$A1146)</f>
        <v>0</v>
      </c>
      <c r="O1146" s="166">
        <f>SUMIFS(Продажи!L$5:L$359,Продажи!$D$5:$D$359,Конструкторы!$B1146,Продажи!$C$5:$C$359,Конструкторы!$A1146)</f>
        <v>0</v>
      </c>
      <c r="P1146" s="166">
        <f>SUMIFS(Продажи!M$5:M$359,Продажи!$D$5:$D$359,Конструкторы!$B1146,Продажи!$C$5:$C$359,Конструкторы!$A1146)</f>
        <v>0</v>
      </c>
      <c r="Q1146" s="166">
        <f>SUMIFS(Продажи!N$5:N$359,Продажи!$D$5:$D$359,Конструкторы!$B1146,Продажи!$C$5:$C$359,Конструкторы!$A1146)</f>
        <v>0</v>
      </c>
      <c r="R1146" s="166">
        <f>SUMIFS(Продажи!O$5:O$359,Продажи!$D$5:$D$359,Конструкторы!$B1146,Продажи!$C$5:$C$359,Конструкторы!$A1146)</f>
        <v>0</v>
      </c>
      <c r="S1146" s="166">
        <f>SUMIFS(Продажи!P$5:P$359,Продажи!$D$5:$D$359,Конструкторы!$B1146,Продажи!$C$5:$C$359,Конструкторы!$A1146)</f>
        <v>0</v>
      </c>
      <c r="T1146" s="166">
        <f>SUMIFS(Продажи!Q$5:Q$359,Продажи!$D$5:$D$359,Конструкторы!$B1146,Продажи!$C$5:$C$359,Конструкторы!$A1146)</f>
        <v>0</v>
      </c>
    </row>
    <row r="1147" spans="1:20" ht="15.75" hidden="1" x14ac:dyDescent="0.25">
      <c r="A1147" s="166" t="s">
        <v>397</v>
      </c>
      <c r="B1147" s="167" t="s">
        <v>328</v>
      </c>
      <c r="C1147" s="129" t="s">
        <v>57</v>
      </c>
      <c r="D1147" s="149"/>
      <c r="E1147" s="153" t="s">
        <v>68</v>
      </c>
      <c r="F1147" s="156">
        <f>(0.2*103)/100</f>
        <v>0.20600000000000002</v>
      </c>
      <c r="G1147" s="156">
        <v>6.0000000000000053E-3</v>
      </c>
      <c r="H1147" s="156">
        <f>F1147+G1147</f>
        <v>0.21200000000000002</v>
      </c>
      <c r="I1147" s="166">
        <f>SUMIFS(Продажи!F$5:F$359,Продажи!$D$5:$D$359,Конструкторы!$B1147,Продажи!$C$5:$C$359,Конструкторы!$A1147)</f>
        <v>0</v>
      </c>
      <c r="J1147" s="166">
        <f>SUMIFS(Продажи!G$5:G$359,Продажи!$D$5:$D$359,Конструкторы!$B1147,Продажи!$C$5:$C$359,Конструкторы!$A1147)</f>
        <v>0</v>
      </c>
      <c r="K1147" s="166">
        <f>SUMIFS(Продажи!H$5:H$359,Продажи!$D$5:$D$359,Конструкторы!$B1147,Продажи!$C$5:$C$359,Конструкторы!$A1147)</f>
        <v>0</v>
      </c>
      <c r="L1147" s="166">
        <f>SUMIFS(Продажи!I$5:I$359,Продажи!$D$5:$D$359,Конструкторы!$B1147,Продажи!$C$5:$C$359,Конструкторы!$A1147)</f>
        <v>0</v>
      </c>
      <c r="M1147" s="166">
        <f>SUMIFS(Продажи!J$5:J$359,Продажи!$D$5:$D$359,Конструкторы!$B1147,Продажи!$C$5:$C$359,Конструкторы!$A1147)</f>
        <v>0</v>
      </c>
      <c r="N1147" s="166">
        <f>SUMIFS(Продажи!K$5:K$359,Продажи!$D$5:$D$359,Конструкторы!$B1147,Продажи!$C$5:$C$359,Конструкторы!$A1147)</f>
        <v>0</v>
      </c>
      <c r="O1147" s="166">
        <f>SUMIFS(Продажи!L$5:L$359,Продажи!$D$5:$D$359,Конструкторы!$B1147,Продажи!$C$5:$C$359,Конструкторы!$A1147)</f>
        <v>0</v>
      </c>
      <c r="P1147" s="166">
        <f>SUMIFS(Продажи!M$5:M$359,Продажи!$D$5:$D$359,Конструкторы!$B1147,Продажи!$C$5:$C$359,Конструкторы!$A1147)</f>
        <v>0</v>
      </c>
      <c r="Q1147" s="166">
        <f>SUMIFS(Продажи!N$5:N$359,Продажи!$D$5:$D$359,Конструкторы!$B1147,Продажи!$C$5:$C$359,Конструкторы!$A1147)</f>
        <v>0</v>
      </c>
      <c r="R1147" s="166">
        <f>SUMIFS(Продажи!O$5:O$359,Продажи!$D$5:$D$359,Конструкторы!$B1147,Продажи!$C$5:$C$359,Конструкторы!$A1147)</f>
        <v>0</v>
      </c>
      <c r="S1147" s="166">
        <f>SUMIFS(Продажи!P$5:P$359,Продажи!$D$5:$D$359,Конструкторы!$B1147,Продажи!$C$5:$C$359,Конструкторы!$A1147)</f>
        <v>0</v>
      </c>
      <c r="T1147" s="166">
        <f>SUMIFS(Продажи!Q$5:Q$359,Продажи!$D$5:$D$359,Конструкторы!$B1147,Продажи!$C$5:$C$359,Конструкторы!$A1147)</f>
        <v>0</v>
      </c>
    </row>
    <row r="1148" spans="1:20" ht="15.75" hidden="1" x14ac:dyDescent="0.25">
      <c r="A1148" s="166" t="s">
        <v>397</v>
      </c>
      <c r="B1148" s="167" t="s">
        <v>328</v>
      </c>
      <c r="C1148" s="129" t="s">
        <v>58</v>
      </c>
      <c r="D1148" s="149"/>
      <c r="E1148" s="153" t="s">
        <v>68</v>
      </c>
      <c r="F1148" s="156">
        <f>(0.5*103)/100</f>
        <v>0.51500000000000001</v>
      </c>
      <c r="G1148" s="156">
        <v>1.5000000000000013E-2</v>
      </c>
      <c r="H1148" s="156">
        <f>F1148+G1148</f>
        <v>0.53</v>
      </c>
      <c r="I1148" s="166">
        <f>SUMIFS(Продажи!F$5:F$359,Продажи!$D$5:$D$359,Конструкторы!$B1148,Продажи!$C$5:$C$359,Конструкторы!$A1148)</f>
        <v>0</v>
      </c>
      <c r="J1148" s="166">
        <f>SUMIFS(Продажи!G$5:G$359,Продажи!$D$5:$D$359,Конструкторы!$B1148,Продажи!$C$5:$C$359,Конструкторы!$A1148)</f>
        <v>0</v>
      </c>
      <c r="K1148" s="166">
        <f>SUMIFS(Продажи!H$5:H$359,Продажи!$D$5:$D$359,Конструкторы!$B1148,Продажи!$C$5:$C$359,Конструкторы!$A1148)</f>
        <v>0</v>
      </c>
      <c r="L1148" s="166">
        <f>SUMIFS(Продажи!I$5:I$359,Продажи!$D$5:$D$359,Конструкторы!$B1148,Продажи!$C$5:$C$359,Конструкторы!$A1148)</f>
        <v>0</v>
      </c>
      <c r="M1148" s="166">
        <f>SUMIFS(Продажи!J$5:J$359,Продажи!$D$5:$D$359,Конструкторы!$B1148,Продажи!$C$5:$C$359,Конструкторы!$A1148)</f>
        <v>0</v>
      </c>
      <c r="N1148" s="166">
        <f>SUMIFS(Продажи!K$5:K$359,Продажи!$D$5:$D$359,Конструкторы!$B1148,Продажи!$C$5:$C$359,Конструкторы!$A1148)</f>
        <v>0</v>
      </c>
      <c r="O1148" s="166">
        <f>SUMIFS(Продажи!L$5:L$359,Продажи!$D$5:$D$359,Конструкторы!$B1148,Продажи!$C$5:$C$359,Конструкторы!$A1148)</f>
        <v>0</v>
      </c>
      <c r="P1148" s="166">
        <f>SUMIFS(Продажи!M$5:M$359,Продажи!$D$5:$D$359,Конструкторы!$B1148,Продажи!$C$5:$C$359,Конструкторы!$A1148)</f>
        <v>0</v>
      </c>
      <c r="Q1148" s="166">
        <f>SUMIFS(Продажи!N$5:N$359,Продажи!$D$5:$D$359,Конструкторы!$B1148,Продажи!$C$5:$C$359,Конструкторы!$A1148)</f>
        <v>0</v>
      </c>
      <c r="R1148" s="166">
        <f>SUMIFS(Продажи!O$5:O$359,Продажи!$D$5:$D$359,Конструкторы!$B1148,Продажи!$C$5:$C$359,Конструкторы!$A1148)</f>
        <v>0</v>
      </c>
      <c r="S1148" s="166">
        <f>SUMIFS(Продажи!P$5:P$359,Продажи!$D$5:$D$359,Конструкторы!$B1148,Продажи!$C$5:$C$359,Конструкторы!$A1148)</f>
        <v>0</v>
      </c>
      <c r="T1148" s="166">
        <f>SUMIFS(Продажи!Q$5:Q$359,Продажи!$D$5:$D$359,Конструкторы!$B1148,Продажи!$C$5:$C$359,Конструкторы!$A1148)</f>
        <v>0</v>
      </c>
    </row>
    <row r="1149" spans="1:20" ht="15.75" hidden="1" x14ac:dyDescent="0.25">
      <c r="A1149" s="166" t="s">
        <v>397</v>
      </c>
      <c r="B1149" s="167" t="s">
        <v>328</v>
      </c>
      <c r="C1149" s="33" t="s">
        <v>88</v>
      </c>
      <c r="D1149" s="149"/>
      <c r="E1149" s="153" t="s">
        <v>70</v>
      </c>
      <c r="F1149" s="148">
        <v>2</v>
      </c>
      <c r="G1149" s="156" t="s">
        <v>71</v>
      </c>
      <c r="H1149" s="156">
        <f>F1149</f>
        <v>2</v>
      </c>
      <c r="I1149" s="166">
        <f>SUMIFS(Продажи!F$5:F$359,Продажи!$D$5:$D$359,Конструкторы!$B1149,Продажи!$C$5:$C$359,Конструкторы!$A1149)</f>
        <v>0</v>
      </c>
      <c r="J1149" s="166">
        <f>SUMIFS(Продажи!G$5:G$359,Продажи!$D$5:$D$359,Конструкторы!$B1149,Продажи!$C$5:$C$359,Конструкторы!$A1149)</f>
        <v>0</v>
      </c>
      <c r="K1149" s="166">
        <f>SUMIFS(Продажи!H$5:H$359,Продажи!$D$5:$D$359,Конструкторы!$B1149,Продажи!$C$5:$C$359,Конструкторы!$A1149)</f>
        <v>0</v>
      </c>
      <c r="L1149" s="166">
        <f>SUMIFS(Продажи!I$5:I$359,Продажи!$D$5:$D$359,Конструкторы!$B1149,Продажи!$C$5:$C$359,Конструкторы!$A1149)</f>
        <v>0</v>
      </c>
      <c r="M1149" s="166">
        <f>SUMIFS(Продажи!J$5:J$359,Продажи!$D$5:$D$359,Конструкторы!$B1149,Продажи!$C$5:$C$359,Конструкторы!$A1149)</f>
        <v>0</v>
      </c>
      <c r="N1149" s="166">
        <f>SUMIFS(Продажи!K$5:K$359,Продажи!$D$5:$D$359,Конструкторы!$B1149,Продажи!$C$5:$C$359,Конструкторы!$A1149)</f>
        <v>0</v>
      </c>
      <c r="O1149" s="166">
        <f>SUMIFS(Продажи!L$5:L$359,Продажи!$D$5:$D$359,Конструкторы!$B1149,Продажи!$C$5:$C$359,Конструкторы!$A1149)</f>
        <v>0</v>
      </c>
      <c r="P1149" s="166">
        <f>SUMIFS(Продажи!M$5:M$359,Продажи!$D$5:$D$359,Конструкторы!$B1149,Продажи!$C$5:$C$359,Конструкторы!$A1149)</f>
        <v>0</v>
      </c>
      <c r="Q1149" s="166">
        <f>SUMIFS(Продажи!N$5:N$359,Продажи!$D$5:$D$359,Конструкторы!$B1149,Продажи!$C$5:$C$359,Конструкторы!$A1149)</f>
        <v>0</v>
      </c>
      <c r="R1149" s="166">
        <f>SUMIFS(Продажи!O$5:O$359,Продажи!$D$5:$D$359,Конструкторы!$B1149,Продажи!$C$5:$C$359,Конструкторы!$A1149)</f>
        <v>0</v>
      </c>
      <c r="S1149" s="166">
        <f>SUMIFS(Продажи!P$5:P$359,Продажи!$D$5:$D$359,Конструкторы!$B1149,Продажи!$C$5:$C$359,Конструкторы!$A1149)</f>
        <v>0</v>
      </c>
      <c r="T1149" s="166">
        <f>SUMIFS(Продажи!Q$5:Q$359,Продажи!$D$5:$D$359,Конструкторы!$B1149,Продажи!$C$5:$C$359,Конструкторы!$A1149)</f>
        <v>0</v>
      </c>
    </row>
    <row r="1150" spans="1:20" ht="15.75" hidden="1" x14ac:dyDescent="0.25">
      <c r="A1150" s="166" t="s">
        <v>397</v>
      </c>
      <c r="B1150" s="167" t="s">
        <v>328</v>
      </c>
      <c r="C1150" s="33" t="s">
        <v>75</v>
      </c>
      <c r="D1150" s="149"/>
      <c r="E1150" s="153" t="s">
        <v>70</v>
      </c>
      <c r="F1150" s="148">
        <v>8</v>
      </c>
      <c r="G1150" s="156" t="s">
        <v>71</v>
      </c>
      <c r="H1150" s="156">
        <f>F1150</f>
        <v>8</v>
      </c>
      <c r="I1150" s="166">
        <f>SUMIFS(Продажи!F$5:F$359,Продажи!$D$5:$D$359,Конструкторы!$B1150,Продажи!$C$5:$C$359,Конструкторы!$A1150)</f>
        <v>0</v>
      </c>
      <c r="J1150" s="166">
        <f>SUMIFS(Продажи!G$5:G$359,Продажи!$D$5:$D$359,Конструкторы!$B1150,Продажи!$C$5:$C$359,Конструкторы!$A1150)</f>
        <v>0</v>
      </c>
      <c r="K1150" s="166">
        <f>SUMIFS(Продажи!H$5:H$359,Продажи!$D$5:$D$359,Конструкторы!$B1150,Продажи!$C$5:$C$359,Конструкторы!$A1150)</f>
        <v>0</v>
      </c>
      <c r="L1150" s="166">
        <f>SUMIFS(Продажи!I$5:I$359,Продажи!$D$5:$D$359,Конструкторы!$B1150,Продажи!$C$5:$C$359,Конструкторы!$A1150)</f>
        <v>0</v>
      </c>
      <c r="M1150" s="166">
        <f>SUMIFS(Продажи!J$5:J$359,Продажи!$D$5:$D$359,Конструкторы!$B1150,Продажи!$C$5:$C$359,Конструкторы!$A1150)</f>
        <v>0</v>
      </c>
      <c r="N1150" s="166">
        <f>SUMIFS(Продажи!K$5:K$359,Продажи!$D$5:$D$359,Конструкторы!$B1150,Продажи!$C$5:$C$359,Конструкторы!$A1150)</f>
        <v>0</v>
      </c>
      <c r="O1150" s="166">
        <f>SUMIFS(Продажи!L$5:L$359,Продажи!$D$5:$D$359,Конструкторы!$B1150,Продажи!$C$5:$C$359,Конструкторы!$A1150)</f>
        <v>0</v>
      </c>
      <c r="P1150" s="166">
        <f>SUMIFS(Продажи!M$5:M$359,Продажи!$D$5:$D$359,Конструкторы!$B1150,Продажи!$C$5:$C$359,Конструкторы!$A1150)</f>
        <v>0</v>
      </c>
      <c r="Q1150" s="166">
        <f>SUMIFS(Продажи!N$5:N$359,Продажи!$D$5:$D$359,Конструкторы!$B1150,Продажи!$C$5:$C$359,Конструкторы!$A1150)</f>
        <v>0</v>
      </c>
      <c r="R1150" s="166">
        <f>SUMIFS(Продажи!O$5:O$359,Продажи!$D$5:$D$359,Конструкторы!$B1150,Продажи!$C$5:$C$359,Конструкторы!$A1150)</f>
        <v>0</v>
      </c>
      <c r="S1150" s="166">
        <f>SUMIFS(Продажи!P$5:P$359,Продажи!$D$5:$D$359,Конструкторы!$B1150,Продажи!$C$5:$C$359,Конструкторы!$A1150)</f>
        <v>0</v>
      </c>
      <c r="T1150" s="166">
        <f>SUMIFS(Продажи!Q$5:Q$359,Продажи!$D$5:$D$359,Конструкторы!$B1150,Продажи!$C$5:$C$359,Конструкторы!$A1150)</f>
        <v>0</v>
      </c>
    </row>
    <row r="1151" spans="1:20" ht="15.75" hidden="1" x14ac:dyDescent="0.25">
      <c r="A1151" s="166" t="s">
        <v>397</v>
      </c>
      <c r="B1151" s="167" t="s">
        <v>329</v>
      </c>
      <c r="C1151" s="129" t="s">
        <v>57</v>
      </c>
      <c r="D1151" s="149"/>
      <c r="E1151" s="153" t="s">
        <v>68</v>
      </c>
      <c r="F1151" s="156">
        <f>(0.502*103)/100</f>
        <v>0.51706000000000008</v>
      </c>
      <c r="G1151" s="156">
        <v>1.5060000000000073E-2</v>
      </c>
      <c r="H1151" s="156">
        <f>F1151+G1151</f>
        <v>0.53212000000000015</v>
      </c>
      <c r="I1151" s="166">
        <f>SUMIFS(Продажи!F$5:F$359,Продажи!$D$5:$D$359,Конструкторы!$B1151,Продажи!$C$5:$C$359,Конструкторы!$A1151)</f>
        <v>0</v>
      </c>
      <c r="J1151" s="166">
        <f>SUMIFS(Продажи!G$5:G$359,Продажи!$D$5:$D$359,Конструкторы!$B1151,Продажи!$C$5:$C$359,Конструкторы!$A1151)</f>
        <v>0</v>
      </c>
      <c r="K1151" s="166">
        <f>SUMIFS(Продажи!H$5:H$359,Продажи!$D$5:$D$359,Конструкторы!$B1151,Продажи!$C$5:$C$359,Конструкторы!$A1151)</f>
        <v>0</v>
      </c>
      <c r="L1151" s="166">
        <f>SUMIFS(Продажи!I$5:I$359,Продажи!$D$5:$D$359,Конструкторы!$B1151,Продажи!$C$5:$C$359,Конструкторы!$A1151)</f>
        <v>0</v>
      </c>
      <c r="M1151" s="166">
        <f>SUMIFS(Продажи!J$5:J$359,Продажи!$D$5:$D$359,Конструкторы!$B1151,Продажи!$C$5:$C$359,Конструкторы!$A1151)</f>
        <v>0</v>
      </c>
      <c r="N1151" s="166">
        <f>SUMIFS(Продажи!K$5:K$359,Продажи!$D$5:$D$359,Конструкторы!$B1151,Продажи!$C$5:$C$359,Конструкторы!$A1151)</f>
        <v>0</v>
      </c>
      <c r="O1151" s="166">
        <f>SUMIFS(Продажи!L$5:L$359,Продажи!$D$5:$D$359,Конструкторы!$B1151,Продажи!$C$5:$C$359,Конструкторы!$A1151)</f>
        <v>0</v>
      </c>
      <c r="P1151" s="166">
        <f>SUMIFS(Продажи!M$5:M$359,Продажи!$D$5:$D$359,Конструкторы!$B1151,Продажи!$C$5:$C$359,Конструкторы!$A1151)</f>
        <v>0</v>
      </c>
      <c r="Q1151" s="166">
        <f>SUMIFS(Продажи!N$5:N$359,Продажи!$D$5:$D$359,Конструкторы!$B1151,Продажи!$C$5:$C$359,Конструкторы!$A1151)</f>
        <v>0</v>
      </c>
      <c r="R1151" s="166">
        <f>SUMIFS(Продажи!O$5:O$359,Продажи!$D$5:$D$359,Конструкторы!$B1151,Продажи!$C$5:$C$359,Конструкторы!$A1151)</f>
        <v>0</v>
      </c>
      <c r="S1151" s="166">
        <f>SUMIFS(Продажи!P$5:P$359,Продажи!$D$5:$D$359,Конструкторы!$B1151,Продажи!$C$5:$C$359,Конструкторы!$A1151)</f>
        <v>0</v>
      </c>
      <c r="T1151" s="166">
        <f>SUMIFS(Продажи!Q$5:Q$359,Продажи!$D$5:$D$359,Конструкторы!$B1151,Продажи!$C$5:$C$359,Конструкторы!$A1151)</f>
        <v>0</v>
      </c>
    </row>
    <row r="1152" spans="1:20" ht="15.75" hidden="1" x14ac:dyDescent="0.25">
      <c r="A1152" s="166" t="s">
        <v>397</v>
      </c>
      <c r="B1152" s="167" t="s">
        <v>329</v>
      </c>
      <c r="C1152" s="129" t="s">
        <v>58</v>
      </c>
      <c r="D1152" s="149"/>
      <c r="E1152" s="153" t="s">
        <v>68</v>
      </c>
      <c r="F1152" s="156">
        <f>(0.397*103)/100</f>
        <v>0.40891000000000005</v>
      </c>
      <c r="G1152" s="156">
        <v>1.1910000000000032E-2</v>
      </c>
      <c r="H1152" s="156">
        <f>F1152+G1152</f>
        <v>0.42082000000000008</v>
      </c>
      <c r="I1152" s="166">
        <f>SUMIFS(Продажи!F$5:F$359,Продажи!$D$5:$D$359,Конструкторы!$B1152,Продажи!$C$5:$C$359,Конструкторы!$A1152)</f>
        <v>0</v>
      </c>
      <c r="J1152" s="166">
        <f>SUMIFS(Продажи!G$5:G$359,Продажи!$D$5:$D$359,Конструкторы!$B1152,Продажи!$C$5:$C$359,Конструкторы!$A1152)</f>
        <v>0</v>
      </c>
      <c r="K1152" s="166">
        <f>SUMIFS(Продажи!H$5:H$359,Продажи!$D$5:$D$359,Конструкторы!$B1152,Продажи!$C$5:$C$359,Конструкторы!$A1152)</f>
        <v>0</v>
      </c>
      <c r="L1152" s="166">
        <f>SUMIFS(Продажи!I$5:I$359,Продажи!$D$5:$D$359,Конструкторы!$B1152,Продажи!$C$5:$C$359,Конструкторы!$A1152)</f>
        <v>0</v>
      </c>
      <c r="M1152" s="166">
        <f>SUMIFS(Продажи!J$5:J$359,Продажи!$D$5:$D$359,Конструкторы!$B1152,Продажи!$C$5:$C$359,Конструкторы!$A1152)</f>
        <v>0</v>
      </c>
      <c r="N1152" s="166">
        <f>SUMIFS(Продажи!K$5:K$359,Продажи!$D$5:$D$359,Конструкторы!$B1152,Продажи!$C$5:$C$359,Конструкторы!$A1152)</f>
        <v>0</v>
      </c>
      <c r="O1152" s="166">
        <f>SUMIFS(Продажи!L$5:L$359,Продажи!$D$5:$D$359,Конструкторы!$B1152,Продажи!$C$5:$C$359,Конструкторы!$A1152)</f>
        <v>0</v>
      </c>
      <c r="P1152" s="166">
        <f>SUMIFS(Продажи!M$5:M$359,Продажи!$D$5:$D$359,Конструкторы!$B1152,Продажи!$C$5:$C$359,Конструкторы!$A1152)</f>
        <v>0</v>
      </c>
      <c r="Q1152" s="166">
        <f>SUMIFS(Продажи!N$5:N$359,Продажи!$D$5:$D$359,Конструкторы!$B1152,Продажи!$C$5:$C$359,Конструкторы!$A1152)</f>
        <v>0</v>
      </c>
      <c r="R1152" s="166">
        <f>SUMIFS(Продажи!O$5:O$359,Продажи!$D$5:$D$359,Конструкторы!$B1152,Продажи!$C$5:$C$359,Конструкторы!$A1152)</f>
        <v>0</v>
      </c>
      <c r="S1152" s="166">
        <f>SUMIFS(Продажи!P$5:P$359,Продажи!$D$5:$D$359,Конструкторы!$B1152,Продажи!$C$5:$C$359,Конструкторы!$A1152)</f>
        <v>0</v>
      </c>
      <c r="T1152" s="166">
        <f>SUMIFS(Продажи!Q$5:Q$359,Продажи!$D$5:$D$359,Конструкторы!$B1152,Продажи!$C$5:$C$359,Конструкторы!$A1152)</f>
        <v>0</v>
      </c>
    </row>
    <row r="1153" spans="1:20" ht="15.75" hidden="1" x14ac:dyDescent="0.25">
      <c r="A1153" s="166" t="s">
        <v>397</v>
      </c>
      <c r="B1153" s="167" t="s">
        <v>329</v>
      </c>
      <c r="C1153" s="129" t="s">
        <v>24</v>
      </c>
      <c r="D1153" s="149"/>
      <c r="E1153" s="153" t="s">
        <v>68</v>
      </c>
      <c r="F1153" s="156">
        <f>(0.05*103)/100</f>
        <v>5.1500000000000004E-2</v>
      </c>
      <c r="G1153" s="156">
        <v>1.5000000000000013E-3</v>
      </c>
      <c r="H1153" s="156">
        <f>F1153+G1153</f>
        <v>5.3000000000000005E-2</v>
      </c>
      <c r="I1153" s="166">
        <f>SUMIFS(Продажи!F$5:F$359,Продажи!$D$5:$D$359,Конструкторы!$B1153,Продажи!$C$5:$C$359,Конструкторы!$A1153)</f>
        <v>0</v>
      </c>
      <c r="J1153" s="166">
        <f>SUMIFS(Продажи!G$5:G$359,Продажи!$D$5:$D$359,Конструкторы!$B1153,Продажи!$C$5:$C$359,Конструкторы!$A1153)</f>
        <v>0</v>
      </c>
      <c r="K1153" s="166">
        <f>SUMIFS(Продажи!H$5:H$359,Продажи!$D$5:$D$359,Конструкторы!$B1153,Продажи!$C$5:$C$359,Конструкторы!$A1153)</f>
        <v>0</v>
      </c>
      <c r="L1153" s="166">
        <f>SUMIFS(Продажи!I$5:I$359,Продажи!$D$5:$D$359,Конструкторы!$B1153,Продажи!$C$5:$C$359,Конструкторы!$A1153)</f>
        <v>0</v>
      </c>
      <c r="M1153" s="166">
        <f>SUMIFS(Продажи!J$5:J$359,Продажи!$D$5:$D$359,Конструкторы!$B1153,Продажи!$C$5:$C$359,Конструкторы!$A1153)</f>
        <v>0</v>
      </c>
      <c r="N1153" s="166">
        <f>SUMIFS(Продажи!K$5:K$359,Продажи!$D$5:$D$359,Конструкторы!$B1153,Продажи!$C$5:$C$359,Конструкторы!$A1153)</f>
        <v>0</v>
      </c>
      <c r="O1153" s="166">
        <f>SUMIFS(Продажи!L$5:L$359,Продажи!$D$5:$D$359,Конструкторы!$B1153,Продажи!$C$5:$C$359,Конструкторы!$A1153)</f>
        <v>0</v>
      </c>
      <c r="P1153" s="166">
        <f>SUMIFS(Продажи!M$5:M$359,Продажи!$D$5:$D$359,Конструкторы!$B1153,Продажи!$C$5:$C$359,Конструкторы!$A1153)</f>
        <v>0</v>
      </c>
      <c r="Q1153" s="166">
        <f>SUMIFS(Продажи!N$5:N$359,Продажи!$D$5:$D$359,Конструкторы!$B1153,Продажи!$C$5:$C$359,Конструкторы!$A1153)</f>
        <v>0</v>
      </c>
      <c r="R1153" s="166">
        <f>SUMIFS(Продажи!O$5:O$359,Продажи!$D$5:$D$359,Конструкторы!$B1153,Продажи!$C$5:$C$359,Конструкторы!$A1153)</f>
        <v>0</v>
      </c>
      <c r="S1153" s="166">
        <f>SUMIFS(Продажи!P$5:P$359,Продажи!$D$5:$D$359,Конструкторы!$B1153,Продажи!$C$5:$C$359,Конструкторы!$A1153)</f>
        <v>0</v>
      </c>
      <c r="T1153" s="166">
        <f>SUMIFS(Продажи!Q$5:Q$359,Продажи!$D$5:$D$359,Конструкторы!$B1153,Продажи!$C$5:$C$359,Конструкторы!$A1153)</f>
        <v>0</v>
      </c>
    </row>
    <row r="1154" spans="1:20" ht="15.75" hidden="1" x14ac:dyDescent="0.25">
      <c r="A1154" s="166" t="s">
        <v>397</v>
      </c>
      <c r="B1154" s="167" t="s">
        <v>329</v>
      </c>
      <c r="C1154" s="33" t="s">
        <v>89</v>
      </c>
      <c r="D1154" s="149"/>
      <c r="E1154" s="153" t="s">
        <v>70</v>
      </c>
      <c r="F1154" s="159">
        <v>1</v>
      </c>
      <c r="G1154" s="156" t="s">
        <v>71</v>
      </c>
      <c r="H1154" s="156">
        <f>F1154</f>
        <v>1</v>
      </c>
      <c r="I1154" s="166">
        <f>SUMIFS(Продажи!F$5:F$359,Продажи!$D$5:$D$359,Конструкторы!$B1154,Продажи!$C$5:$C$359,Конструкторы!$A1154)</f>
        <v>0</v>
      </c>
      <c r="J1154" s="166">
        <f>SUMIFS(Продажи!G$5:G$359,Продажи!$D$5:$D$359,Конструкторы!$B1154,Продажи!$C$5:$C$359,Конструкторы!$A1154)</f>
        <v>0</v>
      </c>
      <c r="K1154" s="166">
        <f>SUMIFS(Продажи!H$5:H$359,Продажи!$D$5:$D$359,Конструкторы!$B1154,Продажи!$C$5:$C$359,Конструкторы!$A1154)</f>
        <v>0</v>
      </c>
      <c r="L1154" s="166">
        <f>SUMIFS(Продажи!I$5:I$359,Продажи!$D$5:$D$359,Конструкторы!$B1154,Продажи!$C$5:$C$359,Конструкторы!$A1154)</f>
        <v>0</v>
      </c>
      <c r="M1154" s="166">
        <f>SUMIFS(Продажи!J$5:J$359,Продажи!$D$5:$D$359,Конструкторы!$B1154,Продажи!$C$5:$C$359,Конструкторы!$A1154)</f>
        <v>0</v>
      </c>
      <c r="N1154" s="166">
        <f>SUMIFS(Продажи!K$5:K$359,Продажи!$D$5:$D$359,Конструкторы!$B1154,Продажи!$C$5:$C$359,Конструкторы!$A1154)</f>
        <v>0</v>
      </c>
      <c r="O1154" s="166">
        <f>SUMIFS(Продажи!L$5:L$359,Продажи!$D$5:$D$359,Конструкторы!$B1154,Продажи!$C$5:$C$359,Конструкторы!$A1154)</f>
        <v>0</v>
      </c>
      <c r="P1154" s="166">
        <f>SUMIFS(Продажи!M$5:M$359,Продажи!$D$5:$D$359,Конструкторы!$B1154,Продажи!$C$5:$C$359,Конструкторы!$A1154)</f>
        <v>0</v>
      </c>
      <c r="Q1154" s="166">
        <f>SUMIFS(Продажи!N$5:N$359,Продажи!$D$5:$D$359,Конструкторы!$B1154,Продажи!$C$5:$C$359,Конструкторы!$A1154)</f>
        <v>0</v>
      </c>
      <c r="R1154" s="166">
        <f>SUMIFS(Продажи!O$5:O$359,Продажи!$D$5:$D$359,Конструкторы!$B1154,Продажи!$C$5:$C$359,Конструкторы!$A1154)</f>
        <v>0</v>
      </c>
      <c r="S1154" s="166">
        <f>SUMIFS(Продажи!P$5:P$359,Продажи!$D$5:$D$359,Конструкторы!$B1154,Продажи!$C$5:$C$359,Конструкторы!$A1154)</f>
        <v>0</v>
      </c>
      <c r="T1154" s="166">
        <f>SUMIFS(Продажи!Q$5:Q$359,Продажи!$D$5:$D$359,Конструкторы!$B1154,Продажи!$C$5:$C$359,Конструкторы!$A1154)</f>
        <v>0</v>
      </c>
    </row>
    <row r="1155" spans="1:20" ht="15.75" hidden="1" x14ac:dyDescent="0.25">
      <c r="A1155" s="166" t="s">
        <v>397</v>
      </c>
      <c r="B1155" s="167" t="s">
        <v>329</v>
      </c>
      <c r="C1155" s="33" t="s">
        <v>88</v>
      </c>
      <c r="D1155" s="149"/>
      <c r="E1155" s="153" t="s">
        <v>70</v>
      </c>
      <c r="F1155" s="148">
        <v>2</v>
      </c>
      <c r="G1155" s="156" t="s">
        <v>71</v>
      </c>
      <c r="H1155" s="156">
        <f>F1155</f>
        <v>2</v>
      </c>
      <c r="I1155" s="166">
        <f>SUMIFS(Продажи!F$5:F$359,Продажи!$D$5:$D$359,Конструкторы!$B1155,Продажи!$C$5:$C$359,Конструкторы!$A1155)</f>
        <v>0</v>
      </c>
      <c r="J1155" s="166">
        <f>SUMIFS(Продажи!G$5:G$359,Продажи!$D$5:$D$359,Конструкторы!$B1155,Продажи!$C$5:$C$359,Конструкторы!$A1155)</f>
        <v>0</v>
      </c>
      <c r="K1155" s="166">
        <f>SUMIFS(Продажи!H$5:H$359,Продажи!$D$5:$D$359,Конструкторы!$B1155,Продажи!$C$5:$C$359,Конструкторы!$A1155)</f>
        <v>0</v>
      </c>
      <c r="L1155" s="166">
        <f>SUMIFS(Продажи!I$5:I$359,Продажи!$D$5:$D$359,Конструкторы!$B1155,Продажи!$C$5:$C$359,Конструкторы!$A1155)</f>
        <v>0</v>
      </c>
      <c r="M1155" s="166">
        <f>SUMIFS(Продажи!J$5:J$359,Продажи!$D$5:$D$359,Конструкторы!$B1155,Продажи!$C$5:$C$359,Конструкторы!$A1155)</f>
        <v>0</v>
      </c>
      <c r="N1155" s="166">
        <f>SUMIFS(Продажи!K$5:K$359,Продажи!$D$5:$D$359,Конструкторы!$B1155,Продажи!$C$5:$C$359,Конструкторы!$A1155)</f>
        <v>0</v>
      </c>
      <c r="O1155" s="166">
        <f>SUMIFS(Продажи!L$5:L$359,Продажи!$D$5:$D$359,Конструкторы!$B1155,Продажи!$C$5:$C$359,Конструкторы!$A1155)</f>
        <v>0</v>
      </c>
      <c r="P1155" s="166">
        <f>SUMIFS(Продажи!M$5:M$359,Продажи!$D$5:$D$359,Конструкторы!$B1155,Продажи!$C$5:$C$359,Конструкторы!$A1155)</f>
        <v>0</v>
      </c>
      <c r="Q1155" s="166">
        <f>SUMIFS(Продажи!N$5:N$359,Продажи!$D$5:$D$359,Конструкторы!$B1155,Продажи!$C$5:$C$359,Конструкторы!$A1155)</f>
        <v>0</v>
      </c>
      <c r="R1155" s="166">
        <f>SUMIFS(Продажи!O$5:O$359,Продажи!$D$5:$D$359,Конструкторы!$B1155,Продажи!$C$5:$C$359,Конструкторы!$A1155)</f>
        <v>0</v>
      </c>
      <c r="S1155" s="166">
        <f>SUMIFS(Продажи!P$5:P$359,Продажи!$D$5:$D$359,Конструкторы!$B1155,Продажи!$C$5:$C$359,Конструкторы!$A1155)</f>
        <v>0</v>
      </c>
      <c r="T1155" s="166">
        <f>SUMIFS(Продажи!Q$5:Q$359,Продажи!$D$5:$D$359,Конструкторы!$B1155,Продажи!$C$5:$C$359,Конструкторы!$A1155)</f>
        <v>0</v>
      </c>
    </row>
    <row r="1156" spans="1:20" ht="15.75" hidden="1" x14ac:dyDescent="0.25">
      <c r="A1156" s="166" t="s">
        <v>397</v>
      </c>
      <c r="B1156" s="167" t="s">
        <v>329</v>
      </c>
      <c r="C1156" s="33" t="s">
        <v>75</v>
      </c>
      <c r="D1156" s="149"/>
      <c r="E1156" s="153" t="s">
        <v>70</v>
      </c>
      <c r="F1156" s="148">
        <v>16</v>
      </c>
      <c r="G1156" s="156" t="s">
        <v>71</v>
      </c>
      <c r="H1156" s="156">
        <f>F1156</f>
        <v>16</v>
      </c>
      <c r="I1156" s="166">
        <f>SUMIFS(Продажи!F$5:F$359,Продажи!$D$5:$D$359,Конструкторы!$B1156,Продажи!$C$5:$C$359,Конструкторы!$A1156)</f>
        <v>0</v>
      </c>
      <c r="J1156" s="166">
        <f>SUMIFS(Продажи!G$5:G$359,Продажи!$D$5:$D$359,Конструкторы!$B1156,Продажи!$C$5:$C$359,Конструкторы!$A1156)</f>
        <v>0</v>
      </c>
      <c r="K1156" s="166">
        <f>SUMIFS(Продажи!H$5:H$359,Продажи!$D$5:$D$359,Конструкторы!$B1156,Продажи!$C$5:$C$359,Конструкторы!$A1156)</f>
        <v>0</v>
      </c>
      <c r="L1156" s="166">
        <f>SUMIFS(Продажи!I$5:I$359,Продажи!$D$5:$D$359,Конструкторы!$B1156,Продажи!$C$5:$C$359,Конструкторы!$A1156)</f>
        <v>0</v>
      </c>
      <c r="M1156" s="166">
        <f>SUMIFS(Продажи!J$5:J$359,Продажи!$D$5:$D$359,Конструкторы!$B1156,Продажи!$C$5:$C$359,Конструкторы!$A1156)</f>
        <v>0</v>
      </c>
      <c r="N1156" s="166">
        <f>SUMIFS(Продажи!K$5:K$359,Продажи!$D$5:$D$359,Конструкторы!$B1156,Продажи!$C$5:$C$359,Конструкторы!$A1156)</f>
        <v>0</v>
      </c>
      <c r="O1156" s="166">
        <f>SUMIFS(Продажи!L$5:L$359,Продажи!$D$5:$D$359,Конструкторы!$B1156,Продажи!$C$5:$C$359,Конструкторы!$A1156)</f>
        <v>0</v>
      </c>
      <c r="P1156" s="166">
        <f>SUMIFS(Продажи!M$5:M$359,Продажи!$D$5:$D$359,Конструкторы!$B1156,Продажи!$C$5:$C$359,Конструкторы!$A1156)</f>
        <v>0</v>
      </c>
      <c r="Q1156" s="166">
        <f>SUMIFS(Продажи!N$5:N$359,Продажи!$D$5:$D$359,Конструкторы!$B1156,Продажи!$C$5:$C$359,Конструкторы!$A1156)</f>
        <v>0</v>
      </c>
      <c r="R1156" s="166">
        <f>SUMIFS(Продажи!O$5:O$359,Продажи!$D$5:$D$359,Конструкторы!$B1156,Продажи!$C$5:$C$359,Конструкторы!$A1156)</f>
        <v>0</v>
      </c>
      <c r="S1156" s="166">
        <f>SUMIFS(Продажи!P$5:P$359,Продажи!$D$5:$D$359,Конструкторы!$B1156,Продажи!$C$5:$C$359,Конструкторы!$A1156)</f>
        <v>0</v>
      </c>
      <c r="T1156" s="166">
        <f>SUMIFS(Продажи!Q$5:Q$359,Продажи!$D$5:$D$359,Конструкторы!$B1156,Продажи!$C$5:$C$359,Конструкторы!$A1156)</f>
        <v>0</v>
      </c>
    </row>
    <row r="1157" spans="1:20" ht="15.75" hidden="1" x14ac:dyDescent="0.25">
      <c r="A1157" s="166" t="s">
        <v>397</v>
      </c>
      <c r="B1157" s="167" t="s">
        <v>329</v>
      </c>
      <c r="C1157" s="33" t="s">
        <v>69</v>
      </c>
      <c r="D1157" s="149"/>
      <c r="E1157" s="153" t="s">
        <v>70</v>
      </c>
      <c r="F1157" s="148">
        <v>2</v>
      </c>
      <c r="G1157" s="156" t="s">
        <v>71</v>
      </c>
      <c r="H1157" s="156">
        <f>F1157</f>
        <v>2</v>
      </c>
      <c r="I1157" s="166">
        <f>SUMIFS(Продажи!F$5:F$359,Продажи!$D$5:$D$359,Конструкторы!$B1157,Продажи!$C$5:$C$359,Конструкторы!$A1157)</f>
        <v>0</v>
      </c>
      <c r="J1157" s="166">
        <f>SUMIFS(Продажи!G$5:G$359,Продажи!$D$5:$D$359,Конструкторы!$B1157,Продажи!$C$5:$C$359,Конструкторы!$A1157)</f>
        <v>0</v>
      </c>
      <c r="K1157" s="166">
        <f>SUMIFS(Продажи!H$5:H$359,Продажи!$D$5:$D$359,Конструкторы!$B1157,Продажи!$C$5:$C$359,Конструкторы!$A1157)</f>
        <v>0</v>
      </c>
      <c r="L1157" s="166">
        <f>SUMIFS(Продажи!I$5:I$359,Продажи!$D$5:$D$359,Конструкторы!$B1157,Продажи!$C$5:$C$359,Конструкторы!$A1157)</f>
        <v>0</v>
      </c>
      <c r="M1157" s="166">
        <f>SUMIFS(Продажи!J$5:J$359,Продажи!$D$5:$D$359,Конструкторы!$B1157,Продажи!$C$5:$C$359,Конструкторы!$A1157)</f>
        <v>0</v>
      </c>
      <c r="N1157" s="166">
        <f>SUMIFS(Продажи!K$5:K$359,Продажи!$D$5:$D$359,Конструкторы!$B1157,Продажи!$C$5:$C$359,Конструкторы!$A1157)</f>
        <v>0</v>
      </c>
      <c r="O1157" s="166">
        <f>SUMIFS(Продажи!L$5:L$359,Продажи!$D$5:$D$359,Конструкторы!$B1157,Продажи!$C$5:$C$359,Конструкторы!$A1157)</f>
        <v>0</v>
      </c>
      <c r="P1157" s="166">
        <f>SUMIFS(Продажи!M$5:M$359,Продажи!$D$5:$D$359,Конструкторы!$B1157,Продажи!$C$5:$C$359,Конструкторы!$A1157)</f>
        <v>0</v>
      </c>
      <c r="Q1157" s="166">
        <f>SUMIFS(Продажи!N$5:N$359,Продажи!$D$5:$D$359,Конструкторы!$B1157,Продажи!$C$5:$C$359,Конструкторы!$A1157)</f>
        <v>0</v>
      </c>
      <c r="R1157" s="166">
        <f>SUMIFS(Продажи!O$5:O$359,Продажи!$D$5:$D$359,Конструкторы!$B1157,Продажи!$C$5:$C$359,Конструкторы!$A1157)</f>
        <v>0</v>
      </c>
      <c r="S1157" s="166">
        <f>SUMIFS(Продажи!P$5:P$359,Продажи!$D$5:$D$359,Конструкторы!$B1157,Продажи!$C$5:$C$359,Конструкторы!$A1157)</f>
        <v>0</v>
      </c>
      <c r="T1157" s="166">
        <f>SUMIFS(Продажи!Q$5:Q$359,Продажи!$D$5:$D$359,Конструкторы!$B1157,Продажи!$C$5:$C$359,Конструкторы!$A1157)</f>
        <v>0</v>
      </c>
    </row>
    <row r="1158" spans="1:20" ht="15.75" hidden="1" x14ac:dyDescent="0.25">
      <c r="A1158" s="166" t="s">
        <v>397</v>
      </c>
      <c r="B1158" s="167" t="s">
        <v>330</v>
      </c>
      <c r="C1158" s="129" t="s">
        <v>57</v>
      </c>
      <c r="D1158" s="149"/>
      <c r="E1158" s="153" t="s">
        <v>68</v>
      </c>
      <c r="F1158" s="156">
        <f>(0.2*103)/100</f>
        <v>0.20600000000000002</v>
      </c>
      <c r="G1158" s="156">
        <v>6.0000000000000053E-3</v>
      </c>
      <c r="H1158" s="156">
        <f>F1158+G1158</f>
        <v>0.21200000000000002</v>
      </c>
      <c r="I1158" s="166">
        <f>SUMIFS(Продажи!F$5:F$359,Продажи!$D$5:$D$359,Конструкторы!$B1158,Продажи!$C$5:$C$359,Конструкторы!$A1158)</f>
        <v>0</v>
      </c>
      <c r="J1158" s="166">
        <f>SUMIFS(Продажи!G$5:G$359,Продажи!$D$5:$D$359,Конструкторы!$B1158,Продажи!$C$5:$C$359,Конструкторы!$A1158)</f>
        <v>0</v>
      </c>
      <c r="K1158" s="166">
        <f>SUMIFS(Продажи!H$5:H$359,Продажи!$D$5:$D$359,Конструкторы!$B1158,Продажи!$C$5:$C$359,Конструкторы!$A1158)</f>
        <v>0</v>
      </c>
      <c r="L1158" s="166">
        <f>SUMIFS(Продажи!I$5:I$359,Продажи!$D$5:$D$359,Конструкторы!$B1158,Продажи!$C$5:$C$359,Конструкторы!$A1158)</f>
        <v>0</v>
      </c>
      <c r="M1158" s="166">
        <f>SUMIFS(Продажи!J$5:J$359,Продажи!$D$5:$D$359,Конструкторы!$B1158,Продажи!$C$5:$C$359,Конструкторы!$A1158)</f>
        <v>0</v>
      </c>
      <c r="N1158" s="166">
        <f>SUMIFS(Продажи!K$5:K$359,Продажи!$D$5:$D$359,Конструкторы!$B1158,Продажи!$C$5:$C$359,Конструкторы!$A1158)</f>
        <v>0</v>
      </c>
      <c r="O1158" s="166">
        <f>SUMIFS(Продажи!L$5:L$359,Продажи!$D$5:$D$359,Конструкторы!$B1158,Продажи!$C$5:$C$359,Конструкторы!$A1158)</f>
        <v>0</v>
      </c>
      <c r="P1158" s="166">
        <f>SUMIFS(Продажи!M$5:M$359,Продажи!$D$5:$D$359,Конструкторы!$B1158,Продажи!$C$5:$C$359,Конструкторы!$A1158)</f>
        <v>0</v>
      </c>
      <c r="Q1158" s="166">
        <f>SUMIFS(Продажи!N$5:N$359,Продажи!$D$5:$D$359,Конструкторы!$B1158,Продажи!$C$5:$C$359,Конструкторы!$A1158)</f>
        <v>0</v>
      </c>
      <c r="R1158" s="166">
        <f>SUMIFS(Продажи!O$5:O$359,Продажи!$D$5:$D$359,Конструкторы!$B1158,Продажи!$C$5:$C$359,Конструкторы!$A1158)</f>
        <v>0</v>
      </c>
      <c r="S1158" s="166">
        <f>SUMIFS(Продажи!P$5:P$359,Продажи!$D$5:$D$359,Конструкторы!$B1158,Продажи!$C$5:$C$359,Конструкторы!$A1158)</f>
        <v>0</v>
      </c>
      <c r="T1158" s="166">
        <f>SUMIFS(Продажи!Q$5:Q$359,Продажи!$D$5:$D$359,Конструкторы!$B1158,Продажи!$C$5:$C$359,Конструкторы!$A1158)</f>
        <v>0</v>
      </c>
    </row>
    <row r="1159" spans="1:20" ht="15.75" hidden="1" x14ac:dyDescent="0.25">
      <c r="A1159" s="166" t="s">
        <v>397</v>
      </c>
      <c r="B1159" s="167" t="s">
        <v>330</v>
      </c>
      <c r="C1159" s="129" t="s">
        <v>59</v>
      </c>
      <c r="D1159" s="149"/>
      <c r="E1159" s="153" t="s">
        <v>68</v>
      </c>
      <c r="F1159" s="156">
        <f>(0.5*103)/100</f>
        <v>0.51500000000000001</v>
      </c>
      <c r="G1159" s="156">
        <v>1.5000000000000013E-2</v>
      </c>
      <c r="H1159" s="156">
        <f>F1159+G1159</f>
        <v>0.53</v>
      </c>
      <c r="I1159" s="166">
        <f>SUMIFS(Продажи!F$5:F$359,Продажи!$D$5:$D$359,Конструкторы!$B1159,Продажи!$C$5:$C$359,Конструкторы!$A1159)</f>
        <v>0</v>
      </c>
      <c r="J1159" s="166">
        <f>SUMIFS(Продажи!G$5:G$359,Продажи!$D$5:$D$359,Конструкторы!$B1159,Продажи!$C$5:$C$359,Конструкторы!$A1159)</f>
        <v>0</v>
      </c>
      <c r="K1159" s="166">
        <f>SUMIFS(Продажи!H$5:H$359,Продажи!$D$5:$D$359,Конструкторы!$B1159,Продажи!$C$5:$C$359,Конструкторы!$A1159)</f>
        <v>0</v>
      </c>
      <c r="L1159" s="166">
        <f>SUMIFS(Продажи!I$5:I$359,Продажи!$D$5:$D$359,Конструкторы!$B1159,Продажи!$C$5:$C$359,Конструкторы!$A1159)</f>
        <v>0</v>
      </c>
      <c r="M1159" s="166">
        <f>SUMIFS(Продажи!J$5:J$359,Продажи!$D$5:$D$359,Конструкторы!$B1159,Продажи!$C$5:$C$359,Конструкторы!$A1159)</f>
        <v>0</v>
      </c>
      <c r="N1159" s="166">
        <f>SUMIFS(Продажи!K$5:K$359,Продажи!$D$5:$D$359,Конструкторы!$B1159,Продажи!$C$5:$C$359,Конструкторы!$A1159)</f>
        <v>0</v>
      </c>
      <c r="O1159" s="166">
        <f>SUMIFS(Продажи!L$5:L$359,Продажи!$D$5:$D$359,Конструкторы!$B1159,Продажи!$C$5:$C$359,Конструкторы!$A1159)</f>
        <v>0</v>
      </c>
      <c r="P1159" s="166">
        <f>SUMIFS(Продажи!M$5:M$359,Продажи!$D$5:$D$359,Конструкторы!$B1159,Продажи!$C$5:$C$359,Конструкторы!$A1159)</f>
        <v>0</v>
      </c>
      <c r="Q1159" s="166">
        <f>SUMIFS(Продажи!N$5:N$359,Продажи!$D$5:$D$359,Конструкторы!$B1159,Продажи!$C$5:$C$359,Конструкторы!$A1159)</f>
        <v>0</v>
      </c>
      <c r="R1159" s="166">
        <f>SUMIFS(Продажи!O$5:O$359,Продажи!$D$5:$D$359,Конструкторы!$B1159,Продажи!$C$5:$C$359,Конструкторы!$A1159)</f>
        <v>0</v>
      </c>
      <c r="S1159" s="166">
        <f>SUMIFS(Продажи!P$5:P$359,Продажи!$D$5:$D$359,Конструкторы!$B1159,Продажи!$C$5:$C$359,Конструкторы!$A1159)</f>
        <v>0</v>
      </c>
      <c r="T1159" s="166">
        <f>SUMIFS(Продажи!Q$5:Q$359,Продажи!$D$5:$D$359,Конструкторы!$B1159,Продажи!$C$5:$C$359,Конструкторы!$A1159)</f>
        <v>0</v>
      </c>
    </row>
    <row r="1160" spans="1:20" ht="15.75" hidden="1" x14ac:dyDescent="0.25">
      <c r="A1160" s="166" t="s">
        <v>397</v>
      </c>
      <c r="B1160" s="167" t="s">
        <v>330</v>
      </c>
      <c r="C1160" s="33" t="s">
        <v>88</v>
      </c>
      <c r="D1160" s="149"/>
      <c r="E1160" s="153" t="s">
        <v>70</v>
      </c>
      <c r="F1160" s="148">
        <v>2</v>
      </c>
      <c r="G1160" s="156" t="s">
        <v>71</v>
      </c>
      <c r="H1160" s="156">
        <f>F1160</f>
        <v>2</v>
      </c>
      <c r="I1160" s="166">
        <f>SUMIFS(Продажи!F$5:F$359,Продажи!$D$5:$D$359,Конструкторы!$B1160,Продажи!$C$5:$C$359,Конструкторы!$A1160)</f>
        <v>0</v>
      </c>
      <c r="J1160" s="166">
        <f>SUMIFS(Продажи!G$5:G$359,Продажи!$D$5:$D$359,Конструкторы!$B1160,Продажи!$C$5:$C$359,Конструкторы!$A1160)</f>
        <v>0</v>
      </c>
      <c r="K1160" s="166">
        <f>SUMIFS(Продажи!H$5:H$359,Продажи!$D$5:$D$359,Конструкторы!$B1160,Продажи!$C$5:$C$359,Конструкторы!$A1160)</f>
        <v>0</v>
      </c>
      <c r="L1160" s="166">
        <f>SUMIFS(Продажи!I$5:I$359,Продажи!$D$5:$D$359,Конструкторы!$B1160,Продажи!$C$5:$C$359,Конструкторы!$A1160)</f>
        <v>0</v>
      </c>
      <c r="M1160" s="166">
        <f>SUMIFS(Продажи!J$5:J$359,Продажи!$D$5:$D$359,Конструкторы!$B1160,Продажи!$C$5:$C$359,Конструкторы!$A1160)</f>
        <v>0</v>
      </c>
      <c r="N1160" s="166">
        <f>SUMIFS(Продажи!K$5:K$359,Продажи!$D$5:$D$359,Конструкторы!$B1160,Продажи!$C$5:$C$359,Конструкторы!$A1160)</f>
        <v>0</v>
      </c>
      <c r="O1160" s="166">
        <f>SUMIFS(Продажи!L$5:L$359,Продажи!$D$5:$D$359,Конструкторы!$B1160,Продажи!$C$5:$C$359,Конструкторы!$A1160)</f>
        <v>0</v>
      </c>
      <c r="P1160" s="166">
        <f>SUMIFS(Продажи!M$5:M$359,Продажи!$D$5:$D$359,Конструкторы!$B1160,Продажи!$C$5:$C$359,Конструкторы!$A1160)</f>
        <v>0</v>
      </c>
      <c r="Q1160" s="166">
        <f>SUMIFS(Продажи!N$5:N$359,Продажи!$D$5:$D$359,Конструкторы!$B1160,Продажи!$C$5:$C$359,Конструкторы!$A1160)</f>
        <v>0</v>
      </c>
      <c r="R1160" s="166">
        <f>SUMIFS(Продажи!O$5:O$359,Продажи!$D$5:$D$359,Конструкторы!$B1160,Продажи!$C$5:$C$359,Конструкторы!$A1160)</f>
        <v>0</v>
      </c>
      <c r="S1160" s="166">
        <f>SUMIFS(Продажи!P$5:P$359,Продажи!$D$5:$D$359,Конструкторы!$B1160,Продажи!$C$5:$C$359,Конструкторы!$A1160)</f>
        <v>0</v>
      </c>
      <c r="T1160" s="166">
        <f>SUMIFS(Продажи!Q$5:Q$359,Продажи!$D$5:$D$359,Конструкторы!$B1160,Продажи!$C$5:$C$359,Конструкторы!$A1160)</f>
        <v>0</v>
      </c>
    </row>
    <row r="1161" spans="1:20" ht="15.75" hidden="1" x14ac:dyDescent="0.25">
      <c r="A1161" s="166" t="s">
        <v>397</v>
      </c>
      <c r="B1161" s="167" t="s">
        <v>330</v>
      </c>
      <c r="C1161" s="33" t="s">
        <v>75</v>
      </c>
      <c r="D1161" s="149"/>
      <c r="E1161" s="153" t="s">
        <v>70</v>
      </c>
      <c r="F1161" s="148">
        <v>8</v>
      </c>
      <c r="G1161" s="156" t="s">
        <v>71</v>
      </c>
      <c r="H1161" s="156">
        <f>F1161</f>
        <v>8</v>
      </c>
      <c r="I1161" s="166">
        <f>SUMIFS(Продажи!F$5:F$359,Продажи!$D$5:$D$359,Конструкторы!$B1161,Продажи!$C$5:$C$359,Конструкторы!$A1161)</f>
        <v>0</v>
      </c>
      <c r="J1161" s="166">
        <f>SUMIFS(Продажи!G$5:G$359,Продажи!$D$5:$D$359,Конструкторы!$B1161,Продажи!$C$5:$C$359,Конструкторы!$A1161)</f>
        <v>0</v>
      </c>
      <c r="K1161" s="166">
        <f>SUMIFS(Продажи!H$5:H$359,Продажи!$D$5:$D$359,Конструкторы!$B1161,Продажи!$C$5:$C$359,Конструкторы!$A1161)</f>
        <v>0</v>
      </c>
      <c r="L1161" s="166">
        <f>SUMIFS(Продажи!I$5:I$359,Продажи!$D$5:$D$359,Конструкторы!$B1161,Продажи!$C$5:$C$359,Конструкторы!$A1161)</f>
        <v>0</v>
      </c>
      <c r="M1161" s="166">
        <f>SUMIFS(Продажи!J$5:J$359,Продажи!$D$5:$D$359,Конструкторы!$B1161,Продажи!$C$5:$C$359,Конструкторы!$A1161)</f>
        <v>0</v>
      </c>
      <c r="N1161" s="166">
        <f>SUMIFS(Продажи!K$5:K$359,Продажи!$D$5:$D$359,Конструкторы!$B1161,Продажи!$C$5:$C$359,Конструкторы!$A1161)</f>
        <v>0</v>
      </c>
      <c r="O1161" s="166">
        <f>SUMIFS(Продажи!L$5:L$359,Продажи!$D$5:$D$359,Конструкторы!$B1161,Продажи!$C$5:$C$359,Конструкторы!$A1161)</f>
        <v>0</v>
      </c>
      <c r="P1161" s="166">
        <f>SUMIFS(Продажи!M$5:M$359,Продажи!$D$5:$D$359,Конструкторы!$B1161,Продажи!$C$5:$C$359,Конструкторы!$A1161)</f>
        <v>0</v>
      </c>
      <c r="Q1161" s="166">
        <f>SUMIFS(Продажи!N$5:N$359,Продажи!$D$5:$D$359,Конструкторы!$B1161,Продажи!$C$5:$C$359,Конструкторы!$A1161)</f>
        <v>0</v>
      </c>
      <c r="R1161" s="166">
        <f>SUMIFS(Продажи!O$5:O$359,Продажи!$D$5:$D$359,Конструкторы!$B1161,Продажи!$C$5:$C$359,Конструкторы!$A1161)</f>
        <v>0</v>
      </c>
      <c r="S1161" s="166">
        <f>SUMIFS(Продажи!P$5:P$359,Продажи!$D$5:$D$359,Конструкторы!$B1161,Продажи!$C$5:$C$359,Конструкторы!$A1161)</f>
        <v>0</v>
      </c>
      <c r="T1161" s="166">
        <f>SUMIFS(Продажи!Q$5:Q$359,Продажи!$D$5:$D$359,Конструкторы!$B1161,Продажи!$C$5:$C$359,Конструкторы!$A1161)</f>
        <v>0</v>
      </c>
    </row>
    <row r="1162" spans="1:20" ht="15.75" hidden="1" x14ac:dyDescent="0.25">
      <c r="A1162" s="166" t="s">
        <v>397</v>
      </c>
      <c r="B1162" s="167" t="s">
        <v>331</v>
      </c>
      <c r="C1162" s="129" t="s">
        <v>57</v>
      </c>
      <c r="D1162" s="149"/>
      <c r="E1162" s="153" t="s">
        <v>68</v>
      </c>
      <c r="F1162" s="156">
        <f>(0.602*103)/100</f>
        <v>0.62006000000000006</v>
      </c>
      <c r="G1162" s="156">
        <v>1.8060000000000076E-2</v>
      </c>
      <c r="H1162" s="156">
        <f>F1162+G1162</f>
        <v>0.63812000000000013</v>
      </c>
      <c r="I1162" s="166">
        <f>SUMIFS(Продажи!F$5:F$359,Продажи!$D$5:$D$359,Конструкторы!$B1162,Продажи!$C$5:$C$359,Конструкторы!$A1162)</f>
        <v>0</v>
      </c>
      <c r="J1162" s="166">
        <f>SUMIFS(Продажи!G$5:G$359,Продажи!$D$5:$D$359,Конструкторы!$B1162,Продажи!$C$5:$C$359,Конструкторы!$A1162)</f>
        <v>0</v>
      </c>
      <c r="K1162" s="166">
        <f>SUMIFS(Продажи!H$5:H$359,Продажи!$D$5:$D$359,Конструкторы!$B1162,Продажи!$C$5:$C$359,Конструкторы!$A1162)</f>
        <v>0</v>
      </c>
      <c r="L1162" s="166">
        <f>SUMIFS(Продажи!I$5:I$359,Продажи!$D$5:$D$359,Конструкторы!$B1162,Продажи!$C$5:$C$359,Конструкторы!$A1162)</f>
        <v>0</v>
      </c>
      <c r="M1162" s="166">
        <f>SUMIFS(Продажи!J$5:J$359,Продажи!$D$5:$D$359,Конструкторы!$B1162,Продажи!$C$5:$C$359,Конструкторы!$A1162)</f>
        <v>0</v>
      </c>
      <c r="N1162" s="166">
        <f>SUMIFS(Продажи!K$5:K$359,Продажи!$D$5:$D$359,Конструкторы!$B1162,Продажи!$C$5:$C$359,Конструкторы!$A1162)</f>
        <v>0</v>
      </c>
      <c r="O1162" s="166">
        <f>SUMIFS(Продажи!L$5:L$359,Продажи!$D$5:$D$359,Конструкторы!$B1162,Продажи!$C$5:$C$359,Конструкторы!$A1162)</f>
        <v>0</v>
      </c>
      <c r="P1162" s="166">
        <f>SUMIFS(Продажи!M$5:M$359,Продажи!$D$5:$D$359,Конструкторы!$B1162,Продажи!$C$5:$C$359,Конструкторы!$A1162)</f>
        <v>0</v>
      </c>
      <c r="Q1162" s="166">
        <f>SUMIFS(Продажи!N$5:N$359,Продажи!$D$5:$D$359,Конструкторы!$B1162,Продажи!$C$5:$C$359,Конструкторы!$A1162)</f>
        <v>0</v>
      </c>
      <c r="R1162" s="166">
        <f>SUMIFS(Продажи!O$5:O$359,Продажи!$D$5:$D$359,Конструкторы!$B1162,Продажи!$C$5:$C$359,Конструкторы!$A1162)</f>
        <v>0</v>
      </c>
      <c r="S1162" s="166">
        <f>SUMIFS(Продажи!P$5:P$359,Продажи!$D$5:$D$359,Конструкторы!$B1162,Продажи!$C$5:$C$359,Конструкторы!$A1162)</f>
        <v>0</v>
      </c>
      <c r="T1162" s="166">
        <f>SUMIFS(Продажи!Q$5:Q$359,Продажи!$D$5:$D$359,Конструкторы!$B1162,Продажи!$C$5:$C$359,Конструкторы!$A1162)</f>
        <v>0</v>
      </c>
    </row>
    <row r="1163" spans="1:20" ht="15.75" hidden="1" x14ac:dyDescent="0.25">
      <c r="A1163" s="166" t="s">
        <v>397</v>
      </c>
      <c r="B1163" s="167" t="s">
        <v>331</v>
      </c>
      <c r="C1163" s="129" t="s">
        <v>59</v>
      </c>
      <c r="D1163" s="149"/>
      <c r="E1163" s="153" t="s">
        <v>68</v>
      </c>
      <c r="F1163" s="156">
        <f>(0.397*103)/100</f>
        <v>0.40891000000000005</v>
      </c>
      <c r="G1163" s="156">
        <v>1.1910000000000032E-2</v>
      </c>
      <c r="H1163" s="156">
        <f>F1163+G1163</f>
        <v>0.42082000000000008</v>
      </c>
      <c r="I1163" s="166">
        <f>SUMIFS(Продажи!F$5:F$359,Продажи!$D$5:$D$359,Конструкторы!$B1163,Продажи!$C$5:$C$359,Конструкторы!$A1163)</f>
        <v>0</v>
      </c>
      <c r="J1163" s="166">
        <f>SUMIFS(Продажи!G$5:G$359,Продажи!$D$5:$D$359,Конструкторы!$B1163,Продажи!$C$5:$C$359,Конструкторы!$A1163)</f>
        <v>0</v>
      </c>
      <c r="K1163" s="166">
        <f>SUMIFS(Продажи!H$5:H$359,Продажи!$D$5:$D$359,Конструкторы!$B1163,Продажи!$C$5:$C$359,Конструкторы!$A1163)</f>
        <v>0</v>
      </c>
      <c r="L1163" s="166">
        <f>SUMIFS(Продажи!I$5:I$359,Продажи!$D$5:$D$359,Конструкторы!$B1163,Продажи!$C$5:$C$359,Конструкторы!$A1163)</f>
        <v>0</v>
      </c>
      <c r="M1163" s="166">
        <f>SUMIFS(Продажи!J$5:J$359,Продажи!$D$5:$D$359,Конструкторы!$B1163,Продажи!$C$5:$C$359,Конструкторы!$A1163)</f>
        <v>0</v>
      </c>
      <c r="N1163" s="166">
        <f>SUMIFS(Продажи!K$5:K$359,Продажи!$D$5:$D$359,Конструкторы!$B1163,Продажи!$C$5:$C$359,Конструкторы!$A1163)</f>
        <v>0</v>
      </c>
      <c r="O1163" s="166">
        <f>SUMIFS(Продажи!L$5:L$359,Продажи!$D$5:$D$359,Конструкторы!$B1163,Продажи!$C$5:$C$359,Конструкторы!$A1163)</f>
        <v>0</v>
      </c>
      <c r="P1163" s="166">
        <f>SUMIFS(Продажи!M$5:M$359,Продажи!$D$5:$D$359,Конструкторы!$B1163,Продажи!$C$5:$C$359,Конструкторы!$A1163)</f>
        <v>0</v>
      </c>
      <c r="Q1163" s="166">
        <f>SUMIFS(Продажи!N$5:N$359,Продажи!$D$5:$D$359,Конструкторы!$B1163,Продажи!$C$5:$C$359,Конструкторы!$A1163)</f>
        <v>0</v>
      </c>
      <c r="R1163" s="166">
        <f>SUMIFS(Продажи!O$5:O$359,Продажи!$D$5:$D$359,Конструкторы!$B1163,Продажи!$C$5:$C$359,Конструкторы!$A1163)</f>
        <v>0</v>
      </c>
      <c r="S1163" s="166">
        <f>SUMIFS(Продажи!P$5:P$359,Продажи!$D$5:$D$359,Конструкторы!$B1163,Продажи!$C$5:$C$359,Конструкторы!$A1163)</f>
        <v>0</v>
      </c>
      <c r="T1163" s="166">
        <f>SUMIFS(Продажи!Q$5:Q$359,Продажи!$D$5:$D$359,Конструкторы!$B1163,Продажи!$C$5:$C$359,Конструкторы!$A1163)</f>
        <v>0</v>
      </c>
    </row>
    <row r="1164" spans="1:20" ht="15.75" hidden="1" x14ac:dyDescent="0.25">
      <c r="A1164" s="166" t="s">
        <v>397</v>
      </c>
      <c r="B1164" s="167" t="s">
        <v>331</v>
      </c>
      <c r="C1164" s="129" t="s">
        <v>24</v>
      </c>
      <c r="D1164" s="149"/>
      <c r="E1164" s="153" t="s">
        <v>68</v>
      </c>
      <c r="F1164" s="156">
        <f>(0.05*103)/100</f>
        <v>5.1500000000000004E-2</v>
      </c>
      <c r="G1164" s="156">
        <v>1.5000000000000013E-3</v>
      </c>
      <c r="H1164" s="156">
        <f>F1164+G1164</f>
        <v>5.3000000000000005E-2</v>
      </c>
      <c r="I1164" s="166">
        <f>SUMIFS(Продажи!F$5:F$359,Продажи!$D$5:$D$359,Конструкторы!$B1164,Продажи!$C$5:$C$359,Конструкторы!$A1164)</f>
        <v>0</v>
      </c>
      <c r="J1164" s="166">
        <f>SUMIFS(Продажи!G$5:G$359,Продажи!$D$5:$D$359,Конструкторы!$B1164,Продажи!$C$5:$C$359,Конструкторы!$A1164)</f>
        <v>0</v>
      </c>
      <c r="K1164" s="166">
        <f>SUMIFS(Продажи!H$5:H$359,Продажи!$D$5:$D$359,Конструкторы!$B1164,Продажи!$C$5:$C$359,Конструкторы!$A1164)</f>
        <v>0</v>
      </c>
      <c r="L1164" s="166">
        <f>SUMIFS(Продажи!I$5:I$359,Продажи!$D$5:$D$359,Конструкторы!$B1164,Продажи!$C$5:$C$359,Конструкторы!$A1164)</f>
        <v>0</v>
      </c>
      <c r="M1164" s="166">
        <f>SUMIFS(Продажи!J$5:J$359,Продажи!$D$5:$D$359,Конструкторы!$B1164,Продажи!$C$5:$C$359,Конструкторы!$A1164)</f>
        <v>0</v>
      </c>
      <c r="N1164" s="166">
        <f>SUMIFS(Продажи!K$5:K$359,Продажи!$D$5:$D$359,Конструкторы!$B1164,Продажи!$C$5:$C$359,Конструкторы!$A1164)</f>
        <v>0</v>
      </c>
      <c r="O1164" s="166">
        <f>SUMIFS(Продажи!L$5:L$359,Продажи!$D$5:$D$359,Конструкторы!$B1164,Продажи!$C$5:$C$359,Конструкторы!$A1164)</f>
        <v>0</v>
      </c>
      <c r="P1164" s="166">
        <f>SUMIFS(Продажи!M$5:M$359,Продажи!$D$5:$D$359,Конструкторы!$B1164,Продажи!$C$5:$C$359,Конструкторы!$A1164)</f>
        <v>0</v>
      </c>
      <c r="Q1164" s="166">
        <f>SUMIFS(Продажи!N$5:N$359,Продажи!$D$5:$D$359,Конструкторы!$B1164,Продажи!$C$5:$C$359,Конструкторы!$A1164)</f>
        <v>0</v>
      </c>
      <c r="R1164" s="166">
        <f>SUMIFS(Продажи!O$5:O$359,Продажи!$D$5:$D$359,Конструкторы!$B1164,Продажи!$C$5:$C$359,Конструкторы!$A1164)</f>
        <v>0</v>
      </c>
      <c r="S1164" s="166">
        <f>SUMIFS(Продажи!P$5:P$359,Продажи!$D$5:$D$359,Конструкторы!$B1164,Продажи!$C$5:$C$359,Конструкторы!$A1164)</f>
        <v>0</v>
      </c>
      <c r="T1164" s="166">
        <f>SUMIFS(Продажи!Q$5:Q$359,Продажи!$D$5:$D$359,Конструкторы!$B1164,Продажи!$C$5:$C$359,Конструкторы!$A1164)</f>
        <v>0</v>
      </c>
    </row>
    <row r="1165" spans="1:20" ht="15.75" hidden="1" x14ac:dyDescent="0.25">
      <c r="A1165" s="166" t="s">
        <v>397</v>
      </c>
      <c r="B1165" s="167" t="s">
        <v>331</v>
      </c>
      <c r="C1165" s="33" t="s">
        <v>89</v>
      </c>
      <c r="D1165" s="149"/>
      <c r="E1165" s="153" t="s">
        <v>70</v>
      </c>
      <c r="F1165" s="159">
        <v>1</v>
      </c>
      <c r="G1165" s="156" t="s">
        <v>71</v>
      </c>
      <c r="H1165" s="156">
        <f>F1165</f>
        <v>1</v>
      </c>
      <c r="I1165" s="166">
        <f>SUMIFS(Продажи!F$5:F$359,Продажи!$D$5:$D$359,Конструкторы!$B1165,Продажи!$C$5:$C$359,Конструкторы!$A1165)</f>
        <v>0</v>
      </c>
      <c r="J1165" s="166">
        <f>SUMIFS(Продажи!G$5:G$359,Продажи!$D$5:$D$359,Конструкторы!$B1165,Продажи!$C$5:$C$359,Конструкторы!$A1165)</f>
        <v>0</v>
      </c>
      <c r="K1165" s="166">
        <f>SUMIFS(Продажи!H$5:H$359,Продажи!$D$5:$D$359,Конструкторы!$B1165,Продажи!$C$5:$C$359,Конструкторы!$A1165)</f>
        <v>0</v>
      </c>
      <c r="L1165" s="166">
        <f>SUMIFS(Продажи!I$5:I$359,Продажи!$D$5:$D$359,Конструкторы!$B1165,Продажи!$C$5:$C$359,Конструкторы!$A1165)</f>
        <v>0</v>
      </c>
      <c r="M1165" s="166">
        <f>SUMIFS(Продажи!J$5:J$359,Продажи!$D$5:$D$359,Конструкторы!$B1165,Продажи!$C$5:$C$359,Конструкторы!$A1165)</f>
        <v>0</v>
      </c>
      <c r="N1165" s="166">
        <f>SUMIFS(Продажи!K$5:K$359,Продажи!$D$5:$D$359,Конструкторы!$B1165,Продажи!$C$5:$C$359,Конструкторы!$A1165)</f>
        <v>0</v>
      </c>
      <c r="O1165" s="166">
        <f>SUMIFS(Продажи!L$5:L$359,Продажи!$D$5:$D$359,Конструкторы!$B1165,Продажи!$C$5:$C$359,Конструкторы!$A1165)</f>
        <v>0</v>
      </c>
      <c r="P1165" s="166">
        <f>SUMIFS(Продажи!M$5:M$359,Продажи!$D$5:$D$359,Конструкторы!$B1165,Продажи!$C$5:$C$359,Конструкторы!$A1165)</f>
        <v>0</v>
      </c>
      <c r="Q1165" s="166">
        <f>SUMIFS(Продажи!N$5:N$359,Продажи!$D$5:$D$359,Конструкторы!$B1165,Продажи!$C$5:$C$359,Конструкторы!$A1165)</f>
        <v>0</v>
      </c>
      <c r="R1165" s="166">
        <f>SUMIFS(Продажи!O$5:O$359,Продажи!$D$5:$D$359,Конструкторы!$B1165,Продажи!$C$5:$C$359,Конструкторы!$A1165)</f>
        <v>0</v>
      </c>
      <c r="S1165" s="166">
        <f>SUMIFS(Продажи!P$5:P$359,Продажи!$D$5:$D$359,Конструкторы!$B1165,Продажи!$C$5:$C$359,Конструкторы!$A1165)</f>
        <v>0</v>
      </c>
      <c r="T1165" s="166">
        <f>SUMIFS(Продажи!Q$5:Q$359,Продажи!$D$5:$D$359,Конструкторы!$B1165,Продажи!$C$5:$C$359,Конструкторы!$A1165)</f>
        <v>0</v>
      </c>
    </row>
    <row r="1166" spans="1:20" ht="15.75" hidden="1" x14ac:dyDescent="0.25">
      <c r="A1166" s="166" t="s">
        <v>397</v>
      </c>
      <c r="B1166" s="167" t="s">
        <v>331</v>
      </c>
      <c r="C1166" s="33" t="s">
        <v>88</v>
      </c>
      <c r="D1166" s="149"/>
      <c r="E1166" s="153" t="s">
        <v>70</v>
      </c>
      <c r="F1166" s="148">
        <v>2</v>
      </c>
      <c r="G1166" s="156" t="s">
        <v>71</v>
      </c>
      <c r="H1166" s="156">
        <f>F1166</f>
        <v>2</v>
      </c>
      <c r="I1166" s="166">
        <f>SUMIFS(Продажи!F$5:F$359,Продажи!$D$5:$D$359,Конструкторы!$B1166,Продажи!$C$5:$C$359,Конструкторы!$A1166)</f>
        <v>0</v>
      </c>
      <c r="J1166" s="166">
        <f>SUMIFS(Продажи!G$5:G$359,Продажи!$D$5:$D$359,Конструкторы!$B1166,Продажи!$C$5:$C$359,Конструкторы!$A1166)</f>
        <v>0</v>
      </c>
      <c r="K1166" s="166">
        <f>SUMIFS(Продажи!H$5:H$359,Продажи!$D$5:$D$359,Конструкторы!$B1166,Продажи!$C$5:$C$359,Конструкторы!$A1166)</f>
        <v>0</v>
      </c>
      <c r="L1166" s="166">
        <f>SUMIFS(Продажи!I$5:I$359,Продажи!$D$5:$D$359,Конструкторы!$B1166,Продажи!$C$5:$C$359,Конструкторы!$A1166)</f>
        <v>0</v>
      </c>
      <c r="M1166" s="166">
        <f>SUMIFS(Продажи!J$5:J$359,Продажи!$D$5:$D$359,Конструкторы!$B1166,Продажи!$C$5:$C$359,Конструкторы!$A1166)</f>
        <v>0</v>
      </c>
      <c r="N1166" s="166">
        <f>SUMIFS(Продажи!K$5:K$359,Продажи!$D$5:$D$359,Конструкторы!$B1166,Продажи!$C$5:$C$359,Конструкторы!$A1166)</f>
        <v>0</v>
      </c>
      <c r="O1166" s="166">
        <f>SUMIFS(Продажи!L$5:L$359,Продажи!$D$5:$D$359,Конструкторы!$B1166,Продажи!$C$5:$C$359,Конструкторы!$A1166)</f>
        <v>0</v>
      </c>
      <c r="P1166" s="166">
        <f>SUMIFS(Продажи!M$5:M$359,Продажи!$D$5:$D$359,Конструкторы!$B1166,Продажи!$C$5:$C$359,Конструкторы!$A1166)</f>
        <v>0</v>
      </c>
      <c r="Q1166" s="166">
        <f>SUMIFS(Продажи!N$5:N$359,Продажи!$D$5:$D$359,Конструкторы!$B1166,Продажи!$C$5:$C$359,Конструкторы!$A1166)</f>
        <v>0</v>
      </c>
      <c r="R1166" s="166">
        <f>SUMIFS(Продажи!O$5:O$359,Продажи!$D$5:$D$359,Конструкторы!$B1166,Продажи!$C$5:$C$359,Конструкторы!$A1166)</f>
        <v>0</v>
      </c>
      <c r="S1166" s="166">
        <f>SUMIFS(Продажи!P$5:P$359,Продажи!$D$5:$D$359,Конструкторы!$B1166,Продажи!$C$5:$C$359,Конструкторы!$A1166)</f>
        <v>0</v>
      </c>
      <c r="T1166" s="166">
        <f>SUMIFS(Продажи!Q$5:Q$359,Продажи!$D$5:$D$359,Конструкторы!$B1166,Продажи!$C$5:$C$359,Конструкторы!$A1166)</f>
        <v>0</v>
      </c>
    </row>
    <row r="1167" spans="1:20" ht="15.75" hidden="1" x14ac:dyDescent="0.25">
      <c r="A1167" s="166" t="s">
        <v>397</v>
      </c>
      <c r="B1167" s="167" t="s">
        <v>331</v>
      </c>
      <c r="C1167" s="33" t="s">
        <v>75</v>
      </c>
      <c r="D1167" s="149"/>
      <c r="E1167" s="153" t="s">
        <v>70</v>
      </c>
      <c r="F1167" s="148">
        <v>16</v>
      </c>
      <c r="G1167" s="156" t="s">
        <v>71</v>
      </c>
      <c r="H1167" s="156">
        <f>F1167</f>
        <v>16</v>
      </c>
      <c r="I1167" s="166">
        <f>SUMIFS(Продажи!F$5:F$359,Продажи!$D$5:$D$359,Конструкторы!$B1167,Продажи!$C$5:$C$359,Конструкторы!$A1167)</f>
        <v>0</v>
      </c>
      <c r="J1167" s="166">
        <f>SUMIFS(Продажи!G$5:G$359,Продажи!$D$5:$D$359,Конструкторы!$B1167,Продажи!$C$5:$C$359,Конструкторы!$A1167)</f>
        <v>0</v>
      </c>
      <c r="K1167" s="166">
        <f>SUMIFS(Продажи!H$5:H$359,Продажи!$D$5:$D$359,Конструкторы!$B1167,Продажи!$C$5:$C$359,Конструкторы!$A1167)</f>
        <v>0</v>
      </c>
      <c r="L1167" s="166">
        <f>SUMIFS(Продажи!I$5:I$359,Продажи!$D$5:$D$359,Конструкторы!$B1167,Продажи!$C$5:$C$359,Конструкторы!$A1167)</f>
        <v>0</v>
      </c>
      <c r="M1167" s="166">
        <f>SUMIFS(Продажи!J$5:J$359,Продажи!$D$5:$D$359,Конструкторы!$B1167,Продажи!$C$5:$C$359,Конструкторы!$A1167)</f>
        <v>0</v>
      </c>
      <c r="N1167" s="166">
        <f>SUMIFS(Продажи!K$5:K$359,Продажи!$D$5:$D$359,Конструкторы!$B1167,Продажи!$C$5:$C$359,Конструкторы!$A1167)</f>
        <v>0</v>
      </c>
      <c r="O1167" s="166">
        <f>SUMIFS(Продажи!L$5:L$359,Продажи!$D$5:$D$359,Конструкторы!$B1167,Продажи!$C$5:$C$359,Конструкторы!$A1167)</f>
        <v>0</v>
      </c>
      <c r="P1167" s="166">
        <f>SUMIFS(Продажи!M$5:M$359,Продажи!$D$5:$D$359,Конструкторы!$B1167,Продажи!$C$5:$C$359,Конструкторы!$A1167)</f>
        <v>0</v>
      </c>
      <c r="Q1167" s="166">
        <f>SUMIFS(Продажи!N$5:N$359,Продажи!$D$5:$D$359,Конструкторы!$B1167,Продажи!$C$5:$C$359,Конструкторы!$A1167)</f>
        <v>0</v>
      </c>
      <c r="R1167" s="166">
        <f>SUMIFS(Продажи!O$5:O$359,Продажи!$D$5:$D$359,Конструкторы!$B1167,Продажи!$C$5:$C$359,Конструкторы!$A1167)</f>
        <v>0</v>
      </c>
      <c r="S1167" s="166">
        <f>SUMIFS(Продажи!P$5:P$359,Продажи!$D$5:$D$359,Конструкторы!$B1167,Продажи!$C$5:$C$359,Конструкторы!$A1167)</f>
        <v>0</v>
      </c>
      <c r="T1167" s="166">
        <f>SUMIFS(Продажи!Q$5:Q$359,Продажи!$D$5:$D$359,Конструкторы!$B1167,Продажи!$C$5:$C$359,Конструкторы!$A1167)</f>
        <v>0</v>
      </c>
    </row>
    <row r="1168" spans="1:20" ht="15.75" hidden="1" x14ac:dyDescent="0.25">
      <c r="A1168" s="166" t="s">
        <v>397</v>
      </c>
      <c r="B1168" s="167" t="s">
        <v>331</v>
      </c>
      <c r="C1168" s="33" t="s">
        <v>69</v>
      </c>
      <c r="D1168" s="149"/>
      <c r="E1168" s="153" t="s">
        <v>70</v>
      </c>
      <c r="F1168" s="148">
        <v>2</v>
      </c>
      <c r="G1168" s="156" t="s">
        <v>71</v>
      </c>
      <c r="H1168" s="156">
        <f>F1168</f>
        <v>2</v>
      </c>
      <c r="I1168" s="166">
        <f>SUMIFS(Продажи!F$5:F$359,Продажи!$D$5:$D$359,Конструкторы!$B1168,Продажи!$C$5:$C$359,Конструкторы!$A1168)</f>
        <v>0</v>
      </c>
      <c r="J1168" s="166">
        <f>SUMIFS(Продажи!G$5:G$359,Продажи!$D$5:$D$359,Конструкторы!$B1168,Продажи!$C$5:$C$359,Конструкторы!$A1168)</f>
        <v>0</v>
      </c>
      <c r="K1168" s="166">
        <f>SUMIFS(Продажи!H$5:H$359,Продажи!$D$5:$D$359,Конструкторы!$B1168,Продажи!$C$5:$C$359,Конструкторы!$A1168)</f>
        <v>0</v>
      </c>
      <c r="L1168" s="166">
        <f>SUMIFS(Продажи!I$5:I$359,Продажи!$D$5:$D$359,Конструкторы!$B1168,Продажи!$C$5:$C$359,Конструкторы!$A1168)</f>
        <v>0</v>
      </c>
      <c r="M1168" s="166">
        <f>SUMIFS(Продажи!J$5:J$359,Продажи!$D$5:$D$359,Конструкторы!$B1168,Продажи!$C$5:$C$359,Конструкторы!$A1168)</f>
        <v>0</v>
      </c>
      <c r="N1168" s="166">
        <f>SUMIFS(Продажи!K$5:K$359,Продажи!$D$5:$D$359,Конструкторы!$B1168,Продажи!$C$5:$C$359,Конструкторы!$A1168)</f>
        <v>0</v>
      </c>
      <c r="O1168" s="166">
        <f>SUMIFS(Продажи!L$5:L$359,Продажи!$D$5:$D$359,Конструкторы!$B1168,Продажи!$C$5:$C$359,Конструкторы!$A1168)</f>
        <v>0</v>
      </c>
      <c r="P1168" s="166">
        <f>SUMIFS(Продажи!M$5:M$359,Продажи!$D$5:$D$359,Конструкторы!$B1168,Продажи!$C$5:$C$359,Конструкторы!$A1168)</f>
        <v>0</v>
      </c>
      <c r="Q1168" s="166">
        <f>SUMIFS(Продажи!N$5:N$359,Продажи!$D$5:$D$359,Конструкторы!$B1168,Продажи!$C$5:$C$359,Конструкторы!$A1168)</f>
        <v>0</v>
      </c>
      <c r="R1168" s="166">
        <f>SUMIFS(Продажи!O$5:O$359,Продажи!$D$5:$D$359,Конструкторы!$B1168,Продажи!$C$5:$C$359,Конструкторы!$A1168)</f>
        <v>0</v>
      </c>
      <c r="S1168" s="166">
        <f>SUMIFS(Продажи!P$5:P$359,Продажи!$D$5:$D$359,Конструкторы!$B1168,Продажи!$C$5:$C$359,Конструкторы!$A1168)</f>
        <v>0</v>
      </c>
      <c r="T1168" s="166">
        <f>SUMIFS(Продажи!Q$5:Q$359,Продажи!$D$5:$D$359,Конструкторы!$B1168,Продажи!$C$5:$C$359,Конструкторы!$A1168)</f>
        <v>0</v>
      </c>
    </row>
    <row r="1169" spans="1:20" ht="15.75" hidden="1" x14ac:dyDescent="0.25">
      <c r="A1169" s="166" t="s">
        <v>397</v>
      </c>
      <c r="B1169" s="167" t="s">
        <v>332</v>
      </c>
      <c r="C1169" s="129" t="s">
        <v>58</v>
      </c>
      <c r="D1169" s="149"/>
      <c r="E1169" s="153" t="s">
        <v>68</v>
      </c>
      <c r="F1169" s="156">
        <f>(0.2*103)/100</f>
        <v>0.20600000000000002</v>
      </c>
      <c r="G1169" s="156">
        <v>6.0000000000000053E-3</v>
      </c>
      <c r="H1169" s="156">
        <f>F1169+G1169</f>
        <v>0.21200000000000002</v>
      </c>
      <c r="I1169" s="166">
        <f>SUMIFS(Продажи!F$5:F$359,Продажи!$D$5:$D$359,Конструкторы!$B1169,Продажи!$C$5:$C$359,Конструкторы!$A1169)</f>
        <v>0</v>
      </c>
      <c r="J1169" s="166">
        <f>SUMIFS(Продажи!G$5:G$359,Продажи!$D$5:$D$359,Конструкторы!$B1169,Продажи!$C$5:$C$359,Конструкторы!$A1169)</f>
        <v>0</v>
      </c>
      <c r="K1169" s="166">
        <f>SUMIFS(Продажи!H$5:H$359,Продажи!$D$5:$D$359,Конструкторы!$B1169,Продажи!$C$5:$C$359,Конструкторы!$A1169)</f>
        <v>0</v>
      </c>
      <c r="L1169" s="166">
        <f>SUMIFS(Продажи!I$5:I$359,Продажи!$D$5:$D$359,Конструкторы!$B1169,Продажи!$C$5:$C$359,Конструкторы!$A1169)</f>
        <v>0</v>
      </c>
      <c r="M1169" s="166">
        <f>SUMIFS(Продажи!J$5:J$359,Продажи!$D$5:$D$359,Конструкторы!$B1169,Продажи!$C$5:$C$359,Конструкторы!$A1169)</f>
        <v>0</v>
      </c>
      <c r="N1169" s="166">
        <f>SUMIFS(Продажи!K$5:K$359,Продажи!$D$5:$D$359,Конструкторы!$B1169,Продажи!$C$5:$C$359,Конструкторы!$A1169)</f>
        <v>0</v>
      </c>
      <c r="O1169" s="166">
        <f>SUMIFS(Продажи!L$5:L$359,Продажи!$D$5:$D$359,Конструкторы!$B1169,Продажи!$C$5:$C$359,Конструкторы!$A1169)</f>
        <v>0</v>
      </c>
      <c r="P1169" s="166">
        <f>SUMIFS(Продажи!M$5:M$359,Продажи!$D$5:$D$359,Конструкторы!$B1169,Продажи!$C$5:$C$359,Конструкторы!$A1169)</f>
        <v>0</v>
      </c>
      <c r="Q1169" s="166">
        <f>SUMIFS(Продажи!N$5:N$359,Продажи!$D$5:$D$359,Конструкторы!$B1169,Продажи!$C$5:$C$359,Конструкторы!$A1169)</f>
        <v>0</v>
      </c>
      <c r="R1169" s="166">
        <f>SUMIFS(Продажи!O$5:O$359,Продажи!$D$5:$D$359,Конструкторы!$B1169,Продажи!$C$5:$C$359,Конструкторы!$A1169)</f>
        <v>0</v>
      </c>
      <c r="S1169" s="166">
        <f>SUMIFS(Продажи!P$5:P$359,Продажи!$D$5:$D$359,Конструкторы!$B1169,Продажи!$C$5:$C$359,Конструкторы!$A1169)</f>
        <v>0</v>
      </c>
      <c r="T1169" s="166">
        <f>SUMIFS(Продажи!Q$5:Q$359,Продажи!$D$5:$D$359,Конструкторы!$B1169,Продажи!$C$5:$C$359,Конструкторы!$A1169)</f>
        <v>0</v>
      </c>
    </row>
    <row r="1170" spans="1:20" ht="15.75" hidden="1" x14ac:dyDescent="0.25">
      <c r="A1170" s="166" t="s">
        <v>397</v>
      </c>
      <c r="B1170" s="167" t="s">
        <v>332</v>
      </c>
      <c r="C1170" s="129" t="s">
        <v>57</v>
      </c>
      <c r="D1170" s="149"/>
      <c r="E1170" s="153" t="s">
        <v>68</v>
      </c>
      <c r="F1170" s="156">
        <f>(0.6*103)/100</f>
        <v>0.61799999999999999</v>
      </c>
      <c r="G1170" s="156">
        <v>1.8000000000000016E-2</v>
      </c>
      <c r="H1170" s="156">
        <f>F1170+G1170</f>
        <v>0.63600000000000001</v>
      </c>
      <c r="I1170" s="166">
        <f>SUMIFS(Продажи!F$5:F$359,Продажи!$D$5:$D$359,Конструкторы!$B1170,Продажи!$C$5:$C$359,Конструкторы!$A1170)</f>
        <v>0</v>
      </c>
      <c r="J1170" s="166">
        <f>SUMIFS(Продажи!G$5:G$359,Продажи!$D$5:$D$359,Конструкторы!$B1170,Продажи!$C$5:$C$359,Конструкторы!$A1170)</f>
        <v>0</v>
      </c>
      <c r="K1170" s="166">
        <f>SUMIFS(Продажи!H$5:H$359,Продажи!$D$5:$D$359,Конструкторы!$B1170,Продажи!$C$5:$C$359,Конструкторы!$A1170)</f>
        <v>0</v>
      </c>
      <c r="L1170" s="166">
        <f>SUMIFS(Продажи!I$5:I$359,Продажи!$D$5:$D$359,Конструкторы!$B1170,Продажи!$C$5:$C$359,Конструкторы!$A1170)</f>
        <v>0</v>
      </c>
      <c r="M1170" s="166">
        <f>SUMIFS(Продажи!J$5:J$359,Продажи!$D$5:$D$359,Конструкторы!$B1170,Продажи!$C$5:$C$359,Конструкторы!$A1170)</f>
        <v>0</v>
      </c>
      <c r="N1170" s="166">
        <f>SUMIFS(Продажи!K$5:K$359,Продажи!$D$5:$D$359,Конструкторы!$B1170,Продажи!$C$5:$C$359,Конструкторы!$A1170)</f>
        <v>0</v>
      </c>
      <c r="O1170" s="166">
        <f>SUMIFS(Продажи!L$5:L$359,Продажи!$D$5:$D$359,Конструкторы!$B1170,Продажи!$C$5:$C$359,Конструкторы!$A1170)</f>
        <v>0</v>
      </c>
      <c r="P1170" s="166">
        <f>SUMIFS(Продажи!M$5:M$359,Продажи!$D$5:$D$359,Конструкторы!$B1170,Продажи!$C$5:$C$359,Конструкторы!$A1170)</f>
        <v>0</v>
      </c>
      <c r="Q1170" s="166">
        <f>SUMIFS(Продажи!N$5:N$359,Продажи!$D$5:$D$359,Конструкторы!$B1170,Продажи!$C$5:$C$359,Конструкторы!$A1170)</f>
        <v>0</v>
      </c>
      <c r="R1170" s="166">
        <f>SUMIFS(Продажи!O$5:O$359,Продажи!$D$5:$D$359,Конструкторы!$B1170,Продажи!$C$5:$C$359,Конструкторы!$A1170)</f>
        <v>0</v>
      </c>
      <c r="S1170" s="166">
        <f>SUMIFS(Продажи!P$5:P$359,Продажи!$D$5:$D$359,Конструкторы!$B1170,Продажи!$C$5:$C$359,Конструкторы!$A1170)</f>
        <v>0</v>
      </c>
      <c r="T1170" s="166">
        <f>SUMIFS(Продажи!Q$5:Q$359,Продажи!$D$5:$D$359,Конструкторы!$B1170,Продажи!$C$5:$C$359,Конструкторы!$A1170)</f>
        <v>0</v>
      </c>
    </row>
    <row r="1171" spans="1:20" ht="15.75" hidden="1" x14ac:dyDescent="0.25">
      <c r="A1171" s="166" t="s">
        <v>397</v>
      </c>
      <c r="B1171" s="167" t="s">
        <v>332</v>
      </c>
      <c r="C1171" s="33" t="s">
        <v>88</v>
      </c>
      <c r="D1171" s="149"/>
      <c r="E1171" s="153" t="s">
        <v>70</v>
      </c>
      <c r="F1171" s="148">
        <v>2</v>
      </c>
      <c r="G1171" s="156" t="s">
        <v>71</v>
      </c>
      <c r="H1171" s="156">
        <f>F1171</f>
        <v>2</v>
      </c>
      <c r="I1171" s="166">
        <f>SUMIFS(Продажи!F$5:F$359,Продажи!$D$5:$D$359,Конструкторы!$B1171,Продажи!$C$5:$C$359,Конструкторы!$A1171)</f>
        <v>0</v>
      </c>
      <c r="J1171" s="166">
        <f>SUMIFS(Продажи!G$5:G$359,Продажи!$D$5:$D$359,Конструкторы!$B1171,Продажи!$C$5:$C$359,Конструкторы!$A1171)</f>
        <v>0</v>
      </c>
      <c r="K1171" s="166">
        <f>SUMIFS(Продажи!H$5:H$359,Продажи!$D$5:$D$359,Конструкторы!$B1171,Продажи!$C$5:$C$359,Конструкторы!$A1171)</f>
        <v>0</v>
      </c>
      <c r="L1171" s="166">
        <f>SUMIFS(Продажи!I$5:I$359,Продажи!$D$5:$D$359,Конструкторы!$B1171,Продажи!$C$5:$C$359,Конструкторы!$A1171)</f>
        <v>0</v>
      </c>
      <c r="M1171" s="166">
        <f>SUMIFS(Продажи!J$5:J$359,Продажи!$D$5:$D$359,Конструкторы!$B1171,Продажи!$C$5:$C$359,Конструкторы!$A1171)</f>
        <v>0</v>
      </c>
      <c r="N1171" s="166">
        <f>SUMIFS(Продажи!K$5:K$359,Продажи!$D$5:$D$359,Конструкторы!$B1171,Продажи!$C$5:$C$359,Конструкторы!$A1171)</f>
        <v>0</v>
      </c>
      <c r="O1171" s="166">
        <f>SUMIFS(Продажи!L$5:L$359,Продажи!$D$5:$D$359,Конструкторы!$B1171,Продажи!$C$5:$C$359,Конструкторы!$A1171)</f>
        <v>0</v>
      </c>
      <c r="P1171" s="166">
        <f>SUMIFS(Продажи!M$5:M$359,Продажи!$D$5:$D$359,Конструкторы!$B1171,Продажи!$C$5:$C$359,Конструкторы!$A1171)</f>
        <v>0</v>
      </c>
      <c r="Q1171" s="166">
        <f>SUMIFS(Продажи!N$5:N$359,Продажи!$D$5:$D$359,Конструкторы!$B1171,Продажи!$C$5:$C$359,Конструкторы!$A1171)</f>
        <v>0</v>
      </c>
      <c r="R1171" s="166">
        <f>SUMIFS(Продажи!O$5:O$359,Продажи!$D$5:$D$359,Конструкторы!$B1171,Продажи!$C$5:$C$359,Конструкторы!$A1171)</f>
        <v>0</v>
      </c>
      <c r="S1171" s="166">
        <f>SUMIFS(Продажи!P$5:P$359,Продажи!$D$5:$D$359,Конструкторы!$B1171,Продажи!$C$5:$C$359,Конструкторы!$A1171)</f>
        <v>0</v>
      </c>
      <c r="T1171" s="166">
        <f>SUMIFS(Продажи!Q$5:Q$359,Продажи!$D$5:$D$359,Конструкторы!$B1171,Продажи!$C$5:$C$359,Конструкторы!$A1171)</f>
        <v>0</v>
      </c>
    </row>
    <row r="1172" spans="1:20" ht="15.75" hidden="1" x14ac:dyDescent="0.25">
      <c r="A1172" s="166" t="s">
        <v>397</v>
      </c>
      <c r="B1172" s="167" t="s">
        <v>332</v>
      </c>
      <c r="C1172" s="33" t="s">
        <v>75</v>
      </c>
      <c r="D1172" s="149"/>
      <c r="E1172" s="153" t="s">
        <v>70</v>
      </c>
      <c r="F1172" s="148">
        <v>8</v>
      </c>
      <c r="G1172" s="156" t="s">
        <v>71</v>
      </c>
      <c r="H1172" s="156">
        <f>F1172</f>
        <v>8</v>
      </c>
      <c r="I1172" s="166">
        <f>SUMIFS(Продажи!F$5:F$359,Продажи!$D$5:$D$359,Конструкторы!$B1172,Продажи!$C$5:$C$359,Конструкторы!$A1172)</f>
        <v>0</v>
      </c>
      <c r="J1172" s="166">
        <f>SUMIFS(Продажи!G$5:G$359,Продажи!$D$5:$D$359,Конструкторы!$B1172,Продажи!$C$5:$C$359,Конструкторы!$A1172)</f>
        <v>0</v>
      </c>
      <c r="K1172" s="166">
        <f>SUMIFS(Продажи!H$5:H$359,Продажи!$D$5:$D$359,Конструкторы!$B1172,Продажи!$C$5:$C$359,Конструкторы!$A1172)</f>
        <v>0</v>
      </c>
      <c r="L1172" s="166">
        <f>SUMIFS(Продажи!I$5:I$359,Продажи!$D$5:$D$359,Конструкторы!$B1172,Продажи!$C$5:$C$359,Конструкторы!$A1172)</f>
        <v>0</v>
      </c>
      <c r="M1172" s="166">
        <f>SUMIFS(Продажи!J$5:J$359,Продажи!$D$5:$D$359,Конструкторы!$B1172,Продажи!$C$5:$C$359,Конструкторы!$A1172)</f>
        <v>0</v>
      </c>
      <c r="N1172" s="166">
        <f>SUMIFS(Продажи!K$5:K$359,Продажи!$D$5:$D$359,Конструкторы!$B1172,Продажи!$C$5:$C$359,Конструкторы!$A1172)</f>
        <v>0</v>
      </c>
      <c r="O1172" s="166">
        <f>SUMIFS(Продажи!L$5:L$359,Продажи!$D$5:$D$359,Конструкторы!$B1172,Продажи!$C$5:$C$359,Конструкторы!$A1172)</f>
        <v>0</v>
      </c>
      <c r="P1172" s="166">
        <f>SUMIFS(Продажи!M$5:M$359,Продажи!$D$5:$D$359,Конструкторы!$B1172,Продажи!$C$5:$C$359,Конструкторы!$A1172)</f>
        <v>0</v>
      </c>
      <c r="Q1172" s="166">
        <f>SUMIFS(Продажи!N$5:N$359,Продажи!$D$5:$D$359,Конструкторы!$B1172,Продажи!$C$5:$C$359,Конструкторы!$A1172)</f>
        <v>0</v>
      </c>
      <c r="R1172" s="166">
        <f>SUMIFS(Продажи!O$5:O$359,Продажи!$D$5:$D$359,Конструкторы!$B1172,Продажи!$C$5:$C$359,Конструкторы!$A1172)</f>
        <v>0</v>
      </c>
      <c r="S1172" s="166">
        <f>SUMIFS(Продажи!P$5:P$359,Продажи!$D$5:$D$359,Конструкторы!$B1172,Продажи!$C$5:$C$359,Конструкторы!$A1172)</f>
        <v>0</v>
      </c>
      <c r="T1172" s="166">
        <f>SUMIFS(Продажи!Q$5:Q$359,Продажи!$D$5:$D$359,Конструкторы!$B1172,Продажи!$C$5:$C$359,Конструкторы!$A1172)</f>
        <v>0</v>
      </c>
    </row>
    <row r="1173" spans="1:20" ht="15.75" hidden="1" x14ac:dyDescent="0.25">
      <c r="A1173" s="166" t="s">
        <v>397</v>
      </c>
      <c r="B1173" s="167" t="s">
        <v>333</v>
      </c>
      <c r="C1173" s="129" t="s">
        <v>58</v>
      </c>
      <c r="D1173" s="149"/>
      <c r="E1173" s="153" t="s">
        <v>68</v>
      </c>
      <c r="F1173" s="156">
        <f>(0.8*103)/100</f>
        <v>0.82400000000000007</v>
      </c>
      <c r="G1173" s="156">
        <v>2.4000000000000021E-2</v>
      </c>
      <c r="H1173" s="156">
        <f>F1173+G1173</f>
        <v>0.84800000000000009</v>
      </c>
      <c r="I1173" s="166">
        <f>SUMIFS(Продажи!F$5:F$359,Продажи!$D$5:$D$359,Конструкторы!$B1173,Продажи!$C$5:$C$359,Конструкторы!$A1173)</f>
        <v>0</v>
      </c>
      <c r="J1173" s="166">
        <f>SUMIFS(Продажи!G$5:G$359,Продажи!$D$5:$D$359,Конструкторы!$B1173,Продажи!$C$5:$C$359,Конструкторы!$A1173)</f>
        <v>0</v>
      </c>
      <c r="K1173" s="166">
        <f>SUMIFS(Продажи!H$5:H$359,Продажи!$D$5:$D$359,Конструкторы!$B1173,Продажи!$C$5:$C$359,Конструкторы!$A1173)</f>
        <v>0</v>
      </c>
      <c r="L1173" s="166">
        <f>SUMIFS(Продажи!I$5:I$359,Продажи!$D$5:$D$359,Конструкторы!$B1173,Продажи!$C$5:$C$359,Конструкторы!$A1173)</f>
        <v>0</v>
      </c>
      <c r="M1173" s="166">
        <f>SUMIFS(Продажи!J$5:J$359,Продажи!$D$5:$D$359,Конструкторы!$B1173,Продажи!$C$5:$C$359,Конструкторы!$A1173)</f>
        <v>0</v>
      </c>
      <c r="N1173" s="166">
        <f>SUMIFS(Продажи!K$5:K$359,Продажи!$D$5:$D$359,Конструкторы!$B1173,Продажи!$C$5:$C$359,Конструкторы!$A1173)</f>
        <v>0</v>
      </c>
      <c r="O1173" s="166">
        <f>SUMIFS(Продажи!L$5:L$359,Продажи!$D$5:$D$359,Конструкторы!$B1173,Продажи!$C$5:$C$359,Конструкторы!$A1173)</f>
        <v>0</v>
      </c>
      <c r="P1173" s="166">
        <f>SUMIFS(Продажи!M$5:M$359,Продажи!$D$5:$D$359,Конструкторы!$B1173,Продажи!$C$5:$C$359,Конструкторы!$A1173)</f>
        <v>0</v>
      </c>
      <c r="Q1173" s="166">
        <f>SUMIFS(Продажи!N$5:N$359,Продажи!$D$5:$D$359,Конструкторы!$B1173,Продажи!$C$5:$C$359,Конструкторы!$A1173)</f>
        <v>0</v>
      </c>
      <c r="R1173" s="166">
        <f>SUMIFS(Продажи!O$5:O$359,Продажи!$D$5:$D$359,Конструкторы!$B1173,Продажи!$C$5:$C$359,Конструкторы!$A1173)</f>
        <v>0</v>
      </c>
      <c r="S1173" s="166">
        <f>SUMIFS(Продажи!P$5:P$359,Продажи!$D$5:$D$359,Конструкторы!$B1173,Продажи!$C$5:$C$359,Конструкторы!$A1173)</f>
        <v>0</v>
      </c>
      <c r="T1173" s="166">
        <f>SUMIFS(Продажи!Q$5:Q$359,Продажи!$D$5:$D$359,Конструкторы!$B1173,Продажи!$C$5:$C$359,Конструкторы!$A1173)</f>
        <v>0</v>
      </c>
    </row>
    <row r="1174" spans="1:20" ht="15.75" hidden="1" x14ac:dyDescent="0.25">
      <c r="A1174" s="166" t="s">
        <v>397</v>
      </c>
      <c r="B1174" s="167" t="s">
        <v>333</v>
      </c>
      <c r="C1174" s="33" t="s">
        <v>88</v>
      </c>
      <c r="D1174" s="149"/>
      <c r="E1174" s="153" t="s">
        <v>70</v>
      </c>
      <c r="F1174" s="148">
        <v>2</v>
      </c>
      <c r="G1174" s="156" t="s">
        <v>71</v>
      </c>
      <c r="H1174" s="156">
        <f>F1174</f>
        <v>2</v>
      </c>
      <c r="I1174" s="166">
        <f>SUMIFS(Продажи!F$5:F$359,Продажи!$D$5:$D$359,Конструкторы!$B1174,Продажи!$C$5:$C$359,Конструкторы!$A1174)</f>
        <v>0</v>
      </c>
      <c r="J1174" s="166">
        <f>SUMIFS(Продажи!G$5:G$359,Продажи!$D$5:$D$359,Конструкторы!$B1174,Продажи!$C$5:$C$359,Конструкторы!$A1174)</f>
        <v>0</v>
      </c>
      <c r="K1174" s="166">
        <f>SUMIFS(Продажи!H$5:H$359,Продажи!$D$5:$D$359,Конструкторы!$B1174,Продажи!$C$5:$C$359,Конструкторы!$A1174)</f>
        <v>0</v>
      </c>
      <c r="L1174" s="166">
        <f>SUMIFS(Продажи!I$5:I$359,Продажи!$D$5:$D$359,Конструкторы!$B1174,Продажи!$C$5:$C$359,Конструкторы!$A1174)</f>
        <v>0</v>
      </c>
      <c r="M1174" s="166">
        <f>SUMIFS(Продажи!J$5:J$359,Продажи!$D$5:$D$359,Конструкторы!$B1174,Продажи!$C$5:$C$359,Конструкторы!$A1174)</f>
        <v>0</v>
      </c>
      <c r="N1174" s="166">
        <f>SUMIFS(Продажи!K$5:K$359,Продажи!$D$5:$D$359,Конструкторы!$B1174,Продажи!$C$5:$C$359,Конструкторы!$A1174)</f>
        <v>0</v>
      </c>
      <c r="O1174" s="166">
        <f>SUMIFS(Продажи!L$5:L$359,Продажи!$D$5:$D$359,Конструкторы!$B1174,Продажи!$C$5:$C$359,Конструкторы!$A1174)</f>
        <v>0</v>
      </c>
      <c r="P1174" s="166">
        <f>SUMIFS(Продажи!M$5:M$359,Продажи!$D$5:$D$359,Конструкторы!$B1174,Продажи!$C$5:$C$359,Конструкторы!$A1174)</f>
        <v>0</v>
      </c>
      <c r="Q1174" s="166">
        <f>SUMIFS(Продажи!N$5:N$359,Продажи!$D$5:$D$359,Конструкторы!$B1174,Продажи!$C$5:$C$359,Конструкторы!$A1174)</f>
        <v>0</v>
      </c>
      <c r="R1174" s="166">
        <f>SUMIFS(Продажи!O$5:O$359,Продажи!$D$5:$D$359,Конструкторы!$B1174,Продажи!$C$5:$C$359,Конструкторы!$A1174)</f>
        <v>0</v>
      </c>
      <c r="S1174" s="166">
        <f>SUMIFS(Продажи!P$5:P$359,Продажи!$D$5:$D$359,Конструкторы!$B1174,Продажи!$C$5:$C$359,Конструкторы!$A1174)</f>
        <v>0</v>
      </c>
      <c r="T1174" s="166">
        <f>SUMIFS(Продажи!Q$5:Q$359,Продажи!$D$5:$D$359,Конструкторы!$B1174,Продажи!$C$5:$C$359,Конструкторы!$A1174)</f>
        <v>0</v>
      </c>
    </row>
    <row r="1175" spans="1:20" ht="15.75" hidden="1" x14ac:dyDescent="0.25">
      <c r="A1175" s="166" t="s">
        <v>397</v>
      </c>
      <c r="B1175" s="167" t="s">
        <v>333</v>
      </c>
      <c r="C1175" s="33" t="s">
        <v>75</v>
      </c>
      <c r="D1175" s="149"/>
      <c r="E1175" s="153" t="s">
        <v>70</v>
      </c>
      <c r="F1175" s="148">
        <v>8</v>
      </c>
      <c r="G1175" s="156" t="s">
        <v>71</v>
      </c>
      <c r="H1175" s="156">
        <f>F1175</f>
        <v>8</v>
      </c>
      <c r="I1175" s="166">
        <f>SUMIFS(Продажи!F$5:F$359,Продажи!$D$5:$D$359,Конструкторы!$B1175,Продажи!$C$5:$C$359,Конструкторы!$A1175)</f>
        <v>0</v>
      </c>
      <c r="J1175" s="166">
        <f>SUMIFS(Продажи!G$5:G$359,Продажи!$D$5:$D$359,Конструкторы!$B1175,Продажи!$C$5:$C$359,Конструкторы!$A1175)</f>
        <v>0</v>
      </c>
      <c r="K1175" s="166">
        <f>SUMIFS(Продажи!H$5:H$359,Продажи!$D$5:$D$359,Конструкторы!$B1175,Продажи!$C$5:$C$359,Конструкторы!$A1175)</f>
        <v>0</v>
      </c>
      <c r="L1175" s="166">
        <f>SUMIFS(Продажи!I$5:I$359,Продажи!$D$5:$D$359,Конструкторы!$B1175,Продажи!$C$5:$C$359,Конструкторы!$A1175)</f>
        <v>0</v>
      </c>
      <c r="M1175" s="166">
        <f>SUMIFS(Продажи!J$5:J$359,Продажи!$D$5:$D$359,Конструкторы!$B1175,Продажи!$C$5:$C$359,Конструкторы!$A1175)</f>
        <v>0</v>
      </c>
      <c r="N1175" s="166">
        <f>SUMIFS(Продажи!K$5:K$359,Продажи!$D$5:$D$359,Конструкторы!$B1175,Продажи!$C$5:$C$359,Конструкторы!$A1175)</f>
        <v>0</v>
      </c>
      <c r="O1175" s="166">
        <f>SUMIFS(Продажи!L$5:L$359,Продажи!$D$5:$D$359,Конструкторы!$B1175,Продажи!$C$5:$C$359,Конструкторы!$A1175)</f>
        <v>0</v>
      </c>
      <c r="P1175" s="166">
        <f>SUMIFS(Продажи!M$5:M$359,Продажи!$D$5:$D$359,Конструкторы!$B1175,Продажи!$C$5:$C$359,Конструкторы!$A1175)</f>
        <v>0</v>
      </c>
      <c r="Q1175" s="166">
        <f>SUMIFS(Продажи!N$5:N$359,Продажи!$D$5:$D$359,Конструкторы!$B1175,Продажи!$C$5:$C$359,Конструкторы!$A1175)</f>
        <v>0</v>
      </c>
      <c r="R1175" s="166">
        <f>SUMIFS(Продажи!O$5:O$359,Продажи!$D$5:$D$359,Конструкторы!$B1175,Продажи!$C$5:$C$359,Конструкторы!$A1175)</f>
        <v>0</v>
      </c>
      <c r="S1175" s="166">
        <f>SUMIFS(Продажи!P$5:P$359,Продажи!$D$5:$D$359,Конструкторы!$B1175,Продажи!$C$5:$C$359,Конструкторы!$A1175)</f>
        <v>0</v>
      </c>
      <c r="T1175" s="166">
        <f>SUMIFS(Продажи!Q$5:Q$359,Продажи!$D$5:$D$359,Конструкторы!$B1175,Продажи!$C$5:$C$359,Конструкторы!$A1175)</f>
        <v>0</v>
      </c>
    </row>
    <row r="1176" spans="1:20" ht="15.75" hidden="1" x14ac:dyDescent="0.25">
      <c r="A1176" s="166" t="s">
        <v>397</v>
      </c>
      <c r="B1176" s="167" t="s">
        <v>334</v>
      </c>
      <c r="C1176" s="129" t="s">
        <v>58</v>
      </c>
      <c r="D1176" s="149"/>
      <c r="E1176" s="153" t="s">
        <v>68</v>
      </c>
      <c r="F1176" s="156">
        <f>(0.2*103)/100</f>
        <v>0.20600000000000002</v>
      </c>
      <c r="G1176" s="156">
        <v>6.0000000000000053E-3</v>
      </c>
      <c r="H1176" s="156">
        <f>F1176+G1176</f>
        <v>0.21200000000000002</v>
      </c>
      <c r="I1176" s="166">
        <f>SUMIFS(Продажи!F$5:F$359,Продажи!$D$5:$D$359,Конструкторы!$B1176,Продажи!$C$5:$C$359,Конструкторы!$A1176)</f>
        <v>0</v>
      </c>
      <c r="J1176" s="166">
        <f>SUMIFS(Продажи!G$5:G$359,Продажи!$D$5:$D$359,Конструкторы!$B1176,Продажи!$C$5:$C$359,Конструкторы!$A1176)</f>
        <v>0</v>
      </c>
      <c r="K1176" s="166">
        <f>SUMIFS(Продажи!H$5:H$359,Продажи!$D$5:$D$359,Конструкторы!$B1176,Продажи!$C$5:$C$359,Конструкторы!$A1176)</f>
        <v>0</v>
      </c>
      <c r="L1176" s="166">
        <f>SUMIFS(Продажи!I$5:I$359,Продажи!$D$5:$D$359,Конструкторы!$B1176,Продажи!$C$5:$C$359,Конструкторы!$A1176)</f>
        <v>0</v>
      </c>
      <c r="M1176" s="166">
        <f>SUMIFS(Продажи!J$5:J$359,Продажи!$D$5:$D$359,Конструкторы!$B1176,Продажи!$C$5:$C$359,Конструкторы!$A1176)</f>
        <v>0</v>
      </c>
      <c r="N1176" s="166">
        <f>SUMIFS(Продажи!K$5:K$359,Продажи!$D$5:$D$359,Конструкторы!$B1176,Продажи!$C$5:$C$359,Конструкторы!$A1176)</f>
        <v>0</v>
      </c>
      <c r="O1176" s="166">
        <f>SUMIFS(Продажи!L$5:L$359,Продажи!$D$5:$D$359,Конструкторы!$B1176,Продажи!$C$5:$C$359,Конструкторы!$A1176)</f>
        <v>0</v>
      </c>
      <c r="P1176" s="166">
        <f>SUMIFS(Продажи!M$5:M$359,Продажи!$D$5:$D$359,Конструкторы!$B1176,Продажи!$C$5:$C$359,Конструкторы!$A1176)</f>
        <v>0</v>
      </c>
      <c r="Q1176" s="166">
        <f>SUMIFS(Продажи!N$5:N$359,Продажи!$D$5:$D$359,Конструкторы!$B1176,Продажи!$C$5:$C$359,Конструкторы!$A1176)</f>
        <v>0</v>
      </c>
      <c r="R1176" s="166">
        <f>SUMIFS(Продажи!O$5:O$359,Продажи!$D$5:$D$359,Конструкторы!$B1176,Продажи!$C$5:$C$359,Конструкторы!$A1176)</f>
        <v>0</v>
      </c>
      <c r="S1176" s="166">
        <f>SUMIFS(Продажи!P$5:P$359,Продажи!$D$5:$D$359,Конструкторы!$B1176,Продажи!$C$5:$C$359,Конструкторы!$A1176)</f>
        <v>0</v>
      </c>
      <c r="T1176" s="166">
        <f>SUMIFS(Продажи!Q$5:Q$359,Продажи!$D$5:$D$359,Конструкторы!$B1176,Продажи!$C$5:$C$359,Конструкторы!$A1176)</f>
        <v>0</v>
      </c>
    </row>
    <row r="1177" spans="1:20" ht="15.75" hidden="1" x14ac:dyDescent="0.25">
      <c r="A1177" s="166" t="s">
        <v>397</v>
      </c>
      <c r="B1177" s="167" t="s">
        <v>334</v>
      </c>
      <c r="C1177" s="129" t="s">
        <v>59</v>
      </c>
      <c r="D1177" s="149"/>
      <c r="E1177" s="153" t="s">
        <v>68</v>
      </c>
      <c r="F1177" s="156">
        <f>(0.6*103)/100</f>
        <v>0.61799999999999999</v>
      </c>
      <c r="G1177" s="156">
        <v>1.8000000000000016E-2</v>
      </c>
      <c r="H1177" s="156">
        <f>F1177+G1177</f>
        <v>0.63600000000000001</v>
      </c>
      <c r="I1177" s="166">
        <f>SUMIFS(Продажи!F$5:F$359,Продажи!$D$5:$D$359,Конструкторы!$B1177,Продажи!$C$5:$C$359,Конструкторы!$A1177)</f>
        <v>0</v>
      </c>
      <c r="J1177" s="166">
        <f>SUMIFS(Продажи!G$5:G$359,Продажи!$D$5:$D$359,Конструкторы!$B1177,Продажи!$C$5:$C$359,Конструкторы!$A1177)</f>
        <v>0</v>
      </c>
      <c r="K1177" s="166">
        <f>SUMIFS(Продажи!H$5:H$359,Продажи!$D$5:$D$359,Конструкторы!$B1177,Продажи!$C$5:$C$359,Конструкторы!$A1177)</f>
        <v>0</v>
      </c>
      <c r="L1177" s="166">
        <f>SUMIFS(Продажи!I$5:I$359,Продажи!$D$5:$D$359,Конструкторы!$B1177,Продажи!$C$5:$C$359,Конструкторы!$A1177)</f>
        <v>0</v>
      </c>
      <c r="M1177" s="166">
        <f>SUMIFS(Продажи!J$5:J$359,Продажи!$D$5:$D$359,Конструкторы!$B1177,Продажи!$C$5:$C$359,Конструкторы!$A1177)</f>
        <v>0</v>
      </c>
      <c r="N1177" s="166">
        <f>SUMIFS(Продажи!K$5:K$359,Продажи!$D$5:$D$359,Конструкторы!$B1177,Продажи!$C$5:$C$359,Конструкторы!$A1177)</f>
        <v>0</v>
      </c>
      <c r="O1177" s="166">
        <f>SUMIFS(Продажи!L$5:L$359,Продажи!$D$5:$D$359,Конструкторы!$B1177,Продажи!$C$5:$C$359,Конструкторы!$A1177)</f>
        <v>0</v>
      </c>
      <c r="P1177" s="166">
        <f>SUMIFS(Продажи!M$5:M$359,Продажи!$D$5:$D$359,Конструкторы!$B1177,Продажи!$C$5:$C$359,Конструкторы!$A1177)</f>
        <v>0</v>
      </c>
      <c r="Q1177" s="166">
        <f>SUMIFS(Продажи!N$5:N$359,Продажи!$D$5:$D$359,Конструкторы!$B1177,Продажи!$C$5:$C$359,Конструкторы!$A1177)</f>
        <v>0</v>
      </c>
      <c r="R1177" s="166">
        <f>SUMIFS(Продажи!O$5:O$359,Продажи!$D$5:$D$359,Конструкторы!$B1177,Продажи!$C$5:$C$359,Конструкторы!$A1177)</f>
        <v>0</v>
      </c>
      <c r="S1177" s="166">
        <f>SUMIFS(Продажи!P$5:P$359,Продажи!$D$5:$D$359,Конструкторы!$B1177,Продажи!$C$5:$C$359,Конструкторы!$A1177)</f>
        <v>0</v>
      </c>
      <c r="T1177" s="166">
        <f>SUMIFS(Продажи!Q$5:Q$359,Продажи!$D$5:$D$359,Конструкторы!$B1177,Продажи!$C$5:$C$359,Конструкторы!$A1177)</f>
        <v>0</v>
      </c>
    </row>
    <row r="1178" spans="1:20" ht="15.75" hidden="1" x14ac:dyDescent="0.25">
      <c r="A1178" s="166" t="s">
        <v>397</v>
      </c>
      <c r="B1178" s="167" t="s">
        <v>334</v>
      </c>
      <c r="C1178" s="33" t="s">
        <v>88</v>
      </c>
      <c r="D1178" s="149"/>
      <c r="E1178" s="153" t="s">
        <v>70</v>
      </c>
      <c r="F1178" s="148">
        <v>2</v>
      </c>
      <c r="G1178" s="156" t="s">
        <v>71</v>
      </c>
      <c r="H1178" s="156">
        <f>F1178</f>
        <v>2</v>
      </c>
      <c r="I1178" s="166">
        <f>SUMIFS(Продажи!F$5:F$359,Продажи!$D$5:$D$359,Конструкторы!$B1178,Продажи!$C$5:$C$359,Конструкторы!$A1178)</f>
        <v>0</v>
      </c>
      <c r="J1178" s="166">
        <f>SUMIFS(Продажи!G$5:G$359,Продажи!$D$5:$D$359,Конструкторы!$B1178,Продажи!$C$5:$C$359,Конструкторы!$A1178)</f>
        <v>0</v>
      </c>
      <c r="K1178" s="166">
        <f>SUMIFS(Продажи!H$5:H$359,Продажи!$D$5:$D$359,Конструкторы!$B1178,Продажи!$C$5:$C$359,Конструкторы!$A1178)</f>
        <v>0</v>
      </c>
      <c r="L1178" s="166">
        <f>SUMIFS(Продажи!I$5:I$359,Продажи!$D$5:$D$359,Конструкторы!$B1178,Продажи!$C$5:$C$359,Конструкторы!$A1178)</f>
        <v>0</v>
      </c>
      <c r="M1178" s="166">
        <f>SUMIFS(Продажи!J$5:J$359,Продажи!$D$5:$D$359,Конструкторы!$B1178,Продажи!$C$5:$C$359,Конструкторы!$A1178)</f>
        <v>0</v>
      </c>
      <c r="N1178" s="166">
        <f>SUMIFS(Продажи!K$5:K$359,Продажи!$D$5:$D$359,Конструкторы!$B1178,Продажи!$C$5:$C$359,Конструкторы!$A1178)</f>
        <v>0</v>
      </c>
      <c r="O1178" s="166">
        <f>SUMIFS(Продажи!L$5:L$359,Продажи!$D$5:$D$359,Конструкторы!$B1178,Продажи!$C$5:$C$359,Конструкторы!$A1178)</f>
        <v>0</v>
      </c>
      <c r="P1178" s="166">
        <f>SUMIFS(Продажи!M$5:M$359,Продажи!$D$5:$D$359,Конструкторы!$B1178,Продажи!$C$5:$C$359,Конструкторы!$A1178)</f>
        <v>0</v>
      </c>
      <c r="Q1178" s="166">
        <f>SUMIFS(Продажи!N$5:N$359,Продажи!$D$5:$D$359,Конструкторы!$B1178,Продажи!$C$5:$C$359,Конструкторы!$A1178)</f>
        <v>0</v>
      </c>
      <c r="R1178" s="166">
        <f>SUMIFS(Продажи!O$5:O$359,Продажи!$D$5:$D$359,Конструкторы!$B1178,Продажи!$C$5:$C$359,Конструкторы!$A1178)</f>
        <v>0</v>
      </c>
      <c r="S1178" s="166">
        <f>SUMIFS(Продажи!P$5:P$359,Продажи!$D$5:$D$359,Конструкторы!$B1178,Продажи!$C$5:$C$359,Конструкторы!$A1178)</f>
        <v>0</v>
      </c>
      <c r="T1178" s="166">
        <f>SUMIFS(Продажи!Q$5:Q$359,Продажи!$D$5:$D$359,Конструкторы!$B1178,Продажи!$C$5:$C$359,Конструкторы!$A1178)</f>
        <v>0</v>
      </c>
    </row>
    <row r="1179" spans="1:20" ht="15.75" hidden="1" x14ac:dyDescent="0.25">
      <c r="A1179" s="166" t="s">
        <v>397</v>
      </c>
      <c r="B1179" s="167" t="s">
        <v>334</v>
      </c>
      <c r="C1179" s="33" t="s">
        <v>75</v>
      </c>
      <c r="D1179" s="149"/>
      <c r="E1179" s="153" t="s">
        <v>70</v>
      </c>
      <c r="F1179" s="148">
        <v>8</v>
      </c>
      <c r="G1179" s="156" t="s">
        <v>71</v>
      </c>
      <c r="H1179" s="156">
        <f>F1179</f>
        <v>8</v>
      </c>
      <c r="I1179" s="166">
        <f>SUMIFS(Продажи!F$5:F$359,Продажи!$D$5:$D$359,Конструкторы!$B1179,Продажи!$C$5:$C$359,Конструкторы!$A1179)</f>
        <v>0</v>
      </c>
      <c r="J1179" s="166">
        <f>SUMIFS(Продажи!G$5:G$359,Продажи!$D$5:$D$359,Конструкторы!$B1179,Продажи!$C$5:$C$359,Конструкторы!$A1179)</f>
        <v>0</v>
      </c>
      <c r="K1179" s="166">
        <f>SUMIFS(Продажи!H$5:H$359,Продажи!$D$5:$D$359,Конструкторы!$B1179,Продажи!$C$5:$C$359,Конструкторы!$A1179)</f>
        <v>0</v>
      </c>
      <c r="L1179" s="166">
        <f>SUMIFS(Продажи!I$5:I$359,Продажи!$D$5:$D$359,Конструкторы!$B1179,Продажи!$C$5:$C$359,Конструкторы!$A1179)</f>
        <v>0</v>
      </c>
      <c r="M1179" s="166">
        <f>SUMIFS(Продажи!J$5:J$359,Продажи!$D$5:$D$359,Конструкторы!$B1179,Продажи!$C$5:$C$359,Конструкторы!$A1179)</f>
        <v>0</v>
      </c>
      <c r="N1179" s="166">
        <f>SUMIFS(Продажи!K$5:K$359,Продажи!$D$5:$D$359,Конструкторы!$B1179,Продажи!$C$5:$C$359,Конструкторы!$A1179)</f>
        <v>0</v>
      </c>
      <c r="O1179" s="166">
        <f>SUMIFS(Продажи!L$5:L$359,Продажи!$D$5:$D$359,Конструкторы!$B1179,Продажи!$C$5:$C$359,Конструкторы!$A1179)</f>
        <v>0</v>
      </c>
      <c r="P1179" s="166">
        <f>SUMIFS(Продажи!M$5:M$359,Продажи!$D$5:$D$359,Конструкторы!$B1179,Продажи!$C$5:$C$359,Конструкторы!$A1179)</f>
        <v>0</v>
      </c>
      <c r="Q1179" s="166">
        <f>SUMIFS(Продажи!N$5:N$359,Продажи!$D$5:$D$359,Конструкторы!$B1179,Продажи!$C$5:$C$359,Конструкторы!$A1179)</f>
        <v>0</v>
      </c>
      <c r="R1179" s="166">
        <f>SUMIFS(Продажи!O$5:O$359,Продажи!$D$5:$D$359,Конструкторы!$B1179,Продажи!$C$5:$C$359,Конструкторы!$A1179)</f>
        <v>0</v>
      </c>
      <c r="S1179" s="166">
        <f>SUMIFS(Продажи!P$5:P$359,Продажи!$D$5:$D$359,Конструкторы!$B1179,Продажи!$C$5:$C$359,Конструкторы!$A1179)</f>
        <v>0</v>
      </c>
      <c r="T1179" s="166">
        <f>SUMIFS(Продажи!Q$5:Q$359,Продажи!$D$5:$D$359,Конструкторы!$B1179,Продажи!$C$5:$C$359,Конструкторы!$A1179)</f>
        <v>0</v>
      </c>
    </row>
    <row r="1180" spans="1:20" ht="15.75" hidden="1" x14ac:dyDescent="0.25">
      <c r="A1180" s="166" t="s">
        <v>397</v>
      </c>
      <c r="B1180" s="167" t="s">
        <v>335</v>
      </c>
      <c r="C1180" s="129" t="s">
        <v>59</v>
      </c>
      <c r="D1180" s="149"/>
      <c r="E1180" s="153" t="s">
        <v>68</v>
      </c>
      <c r="F1180" s="156">
        <f>(0.2*103)/100</f>
        <v>0.20600000000000002</v>
      </c>
      <c r="G1180" s="156">
        <v>6.0000000000000053E-3</v>
      </c>
      <c r="H1180" s="156">
        <f>F1180+G1180</f>
        <v>0.21200000000000002</v>
      </c>
      <c r="I1180" s="166">
        <f>SUMIFS(Продажи!F$5:F$359,Продажи!$D$5:$D$359,Конструкторы!$B1180,Продажи!$C$5:$C$359,Конструкторы!$A1180)</f>
        <v>0</v>
      </c>
      <c r="J1180" s="166">
        <f>SUMIFS(Продажи!G$5:G$359,Продажи!$D$5:$D$359,Конструкторы!$B1180,Продажи!$C$5:$C$359,Конструкторы!$A1180)</f>
        <v>0</v>
      </c>
      <c r="K1180" s="166">
        <f>SUMIFS(Продажи!H$5:H$359,Продажи!$D$5:$D$359,Конструкторы!$B1180,Продажи!$C$5:$C$359,Конструкторы!$A1180)</f>
        <v>0</v>
      </c>
      <c r="L1180" s="166">
        <f>SUMIFS(Продажи!I$5:I$359,Продажи!$D$5:$D$359,Конструкторы!$B1180,Продажи!$C$5:$C$359,Конструкторы!$A1180)</f>
        <v>0</v>
      </c>
      <c r="M1180" s="166">
        <f>SUMIFS(Продажи!J$5:J$359,Продажи!$D$5:$D$359,Конструкторы!$B1180,Продажи!$C$5:$C$359,Конструкторы!$A1180)</f>
        <v>0</v>
      </c>
      <c r="N1180" s="166">
        <f>SUMIFS(Продажи!K$5:K$359,Продажи!$D$5:$D$359,Конструкторы!$B1180,Продажи!$C$5:$C$359,Конструкторы!$A1180)</f>
        <v>0</v>
      </c>
      <c r="O1180" s="166">
        <f>SUMIFS(Продажи!L$5:L$359,Продажи!$D$5:$D$359,Конструкторы!$B1180,Продажи!$C$5:$C$359,Конструкторы!$A1180)</f>
        <v>0</v>
      </c>
      <c r="P1180" s="166">
        <f>SUMIFS(Продажи!M$5:M$359,Продажи!$D$5:$D$359,Конструкторы!$B1180,Продажи!$C$5:$C$359,Конструкторы!$A1180)</f>
        <v>0</v>
      </c>
      <c r="Q1180" s="166">
        <f>SUMIFS(Продажи!N$5:N$359,Продажи!$D$5:$D$359,Конструкторы!$B1180,Продажи!$C$5:$C$359,Конструкторы!$A1180)</f>
        <v>0</v>
      </c>
      <c r="R1180" s="166">
        <f>SUMIFS(Продажи!O$5:O$359,Продажи!$D$5:$D$359,Конструкторы!$B1180,Продажи!$C$5:$C$359,Конструкторы!$A1180)</f>
        <v>0</v>
      </c>
      <c r="S1180" s="166">
        <f>SUMIFS(Продажи!P$5:P$359,Продажи!$D$5:$D$359,Конструкторы!$B1180,Продажи!$C$5:$C$359,Конструкторы!$A1180)</f>
        <v>0</v>
      </c>
      <c r="T1180" s="166">
        <f>SUMIFS(Продажи!Q$5:Q$359,Продажи!$D$5:$D$359,Конструкторы!$B1180,Продажи!$C$5:$C$359,Конструкторы!$A1180)</f>
        <v>0</v>
      </c>
    </row>
    <row r="1181" spans="1:20" ht="15.75" hidden="1" x14ac:dyDescent="0.25">
      <c r="A1181" s="166" t="s">
        <v>397</v>
      </c>
      <c r="B1181" s="167" t="s">
        <v>335</v>
      </c>
      <c r="C1181" s="129" t="s">
        <v>57</v>
      </c>
      <c r="D1181" s="149"/>
      <c r="E1181" s="153" t="s">
        <v>68</v>
      </c>
      <c r="F1181" s="156">
        <f>(0.7*103)/100</f>
        <v>0.72099999999999997</v>
      </c>
      <c r="G1181" s="156">
        <v>2.1000000000000019E-2</v>
      </c>
      <c r="H1181" s="156">
        <f>F1181+G1181</f>
        <v>0.74199999999999999</v>
      </c>
      <c r="I1181" s="166">
        <f>SUMIFS(Продажи!F$5:F$359,Продажи!$D$5:$D$359,Конструкторы!$B1181,Продажи!$C$5:$C$359,Конструкторы!$A1181)</f>
        <v>0</v>
      </c>
      <c r="J1181" s="166">
        <f>SUMIFS(Продажи!G$5:G$359,Продажи!$D$5:$D$359,Конструкторы!$B1181,Продажи!$C$5:$C$359,Конструкторы!$A1181)</f>
        <v>0</v>
      </c>
      <c r="K1181" s="166">
        <f>SUMIFS(Продажи!H$5:H$359,Продажи!$D$5:$D$359,Конструкторы!$B1181,Продажи!$C$5:$C$359,Конструкторы!$A1181)</f>
        <v>0</v>
      </c>
      <c r="L1181" s="166">
        <f>SUMIFS(Продажи!I$5:I$359,Продажи!$D$5:$D$359,Конструкторы!$B1181,Продажи!$C$5:$C$359,Конструкторы!$A1181)</f>
        <v>0</v>
      </c>
      <c r="M1181" s="166">
        <f>SUMIFS(Продажи!J$5:J$359,Продажи!$D$5:$D$359,Конструкторы!$B1181,Продажи!$C$5:$C$359,Конструкторы!$A1181)</f>
        <v>0</v>
      </c>
      <c r="N1181" s="166">
        <f>SUMIFS(Продажи!K$5:K$359,Продажи!$D$5:$D$359,Конструкторы!$B1181,Продажи!$C$5:$C$359,Конструкторы!$A1181)</f>
        <v>0</v>
      </c>
      <c r="O1181" s="166">
        <f>SUMIFS(Продажи!L$5:L$359,Продажи!$D$5:$D$359,Конструкторы!$B1181,Продажи!$C$5:$C$359,Конструкторы!$A1181)</f>
        <v>0</v>
      </c>
      <c r="P1181" s="166">
        <f>SUMIFS(Продажи!M$5:M$359,Продажи!$D$5:$D$359,Конструкторы!$B1181,Продажи!$C$5:$C$359,Конструкторы!$A1181)</f>
        <v>0</v>
      </c>
      <c r="Q1181" s="166">
        <f>SUMIFS(Продажи!N$5:N$359,Продажи!$D$5:$D$359,Конструкторы!$B1181,Продажи!$C$5:$C$359,Конструкторы!$A1181)</f>
        <v>0</v>
      </c>
      <c r="R1181" s="166">
        <f>SUMIFS(Продажи!O$5:O$359,Продажи!$D$5:$D$359,Конструкторы!$B1181,Продажи!$C$5:$C$359,Конструкторы!$A1181)</f>
        <v>0</v>
      </c>
      <c r="S1181" s="166">
        <f>SUMIFS(Продажи!P$5:P$359,Продажи!$D$5:$D$359,Конструкторы!$B1181,Продажи!$C$5:$C$359,Конструкторы!$A1181)</f>
        <v>0</v>
      </c>
      <c r="T1181" s="166">
        <f>SUMIFS(Продажи!Q$5:Q$359,Продажи!$D$5:$D$359,Конструкторы!$B1181,Продажи!$C$5:$C$359,Конструкторы!$A1181)</f>
        <v>0</v>
      </c>
    </row>
    <row r="1182" spans="1:20" ht="15.75" hidden="1" x14ac:dyDescent="0.25">
      <c r="A1182" s="166" t="s">
        <v>397</v>
      </c>
      <c r="B1182" s="167" t="s">
        <v>335</v>
      </c>
      <c r="C1182" s="33" t="s">
        <v>88</v>
      </c>
      <c r="D1182" s="149"/>
      <c r="E1182" s="153" t="s">
        <v>70</v>
      </c>
      <c r="F1182" s="148">
        <v>2</v>
      </c>
      <c r="G1182" s="156" t="s">
        <v>71</v>
      </c>
      <c r="H1182" s="156">
        <f>F1182</f>
        <v>2</v>
      </c>
      <c r="I1182" s="166">
        <f>SUMIFS(Продажи!F$5:F$359,Продажи!$D$5:$D$359,Конструкторы!$B1182,Продажи!$C$5:$C$359,Конструкторы!$A1182)</f>
        <v>0</v>
      </c>
      <c r="J1182" s="166">
        <f>SUMIFS(Продажи!G$5:G$359,Продажи!$D$5:$D$359,Конструкторы!$B1182,Продажи!$C$5:$C$359,Конструкторы!$A1182)</f>
        <v>0</v>
      </c>
      <c r="K1182" s="166">
        <f>SUMIFS(Продажи!H$5:H$359,Продажи!$D$5:$D$359,Конструкторы!$B1182,Продажи!$C$5:$C$359,Конструкторы!$A1182)</f>
        <v>0</v>
      </c>
      <c r="L1182" s="166">
        <f>SUMIFS(Продажи!I$5:I$359,Продажи!$D$5:$D$359,Конструкторы!$B1182,Продажи!$C$5:$C$359,Конструкторы!$A1182)</f>
        <v>0</v>
      </c>
      <c r="M1182" s="166">
        <f>SUMIFS(Продажи!J$5:J$359,Продажи!$D$5:$D$359,Конструкторы!$B1182,Продажи!$C$5:$C$359,Конструкторы!$A1182)</f>
        <v>0</v>
      </c>
      <c r="N1182" s="166">
        <f>SUMIFS(Продажи!K$5:K$359,Продажи!$D$5:$D$359,Конструкторы!$B1182,Продажи!$C$5:$C$359,Конструкторы!$A1182)</f>
        <v>0</v>
      </c>
      <c r="O1182" s="166">
        <f>SUMIFS(Продажи!L$5:L$359,Продажи!$D$5:$D$359,Конструкторы!$B1182,Продажи!$C$5:$C$359,Конструкторы!$A1182)</f>
        <v>0</v>
      </c>
      <c r="P1182" s="166">
        <f>SUMIFS(Продажи!M$5:M$359,Продажи!$D$5:$D$359,Конструкторы!$B1182,Продажи!$C$5:$C$359,Конструкторы!$A1182)</f>
        <v>0</v>
      </c>
      <c r="Q1182" s="166">
        <f>SUMIFS(Продажи!N$5:N$359,Продажи!$D$5:$D$359,Конструкторы!$B1182,Продажи!$C$5:$C$359,Конструкторы!$A1182)</f>
        <v>0</v>
      </c>
      <c r="R1182" s="166">
        <f>SUMIFS(Продажи!O$5:O$359,Продажи!$D$5:$D$359,Конструкторы!$B1182,Продажи!$C$5:$C$359,Конструкторы!$A1182)</f>
        <v>0</v>
      </c>
      <c r="S1182" s="166">
        <f>SUMIFS(Продажи!P$5:P$359,Продажи!$D$5:$D$359,Конструкторы!$B1182,Продажи!$C$5:$C$359,Конструкторы!$A1182)</f>
        <v>0</v>
      </c>
      <c r="T1182" s="166">
        <f>SUMIFS(Продажи!Q$5:Q$359,Продажи!$D$5:$D$359,Конструкторы!$B1182,Продажи!$C$5:$C$359,Конструкторы!$A1182)</f>
        <v>0</v>
      </c>
    </row>
    <row r="1183" spans="1:20" ht="15.75" hidden="1" x14ac:dyDescent="0.25">
      <c r="A1183" s="166" t="s">
        <v>397</v>
      </c>
      <c r="B1183" s="167" t="s">
        <v>335</v>
      </c>
      <c r="C1183" s="33" t="s">
        <v>75</v>
      </c>
      <c r="D1183" s="149"/>
      <c r="E1183" s="153" t="s">
        <v>70</v>
      </c>
      <c r="F1183" s="148">
        <v>8</v>
      </c>
      <c r="G1183" s="156" t="s">
        <v>71</v>
      </c>
      <c r="H1183" s="156">
        <f>F1183</f>
        <v>8</v>
      </c>
      <c r="I1183" s="166">
        <f>SUMIFS(Продажи!F$5:F$359,Продажи!$D$5:$D$359,Конструкторы!$B1183,Продажи!$C$5:$C$359,Конструкторы!$A1183)</f>
        <v>0</v>
      </c>
      <c r="J1183" s="166">
        <f>SUMIFS(Продажи!G$5:G$359,Продажи!$D$5:$D$359,Конструкторы!$B1183,Продажи!$C$5:$C$359,Конструкторы!$A1183)</f>
        <v>0</v>
      </c>
      <c r="K1183" s="166">
        <f>SUMIFS(Продажи!H$5:H$359,Продажи!$D$5:$D$359,Конструкторы!$B1183,Продажи!$C$5:$C$359,Конструкторы!$A1183)</f>
        <v>0</v>
      </c>
      <c r="L1183" s="166">
        <f>SUMIFS(Продажи!I$5:I$359,Продажи!$D$5:$D$359,Конструкторы!$B1183,Продажи!$C$5:$C$359,Конструкторы!$A1183)</f>
        <v>0</v>
      </c>
      <c r="M1183" s="166">
        <f>SUMIFS(Продажи!J$5:J$359,Продажи!$D$5:$D$359,Конструкторы!$B1183,Продажи!$C$5:$C$359,Конструкторы!$A1183)</f>
        <v>0</v>
      </c>
      <c r="N1183" s="166">
        <f>SUMIFS(Продажи!K$5:K$359,Продажи!$D$5:$D$359,Конструкторы!$B1183,Продажи!$C$5:$C$359,Конструкторы!$A1183)</f>
        <v>0</v>
      </c>
      <c r="O1183" s="166">
        <f>SUMIFS(Продажи!L$5:L$359,Продажи!$D$5:$D$359,Конструкторы!$B1183,Продажи!$C$5:$C$359,Конструкторы!$A1183)</f>
        <v>0</v>
      </c>
      <c r="P1183" s="166">
        <f>SUMIFS(Продажи!M$5:M$359,Продажи!$D$5:$D$359,Конструкторы!$B1183,Продажи!$C$5:$C$359,Конструкторы!$A1183)</f>
        <v>0</v>
      </c>
      <c r="Q1183" s="166">
        <f>SUMIFS(Продажи!N$5:N$359,Продажи!$D$5:$D$359,Конструкторы!$B1183,Продажи!$C$5:$C$359,Конструкторы!$A1183)</f>
        <v>0</v>
      </c>
      <c r="R1183" s="166">
        <f>SUMIFS(Продажи!O$5:O$359,Продажи!$D$5:$D$359,Конструкторы!$B1183,Продажи!$C$5:$C$359,Конструкторы!$A1183)</f>
        <v>0</v>
      </c>
      <c r="S1183" s="166">
        <f>SUMIFS(Продажи!P$5:P$359,Продажи!$D$5:$D$359,Конструкторы!$B1183,Продажи!$C$5:$C$359,Конструкторы!$A1183)</f>
        <v>0</v>
      </c>
      <c r="T1183" s="166">
        <f>SUMIFS(Продажи!Q$5:Q$359,Продажи!$D$5:$D$359,Конструкторы!$B1183,Продажи!$C$5:$C$359,Конструкторы!$A1183)</f>
        <v>0</v>
      </c>
    </row>
    <row r="1184" spans="1:20" ht="15.75" hidden="1" x14ac:dyDescent="0.25">
      <c r="A1184" s="166" t="s">
        <v>397</v>
      </c>
      <c r="B1184" s="167" t="s">
        <v>336</v>
      </c>
      <c r="C1184" s="129" t="s">
        <v>59</v>
      </c>
      <c r="D1184" s="149"/>
      <c r="E1184" s="153" t="s">
        <v>68</v>
      </c>
      <c r="F1184" s="156">
        <f>(0.2*103)/100</f>
        <v>0.20600000000000002</v>
      </c>
      <c r="G1184" s="156">
        <v>6.0000000000000053E-3</v>
      </c>
      <c r="H1184" s="156">
        <f>F1184+G1184</f>
        <v>0.21200000000000002</v>
      </c>
      <c r="I1184" s="166">
        <f>SUMIFS(Продажи!F$5:F$359,Продажи!$D$5:$D$359,Конструкторы!$B1184,Продажи!$C$5:$C$359,Конструкторы!$A1184)</f>
        <v>0</v>
      </c>
      <c r="J1184" s="166">
        <f>SUMIFS(Продажи!G$5:G$359,Продажи!$D$5:$D$359,Конструкторы!$B1184,Продажи!$C$5:$C$359,Конструкторы!$A1184)</f>
        <v>0</v>
      </c>
      <c r="K1184" s="166">
        <f>SUMIFS(Продажи!H$5:H$359,Продажи!$D$5:$D$359,Конструкторы!$B1184,Продажи!$C$5:$C$359,Конструкторы!$A1184)</f>
        <v>0</v>
      </c>
      <c r="L1184" s="166">
        <f>SUMIFS(Продажи!I$5:I$359,Продажи!$D$5:$D$359,Конструкторы!$B1184,Продажи!$C$5:$C$359,Конструкторы!$A1184)</f>
        <v>0</v>
      </c>
      <c r="M1184" s="166">
        <f>SUMIFS(Продажи!J$5:J$359,Продажи!$D$5:$D$359,Конструкторы!$B1184,Продажи!$C$5:$C$359,Конструкторы!$A1184)</f>
        <v>0</v>
      </c>
      <c r="N1184" s="166">
        <f>SUMIFS(Продажи!K$5:K$359,Продажи!$D$5:$D$359,Конструкторы!$B1184,Продажи!$C$5:$C$359,Конструкторы!$A1184)</f>
        <v>0</v>
      </c>
      <c r="O1184" s="166">
        <f>SUMIFS(Продажи!L$5:L$359,Продажи!$D$5:$D$359,Конструкторы!$B1184,Продажи!$C$5:$C$359,Конструкторы!$A1184)</f>
        <v>0</v>
      </c>
      <c r="P1184" s="166">
        <f>SUMIFS(Продажи!M$5:M$359,Продажи!$D$5:$D$359,Конструкторы!$B1184,Продажи!$C$5:$C$359,Конструкторы!$A1184)</f>
        <v>0</v>
      </c>
      <c r="Q1184" s="166">
        <f>SUMIFS(Продажи!N$5:N$359,Продажи!$D$5:$D$359,Конструкторы!$B1184,Продажи!$C$5:$C$359,Конструкторы!$A1184)</f>
        <v>0</v>
      </c>
      <c r="R1184" s="166">
        <f>SUMIFS(Продажи!O$5:O$359,Продажи!$D$5:$D$359,Конструкторы!$B1184,Продажи!$C$5:$C$359,Конструкторы!$A1184)</f>
        <v>0</v>
      </c>
      <c r="S1184" s="166">
        <f>SUMIFS(Продажи!P$5:P$359,Продажи!$D$5:$D$359,Конструкторы!$B1184,Продажи!$C$5:$C$359,Конструкторы!$A1184)</f>
        <v>0</v>
      </c>
      <c r="T1184" s="166">
        <f>SUMIFS(Продажи!Q$5:Q$359,Продажи!$D$5:$D$359,Конструкторы!$B1184,Продажи!$C$5:$C$359,Конструкторы!$A1184)</f>
        <v>0</v>
      </c>
    </row>
    <row r="1185" spans="1:20" ht="15.75" hidden="1" x14ac:dyDescent="0.25">
      <c r="A1185" s="166" t="s">
        <v>397</v>
      </c>
      <c r="B1185" s="167" t="s">
        <v>336</v>
      </c>
      <c r="C1185" s="129" t="s">
        <v>58</v>
      </c>
      <c r="D1185" s="149"/>
      <c r="E1185" s="153" t="s">
        <v>68</v>
      </c>
      <c r="F1185" s="156">
        <f>(0.7*103)/100</f>
        <v>0.72099999999999997</v>
      </c>
      <c r="G1185" s="156">
        <v>2.1000000000000019E-2</v>
      </c>
      <c r="H1185" s="156">
        <f>F1185+G1185</f>
        <v>0.74199999999999999</v>
      </c>
      <c r="I1185" s="166">
        <f>SUMIFS(Продажи!F$5:F$359,Продажи!$D$5:$D$359,Конструкторы!$B1185,Продажи!$C$5:$C$359,Конструкторы!$A1185)</f>
        <v>0</v>
      </c>
      <c r="J1185" s="166">
        <f>SUMIFS(Продажи!G$5:G$359,Продажи!$D$5:$D$359,Конструкторы!$B1185,Продажи!$C$5:$C$359,Конструкторы!$A1185)</f>
        <v>0</v>
      </c>
      <c r="K1185" s="166">
        <f>SUMIFS(Продажи!H$5:H$359,Продажи!$D$5:$D$359,Конструкторы!$B1185,Продажи!$C$5:$C$359,Конструкторы!$A1185)</f>
        <v>0</v>
      </c>
      <c r="L1185" s="166">
        <f>SUMIFS(Продажи!I$5:I$359,Продажи!$D$5:$D$359,Конструкторы!$B1185,Продажи!$C$5:$C$359,Конструкторы!$A1185)</f>
        <v>0</v>
      </c>
      <c r="M1185" s="166">
        <f>SUMIFS(Продажи!J$5:J$359,Продажи!$D$5:$D$359,Конструкторы!$B1185,Продажи!$C$5:$C$359,Конструкторы!$A1185)</f>
        <v>0</v>
      </c>
      <c r="N1185" s="166">
        <f>SUMIFS(Продажи!K$5:K$359,Продажи!$D$5:$D$359,Конструкторы!$B1185,Продажи!$C$5:$C$359,Конструкторы!$A1185)</f>
        <v>0</v>
      </c>
      <c r="O1185" s="166">
        <f>SUMIFS(Продажи!L$5:L$359,Продажи!$D$5:$D$359,Конструкторы!$B1185,Продажи!$C$5:$C$359,Конструкторы!$A1185)</f>
        <v>0</v>
      </c>
      <c r="P1185" s="166">
        <f>SUMIFS(Продажи!M$5:M$359,Продажи!$D$5:$D$359,Конструкторы!$B1185,Продажи!$C$5:$C$359,Конструкторы!$A1185)</f>
        <v>0</v>
      </c>
      <c r="Q1185" s="166">
        <f>SUMIFS(Продажи!N$5:N$359,Продажи!$D$5:$D$359,Конструкторы!$B1185,Продажи!$C$5:$C$359,Конструкторы!$A1185)</f>
        <v>0</v>
      </c>
      <c r="R1185" s="166">
        <f>SUMIFS(Продажи!O$5:O$359,Продажи!$D$5:$D$359,Конструкторы!$B1185,Продажи!$C$5:$C$359,Конструкторы!$A1185)</f>
        <v>0</v>
      </c>
      <c r="S1185" s="166">
        <f>SUMIFS(Продажи!P$5:P$359,Продажи!$D$5:$D$359,Конструкторы!$B1185,Продажи!$C$5:$C$359,Конструкторы!$A1185)</f>
        <v>0</v>
      </c>
      <c r="T1185" s="166">
        <f>SUMIFS(Продажи!Q$5:Q$359,Продажи!$D$5:$D$359,Конструкторы!$B1185,Продажи!$C$5:$C$359,Конструкторы!$A1185)</f>
        <v>0</v>
      </c>
    </row>
    <row r="1186" spans="1:20" ht="15.75" hidden="1" x14ac:dyDescent="0.25">
      <c r="A1186" s="166" t="s">
        <v>397</v>
      </c>
      <c r="B1186" s="167" t="s">
        <v>336</v>
      </c>
      <c r="C1186" s="33" t="s">
        <v>88</v>
      </c>
      <c r="D1186" s="149"/>
      <c r="E1186" s="153" t="s">
        <v>70</v>
      </c>
      <c r="F1186" s="148">
        <v>2</v>
      </c>
      <c r="G1186" s="156" t="s">
        <v>71</v>
      </c>
      <c r="H1186" s="156">
        <f>F1186</f>
        <v>2</v>
      </c>
      <c r="I1186" s="166">
        <f>SUMIFS(Продажи!F$5:F$359,Продажи!$D$5:$D$359,Конструкторы!$B1186,Продажи!$C$5:$C$359,Конструкторы!$A1186)</f>
        <v>0</v>
      </c>
      <c r="J1186" s="166">
        <f>SUMIFS(Продажи!G$5:G$359,Продажи!$D$5:$D$359,Конструкторы!$B1186,Продажи!$C$5:$C$359,Конструкторы!$A1186)</f>
        <v>0</v>
      </c>
      <c r="K1186" s="166">
        <f>SUMIFS(Продажи!H$5:H$359,Продажи!$D$5:$D$359,Конструкторы!$B1186,Продажи!$C$5:$C$359,Конструкторы!$A1186)</f>
        <v>0</v>
      </c>
      <c r="L1186" s="166">
        <f>SUMIFS(Продажи!I$5:I$359,Продажи!$D$5:$D$359,Конструкторы!$B1186,Продажи!$C$5:$C$359,Конструкторы!$A1186)</f>
        <v>0</v>
      </c>
      <c r="M1186" s="166">
        <f>SUMIFS(Продажи!J$5:J$359,Продажи!$D$5:$D$359,Конструкторы!$B1186,Продажи!$C$5:$C$359,Конструкторы!$A1186)</f>
        <v>0</v>
      </c>
      <c r="N1186" s="166">
        <f>SUMIFS(Продажи!K$5:K$359,Продажи!$D$5:$D$359,Конструкторы!$B1186,Продажи!$C$5:$C$359,Конструкторы!$A1186)</f>
        <v>0</v>
      </c>
      <c r="O1186" s="166">
        <f>SUMIFS(Продажи!L$5:L$359,Продажи!$D$5:$D$359,Конструкторы!$B1186,Продажи!$C$5:$C$359,Конструкторы!$A1186)</f>
        <v>0</v>
      </c>
      <c r="P1186" s="166">
        <f>SUMIFS(Продажи!M$5:M$359,Продажи!$D$5:$D$359,Конструкторы!$B1186,Продажи!$C$5:$C$359,Конструкторы!$A1186)</f>
        <v>0</v>
      </c>
      <c r="Q1186" s="166">
        <f>SUMIFS(Продажи!N$5:N$359,Продажи!$D$5:$D$359,Конструкторы!$B1186,Продажи!$C$5:$C$359,Конструкторы!$A1186)</f>
        <v>0</v>
      </c>
      <c r="R1186" s="166">
        <f>SUMIFS(Продажи!O$5:O$359,Продажи!$D$5:$D$359,Конструкторы!$B1186,Продажи!$C$5:$C$359,Конструкторы!$A1186)</f>
        <v>0</v>
      </c>
      <c r="S1186" s="166">
        <f>SUMIFS(Продажи!P$5:P$359,Продажи!$D$5:$D$359,Конструкторы!$B1186,Продажи!$C$5:$C$359,Конструкторы!$A1186)</f>
        <v>0</v>
      </c>
      <c r="T1186" s="166">
        <f>SUMIFS(Продажи!Q$5:Q$359,Продажи!$D$5:$D$359,Конструкторы!$B1186,Продажи!$C$5:$C$359,Конструкторы!$A1186)</f>
        <v>0</v>
      </c>
    </row>
    <row r="1187" spans="1:20" ht="15.75" hidden="1" x14ac:dyDescent="0.25">
      <c r="A1187" s="166" t="s">
        <v>397</v>
      </c>
      <c r="B1187" s="167" t="s">
        <v>336</v>
      </c>
      <c r="C1187" s="33" t="s">
        <v>75</v>
      </c>
      <c r="D1187" s="149"/>
      <c r="E1187" s="153" t="s">
        <v>70</v>
      </c>
      <c r="F1187" s="148">
        <v>8</v>
      </c>
      <c r="G1187" s="156" t="s">
        <v>71</v>
      </c>
      <c r="H1187" s="156">
        <f>F1187</f>
        <v>8</v>
      </c>
      <c r="I1187" s="166">
        <f>SUMIFS(Продажи!F$5:F$359,Продажи!$D$5:$D$359,Конструкторы!$B1187,Продажи!$C$5:$C$359,Конструкторы!$A1187)</f>
        <v>0</v>
      </c>
      <c r="J1187" s="166">
        <f>SUMIFS(Продажи!G$5:G$359,Продажи!$D$5:$D$359,Конструкторы!$B1187,Продажи!$C$5:$C$359,Конструкторы!$A1187)</f>
        <v>0</v>
      </c>
      <c r="K1187" s="166">
        <f>SUMIFS(Продажи!H$5:H$359,Продажи!$D$5:$D$359,Конструкторы!$B1187,Продажи!$C$5:$C$359,Конструкторы!$A1187)</f>
        <v>0</v>
      </c>
      <c r="L1187" s="166">
        <f>SUMIFS(Продажи!I$5:I$359,Продажи!$D$5:$D$359,Конструкторы!$B1187,Продажи!$C$5:$C$359,Конструкторы!$A1187)</f>
        <v>0</v>
      </c>
      <c r="M1187" s="166">
        <f>SUMIFS(Продажи!J$5:J$359,Продажи!$D$5:$D$359,Конструкторы!$B1187,Продажи!$C$5:$C$359,Конструкторы!$A1187)</f>
        <v>0</v>
      </c>
      <c r="N1187" s="166">
        <f>SUMIFS(Продажи!K$5:K$359,Продажи!$D$5:$D$359,Конструкторы!$B1187,Продажи!$C$5:$C$359,Конструкторы!$A1187)</f>
        <v>0</v>
      </c>
      <c r="O1187" s="166">
        <f>SUMIFS(Продажи!L$5:L$359,Продажи!$D$5:$D$359,Конструкторы!$B1187,Продажи!$C$5:$C$359,Конструкторы!$A1187)</f>
        <v>0</v>
      </c>
      <c r="P1187" s="166">
        <f>SUMIFS(Продажи!M$5:M$359,Продажи!$D$5:$D$359,Конструкторы!$B1187,Продажи!$C$5:$C$359,Конструкторы!$A1187)</f>
        <v>0</v>
      </c>
      <c r="Q1187" s="166">
        <f>SUMIFS(Продажи!N$5:N$359,Продажи!$D$5:$D$359,Конструкторы!$B1187,Продажи!$C$5:$C$359,Конструкторы!$A1187)</f>
        <v>0</v>
      </c>
      <c r="R1187" s="166">
        <f>SUMIFS(Продажи!O$5:O$359,Продажи!$D$5:$D$359,Конструкторы!$B1187,Продажи!$C$5:$C$359,Конструкторы!$A1187)</f>
        <v>0</v>
      </c>
      <c r="S1187" s="166">
        <f>SUMIFS(Продажи!P$5:P$359,Продажи!$D$5:$D$359,Конструкторы!$B1187,Продажи!$C$5:$C$359,Конструкторы!$A1187)</f>
        <v>0</v>
      </c>
      <c r="T1187" s="166">
        <f>SUMIFS(Продажи!Q$5:Q$359,Продажи!$D$5:$D$359,Конструкторы!$B1187,Продажи!$C$5:$C$359,Конструкторы!$A1187)</f>
        <v>0</v>
      </c>
    </row>
    <row r="1188" spans="1:20" ht="15.75" hidden="1" x14ac:dyDescent="0.25">
      <c r="A1188" s="166" t="s">
        <v>397</v>
      </c>
      <c r="B1188" s="167" t="s">
        <v>337</v>
      </c>
      <c r="C1188" s="129" t="s">
        <v>59</v>
      </c>
      <c r="D1188" s="149"/>
      <c r="E1188" s="153" t="s">
        <v>68</v>
      </c>
      <c r="F1188" s="156">
        <f>(0.9*103)/100</f>
        <v>0.92700000000000005</v>
      </c>
      <c r="G1188" s="156">
        <v>2.7000000000000024E-2</v>
      </c>
      <c r="H1188" s="156">
        <f>F1188+G1188</f>
        <v>0.95400000000000007</v>
      </c>
      <c r="I1188" s="166">
        <f>SUMIFS(Продажи!F$5:F$359,Продажи!$D$5:$D$359,Конструкторы!$B1188,Продажи!$C$5:$C$359,Конструкторы!$A1188)</f>
        <v>0</v>
      </c>
      <c r="J1188" s="166">
        <f>SUMIFS(Продажи!G$5:G$359,Продажи!$D$5:$D$359,Конструкторы!$B1188,Продажи!$C$5:$C$359,Конструкторы!$A1188)</f>
        <v>0</v>
      </c>
      <c r="K1188" s="166">
        <f>SUMIFS(Продажи!H$5:H$359,Продажи!$D$5:$D$359,Конструкторы!$B1188,Продажи!$C$5:$C$359,Конструкторы!$A1188)</f>
        <v>0</v>
      </c>
      <c r="L1188" s="166">
        <f>SUMIFS(Продажи!I$5:I$359,Продажи!$D$5:$D$359,Конструкторы!$B1188,Продажи!$C$5:$C$359,Конструкторы!$A1188)</f>
        <v>0</v>
      </c>
      <c r="M1188" s="166">
        <f>SUMIFS(Продажи!J$5:J$359,Продажи!$D$5:$D$359,Конструкторы!$B1188,Продажи!$C$5:$C$359,Конструкторы!$A1188)</f>
        <v>0</v>
      </c>
      <c r="N1188" s="166">
        <f>SUMIFS(Продажи!K$5:K$359,Продажи!$D$5:$D$359,Конструкторы!$B1188,Продажи!$C$5:$C$359,Конструкторы!$A1188)</f>
        <v>0</v>
      </c>
      <c r="O1188" s="166">
        <f>SUMIFS(Продажи!L$5:L$359,Продажи!$D$5:$D$359,Конструкторы!$B1188,Продажи!$C$5:$C$359,Конструкторы!$A1188)</f>
        <v>0</v>
      </c>
      <c r="P1188" s="166">
        <f>SUMIFS(Продажи!M$5:M$359,Продажи!$D$5:$D$359,Конструкторы!$B1188,Продажи!$C$5:$C$359,Конструкторы!$A1188)</f>
        <v>0</v>
      </c>
      <c r="Q1188" s="166">
        <f>SUMIFS(Продажи!N$5:N$359,Продажи!$D$5:$D$359,Конструкторы!$B1188,Продажи!$C$5:$C$359,Конструкторы!$A1188)</f>
        <v>0</v>
      </c>
      <c r="R1188" s="166">
        <f>SUMIFS(Продажи!O$5:O$359,Продажи!$D$5:$D$359,Конструкторы!$B1188,Продажи!$C$5:$C$359,Конструкторы!$A1188)</f>
        <v>0</v>
      </c>
      <c r="S1188" s="166">
        <f>SUMIFS(Продажи!P$5:P$359,Продажи!$D$5:$D$359,Конструкторы!$B1188,Продажи!$C$5:$C$359,Конструкторы!$A1188)</f>
        <v>0</v>
      </c>
      <c r="T1188" s="166">
        <f>SUMIFS(Продажи!Q$5:Q$359,Продажи!$D$5:$D$359,Конструкторы!$B1188,Продажи!$C$5:$C$359,Конструкторы!$A1188)</f>
        <v>0</v>
      </c>
    </row>
    <row r="1189" spans="1:20" ht="15.75" hidden="1" x14ac:dyDescent="0.25">
      <c r="A1189" s="166" t="s">
        <v>397</v>
      </c>
      <c r="B1189" s="167" t="s">
        <v>337</v>
      </c>
      <c r="C1189" s="33" t="s">
        <v>88</v>
      </c>
      <c r="D1189" s="149"/>
      <c r="E1189" s="153" t="s">
        <v>70</v>
      </c>
      <c r="F1189" s="148">
        <v>2</v>
      </c>
      <c r="G1189" s="156" t="s">
        <v>71</v>
      </c>
      <c r="H1189" s="156">
        <f>F1189</f>
        <v>2</v>
      </c>
      <c r="I1189" s="166">
        <f>SUMIFS(Продажи!F$5:F$359,Продажи!$D$5:$D$359,Конструкторы!$B1189,Продажи!$C$5:$C$359,Конструкторы!$A1189)</f>
        <v>0</v>
      </c>
      <c r="J1189" s="166">
        <f>SUMIFS(Продажи!G$5:G$359,Продажи!$D$5:$D$359,Конструкторы!$B1189,Продажи!$C$5:$C$359,Конструкторы!$A1189)</f>
        <v>0</v>
      </c>
      <c r="K1189" s="166">
        <f>SUMIFS(Продажи!H$5:H$359,Продажи!$D$5:$D$359,Конструкторы!$B1189,Продажи!$C$5:$C$359,Конструкторы!$A1189)</f>
        <v>0</v>
      </c>
      <c r="L1189" s="166">
        <f>SUMIFS(Продажи!I$5:I$359,Продажи!$D$5:$D$359,Конструкторы!$B1189,Продажи!$C$5:$C$359,Конструкторы!$A1189)</f>
        <v>0</v>
      </c>
      <c r="M1189" s="166">
        <f>SUMIFS(Продажи!J$5:J$359,Продажи!$D$5:$D$359,Конструкторы!$B1189,Продажи!$C$5:$C$359,Конструкторы!$A1189)</f>
        <v>0</v>
      </c>
      <c r="N1189" s="166">
        <f>SUMIFS(Продажи!K$5:K$359,Продажи!$D$5:$D$359,Конструкторы!$B1189,Продажи!$C$5:$C$359,Конструкторы!$A1189)</f>
        <v>0</v>
      </c>
      <c r="O1189" s="166">
        <f>SUMIFS(Продажи!L$5:L$359,Продажи!$D$5:$D$359,Конструкторы!$B1189,Продажи!$C$5:$C$359,Конструкторы!$A1189)</f>
        <v>0</v>
      </c>
      <c r="P1189" s="166">
        <f>SUMIFS(Продажи!M$5:M$359,Продажи!$D$5:$D$359,Конструкторы!$B1189,Продажи!$C$5:$C$359,Конструкторы!$A1189)</f>
        <v>0</v>
      </c>
      <c r="Q1189" s="166">
        <f>SUMIFS(Продажи!N$5:N$359,Продажи!$D$5:$D$359,Конструкторы!$B1189,Продажи!$C$5:$C$359,Конструкторы!$A1189)</f>
        <v>0</v>
      </c>
      <c r="R1189" s="166">
        <f>SUMIFS(Продажи!O$5:O$359,Продажи!$D$5:$D$359,Конструкторы!$B1189,Продажи!$C$5:$C$359,Конструкторы!$A1189)</f>
        <v>0</v>
      </c>
      <c r="S1189" s="166">
        <f>SUMIFS(Продажи!P$5:P$359,Продажи!$D$5:$D$359,Конструкторы!$B1189,Продажи!$C$5:$C$359,Конструкторы!$A1189)</f>
        <v>0</v>
      </c>
      <c r="T1189" s="166">
        <f>SUMIFS(Продажи!Q$5:Q$359,Продажи!$D$5:$D$359,Конструкторы!$B1189,Продажи!$C$5:$C$359,Конструкторы!$A1189)</f>
        <v>0</v>
      </c>
    </row>
    <row r="1190" spans="1:20" ht="15.75" hidden="1" x14ac:dyDescent="0.25">
      <c r="A1190" s="166" t="s">
        <v>397</v>
      </c>
      <c r="B1190" s="167" t="s">
        <v>337</v>
      </c>
      <c r="C1190" s="33" t="s">
        <v>75</v>
      </c>
      <c r="D1190" s="149"/>
      <c r="E1190" s="153" t="s">
        <v>70</v>
      </c>
      <c r="F1190" s="148">
        <v>8</v>
      </c>
      <c r="G1190" s="156" t="s">
        <v>71</v>
      </c>
      <c r="H1190" s="156">
        <f>F1190</f>
        <v>8</v>
      </c>
      <c r="I1190" s="166">
        <f>SUMIFS(Продажи!F$5:F$359,Продажи!$D$5:$D$359,Конструкторы!$B1190,Продажи!$C$5:$C$359,Конструкторы!$A1190)</f>
        <v>0</v>
      </c>
      <c r="J1190" s="166">
        <f>SUMIFS(Продажи!G$5:G$359,Продажи!$D$5:$D$359,Конструкторы!$B1190,Продажи!$C$5:$C$359,Конструкторы!$A1190)</f>
        <v>0</v>
      </c>
      <c r="K1190" s="166">
        <f>SUMIFS(Продажи!H$5:H$359,Продажи!$D$5:$D$359,Конструкторы!$B1190,Продажи!$C$5:$C$359,Конструкторы!$A1190)</f>
        <v>0</v>
      </c>
      <c r="L1190" s="166">
        <f>SUMIFS(Продажи!I$5:I$359,Продажи!$D$5:$D$359,Конструкторы!$B1190,Продажи!$C$5:$C$359,Конструкторы!$A1190)</f>
        <v>0</v>
      </c>
      <c r="M1190" s="166">
        <f>SUMIFS(Продажи!J$5:J$359,Продажи!$D$5:$D$359,Конструкторы!$B1190,Продажи!$C$5:$C$359,Конструкторы!$A1190)</f>
        <v>0</v>
      </c>
      <c r="N1190" s="166">
        <f>SUMIFS(Продажи!K$5:K$359,Продажи!$D$5:$D$359,Конструкторы!$B1190,Продажи!$C$5:$C$359,Конструкторы!$A1190)</f>
        <v>0</v>
      </c>
      <c r="O1190" s="166">
        <f>SUMIFS(Продажи!L$5:L$359,Продажи!$D$5:$D$359,Конструкторы!$B1190,Продажи!$C$5:$C$359,Конструкторы!$A1190)</f>
        <v>0</v>
      </c>
      <c r="P1190" s="166">
        <f>SUMIFS(Продажи!M$5:M$359,Продажи!$D$5:$D$359,Конструкторы!$B1190,Продажи!$C$5:$C$359,Конструкторы!$A1190)</f>
        <v>0</v>
      </c>
      <c r="Q1190" s="166">
        <f>SUMIFS(Продажи!N$5:N$359,Продажи!$D$5:$D$359,Конструкторы!$B1190,Продажи!$C$5:$C$359,Конструкторы!$A1190)</f>
        <v>0</v>
      </c>
      <c r="R1190" s="166">
        <f>SUMIFS(Продажи!O$5:O$359,Продажи!$D$5:$D$359,Конструкторы!$B1190,Продажи!$C$5:$C$359,Конструкторы!$A1190)</f>
        <v>0</v>
      </c>
      <c r="S1190" s="166">
        <f>SUMIFS(Продажи!P$5:P$359,Продажи!$D$5:$D$359,Конструкторы!$B1190,Продажи!$C$5:$C$359,Конструкторы!$A1190)</f>
        <v>0</v>
      </c>
      <c r="T1190" s="166">
        <f>SUMIFS(Продажи!Q$5:Q$359,Продажи!$D$5:$D$359,Конструкторы!$B1190,Продажи!$C$5:$C$359,Конструкторы!$A1190)</f>
        <v>0</v>
      </c>
    </row>
    <row r="1191" spans="1:20" hidden="1" x14ac:dyDescent="0.25">
      <c r="A1191" s="170" t="s">
        <v>397</v>
      </c>
      <c r="B1191" s="171"/>
      <c r="C1191" s="175"/>
      <c r="D1191" s="176"/>
      <c r="E1191" s="171"/>
      <c r="F1191" s="170"/>
      <c r="G1191" s="170"/>
      <c r="H1191" s="171"/>
      <c r="I1191" s="166">
        <f>SUMIFS(Продажи!F$5:F$359,Продажи!$D$5:$D$359,Конструкторы!$B1191,Продажи!$C$5:$C$359,Конструкторы!$A1191)</f>
        <v>0</v>
      </c>
      <c r="J1191" s="166">
        <f>SUMIFS(Продажи!G$5:G$359,Продажи!$D$5:$D$359,Конструкторы!$B1191,Продажи!$C$5:$C$359,Конструкторы!$A1191)</f>
        <v>0</v>
      </c>
      <c r="K1191" s="166">
        <f>SUMIFS(Продажи!H$5:H$359,Продажи!$D$5:$D$359,Конструкторы!$B1191,Продажи!$C$5:$C$359,Конструкторы!$A1191)</f>
        <v>0</v>
      </c>
      <c r="L1191" s="166">
        <f>SUMIFS(Продажи!I$5:I$359,Продажи!$D$5:$D$359,Конструкторы!$B1191,Продажи!$C$5:$C$359,Конструкторы!$A1191)</f>
        <v>0</v>
      </c>
      <c r="M1191" s="166">
        <f>SUMIFS(Продажи!J$5:J$359,Продажи!$D$5:$D$359,Конструкторы!$B1191,Продажи!$C$5:$C$359,Конструкторы!$A1191)</f>
        <v>0</v>
      </c>
      <c r="N1191" s="166">
        <f>SUMIFS(Продажи!K$5:K$359,Продажи!$D$5:$D$359,Конструкторы!$B1191,Продажи!$C$5:$C$359,Конструкторы!$A1191)</f>
        <v>0</v>
      </c>
      <c r="O1191" s="166">
        <f>SUMIFS(Продажи!L$5:L$359,Продажи!$D$5:$D$359,Конструкторы!$B1191,Продажи!$C$5:$C$359,Конструкторы!$A1191)</f>
        <v>0</v>
      </c>
      <c r="P1191" s="166">
        <f>SUMIFS(Продажи!M$5:M$359,Продажи!$D$5:$D$359,Конструкторы!$B1191,Продажи!$C$5:$C$359,Конструкторы!$A1191)</f>
        <v>0</v>
      </c>
      <c r="Q1191" s="166">
        <f>SUMIFS(Продажи!N$5:N$359,Продажи!$D$5:$D$359,Конструкторы!$B1191,Продажи!$C$5:$C$359,Конструкторы!$A1191)</f>
        <v>0</v>
      </c>
      <c r="R1191" s="166">
        <f>SUMIFS(Продажи!O$5:O$359,Продажи!$D$5:$D$359,Конструкторы!$B1191,Продажи!$C$5:$C$359,Конструкторы!$A1191)</f>
        <v>0</v>
      </c>
      <c r="S1191" s="166">
        <f>SUMIFS(Продажи!P$5:P$359,Продажи!$D$5:$D$359,Конструкторы!$B1191,Продажи!$C$5:$C$359,Конструкторы!$A1191)</f>
        <v>0</v>
      </c>
      <c r="T1191" s="166">
        <f>SUMIFS(Продажи!Q$5:Q$359,Продажи!$D$5:$D$359,Конструкторы!$B1191,Продажи!$C$5:$C$359,Конструкторы!$A1191)</f>
        <v>0</v>
      </c>
    </row>
    <row r="1192" spans="1:20" x14ac:dyDescent="0.25">
      <c r="A1192" s="166" t="s">
        <v>398</v>
      </c>
      <c r="B1192" s="166" t="s">
        <v>393</v>
      </c>
      <c r="C1192" s="129" t="s">
        <v>34</v>
      </c>
      <c r="D1192" s="177">
        <f>F1192/$F$1203</f>
        <v>0.23327527917221597</v>
      </c>
      <c r="E1192" s="177"/>
      <c r="F1192" s="166">
        <v>22770</v>
      </c>
      <c r="G1192" s="166"/>
      <c r="H1192" s="161">
        <f t="shared" ref="H1192:H1201" si="8">$H$1203*D1192</f>
        <v>233.27527917221596</v>
      </c>
      <c r="I1192" s="166">
        <f>SUMIFS(Продажи!F$5:F$359,Продажи!$D$5:$D$359,Конструкторы!$B1192,Продажи!$C$5:$C$359,Конструкторы!$A1192)*$D1192</f>
        <v>0</v>
      </c>
      <c r="J1192" s="166">
        <f>SUMIFS(Продажи!G$5:G$359,Продажи!$D$5:$D$359,Конструкторы!$B1192,Продажи!$C$5:$C$359,Конструкторы!$A1192)*$D1192</f>
        <v>0</v>
      </c>
      <c r="K1192" s="166">
        <f>SUMIFS(Продажи!H$5:H$359,Продажи!$D$5:$D$359,Конструкторы!$B1192,Продажи!$C$5:$C$359,Конструкторы!$A1192)*$D1192</f>
        <v>0</v>
      </c>
      <c r="L1192" s="166">
        <f>SUMIFS(Продажи!I$5:I$359,Продажи!$D$5:$D$359,Конструкторы!$B1192,Продажи!$C$5:$C$359,Конструкторы!$A1192)*$D1192</f>
        <v>20061.674008810573</v>
      </c>
      <c r="M1192" s="166">
        <f>SUMIFS(Продажи!J$5:J$359,Продажи!$D$5:$D$359,Конструкторы!$B1192,Продажи!$C$5:$C$359,Конструкторы!$A1192)*$D1192</f>
        <v>23794.078475566028</v>
      </c>
      <c r="N1192" s="166">
        <f>SUMIFS(Продажи!K$5:K$359,Продажи!$D$5:$D$359,Конструкторы!$B1192,Продажи!$C$5:$C$359,Конструкторы!$A1192)*$D1192</f>
        <v>21461.325683843868</v>
      </c>
      <c r="O1192" s="166">
        <f>SUMIFS(Продажи!L$5:L$359,Продажи!$D$5:$D$359,Конструкторы!$B1192,Продажи!$C$5:$C$359,Конструкторы!$A1192)*$D1192</f>
        <v>21461.325683843868</v>
      </c>
      <c r="P1192" s="166">
        <f>SUMIFS(Продажи!M$5:M$359,Продажи!$D$5:$D$359,Конструкторы!$B1192,Продажи!$C$5:$C$359,Конструкторы!$A1192)*$D1192</f>
        <v>21461.325683843868</v>
      </c>
      <c r="Q1192" s="166">
        <f>SUMIFS(Продажи!N$5:N$359,Продажи!$D$5:$D$359,Конструкторы!$B1192,Продажи!$C$5:$C$359,Конструкторы!$A1192)*$D1192</f>
        <v>21461.325683843868</v>
      </c>
      <c r="R1192" s="166">
        <f>SUMIFS(Продажи!O$5:O$359,Продажи!$D$5:$D$359,Конструкторы!$B1192,Продажи!$C$5:$C$359,Конструкторы!$A1192)*$D1192</f>
        <v>21461.325683843868</v>
      </c>
      <c r="S1192" s="166">
        <f>SUMIFS(Продажи!P$5:P$359,Продажи!$D$5:$D$359,Конструкторы!$B1192,Продажи!$C$5:$C$359,Конструкторы!$A1192)*$D1192</f>
        <v>21461.325683843868</v>
      </c>
      <c r="T1192" s="166">
        <f>SUMIFS(Продажи!Q$5:Q$359,Продажи!$D$5:$D$359,Конструкторы!$B1192,Продажи!$C$5:$C$359,Конструкторы!$A1192)*$D1192</f>
        <v>21461.325683843868</v>
      </c>
    </row>
    <row r="1193" spans="1:20" x14ac:dyDescent="0.25">
      <c r="A1193" s="166" t="s">
        <v>398</v>
      </c>
      <c r="B1193" s="166" t="s">
        <v>393</v>
      </c>
      <c r="C1193" s="173" t="s">
        <v>25</v>
      </c>
      <c r="D1193" s="177">
        <f t="shared" ref="D1193:D1202" si="9">F1193/$F$1203</f>
        <v>9.3228152853191276E-3</v>
      </c>
      <c r="E1193" s="177"/>
      <c r="F1193" s="166">
        <v>910</v>
      </c>
      <c r="G1193" s="166"/>
      <c r="H1193" s="161">
        <f t="shared" si="8"/>
        <v>9.3228152853191268</v>
      </c>
      <c r="I1193" s="166">
        <f>SUMIFS(Продажи!F$5:F$359,Продажи!$D$5:$D$359,Конструкторы!$B1193,Продажи!$C$5:$C$359,Конструкторы!$A1193)*$D1193</f>
        <v>0</v>
      </c>
      <c r="J1193" s="166">
        <f>SUMIFS(Продажи!G$5:G$359,Продажи!$D$5:$D$359,Конструкторы!$B1193,Продажи!$C$5:$C$359,Конструкторы!$A1193)*$D1193</f>
        <v>0</v>
      </c>
      <c r="K1193" s="166">
        <f>SUMIFS(Продажи!H$5:H$359,Продажи!$D$5:$D$359,Конструкторы!$B1193,Продажи!$C$5:$C$359,Конструкторы!$A1193)*$D1193</f>
        <v>0</v>
      </c>
      <c r="L1193" s="166">
        <f>SUMIFS(Продажи!I$5:I$359,Продажи!$D$5:$D$359,Конструкторы!$B1193,Продажи!$C$5:$C$359,Конструкторы!$A1193)*$D1193</f>
        <v>801.76211453744497</v>
      </c>
      <c r="M1193" s="166">
        <f>SUMIFS(Продажи!J$5:J$359,Продажи!$D$5:$D$359,Конструкторы!$B1193,Продажи!$C$5:$C$359,Конструкторы!$A1193)*$D1193</f>
        <v>950.92715910255106</v>
      </c>
      <c r="N1193" s="166">
        <f>SUMIFS(Продажи!K$5:K$359,Продажи!$D$5:$D$359,Конструкторы!$B1193,Продажи!$C$5:$C$359,Конструкторы!$A1193)*$D1193</f>
        <v>857.69900624935974</v>
      </c>
      <c r="O1193" s="166">
        <f>SUMIFS(Продажи!L$5:L$359,Продажи!$D$5:$D$359,Конструкторы!$B1193,Продажи!$C$5:$C$359,Конструкторы!$A1193)*$D1193</f>
        <v>857.69900624935974</v>
      </c>
      <c r="P1193" s="166">
        <f>SUMIFS(Продажи!M$5:M$359,Продажи!$D$5:$D$359,Конструкторы!$B1193,Продажи!$C$5:$C$359,Конструкторы!$A1193)*$D1193</f>
        <v>857.69900624935974</v>
      </c>
      <c r="Q1193" s="166">
        <f>SUMIFS(Продажи!N$5:N$359,Продажи!$D$5:$D$359,Конструкторы!$B1193,Продажи!$C$5:$C$359,Конструкторы!$A1193)*$D1193</f>
        <v>857.69900624935974</v>
      </c>
      <c r="R1193" s="166">
        <f>SUMIFS(Продажи!O$5:O$359,Продажи!$D$5:$D$359,Конструкторы!$B1193,Продажи!$C$5:$C$359,Конструкторы!$A1193)*$D1193</f>
        <v>857.69900624935974</v>
      </c>
      <c r="S1193" s="166">
        <f>SUMIFS(Продажи!P$5:P$359,Продажи!$D$5:$D$359,Конструкторы!$B1193,Продажи!$C$5:$C$359,Конструкторы!$A1193)*$D1193</f>
        <v>857.69900624935974</v>
      </c>
      <c r="T1193" s="166">
        <f>SUMIFS(Продажи!Q$5:Q$359,Продажи!$D$5:$D$359,Конструкторы!$B1193,Продажи!$C$5:$C$359,Конструкторы!$A1193)*$D1193</f>
        <v>857.69900624935974</v>
      </c>
    </row>
    <row r="1194" spans="1:20" x14ac:dyDescent="0.25">
      <c r="A1194" s="166" t="s">
        <v>398</v>
      </c>
      <c r="B1194" s="166" t="s">
        <v>393</v>
      </c>
      <c r="C1194" s="129" t="s">
        <v>31</v>
      </c>
      <c r="D1194" s="177">
        <f t="shared" si="9"/>
        <v>2.0489703923778302E-2</v>
      </c>
      <c r="E1194" s="177"/>
      <c r="F1194" s="166">
        <v>2000</v>
      </c>
      <c r="G1194" s="166"/>
      <c r="H1194" s="161">
        <f t="shared" si="8"/>
        <v>20.489703923778301</v>
      </c>
      <c r="I1194" s="166">
        <f>SUMIFS(Продажи!F$5:F$359,Продажи!$D$5:$D$359,Конструкторы!$B1194,Продажи!$C$5:$C$359,Конструкторы!$A1194)*$D1194</f>
        <v>0</v>
      </c>
      <c r="J1194" s="166">
        <f>SUMIFS(Продажи!G$5:G$359,Продажи!$D$5:$D$359,Конструкторы!$B1194,Продажи!$C$5:$C$359,Конструкторы!$A1194)*$D1194</f>
        <v>0</v>
      </c>
      <c r="K1194" s="166">
        <f>SUMIFS(Продажи!H$5:H$359,Продажи!$D$5:$D$359,Конструкторы!$B1194,Продажи!$C$5:$C$359,Конструкторы!$A1194)*$D1194</f>
        <v>0</v>
      </c>
      <c r="L1194" s="166">
        <f>SUMIFS(Продажи!I$5:I$359,Продажи!$D$5:$D$359,Конструкторы!$B1194,Продажи!$C$5:$C$359,Конструкторы!$A1194)*$D1194</f>
        <v>1762.1145374449341</v>
      </c>
      <c r="M1194" s="166">
        <f>SUMIFS(Продажи!J$5:J$359,Продажи!$D$5:$D$359,Конструкторы!$B1194,Продажи!$C$5:$C$359,Конструкторы!$A1194)*$D1194</f>
        <v>2089.9498002253868</v>
      </c>
      <c r="N1194" s="166">
        <f>SUMIFS(Продажи!K$5:K$359,Продажи!$D$5:$D$359,Конструкторы!$B1194,Продажи!$C$5:$C$359,Конструкторы!$A1194)*$D1194</f>
        <v>1885.0527609876037</v>
      </c>
      <c r="O1194" s="166">
        <f>SUMIFS(Продажи!L$5:L$359,Продажи!$D$5:$D$359,Конструкторы!$B1194,Продажи!$C$5:$C$359,Конструкторы!$A1194)*$D1194</f>
        <v>1885.0527609876037</v>
      </c>
      <c r="P1194" s="166">
        <f>SUMIFS(Продажи!M$5:M$359,Продажи!$D$5:$D$359,Конструкторы!$B1194,Продажи!$C$5:$C$359,Конструкторы!$A1194)*$D1194</f>
        <v>1885.0527609876037</v>
      </c>
      <c r="Q1194" s="166">
        <f>SUMIFS(Продажи!N$5:N$359,Продажи!$D$5:$D$359,Конструкторы!$B1194,Продажи!$C$5:$C$359,Конструкторы!$A1194)*$D1194</f>
        <v>1885.0527609876037</v>
      </c>
      <c r="R1194" s="166">
        <f>SUMIFS(Продажи!O$5:O$359,Продажи!$D$5:$D$359,Конструкторы!$B1194,Продажи!$C$5:$C$359,Конструкторы!$A1194)*$D1194</f>
        <v>1885.0527609876037</v>
      </c>
      <c r="S1194" s="166">
        <f>SUMIFS(Продажи!P$5:P$359,Продажи!$D$5:$D$359,Конструкторы!$B1194,Продажи!$C$5:$C$359,Конструкторы!$A1194)*$D1194</f>
        <v>1885.0527609876037</v>
      </c>
      <c r="T1194" s="166">
        <f>SUMIFS(Продажи!Q$5:Q$359,Продажи!$D$5:$D$359,Конструкторы!$B1194,Продажи!$C$5:$C$359,Конструкторы!$A1194)*$D1194</f>
        <v>1885.0527609876037</v>
      </c>
    </row>
    <row r="1195" spans="1:20" x14ac:dyDescent="0.25">
      <c r="A1195" s="166" t="s">
        <v>398</v>
      </c>
      <c r="B1195" s="166" t="s">
        <v>393</v>
      </c>
      <c r="C1195" s="129" t="s">
        <v>30</v>
      </c>
      <c r="D1195" s="177">
        <f t="shared" si="9"/>
        <v>5.1224259809445752E-4</v>
      </c>
      <c r="E1195" s="177"/>
      <c r="F1195" s="166">
        <v>50</v>
      </c>
      <c r="G1195" s="166"/>
      <c r="H1195" s="161">
        <f t="shared" si="8"/>
        <v>0.51224259809445749</v>
      </c>
      <c r="I1195" s="166">
        <f>SUMIFS(Продажи!F$5:F$359,Продажи!$D$5:$D$359,Конструкторы!$B1195,Продажи!$C$5:$C$359,Конструкторы!$A1195)*$D1195</f>
        <v>0</v>
      </c>
      <c r="J1195" s="166">
        <f>SUMIFS(Продажи!G$5:G$359,Продажи!$D$5:$D$359,Конструкторы!$B1195,Продажи!$C$5:$C$359,Конструкторы!$A1195)*$D1195</f>
        <v>0</v>
      </c>
      <c r="K1195" s="166">
        <f>SUMIFS(Продажи!H$5:H$359,Продажи!$D$5:$D$359,Конструкторы!$B1195,Продажи!$C$5:$C$359,Конструкторы!$A1195)*$D1195</f>
        <v>0</v>
      </c>
      <c r="L1195" s="166">
        <f>SUMIFS(Продажи!I$5:I$359,Продажи!$D$5:$D$359,Конструкторы!$B1195,Продажи!$C$5:$C$359,Конструкторы!$A1195)*$D1195</f>
        <v>44.052863436123346</v>
      </c>
      <c r="M1195" s="166">
        <f>SUMIFS(Продажи!J$5:J$359,Продажи!$D$5:$D$359,Конструкторы!$B1195,Продажи!$C$5:$C$359,Конструкторы!$A1195)*$D1195</f>
        <v>52.248745005634667</v>
      </c>
      <c r="N1195" s="166">
        <f>SUMIFS(Продажи!K$5:K$359,Продажи!$D$5:$D$359,Конструкторы!$B1195,Продажи!$C$5:$C$359,Конструкторы!$A1195)*$D1195</f>
        <v>47.12631902469009</v>
      </c>
      <c r="O1195" s="166">
        <f>SUMIFS(Продажи!L$5:L$359,Продажи!$D$5:$D$359,Конструкторы!$B1195,Продажи!$C$5:$C$359,Конструкторы!$A1195)*$D1195</f>
        <v>47.12631902469009</v>
      </c>
      <c r="P1195" s="166">
        <f>SUMIFS(Продажи!M$5:M$359,Продажи!$D$5:$D$359,Конструкторы!$B1195,Продажи!$C$5:$C$359,Конструкторы!$A1195)*$D1195</f>
        <v>47.12631902469009</v>
      </c>
      <c r="Q1195" s="166">
        <f>SUMIFS(Продажи!N$5:N$359,Продажи!$D$5:$D$359,Конструкторы!$B1195,Продажи!$C$5:$C$359,Конструкторы!$A1195)*$D1195</f>
        <v>47.12631902469009</v>
      </c>
      <c r="R1195" s="166">
        <f>SUMIFS(Продажи!O$5:O$359,Продажи!$D$5:$D$359,Конструкторы!$B1195,Продажи!$C$5:$C$359,Конструкторы!$A1195)*$D1195</f>
        <v>47.12631902469009</v>
      </c>
      <c r="S1195" s="166">
        <f>SUMIFS(Продажи!P$5:P$359,Продажи!$D$5:$D$359,Конструкторы!$B1195,Продажи!$C$5:$C$359,Конструкторы!$A1195)*$D1195</f>
        <v>47.12631902469009</v>
      </c>
      <c r="T1195" s="166">
        <f>SUMIFS(Продажи!Q$5:Q$359,Продажи!$D$5:$D$359,Конструкторы!$B1195,Продажи!$C$5:$C$359,Конструкторы!$A1195)*$D1195</f>
        <v>47.12631902469009</v>
      </c>
    </row>
    <row r="1196" spans="1:20" x14ac:dyDescent="0.25">
      <c r="A1196" s="166" t="s">
        <v>398</v>
      </c>
      <c r="B1196" s="166" t="s">
        <v>393</v>
      </c>
      <c r="C1196" s="173" t="s">
        <v>32</v>
      </c>
      <c r="D1196" s="177">
        <f t="shared" si="9"/>
        <v>1.024485196188915E-3</v>
      </c>
      <c r="E1196" s="177"/>
      <c r="F1196" s="166">
        <v>100</v>
      </c>
      <c r="G1196" s="166"/>
      <c r="H1196" s="161">
        <f t="shared" si="8"/>
        <v>1.024485196188915</v>
      </c>
      <c r="I1196" s="166">
        <f>SUMIFS(Продажи!F$5:F$359,Продажи!$D$5:$D$359,Конструкторы!$B1196,Продажи!$C$5:$C$359,Конструкторы!$A1196)*$D1196</f>
        <v>0</v>
      </c>
      <c r="J1196" s="166">
        <f>SUMIFS(Продажи!G$5:G$359,Продажи!$D$5:$D$359,Конструкторы!$B1196,Продажи!$C$5:$C$359,Конструкторы!$A1196)*$D1196</f>
        <v>0</v>
      </c>
      <c r="K1196" s="166">
        <f>SUMIFS(Продажи!H$5:H$359,Продажи!$D$5:$D$359,Конструкторы!$B1196,Продажи!$C$5:$C$359,Конструкторы!$A1196)*$D1196</f>
        <v>0</v>
      </c>
      <c r="L1196" s="166">
        <f>SUMIFS(Продажи!I$5:I$359,Продажи!$D$5:$D$359,Конструкторы!$B1196,Продажи!$C$5:$C$359,Конструкторы!$A1196)*$D1196</f>
        <v>88.105726872246692</v>
      </c>
      <c r="M1196" s="166">
        <f>SUMIFS(Продажи!J$5:J$359,Продажи!$D$5:$D$359,Конструкторы!$B1196,Продажи!$C$5:$C$359,Конструкторы!$A1196)*$D1196</f>
        <v>104.49749001126933</v>
      </c>
      <c r="N1196" s="166">
        <f>SUMIFS(Продажи!K$5:K$359,Продажи!$D$5:$D$359,Конструкторы!$B1196,Продажи!$C$5:$C$359,Конструкторы!$A1196)*$D1196</f>
        <v>94.252638049380181</v>
      </c>
      <c r="O1196" s="166">
        <f>SUMIFS(Продажи!L$5:L$359,Продажи!$D$5:$D$359,Конструкторы!$B1196,Продажи!$C$5:$C$359,Конструкторы!$A1196)*$D1196</f>
        <v>94.252638049380181</v>
      </c>
      <c r="P1196" s="166">
        <f>SUMIFS(Продажи!M$5:M$359,Продажи!$D$5:$D$359,Конструкторы!$B1196,Продажи!$C$5:$C$359,Конструкторы!$A1196)*$D1196</f>
        <v>94.252638049380181</v>
      </c>
      <c r="Q1196" s="166">
        <f>SUMIFS(Продажи!N$5:N$359,Продажи!$D$5:$D$359,Конструкторы!$B1196,Продажи!$C$5:$C$359,Конструкторы!$A1196)*$D1196</f>
        <v>94.252638049380181</v>
      </c>
      <c r="R1196" s="166">
        <f>SUMIFS(Продажи!O$5:O$359,Продажи!$D$5:$D$359,Конструкторы!$B1196,Продажи!$C$5:$C$359,Конструкторы!$A1196)*$D1196</f>
        <v>94.252638049380181</v>
      </c>
      <c r="S1196" s="166">
        <f>SUMIFS(Продажи!P$5:P$359,Продажи!$D$5:$D$359,Конструкторы!$B1196,Продажи!$C$5:$C$359,Конструкторы!$A1196)*$D1196</f>
        <v>94.252638049380181</v>
      </c>
      <c r="T1196" s="166">
        <f>SUMIFS(Продажи!Q$5:Q$359,Продажи!$D$5:$D$359,Конструкторы!$B1196,Продажи!$C$5:$C$359,Конструкторы!$A1196)*$D1196</f>
        <v>94.252638049380181</v>
      </c>
    </row>
    <row r="1197" spans="1:20" x14ac:dyDescent="0.25">
      <c r="A1197" s="166" t="s">
        <v>398</v>
      </c>
      <c r="B1197" s="166" t="s">
        <v>393</v>
      </c>
      <c r="C1197" s="129" t="s">
        <v>31</v>
      </c>
      <c r="D1197" s="177">
        <f t="shared" si="9"/>
        <v>0.30601372810162891</v>
      </c>
      <c r="E1197" s="177"/>
      <c r="F1197" s="166">
        <v>29870</v>
      </c>
      <c r="G1197" s="166"/>
      <c r="H1197" s="161">
        <f t="shared" si="8"/>
        <v>306.01372810162889</v>
      </c>
      <c r="I1197" s="166">
        <f>SUMIFS(Продажи!F$5:F$359,Продажи!$D$5:$D$359,Конструкторы!$B1197,Продажи!$C$5:$C$359,Конструкторы!$A1197)*$D1197</f>
        <v>0</v>
      </c>
      <c r="J1197" s="166">
        <f>SUMIFS(Продажи!G$5:G$359,Продажи!$D$5:$D$359,Конструкторы!$B1197,Продажи!$C$5:$C$359,Конструкторы!$A1197)*$D1197</f>
        <v>0</v>
      </c>
      <c r="K1197" s="166">
        <f>SUMIFS(Продажи!H$5:H$359,Продажи!$D$5:$D$359,Конструкторы!$B1197,Продажи!$C$5:$C$359,Конструкторы!$A1197)*$D1197</f>
        <v>0</v>
      </c>
      <c r="L1197" s="166">
        <f>SUMIFS(Продажи!I$5:I$359,Продажи!$D$5:$D$359,Конструкторы!$B1197,Продажи!$C$5:$C$359,Конструкторы!$A1197)*$D1197</f>
        <v>26317.180616740086</v>
      </c>
      <c r="M1197" s="166">
        <f>SUMIFS(Продажи!J$5:J$359,Продажи!$D$5:$D$359,Конструкторы!$B1197,Продажи!$C$5:$C$359,Конструкторы!$A1197)*$D1197</f>
        <v>31213.400266366149</v>
      </c>
      <c r="N1197" s="166">
        <f>SUMIFS(Продажи!K$5:K$359,Продажи!$D$5:$D$359,Конструкторы!$B1197,Продажи!$C$5:$C$359,Конструкторы!$A1197)*$D1197</f>
        <v>28153.262985349858</v>
      </c>
      <c r="O1197" s="166">
        <f>SUMIFS(Продажи!L$5:L$359,Продажи!$D$5:$D$359,Конструкторы!$B1197,Продажи!$C$5:$C$359,Конструкторы!$A1197)*$D1197</f>
        <v>28153.262985349858</v>
      </c>
      <c r="P1197" s="166">
        <f>SUMIFS(Продажи!M$5:M$359,Продажи!$D$5:$D$359,Конструкторы!$B1197,Продажи!$C$5:$C$359,Конструкторы!$A1197)*$D1197</f>
        <v>28153.262985349858</v>
      </c>
      <c r="Q1197" s="166">
        <f>SUMIFS(Продажи!N$5:N$359,Продажи!$D$5:$D$359,Конструкторы!$B1197,Продажи!$C$5:$C$359,Конструкторы!$A1197)*$D1197</f>
        <v>28153.262985349858</v>
      </c>
      <c r="R1197" s="166">
        <f>SUMIFS(Продажи!O$5:O$359,Продажи!$D$5:$D$359,Конструкторы!$B1197,Продажи!$C$5:$C$359,Конструкторы!$A1197)*$D1197</f>
        <v>28153.262985349858</v>
      </c>
      <c r="S1197" s="166">
        <f>SUMIFS(Продажи!P$5:P$359,Продажи!$D$5:$D$359,Конструкторы!$B1197,Продажи!$C$5:$C$359,Конструкторы!$A1197)*$D1197</f>
        <v>28153.262985349858</v>
      </c>
      <c r="T1197" s="166">
        <f>SUMIFS(Продажи!Q$5:Q$359,Продажи!$D$5:$D$359,Конструкторы!$B1197,Продажи!$C$5:$C$359,Конструкторы!$A1197)*$D1197</f>
        <v>28153.262985349858</v>
      </c>
    </row>
    <row r="1198" spans="1:20" x14ac:dyDescent="0.25">
      <c r="A1198" s="166" t="s">
        <v>398</v>
      </c>
      <c r="B1198" s="166" t="s">
        <v>393</v>
      </c>
      <c r="C1198" s="129" t="s">
        <v>43</v>
      </c>
      <c r="D1198" s="177">
        <f t="shared" si="9"/>
        <v>2.2538674316156131E-2</v>
      </c>
      <c r="E1198" s="177"/>
      <c r="F1198" s="166">
        <v>2200</v>
      </c>
      <c r="G1198" s="166"/>
      <c r="H1198" s="161">
        <f t="shared" si="8"/>
        <v>22.538674316156129</v>
      </c>
      <c r="I1198" s="166">
        <f>SUMIFS(Продажи!F$5:F$359,Продажи!$D$5:$D$359,Конструкторы!$B1198,Продажи!$C$5:$C$359,Конструкторы!$A1198)*$D1198</f>
        <v>0</v>
      </c>
      <c r="J1198" s="166">
        <f>SUMIFS(Продажи!G$5:G$359,Продажи!$D$5:$D$359,Конструкторы!$B1198,Продажи!$C$5:$C$359,Конструкторы!$A1198)*$D1198</f>
        <v>0</v>
      </c>
      <c r="K1198" s="166">
        <f>SUMIFS(Продажи!H$5:H$359,Продажи!$D$5:$D$359,Конструкторы!$B1198,Продажи!$C$5:$C$359,Конструкторы!$A1198)*$D1198</f>
        <v>0</v>
      </c>
      <c r="L1198" s="166">
        <f>SUMIFS(Продажи!I$5:I$359,Продажи!$D$5:$D$359,Конструкторы!$B1198,Продажи!$C$5:$C$359,Конструкторы!$A1198)*$D1198</f>
        <v>1938.3259911894272</v>
      </c>
      <c r="M1198" s="166">
        <f>SUMIFS(Продажи!J$5:J$359,Продажи!$D$5:$D$359,Конструкторы!$B1198,Продажи!$C$5:$C$359,Конструкторы!$A1198)*$D1198</f>
        <v>2298.9447802479253</v>
      </c>
      <c r="N1198" s="166">
        <f>SUMIFS(Продажи!K$5:K$359,Продажи!$D$5:$D$359,Конструкторы!$B1198,Продажи!$C$5:$C$359,Конструкторы!$A1198)*$D1198</f>
        <v>2073.558037086364</v>
      </c>
      <c r="O1198" s="166">
        <f>SUMIFS(Продажи!L$5:L$359,Продажи!$D$5:$D$359,Конструкторы!$B1198,Продажи!$C$5:$C$359,Конструкторы!$A1198)*$D1198</f>
        <v>2073.558037086364</v>
      </c>
      <c r="P1198" s="166">
        <f>SUMIFS(Продажи!M$5:M$359,Продажи!$D$5:$D$359,Конструкторы!$B1198,Продажи!$C$5:$C$359,Конструкторы!$A1198)*$D1198</f>
        <v>2073.558037086364</v>
      </c>
      <c r="Q1198" s="166">
        <f>SUMIFS(Продажи!N$5:N$359,Продажи!$D$5:$D$359,Конструкторы!$B1198,Продажи!$C$5:$C$359,Конструкторы!$A1198)*$D1198</f>
        <v>2073.558037086364</v>
      </c>
      <c r="R1198" s="166">
        <f>SUMIFS(Продажи!O$5:O$359,Продажи!$D$5:$D$359,Конструкторы!$B1198,Продажи!$C$5:$C$359,Конструкторы!$A1198)*$D1198</f>
        <v>2073.558037086364</v>
      </c>
      <c r="S1198" s="166">
        <f>SUMIFS(Продажи!P$5:P$359,Продажи!$D$5:$D$359,Конструкторы!$B1198,Продажи!$C$5:$C$359,Конструкторы!$A1198)*$D1198</f>
        <v>2073.558037086364</v>
      </c>
      <c r="T1198" s="166">
        <f>SUMIFS(Продажи!Q$5:Q$359,Продажи!$D$5:$D$359,Конструкторы!$B1198,Продажи!$C$5:$C$359,Конструкторы!$A1198)*$D1198</f>
        <v>2073.558037086364</v>
      </c>
    </row>
    <row r="1199" spans="1:20" x14ac:dyDescent="0.25">
      <c r="A1199" s="166" t="s">
        <v>398</v>
      </c>
      <c r="B1199" s="166" t="s">
        <v>393</v>
      </c>
      <c r="C1199" s="129" t="s">
        <v>38</v>
      </c>
      <c r="D1199" s="177">
        <f t="shared" si="9"/>
        <v>8.8105726872246701E-2</v>
      </c>
      <c r="E1199" s="177"/>
      <c r="F1199" s="166">
        <v>8600</v>
      </c>
      <c r="G1199" s="166"/>
      <c r="H1199" s="161">
        <f t="shared" si="8"/>
        <v>88.105726872246706</v>
      </c>
      <c r="I1199" s="166">
        <f>SUMIFS(Продажи!F$5:F$359,Продажи!$D$5:$D$359,Конструкторы!$B1199,Продажи!$C$5:$C$359,Конструкторы!$A1199)*$D1199</f>
        <v>0</v>
      </c>
      <c r="J1199" s="166">
        <f>SUMIFS(Продажи!G$5:G$359,Продажи!$D$5:$D$359,Конструкторы!$B1199,Продажи!$C$5:$C$359,Конструкторы!$A1199)*$D1199</f>
        <v>0</v>
      </c>
      <c r="K1199" s="166">
        <f>SUMIFS(Продажи!H$5:H$359,Продажи!$D$5:$D$359,Конструкторы!$B1199,Продажи!$C$5:$C$359,Конструкторы!$A1199)*$D1199</f>
        <v>0</v>
      </c>
      <c r="L1199" s="166">
        <f>SUMIFS(Продажи!I$5:I$359,Продажи!$D$5:$D$359,Конструкторы!$B1199,Продажи!$C$5:$C$359,Конструкторы!$A1199)*$D1199</f>
        <v>7577.0925110132166</v>
      </c>
      <c r="M1199" s="166">
        <f>SUMIFS(Продажи!J$5:J$359,Продажи!$D$5:$D$359,Конструкторы!$B1199,Продажи!$C$5:$C$359,Конструкторы!$A1199)*$D1199</f>
        <v>8986.7841409691628</v>
      </c>
      <c r="N1199" s="166">
        <f>SUMIFS(Продажи!K$5:K$359,Продажи!$D$5:$D$359,Конструкторы!$B1199,Продажи!$C$5:$C$359,Конструкторы!$A1199)*$D1199</f>
        <v>8105.7268722466961</v>
      </c>
      <c r="O1199" s="166">
        <f>SUMIFS(Продажи!L$5:L$359,Продажи!$D$5:$D$359,Конструкторы!$B1199,Продажи!$C$5:$C$359,Конструкторы!$A1199)*$D1199</f>
        <v>8105.7268722466961</v>
      </c>
      <c r="P1199" s="166">
        <f>SUMIFS(Продажи!M$5:M$359,Продажи!$D$5:$D$359,Конструкторы!$B1199,Продажи!$C$5:$C$359,Конструкторы!$A1199)*$D1199</f>
        <v>8105.7268722466961</v>
      </c>
      <c r="Q1199" s="166">
        <f>SUMIFS(Продажи!N$5:N$359,Продажи!$D$5:$D$359,Конструкторы!$B1199,Продажи!$C$5:$C$359,Конструкторы!$A1199)*$D1199</f>
        <v>8105.7268722466961</v>
      </c>
      <c r="R1199" s="166">
        <f>SUMIFS(Продажи!O$5:O$359,Продажи!$D$5:$D$359,Конструкторы!$B1199,Продажи!$C$5:$C$359,Конструкторы!$A1199)*$D1199</f>
        <v>8105.7268722466961</v>
      </c>
      <c r="S1199" s="166">
        <f>SUMIFS(Продажи!P$5:P$359,Продажи!$D$5:$D$359,Конструкторы!$B1199,Продажи!$C$5:$C$359,Конструкторы!$A1199)*$D1199</f>
        <v>8105.7268722466961</v>
      </c>
      <c r="T1199" s="166">
        <f>SUMIFS(Продажи!Q$5:Q$359,Продажи!$D$5:$D$359,Конструкторы!$B1199,Продажи!$C$5:$C$359,Конструкторы!$A1199)*$D1199</f>
        <v>8105.7268722466961</v>
      </c>
    </row>
    <row r="1200" spans="1:20" x14ac:dyDescent="0.25">
      <c r="A1200" s="166" t="s">
        <v>398</v>
      </c>
      <c r="B1200" s="166" t="s">
        <v>393</v>
      </c>
      <c r="C1200" s="129" t="s">
        <v>35</v>
      </c>
      <c r="D1200" s="177">
        <f t="shared" si="9"/>
        <v>1.6596660178260423E-2</v>
      </c>
      <c r="E1200" s="177"/>
      <c r="F1200" s="166">
        <v>1620</v>
      </c>
      <c r="G1200" s="166"/>
      <c r="H1200" s="161">
        <f t="shared" si="8"/>
        <v>16.596660178260422</v>
      </c>
      <c r="I1200" s="166">
        <f>SUMIFS(Продажи!F$5:F$359,Продажи!$D$5:$D$359,Конструкторы!$B1200,Продажи!$C$5:$C$359,Конструкторы!$A1200)*$D1200</f>
        <v>0</v>
      </c>
      <c r="J1200" s="166">
        <f>SUMIFS(Продажи!G$5:G$359,Продажи!$D$5:$D$359,Конструкторы!$B1200,Продажи!$C$5:$C$359,Конструкторы!$A1200)*$D1200</f>
        <v>0</v>
      </c>
      <c r="K1200" s="166">
        <f>SUMIFS(Продажи!H$5:H$359,Продажи!$D$5:$D$359,Конструкторы!$B1200,Продажи!$C$5:$C$359,Конструкторы!$A1200)*$D1200</f>
        <v>0</v>
      </c>
      <c r="L1200" s="166">
        <f>SUMIFS(Продажи!I$5:I$359,Продажи!$D$5:$D$359,Конструкторы!$B1200,Продажи!$C$5:$C$359,Конструкторы!$A1200)*$D1200</f>
        <v>1427.3127753303963</v>
      </c>
      <c r="M1200" s="166">
        <f>SUMIFS(Продажи!J$5:J$359,Продажи!$D$5:$D$359,Конструкторы!$B1200,Продажи!$C$5:$C$359,Конструкторы!$A1200)*$D1200</f>
        <v>1692.8593381825631</v>
      </c>
      <c r="N1200" s="166">
        <f>SUMIFS(Продажи!K$5:K$359,Продажи!$D$5:$D$359,Конструкторы!$B1200,Продажи!$C$5:$C$359,Конструкторы!$A1200)*$D1200</f>
        <v>1526.8927363999589</v>
      </c>
      <c r="O1200" s="166">
        <f>SUMIFS(Продажи!L$5:L$359,Продажи!$D$5:$D$359,Конструкторы!$B1200,Продажи!$C$5:$C$359,Конструкторы!$A1200)*$D1200</f>
        <v>1526.8927363999589</v>
      </c>
      <c r="P1200" s="166">
        <f>SUMIFS(Продажи!M$5:M$359,Продажи!$D$5:$D$359,Конструкторы!$B1200,Продажи!$C$5:$C$359,Конструкторы!$A1200)*$D1200</f>
        <v>1526.8927363999589</v>
      </c>
      <c r="Q1200" s="166">
        <f>SUMIFS(Продажи!N$5:N$359,Продажи!$D$5:$D$359,Конструкторы!$B1200,Продажи!$C$5:$C$359,Конструкторы!$A1200)*$D1200</f>
        <v>1526.8927363999589</v>
      </c>
      <c r="R1200" s="166">
        <f>SUMIFS(Продажи!O$5:O$359,Продажи!$D$5:$D$359,Конструкторы!$B1200,Продажи!$C$5:$C$359,Конструкторы!$A1200)*$D1200</f>
        <v>1526.8927363999589</v>
      </c>
      <c r="S1200" s="166">
        <f>SUMIFS(Продажи!P$5:P$359,Продажи!$D$5:$D$359,Конструкторы!$B1200,Продажи!$C$5:$C$359,Конструкторы!$A1200)*$D1200</f>
        <v>1526.8927363999589</v>
      </c>
      <c r="T1200" s="166">
        <f>SUMIFS(Продажи!Q$5:Q$359,Продажи!$D$5:$D$359,Конструкторы!$B1200,Продажи!$C$5:$C$359,Конструкторы!$A1200)*$D1200</f>
        <v>1526.8927363999589</v>
      </c>
    </row>
    <row r="1201" spans="1:20" x14ac:dyDescent="0.25">
      <c r="A1201" s="166" t="s">
        <v>398</v>
      </c>
      <c r="B1201" s="166" t="s">
        <v>393</v>
      </c>
      <c r="C1201" s="129" t="s">
        <v>55</v>
      </c>
      <c r="D1201" s="177">
        <f t="shared" si="9"/>
        <v>3.0734555885667454E-3</v>
      </c>
      <c r="E1201" s="177"/>
      <c r="F1201" s="166">
        <v>300</v>
      </c>
      <c r="G1201" s="166"/>
      <c r="H1201" s="161">
        <f t="shared" si="8"/>
        <v>3.0734555885667452</v>
      </c>
      <c r="I1201" s="166">
        <f>SUMIFS(Продажи!F$5:F$359,Продажи!$D$5:$D$359,Конструкторы!$B1201,Продажи!$C$5:$C$359,Конструкторы!$A1201)*$D1201</f>
        <v>0</v>
      </c>
      <c r="J1201" s="166">
        <f>SUMIFS(Продажи!G$5:G$359,Продажи!$D$5:$D$359,Конструкторы!$B1201,Продажи!$C$5:$C$359,Конструкторы!$A1201)*$D1201</f>
        <v>0</v>
      </c>
      <c r="K1201" s="166">
        <f>SUMIFS(Продажи!H$5:H$359,Продажи!$D$5:$D$359,Конструкторы!$B1201,Продажи!$C$5:$C$359,Конструкторы!$A1201)*$D1201</f>
        <v>0</v>
      </c>
      <c r="L1201" s="166">
        <f>SUMIFS(Продажи!I$5:I$359,Продажи!$D$5:$D$359,Конструкторы!$B1201,Продажи!$C$5:$C$359,Конструкторы!$A1201)*$D1201</f>
        <v>264.31718061674007</v>
      </c>
      <c r="M1201" s="166">
        <f>SUMIFS(Продажи!J$5:J$359,Продажи!$D$5:$D$359,Конструкторы!$B1201,Продажи!$C$5:$C$359,Конструкторы!$A1201)*$D1201</f>
        <v>313.49247003380805</v>
      </c>
      <c r="N1201" s="166">
        <f>SUMIFS(Продажи!K$5:K$359,Продажи!$D$5:$D$359,Конструкторы!$B1201,Продажи!$C$5:$C$359,Конструкторы!$A1201)*$D1201</f>
        <v>282.75791414814057</v>
      </c>
      <c r="O1201" s="166">
        <f>SUMIFS(Продажи!L$5:L$359,Продажи!$D$5:$D$359,Конструкторы!$B1201,Продажи!$C$5:$C$359,Конструкторы!$A1201)*$D1201</f>
        <v>282.75791414814057</v>
      </c>
      <c r="P1201" s="166">
        <f>SUMIFS(Продажи!M$5:M$359,Продажи!$D$5:$D$359,Конструкторы!$B1201,Продажи!$C$5:$C$359,Конструкторы!$A1201)*$D1201</f>
        <v>282.75791414814057</v>
      </c>
      <c r="Q1201" s="166">
        <f>SUMIFS(Продажи!N$5:N$359,Продажи!$D$5:$D$359,Конструкторы!$B1201,Продажи!$C$5:$C$359,Конструкторы!$A1201)*$D1201</f>
        <v>282.75791414814057</v>
      </c>
      <c r="R1201" s="166">
        <f>SUMIFS(Продажи!O$5:O$359,Продажи!$D$5:$D$359,Конструкторы!$B1201,Продажи!$C$5:$C$359,Конструкторы!$A1201)*$D1201</f>
        <v>282.75791414814057</v>
      </c>
      <c r="S1201" s="166">
        <f>SUMIFS(Продажи!P$5:P$359,Продажи!$D$5:$D$359,Конструкторы!$B1201,Продажи!$C$5:$C$359,Конструкторы!$A1201)*$D1201</f>
        <v>282.75791414814057</v>
      </c>
      <c r="T1201" s="166">
        <f>SUMIFS(Продажи!Q$5:Q$359,Продажи!$D$5:$D$359,Конструкторы!$B1201,Продажи!$C$5:$C$359,Конструкторы!$A1201)*$D1201</f>
        <v>282.75791414814057</v>
      </c>
    </row>
    <row r="1202" spans="1:20" x14ac:dyDescent="0.25">
      <c r="A1202" s="166" t="s">
        <v>398</v>
      </c>
      <c r="B1202" s="166" t="s">
        <v>393</v>
      </c>
      <c r="C1202" s="129" t="s">
        <v>389</v>
      </c>
      <c r="D1202" s="177">
        <f t="shared" si="9"/>
        <v>0.2990472287675443</v>
      </c>
      <c r="E1202" s="177"/>
      <c r="F1202" s="166">
        <v>29190</v>
      </c>
      <c r="G1202" s="166"/>
      <c r="H1202" s="161">
        <f>$H$1203*D1202</f>
        <v>299.04722876754431</v>
      </c>
      <c r="I1202" s="166">
        <f>SUMIFS(Продажи!F$5:F$359,Продажи!$D$5:$D$359,Конструкторы!$B1202,Продажи!$C$5:$C$359,Конструкторы!$A1202)*$D1202</f>
        <v>0</v>
      </c>
      <c r="J1202" s="166">
        <f>SUMIFS(Продажи!G$5:G$359,Продажи!$D$5:$D$359,Конструкторы!$B1202,Продажи!$C$5:$C$359,Конструкторы!$A1202)*$D1202</f>
        <v>0</v>
      </c>
      <c r="K1202" s="166">
        <f>SUMIFS(Продажи!H$5:H$359,Продажи!$D$5:$D$359,Конструкторы!$B1202,Продажи!$C$5:$C$359,Конструкторы!$A1202)*$D1202</f>
        <v>0</v>
      </c>
      <c r="L1202" s="166">
        <f>SUMIFS(Продажи!I$5:I$359,Продажи!$D$5:$D$359,Конструкторы!$B1202,Продажи!$C$5:$C$359,Конструкторы!$A1202)*$D1202</f>
        <v>25718.061674008812</v>
      </c>
      <c r="M1202" s="166">
        <f>SUMIFS(Продажи!J$5:J$359,Продажи!$D$5:$D$359,Конструкторы!$B1202,Продажи!$C$5:$C$359,Конструкторы!$A1202)*$D1202</f>
        <v>30502.817334289521</v>
      </c>
      <c r="N1202" s="166">
        <f>SUMIFS(Продажи!K$5:K$359,Продажи!$D$5:$D$359,Конструкторы!$B1202,Продажи!$C$5:$C$359,Конструкторы!$A1202)*$D1202</f>
        <v>27512.345046614075</v>
      </c>
      <c r="O1202" s="166">
        <f>SUMIFS(Продажи!L$5:L$359,Продажи!$D$5:$D$359,Конструкторы!$B1202,Продажи!$C$5:$C$359,Конструкторы!$A1202)*$D1202</f>
        <v>27512.345046614075</v>
      </c>
      <c r="P1202" s="166">
        <f>SUMIFS(Продажи!M$5:M$359,Продажи!$D$5:$D$359,Конструкторы!$B1202,Продажи!$C$5:$C$359,Конструкторы!$A1202)*$D1202</f>
        <v>27512.345046614075</v>
      </c>
      <c r="Q1202" s="166">
        <f>SUMIFS(Продажи!N$5:N$359,Продажи!$D$5:$D$359,Конструкторы!$B1202,Продажи!$C$5:$C$359,Конструкторы!$A1202)*$D1202</f>
        <v>27512.345046614075</v>
      </c>
      <c r="R1202" s="166">
        <f>SUMIFS(Продажи!O$5:O$359,Продажи!$D$5:$D$359,Конструкторы!$B1202,Продажи!$C$5:$C$359,Конструкторы!$A1202)*$D1202</f>
        <v>27512.345046614075</v>
      </c>
      <c r="S1202" s="166">
        <f>SUMIFS(Продажи!P$5:P$359,Продажи!$D$5:$D$359,Конструкторы!$B1202,Продажи!$C$5:$C$359,Конструкторы!$A1202)*$D1202</f>
        <v>27512.345046614075</v>
      </c>
      <c r="T1202" s="166">
        <f>SUMIFS(Продажи!Q$5:Q$359,Продажи!$D$5:$D$359,Конструкторы!$B1202,Продажи!$C$5:$C$359,Конструкторы!$A1202)*$D1202</f>
        <v>27512.345046614075</v>
      </c>
    </row>
    <row r="1203" spans="1:20" x14ac:dyDescent="0.25">
      <c r="A1203" s="166" t="s">
        <v>398</v>
      </c>
      <c r="B1203" s="166" t="s">
        <v>393</v>
      </c>
      <c r="C1203" s="129" t="s">
        <v>372</v>
      </c>
      <c r="D1203" s="177">
        <f>SUM(D1192:D1202)</f>
        <v>1</v>
      </c>
      <c r="E1203" s="177"/>
      <c r="F1203" s="166">
        <f>SUM(F1192:F1202)</f>
        <v>97610</v>
      </c>
      <c r="G1203" s="166"/>
      <c r="H1203" s="166">
        <v>1000</v>
      </c>
      <c r="I1203" s="166">
        <f>SUMIFS(Продажи!F$5:F$359,Продажи!$D$5:$D$359,Конструкторы!$B1203,Продажи!$C$5:$C$359,Конструкторы!$A1203)*$D1203</f>
        <v>0</v>
      </c>
      <c r="J1203" s="166">
        <f>SUMIFS(Продажи!G$5:G$359,Продажи!$D$5:$D$359,Конструкторы!$B1203,Продажи!$C$5:$C$359,Конструкторы!$A1203)*$D1203</f>
        <v>0</v>
      </c>
      <c r="K1203" s="166">
        <f>SUMIFS(Продажи!H$5:H$359,Продажи!$D$5:$D$359,Конструкторы!$B1203,Продажи!$C$5:$C$359,Конструкторы!$A1203)*$D1203</f>
        <v>0</v>
      </c>
      <c r="L1203" s="166">
        <f>SUMIFS(Продажи!I$5:I$359,Продажи!$D$5:$D$359,Конструкторы!$B1203,Продажи!$C$5:$C$359,Конструкторы!$A1203)*$D1203</f>
        <v>86000</v>
      </c>
      <c r="M1203" s="166">
        <f>SUMIFS(Продажи!J$5:J$359,Продажи!$D$5:$D$359,Конструкторы!$B1203,Продажи!$C$5:$C$359,Конструкторы!$A1203)*$D1203</f>
        <v>102000</v>
      </c>
      <c r="N1203" s="166">
        <f>SUMIFS(Продажи!K$5:K$359,Продажи!$D$5:$D$359,Конструкторы!$B1203,Продажи!$C$5:$C$359,Конструкторы!$A1203)*$D1203</f>
        <v>92000</v>
      </c>
      <c r="O1203" s="166">
        <f>SUMIFS(Продажи!L$5:L$359,Продажи!$D$5:$D$359,Конструкторы!$B1203,Продажи!$C$5:$C$359,Конструкторы!$A1203)*$D1203</f>
        <v>92000</v>
      </c>
      <c r="P1203" s="166">
        <f>SUMIFS(Продажи!M$5:M$359,Продажи!$D$5:$D$359,Конструкторы!$B1203,Продажи!$C$5:$C$359,Конструкторы!$A1203)*$D1203</f>
        <v>92000</v>
      </c>
      <c r="Q1203" s="166">
        <f>SUMIFS(Продажи!N$5:N$359,Продажи!$D$5:$D$359,Конструкторы!$B1203,Продажи!$C$5:$C$359,Конструкторы!$A1203)*$D1203</f>
        <v>92000</v>
      </c>
      <c r="R1203" s="166">
        <f>SUMIFS(Продажи!O$5:O$359,Продажи!$D$5:$D$359,Конструкторы!$B1203,Продажи!$C$5:$C$359,Конструкторы!$A1203)*$D1203</f>
        <v>92000</v>
      </c>
      <c r="S1203" s="166">
        <f>SUMIFS(Продажи!P$5:P$359,Продажи!$D$5:$D$359,Конструкторы!$B1203,Продажи!$C$5:$C$359,Конструкторы!$A1203)*$D1203</f>
        <v>92000</v>
      </c>
      <c r="T1203" s="166">
        <f>SUMIFS(Продажи!Q$5:Q$359,Продажи!$D$5:$D$359,Конструкторы!$B1203,Продажи!$C$5:$C$359,Конструкторы!$A1203)*$D1203</f>
        <v>92000</v>
      </c>
    </row>
    <row r="1204" spans="1:20" ht="25.5" x14ac:dyDescent="0.25">
      <c r="A1204" s="166" t="s">
        <v>398</v>
      </c>
      <c r="B1204" s="162" t="s">
        <v>459</v>
      </c>
      <c r="C1204" s="173" t="s">
        <v>32</v>
      </c>
      <c r="D1204" s="163">
        <f>F1204/SUM($F$1204:$F$1211)</f>
        <v>0.23075429434422015</v>
      </c>
      <c r="E1204" s="163"/>
      <c r="F1204" s="164">
        <v>1818.24</v>
      </c>
      <c r="G1204" s="164"/>
      <c r="H1204" s="166"/>
      <c r="I1204" s="166">
        <f>SUMIFS(Продажи!F$5:F$359,Продажи!$D$5:$D$359,Конструкторы!$B1204,Продажи!$C$5:$C$359,Конструкторы!$A1204)*$D1204</f>
        <v>0</v>
      </c>
      <c r="J1204" s="166">
        <f>SUMIFS(Продажи!G$5:G$359,Продажи!$D$5:$D$359,Конструкторы!$B1204,Продажи!$C$5:$C$359,Конструкторы!$A1204)*$D1204</f>
        <v>0</v>
      </c>
      <c r="K1204" s="166">
        <f>SUMIFS(Продажи!H$5:H$359,Продажи!$D$5:$D$359,Конструкторы!$B1204,Продажи!$C$5:$C$359,Конструкторы!$A1204)*$D1204</f>
        <v>0</v>
      </c>
      <c r="L1204" s="166">
        <f>SUMIFS(Продажи!I$5:I$359,Продажи!$D$5:$D$359,Конструкторы!$B1204,Продажи!$C$5:$C$359,Конструкторы!$A1204)*$D1204</f>
        <v>0</v>
      </c>
      <c r="M1204" s="166">
        <f>SUMIFS(Продажи!J$5:J$359,Продажи!$D$5:$D$359,Конструкторы!$B1204,Продажи!$C$5:$C$359,Конструкторы!$A1204)*$D1204</f>
        <v>0</v>
      </c>
      <c r="N1204" s="166">
        <f>SUMIFS(Продажи!K$5:K$359,Продажи!$D$5:$D$359,Конструкторы!$B1204,Продажи!$C$5:$C$359,Конструкторы!$A1204)*$D1204</f>
        <v>0</v>
      </c>
      <c r="O1204" s="166">
        <f>SUMIFS(Продажи!L$5:L$359,Продажи!$D$5:$D$359,Конструкторы!$B1204,Продажи!$C$5:$C$359,Конструкторы!$A1204)*$D1204</f>
        <v>0</v>
      </c>
      <c r="P1204" s="166">
        <f>SUMIFS(Продажи!M$5:M$359,Продажи!$D$5:$D$359,Конструкторы!$B1204,Продажи!$C$5:$C$359,Конструкторы!$A1204)*$D1204</f>
        <v>0</v>
      </c>
      <c r="Q1204" s="166">
        <f>SUMIFS(Продажи!N$5:N$359,Продажи!$D$5:$D$359,Конструкторы!$B1204,Продажи!$C$5:$C$359,Конструкторы!$A1204)*$D1204</f>
        <v>0</v>
      </c>
      <c r="R1204" s="166">
        <f>SUMIFS(Продажи!O$5:O$359,Продажи!$D$5:$D$359,Конструкторы!$B1204,Продажи!$C$5:$C$359,Конструкторы!$A1204)*$D1204</f>
        <v>0</v>
      </c>
      <c r="S1204" s="166">
        <f>SUMIFS(Продажи!P$5:P$359,Продажи!$D$5:$D$359,Конструкторы!$B1204,Продажи!$C$5:$C$359,Конструкторы!$A1204)*$D1204</f>
        <v>0</v>
      </c>
      <c r="T1204" s="166">
        <f>SUMIFS(Продажи!Q$5:Q$359,Продажи!$D$5:$D$359,Конструкторы!$B1204,Продажи!$C$5:$C$359,Конструкторы!$A1204)*$D1204</f>
        <v>0</v>
      </c>
    </row>
    <row r="1205" spans="1:20" ht="25.5" x14ac:dyDescent="0.25">
      <c r="A1205" s="166" t="s">
        <v>398</v>
      </c>
      <c r="B1205" s="162" t="s">
        <v>459</v>
      </c>
      <c r="C1205" s="129" t="s">
        <v>55</v>
      </c>
      <c r="D1205" s="163">
        <f t="shared" ref="D1205:D1211" si="10">F1205/SUM($F$1204:$F$1211)</f>
        <v>0.10818384298595732</v>
      </c>
      <c r="E1205" s="163"/>
      <c r="F1205" s="164">
        <f>333.12+519.32</f>
        <v>852.44</v>
      </c>
      <c r="G1205" s="164"/>
      <c r="H1205" s="166"/>
      <c r="I1205" s="166">
        <f>SUMIFS(Продажи!F$5:F$359,Продажи!$D$5:$D$359,Конструкторы!$B1205,Продажи!$C$5:$C$359,Конструкторы!$A1205)*$D1205</f>
        <v>0</v>
      </c>
      <c r="J1205" s="166">
        <f>SUMIFS(Продажи!G$5:G$359,Продажи!$D$5:$D$359,Конструкторы!$B1205,Продажи!$C$5:$C$359,Конструкторы!$A1205)*$D1205</f>
        <v>0</v>
      </c>
      <c r="K1205" s="166">
        <f>SUMIFS(Продажи!H$5:H$359,Продажи!$D$5:$D$359,Конструкторы!$B1205,Продажи!$C$5:$C$359,Конструкторы!$A1205)*$D1205</f>
        <v>0</v>
      </c>
      <c r="L1205" s="166">
        <f>SUMIFS(Продажи!I$5:I$359,Продажи!$D$5:$D$359,Конструкторы!$B1205,Продажи!$C$5:$C$359,Конструкторы!$A1205)*$D1205</f>
        <v>0</v>
      </c>
      <c r="M1205" s="166">
        <f>SUMIFS(Продажи!J$5:J$359,Продажи!$D$5:$D$359,Конструкторы!$B1205,Продажи!$C$5:$C$359,Конструкторы!$A1205)*$D1205</f>
        <v>0</v>
      </c>
      <c r="N1205" s="166">
        <f>SUMIFS(Продажи!K$5:K$359,Продажи!$D$5:$D$359,Конструкторы!$B1205,Продажи!$C$5:$C$359,Конструкторы!$A1205)*$D1205</f>
        <v>0</v>
      </c>
      <c r="O1205" s="166">
        <f>SUMIFS(Продажи!L$5:L$359,Продажи!$D$5:$D$359,Конструкторы!$B1205,Продажи!$C$5:$C$359,Конструкторы!$A1205)*$D1205</f>
        <v>0</v>
      </c>
      <c r="P1205" s="166">
        <f>SUMIFS(Продажи!M$5:M$359,Продажи!$D$5:$D$359,Конструкторы!$B1205,Продажи!$C$5:$C$359,Конструкторы!$A1205)*$D1205</f>
        <v>0</v>
      </c>
      <c r="Q1205" s="166">
        <f>SUMIFS(Продажи!N$5:N$359,Продажи!$D$5:$D$359,Конструкторы!$B1205,Продажи!$C$5:$C$359,Конструкторы!$A1205)*$D1205</f>
        <v>0</v>
      </c>
      <c r="R1205" s="166">
        <f>SUMIFS(Продажи!O$5:O$359,Продажи!$D$5:$D$359,Конструкторы!$B1205,Продажи!$C$5:$C$359,Конструкторы!$A1205)*$D1205</f>
        <v>0</v>
      </c>
      <c r="S1205" s="166">
        <f>SUMIFS(Продажи!P$5:P$359,Продажи!$D$5:$D$359,Конструкторы!$B1205,Продажи!$C$5:$C$359,Конструкторы!$A1205)*$D1205</f>
        <v>0</v>
      </c>
      <c r="T1205" s="166">
        <f>SUMIFS(Продажи!Q$5:Q$359,Продажи!$D$5:$D$359,Конструкторы!$B1205,Продажи!$C$5:$C$359,Конструкторы!$A1205)*$D1205</f>
        <v>0</v>
      </c>
    </row>
    <row r="1206" spans="1:20" ht="25.5" x14ac:dyDescent="0.25">
      <c r="A1206" s="166" t="s">
        <v>398</v>
      </c>
      <c r="B1206" s="162" t="s">
        <v>459</v>
      </c>
      <c r="C1206" s="129" t="s">
        <v>35</v>
      </c>
      <c r="D1206" s="163">
        <f t="shared" si="10"/>
        <v>4.3129366524738082E-2</v>
      </c>
      <c r="E1206" s="163"/>
      <c r="F1206" s="164">
        <v>339.84</v>
      </c>
      <c r="G1206" s="164"/>
      <c r="H1206" s="166"/>
      <c r="I1206" s="166">
        <f>SUMIFS(Продажи!F$5:F$359,Продажи!$D$5:$D$359,Конструкторы!$B1206,Продажи!$C$5:$C$359,Конструкторы!$A1206)*$D1206</f>
        <v>0</v>
      </c>
      <c r="J1206" s="166">
        <f>SUMIFS(Продажи!G$5:G$359,Продажи!$D$5:$D$359,Конструкторы!$B1206,Продажи!$C$5:$C$359,Конструкторы!$A1206)*$D1206</f>
        <v>0</v>
      </c>
      <c r="K1206" s="166">
        <f>SUMIFS(Продажи!H$5:H$359,Продажи!$D$5:$D$359,Конструкторы!$B1206,Продажи!$C$5:$C$359,Конструкторы!$A1206)*$D1206</f>
        <v>0</v>
      </c>
      <c r="L1206" s="166">
        <f>SUMIFS(Продажи!I$5:I$359,Продажи!$D$5:$D$359,Конструкторы!$B1206,Продажи!$C$5:$C$359,Конструкторы!$A1206)*$D1206</f>
        <v>0</v>
      </c>
      <c r="M1206" s="166">
        <f>SUMIFS(Продажи!J$5:J$359,Продажи!$D$5:$D$359,Конструкторы!$B1206,Продажи!$C$5:$C$359,Конструкторы!$A1206)*$D1206</f>
        <v>0</v>
      </c>
      <c r="N1206" s="166">
        <f>SUMIFS(Продажи!K$5:K$359,Продажи!$D$5:$D$359,Конструкторы!$B1206,Продажи!$C$5:$C$359,Конструкторы!$A1206)*$D1206</f>
        <v>0</v>
      </c>
      <c r="O1206" s="166">
        <f>SUMIFS(Продажи!L$5:L$359,Продажи!$D$5:$D$359,Конструкторы!$B1206,Продажи!$C$5:$C$359,Конструкторы!$A1206)*$D1206</f>
        <v>0</v>
      </c>
      <c r="P1206" s="166">
        <f>SUMIFS(Продажи!M$5:M$359,Продажи!$D$5:$D$359,Конструкторы!$B1206,Продажи!$C$5:$C$359,Конструкторы!$A1206)*$D1206</f>
        <v>0</v>
      </c>
      <c r="Q1206" s="166">
        <f>SUMIFS(Продажи!N$5:N$359,Продажи!$D$5:$D$359,Конструкторы!$B1206,Продажи!$C$5:$C$359,Конструкторы!$A1206)*$D1206</f>
        <v>0</v>
      </c>
      <c r="R1206" s="166">
        <f>SUMIFS(Продажи!O$5:O$359,Продажи!$D$5:$D$359,Конструкторы!$B1206,Продажи!$C$5:$C$359,Конструкторы!$A1206)*$D1206</f>
        <v>0</v>
      </c>
      <c r="S1206" s="166">
        <f>SUMIFS(Продажи!P$5:P$359,Продажи!$D$5:$D$359,Конструкторы!$B1206,Продажи!$C$5:$C$359,Конструкторы!$A1206)*$D1206</f>
        <v>0</v>
      </c>
      <c r="T1206" s="166">
        <f>SUMIFS(Продажи!Q$5:Q$359,Продажи!$D$5:$D$359,Конструкторы!$B1206,Продажи!$C$5:$C$359,Конструкторы!$A1206)*$D1206</f>
        <v>0</v>
      </c>
    </row>
    <row r="1207" spans="1:20" ht="25.5" x14ac:dyDescent="0.25">
      <c r="A1207" s="166" t="s">
        <v>398</v>
      </c>
      <c r="B1207" s="162" t="s">
        <v>459</v>
      </c>
      <c r="C1207" s="173" t="s">
        <v>10</v>
      </c>
      <c r="D1207" s="163">
        <f t="shared" si="10"/>
        <v>3.8558039481950107E-2</v>
      </c>
      <c r="E1207" s="163"/>
      <c r="F1207" s="164">
        <f>122.88+180.94</f>
        <v>303.82</v>
      </c>
      <c r="G1207" s="164"/>
      <c r="H1207" s="166"/>
      <c r="I1207" s="166">
        <f>SUMIFS(Продажи!F$5:F$359,Продажи!$D$5:$D$359,Конструкторы!$B1207,Продажи!$C$5:$C$359,Конструкторы!$A1207)*$D1207</f>
        <v>0</v>
      </c>
      <c r="J1207" s="166">
        <f>SUMIFS(Продажи!G$5:G$359,Продажи!$D$5:$D$359,Конструкторы!$B1207,Продажи!$C$5:$C$359,Конструкторы!$A1207)*$D1207</f>
        <v>0</v>
      </c>
      <c r="K1207" s="166">
        <f>SUMIFS(Продажи!H$5:H$359,Продажи!$D$5:$D$359,Конструкторы!$B1207,Продажи!$C$5:$C$359,Конструкторы!$A1207)*$D1207</f>
        <v>0</v>
      </c>
      <c r="L1207" s="166">
        <f>SUMIFS(Продажи!I$5:I$359,Продажи!$D$5:$D$359,Конструкторы!$B1207,Продажи!$C$5:$C$359,Конструкторы!$A1207)*$D1207</f>
        <v>0</v>
      </c>
      <c r="M1207" s="166">
        <f>SUMIFS(Продажи!J$5:J$359,Продажи!$D$5:$D$359,Конструкторы!$B1207,Продажи!$C$5:$C$359,Конструкторы!$A1207)*$D1207</f>
        <v>0</v>
      </c>
      <c r="N1207" s="166">
        <f>SUMIFS(Продажи!K$5:K$359,Продажи!$D$5:$D$359,Конструкторы!$B1207,Продажи!$C$5:$C$359,Конструкторы!$A1207)*$D1207</f>
        <v>0</v>
      </c>
      <c r="O1207" s="166">
        <f>SUMIFS(Продажи!L$5:L$359,Продажи!$D$5:$D$359,Конструкторы!$B1207,Продажи!$C$5:$C$359,Конструкторы!$A1207)*$D1207</f>
        <v>0</v>
      </c>
      <c r="P1207" s="166">
        <f>SUMIFS(Продажи!M$5:M$359,Продажи!$D$5:$D$359,Конструкторы!$B1207,Продажи!$C$5:$C$359,Конструкторы!$A1207)*$D1207</f>
        <v>0</v>
      </c>
      <c r="Q1207" s="166">
        <f>SUMIFS(Продажи!N$5:N$359,Продажи!$D$5:$D$359,Конструкторы!$B1207,Продажи!$C$5:$C$359,Конструкторы!$A1207)*$D1207</f>
        <v>0</v>
      </c>
      <c r="R1207" s="166">
        <f>SUMIFS(Продажи!O$5:O$359,Продажи!$D$5:$D$359,Конструкторы!$B1207,Продажи!$C$5:$C$359,Конструкторы!$A1207)*$D1207</f>
        <v>0</v>
      </c>
      <c r="S1207" s="166">
        <f>SUMIFS(Продажи!P$5:P$359,Продажи!$D$5:$D$359,Конструкторы!$B1207,Продажи!$C$5:$C$359,Конструкторы!$A1207)*$D1207</f>
        <v>0</v>
      </c>
      <c r="T1207" s="166">
        <f>SUMIFS(Продажи!Q$5:Q$359,Продажи!$D$5:$D$359,Конструкторы!$B1207,Продажи!$C$5:$C$359,Конструкторы!$A1207)*$D1207</f>
        <v>0</v>
      </c>
    </row>
    <row r="1208" spans="1:20" ht="25.5" x14ac:dyDescent="0.25">
      <c r="A1208" s="166" t="s">
        <v>398</v>
      </c>
      <c r="B1208" s="162" t="s">
        <v>459</v>
      </c>
      <c r="C1208" s="173" t="s">
        <v>26</v>
      </c>
      <c r="D1208" s="163">
        <f t="shared" si="10"/>
        <v>0.25903509718194567</v>
      </c>
      <c r="E1208" s="163"/>
      <c r="F1208" s="178">
        <f>1470.24+570.84</f>
        <v>2041.08</v>
      </c>
      <c r="G1208" s="178"/>
      <c r="H1208" s="166"/>
      <c r="I1208" s="166">
        <f>SUMIFS(Продажи!F$5:F$359,Продажи!$D$5:$D$359,Конструкторы!$B1208,Продажи!$C$5:$C$359,Конструкторы!$A1208)*$D1208</f>
        <v>0</v>
      </c>
      <c r="J1208" s="166">
        <f>SUMIFS(Продажи!G$5:G$359,Продажи!$D$5:$D$359,Конструкторы!$B1208,Продажи!$C$5:$C$359,Конструкторы!$A1208)*$D1208</f>
        <v>0</v>
      </c>
      <c r="K1208" s="166">
        <f>SUMIFS(Продажи!H$5:H$359,Продажи!$D$5:$D$359,Конструкторы!$B1208,Продажи!$C$5:$C$359,Конструкторы!$A1208)*$D1208</f>
        <v>0</v>
      </c>
      <c r="L1208" s="166">
        <f>SUMIFS(Продажи!I$5:I$359,Продажи!$D$5:$D$359,Конструкторы!$B1208,Продажи!$C$5:$C$359,Конструкторы!$A1208)*$D1208</f>
        <v>0</v>
      </c>
      <c r="M1208" s="166">
        <f>SUMIFS(Продажи!J$5:J$359,Продажи!$D$5:$D$359,Конструкторы!$B1208,Продажи!$C$5:$C$359,Конструкторы!$A1208)*$D1208</f>
        <v>0</v>
      </c>
      <c r="N1208" s="166">
        <f>SUMIFS(Продажи!K$5:K$359,Продажи!$D$5:$D$359,Конструкторы!$B1208,Продажи!$C$5:$C$359,Конструкторы!$A1208)*$D1208</f>
        <v>0</v>
      </c>
      <c r="O1208" s="166">
        <f>SUMIFS(Продажи!L$5:L$359,Продажи!$D$5:$D$359,Конструкторы!$B1208,Продажи!$C$5:$C$359,Конструкторы!$A1208)*$D1208</f>
        <v>0</v>
      </c>
      <c r="P1208" s="166">
        <f>SUMIFS(Продажи!M$5:M$359,Продажи!$D$5:$D$359,Конструкторы!$B1208,Продажи!$C$5:$C$359,Конструкторы!$A1208)*$D1208</f>
        <v>0</v>
      </c>
      <c r="Q1208" s="166">
        <f>SUMIFS(Продажи!N$5:N$359,Продажи!$D$5:$D$359,Конструкторы!$B1208,Продажи!$C$5:$C$359,Конструкторы!$A1208)*$D1208</f>
        <v>0</v>
      </c>
      <c r="R1208" s="166">
        <f>SUMIFS(Продажи!O$5:O$359,Продажи!$D$5:$D$359,Конструкторы!$B1208,Продажи!$C$5:$C$359,Конструкторы!$A1208)*$D1208</f>
        <v>0</v>
      </c>
      <c r="S1208" s="166">
        <f>SUMIFS(Продажи!P$5:P$359,Продажи!$D$5:$D$359,Конструкторы!$B1208,Продажи!$C$5:$C$359,Конструкторы!$A1208)*$D1208</f>
        <v>0</v>
      </c>
      <c r="T1208" s="166">
        <f>SUMIFS(Продажи!Q$5:Q$359,Продажи!$D$5:$D$359,Конструкторы!$B1208,Продажи!$C$5:$C$359,Конструкторы!$A1208)*$D1208</f>
        <v>0</v>
      </c>
    </row>
    <row r="1209" spans="1:20" ht="25.5" x14ac:dyDescent="0.25">
      <c r="A1209" s="166" t="s">
        <v>398</v>
      </c>
      <c r="B1209" s="162" t="s">
        <v>459</v>
      </c>
      <c r="C1209" s="167" t="s">
        <v>466</v>
      </c>
      <c r="D1209" s="163">
        <f t="shared" si="10"/>
        <v>0.12021371778845238</v>
      </c>
      <c r="E1209" s="163"/>
      <c r="F1209" s="178">
        <v>947.23</v>
      </c>
      <c r="G1209" s="178"/>
      <c r="H1209" s="166"/>
      <c r="I1209" s="166">
        <f>SUMIFS(Продажи!F$5:F$359,Продажи!$D$5:$D$359,Конструкторы!$B1209,Продажи!$C$5:$C$359,Конструкторы!$A1209)*$D1209</f>
        <v>0</v>
      </c>
      <c r="J1209" s="166">
        <f>SUMIFS(Продажи!G$5:G$359,Продажи!$D$5:$D$359,Конструкторы!$B1209,Продажи!$C$5:$C$359,Конструкторы!$A1209)*$D1209</f>
        <v>0</v>
      </c>
      <c r="K1209" s="166">
        <f>SUMIFS(Продажи!H$5:H$359,Продажи!$D$5:$D$359,Конструкторы!$B1209,Продажи!$C$5:$C$359,Конструкторы!$A1209)*$D1209</f>
        <v>0</v>
      </c>
      <c r="L1209" s="166">
        <f>SUMIFS(Продажи!I$5:I$359,Продажи!$D$5:$D$359,Конструкторы!$B1209,Продажи!$C$5:$C$359,Конструкторы!$A1209)*$D1209</f>
        <v>0</v>
      </c>
      <c r="M1209" s="166">
        <f>SUMIFS(Продажи!J$5:J$359,Продажи!$D$5:$D$359,Конструкторы!$B1209,Продажи!$C$5:$C$359,Конструкторы!$A1209)*$D1209</f>
        <v>0</v>
      </c>
      <c r="N1209" s="166">
        <f>SUMIFS(Продажи!K$5:K$359,Продажи!$D$5:$D$359,Конструкторы!$B1209,Продажи!$C$5:$C$359,Конструкторы!$A1209)*$D1209</f>
        <v>0</v>
      </c>
      <c r="O1209" s="166">
        <f>SUMIFS(Продажи!L$5:L$359,Продажи!$D$5:$D$359,Конструкторы!$B1209,Продажи!$C$5:$C$359,Конструкторы!$A1209)*$D1209</f>
        <v>0</v>
      </c>
      <c r="P1209" s="166">
        <f>SUMIFS(Продажи!M$5:M$359,Продажи!$D$5:$D$359,Конструкторы!$B1209,Продажи!$C$5:$C$359,Конструкторы!$A1209)*$D1209</f>
        <v>0</v>
      </c>
      <c r="Q1209" s="166">
        <f>SUMIFS(Продажи!N$5:N$359,Продажи!$D$5:$D$359,Конструкторы!$B1209,Продажи!$C$5:$C$359,Конструкторы!$A1209)*$D1209</f>
        <v>0</v>
      </c>
      <c r="R1209" s="166">
        <f>SUMIFS(Продажи!O$5:O$359,Продажи!$D$5:$D$359,Конструкторы!$B1209,Продажи!$C$5:$C$359,Конструкторы!$A1209)*$D1209</f>
        <v>0</v>
      </c>
      <c r="S1209" s="166">
        <f>SUMIFS(Продажи!P$5:P$359,Продажи!$D$5:$D$359,Конструкторы!$B1209,Продажи!$C$5:$C$359,Конструкторы!$A1209)*$D1209</f>
        <v>0</v>
      </c>
      <c r="T1209" s="166">
        <f>SUMIFS(Продажи!Q$5:Q$359,Продажи!$D$5:$D$359,Конструкторы!$B1209,Продажи!$C$5:$C$359,Конструкторы!$A1209)*$D1209</f>
        <v>0</v>
      </c>
    </row>
    <row r="1210" spans="1:20" ht="25.5" x14ac:dyDescent="0.25">
      <c r="A1210" s="166" t="s">
        <v>398</v>
      </c>
      <c r="B1210" s="162" t="s">
        <v>459</v>
      </c>
      <c r="C1210" s="167" t="s">
        <v>467</v>
      </c>
      <c r="D1210" s="163">
        <f t="shared" si="10"/>
        <v>7.1273105697660405E-2</v>
      </c>
      <c r="E1210" s="163"/>
      <c r="F1210" s="178">
        <v>561.6</v>
      </c>
      <c r="G1210" s="178"/>
      <c r="H1210" s="166"/>
      <c r="I1210" s="166">
        <f>SUMIFS(Продажи!F$5:F$359,Продажи!$D$5:$D$359,Конструкторы!$B1210,Продажи!$C$5:$C$359,Конструкторы!$A1210)*$D1210</f>
        <v>0</v>
      </c>
      <c r="J1210" s="166">
        <f>SUMIFS(Продажи!G$5:G$359,Продажи!$D$5:$D$359,Конструкторы!$B1210,Продажи!$C$5:$C$359,Конструкторы!$A1210)*$D1210</f>
        <v>0</v>
      </c>
      <c r="K1210" s="166">
        <f>SUMIFS(Продажи!H$5:H$359,Продажи!$D$5:$D$359,Конструкторы!$B1210,Продажи!$C$5:$C$359,Конструкторы!$A1210)*$D1210</f>
        <v>0</v>
      </c>
      <c r="L1210" s="166">
        <f>SUMIFS(Продажи!I$5:I$359,Продажи!$D$5:$D$359,Конструкторы!$B1210,Продажи!$C$5:$C$359,Конструкторы!$A1210)*$D1210</f>
        <v>0</v>
      </c>
      <c r="M1210" s="166">
        <f>SUMIFS(Продажи!J$5:J$359,Продажи!$D$5:$D$359,Конструкторы!$B1210,Продажи!$C$5:$C$359,Конструкторы!$A1210)*$D1210</f>
        <v>0</v>
      </c>
      <c r="N1210" s="166">
        <f>SUMIFS(Продажи!K$5:K$359,Продажи!$D$5:$D$359,Конструкторы!$B1210,Продажи!$C$5:$C$359,Конструкторы!$A1210)*$D1210</f>
        <v>0</v>
      </c>
      <c r="O1210" s="166">
        <f>SUMIFS(Продажи!L$5:L$359,Продажи!$D$5:$D$359,Конструкторы!$B1210,Продажи!$C$5:$C$359,Конструкторы!$A1210)*$D1210</f>
        <v>0</v>
      </c>
      <c r="P1210" s="166">
        <f>SUMIFS(Продажи!M$5:M$359,Продажи!$D$5:$D$359,Конструкторы!$B1210,Продажи!$C$5:$C$359,Конструкторы!$A1210)*$D1210</f>
        <v>0</v>
      </c>
      <c r="Q1210" s="166">
        <f>SUMIFS(Продажи!N$5:N$359,Продажи!$D$5:$D$359,Конструкторы!$B1210,Продажи!$C$5:$C$359,Конструкторы!$A1210)*$D1210</f>
        <v>0</v>
      </c>
      <c r="R1210" s="166">
        <f>SUMIFS(Продажи!O$5:O$359,Продажи!$D$5:$D$359,Конструкторы!$B1210,Продажи!$C$5:$C$359,Конструкторы!$A1210)*$D1210</f>
        <v>0</v>
      </c>
      <c r="S1210" s="166">
        <f>SUMIFS(Продажи!P$5:P$359,Продажи!$D$5:$D$359,Конструкторы!$B1210,Продажи!$C$5:$C$359,Конструкторы!$A1210)*$D1210</f>
        <v>0</v>
      </c>
      <c r="T1210" s="166">
        <f>SUMIFS(Продажи!Q$5:Q$359,Продажи!$D$5:$D$359,Конструкторы!$B1210,Продажи!$C$5:$C$359,Конструкторы!$A1210)*$D1210</f>
        <v>0</v>
      </c>
    </row>
    <row r="1211" spans="1:20" ht="25.5" x14ac:dyDescent="0.25">
      <c r="A1211" s="166" t="s">
        <v>398</v>
      </c>
      <c r="B1211" s="162" t="s">
        <v>459</v>
      </c>
      <c r="C1211" s="173" t="s">
        <v>47</v>
      </c>
      <c r="D1211" s="163">
        <f t="shared" si="10"/>
        <v>0.12885253599507585</v>
      </c>
      <c r="E1211" s="163"/>
      <c r="F1211" s="166">
        <v>1015.3</v>
      </c>
      <c r="G1211" s="166"/>
      <c r="H1211" s="166"/>
      <c r="I1211" s="166">
        <f>SUMIFS(Продажи!F$5:F$359,Продажи!$D$5:$D$359,Конструкторы!$B1211,Продажи!$C$5:$C$359,Конструкторы!$A1211)*$D1211</f>
        <v>0</v>
      </c>
      <c r="J1211" s="166">
        <f>SUMIFS(Продажи!G$5:G$359,Продажи!$D$5:$D$359,Конструкторы!$B1211,Продажи!$C$5:$C$359,Конструкторы!$A1211)*$D1211</f>
        <v>0</v>
      </c>
      <c r="K1211" s="166">
        <f>SUMIFS(Продажи!H$5:H$359,Продажи!$D$5:$D$359,Конструкторы!$B1211,Продажи!$C$5:$C$359,Конструкторы!$A1211)*$D1211</f>
        <v>0</v>
      </c>
      <c r="L1211" s="166">
        <f>SUMIFS(Продажи!I$5:I$359,Продажи!$D$5:$D$359,Конструкторы!$B1211,Продажи!$C$5:$C$359,Конструкторы!$A1211)*$D1211</f>
        <v>0</v>
      </c>
      <c r="M1211" s="166">
        <f>SUMIFS(Продажи!J$5:J$359,Продажи!$D$5:$D$359,Конструкторы!$B1211,Продажи!$C$5:$C$359,Конструкторы!$A1211)*$D1211</f>
        <v>0</v>
      </c>
      <c r="N1211" s="166">
        <f>SUMIFS(Продажи!K$5:K$359,Продажи!$D$5:$D$359,Конструкторы!$B1211,Продажи!$C$5:$C$359,Конструкторы!$A1211)*$D1211</f>
        <v>0</v>
      </c>
      <c r="O1211" s="166">
        <f>SUMIFS(Продажи!L$5:L$359,Продажи!$D$5:$D$359,Конструкторы!$B1211,Продажи!$C$5:$C$359,Конструкторы!$A1211)*$D1211</f>
        <v>0</v>
      </c>
      <c r="P1211" s="166">
        <f>SUMIFS(Продажи!M$5:M$359,Продажи!$D$5:$D$359,Конструкторы!$B1211,Продажи!$C$5:$C$359,Конструкторы!$A1211)*$D1211</f>
        <v>0</v>
      </c>
      <c r="Q1211" s="166">
        <f>SUMIFS(Продажи!N$5:N$359,Продажи!$D$5:$D$359,Конструкторы!$B1211,Продажи!$C$5:$C$359,Конструкторы!$A1211)*$D1211</f>
        <v>0</v>
      </c>
      <c r="R1211" s="166">
        <f>SUMIFS(Продажи!O$5:O$359,Продажи!$D$5:$D$359,Конструкторы!$B1211,Продажи!$C$5:$C$359,Конструкторы!$A1211)*$D1211</f>
        <v>0</v>
      </c>
      <c r="S1211" s="166">
        <f>SUMIFS(Продажи!P$5:P$359,Продажи!$D$5:$D$359,Конструкторы!$B1211,Продажи!$C$5:$C$359,Конструкторы!$A1211)*$D1211</f>
        <v>0</v>
      </c>
      <c r="T1211" s="166">
        <f>SUMIFS(Продажи!Q$5:Q$359,Продажи!$D$5:$D$359,Конструкторы!$B1211,Продажи!$C$5:$C$359,Конструкторы!$A1211)*$D1211</f>
        <v>0</v>
      </c>
    </row>
    <row r="1212" spans="1:20" x14ac:dyDescent="0.25">
      <c r="A1212" s="166" t="s">
        <v>398</v>
      </c>
      <c r="B1212" s="166" t="s">
        <v>460</v>
      </c>
      <c r="C1212" s="173" t="s">
        <v>33</v>
      </c>
      <c r="D1212" s="163">
        <f>F1212/SUM($F$1212:$F$1219)</f>
        <v>0.27458087902129585</v>
      </c>
      <c r="E1212" s="163"/>
      <c r="F1212" s="166">
        <v>606</v>
      </c>
      <c r="G1212" s="166"/>
      <c r="H1212" s="167"/>
      <c r="I1212" s="166">
        <f>SUMIFS(Продажи!F$5:F$359,Продажи!$D$5:$D$359,Конструкторы!$B1212,Продажи!$C$5:$C$359,Конструкторы!$A1212)*$D1212</f>
        <v>0</v>
      </c>
      <c r="J1212" s="166">
        <f>SUMIFS(Продажи!G$5:G$359,Продажи!$D$5:$D$359,Конструкторы!$B1212,Продажи!$C$5:$C$359,Конструкторы!$A1212)*$D1212</f>
        <v>0</v>
      </c>
      <c r="K1212" s="166">
        <f>SUMIFS(Продажи!H$5:H$359,Продажи!$D$5:$D$359,Конструкторы!$B1212,Продажи!$C$5:$C$359,Конструкторы!$A1212)*$D1212</f>
        <v>0</v>
      </c>
      <c r="L1212" s="166">
        <f>SUMIFS(Продажи!I$5:I$359,Продажи!$D$5:$D$359,Конструкторы!$B1212,Продажи!$C$5:$C$359,Конструкторы!$A1212)*$D1212</f>
        <v>0</v>
      </c>
      <c r="M1212" s="166">
        <f>SUMIFS(Продажи!J$5:J$359,Продажи!$D$5:$D$359,Конструкторы!$B1212,Продажи!$C$5:$C$359,Конструкторы!$A1212)*$D1212</f>
        <v>0</v>
      </c>
      <c r="N1212" s="166">
        <f>SUMIFS(Продажи!K$5:K$359,Продажи!$D$5:$D$359,Конструкторы!$B1212,Продажи!$C$5:$C$359,Конструкторы!$A1212)*$D1212</f>
        <v>0</v>
      </c>
      <c r="O1212" s="166">
        <f>SUMIFS(Продажи!L$5:L$359,Продажи!$D$5:$D$359,Конструкторы!$B1212,Продажи!$C$5:$C$359,Конструкторы!$A1212)*$D1212</f>
        <v>0</v>
      </c>
      <c r="P1212" s="166">
        <f>SUMIFS(Продажи!M$5:M$359,Продажи!$D$5:$D$359,Конструкторы!$B1212,Продажи!$C$5:$C$359,Конструкторы!$A1212)*$D1212</f>
        <v>0</v>
      </c>
      <c r="Q1212" s="166">
        <f>SUMIFS(Продажи!N$5:N$359,Продажи!$D$5:$D$359,Конструкторы!$B1212,Продажи!$C$5:$C$359,Конструкторы!$A1212)*$D1212</f>
        <v>0</v>
      </c>
      <c r="R1212" s="166">
        <f>SUMIFS(Продажи!O$5:O$359,Продажи!$D$5:$D$359,Конструкторы!$B1212,Продажи!$C$5:$C$359,Конструкторы!$A1212)*$D1212</f>
        <v>0</v>
      </c>
      <c r="S1212" s="166">
        <f>SUMIFS(Продажи!P$5:P$359,Продажи!$D$5:$D$359,Конструкторы!$B1212,Продажи!$C$5:$C$359,Конструкторы!$A1212)*$D1212</f>
        <v>0</v>
      </c>
      <c r="T1212" s="166">
        <f>SUMIFS(Продажи!Q$5:Q$359,Продажи!$D$5:$D$359,Конструкторы!$B1212,Продажи!$C$5:$C$359,Конструкторы!$A1212)*$D1212</f>
        <v>0</v>
      </c>
    </row>
    <row r="1213" spans="1:20" x14ac:dyDescent="0.25">
      <c r="A1213" s="166" t="s">
        <v>398</v>
      </c>
      <c r="B1213" s="166" t="s">
        <v>460</v>
      </c>
      <c r="C1213" s="129" t="s">
        <v>34</v>
      </c>
      <c r="D1213" s="163">
        <f t="shared" ref="D1213:D1219" si="11">F1213/SUM($F$1212:$F$1219)</f>
        <v>6.8871771635704571E-2</v>
      </c>
      <c r="E1213" s="163"/>
      <c r="F1213" s="166">
        <v>152</v>
      </c>
      <c r="G1213" s="166"/>
      <c r="H1213" s="167"/>
      <c r="I1213" s="166">
        <f>SUMIFS(Продажи!F$5:F$359,Продажи!$D$5:$D$359,Конструкторы!$B1213,Продажи!$C$5:$C$359,Конструкторы!$A1213)*$D1213</f>
        <v>0</v>
      </c>
      <c r="J1213" s="166">
        <f>SUMIFS(Продажи!G$5:G$359,Продажи!$D$5:$D$359,Конструкторы!$B1213,Продажи!$C$5:$C$359,Конструкторы!$A1213)*$D1213</f>
        <v>0</v>
      </c>
      <c r="K1213" s="166">
        <f>SUMIFS(Продажи!H$5:H$359,Продажи!$D$5:$D$359,Конструкторы!$B1213,Продажи!$C$5:$C$359,Конструкторы!$A1213)*$D1213</f>
        <v>0</v>
      </c>
      <c r="L1213" s="166">
        <f>SUMIFS(Продажи!I$5:I$359,Продажи!$D$5:$D$359,Конструкторы!$B1213,Продажи!$C$5:$C$359,Конструкторы!$A1213)*$D1213</f>
        <v>0</v>
      </c>
      <c r="M1213" s="166">
        <f>SUMIFS(Продажи!J$5:J$359,Продажи!$D$5:$D$359,Конструкторы!$B1213,Продажи!$C$5:$C$359,Конструкторы!$A1213)*$D1213</f>
        <v>0</v>
      </c>
      <c r="N1213" s="166">
        <f>SUMIFS(Продажи!K$5:K$359,Продажи!$D$5:$D$359,Конструкторы!$B1213,Продажи!$C$5:$C$359,Конструкторы!$A1213)*$D1213</f>
        <v>0</v>
      </c>
      <c r="O1213" s="166">
        <f>SUMIFS(Продажи!L$5:L$359,Продажи!$D$5:$D$359,Конструкторы!$B1213,Продажи!$C$5:$C$359,Конструкторы!$A1213)*$D1213</f>
        <v>0</v>
      </c>
      <c r="P1213" s="166">
        <f>SUMIFS(Продажи!M$5:M$359,Продажи!$D$5:$D$359,Конструкторы!$B1213,Продажи!$C$5:$C$359,Конструкторы!$A1213)*$D1213</f>
        <v>0</v>
      </c>
      <c r="Q1213" s="166">
        <f>SUMIFS(Продажи!N$5:N$359,Продажи!$D$5:$D$359,Конструкторы!$B1213,Продажи!$C$5:$C$359,Конструкторы!$A1213)*$D1213</f>
        <v>0</v>
      </c>
      <c r="R1213" s="166">
        <f>SUMIFS(Продажи!O$5:O$359,Продажи!$D$5:$D$359,Конструкторы!$B1213,Продажи!$C$5:$C$359,Конструкторы!$A1213)*$D1213</f>
        <v>0</v>
      </c>
      <c r="S1213" s="166">
        <f>SUMIFS(Продажи!P$5:P$359,Продажи!$D$5:$D$359,Конструкторы!$B1213,Продажи!$C$5:$C$359,Конструкторы!$A1213)*$D1213</f>
        <v>0</v>
      </c>
      <c r="T1213" s="166">
        <f>SUMIFS(Продажи!Q$5:Q$359,Продажи!$D$5:$D$359,Конструкторы!$B1213,Продажи!$C$5:$C$359,Конструкторы!$A1213)*$D1213</f>
        <v>0</v>
      </c>
    </row>
    <row r="1214" spans="1:20" x14ac:dyDescent="0.25">
      <c r="A1214" s="166" t="s">
        <v>398</v>
      </c>
      <c r="B1214" s="166" t="s">
        <v>460</v>
      </c>
      <c r="C1214" s="129" t="s">
        <v>35</v>
      </c>
      <c r="D1214" s="163">
        <f t="shared" si="11"/>
        <v>0.43996375169913909</v>
      </c>
      <c r="E1214" s="163"/>
      <c r="F1214" s="166">
        <v>971</v>
      </c>
      <c r="G1214" s="166"/>
      <c r="H1214" s="167"/>
      <c r="I1214" s="166">
        <f>SUMIFS(Продажи!F$5:F$359,Продажи!$D$5:$D$359,Конструкторы!$B1214,Продажи!$C$5:$C$359,Конструкторы!$A1214)*$D1214</f>
        <v>0</v>
      </c>
      <c r="J1214" s="166">
        <f>SUMIFS(Продажи!G$5:G$359,Продажи!$D$5:$D$359,Конструкторы!$B1214,Продажи!$C$5:$C$359,Конструкторы!$A1214)*$D1214</f>
        <v>0</v>
      </c>
      <c r="K1214" s="166">
        <f>SUMIFS(Продажи!H$5:H$359,Продажи!$D$5:$D$359,Конструкторы!$B1214,Продажи!$C$5:$C$359,Конструкторы!$A1214)*$D1214</f>
        <v>0</v>
      </c>
      <c r="L1214" s="166">
        <f>SUMIFS(Продажи!I$5:I$359,Продажи!$D$5:$D$359,Конструкторы!$B1214,Продажи!$C$5:$C$359,Конструкторы!$A1214)*$D1214</f>
        <v>0</v>
      </c>
      <c r="M1214" s="166">
        <f>SUMIFS(Продажи!J$5:J$359,Продажи!$D$5:$D$359,Конструкторы!$B1214,Продажи!$C$5:$C$359,Конструкторы!$A1214)*$D1214</f>
        <v>0</v>
      </c>
      <c r="N1214" s="166">
        <f>SUMIFS(Продажи!K$5:K$359,Продажи!$D$5:$D$359,Конструкторы!$B1214,Продажи!$C$5:$C$359,Конструкторы!$A1214)*$D1214</f>
        <v>0</v>
      </c>
      <c r="O1214" s="166">
        <f>SUMIFS(Продажи!L$5:L$359,Продажи!$D$5:$D$359,Конструкторы!$B1214,Продажи!$C$5:$C$359,Конструкторы!$A1214)*$D1214</f>
        <v>0</v>
      </c>
      <c r="P1214" s="166">
        <f>SUMIFS(Продажи!M$5:M$359,Продажи!$D$5:$D$359,Конструкторы!$B1214,Продажи!$C$5:$C$359,Конструкторы!$A1214)*$D1214</f>
        <v>0</v>
      </c>
      <c r="Q1214" s="166">
        <f>SUMIFS(Продажи!N$5:N$359,Продажи!$D$5:$D$359,Конструкторы!$B1214,Продажи!$C$5:$C$359,Конструкторы!$A1214)*$D1214</f>
        <v>0</v>
      </c>
      <c r="R1214" s="166">
        <f>SUMIFS(Продажи!O$5:O$359,Продажи!$D$5:$D$359,Конструкторы!$B1214,Продажи!$C$5:$C$359,Конструкторы!$A1214)*$D1214</f>
        <v>0</v>
      </c>
      <c r="S1214" s="166">
        <f>SUMIFS(Продажи!P$5:P$359,Продажи!$D$5:$D$359,Конструкторы!$B1214,Продажи!$C$5:$C$359,Конструкторы!$A1214)*$D1214</f>
        <v>0</v>
      </c>
      <c r="T1214" s="166">
        <f>SUMIFS(Продажи!Q$5:Q$359,Продажи!$D$5:$D$359,Конструкторы!$B1214,Продажи!$C$5:$C$359,Конструкторы!$A1214)*$D1214</f>
        <v>0</v>
      </c>
    </row>
    <row r="1215" spans="1:20" x14ac:dyDescent="0.25">
      <c r="A1215" s="166" t="s">
        <v>398</v>
      </c>
      <c r="B1215" s="166" t="s">
        <v>460</v>
      </c>
      <c r="C1215" s="173" t="s">
        <v>45</v>
      </c>
      <c r="D1215" s="163">
        <f t="shared" si="11"/>
        <v>0.14952424105120071</v>
      </c>
      <c r="E1215" s="163"/>
      <c r="F1215" s="166">
        <v>330</v>
      </c>
      <c r="G1215" s="166"/>
      <c r="H1215" s="167"/>
      <c r="I1215" s="166">
        <f>SUMIFS(Продажи!F$5:F$359,Продажи!$D$5:$D$359,Конструкторы!$B1215,Продажи!$C$5:$C$359,Конструкторы!$A1215)*$D1215</f>
        <v>0</v>
      </c>
      <c r="J1215" s="166">
        <f>SUMIFS(Продажи!G$5:G$359,Продажи!$D$5:$D$359,Конструкторы!$B1215,Продажи!$C$5:$C$359,Конструкторы!$A1215)*$D1215</f>
        <v>0</v>
      </c>
      <c r="K1215" s="166">
        <f>SUMIFS(Продажи!H$5:H$359,Продажи!$D$5:$D$359,Конструкторы!$B1215,Продажи!$C$5:$C$359,Конструкторы!$A1215)*$D1215</f>
        <v>0</v>
      </c>
      <c r="L1215" s="166">
        <f>SUMIFS(Продажи!I$5:I$359,Продажи!$D$5:$D$359,Конструкторы!$B1215,Продажи!$C$5:$C$359,Конструкторы!$A1215)*$D1215</f>
        <v>0</v>
      </c>
      <c r="M1215" s="166">
        <f>SUMIFS(Продажи!J$5:J$359,Продажи!$D$5:$D$359,Конструкторы!$B1215,Продажи!$C$5:$C$359,Конструкторы!$A1215)*$D1215</f>
        <v>0</v>
      </c>
      <c r="N1215" s="166">
        <f>SUMIFS(Продажи!K$5:K$359,Продажи!$D$5:$D$359,Конструкторы!$B1215,Продажи!$C$5:$C$359,Конструкторы!$A1215)*$D1215</f>
        <v>0</v>
      </c>
      <c r="O1215" s="166">
        <f>SUMIFS(Продажи!L$5:L$359,Продажи!$D$5:$D$359,Конструкторы!$B1215,Продажи!$C$5:$C$359,Конструкторы!$A1215)*$D1215</f>
        <v>0</v>
      </c>
      <c r="P1215" s="166">
        <f>SUMIFS(Продажи!M$5:M$359,Продажи!$D$5:$D$359,Конструкторы!$B1215,Продажи!$C$5:$C$359,Конструкторы!$A1215)*$D1215</f>
        <v>0</v>
      </c>
      <c r="Q1215" s="166">
        <f>SUMIFS(Продажи!N$5:N$359,Продажи!$D$5:$D$359,Конструкторы!$B1215,Продажи!$C$5:$C$359,Конструкторы!$A1215)*$D1215</f>
        <v>0</v>
      </c>
      <c r="R1215" s="166">
        <f>SUMIFS(Продажи!O$5:O$359,Продажи!$D$5:$D$359,Конструкторы!$B1215,Продажи!$C$5:$C$359,Конструкторы!$A1215)*$D1215</f>
        <v>0</v>
      </c>
      <c r="S1215" s="166">
        <f>SUMIFS(Продажи!P$5:P$359,Продажи!$D$5:$D$359,Конструкторы!$B1215,Продажи!$C$5:$C$359,Конструкторы!$A1215)*$D1215</f>
        <v>0</v>
      </c>
      <c r="T1215" s="166">
        <f>SUMIFS(Продажи!Q$5:Q$359,Продажи!$D$5:$D$359,Конструкторы!$B1215,Продажи!$C$5:$C$359,Конструкторы!$A1215)*$D1215</f>
        <v>0</v>
      </c>
    </row>
    <row r="1216" spans="1:20" x14ac:dyDescent="0.25">
      <c r="A1216" s="166" t="s">
        <v>398</v>
      </c>
      <c r="B1216" s="166" t="s">
        <v>460</v>
      </c>
      <c r="C1216" s="173" t="s">
        <v>10</v>
      </c>
      <c r="D1216" s="163">
        <f t="shared" si="11"/>
        <v>9.0620752152242867E-4</v>
      </c>
      <c r="E1216" s="163"/>
      <c r="F1216" s="166">
        <v>2</v>
      </c>
      <c r="G1216" s="166"/>
      <c r="H1216" s="167"/>
      <c r="I1216" s="166">
        <f>SUMIFS(Продажи!F$5:F$359,Продажи!$D$5:$D$359,Конструкторы!$B1216,Продажи!$C$5:$C$359,Конструкторы!$A1216)*$D1216</f>
        <v>0</v>
      </c>
      <c r="J1216" s="166">
        <f>SUMIFS(Продажи!G$5:G$359,Продажи!$D$5:$D$359,Конструкторы!$B1216,Продажи!$C$5:$C$359,Конструкторы!$A1216)*$D1216</f>
        <v>0</v>
      </c>
      <c r="K1216" s="166">
        <f>SUMIFS(Продажи!H$5:H$359,Продажи!$D$5:$D$359,Конструкторы!$B1216,Продажи!$C$5:$C$359,Конструкторы!$A1216)*$D1216</f>
        <v>0</v>
      </c>
      <c r="L1216" s="166">
        <f>SUMIFS(Продажи!I$5:I$359,Продажи!$D$5:$D$359,Конструкторы!$B1216,Продажи!$C$5:$C$359,Конструкторы!$A1216)*$D1216</f>
        <v>0</v>
      </c>
      <c r="M1216" s="166">
        <f>SUMIFS(Продажи!J$5:J$359,Продажи!$D$5:$D$359,Конструкторы!$B1216,Продажи!$C$5:$C$359,Конструкторы!$A1216)*$D1216</f>
        <v>0</v>
      </c>
      <c r="N1216" s="166">
        <f>SUMIFS(Продажи!K$5:K$359,Продажи!$D$5:$D$359,Конструкторы!$B1216,Продажи!$C$5:$C$359,Конструкторы!$A1216)*$D1216</f>
        <v>0</v>
      </c>
      <c r="O1216" s="166">
        <f>SUMIFS(Продажи!L$5:L$359,Продажи!$D$5:$D$359,Конструкторы!$B1216,Продажи!$C$5:$C$359,Конструкторы!$A1216)*$D1216</f>
        <v>0</v>
      </c>
      <c r="P1216" s="166">
        <f>SUMIFS(Продажи!M$5:M$359,Продажи!$D$5:$D$359,Конструкторы!$B1216,Продажи!$C$5:$C$359,Конструкторы!$A1216)*$D1216</f>
        <v>0</v>
      </c>
      <c r="Q1216" s="166">
        <f>SUMIFS(Продажи!N$5:N$359,Продажи!$D$5:$D$359,Конструкторы!$B1216,Продажи!$C$5:$C$359,Конструкторы!$A1216)*$D1216</f>
        <v>0</v>
      </c>
      <c r="R1216" s="166">
        <f>SUMIFS(Продажи!O$5:O$359,Продажи!$D$5:$D$359,Конструкторы!$B1216,Продажи!$C$5:$C$359,Конструкторы!$A1216)*$D1216</f>
        <v>0</v>
      </c>
      <c r="S1216" s="166">
        <f>SUMIFS(Продажи!P$5:P$359,Продажи!$D$5:$D$359,Конструкторы!$B1216,Продажи!$C$5:$C$359,Конструкторы!$A1216)*$D1216</f>
        <v>0</v>
      </c>
      <c r="T1216" s="166">
        <f>SUMIFS(Продажи!Q$5:Q$359,Продажи!$D$5:$D$359,Конструкторы!$B1216,Продажи!$C$5:$C$359,Конструкторы!$A1216)*$D1216</f>
        <v>0</v>
      </c>
    </row>
    <row r="1217" spans="1:20" x14ac:dyDescent="0.25">
      <c r="A1217" s="166" t="s">
        <v>398</v>
      </c>
      <c r="B1217" s="166" t="s">
        <v>460</v>
      </c>
      <c r="C1217" s="173" t="s">
        <v>24</v>
      </c>
      <c r="D1217" s="163">
        <f t="shared" si="11"/>
        <v>2.2655188038060714E-3</v>
      </c>
      <c r="E1217" s="163"/>
      <c r="F1217" s="166">
        <v>5</v>
      </c>
      <c r="G1217" s="166"/>
      <c r="H1217" s="167"/>
      <c r="I1217" s="166">
        <f>SUMIFS(Продажи!F$5:F$359,Продажи!$D$5:$D$359,Конструкторы!$B1217,Продажи!$C$5:$C$359,Конструкторы!$A1217)*$D1217</f>
        <v>0</v>
      </c>
      <c r="J1217" s="166">
        <f>SUMIFS(Продажи!G$5:G$359,Продажи!$D$5:$D$359,Конструкторы!$B1217,Продажи!$C$5:$C$359,Конструкторы!$A1217)*$D1217</f>
        <v>0</v>
      </c>
      <c r="K1217" s="166">
        <f>SUMIFS(Продажи!H$5:H$359,Продажи!$D$5:$D$359,Конструкторы!$B1217,Продажи!$C$5:$C$359,Конструкторы!$A1217)*$D1217</f>
        <v>0</v>
      </c>
      <c r="L1217" s="166">
        <f>SUMIFS(Продажи!I$5:I$359,Продажи!$D$5:$D$359,Конструкторы!$B1217,Продажи!$C$5:$C$359,Конструкторы!$A1217)*$D1217</f>
        <v>0</v>
      </c>
      <c r="M1217" s="166">
        <f>SUMIFS(Продажи!J$5:J$359,Продажи!$D$5:$D$359,Конструкторы!$B1217,Продажи!$C$5:$C$359,Конструкторы!$A1217)*$D1217</f>
        <v>0</v>
      </c>
      <c r="N1217" s="166">
        <f>SUMIFS(Продажи!K$5:K$359,Продажи!$D$5:$D$359,Конструкторы!$B1217,Продажи!$C$5:$C$359,Конструкторы!$A1217)*$D1217</f>
        <v>0</v>
      </c>
      <c r="O1217" s="166">
        <f>SUMIFS(Продажи!L$5:L$359,Продажи!$D$5:$D$359,Конструкторы!$B1217,Продажи!$C$5:$C$359,Конструкторы!$A1217)*$D1217</f>
        <v>0</v>
      </c>
      <c r="P1217" s="166">
        <f>SUMIFS(Продажи!M$5:M$359,Продажи!$D$5:$D$359,Конструкторы!$B1217,Продажи!$C$5:$C$359,Конструкторы!$A1217)*$D1217</f>
        <v>0</v>
      </c>
      <c r="Q1217" s="166">
        <f>SUMIFS(Продажи!N$5:N$359,Продажи!$D$5:$D$359,Конструкторы!$B1217,Продажи!$C$5:$C$359,Конструкторы!$A1217)*$D1217</f>
        <v>0</v>
      </c>
      <c r="R1217" s="166">
        <f>SUMIFS(Продажи!O$5:O$359,Продажи!$D$5:$D$359,Конструкторы!$B1217,Продажи!$C$5:$C$359,Конструкторы!$A1217)*$D1217</f>
        <v>0</v>
      </c>
      <c r="S1217" s="166">
        <f>SUMIFS(Продажи!P$5:P$359,Продажи!$D$5:$D$359,Конструкторы!$B1217,Продажи!$C$5:$C$359,Конструкторы!$A1217)*$D1217</f>
        <v>0</v>
      </c>
      <c r="T1217" s="166">
        <f>SUMIFS(Продажи!Q$5:Q$359,Продажи!$D$5:$D$359,Конструкторы!$B1217,Продажи!$C$5:$C$359,Конструкторы!$A1217)*$D1217</f>
        <v>0</v>
      </c>
    </row>
    <row r="1218" spans="1:20" x14ac:dyDescent="0.25">
      <c r="A1218" s="166" t="s">
        <v>398</v>
      </c>
      <c r="B1218" s="166" t="s">
        <v>460</v>
      </c>
      <c r="C1218" s="173" t="s">
        <v>26</v>
      </c>
      <c r="D1218" s="163">
        <f t="shared" si="11"/>
        <v>1.3140009062075216E-2</v>
      </c>
      <c r="E1218" s="163"/>
      <c r="F1218" s="166">
        <v>29</v>
      </c>
      <c r="G1218" s="166"/>
      <c r="H1218" s="167"/>
      <c r="I1218" s="166">
        <f>SUMIFS(Продажи!F$5:F$359,Продажи!$D$5:$D$359,Конструкторы!$B1218,Продажи!$C$5:$C$359,Конструкторы!$A1218)*$D1218</f>
        <v>0</v>
      </c>
      <c r="J1218" s="166">
        <f>SUMIFS(Продажи!G$5:G$359,Продажи!$D$5:$D$359,Конструкторы!$B1218,Продажи!$C$5:$C$359,Конструкторы!$A1218)*$D1218</f>
        <v>0</v>
      </c>
      <c r="K1218" s="166">
        <f>SUMIFS(Продажи!H$5:H$359,Продажи!$D$5:$D$359,Конструкторы!$B1218,Продажи!$C$5:$C$359,Конструкторы!$A1218)*$D1218</f>
        <v>0</v>
      </c>
      <c r="L1218" s="166">
        <f>SUMIFS(Продажи!I$5:I$359,Продажи!$D$5:$D$359,Конструкторы!$B1218,Продажи!$C$5:$C$359,Конструкторы!$A1218)*$D1218</f>
        <v>0</v>
      </c>
      <c r="M1218" s="166">
        <f>SUMIFS(Продажи!J$5:J$359,Продажи!$D$5:$D$359,Конструкторы!$B1218,Продажи!$C$5:$C$359,Конструкторы!$A1218)*$D1218</f>
        <v>0</v>
      </c>
      <c r="N1218" s="166">
        <f>SUMIFS(Продажи!K$5:K$359,Продажи!$D$5:$D$359,Конструкторы!$B1218,Продажи!$C$5:$C$359,Конструкторы!$A1218)*$D1218</f>
        <v>0</v>
      </c>
      <c r="O1218" s="166">
        <f>SUMIFS(Продажи!L$5:L$359,Продажи!$D$5:$D$359,Конструкторы!$B1218,Продажи!$C$5:$C$359,Конструкторы!$A1218)*$D1218</f>
        <v>0</v>
      </c>
      <c r="P1218" s="166">
        <f>SUMIFS(Продажи!M$5:M$359,Продажи!$D$5:$D$359,Конструкторы!$B1218,Продажи!$C$5:$C$359,Конструкторы!$A1218)*$D1218</f>
        <v>0</v>
      </c>
      <c r="Q1218" s="166">
        <f>SUMIFS(Продажи!N$5:N$359,Продажи!$D$5:$D$359,Конструкторы!$B1218,Продажи!$C$5:$C$359,Конструкторы!$A1218)*$D1218</f>
        <v>0</v>
      </c>
      <c r="R1218" s="166">
        <f>SUMIFS(Продажи!O$5:O$359,Продажи!$D$5:$D$359,Конструкторы!$B1218,Продажи!$C$5:$C$359,Конструкторы!$A1218)*$D1218</f>
        <v>0</v>
      </c>
      <c r="S1218" s="166">
        <f>SUMIFS(Продажи!P$5:P$359,Продажи!$D$5:$D$359,Конструкторы!$B1218,Продажи!$C$5:$C$359,Конструкторы!$A1218)*$D1218</f>
        <v>0</v>
      </c>
      <c r="T1218" s="166">
        <f>SUMIFS(Продажи!Q$5:Q$359,Продажи!$D$5:$D$359,Конструкторы!$B1218,Продажи!$C$5:$C$359,Конструкторы!$A1218)*$D1218</f>
        <v>0</v>
      </c>
    </row>
    <row r="1219" spans="1:20" x14ac:dyDescent="0.25">
      <c r="A1219" s="166" t="s">
        <v>398</v>
      </c>
      <c r="B1219" s="166" t="s">
        <v>460</v>
      </c>
      <c r="C1219" s="129" t="s">
        <v>30</v>
      </c>
      <c r="D1219" s="163">
        <f t="shared" si="11"/>
        <v>5.0747621205256006E-2</v>
      </c>
      <c r="E1219" s="163"/>
      <c r="F1219" s="166">
        <v>112</v>
      </c>
      <c r="G1219" s="166"/>
      <c r="H1219" s="167"/>
      <c r="I1219" s="166">
        <f>SUMIFS(Продажи!F$5:F$359,Продажи!$D$5:$D$359,Конструкторы!$B1219,Продажи!$C$5:$C$359,Конструкторы!$A1219)*$D1219</f>
        <v>0</v>
      </c>
      <c r="J1219" s="166">
        <f>SUMIFS(Продажи!G$5:G$359,Продажи!$D$5:$D$359,Конструкторы!$B1219,Продажи!$C$5:$C$359,Конструкторы!$A1219)*$D1219</f>
        <v>0</v>
      </c>
      <c r="K1219" s="166">
        <f>SUMIFS(Продажи!H$5:H$359,Продажи!$D$5:$D$359,Конструкторы!$B1219,Продажи!$C$5:$C$359,Конструкторы!$A1219)*$D1219</f>
        <v>0</v>
      </c>
      <c r="L1219" s="166">
        <f>SUMIFS(Продажи!I$5:I$359,Продажи!$D$5:$D$359,Конструкторы!$B1219,Продажи!$C$5:$C$359,Конструкторы!$A1219)*$D1219</f>
        <v>0</v>
      </c>
      <c r="M1219" s="166">
        <f>SUMIFS(Продажи!J$5:J$359,Продажи!$D$5:$D$359,Конструкторы!$B1219,Продажи!$C$5:$C$359,Конструкторы!$A1219)*$D1219</f>
        <v>0</v>
      </c>
      <c r="N1219" s="166">
        <f>SUMIFS(Продажи!K$5:K$359,Продажи!$D$5:$D$359,Конструкторы!$B1219,Продажи!$C$5:$C$359,Конструкторы!$A1219)*$D1219</f>
        <v>0</v>
      </c>
      <c r="O1219" s="166">
        <f>SUMIFS(Продажи!L$5:L$359,Продажи!$D$5:$D$359,Конструкторы!$B1219,Продажи!$C$5:$C$359,Конструкторы!$A1219)*$D1219</f>
        <v>0</v>
      </c>
      <c r="P1219" s="166">
        <f>SUMIFS(Продажи!M$5:M$359,Продажи!$D$5:$D$359,Конструкторы!$B1219,Продажи!$C$5:$C$359,Конструкторы!$A1219)*$D1219</f>
        <v>0</v>
      </c>
      <c r="Q1219" s="166">
        <f>SUMIFS(Продажи!N$5:N$359,Продажи!$D$5:$D$359,Конструкторы!$B1219,Продажи!$C$5:$C$359,Конструкторы!$A1219)*$D1219</f>
        <v>0</v>
      </c>
      <c r="R1219" s="166">
        <f>SUMIFS(Продажи!O$5:O$359,Продажи!$D$5:$D$359,Конструкторы!$B1219,Продажи!$C$5:$C$359,Конструкторы!$A1219)*$D1219</f>
        <v>0</v>
      </c>
      <c r="S1219" s="166">
        <f>SUMIFS(Продажи!P$5:P$359,Продажи!$D$5:$D$359,Конструкторы!$B1219,Продажи!$C$5:$C$359,Конструкторы!$A1219)*$D1219</f>
        <v>0</v>
      </c>
      <c r="T1219" s="166">
        <f>SUMIFS(Продажи!Q$5:Q$359,Продажи!$D$5:$D$359,Конструкторы!$B1219,Продажи!$C$5:$C$359,Конструкторы!$A1219)*$D1219</f>
        <v>0</v>
      </c>
    </row>
    <row r="1220" spans="1:20" x14ac:dyDescent="0.25">
      <c r="A1220" s="166" t="s">
        <v>398</v>
      </c>
      <c r="B1220" s="165" t="s">
        <v>461</v>
      </c>
      <c r="C1220" s="129" t="s">
        <v>34</v>
      </c>
      <c r="D1220" s="163">
        <f>F1220/SUM($F$1220:$F$1229)</f>
        <v>0.33279742765273312</v>
      </c>
      <c r="E1220" s="163"/>
      <c r="F1220" s="166">
        <v>22770</v>
      </c>
      <c r="G1220" s="166"/>
      <c r="H1220" s="167"/>
      <c r="I1220" s="166">
        <f>SUMIFS(Продажи!F$5:F$359,Продажи!$D$5:$D$359,Конструкторы!$B1220,Продажи!$C$5:$C$359,Конструкторы!$A1220)*$D1220</f>
        <v>0</v>
      </c>
      <c r="J1220" s="166">
        <f>SUMIFS(Продажи!G$5:G$359,Продажи!$D$5:$D$359,Конструкторы!$B1220,Продажи!$C$5:$C$359,Конструкторы!$A1220)*$D1220</f>
        <v>0</v>
      </c>
      <c r="K1220" s="166">
        <f>SUMIFS(Продажи!H$5:H$359,Продажи!$D$5:$D$359,Конструкторы!$B1220,Продажи!$C$5:$C$359,Конструкторы!$A1220)*$D1220</f>
        <v>0</v>
      </c>
      <c r="L1220" s="166">
        <f>SUMIFS(Продажи!I$5:I$359,Продажи!$D$5:$D$359,Конструкторы!$B1220,Продажи!$C$5:$C$359,Конструкторы!$A1220)*$D1220</f>
        <v>0</v>
      </c>
      <c r="M1220" s="166">
        <f>SUMIFS(Продажи!J$5:J$359,Продажи!$D$5:$D$359,Конструкторы!$B1220,Продажи!$C$5:$C$359,Конструкторы!$A1220)*$D1220</f>
        <v>0</v>
      </c>
      <c r="N1220" s="166">
        <f>SUMIFS(Продажи!K$5:K$359,Продажи!$D$5:$D$359,Конструкторы!$B1220,Продажи!$C$5:$C$359,Конструкторы!$A1220)*$D1220</f>
        <v>0</v>
      </c>
      <c r="O1220" s="166">
        <f>SUMIFS(Продажи!L$5:L$359,Продажи!$D$5:$D$359,Конструкторы!$B1220,Продажи!$C$5:$C$359,Конструкторы!$A1220)*$D1220</f>
        <v>0</v>
      </c>
      <c r="P1220" s="166">
        <f>SUMIFS(Продажи!M$5:M$359,Продажи!$D$5:$D$359,Конструкторы!$B1220,Продажи!$C$5:$C$359,Конструкторы!$A1220)*$D1220</f>
        <v>0</v>
      </c>
      <c r="Q1220" s="166">
        <f>SUMIFS(Продажи!N$5:N$359,Продажи!$D$5:$D$359,Конструкторы!$B1220,Продажи!$C$5:$C$359,Конструкторы!$A1220)*$D1220</f>
        <v>0</v>
      </c>
      <c r="R1220" s="166">
        <f>SUMIFS(Продажи!O$5:O$359,Продажи!$D$5:$D$359,Конструкторы!$B1220,Продажи!$C$5:$C$359,Конструкторы!$A1220)*$D1220</f>
        <v>0</v>
      </c>
      <c r="S1220" s="166">
        <f>SUMIFS(Продажи!P$5:P$359,Продажи!$D$5:$D$359,Конструкторы!$B1220,Продажи!$C$5:$C$359,Конструкторы!$A1220)*$D1220</f>
        <v>0</v>
      </c>
      <c r="T1220" s="166">
        <f>SUMIFS(Продажи!Q$5:Q$359,Продажи!$D$5:$D$359,Конструкторы!$B1220,Продажи!$C$5:$C$359,Конструкторы!$A1220)*$D1220</f>
        <v>0</v>
      </c>
    </row>
    <row r="1221" spans="1:20" x14ac:dyDescent="0.25">
      <c r="A1221" s="166" t="s">
        <v>398</v>
      </c>
      <c r="B1221" s="165" t="s">
        <v>461</v>
      </c>
      <c r="C1221" s="173" t="s">
        <v>25</v>
      </c>
      <c r="D1221" s="163">
        <f t="shared" ref="D1221:D1229" si="12">F1221/SUM($F$1220:$F$1229)</f>
        <v>1.3300204618532593E-2</v>
      </c>
      <c r="E1221" s="163"/>
      <c r="F1221" s="166">
        <v>910</v>
      </c>
      <c r="G1221" s="166"/>
      <c r="H1221" s="167"/>
      <c r="I1221" s="166">
        <f>SUMIFS(Продажи!F$5:F$359,Продажи!$D$5:$D$359,Конструкторы!$B1221,Продажи!$C$5:$C$359,Конструкторы!$A1221)*$D1221</f>
        <v>0</v>
      </c>
      <c r="J1221" s="166">
        <f>SUMIFS(Продажи!G$5:G$359,Продажи!$D$5:$D$359,Конструкторы!$B1221,Продажи!$C$5:$C$359,Конструкторы!$A1221)*$D1221</f>
        <v>0</v>
      </c>
      <c r="K1221" s="166">
        <f>SUMIFS(Продажи!H$5:H$359,Продажи!$D$5:$D$359,Конструкторы!$B1221,Продажи!$C$5:$C$359,Конструкторы!$A1221)*$D1221</f>
        <v>0</v>
      </c>
      <c r="L1221" s="166">
        <f>SUMIFS(Продажи!I$5:I$359,Продажи!$D$5:$D$359,Конструкторы!$B1221,Продажи!$C$5:$C$359,Конструкторы!$A1221)*$D1221</f>
        <v>0</v>
      </c>
      <c r="M1221" s="166">
        <f>SUMIFS(Продажи!J$5:J$359,Продажи!$D$5:$D$359,Конструкторы!$B1221,Продажи!$C$5:$C$359,Конструкторы!$A1221)*$D1221</f>
        <v>0</v>
      </c>
      <c r="N1221" s="166">
        <f>SUMIFS(Продажи!K$5:K$359,Продажи!$D$5:$D$359,Конструкторы!$B1221,Продажи!$C$5:$C$359,Конструкторы!$A1221)*$D1221</f>
        <v>0</v>
      </c>
      <c r="O1221" s="166">
        <f>SUMIFS(Продажи!L$5:L$359,Продажи!$D$5:$D$359,Конструкторы!$B1221,Продажи!$C$5:$C$359,Конструкторы!$A1221)*$D1221</f>
        <v>0</v>
      </c>
      <c r="P1221" s="166">
        <f>SUMIFS(Продажи!M$5:M$359,Продажи!$D$5:$D$359,Конструкторы!$B1221,Продажи!$C$5:$C$359,Конструкторы!$A1221)*$D1221</f>
        <v>0</v>
      </c>
      <c r="Q1221" s="166">
        <f>SUMIFS(Продажи!N$5:N$359,Продажи!$D$5:$D$359,Конструкторы!$B1221,Продажи!$C$5:$C$359,Конструкторы!$A1221)*$D1221</f>
        <v>0</v>
      </c>
      <c r="R1221" s="166">
        <f>SUMIFS(Продажи!O$5:O$359,Продажи!$D$5:$D$359,Конструкторы!$B1221,Продажи!$C$5:$C$359,Конструкторы!$A1221)*$D1221</f>
        <v>0</v>
      </c>
      <c r="S1221" s="166">
        <f>SUMIFS(Продажи!P$5:P$359,Продажи!$D$5:$D$359,Конструкторы!$B1221,Продажи!$C$5:$C$359,Конструкторы!$A1221)*$D1221</f>
        <v>0</v>
      </c>
      <c r="T1221" s="166">
        <f>SUMIFS(Продажи!Q$5:Q$359,Продажи!$D$5:$D$359,Конструкторы!$B1221,Продажи!$C$5:$C$359,Конструкторы!$A1221)*$D1221</f>
        <v>0</v>
      </c>
    </row>
    <row r="1222" spans="1:20" x14ac:dyDescent="0.25">
      <c r="A1222" s="166" t="s">
        <v>398</v>
      </c>
      <c r="B1222" s="165" t="s">
        <v>461</v>
      </c>
      <c r="C1222" s="129" t="s">
        <v>468</v>
      </c>
      <c r="D1222" s="163">
        <f t="shared" si="12"/>
        <v>2.9231218941829874E-2</v>
      </c>
      <c r="E1222" s="163"/>
      <c r="F1222" s="166">
        <v>2000</v>
      </c>
      <c r="G1222" s="166"/>
      <c r="H1222" s="167"/>
      <c r="I1222" s="166">
        <f>SUMIFS(Продажи!F$5:F$359,Продажи!$D$5:$D$359,Конструкторы!$B1222,Продажи!$C$5:$C$359,Конструкторы!$A1222)*$D1222</f>
        <v>0</v>
      </c>
      <c r="J1222" s="166">
        <f>SUMIFS(Продажи!G$5:G$359,Продажи!$D$5:$D$359,Конструкторы!$B1222,Продажи!$C$5:$C$359,Конструкторы!$A1222)*$D1222</f>
        <v>0</v>
      </c>
      <c r="K1222" s="166">
        <f>SUMIFS(Продажи!H$5:H$359,Продажи!$D$5:$D$359,Конструкторы!$B1222,Продажи!$C$5:$C$359,Конструкторы!$A1222)*$D1222</f>
        <v>0</v>
      </c>
      <c r="L1222" s="166">
        <f>SUMIFS(Продажи!I$5:I$359,Продажи!$D$5:$D$359,Конструкторы!$B1222,Продажи!$C$5:$C$359,Конструкторы!$A1222)*$D1222</f>
        <v>0</v>
      </c>
      <c r="M1222" s="166">
        <f>SUMIFS(Продажи!J$5:J$359,Продажи!$D$5:$D$359,Конструкторы!$B1222,Продажи!$C$5:$C$359,Конструкторы!$A1222)*$D1222</f>
        <v>0</v>
      </c>
      <c r="N1222" s="166">
        <f>SUMIFS(Продажи!K$5:K$359,Продажи!$D$5:$D$359,Конструкторы!$B1222,Продажи!$C$5:$C$359,Конструкторы!$A1222)*$D1222</f>
        <v>0</v>
      </c>
      <c r="O1222" s="166">
        <f>SUMIFS(Продажи!L$5:L$359,Продажи!$D$5:$D$359,Конструкторы!$B1222,Продажи!$C$5:$C$359,Конструкторы!$A1222)*$D1222</f>
        <v>0</v>
      </c>
      <c r="P1222" s="166">
        <f>SUMIFS(Продажи!M$5:M$359,Продажи!$D$5:$D$359,Конструкторы!$B1222,Продажи!$C$5:$C$359,Конструкторы!$A1222)*$D1222</f>
        <v>0</v>
      </c>
      <c r="Q1222" s="166">
        <f>SUMIFS(Продажи!N$5:N$359,Продажи!$D$5:$D$359,Конструкторы!$B1222,Продажи!$C$5:$C$359,Конструкторы!$A1222)*$D1222</f>
        <v>0</v>
      </c>
      <c r="R1222" s="166">
        <f>SUMIFS(Продажи!O$5:O$359,Продажи!$D$5:$D$359,Конструкторы!$B1222,Продажи!$C$5:$C$359,Конструкторы!$A1222)*$D1222</f>
        <v>0</v>
      </c>
      <c r="S1222" s="166">
        <f>SUMIFS(Продажи!P$5:P$359,Продажи!$D$5:$D$359,Конструкторы!$B1222,Продажи!$C$5:$C$359,Конструкторы!$A1222)*$D1222</f>
        <v>0</v>
      </c>
      <c r="T1222" s="166">
        <f>SUMIFS(Продажи!Q$5:Q$359,Продажи!$D$5:$D$359,Конструкторы!$B1222,Продажи!$C$5:$C$359,Конструкторы!$A1222)*$D1222</f>
        <v>0</v>
      </c>
    </row>
    <row r="1223" spans="1:20" x14ac:dyDescent="0.25">
      <c r="A1223" s="166" t="s">
        <v>398</v>
      </c>
      <c r="B1223" s="165" t="s">
        <v>461</v>
      </c>
      <c r="C1223" s="129" t="s">
        <v>30</v>
      </c>
      <c r="D1223" s="163">
        <f t="shared" si="12"/>
        <v>7.3078047354574688E-4</v>
      </c>
      <c r="E1223" s="163"/>
      <c r="F1223" s="166">
        <v>50</v>
      </c>
      <c r="G1223" s="166"/>
      <c r="H1223" s="167"/>
      <c r="I1223" s="166">
        <f>SUMIFS(Продажи!F$5:F$359,Продажи!$D$5:$D$359,Конструкторы!$B1223,Продажи!$C$5:$C$359,Конструкторы!$A1223)*$D1223</f>
        <v>0</v>
      </c>
      <c r="J1223" s="166">
        <f>SUMIFS(Продажи!G$5:G$359,Продажи!$D$5:$D$359,Конструкторы!$B1223,Продажи!$C$5:$C$359,Конструкторы!$A1223)*$D1223</f>
        <v>0</v>
      </c>
      <c r="K1223" s="166">
        <f>SUMIFS(Продажи!H$5:H$359,Продажи!$D$5:$D$359,Конструкторы!$B1223,Продажи!$C$5:$C$359,Конструкторы!$A1223)*$D1223</f>
        <v>0</v>
      </c>
      <c r="L1223" s="166">
        <f>SUMIFS(Продажи!I$5:I$359,Продажи!$D$5:$D$359,Конструкторы!$B1223,Продажи!$C$5:$C$359,Конструкторы!$A1223)*$D1223</f>
        <v>0</v>
      </c>
      <c r="M1223" s="166">
        <f>SUMIFS(Продажи!J$5:J$359,Продажи!$D$5:$D$359,Конструкторы!$B1223,Продажи!$C$5:$C$359,Конструкторы!$A1223)*$D1223</f>
        <v>0</v>
      </c>
      <c r="N1223" s="166">
        <f>SUMIFS(Продажи!K$5:K$359,Продажи!$D$5:$D$359,Конструкторы!$B1223,Продажи!$C$5:$C$359,Конструкторы!$A1223)*$D1223</f>
        <v>0</v>
      </c>
      <c r="O1223" s="166">
        <f>SUMIFS(Продажи!L$5:L$359,Продажи!$D$5:$D$359,Конструкторы!$B1223,Продажи!$C$5:$C$359,Конструкторы!$A1223)*$D1223</f>
        <v>0</v>
      </c>
      <c r="P1223" s="166">
        <f>SUMIFS(Продажи!M$5:M$359,Продажи!$D$5:$D$359,Конструкторы!$B1223,Продажи!$C$5:$C$359,Конструкторы!$A1223)*$D1223</f>
        <v>0</v>
      </c>
      <c r="Q1223" s="166">
        <f>SUMIFS(Продажи!N$5:N$359,Продажи!$D$5:$D$359,Конструкторы!$B1223,Продажи!$C$5:$C$359,Конструкторы!$A1223)*$D1223</f>
        <v>0</v>
      </c>
      <c r="R1223" s="166">
        <f>SUMIFS(Продажи!O$5:O$359,Продажи!$D$5:$D$359,Конструкторы!$B1223,Продажи!$C$5:$C$359,Конструкторы!$A1223)*$D1223</f>
        <v>0</v>
      </c>
      <c r="S1223" s="166">
        <f>SUMIFS(Продажи!P$5:P$359,Продажи!$D$5:$D$359,Конструкторы!$B1223,Продажи!$C$5:$C$359,Конструкторы!$A1223)*$D1223</f>
        <v>0</v>
      </c>
      <c r="T1223" s="166">
        <f>SUMIFS(Продажи!Q$5:Q$359,Продажи!$D$5:$D$359,Конструкторы!$B1223,Продажи!$C$5:$C$359,Конструкторы!$A1223)*$D1223</f>
        <v>0</v>
      </c>
    </row>
    <row r="1224" spans="1:20" x14ac:dyDescent="0.25">
      <c r="A1224" s="166" t="s">
        <v>398</v>
      </c>
      <c r="B1224" s="165" t="s">
        <v>461</v>
      </c>
      <c r="C1224" s="173" t="s">
        <v>32</v>
      </c>
      <c r="D1224" s="163">
        <f t="shared" si="12"/>
        <v>0.43656825489622919</v>
      </c>
      <c r="E1224" s="163"/>
      <c r="F1224" s="166">
        <v>29870</v>
      </c>
      <c r="G1224" s="166"/>
      <c r="H1224" s="167"/>
      <c r="I1224" s="166">
        <f>SUMIFS(Продажи!F$5:F$359,Продажи!$D$5:$D$359,Конструкторы!$B1224,Продажи!$C$5:$C$359,Конструкторы!$A1224)*$D1224</f>
        <v>0</v>
      </c>
      <c r="J1224" s="166">
        <f>SUMIFS(Продажи!G$5:G$359,Продажи!$D$5:$D$359,Конструкторы!$B1224,Продажи!$C$5:$C$359,Конструкторы!$A1224)*$D1224</f>
        <v>0</v>
      </c>
      <c r="K1224" s="166">
        <f>SUMIFS(Продажи!H$5:H$359,Продажи!$D$5:$D$359,Конструкторы!$B1224,Продажи!$C$5:$C$359,Конструкторы!$A1224)*$D1224</f>
        <v>0</v>
      </c>
      <c r="L1224" s="166">
        <f>SUMIFS(Продажи!I$5:I$359,Продажи!$D$5:$D$359,Конструкторы!$B1224,Продажи!$C$5:$C$359,Конструкторы!$A1224)*$D1224</f>
        <v>0</v>
      </c>
      <c r="M1224" s="166">
        <f>SUMIFS(Продажи!J$5:J$359,Продажи!$D$5:$D$359,Конструкторы!$B1224,Продажи!$C$5:$C$359,Конструкторы!$A1224)*$D1224</f>
        <v>0</v>
      </c>
      <c r="N1224" s="166">
        <f>SUMIFS(Продажи!K$5:K$359,Продажи!$D$5:$D$359,Конструкторы!$B1224,Продажи!$C$5:$C$359,Конструкторы!$A1224)*$D1224</f>
        <v>0</v>
      </c>
      <c r="O1224" s="166">
        <f>SUMIFS(Продажи!L$5:L$359,Продажи!$D$5:$D$359,Конструкторы!$B1224,Продажи!$C$5:$C$359,Конструкторы!$A1224)*$D1224</f>
        <v>0</v>
      </c>
      <c r="P1224" s="166">
        <f>SUMIFS(Продажи!M$5:M$359,Продажи!$D$5:$D$359,Конструкторы!$B1224,Продажи!$C$5:$C$359,Конструкторы!$A1224)*$D1224</f>
        <v>0</v>
      </c>
      <c r="Q1224" s="166">
        <f>SUMIFS(Продажи!N$5:N$359,Продажи!$D$5:$D$359,Конструкторы!$B1224,Продажи!$C$5:$C$359,Конструкторы!$A1224)*$D1224</f>
        <v>0</v>
      </c>
      <c r="R1224" s="166">
        <f>SUMIFS(Продажи!O$5:O$359,Продажи!$D$5:$D$359,Конструкторы!$B1224,Продажи!$C$5:$C$359,Конструкторы!$A1224)*$D1224</f>
        <v>0</v>
      </c>
      <c r="S1224" s="166">
        <f>SUMIFS(Продажи!P$5:P$359,Продажи!$D$5:$D$359,Конструкторы!$B1224,Продажи!$C$5:$C$359,Конструкторы!$A1224)*$D1224</f>
        <v>0</v>
      </c>
      <c r="T1224" s="166">
        <f>SUMIFS(Продажи!Q$5:Q$359,Продажи!$D$5:$D$359,Конструкторы!$B1224,Продажи!$C$5:$C$359,Конструкторы!$A1224)*$D1224</f>
        <v>0</v>
      </c>
    </row>
    <row r="1225" spans="1:20" x14ac:dyDescent="0.25">
      <c r="A1225" s="166" t="s">
        <v>398</v>
      </c>
      <c r="B1225" s="165" t="s">
        <v>461</v>
      </c>
      <c r="C1225" s="129" t="s">
        <v>31</v>
      </c>
      <c r="D1225" s="163">
        <f t="shared" si="12"/>
        <v>1.4615609470914938E-3</v>
      </c>
      <c r="E1225" s="163"/>
      <c r="F1225" s="166">
        <v>100</v>
      </c>
      <c r="G1225" s="166"/>
      <c r="H1225" s="167"/>
      <c r="I1225" s="166">
        <f>SUMIFS(Продажи!F$5:F$359,Продажи!$D$5:$D$359,Конструкторы!$B1225,Продажи!$C$5:$C$359,Конструкторы!$A1225)*$D1225</f>
        <v>0</v>
      </c>
      <c r="J1225" s="166">
        <f>SUMIFS(Продажи!G$5:G$359,Продажи!$D$5:$D$359,Конструкторы!$B1225,Продажи!$C$5:$C$359,Конструкторы!$A1225)*$D1225</f>
        <v>0</v>
      </c>
      <c r="K1225" s="166">
        <f>SUMIFS(Продажи!H$5:H$359,Продажи!$D$5:$D$359,Конструкторы!$B1225,Продажи!$C$5:$C$359,Конструкторы!$A1225)*$D1225</f>
        <v>0</v>
      </c>
      <c r="L1225" s="166">
        <f>SUMIFS(Продажи!I$5:I$359,Продажи!$D$5:$D$359,Конструкторы!$B1225,Продажи!$C$5:$C$359,Конструкторы!$A1225)*$D1225</f>
        <v>0</v>
      </c>
      <c r="M1225" s="166">
        <f>SUMIFS(Продажи!J$5:J$359,Продажи!$D$5:$D$359,Конструкторы!$B1225,Продажи!$C$5:$C$359,Конструкторы!$A1225)*$D1225</f>
        <v>0</v>
      </c>
      <c r="N1225" s="166">
        <f>SUMIFS(Продажи!K$5:K$359,Продажи!$D$5:$D$359,Конструкторы!$B1225,Продажи!$C$5:$C$359,Конструкторы!$A1225)*$D1225</f>
        <v>0</v>
      </c>
      <c r="O1225" s="166">
        <f>SUMIFS(Продажи!L$5:L$359,Продажи!$D$5:$D$359,Конструкторы!$B1225,Продажи!$C$5:$C$359,Конструкторы!$A1225)*$D1225</f>
        <v>0</v>
      </c>
      <c r="P1225" s="166">
        <f>SUMIFS(Продажи!M$5:M$359,Продажи!$D$5:$D$359,Конструкторы!$B1225,Продажи!$C$5:$C$359,Конструкторы!$A1225)*$D1225</f>
        <v>0</v>
      </c>
      <c r="Q1225" s="166">
        <f>SUMIFS(Продажи!N$5:N$359,Продажи!$D$5:$D$359,Конструкторы!$B1225,Продажи!$C$5:$C$359,Конструкторы!$A1225)*$D1225</f>
        <v>0</v>
      </c>
      <c r="R1225" s="166">
        <f>SUMIFS(Продажи!O$5:O$359,Продажи!$D$5:$D$359,Конструкторы!$B1225,Продажи!$C$5:$C$359,Конструкторы!$A1225)*$D1225</f>
        <v>0</v>
      </c>
      <c r="S1225" s="166">
        <f>SUMIFS(Продажи!P$5:P$359,Продажи!$D$5:$D$359,Конструкторы!$B1225,Продажи!$C$5:$C$359,Конструкторы!$A1225)*$D1225</f>
        <v>0</v>
      </c>
      <c r="T1225" s="166">
        <f>SUMIFS(Продажи!Q$5:Q$359,Продажи!$D$5:$D$359,Конструкторы!$B1225,Продажи!$C$5:$C$359,Конструкторы!$A1225)*$D1225</f>
        <v>0</v>
      </c>
    </row>
    <row r="1226" spans="1:20" x14ac:dyDescent="0.25">
      <c r="A1226" s="166" t="s">
        <v>398</v>
      </c>
      <c r="B1226" s="165" t="s">
        <v>461</v>
      </c>
      <c r="C1226" s="129" t="s">
        <v>469</v>
      </c>
      <c r="D1226" s="163">
        <f t="shared" si="12"/>
        <v>3.215434083601286E-2</v>
      </c>
      <c r="E1226" s="163"/>
      <c r="F1226" s="166">
        <v>2200</v>
      </c>
      <c r="G1226" s="166"/>
      <c r="H1226" s="167"/>
      <c r="I1226" s="166">
        <f>SUMIFS(Продажи!F$5:F$359,Продажи!$D$5:$D$359,Конструкторы!$B1226,Продажи!$C$5:$C$359,Конструкторы!$A1226)*$D1226</f>
        <v>0</v>
      </c>
      <c r="J1226" s="166">
        <f>SUMIFS(Продажи!G$5:G$359,Продажи!$D$5:$D$359,Конструкторы!$B1226,Продажи!$C$5:$C$359,Конструкторы!$A1226)*$D1226</f>
        <v>0</v>
      </c>
      <c r="K1226" s="166">
        <f>SUMIFS(Продажи!H$5:H$359,Продажи!$D$5:$D$359,Конструкторы!$B1226,Продажи!$C$5:$C$359,Конструкторы!$A1226)*$D1226</f>
        <v>0</v>
      </c>
      <c r="L1226" s="166">
        <f>SUMIFS(Продажи!I$5:I$359,Продажи!$D$5:$D$359,Конструкторы!$B1226,Продажи!$C$5:$C$359,Конструкторы!$A1226)*$D1226</f>
        <v>0</v>
      </c>
      <c r="M1226" s="166">
        <f>SUMIFS(Продажи!J$5:J$359,Продажи!$D$5:$D$359,Конструкторы!$B1226,Продажи!$C$5:$C$359,Конструкторы!$A1226)*$D1226</f>
        <v>0</v>
      </c>
      <c r="N1226" s="166">
        <f>SUMIFS(Продажи!K$5:K$359,Продажи!$D$5:$D$359,Конструкторы!$B1226,Продажи!$C$5:$C$359,Конструкторы!$A1226)*$D1226</f>
        <v>0</v>
      </c>
      <c r="O1226" s="166">
        <f>SUMIFS(Продажи!L$5:L$359,Продажи!$D$5:$D$359,Конструкторы!$B1226,Продажи!$C$5:$C$359,Конструкторы!$A1226)*$D1226</f>
        <v>0</v>
      </c>
      <c r="P1226" s="166">
        <f>SUMIFS(Продажи!M$5:M$359,Продажи!$D$5:$D$359,Конструкторы!$B1226,Продажи!$C$5:$C$359,Конструкторы!$A1226)*$D1226</f>
        <v>0</v>
      </c>
      <c r="Q1226" s="166">
        <f>SUMIFS(Продажи!N$5:N$359,Продажи!$D$5:$D$359,Конструкторы!$B1226,Продажи!$C$5:$C$359,Конструкторы!$A1226)*$D1226</f>
        <v>0</v>
      </c>
      <c r="R1226" s="166">
        <f>SUMIFS(Продажи!O$5:O$359,Продажи!$D$5:$D$359,Конструкторы!$B1226,Продажи!$C$5:$C$359,Конструкторы!$A1226)*$D1226</f>
        <v>0</v>
      </c>
      <c r="S1226" s="166">
        <f>SUMIFS(Продажи!P$5:P$359,Продажи!$D$5:$D$359,Конструкторы!$B1226,Продажи!$C$5:$C$359,Конструкторы!$A1226)*$D1226</f>
        <v>0</v>
      </c>
      <c r="T1226" s="166">
        <f>SUMIFS(Продажи!Q$5:Q$359,Продажи!$D$5:$D$359,Конструкторы!$B1226,Продажи!$C$5:$C$359,Конструкторы!$A1226)*$D1226</f>
        <v>0</v>
      </c>
    </row>
    <row r="1227" spans="1:20" x14ac:dyDescent="0.25">
      <c r="A1227" s="166" t="s">
        <v>398</v>
      </c>
      <c r="B1227" s="165" t="s">
        <v>461</v>
      </c>
      <c r="C1227" s="129" t="s">
        <v>470</v>
      </c>
      <c r="D1227" s="163">
        <f t="shared" si="12"/>
        <v>2.3677287342882197E-2</v>
      </c>
      <c r="E1227" s="163"/>
      <c r="F1227" s="166">
        <v>1620</v>
      </c>
      <c r="G1227" s="166"/>
      <c r="H1227" s="167"/>
      <c r="I1227" s="166">
        <f>SUMIFS(Продажи!F$5:F$359,Продажи!$D$5:$D$359,Конструкторы!$B1227,Продажи!$C$5:$C$359,Конструкторы!$A1227)*$D1227</f>
        <v>0</v>
      </c>
      <c r="J1227" s="166">
        <f>SUMIFS(Продажи!G$5:G$359,Продажи!$D$5:$D$359,Конструкторы!$B1227,Продажи!$C$5:$C$359,Конструкторы!$A1227)*$D1227</f>
        <v>0</v>
      </c>
      <c r="K1227" s="166">
        <f>SUMIFS(Продажи!H$5:H$359,Продажи!$D$5:$D$359,Конструкторы!$B1227,Продажи!$C$5:$C$359,Конструкторы!$A1227)*$D1227</f>
        <v>0</v>
      </c>
      <c r="L1227" s="166">
        <f>SUMIFS(Продажи!I$5:I$359,Продажи!$D$5:$D$359,Конструкторы!$B1227,Продажи!$C$5:$C$359,Конструкторы!$A1227)*$D1227</f>
        <v>0</v>
      </c>
      <c r="M1227" s="166">
        <f>SUMIFS(Продажи!J$5:J$359,Продажи!$D$5:$D$359,Конструкторы!$B1227,Продажи!$C$5:$C$359,Конструкторы!$A1227)*$D1227</f>
        <v>0</v>
      </c>
      <c r="N1227" s="166">
        <f>SUMIFS(Продажи!K$5:K$359,Продажи!$D$5:$D$359,Конструкторы!$B1227,Продажи!$C$5:$C$359,Конструкторы!$A1227)*$D1227</f>
        <v>0</v>
      </c>
      <c r="O1227" s="166">
        <f>SUMIFS(Продажи!L$5:L$359,Продажи!$D$5:$D$359,Конструкторы!$B1227,Продажи!$C$5:$C$359,Конструкторы!$A1227)*$D1227</f>
        <v>0</v>
      </c>
      <c r="P1227" s="166">
        <f>SUMIFS(Продажи!M$5:M$359,Продажи!$D$5:$D$359,Конструкторы!$B1227,Продажи!$C$5:$C$359,Конструкторы!$A1227)*$D1227</f>
        <v>0</v>
      </c>
      <c r="Q1227" s="166">
        <f>SUMIFS(Продажи!N$5:N$359,Продажи!$D$5:$D$359,Конструкторы!$B1227,Продажи!$C$5:$C$359,Конструкторы!$A1227)*$D1227</f>
        <v>0</v>
      </c>
      <c r="R1227" s="166">
        <f>SUMIFS(Продажи!O$5:O$359,Продажи!$D$5:$D$359,Конструкторы!$B1227,Продажи!$C$5:$C$359,Конструкторы!$A1227)*$D1227</f>
        <v>0</v>
      </c>
      <c r="S1227" s="166">
        <f>SUMIFS(Продажи!P$5:P$359,Продажи!$D$5:$D$359,Конструкторы!$B1227,Продажи!$C$5:$C$359,Конструкторы!$A1227)*$D1227</f>
        <v>0</v>
      </c>
      <c r="T1227" s="166">
        <f>SUMIFS(Продажи!Q$5:Q$359,Продажи!$D$5:$D$359,Конструкторы!$B1227,Продажи!$C$5:$C$359,Конструкторы!$A1227)*$D1227</f>
        <v>0</v>
      </c>
    </row>
    <row r="1228" spans="1:20" x14ac:dyDescent="0.25">
      <c r="A1228" s="166" t="s">
        <v>398</v>
      </c>
      <c r="B1228" s="165" t="s">
        <v>461</v>
      </c>
      <c r="C1228" s="129" t="s">
        <v>55</v>
      </c>
      <c r="D1228" s="163">
        <f t="shared" si="12"/>
        <v>4.3846828412744815E-3</v>
      </c>
      <c r="E1228" s="163"/>
      <c r="F1228" s="166">
        <v>300</v>
      </c>
      <c r="G1228" s="166"/>
      <c r="H1228" s="167"/>
      <c r="I1228" s="166">
        <f>SUMIFS(Продажи!F$5:F$359,Продажи!$D$5:$D$359,Конструкторы!$B1228,Продажи!$C$5:$C$359,Конструкторы!$A1228)*$D1228</f>
        <v>0</v>
      </c>
      <c r="J1228" s="166">
        <f>SUMIFS(Продажи!G$5:G$359,Продажи!$D$5:$D$359,Конструкторы!$B1228,Продажи!$C$5:$C$359,Конструкторы!$A1228)*$D1228</f>
        <v>0</v>
      </c>
      <c r="K1228" s="166">
        <f>SUMIFS(Продажи!H$5:H$359,Продажи!$D$5:$D$359,Конструкторы!$B1228,Продажи!$C$5:$C$359,Конструкторы!$A1228)*$D1228</f>
        <v>0</v>
      </c>
      <c r="L1228" s="166">
        <f>SUMIFS(Продажи!I$5:I$359,Продажи!$D$5:$D$359,Конструкторы!$B1228,Продажи!$C$5:$C$359,Конструкторы!$A1228)*$D1228</f>
        <v>0</v>
      </c>
      <c r="M1228" s="166">
        <f>SUMIFS(Продажи!J$5:J$359,Продажи!$D$5:$D$359,Конструкторы!$B1228,Продажи!$C$5:$C$359,Конструкторы!$A1228)*$D1228</f>
        <v>0</v>
      </c>
      <c r="N1228" s="166">
        <f>SUMIFS(Продажи!K$5:K$359,Продажи!$D$5:$D$359,Конструкторы!$B1228,Продажи!$C$5:$C$359,Конструкторы!$A1228)*$D1228</f>
        <v>0</v>
      </c>
      <c r="O1228" s="166">
        <f>SUMIFS(Продажи!L$5:L$359,Продажи!$D$5:$D$359,Конструкторы!$B1228,Продажи!$C$5:$C$359,Конструкторы!$A1228)*$D1228</f>
        <v>0</v>
      </c>
      <c r="P1228" s="166">
        <f>SUMIFS(Продажи!M$5:M$359,Продажи!$D$5:$D$359,Конструкторы!$B1228,Продажи!$C$5:$C$359,Конструкторы!$A1228)*$D1228</f>
        <v>0</v>
      </c>
      <c r="Q1228" s="166">
        <f>SUMIFS(Продажи!N$5:N$359,Продажи!$D$5:$D$359,Конструкторы!$B1228,Продажи!$C$5:$C$359,Конструкторы!$A1228)*$D1228</f>
        <v>0</v>
      </c>
      <c r="R1228" s="166">
        <f>SUMIFS(Продажи!O$5:O$359,Продажи!$D$5:$D$359,Конструкторы!$B1228,Продажи!$C$5:$C$359,Конструкторы!$A1228)*$D1228</f>
        <v>0</v>
      </c>
      <c r="S1228" s="166">
        <f>SUMIFS(Продажи!P$5:P$359,Продажи!$D$5:$D$359,Конструкторы!$B1228,Продажи!$C$5:$C$359,Конструкторы!$A1228)*$D1228</f>
        <v>0</v>
      </c>
      <c r="T1228" s="166">
        <f>SUMIFS(Продажи!Q$5:Q$359,Продажи!$D$5:$D$359,Конструкторы!$B1228,Продажи!$C$5:$C$359,Конструкторы!$A1228)*$D1228</f>
        <v>0</v>
      </c>
    </row>
    <row r="1229" spans="1:20" x14ac:dyDescent="0.25">
      <c r="A1229" s="166" t="s">
        <v>398</v>
      </c>
      <c r="B1229" s="165" t="s">
        <v>461</v>
      </c>
      <c r="C1229" s="129" t="s">
        <v>466</v>
      </c>
      <c r="D1229" s="163">
        <f t="shared" si="12"/>
        <v>0.12569424144986846</v>
      </c>
      <c r="E1229" s="163"/>
      <c r="F1229" s="166">
        <v>8600</v>
      </c>
      <c r="G1229" s="166"/>
      <c r="H1229" s="167"/>
      <c r="I1229" s="166">
        <f>SUMIFS(Продажи!F$5:F$359,Продажи!$D$5:$D$359,Конструкторы!$B1229,Продажи!$C$5:$C$359,Конструкторы!$A1229)*$D1229</f>
        <v>0</v>
      </c>
      <c r="J1229" s="166">
        <f>SUMIFS(Продажи!G$5:G$359,Продажи!$D$5:$D$359,Конструкторы!$B1229,Продажи!$C$5:$C$359,Конструкторы!$A1229)*$D1229</f>
        <v>0</v>
      </c>
      <c r="K1229" s="166">
        <f>SUMIFS(Продажи!H$5:H$359,Продажи!$D$5:$D$359,Конструкторы!$B1229,Продажи!$C$5:$C$359,Конструкторы!$A1229)*$D1229</f>
        <v>0</v>
      </c>
      <c r="L1229" s="166">
        <f>SUMIFS(Продажи!I$5:I$359,Продажи!$D$5:$D$359,Конструкторы!$B1229,Продажи!$C$5:$C$359,Конструкторы!$A1229)*$D1229</f>
        <v>0</v>
      </c>
      <c r="M1229" s="166">
        <f>SUMIFS(Продажи!J$5:J$359,Продажи!$D$5:$D$359,Конструкторы!$B1229,Продажи!$C$5:$C$359,Конструкторы!$A1229)*$D1229</f>
        <v>0</v>
      </c>
      <c r="N1229" s="166">
        <f>SUMIFS(Продажи!K$5:K$359,Продажи!$D$5:$D$359,Конструкторы!$B1229,Продажи!$C$5:$C$359,Конструкторы!$A1229)*$D1229</f>
        <v>0</v>
      </c>
      <c r="O1229" s="166">
        <f>SUMIFS(Продажи!L$5:L$359,Продажи!$D$5:$D$359,Конструкторы!$B1229,Продажи!$C$5:$C$359,Конструкторы!$A1229)*$D1229</f>
        <v>0</v>
      </c>
      <c r="P1229" s="166">
        <f>SUMIFS(Продажи!M$5:M$359,Продажи!$D$5:$D$359,Конструкторы!$B1229,Продажи!$C$5:$C$359,Конструкторы!$A1229)*$D1229</f>
        <v>0</v>
      </c>
      <c r="Q1229" s="166">
        <f>SUMIFS(Продажи!N$5:N$359,Продажи!$D$5:$D$359,Конструкторы!$B1229,Продажи!$C$5:$C$359,Конструкторы!$A1229)*$D1229</f>
        <v>0</v>
      </c>
      <c r="R1229" s="166">
        <f>SUMIFS(Продажи!O$5:O$359,Продажи!$D$5:$D$359,Конструкторы!$B1229,Продажи!$C$5:$C$359,Конструкторы!$A1229)*$D1229</f>
        <v>0</v>
      </c>
      <c r="S1229" s="166">
        <f>SUMIFS(Продажи!P$5:P$359,Продажи!$D$5:$D$359,Конструкторы!$B1229,Продажи!$C$5:$C$359,Конструкторы!$A1229)*$D1229</f>
        <v>0</v>
      </c>
      <c r="T1229" s="166">
        <f>SUMIFS(Продажи!Q$5:Q$359,Продажи!$D$5:$D$359,Конструкторы!$B1229,Продажи!$C$5:$C$359,Конструкторы!$A1229)*$D1229</f>
        <v>0</v>
      </c>
    </row>
    <row r="1230" spans="1:20" ht="25.5" x14ac:dyDescent="0.25">
      <c r="A1230" s="166" t="s">
        <v>398</v>
      </c>
      <c r="B1230" s="162" t="s">
        <v>462</v>
      </c>
      <c r="C1230" s="173" t="s">
        <v>32</v>
      </c>
      <c r="D1230" s="163">
        <f>F1230/SUM($F$1230:$F$1237)</f>
        <v>0.18180672684889343</v>
      </c>
      <c r="E1230" s="163"/>
      <c r="F1230" s="166">
        <v>606</v>
      </c>
      <c r="G1230" s="166"/>
      <c r="H1230" s="167"/>
      <c r="I1230" s="166">
        <f>SUMIFS(Продажи!F$5:F$359,Продажи!$D$5:$D$359,Конструкторы!$B1230,Продажи!$C$5:$C$359,Конструкторы!$A1230)*$D1230</f>
        <v>0</v>
      </c>
      <c r="J1230" s="166">
        <f>SUMIFS(Продажи!G$5:G$359,Продажи!$D$5:$D$359,Конструкторы!$B1230,Продажи!$C$5:$C$359,Конструкторы!$A1230)*$D1230</f>
        <v>0</v>
      </c>
      <c r="K1230" s="166">
        <f>SUMIFS(Продажи!H$5:H$359,Продажи!$D$5:$D$359,Конструкторы!$B1230,Продажи!$C$5:$C$359,Конструкторы!$A1230)*$D1230</f>
        <v>0</v>
      </c>
      <c r="L1230" s="166">
        <f>SUMIFS(Продажи!I$5:I$359,Продажи!$D$5:$D$359,Конструкторы!$B1230,Продажи!$C$5:$C$359,Конструкторы!$A1230)*$D1230</f>
        <v>0</v>
      </c>
      <c r="M1230" s="166">
        <f>SUMIFS(Продажи!J$5:J$359,Продажи!$D$5:$D$359,Конструкторы!$B1230,Продажи!$C$5:$C$359,Конструкторы!$A1230)*$D1230</f>
        <v>0</v>
      </c>
      <c r="N1230" s="166">
        <f>SUMIFS(Продажи!K$5:K$359,Продажи!$D$5:$D$359,Конструкторы!$B1230,Продажи!$C$5:$C$359,Конструкторы!$A1230)*$D1230</f>
        <v>0</v>
      </c>
      <c r="O1230" s="166">
        <f>SUMIFS(Продажи!L$5:L$359,Продажи!$D$5:$D$359,Конструкторы!$B1230,Продажи!$C$5:$C$359,Конструкторы!$A1230)*$D1230</f>
        <v>0</v>
      </c>
      <c r="P1230" s="166">
        <f>SUMIFS(Продажи!M$5:M$359,Продажи!$D$5:$D$359,Конструкторы!$B1230,Продажи!$C$5:$C$359,Конструкторы!$A1230)*$D1230</f>
        <v>0</v>
      </c>
      <c r="Q1230" s="166">
        <f>SUMIFS(Продажи!N$5:N$359,Продажи!$D$5:$D$359,Конструкторы!$B1230,Продажи!$C$5:$C$359,Конструкторы!$A1230)*$D1230</f>
        <v>0</v>
      </c>
      <c r="R1230" s="166">
        <f>SUMIFS(Продажи!O$5:O$359,Продажи!$D$5:$D$359,Конструкторы!$B1230,Продажи!$C$5:$C$359,Конструкторы!$A1230)*$D1230</f>
        <v>0</v>
      </c>
      <c r="S1230" s="166">
        <f>SUMIFS(Продажи!P$5:P$359,Продажи!$D$5:$D$359,Конструкторы!$B1230,Продажи!$C$5:$C$359,Конструкторы!$A1230)*$D1230</f>
        <v>0</v>
      </c>
      <c r="T1230" s="166">
        <f>SUMIFS(Продажи!Q$5:Q$359,Продажи!$D$5:$D$359,Конструкторы!$B1230,Продажи!$C$5:$C$359,Конструкторы!$A1230)*$D1230</f>
        <v>0</v>
      </c>
    </row>
    <row r="1231" spans="1:20" ht="25.5" x14ac:dyDescent="0.25">
      <c r="A1231" s="166" t="s">
        <v>398</v>
      </c>
      <c r="B1231" s="162" t="s">
        <v>462</v>
      </c>
      <c r="C1231" s="129" t="s">
        <v>55</v>
      </c>
      <c r="D1231" s="163">
        <f t="shared" ref="D1231:D1237" si="13">F1231/SUM($F$1230:$F$1237)</f>
        <v>0.1327249108217004</v>
      </c>
      <c r="E1231" s="163"/>
      <c r="F1231" s="166">
        <f>111+331.4</f>
        <v>442.4</v>
      </c>
      <c r="G1231" s="166"/>
      <c r="H1231" s="167"/>
      <c r="I1231" s="166">
        <f>SUMIFS(Продажи!F$5:F$359,Продажи!$D$5:$D$359,Конструкторы!$B1231,Продажи!$C$5:$C$359,Конструкторы!$A1231)*$D1231</f>
        <v>0</v>
      </c>
      <c r="J1231" s="166">
        <f>SUMIFS(Продажи!G$5:G$359,Продажи!$D$5:$D$359,Конструкторы!$B1231,Продажи!$C$5:$C$359,Конструкторы!$A1231)*$D1231</f>
        <v>0</v>
      </c>
      <c r="K1231" s="166">
        <f>SUMIFS(Продажи!H$5:H$359,Продажи!$D$5:$D$359,Конструкторы!$B1231,Продажи!$C$5:$C$359,Конструкторы!$A1231)*$D1231</f>
        <v>0</v>
      </c>
      <c r="L1231" s="166">
        <f>SUMIFS(Продажи!I$5:I$359,Продажи!$D$5:$D$359,Конструкторы!$B1231,Продажи!$C$5:$C$359,Конструкторы!$A1231)*$D1231</f>
        <v>0</v>
      </c>
      <c r="M1231" s="166">
        <f>SUMIFS(Продажи!J$5:J$359,Продажи!$D$5:$D$359,Конструкторы!$B1231,Продажи!$C$5:$C$359,Конструкторы!$A1231)*$D1231</f>
        <v>0</v>
      </c>
      <c r="N1231" s="166">
        <f>SUMIFS(Продажи!K$5:K$359,Продажи!$D$5:$D$359,Конструкторы!$B1231,Продажи!$C$5:$C$359,Конструкторы!$A1231)*$D1231</f>
        <v>0</v>
      </c>
      <c r="O1231" s="166">
        <f>SUMIFS(Продажи!L$5:L$359,Продажи!$D$5:$D$359,Конструкторы!$B1231,Продажи!$C$5:$C$359,Конструкторы!$A1231)*$D1231</f>
        <v>0</v>
      </c>
      <c r="P1231" s="166">
        <f>SUMIFS(Продажи!M$5:M$359,Продажи!$D$5:$D$359,Конструкторы!$B1231,Продажи!$C$5:$C$359,Конструкторы!$A1231)*$D1231</f>
        <v>0</v>
      </c>
      <c r="Q1231" s="166">
        <f>SUMIFS(Продажи!N$5:N$359,Продажи!$D$5:$D$359,Конструкторы!$B1231,Продажи!$C$5:$C$359,Конструкторы!$A1231)*$D1231</f>
        <v>0</v>
      </c>
      <c r="R1231" s="166">
        <f>SUMIFS(Продажи!O$5:O$359,Продажи!$D$5:$D$359,Конструкторы!$B1231,Продажи!$C$5:$C$359,Конструкторы!$A1231)*$D1231</f>
        <v>0</v>
      </c>
      <c r="S1231" s="166">
        <f>SUMIFS(Продажи!P$5:P$359,Продажи!$D$5:$D$359,Конструкторы!$B1231,Продажи!$C$5:$C$359,Конструкторы!$A1231)*$D1231</f>
        <v>0</v>
      </c>
      <c r="T1231" s="166">
        <f>SUMIFS(Продажи!Q$5:Q$359,Продажи!$D$5:$D$359,Конструкторы!$B1231,Продажи!$C$5:$C$359,Конструкторы!$A1231)*$D1231</f>
        <v>0</v>
      </c>
    </row>
    <row r="1232" spans="1:20" ht="25.5" x14ac:dyDescent="0.25">
      <c r="A1232" s="166" t="s">
        <v>398</v>
      </c>
      <c r="B1232" s="162" t="s">
        <v>462</v>
      </c>
      <c r="C1232" s="129" t="s">
        <v>35</v>
      </c>
      <c r="D1232" s="163">
        <f t="shared" si="13"/>
        <v>3.3985257454525825E-2</v>
      </c>
      <c r="E1232" s="163"/>
      <c r="F1232" s="166">
        <v>113.28</v>
      </c>
      <c r="G1232" s="166"/>
      <c r="H1232" s="167"/>
      <c r="I1232" s="166">
        <f>SUMIFS(Продажи!F$5:F$359,Продажи!$D$5:$D$359,Конструкторы!$B1232,Продажи!$C$5:$C$359,Конструкторы!$A1232)*$D1232</f>
        <v>0</v>
      </c>
      <c r="J1232" s="166">
        <f>SUMIFS(Продажи!G$5:G$359,Продажи!$D$5:$D$359,Конструкторы!$B1232,Продажи!$C$5:$C$359,Конструкторы!$A1232)*$D1232</f>
        <v>0</v>
      </c>
      <c r="K1232" s="166">
        <f>SUMIFS(Продажи!H$5:H$359,Продажи!$D$5:$D$359,Конструкторы!$B1232,Продажи!$C$5:$C$359,Конструкторы!$A1232)*$D1232</f>
        <v>0</v>
      </c>
      <c r="L1232" s="166">
        <f>SUMIFS(Продажи!I$5:I$359,Продажи!$D$5:$D$359,Конструкторы!$B1232,Продажи!$C$5:$C$359,Конструкторы!$A1232)*$D1232</f>
        <v>0</v>
      </c>
      <c r="M1232" s="166">
        <f>SUMIFS(Продажи!J$5:J$359,Продажи!$D$5:$D$359,Конструкторы!$B1232,Продажи!$C$5:$C$359,Конструкторы!$A1232)*$D1232</f>
        <v>0</v>
      </c>
      <c r="N1232" s="166">
        <f>SUMIFS(Продажи!K$5:K$359,Продажи!$D$5:$D$359,Конструкторы!$B1232,Продажи!$C$5:$C$359,Конструкторы!$A1232)*$D1232</f>
        <v>0</v>
      </c>
      <c r="O1232" s="166">
        <f>SUMIFS(Продажи!L$5:L$359,Продажи!$D$5:$D$359,Конструкторы!$B1232,Продажи!$C$5:$C$359,Конструкторы!$A1232)*$D1232</f>
        <v>0</v>
      </c>
      <c r="P1232" s="166">
        <f>SUMIFS(Продажи!M$5:M$359,Продажи!$D$5:$D$359,Конструкторы!$B1232,Продажи!$C$5:$C$359,Конструкторы!$A1232)*$D1232</f>
        <v>0</v>
      </c>
      <c r="Q1232" s="166">
        <f>SUMIFS(Продажи!N$5:N$359,Продажи!$D$5:$D$359,Конструкторы!$B1232,Продажи!$C$5:$C$359,Конструкторы!$A1232)*$D1232</f>
        <v>0</v>
      </c>
      <c r="R1232" s="166">
        <f>SUMIFS(Продажи!O$5:O$359,Продажи!$D$5:$D$359,Конструкторы!$B1232,Продажи!$C$5:$C$359,Конструкторы!$A1232)*$D1232</f>
        <v>0</v>
      </c>
      <c r="S1232" s="166">
        <f>SUMIFS(Продажи!P$5:P$359,Продажи!$D$5:$D$359,Конструкторы!$B1232,Продажи!$C$5:$C$359,Конструкторы!$A1232)*$D1232</f>
        <v>0</v>
      </c>
      <c r="T1232" s="166">
        <f>SUMIFS(Продажи!Q$5:Q$359,Продажи!$D$5:$D$359,Конструкторы!$B1232,Продажи!$C$5:$C$359,Конструкторы!$A1232)*$D1232</f>
        <v>0</v>
      </c>
    </row>
    <row r="1233" spans="1:20" ht="25.5" x14ac:dyDescent="0.25">
      <c r="A1233" s="166" t="s">
        <v>398</v>
      </c>
      <c r="B1233" s="162" t="s">
        <v>462</v>
      </c>
      <c r="C1233" s="173" t="s">
        <v>10</v>
      </c>
      <c r="D1233" s="163">
        <f t="shared" si="13"/>
        <v>4.6999738990342647E-2</v>
      </c>
      <c r="E1233" s="163"/>
      <c r="F1233" s="166">
        <f>40.96+115.7</f>
        <v>156.66</v>
      </c>
      <c r="G1233" s="166"/>
      <c r="H1233" s="167"/>
      <c r="I1233" s="166">
        <f>SUMIFS(Продажи!F$5:F$359,Продажи!$D$5:$D$359,Конструкторы!$B1233,Продажи!$C$5:$C$359,Конструкторы!$A1233)*$D1233</f>
        <v>0</v>
      </c>
      <c r="J1233" s="166">
        <f>SUMIFS(Продажи!G$5:G$359,Продажи!$D$5:$D$359,Конструкторы!$B1233,Продажи!$C$5:$C$359,Конструкторы!$A1233)*$D1233</f>
        <v>0</v>
      </c>
      <c r="K1233" s="166">
        <f>SUMIFS(Продажи!H$5:H$359,Продажи!$D$5:$D$359,Конструкторы!$B1233,Продажи!$C$5:$C$359,Конструкторы!$A1233)*$D1233</f>
        <v>0</v>
      </c>
      <c r="L1233" s="166">
        <f>SUMIFS(Продажи!I$5:I$359,Продажи!$D$5:$D$359,Конструкторы!$B1233,Продажи!$C$5:$C$359,Конструкторы!$A1233)*$D1233</f>
        <v>0</v>
      </c>
      <c r="M1233" s="166">
        <f>SUMIFS(Продажи!J$5:J$359,Продажи!$D$5:$D$359,Конструкторы!$B1233,Продажи!$C$5:$C$359,Конструкторы!$A1233)*$D1233</f>
        <v>0</v>
      </c>
      <c r="N1233" s="166">
        <f>SUMIFS(Продажи!K$5:K$359,Продажи!$D$5:$D$359,Конструкторы!$B1233,Продажи!$C$5:$C$359,Конструкторы!$A1233)*$D1233</f>
        <v>0</v>
      </c>
      <c r="O1233" s="166">
        <f>SUMIFS(Продажи!L$5:L$359,Продажи!$D$5:$D$359,Конструкторы!$B1233,Продажи!$C$5:$C$359,Конструкторы!$A1233)*$D1233</f>
        <v>0</v>
      </c>
      <c r="P1233" s="166">
        <f>SUMIFS(Продажи!M$5:M$359,Продажи!$D$5:$D$359,Конструкторы!$B1233,Продажи!$C$5:$C$359,Конструкторы!$A1233)*$D1233</f>
        <v>0</v>
      </c>
      <c r="Q1233" s="166">
        <f>SUMIFS(Продажи!N$5:N$359,Продажи!$D$5:$D$359,Конструкторы!$B1233,Продажи!$C$5:$C$359,Конструкторы!$A1233)*$D1233</f>
        <v>0</v>
      </c>
      <c r="R1233" s="166">
        <f>SUMIFS(Продажи!O$5:O$359,Продажи!$D$5:$D$359,Конструкторы!$B1233,Продажи!$C$5:$C$359,Конструкторы!$A1233)*$D1233</f>
        <v>0</v>
      </c>
      <c r="S1233" s="166">
        <f>SUMIFS(Продажи!P$5:P$359,Продажи!$D$5:$D$359,Конструкторы!$B1233,Продажи!$C$5:$C$359,Конструкторы!$A1233)*$D1233</f>
        <v>0</v>
      </c>
      <c r="T1233" s="166">
        <f>SUMIFS(Продажи!Q$5:Q$359,Продажи!$D$5:$D$359,Конструкторы!$B1233,Продажи!$C$5:$C$359,Конструкторы!$A1233)*$D1233</f>
        <v>0</v>
      </c>
    </row>
    <row r="1234" spans="1:20" ht="25.5" x14ac:dyDescent="0.25">
      <c r="A1234" s="166" t="s">
        <v>398</v>
      </c>
      <c r="B1234" s="162" t="s">
        <v>462</v>
      </c>
      <c r="C1234" s="173" t="s">
        <v>26</v>
      </c>
      <c r="D1234" s="163">
        <f t="shared" si="13"/>
        <v>0.25628448252585351</v>
      </c>
      <c r="E1234" s="163"/>
      <c r="F1234" s="166">
        <f>490+364.25</f>
        <v>854.25</v>
      </c>
      <c r="G1234" s="166"/>
      <c r="H1234" s="167"/>
      <c r="I1234" s="166">
        <f>SUMIFS(Продажи!F$5:F$359,Продажи!$D$5:$D$359,Конструкторы!$B1234,Продажи!$C$5:$C$359,Конструкторы!$A1234)*$D1234</f>
        <v>0</v>
      </c>
      <c r="J1234" s="166">
        <f>SUMIFS(Продажи!G$5:G$359,Продажи!$D$5:$D$359,Конструкторы!$B1234,Продажи!$C$5:$C$359,Конструкторы!$A1234)*$D1234</f>
        <v>0</v>
      </c>
      <c r="K1234" s="166">
        <f>SUMIFS(Продажи!H$5:H$359,Продажи!$D$5:$D$359,Конструкторы!$B1234,Продажи!$C$5:$C$359,Конструкторы!$A1234)*$D1234</f>
        <v>0</v>
      </c>
      <c r="L1234" s="166">
        <f>SUMIFS(Продажи!I$5:I$359,Продажи!$D$5:$D$359,Конструкторы!$B1234,Продажи!$C$5:$C$359,Конструкторы!$A1234)*$D1234</f>
        <v>0</v>
      </c>
      <c r="M1234" s="166">
        <f>SUMIFS(Продажи!J$5:J$359,Продажи!$D$5:$D$359,Конструкторы!$B1234,Продажи!$C$5:$C$359,Конструкторы!$A1234)*$D1234</f>
        <v>0</v>
      </c>
      <c r="N1234" s="166">
        <f>SUMIFS(Продажи!K$5:K$359,Продажи!$D$5:$D$359,Конструкторы!$B1234,Продажи!$C$5:$C$359,Конструкторы!$A1234)*$D1234</f>
        <v>0</v>
      </c>
      <c r="O1234" s="166">
        <f>SUMIFS(Продажи!L$5:L$359,Продажи!$D$5:$D$359,Конструкторы!$B1234,Продажи!$C$5:$C$359,Конструкторы!$A1234)*$D1234</f>
        <v>0</v>
      </c>
      <c r="P1234" s="166">
        <f>SUMIFS(Продажи!M$5:M$359,Продажи!$D$5:$D$359,Конструкторы!$B1234,Продажи!$C$5:$C$359,Конструкторы!$A1234)*$D1234</f>
        <v>0</v>
      </c>
      <c r="Q1234" s="166">
        <f>SUMIFS(Продажи!N$5:N$359,Продажи!$D$5:$D$359,Конструкторы!$B1234,Продажи!$C$5:$C$359,Конструкторы!$A1234)*$D1234</f>
        <v>0</v>
      </c>
      <c r="R1234" s="166">
        <f>SUMIFS(Продажи!O$5:O$359,Продажи!$D$5:$D$359,Конструкторы!$B1234,Продажи!$C$5:$C$359,Конструкторы!$A1234)*$D1234</f>
        <v>0</v>
      </c>
      <c r="S1234" s="166">
        <f>SUMIFS(Продажи!P$5:P$359,Продажи!$D$5:$D$359,Конструкторы!$B1234,Продажи!$C$5:$C$359,Конструкторы!$A1234)*$D1234</f>
        <v>0</v>
      </c>
      <c r="T1234" s="166">
        <f>SUMIFS(Продажи!Q$5:Q$359,Продажи!$D$5:$D$359,Конструкторы!$B1234,Продажи!$C$5:$C$359,Конструкторы!$A1234)*$D1234</f>
        <v>0</v>
      </c>
    </row>
    <row r="1235" spans="1:20" ht="25.5" x14ac:dyDescent="0.25">
      <c r="A1235" s="166" t="s">
        <v>398</v>
      </c>
      <c r="B1235" s="162" t="s">
        <v>462</v>
      </c>
      <c r="C1235" s="167" t="s">
        <v>466</v>
      </c>
      <c r="D1235" s="163">
        <f t="shared" si="13"/>
        <v>9.4725504843679226E-2</v>
      </c>
      <c r="E1235" s="163"/>
      <c r="F1235" s="166">
        <v>315.74</v>
      </c>
      <c r="G1235" s="166"/>
      <c r="H1235" s="167"/>
      <c r="I1235" s="166">
        <f>SUMIFS(Продажи!F$5:F$359,Продажи!$D$5:$D$359,Конструкторы!$B1235,Продажи!$C$5:$C$359,Конструкторы!$A1235)*$D1235</f>
        <v>0</v>
      </c>
      <c r="J1235" s="166">
        <f>SUMIFS(Продажи!G$5:G$359,Продажи!$D$5:$D$359,Конструкторы!$B1235,Продажи!$C$5:$C$359,Конструкторы!$A1235)*$D1235</f>
        <v>0</v>
      </c>
      <c r="K1235" s="166">
        <f>SUMIFS(Продажи!H$5:H$359,Продажи!$D$5:$D$359,Конструкторы!$B1235,Продажи!$C$5:$C$359,Конструкторы!$A1235)*$D1235</f>
        <v>0</v>
      </c>
      <c r="L1235" s="166">
        <f>SUMIFS(Продажи!I$5:I$359,Продажи!$D$5:$D$359,Конструкторы!$B1235,Продажи!$C$5:$C$359,Конструкторы!$A1235)*$D1235</f>
        <v>0</v>
      </c>
      <c r="M1235" s="166">
        <f>SUMIFS(Продажи!J$5:J$359,Продажи!$D$5:$D$359,Конструкторы!$B1235,Продажи!$C$5:$C$359,Конструкторы!$A1235)*$D1235</f>
        <v>0</v>
      </c>
      <c r="N1235" s="166">
        <f>SUMIFS(Продажи!K$5:K$359,Продажи!$D$5:$D$359,Конструкторы!$B1235,Продажи!$C$5:$C$359,Конструкторы!$A1235)*$D1235</f>
        <v>0</v>
      </c>
      <c r="O1235" s="166">
        <f>SUMIFS(Продажи!L$5:L$359,Продажи!$D$5:$D$359,Конструкторы!$B1235,Продажи!$C$5:$C$359,Конструкторы!$A1235)*$D1235</f>
        <v>0</v>
      </c>
      <c r="P1235" s="166">
        <f>SUMIFS(Продажи!M$5:M$359,Продажи!$D$5:$D$359,Конструкторы!$B1235,Продажи!$C$5:$C$359,Конструкторы!$A1235)*$D1235</f>
        <v>0</v>
      </c>
      <c r="Q1235" s="166">
        <f>SUMIFS(Продажи!N$5:N$359,Продажи!$D$5:$D$359,Конструкторы!$B1235,Продажи!$C$5:$C$359,Конструкторы!$A1235)*$D1235</f>
        <v>0</v>
      </c>
      <c r="R1235" s="166">
        <f>SUMIFS(Продажи!O$5:O$359,Продажи!$D$5:$D$359,Конструкторы!$B1235,Продажи!$C$5:$C$359,Конструкторы!$A1235)*$D1235</f>
        <v>0</v>
      </c>
      <c r="S1235" s="166">
        <f>SUMIFS(Продажи!P$5:P$359,Продажи!$D$5:$D$359,Конструкторы!$B1235,Продажи!$C$5:$C$359,Конструкторы!$A1235)*$D1235</f>
        <v>0</v>
      </c>
      <c r="T1235" s="166">
        <f>SUMIFS(Продажи!Q$5:Q$359,Продажи!$D$5:$D$359,Конструкторы!$B1235,Продажи!$C$5:$C$359,Конструкторы!$A1235)*$D1235</f>
        <v>0</v>
      </c>
    </row>
    <row r="1236" spans="1:20" ht="25.5" x14ac:dyDescent="0.25">
      <c r="A1236" s="166" t="s">
        <v>398</v>
      </c>
      <c r="B1236" s="162" t="s">
        <v>462</v>
      </c>
      <c r="C1236" s="167" t="s">
        <v>467</v>
      </c>
      <c r="D1236" s="163">
        <f t="shared" si="13"/>
        <v>5.6162077996885891E-2</v>
      </c>
      <c r="E1236" s="163"/>
      <c r="F1236" s="166">
        <v>187.2</v>
      </c>
      <c r="G1236" s="166"/>
      <c r="H1236" s="167"/>
      <c r="I1236" s="166">
        <f>SUMIFS(Продажи!F$5:F$359,Продажи!$D$5:$D$359,Конструкторы!$B1236,Продажи!$C$5:$C$359,Конструкторы!$A1236)*$D1236</f>
        <v>0</v>
      </c>
      <c r="J1236" s="166">
        <f>SUMIFS(Продажи!G$5:G$359,Продажи!$D$5:$D$359,Конструкторы!$B1236,Продажи!$C$5:$C$359,Конструкторы!$A1236)*$D1236</f>
        <v>0</v>
      </c>
      <c r="K1236" s="166">
        <f>SUMIFS(Продажи!H$5:H$359,Продажи!$D$5:$D$359,Конструкторы!$B1236,Продажи!$C$5:$C$359,Конструкторы!$A1236)*$D1236</f>
        <v>0</v>
      </c>
      <c r="L1236" s="166">
        <f>SUMIFS(Продажи!I$5:I$359,Продажи!$D$5:$D$359,Конструкторы!$B1236,Продажи!$C$5:$C$359,Конструкторы!$A1236)*$D1236</f>
        <v>0</v>
      </c>
      <c r="M1236" s="166">
        <f>SUMIFS(Продажи!J$5:J$359,Продажи!$D$5:$D$359,Конструкторы!$B1236,Продажи!$C$5:$C$359,Конструкторы!$A1236)*$D1236</f>
        <v>0</v>
      </c>
      <c r="N1236" s="166">
        <f>SUMIFS(Продажи!K$5:K$359,Продажи!$D$5:$D$359,Конструкторы!$B1236,Продажи!$C$5:$C$359,Конструкторы!$A1236)*$D1236</f>
        <v>0</v>
      </c>
      <c r="O1236" s="166">
        <f>SUMIFS(Продажи!L$5:L$359,Продажи!$D$5:$D$359,Конструкторы!$B1236,Продажи!$C$5:$C$359,Конструкторы!$A1236)*$D1236</f>
        <v>0</v>
      </c>
      <c r="P1236" s="166">
        <f>SUMIFS(Продажи!M$5:M$359,Продажи!$D$5:$D$359,Конструкторы!$B1236,Продажи!$C$5:$C$359,Конструкторы!$A1236)*$D1236</f>
        <v>0</v>
      </c>
      <c r="Q1236" s="166">
        <f>SUMIFS(Продажи!N$5:N$359,Продажи!$D$5:$D$359,Конструкторы!$B1236,Продажи!$C$5:$C$359,Конструкторы!$A1236)*$D1236</f>
        <v>0</v>
      </c>
      <c r="R1236" s="166">
        <f>SUMIFS(Продажи!O$5:O$359,Продажи!$D$5:$D$359,Конструкторы!$B1236,Продажи!$C$5:$C$359,Конструкторы!$A1236)*$D1236</f>
        <v>0</v>
      </c>
      <c r="S1236" s="166">
        <f>SUMIFS(Продажи!P$5:P$359,Продажи!$D$5:$D$359,Конструкторы!$B1236,Продажи!$C$5:$C$359,Конструкторы!$A1236)*$D1236</f>
        <v>0</v>
      </c>
      <c r="T1236" s="166">
        <f>SUMIFS(Продажи!Q$5:Q$359,Продажи!$D$5:$D$359,Конструкторы!$B1236,Продажи!$C$5:$C$359,Конструкторы!$A1236)*$D1236</f>
        <v>0</v>
      </c>
    </row>
    <row r="1237" spans="1:20" ht="25.5" x14ac:dyDescent="0.25">
      <c r="A1237" s="166" t="s">
        <v>398</v>
      </c>
      <c r="B1237" s="162" t="s">
        <v>462</v>
      </c>
      <c r="C1237" s="173" t="s">
        <v>47</v>
      </c>
      <c r="D1237" s="163">
        <f t="shared" si="13"/>
        <v>0.19731130051811918</v>
      </c>
      <c r="E1237" s="163"/>
      <c r="F1237" s="166">
        <v>657.68</v>
      </c>
      <c r="G1237" s="166"/>
      <c r="H1237" s="167"/>
      <c r="I1237" s="166">
        <f>SUMIFS(Продажи!F$5:F$359,Продажи!$D$5:$D$359,Конструкторы!$B1237,Продажи!$C$5:$C$359,Конструкторы!$A1237)*$D1237</f>
        <v>0</v>
      </c>
      <c r="J1237" s="166">
        <f>SUMIFS(Продажи!G$5:G$359,Продажи!$D$5:$D$359,Конструкторы!$B1237,Продажи!$C$5:$C$359,Конструкторы!$A1237)*$D1237</f>
        <v>0</v>
      </c>
      <c r="K1237" s="166">
        <f>SUMIFS(Продажи!H$5:H$359,Продажи!$D$5:$D$359,Конструкторы!$B1237,Продажи!$C$5:$C$359,Конструкторы!$A1237)*$D1237</f>
        <v>0</v>
      </c>
      <c r="L1237" s="166">
        <f>SUMIFS(Продажи!I$5:I$359,Продажи!$D$5:$D$359,Конструкторы!$B1237,Продажи!$C$5:$C$359,Конструкторы!$A1237)*$D1237</f>
        <v>0</v>
      </c>
      <c r="M1237" s="166">
        <f>SUMIFS(Продажи!J$5:J$359,Продажи!$D$5:$D$359,Конструкторы!$B1237,Продажи!$C$5:$C$359,Конструкторы!$A1237)*$D1237</f>
        <v>0</v>
      </c>
      <c r="N1237" s="166">
        <f>SUMIFS(Продажи!K$5:K$359,Продажи!$D$5:$D$359,Конструкторы!$B1237,Продажи!$C$5:$C$359,Конструкторы!$A1237)*$D1237</f>
        <v>0</v>
      </c>
      <c r="O1237" s="166">
        <f>SUMIFS(Продажи!L$5:L$359,Продажи!$D$5:$D$359,Конструкторы!$B1237,Продажи!$C$5:$C$359,Конструкторы!$A1237)*$D1237</f>
        <v>0</v>
      </c>
      <c r="P1237" s="166">
        <f>SUMIFS(Продажи!M$5:M$359,Продажи!$D$5:$D$359,Конструкторы!$B1237,Продажи!$C$5:$C$359,Конструкторы!$A1237)*$D1237</f>
        <v>0</v>
      </c>
      <c r="Q1237" s="166">
        <f>SUMIFS(Продажи!N$5:N$359,Продажи!$D$5:$D$359,Конструкторы!$B1237,Продажи!$C$5:$C$359,Конструкторы!$A1237)*$D1237</f>
        <v>0</v>
      </c>
      <c r="R1237" s="166">
        <f>SUMIFS(Продажи!O$5:O$359,Продажи!$D$5:$D$359,Конструкторы!$B1237,Продажи!$C$5:$C$359,Конструкторы!$A1237)*$D1237</f>
        <v>0</v>
      </c>
      <c r="S1237" s="166">
        <f>SUMIFS(Продажи!P$5:P$359,Продажи!$D$5:$D$359,Конструкторы!$B1237,Продажи!$C$5:$C$359,Конструкторы!$A1237)*$D1237</f>
        <v>0</v>
      </c>
      <c r="T1237" s="166">
        <f>SUMIFS(Продажи!Q$5:Q$359,Продажи!$D$5:$D$359,Конструкторы!$B1237,Продажи!$C$5:$C$359,Конструкторы!$A1237)*$D1237</f>
        <v>0</v>
      </c>
    </row>
    <row r="1238" spans="1:20" x14ac:dyDescent="0.25">
      <c r="A1238" s="166" t="s">
        <v>398</v>
      </c>
      <c r="B1238" s="165" t="s">
        <v>463</v>
      </c>
      <c r="C1238" s="129" t="s">
        <v>34</v>
      </c>
      <c r="D1238" s="163">
        <f>F1238/SUM($F$1238:$F$1247)</f>
        <v>0.31000654022236757</v>
      </c>
      <c r="E1238" s="163"/>
      <c r="F1238" s="166">
        <v>9480</v>
      </c>
      <c r="G1238" s="166"/>
      <c r="H1238" s="167"/>
      <c r="I1238" s="166">
        <f>SUMIFS(Продажи!F$5:F$359,Продажи!$D$5:$D$359,Конструкторы!$B1238,Продажи!$C$5:$C$359,Конструкторы!$A1238)*$D1238</f>
        <v>0</v>
      </c>
      <c r="J1238" s="166">
        <f>SUMIFS(Продажи!G$5:G$359,Продажи!$D$5:$D$359,Конструкторы!$B1238,Продажи!$C$5:$C$359,Конструкторы!$A1238)*$D1238</f>
        <v>0</v>
      </c>
      <c r="K1238" s="166">
        <f>SUMIFS(Продажи!H$5:H$359,Продажи!$D$5:$D$359,Конструкторы!$B1238,Продажи!$C$5:$C$359,Конструкторы!$A1238)*$D1238</f>
        <v>0</v>
      </c>
      <c r="L1238" s="166">
        <f>SUMIFS(Продажи!I$5:I$359,Продажи!$D$5:$D$359,Конструкторы!$B1238,Продажи!$C$5:$C$359,Конструкторы!$A1238)*$D1238</f>
        <v>0</v>
      </c>
      <c r="M1238" s="166">
        <f>SUMIFS(Продажи!J$5:J$359,Продажи!$D$5:$D$359,Конструкторы!$B1238,Продажи!$C$5:$C$359,Конструкторы!$A1238)*$D1238</f>
        <v>0</v>
      </c>
      <c r="N1238" s="166">
        <f>SUMIFS(Продажи!K$5:K$359,Продажи!$D$5:$D$359,Конструкторы!$B1238,Продажи!$C$5:$C$359,Конструкторы!$A1238)*$D1238</f>
        <v>0</v>
      </c>
      <c r="O1238" s="166">
        <f>SUMIFS(Продажи!L$5:L$359,Продажи!$D$5:$D$359,Конструкторы!$B1238,Продажи!$C$5:$C$359,Конструкторы!$A1238)*$D1238</f>
        <v>0</v>
      </c>
      <c r="P1238" s="166">
        <f>SUMIFS(Продажи!M$5:M$359,Продажи!$D$5:$D$359,Конструкторы!$B1238,Продажи!$C$5:$C$359,Конструкторы!$A1238)*$D1238</f>
        <v>0</v>
      </c>
      <c r="Q1238" s="166">
        <f>SUMIFS(Продажи!N$5:N$359,Продажи!$D$5:$D$359,Конструкторы!$B1238,Продажи!$C$5:$C$359,Конструкторы!$A1238)*$D1238</f>
        <v>0</v>
      </c>
      <c r="R1238" s="166">
        <f>SUMIFS(Продажи!O$5:O$359,Продажи!$D$5:$D$359,Конструкторы!$B1238,Продажи!$C$5:$C$359,Конструкторы!$A1238)*$D1238</f>
        <v>0</v>
      </c>
      <c r="S1238" s="166">
        <f>SUMIFS(Продажи!P$5:P$359,Продажи!$D$5:$D$359,Конструкторы!$B1238,Продажи!$C$5:$C$359,Конструкторы!$A1238)*$D1238</f>
        <v>0</v>
      </c>
      <c r="T1238" s="166">
        <f>SUMIFS(Продажи!Q$5:Q$359,Продажи!$D$5:$D$359,Конструкторы!$B1238,Продажи!$C$5:$C$359,Конструкторы!$A1238)*$D1238</f>
        <v>0</v>
      </c>
    </row>
    <row r="1239" spans="1:20" x14ac:dyDescent="0.25">
      <c r="A1239" s="166" t="s">
        <v>398</v>
      </c>
      <c r="B1239" s="165" t="s">
        <v>463</v>
      </c>
      <c r="C1239" s="173" t="s">
        <v>25</v>
      </c>
      <c r="D1239" s="163">
        <f t="shared" ref="D1239:D1247" si="14">F1239/SUM($F$1238:$F$1247)</f>
        <v>9.8103335513407448E-3</v>
      </c>
      <c r="E1239" s="163"/>
      <c r="F1239" s="166">
        <v>300</v>
      </c>
      <c r="G1239" s="166"/>
      <c r="H1239" s="167"/>
      <c r="I1239" s="166">
        <f>SUMIFS(Продажи!F$5:F$359,Продажи!$D$5:$D$359,Конструкторы!$B1239,Продажи!$C$5:$C$359,Конструкторы!$A1239)*$D1239</f>
        <v>0</v>
      </c>
      <c r="J1239" s="166">
        <f>SUMIFS(Продажи!G$5:G$359,Продажи!$D$5:$D$359,Конструкторы!$B1239,Продажи!$C$5:$C$359,Конструкторы!$A1239)*$D1239</f>
        <v>0</v>
      </c>
      <c r="K1239" s="166">
        <f>SUMIFS(Продажи!H$5:H$359,Продажи!$D$5:$D$359,Конструкторы!$B1239,Продажи!$C$5:$C$359,Конструкторы!$A1239)*$D1239</f>
        <v>0</v>
      </c>
      <c r="L1239" s="166">
        <f>SUMIFS(Продажи!I$5:I$359,Продажи!$D$5:$D$359,Конструкторы!$B1239,Продажи!$C$5:$C$359,Конструкторы!$A1239)*$D1239</f>
        <v>0</v>
      </c>
      <c r="M1239" s="166">
        <f>SUMIFS(Продажи!J$5:J$359,Продажи!$D$5:$D$359,Конструкторы!$B1239,Продажи!$C$5:$C$359,Конструкторы!$A1239)*$D1239</f>
        <v>0</v>
      </c>
      <c r="N1239" s="166">
        <f>SUMIFS(Продажи!K$5:K$359,Продажи!$D$5:$D$359,Конструкторы!$B1239,Продажи!$C$5:$C$359,Конструкторы!$A1239)*$D1239</f>
        <v>0</v>
      </c>
      <c r="O1239" s="166">
        <f>SUMIFS(Продажи!L$5:L$359,Продажи!$D$5:$D$359,Конструкторы!$B1239,Продажи!$C$5:$C$359,Конструкторы!$A1239)*$D1239</f>
        <v>0</v>
      </c>
      <c r="P1239" s="166">
        <f>SUMIFS(Продажи!M$5:M$359,Продажи!$D$5:$D$359,Конструкторы!$B1239,Продажи!$C$5:$C$359,Конструкторы!$A1239)*$D1239</f>
        <v>0</v>
      </c>
      <c r="Q1239" s="166">
        <f>SUMIFS(Продажи!N$5:N$359,Продажи!$D$5:$D$359,Конструкторы!$B1239,Продажи!$C$5:$C$359,Конструкторы!$A1239)*$D1239</f>
        <v>0</v>
      </c>
      <c r="R1239" s="166">
        <f>SUMIFS(Продажи!O$5:O$359,Продажи!$D$5:$D$359,Конструкторы!$B1239,Продажи!$C$5:$C$359,Конструкторы!$A1239)*$D1239</f>
        <v>0</v>
      </c>
      <c r="S1239" s="166">
        <f>SUMIFS(Продажи!P$5:P$359,Продажи!$D$5:$D$359,Конструкторы!$B1239,Продажи!$C$5:$C$359,Конструкторы!$A1239)*$D1239</f>
        <v>0</v>
      </c>
      <c r="T1239" s="166">
        <f>SUMIFS(Продажи!Q$5:Q$359,Продажи!$D$5:$D$359,Конструкторы!$B1239,Продажи!$C$5:$C$359,Конструкторы!$A1239)*$D1239</f>
        <v>0</v>
      </c>
    </row>
    <row r="1240" spans="1:20" x14ac:dyDescent="0.25">
      <c r="A1240" s="166" t="s">
        <v>398</v>
      </c>
      <c r="B1240" s="165" t="s">
        <v>463</v>
      </c>
      <c r="C1240" s="173" t="s">
        <v>26</v>
      </c>
      <c r="D1240" s="163">
        <f t="shared" si="14"/>
        <v>6.5402223675604968E-3</v>
      </c>
      <c r="E1240" s="163"/>
      <c r="F1240" s="166">
        <v>200</v>
      </c>
      <c r="G1240" s="166"/>
      <c r="H1240" s="167"/>
      <c r="I1240" s="166">
        <f>SUMIFS(Продажи!F$5:F$359,Продажи!$D$5:$D$359,Конструкторы!$B1240,Продажи!$C$5:$C$359,Конструкторы!$A1240)*$D1240</f>
        <v>0</v>
      </c>
      <c r="J1240" s="166">
        <f>SUMIFS(Продажи!G$5:G$359,Продажи!$D$5:$D$359,Конструкторы!$B1240,Продажи!$C$5:$C$359,Конструкторы!$A1240)*$D1240</f>
        <v>0</v>
      </c>
      <c r="K1240" s="166">
        <f>SUMIFS(Продажи!H$5:H$359,Продажи!$D$5:$D$359,Конструкторы!$B1240,Продажи!$C$5:$C$359,Конструкторы!$A1240)*$D1240</f>
        <v>0</v>
      </c>
      <c r="L1240" s="166">
        <f>SUMIFS(Продажи!I$5:I$359,Продажи!$D$5:$D$359,Конструкторы!$B1240,Продажи!$C$5:$C$359,Конструкторы!$A1240)*$D1240</f>
        <v>0</v>
      </c>
      <c r="M1240" s="166">
        <f>SUMIFS(Продажи!J$5:J$359,Продажи!$D$5:$D$359,Конструкторы!$B1240,Продажи!$C$5:$C$359,Конструкторы!$A1240)*$D1240</f>
        <v>0</v>
      </c>
      <c r="N1240" s="166">
        <f>SUMIFS(Продажи!K$5:K$359,Продажи!$D$5:$D$359,Конструкторы!$B1240,Продажи!$C$5:$C$359,Конструкторы!$A1240)*$D1240</f>
        <v>0</v>
      </c>
      <c r="O1240" s="166">
        <f>SUMIFS(Продажи!L$5:L$359,Продажи!$D$5:$D$359,Конструкторы!$B1240,Продажи!$C$5:$C$359,Конструкторы!$A1240)*$D1240</f>
        <v>0</v>
      </c>
      <c r="P1240" s="166">
        <f>SUMIFS(Продажи!M$5:M$359,Продажи!$D$5:$D$359,Конструкторы!$B1240,Продажи!$C$5:$C$359,Конструкторы!$A1240)*$D1240</f>
        <v>0</v>
      </c>
      <c r="Q1240" s="166">
        <f>SUMIFS(Продажи!N$5:N$359,Продажи!$D$5:$D$359,Конструкторы!$B1240,Продажи!$C$5:$C$359,Конструкторы!$A1240)*$D1240</f>
        <v>0</v>
      </c>
      <c r="R1240" s="166">
        <f>SUMIFS(Продажи!O$5:O$359,Продажи!$D$5:$D$359,Конструкторы!$B1240,Продажи!$C$5:$C$359,Конструкторы!$A1240)*$D1240</f>
        <v>0</v>
      </c>
      <c r="S1240" s="166">
        <f>SUMIFS(Продажи!P$5:P$359,Продажи!$D$5:$D$359,Конструкторы!$B1240,Продажи!$C$5:$C$359,Конструкторы!$A1240)*$D1240</f>
        <v>0</v>
      </c>
      <c r="T1240" s="166">
        <f>SUMIFS(Продажи!Q$5:Q$359,Продажи!$D$5:$D$359,Конструкторы!$B1240,Продажи!$C$5:$C$359,Конструкторы!$A1240)*$D1240</f>
        <v>0</v>
      </c>
    </row>
    <row r="1241" spans="1:20" x14ac:dyDescent="0.25">
      <c r="A1241" s="166" t="s">
        <v>398</v>
      </c>
      <c r="B1241" s="165" t="s">
        <v>463</v>
      </c>
      <c r="C1241" s="129" t="s">
        <v>468</v>
      </c>
      <c r="D1241" s="163">
        <f t="shared" si="14"/>
        <v>7.1615434924787447E-2</v>
      </c>
      <c r="E1241" s="163"/>
      <c r="F1241" s="166">
        <v>2190</v>
      </c>
      <c r="G1241" s="166"/>
      <c r="H1241" s="167"/>
      <c r="I1241" s="166">
        <f>SUMIFS(Продажи!F$5:F$359,Продажи!$D$5:$D$359,Конструкторы!$B1241,Продажи!$C$5:$C$359,Конструкторы!$A1241)*$D1241</f>
        <v>0</v>
      </c>
      <c r="J1241" s="166">
        <f>SUMIFS(Продажи!G$5:G$359,Продажи!$D$5:$D$359,Конструкторы!$B1241,Продажи!$C$5:$C$359,Конструкторы!$A1241)*$D1241</f>
        <v>0</v>
      </c>
      <c r="K1241" s="166">
        <f>SUMIFS(Продажи!H$5:H$359,Продажи!$D$5:$D$359,Конструкторы!$B1241,Продажи!$C$5:$C$359,Конструкторы!$A1241)*$D1241</f>
        <v>0</v>
      </c>
      <c r="L1241" s="166">
        <f>SUMIFS(Продажи!I$5:I$359,Продажи!$D$5:$D$359,Конструкторы!$B1241,Продажи!$C$5:$C$359,Конструкторы!$A1241)*$D1241</f>
        <v>0</v>
      </c>
      <c r="M1241" s="166">
        <f>SUMIFS(Продажи!J$5:J$359,Продажи!$D$5:$D$359,Конструкторы!$B1241,Продажи!$C$5:$C$359,Конструкторы!$A1241)*$D1241</f>
        <v>0</v>
      </c>
      <c r="N1241" s="166">
        <f>SUMIFS(Продажи!K$5:K$359,Продажи!$D$5:$D$359,Конструкторы!$B1241,Продажи!$C$5:$C$359,Конструкторы!$A1241)*$D1241</f>
        <v>0</v>
      </c>
      <c r="O1241" s="166">
        <f>SUMIFS(Продажи!L$5:L$359,Продажи!$D$5:$D$359,Конструкторы!$B1241,Продажи!$C$5:$C$359,Конструкторы!$A1241)*$D1241</f>
        <v>0</v>
      </c>
      <c r="P1241" s="166">
        <f>SUMIFS(Продажи!M$5:M$359,Продажи!$D$5:$D$359,Конструкторы!$B1241,Продажи!$C$5:$C$359,Конструкторы!$A1241)*$D1241</f>
        <v>0</v>
      </c>
      <c r="Q1241" s="166">
        <f>SUMIFS(Продажи!N$5:N$359,Продажи!$D$5:$D$359,Конструкторы!$B1241,Продажи!$C$5:$C$359,Конструкторы!$A1241)*$D1241</f>
        <v>0</v>
      </c>
      <c r="R1241" s="166">
        <f>SUMIFS(Продажи!O$5:O$359,Продажи!$D$5:$D$359,Конструкторы!$B1241,Продажи!$C$5:$C$359,Конструкторы!$A1241)*$D1241</f>
        <v>0</v>
      </c>
      <c r="S1241" s="166">
        <f>SUMIFS(Продажи!P$5:P$359,Продажи!$D$5:$D$359,Конструкторы!$B1241,Продажи!$C$5:$C$359,Конструкторы!$A1241)*$D1241</f>
        <v>0</v>
      </c>
      <c r="T1241" s="166">
        <f>SUMIFS(Продажи!Q$5:Q$359,Продажи!$D$5:$D$359,Конструкторы!$B1241,Продажи!$C$5:$C$359,Конструкторы!$A1241)*$D1241</f>
        <v>0</v>
      </c>
    </row>
    <row r="1242" spans="1:20" x14ac:dyDescent="0.25">
      <c r="A1242" s="166" t="s">
        <v>398</v>
      </c>
      <c r="B1242" s="165" t="s">
        <v>463</v>
      </c>
      <c r="C1242" s="173" t="s">
        <v>32</v>
      </c>
      <c r="D1242" s="163">
        <f t="shared" si="14"/>
        <v>0.47580117724002619</v>
      </c>
      <c r="E1242" s="163"/>
      <c r="F1242" s="166">
        <v>14550</v>
      </c>
      <c r="G1242" s="166"/>
      <c r="H1242" s="167"/>
      <c r="I1242" s="166">
        <f>SUMIFS(Продажи!F$5:F$359,Продажи!$D$5:$D$359,Конструкторы!$B1242,Продажи!$C$5:$C$359,Конструкторы!$A1242)*$D1242</f>
        <v>0</v>
      </c>
      <c r="J1242" s="166">
        <f>SUMIFS(Продажи!G$5:G$359,Продажи!$D$5:$D$359,Конструкторы!$B1242,Продажи!$C$5:$C$359,Конструкторы!$A1242)*$D1242</f>
        <v>0</v>
      </c>
      <c r="K1242" s="166">
        <f>SUMIFS(Продажи!H$5:H$359,Продажи!$D$5:$D$359,Конструкторы!$B1242,Продажи!$C$5:$C$359,Конструкторы!$A1242)*$D1242</f>
        <v>0</v>
      </c>
      <c r="L1242" s="166">
        <f>SUMIFS(Продажи!I$5:I$359,Продажи!$D$5:$D$359,Конструкторы!$B1242,Продажи!$C$5:$C$359,Конструкторы!$A1242)*$D1242</f>
        <v>0</v>
      </c>
      <c r="M1242" s="166">
        <f>SUMIFS(Продажи!J$5:J$359,Продажи!$D$5:$D$359,Конструкторы!$B1242,Продажи!$C$5:$C$359,Конструкторы!$A1242)*$D1242</f>
        <v>0</v>
      </c>
      <c r="N1242" s="166">
        <f>SUMIFS(Продажи!K$5:K$359,Продажи!$D$5:$D$359,Конструкторы!$B1242,Продажи!$C$5:$C$359,Конструкторы!$A1242)*$D1242</f>
        <v>0</v>
      </c>
      <c r="O1242" s="166">
        <f>SUMIFS(Продажи!L$5:L$359,Продажи!$D$5:$D$359,Конструкторы!$B1242,Продажи!$C$5:$C$359,Конструкторы!$A1242)*$D1242</f>
        <v>0</v>
      </c>
      <c r="P1242" s="166">
        <f>SUMIFS(Продажи!M$5:M$359,Продажи!$D$5:$D$359,Конструкторы!$B1242,Продажи!$C$5:$C$359,Конструкторы!$A1242)*$D1242</f>
        <v>0</v>
      </c>
      <c r="Q1242" s="166">
        <f>SUMIFS(Продажи!N$5:N$359,Продажи!$D$5:$D$359,Конструкторы!$B1242,Продажи!$C$5:$C$359,Конструкторы!$A1242)*$D1242</f>
        <v>0</v>
      </c>
      <c r="R1242" s="166">
        <f>SUMIFS(Продажи!O$5:O$359,Продажи!$D$5:$D$359,Конструкторы!$B1242,Продажи!$C$5:$C$359,Конструкторы!$A1242)*$D1242</f>
        <v>0</v>
      </c>
      <c r="S1242" s="166">
        <f>SUMIFS(Продажи!P$5:P$359,Продажи!$D$5:$D$359,Конструкторы!$B1242,Продажи!$C$5:$C$359,Конструкторы!$A1242)*$D1242</f>
        <v>0</v>
      </c>
      <c r="T1242" s="166">
        <f>SUMIFS(Продажи!Q$5:Q$359,Продажи!$D$5:$D$359,Конструкторы!$B1242,Продажи!$C$5:$C$359,Конструкторы!$A1242)*$D1242</f>
        <v>0</v>
      </c>
    </row>
    <row r="1243" spans="1:20" x14ac:dyDescent="0.25">
      <c r="A1243" s="166" t="s">
        <v>398</v>
      </c>
      <c r="B1243" s="165" t="s">
        <v>463</v>
      </c>
      <c r="C1243" s="167" t="s">
        <v>31</v>
      </c>
      <c r="D1243" s="163">
        <f t="shared" si="14"/>
        <v>1.3080444735120995E-3</v>
      </c>
      <c r="E1243" s="163"/>
      <c r="F1243" s="166">
        <v>40</v>
      </c>
      <c r="G1243" s="166"/>
      <c r="H1243" s="167"/>
      <c r="I1243" s="166">
        <f>SUMIFS(Продажи!F$5:F$359,Продажи!$D$5:$D$359,Конструкторы!$B1243,Продажи!$C$5:$C$359,Конструкторы!$A1243)*$D1243</f>
        <v>0</v>
      </c>
      <c r="J1243" s="166">
        <f>SUMIFS(Продажи!G$5:G$359,Продажи!$D$5:$D$359,Конструкторы!$B1243,Продажи!$C$5:$C$359,Конструкторы!$A1243)*$D1243</f>
        <v>0</v>
      </c>
      <c r="K1243" s="166">
        <f>SUMIFS(Продажи!H$5:H$359,Продажи!$D$5:$D$359,Конструкторы!$B1243,Продажи!$C$5:$C$359,Конструкторы!$A1243)*$D1243</f>
        <v>0</v>
      </c>
      <c r="L1243" s="166">
        <f>SUMIFS(Продажи!I$5:I$359,Продажи!$D$5:$D$359,Конструкторы!$B1243,Продажи!$C$5:$C$359,Конструкторы!$A1243)*$D1243</f>
        <v>0</v>
      </c>
      <c r="M1243" s="166">
        <f>SUMIFS(Продажи!J$5:J$359,Продажи!$D$5:$D$359,Конструкторы!$B1243,Продажи!$C$5:$C$359,Конструкторы!$A1243)*$D1243</f>
        <v>0</v>
      </c>
      <c r="N1243" s="166">
        <f>SUMIFS(Продажи!K$5:K$359,Продажи!$D$5:$D$359,Конструкторы!$B1243,Продажи!$C$5:$C$359,Конструкторы!$A1243)*$D1243</f>
        <v>0</v>
      </c>
      <c r="O1243" s="166">
        <f>SUMIFS(Продажи!L$5:L$359,Продажи!$D$5:$D$359,Конструкторы!$B1243,Продажи!$C$5:$C$359,Конструкторы!$A1243)*$D1243</f>
        <v>0</v>
      </c>
      <c r="P1243" s="166">
        <f>SUMIFS(Продажи!M$5:M$359,Продажи!$D$5:$D$359,Конструкторы!$B1243,Продажи!$C$5:$C$359,Конструкторы!$A1243)*$D1243</f>
        <v>0</v>
      </c>
      <c r="Q1243" s="166">
        <f>SUMIFS(Продажи!N$5:N$359,Продажи!$D$5:$D$359,Конструкторы!$B1243,Продажи!$C$5:$C$359,Конструкторы!$A1243)*$D1243</f>
        <v>0</v>
      </c>
      <c r="R1243" s="166">
        <f>SUMIFS(Продажи!O$5:O$359,Продажи!$D$5:$D$359,Конструкторы!$B1243,Продажи!$C$5:$C$359,Конструкторы!$A1243)*$D1243</f>
        <v>0</v>
      </c>
      <c r="S1243" s="166">
        <f>SUMIFS(Продажи!P$5:P$359,Продажи!$D$5:$D$359,Конструкторы!$B1243,Продажи!$C$5:$C$359,Конструкторы!$A1243)*$D1243</f>
        <v>0</v>
      </c>
      <c r="T1243" s="166">
        <f>SUMIFS(Продажи!Q$5:Q$359,Продажи!$D$5:$D$359,Конструкторы!$B1243,Продажи!$C$5:$C$359,Конструкторы!$A1243)*$D1243</f>
        <v>0</v>
      </c>
    </row>
    <row r="1244" spans="1:20" x14ac:dyDescent="0.25">
      <c r="A1244" s="166" t="s">
        <v>398</v>
      </c>
      <c r="B1244" s="165" t="s">
        <v>463</v>
      </c>
      <c r="C1244" s="167" t="s">
        <v>469</v>
      </c>
      <c r="D1244" s="163">
        <f t="shared" si="14"/>
        <v>4.9051667756703728E-2</v>
      </c>
      <c r="E1244" s="163"/>
      <c r="F1244" s="166">
        <v>1500</v>
      </c>
      <c r="G1244" s="166"/>
      <c r="H1244" s="167"/>
      <c r="I1244" s="166">
        <f>SUMIFS(Продажи!F$5:F$359,Продажи!$D$5:$D$359,Конструкторы!$B1244,Продажи!$C$5:$C$359,Конструкторы!$A1244)*$D1244</f>
        <v>0</v>
      </c>
      <c r="J1244" s="166">
        <f>SUMIFS(Продажи!G$5:G$359,Продажи!$D$5:$D$359,Конструкторы!$B1244,Продажи!$C$5:$C$359,Конструкторы!$A1244)*$D1244</f>
        <v>0</v>
      </c>
      <c r="K1244" s="166">
        <f>SUMIFS(Продажи!H$5:H$359,Продажи!$D$5:$D$359,Конструкторы!$B1244,Продажи!$C$5:$C$359,Конструкторы!$A1244)*$D1244</f>
        <v>0</v>
      </c>
      <c r="L1244" s="166">
        <f>SUMIFS(Продажи!I$5:I$359,Продажи!$D$5:$D$359,Конструкторы!$B1244,Продажи!$C$5:$C$359,Конструкторы!$A1244)*$D1244</f>
        <v>0</v>
      </c>
      <c r="M1244" s="166">
        <f>SUMIFS(Продажи!J$5:J$359,Продажи!$D$5:$D$359,Конструкторы!$B1244,Продажи!$C$5:$C$359,Конструкторы!$A1244)*$D1244</f>
        <v>0</v>
      </c>
      <c r="N1244" s="166">
        <f>SUMIFS(Продажи!K$5:K$359,Продажи!$D$5:$D$359,Конструкторы!$B1244,Продажи!$C$5:$C$359,Конструкторы!$A1244)*$D1244</f>
        <v>0</v>
      </c>
      <c r="O1244" s="166">
        <f>SUMIFS(Продажи!L$5:L$359,Продажи!$D$5:$D$359,Конструкторы!$B1244,Продажи!$C$5:$C$359,Конструкторы!$A1244)*$D1244</f>
        <v>0</v>
      </c>
      <c r="P1244" s="166">
        <f>SUMIFS(Продажи!M$5:M$359,Продажи!$D$5:$D$359,Конструкторы!$B1244,Продажи!$C$5:$C$359,Конструкторы!$A1244)*$D1244</f>
        <v>0</v>
      </c>
      <c r="Q1244" s="166">
        <f>SUMIFS(Продажи!N$5:N$359,Продажи!$D$5:$D$359,Конструкторы!$B1244,Продажи!$C$5:$C$359,Конструкторы!$A1244)*$D1244</f>
        <v>0</v>
      </c>
      <c r="R1244" s="166">
        <f>SUMIFS(Продажи!O$5:O$359,Продажи!$D$5:$D$359,Конструкторы!$B1244,Продажи!$C$5:$C$359,Конструкторы!$A1244)*$D1244</f>
        <v>0</v>
      </c>
      <c r="S1244" s="166">
        <f>SUMIFS(Продажи!P$5:P$359,Продажи!$D$5:$D$359,Конструкторы!$B1244,Продажи!$C$5:$C$359,Конструкторы!$A1244)*$D1244</f>
        <v>0</v>
      </c>
      <c r="T1244" s="166">
        <f>SUMIFS(Продажи!Q$5:Q$359,Продажи!$D$5:$D$359,Конструкторы!$B1244,Продажи!$C$5:$C$359,Конструкторы!$A1244)*$D1244</f>
        <v>0</v>
      </c>
    </row>
    <row r="1245" spans="1:20" x14ac:dyDescent="0.25">
      <c r="A1245" s="166" t="s">
        <v>398</v>
      </c>
      <c r="B1245" s="165" t="s">
        <v>463</v>
      </c>
      <c r="C1245" s="129" t="s">
        <v>470</v>
      </c>
      <c r="D1245" s="163">
        <f t="shared" si="14"/>
        <v>1.144538914323087E-2</v>
      </c>
      <c r="E1245" s="163"/>
      <c r="F1245" s="166">
        <v>350</v>
      </c>
      <c r="G1245" s="166"/>
      <c r="H1245" s="167"/>
      <c r="I1245" s="166">
        <f>SUMIFS(Продажи!F$5:F$359,Продажи!$D$5:$D$359,Конструкторы!$B1245,Продажи!$C$5:$C$359,Конструкторы!$A1245)*$D1245</f>
        <v>0</v>
      </c>
      <c r="J1245" s="166">
        <f>SUMIFS(Продажи!G$5:G$359,Продажи!$D$5:$D$359,Конструкторы!$B1245,Продажи!$C$5:$C$359,Конструкторы!$A1245)*$D1245</f>
        <v>0</v>
      </c>
      <c r="K1245" s="166">
        <f>SUMIFS(Продажи!H$5:H$359,Продажи!$D$5:$D$359,Конструкторы!$B1245,Продажи!$C$5:$C$359,Конструкторы!$A1245)*$D1245</f>
        <v>0</v>
      </c>
      <c r="L1245" s="166">
        <f>SUMIFS(Продажи!I$5:I$359,Продажи!$D$5:$D$359,Конструкторы!$B1245,Продажи!$C$5:$C$359,Конструкторы!$A1245)*$D1245</f>
        <v>0</v>
      </c>
      <c r="M1245" s="166">
        <f>SUMIFS(Продажи!J$5:J$359,Продажи!$D$5:$D$359,Конструкторы!$B1245,Продажи!$C$5:$C$359,Конструкторы!$A1245)*$D1245</f>
        <v>0</v>
      </c>
      <c r="N1245" s="166">
        <f>SUMIFS(Продажи!K$5:K$359,Продажи!$D$5:$D$359,Конструкторы!$B1245,Продажи!$C$5:$C$359,Конструкторы!$A1245)*$D1245</f>
        <v>0</v>
      </c>
      <c r="O1245" s="166">
        <f>SUMIFS(Продажи!L$5:L$359,Продажи!$D$5:$D$359,Конструкторы!$B1245,Продажи!$C$5:$C$359,Конструкторы!$A1245)*$D1245</f>
        <v>0</v>
      </c>
      <c r="P1245" s="166">
        <f>SUMIFS(Продажи!M$5:M$359,Продажи!$D$5:$D$359,Конструкторы!$B1245,Продажи!$C$5:$C$359,Конструкторы!$A1245)*$D1245</f>
        <v>0</v>
      </c>
      <c r="Q1245" s="166">
        <f>SUMIFS(Продажи!N$5:N$359,Продажи!$D$5:$D$359,Конструкторы!$B1245,Продажи!$C$5:$C$359,Конструкторы!$A1245)*$D1245</f>
        <v>0</v>
      </c>
      <c r="R1245" s="166">
        <f>SUMIFS(Продажи!O$5:O$359,Продажи!$D$5:$D$359,Конструкторы!$B1245,Продажи!$C$5:$C$359,Конструкторы!$A1245)*$D1245</f>
        <v>0</v>
      </c>
      <c r="S1245" s="166">
        <f>SUMIFS(Продажи!P$5:P$359,Продажи!$D$5:$D$359,Конструкторы!$B1245,Продажи!$C$5:$C$359,Конструкторы!$A1245)*$D1245</f>
        <v>0</v>
      </c>
      <c r="T1245" s="166">
        <f>SUMIFS(Продажи!Q$5:Q$359,Продажи!$D$5:$D$359,Конструкторы!$B1245,Продажи!$C$5:$C$359,Конструкторы!$A1245)*$D1245</f>
        <v>0</v>
      </c>
    </row>
    <row r="1246" spans="1:20" x14ac:dyDescent="0.25">
      <c r="A1246" s="166" t="s">
        <v>398</v>
      </c>
      <c r="B1246" s="165" t="s">
        <v>463</v>
      </c>
      <c r="C1246" s="129" t="s">
        <v>55</v>
      </c>
      <c r="D1246" s="163">
        <f t="shared" si="14"/>
        <v>8.8293001962066707E-3</v>
      </c>
      <c r="E1246" s="163"/>
      <c r="F1246" s="166">
        <v>270</v>
      </c>
      <c r="G1246" s="166"/>
      <c r="H1246" s="167"/>
      <c r="I1246" s="166">
        <f>SUMIFS(Продажи!F$5:F$359,Продажи!$D$5:$D$359,Конструкторы!$B1246,Продажи!$C$5:$C$359,Конструкторы!$A1246)*$D1246</f>
        <v>0</v>
      </c>
      <c r="J1246" s="166">
        <f>SUMIFS(Продажи!G$5:G$359,Продажи!$D$5:$D$359,Конструкторы!$B1246,Продажи!$C$5:$C$359,Конструкторы!$A1246)*$D1246</f>
        <v>0</v>
      </c>
      <c r="K1246" s="166">
        <f>SUMIFS(Продажи!H$5:H$359,Продажи!$D$5:$D$359,Конструкторы!$B1246,Продажи!$C$5:$C$359,Конструкторы!$A1246)*$D1246</f>
        <v>0</v>
      </c>
      <c r="L1246" s="166">
        <f>SUMIFS(Продажи!I$5:I$359,Продажи!$D$5:$D$359,Конструкторы!$B1246,Продажи!$C$5:$C$359,Конструкторы!$A1246)*$D1246</f>
        <v>0</v>
      </c>
      <c r="M1246" s="166">
        <f>SUMIFS(Продажи!J$5:J$359,Продажи!$D$5:$D$359,Конструкторы!$B1246,Продажи!$C$5:$C$359,Конструкторы!$A1246)*$D1246</f>
        <v>0</v>
      </c>
      <c r="N1246" s="166">
        <f>SUMIFS(Продажи!K$5:K$359,Продажи!$D$5:$D$359,Конструкторы!$B1246,Продажи!$C$5:$C$359,Конструкторы!$A1246)*$D1246</f>
        <v>0</v>
      </c>
      <c r="O1246" s="166">
        <f>SUMIFS(Продажи!L$5:L$359,Продажи!$D$5:$D$359,Конструкторы!$B1246,Продажи!$C$5:$C$359,Конструкторы!$A1246)*$D1246</f>
        <v>0</v>
      </c>
      <c r="P1246" s="166">
        <f>SUMIFS(Продажи!M$5:M$359,Продажи!$D$5:$D$359,Конструкторы!$B1246,Продажи!$C$5:$C$359,Конструкторы!$A1246)*$D1246</f>
        <v>0</v>
      </c>
      <c r="Q1246" s="166">
        <f>SUMIFS(Продажи!N$5:N$359,Продажи!$D$5:$D$359,Конструкторы!$B1246,Продажи!$C$5:$C$359,Конструкторы!$A1246)*$D1246</f>
        <v>0</v>
      </c>
      <c r="R1246" s="166">
        <f>SUMIFS(Продажи!O$5:O$359,Продажи!$D$5:$D$359,Конструкторы!$B1246,Продажи!$C$5:$C$359,Конструкторы!$A1246)*$D1246</f>
        <v>0</v>
      </c>
      <c r="S1246" s="166">
        <f>SUMIFS(Продажи!P$5:P$359,Продажи!$D$5:$D$359,Конструкторы!$B1246,Продажи!$C$5:$C$359,Конструкторы!$A1246)*$D1246</f>
        <v>0</v>
      </c>
      <c r="T1246" s="166">
        <f>SUMIFS(Продажи!Q$5:Q$359,Продажи!$D$5:$D$359,Конструкторы!$B1246,Продажи!$C$5:$C$359,Конструкторы!$A1246)*$D1246</f>
        <v>0</v>
      </c>
    </row>
    <row r="1247" spans="1:20" x14ac:dyDescent="0.25">
      <c r="A1247" s="166" t="s">
        <v>398</v>
      </c>
      <c r="B1247" s="165" t="s">
        <v>463</v>
      </c>
      <c r="C1247" s="167" t="s">
        <v>466</v>
      </c>
      <c r="D1247" s="163">
        <f t="shared" si="14"/>
        <v>5.5591890124264222E-2</v>
      </c>
      <c r="E1247" s="163"/>
      <c r="F1247" s="166">
        <v>1700</v>
      </c>
      <c r="G1247" s="166"/>
      <c r="H1247" s="167"/>
      <c r="I1247" s="166">
        <f>SUMIFS(Продажи!F$5:F$359,Продажи!$D$5:$D$359,Конструкторы!$B1247,Продажи!$C$5:$C$359,Конструкторы!$A1247)*$D1247</f>
        <v>0</v>
      </c>
      <c r="J1247" s="166">
        <f>SUMIFS(Продажи!G$5:G$359,Продажи!$D$5:$D$359,Конструкторы!$B1247,Продажи!$C$5:$C$359,Конструкторы!$A1247)*$D1247</f>
        <v>0</v>
      </c>
      <c r="K1247" s="166">
        <f>SUMIFS(Продажи!H$5:H$359,Продажи!$D$5:$D$359,Конструкторы!$B1247,Продажи!$C$5:$C$359,Конструкторы!$A1247)*$D1247</f>
        <v>0</v>
      </c>
      <c r="L1247" s="166">
        <f>SUMIFS(Продажи!I$5:I$359,Продажи!$D$5:$D$359,Конструкторы!$B1247,Продажи!$C$5:$C$359,Конструкторы!$A1247)*$D1247</f>
        <v>0</v>
      </c>
      <c r="M1247" s="166">
        <f>SUMIFS(Продажи!J$5:J$359,Продажи!$D$5:$D$359,Конструкторы!$B1247,Продажи!$C$5:$C$359,Конструкторы!$A1247)*$D1247</f>
        <v>0</v>
      </c>
      <c r="N1247" s="166">
        <f>SUMIFS(Продажи!K$5:K$359,Продажи!$D$5:$D$359,Конструкторы!$B1247,Продажи!$C$5:$C$359,Конструкторы!$A1247)*$D1247</f>
        <v>0</v>
      </c>
      <c r="O1247" s="166">
        <f>SUMIFS(Продажи!L$5:L$359,Продажи!$D$5:$D$359,Конструкторы!$B1247,Продажи!$C$5:$C$359,Конструкторы!$A1247)*$D1247</f>
        <v>0</v>
      </c>
      <c r="P1247" s="166">
        <f>SUMIFS(Продажи!M$5:M$359,Продажи!$D$5:$D$359,Конструкторы!$B1247,Продажи!$C$5:$C$359,Конструкторы!$A1247)*$D1247</f>
        <v>0</v>
      </c>
      <c r="Q1247" s="166">
        <f>SUMIFS(Продажи!N$5:N$359,Продажи!$D$5:$D$359,Конструкторы!$B1247,Продажи!$C$5:$C$359,Конструкторы!$A1247)*$D1247</f>
        <v>0</v>
      </c>
      <c r="R1247" s="166">
        <f>SUMIFS(Продажи!O$5:O$359,Продажи!$D$5:$D$359,Конструкторы!$B1247,Продажи!$C$5:$C$359,Конструкторы!$A1247)*$D1247</f>
        <v>0</v>
      </c>
      <c r="S1247" s="166">
        <f>SUMIFS(Продажи!P$5:P$359,Продажи!$D$5:$D$359,Конструкторы!$B1247,Продажи!$C$5:$C$359,Конструкторы!$A1247)*$D1247</f>
        <v>0</v>
      </c>
      <c r="T1247" s="166">
        <f>SUMIFS(Продажи!Q$5:Q$359,Продажи!$D$5:$D$359,Конструкторы!$B1247,Продажи!$C$5:$C$359,Конструкторы!$A1247)*$D1247</f>
        <v>0</v>
      </c>
    </row>
    <row r="1248" spans="1:20" ht="25.5" x14ac:dyDescent="0.25">
      <c r="A1248" s="166" t="s">
        <v>398</v>
      </c>
      <c r="B1248" s="162" t="s">
        <v>464</v>
      </c>
      <c r="C1248" s="173" t="s">
        <v>32</v>
      </c>
      <c r="D1248" s="163">
        <f>F1248/SUM($F$1248:$F$1255)</f>
        <v>0.20316459154333169</v>
      </c>
      <c r="E1248" s="163"/>
      <c r="F1248" s="179">
        <v>1189.8699999999999</v>
      </c>
      <c r="G1248" s="179"/>
      <c r="H1248" s="167"/>
      <c r="I1248" s="166">
        <f>SUMIFS(Продажи!F$5:F$359,Продажи!$D$5:$D$359,Конструкторы!$B1248,Продажи!$C$5:$C$359,Конструкторы!$A1248)*$D1248</f>
        <v>0</v>
      </c>
      <c r="J1248" s="166">
        <f>SUMIFS(Продажи!G$5:G$359,Продажи!$D$5:$D$359,Конструкторы!$B1248,Продажи!$C$5:$C$359,Конструкторы!$A1248)*$D1248</f>
        <v>0</v>
      </c>
      <c r="K1248" s="166">
        <f>SUMIFS(Продажи!H$5:H$359,Продажи!$D$5:$D$359,Конструкторы!$B1248,Продажи!$C$5:$C$359,Конструкторы!$A1248)*$D1248</f>
        <v>0</v>
      </c>
      <c r="L1248" s="166">
        <f>SUMIFS(Продажи!I$5:I$359,Продажи!$D$5:$D$359,Конструкторы!$B1248,Продажи!$C$5:$C$359,Конструкторы!$A1248)*$D1248</f>
        <v>0</v>
      </c>
      <c r="M1248" s="166">
        <f>SUMIFS(Продажи!J$5:J$359,Продажи!$D$5:$D$359,Конструкторы!$B1248,Продажи!$C$5:$C$359,Конструкторы!$A1248)*$D1248</f>
        <v>0</v>
      </c>
      <c r="N1248" s="166">
        <f>SUMIFS(Продажи!K$5:K$359,Продажи!$D$5:$D$359,Конструкторы!$B1248,Продажи!$C$5:$C$359,Конструкторы!$A1248)*$D1248</f>
        <v>0</v>
      </c>
      <c r="O1248" s="166">
        <f>SUMIFS(Продажи!L$5:L$359,Продажи!$D$5:$D$359,Конструкторы!$B1248,Продажи!$C$5:$C$359,Конструкторы!$A1248)*$D1248</f>
        <v>0</v>
      </c>
      <c r="P1248" s="166">
        <f>SUMIFS(Продажи!M$5:M$359,Продажи!$D$5:$D$359,Конструкторы!$B1248,Продажи!$C$5:$C$359,Конструкторы!$A1248)*$D1248</f>
        <v>0</v>
      </c>
      <c r="Q1248" s="166">
        <f>SUMIFS(Продажи!N$5:N$359,Продажи!$D$5:$D$359,Конструкторы!$B1248,Продажи!$C$5:$C$359,Конструкторы!$A1248)*$D1248</f>
        <v>0</v>
      </c>
      <c r="R1248" s="166">
        <f>SUMIFS(Продажи!O$5:O$359,Продажи!$D$5:$D$359,Конструкторы!$B1248,Продажи!$C$5:$C$359,Конструкторы!$A1248)*$D1248</f>
        <v>0</v>
      </c>
      <c r="S1248" s="166">
        <f>SUMIFS(Продажи!P$5:P$359,Продажи!$D$5:$D$359,Конструкторы!$B1248,Продажи!$C$5:$C$359,Конструкторы!$A1248)*$D1248</f>
        <v>0</v>
      </c>
      <c r="T1248" s="166">
        <f>SUMIFS(Продажи!Q$5:Q$359,Продажи!$D$5:$D$359,Конструкторы!$B1248,Продажи!$C$5:$C$359,Конструкторы!$A1248)*$D1248</f>
        <v>0</v>
      </c>
    </row>
    <row r="1249" spans="1:20" ht="25.5" x14ac:dyDescent="0.25">
      <c r="A1249" s="166" t="s">
        <v>398</v>
      </c>
      <c r="B1249" s="162" t="s">
        <v>464</v>
      </c>
      <c r="C1249" s="129" t="s">
        <v>55</v>
      </c>
      <c r="D1249" s="163">
        <f t="shared" ref="D1249:D1254" si="15">F1249/SUM($F$1248:$F$1255)</f>
        <v>0.12561724389927398</v>
      </c>
      <c r="E1249" s="163"/>
      <c r="F1249" s="179">
        <f>210.16+525.54</f>
        <v>735.69999999999993</v>
      </c>
      <c r="G1249" s="179"/>
      <c r="H1249" s="167"/>
      <c r="I1249" s="166">
        <f>SUMIFS(Продажи!F$5:F$359,Продажи!$D$5:$D$359,Конструкторы!$B1249,Продажи!$C$5:$C$359,Конструкторы!$A1249)*$D1249</f>
        <v>0</v>
      </c>
      <c r="J1249" s="166">
        <f>SUMIFS(Продажи!G$5:G$359,Продажи!$D$5:$D$359,Конструкторы!$B1249,Продажи!$C$5:$C$359,Конструкторы!$A1249)*$D1249</f>
        <v>0</v>
      </c>
      <c r="K1249" s="166">
        <f>SUMIFS(Продажи!H$5:H$359,Продажи!$D$5:$D$359,Конструкторы!$B1249,Продажи!$C$5:$C$359,Конструкторы!$A1249)*$D1249</f>
        <v>0</v>
      </c>
      <c r="L1249" s="166">
        <f>SUMIFS(Продажи!I$5:I$359,Продажи!$D$5:$D$359,Конструкторы!$B1249,Продажи!$C$5:$C$359,Конструкторы!$A1249)*$D1249</f>
        <v>0</v>
      </c>
      <c r="M1249" s="166">
        <f>SUMIFS(Продажи!J$5:J$359,Продажи!$D$5:$D$359,Конструкторы!$B1249,Продажи!$C$5:$C$359,Конструкторы!$A1249)*$D1249</f>
        <v>0</v>
      </c>
      <c r="N1249" s="166">
        <f>SUMIFS(Продажи!K$5:K$359,Продажи!$D$5:$D$359,Конструкторы!$B1249,Продажи!$C$5:$C$359,Конструкторы!$A1249)*$D1249</f>
        <v>0</v>
      </c>
      <c r="O1249" s="166">
        <f>SUMIFS(Продажи!L$5:L$359,Продажи!$D$5:$D$359,Конструкторы!$B1249,Продажи!$C$5:$C$359,Конструкторы!$A1249)*$D1249</f>
        <v>0</v>
      </c>
      <c r="P1249" s="166">
        <f>SUMIFS(Продажи!M$5:M$359,Продажи!$D$5:$D$359,Конструкторы!$B1249,Продажи!$C$5:$C$359,Конструкторы!$A1249)*$D1249</f>
        <v>0</v>
      </c>
      <c r="Q1249" s="166">
        <f>SUMIFS(Продажи!N$5:N$359,Продажи!$D$5:$D$359,Конструкторы!$B1249,Продажи!$C$5:$C$359,Конструкторы!$A1249)*$D1249</f>
        <v>0</v>
      </c>
      <c r="R1249" s="166">
        <f>SUMIFS(Продажи!O$5:O$359,Продажи!$D$5:$D$359,Конструкторы!$B1249,Продажи!$C$5:$C$359,Конструкторы!$A1249)*$D1249</f>
        <v>0</v>
      </c>
      <c r="S1249" s="166">
        <f>SUMIFS(Продажи!P$5:P$359,Продажи!$D$5:$D$359,Конструкторы!$B1249,Продажи!$C$5:$C$359,Конструкторы!$A1249)*$D1249</f>
        <v>0</v>
      </c>
      <c r="T1249" s="166">
        <f>SUMIFS(Продажи!Q$5:Q$359,Продажи!$D$5:$D$359,Конструкторы!$B1249,Продажи!$C$5:$C$359,Конструкторы!$A1249)*$D1249</f>
        <v>0</v>
      </c>
    </row>
    <row r="1250" spans="1:20" ht="25.5" x14ac:dyDescent="0.25">
      <c r="A1250" s="166" t="s">
        <v>398</v>
      </c>
      <c r="B1250" s="162" t="s">
        <v>464</v>
      </c>
      <c r="C1250" s="129" t="s">
        <v>35</v>
      </c>
      <c r="D1250" s="163">
        <f t="shared" si="15"/>
        <v>2.901302444388288E-2</v>
      </c>
      <c r="E1250" s="163"/>
      <c r="F1250" s="179">
        <v>169.92</v>
      </c>
      <c r="G1250" s="179"/>
      <c r="H1250" s="167"/>
      <c r="I1250" s="166">
        <f>SUMIFS(Продажи!F$5:F$359,Продажи!$D$5:$D$359,Конструкторы!$B1250,Продажи!$C$5:$C$359,Конструкторы!$A1250)*$D1250</f>
        <v>0</v>
      </c>
      <c r="J1250" s="166">
        <f>SUMIFS(Продажи!G$5:G$359,Продажи!$D$5:$D$359,Конструкторы!$B1250,Продажи!$C$5:$C$359,Конструкторы!$A1250)*$D1250</f>
        <v>0</v>
      </c>
      <c r="K1250" s="166">
        <f>SUMIFS(Продажи!H$5:H$359,Продажи!$D$5:$D$359,Конструкторы!$B1250,Продажи!$C$5:$C$359,Конструкторы!$A1250)*$D1250</f>
        <v>0</v>
      </c>
      <c r="L1250" s="166">
        <f>SUMIFS(Продажи!I$5:I$359,Продажи!$D$5:$D$359,Конструкторы!$B1250,Продажи!$C$5:$C$359,Конструкторы!$A1250)*$D1250</f>
        <v>0</v>
      </c>
      <c r="M1250" s="166">
        <f>SUMIFS(Продажи!J$5:J$359,Продажи!$D$5:$D$359,Конструкторы!$B1250,Продажи!$C$5:$C$359,Конструкторы!$A1250)*$D1250</f>
        <v>0</v>
      </c>
      <c r="N1250" s="166">
        <f>SUMIFS(Продажи!K$5:K$359,Продажи!$D$5:$D$359,Конструкторы!$B1250,Продажи!$C$5:$C$359,Конструкторы!$A1250)*$D1250</f>
        <v>0</v>
      </c>
      <c r="O1250" s="166">
        <f>SUMIFS(Продажи!L$5:L$359,Продажи!$D$5:$D$359,Конструкторы!$B1250,Продажи!$C$5:$C$359,Конструкторы!$A1250)*$D1250</f>
        <v>0</v>
      </c>
      <c r="P1250" s="166">
        <f>SUMIFS(Продажи!M$5:M$359,Продажи!$D$5:$D$359,Конструкторы!$B1250,Продажи!$C$5:$C$359,Конструкторы!$A1250)*$D1250</f>
        <v>0</v>
      </c>
      <c r="Q1250" s="166">
        <f>SUMIFS(Продажи!N$5:N$359,Продажи!$D$5:$D$359,Конструкторы!$B1250,Продажи!$C$5:$C$359,Конструкторы!$A1250)*$D1250</f>
        <v>0</v>
      </c>
      <c r="R1250" s="166">
        <f>SUMIFS(Продажи!O$5:O$359,Продажи!$D$5:$D$359,Конструкторы!$B1250,Продажи!$C$5:$C$359,Конструкторы!$A1250)*$D1250</f>
        <v>0</v>
      </c>
      <c r="S1250" s="166">
        <f>SUMIFS(Продажи!P$5:P$359,Продажи!$D$5:$D$359,Конструкторы!$B1250,Продажи!$C$5:$C$359,Конструкторы!$A1250)*$D1250</f>
        <v>0</v>
      </c>
      <c r="T1250" s="166">
        <f>SUMIFS(Продажи!Q$5:Q$359,Продажи!$D$5:$D$359,Конструкторы!$B1250,Продажи!$C$5:$C$359,Конструкторы!$A1250)*$D1250</f>
        <v>0</v>
      </c>
    </row>
    <row r="1251" spans="1:20" ht="25.5" x14ac:dyDescent="0.25">
      <c r="A1251" s="166" t="s">
        <v>398</v>
      </c>
      <c r="B1251" s="162" t="s">
        <v>464</v>
      </c>
      <c r="C1251" s="173" t="s">
        <v>10</v>
      </c>
      <c r="D1251" s="163">
        <f t="shared" si="15"/>
        <v>4.4468879979783764E-2</v>
      </c>
      <c r="E1251" s="163"/>
      <c r="F1251" s="179">
        <f>77.24+183.2</f>
        <v>260.44</v>
      </c>
      <c r="G1251" s="179"/>
      <c r="H1251" s="167"/>
      <c r="I1251" s="166">
        <f>SUMIFS(Продажи!F$5:F$359,Продажи!$D$5:$D$359,Конструкторы!$B1251,Продажи!$C$5:$C$359,Конструкторы!$A1251)*$D1251</f>
        <v>0</v>
      </c>
      <c r="J1251" s="166">
        <f>SUMIFS(Продажи!G$5:G$359,Продажи!$D$5:$D$359,Конструкторы!$B1251,Продажи!$C$5:$C$359,Конструкторы!$A1251)*$D1251</f>
        <v>0</v>
      </c>
      <c r="K1251" s="166">
        <f>SUMIFS(Продажи!H$5:H$359,Продажи!$D$5:$D$359,Конструкторы!$B1251,Продажи!$C$5:$C$359,Конструкторы!$A1251)*$D1251</f>
        <v>0</v>
      </c>
      <c r="L1251" s="166">
        <f>SUMIFS(Продажи!I$5:I$359,Продажи!$D$5:$D$359,Конструкторы!$B1251,Продажи!$C$5:$C$359,Конструкторы!$A1251)*$D1251</f>
        <v>0</v>
      </c>
      <c r="M1251" s="166">
        <f>SUMIFS(Продажи!J$5:J$359,Продажи!$D$5:$D$359,Конструкторы!$B1251,Продажи!$C$5:$C$359,Конструкторы!$A1251)*$D1251</f>
        <v>0</v>
      </c>
      <c r="N1251" s="166">
        <f>SUMIFS(Продажи!K$5:K$359,Продажи!$D$5:$D$359,Конструкторы!$B1251,Продажи!$C$5:$C$359,Конструкторы!$A1251)*$D1251</f>
        <v>0</v>
      </c>
      <c r="O1251" s="166">
        <f>SUMIFS(Продажи!L$5:L$359,Продажи!$D$5:$D$359,Конструкторы!$B1251,Продажи!$C$5:$C$359,Конструкторы!$A1251)*$D1251</f>
        <v>0</v>
      </c>
      <c r="P1251" s="166">
        <f>SUMIFS(Продажи!M$5:M$359,Продажи!$D$5:$D$359,Конструкторы!$B1251,Продажи!$C$5:$C$359,Конструкторы!$A1251)*$D1251</f>
        <v>0</v>
      </c>
      <c r="Q1251" s="166">
        <f>SUMIFS(Продажи!N$5:N$359,Продажи!$D$5:$D$359,Конструкторы!$B1251,Продажи!$C$5:$C$359,Конструкторы!$A1251)*$D1251</f>
        <v>0</v>
      </c>
      <c r="R1251" s="166">
        <f>SUMIFS(Продажи!O$5:O$359,Продажи!$D$5:$D$359,Конструкторы!$B1251,Продажи!$C$5:$C$359,Конструкторы!$A1251)*$D1251</f>
        <v>0</v>
      </c>
      <c r="S1251" s="166">
        <f>SUMIFS(Продажи!P$5:P$359,Продажи!$D$5:$D$359,Конструкторы!$B1251,Продажи!$C$5:$C$359,Конструкторы!$A1251)*$D1251</f>
        <v>0</v>
      </c>
      <c r="T1251" s="166">
        <f>SUMIFS(Продажи!Q$5:Q$359,Продажи!$D$5:$D$359,Конструкторы!$B1251,Продажи!$C$5:$C$359,Конструкторы!$A1251)*$D1251</f>
        <v>0</v>
      </c>
    </row>
    <row r="1252" spans="1:20" ht="25.5" x14ac:dyDescent="0.25">
      <c r="A1252" s="166" t="s">
        <v>398</v>
      </c>
      <c r="B1252" s="162" t="s">
        <v>464</v>
      </c>
      <c r="C1252" s="173" t="s">
        <v>26</v>
      </c>
      <c r="D1252" s="163">
        <f t="shared" si="15"/>
        <v>0.24374218840708387</v>
      </c>
      <c r="E1252" s="163"/>
      <c r="F1252" s="179">
        <f>849.82+577.7</f>
        <v>1427.52</v>
      </c>
      <c r="G1252" s="179"/>
      <c r="H1252" s="167"/>
      <c r="I1252" s="166">
        <f>SUMIFS(Продажи!F$5:F$359,Продажи!$D$5:$D$359,Конструкторы!$B1252,Продажи!$C$5:$C$359,Конструкторы!$A1252)*$D1252</f>
        <v>0</v>
      </c>
      <c r="J1252" s="166">
        <f>SUMIFS(Продажи!G$5:G$359,Продажи!$D$5:$D$359,Конструкторы!$B1252,Продажи!$C$5:$C$359,Конструкторы!$A1252)*$D1252</f>
        <v>0</v>
      </c>
      <c r="K1252" s="166">
        <f>SUMIFS(Продажи!H$5:H$359,Продажи!$D$5:$D$359,Конструкторы!$B1252,Продажи!$C$5:$C$359,Конструкторы!$A1252)*$D1252</f>
        <v>0</v>
      </c>
      <c r="L1252" s="166">
        <f>SUMIFS(Продажи!I$5:I$359,Продажи!$D$5:$D$359,Конструкторы!$B1252,Продажи!$C$5:$C$359,Конструкторы!$A1252)*$D1252</f>
        <v>0</v>
      </c>
      <c r="M1252" s="166">
        <f>SUMIFS(Продажи!J$5:J$359,Продажи!$D$5:$D$359,Конструкторы!$B1252,Продажи!$C$5:$C$359,Конструкторы!$A1252)*$D1252</f>
        <v>0</v>
      </c>
      <c r="N1252" s="166">
        <f>SUMIFS(Продажи!K$5:K$359,Продажи!$D$5:$D$359,Конструкторы!$B1252,Продажи!$C$5:$C$359,Конструкторы!$A1252)*$D1252</f>
        <v>0</v>
      </c>
      <c r="O1252" s="166">
        <f>SUMIFS(Продажи!L$5:L$359,Продажи!$D$5:$D$359,Конструкторы!$B1252,Продажи!$C$5:$C$359,Конструкторы!$A1252)*$D1252</f>
        <v>0</v>
      </c>
      <c r="P1252" s="166">
        <f>SUMIFS(Продажи!M$5:M$359,Продажи!$D$5:$D$359,Конструкторы!$B1252,Продажи!$C$5:$C$359,Конструкторы!$A1252)*$D1252</f>
        <v>0</v>
      </c>
      <c r="Q1252" s="166">
        <f>SUMIFS(Продажи!N$5:N$359,Продажи!$D$5:$D$359,Конструкторы!$B1252,Продажи!$C$5:$C$359,Конструкторы!$A1252)*$D1252</f>
        <v>0</v>
      </c>
      <c r="R1252" s="166">
        <f>SUMIFS(Продажи!O$5:O$359,Продажи!$D$5:$D$359,Конструкторы!$B1252,Продажи!$C$5:$C$359,Конструкторы!$A1252)*$D1252</f>
        <v>0</v>
      </c>
      <c r="S1252" s="166">
        <f>SUMIFS(Продажи!P$5:P$359,Продажи!$D$5:$D$359,Конструкторы!$B1252,Продажи!$C$5:$C$359,Конструкторы!$A1252)*$D1252</f>
        <v>0</v>
      </c>
      <c r="T1252" s="166">
        <f>SUMIFS(Продажи!Q$5:Q$359,Продажи!$D$5:$D$359,Конструкторы!$B1252,Продажи!$C$5:$C$359,Конструкторы!$A1252)*$D1252</f>
        <v>0</v>
      </c>
    </row>
    <row r="1253" spans="1:20" ht="25.5" x14ac:dyDescent="0.25">
      <c r="A1253" s="166" t="s">
        <v>398</v>
      </c>
      <c r="B1253" s="162" t="s">
        <v>464</v>
      </c>
      <c r="C1253" s="167" t="s">
        <v>466</v>
      </c>
      <c r="D1253" s="163">
        <f t="shared" si="15"/>
        <v>0.13141062854723154</v>
      </c>
      <c r="E1253" s="163"/>
      <c r="F1253" s="179">
        <v>769.63</v>
      </c>
      <c r="G1253" s="179"/>
      <c r="H1253" s="167"/>
      <c r="I1253" s="166">
        <f>SUMIFS(Продажи!F$5:F$359,Продажи!$D$5:$D$359,Конструкторы!$B1253,Продажи!$C$5:$C$359,Конструкторы!$A1253)*$D1253</f>
        <v>0</v>
      </c>
      <c r="J1253" s="166">
        <f>SUMIFS(Продажи!G$5:G$359,Продажи!$D$5:$D$359,Конструкторы!$B1253,Продажи!$C$5:$C$359,Конструкторы!$A1253)*$D1253</f>
        <v>0</v>
      </c>
      <c r="K1253" s="166">
        <f>SUMIFS(Продажи!H$5:H$359,Продажи!$D$5:$D$359,Конструкторы!$B1253,Продажи!$C$5:$C$359,Конструкторы!$A1253)*$D1253</f>
        <v>0</v>
      </c>
      <c r="L1253" s="166">
        <f>SUMIFS(Продажи!I$5:I$359,Продажи!$D$5:$D$359,Конструкторы!$B1253,Продажи!$C$5:$C$359,Конструкторы!$A1253)*$D1253</f>
        <v>0</v>
      </c>
      <c r="M1253" s="166">
        <f>SUMIFS(Продажи!J$5:J$359,Продажи!$D$5:$D$359,Конструкторы!$B1253,Продажи!$C$5:$C$359,Конструкторы!$A1253)*$D1253</f>
        <v>0</v>
      </c>
      <c r="N1253" s="166">
        <f>SUMIFS(Продажи!K$5:K$359,Продажи!$D$5:$D$359,Конструкторы!$B1253,Продажи!$C$5:$C$359,Конструкторы!$A1253)*$D1253</f>
        <v>0</v>
      </c>
      <c r="O1253" s="166">
        <f>SUMIFS(Продажи!L$5:L$359,Продажи!$D$5:$D$359,Конструкторы!$B1253,Продажи!$C$5:$C$359,Конструкторы!$A1253)*$D1253</f>
        <v>0</v>
      </c>
      <c r="P1253" s="166">
        <f>SUMIFS(Продажи!M$5:M$359,Продажи!$D$5:$D$359,Конструкторы!$B1253,Продажи!$C$5:$C$359,Конструкторы!$A1253)*$D1253</f>
        <v>0</v>
      </c>
      <c r="Q1253" s="166">
        <f>SUMIFS(Продажи!N$5:N$359,Продажи!$D$5:$D$359,Конструкторы!$B1253,Продажи!$C$5:$C$359,Конструкторы!$A1253)*$D1253</f>
        <v>0</v>
      </c>
      <c r="R1253" s="166">
        <f>SUMIFS(Продажи!O$5:O$359,Продажи!$D$5:$D$359,Конструкторы!$B1253,Продажи!$C$5:$C$359,Конструкторы!$A1253)*$D1253</f>
        <v>0</v>
      </c>
      <c r="S1253" s="166">
        <f>SUMIFS(Продажи!P$5:P$359,Продажи!$D$5:$D$359,Конструкторы!$B1253,Продажи!$C$5:$C$359,Конструкторы!$A1253)*$D1253</f>
        <v>0</v>
      </c>
      <c r="T1253" s="166">
        <f>SUMIFS(Продажи!Q$5:Q$359,Продажи!$D$5:$D$359,Конструкторы!$B1253,Продажи!$C$5:$C$359,Конструкторы!$A1253)*$D1253</f>
        <v>0</v>
      </c>
    </row>
    <row r="1254" spans="1:20" ht="25.5" x14ac:dyDescent="0.25">
      <c r="A1254" s="166" t="s">
        <v>398</v>
      </c>
      <c r="B1254" s="162" t="s">
        <v>464</v>
      </c>
      <c r="C1254" s="167" t="s">
        <v>467</v>
      </c>
      <c r="D1254" s="163">
        <f t="shared" si="15"/>
        <v>4.7945252258959001E-2</v>
      </c>
      <c r="E1254" s="163"/>
      <c r="F1254" s="179">
        <v>280.8</v>
      </c>
      <c r="G1254" s="179"/>
      <c r="H1254" s="167"/>
      <c r="I1254" s="166">
        <f>SUMIFS(Продажи!F$5:F$359,Продажи!$D$5:$D$359,Конструкторы!$B1254,Продажи!$C$5:$C$359,Конструкторы!$A1254)*$D1254</f>
        <v>0</v>
      </c>
      <c r="J1254" s="166">
        <f>SUMIFS(Продажи!G$5:G$359,Продажи!$D$5:$D$359,Конструкторы!$B1254,Продажи!$C$5:$C$359,Конструкторы!$A1254)*$D1254</f>
        <v>0</v>
      </c>
      <c r="K1254" s="166">
        <f>SUMIFS(Продажи!H$5:H$359,Продажи!$D$5:$D$359,Конструкторы!$B1254,Продажи!$C$5:$C$359,Конструкторы!$A1254)*$D1254</f>
        <v>0</v>
      </c>
      <c r="L1254" s="166">
        <f>SUMIFS(Продажи!I$5:I$359,Продажи!$D$5:$D$359,Конструкторы!$B1254,Продажи!$C$5:$C$359,Конструкторы!$A1254)*$D1254</f>
        <v>0</v>
      </c>
      <c r="M1254" s="166">
        <f>SUMIFS(Продажи!J$5:J$359,Продажи!$D$5:$D$359,Конструкторы!$B1254,Продажи!$C$5:$C$359,Конструкторы!$A1254)*$D1254</f>
        <v>0</v>
      </c>
      <c r="N1254" s="166">
        <f>SUMIFS(Продажи!K$5:K$359,Продажи!$D$5:$D$359,Конструкторы!$B1254,Продажи!$C$5:$C$359,Конструкторы!$A1254)*$D1254</f>
        <v>0</v>
      </c>
      <c r="O1254" s="166">
        <f>SUMIFS(Продажи!L$5:L$359,Продажи!$D$5:$D$359,Конструкторы!$B1254,Продажи!$C$5:$C$359,Конструкторы!$A1254)*$D1254</f>
        <v>0</v>
      </c>
      <c r="P1254" s="166">
        <f>SUMIFS(Продажи!M$5:M$359,Продажи!$D$5:$D$359,Конструкторы!$B1254,Продажи!$C$5:$C$359,Конструкторы!$A1254)*$D1254</f>
        <v>0</v>
      </c>
      <c r="Q1254" s="166">
        <f>SUMIFS(Продажи!N$5:N$359,Продажи!$D$5:$D$359,Конструкторы!$B1254,Продажи!$C$5:$C$359,Конструкторы!$A1254)*$D1254</f>
        <v>0</v>
      </c>
      <c r="R1254" s="166">
        <f>SUMIFS(Продажи!O$5:O$359,Продажи!$D$5:$D$359,Конструкторы!$B1254,Продажи!$C$5:$C$359,Конструкторы!$A1254)*$D1254</f>
        <v>0</v>
      </c>
      <c r="S1254" s="166">
        <f>SUMIFS(Продажи!P$5:P$359,Продажи!$D$5:$D$359,Конструкторы!$B1254,Продажи!$C$5:$C$359,Конструкторы!$A1254)*$D1254</f>
        <v>0</v>
      </c>
      <c r="T1254" s="166">
        <f>SUMIFS(Продажи!Q$5:Q$359,Продажи!$D$5:$D$359,Конструкторы!$B1254,Продажи!$C$5:$C$359,Конструкторы!$A1254)*$D1254</f>
        <v>0</v>
      </c>
    </row>
    <row r="1255" spans="1:20" ht="25.5" x14ac:dyDescent="0.25">
      <c r="A1255" s="166" t="s">
        <v>398</v>
      </c>
      <c r="B1255" s="162" t="s">
        <v>464</v>
      </c>
      <c r="C1255" s="173" t="s">
        <v>47</v>
      </c>
      <c r="D1255" s="163">
        <f>F1255/SUM($F$1248:$F$1255)</f>
        <v>0.17463819092045321</v>
      </c>
      <c r="E1255" s="163"/>
      <c r="F1255" s="166">
        <v>1022.8</v>
      </c>
      <c r="G1255" s="166"/>
      <c r="H1255" s="167"/>
      <c r="I1255" s="166">
        <f>SUMIFS(Продажи!F$5:F$359,Продажи!$D$5:$D$359,Конструкторы!$B1255,Продажи!$C$5:$C$359,Конструкторы!$A1255)*$D1255</f>
        <v>0</v>
      </c>
      <c r="J1255" s="166">
        <f>SUMIFS(Продажи!G$5:G$359,Продажи!$D$5:$D$359,Конструкторы!$B1255,Продажи!$C$5:$C$359,Конструкторы!$A1255)*$D1255</f>
        <v>0</v>
      </c>
      <c r="K1255" s="166">
        <f>SUMIFS(Продажи!H$5:H$359,Продажи!$D$5:$D$359,Конструкторы!$B1255,Продажи!$C$5:$C$359,Конструкторы!$A1255)*$D1255</f>
        <v>0</v>
      </c>
      <c r="L1255" s="166">
        <f>SUMIFS(Продажи!I$5:I$359,Продажи!$D$5:$D$359,Конструкторы!$B1255,Продажи!$C$5:$C$359,Конструкторы!$A1255)*$D1255</f>
        <v>0</v>
      </c>
      <c r="M1255" s="166">
        <f>SUMIFS(Продажи!J$5:J$359,Продажи!$D$5:$D$359,Конструкторы!$B1255,Продажи!$C$5:$C$359,Конструкторы!$A1255)*$D1255</f>
        <v>0</v>
      </c>
      <c r="N1255" s="166">
        <f>SUMIFS(Продажи!K$5:K$359,Продажи!$D$5:$D$359,Конструкторы!$B1255,Продажи!$C$5:$C$359,Конструкторы!$A1255)*$D1255</f>
        <v>0</v>
      </c>
      <c r="O1255" s="166">
        <f>SUMIFS(Продажи!L$5:L$359,Продажи!$D$5:$D$359,Конструкторы!$B1255,Продажи!$C$5:$C$359,Конструкторы!$A1255)*$D1255</f>
        <v>0</v>
      </c>
      <c r="P1255" s="166">
        <f>SUMIFS(Продажи!M$5:M$359,Продажи!$D$5:$D$359,Конструкторы!$B1255,Продажи!$C$5:$C$359,Конструкторы!$A1255)*$D1255</f>
        <v>0</v>
      </c>
      <c r="Q1255" s="166">
        <f>SUMIFS(Продажи!N$5:N$359,Продажи!$D$5:$D$359,Конструкторы!$B1255,Продажи!$C$5:$C$359,Конструкторы!$A1255)*$D1255</f>
        <v>0</v>
      </c>
      <c r="R1255" s="166">
        <f>SUMIFS(Продажи!O$5:O$359,Продажи!$D$5:$D$359,Конструкторы!$B1255,Продажи!$C$5:$C$359,Конструкторы!$A1255)*$D1255</f>
        <v>0</v>
      </c>
      <c r="S1255" s="166">
        <f>SUMIFS(Продажи!P$5:P$359,Продажи!$D$5:$D$359,Конструкторы!$B1255,Продажи!$C$5:$C$359,Конструкторы!$A1255)*$D1255</f>
        <v>0</v>
      </c>
      <c r="T1255" s="166">
        <f>SUMIFS(Продажи!Q$5:Q$359,Продажи!$D$5:$D$359,Конструкторы!$B1255,Продажи!$C$5:$C$359,Конструкторы!$A1255)*$D1255</f>
        <v>0</v>
      </c>
    </row>
    <row r="1256" spans="1:20" x14ac:dyDescent="0.25">
      <c r="A1256" s="166" t="s">
        <v>398</v>
      </c>
      <c r="B1256" s="269" t="s">
        <v>563</v>
      </c>
      <c r="C1256" s="53" t="s">
        <v>25</v>
      </c>
      <c r="D1256" s="163">
        <f>F1256/SUM($F$1256:$F$1265)</f>
        <v>1.3300204618532593E-2</v>
      </c>
      <c r="E1256" s="163"/>
      <c r="F1256" s="262">
        <v>910</v>
      </c>
      <c r="G1256" s="166"/>
      <c r="H1256" s="167"/>
      <c r="I1256" s="166">
        <f>SUMIFS(Продажи!F$5:F$359,Продажи!$D$5:$D$359,Конструкторы!$B1256,Продажи!$C$5:$C$359,Конструкторы!$A1256)*$D1256</f>
        <v>0</v>
      </c>
      <c r="J1256" s="166">
        <f>SUMIFS(Продажи!G$5:G$359,Продажи!$D$5:$D$359,Конструкторы!$B1256,Продажи!$C$5:$C$359,Конструкторы!$A1256)*$D1256</f>
        <v>910</v>
      </c>
      <c r="K1256" s="166">
        <f>SUMIFS(Продажи!H$5:H$359,Продажи!$D$5:$D$359,Конструкторы!$B1256,Продажи!$C$5:$C$359,Конструкторы!$A1256)*$D1256</f>
        <v>0</v>
      </c>
      <c r="L1256" s="166">
        <f>SUMIFS(Продажи!I$5:I$359,Продажи!$D$5:$D$359,Конструкторы!$B1256,Продажи!$C$5:$C$359,Конструкторы!$A1256)*$D1256</f>
        <v>0</v>
      </c>
      <c r="M1256" s="166">
        <f>SUMIFS(Продажи!J$5:J$359,Продажи!$D$5:$D$359,Конструкторы!$B1256,Продажи!$C$5:$C$359,Конструкторы!$A1256)*$D1256</f>
        <v>0</v>
      </c>
      <c r="N1256" s="166">
        <f>SUMIFS(Продажи!K$5:K$359,Продажи!$D$5:$D$359,Конструкторы!$B1256,Продажи!$C$5:$C$359,Конструкторы!$A1256)*$D1256</f>
        <v>0</v>
      </c>
      <c r="O1256" s="166">
        <f>SUMIFS(Продажи!L$5:L$359,Продажи!$D$5:$D$359,Конструкторы!$B1256,Продажи!$C$5:$C$359,Конструкторы!$A1256)*$D1256</f>
        <v>0</v>
      </c>
      <c r="P1256" s="166">
        <f>SUMIFS(Продажи!M$5:M$359,Продажи!$D$5:$D$359,Конструкторы!$B1256,Продажи!$C$5:$C$359,Конструкторы!$A1256)*$D1256</f>
        <v>0</v>
      </c>
      <c r="Q1256" s="166">
        <f>SUMIFS(Продажи!N$5:N$359,Продажи!$D$5:$D$359,Конструкторы!$B1256,Продажи!$C$5:$C$359,Конструкторы!$A1256)*$D1256</f>
        <v>0</v>
      </c>
      <c r="R1256" s="166">
        <f>SUMIFS(Продажи!O$5:O$359,Продажи!$D$5:$D$359,Конструкторы!$B1256,Продажи!$C$5:$C$359,Конструкторы!$A1256)*$D1256</f>
        <v>0</v>
      </c>
      <c r="S1256" s="166">
        <f>SUMIFS(Продажи!P$5:P$359,Продажи!$D$5:$D$359,Конструкторы!$B1256,Продажи!$C$5:$C$359,Конструкторы!$A1256)*$D1256</f>
        <v>0</v>
      </c>
      <c r="T1256" s="166">
        <f>SUMIFS(Продажи!Q$5:Q$359,Продажи!$D$5:$D$359,Конструкторы!$B1256,Продажи!$C$5:$C$359,Конструкторы!$A1256)*$D1256</f>
        <v>0</v>
      </c>
    </row>
    <row r="1257" spans="1:20" x14ac:dyDescent="0.25">
      <c r="A1257" s="166" t="s">
        <v>398</v>
      </c>
      <c r="B1257" s="269" t="s">
        <v>563</v>
      </c>
      <c r="C1257" s="53" t="s">
        <v>34</v>
      </c>
      <c r="D1257" s="163">
        <f t="shared" ref="D1257:D1264" si="16">F1257/SUM($F$1256:$F$1265)</f>
        <v>0.33279742765273312</v>
      </c>
      <c r="E1257" s="163"/>
      <c r="F1257" s="262">
        <v>22770</v>
      </c>
      <c r="G1257" s="166"/>
      <c r="H1257" s="167"/>
      <c r="I1257" s="166">
        <f>SUMIFS(Продажи!F$5:F$359,Продажи!$D$5:$D$359,Конструкторы!$B1257,Продажи!$C$5:$C$359,Конструкторы!$A1257)*$D1257</f>
        <v>0</v>
      </c>
      <c r="J1257" s="166">
        <f>SUMIFS(Продажи!G$5:G$359,Продажи!$D$5:$D$359,Конструкторы!$B1257,Продажи!$C$5:$C$359,Конструкторы!$A1257)*$D1257</f>
        <v>22770</v>
      </c>
      <c r="K1257" s="166">
        <f>SUMIFS(Продажи!H$5:H$359,Продажи!$D$5:$D$359,Конструкторы!$B1257,Продажи!$C$5:$C$359,Конструкторы!$A1257)*$D1257</f>
        <v>0</v>
      </c>
      <c r="L1257" s="166">
        <f>SUMIFS(Продажи!I$5:I$359,Продажи!$D$5:$D$359,Конструкторы!$B1257,Продажи!$C$5:$C$359,Конструкторы!$A1257)*$D1257</f>
        <v>0</v>
      </c>
      <c r="M1257" s="166">
        <f>SUMIFS(Продажи!J$5:J$359,Продажи!$D$5:$D$359,Конструкторы!$B1257,Продажи!$C$5:$C$359,Конструкторы!$A1257)*$D1257</f>
        <v>0</v>
      </c>
      <c r="N1257" s="166">
        <f>SUMIFS(Продажи!K$5:K$359,Продажи!$D$5:$D$359,Конструкторы!$B1257,Продажи!$C$5:$C$359,Конструкторы!$A1257)*$D1257</f>
        <v>0</v>
      </c>
      <c r="O1257" s="166">
        <f>SUMIFS(Продажи!L$5:L$359,Продажи!$D$5:$D$359,Конструкторы!$B1257,Продажи!$C$5:$C$359,Конструкторы!$A1257)*$D1257</f>
        <v>0</v>
      </c>
      <c r="P1257" s="166">
        <f>SUMIFS(Продажи!M$5:M$359,Продажи!$D$5:$D$359,Конструкторы!$B1257,Продажи!$C$5:$C$359,Конструкторы!$A1257)*$D1257</f>
        <v>0</v>
      </c>
      <c r="Q1257" s="166">
        <f>SUMIFS(Продажи!N$5:N$359,Продажи!$D$5:$D$359,Конструкторы!$B1257,Продажи!$C$5:$C$359,Конструкторы!$A1257)*$D1257</f>
        <v>0</v>
      </c>
      <c r="R1257" s="166">
        <f>SUMIFS(Продажи!O$5:O$359,Продажи!$D$5:$D$359,Конструкторы!$B1257,Продажи!$C$5:$C$359,Конструкторы!$A1257)*$D1257</f>
        <v>0</v>
      </c>
      <c r="S1257" s="166">
        <f>SUMIFS(Продажи!P$5:P$359,Продажи!$D$5:$D$359,Конструкторы!$B1257,Продажи!$C$5:$C$359,Конструкторы!$A1257)*$D1257</f>
        <v>0</v>
      </c>
      <c r="T1257" s="166">
        <f>SUMIFS(Продажи!Q$5:Q$359,Продажи!$D$5:$D$359,Конструкторы!$B1257,Продажи!$C$5:$C$359,Конструкторы!$A1257)*$D1257</f>
        <v>0</v>
      </c>
    </row>
    <row r="1258" spans="1:20" x14ac:dyDescent="0.25">
      <c r="A1258" s="166" t="s">
        <v>398</v>
      </c>
      <c r="B1258" s="269" t="s">
        <v>563</v>
      </c>
      <c r="C1258" s="53" t="s">
        <v>27</v>
      </c>
      <c r="D1258" s="163">
        <f t="shared" si="16"/>
        <v>2.9231218941829874E-2</v>
      </c>
      <c r="E1258" s="163"/>
      <c r="F1258" s="262">
        <v>2000</v>
      </c>
      <c r="G1258" s="166"/>
      <c r="H1258" s="167"/>
      <c r="I1258" s="166">
        <f>SUMIFS(Продажи!F$5:F$359,Продажи!$D$5:$D$359,Конструкторы!$B1258,Продажи!$C$5:$C$359,Конструкторы!$A1258)*$D1258</f>
        <v>0</v>
      </c>
      <c r="J1258" s="166">
        <f>SUMIFS(Продажи!G$5:G$359,Продажи!$D$5:$D$359,Конструкторы!$B1258,Продажи!$C$5:$C$359,Конструкторы!$A1258)*$D1258</f>
        <v>2000</v>
      </c>
      <c r="K1258" s="166">
        <f>SUMIFS(Продажи!H$5:H$359,Продажи!$D$5:$D$359,Конструкторы!$B1258,Продажи!$C$5:$C$359,Конструкторы!$A1258)*$D1258</f>
        <v>0</v>
      </c>
      <c r="L1258" s="166">
        <f>SUMIFS(Продажи!I$5:I$359,Продажи!$D$5:$D$359,Конструкторы!$B1258,Продажи!$C$5:$C$359,Конструкторы!$A1258)*$D1258</f>
        <v>0</v>
      </c>
      <c r="M1258" s="166">
        <f>SUMIFS(Продажи!J$5:J$359,Продажи!$D$5:$D$359,Конструкторы!$B1258,Продажи!$C$5:$C$359,Конструкторы!$A1258)*$D1258</f>
        <v>0</v>
      </c>
      <c r="N1258" s="166">
        <f>SUMIFS(Продажи!K$5:K$359,Продажи!$D$5:$D$359,Конструкторы!$B1258,Продажи!$C$5:$C$359,Конструкторы!$A1258)*$D1258</f>
        <v>0</v>
      </c>
      <c r="O1258" s="166">
        <f>SUMIFS(Продажи!L$5:L$359,Продажи!$D$5:$D$359,Конструкторы!$B1258,Продажи!$C$5:$C$359,Конструкторы!$A1258)*$D1258</f>
        <v>0</v>
      </c>
      <c r="P1258" s="166">
        <f>SUMIFS(Продажи!M$5:M$359,Продажи!$D$5:$D$359,Конструкторы!$B1258,Продажи!$C$5:$C$359,Конструкторы!$A1258)*$D1258</f>
        <v>0</v>
      </c>
      <c r="Q1258" s="166">
        <f>SUMIFS(Продажи!N$5:N$359,Продажи!$D$5:$D$359,Конструкторы!$B1258,Продажи!$C$5:$C$359,Конструкторы!$A1258)*$D1258</f>
        <v>0</v>
      </c>
      <c r="R1258" s="166">
        <f>SUMIFS(Продажи!O$5:O$359,Продажи!$D$5:$D$359,Конструкторы!$B1258,Продажи!$C$5:$C$359,Конструкторы!$A1258)*$D1258</f>
        <v>0</v>
      </c>
      <c r="S1258" s="166">
        <f>SUMIFS(Продажи!P$5:P$359,Продажи!$D$5:$D$359,Конструкторы!$B1258,Продажи!$C$5:$C$359,Конструкторы!$A1258)*$D1258</f>
        <v>0</v>
      </c>
      <c r="T1258" s="166">
        <f>SUMIFS(Продажи!Q$5:Q$359,Продажи!$D$5:$D$359,Конструкторы!$B1258,Продажи!$C$5:$C$359,Конструкторы!$A1258)*$D1258</f>
        <v>0</v>
      </c>
    </row>
    <row r="1259" spans="1:20" x14ac:dyDescent="0.25">
      <c r="A1259" s="166" t="s">
        <v>398</v>
      </c>
      <c r="B1259" s="269" t="s">
        <v>563</v>
      </c>
      <c r="C1259" s="53" t="s">
        <v>30</v>
      </c>
      <c r="D1259" s="163">
        <f t="shared" si="16"/>
        <v>7.3078047354574688E-4</v>
      </c>
      <c r="E1259" s="163"/>
      <c r="F1259" s="262">
        <v>50</v>
      </c>
      <c r="G1259" s="166"/>
      <c r="H1259" s="167"/>
      <c r="I1259" s="166">
        <f>SUMIFS(Продажи!F$5:F$359,Продажи!$D$5:$D$359,Конструкторы!$B1259,Продажи!$C$5:$C$359,Конструкторы!$A1259)*$D1259</f>
        <v>0</v>
      </c>
      <c r="J1259" s="166">
        <f>SUMIFS(Продажи!G$5:G$359,Продажи!$D$5:$D$359,Конструкторы!$B1259,Продажи!$C$5:$C$359,Конструкторы!$A1259)*$D1259</f>
        <v>50</v>
      </c>
      <c r="K1259" s="166">
        <f>SUMIFS(Продажи!H$5:H$359,Продажи!$D$5:$D$359,Конструкторы!$B1259,Продажи!$C$5:$C$359,Конструкторы!$A1259)*$D1259</f>
        <v>0</v>
      </c>
      <c r="L1259" s="166">
        <f>SUMIFS(Продажи!I$5:I$359,Продажи!$D$5:$D$359,Конструкторы!$B1259,Продажи!$C$5:$C$359,Конструкторы!$A1259)*$D1259</f>
        <v>0</v>
      </c>
      <c r="M1259" s="166">
        <f>SUMIFS(Продажи!J$5:J$359,Продажи!$D$5:$D$359,Конструкторы!$B1259,Продажи!$C$5:$C$359,Конструкторы!$A1259)*$D1259</f>
        <v>0</v>
      </c>
      <c r="N1259" s="166">
        <f>SUMIFS(Продажи!K$5:K$359,Продажи!$D$5:$D$359,Конструкторы!$B1259,Продажи!$C$5:$C$359,Конструкторы!$A1259)*$D1259</f>
        <v>0</v>
      </c>
      <c r="O1259" s="166">
        <f>SUMIFS(Продажи!L$5:L$359,Продажи!$D$5:$D$359,Конструкторы!$B1259,Продажи!$C$5:$C$359,Конструкторы!$A1259)*$D1259</f>
        <v>0</v>
      </c>
      <c r="P1259" s="166">
        <f>SUMIFS(Продажи!M$5:M$359,Продажи!$D$5:$D$359,Конструкторы!$B1259,Продажи!$C$5:$C$359,Конструкторы!$A1259)*$D1259</f>
        <v>0</v>
      </c>
      <c r="Q1259" s="166">
        <f>SUMIFS(Продажи!N$5:N$359,Продажи!$D$5:$D$359,Конструкторы!$B1259,Продажи!$C$5:$C$359,Конструкторы!$A1259)*$D1259</f>
        <v>0</v>
      </c>
      <c r="R1259" s="166">
        <f>SUMIFS(Продажи!O$5:O$359,Продажи!$D$5:$D$359,Конструкторы!$B1259,Продажи!$C$5:$C$359,Конструкторы!$A1259)*$D1259</f>
        <v>0</v>
      </c>
      <c r="S1259" s="166">
        <f>SUMIFS(Продажи!P$5:P$359,Продажи!$D$5:$D$359,Конструкторы!$B1259,Продажи!$C$5:$C$359,Конструкторы!$A1259)*$D1259</f>
        <v>0</v>
      </c>
      <c r="T1259" s="166">
        <f>SUMIFS(Продажи!Q$5:Q$359,Продажи!$D$5:$D$359,Конструкторы!$B1259,Продажи!$C$5:$C$359,Конструкторы!$A1259)*$D1259</f>
        <v>0</v>
      </c>
    </row>
    <row r="1260" spans="1:20" x14ac:dyDescent="0.25">
      <c r="A1260" s="166" t="s">
        <v>398</v>
      </c>
      <c r="B1260" s="269" t="s">
        <v>563</v>
      </c>
      <c r="C1260" s="53" t="s">
        <v>31</v>
      </c>
      <c r="D1260" s="163">
        <f t="shared" si="16"/>
        <v>1.4615609470914938E-3</v>
      </c>
      <c r="E1260" s="163"/>
      <c r="F1260" s="262">
        <v>100</v>
      </c>
      <c r="G1260" s="166"/>
      <c r="H1260" s="167"/>
      <c r="I1260" s="166">
        <f>SUMIFS(Продажи!F$5:F$359,Продажи!$D$5:$D$359,Конструкторы!$B1260,Продажи!$C$5:$C$359,Конструкторы!$A1260)*$D1260</f>
        <v>0</v>
      </c>
      <c r="J1260" s="166">
        <f>SUMIFS(Продажи!G$5:G$359,Продажи!$D$5:$D$359,Конструкторы!$B1260,Продажи!$C$5:$C$359,Конструкторы!$A1260)*$D1260</f>
        <v>100</v>
      </c>
      <c r="K1260" s="166">
        <f>SUMIFS(Продажи!H$5:H$359,Продажи!$D$5:$D$359,Конструкторы!$B1260,Продажи!$C$5:$C$359,Конструкторы!$A1260)*$D1260</f>
        <v>0</v>
      </c>
      <c r="L1260" s="166">
        <f>SUMIFS(Продажи!I$5:I$359,Продажи!$D$5:$D$359,Конструкторы!$B1260,Продажи!$C$5:$C$359,Конструкторы!$A1260)*$D1260</f>
        <v>0</v>
      </c>
      <c r="M1260" s="166">
        <f>SUMIFS(Продажи!J$5:J$359,Продажи!$D$5:$D$359,Конструкторы!$B1260,Продажи!$C$5:$C$359,Конструкторы!$A1260)*$D1260</f>
        <v>0</v>
      </c>
      <c r="N1260" s="166">
        <f>SUMIFS(Продажи!K$5:K$359,Продажи!$D$5:$D$359,Конструкторы!$B1260,Продажи!$C$5:$C$359,Конструкторы!$A1260)*$D1260</f>
        <v>0</v>
      </c>
      <c r="O1260" s="166">
        <f>SUMIFS(Продажи!L$5:L$359,Продажи!$D$5:$D$359,Конструкторы!$B1260,Продажи!$C$5:$C$359,Конструкторы!$A1260)*$D1260</f>
        <v>0</v>
      </c>
      <c r="P1260" s="166">
        <f>SUMIFS(Продажи!M$5:M$359,Продажи!$D$5:$D$359,Конструкторы!$B1260,Продажи!$C$5:$C$359,Конструкторы!$A1260)*$D1260</f>
        <v>0</v>
      </c>
      <c r="Q1260" s="166">
        <f>SUMIFS(Продажи!N$5:N$359,Продажи!$D$5:$D$359,Конструкторы!$B1260,Продажи!$C$5:$C$359,Конструкторы!$A1260)*$D1260</f>
        <v>0</v>
      </c>
      <c r="R1260" s="166">
        <f>SUMIFS(Продажи!O$5:O$359,Продажи!$D$5:$D$359,Конструкторы!$B1260,Продажи!$C$5:$C$359,Конструкторы!$A1260)*$D1260</f>
        <v>0</v>
      </c>
      <c r="S1260" s="166">
        <f>SUMIFS(Продажи!P$5:P$359,Продажи!$D$5:$D$359,Конструкторы!$B1260,Продажи!$C$5:$C$359,Конструкторы!$A1260)*$D1260</f>
        <v>0</v>
      </c>
      <c r="T1260" s="166">
        <f>SUMIFS(Продажи!Q$5:Q$359,Продажи!$D$5:$D$359,Конструкторы!$B1260,Продажи!$C$5:$C$359,Конструкторы!$A1260)*$D1260</f>
        <v>0</v>
      </c>
    </row>
    <row r="1261" spans="1:20" x14ac:dyDescent="0.25">
      <c r="A1261" s="166" t="s">
        <v>398</v>
      </c>
      <c r="B1261" s="269" t="s">
        <v>563</v>
      </c>
      <c r="C1261" s="53" t="s">
        <v>32</v>
      </c>
      <c r="D1261" s="163">
        <f t="shared" si="16"/>
        <v>0.43656825489622919</v>
      </c>
      <c r="E1261" s="163"/>
      <c r="F1261" s="262">
        <v>29870</v>
      </c>
      <c r="G1261" s="166"/>
      <c r="H1261" s="167"/>
      <c r="I1261" s="166">
        <f>SUMIFS(Продажи!F$5:F$359,Продажи!$D$5:$D$359,Конструкторы!$B1261,Продажи!$C$5:$C$359,Конструкторы!$A1261)*$D1261</f>
        <v>0</v>
      </c>
      <c r="J1261" s="166">
        <f>SUMIFS(Продажи!G$5:G$359,Продажи!$D$5:$D$359,Конструкторы!$B1261,Продажи!$C$5:$C$359,Конструкторы!$A1261)*$D1261</f>
        <v>29870</v>
      </c>
      <c r="K1261" s="166">
        <f>SUMIFS(Продажи!H$5:H$359,Продажи!$D$5:$D$359,Конструкторы!$B1261,Продажи!$C$5:$C$359,Конструкторы!$A1261)*$D1261</f>
        <v>0</v>
      </c>
      <c r="L1261" s="166">
        <f>SUMIFS(Продажи!I$5:I$359,Продажи!$D$5:$D$359,Конструкторы!$B1261,Продажи!$C$5:$C$359,Конструкторы!$A1261)*$D1261</f>
        <v>0</v>
      </c>
      <c r="M1261" s="166">
        <f>SUMIFS(Продажи!J$5:J$359,Продажи!$D$5:$D$359,Конструкторы!$B1261,Продажи!$C$5:$C$359,Конструкторы!$A1261)*$D1261</f>
        <v>0</v>
      </c>
      <c r="N1261" s="166">
        <f>SUMIFS(Продажи!K$5:K$359,Продажи!$D$5:$D$359,Конструкторы!$B1261,Продажи!$C$5:$C$359,Конструкторы!$A1261)*$D1261</f>
        <v>0</v>
      </c>
      <c r="O1261" s="166">
        <f>SUMIFS(Продажи!L$5:L$359,Продажи!$D$5:$D$359,Конструкторы!$B1261,Продажи!$C$5:$C$359,Конструкторы!$A1261)*$D1261</f>
        <v>0</v>
      </c>
      <c r="P1261" s="166">
        <f>SUMIFS(Продажи!M$5:M$359,Продажи!$D$5:$D$359,Конструкторы!$B1261,Продажи!$C$5:$C$359,Конструкторы!$A1261)*$D1261</f>
        <v>0</v>
      </c>
      <c r="Q1261" s="166">
        <f>SUMIFS(Продажи!N$5:N$359,Продажи!$D$5:$D$359,Конструкторы!$B1261,Продажи!$C$5:$C$359,Конструкторы!$A1261)*$D1261</f>
        <v>0</v>
      </c>
      <c r="R1261" s="166">
        <f>SUMIFS(Продажи!O$5:O$359,Продажи!$D$5:$D$359,Конструкторы!$B1261,Продажи!$C$5:$C$359,Конструкторы!$A1261)*$D1261</f>
        <v>0</v>
      </c>
      <c r="S1261" s="166">
        <f>SUMIFS(Продажи!P$5:P$359,Продажи!$D$5:$D$359,Конструкторы!$B1261,Продажи!$C$5:$C$359,Конструкторы!$A1261)*$D1261</f>
        <v>0</v>
      </c>
      <c r="T1261" s="166">
        <f>SUMIFS(Продажи!Q$5:Q$359,Продажи!$D$5:$D$359,Конструкторы!$B1261,Продажи!$C$5:$C$359,Конструкторы!$A1261)*$D1261</f>
        <v>0</v>
      </c>
    </row>
    <row r="1262" spans="1:20" x14ac:dyDescent="0.25">
      <c r="A1262" s="166" t="s">
        <v>398</v>
      </c>
      <c r="B1262" s="269" t="s">
        <v>563</v>
      </c>
      <c r="C1262" s="53" t="s">
        <v>46</v>
      </c>
      <c r="D1262" s="163">
        <f t="shared" si="16"/>
        <v>3.215434083601286E-2</v>
      </c>
      <c r="E1262" s="163"/>
      <c r="F1262" s="262">
        <v>2200</v>
      </c>
      <c r="G1262" s="166"/>
      <c r="H1262" s="167"/>
      <c r="I1262" s="166">
        <f>SUMIFS(Продажи!F$5:F$359,Продажи!$D$5:$D$359,Конструкторы!$B1262,Продажи!$C$5:$C$359,Конструкторы!$A1262)*$D1262</f>
        <v>0</v>
      </c>
      <c r="J1262" s="166">
        <f>SUMIFS(Продажи!G$5:G$359,Продажи!$D$5:$D$359,Конструкторы!$B1262,Продажи!$C$5:$C$359,Конструкторы!$A1262)*$D1262</f>
        <v>2200</v>
      </c>
      <c r="K1262" s="166">
        <f>SUMIFS(Продажи!H$5:H$359,Продажи!$D$5:$D$359,Конструкторы!$B1262,Продажи!$C$5:$C$359,Конструкторы!$A1262)*$D1262</f>
        <v>0</v>
      </c>
      <c r="L1262" s="166">
        <f>SUMIFS(Продажи!I$5:I$359,Продажи!$D$5:$D$359,Конструкторы!$B1262,Продажи!$C$5:$C$359,Конструкторы!$A1262)*$D1262</f>
        <v>0</v>
      </c>
      <c r="M1262" s="166">
        <f>SUMIFS(Продажи!J$5:J$359,Продажи!$D$5:$D$359,Конструкторы!$B1262,Продажи!$C$5:$C$359,Конструкторы!$A1262)*$D1262</f>
        <v>0</v>
      </c>
      <c r="N1262" s="166">
        <f>SUMIFS(Продажи!K$5:K$359,Продажи!$D$5:$D$359,Конструкторы!$B1262,Продажи!$C$5:$C$359,Конструкторы!$A1262)*$D1262</f>
        <v>0</v>
      </c>
      <c r="O1262" s="166">
        <f>SUMIFS(Продажи!L$5:L$359,Продажи!$D$5:$D$359,Конструкторы!$B1262,Продажи!$C$5:$C$359,Конструкторы!$A1262)*$D1262</f>
        <v>0</v>
      </c>
      <c r="P1262" s="166">
        <f>SUMIFS(Продажи!M$5:M$359,Продажи!$D$5:$D$359,Конструкторы!$B1262,Продажи!$C$5:$C$359,Конструкторы!$A1262)*$D1262</f>
        <v>0</v>
      </c>
      <c r="Q1262" s="166">
        <f>SUMIFS(Продажи!N$5:N$359,Продажи!$D$5:$D$359,Конструкторы!$B1262,Продажи!$C$5:$C$359,Конструкторы!$A1262)*$D1262</f>
        <v>0</v>
      </c>
      <c r="R1262" s="166">
        <f>SUMIFS(Продажи!O$5:O$359,Продажи!$D$5:$D$359,Конструкторы!$B1262,Продажи!$C$5:$C$359,Конструкторы!$A1262)*$D1262</f>
        <v>0</v>
      </c>
      <c r="S1262" s="166">
        <f>SUMIFS(Продажи!P$5:P$359,Продажи!$D$5:$D$359,Конструкторы!$B1262,Продажи!$C$5:$C$359,Конструкторы!$A1262)*$D1262</f>
        <v>0</v>
      </c>
      <c r="T1262" s="166">
        <f>SUMIFS(Продажи!Q$5:Q$359,Продажи!$D$5:$D$359,Конструкторы!$B1262,Продажи!$C$5:$C$359,Конструкторы!$A1262)*$D1262</f>
        <v>0</v>
      </c>
    </row>
    <row r="1263" spans="1:20" x14ac:dyDescent="0.25">
      <c r="A1263" s="166" t="s">
        <v>398</v>
      </c>
      <c r="B1263" s="269" t="s">
        <v>563</v>
      </c>
      <c r="C1263" s="25" t="s">
        <v>466</v>
      </c>
      <c r="D1263" s="163">
        <f t="shared" si="16"/>
        <v>0.12569424144986846</v>
      </c>
      <c r="E1263" s="163"/>
      <c r="F1263" s="262">
        <v>8600</v>
      </c>
      <c r="G1263" s="166"/>
      <c r="H1263" s="167"/>
      <c r="I1263" s="166">
        <f>SUMIFS(Продажи!F$5:F$359,Продажи!$D$5:$D$359,Конструкторы!$B1263,Продажи!$C$5:$C$359,Конструкторы!$A1263)*$D1263</f>
        <v>0</v>
      </c>
      <c r="J1263" s="166">
        <f>SUMIFS(Продажи!G$5:G$359,Продажи!$D$5:$D$359,Конструкторы!$B1263,Продажи!$C$5:$C$359,Конструкторы!$A1263)*$D1263</f>
        <v>8600</v>
      </c>
      <c r="K1263" s="166">
        <f>SUMIFS(Продажи!H$5:H$359,Продажи!$D$5:$D$359,Конструкторы!$B1263,Продажи!$C$5:$C$359,Конструкторы!$A1263)*$D1263</f>
        <v>0</v>
      </c>
      <c r="L1263" s="166">
        <f>SUMIFS(Продажи!I$5:I$359,Продажи!$D$5:$D$359,Конструкторы!$B1263,Продажи!$C$5:$C$359,Конструкторы!$A1263)*$D1263</f>
        <v>0</v>
      </c>
      <c r="M1263" s="166">
        <f>SUMIFS(Продажи!J$5:J$359,Продажи!$D$5:$D$359,Конструкторы!$B1263,Продажи!$C$5:$C$359,Конструкторы!$A1263)*$D1263</f>
        <v>0</v>
      </c>
      <c r="N1263" s="166">
        <f>SUMIFS(Продажи!K$5:K$359,Продажи!$D$5:$D$359,Конструкторы!$B1263,Продажи!$C$5:$C$359,Конструкторы!$A1263)*$D1263</f>
        <v>0</v>
      </c>
      <c r="O1263" s="166">
        <f>SUMIFS(Продажи!L$5:L$359,Продажи!$D$5:$D$359,Конструкторы!$B1263,Продажи!$C$5:$C$359,Конструкторы!$A1263)*$D1263</f>
        <v>0</v>
      </c>
      <c r="P1263" s="166">
        <f>SUMIFS(Продажи!M$5:M$359,Продажи!$D$5:$D$359,Конструкторы!$B1263,Продажи!$C$5:$C$359,Конструкторы!$A1263)*$D1263</f>
        <v>0</v>
      </c>
      <c r="Q1263" s="166">
        <f>SUMIFS(Продажи!N$5:N$359,Продажи!$D$5:$D$359,Конструкторы!$B1263,Продажи!$C$5:$C$359,Конструкторы!$A1263)*$D1263</f>
        <v>0</v>
      </c>
      <c r="R1263" s="166">
        <f>SUMIFS(Продажи!O$5:O$359,Продажи!$D$5:$D$359,Конструкторы!$B1263,Продажи!$C$5:$C$359,Конструкторы!$A1263)*$D1263</f>
        <v>0</v>
      </c>
      <c r="S1263" s="166">
        <f>SUMIFS(Продажи!P$5:P$359,Продажи!$D$5:$D$359,Конструкторы!$B1263,Продажи!$C$5:$C$359,Конструкторы!$A1263)*$D1263</f>
        <v>0</v>
      </c>
      <c r="T1263" s="166">
        <f>SUMIFS(Продажи!Q$5:Q$359,Продажи!$D$5:$D$359,Конструкторы!$B1263,Продажи!$C$5:$C$359,Конструкторы!$A1263)*$D1263</f>
        <v>0</v>
      </c>
    </row>
    <row r="1264" spans="1:20" x14ac:dyDescent="0.25">
      <c r="A1264" s="166" t="s">
        <v>398</v>
      </c>
      <c r="B1264" s="269" t="s">
        <v>563</v>
      </c>
      <c r="C1264" s="53" t="s">
        <v>35</v>
      </c>
      <c r="D1264" s="163">
        <f t="shared" si="16"/>
        <v>2.3677287342882197E-2</v>
      </c>
      <c r="E1264" s="163"/>
      <c r="F1264" s="262">
        <v>1620</v>
      </c>
      <c r="G1264" s="166"/>
      <c r="H1264" s="167"/>
      <c r="I1264" s="166">
        <f>SUMIFS(Продажи!F$5:F$359,Продажи!$D$5:$D$359,Конструкторы!$B1264,Продажи!$C$5:$C$359,Конструкторы!$A1264)*$D1264</f>
        <v>0</v>
      </c>
      <c r="J1264" s="166">
        <f>SUMIFS(Продажи!G$5:G$359,Продажи!$D$5:$D$359,Конструкторы!$B1264,Продажи!$C$5:$C$359,Конструкторы!$A1264)*$D1264</f>
        <v>1620</v>
      </c>
      <c r="K1264" s="166">
        <f>SUMIFS(Продажи!H$5:H$359,Продажи!$D$5:$D$359,Конструкторы!$B1264,Продажи!$C$5:$C$359,Конструкторы!$A1264)*$D1264</f>
        <v>0</v>
      </c>
      <c r="L1264" s="166">
        <f>SUMIFS(Продажи!I$5:I$359,Продажи!$D$5:$D$359,Конструкторы!$B1264,Продажи!$C$5:$C$359,Конструкторы!$A1264)*$D1264</f>
        <v>0</v>
      </c>
      <c r="M1264" s="166">
        <f>SUMIFS(Продажи!J$5:J$359,Продажи!$D$5:$D$359,Конструкторы!$B1264,Продажи!$C$5:$C$359,Конструкторы!$A1264)*$D1264</f>
        <v>0</v>
      </c>
      <c r="N1264" s="166">
        <f>SUMIFS(Продажи!K$5:K$359,Продажи!$D$5:$D$359,Конструкторы!$B1264,Продажи!$C$5:$C$359,Конструкторы!$A1264)*$D1264</f>
        <v>0</v>
      </c>
      <c r="O1264" s="166">
        <f>SUMIFS(Продажи!L$5:L$359,Продажи!$D$5:$D$359,Конструкторы!$B1264,Продажи!$C$5:$C$359,Конструкторы!$A1264)*$D1264</f>
        <v>0</v>
      </c>
      <c r="P1264" s="166">
        <f>SUMIFS(Продажи!M$5:M$359,Продажи!$D$5:$D$359,Конструкторы!$B1264,Продажи!$C$5:$C$359,Конструкторы!$A1264)*$D1264</f>
        <v>0</v>
      </c>
      <c r="Q1264" s="166">
        <f>SUMIFS(Продажи!N$5:N$359,Продажи!$D$5:$D$359,Конструкторы!$B1264,Продажи!$C$5:$C$359,Конструкторы!$A1264)*$D1264</f>
        <v>0</v>
      </c>
      <c r="R1264" s="166">
        <f>SUMIFS(Продажи!O$5:O$359,Продажи!$D$5:$D$359,Конструкторы!$B1264,Продажи!$C$5:$C$359,Конструкторы!$A1264)*$D1264</f>
        <v>0</v>
      </c>
      <c r="S1264" s="166">
        <f>SUMIFS(Продажи!P$5:P$359,Продажи!$D$5:$D$359,Конструкторы!$B1264,Продажи!$C$5:$C$359,Конструкторы!$A1264)*$D1264</f>
        <v>0</v>
      </c>
      <c r="T1264" s="166">
        <f>SUMIFS(Продажи!Q$5:Q$359,Продажи!$D$5:$D$359,Конструкторы!$B1264,Продажи!$C$5:$C$359,Конструкторы!$A1264)*$D1264</f>
        <v>0</v>
      </c>
    </row>
    <row r="1265" spans="1:20" x14ac:dyDescent="0.25">
      <c r="A1265" s="166" t="s">
        <v>398</v>
      </c>
      <c r="B1265" s="269" t="s">
        <v>563</v>
      </c>
      <c r="C1265" s="53" t="s">
        <v>55</v>
      </c>
      <c r="D1265" s="163">
        <f>F1265/SUM($F$1256:$F$1265)</f>
        <v>4.3846828412744815E-3</v>
      </c>
      <c r="E1265" s="163"/>
      <c r="F1265" s="262">
        <v>300</v>
      </c>
      <c r="G1265" s="166"/>
      <c r="H1265" s="167"/>
      <c r="I1265" s="166">
        <f>SUMIFS(Продажи!F$5:F$359,Продажи!$D$5:$D$359,Конструкторы!$B1265,Продажи!$C$5:$C$359,Конструкторы!$A1265)*$D1265</f>
        <v>0</v>
      </c>
      <c r="J1265" s="166">
        <f>SUMIFS(Продажи!G$5:G$359,Продажи!$D$5:$D$359,Конструкторы!$B1265,Продажи!$C$5:$C$359,Конструкторы!$A1265)*$D1265</f>
        <v>300</v>
      </c>
      <c r="K1265" s="166">
        <f>SUMIFS(Продажи!H$5:H$359,Продажи!$D$5:$D$359,Конструкторы!$B1265,Продажи!$C$5:$C$359,Конструкторы!$A1265)*$D1265</f>
        <v>0</v>
      </c>
      <c r="L1265" s="166">
        <f>SUMIFS(Продажи!I$5:I$359,Продажи!$D$5:$D$359,Конструкторы!$B1265,Продажи!$C$5:$C$359,Конструкторы!$A1265)*$D1265</f>
        <v>0</v>
      </c>
      <c r="M1265" s="166">
        <f>SUMIFS(Продажи!J$5:J$359,Продажи!$D$5:$D$359,Конструкторы!$B1265,Продажи!$C$5:$C$359,Конструкторы!$A1265)*$D1265</f>
        <v>0</v>
      </c>
      <c r="N1265" s="166">
        <f>SUMIFS(Продажи!K$5:K$359,Продажи!$D$5:$D$359,Конструкторы!$B1265,Продажи!$C$5:$C$359,Конструкторы!$A1265)*$D1265</f>
        <v>0</v>
      </c>
      <c r="O1265" s="166">
        <f>SUMIFS(Продажи!L$5:L$359,Продажи!$D$5:$D$359,Конструкторы!$B1265,Продажи!$C$5:$C$359,Конструкторы!$A1265)*$D1265</f>
        <v>0</v>
      </c>
      <c r="P1265" s="166">
        <f>SUMIFS(Продажи!M$5:M$359,Продажи!$D$5:$D$359,Конструкторы!$B1265,Продажи!$C$5:$C$359,Конструкторы!$A1265)*$D1265</f>
        <v>0</v>
      </c>
      <c r="Q1265" s="166">
        <f>SUMIFS(Продажи!N$5:N$359,Продажи!$D$5:$D$359,Конструкторы!$B1265,Продажи!$C$5:$C$359,Конструкторы!$A1265)*$D1265</f>
        <v>0</v>
      </c>
      <c r="R1265" s="166">
        <f>SUMIFS(Продажи!O$5:O$359,Продажи!$D$5:$D$359,Конструкторы!$B1265,Продажи!$C$5:$C$359,Конструкторы!$A1265)*$D1265</f>
        <v>0</v>
      </c>
      <c r="S1265" s="166">
        <f>SUMIFS(Продажи!P$5:P$359,Продажи!$D$5:$D$359,Конструкторы!$B1265,Продажи!$C$5:$C$359,Конструкторы!$A1265)*$D1265</f>
        <v>0</v>
      </c>
      <c r="T1265" s="166">
        <f>SUMIFS(Продажи!Q$5:Q$359,Продажи!$D$5:$D$359,Конструкторы!$B1265,Продажи!$C$5:$C$359,Конструкторы!$A1265)*$D1265</f>
        <v>0</v>
      </c>
    </row>
    <row r="1266" spans="1:20" x14ac:dyDescent="0.25">
      <c r="A1266" s="166" t="s">
        <v>398</v>
      </c>
      <c r="B1266" s="269" t="s">
        <v>561</v>
      </c>
      <c r="C1266" s="53" t="s">
        <v>25</v>
      </c>
      <c r="D1266" s="163">
        <f>F1266/SUM($F$1266:$F$1275)</f>
        <v>9.8684210526315784E-3</v>
      </c>
      <c r="E1266" s="163"/>
      <c r="F1266" s="262">
        <v>300</v>
      </c>
      <c r="G1266" s="166"/>
      <c r="H1266" s="167"/>
      <c r="I1266" s="166">
        <f>SUMIFS(Продажи!F$5:F$359,Продажи!$D$5:$D$359,Конструкторы!$B1266,Продажи!$C$5:$C$359,Конструкторы!$A1266)*$D1266</f>
        <v>0</v>
      </c>
      <c r="J1266" s="166">
        <f>SUMIFS(Продажи!G$5:G$359,Продажи!$D$5:$D$359,Конструкторы!$B1266,Продажи!$C$5:$C$359,Конструкторы!$A1266)*$D1266</f>
        <v>0</v>
      </c>
      <c r="K1266" s="166">
        <f>SUMIFS(Продажи!H$5:H$359,Продажи!$D$5:$D$359,Конструкторы!$B1266,Продажи!$C$5:$C$359,Конструкторы!$A1266)*$D1266</f>
        <v>300</v>
      </c>
      <c r="L1266" s="166">
        <f>SUMIFS(Продажи!I$5:I$359,Продажи!$D$5:$D$359,Конструкторы!$B1266,Продажи!$C$5:$C$359,Конструкторы!$A1266)*$D1266</f>
        <v>0</v>
      </c>
      <c r="M1266" s="166">
        <f>SUMIFS(Продажи!J$5:J$359,Продажи!$D$5:$D$359,Конструкторы!$B1266,Продажи!$C$5:$C$359,Конструкторы!$A1266)*$D1266</f>
        <v>0</v>
      </c>
      <c r="N1266" s="166">
        <f>SUMIFS(Продажи!K$5:K$359,Продажи!$D$5:$D$359,Конструкторы!$B1266,Продажи!$C$5:$C$359,Конструкторы!$A1266)*$D1266</f>
        <v>0</v>
      </c>
      <c r="O1266" s="166">
        <f>SUMIFS(Продажи!L$5:L$359,Продажи!$D$5:$D$359,Конструкторы!$B1266,Продажи!$C$5:$C$359,Конструкторы!$A1266)*$D1266</f>
        <v>0</v>
      </c>
      <c r="P1266" s="166">
        <f>SUMIFS(Продажи!M$5:M$359,Продажи!$D$5:$D$359,Конструкторы!$B1266,Продажи!$C$5:$C$359,Конструкторы!$A1266)*$D1266</f>
        <v>0</v>
      </c>
      <c r="Q1266" s="166">
        <f>SUMIFS(Продажи!N$5:N$359,Продажи!$D$5:$D$359,Конструкторы!$B1266,Продажи!$C$5:$C$359,Конструкторы!$A1266)*$D1266</f>
        <v>0</v>
      </c>
      <c r="R1266" s="166">
        <f>SUMIFS(Продажи!O$5:O$359,Продажи!$D$5:$D$359,Конструкторы!$B1266,Продажи!$C$5:$C$359,Конструкторы!$A1266)*$D1266</f>
        <v>0</v>
      </c>
      <c r="S1266" s="166">
        <f>SUMIFS(Продажи!P$5:P$359,Продажи!$D$5:$D$359,Конструкторы!$B1266,Продажи!$C$5:$C$359,Конструкторы!$A1266)*$D1266</f>
        <v>0</v>
      </c>
      <c r="T1266" s="166">
        <f>SUMIFS(Продажи!Q$5:Q$359,Продажи!$D$5:$D$359,Конструкторы!$B1266,Продажи!$C$5:$C$359,Конструкторы!$A1266)*$D1266</f>
        <v>0</v>
      </c>
    </row>
    <row r="1267" spans="1:20" x14ac:dyDescent="0.25">
      <c r="A1267" s="166" t="s">
        <v>398</v>
      </c>
      <c r="B1267" s="269" t="s">
        <v>561</v>
      </c>
      <c r="C1267" s="53" t="s">
        <v>34</v>
      </c>
      <c r="D1267" s="163">
        <f t="shared" ref="D1267:D1275" si="17">F1267/SUM($F$1266:$F$1275)</f>
        <v>0.31184210526315792</v>
      </c>
      <c r="E1267" s="163"/>
      <c r="F1267" s="262">
        <v>9480</v>
      </c>
      <c r="G1267" s="166"/>
      <c r="H1267" s="167"/>
      <c r="I1267" s="166">
        <f>SUMIFS(Продажи!F$5:F$359,Продажи!$D$5:$D$359,Конструкторы!$B1267,Продажи!$C$5:$C$359,Конструкторы!$A1267)*$D1267</f>
        <v>0</v>
      </c>
      <c r="J1267" s="166">
        <f>SUMIFS(Продажи!G$5:G$359,Продажи!$D$5:$D$359,Конструкторы!$B1267,Продажи!$C$5:$C$359,Конструкторы!$A1267)*$D1267</f>
        <v>0</v>
      </c>
      <c r="K1267" s="166">
        <f>SUMIFS(Продажи!H$5:H$359,Продажи!$D$5:$D$359,Конструкторы!$B1267,Продажи!$C$5:$C$359,Конструкторы!$A1267)*$D1267</f>
        <v>9480</v>
      </c>
      <c r="L1267" s="166">
        <f>SUMIFS(Продажи!I$5:I$359,Продажи!$D$5:$D$359,Конструкторы!$B1267,Продажи!$C$5:$C$359,Конструкторы!$A1267)*$D1267</f>
        <v>0</v>
      </c>
      <c r="M1267" s="166">
        <f>SUMIFS(Продажи!J$5:J$359,Продажи!$D$5:$D$359,Конструкторы!$B1267,Продажи!$C$5:$C$359,Конструкторы!$A1267)*$D1267</f>
        <v>0</v>
      </c>
      <c r="N1267" s="166">
        <f>SUMIFS(Продажи!K$5:K$359,Продажи!$D$5:$D$359,Конструкторы!$B1267,Продажи!$C$5:$C$359,Конструкторы!$A1267)*$D1267</f>
        <v>0</v>
      </c>
      <c r="O1267" s="166">
        <f>SUMIFS(Продажи!L$5:L$359,Продажи!$D$5:$D$359,Конструкторы!$B1267,Продажи!$C$5:$C$359,Конструкторы!$A1267)*$D1267</f>
        <v>0</v>
      </c>
      <c r="P1267" s="166">
        <f>SUMIFS(Продажи!M$5:M$359,Продажи!$D$5:$D$359,Конструкторы!$B1267,Продажи!$C$5:$C$359,Конструкторы!$A1267)*$D1267</f>
        <v>0</v>
      </c>
      <c r="Q1267" s="166">
        <f>SUMIFS(Продажи!N$5:N$359,Продажи!$D$5:$D$359,Конструкторы!$B1267,Продажи!$C$5:$C$359,Конструкторы!$A1267)*$D1267</f>
        <v>0</v>
      </c>
      <c r="R1267" s="166">
        <f>SUMIFS(Продажи!O$5:O$359,Продажи!$D$5:$D$359,Конструкторы!$B1267,Продажи!$C$5:$C$359,Конструкторы!$A1267)*$D1267</f>
        <v>0</v>
      </c>
      <c r="S1267" s="166">
        <f>SUMIFS(Продажи!P$5:P$359,Продажи!$D$5:$D$359,Конструкторы!$B1267,Продажи!$C$5:$C$359,Конструкторы!$A1267)*$D1267</f>
        <v>0</v>
      </c>
      <c r="T1267" s="166">
        <f>SUMIFS(Продажи!Q$5:Q$359,Продажи!$D$5:$D$359,Конструкторы!$B1267,Продажи!$C$5:$C$359,Конструкторы!$A1267)*$D1267</f>
        <v>0</v>
      </c>
    </row>
    <row r="1268" spans="1:20" x14ac:dyDescent="0.25">
      <c r="A1268" s="166" t="s">
        <v>398</v>
      </c>
      <c r="B1268" s="269" t="s">
        <v>561</v>
      </c>
      <c r="C1268" s="53" t="s">
        <v>27</v>
      </c>
      <c r="D1268" s="163">
        <f t="shared" si="17"/>
        <v>7.2039473684210528E-2</v>
      </c>
      <c r="E1268" s="163"/>
      <c r="F1268" s="262">
        <v>2190</v>
      </c>
      <c r="G1268" s="166"/>
      <c r="H1268" s="167"/>
      <c r="I1268" s="166">
        <f>SUMIFS(Продажи!F$5:F$359,Продажи!$D$5:$D$359,Конструкторы!$B1268,Продажи!$C$5:$C$359,Конструкторы!$A1268)*$D1268</f>
        <v>0</v>
      </c>
      <c r="J1268" s="166">
        <f>SUMIFS(Продажи!G$5:G$359,Продажи!$D$5:$D$359,Конструкторы!$B1268,Продажи!$C$5:$C$359,Конструкторы!$A1268)*$D1268</f>
        <v>0</v>
      </c>
      <c r="K1268" s="166">
        <f>SUMIFS(Продажи!H$5:H$359,Продажи!$D$5:$D$359,Конструкторы!$B1268,Продажи!$C$5:$C$359,Конструкторы!$A1268)*$D1268</f>
        <v>2190</v>
      </c>
      <c r="L1268" s="166">
        <f>SUMIFS(Продажи!I$5:I$359,Продажи!$D$5:$D$359,Конструкторы!$B1268,Продажи!$C$5:$C$359,Конструкторы!$A1268)*$D1268</f>
        <v>0</v>
      </c>
      <c r="M1268" s="166">
        <f>SUMIFS(Продажи!J$5:J$359,Продажи!$D$5:$D$359,Конструкторы!$B1268,Продажи!$C$5:$C$359,Конструкторы!$A1268)*$D1268</f>
        <v>0</v>
      </c>
      <c r="N1268" s="166">
        <f>SUMIFS(Продажи!K$5:K$359,Продажи!$D$5:$D$359,Конструкторы!$B1268,Продажи!$C$5:$C$359,Конструкторы!$A1268)*$D1268</f>
        <v>0</v>
      </c>
      <c r="O1268" s="166">
        <f>SUMIFS(Продажи!L$5:L$359,Продажи!$D$5:$D$359,Конструкторы!$B1268,Продажи!$C$5:$C$359,Конструкторы!$A1268)*$D1268</f>
        <v>0</v>
      </c>
      <c r="P1268" s="166">
        <f>SUMIFS(Продажи!M$5:M$359,Продажи!$D$5:$D$359,Конструкторы!$B1268,Продажи!$C$5:$C$359,Конструкторы!$A1268)*$D1268</f>
        <v>0</v>
      </c>
      <c r="Q1268" s="166">
        <f>SUMIFS(Продажи!N$5:N$359,Продажи!$D$5:$D$359,Конструкторы!$B1268,Продажи!$C$5:$C$359,Конструкторы!$A1268)*$D1268</f>
        <v>0</v>
      </c>
      <c r="R1268" s="166">
        <f>SUMIFS(Продажи!O$5:O$359,Продажи!$D$5:$D$359,Конструкторы!$B1268,Продажи!$C$5:$C$359,Конструкторы!$A1268)*$D1268</f>
        <v>0</v>
      </c>
      <c r="S1268" s="166">
        <f>SUMIFS(Продажи!P$5:P$359,Продажи!$D$5:$D$359,Конструкторы!$B1268,Продажи!$C$5:$C$359,Конструкторы!$A1268)*$D1268</f>
        <v>0</v>
      </c>
      <c r="T1268" s="166">
        <f>SUMIFS(Продажи!Q$5:Q$359,Продажи!$D$5:$D$359,Конструкторы!$B1268,Продажи!$C$5:$C$359,Конструкторы!$A1268)*$D1268</f>
        <v>0</v>
      </c>
    </row>
    <row r="1269" spans="1:20" x14ac:dyDescent="0.25">
      <c r="A1269" s="166" t="s">
        <v>398</v>
      </c>
      <c r="B1269" s="269" t="s">
        <v>561</v>
      </c>
      <c r="C1269" s="53" t="s">
        <v>26</v>
      </c>
      <c r="D1269" s="163">
        <f t="shared" si="17"/>
        <v>6.5789473684210525E-4</v>
      </c>
      <c r="E1269" s="163"/>
      <c r="F1269" s="262">
        <v>20</v>
      </c>
      <c r="G1269" s="166"/>
      <c r="H1269" s="167"/>
      <c r="I1269" s="166">
        <f>SUMIFS(Продажи!F$5:F$359,Продажи!$D$5:$D$359,Конструкторы!$B1269,Продажи!$C$5:$C$359,Конструкторы!$A1269)*$D1269</f>
        <v>0</v>
      </c>
      <c r="J1269" s="166">
        <f>SUMIFS(Продажи!G$5:G$359,Продажи!$D$5:$D$359,Конструкторы!$B1269,Продажи!$C$5:$C$359,Конструкторы!$A1269)*$D1269</f>
        <v>0</v>
      </c>
      <c r="K1269" s="166">
        <f>SUMIFS(Продажи!H$5:H$359,Продажи!$D$5:$D$359,Конструкторы!$B1269,Продажи!$C$5:$C$359,Конструкторы!$A1269)*$D1269</f>
        <v>20</v>
      </c>
      <c r="L1269" s="166">
        <f>SUMIFS(Продажи!I$5:I$359,Продажи!$D$5:$D$359,Конструкторы!$B1269,Продажи!$C$5:$C$359,Конструкторы!$A1269)*$D1269</f>
        <v>0</v>
      </c>
      <c r="M1269" s="166">
        <f>SUMIFS(Продажи!J$5:J$359,Продажи!$D$5:$D$359,Конструкторы!$B1269,Продажи!$C$5:$C$359,Конструкторы!$A1269)*$D1269</f>
        <v>0</v>
      </c>
      <c r="N1269" s="166">
        <f>SUMIFS(Продажи!K$5:K$359,Продажи!$D$5:$D$359,Конструкторы!$B1269,Продажи!$C$5:$C$359,Конструкторы!$A1269)*$D1269</f>
        <v>0</v>
      </c>
      <c r="O1269" s="166">
        <f>SUMIFS(Продажи!L$5:L$359,Продажи!$D$5:$D$359,Конструкторы!$B1269,Продажи!$C$5:$C$359,Конструкторы!$A1269)*$D1269</f>
        <v>0</v>
      </c>
      <c r="P1269" s="166">
        <f>SUMIFS(Продажи!M$5:M$359,Продажи!$D$5:$D$359,Конструкторы!$B1269,Продажи!$C$5:$C$359,Конструкторы!$A1269)*$D1269</f>
        <v>0</v>
      </c>
      <c r="Q1269" s="166">
        <f>SUMIFS(Продажи!N$5:N$359,Продажи!$D$5:$D$359,Конструкторы!$B1269,Продажи!$C$5:$C$359,Конструкторы!$A1269)*$D1269</f>
        <v>0</v>
      </c>
      <c r="R1269" s="166">
        <f>SUMIFS(Продажи!O$5:O$359,Продажи!$D$5:$D$359,Конструкторы!$B1269,Продажи!$C$5:$C$359,Конструкторы!$A1269)*$D1269</f>
        <v>0</v>
      </c>
      <c r="S1269" s="166">
        <f>SUMIFS(Продажи!P$5:P$359,Продажи!$D$5:$D$359,Конструкторы!$B1269,Продажи!$C$5:$C$359,Конструкторы!$A1269)*$D1269</f>
        <v>0</v>
      </c>
      <c r="T1269" s="166">
        <f>SUMIFS(Продажи!Q$5:Q$359,Продажи!$D$5:$D$359,Конструкторы!$B1269,Продажи!$C$5:$C$359,Конструкторы!$A1269)*$D1269</f>
        <v>0</v>
      </c>
    </row>
    <row r="1270" spans="1:20" x14ac:dyDescent="0.25">
      <c r="A1270" s="166" t="s">
        <v>398</v>
      </c>
      <c r="B1270" s="269" t="s">
        <v>561</v>
      </c>
      <c r="C1270" s="53" t="s">
        <v>31</v>
      </c>
      <c r="D1270" s="163">
        <f t="shared" si="17"/>
        <v>1.3157894736842105E-3</v>
      </c>
      <c r="E1270" s="163"/>
      <c r="F1270" s="262">
        <v>40</v>
      </c>
      <c r="G1270" s="166"/>
      <c r="H1270" s="167"/>
      <c r="I1270" s="166">
        <f>SUMIFS(Продажи!F$5:F$359,Продажи!$D$5:$D$359,Конструкторы!$B1270,Продажи!$C$5:$C$359,Конструкторы!$A1270)*$D1270</f>
        <v>0</v>
      </c>
      <c r="J1270" s="166">
        <f>SUMIFS(Продажи!G$5:G$359,Продажи!$D$5:$D$359,Конструкторы!$B1270,Продажи!$C$5:$C$359,Конструкторы!$A1270)*$D1270</f>
        <v>0</v>
      </c>
      <c r="K1270" s="166">
        <f>SUMIFS(Продажи!H$5:H$359,Продажи!$D$5:$D$359,Конструкторы!$B1270,Продажи!$C$5:$C$359,Конструкторы!$A1270)*$D1270</f>
        <v>40</v>
      </c>
      <c r="L1270" s="166">
        <f>SUMIFS(Продажи!I$5:I$359,Продажи!$D$5:$D$359,Конструкторы!$B1270,Продажи!$C$5:$C$359,Конструкторы!$A1270)*$D1270</f>
        <v>0</v>
      </c>
      <c r="M1270" s="166">
        <f>SUMIFS(Продажи!J$5:J$359,Продажи!$D$5:$D$359,Конструкторы!$B1270,Продажи!$C$5:$C$359,Конструкторы!$A1270)*$D1270</f>
        <v>0</v>
      </c>
      <c r="N1270" s="166">
        <f>SUMIFS(Продажи!K$5:K$359,Продажи!$D$5:$D$359,Конструкторы!$B1270,Продажи!$C$5:$C$359,Конструкторы!$A1270)*$D1270</f>
        <v>0</v>
      </c>
      <c r="O1270" s="166">
        <f>SUMIFS(Продажи!L$5:L$359,Продажи!$D$5:$D$359,Конструкторы!$B1270,Продажи!$C$5:$C$359,Конструкторы!$A1270)*$D1270</f>
        <v>0</v>
      </c>
      <c r="P1270" s="166">
        <f>SUMIFS(Продажи!M$5:M$359,Продажи!$D$5:$D$359,Конструкторы!$B1270,Продажи!$C$5:$C$359,Конструкторы!$A1270)*$D1270</f>
        <v>0</v>
      </c>
      <c r="Q1270" s="166">
        <f>SUMIFS(Продажи!N$5:N$359,Продажи!$D$5:$D$359,Конструкторы!$B1270,Продажи!$C$5:$C$359,Конструкторы!$A1270)*$D1270</f>
        <v>0</v>
      </c>
      <c r="R1270" s="166">
        <f>SUMIFS(Продажи!O$5:O$359,Продажи!$D$5:$D$359,Конструкторы!$B1270,Продажи!$C$5:$C$359,Конструкторы!$A1270)*$D1270</f>
        <v>0</v>
      </c>
      <c r="S1270" s="166">
        <f>SUMIFS(Продажи!P$5:P$359,Продажи!$D$5:$D$359,Конструкторы!$B1270,Продажи!$C$5:$C$359,Конструкторы!$A1270)*$D1270</f>
        <v>0</v>
      </c>
      <c r="T1270" s="166">
        <f>SUMIFS(Продажи!Q$5:Q$359,Продажи!$D$5:$D$359,Конструкторы!$B1270,Продажи!$C$5:$C$359,Конструкторы!$A1270)*$D1270</f>
        <v>0</v>
      </c>
    </row>
    <row r="1271" spans="1:20" x14ac:dyDescent="0.25">
      <c r="A1271" s="166" t="s">
        <v>398</v>
      </c>
      <c r="B1271" s="269" t="s">
        <v>561</v>
      </c>
      <c r="C1271" s="53" t="s">
        <v>32</v>
      </c>
      <c r="D1271" s="163">
        <f t="shared" si="17"/>
        <v>0.47861842105263158</v>
      </c>
      <c r="E1271" s="163"/>
      <c r="F1271" s="262">
        <v>14550</v>
      </c>
      <c r="G1271" s="166"/>
      <c r="H1271" s="167"/>
      <c r="I1271" s="166">
        <f>SUMIFS(Продажи!F$5:F$359,Продажи!$D$5:$D$359,Конструкторы!$B1271,Продажи!$C$5:$C$359,Конструкторы!$A1271)*$D1271</f>
        <v>0</v>
      </c>
      <c r="J1271" s="166">
        <f>SUMIFS(Продажи!G$5:G$359,Продажи!$D$5:$D$359,Конструкторы!$B1271,Продажи!$C$5:$C$359,Конструкторы!$A1271)*$D1271</f>
        <v>0</v>
      </c>
      <c r="K1271" s="166">
        <f>SUMIFS(Продажи!H$5:H$359,Продажи!$D$5:$D$359,Конструкторы!$B1271,Продажи!$C$5:$C$359,Конструкторы!$A1271)*$D1271</f>
        <v>14550</v>
      </c>
      <c r="L1271" s="166">
        <f>SUMIFS(Продажи!I$5:I$359,Продажи!$D$5:$D$359,Конструкторы!$B1271,Продажи!$C$5:$C$359,Конструкторы!$A1271)*$D1271</f>
        <v>0</v>
      </c>
      <c r="M1271" s="166">
        <f>SUMIFS(Продажи!J$5:J$359,Продажи!$D$5:$D$359,Конструкторы!$B1271,Продажи!$C$5:$C$359,Конструкторы!$A1271)*$D1271</f>
        <v>0</v>
      </c>
      <c r="N1271" s="166">
        <f>SUMIFS(Продажи!K$5:K$359,Продажи!$D$5:$D$359,Конструкторы!$B1271,Продажи!$C$5:$C$359,Конструкторы!$A1271)*$D1271</f>
        <v>0</v>
      </c>
      <c r="O1271" s="166">
        <f>SUMIFS(Продажи!L$5:L$359,Продажи!$D$5:$D$359,Конструкторы!$B1271,Продажи!$C$5:$C$359,Конструкторы!$A1271)*$D1271</f>
        <v>0</v>
      </c>
      <c r="P1271" s="166">
        <f>SUMIFS(Продажи!M$5:M$359,Продажи!$D$5:$D$359,Конструкторы!$B1271,Продажи!$C$5:$C$359,Конструкторы!$A1271)*$D1271</f>
        <v>0</v>
      </c>
      <c r="Q1271" s="166">
        <f>SUMIFS(Продажи!N$5:N$359,Продажи!$D$5:$D$359,Конструкторы!$B1271,Продажи!$C$5:$C$359,Конструкторы!$A1271)*$D1271</f>
        <v>0</v>
      </c>
      <c r="R1271" s="166">
        <f>SUMIFS(Продажи!O$5:O$359,Продажи!$D$5:$D$359,Конструкторы!$B1271,Продажи!$C$5:$C$359,Конструкторы!$A1271)*$D1271</f>
        <v>0</v>
      </c>
      <c r="S1271" s="166">
        <f>SUMIFS(Продажи!P$5:P$359,Продажи!$D$5:$D$359,Конструкторы!$B1271,Продажи!$C$5:$C$359,Конструкторы!$A1271)*$D1271</f>
        <v>0</v>
      </c>
      <c r="T1271" s="166">
        <f>SUMIFS(Продажи!Q$5:Q$359,Продажи!$D$5:$D$359,Конструкторы!$B1271,Продажи!$C$5:$C$359,Конструкторы!$A1271)*$D1271</f>
        <v>0</v>
      </c>
    </row>
    <row r="1272" spans="1:20" x14ac:dyDescent="0.25">
      <c r="A1272" s="166" t="s">
        <v>398</v>
      </c>
      <c r="B1272" s="269" t="s">
        <v>561</v>
      </c>
      <c r="C1272" s="53" t="s">
        <v>46</v>
      </c>
      <c r="D1272" s="163">
        <f t="shared" si="17"/>
        <v>4.9342105263157895E-2</v>
      </c>
      <c r="E1272" s="163"/>
      <c r="F1272" s="262">
        <v>1500</v>
      </c>
      <c r="G1272" s="166"/>
      <c r="H1272" s="167"/>
      <c r="I1272" s="166">
        <f>SUMIFS(Продажи!F$5:F$359,Продажи!$D$5:$D$359,Конструкторы!$B1272,Продажи!$C$5:$C$359,Конструкторы!$A1272)*$D1272</f>
        <v>0</v>
      </c>
      <c r="J1272" s="166">
        <f>SUMIFS(Продажи!G$5:G$359,Продажи!$D$5:$D$359,Конструкторы!$B1272,Продажи!$C$5:$C$359,Конструкторы!$A1272)*$D1272</f>
        <v>0</v>
      </c>
      <c r="K1272" s="166">
        <f>SUMIFS(Продажи!H$5:H$359,Продажи!$D$5:$D$359,Конструкторы!$B1272,Продажи!$C$5:$C$359,Конструкторы!$A1272)*$D1272</f>
        <v>1500</v>
      </c>
      <c r="L1272" s="166">
        <f>SUMIFS(Продажи!I$5:I$359,Продажи!$D$5:$D$359,Конструкторы!$B1272,Продажи!$C$5:$C$359,Конструкторы!$A1272)*$D1272</f>
        <v>0</v>
      </c>
      <c r="M1272" s="166">
        <f>SUMIFS(Продажи!J$5:J$359,Продажи!$D$5:$D$359,Конструкторы!$B1272,Продажи!$C$5:$C$359,Конструкторы!$A1272)*$D1272</f>
        <v>0</v>
      </c>
      <c r="N1272" s="166">
        <f>SUMIFS(Продажи!K$5:K$359,Продажи!$D$5:$D$359,Конструкторы!$B1272,Продажи!$C$5:$C$359,Конструкторы!$A1272)*$D1272</f>
        <v>0</v>
      </c>
      <c r="O1272" s="166">
        <f>SUMIFS(Продажи!L$5:L$359,Продажи!$D$5:$D$359,Конструкторы!$B1272,Продажи!$C$5:$C$359,Конструкторы!$A1272)*$D1272</f>
        <v>0</v>
      </c>
      <c r="P1272" s="166">
        <f>SUMIFS(Продажи!M$5:M$359,Продажи!$D$5:$D$359,Конструкторы!$B1272,Продажи!$C$5:$C$359,Конструкторы!$A1272)*$D1272</f>
        <v>0</v>
      </c>
      <c r="Q1272" s="166">
        <f>SUMIFS(Продажи!N$5:N$359,Продажи!$D$5:$D$359,Конструкторы!$B1272,Продажи!$C$5:$C$359,Конструкторы!$A1272)*$D1272</f>
        <v>0</v>
      </c>
      <c r="R1272" s="166">
        <f>SUMIFS(Продажи!O$5:O$359,Продажи!$D$5:$D$359,Конструкторы!$B1272,Продажи!$C$5:$C$359,Конструкторы!$A1272)*$D1272</f>
        <v>0</v>
      </c>
      <c r="S1272" s="166">
        <f>SUMIFS(Продажи!P$5:P$359,Продажи!$D$5:$D$359,Конструкторы!$B1272,Продажи!$C$5:$C$359,Конструкторы!$A1272)*$D1272</f>
        <v>0</v>
      </c>
      <c r="T1272" s="166">
        <f>SUMIFS(Продажи!Q$5:Q$359,Продажи!$D$5:$D$359,Конструкторы!$B1272,Продажи!$C$5:$C$359,Конструкторы!$A1272)*$D1272</f>
        <v>0</v>
      </c>
    </row>
    <row r="1273" spans="1:20" x14ac:dyDescent="0.25">
      <c r="A1273" s="166" t="s">
        <v>398</v>
      </c>
      <c r="B1273" s="269" t="s">
        <v>561</v>
      </c>
      <c r="C1273" s="25" t="s">
        <v>466</v>
      </c>
      <c r="D1273" s="163">
        <f t="shared" si="17"/>
        <v>5.5921052631578948E-2</v>
      </c>
      <c r="E1273" s="163"/>
      <c r="F1273" s="262">
        <v>1700</v>
      </c>
      <c r="G1273" s="166"/>
      <c r="H1273" s="167"/>
      <c r="I1273" s="166">
        <f>SUMIFS(Продажи!F$5:F$359,Продажи!$D$5:$D$359,Конструкторы!$B1273,Продажи!$C$5:$C$359,Конструкторы!$A1273)*$D1273</f>
        <v>0</v>
      </c>
      <c r="J1273" s="166">
        <f>SUMIFS(Продажи!G$5:G$359,Продажи!$D$5:$D$359,Конструкторы!$B1273,Продажи!$C$5:$C$359,Конструкторы!$A1273)*$D1273</f>
        <v>0</v>
      </c>
      <c r="K1273" s="166">
        <f>SUMIFS(Продажи!H$5:H$359,Продажи!$D$5:$D$359,Конструкторы!$B1273,Продажи!$C$5:$C$359,Конструкторы!$A1273)*$D1273</f>
        <v>1700</v>
      </c>
      <c r="L1273" s="166">
        <f>SUMIFS(Продажи!I$5:I$359,Продажи!$D$5:$D$359,Конструкторы!$B1273,Продажи!$C$5:$C$359,Конструкторы!$A1273)*$D1273</f>
        <v>0</v>
      </c>
      <c r="M1273" s="166">
        <f>SUMIFS(Продажи!J$5:J$359,Продажи!$D$5:$D$359,Конструкторы!$B1273,Продажи!$C$5:$C$359,Конструкторы!$A1273)*$D1273</f>
        <v>0</v>
      </c>
      <c r="N1273" s="166">
        <f>SUMIFS(Продажи!K$5:K$359,Продажи!$D$5:$D$359,Конструкторы!$B1273,Продажи!$C$5:$C$359,Конструкторы!$A1273)*$D1273</f>
        <v>0</v>
      </c>
      <c r="O1273" s="166">
        <f>SUMIFS(Продажи!L$5:L$359,Продажи!$D$5:$D$359,Конструкторы!$B1273,Продажи!$C$5:$C$359,Конструкторы!$A1273)*$D1273</f>
        <v>0</v>
      </c>
      <c r="P1273" s="166">
        <f>SUMIFS(Продажи!M$5:M$359,Продажи!$D$5:$D$359,Конструкторы!$B1273,Продажи!$C$5:$C$359,Конструкторы!$A1273)*$D1273</f>
        <v>0</v>
      </c>
      <c r="Q1273" s="166">
        <f>SUMIFS(Продажи!N$5:N$359,Продажи!$D$5:$D$359,Конструкторы!$B1273,Продажи!$C$5:$C$359,Конструкторы!$A1273)*$D1273</f>
        <v>0</v>
      </c>
      <c r="R1273" s="166">
        <f>SUMIFS(Продажи!O$5:O$359,Продажи!$D$5:$D$359,Конструкторы!$B1273,Продажи!$C$5:$C$359,Конструкторы!$A1273)*$D1273</f>
        <v>0</v>
      </c>
      <c r="S1273" s="166">
        <f>SUMIFS(Продажи!P$5:P$359,Продажи!$D$5:$D$359,Конструкторы!$B1273,Продажи!$C$5:$C$359,Конструкторы!$A1273)*$D1273</f>
        <v>0</v>
      </c>
      <c r="T1273" s="166">
        <f>SUMIFS(Продажи!Q$5:Q$359,Продажи!$D$5:$D$359,Конструкторы!$B1273,Продажи!$C$5:$C$359,Конструкторы!$A1273)*$D1273</f>
        <v>0</v>
      </c>
    </row>
    <row r="1274" spans="1:20" x14ac:dyDescent="0.25">
      <c r="A1274" s="166" t="s">
        <v>398</v>
      </c>
      <c r="B1274" s="269" t="s">
        <v>561</v>
      </c>
      <c r="C1274" s="53" t="s">
        <v>35</v>
      </c>
      <c r="D1274" s="163">
        <f t="shared" si="17"/>
        <v>1.1513157894736841E-2</v>
      </c>
      <c r="E1274" s="163"/>
      <c r="F1274" s="262">
        <v>350</v>
      </c>
      <c r="G1274" s="166"/>
      <c r="H1274" s="167"/>
      <c r="I1274" s="166">
        <f>SUMIFS(Продажи!F$5:F$359,Продажи!$D$5:$D$359,Конструкторы!$B1274,Продажи!$C$5:$C$359,Конструкторы!$A1274)*$D1274</f>
        <v>0</v>
      </c>
      <c r="J1274" s="166">
        <f>SUMIFS(Продажи!G$5:G$359,Продажи!$D$5:$D$359,Конструкторы!$B1274,Продажи!$C$5:$C$359,Конструкторы!$A1274)*$D1274</f>
        <v>0</v>
      </c>
      <c r="K1274" s="166">
        <f>SUMIFS(Продажи!H$5:H$359,Продажи!$D$5:$D$359,Конструкторы!$B1274,Продажи!$C$5:$C$359,Конструкторы!$A1274)*$D1274</f>
        <v>350</v>
      </c>
      <c r="L1274" s="166">
        <f>SUMIFS(Продажи!I$5:I$359,Продажи!$D$5:$D$359,Конструкторы!$B1274,Продажи!$C$5:$C$359,Конструкторы!$A1274)*$D1274</f>
        <v>0</v>
      </c>
      <c r="M1274" s="166">
        <f>SUMIFS(Продажи!J$5:J$359,Продажи!$D$5:$D$359,Конструкторы!$B1274,Продажи!$C$5:$C$359,Конструкторы!$A1274)*$D1274</f>
        <v>0</v>
      </c>
      <c r="N1274" s="166">
        <f>SUMIFS(Продажи!K$5:K$359,Продажи!$D$5:$D$359,Конструкторы!$B1274,Продажи!$C$5:$C$359,Конструкторы!$A1274)*$D1274</f>
        <v>0</v>
      </c>
      <c r="O1274" s="166">
        <f>SUMIFS(Продажи!L$5:L$359,Продажи!$D$5:$D$359,Конструкторы!$B1274,Продажи!$C$5:$C$359,Конструкторы!$A1274)*$D1274</f>
        <v>0</v>
      </c>
      <c r="P1274" s="166">
        <f>SUMIFS(Продажи!M$5:M$359,Продажи!$D$5:$D$359,Конструкторы!$B1274,Продажи!$C$5:$C$359,Конструкторы!$A1274)*$D1274</f>
        <v>0</v>
      </c>
      <c r="Q1274" s="166">
        <f>SUMIFS(Продажи!N$5:N$359,Продажи!$D$5:$D$359,Конструкторы!$B1274,Продажи!$C$5:$C$359,Конструкторы!$A1274)*$D1274</f>
        <v>0</v>
      </c>
      <c r="R1274" s="166">
        <f>SUMIFS(Продажи!O$5:O$359,Продажи!$D$5:$D$359,Конструкторы!$B1274,Продажи!$C$5:$C$359,Конструкторы!$A1274)*$D1274</f>
        <v>0</v>
      </c>
      <c r="S1274" s="166">
        <f>SUMIFS(Продажи!P$5:P$359,Продажи!$D$5:$D$359,Конструкторы!$B1274,Продажи!$C$5:$C$359,Конструкторы!$A1274)*$D1274</f>
        <v>0</v>
      </c>
      <c r="T1274" s="166">
        <f>SUMIFS(Продажи!Q$5:Q$359,Продажи!$D$5:$D$359,Конструкторы!$B1274,Продажи!$C$5:$C$359,Конструкторы!$A1274)*$D1274</f>
        <v>0</v>
      </c>
    </row>
    <row r="1275" spans="1:20" x14ac:dyDescent="0.25">
      <c r="A1275" s="166" t="s">
        <v>398</v>
      </c>
      <c r="B1275" s="269" t="s">
        <v>561</v>
      </c>
      <c r="C1275" s="53" t="s">
        <v>55</v>
      </c>
      <c r="D1275" s="163">
        <f t="shared" si="17"/>
        <v>8.8815789473684209E-3</v>
      </c>
      <c r="E1275" s="163"/>
      <c r="F1275" s="262">
        <v>270</v>
      </c>
      <c r="G1275" s="166"/>
      <c r="H1275" s="167"/>
      <c r="I1275" s="166">
        <f>SUMIFS(Продажи!F$5:F$359,Продажи!$D$5:$D$359,Конструкторы!$B1275,Продажи!$C$5:$C$359,Конструкторы!$A1275)*$D1275</f>
        <v>0</v>
      </c>
      <c r="J1275" s="166">
        <f>SUMIFS(Продажи!G$5:G$359,Продажи!$D$5:$D$359,Конструкторы!$B1275,Продажи!$C$5:$C$359,Конструкторы!$A1275)*$D1275</f>
        <v>0</v>
      </c>
      <c r="K1275" s="166">
        <f>SUMIFS(Продажи!H$5:H$359,Продажи!$D$5:$D$359,Конструкторы!$B1275,Продажи!$C$5:$C$359,Конструкторы!$A1275)*$D1275</f>
        <v>270</v>
      </c>
      <c r="L1275" s="166">
        <f>SUMIFS(Продажи!I$5:I$359,Продажи!$D$5:$D$359,Конструкторы!$B1275,Продажи!$C$5:$C$359,Конструкторы!$A1275)*$D1275</f>
        <v>0</v>
      </c>
      <c r="M1275" s="166">
        <f>SUMIFS(Продажи!J$5:J$359,Продажи!$D$5:$D$359,Конструкторы!$B1275,Продажи!$C$5:$C$359,Конструкторы!$A1275)*$D1275</f>
        <v>0</v>
      </c>
      <c r="N1275" s="166">
        <f>SUMIFS(Продажи!K$5:K$359,Продажи!$D$5:$D$359,Конструкторы!$B1275,Продажи!$C$5:$C$359,Конструкторы!$A1275)*$D1275</f>
        <v>0</v>
      </c>
      <c r="O1275" s="166">
        <f>SUMIFS(Продажи!L$5:L$359,Продажи!$D$5:$D$359,Конструкторы!$B1275,Продажи!$C$5:$C$359,Конструкторы!$A1275)*$D1275</f>
        <v>0</v>
      </c>
      <c r="P1275" s="166">
        <f>SUMIFS(Продажи!M$5:M$359,Продажи!$D$5:$D$359,Конструкторы!$B1275,Продажи!$C$5:$C$359,Конструкторы!$A1275)*$D1275</f>
        <v>0</v>
      </c>
      <c r="Q1275" s="166">
        <f>SUMIFS(Продажи!N$5:N$359,Продажи!$D$5:$D$359,Конструкторы!$B1275,Продажи!$C$5:$C$359,Конструкторы!$A1275)*$D1275</f>
        <v>0</v>
      </c>
      <c r="R1275" s="166">
        <f>SUMIFS(Продажи!O$5:O$359,Продажи!$D$5:$D$359,Конструкторы!$B1275,Продажи!$C$5:$C$359,Конструкторы!$A1275)*$D1275</f>
        <v>0</v>
      </c>
      <c r="S1275" s="166">
        <f>SUMIFS(Продажи!P$5:P$359,Продажи!$D$5:$D$359,Конструкторы!$B1275,Продажи!$C$5:$C$359,Конструкторы!$A1275)*$D1275</f>
        <v>0</v>
      </c>
      <c r="T1275" s="166">
        <f>SUMIFS(Продажи!Q$5:Q$359,Продажи!$D$5:$D$359,Конструкторы!$B1275,Продажи!$C$5:$C$359,Конструкторы!$A1275)*$D1275</f>
        <v>0</v>
      </c>
    </row>
    <row r="1276" spans="1:20" x14ac:dyDescent="0.25">
      <c r="A1276" s="166" t="s">
        <v>398</v>
      </c>
      <c r="B1276" s="269"/>
      <c r="C1276" s="53"/>
      <c r="D1276" s="163"/>
      <c r="E1276" s="163"/>
      <c r="F1276" s="262"/>
      <c r="G1276" s="166"/>
      <c r="H1276" s="167"/>
      <c r="I1276" s="166"/>
      <c r="J1276" s="166"/>
      <c r="K1276" s="166"/>
      <c r="L1276" s="166"/>
      <c r="M1276" s="166"/>
      <c r="N1276" s="166"/>
      <c r="O1276" s="166"/>
      <c r="P1276" s="166"/>
      <c r="Q1276" s="166"/>
      <c r="R1276" s="166"/>
      <c r="S1276" s="166"/>
      <c r="T1276" s="166"/>
    </row>
    <row r="1277" spans="1:20" x14ac:dyDescent="0.25">
      <c r="A1277" s="170" t="s">
        <v>398</v>
      </c>
      <c r="B1277" s="171"/>
      <c r="C1277" s="171"/>
      <c r="D1277" s="170"/>
      <c r="E1277" s="171"/>
      <c r="F1277" s="170"/>
      <c r="G1277" s="170"/>
      <c r="H1277" s="170"/>
      <c r="I1277" s="166">
        <f>SUMIFS(Продажи!F$5:F$359,Продажи!$D$5:$D$359,Конструкторы!$B1277,Продажи!$C$5:$C$359,Конструкторы!$A1277)*$D1277</f>
        <v>0</v>
      </c>
      <c r="J1277" s="166">
        <f>SUMIFS(Продажи!G$5:G$359,Продажи!$D$5:$D$359,Конструкторы!$B1277,Продажи!$C$5:$C$359,Конструкторы!$A1277)*$D1277</f>
        <v>0</v>
      </c>
      <c r="K1277" s="166">
        <f>SUMIFS(Продажи!H$5:H$359,Продажи!$D$5:$D$359,Конструкторы!$B1277,Продажи!$C$5:$C$359,Конструкторы!$A1277)*$D1277</f>
        <v>0</v>
      </c>
      <c r="L1277" s="166">
        <f>SUMIFS(Продажи!I$5:I$359,Продажи!$D$5:$D$359,Конструкторы!$B1277,Продажи!$C$5:$C$359,Конструкторы!$A1277)*$D1277</f>
        <v>0</v>
      </c>
      <c r="M1277" s="166">
        <f>SUMIFS(Продажи!J$5:J$359,Продажи!$D$5:$D$359,Конструкторы!$B1277,Продажи!$C$5:$C$359,Конструкторы!$A1277)*$D1277</f>
        <v>0</v>
      </c>
      <c r="N1277" s="166">
        <f>SUMIFS(Продажи!K$5:K$359,Продажи!$D$5:$D$359,Конструкторы!$B1277,Продажи!$C$5:$C$359,Конструкторы!$A1277)*$D1277</f>
        <v>0</v>
      </c>
      <c r="O1277" s="166">
        <f>SUMIFS(Продажи!L$5:L$359,Продажи!$D$5:$D$359,Конструкторы!$B1277,Продажи!$C$5:$C$359,Конструкторы!$A1277)*$D1277</f>
        <v>0</v>
      </c>
      <c r="P1277" s="166">
        <f>SUMIFS(Продажи!M$5:M$359,Продажи!$D$5:$D$359,Конструкторы!$B1277,Продажи!$C$5:$C$359,Конструкторы!$A1277)*$D1277</f>
        <v>0</v>
      </c>
      <c r="Q1277" s="166">
        <f>SUMIFS(Продажи!N$5:N$359,Продажи!$D$5:$D$359,Конструкторы!$B1277,Продажи!$C$5:$C$359,Конструкторы!$A1277)*$D1277</f>
        <v>0</v>
      </c>
      <c r="R1277" s="166">
        <f>SUMIFS(Продажи!O$5:O$359,Продажи!$D$5:$D$359,Конструкторы!$B1277,Продажи!$C$5:$C$359,Конструкторы!$A1277)*$D1277</f>
        <v>0</v>
      </c>
      <c r="S1277" s="166">
        <f>SUMIFS(Продажи!P$5:P$359,Продажи!$D$5:$D$359,Конструкторы!$B1277,Продажи!$C$5:$C$359,Конструкторы!$A1277)*$D1277</f>
        <v>0</v>
      </c>
      <c r="T1277" s="166">
        <f>SUMIFS(Продажи!Q$5:Q$359,Продажи!$D$5:$D$359,Конструкторы!$B1277,Продажи!$C$5:$C$359,Конструкторы!$A1277)*$D1277</f>
        <v>0</v>
      </c>
    </row>
    <row r="1278" spans="1:20" x14ac:dyDescent="0.25">
      <c r="A1278" s="82"/>
      <c r="B1278" s="133"/>
      <c r="C1278" s="133"/>
      <c r="D1278" s="82"/>
      <c r="E1278" s="133"/>
      <c r="F1278" s="82"/>
      <c r="G1278" s="82"/>
      <c r="H1278" s="82"/>
      <c r="I1278" s="82"/>
      <c r="J1278" s="133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</row>
    <row r="1279" spans="1:20" x14ac:dyDescent="0.25">
      <c r="A1279" s="82"/>
      <c r="B1279" s="133"/>
      <c r="C1279" s="133"/>
      <c r="D1279" s="82"/>
      <c r="E1279" s="133"/>
      <c r="F1279" s="82"/>
      <c r="G1279" s="82"/>
      <c r="H1279" s="82"/>
      <c r="I1279" s="82"/>
      <c r="J1279" s="133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</row>
    <row r="1280" spans="1:20" x14ac:dyDescent="0.25">
      <c r="A1280" s="82"/>
      <c r="B1280" s="133"/>
      <c r="C1280" s="133"/>
      <c r="D1280" s="82"/>
      <c r="E1280" s="133"/>
      <c r="F1280" s="82"/>
      <c r="G1280" s="82"/>
      <c r="H1280" s="82"/>
      <c r="I1280" s="82"/>
      <c r="J1280" s="133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</row>
    <row r="1281" spans="1:20" x14ac:dyDescent="0.25">
      <c r="A1281" s="82"/>
      <c r="B1281" s="133"/>
      <c r="C1281" s="133"/>
      <c r="D1281" s="82"/>
      <c r="E1281" s="133"/>
      <c r="F1281" s="82"/>
      <c r="G1281" s="82"/>
      <c r="H1281" s="82"/>
      <c r="I1281" s="82"/>
      <c r="J1281" s="133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</row>
    <row r="1282" spans="1:20" x14ac:dyDescent="0.25">
      <c r="A1282" s="82"/>
      <c r="B1282" s="133"/>
      <c r="C1282" s="133"/>
      <c r="D1282" s="82"/>
      <c r="E1282" s="133"/>
      <c r="F1282" s="82"/>
      <c r="G1282" s="82"/>
      <c r="H1282" s="82"/>
      <c r="I1282" s="82"/>
      <c r="J1282" s="133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</row>
    <row r="1283" spans="1:20" x14ac:dyDescent="0.25">
      <c r="A1283" s="82"/>
      <c r="B1283" s="133"/>
      <c r="C1283" s="133"/>
      <c r="D1283" s="82"/>
      <c r="E1283" s="133"/>
      <c r="F1283" s="82"/>
      <c r="G1283" s="82"/>
      <c r="H1283" s="82"/>
      <c r="I1283" s="82"/>
      <c r="J1283" s="133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</row>
    <row r="1284" spans="1:20" x14ac:dyDescent="0.25">
      <c r="A1284" s="82"/>
      <c r="B1284" s="133"/>
      <c r="C1284" s="133"/>
      <c r="D1284" s="82"/>
      <c r="E1284" s="133"/>
      <c r="F1284" s="82"/>
      <c r="G1284" s="82"/>
      <c r="H1284" s="82"/>
      <c r="I1284" s="82"/>
      <c r="J1284" s="133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</row>
    <row r="1285" spans="1:20" x14ac:dyDescent="0.25">
      <c r="A1285" s="82"/>
      <c r="B1285" s="330" t="s">
        <v>540</v>
      </c>
      <c r="C1285" s="133"/>
      <c r="D1285" s="82"/>
      <c r="E1285" s="133"/>
      <c r="F1285" s="82"/>
      <c r="G1285" s="82"/>
      <c r="H1285" s="82"/>
      <c r="I1285" s="82"/>
      <c r="J1285" s="133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</row>
    <row r="1286" spans="1:20" x14ac:dyDescent="0.25">
      <c r="A1286" s="82"/>
      <c r="B1286" s="133"/>
      <c r="C1286" s="133"/>
      <c r="D1286" s="82"/>
      <c r="E1286" s="133"/>
      <c r="F1286" s="82"/>
      <c r="G1286" s="82"/>
      <c r="H1286" s="82"/>
      <c r="I1286" s="82"/>
      <c r="J1286" s="133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</row>
    <row r="1287" spans="1:20" x14ac:dyDescent="0.25">
      <c r="A1287" s="82"/>
      <c r="B1287" s="133"/>
      <c r="C1287" s="133"/>
      <c r="D1287" s="82"/>
      <c r="E1287" s="133"/>
      <c r="F1287" s="82"/>
      <c r="G1287" s="82"/>
      <c r="H1287" s="82"/>
      <c r="I1287" s="82"/>
      <c r="J1287" s="133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</row>
    <row r="1288" spans="1:20" x14ac:dyDescent="0.25">
      <c r="A1288" s="82"/>
      <c r="B1288" s="133"/>
      <c r="C1288" s="133"/>
      <c r="D1288" s="82"/>
      <c r="E1288" s="133"/>
      <c r="F1288" s="82"/>
      <c r="G1288" s="82"/>
      <c r="H1288" s="82"/>
      <c r="I1288" s="82"/>
      <c r="J1288" s="133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</row>
    <row r="1289" spans="1:20" x14ac:dyDescent="0.25">
      <c r="A1289" s="82"/>
      <c r="B1289" s="133"/>
      <c r="C1289" s="133"/>
      <c r="D1289" s="82"/>
      <c r="E1289" s="133"/>
      <c r="F1289" s="82"/>
      <c r="G1289" s="82"/>
      <c r="H1289" s="82"/>
      <c r="I1289" s="82"/>
      <c r="J1289" s="133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</row>
    <row r="1290" spans="1:20" x14ac:dyDescent="0.25">
      <c r="A1290" s="82"/>
      <c r="B1290" s="133"/>
      <c r="C1290" s="133"/>
      <c r="D1290" s="82"/>
      <c r="E1290" s="133"/>
      <c r="F1290" s="82"/>
      <c r="G1290" s="82"/>
      <c r="H1290" s="82"/>
      <c r="I1290" s="82"/>
      <c r="J1290" s="133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</row>
    <row r="1291" spans="1:20" x14ac:dyDescent="0.25">
      <c r="A1291" s="82"/>
      <c r="B1291" s="133"/>
      <c r="C1291" s="133"/>
      <c r="D1291" s="82"/>
      <c r="E1291" s="133"/>
      <c r="F1291" s="82"/>
      <c r="G1291" s="82"/>
      <c r="H1291" s="82"/>
      <c r="I1291" s="82"/>
      <c r="J1291" s="133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</row>
    <row r="1292" spans="1:20" x14ac:dyDescent="0.25">
      <c r="A1292" s="82"/>
      <c r="B1292" s="133"/>
      <c r="C1292" s="133"/>
      <c r="D1292" s="82"/>
      <c r="E1292" s="133"/>
      <c r="F1292" s="82"/>
      <c r="G1292" s="82"/>
      <c r="H1292" s="82"/>
      <c r="I1292" s="82"/>
      <c r="J1292" s="133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</row>
  </sheetData>
  <autoFilter ref="A5:T1277">
    <filterColumn colId="0">
      <filters>
        <filter val="Проект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3:T191"/>
  <sheetViews>
    <sheetView zoomScale="70" zoomScaleNormal="70" workbookViewId="0">
      <selection activeCell="G6" sqref="G6"/>
    </sheetView>
  </sheetViews>
  <sheetFormatPr defaultRowHeight="15" x14ac:dyDescent="0.25"/>
  <cols>
    <col min="1" max="1" width="51.42578125" customWidth="1"/>
    <col min="4" max="5" width="11.28515625" customWidth="1"/>
    <col min="6" max="6" width="9.28515625" bestFit="1" customWidth="1"/>
    <col min="7" max="7" width="9.5703125" bestFit="1" customWidth="1"/>
    <col min="8" max="17" width="9.28515625" bestFit="1" customWidth="1"/>
    <col min="18" max="18" width="15.28515625" hidden="1" customWidth="1"/>
    <col min="19" max="19" width="23" customWidth="1"/>
    <col min="20" max="20" width="18.7109375" bestFit="1" customWidth="1"/>
  </cols>
  <sheetData>
    <row r="3" spans="1:18" ht="26.25" x14ac:dyDescent="0.25">
      <c r="A3" s="353" t="s">
        <v>410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</row>
    <row r="4" spans="1:18" ht="15.75" thickBot="1" x14ac:dyDescent="0.3">
      <c r="R4" s="105">
        <f>AVERAGE(F6:Q6)</f>
        <v>0.65221053181134525</v>
      </c>
    </row>
    <row r="5" spans="1:18" ht="15.75" thickBot="1" x14ac:dyDescent="0.3">
      <c r="A5" s="354" t="s">
        <v>411</v>
      </c>
      <c r="B5" s="355"/>
      <c r="C5" s="356"/>
      <c r="D5" s="357"/>
      <c r="F5" s="91">
        <f>31*24*5*0.9</f>
        <v>3348</v>
      </c>
      <c r="G5" s="92">
        <f>31*24*5*0.9</f>
        <v>3348</v>
      </c>
      <c r="H5" s="93">
        <f>30*24*5*0.9</f>
        <v>3240</v>
      </c>
      <c r="I5" s="91">
        <f>31*24*5*0.9</f>
        <v>3348</v>
      </c>
      <c r="J5" s="92">
        <f>30*24*5*0.9</f>
        <v>3240</v>
      </c>
      <c r="K5" s="93">
        <f>30*24*5*0.9</f>
        <v>3240</v>
      </c>
      <c r="L5" s="91">
        <f>26*24*5*0.9</f>
        <v>2808</v>
      </c>
      <c r="M5" s="92">
        <f>29*24*5*0.9</f>
        <v>3132</v>
      </c>
      <c r="N5" s="93">
        <f>31*24*5*0.9</f>
        <v>3348</v>
      </c>
      <c r="O5" s="91">
        <f>30*24*5*0.9</f>
        <v>3240</v>
      </c>
      <c r="P5" s="92">
        <f>31*24*5*0.9</f>
        <v>3348</v>
      </c>
      <c r="Q5" s="93">
        <f>30*24*5*0.9</f>
        <v>3240</v>
      </c>
      <c r="R5" s="98">
        <f>SUM(F5:Q5)</f>
        <v>38880</v>
      </c>
    </row>
    <row r="6" spans="1:18" ht="15.75" thickBot="1" x14ac:dyDescent="0.3">
      <c r="A6" s="358" t="s">
        <v>412</v>
      </c>
      <c r="B6" s="359"/>
      <c r="C6" s="359"/>
      <c r="D6" s="360"/>
      <c r="E6" s="88"/>
      <c r="F6" s="95">
        <f>SUM(F9:F50)/F5</f>
        <v>0.5473779683880563</v>
      </c>
      <c r="G6" s="95">
        <f t="shared" ref="G6:Q6" si="0">SUM(G9:G50)/G5</f>
        <v>0.47672506784728769</v>
      </c>
      <c r="H6" s="95">
        <f t="shared" si="0"/>
        <v>0.86698417631503755</v>
      </c>
      <c r="I6" s="95">
        <f t="shared" si="0"/>
        <v>0.71624174146388186</v>
      </c>
      <c r="J6" s="95">
        <f t="shared" si="0"/>
        <v>0.63172086323407206</v>
      </c>
      <c r="K6" s="95">
        <f t="shared" si="0"/>
        <v>0.64396366158798168</v>
      </c>
      <c r="L6" s="95">
        <f t="shared" si="0"/>
        <v>0.74303499413997887</v>
      </c>
      <c r="M6" s="95">
        <f t="shared" si="0"/>
        <v>0.66616930509101546</v>
      </c>
      <c r="N6" s="95">
        <f t="shared" si="0"/>
        <v>0.62319064024643389</v>
      </c>
      <c r="O6" s="95">
        <f t="shared" si="0"/>
        <v>0.64396366158798168</v>
      </c>
      <c r="P6" s="95">
        <f t="shared" si="0"/>
        <v>0.62319064024643389</v>
      </c>
      <c r="Q6" s="95">
        <f t="shared" si="0"/>
        <v>0.64396366158798168</v>
      </c>
      <c r="R6">
        <v>0.88</v>
      </c>
    </row>
    <row r="7" spans="1:18" ht="45.75" thickBot="1" x14ac:dyDescent="0.3">
      <c r="B7" s="8" t="s">
        <v>388</v>
      </c>
      <c r="C7" s="68" t="s">
        <v>4</v>
      </c>
      <c r="D7" s="69" t="s">
        <v>400</v>
      </c>
      <c r="E7" s="67" t="s">
        <v>401</v>
      </c>
      <c r="F7" s="314">
        <f>Продажи!F3</f>
        <v>42583</v>
      </c>
      <c r="G7" s="314">
        <f>Продажи!G3</f>
        <v>42614</v>
      </c>
      <c r="H7" s="314">
        <f>Продажи!H3</f>
        <v>42644</v>
      </c>
      <c r="I7" s="314">
        <f>Продажи!I3</f>
        <v>42675</v>
      </c>
      <c r="J7" s="314">
        <f>Продажи!J3</f>
        <v>42705</v>
      </c>
      <c r="K7" s="314">
        <f>Продажи!K3</f>
        <v>42736</v>
      </c>
      <c r="L7" s="314">
        <f>Продажи!L3</f>
        <v>42767</v>
      </c>
      <c r="M7" s="314">
        <f>Продажи!M3</f>
        <v>42795</v>
      </c>
      <c r="N7" s="314">
        <f>Продажи!N3</f>
        <v>42826</v>
      </c>
      <c r="O7" s="314">
        <f>Продажи!O3</f>
        <v>42856</v>
      </c>
      <c r="P7" s="314">
        <f>Продажи!P3</f>
        <v>42887</v>
      </c>
      <c r="Q7" s="314">
        <f>Продажи!Q3</f>
        <v>42917</v>
      </c>
    </row>
    <row r="8" spans="1:18" x14ac:dyDescent="0.25">
      <c r="B8" s="27"/>
      <c r="C8" s="27"/>
      <c r="D8" s="27"/>
      <c r="E8" s="27"/>
      <c r="F8" s="94">
        <v>1</v>
      </c>
      <c r="G8" s="94">
        <v>2</v>
      </c>
      <c r="H8" s="94">
        <v>3</v>
      </c>
      <c r="I8" s="94">
        <v>4</v>
      </c>
      <c r="J8" s="94">
        <v>5</v>
      </c>
      <c r="K8" s="94">
        <v>6</v>
      </c>
      <c r="L8" s="94">
        <v>7</v>
      </c>
      <c r="M8" s="94">
        <v>8</v>
      </c>
      <c r="N8" s="94">
        <v>9</v>
      </c>
      <c r="O8" s="94">
        <v>10</v>
      </c>
      <c r="P8" s="94">
        <v>11</v>
      </c>
      <c r="Q8" s="94">
        <v>12</v>
      </c>
    </row>
    <row r="9" spans="1:18" x14ac:dyDescent="0.25">
      <c r="A9" s="42" t="s">
        <v>53</v>
      </c>
      <c r="B9" s="70">
        <v>1.105</v>
      </c>
      <c r="C9" s="14">
        <v>1018</v>
      </c>
      <c r="D9" s="71">
        <v>9</v>
      </c>
      <c r="E9" s="71">
        <v>42</v>
      </c>
      <c r="F9" s="72">
        <f>IF('Потребность профиль'!BZ5&gt;0,'Потребность профиль'!BZ5+$D9,0)</f>
        <v>55.30952380952381</v>
      </c>
      <c r="G9" s="72">
        <f t="array" ref="G9">IF('Потребность профиль'!CA5&gt;0,'Потребность профиль'!CA5+$D9,0)</f>
        <v>11.380952380952381</v>
      </c>
      <c r="H9" s="72">
        <f t="array" ref="H9">IF('Потребность профиль'!CB5&gt;0,'Потребность профиль'!CB5+$D9,0)</f>
        <v>13.642857142857142</v>
      </c>
      <c r="I9" s="72">
        <f t="array" ref="I9">IF('Потребность профиль'!CC5&gt;0,'Потребность профиль'!CC5+$D9,0)</f>
        <v>56.61904761904762</v>
      </c>
      <c r="J9" s="72">
        <f t="array" ref="J9">IF('Потребность профиль'!CD5&gt;0,'Потребность профиль'!CD5+$D9,0)</f>
        <v>0</v>
      </c>
      <c r="K9" s="72">
        <f t="array" ref="K9">IF('Потребность профиль'!CE5&gt;0,'Потребность профиль'!CE5+$D9,0)</f>
        <v>0</v>
      </c>
      <c r="L9" s="72">
        <f t="array" ref="L9">IF('Потребность профиль'!CF5&gt;0,'Потребность профиль'!CF5+$D9,0)</f>
        <v>0</v>
      </c>
      <c r="M9" s="72">
        <f t="array" ref="M9">IF('Потребность профиль'!CG5&gt;0,'Потребность профиль'!CG5+$D9,0)</f>
        <v>0</v>
      </c>
      <c r="N9" s="72">
        <f t="array" ref="N9">IF('Потребность профиль'!CH5&gt;0,'Потребность профиль'!CH5+$D9,0)</f>
        <v>0</v>
      </c>
      <c r="O9" s="72">
        <f t="array" ref="O9">IF('Потребность профиль'!CI5&gt;0,'Потребность профиль'!CI5+$D9,0)</f>
        <v>0</v>
      </c>
      <c r="P9" s="72">
        <f t="array" ref="P9">IF('Потребность профиль'!CJ5&gt;0,'Потребность профиль'!CJ5+$D9,0)</f>
        <v>0</v>
      </c>
      <c r="Q9" s="72">
        <f t="array" ref="Q9">IF('Потребность профиль'!CK5&gt;0,'Потребность профиль'!CK5+$D9,0)</f>
        <v>0</v>
      </c>
    </row>
    <row r="10" spans="1:18" x14ac:dyDescent="0.25">
      <c r="A10" s="42" t="s">
        <v>33</v>
      </c>
      <c r="B10" s="70">
        <v>8.661999999999999</v>
      </c>
      <c r="C10" s="14">
        <v>1018</v>
      </c>
      <c r="D10" s="71">
        <v>37</v>
      </c>
      <c r="E10" s="71">
        <v>9</v>
      </c>
      <c r="F10" s="72">
        <f t="array" ref="F10">IF('Потребность профиль'!BZ6&gt;0,'Потребность профиль'!BZ6+$D10,0)</f>
        <v>0</v>
      </c>
      <c r="G10" s="72">
        <f t="array" ref="G10">IF('Потребность профиль'!CA6&gt;0,'Потребность профиль'!CA6+$D10,0)</f>
        <v>0</v>
      </c>
      <c r="H10" s="72">
        <f>IF('Потребность профиль'!CB6&gt;0,'Потребность профиль'!CB6+$D10,0)</f>
        <v>0</v>
      </c>
      <c r="I10" s="72">
        <f t="array" ref="I10">IF('Потребность профиль'!CC6&gt;0,'Потребность профиль'!CC6+$D10,0)</f>
        <v>0</v>
      </c>
      <c r="J10" s="72">
        <f t="array" ref="J10">IF('Потребность профиль'!CD6&gt;0,'Потребность профиль'!CD6+$D10,0)</f>
        <v>0</v>
      </c>
      <c r="K10" s="72">
        <f t="array" ref="K10">IF('Потребность профиль'!CE6&gt;0,'Потребность профиль'!CE6+$D10,0)</f>
        <v>39.666666666666664</v>
      </c>
      <c r="L10" s="72">
        <f t="array" ref="L10">IF('Потребность профиль'!CF6&gt;0,'Потребность профиль'!CF6+$D10,0)</f>
        <v>39.666666666666664</v>
      </c>
      <c r="M10" s="72">
        <f t="array" ref="M10">IF('Потребность профиль'!CG6&gt;0,'Потребность профиль'!CG6+$D10,0)</f>
        <v>39.666666666666664</v>
      </c>
      <c r="N10" s="72">
        <f t="array" ref="N10">IF('Потребность профиль'!CH6&gt;0,'Потребность профиль'!CH6+$D10,0)</f>
        <v>39.666666666666664</v>
      </c>
      <c r="O10" s="72">
        <f t="array" ref="O10">IF('Потребность профиль'!CI6&gt;0,'Потребность профиль'!CI6+$D10,0)</f>
        <v>39.666666666666664</v>
      </c>
      <c r="P10" s="72">
        <f t="array" ref="P10">IF('Потребность профиль'!CJ6&gt;0,'Потребность профиль'!CJ6+$D10,0)</f>
        <v>39.666666666666664</v>
      </c>
      <c r="Q10" s="72">
        <f t="array" ref="Q10">IF('Потребность профиль'!CK6&gt;0,'Потребность профиль'!CK6+$D10,0)</f>
        <v>39.666666666666664</v>
      </c>
    </row>
    <row r="11" spans="1:18" x14ac:dyDescent="0.25">
      <c r="A11" s="42" t="s">
        <v>34</v>
      </c>
      <c r="B11" s="70">
        <v>16.061</v>
      </c>
      <c r="C11" s="14">
        <v>1018</v>
      </c>
      <c r="D11" s="71">
        <v>52</v>
      </c>
      <c r="E11" s="71">
        <v>6</v>
      </c>
      <c r="F11" s="72">
        <f t="array" ref="F11">IF('Потребность профиль'!BZ7&gt;0,'Потребность профиль'!BZ7+$D11,0)</f>
        <v>288.28665711973099</v>
      </c>
      <c r="G11" s="72">
        <f>IF('Потребность профиль'!CA7&gt;0,'Потребность профиль'!CA7+$D11,0)</f>
        <v>150.37494552020422</v>
      </c>
      <c r="H11" s="72">
        <f t="array" ref="H11">IF('Потребность профиль'!CB7&gt;0,'Потребность профиль'!CB7+$D11,0)</f>
        <v>260.18207675747226</v>
      </c>
      <c r="I11" s="72">
        <f t="array" ref="I11">IF('Потребность профиль'!CC7&gt;0,'Потребность профиль'!CC7+$D11,0)</f>
        <v>298.91362592165319</v>
      </c>
      <c r="J11" s="72">
        <f t="array" ref="J11">IF('Потребность профиль'!CD7&gt;0,'Потребность профиль'!CD7+$D11,0)</f>
        <v>274.70640769404008</v>
      </c>
      <c r="K11" s="72">
        <f t="array" ref="K11">IF('Потребность профиль'!CE7&gt;0,'Потребность профиль'!CE7+$D11,0)</f>
        <v>274.70640769404008</v>
      </c>
      <c r="L11" s="72">
        <f t="array" ref="L11">IF('Потребность профиль'!CF7&gt;0,'Потребность профиль'!CF7+$D11,0)</f>
        <v>274.70640769404008</v>
      </c>
      <c r="M11" s="72">
        <f t="array" ref="M11">IF('Потребность профиль'!CG7&gt;0,'Потребность профиль'!CG7+$D11,0)</f>
        <v>274.70640769404008</v>
      </c>
      <c r="N11" s="72">
        <f t="array" ref="N11">IF('Потребность профиль'!CH7&gt;0,'Потребность профиль'!CH7+$D11,0)</f>
        <v>274.70640769404008</v>
      </c>
      <c r="O11" s="72">
        <f t="array" ref="O11">IF('Потребность профиль'!CI7&gt;0,'Потребность профиль'!CI7+$D11,0)</f>
        <v>274.70640769404008</v>
      </c>
      <c r="P11" s="72">
        <f t="array" ref="P11">IF('Потребность профиль'!CJ7&gt;0,'Потребность профиль'!CJ7+$D11,0)</f>
        <v>274.70640769404008</v>
      </c>
      <c r="Q11" s="72">
        <f t="array" ref="Q11">IF('Потребность профиль'!CK7&gt;0,'Потребность профиль'!CK7+$D11,0)</f>
        <v>274.70640769404008</v>
      </c>
    </row>
    <row r="12" spans="1:18" x14ac:dyDescent="0.25">
      <c r="A12" s="42" t="s">
        <v>56</v>
      </c>
      <c r="B12" s="70">
        <v>1.2739999999999998</v>
      </c>
      <c r="C12" s="14">
        <v>1018</v>
      </c>
      <c r="D12" s="71">
        <v>6.5</v>
      </c>
      <c r="E12" s="71">
        <v>21</v>
      </c>
      <c r="F12" s="72">
        <f t="array" ref="F12">IF('Потребность профиль'!BZ8&gt;0,'Потребность профиль'!BZ8+$D12,0)</f>
        <v>0</v>
      </c>
      <c r="G12" s="72">
        <f t="array" ref="G12">IF('Потребность профиль'!CA8&gt;0,'Потребность профиль'!CA8+$D12,0)</f>
        <v>0</v>
      </c>
      <c r="H12" s="72">
        <f t="array" ref="H12">IF('Потребность профиль'!CB8&gt;0,'Потребность профиль'!CB8+$D12,0)</f>
        <v>53.11904761904762</v>
      </c>
      <c r="I12" s="72">
        <f t="array" ref="I12">IF('Потребность профиль'!CC8&gt;0,'Потребность профиль'!CC8+$D12,0)</f>
        <v>0</v>
      </c>
      <c r="J12" s="72">
        <f t="array" ref="J12">IF('Потребность профиль'!CD8&gt;0,'Потребность профиль'!CD8+$D12,0)</f>
        <v>0</v>
      </c>
      <c r="K12" s="72">
        <f t="array" ref="K12">IF('Потребность профиль'!CE8&gt;0,'Потребность профиль'!CE8+$D12,0)</f>
        <v>0</v>
      </c>
      <c r="L12" s="72">
        <f t="array" ref="L12">IF('Потребность профиль'!CF8&gt;0,'Потребность профиль'!CF8+$D12,0)</f>
        <v>0</v>
      </c>
      <c r="M12" s="72">
        <f t="array" ref="M12">IF('Потребность профиль'!CG8&gt;0,'Потребность профиль'!CG8+$D12,0)</f>
        <v>0</v>
      </c>
      <c r="N12" s="72">
        <f t="array" ref="N12">IF('Потребность профиль'!CH8&gt;0,'Потребность профиль'!CH8+$D12,0)</f>
        <v>0</v>
      </c>
      <c r="O12" s="72">
        <f t="array" ref="O12">IF('Потребность профиль'!CI8&gt;0,'Потребность профиль'!CI8+$D12,0)</f>
        <v>0</v>
      </c>
      <c r="P12" s="72">
        <f t="array" ref="P12">IF('Потребность профиль'!CJ8&gt;0,'Потребность профиль'!CJ8+$D12,0)</f>
        <v>0</v>
      </c>
      <c r="Q12" s="72">
        <f t="array" ref="Q12">IF('Потребность профиль'!CK8&gt;0,'Потребность профиль'!CK8+$D12,0)</f>
        <v>0</v>
      </c>
    </row>
    <row r="13" spans="1:18" x14ac:dyDescent="0.25">
      <c r="A13" s="42" t="s">
        <v>57</v>
      </c>
      <c r="B13" s="70">
        <v>1.738</v>
      </c>
      <c r="C13" s="14">
        <v>1018</v>
      </c>
      <c r="D13" s="71">
        <v>6.5</v>
      </c>
      <c r="E13" s="71">
        <v>21</v>
      </c>
      <c r="F13" s="72">
        <f t="array" ref="F13">IF('Потребность профиль'!BZ9&gt;0,'Потребность профиль'!BZ9+$D13,0)</f>
        <v>8.5</v>
      </c>
      <c r="G13" s="72">
        <f t="array" ref="G13">IF('Потребность профиль'!CA9&gt;0,'Потребность профиль'!CA9+$D13,0)</f>
        <v>0</v>
      </c>
      <c r="H13" s="72">
        <f t="array" ref="H13">IF('Потребность профиль'!CB9&gt;0,'Потребность профиль'!CB9+$D13,0)</f>
        <v>71.595238095238102</v>
      </c>
      <c r="I13" s="72">
        <f t="array" ref="I13">IF('Потребность профиль'!CC9&gt;0,'Потребность профиль'!CC9+$D13,0)</f>
        <v>0</v>
      </c>
      <c r="J13" s="72">
        <f t="array" ref="J13">IF('Потребность профиль'!CD9&gt;0,'Потребность профиль'!CD9+$D13,0)</f>
        <v>0</v>
      </c>
      <c r="K13" s="72">
        <f t="array" ref="K13">IF('Потребность профиль'!CE9&gt;0,'Потребность профиль'!CE9+$D13,0)</f>
        <v>0</v>
      </c>
      <c r="L13" s="72">
        <f t="array" ref="L13">IF('Потребность профиль'!CF9&gt;0,'Потребность профиль'!CF9+$D13,0)</f>
        <v>0</v>
      </c>
      <c r="M13" s="72">
        <f t="array" ref="M13">IF('Потребность профиль'!CG9&gt;0,'Потребность профиль'!CG9+$D13,0)</f>
        <v>0</v>
      </c>
      <c r="N13" s="72">
        <f t="array" ref="N13">IF('Потребность профиль'!CH9&gt;0,'Потребность профиль'!CH9+$D13,0)</f>
        <v>0</v>
      </c>
      <c r="O13" s="72">
        <f t="array" ref="O13">IF('Потребность профиль'!CI9&gt;0,'Потребность профиль'!CI9+$D13,0)</f>
        <v>0</v>
      </c>
      <c r="P13" s="72">
        <f t="array" ref="P13">IF('Потребность профиль'!CJ9&gt;0,'Потребность профиль'!CJ9+$D13,0)</f>
        <v>0</v>
      </c>
      <c r="Q13" s="72">
        <f t="array" ref="Q13">IF('Потребность профиль'!CK9&gt;0,'Потребность профиль'!CK9+$D13,0)</f>
        <v>0</v>
      </c>
    </row>
    <row r="14" spans="1:18" x14ac:dyDescent="0.25">
      <c r="A14" s="42" t="s">
        <v>58</v>
      </c>
      <c r="B14" s="70">
        <v>3.4379999999999997</v>
      </c>
      <c r="C14" s="14">
        <v>1018</v>
      </c>
      <c r="D14" s="71">
        <v>8</v>
      </c>
      <c r="E14" s="71">
        <v>18</v>
      </c>
      <c r="F14" s="72">
        <f t="array" ref="F14">IF('Потребность профиль'!BZ10&gt;0,'Потребность профиль'!BZ10+$D14,0)</f>
        <v>0</v>
      </c>
      <c r="G14" s="72">
        <f t="array" ref="G14">IF('Потребность профиль'!CA10&gt;0,'Потребность профиль'!CA10+$D14,0)</f>
        <v>0</v>
      </c>
      <c r="H14" s="72">
        <f t="array" ref="H14">IF('Потребность профиль'!CB10&gt;0,'Потребность профиль'!CB10+$D14,0)</f>
        <v>27.833333333333332</v>
      </c>
      <c r="I14" s="72">
        <f t="array" ref="I14">IF('Потребность профиль'!CC10&gt;0,'Потребность профиль'!CC10+$D14,0)</f>
        <v>0</v>
      </c>
      <c r="J14" s="72">
        <f t="array" ref="J14">IF('Потребность профиль'!CD10&gt;0,'Потребность профиль'!CD10+$D14,0)</f>
        <v>0</v>
      </c>
      <c r="K14" s="72">
        <f t="array" ref="K14">IF('Потребность профиль'!CE10&gt;0,'Потребность профиль'!CE10+$D14,0)</f>
        <v>0</v>
      </c>
      <c r="L14" s="72">
        <f t="array" ref="L14">IF('Потребность профиль'!CF10&gt;0,'Потребность профиль'!CF10+$D14,0)</f>
        <v>0</v>
      </c>
      <c r="M14" s="72">
        <f t="array" ref="M14">IF('Потребность профиль'!CG10&gt;0,'Потребность профиль'!CG10+$D14,0)</f>
        <v>0</v>
      </c>
      <c r="N14" s="72">
        <f t="array" ref="N14">IF('Потребность профиль'!CH10&gt;0,'Потребность профиль'!CH10+$D14,0)</f>
        <v>0</v>
      </c>
      <c r="O14" s="72">
        <f t="array" ref="O14">IF('Потребность профиль'!CI10&gt;0,'Потребность профиль'!CI10+$D14,0)</f>
        <v>0</v>
      </c>
      <c r="P14" s="72">
        <f t="array" ref="P14">IF('Потребность профиль'!CJ10&gt;0,'Потребность профиль'!CJ10+$D14,0)</f>
        <v>0</v>
      </c>
      <c r="Q14" s="72">
        <f t="array" ref="Q14">IF('Потребность профиль'!CK10&gt;0,'Потребность профиль'!CK10+$D14,0)</f>
        <v>0</v>
      </c>
    </row>
    <row r="15" spans="1:18" x14ac:dyDescent="0.25">
      <c r="A15" s="42" t="s">
        <v>59</v>
      </c>
      <c r="B15" s="70">
        <v>4.1779999999999999</v>
      </c>
      <c r="C15" s="14">
        <v>1018</v>
      </c>
      <c r="D15" s="71">
        <v>8</v>
      </c>
      <c r="E15" s="71">
        <v>18</v>
      </c>
      <c r="F15" s="72">
        <f t="array" ref="F15">IF('Потребность профиль'!BZ11&gt;0,'Потребность профиль'!BZ11+$D15,0)</f>
        <v>0</v>
      </c>
      <c r="G15" s="72">
        <f t="array" ref="G15">IF('Потребность профиль'!CA11&gt;0,'Потребность профиль'!CA11+$D15,0)</f>
        <v>49.333333333333336</v>
      </c>
      <c r="H15" s="72">
        <f t="array" ref="H15">IF('Потребность профиль'!CB11&gt;0,'Потребность профиль'!CB11+$D15,0)</f>
        <v>135.05555555555554</v>
      </c>
      <c r="I15" s="72">
        <f t="array" ref="I15">IF('Потребность профиль'!CC11&gt;0,'Потребность профиль'!CC11+$D15,0)</f>
        <v>0</v>
      </c>
      <c r="J15" s="72">
        <f t="array" ref="J15">IF('Потребность профиль'!CD11&gt;0,'Потребность профиль'!CD11+$D15,0)</f>
        <v>0</v>
      </c>
      <c r="K15" s="72">
        <f t="array" ref="K15">IF('Потребность профиль'!CE11&gt;0,'Потребность профиль'!CE11+$D15,0)</f>
        <v>0</v>
      </c>
      <c r="L15" s="72">
        <f t="array" ref="L15">IF('Потребность профиль'!CF11&gt;0,'Потребность профиль'!CF11+$D15,0)</f>
        <v>0</v>
      </c>
      <c r="M15" s="72">
        <f t="array" ref="M15">IF('Потребность профиль'!CG11&gt;0,'Потребность профиль'!CG11+$D15,0)</f>
        <v>0</v>
      </c>
      <c r="N15" s="72">
        <f t="array" ref="N15">IF('Потребность профиль'!CH11&gt;0,'Потребность профиль'!CH11+$D15,0)</f>
        <v>0</v>
      </c>
      <c r="O15" s="72">
        <f t="array" ref="O15">IF('Потребность профиль'!CI11&gt;0,'Потребность профиль'!CI11+$D15,0)</f>
        <v>0</v>
      </c>
      <c r="P15" s="72">
        <f t="array" ref="P15">IF('Потребность профиль'!CJ11&gt;0,'Потребность профиль'!CJ11+$D15,0)</f>
        <v>0</v>
      </c>
      <c r="Q15" s="72">
        <f t="array" ref="Q15">IF('Потребность профиль'!CK11&gt;0,'Потребность профиль'!CK11+$D15,0)</f>
        <v>0</v>
      </c>
    </row>
    <row r="16" spans="1:18" x14ac:dyDescent="0.25">
      <c r="A16" s="42" t="s">
        <v>60</v>
      </c>
      <c r="B16" s="70">
        <v>0.63800000000000001</v>
      </c>
      <c r="C16" s="14">
        <v>1018</v>
      </c>
      <c r="D16" s="71">
        <v>5.5</v>
      </c>
      <c r="E16" s="71">
        <v>21</v>
      </c>
      <c r="F16" s="72">
        <f t="array" ref="F16">IF('Потребность профиль'!BZ12&gt;0,'Потребность профиль'!BZ12+$D16,0)</f>
        <v>36.642857142857139</v>
      </c>
      <c r="G16" s="72">
        <f t="array" ref="G16">IF('Потребность профиль'!CA12&gt;0,'Потребность профиль'!CA12+$D16,0)</f>
        <v>0</v>
      </c>
      <c r="H16" s="72">
        <f t="array" ref="H16">IF('Потребность профиль'!CB12&gt;0,'Потребность профиль'!CB12+$D16,0)</f>
        <v>0</v>
      </c>
      <c r="I16" s="72">
        <f t="array" ref="I16">IF('Потребность профиль'!CC12&gt;0,'Потребность профиль'!CC12+$D16,0)</f>
        <v>0</v>
      </c>
      <c r="J16" s="72">
        <f t="array" ref="J16">IF('Потребность профиль'!CD12&gt;0,'Потребность профиль'!CD12+$D16,0)</f>
        <v>0</v>
      </c>
      <c r="K16" s="72">
        <f t="array" ref="K16">IF('Потребность профиль'!CE12&gt;0,'Потребность профиль'!CE12+$D16,0)</f>
        <v>0</v>
      </c>
      <c r="L16" s="72">
        <f t="array" ref="L16">IF('Потребность профиль'!CF12&gt;0,'Потребность профиль'!CF12+$D16,0)</f>
        <v>0</v>
      </c>
      <c r="M16" s="72">
        <f t="array" ref="M16">IF('Потребность профиль'!CG12&gt;0,'Потребность профиль'!CG12+$D16,0)</f>
        <v>0</v>
      </c>
      <c r="N16" s="72">
        <f t="array" ref="N16">IF('Потребность профиль'!CH12&gt;0,'Потребность профиль'!CH12+$D16,0)</f>
        <v>0</v>
      </c>
      <c r="O16" s="72">
        <f t="array" ref="O16">IF('Потребность профиль'!CI12&gt;0,'Потребность профиль'!CI12+$D16,0)</f>
        <v>0</v>
      </c>
      <c r="P16" s="72">
        <f t="array" ref="P16">IF('Потребность профиль'!CJ12&gt;0,'Потребность профиль'!CJ12+$D16,0)</f>
        <v>0</v>
      </c>
      <c r="Q16" s="72">
        <f t="array" ref="Q16">IF('Потребность профиль'!CK12&gt;0,'Потребность профиль'!CK12+$D16,0)</f>
        <v>0</v>
      </c>
    </row>
    <row r="17" spans="1:17" x14ac:dyDescent="0.25">
      <c r="A17" s="42" t="s">
        <v>61</v>
      </c>
      <c r="B17" s="70">
        <v>1.115</v>
      </c>
      <c r="C17" s="14">
        <v>1018</v>
      </c>
      <c r="D17" s="71">
        <v>5.5</v>
      </c>
      <c r="E17" s="71">
        <v>21</v>
      </c>
      <c r="F17" s="72">
        <f t="array" ref="F17">IF('Потребность профиль'!BZ13&gt;0,'Потребность профиль'!BZ13+$D17,0)</f>
        <v>26.642857142857142</v>
      </c>
      <c r="G17" s="72">
        <f t="array" ref="G17">IF('Потребность профиль'!CA13&gt;0,'Потребность профиль'!CA13+$D17,0)</f>
        <v>0</v>
      </c>
      <c r="H17" s="72">
        <f t="array" ref="H17">IF('Потребность профиль'!CB13&gt;0,'Потребность профиль'!CB13+$D17,0)</f>
        <v>0</v>
      </c>
      <c r="I17" s="72">
        <f t="array" ref="I17">IF('Потребность профиль'!CC13&gt;0,'Потребность профиль'!CC13+$D17,0)</f>
        <v>0</v>
      </c>
      <c r="J17" s="72">
        <f t="array" ref="J17">IF('Потребность профиль'!CD13&gt;0,'Потребность профиль'!CD13+$D17,0)</f>
        <v>0</v>
      </c>
      <c r="K17" s="72">
        <f t="array" ref="K17">IF('Потребность профиль'!CE13&gt;0,'Потребность профиль'!CE13+$D17,0)</f>
        <v>0</v>
      </c>
      <c r="L17" s="72">
        <f t="array" ref="L17">IF('Потребность профиль'!CF13&gt;0,'Потребность профиль'!CF13+$D17,0)</f>
        <v>0</v>
      </c>
      <c r="M17" s="72">
        <f t="array" ref="M17">IF('Потребность профиль'!CG13&gt;0,'Потребность профиль'!CG13+$D17,0)</f>
        <v>0</v>
      </c>
      <c r="N17" s="72">
        <f t="array" ref="N17">IF('Потребность профиль'!CH13&gt;0,'Потребность профиль'!CH13+$D17,0)</f>
        <v>0</v>
      </c>
      <c r="O17" s="72">
        <f t="array" ref="O17">IF('Потребность профиль'!CI13&gt;0,'Потребность профиль'!CI13+$D17,0)</f>
        <v>0</v>
      </c>
      <c r="P17" s="72">
        <f t="array" ref="P17">IF('Потребность профиль'!CJ13&gt;0,'Потребность профиль'!CJ13+$D17,0)</f>
        <v>0</v>
      </c>
      <c r="Q17" s="72">
        <f t="array" ref="Q17">IF('Потребность профиль'!CK13&gt;0,'Потребность профиль'!CK13+$D17,0)</f>
        <v>0</v>
      </c>
    </row>
    <row r="18" spans="1:17" x14ac:dyDescent="0.25">
      <c r="A18" s="42" t="s">
        <v>62</v>
      </c>
      <c r="B18" s="70">
        <v>2.367</v>
      </c>
      <c r="C18" s="14">
        <v>1018</v>
      </c>
      <c r="D18" s="71">
        <v>7</v>
      </c>
      <c r="E18" s="71">
        <v>18</v>
      </c>
      <c r="F18" s="72">
        <f t="array" ref="F18">IF('Потребность профиль'!BZ14&gt;0,'Потребность профиль'!BZ14+$D18,0)</f>
        <v>25.333333333333332</v>
      </c>
      <c r="G18" s="72">
        <f t="array" ref="G18">IF('Потребность профиль'!CA14&gt;0,'Потребность профиль'!CA14+$D18,0)</f>
        <v>0</v>
      </c>
      <c r="H18" s="72">
        <f t="array" ref="H18">IF('Потребность профиль'!CB14&gt;0,'Потребность профиль'!CB14+$D18,0)</f>
        <v>0</v>
      </c>
      <c r="I18" s="72">
        <f t="array" ref="I18">IF('Потребность профиль'!CC14&gt;0,'Потребность профиль'!CC14+$D18,0)</f>
        <v>0</v>
      </c>
      <c r="J18" s="72">
        <f t="array" ref="J18">IF('Потребность профиль'!CD14&gt;0,'Потребность профиль'!CD14+$D18,0)</f>
        <v>0</v>
      </c>
      <c r="K18" s="72">
        <f t="array" ref="K18">IF('Потребность профиль'!CE14&gt;0,'Потребность профиль'!CE14+$D18,0)</f>
        <v>0</v>
      </c>
      <c r="L18" s="72">
        <f t="array" ref="L18">IF('Потребность профиль'!CF14&gt;0,'Потребность профиль'!CF14+$D18,0)</f>
        <v>0</v>
      </c>
      <c r="M18" s="72">
        <f t="array" ref="M18">IF('Потребность профиль'!CG14&gt;0,'Потребность профиль'!CG14+$D18,0)</f>
        <v>0</v>
      </c>
      <c r="N18" s="72">
        <f t="array" ref="N18">IF('Потребность профиль'!CH14&gt;0,'Потребность профиль'!CH14+$D18,0)</f>
        <v>0</v>
      </c>
      <c r="O18" s="72">
        <f t="array" ref="O18">IF('Потребность профиль'!CI14&gt;0,'Потребность профиль'!CI14+$D18,0)</f>
        <v>0</v>
      </c>
      <c r="P18" s="72">
        <f t="array" ref="P18">IF('Потребность профиль'!CJ14&gt;0,'Потребность профиль'!CJ14+$D18,0)</f>
        <v>0</v>
      </c>
      <c r="Q18" s="72">
        <f t="array" ref="Q18">IF('Потребность профиль'!CK14&gt;0,'Потребность профиль'!CK14+$D18,0)</f>
        <v>0</v>
      </c>
    </row>
    <row r="19" spans="1:17" x14ac:dyDescent="0.25">
      <c r="A19" s="42" t="s">
        <v>63</v>
      </c>
      <c r="B19" s="70">
        <v>3.1069999999999998</v>
      </c>
      <c r="C19" s="14">
        <v>1018</v>
      </c>
      <c r="D19" s="71">
        <v>8</v>
      </c>
      <c r="E19" s="71">
        <v>18</v>
      </c>
      <c r="F19" s="72">
        <f t="array" ref="F19">IF('Потребность профиль'!BZ15&gt;0,'Потребность профиль'!BZ15+$D19,0)</f>
        <v>30</v>
      </c>
      <c r="G19" s="72">
        <f t="array" ref="G19">IF('Потребность профиль'!CA15&gt;0,'Потребность профиль'!CA15+$D19,0)</f>
        <v>132</v>
      </c>
      <c r="H19" s="72">
        <f t="array" ref="H19">IF('Потребность профиль'!CB15&gt;0,'Потребность профиль'!CB15+$D19,0)</f>
        <v>0</v>
      </c>
      <c r="I19" s="72">
        <f t="array" ref="I19">IF('Потребность профиль'!CC15&gt;0,'Потребность профиль'!CC15+$D19,0)</f>
        <v>0</v>
      </c>
      <c r="J19" s="72">
        <f t="array" ref="J19">IF('Потребность профиль'!CD15&gt;0,'Потребность профиль'!CD15+$D19,0)</f>
        <v>0</v>
      </c>
      <c r="K19" s="72">
        <f t="array" ref="K19">IF('Потребность профиль'!CE15&gt;0,'Потребность профиль'!CE15+$D19,0)</f>
        <v>0</v>
      </c>
      <c r="L19" s="72">
        <f t="array" ref="L19">IF('Потребность профиль'!CF15&gt;0,'Потребность профиль'!CF15+$D19,0)</f>
        <v>0</v>
      </c>
      <c r="M19" s="72">
        <f t="array" ref="M19">IF('Потребность профиль'!CG15&gt;0,'Потребность профиль'!CG15+$D19,0)</f>
        <v>0</v>
      </c>
      <c r="N19" s="72">
        <f t="array" ref="N19">IF('Потребность профиль'!CH15&gt;0,'Потребность профиль'!CH15+$D19,0)</f>
        <v>0</v>
      </c>
      <c r="O19" s="72">
        <f t="array" ref="O19">IF('Потребность профиль'!CI15&gt;0,'Потребность профиль'!CI15+$D19,0)</f>
        <v>0</v>
      </c>
      <c r="P19" s="72">
        <f t="array" ref="P19">IF('Потребность профиль'!CJ15&gt;0,'Потребность профиль'!CJ15+$D19,0)</f>
        <v>0</v>
      </c>
      <c r="Q19" s="72">
        <f t="array" ref="Q19">IF('Потребность профиль'!CK15&gt;0,'Потребность профиль'!CK15+$D19,0)</f>
        <v>0</v>
      </c>
    </row>
    <row r="20" spans="1:17" x14ac:dyDescent="0.25">
      <c r="A20" s="42" t="s">
        <v>64</v>
      </c>
      <c r="B20" s="70">
        <v>5.6950000000000003</v>
      </c>
      <c r="C20" s="14">
        <v>1018</v>
      </c>
      <c r="D20" s="71">
        <v>10</v>
      </c>
      <c r="E20" s="71">
        <v>15</v>
      </c>
      <c r="F20" s="72">
        <f t="array" ref="F20">IF('Потребность профиль'!BZ16&gt;0,'Потребность профиль'!BZ16+$D20,0)</f>
        <v>86</v>
      </c>
      <c r="G20" s="72">
        <f t="array" ref="G20">IF('Потребность профиль'!CA16&gt;0,'Потребность профиль'!CA16+$D20,0)</f>
        <v>0</v>
      </c>
      <c r="H20" s="72">
        <f t="array" ref="H20">IF('Потребность профиль'!CB16&gt;0,'Потребность профиль'!CB16+$D20,0)</f>
        <v>0</v>
      </c>
      <c r="I20" s="72">
        <f t="array" ref="I20">IF('Потребность профиль'!CC16&gt;0,'Потребность профиль'!CC16+$D20,0)</f>
        <v>0</v>
      </c>
      <c r="J20" s="72">
        <f t="array" ref="J20">IF('Потребность профиль'!CD16&gt;0,'Потребность профиль'!CD16+$D20,0)</f>
        <v>0</v>
      </c>
      <c r="K20" s="72">
        <f t="array" ref="K20">IF('Потребность профиль'!CE16&gt;0,'Потребность профиль'!CE16+$D20,0)</f>
        <v>0</v>
      </c>
      <c r="L20" s="72">
        <f t="array" ref="L20">IF('Потребность профиль'!CF16&gt;0,'Потребность профиль'!CF16+$D20,0)</f>
        <v>0</v>
      </c>
      <c r="M20" s="72">
        <f t="array" ref="M20">IF('Потребность профиль'!CG16&gt;0,'Потребность профиль'!CG16+$D20,0)</f>
        <v>0</v>
      </c>
      <c r="N20" s="72">
        <f t="array" ref="N20">IF('Потребность профиль'!CH16&gt;0,'Потребность профиль'!CH16+$D20,0)</f>
        <v>0</v>
      </c>
      <c r="O20" s="72">
        <f t="array" ref="O20">IF('Потребность профиль'!CI16&gt;0,'Потребность профиль'!CI16+$D20,0)</f>
        <v>0</v>
      </c>
      <c r="P20" s="72">
        <f t="array" ref="P20">IF('Потребность профиль'!CJ16&gt;0,'Потребность профиль'!CJ16+$D20,0)</f>
        <v>0</v>
      </c>
      <c r="Q20" s="72">
        <f t="array" ref="Q20">IF('Потребность профиль'!CK16&gt;0,'Потребность профиль'!CK16+$D20,0)</f>
        <v>0</v>
      </c>
    </row>
    <row r="21" spans="1:17" x14ac:dyDescent="0.25">
      <c r="A21" s="42" t="s">
        <v>35</v>
      </c>
      <c r="B21" s="70">
        <v>7.399</v>
      </c>
      <c r="C21" s="14">
        <v>1018</v>
      </c>
      <c r="D21" s="71">
        <v>19</v>
      </c>
      <c r="E21" s="71">
        <v>12</v>
      </c>
      <c r="F21" s="72">
        <f t="array" ref="F21">IF('Потребность профиль'!BZ17&gt;0,'Потребность профиль'!BZ17+$D21,0)</f>
        <v>37.245708879578316</v>
      </c>
      <c r="G21" s="72">
        <f t="array" ref="G21">IF('Потребность профиль'!CA17&gt;0,'Потребность профиль'!CA17+$D21,0)</f>
        <v>22.941974140649638</v>
      </c>
      <c r="H21" s="72">
        <f t="array" ref="H21">IF('Потребность профиль'!CB17&gt;0,'Потребность профиль'!CB17+$D21,0)</f>
        <v>35.075514431346534</v>
      </c>
      <c r="I21" s="72">
        <f t="array" ref="I21">IF('Потребность профиль'!CC17&gt;0,'Потребность профиль'!CC17+$D21,0)</f>
        <v>38.066307813922634</v>
      </c>
      <c r="J21" s="72">
        <f t="array" ref="J21">IF('Потребность профиль'!CD17&gt;0,'Потребность профиль'!CD17+$D21,0)</f>
        <v>36.197061949812579</v>
      </c>
      <c r="K21" s="72">
        <f t="array" ref="K21">IF('Потребность профиль'!CE17&gt;0,'Потребность профиль'!CE17+$D21,0)</f>
        <v>36.197061949812579</v>
      </c>
      <c r="L21" s="72">
        <f t="array" ref="L21">IF('Потребность профиль'!CF17&gt;0,'Потребность профиль'!CF17+$D21,0)</f>
        <v>36.197061949812579</v>
      </c>
      <c r="M21" s="72">
        <f t="array" ref="M21">IF('Потребность профиль'!CG17&gt;0,'Потребность профиль'!CG17+$D21,0)</f>
        <v>36.197061949812579</v>
      </c>
      <c r="N21" s="72">
        <f t="array" ref="N21">IF('Потребность профиль'!CH17&gt;0,'Потребность профиль'!CH17+$D21,0)</f>
        <v>36.197061949812579</v>
      </c>
      <c r="O21" s="72">
        <f t="array" ref="O21">IF('Потребность профиль'!CI17&gt;0,'Потребность профиль'!CI17+$D21,0)</f>
        <v>36.197061949812579</v>
      </c>
      <c r="P21" s="72">
        <f t="array" ref="P21">IF('Потребность профиль'!CJ17&gt;0,'Потребность профиль'!CJ17+$D21,0)</f>
        <v>36.197061949812579</v>
      </c>
      <c r="Q21" s="72">
        <f t="array" ref="Q21">IF('Потребность профиль'!CK17&gt;0,'Потребность профиль'!CK17+$D21,0)</f>
        <v>36.197061949812579</v>
      </c>
    </row>
    <row r="22" spans="1:17" x14ac:dyDescent="0.25">
      <c r="A22" s="42" t="s">
        <v>55</v>
      </c>
      <c r="B22" s="70">
        <v>0.73</v>
      </c>
      <c r="C22" s="14">
        <v>1018</v>
      </c>
      <c r="D22" s="71">
        <v>5.5</v>
      </c>
      <c r="E22" s="71">
        <v>21</v>
      </c>
      <c r="F22" s="72">
        <f t="array" ref="F22">IF('Потребность профиль'!BZ18&gt;0,'Потребность профиль'!BZ18+$D22,0)</f>
        <v>25.069471624266146</v>
      </c>
      <c r="G22" s="72">
        <f t="array" ref="G22">IF('Потребность профиль'!CA18&gt;0,'Потребность профиль'!CA18+$D22,0)</f>
        <v>23.112524461839531</v>
      </c>
      <c r="H22" s="72">
        <f t="array" ref="H22">IF('Потребность профиль'!CB18&gt;0,'Потребность профиль'!CB18+$D22,0)</f>
        <v>22.741825219617748</v>
      </c>
      <c r="I22" s="72">
        <f t="array" ref="I22">IF('Потребность профиль'!CC18&gt;0,'Потребность профиль'!CC18+$D22,0)</f>
        <v>25.949606655825704</v>
      </c>
      <c r="J22" s="72">
        <f t="array" ref="J22">IF('Потребность профиль'!CD18&gt;0,'Потребность профиль'!CD18+$D22,0)</f>
        <v>23.944743258195732</v>
      </c>
      <c r="K22" s="72">
        <f t="array" ref="K22">IF('Потребность профиль'!CE18&gt;0,'Потребность профиль'!CE18+$D22,0)</f>
        <v>23.944743258195732</v>
      </c>
      <c r="L22" s="72">
        <f t="array" ref="L22">IF('Потребность профиль'!CF18&gt;0,'Потребность профиль'!CF18+$D22,0)</f>
        <v>23.944743258195732</v>
      </c>
      <c r="M22" s="72">
        <f t="array" ref="M22">IF('Потребность профиль'!CG18&gt;0,'Потребность профиль'!CG18+$D22,0)</f>
        <v>23.944743258195732</v>
      </c>
      <c r="N22" s="72">
        <f t="array" ref="N22">IF('Потребность профиль'!CH18&gt;0,'Потребность профиль'!CH18+$D22,0)</f>
        <v>23.944743258195732</v>
      </c>
      <c r="O22" s="72">
        <f t="array" ref="O22">IF('Потребность профиль'!CI18&gt;0,'Потребность профиль'!CI18+$D22,0)</f>
        <v>23.944743258195732</v>
      </c>
      <c r="P22" s="72">
        <f t="array" ref="P22">IF('Потребность профиль'!CJ18&gt;0,'Потребность профиль'!CJ18+$D22,0)</f>
        <v>23.944743258195732</v>
      </c>
      <c r="Q22" s="72">
        <f t="array" ref="Q22">IF('Потребность профиль'!CK18&gt;0,'Потребность профиль'!CK18+$D22,0)</f>
        <v>23.944743258195732</v>
      </c>
    </row>
    <row r="23" spans="1:17" x14ac:dyDescent="0.25">
      <c r="A23" s="42" t="s">
        <v>54</v>
      </c>
      <c r="B23" s="70">
        <v>1.3419999999999999</v>
      </c>
      <c r="C23" s="14">
        <v>1018</v>
      </c>
      <c r="D23" s="71">
        <v>7</v>
      </c>
      <c r="E23" s="71">
        <v>21</v>
      </c>
      <c r="F23" s="72">
        <f t="array" ref="F23">IF('Потребность профиль'!BZ19&gt;0,'Потребность профиль'!BZ19+$D23,0)</f>
        <v>0</v>
      </c>
      <c r="G23" s="72">
        <f t="array" ref="G23">IF('Потребность профиль'!CA19&gt;0,'Потребность профиль'!CA19+$D23,0)</f>
        <v>0</v>
      </c>
      <c r="H23" s="72">
        <f t="array" ref="H23">IF('Потребность профиль'!CB19&gt;0,'Потребность профиль'!CB19+$D23,0)</f>
        <v>0</v>
      </c>
      <c r="I23" s="72">
        <f t="array" ref="I23">IF('Потребность профиль'!CC19&gt;0,'Потребность профиль'!CC19+$D23,0)</f>
        <v>0</v>
      </c>
      <c r="J23" s="72">
        <f t="array" ref="J23">IF('Потребность профиль'!CD19&gt;0,'Потребность профиль'!CD19+$D23,0)</f>
        <v>0</v>
      </c>
      <c r="K23" s="72">
        <f t="array" ref="K23">IF('Потребность профиль'!CE19&gt;0,'Потребность профиль'!CE19+$D23,0)</f>
        <v>0</v>
      </c>
      <c r="L23" s="72">
        <f t="array" ref="L23">IF('Потребность профиль'!CF19&gt;0,'Потребность профиль'!CF19+$D23,0)</f>
        <v>0</v>
      </c>
      <c r="M23" s="72">
        <f t="array" ref="M23">IF('Потребность профиль'!CG19&gt;0,'Потребность профиль'!CG19+$D23,0)</f>
        <v>0</v>
      </c>
      <c r="N23" s="72">
        <f t="array" ref="N23">IF('Потребность профиль'!CH19&gt;0,'Потребность профиль'!CH19+$D23,0)</f>
        <v>0</v>
      </c>
      <c r="O23" s="72">
        <f t="array" ref="O23">IF('Потребность профиль'!CI19&gt;0,'Потребность профиль'!CI19+$D23,0)</f>
        <v>0</v>
      </c>
      <c r="P23" s="72">
        <f t="array" ref="P23">IF('Потребность профиль'!CJ19&gt;0,'Потребность профиль'!CJ19+$D23,0)</f>
        <v>0</v>
      </c>
      <c r="Q23" s="72">
        <f t="array" ref="Q23">IF('Потребность профиль'!CK19&gt;0,'Потребность профиль'!CK19+$D23,0)</f>
        <v>0</v>
      </c>
    </row>
    <row r="24" spans="1:17" x14ac:dyDescent="0.25">
      <c r="A24" s="42" t="s">
        <v>52</v>
      </c>
      <c r="B24" s="70">
        <v>0.82699999999999996</v>
      </c>
      <c r="C24" s="14">
        <v>1018</v>
      </c>
      <c r="D24" s="71">
        <v>9</v>
      </c>
      <c r="E24" s="71">
        <v>42</v>
      </c>
      <c r="F24" s="72">
        <f t="array" ref="F24">IF('Потребность профиль'!BZ20&gt;0,'Потребность профиль'!BZ20+$D24,0)</f>
        <v>55.30952380952381</v>
      </c>
      <c r="G24" s="72">
        <f t="array" ref="G24">IF('Потребность профиль'!CA20&gt;0,'Потребность профиль'!CA20+$D24,0)</f>
        <v>11.380952380952381</v>
      </c>
      <c r="H24" s="72">
        <f t="array" ref="H24">IF('Потребность профиль'!CB20&gt;0,'Потребность профиль'!CB20+$D24,0)</f>
        <v>13.642857142857142</v>
      </c>
      <c r="I24" s="72">
        <f t="array" ref="I24">IF('Потребность профиль'!CC20&gt;0,'Потребность профиль'!CC20+$D24,0)</f>
        <v>56.61904761904762</v>
      </c>
      <c r="J24" s="72">
        <f t="array" ref="J24">IF('Потребность профиль'!CD20&gt;0,'Потребность профиль'!CD20+$D24,0)</f>
        <v>0</v>
      </c>
      <c r="K24" s="72">
        <f t="array" ref="K24">IF('Потребность профиль'!CE20&gt;0,'Потребность профиль'!CE20+$D24,0)</f>
        <v>0</v>
      </c>
      <c r="L24" s="72">
        <f t="array" ref="L24">IF('Потребность профиль'!CF20&gt;0,'Потребность профиль'!CF20+$D24,0)</f>
        <v>0</v>
      </c>
      <c r="M24" s="72">
        <f t="array" ref="M24">IF('Потребность профиль'!CG20&gt;0,'Потребность профиль'!CG20+$D24,0)</f>
        <v>0</v>
      </c>
      <c r="N24" s="72">
        <f t="array" ref="N24">IF('Потребность профиль'!CH20&gt;0,'Потребность профиль'!CH20+$D24,0)</f>
        <v>0</v>
      </c>
      <c r="O24" s="72">
        <f t="array" ref="O24">IF('Потребность профиль'!CI20&gt;0,'Потребность профиль'!CI20+$D24,0)</f>
        <v>0</v>
      </c>
      <c r="P24" s="72">
        <f t="array" ref="P24">IF('Потребность профиль'!CJ20&gt;0,'Потребность профиль'!CJ20+$D24,0)</f>
        <v>0</v>
      </c>
      <c r="Q24" s="72">
        <f t="array" ref="Q24">IF('Потребность профиль'!CK20&gt;0,'Потребность профиль'!CK20+$D24,0)</f>
        <v>0</v>
      </c>
    </row>
    <row r="25" spans="1:17" x14ac:dyDescent="0.25">
      <c r="A25" s="42" t="s">
        <v>50</v>
      </c>
      <c r="B25" s="70">
        <v>0.53100000000000003</v>
      </c>
      <c r="C25" s="14">
        <v>1018</v>
      </c>
      <c r="D25" s="71">
        <v>4</v>
      </c>
      <c r="E25" s="71">
        <v>24</v>
      </c>
      <c r="F25" s="72">
        <f t="array" ref="F25">IF('Потребность профиль'!BZ21&gt;0,'Потребность профиль'!BZ21+$D25,0)</f>
        <v>0</v>
      </c>
      <c r="G25" s="72">
        <f t="array" ref="G25">IF('Потребность профиль'!CA21&gt;0,'Потребность профиль'!CA21+$D25,0)</f>
        <v>25</v>
      </c>
      <c r="H25" s="72">
        <f t="array" ref="H25">IF('Потребность профиль'!CB21&gt;0,'Потребность профиль'!CB21+$D25,0)</f>
        <v>25</v>
      </c>
      <c r="I25" s="72">
        <f t="array" ref="I25">IF('Потребность профиль'!CC21&gt;0,'Потребность профиль'!CC21+$D25,0)</f>
        <v>25</v>
      </c>
      <c r="J25" s="72">
        <f t="array" ref="J25">IF('Потребность профиль'!CD21&gt;0,'Потребность профиль'!CD21+$D25,0)</f>
        <v>25</v>
      </c>
      <c r="K25" s="72">
        <f t="array" ref="K25">IF('Потребность профиль'!CE21&gt;0,'Потребность профиль'!CE21+$D25,0)</f>
        <v>25</v>
      </c>
      <c r="L25" s="72">
        <f t="array" ref="L25">IF('Потребность профиль'!CF21&gt;0,'Потребность профиль'!CF21+$D25,0)</f>
        <v>25</v>
      </c>
      <c r="M25" s="72">
        <f t="array" ref="M25">IF('Потребность профиль'!CG21&gt;0,'Потребность профиль'!CG21+$D25,0)</f>
        <v>25</v>
      </c>
      <c r="N25" s="72">
        <f t="array" ref="N25">IF('Потребность профиль'!CH21&gt;0,'Потребность профиль'!CH21+$D25,0)</f>
        <v>25</v>
      </c>
      <c r="O25" s="72">
        <f t="array" ref="O25">IF('Потребность профиль'!CI21&gt;0,'Потребность профиль'!CI21+$D25,0)</f>
        <v>25</v>
      </c>
      <c r="P25" s="72">
        <f t="array" ref="P25">IF('Потребность профиль'!CJ21&gt;0,'Потребность профиль'!CJ21+$D25,0)</f>
        <v>25</v>
      </c>
      <c r="Q25" s="72">
        <f t="array" ref="Q25">IF('Потребность профиль'!CK21&gt;0,'Потребность профиль'!CK21+$D25,0)</f>
        <v>25</v>
      </c>
    </row>
    <row r="26" spans="1:17" x14ac:dyDescent="0.25">
      <c r="A26" s="42" t="s">
        <v>51</v>
      </c>
      <c r="B26" s="70">
        <v>0.78400000000000003</v>
      </c>
      <c r="C26" s="14">
        <v>1018</v>
      </c>
      <c r="D26" s="71">
        <v>4.5</v>
      </c>
      <c r="E26" s="71">
        <v>21</v>
      </c>
      <c r="F26" s="72">
        <f t="array" ref="F26">IF('Потребность профиль'!BZ22&gt;0,'Потребность профиль'!BZ22+$D26,0)</f>
        <v>0</v>
      </c>
      <c r="G26" s="72">
        <f t="array" ref="G26">IF('Потребность профиль'!CA22&gt;0,'Потребность профиль'!CA22+$D26,0)</f>
        <v>0</v>
      </c>
      <c r="H26" s="72">
        <f t="array" ref="H26">IF('Потребность профиль'!CB22&gt;0,'Потребность профиль'!CB22+$D26,0)</f>
        <v>0</v>
      </c>
      <c r="I26" s="72">
        <f t="array" ref="I26">IF('Потребность профиль'!CC22&gt;0,'Потребность профиль'!CC22+$D26,0)</f>
        <v>0</v>
      </c>
      <c r="J26" s="72">
        <f t="array" ref="J26">IF('Потребность профиль'!CD22&gt;0,'Потребность профиль'!CD22+$D26,0)</f>
        <v>0</v>
      </c>
      <c r="K26" s="72">
        <f t="array" ref="K26">IF('Потребность профиль'!CE22&gt;0,'Потребность профиль'!CE22+$D26,0)</f>
        <v>0</v>
      </c>
      <c r="L26" s="72">
        <f t="array" ref="L26">IF('Потребность профиль'!CF22&gt;0,'Потребность профиль'!CF22+$D26,0)</f>
        <v>0</v>
      </c>
      <c r="M26" s="72">
        <f t="array" ref="M26">IF('Потребность профиль'!CG22&gt;0,'Потребность профиль'!CG22+$D26,0)</f>
        <v>0</v>
      </c>
      <c r="N26" s="72">
        <f t="array" ref="N26">IF('Потребность профиль'!CH22&gt;0,'Потребность профиль'!CH22+$D26,0)</f>
        <v>0</v>
      </c>
      <c r="O26" s="72">
        <f t="array" ref="O26">IF('Потребность профиль'!CI22&gt;0,'Потребность профиль'!CI22+$D26,0)</f>
        <v>0</v>
      </c>
      <c r="P26" s="72">
        <f t="array" ref="P26">IF('Потребность профиль'!CJ22&gt;0,'Потребность профиль'!CJ22+$D26,0)</f>
        <v>0</v>
      </c>
      <c r="Q26" s="72">
        <f t="array" ref="Q26">IF('Потребность профиль'!CK22&gt;0,'Потребность профиль'!CK22+$D26,0)</f>
        <v>0</v>
      </c>
    </row>
    <row r="27" spans="1:17" x14ac:dyDescent="0.25">
      <c r="A27" s="42" t="s">
        <v>49</v>
      </c>
      <c r="B27" s="70">
        <v>0.871</v>
      </c>
      <c r="C27" s="14">
        <v>1018</v>
      </c>
      <c r="D27" s="71">
        <v>5</v>
      </c>
      <c r="E27" s="71">
        <v>21</v>
      </c>
      <c r="F27" s="72">
        <f t="array" ref="F27">IF('Потребность профиль'!BZ23&gt;0,'Потребность профиль'!BZ23+$D27,0)</f>
        <v>0</v>
      </c>
      <c r="G27" s="72">
        <f t="array" ref="G27">IF('Потребность профиль'!CA23&gt;0,'Потребность профиль'!CA23+$D27,0)</f>
        <v>0</v>
      </c>
      <c r="H27" s="72">
        <f t="array" ref="H27">IF('Потребность профиль'!CB23&gt;0,'Потребность профиль'!CB23+$D27,0)</f>
        <v>33.571428571428569</v>
      </c>
      <c r="I27" s="72">
        <f t="array" ref="I27">IF('Потребность профиль'!CC23&gt;0,'Потребность профиль'!CC23+$D27,0)</f>
        <v>0</v>
      </c>
      <c r="J27" s="72">
        <f t="array" ref="J27">IF('Потребность профиль'!CD23&gt;0,'Потребность профиль'!CD23+$D27,0)</f>
        <v>0</v>
      </c>
      <c r="K27" s="72">
        <f t="array" ref="K27">IF('Потребность профиль'!CE23&gt;0,'Потребность профиль'!CE23+$D27,0)</f>
        <v>0</v>
      </c>
      <c r="L27" s="72">
        <f t="array" ref="L27">IF('Потребность профиль'!CF23&gt;0,'Потребность профиль'!CF23+$D27,0)</f>
        <v>0</v>
      </c>
      <c r="M27" s="72">
        <f t="array" ref="M27">IF('Потребность профиль'!CG23&gt;0,'Потребность профиль'!CG23+$D27,0)</f>
        <v>0</v>
      </c>
      <c r="N27" s="72">
        <f t="array" ref="N27">IF('Потребность профиль'!CH23&gt;0,'Потребность профиль'!CH23+$D27,0)</f>
        <v>0</v>
      </c>
      <c r="O27" s="72">
        <f t="array" ref="O27">IF('Потребность профиль'!CI23&gt;0,'Потребность профиль'!CI23+$D27,0)</f>
        <v>0</v>
      </c>
      <c r="P27" s="72">
        <f t="array" ref="P27">IF('Потребность профиль'!CJ23&gt;0,'Потребность профиль'!CJ23+$D27,0)</f>
        <v>0</v>
      </c>
      <c r="Q27" s="72">
        <f t="array" ref="Q27">IF('Потребность профиль'!CK23&gt;0,'Потребность профиль'!CK23+$D27,0)</f>
        <v>0</v>
      </c>
    </row>
    <row r="28" spans="1:17" x14ac:dyDescent="0.25">
      <c r="A28" s="42" t="s">
        <v>46</v>
      </c>
      <c r="B28" s="70">
        <v>1.665</v>
      </c>
      <c r="C28" s="14">
        <v>1018</v>
      </c>
      <c r="D28" s="71">
        <v>12.5</v>
      </c>
      <c r="E28" s="71">
        <v>36</v>
      </c>
      <c r="F28" s="72">
        <f t="array" ref="F28">IF('Потребность профиль'!BZ24&gt;0,'Потребность профиль'!BZ24+$D28,0)</f>
        <v>104.2867033700367</v>
      </c>
      <c r="G28" s="72">
        <f t="array" ref="G28">IF('Потребность профиль'!CA24&gt;0,'Потребность профиль'!CA24+$D28,0)</f>
        <v>115.85835835835836</v>
      </c>
      <c r="H28" s="72">
        <f t="array" ref="H28">IF('Потребность профиль'!CB24&gt;0,'Потребность профиль'!CB24+$D28,0)</f>
        <v>45.833333333333336</v>
      </c>
      <c r="I28" s="72">
        <f t="array" ref="I28">IF('Потребность профиль'!CC24&gt;0,'Потребность профиль'!CC24+$D28,0)</f>
        <v>20.833333333333336</v>
      </c>
      <c r="J28" s="72">
        <f t="array" ref="J28">IF('Потребность профиль'!CD24&gt;0,'Потребность профиль'!CD24+$D28,0)</f>
        <v>0</v>
      </c>
      <c r="K28" s="72">
        <f t="array" ref="K28">IF('Потребность профиль'!CE24&gt;0,'Потребность профиль'!CE24+$D28,0)</f>
        <v>0</v>
      </c>
      <c r="L28" s="72">
        <f t="array" ref="L28">IF('Потребность профиль'!CF24&gt;0,'Потребность профиль'!CF24+$D28,0)</f>
        <v>0</v>
      </c>
      <c r="M28" s="72">
        <f t="array" ref="M28">IF('Потребность профиль'!CG24&gt;0,'Потребность профиль'!CG24+$D28,0)</f>
        <v>0</v>
      </c>
      <c r="N28" s="72">
        <f t="array" ref="N28">IF('Потребность профиль'!CH24&gt;0,'Потребность профиль'!CH24+$D28,0)</f>
        <v>0</v>
      </c>
      <c r="O28" s="72">
        <f t="array" ref="O28">IF('Потребность профиль'!CI24&gt;0,'Потребность профиль'!CI24+$D28,0)</f>
        <v>0</v>
      </c>
      <c r="P28" s="72">
        <f t="array" ref="P28">IF('Потребность профиль'!CJ24&gt;0,'Потребность профиль'!CJ24+$D28,0)</f>
        <v>0</v>
      </c>
      <c r="Q28" s="72">
        <f t="array" ref="Q28">IF('Потребность профиль'!CK24&gt;0,'Потребность профиль'!CK24+$D28,0)</f>
        <v>0</v>
      </c>
    </row>
    <row r="29" spans="1:17" x14ac:dyDescent="0.25">
      <c r="A29" s="42" t="s">
        <v>47</v>
      </c>
      <c r="B29" s="70">
        <v>2.0350000000000001</v>
      </c>
      <c r="C29" s="14">
        <v>1018</v>
      </c>
      <c r="D29" s="71">
        <v>12.5</v>
      </c>
      <c r="E29" s="71">
        <v>36</v>
      </c>
      <c r="F29" s="72">
        <f t="array" ref="F29">IF('Потребность профиль'!BZ25&gt;0,'Потребность профиль'!BZ25+$D29,0)</f>
        <v>32.583333333333329</v>
      </c>
      <c r="G29" s="72">
        <f t="array" ref="G29">IF('Потребность профиль'!CA25&gt;0,'Потребность профиль'!CA25+$D29,0)</f>
        <v>49.166666666666664</v>
      </c>
      <c r="H29" s="72">
        <f t="array" ref="H29">IF('Потребность профиль'!CB25&gt;0,'Потребность профиль'!CB25+$D29,0)</f>
        <v>30.833333333333332</v>
      </c>
      <c r="I29" s="72">
        <f t="array" ref="I29">IF('Потребность профиль'!CC25&gt;0,'Потребность профиль'!CC25+$D29,0)</f>
        <v>22.5</v>
      </c>
      <c r="J29" s="72">
        <f t="array" ref="J29">IF('Потребность профиль'!CD25&gt;0,'Потребность профиль'!CD25+$D29,0)</f>
        <v>0</v>
      </c>
      <c r="K29" s="72">
        <f t="array" ref="K29">IF('Потребность профиль'!CE25&gt;0,'Потребность профиль'!CE25+$D29,0)</f>
        <v>0</v>
      </c>
      <c r="L29" s="72">
        <f t="array" ref="L29">IF('Потребность профиль'!CF25&gt;0,'Потребность профиль'!CF25+$D29,0)</f>
        <v>0</v>
      </c>
      <c r="M29" s="72">
        <f t="array" ref="M29">IF('Потребность профиль'!CG25&gt;0,'Потребность профиль'!CG25+$D29,0)</f>
        <v>0</v>
      </c>
      <c r="N29" s="72">
        <f t="array" ref="N29">IF('Потребность профиль'!CH25&gt;0,'Потребность профиль'!CH25+$D29,0)</f>
        <v>0</v>
      </c>
      <c r="O29" s="72">
        <f t="array" ref="O29">IF('Потребность профиль'!CI25&gt;0,'Потребность профиль'!CI25+$D29,0)</f>
        <v>0</v>
      </c>
      <c r="P29" s="72">
        <f t="array" ref="P29">IF('Потребность профиль'!CJ25&gt;0,'Потребность профиль'!CJ25+$D29,0)</f>
        <v>0</v>
      </c>
      <c r="Q29" s="72">
        <f t="array" ref="Q29">IF('Потребность профиль'!CK25&gt;0,'Потребность профиль'!CK25+$D29,0)</f>
        <v>0</v>
      </c>
    </row>
    <row r="30" spans="1:17" x14ac:dyDescent="0.25">
      <c r="A30" s="42" t="s">
        <v>36</v>
      </c>
      <c r="B30" s="70">
        <v>0.4</v>
      </c>
      <c r="C30" s="14">
        <v>1018</v>
      </c>
      <c r="D30" s="71">
        <v>6.75</v>
      </c>
      <c r="E30" s="71">
        <v>48</v>
      </c>
      <c r="F30" s="72">
        <f t="array" ref="F30">IF('Потребность профиль'!BZ26&gt;0,'Потребность профиль'!BZ26+$D30,0)</f>
        <v>0</v>
      </c>
      <c r="G30" s="72">
        <f t="array" ref="G30">IF('Потребность профиль'!CA26&gt;0,'Потребность профиль'!CA26+$D30,0)</f>
        <v>0</v>
      </c>
      <c r="H30" s="72">
        <f t="array" ref="H30">IF('Потребность профиль'!CB26&gt;0,'Потребность профиль'!CB26+$D30,0)</f>
        <v>0</v>
      </c>
      <c r="I30" s="72">
        <f t="array" ref="I30">IF('Потребность профиль'!CC26&gt;0,'Потребность профиль'!CC26+$D30,0)</f>
        <v>11.842083333333333</v>
      </c>
      <c r="J30" s="72">
        <f t="array" ref="J30">IF('Потребность профиль'!CD26&gt;0,'Потребность профиль'!CD26+$D30,0)</f>
        <v>11.842083333333333</v>
      </c>
      <c r="K30" s="72">
        <f t="array" ref="K30">IF('Потребность профиль'!CE26&gt;0,'Потребность профиль'!CE26+$D30,0)</f>
        <v>11.842083333333333</v>
      </c>
      <c r="L30" s="72">
        <f t="array" ref="L30">IF('Потребность профиль'!CF26&gt;0,'Потребность профиль'!CF26+$D30,0)</f>
        <v>11.842083333333333</v>
      </c>
      <c r="M30" s="72">
        <f t="array" ref="M30">IF('Потребность профиль'!CG26&gt;0,'Потребность профиль'!CG26+$D30,0)</f>
        <v>11.842083333333333</v>
      </c>
      <c r="N30" s="72">
        <f t="array" ref="N30">IF('Потребность профиль'!CH26&gt;0,'Потребность профиль'!CH26+$D30,0)</f>
        <v>11.842083333333333</v>
      </c>
      <c r="O30" s="72">
        <f t="array" ref="O30">IF('Потребность профиль'!CI26&gt;0,'Потребность профиль'!CI26+$D30,0)</f>
        <v>11.842083333333333</v>
      </c>
      <c r="P30" s="72">
        <f t="array" ref="P30">IF('Потребность профиль'!CJ26&gt;0,'Потребность профиль'!CJ26+$D30,0)</f>
        <v>11.842083333333333</v>
      </c>
      <c r="Q30" s="72">
        <f t="array" ref="Q30">IF('Потребность профиль'!CK26&gt;0,'Потребность профиль'!CK26+$D30,0)</f>
        <v>11.842083333333333</v>
      </c>
    </row>
    <row r="31" spans="1:17" x14ac:dyDescent="0.25">
      <c r="A31" s="42" t="s">
        <v>37</v>
      </c>
      <c r="B31" s="70">
        <v>0.50600000000000001</v>
      </c>
      <c r="C31" s="14">
        <v>1018</v>
      </c>
      <c r="D31" s="71">
        <v>6.75</v>
      </c>
      <c r="E31" s="71">
        <v>48</v>
      </c>
      <c r="F31" s="72">
        <f t="array" ref="F31">IF('Потребность профиль'!BZ27&gt;0,'Потребность профиль'!BZ27+$D31,0)</f>
        <v>190.35</v>
      </c>
      <c r="G31" s="72">
        <f t="array" ref="G31">IF('Потребность профиль'!CA27&gt;0,'Потребность профиль'!CA27+$D31,0)</f>
        <v>85.5</v>
      </c>
      <c r="H31" s="72">
        <f t="array" ref="H31">IF('Потребность профиль'!CB27&gt;0,'Потребность профиль'!CB27+$D31,0)</f>
        <v>46.125</v>
      </c>
      <c r="I31" s="72">
        <f t="array" ref="I31">IF('Потребность профиль'!CC27&gt;0,'Потребность профиль'!CC27+$D31,0)</f>
        <v>25.5</v>
      </c>
      <c r="J31" s="72">
        <f t="array" ref="J31">IF('Потребность профиль'!CD27&gt;0,'Потребность профиль'!CD27+$D31,0)</f>
        <v>0</v>
      </c>
      <c r="K31" s="72">
        <f t="array" ref="K31">IF('Потребность профиль'!CE27&gt;0,'Потребность профиль'!CE27+$D31,0)</f>
        <v>0</v>
      </c>
      <c r="L31" s="72">
        <f t="array" ref="L31">IF('Потребность профиль'!CF27&gt;0,'Потребность профиль'!CF27+$D31,0)</f>
        <v>0</v>
      </c>
      <c r="M31" s="72">
        <f t="array" ref="M31">IF('Потребность профиль'!CG27&gt;0,'Потребность профиль'!CG27+$D31,0)</f>
        <v>0</v>
      </c>
      <c r="N31" s="72">
        <f t="array" ref="N31">IF('Потребность профиль'!CH27&gt;0,'Потребность профиль'!CH27+$D31,0)</f>
        <v>0</v>
      </c>
      <c r="O31" s="72">
        <f t="array" ref="O31">IF('Потребность профиль'!CI27&gt;0,'Потребность профиль'!CI27+$D31,0)</f>
        <v>0</v>
      </c>
      <c r="P31" s="72">
        <f t="array" ref="P31">IF('Потребность профиль'!CJ27&gt;0,'Потребность профиль'!CJ27+$D31,0)</f>
        <v>0</v>
      </c>
      <c r="Q31" s="72">
        <f t="array" ref="Q31">IF('Потребность профиль'!CK27&gt;0,'Потребность профиль'!CK27+$D31,0)</f>
        <v>0</v>
      </c>
    </row>
    <row r="32" spans="1:17" x14ac:dyDescent="0.25">
      <c r="A32" s="42" t="s">
        <v>38</v>
      </c>
      <c r="B32" s="70">
        <v>0.61099999999999999</v>
      </c>
      <c r="C32" s="14">
        <v>1018</v>
      </c>
      <c r="D32" s="71">
        <v>5</v>
      </c>
      <c r="E32" s="71">
        <v>24</v>
      </c>
      <c r="F32" s="72">
        <f t="array" ref="F32">IF('Потребность профиль'!BZ28&gt;0,'Потребность профиль'!BZ28+$D32,0)</f>
        <v>0</v>
      </c>
      <c r="G32" s="72">
        <f t="array" ref="G32">IF('Потребность профиль'!CA28&gt;0,'Потребность профиль'!CA28+$D32,0)</f>
        <v>0</v>
      </c>
      <c r="H32" s="72">
        <f t="array" ref="H32">IF('Потребность профиль'!CB28&gt;0,'Потребность профиль'!CB28+$D32,0)</f>
        <v>521.71389191306719</v>
      </c>
      <c r="I32" s="72">
        <f t="array" ref="I32">IF('Потребность профиль'!CC28&gt;0,'Потребность профиль'!CC28+$D32,0)</f>
        <v>617.84670901317259</v>
      </c>
      <c r="J32" s="72">
        <f t="array" ref="J32">IF('Потребность профиль'!CD28&gt;0,'Потребность профиль'!CD28+$D32,0)</f>
        <v>557.7636983256067</v>
      </c>
      <c r="K32" s="72">
        <f t="array" ref="K32">IF('Потребность профиль'!CE28&gt;0,'Потребность профиль'!CE28+$D32,0)</f>
        <v>557.7636983256067</v>
      </c>
      <c r="L32" s="72">
        <f t="array" ref="L32">IF('Потребность профиль'!CF28&gt;0,'Потребность профиль'!CF28+$D32,0)</f>
        <v>557.7636983256067</v>
      </c>
      <c r="M32" s="72">
        <f t="array" ref="M32">IF('Потребность профиль'!CG28&gt;0,'Потребность профиль'!CG28+$D32,0)</f>
        <v>557.7636983256067</v>
      </c>
      <c r="N32" s="72">
        <f t="array" ref="N32">IF('Потребность профиль'!CH28&gt;0,'Потребность профиль'!CH28+$D32,0)</f>
        <v>557.7636983256067</v>
      </c>
      <c r="O32" s="72">
        <f t="array" ref="O32">IF('Потребность профиль'!CI28&gt;0,'Потребность профиль'!CI28+$D32,0)</f>
        <v>557.7636983256067</v>
      </c>
      <c r="P32" s="72">
        <f t="array" ref="P32">IF('Потребность профиль'!CJ28&gt;0,'Потребность профиль'!CJ28+$D32,0)</f>
        <v>557.7636983256067</v>
      </c>
      <c r="Q32" s="72">
        <f t="array" ref="Q32">IF('Потребность профиль'!CK28&gt;0,'Потребность профиль'!CK28+$D32,0)</f>
        <v>557.7636983256067</v>
      </c>
    </row>
    <row r="33" spans="1:17" x14ac:dyDescent="0.25">
      <c r="A33" s="42" t="s">
        <v>45</v>
      </c>
      <c r="B33" s="70">
        <v>2.3919999999999999</v>
      </c>
      <c r="C33" s="14">
        <v>1018</v>
      </c>
      <c r="D33" s="71">
        <v>11.5</v>
      </c>
      <c r="E33" s="71">
        <v>18</v>
      </c>
      <c r="F33" s="72">
        <f t="array" ref="F33">IF('Потребность профиль'!BZ29&gt;0,'Потребность профиль'!BZ29+$D33,0)</f>
        <v>0</v>
      </c>
      <c r="G33" s="72">
        <f t="array" ref="G33">IF('Потребность профиль'!CA29&gt;0,'Потребность профиль'!CA29+$D33,0)</f>
        <v>0</v>
      </c>
      <c r="H33" s="72">
        <f t="array" ref="H33">IF('Потребность профиль'!CB29&gt;0,'Потребность профиль'!CB29+$D33,0)</f>
        <v>0</v>
      </c>
      <c r="I33" s="72">
        <f t="array" ref="I33">IF('Потребность профиль'!CC29&gt;0,'Потребность профиль'!CC29+$D33,0)</f>
        <v>0</v>
      </c>
      <c r="J33" s="72">
        <f t="array" ref="J33">IF('Потребность профиль'!CD29&gt;0,'Потребность профиль'!CD29+$D33,0)</f>
        <v>0</v>
      </c>
      <c r="K33" s="72">
        <f t="array" ref="K33">IF('Потребность профиль'!CE29&gt;0,'Потребность профиль'!CE29+$D33,0)</f>
        <v>0</v>
      </c>
      <c r="L33" s="72">
        <f t="array" ref="L33">IF('Потребность профиль'!CF29&gt;0,'Потребность профиль'!CF29+$D33,0)</f>
        <v>0</v>
      </c>
      <c r="M33" s="72">
        <f t="array" ref="M33">IF('Потребность профиль'!CG29&gt;0,'Потребность профиль'!CG29+$D33,0)</f>
        <v>0</v>
      </c>
      <c r="N33" s="72">
        <f t="array" ref="N33">IF('Потребность профиль'!CH29&gt;0,'Потребность профиль'!CH29+$D33,0)</f>
        <v>0</v>
      </c>
      <c r="O33" s="72">
        <f t="array" ref="O33">IF('Потребность профиль'!CI29&gt;0,'Потребность профиль'!CI29+$D33,0)</f>
        <v>0</v>
      </c>
      <c r="P33" s="72">
        <f t="array" ref="P33">IF('Потребность профиль'!CJ29&gt;0,'Потребность профиль'!CJ29+$D33,0)</f>
        <v>0</v>
      </c>
      <c r="Q33" s="72">
        <f t="array" ref="Q33">IF('Потребность профиль'!CK29&gt;0,'Потребность профиль'!CK29+$D33,0)</f>
        <v>0</v>
      </c>
    </row>
    <row r="34" spans="1:17" x14ac:dyDescent="0.25">
      <c r="A34" s="42" t="s">
        <v>39</v>
      </c>
      <c r="B34" s="70">
        <v>0.38</v>
      </c>
      <c r="C34" s="14">
        <v>1018</v>
      </c>
      <c r="D34" s="71">
        <v>7.75</v>
      </c>
      <c r="E34" s="71">
        <v>48</v>
      </c>
      <c r="F34" s="72">
        <f t="array" ref="F34">IF('Потребность профиль'!BZ30&gt;0,'Потребность профиль'!BZ30+$D34,0)</f>
        <v>0</v>
      </c>
      <c r="G34" s="72">
        <f t="array" ref="G34">IF('Потребность профиль'!CA30&gt;0,'Потребность профиль'!CA30+$D34,0)</f>
        <v>39</v>
      </c>
      <c r="H34" s="72">
        <f t="array" ref="H34">IF('Потребность профиль'!CB30&gt;0,'Потребность профиль'!CB30+$D34,0)</f>
        <v>39</v>
      </c>
      <c r="I34" s="72">
        <f t="array" ref="I34">IF('Потребность профиль'!CC30&gt;0,'Потребность профиль'!CC30+$D34,0)</f>
        <v>39</v>
      </c>
      <c r="J34" s="72">
        <f t="array" ref="J34">IF('Потребность профиль'!CD30&gt;0,'Потребность профиль'!CD30+$D34,0)</f>
        <v>39</v>
      </c>
      <c r="K34" s="72">
        <f t="array" ref="K34">IF('Потребность профиль'!CE30&gt;0,'Потребность профиль'!CE30+$D34,0)</f>
        <v>39</v>
      </c>
      <c r="L34" s="72">
        <f t="array" ref="L34">IF('Потребность профиль'!CF30&gt;0,'Потребность профиль'!CF30+$D34,0)</f>
        <v>39</v>
      </c>
      <c r="M34" s="72">
        <f t="array" ref="M34">IF('Потребность профиль'!CG30&gt;0,'Потребность профиль'!CG30+$D34,0)</f>
        <v>39</v>
      </c>
      <c r="N34" s="72">
        <f t="array" ref="N34">IF('Потребность профиль'!CH30&gt;0,'Потребность профиль'!CH30+$D34,0)</f>
        <v>39</v>
      </c>
      <c r="O34" s="72">
        <f t="array" ref="O34">IF('Потребность профиль'!CI30&gt;0,'Потребность профиль'!CI30+$D34,0)</f>
        <v>39</v>
      </c>
      <c r="P34" s="72">
        <f t="array" ref="P34">IF('Потребность профиль'!CJ30&gt;0,'Потребность профиль'!CJ30+$D34,0)</f>
        <v>39</v>
      </c>
      <c r="Q34" s="72">
        <f t="array" ref="Q34">IF('Потребность профиль'!CK30&gt;0,'Потребность профиль'!CK30+$D34,0)</f>
        <v>39</v>
      </c>
    </row>
    <row r="35" spans="1:17" x14ac:dyDescent="0.25">
      <c r="A35" s="42" t="s">
        <v>40</v>
      </c>
      <c r="B35" s="70">
        <v>0.59799999999999998</v>
      </c>
      <c r="C35" s="14">
        <v>1018</v>
      </c>
      <c r="D35" s="71">
        <v>10.5</v>
      </c>
      <c r="E35" s="71">
        <v>48</v>
      </c>
      <c r="F35" s="72">
        <f t="array" ref="F35">IF('Потребность профиль'!BZ31&gt;0,'Потребность профиль'!BZ31+$D35,0)</f>
        <v>0</v>
      </c>
      <c r="G35" s="72">
        <f t="array" ref="G35">IF('Потребность профиль'!CA31&gt;0,'Потребность профиль'!CA31+$D35,0)</f>
        <v>0</v>
      </c>
      <c r="H35" s="72">
        <f t="array" ref="H35">IF('Потребность профиль'!CB31&gt;0,'Потребность профиль'!CB31+$D35,0)</f>
        <v>0</v>
      </c>
      <c r="I35" s="72">
        <f t="array" ref="I35">IF('Потребность профиль'!CC31&gt;0,'Потребность профиль'!CC31+$D35,0)</f>
        <v>0</v>
      </c>
      <c r="J35" s="72">
        <f t="array" ref="J35">IF('Потребность профиль'!CD31&gt;0,'Потребность профиль'!CD31+$D35,0)</f>
        <v>0</v>
      </c>
      <c r="K35" s="72">
        <f t="array" ref="K35">IF('Потребность профиль'!CE31&gt;0,'Потребность профиль'!CE31+$D35,0)</f>
        <v>0</v>
      </c>
      <c r="L35" s="72">
        <f t="array" ref="L35">IF('Потребность профиль'!CF31&gt;0,'Потребность профиль'!CF31+$D35,0)</f>
        <v>0</v>
      </c>
      <c r="M35" s="72">
        <f t="array" ref="M35">IF('Потребность профиль'!CG31&gt;0,'Потребность профиль'!CG31+$D35,0)</f>
        <v>0</v>
      </c>
      <c r="N35" s="72">
        <f t="array" ref="N35">IF('Потребность профиль'!CH31&gt;0,'Потребность профиль'!CH31+$D35,0)</f>
        <v>0</v>
      </c>
      <c r="O35" s="72">
        <f t="array" ref="O35">IF('Потребность профиль'!CI31&gt;0,'Потребность профиль'!CI31+$D35,0)</f>
        <v>0</v>
      </c>
      <c r="P35" s="72">
        <f t="array" ref="P35">IF('Потребность профиль'!CJ31&gt;0,'Потребность профиль'!CJ31+$D35,0)</f>
        <v>0</v>
      </c>
      <c r="Q35" s="72">
        <f t="array" ref="Q35">IF('Потребность профиль'!CK31&gt;0,'Потребность профиль'!CK31+$D35,0)</f>
        <v>0</v>
      </c>
    </row>
    <row r="36" spans="1:17" x14ac:dyDescent="0.25">
      <c r="A36" s="42" t="s">
        <v>41</v>
      </c>
      <c r="B36" s="70">
        <v>0.65500000000000003</v>
      </c>
      <c r="C36" s="14">
        <v>1018</v>
      </c>
      <c r="D36" s="71">
        <v>10.5</v>
      </c>
      <c r="E36" s="71">
        <v>48</v>
      </c>
      <c r="F36" s="72">
        <f t="array" ref="F36">IF('Потребность профиль'!BZ32&gt;0,'Потребность профиль'!BZ32+$D36,0)</f>
        <v>73</v>
      </c>
      <c r="G36" s="72">
        <f t="array" ref="G36">IF('Потребность профиль'!CA32&gt;0,'Потребность профиль'!CA32+$D36,0)</f>
        <v>166.79166666666666</v>
      </c>
      <c r="H36" s="72">
        <f t="array" ref="H36">IF('Потребность профиль'!CB32&gt;0,'Потребность профиль'!CB32+$D36,0)</f>
        <v>206.375</v>
      </c>
      <c r="I36" s="72">
        <f t="array" ref="I36">IF('Потребность профиль'!CC32&gt;0,'Потребность профиль'!CC32+$D36,0)</f>
        <v>166.79166666666666</v>
      </c>
      <c r="J36" s="72">
        <f t="array" ref="J36">IF('Потребность профиль'!CD32&gt;0,'Потребность профиль'!CD32+$D36,0)</f>
        <v>162.625</v>
      </c>
      <c r="K36" s="72">
        <f t="array" ref="K36">IF('Потребность профиль'!CE32&gt;0,'Потребность профиль'!CE32+$D36,0)</f>
        <v>162.625</v>
      </c>
      <c r="L36" s="72">
        <f t="array" ref="L36">IF('Потребность профиль'!CF32&gt;0,'Потребность профиль'!CF32+$D36,0)</f>
        <v>162.625</v>
      </c>
      <c r="M36" s="72">
        <f t="array" ref="M36">IF('Потребность профиль'!CG32&gt;0,'Потребность профиль'!CG32+$D36,0)</f>
        <v>162.625</v>
      </c>
      <c r="N36" s="72">
        <f t="array" ref="N36">IF('Потребность профиль'!CH32&gt;0,'Потребность профиль'!CH32+$D36,0)</f>
        <v>162.625</v>
      </c>
      <c r="O36" s="72">
        <f t="array" ref="O36">IF('Потребность профиль'!CI32&gt;0,'Потребность профиль'!CI32+$D36,0)</f>
        <v>162.625</v>
      </c>
      <c r="P36" s="72">
        <f t="array" ref="P36">IF('Потребность профиль'!CJ32&gt;0,'Потребность профиль'!CJ32+$D36,0)</f>
        <v>162.625</v>
      </c>
      <c r="Q36" s="72">
        <f t="array" ref="Q36">IF('Потребность профиль'!CK32&gt;0,'Потребность профиль'!CK32+$D36,0)</f>
        <v>162.625</v>
      </c>
    </row>
    <row r="37" spans="1:17" x14ac:dyDescent="0.25">
      <c r="A37" s="42" t="s">
        <v>43</v>
      </c>
      <c r="B37" s="70">
        <v>0.95699999999999996</v>
      </c>
      <c r="C37" s="14">
        <v>1018</v>
      </c>
      <c r="D37" s="71">
        <v>10.5</v>
      </c>
      <c r="E37" s="71">
        <v>42</v>
      </c>
      <c r="F37" s="72">
        <f t="array" ref="F37">IF('Потребность профиль'!BZ33&gt;0,'Потребность профиль'!BZ33+$D37,0)</f>
        <v>16.5</v>
      </c>
      <c r="G37" s="72">
        <f t="array" ref="G37">IF('Потребность профиль'!CA33&gt;0,'Потребность профиль'!CA33+$D37,0)</f>
        <v>176.03571428571428</v>
      </c>
      <c r="H37" s="72">
        <f t="array" ref="H37">IF('Потребность профиль'!CB33&gt;0,'Потребность профиль'!CB33+$D37,0)</f>
        <v>58.724262108509414</v>
      </c>
      <c r="I37" s="72">
        <f t="array" ref="I37">IF('Потребность профиль'!CC33&gt;0,'Потребность профиль'!CC33+$D37,0)</f>
        <v>67.69621784962743</v>
      </c>
      <c r="J37" s="72">
        <f t="array" ref="J37">IF('Потребность профиль'!CD33&gt;0,'Потребность профиль'!CD33+$D37,0)</f>
        <v>62.088745511428669</v>
      </c>
      <c r="K37" s="72">
        <f t="array" ref="K37">IF('Потребность профиль'!CE33&gt;0,'Потребность профиль'!CE33+$D37,0)</f>
        <v>62.088745511428669</v>
      </c>
      <c r="L37" s="72">
        <f t="array" ref="L37">IF('Потребность профиль'!CF33&gt;0,'Потребность профиль'!CF33+$D37,0)</f>
        <v>62.088745511428669</v>
      </c>
      <c r="M37" s="72">
        <f t="array" ref="M37">IF('Потребность профиль'!CG33&gt;0,'Потребность профиль'!CG33+$D37,0)</f>
        <v>62.088745511428669</v>
      </c>
      <c r="N37" s="72">
        <f t="array" ref="N37">IF('Потребность профиль'!CH33&gt;0,'Потребность профиль'!CH33+$D37,0)</f>
        <v>62.088745511428669</v>
      </c>
      <c r="O37" s="72">
        <f t="array" ref="O37">IF('Потребность профиль'!CI33&gt;0,'Потребность профиль'!CI33+$D37,0)</f>
        <v>62.088745511428669</v>
      </c>
      <c r="P37" s="72">
        <f t="array" ref="P37">IF('Потребность профиль'!CJ33&gt;0,'Потребность профиль'!CJ33+$D37,0)</f>
        <v>62.088745511428669</v>
      </c>
      <c r="Q37" s="72">
        <f t="array" ref="Q37">IF('Потребность профиль'!CK33&gt;0,'Потребность профиль'!CK33+$D37,0)</f>
        <v>62.088745511428669</v>
      </c>
    </row>
    <row r="38" spans="1:17" x14ac:dyDescent="0.25">
      <c r="A38" s="42" t="s">
        <v>42</v>
      </c>
      <c r="B38" s="70">
        <v>0.82199999999999995</v>
      </c>
      <c r="C38" s="14">
        <v>1018</v>
      </c>
      <c r="D38" s="71">
        <v>6.5</v>
      </c>
      <c r="E38" s="71">
        <v>21</v>
      </c>
      <c r="F38" s="72">
        <f t="array" ref="F38">IF('Потребность профиль'!BZ34&gt;0,'Потребность профиль'!BZ34+$D38,0)</f>
        <v>0</v>
      </c>
      <c r="G38" s="72">
        <f t="array" ref="G38">IF('Потребность профиль'!CA34&gt;0,'Потребность профиль'!CA34+$D38,0)</f>
        <v>125.64285714285714</v>
      </c>
      <c r="H38" s="72">
        <f t="array" ref="H38">IF('Потребность профиль'!CB34&gt;0,'Потребность профиль'!CB34+$D38,0)</f>
        <v>135.07142857142858</v>
      </c>
      <c r="I38" s="72">
        <f t="array" ref="I38">IF('Потребность профиль'!CC34&gt;0,'Потребность профиль'!CC34+$D38,0)</f>
        <v>125.64285714285714</v>
      </c>
      <c r="J38" s="72">
        <f t="array" ref="J38">IF('Потребность профиль'!CD34&gt;0,'Потребность профиль'!CD34+$D38,0)</f>
        <v>125.64285714285714</v>
      </c>
      <c r="K38" s="72">
        <f t="array" ref="K38">IF('Потребность профиль'!CE34&gt;0,'Потребность профиль'!CE34+$D38,0)</f>
        <v>125.64285714285714</v>
      </c>
      <c r="L38" s="72">
        <f t="array" ref="L38">IF('Потребность профиль'!CF34&gt;0,'Потребность профиль'!CF34+$D38,0)</f>
        <v>125.64285714285714</v>
      </c>
      <c r="M38" s="72">
        <f t="array" ref="M38">IF('Потребность профиль'!CG34&gt;0,'Потребность профиль'!CG34+$D38,0)</f>
        <v>125.64285714285714</v>
      </c>
      <c r="N38" s="72">
        <f t="array" ref="N38">IF('Потребность профиль'!CH34&gt;0,'Потребность профиль'!CH34+$D38,0)</f>
        <v>125.64285714285714</v>
      </c>
      <c r="O38" s="72">
        <f t="array" ref="O38">IF('Потребность профиль'!CI34&gt;0,'Потребность профиль'!CI34+$D38,0)</f>
        <v>125.64285714285714</v>
      </c>
      <c r="P38" s="72">
        <f t="array" ref="P38">IF('Потребность профиль'!CJ34&gt;0,'Потребность профиль'!CJ34+$D38,0)</f>
        <v>125.64285714285714</v>
      </c>
      <c r="Q38" s="72">
        <f t="array" ref="Q38">IF('Потребность профиль'!CK34&gt;0,'Потребность профиль'!CK34+$D38,0)</f>
        <v>125.64285714285714</v>
      </c>
    </row>
    <row r="39" spans="1:17" x14ac:dyDescent="0.25">
      <c r="A39" s="42" t="s">
        <v>44</v>
      </c>
      <c r="B39" s="70">
        <v>1.1789999999999998</v>
      </c>
      <c r="C39" s="14">
        <v>1018</v>
      </c>
      <c r="D39" s="71">
        <v>6.5</v>
      </c>
      <c r="E39" s="71">
        <v>21</v>
      </c>
      <c r="F39" s="72">
        <f t="array" ref="F39">IF('Потребность профиль'!BZ35&gt;0,'Потребность профиль'!BZ35+$D39,0)</f>
        <v>0</v>
      </c>
      <c r="G39" s="72">
        <f t="array" ref="G39">IF('Потребность профиль'!CA35&gt;0,'Потребность профиль'!CA35+$D39,0)</f>
        <v>30.5</v>
      </c>
      <c r="H39" s="72">
        <f t="array" ref="H39">IF('Потребность профиль'!CB35&gt;0,'Потребность профиль'!CB35+$D39,0)</f>
        <v>30.5</v>
      </c>
      <c r="I39" s="72">
        <f t="array" ref="I39">IF('Потребность профиль'!CC35&gt;0,'Потребность профиль'!CC35+$D39,0)</f>
        <v>30.5</v>
      </c>
      <c r="J39" s="72">
        <f t="array" ref="J39">IF('Потребность профиль'!CD35&gt;0,'Потребность профиль'!CD35+$D39,0)</f>
        <v>30.5</v>
      </c>
      <c r="K39" s="72">
        <f t="array" ref="K39">IF('Потребность профиль'!CE35&gt;0,'Потребность профиль'!CE35+$D39,0)</f>
        <v>30.5</v>
      </c>
      <c r="L39" s="72">
        <f t="array" ref="L39">IF('Потребность профиль'!CF35&gt;0,'Потребность профиль'!CF35+$D39,0)</f>
        <v>30.5</v>
      </c>
      <c r="M39" s="72">
        <f t="array" ref="M39">IF('Потребность профиль'!CG35&gt;0,'Потребность профиль'!CG35+$D39,0)</f>
        <v>30.5</v>
      </c>
      <c r="N39" s="72">
        <f t="array" ref="N39">IF('Потребность профиль'!CH35&gt;0,'Потребность профиль'!CH35+$D39,0)</f>
        <v>30.5</v>
      </c>
      <c r="O39" s="72">
        <f t="array" ref="O39">IF('Потребность профиль'!CI35&gt;0,'Потребность профиль'!CI35+$D39,0)</f>
        <v>30.5</v>
      </c>
      <c r="P39" s="72">
        <f t="array" ref="P39">IF('Потребность профиль'!CJ35&gt;0,'Потребность профиль'!CJ35+$D39,0)</f>
        <v>30.5</v>
      </c>
      <c r="Q39" s="72">
        <f t="array" ref="Q39">IF('Потребность профиль'!CK35&gt;0,'Потребность профиль'!CK35+$D39,0)</f>
        <v>30.5</v>
      </c>
    </row>
    <row r="40" spans="1:17" x14ac:dyDescent="0.25">
      <c r="A40" s="42" t="s">
        <v>48</v>
      </c>
      <c r="B40" s="70">
        <v>0.67900000000000005</v>
      </c>
      <c r="C40" s="14">
        <v>1018</v>
      </c>
      <c r="D40" s="71">
        <v>4</v>
      </c>
      <c r="E40" s="71">
        <v>21</v>
      </c>
      <c r="F40" s="72">
        <f t="array" ref="F40">IF('Потребность профиль'!BZ36&gt;0,'Потребность профиль'!BZ36+$D40,0)</f>
        <v>15.942857142857143</v>
      </c>
      <c r="G40" s="72">
        <f t="array" ref="G40">IF('Потребность профиль'!CA36&gt;0,'Потребность профиль'!CA36+$D40,0)</f>
        <v>0</v>
      </c>
      <c r="H40" s="72">
        <f t="array" ref="H40">IF('Потребность профиль'!CB36&gt;0,'Потребность профиль'!CB36+$D40,0)</f>
        <v>0</v>
      </c>
      <c r="I40" s="72">
        <f t="array" ref="I40">IF('Потребность профиль'!CC36&gt;0,'Потребность профиль'!CC36+$D40,0)</f>
        <v>0</v>
      </c>
      <c r="J40" s="72">
        <f t="array" ref="J40">IF('Потребность профиль'!CD36&gt;0,'Потребность профиль'!CD36+$D40,0)</f>
        <v>0</v>
      </c>
      <c r="K40" s="72">
        <f t="array" ref="K40">IF('Потребность профиль'!CE36&gt;0,'Потребность профиль'!CE36+$D40,0)</f>
        <v>0</v>
      </c>
      <c r="L40" s="72">
        <f t="array" ref="L40">IF('Потребность профиль'!CF36&gt;0,'Потребность профиль'!CF36+$D40,0)</f>
        <v>0</v>
      </c>
      <c r="M40" s="72">
        <f t="array" ref="M40">IF('Потребность профиль'!CG36&gt;0,'Потребность профиль'!CG36+$D40,0)</f>
        <v>0</v>
      </c>
      <c r="N40" s="72">
        <f t="array" ref="N40">IF('Потребность профиль'!CH36&gt;0,'Потребность профиль'!CH36+$D40,0)</f>
        <v>0</v>
      </c>
      <c r="O40" s="72">
        <f t="array" ref="O40">IF('Потребность профиль'!CI36&gt;0,'Потребность профиль'!CI36+$D40,0)</f>
        <v>0</v>
      </c>
      <c r="P40" s="72">
        <f t="array" ref="P40">IF('Потребность профиль'!CJ36&gt;0,'Потребность профиль'!CJ36+$D40,0)</f>
        <v>0</v>
      </c>
      <c r="Q40" s="72">
        <f t="array" ref="Q40">IF('Потребность профиль'!CK36&gt;0,'Потребность профиль'!CK36+$D40,0)</f>
        <v>0</v>
      </c>
    </row>
    <row r="41" spans="1:17" x14ac:dyDescent="0.25">
      <c r="A41" s="42" t="s">
        <v>28</v>
      </c>
      <c r="B41" s="70">
        <v>1.1779999999999999</v>
      </c>
      <c r="C41" s="14">
        <v>1018</v>
      </c>
      <c r="D41" s="71">
        <v>7</v>
      </c>
      <c r="E41" s="71">
        <v>18</v>
      </c>
      <c r="F41" s="72">
        <f t="array" ref="F41">IF('Потребность профиль'!BZ37&gt;0,'Потребность профиль'!BZ37+$D41,0)</f>
        <v>0</v>
      </c>
      <c r="G41" s="72">
        <f t="array" ref="G41">IF('Потребность профиль'!CA37&gt;0,'Потребность профиль'!CA37+$D41,0)</f>
        <v>0</v>
      </c>
      <c r="H41" s="72">
        <f t="array" ref="H41">IF('Потребность профиль'!CB37&gt;0,'Потребность профиль'!CB37+$D41,0)</f>
        <v>0</v>
      </c>
      <c r="I41" s="72">
        <f t="array" ref="I41">IF('Потребность профиль'!CC37&gt;0,'Потребность профиль'!CC37+$D41,0)</f>
        <v>0</v>
      </c>
      <c r="J41" s="72">
        <f t="array" ref="J41">IF('Потребность профиль'!CD37&gt;0,'Потребность профиль'!CD37+$D41,0)</f>
        <v>0</v>
      </c>
      <c r="K41" s="72">
        <f t="array" ref="K41">IF('Потребность профиль'!CE37&gt;0,'Потребность профиль'!CE37+$D41,0)</f>
        <v>0</v>
      </c>
      <c r="L41" s="72">
        <f t="array" ref="L41">IF('Потребность профиль'!CF37&gt;0,'Потребность профиль'!CF37+$D41,0)</f>
        <v>0</v>
      </c>
      <c r="M41" s="72">
        <f t="array" ref="M41">IF('Потребность профиль'!CG37&gt;0,'Потребность профиль'!CG37+$D41,0)</f>
        <v>0</v>
      </c>
      <c r="N41" s="72">
        <f t="array" ref="N41">IF('Потребность профиль'!CH37&gt;0,'Потребность профиль'!CH37+$D41,0)</f>
        <v>0</v>
      </c>
      <c r="O41" s="72">
        <f t="array" ref="O41">IF('Потребность профиль'!CI37&gt;0,'Потребность профиль'!CI37+$D41,0)</f>
        <v>0</v>
      </c>
      <c r="P41" s="72">
        <f t="array" ref="P41">IF('Потребность профиль'!CJ37&gt;0,'Потребность профиль'!CJ37+$D41,0)</f>
        <v>0</v>
      </c>
      <c r="Q41" s="72">
        <f t="array" ref="Q41">IF('Потребность профиль'!CK37&gt;0,'Потребность профиль'!CK37+$D41,0)</f>
        <v>0</v>
      </c>
    </row>
    <row r="42" spans="1:17" x14ac:dyDescent="0.25">
      <c r="A42" s="42" t="s">
        <v>27</v>
      </c>
      <c r="B42" s="70">
        <v>1.357</v>
      </c>
      <c r="C42" s="14">
        <v>1018</v>
      </c>
      <c r="D42" s="71">
        <v>7</v>
      </c>
      <c r="E42" s="71">
        <v>18</v>
      </c>
      <c r="F42" s="72">
        <f t="array" ref="F42">IF('Потребность профиль'!BZ38&gt;0,'Потребность профиль'!BZ38+$D42,0)</f>
        <v>88.879963972815858</v>
      </c>
      <c r="G42" s="72">
        <f t="array" ref="G42">IF('Потребность профиль'!CA38&gt;0,'Потребность профиль'!CA38+$D42,0)</f>
        <v>96.658560550233361</v>
      </c>
      <c r="H42" s="72">
        <f t="array" ref="H42">IF('Потребность профиль'!CB38&gt;0,'Потребность профиль'!CB38+$D42,0)</f>
        <v>0</v>
      </c>
      <c r="I42" s="72">
        <f t="array" ref="I42">IF('Потребность профиль'!CC38&gt;0,'Потребность профиль'!CC38+$D42,0)</f>
        <v>0</v>
      </c>
      <c r="J42" s="72">
        <f t="array" ref="J42">IF('Потребность профиль'!CD38&gt;0,'Потребность профиль'!CD38+$D42,0)</f>
        <v>0</v>
      </c>
      <c r="K42" s="72">
        <f t="array" ref="K42">IF('Потребность профиль'!CE38&gt;0,'Потребность профиль'!CE38+$D42,0)</f>
        <v>0</v>
      </c>
      <c r="L42" s="72">
        <f t="array" ref="L42">IF('Потребность профиль'!CF38&gt;0,'Потребность профиль'!CF38+$D42,0)</f>
        <v>0</v>
      </c>
      <c r="M42" s="72">
        <f t="array" ref="M42">IF('Потребность профиль'!CG38&gt;0,'Потребность профиль'!CG38+$D42,0)</f>
        <v>0</v>
      </c>
      <c r="N42" s="72">
        <f t="array" ref="N42">IF('Потребность профиль'!CH38&gt;0,'Потребность профиль'!CH38+$D42,0)</f>
        <v>0</v>
      </c>
      <c r="O42" s="72">
        <f t="array" ref="O42">IF('Потребность профиль'!CI38&gt;0,'Потребность профиль'!CI38+$D42,0)</f>
        <v>0</v>
      </c>
      <c r="P42" s="72">
        <f t="array" ref="P42">IF('Потребность профиль'!CJ38&gt;0,'Потребность профиль'!CJ38+$D42,0)</f>
        <v>0</v>
      </c>
      <c r="Q42" s="72">
        <f t="array" ref="Q42">IF('Потребность профиль'!CK38&gt;0,'Потребность профиль'!CK38+$D42,0)</f>
        <v>0</v>
      </c>
    </row>
    <row r="43" spans="1:17" x14ac:dyDescent="0.25">
      <c r="A43" s="42" t="s">
        <v>10</v>
      </c>
      <c r="B43" s="70">
        <v>0.26300000000000001</v>
      </c>
      <c r="C43" s="14">
        <v>1018</v>
      </c>
      <c r="D43" s="71">
        <v>4</v>
      </c>
      <c r="E43" s="71">
        <v>21</v>
      </c>
      <c r="F43" s="72">
        <f t="array" ref="F43">IF('Потребность профиль'!BZ39&gt;0,'Потребность профиль'!BZ39+$D43,0)</f>
        <v>0</v>
      </c>
      <c r="G43" s="72">
        <f t="array" ref="G43">IF('Потребность профиль'!CA39&gt;0,'Потребность профиль'!CA39+$D43,0)</f>
        <v>0</v>
      </c>
      <c r="H43" s="72">
        <f t="array" ref="H43">IF('Потребность профиль'!CB39&gt;0,'Потребность профиль'!CB39+$D43,0)</f>
        <v>0</v>
      </c>
      <c r="I43" s="72">
        <f t="array" ref="I43">IF('Потребность профиль'!CC39&gt;0,'Потребность профиль'!CC39+$D43,0)</f>
        <v>0</v>
      </c>
      <c r="J43" s="72">
        <f t="array" ref="J43">IF('Потребность профиль'!CD39&gt;0,'Потребность профиль'!CD39+$D43,0)</f>
        <v>0</v>
      </c>
      <c r="K43" s="72">
        <f t="array" ref="K43">IF('Потребность профиль'!CE39&gt;0,'Потребность профиль'!CE39+$D43,0)</f>
        <v>0</v>
      </c>
      <c r="L43" s="72">
        <f t="array" ref="L43">IF('Потребность профиль'!CF39&gt;0,'Потребность профиль'!CF39+$D43,0)</f>
        <v>0</v>
      </c>
      <c r="M43" s="72">
        <f t="array" ref="M43">IF('Потребность профиль'!CG39&gt;0,'Потребность профиль'!CG39+$D43,0)</f>
        <v>0</v>
      </c>
      <c r="N43" s="72">
        <f t="array" ref="N43">IF('Потребность профиль'!CH39&gt;0,'Потребность профиль'!CH39+$D43,0)</f>
        <v>0</v>
      </c>
      <c r="O43" s="72">
        <f t="array" ref="O43">IF('Потребность профиль'!CI39&gt;0,'Потребность профиль'!CI39+$D43,0)</f>
        <v>0</v>
      </c>
      <c r="P43" s="72">
        <f t="array" ref="P43">IF('Потребность профиль'!CJ39&gt;0,'Потребность профиль'!CJ39+$D43,0)</f>
        <v>0</v>
      </c>
      <c r="Q43" s="72">
        <f t="array" ref="Q43">IF('Потребность профиль'!CK39&gt;0,'Потребность профиль'!CK39+$D43,0)</f>
        <v>0</v>
      </c>
    </row>
    <row r="44" spans="1:17" x14ac:dyDescent="0.25">
      <c r="A44" s="42" t="s">
        <v>24</v>
      </c>
      <c r="B44" s="70">
        <v>1.0459999999999998</v>
      </c>
      <c r="C44" s="14">
        <v>1018</v>
      </c>
      <c r="D44" s="71">
        <v>5.5</v>
      </c>
      <c r="E44" s="71">
        <v>21</v>
      </c>
      <c r="F44" s="72">
        <f t="array" ref="F44">IF('Потребность профиль'!BZ40&gt;0,'Потребность профиль'!BZ40+$D44,0)</f>
        <v>0</v>
      </c>
      <c r="G44" s="72">
        <f t="array" ref="G44">IF('Потребность профиль'!CA40&gt;0,'Потребность профиль'!CA40+$D44,0)</f>
        <v>0</v>
      </c>
      <c r="H44" s="72">
        <f t="array" ref="H44">IF('Потребность профиль'!CB40&gt;0,'Потребность профиль'!CB40+$D44,0)</f>
        <v>348.64285714285717</v>
      </c>
      <c r="I44" s="72">
        <f t="array" ref="I44">IF('Потребность профиль'!CC40&gt;0,'Потребность профиль'!CC40+$D44,0)</f>
        <v>0</v>
      </c>
      <c r="J44" s="72">
        <f t="array" ref="J44">IF('Потребность профиль'!CD40&gt;0,'Потребность профиль'!CD40+$D44,0)</f>
        <v>0</v>
      </c>
      <c r="K44" s="72">
        <f t="array" ref="K44">IF('Потребность профиль'!CE40&gt;0,'Потребность профиль'!CE40+$D44,0)</f>
        <v>0</v>
      </c>
      <c r="L44" s="72">
        <f t="array" ref="L44">IF('Потребность профиль'!CF40&gt;0,'Потребность профиль'!CF40+$D44,0)</f>
        <v>0</v>
      </c>
      <c r="M44" s="72">
        <f t="array" ref="M44">IF('Потребность профиль'!CG40&gt;0,'Потребность профиль'!CG40+$D44,0)</f>
        <v>0</v>
      </c>
      <c r="N44" s="72">
        <f t="array" ref="N44">IF('Потребность профиль'!CH40&gt;0,'Потребность профиль'!CH40+$D44,0)</f>
        <v>0</v>
      </c>
      <c r="O44" s="72">
        <f t="array" ref="O44">IF('Потребность профиль'!CI40&gt;0,'Потребность профиль'!CI40+$D44,0)</f>
        <v>0</v>
      </c>
      <c r="P44" s="72">
        <f t="array" ref="P44">IF('Потребность профиль'!CJ40&gt;0,'Потребность профиль'!CJ40+$D44,0)</f>
        <v>0</v>
      </c>
      <c r="Q44" s="72">
        <f t="array" ref="Q44">IF('Потребность профиль'!CK40&gt;0,'Потребность профиль'!CK40+$D44,0)</f>
        <v>0</v>
      </c>
    </row>
    <row r="45" spans="1:17" x14ac:dyDescent="0.25">
      <c r="A45" s="42" t="s">
        <v>25</v>
      </c>
      <c r="B45" s="70">
        <v>1.121</v>
      </c>
      <c r="C45" s="14">
        <v>1018</v>
      </c>
      <c r="D45" s="71">
        <v>6</v>
      </c>
      <c r="E45" s="71">
        <v>21</v>
      </c>
      <c r="F45" s="72">
        <f t="array" ref="F45">IF('Потребность профиль'!BZ41&gt;0,'Потребность профиль'!BZ41+$D45,0)</f>
        <v>125.22739051017375</v>
      </c>
      <c r="G45" s="72">
        <f t="array" ref="G45">IF('Потребность профиль'!CA41&gt;0,'Потребность профиль'!CA41+$D45,0)</f>
        <v>18.743723716069834</v>
      </c>
      <c r="H45" s="72">
        <f t="array" ref="H45">IF('Потребность профиль'!CB41&gt;0,'Потребность профиль'!CB41+$D45,0)</f>
        <v>40.058116245590455</v>
      </c>
      <c r="I45" s="72">
        <f t="array" ref="I45">IF('Потребность профиль'!CC41&gt;0,'Потребность профиль'!CC41+$D45,0)</f>
        <v>46.394509965700315</v>
      </c>
      <c r="J45" s="72">
        <f t="array" ref="J45">IF('Потребность профиль'!CD41&gt;0,'Потребность профиль'!CD41+$D45,0)</f>
        <v>42.434263890631655</v>
      </c>
      <c r="K45" s="72">
        <f t="array" ref="K45">IF('Потребность профиль'!CE41&gt;0,'Потребность профиль'!CE41+$D45,0)</f>
        <v>42.434263890631655</v>
      </c>
      <c r="L45" s="72">
        <f t="array" ref="L45">IF('Потребность профиль'!CF41&gt;0,'Потребность профиль'!CF41+$D45,0)</f>
        <v>42.434263890631655</v>
      </c>
      <c r="M45" s="72">
        <f t="array" ref="M45">IF('Потребность профиль'!CG41&gt;0,'Потребность профиль'!CG41+$D45,0)</f>
        <v>42.434263890631655</v>
      </c>
      <c r="N45" s="72">
        <f t="array" ref="N45">IF('Потребность профиль'!CH41&gt;0,'Потребность профиль'!CH41+$D45,0)</f>
        <v>42.434263890631655</v>
      </c>
      <c r="O45" s="72">
        <f t="array" ref="O45">IF('Потребность профиль'!CI41&gt;0,'Потребность профиль'!CI41+$D45,0)</f>
        <v>42.434263890631655</v>
      </c>
      <c r="P45" s="72">
        <f t="array" ref="P45">IF('Потребность профиль'!CJ41&gt;0,'Потребность профиль'!CJ41+$D45,0)</f>
        <v>42.434263890631655</v>
      </c>
      <c r="Q45" s="72">
        <f t="array" ref="Q45">IF('Потребность профиль'!CK41&gt;0,'Потребность профиль'!CK41+$D45,0)</f>
        <v>42.434263890631655</v>
      </c>
    </row>
    <row r="46" spans="1:17" x14ac:dyDescent="0.25">
      <c r="A46" s="42" t="s">
        <v>26</v>
      </c>
      <c r="B46" s="70">
        <v>1.5999999999999999</v>
      </c>
      <c r="C46" s="14">
        <v>1018</v>
      </c>
      <c r="D46" s="71">
        <v>6.5</v>
      </c>
      <c r="E46" s="71">
        <v>21</v>
      </c>
      <c r="F46" s="72">
        <f t="array" ref="F46">IF('Потребность профиль'!BZ42&gt;0,'Потребность профиль'!BZ42+$D46,0)</f>
        <v>0</v>
      </c>
      <c r="G46" s="72">
        <f t="array" ref="G46">IF('Потребность профиль'!CA42&gt;0,'Потребность профиль'!CA42+$D46,0)</f>
        <v>7.0952380952380949</v>
      </c>
      <c r="H46" s="72">
        <f t="array" ref="H46">IF('Потребность профиль'!CB42&gt;0,'Потребность профиль'!CB42+$D46,0)</f>
        <v>0</v>
      </c>
      <c r="I46" s="72">
        <f t="array" ref="I46">IF('Потребность профиль'!CC42&gt;0,'Потребность профиль'!CC42+$D46,0)</f>
        <v>0</v>
      </c>
      <c r="J46" s="72">
        <f t="array" ref="J46">IF('Потребность профиль'!CD42&gt;0,'Потребность профиль'!CD42+$D46,0)</f>
        <v>0</v>
      </c>
      <c r="K46" s="72">
        <f t="array" ref="K46">IF('Потребность профиль'!CE42&gt;0,'Потребность профиль'!CE42+$D46,0)</f>
        <v>0</v>
      </c>
      <c r="L46" s="72">
        <f t="array" ref="L46">IF('Потребность профиль'!CF42&gt;0,'Потребность профиль'!CF42+$D46,0)</f>
        <v>0</v>
      </c>
      <c r="M46" s="72">
        <f t="array" ref="M46">IF('Потребность профиль'!CG42&gt;0,'Потребность профиль'!CG42+$D46,0)</f>
        <v>0</v>
      </c>
      <c r="N46" s="72">
        <f t="array" ref="N46">IF('Потребность профиль'!CH42&gt;0,'Потребность профиль'!CH42+$D46,0)</f>
        <v>0</v>
      </c>
      <c r="O46" s="72">
        <f t="array" ref="O46">IF('Потребность профиль'!CI42&gt;0,'Потребность профиль'!CI42+$D46,0)</f>
        <v>0</v>
      </c>
      <c r="P46" s="72">
        <f t="array" ref="P46">IF('Потребность профиль'!CJ42&gt;0,'Потребность профиль'!CJ42+$D46,0)</f>
        <v>0</v>
      </c>
      <c r="Q46" s="72">
        <f t="array" ref="Q46">IF('Потребность профиль'!CK42&gt;0,'Потребность профиль'!CK42+$D46,0)</f>
        <v>0</v>
      </c>
    </row>
    <row r="47" spans="1:17" x14ac:dyDescent="0.25">
      <c r="A47" s="42" t="s">
        <v>30</v>
      </c>
      <c r="B47" s="70">
        <v>2.093</v>
      </c>
      <c r="C47" s="14">
        <v>1018</v>
      </c>
      <c r="D47" s="71">
        <v>7.5</v>
      </c>
      <c r="E47" s="71">
        <v>18</v>
      </c>
      <c r="F47" s="72">
        <f t="array" ref="F47">IF('Потребность профиль'!BZ43&gt;0,'Потребность профиль'!BZ43+$D47,0)</f>
        <v>8.8271752402187182</v>
      </c>
      <c r="G47" s="72">
        <f t="array" ref="G47">IF('Потребность профиль'!CA43&gt;0,'Потребность профиль'!CA43+$D47,0)</f>
        <v>0</v>
      </c>
      <c r="H47" s="72">
        <f t="array" ref="H47">IF('Потребность профиль'!CB43&gt;0,'Потребность профиль'!CB43+$D47,0)</f>
        <v>8.6693173922631885</v>
      </c>
      <c r="I47" s="72">
        <f t="array" ref="I47">IF('Потребность профиль'!CC43&gt;0,'Потребность профиль'!CC43+$D47,0)</f>
        <v>8.8868648140795958</v>
      </c>
      <c r="J47" s="72">
        <f t="array" ref="J47">IF('Потребность профиль'!CD43&gt;0,'Потребность профиль'!CD43+$D47,0)</f>
        <v>8.7508976754443406</v>
      </c>
      <c r="K47" s="72">
        <f t="array" ref="K47">IF('Потребность профиль'!CE43&gt;0,'Потребность профиль'!CE43+$D47,0)</f>
        <v>8.7508976754443406</v>
      </c>
      <c r="L47" s="72">
        <f t="array" ref="L47">IF('Потребность профиль'!CF43&gt;0,'Потребность профиль'!CF43+$D47,0)</f>
        <v>8.7508976754443406</v>
      </c>
      <c r="M47" s="72">
        <f t="array" ref="M47">IF('Потребность профиль'!CG43&gt;0,'Потребность профиль'!CG43+$D47,0)</f>
        <v>8.7508976754443406</v>
      </c>
      <c r="N47" s="72">
        <f t="array" ref="N47">IF('Потребность профиль'!CH43&gt;0,'Потребность профиль'!CH43+$D47,0)</f>
        <v>8.7508976754443406</v>
      </c>
      <c r="O47" s="72">
        <f t="array" ref="O47">IF('Потребность профиль'!CI43&gt;0,'Потребность профиль'!CI43+$D47,0)</f>
        <v>8.7508976754443406</v>
      </c>
      <c r="P47" s="72">
        <f t="array" ref="P47">IF('Потребность профиль'!CJ43&gt;0,'Потребность профиль'!CJ43+$D47,0)</f>
        <v>8.7508976754443406</v>
      </c>
      <c r="Q47" s="72">
        <f t="array" ref="Q47">IF('Потребность профиль'!CK43&gt;0,'Потребность профиль'!CK43+$D47,0)</f>
        <v>8.7508976754443406</v>
      </c>
    </row>
    <row r="48" spans="1:17" x14ac:dyDescent="0.25">
      <c r="A48" s="42" t="s">
        <v>31</v>
      </c>
      <c r="B48" s="70">
        <v>4.0650000000000004</v>
      </c>
      <c r="C48" s="14">
        <v>1018</v>
      </c>
      <c r="D48" s="71">
        <v>11</v>
      </c>
      <c r="E48" s="71">
        <v>12</v>
      </c>
      <c r="F48" s="72">
        <f t="array" ref="F48">IF('Потребность профиль'!BZ44&gt;0,'Потребность профиль'!BZ44+$D48,0)</f>
        <v>13.050020500205001</v>
      </c>
      <c r="G48" s="72">
        <f t="array" ref="G48">IF('Потребность профиль'!CA44&gt;0,'Потребность профиль'!CA44+$D48,0)</f>
        <v>11.820008200082</v>
      </c>
      <c r="H48" s="72">
        <f t="array" ref="H48">IF('Потребность профиль'!CB44&gt;0,'Потребность профиль'!CB44+$D48,0)</f>
        <v>586.63130697386259</v>
      </c>
      <c r="I48" s="72">
        <f t="array" ref="I48">IF('Потребность профиль'!CC44&gt;0,'Потребность профиль'!CC44+$D48,0)</f>
        <v>693.72550362016261</v>
      </c>
      <c r="J48" s="72">
        <f t="array" ref="J48">IF('Потребность профиль'!CD44&gt;0,'Потребность профиль'!CD44+$D48,0)</f>
        <v>626.79163071622509</v>
      </c>
      <c r="K48" s="72">
        <f t="array" ref="K48">IF('Потребность профиль'!CE44&gt;0,'Потребность профиль'!CE44+$D48,0)</f>
        <v>626.79163071622509</v>
      </c>
      <c r="L48" s="72">
        <f t="array" ref="L48">IF('Потребность профиль'!CF44&gt;0,'Потребность профиль'!CF44+$D48,0)</f>
        <v>626.79163071622509</v>
      </c>
      <c r="M48" s="72">
        <f t="array" ref="M48">IF('Потребность профиль'!CG44&gt;0,'Потребность профиль'!CG44+$D48,0)</f>
        <v>626.79163071622509</v>
      </c>
      <c r="N48" s="72">
        <f t="array" ref="N48">IF('Потребность профиль'!CH44&gt;0,'Потребность профиль'!CH44+$D48,0)</f>
        <v>626.79163071622509</v>
      </c>
      <c r="O48" s="72">
        <f t="array" ref="O48">IF('Потребность профиль'!CI44&gt;0,'Потребность профиль'!CI44+$D48,0)</f>
        <v>626.79163071622509</v>
      </c>
      <c r="P48" s="72">
        <f t="array" ref="P48">IF('Потребность профиль'!CJ44&gt;0,'Потребность профиль'!CJ44+$D48,0)</f>
        <v>626.79163071622509</v>
      </c>
      <c r="Q48" s="72">
        <f t="array" ref="Q48">IF('Потребность профиль'!CK44&gt;0,'Потребность профиль'!CK44+$D48,0)</f>
        <v>626.79163071622509</v>
      </c>
    </row>
    <row r="49" spans="1:20" x14ac:dyDescent="0.25">
      <c r="A49" s="42" t="s">
        <v>32</v>
      </c>
      <c r="B49" s="70">
        <v>7.0369999999999999</v>
      </c>
      <c r="C49" s="14">
        <v>1018</v>
      </c>
      <c r="D49" s="71">
        <v>18</v>
      </c>
      <c r="E49" s="71">
        <v>9</v>
      </c>
      <c r="F49" s="72">
        <f t="array" ref="F49">IF('Потребность профиль'!BZ45&gt;0,'Потребность профиль'!BZ45+$D49,0)</f>
        <v>489.63406123190117</v>
      </c>
      <c r="G49" s="72">
        <f t="array" ref="G49">IF('Потребность профиль'!CA45&gt;0,'Потребность профиль'!CA45+$D49,0)</f>
        <v>247.73805125290133</v>
      </c>
      <c r="H49" s="72">
        <f t="array" ref="H49">IF('Потребность профиль'!CB45&gt;0,'Потребность профиль'!CB45+$D49,0)</f>
        <v>19.391150377721672</v>
      </c>
      <c r="I49" s="72">
        <f t="array" ref="I49">IF('Потребность профиль'!CC45&gt;0,'Потребность профиль'!CC45+$D49,0)</f>
        <v>19.649969052646636</v>
      </c>
      <c r="J49" s="72">
        <f t="array" ref="J49">IF('Потребность профиль'!CD45&gt;0,'Потребность профиль'!CD45+$D49,0)</f>
        <v>19.488207380818533</v>
      </c>
      <c r="K49" s="72">
        <f t="array" ref="K49">IF('Потребность профиль'!CE45&gt;0,'Потребность профиль'!CE45+$D49,0)</f>
        <v>19.488207380818533</v>
      </c>
      <c r="L49" s="72">
        <f t="array" ref="L49">IF('Потребность профиль'!CF45&gt;0,'Потребность профиль'!CF45+$D49,0)</f>
        <v>19.488207380818533</v>
      </c>
      <c r="M49" s="72">
        <f t="array" ref="M49">IF('Потребность профиль'!CG45&gt;0,'Потребность профиль'!CG45+$D49,0)</f>
        <v>19.488207380818533</v>
      </c>
      <c r="N49" s="72">
        <f t="array" ref="N49">IF('Потребность профиль'!CH45&gt;0,'Потребность профиль'!CH45+$D49,0)</f>
        <v>19.488207380818533</v>
      </c>
      <c r="O49" s="72">
        <f t="array" ref="O49">IF('Потребность профиль'!CI45&gt;0,'Потребность профиль'!CI45+$D49,0)</f>
        <v>19.488207380818533</v>
      </c>
      <c r="P49" s="72">
        <f t="array" ref="P49">IF('Потребность профиль'!CJ45&gt;0,'Потребность профиль'!CJ45+$D49,0)</f>
        <v>19.488207380818533</v>
      </c>
      <c r="Q49" s="72">
        <f t="array" ref="Q49">IF('Потребность профиль'!CK45&gt;0,'Потребность профиль'!CK45+$D49,0)</f>
        <v>19.488207380818533</v>
      </c>
    </row>
    <row r="50" spans="1:20" x14ac:dyDescent="0.25">
      <c r="A50" s="42" t="s">
        <v>29</v>
      </c>
      <c r="B50" s="70">
        <v>0.83</v>
      </c>
      <c r="C50" s="14">
        <v>1018</v>
      </c>
      <c r="D50" s="71">
        <v>6</v>
      </c>
      <c r="E50" s="71">
        <v>21</v>
      </c>
      <c r="F50" s="72">
        <f t="array" ref="F50">IF('Потребность профиль'!BZ46&gt;0,'Потребность профиль'!BZ46+$D50,0)</f>
        <v>0</v>
      </c>
      <c r="G50" s="72">
        <f t="array" ref="G50">IF('Потребность профиль'!CA46&gt;0,'Потребность профиль'!CA46+$D50,0)</f>
        <v>0</v>
      </c>
      <c r="H50" s="72">
        <f t="array" ref="H50">IF('Потребность профиль'!CB46&gt;0,'Потребность профиль'!CB46+$D50,0)</f>
        <v>0</v>
      </c>
      <c r="I50" s="72">
        <f t="array" ref="I50">IF('Потребность профиль'!CC46&gt;0,'Потребность профиль'!CC46+$D50,0)</f>
        <v>0</v>
      </c>
      <c r="J50" s="72">
        <f t="array" ref="J50">IF('Потребность профиль'!CD46&gt;0,'Потребность профиль'!CD46+$D50,0)</f>
        <v>0</v>
      </c>
      <c r="K50" s="72">
        <f t="array" ref="K50">IF('Потребность профиль'!CE46&gt;0,'Потребность профиль'!CE46+$D50,0)</f>
        <v>0</v>
      </c>
      <c r="L50" s="72">
        <f t="array" ref="L50">IF('Потребность профиль'!CF46&gt;0,'Потребность профиль'!CF46+$D50,0)</f>
        <v>0</v>
      </c>
      <c r="M50" s="72">
        <f t="array" ref="M50">IF('Потребность профиль'!CG46&gt;0,'Потребность профиль'!CG46+$D50,0)</f>
        <v>0</v>
      </c>
      <c r="N50" s="72">
        <f t="array" ref="N50">IF('Потребность профиль'!CH46&gt;0,'Потребность профиль'!CH46+$D50,0)</f>
        <v>0</v>
      </c>
      <c r="O50" s="72">
        <f t="array" ref="O50">IF('Потребность профиль'!CI46&gt;0,'Потребность профиль'!CI46+$D50,0)</f>
        <v>0</v>
      </c>
      <c r="P50" s="72">
        <f t="array" ref="P50">IF('Потребность профиль'!CJ46&gt;0,'Потребность профиль'!CJ46+$D50,0)</f>
        <v>0</v>
      </c>
      <c r="Q50" s="72">
        <f t="array" ref="Q50">IF('Потребность профиль'!CK46&gt;0,'Потребность профиль'!CK46+$D50,0)</f>
        <v>0</v>
      </c>
      <c r="R50" s="99"/>
    </row>
    <row r="51" spans="1:20" hidden="1" x14ac:dyDescent="0.25">
      <c r="A51" s="100"/>
      <c r="B51" s="101"/>
      <c r="C51" s="102"/>
      <c r="D51" s="103"/>
      <c r="E51" s="103"/>
      <c r="F51" s="104">
        <f>IF(SUM(F9:F50)&lt;F5*R6,F5*R4,SUM(F9:F50))</f>
        <v>2183.6008605043839</v>
      </c>
      <c r="G51" s="104">
        <f>IF(SUM(G9:G50)&lt;G5*R6,G5*R4,SUM(G9:G50))</f>
        <v>2183.6008605043839</v>
      </c>
      <c r="H51" s="104">
        <f>IF(SUM(H9:H50)&lt;H5*R6,H5*R4,SUM(H9:H50))</f>
        <v>2113.1621230687588</v>
      </c>
      <c r="I51" s="104">
        <f>IF(SUM(I9:I50)&lt;I5*R6,I5*R4,SUM(I9:I50))</f>
        <v>2183.6008605043839</v>
      </c>
      <c r="J51" s="104">
        <f>IF(SUM(J9:J50)&lt;J5*R6,J5*R4,SUM(J9:J50))</f>
        <v>2113.1621230687588</v>
      </c>
      <c r="K51" s="104">
        <f>IF(SUM(K9:K50)&lt;K5*R6,K5*R4,SUM(K9:K50))</f>
        <v>2113.1621230687588</v>
      </c>
      <c r="L51" s="104">
        <f>IF(SUM(L9:L50)&lt;L5*R6,L5*R4,SUM(L9:L50))</f>
        <v>1831.4071733262574</v>
      </c>
      <c r="M51" s="104">
        <f>IF(SUM(M9:M50)&lt;M5*R6,M5*R4,SUM(M9:M50))</f>
        <v>2042.7233856331334</v>
      </c>
      <c r="N51" s="104">
        <f>IF(SUM(N9:N50)&lt;N5*R6,N5*R4,SUM(N9:N50))</f>
        <v>2183.6008605043839</v>
      </c>
      <c r="O51" s="104">
        <f>IF(SUM(O9:O50)&lt;O5*R6,O5*R4,SUM(O9:O50))</f>
        <v>2113.1621230687588</v>
      </c>
      <c r="P51" s="104">
        <f>IF(SUM(P9:P50)&lt;P5*R6,P5*R4,SUM(P9:P50))</f>
        <v>2183.6008605043839</v>
      </c>
      <c r="Q51" s="104">
        <f>IF(SUM(Q9:Q50)&lt;Q5*R6,Q5*R4,SUM(Q9:Q50))</f>
        <v>2113.1621230687588</v>
      </c>
      <c r="R51" s="99">
        <f>SUM(F51:Q51)</f>
        <v>25357.945476825105</v>
      </c>
    </row>
    <row r="53" spans="1:20" ht="26.25" x14ac:dyDescent="0.25">
      <c r="A53" s="353" t="s">
        <v>413</v>
      </c>
      <c r="B53" s="353"/>
      <c r="C53" s="353"/>
      <c r="D53" s="353"/>
      <c r="E53" s="353"/>
      <c r="F53" s="353"/>
      <c r="G53" s="353"/>
      <c r="H53" s="353"/>
      <c r="I53" s="353"/>
      <c r="J53" s="353"/>
      <c r="K53" s="353"/>
      <c r="L53" s="353"/>
      <c r="M53" s="353"/>
      <c r="N53" s="353"/>
      <c r="O53" s="353"/>
      <c r="P53" s="353"/>
      <c r="Q53" s="353"/>
    </row>
    <row r="54" spans="1:20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</row>
    <row r="55" spans="1:20" ht="15.75" thickBot="1" x14ac:dyDescent="0.3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</row>
    <row r="56" spans="1:20" ht="15.75" thickBot="1" x14ac:dyDescent="0.3">
      <c r="A56" s="354" t="s">
        <v>411</v>
      </c>
      <c r="B56" s="355"/>
      <c r="C56" s="356"/>
      <c r="D56" s="357"/>
      <c r="E56" s="86"/>
      <c r="F56" s="87">
        <f>F5</f>
        <v>3348</v>
      </c>
      <c r="G56" s="87">
        <f t="shared" ref="G56:Q56" si="1">G5</f>
        <v>3348</v>
      </c>
      <c r="H56" s="87">
        <f t="shared" si="1"/>
        <v>3240</v>
      </c>
      <c r="I56" s="87">
        <f t="shared" si="1"/>
        <v>3348</v>
      </c>
      <c r="J56" s="87">
        <f t="shared" si="1"/>
        <v>3240</v>
      </c>
      <c r="K56" s="87">
        <f t="shared" si="1"/>
        <v>3240</v>
      </c>
      <c r="L56" s="87">
        <f t="shared" si="1"/>
        <v>2808</v>
      </c>
      <c r="M56" s="87">
        <f t="shared" si="1"/>
        <v>3132</v>
      </c>
      <c r="N56" s="87">
        <f t="shared" si="1"/>
        <v>3348</v>
      </c>
      <c r="O56" s="87">
        <f t="shared" si="1"/>
        <v>3240</v>
      </c>
      <c r="P56" s="87">
        <f t="shared" si="1"/>
        <v>3348</v>
      </c>
      <c r="Q56" s="87">
        <f t="shared" si="1"/>
        <v>3240</v>
      </c>
    </row>
    <row r="57" spans="1:20" ht="75.75" thickBot="1" x14ac:dyDescent="0.3">
      <c r="A57" s="68" t="s">
        <v>414</v>
      </c>
      <c r="B57" s="8" t="s">
        <v>388</v>
      </c>
      <c r="C57" s="68" t="s">
        <v>4</v>
      </c>
      <c r="D57" s="69" t="s">
        <v>400</v>
      </c>
      <c r="E57" s="67" t="s">
        <v>401</v>
      </c>
      <c r="F57" s="314">
        <f>F7</f>
        <v>42583</v>
      </c>
      <c r="G57" s="314">
        <f t="shared" ref="G57:Q57" si="2">G7</f>
        <v>42614</v>
      </c>
      <c r="H57" s="314">
        <f t="shared" si="2"/>
        <v>42644</v>
      </c>
      <c r="I57" s="314">
        <f t="shared" si="2"/>
        <v>42675</v>
      </c>
      <c r="J57" s="314">
        <f t="shared" si="2"/>
        <v>42705</v>
      </c>
      <c r="K57" s="314">
        <f t="shared" si="2"/>
        <v>42736</v>
      </c>
      <c r="L57" s="314">
        <f t="shared" si="2"/>
        <v>42767</v>
      </c>
      <c r="M57" s="314">
        <f t="shared" si="2"/>
        <v>42795</v>
      </c>
      <c r="N57" s="314">
        <f t="shared" si="2"/>
        <v>42826</v>
      </c>
      <c r="O57" s="314">
        <f t="shared" si="2"/>
        <v>42856</v>
      </c>
      <c r="P57" s="314">
        <f t="shared" si="2"/>
        <v>42887</v>
      </c>
      <c r="Q57" s="314">
        <f t="shared" si="2"/>
        <v>42917</v>
      </c>
      <c r="S57" s="29" t="s">
        <v>430</v>
      </c>
    </row>
    <row r="58" spans="1:20" ht="15.75" thickBot="1" x14ac:dyDescent="0.3">
      <c r="A58" s="350" t="s">
        <v>415</v>
      </c>
      <c r="B58" s="351"/>
      <c r="C58" s="351"/>
      <c r="D58" s="352"/>
      <c r="E58" s="89">
        <f>AVERAGE(F58:Q58)</f>
        <v>0.65584985512339344</v>
      </c>
      <c r="F58" s="90">
        <f t="shared" ref="F58:P58" si="3">SUM(F59:F100)/F56</f>
        <v>0.8343515499933073</v>
      </c>
      <c r="G58" s="90">
        <f>SUM(G59:G100)/G56</f>
        <v>0.15784299084030265</v>
      </c>
      <c r="H58" s="90">
        <f t="shared" si="3"/>
        <v>0.76656349457132211</v>
      </c>
      <c r="I58" s="90">
        <f t="shared" si="3"/>
        <v>0.87999999999999989</v>
      </c>
      <c r="J58" s="90">
        <f t="shared" si="3"/>
        <v>0.64396366158798168</v>
      </c>
      <c r="K58" s="90">
        <f t="shared" si="3"/>
        <v>0.64396366158798168</v>
      </c>
      <c r="L58" s="90">
        <f t="shared" si="3"/>
        <v>0.74303499413997887</v>
      </c>
      <c r="M58" s="90">
        <f t="shared" si="3"/>
        <v>0.66616930509101546</v>
      </c>
      <c r="N58" s="90">
        <f t="shared" si="3"/>
        <v>0.62319064024643389</v>
      </c>
      <c r="O58" s="90">
        <f t="shared" si="3"/>
        <v>0.64396366158798168</v>
      </c>
      <c r="P58" s="90">
        <f t="shared" si="3"/>
        <v>0.62319064024643389</v>
      </c>
      <c r="Q58" s="90">
        <f>SUM(Q59:Q100)/Q56</f>
        <v>0.64396366158798168</v>
      </c>
    </row>
    <row r="59" spans="1:20" x14ac:dyDescent="0.25">
      <c r="A59" s="42" t="s">
        <v>53</v>
      </c>
      <c r="B59" s="70">
        <v>1.105</v>
      </c>
      <c r="C59" s="14">
        <v>1018</v>
      </c>
      <c r="D59" s="71">
        <v>9</v>
      </c>
      <c r="E59" s="71">
        <v>42</v>
      </c>
      <c r="F59" s="72">
        <v>505.09799999999996</v>
      </c>
      <c r="G59" s="72">
        <v>55.571428571428569</v>
      </c>
      <c r="H59" s="72">
        <v>0</v>
      </c>
      <c r="I59" s="72">
        <v>303.28571428571428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</row>
    <row r="60" spans="1:20" x14ac:dyDescent="0.25">
      <c r="A60" s="42" t="s">
        <v>33</v>
      </c>
      <c r="B60" s="70">
        <v>8.661999999999999</v>
      </c>
      <c r="C60" s="14">
        <v>1018</v>
      </c>
      <c r="D60" s="71">
        <v>37</v>
      </c>
      <c r="E60" s="71">
        <v>9</v>
      </c>
      <c r="F60" s="72">
        <v>0</v>
      </c>
      <c r="G60" s="72">
        <v>0</v>
      </c>
      <c r="H60" s="72">
        <v>0</v>
      </c>
      <c r="I60" s="72">
        <v>39.666666666666664</v>
      </c>
      <c r="J60" s="72">
        <v>39.666666666666664</v>
      </c>
      <c r="K60" s="72">
        <v>39.666666666666664</v>
      </c>
      <c r="L60" s="72">
        <v>39.666666666666664</v>
      </c>
      <c r="M60" s="72">
        <v>39.666666666666664</v>
      </c>
      <c r="N60" s="72">
        <v>39.666666666666664</v>
      </c>
      <c r="O60" s="72">
        <v>39.666666666666664</v>
      </c>
      <c r="P60" s="72">
        <v>39.666666666666664</v>
      </c>
      <c r="Q60" s="72">
        <v>39.666666666666664</v>
      </c>
    </row>
    <row r="61" spans="1:20" x14ac:dyDescent="0.25">
      <c r="A61" s="42" t="s">
        <v>34</v>
      </c>
      <c r="B61" s="70">
        <v>16.061</v>
      </c>
      <c r="C61" s="14">
        <v>1018</v>
      </c>
      <c r="D61" s="71">
        <v>52</v>
      </c>
      <c r="E61" s="71">
        <v>6</v>
      </c>
      <c r="F61" s="72">
        <v>386.66160263993521</v>
      </c>
      <c r="G61" s="72">
        <v>0</v>
      </c>
      <c r="H61" s="72">
        <v>340.06589690859533</v>
      </c>
      <c r="I61" s="72">
        <v>340.06589690859533</v>
      </c>
      <c r="J61" s="72">
        <v>274.70640769404008</v>
      </c>
      <c r="K61" s="72">
        <v>274.70640769404008</v>
      </c>
      <c r="L61" s="72">
        <v>274.70640769404008</v>
      </c>
      <c r="M61" s="72">
        <v>274.70640769404008</v>
      </c>
      <c r="N61" s="72">
        <v>274.70640769404008</v>
      </c>
      <c r="O61" s="72">
        <v>274.70640769404008</v>
      </c>
      <c r="P61" s="72">
        <v>274.70640769404008</v>
      </c>
      <c r="Q61" s="72">
        <v>274.70640769404008</v>
      </c>
    </row>
    <row r="62" spans="1:20" x14ac:dyDescent="0.25">
      <c r="A62" s="42" t="s">
        <v>56</v>
      </c>
      <c r="B62" s="70">
        <v>1.2739999999999998</v>
      </c>
      <c r="C62" s="14">
        <v>1018</v>
      </c>
      <c r="D62" s="71">
        <v>6.5</v>
      </c>
      <c r="E62" s="71">
        <v>21</v>
      </c>
      <c r="F62" s="72">
        <v>0</v>
      </c>
      <c r="G62" s="72">
        <v>0</v>
      </c>
      <c r="H62" s="72">
        <v>0</v>
      </c>
      <c r="I62" s="72">
        <v>0</v>
      </c>
      <c r="J62" s="72">
        <v>0</v>
      </c>
      <c r="K62" s="72">
        <v>0</v>
      </c>
      <c r="L62" s="72">
        <v>0</v>
      </c>
      <c r="M62" s="72">
        <v>0</v>
      </c>
      <c r="N62" s="72">
        <v>0</v>
      </c>
      <c r="O62" s="72">
        <v>0</v>
      </c>
      <c r="P62" s="72">
        <v>0</v>
      </c>
      <c r="Q62" s="72">
        <v>0</v>
      </c>
    </row>
    <row r="63" spans="1:20" x14ac:dyDescent="0.25">
      <c r="A63" s="42" t="s">
        <v>57</v>
      </c>
      <c r="B63" s="70">
        <v>1.738</v>
      </c>
      <c r="C63" s="14">
        <v>1018</v>
      </c>
      <c r="D63" s="71">
        <v>6.5</v>
      </c>
      <c r="E63" s="71">
        <v>21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T63" s="106"/>
    </row>
    <row r="64" spans="1:20" x14ac:dyDescent="0.25">
      <c r="A64" s="42" t="s">
        <v>58</v>
      </c>
      <c r="B64" s="70">
        <v>3.4379999999999997</v>
      </c>
      <c r="C64" s="14">
        <v>1018</v>
      </c>
      <c r="D64" s="71">
        <v>8</v>
      </c>
      <c r="E64" s="71">
        <v>18</v>
      </c>
      <c r="F64" s="72">
        <v>0</v>
      </c>
      <c r="G64" s="72">
        <v>0</v>
      </c>
      <c r="H64" s="72">
        <v>0</v>
      </c>
      <c r="I64" s="72">
        <v>0</v>
      </c>
      <c r="J64" s="72">
        <v>0</v>
      </c>
      <c r="K64" s="72">
        <v>0</v>
      </c>
      <c r="L64" s="72">
        <v>0</v>
      </c>
      <c r="M64" s="72">
        <v>0</v>
      </c>
      <c r="N64" s="72">
        <v>0</v>
      </c>
      <c r="O64" s="72">
        <v>0</v>
      </c>
      <c r="P64" s="72">
        <v>0</v>
      </c>
      <c r="Q64" s="72">
        <v>0</v>
      </c>
    </row>
    <row r="65" spans="1:17" x14ac:dyDescent="0.25">
      <c r="A65" s="42" t="s">
        <v>59</v>
      </c>
      <c r="B65" s="70">
        <v>4.1779999999999999</v>
      </c>
      <c r="C65" s="14">
        <v>1018</v>
      </c>
      <c r="D65" s="71">
        <v>8</v>
      </c>
      <c r="E65" s="71">
        <v>18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</row>
    <row r="66" spans="1:17" x14ac:dyDescent="0.25">
      <c r="A66" s="42" t="s">
        <v>60</v>
      </c>
      <c r="B66" s="70">
        <v>0.63800000000000001</v>
      </c>
      <c r="C66" s="14">
        <v>1018</v>
      </c>
      <c r="D66" s="71">
        <v>5.5</v>
      </c>
      <c r="E66" s="71">
        <v>21</v>
      </c>
      <c r="F66" s="72">
        <v>29.214285714285715</v>
      </c>
      <c r="G66" s="72">
        <v>12.928571428571429</v>
      </c>
      <c r="H66" s="72">
        <v>0</v>
      </c>
      <c r="I66" s="72">
        <v>0</v>
      </c>
      <c r="J66" s="72">
        <v>0</v>
      </c>
      <c r="K66" s="72">
        <v>0</v>
      </c>
      <c r="L66" s="72">
        <v>0</v>
      </c>
      <c r="M66" s="72">
        <v>0</v>
      </c>
      <c r="N66" s="72">
        <v>0</v>
      </c>
      <c r="O66" s="72">
        <v>0</v>
      </c>
      <c r="P66" s="72">
        <v>0</v>
      </c>
      <c r="Q66" s="72">
        <v>0</v>
      </c>
    </row>
    <row r="67" spans="1:17" x14ac:dyDescent="0.25">
      <c r="A67" s="42" t="s">
        <v>61</v>
      </c>
      <c r="B67" s="70">
        <v>1.115</v>
      </c>
      <c r="C67" s="14">
        <v>1018</v>
      </c>
      <c r="D67" s="71">
        <v>5.5</v>
      </c>
      <c r="E67" s="71">
        <v>21</v>
      </c>
      <c r="F67" s="72">
        <v>10.928571428571429</v>
      </c>
      <c r="G67" s="72">
        <v>19.214285714285715</v>
      </c>
      <c r="H67" s="72">
        <v>0</v>
      </c>
      <c r="I67" s="72">
        <v>0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</v>
      </c>
      <c r="P67" s="72">
        <v>0</v>
      </c>
      <c r="Q67" s="72">
        <v>0</v>
      </c>
    </row>
    <row r="68" spans="1:17" x14ac:dyDescent="0.25">
      <c r="A68" s="42" t="s">
        <v>62</v>
      </c>
      <c r="B68" s="70">
        <v>2.367</v>
      </c>
      <c r="C68" s="14">
        <v>1018</v>
      </c>
      <c r="D68" s="71">
        <v>7</v>
      </c>
      <c r="E68" s="71">
        <v>18</v>
      </c>
      <c r="F68" s="72">
        <v>13.666666666666668</v>
      </c>
      <c r="G68" s="72">
        <v>18.666666666666664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</row>
    <row r="69" spans="1:17" x14ac:dyDescent="0.25">
      <c r="A69" s="42" t="s">
        <v>63</v>
      </c>
      <c r="B69" s="70">
        <v>3.1069999999999998</v>
      </c>
      <c r="C69" s="14">
        <v>1018</v>
      </c>
      <c r="D69" s="71">
        <v>8</v>
      </c>
      <c r="E69" s="71">
        <v>18</v>
      </c>
      <c r="F69" s="72">
        <v>21.666666666666664</v>
      </c>
      <c r="G69" s="72">
        <v>16.333333333333336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</row>
    <row r="70" spans="1:17" x14ac:dyDescent="0.25">
      <c r="A70" s="42" t="s">
        <v>64</v>
      </c>
      <c r="B70" s="70">
        <v>5.6950000000000003</v>
      </c>
      <c r="C70" s="14">
        <v>1018</v>
      </c>
      <c r="D70" s="71">
        <v>10</v>
      </c>
      <c r="E70" s="71">
        <v>15</v>
      </c>
      <c r="F70" s="72">
        <v>86</v>
      </c>
      <c r="G70" s="72">
        <v>0</v>
      </c>
      <c r="H70" s="72">
        <v>0</v>
      </c>
      <c r="I70" s="72">
        <v>0</v>
      </c>
      <c r="J70" s="72">
        <v>0</v>
      </c>
      <c r="K70" s="72">
        <v>0</v>
      </c>
      <c r="L70" s="72">
        <v>0</v>
      </c>
      <c r="M70" s="72">
        <v>0</v>
      </c>
      <c r="N70" s="72">
        <v>0</v>
      </c>
      <c r="O70" s="72">
        <v>0</v>
      </c>
      <c r="P70" s="72">
        <v>0</v>
      </c>
      <c r="Q70" s="72">
        <v>0</v>
      </c>
    </row>
    <row r="71" spans="1:17" x14ac:dyDescent="0.25">
      <c r="A71" s="42" t="s">
        <v>35</v>
      </c>
      <c r="B71" s="70">
        <v>7.399</v>
      </c>
      <c r="C71" s="14">
        <v>1018</v>
      </c>
      <c r="D71" s="71">
        <v>19</v>
      </c>
      <c r="E71" s="71">
        <v>12</v>
      </c>
      <c r="F71" s="72">
        <v>0</v>
      </c>
      <c r="G71" s="72">
        <v>0</v>
      </c>
      <c r="H71" s="72">
        <v>41.244025782909745</v>
      </c>
      <c r="I71" s="72">
        <v>41.244025782909745</v>
      </c>
      <c r="J71" s="72">
        <v>36.197061949812579</v>
      </c>
      <c r="K71" s="72">
        <v>36.197061949812579</v>
      </c>
      <c r="L71" s="72">
        <v>36.197061949812579</v>
      </c>
      <c r="M71" s="72">
        <v>36.197061949812579</v>
      </c>
      <c r="N71" s="72">
        <v>36.197061949812579</v>
      </c>
      <c r="O71" s="72">
        <v>36.197061949812579</v>
      </c>
      <c r="P71" s="72">
        <v>36.197061949812579</v>
      </c>
      <c r="Q71" s="72">
        <v>36.197061949812579</v>
      </c>
    </row>
    <row r="72" spans="1:17" x14ac:dyDescent="0.25">
      <c r="A72" s="42" t="s">
        <v>55</v>
      </c>
      <c r="B72" s="70">
        <v>0.73</v>
      </c>
      <c r="C72" s="14">
        <v>1018</v>
      </c>
      <c r="D72" s="71">
        <v>5.5</v>
      </c>
      <c r="E72" s="71">
        <v>21</v>
      </c>
      <c r="F72" s="72">
        <v>42.681996086105677</v>
      </c>
      <c r="G72" s="72">
        <v>0</v>
      </c>
      <c r="H72" s="72">
        <v>29.357874431796652</v>
      </c>
      <c r="I72" s="72">
        <v>29.357874431796652</v>
      </c>
      <c r="J72" s="72">
        <v>23.944743258195732</v>
      </c>
      <c r="K72" s="72">
        <v>23.944743258195732</v>
      </c>
      <c r="L72" s="72">
        <v>23.944743258195732</v>
      </c>
      <c r="M72" s="72">
        <v>23.944743258195732</v>
      </c>
      <c r="N72" s="72">
        <v>23.944743258195732</v>
      </c>
      <c r="O72" s="72">
        <v>23.944743258195732</v>
      </c>
      <c r="P72" s="72">
        <v>23.944743258195732</v>
      </c>
      <c r="Q72" s="72">
        <v>23.944743258195732</v>
      </c>
    </row>
    <row r="73" spans="1:17" x14ac:dyDescent="0.25">
      <c r="A73" s="42" t="s">
        <v>54</v>
      </c>
      <c r="B73" s="70">
        <v>1.3419999999999999</v>
      </c>
      <c r="C73" s="14">
        <v>1018</v>
      </c>
      <c r="D73" s="71">
        <v>7</v>
      </c>
      <c r="E73" s="71">
        <v>21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</row>
    <row r="74" spans="1:17" x14ac:dyDescent="0.25">
      <c r="A74" s="42" t="s">
        <v>52</v>
      </c>
      <c r="B74" s="70">
        <v>0.82699999999999996</v>
      </c>
      <c r="C74" s="14">
        <v>1018</v>
      </c>
      <c r="D74" s="71">
        <v>9</v>
      </c>
      <c r="E74" s="71">
        <v>42</v>
      </c>
      <c r="F74" s="72">
        <v>418.06386476190477</v>
      </c>
      <c r="G74" s="72">
        <v>18.80952380952381</v>
      </c>
      <c r="H74" s="72">
        <v>0</v>
      </c>
      <c r="I74" s="72">
        <v>107.0952380952381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</row>
    <row r="75" spans="1:17" x14ac:dyDescent="0.25">
      <c r="A75" s="42" t="s">
        <v>50</v>
      </c>
      <c r="B75" s="70">
        <v>0.53100000000000003</v>
      </c>
      <c r="C75" s="14">
        <v>1018</v>
      </c>
      <c r="D75" s="71">
        <v>4</v>
      </c>
      <c r="E75" s="71">
        <v>24</v>
      </c>
      <c r="F75" s="72">
        <v>25</v>
      </c>
      <c r="G75" s="72">
        <v>25</v>
      </c>
      <c r="H75" s="72">
        <v>25</v>
      </c>
      <c r="I75" s="72">
        <v>25</v>
      </c>
      <c r="J75" s="72">
        <v>25</v>
      </c>
      <c r="K75" s="72">
        <v>25</v>
      </c>
      <c r="L75" s="72">
        <v>25</v>
      </c>
      <c r="M75" s="72">
        <v>25</v>
      </c>
      <c r="N75" s="72">
        <v>25</v>
      </c>
      <c r="O75" s="72">
        <v>25</v>
      </c>
      <c r="P75" s="72">
        <v>25</v>
      </c>
      <c r="Q75" s="72">
        <v>25</v>
      </c>
    </row>
    <row r="76" spans="1:17" x14ac:dyDescent="0.25">
      <c r="A76" s="42" t="s">
        <v>51</v>
      </c>
      <c r="B76" s="70">
        <v>0.78400000000000003</v>
      </c>
      <c r="C76" s="14">
        <v>1018</v>
      </c>
      <c r="D76" s="71">
        <v>4.5</v>
      </c>
      <c r="E76" s="71">
        <v>21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</row>
    <row r="77" spans="1:17" x14ac:dyDescent="0.25">
      <c r="A77" s="42" t="s">
        <v>49</v>
      </c>
      <c r="B77" s="70">
        <v>0.871</v>
      </c>
      <c r="C77" s="14">
        <v>1018</v>
      </c>
      <c r="D77" s="71">
        <v>5</v>
      </c>
      <c r="E77" s="71">
        <v>21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</row>
    <row r="78" spans="1:17" x14ac:dyDescent="0.25">
      <c r="A78" s="42" t="s">
        <v>46</v>
      </c>
      <c r="B78" s="70">
        <v>1.665</v>
      </c>
      <c r="C78" s="14">
        <v>1018</v>
      </c>
      <c r="D78" s="71">
        <v>12.5</v>
      </c>
      <c r="E78" s="71">
        <v>36</v>
      </c>
      <c r="F78" s="72">
        <v>0</v>
      </c>
      <c r="G78" s="72">
        <v>0</v>
      </c>
      <c r="H78" s="72">
        <v>0</v>
      </c>
      <c r="I78" s="72">
        <v>0</v>
      </c>
      <c r="J78" s="72">
        <v>0</v>
      </c>
      <c r="K78" s="72">
        <v>0</v>
      </c>
      <c r="L78" s="72">
        <v>0</v>
      </c>
      <c r="M78" s="72">
        <v>0</v>
      </c>
      <c r="N78" s="72">
        <v>0</v>
      </c>
      <c r="O78" s="72">
        <v>0</v>
      </c>
      <c r="P78" s="72">
        <v>0</v>
      </c>
      <c r="Q78" s="72">
        <v>0</v>
      </c>
    </row>
    <row r="79" spans="1:17" x14ac:dyDescent="0.25">
      <c r="A79" s="42" t="s">
        <v>47</v>
      </c>
      <c r="B79" s="70">
        <v>2.0350000000000001</v>
      </c>
      <c r="C79" s="14">
        <v>1018</v>
      </c>
      <c r="D79" s="71">
        <v>12.5</v>
      </c>
      <c r="E79" s="71">
        <v>36</v>
      </c>
      <c r="F79" s="72">
        <v>0</v>
      </c>
      <c r="G79" s="72">
        <v>0</v>
      </c>
      <c r="H79" s="72">
        <v>0</v>
      </c>
      <c r="I79" s="72">
        <v>0</v>
      </c>
      <c r="J79" s="72">
        <v>0</v>
      </c>
      <c r="K79" s="72">
        <v>0</v>
      </c>
      <c r="L79" s="72">
        <v>0</v>
      </c>
      <c r="M79" s="72">
        <v>0</v>
      </c>
      <c r="N79" s="72">
        <v>0</v>
      </c>
      <c r="O79" s="72">
        <v>0</v>
      </c>
      <c r="P79" s="72">
        <v>0</v>
      </c>
      <c r="Q79" s="72">
        <v>0</v>
      </c>
    </row>
    <row r="80" spans="1:17" x14ac:dyDescent="0.25">
      <c r="A80" s="42" t="s">
        <v>36</v>
      </c>
      <c r="B80" s="70">
        <v>0.4</v>
      </c>
      <c r="C80" s="14">
        <v>1018</v>
      </c>
      <c r="D80" s="71">
        <v>6.75</v>
      </c>
      <c r="E80" s="71">
        <v>48</v>
      </c>
      <c r="F80" s="72">
        <v>0</v>
      </c>
      <c r="G80" s="72">
        <v>0</v>
      </c>
      <c r="H80" s="72">
        <v>0</v>
      </c>
      <c r="I80" s="72">
        <v>11.842083333333333</v>
      </c>
      <c r="J80" s="72">
        <v>11.842083333333333</v>
      </c>
      <c r="K80" s="72">
        <v>11.842083333333333</v>
      </c>
      <c r="L80" s="72">
        <v>11.842083333333333</v>
      </c>
      <c r="M80" s="72">
        <v>11.842083333333333</v>
      </c>
      <c r="N80" s="72">
        <v>11.842083333333333</v>
      </c>
      <c r="O80" s="72">
        <v>11.842083333333333</v>
      </c>
      <c r="P80" s="72">
        <v>11.842083333333333</v>
      </c>
      <c r="Q80" s="72">
        <v>11.842083333333333</v>
      </c>
    </row>
    <row r="81" spans="1:17" x14ac:dyDescent="0.25">
      <c r="A81" s="42" t="s">
        <v>37</v>
      </c>
      <c r="B81" s="70">
        <v>0.50600000000000001</v>
      </c>
      <c r="C81" s="14">
        <v>1018</v>
      </c>
      <c r="D81" s="71">
        <v>6.75</v>
      </c>
      <c r="E81" s="71">
        <v>48</v>
      </c>
      <c r="F81" s="72">
        <v>0</v>
      </c>
      <c r="G81" s="72">
        <v>0</v>
      </c>
      <c r="H81" s="72">
        <v>0</v>
      </c>
      <c r="I81" s="72">
        <v>0</v>
      </c>
      <c r="J81" s="72">
        <v>0</v>
      </c>
      <c r="K81" s="72">
        <v>0</v>
      </c>
      <c r="L81" s="72">
        <v>0</v>
      </c>
      <c r="M81" s="72">
        <v>0</v>
      </c>
      <c r="N81" s="72">
        <v>0</v>
      </c>
      <c r="O81" s="72">
        <v>0</v>
      </c>
      <c r="P81" s="72">
        <v>0</v>
      </c>
      <c r="Q81" s="72">
        <v>0</v>
      </c>
    </row>
    <row r="82" spans="1:17" x14ac:dyDescent="0.25">
      <c r="A82" s="42" t="s">
        <v>38</v>
      </c>
      <c r="B82" s="70">
        <v>0.61099999999999999</v>
      </c>
      <c r="C82" s="14">
        <v>1018</v>
      </c>
      <c r="D82" s="71">
        <v>5</v>
      </c>
      <c r="E82" s="71">
        <v>24</v>
      </c>
      <c r="F82" s="72">
        <v>0</v>
      </c>
      <c r="G82" s="72">
        <v>0</v>
      </c>
      <c r="H82" s="72">
        <v>719.98782718203472</v>
      </c>
      <c r="I82" s="72">
        <v>719.98782718203472</v>
      </c>
      <c r="J82" s="72">
        <v>557.7636983256067</v>
      </c>
      <c r="K82" s="72">
        <v>557.7636983256067</v>
      </c>
      <c r="L82" s="72">
        <v>557.7636983256067</v>
      </c>
      <c r="M82" s="72">
        <v>557.7636983256067</v>
      </c>
      <c r="N82" s="72">
        <v>557.7636983256067</v>
      </c>
      <c r="O82" s="72">
        <v>557.7636983256067</v>
      </c>
      <c r="P82" s="72">
        <v>557.7636983256067</v>
      </c>
      <c r="Q82" s="72">
        <v>557.7636983256067</v>
      </c>
    </row>
    <row r="83" spans="1:17" x14ac:dyDescent="0.25">
      <c r="A83" s="42" t="s">
        <v>45</v>
      </c>
      <c r="B83" s="70">
        <v>2.3919999999999999</v>
      </c>
      <c r="C83" s="14">
        <v>1018</v>
      </c>
      <c r="D83" s="71">
        <v>11.5</v>
      </c>
      <c r="E83" s="71">
        <v>18</v>
      </c>
      <c r="F83" s="72">
        <v>0</v>
      </c>
      <c r="G83" s="72">
        <v>0</v>
      </c>
      <c r="H83" s="72">
        <v>0</v>
      </c>
      <c r="I83" s="72">
        <v>0</v>
      </c>
      <c r="J83" s="72">
        <v>0</v>
      </c>
      <c r="K83" s="72">
        <v>0</v>
      </c>
      <c r="L83" s="72">
        <v>0</v>
      </c>
      <c r="M83" s="72">
        <v>0</v>
      </c>
      <c r="N83" s="72">
        <v>0</v>
      </c>
      <c r="O83" s="72">
        <v>0</v>
      </c>
      <c r="P83" s="72">
        <v>0</v>
      </c>
      <c r="Q83" s="72">
        <v>0</v>
      </c>
    </row>
    <row r="84" spans="1:17" x14ac:dyDescent="0.25">
      <c r="A84" s="42" t="s">
        <v>39</v>
      </c>
      <c r="B84" s="70">
        <v>0.38</v>
      </c>
      <c r="C84" s="14">
        <v>1018</v>
      </c>
      <c r="D84" s="71">
        <v>7.75</v>
      </c>
      <c r="E84" s="71">
        <v>48</v>
      </c>
      <c r="F84" s="72">
        <v>39</v>
      </c>
      <c r="G84" s="72">
        <v>39</v>
      </c>
      <c r="H84" s="72">
        <v>39</v>
      </c>
      <c r="I84" s="72">
        <v>39</v>
      </c>
      <c r="J84" s="72">
        <v>39</v>
      </c>
      <c r="K84" s="72">
        <v>39</v>
      </c>
      <c r="L84" s="72">
        <v>39</v>
      </c>
      <c r="M84" s="72">
        <v>39</v>
      </c>
      <c r="N84" s="72">
        <v>39</v>
      </c>
      <c r="O84" s="72">
        <v>39</v>
      </c>
      <c r="P84" s="72">
        <v>39</v>
      </c>
      <c r="Q84" s="72">
        <v>39</v>
      </c>
    </row>
    <row r="85" spans="1:17" x14ac:dyDescent="0.25">
      <c r="A85" s="42" t="s">
        <v>40</v>
      </c>
      <c r="B85" s="70">
        <v>0.59799999999999998</v>
      </c>
      <c r="C85" s="14">
        <v>1018</v>
      </c>
      <c r="D85" s="71">
        <v>10.5</v>
      </c>
      <c r="E85" s="71">
        <v>48</v>
      </c>
      <c r="F85" s="72">
        <v>0</v>
      </c>
      <c r="G85" s="72">
        <v>0</v>
      </c>
      <c r="H85" s="72">
        <v>0</v>
      </c>
      <c r="I85" s="72">
        <v>0</v>
      </c>
      <c r="J85" s="72">
        <v>0</v>
      </c>
      <c r="K85" s="72">
        <v>0</v>
      </c>
      <c r="L85" s="72">
        <v>0</v>
      </c>
      <c r="M85" s="72">
        <v>0</v>
      </c>
      <c r="N85" s="72">
        <v>0</v>
      </c>
      <c r="O85" s="72">
        <v>0</v>
      </c>
      <c r="P85" s="72">
        <v>0</v>
      </c>
      <c r="Q85" s="72">
        <v>0</v>
      </c>
    </row>
    <row r="86" spans="1:17" x14ac:dyDescent="0.25">
      <c r="A86" s="42" t="s">
        <v>41</v>
      </c>
      <c r="B86" s="70">
        <v>0.65500000000000003</v>
      </c>
      <c r="C86" s="14">
        <v>1018</v>
      </c>
      <c r="D86" s="71">
        <v>10.5</v>
      </c>
      <c r="E86" s="71">
        <v>48</v>
      </c>
      <c r="F86" s="72">
        <v>166.79166666666666</v>
      </c>
      <c r="G86" s="72">
        <v>166.79166666666666</v>
      </c>
      <c r="H86" s="72">
        <v>156.375</v>
      </c>
      <c r="I86" s="72">
        <v>166.79166666666666</v>
      </c>
      <c r="J86" s="72">
        <v>162.625</v>
      </c>
      <c r="K86" s="72">
        <v>162.625</v>
      </c>
      <c r="L86" s="72">
        <v>162.625</v>
      </c>
      <c r="M86" s="72">
        <v>162.625</v>
      </c>
      <c r="N86" s="72">
        <v>162.625</v>
      </c>
      <c r="O86" s="72">
        <v>162.625</v>
      </c>
      <c r="P86" s="72">
        <v>162.625</v>
      </c>
      <c r="Q86" s="72">
        <v>162.625</v>
      </c>
    </row>
    <row r="87" spans="1:17" x14ac:dyDescent="0.25">
      <c r="A87" s="42" t="s">
        <v>43</v>
      </c>
      <c r="B87" s="70">
        <v>0.95699999999999996</v>
      </c>
      <c r="C87" s="14">
        <v>1018</v>
      </c>
      <c r="D87" s="71">
        <v>10.5</v>
      </c>
      <c r="E87" s="71">
        <v>42</v>
      </c>
      <c r="F87" s="72">
        <v>0</v>
      </c>
      <c r="G87" s="72">
        <v>0</v>
      </c>
      <c r="H87" s="72">
        <v>77.22892082456535</v>
      </c>
      <c r="I87" s="72">
        <v>77.22892082456535</v>
      </c>
      <c r="J87" s="72">
        <v>62.088745511428669</v>
      </c>
      <c r="K87" s="72">
        <v>62.088745511428669</v>
      </c>
      <c r="L87" s="72">
        <v>62.088745511428669</v>
      </c>
      <c r="M87" s="72">
        <v>62.088745511428669</v>
      </c>
      <c r="N87" s="72">
        <v>62.088745511428669</v>
      </c>
      <c r="O87" s="72">
        <v>62.088745511428669</v>
      </c>
      <c r="P87" s="72">
        <v>62.088745511428669</v>
      </c>
      <c r="Q87" s="72">
        <v>62.088745511428669</v>
      </c>
    </row>
    <row r="88" spans="1:17" x14ac:dyDescent="0.25">
      <c r="A88" s="42" t="s">
        <v>42</v>
      </c>
      <c r="B88" s="70">
        <v>0.82199999999999995</v>
      </c>
      <c r="C88" s="14">
        <v>1018</v>
      </c>
      <c r="D88" s="71">
        <v>6.5</v>
      </c>
      <c r="E88" s="71">
        <v>21</v>
      </c>
      <c r="F88" s="72">
        <v>125.64285714285714</v>
      </c>
      <c r="G88" s="72">
        <v>125.64285714285714</v>
      </c>
      <c r="H88" s="72">
        <v>135.07142857142858</v>
      </c>
      <c r="I88" s="72">
        <v>125.64285714285714</v>
      </c>
      <c r="J88" s="72">
        <v>125.64285714285714</v>
      </c>
      <c r="K88" s="72">
        <v>125.64285714285714</v>
      </c>
      <c r="L88" s="72">
        <v>125.64285714285714</v>
      </c>
      <c r="M88" s="72">
        <v>125.64285714285714</v>
      </c>
      <c r="N88" s="72">
        <v>125.64285714285714</v>
      </c>
      <c r="O88" s="72">
        <v>125.64285714285714</v>
      </c>
      <c r="P88" s="72">
        <v>125.64285714285714</v>
      </c>
      <c r="Q88" s="72">
        <v>125.64285714285714</v>
      </c>
    </row>
    <row r="89" spans="1:17" x14ac:dyDescent="0.25">
      <c r="A89" s="42" t="s">
        <v>44</v>
      </c>
      <c r="B89" s="70">
        <v>1.1789999999999998</v>
      </c>
      <c r="C89" s="14">
        <v>1018</v>
      </c>
      <c r="D89" s="71">
        <v>6.5</v>
      </c>
      <c r="E89" s="71">
        <v>21</v>
      </c>
      <c r="F89" s="72">
        <v>30.5</v>
      </c>
      <c r="G89" s="72">
        <v>30.5</v>
      </c>
      <c r="H89" s="72">
        <v>30.5</v>
      </c>
      <c r="I89" s="72">
        <v>30.5</v>
      </c>
      <c r="J89" s="72">
        <v>30.5</v>
      </c>
      <c r="K89" s="72">
        <v>30.5</v>
      </c>
      <c r="L89" s="72">
        <v>30.5</v>
      </c>
      <c r="M89" s="72">
        <v>30.5</v>
      </c>
      <c r="N89" s="72">
        <v>30.5</v>
      </c>
      <c r="O89" s="72">
        <v>30.5</v>
      </c>
      <c r="P89" s="72">
        <v>30.5</v>
      </c>
      <c r="Q89" s="72">
        <v>30.5</v>
      </c>
    </row>
    <row r="90" spans="1:17" x14ac:dyDescent="0.25">
      <c r="A90" s="42" t="s">
        <v>48</v>
      </c>
      <c r="B90" s="70">
        <v>0.67900000000000005</v>
      </c>
      <c r="C90" s="14">
        <v>1018</v>
      </c>
      <c r="D90" s="71">
        <v>4</v>
      </c>
      <c r="E90" s="71">
        <v>21</v>
      </c>
      <c r="F90" s="72">
        <v>0</v>
      </c>
      <c r="G90" s="72">
        <v>0</v>
      </c>
      <c r="H90" s="72">
        <v>0</v>
      </c>
      <c r="I90" s="72">
        <v>0</v>
      </c>
      <c r="J90" s="72">
        <v>0</v>
      </c>
      <c r="K90" s="72">
        <v>0</v>
      </c>
      <c r="L90" s="72">
        <v>0</v>
      </c>
      <c r="M90" s="72">
        <v>0</v>
      </c>
      <c r="N90" s="72">
        <v>0</v>
      </c>
      <c r="O90" s="72">
        <v>0</v>
      </c>
      <c r="P90" s="72">
        <v>0</v>
      </c>
      <c r="Q90" s="72">
        <v>0</v>
      </c>
    </row>
    <row r="91" spans="1:17" x14ac:dyDescent="0.25">
      <c r="A91" s="42" t="s">
        <v>28</v>
      </c>
      <c r="B91" s="70">
        <v>1.1779999999999999</v>
      </c>
      <c r="C91" s="14">
        <v>1018</v>
      </c>
      <c r="D91" s="71">
        <v>7</v>
      </c>
      <c r="E91" s="71">
        <v>18</v>
      </c>
      <c r="F91" s="72">
        <v>0</v>
      </c>
      <c r="G91" s="72">
        <v>0</v>
      </c>
      <c r="H91" s="72">
        <v>0</v>
      </c>
      <c r="I91" s="72">
        <v>0</v>
      </c>
      <c r="J91" s="72">
        <v>0</v>
      </c>
      <c r="K91" s="72">
        <v>0</v>
      </c>
      <c r="L91" s="72">
        <v>0</v>
      </c>
      <c r="M91" s="72">
        <v>0</v>
      </c>
      <c r="N91" s="72">
        <v>0</v>
      </c>
      <c r="O91" s="72">
        <v>0</v>
      </c>
      <c r="P91" s="72">
        <v>0</v>
      </c>
      <c r="Q91" s="72">
        <v>0</v>
      </c>
    </row>
    <row r="92" spans="1:17" x14ac:dyDescent="0.25">
      <c r="A92" s="42" t="s">
        <v>27</v>
      </c>
      <c r="B92" s="70">
        <v>1.357</v>
      </c>
      <c r="C92" s="14">
        <v>1018</v>
      </c>
      <c r="D92" s="71">
        <v>7</v>
      </c>
      <c r="E92" s="71">
        <v>18</v>
      </c>
      <c r="F92" s="72">
        <v>0</v>
      </c>
      <c r="G92" s="72">
        <v>0</v>
      </c>
      <c r="H92" s="72">
        <v>0</v>
      </c>
      <c r="I92" s="72">
        <v>0</v>
      </c>
      <c r="J92" s="72">
        <v>0</v>
      </c>
      <c r="K92" s="72">
        <v>0</v>
      </c>
      <c r="L92" s="72">
        <v>0</v>
      </c>
      <c r="M92" s="72">
        <v>0</v>
      </c>
      <c r="N92" s="72">
        <v>0</v>
      </c>
      <c r="O92" s="72">
        <v>0</v>
      </c>
      <c r="P92" s="72">
        <v>0</v>
      </c>
      <c r="Q92" s="72">
        <v>0</v>
      </c>
    </row>
    <row r="93" spans="1:17" x14ac:dyDescent="0.25">
      <c r="A93" s="42" t="s">
        <v>10</v>
      </c>
      <c r="B93" s="70">
        <v>0.26300000000000001</v>
      </c>
      <c r="C93" s="14">
        <v>1018</v>
      </c>
      <c r="D93" s="71">
        <v>4</v>
      </c>
      <c r="E93" s="71">
        <v>21</v>
      </c>
      <c r="F93" s="72">
        <v>0</v>
      </c>
      <c r="G93" s="72">
        <v>0</v>
      </c>
      <c r="H93" s="72">
        <v>0</v>
      </c>
      <c r="I93" s="72">
        <v>0</v>
      </c>
      <c r="J93" s="72">
        <v>0</v>
      </c>
      <c r="K93" s="72">
        <v>0</v>
      </c>
      <c r="L93" s="72">
        <v>0</v>
      </c>
      <c r="M93" s="72">
        <v>0</v>
      </c>
      <c r="N93" s="72">
        <v>0</v>
      </c>
      <c r="O93" s="72">
        <v>0</v>
      </c>
      <c r="P93" s="72">
        <v>0</v>
      </c>
      <c r="Q93" s="72">
        <v>0</v>
      </c>
    </row>
    <row r="94" spans="1:17" x14ac:dyDescent="0.25">
      <c r="A94" s="42" t="s">
        <v>24</v>
      </c>
      <c r="B94" s="70">
        <v>1.0459999999999998</v>
      </c>
      <c r="C94" s="14">
        <v>1018</v>
      </c>
      <c r="D94" s="71">
        <v>5.5</v>
      </c>
      <c r="E94" s="71">
        <v>21</v>
      </c>
      <c r="F94" s="72">
        <v>0</v>
      </c>
      <c r="G94" s="72">
        <v>0</v>
      </c>
      <c r="H94" s="72">
        <v>0</v>
      </c>
      <c r="I94" s="72">
        <v>0</v>
      </c>
      <c r="J94" s="72">
        <v>0</v>
      </c>
      <c r="K94" s="72">
        <v>0</v>
      </c>
      <c r="L94" s="72">
        <v>0</v>
      </c>
      <c r="M94" s="72">
        <v>0</v>
      </c>
      <c r="N94" s="72">
        <v>0</v>
      </c>
      <c r="O94" s="72">
        <v>0</v>
      </c>
      <c r="P94" s="72">
        <v>0</v>
      </c>
      <c r="Q94" s="72">
        <v>0</v>
      </c>
    </row>
    <row r="95" spans="1:17" x14ac:dyDescent="0.25">
      <c r="A95" s="42" t="s">
        <v>25</v>
      </c>
      <c r="B95" s="70">
        <v>1.121</v>
      </c>
      <c r="C95" s="14">
        <v>1018</v>
      </c>
      <c r="D95" s="71">
        <v>6</v>
      </c>
      <c r="E95" s="71">
        <v>21</v>
      </c>
      <c r="F95" s="72">
        <v>137.97111422624357</v>
      </c>
      <c r="G95" s="72">
        <v>0</v>
      </c>
      <c r="H95" s="72">
        <v>53.126928293317029</v>
      </c>
      <c r="I95" s="72">
        <v>53.126928293317029</v>
      </c>
      <c r="J95" s="72">
        <v>42.434263890631655</v>
      </c>
      <c r="K95" s="72">
        <v>42.434263890631655</v>
      </c>
      <c r="L95" s="72">
        <v>42.434263890631655</v>
      </c>
      <c r="M95" s="72">
        <v>42.434263890631655</v>
      </c>
      <c r="N95" s="72">
        <v>42.434263890631655</v>
      </c>
      <c r="O95" s="72">
        <v>42.434263890631655</v>
      </c>
      <c r="P95" s="72">
        <v>42.434263890631655</v>
      </c>
      <c r="Q95" s="72">
        <v>42.434263890631655</v>
      </c>
    </row>
    <row r="96" spans="1:17" x14ac:dyDescent="0.25">
      <c r="A96" s="42" t="s">
        <v>26</v>
      </c>
      <c r="B96" s="70">
        <v>1.5999999999999999</v>
      </c>
      <c r="C96" s="14">
        <v>1018</v>
      </c>
      <c r="D96" s="71">
        <v>6.5</v>
      </c>
      <c r="E96" s="71">
        <v>21</v>
      </c>
      <c r="F96" s="72">
        <v>12.452380952380953</v>
      </c>
      <c r="G96" s="72">
        <v>0</v>
      </c>
      <c r="H96" s="72">
        <v>0</v>
      </c>
      <c r="I96" s="72">
        <v>0</v>
      </c>
      <c r="J96" s="72">
        <v>0</v>
      </c>
      <c r="K96" s="72">
        <v>0</v>
      </c>
      <c r="L96" s="72">
        <v>0</v>
      </c>
      <c r="M96" s="72">
        <v>0</v>
      </c>
      <c r="N96" s="72">
        <v>0</v>
      </c>
      <c r="O96" s="72">
        <v>0</v>
      </c>
      <c r="P96" s="72">
        <v>0</v>
      </c>
      <c r="Q96" s="72">
        <v>0</v>
      </c>
    </row>
    <row r="97" spans="1:17" x14ac:dyDescent="0.25">
      <c r="A97" s="42" t="s">
        <v>30</v>
      </c>
      <c r="B97" s="70">
        <v>2.093</v>
      </c>
      <c r="C97" s="14">
        <v>1018</v>
      </c>
      <c r="D97" s="71">
        <v>7.5</v>
      </c>
      <c r="E97" s="71">
        <v>18</v>
      </c>
      <c r="F97" s="72">
        <v>8.8271752402187182</v>
      </c>
      <c r="G97" s="72">
        <v>0</v>
      </c>
      <c r="H97" s="72">
        <v>9.1180089497595276</v>
      </c>
      <c r="I97" s="72">
        <v>9.1180089497595276</v>
      </c>
      <c r="J97" s="72">
        <v>8.7508976754443406</v>
      </c>
      <c r="K97" s="72">
        <v>8.7508976754443406</v>
      </c>
      <c r="L97" s="72">
        <v>8.7508976754443406</v>
      </c>
      <c r="M97" s="72">
        <v>8.7508976754443406</v>
      </c>
      <c r="N97" s="72">
        <v>8.7508976754443406</v>
      </c>
      <c r="O97" s="72">
        <v>8.7508976754443406</v>
      </c>
      <c r="P97" s="72">
        <v>8.7508976754443406</v>
      </c>
      <c r="Q97" s="72">
        <v>8.7508976754443406</v>
      </c>
    </row>
    <row r="98" spans="1:17" x14ac:dyDescent="0.25">
      <c r="A98" s="42" t="s">
        <v>31</v>
      </c>
      <c r="B98" s="70">
        <v>4.0650000000000004</v>
      </c>
      <c r="C98" s="14">
        <v>1018</v>
      </c>
      <c r="D98" s="71">
        <v>11</v>
      </c>
      <c r="E98" s="71">
        <v>12</v>
      </c>
      <c r="F98" s="72">
        <v>13.870028700287003</v>
      </c>
      <c r="G98" s="72">
        <v>0</v>
      </c>
      <c r="H98" s="72">
        <v>807.664847571922</v>
      </c>
      <c r="I98" s="278">
        <v>807.3613275417905</v>
      </c>
      <c r="J98" s="72">
        <v>626.79163071622509</v>
      </c>
      <c r="K98" s="72">
        <v>626.79163071622509</v>
      </c>
      <c r="L98" s="72">
        <v>626.79163071622509</v>
      </c>
      <c r="M98" s="72">
        <v>626.79163071622509</v>
      </c>
      <c r="N98" s="72">
        <v>626.79163071622509</v>
      </c>
      <c r="O98" s="72">
        <v>626.79163071622509</v>
      </c>
      <c r="P98" s="72">
        <v>626.79163071622509</v>
      </c>
      <c r="Q98" s="72">
        <v>626.79163071622509</v>
      </c>
    </row>
    <row r="99" spans="1:17" x14ac:dyDescent="0.25">
      <c r="A99" s="42" t="s">
        <v>32</v>
      </c>
      <c r="B99" s="70">
        <v>7.0369999999999999</v>
      </c>
      <c r="C99" s="14">
        <v>1018</v>
      </c>
      <c r="D99" s="71">
        <v>18</v>
      </c>
      <c r="E99" s="71">
        <v>9</v>
      </c>
      <c r="F99" s="72">
        <v>719.37211248480253</v>
      </c>
      <c r="G99" s="72">
        <v>0</v>
      </c>
      <c r="H99" s="72">
        <v>19.924963894754409</v>
      </c>
      <c r="I99" s="72">
        <v>19.924963894754409</v>
      </c>
      <c r="J99" s="72">
        <v>19.488207380818533</v>
      </c>
      <c r="K99" s="72">
        <v>19.488207380818533</v>
      </c>
      <c r="L99" s="72">
        <v>19.488207380818533</v>
      </c>
      <c r="M99" s="72">
        <v>19.488207380818533</v>
      </c>
      <c r="N99" s="72">
        <v>19.488207380818533</v>
      </c>
      <c r="O99" s="72">
        <v>19.488207380818533</v>
      </c>
      <c r="P99" s="72">
        <v>19.488207380818533</v>
      </c>
      <c r="Q99" s="72">
        <v>19.488207380818533</v>
      </c>
    </row>
    <row r="100" spans="1:17" x14ac:dyDescent="0.25">
      <c r="A100" s="42" t="s">
        <v>29</v>
      </c>
      <c r="B100" s="70">
        <v>0.83</v>
      </c>
      <c r="C100" s="14">
        <v>1018</v>
      </c>
      <c r="D100" s="71">
        <v>6</v>
      </c>
      <c r="E100" s="71">
        <v>21</v>
      </c>
      <c r="F100" s="72">
        <v>0</v>
      </c>
      <c r="G100" s="72">
        <v>0</v>
      </c>
      <c r="H100" s="72">
        <v>0</v>
      </c>
      <c r="I100" s="72">
        <v>0</v>
      </c>
      <c r="J100" s="72">
        <v>0</v>
      </c>
      <c r="K100" s="72">
        <v>0</v>
      </c>
      <c r="L100" s="72">
        <v>0</v>
      </c>
      <c r="M100" s="72">
        <v>0</v>
      </c>
      <c r="N100" s="72">
        <v>0</v>
      </c>
      <c r="O100" s="72">
        <v>0</v>
      </c>
      <c r="P100" s="72">
        <v>0</v>
      </c>
      <c r="Q100" s="72">
        <v>0</v>
      </c>
    </row>
    <row r="101" spans="1:17" x14ac:dyDescent="0.25">
      <c r="F101" s="133"/>
      <c r="G101" s="133"/>
      <c r="H101" s="99"/>
    </row>
    <row r="102" spans="1:17" ht="24" customHeight="1" thickBot="1" x14ac:dyDescent="0.3">
      <c r="A102" s="97" t="s">
        <v>428</v>
      </c>
      <c r="F102" s="133"/>
      <c r="G102" s="133"/>
    </row>
    <row r="103" spans="1:17" ht="45.75" thickBot="1" x14ac:dyDescent="0.3">
      <c r="A103" s="68" t="s">
        <v>443</v>
      </c>
      <c r="B103" s="8" t="s">
        <v>388</v>
      </c>
      <c r="C103" s="68" t="s">
        <v>4</v>
      </c>
      <c r="D103" s="69" t="s">
        <v>400</v>
      </c>
      <c r="E103" s="67" t="s">
        <v>401</v>
      </c>
      <c r="F103" s="314">
        <f>F57</f>
        <v>42583</v>
      </c>
      <c r="G103" s="314">
        <f t="shared" ref="G103:Q103" si="4">G57</f>
        <v>42614</v>
      </c>
      <c r="H103" s="314">
        <f t="shared" si="4"/>
        <v>42644</v>
      </c>
      <c r="I103" s="314">
        <f t="shared" si="4"/>
        <v>42675</v>
      </c>
      <c r="J103" s="314">
        <f t="shared" si="4"/>
        <v>42705</v>
      </c>
      <c r="K103" s="314">
        <f t="shared" si="4"/>
        <v>42736</v>
      </c>
      <c r="L103" s="314">
        <f t="shared" si="4"/>
        <v>42767</v>
      </c>
      <c r="M103" s="314">
        <f t="shared" si="4"/>
        <v>42795</v>
      </c>
      <c r="N103" s="314">
        <f t="shared" si="4"/>
        <v>42826</v>
      </c>
      <c r="O103" s="314">
        <f t="shared" si="4"/>
        <v>42856</v>
      </c>
      <c r="P103" s="314">
        <f t="shared" si="4"/>
        <v>42887</v>
      </c>
      <c r="Q103" s="314">
        <f t="shared" si="4"/>
        <v>42917</v>
      </c>
    </row>
    <row r="104" spans="1:17" x14ac:dyDescent="0.25">
      <c r="A104" s="42" t="s">
        <v>53</v>
      </c>
      <c r="B104" s="70">
        <v>1.105</v>
      </c>
      <c r="C104" s="14">
        <v>1018</v>
      </c>
      <c r="D104" s="71">
        <v>9</v>
      </c>
      <c r="E104" s="71">
        <v>42</v>
      </c>
      <c r="F104" s="72">
        <f t="array" ref="F104">IF(F59&gt;0,(F59-$D104)*$E104,0)</f>
        <v>20836.115999999998</v>
      </c>
      <c r="G104" s="72">
        <f t="array" ref="G104">IF(G59&gt;0,(G59-$D104)*$E104,0)</f>
        <v>1956</v>
      </c>
      <c r="H104" s="72">
        <f t="array" ref="H104">IF(H59&gt;0,(H59-$D104)*$E104,0)</f>
        <v>0</v>
      </c>
      <c r="I104" s="72">
        <f t="array" ref="I104">IF(I59&gt;0,(I59-$D104)*$E104,0)</f>
        <v>12360</v>
      </c>
      <c r="J104" s="72">
        <f t="array" ref="J104">IF(J59&gt;0,(J59-$D104)*$E104,0)</f>
        <v>0</v>
      </c>
      <c r="K104" s="72">
        <f t="array" ref="K104">IF(K59&gt;0,(K59-$D104)*$E104,0)</f>
        <v>0</v>
      </c>
      <c r="L104" s="72">
        <f t="array" ref="L104">IF(L59&gt;0,(L59-$D104)*$E104,0)</f>
        <v>0</v>
      </c>
      <c r="M104" s="72">
        <f t="array" ref="M104">IF(M59&gt;0,(M59-$D104)*$E104,0)</f>
        <v>0</v>
      </c>
      <c r="N104" s="72">
        <f t="array" ref="N104">IF(N59&gt;0,(N59-$D104)*$E104,0)</f>
        <v>0</v>
      </c>
      <c r="O104" s="72">
        <f t="array" ref="O104">IF(O59&gt;0,(O59-$D104)*$E104,0)</f>
        <v>0</v>
      </c>
      <c r="P104" s="72">
        <f t="array" ref="P104">IF(P59&gt;0,(P59-$D104)*$E104,0)</f>
        <v>0</v>
      </c>
      <c r="Q104" s="72">
        <f t="array" ref="Q104">IF(Q59&gt;0,(Q59-$D104)*$E104,0)</f>
        <v>0</v>
      </c>
    </row>
    <row r="105" spans="1:17" x14ac:dyDescent="0.25">
      <c r="A105" s="42" t="s">
        <v>33</v>
      </c>
      <c r="B105" s="70">
        <v>8.661999999999999</v>
      </c>
      <c r="C105" s="14">
        <v>1018</v>
      </c>
      <c r="D105" s="71">
        <v>37</v>
      </c>
      <c r="E105" s="71">
        <v>9</v>
      </c>
      <c r="F105" s="72">
        <f t="array" ref="F105">IF(F60&gt;0,(F60-$D105)*$E105,0)</f>
        <v>0</v>
      </c>
      <c r="G105" s="72">
        <f t="array" ref="G105">IF(G60&gt;0,(G60-$D105)*$E105,0)</f>
        <v>0</v>
      </c>
      <c r="H105" s="72">
        <f t="array" ref="H105">IF(H60&gt;0,(H60-$D105)*$E105,0)</f>
        <v>0</v>
      </c>
      <c r="I105" s="72">
        <f t="array" ref="I105">IF(I60&gt;0,(I60-$D105)*$E105,0)</f>
        <v>23.999999999999979</v>
      </c>
      <c r="J105" s="72">
        <f t="array" ref="J105">IF(J60&gt;0,(J60-$D105)*$E105,0)</f>
        <v>23.999999999999979</v>
      </c>
      <c r="K105" s="72">
        <f t="array" ref="K105">IF(K60&gt;0,(K60-$D105)*$E105,0)</f>
        <v>23.999999999999979</v>
      </c>
      <c r="L105" s="72">
        <f t="array" ref="L105">IF(L60&gt;0,(L60-$D105)*$E105,0)</f>
        <v>23.999999999999979</v>
      </c>
      <c r="M105" s="72">
        <f t="array" ref="M105">IF(M60&gt;0,(M60-$D105)*$E105,0)</f>
        <v>23.999999999999979</v>
      </c>
      <c r="N105" s="72">
        <f t="array" ref="N105">IF(N60&gt;0,(N60-$D105)*$E105,0)</f>
        <v>23.999999999999979</v>
      </c>
      <c r="O105" s="72">
        <f t="array" ref="O105">IF(O60&gt;0,(O60-$D105)*$E105,0)</f>
        <v>23.999999999999979</v>
      </c>
      <c r="P105" s="72">
        <f t="array" ref="P105">IF(P60&gt;0,(P60-$D105)*$E105,0)</f>
        <v>23.999999999999979</v>
      </c>
      <c r="Q105" s="72">
        <f t="array" ref="Q105">IF(Q60&gt;0,(Q60-$D105)*$E105,0)</f>
        <v>23.999999999999979</v>
      </c>
    </row>
    <row r="106" spans="1:17" x14ac:dyDescent="0.25">
      <c r="A106" s="42" t="s">
        <v>34</v>
      </c>
      <c r="B106" s="70">
        <v>16.061</v>
      </c>
      <c r="C106" s="14">
        <v>1018</v>
      </c>
      <c r="D106" s="71">
        <v>52</v>
      </c>
      <c r="E106" s="71">
        <v>6</v>
      </c>
      <c r="F106" s="72">
        <f t="array" ref="F106">IF(F61&gt;0,(F61-$D106)*$E106,0)</f>
        <v>2007.9696158396114</v>
      </c>
      <c r="G106" s="72">
        <f t="array" ref="G106">IF(G61&gt;0,(G61-$D106)*$E106,0)</f>
        <v>0</v>
      </c>
      <c r="H106" s="72">
        <f t="array" ref="H106">IF(H61&gt;0,(H61-$D106)*$E106,0)</f>
        <v>1728.3953814515721</v>
      </c>
      <c r="I106" s="72">
        <f t="array" ref="I106">IF(I61&gt;0,(I61-$D106)*$E106,0)</f>
        <v>1728.3953814515721</v>
      </c>
      <c r="J106" s="72">
        <f t="array" ref="J106">IF(J61&gt;0,(J61-$D106)*$E106,0)</f>
        <v>1336.2384461642405</v>
      </c>
      <c r="K106" s="72">
        <f t="array" ref="K106">IF(K61&gt;0,(K61-$D106)*$E106,0)</f>
        <v>1336.2384461642405</v>
      </c>
      <c r="L106" s="72">
        <f t="array" ref="L106">IF(L61&gt;0,(L61-$D106)*$E106,0)</f>
        <v>1336.2384461642405</v>
      </c>
      <c r="M106" s="72">
        <f t="array" ref="M106">IF(M61&gt;0,(M61-$D106)*$E106,0)</f>
        <v>1336.2384461642405</v>
      </c>
      <c r="N106" s="72">
        <f t="array" ref="N106">IF(N61&gt;0,(N61-$D106)*$E106,0)</f>
        <v>1336.2384461642405</v>
      </c>
      <c r="O106" s="72">
        <f t="array" ref="O106">IF(O61&gt;0,(O61-$D106)*$E106,0)</f>
        <v>1336.2384461642405</v>
      </c>
      <c r="P106" s="72">
        <f t="array" ref="P106">IF(P61&gt;0,(P61-$D106)*$E106,0)</f>
        <v>1336.2384461642405</v>
      </c>
      <c r="Q106" s="72">
        <f t="array" ref="Q106">IF(Q61&gt;0,(Q61-$D106)*$E106,0)</f>
        <v>1336.2384461642405</v>
      </c>
    </row>
    <row r="107" spans="1:17" x14ac:dyDescent="0.25">
      <c r="A107" s="42" t="s">
        <v>56</v>
      </c>
      <c r="B107" s="70">
        <v>1.2739999999999998</v>
      </c>
      <c r="C107" s="14">
        <v>1018</v>
      </c>
      <c r="D107" s="71">
        <v>6.5</v>
      </c>
      <c r="E107" s="71">
        <v>21</v>
      </c>
      <c r="F107" s="72">
        <f t="array" ref="F107">IF(F62&gt;0,(F62-$D107)*$E107,0)</f>
        <v>0</v>
      </c>
      <c r="G107" s="72">
        <f t="array" ref="G107">IF(G62&gt;0,(G62-$D107)*$E107,0)</f>
        <v>0</v>
      </c>
      <c r="H107" s="72">
        <f t="array" ref="H107">IF(H62&gt;0,(H62-$D107)*$E107,0)</f>
        <v>0</v>
      </c>
      <c r="I107" s="72">
        <f t="array" ref="I107">IF(I62&gt;0,(I62-$D107)*$E107,0)</f>
        <v>0</v>
      </c>
      <c r="J107" s="72">
        <f t="array" ref="J107">IF(J62&gt;0,(J62-$D107)*$E107,0)</f>
        <v>0</v>
      </c>
      <c r="K107" s="72">
        <f t="array" ref="K107">IF(K62&gt;0,(K62-$D107)*$E107,0)</f>
        <v>0</v>
      </c>
      <c r="L107" s="72">
        <f t="array" ref="L107">IF(L62&gt;0,(L62-$D107)*$E107,0)</f>
        <v>0</v>
      </c>
      <c r="M107" s="72">
        <f t="array" ref="M107">IF(M62&gt;0,(M62-$D107)*$E107,0)</f>
        <v>0</v>
      </c>
      <c r="N107" s="72">
        <f t="array" ref="N107">IF(N62&gt;0,(N62-$D107)*$E107,0)</f>
        <v>0</v>
      </c>
      <c r="O107" s="72">
        <f t="array" ref="O107">IF(O62&gt;0,(O62-$D107)*$E107,0)</f>
        <v>0</v>
      </c>
      <c r="P107" s="72">
        <f t="array" ref="P107">IF(P62&gt;0,(P62-$D107)*$E107,0)</f>
        <v>0</v>
      </c>
      <c r="Q107" s="72">
        <f t="array" ref="Q107">IF(Q62&gt;0,(Q62-$D107)*$E107,0)</f>
        <v>0</v>
      </c>
    </row>
    <row r="108" spans="1:17" x14ac:dyDescent="0.25">
      <c r="A108" s="42" t="s">
        <v>57</v>
      </c>
      <c r="B108" s="70">
        <v>1.738</v>
      </c>
      <c r="C108" s="14">
        <v>1018</v>
      </c>
      <c r="D108" s="71">
        <v>6.5</v>
      </c>
      <c r="E108" s="71">
        <v>21</v>
      </c>
      <c r="F108" s="72">
        <f t="array" ref="F108">IF(F63&gt;0,(F63-$D108)*$E108,0)</f>
        <v>0</v>
      </c>
      <c r="G108" s="72">
        <f t="array" ref="G108">IF(G63&gt;0,(G63-$D108)*$E108,0)</f>
        <v>0</v>
      </c>
      <c r="H108" s="72">
        <f t="array" ref="H108">IF(H63&gt;0,(H63-$D108)*$E108,0)</f>
        <v>0</v>
      </c>
      <c r="I108" s="72">
        <f t="array" ref="I108">IF(I63&gt;0,(I63-$D108)*$E108,0)</f>
        <v>0</v>
      </c>
      <c r="J108" s="72">
        <f t="array" ref="J108">IF(J63&gt;0,(J63-$D108)*$E108,0)</f>
        <v>0</v>
      </c>
      <c r="K108" s="72">
        <f t="array" ref="K108">IF(K63&gt;0,(K63-$D108)*$E108,0)</f>
        <v>0</v>
      </c>
      <c r="L108" s="72">
        <f t="array" ref="L108">IF(L63&gt;0,(L63-$D108)*$E108,0)</f>
        <v>0</v>
      </c>
      <c r="M108" s="72">
        <f t="array" ref="M108">IF(M63&gt;0,(M63-$D108)*$E108,0)</f>
        <v>0</v>
      </c>
      <c r="N108" s="72">
        <f t="array" ref="N108">IF(N63&gt;0,(N63-$D108)*$E108,0)</f>
        <v>0</v>
      </c>
      <c r="O108" s="72">
        <f t="array" ref="O108">IF(O63&gt;0,(O63-$D108)*$E108,0)</f>
        <v>0</v>
      </c>
      <c r="P108" s="72">
        <f t="array" ref="P108">IF(P63&gt;0,(P63-$D108)*$E108,0)</f>
        <v>0</v>
      </c>
      <c r="Q108" s="72">
        <f t="array" ref="Q108">IF(Q63&gt;0,(Q63-$D108)*$E108,0)</f>
        <v>0</v>
      </c>
    </row>
    <row r="109" spans="1:17" x14ac:dyDescent="0.25">
      <c r="A109" s="42" t="s">
        <v>58</v>
      </c>
      <c r="B109" s="70">
        <v>3.4379999999999997</v>
      </c>
      <c r="C109" s="14">
        <v>1018</v>
      </c>
      <c r="D109" s="71">
        <v>8</v>
      </c>
      <c r="E109" s="71">
        <v>18</v>
      </c>
      <c r="F109" s="72">
        <f t="array" ref="F109">IF(F64&gt;0,(F64-$D109)*$E109,0)</f>
        <v>0</v>
      </c>
      <c r="G109" s="72">
        <f t="array" ref="G109">IF(G64&gt;0,(G64-$D109)*$E109,0)</f>
        <v>0</v>
      </c>
      <c r="H109" s="72">
        <f t="array" ref="H109">IF(H64&gt;0,(H64-$D109)*$E109,0)</f>
        <v>0</v>
      </c>
      <c r="I109" s="72">
        <f t="array" ref="I109">IF(I64&gt;0,(I64-$D109)*$E109,0)</f>
        <v>0</v>
      </c>
      <c r="J109" s="72">
        <f t="array" ref="J109">IF(J64&gt;0,(J64-$D109)*$E109,0)</f>
        <v>0</v>
      </c>
      <c r="K109" s="72">
        <f t="array" ref="K109">IF(K64&gt;0,(K64-$D109)*$E109,0)</f>
        <v>0</v>
      </c>
      <c r="L109" s="72">
        <f t="array" ref="L109">IF(L64&gt;0,(L64-$D109)*$E109,0)</f>
        <v>0</v>
      </c>
      <c r="M109" s="72">
        <f t="array" ref="M109">IF(M64&gt;0,(M64-$D109)*$E109,0)</f>
        <v>0</v>
      </c>
      <c r="N109" s="72">
        <f t="array" ref="N109">IF(N64&gt;0,(N64-$D109)*$E109,0)</f>
        <v>0</v>
      </c>
      <c r="O109" s="72">
        <f t="array" ref="O109">IF(O64&gt;0,(O64-$D109)*$E109,0)</f>
        <v>0</v>
      </c>
      <c r="P109" s="72">
        <f t="array" ref="P109">IF(P64&gt;0,(P64-$D109)*$E109,0)</f>
        <v>0</v>
      </c>
      <c r="Q109" s="72">
        <f t="array" ref="Q109">IF(Q64&gt;0,(Q64-$D109)*$E109,0)</f>
        <v>0</v>
      </c>
    </row>
    <row r="110" spans="1:17" x14ac:dyDescent="0.25">
      <c r="A110" s="42" t="s">
        <v>59</v>
      </c>
      <c r="B110" s="70">
        <v>4.1779999999999999</v>
      </c>
      <c r="C110" s="14">
        <v>1018</v>
      </c>
      <c r="D110" s="71">
        <v>8</v>
      </c>
      <c r="E110" s="71">
        <v>18</v>
      </c>
      <c r="F110" s="72">
        <f t="array" ref="F110">IF(F65&gt;0,(F65-$D110)*$E110,0)</f>
        <v>0</v>
      </c>
      <c r="G110" s="72">
        <f t="array" ref="G110">IF(G65&gt;0,(G65-$D110)*$E110,0)</f>
        <v>0</v>
      </c>
      <c r="H110" s="72">
        <f t="array" ref="H110">IF(H65&gt;0,(H65-$D110)*$E110,0)</f>
        <v>0</v>
      </c>
      <c r="I110" s="72">
        <f t="array" ref="I110">IF(I65&gt;0,(I65-$D110)*$E110,0)</f>
        <v>0</v>
      </c>
      <c r="J110" s="72">
        <f t="array" ref="J110">IF(J65&gt;0,(J65-$D110)*$E110,0)</f>
        <v>0</v>
      </c>
      <c r="K110" s="72">
        <f t="array" ref="K110">IF(K65&gt;0,(K65-$D110)*$E110,0)</f>
        <v>0</v>
      </c>
      <c r="L110" s="72">
        <f t="array" ref="L110">IF(L65&gt;0,(L65-$D110)*$E110,0)</f>
        <v>0</v>
      </c>
      <c r="M110" s="72">
        <f t="array" ref="M110">IF(M65&gt;0,(M65-$D110)*$E110,0)</f>
        <v>0</v>
      </c>
      <c r="N110" s="72">
        <f t="array" ref="N110">IF(N65&gt;0,(N65-$D110)*$E110,0)</f>
        <v>0</v>
      </c>
      <c r="O110" s="72">
        <f t="array" ref="O110">IF(O65&gt;0,(O65-$D110)*$E110,0)</f>
        <v>0</v>
      </c>
      <c r="P110" s="72">
        <f t="array" ref="P110">IF(P65&gt;0,(P65-$D110)*$E110,0)</f>
        <v>0</v>
      </c>
      <c r="Q110" s="72">
        <f t="array" ref="Q110">IF(Q65&gt;0,(Q65-$D110)*$E110,0)</f>
        <v>0</v>
      </c>
    </row>
    <row r="111" spans="1:17" x14ac:dyDescent="0.25">
      <c r="A111" s="42" t="s">
        <v>60</v>
      </c>
      <c r="B111" s="70">
        <v>0.63800000000000001</v>
      </c>
      <c r="C111" s="14">
        <v>1018</v>
      </c>
      <c r="D111" s="71">
        <v>5.5</v>
      </c>
      <c r="E111" s="71">
        <v>21</v>
      </c>
      <c r="F111" s="72">
        <f t="array" ref="F111">IF(F66&gt;0,(F66-$D111)*$E111,0)</f>
        <v>498</v>
      </c>
      <c r="G111" s="72">
        <f t="array" ref="G111">IF(G66&gt;0,(G66-$D111)*$E111,0)</f>
        <v>156</v>
      </c>
      <c r="H111" s="72">
        <f t="array" ref="H111">IF(H66&gt;0,(H66-$D111)*$E111,0)</f>
        <v>0</v>
      </c>
      <c r="I111" s="72">
        <f t="array" ref="I111">IF(I66&gt;0,(I66-$D111)*$E111,0)</f>
        <v>0</v>
      </c>
      <c r="J111" s="72">
        <f t="array" ref="J111">IF(J66&gt;0,(J66-$D111)*$E111,0)</f>
        <v>0</v>
      </c>
      <c r="K111" s="72">
        <f t="array" ref="K111">IF(K66&gt;0,(K66-$D111)*$E111,0)</f>
        <v>0</v>
      </c>
      <c r="L111" s="72">
        <f t="array" ref="L111">IF(L66&gt;0,(L66-$D111)*$E111,0)</f>
        <v>0</v>
      </c>
      <c r="M111" s="72">
        <f t="array" ref="M111">IF(M66&gt;0,(M66-$D111)*$E111,0)</f>
        <v>0</v>
      </c>
      <c r="N111" s="72">
        <f t="array" ref="N111">IF(N66&gt;0,(N66-$D111)*$E111,0)</f>
        <v>0</v>
      </c>
      <c r="O111" s="72">
        <f t="array" ref="O111">IF(O66&gt;0,(O66-$D111)*$E111,0)</f>
        <v>0</v>
      </c>
      <c r="P111" s="72">
        <f t="array" ref="P111">IF(P66&gt;0,(P66-$D111)*$E111,0)</f>
        <v>0</v>
      </c>
      <c r="Q111" s="72">
        <f t="array" ref="Q111">IF(Q66&gt;0,(Q66-$D111)*$E111,0)</f>
        <v>0</v>
      </c>
    </row>
    <row r="112" spans="1:17" x14ac:dyDescent="0.25">
      <c r="A112" s="42" t="s">
        <v>61</v>
      </c>
      <c r="B112" s="70">
        <v>1.115</v>
      </c>
      <c r="C112" s="14">
        <v>1018</v>
      </c>
      <c r="D112" s="71">
        <v>5.5</v>
      </c>
      <c r="E112" s="71">
        <v>21</v>
      </c>
      <c r="F112" s="72">
        <f t="array" ref="F112">IF(F67&gt;0,(F67-$D112)*$E112,0)</f>
        <v>114</v>
      </c>
      <c r="G112" s="72">
        <f t="array" ref="G112">IF(G67&gt;0,(G67-$D112)*$E112,0)</f>
        <v>288</v>
      </c>
      <c r="H112" s="72">
        <f t="array" ref="H112">IF(H67&gt;0,(H67-$D112)*$E112,0)</f>
        <v>0</v>
      </c>
      <c r="I112" s="72">
        <f t="array" ref="I112">IF(I67&gt;0,(I67-$D112)*$E112,0)</f>
        <v>0</v>
      </c>
      <c r="J112" s="72">
        <f t="array" ref="J112">IF(J67&gt;0,(J67-$D112)*$E112,0)</f>
        <v>0</v>
      </c>
      <c r="K112" s="72">
        <f t="array" ref="K112">IF(K67&gt;0,(K67-$D112)*$E112,0)</f>
        <v>0</v>
      </c>
      <c r="L112" s="72">
        <f t="array" ref="L112">IF(L67&gt;0,(L67-$D112)*$E112,0)</f>
        <v>0</v>
      </c>
      <c r="M112" s="72">
        <f t="array" ref="M112">IF(M67&gt;0,(M67-$D112)*$E112,0)</f>
        <v>0</v>
      </c>
      <c r="N112" s="72">
        <f t="array" ref="N112">IF(N67&gt;0,(N67-$D112)*$E112,0)</f>
        <v>0</v>
      </c>
      <c r="O112" s="72">
        <f t="array" ref="O112">IF(O67&gt;0,(O67-$D112)*$E112,0)</f>
        <v>0</v>
      </c>
      <c r="P112" s="72">
        <f t="array" ref="P112">IF(P67&gt;0,(P67-$D112)*$E112,0)</f>
        <v>0</v>
      </c>
      <c r="Q112" s="72">
        <f t="array" ref="Q112">IF(Q67&gt;0,(Q67-$D112)*$E112,0)</f>
        <v>0</v>
      </c>
    </row>
    <row r="113" spans="1:17" x14ac:dyDescent="0.25">
      <c r="A113" s="42" t="s">
        <v>62</v>
      </c>
      <c r="B113" s="70">
        <v>2.367</v>
      </c>
      <c r="C113" s="14">
        <v>1018</v>
      </c>
      <c r="D113" s="71">
        <v>7</v>
      </c>
      <c r="E113" s="71">
        <v>18</v>
      </c>
      <c r="F113" s="72">
        <f t="array" ref="F113">IF(F68&gt;0,(F68-$D113)*$E113,0)</f>
        <v>120.00000000000003</v>
      </c>
      <c r="G113" s="72">
        <f t="array" ref="G113">IF(G68&gt;0,(G68-$D113)*$E113,0)</f>
        <v>209.99999999999994</v>
      </c>
      <c r="H113" s="72">
        <f t="array" ref="H113">IF(H68&gt;0,(H68-$D113)*$E113,0)</f>
        <v>0</v>
      </c>
      <c r="I113" s="72">
        <f t="array" ref="I113">IF(I68&gt;0,(I68-$D113)*$E113,0)</f>
        <v>0</v>
      </c>
      <c r="J113" s="72">
        <f t="array" ref="J113">IF(J68&gt;0,(J68-$D113)*$E113,0)</f>
        <v>0</v>
      </c>
      <c r="K113" s="72">
        <f t="array" ref="K113">IF(K68&gt;0,(K68-$D113)*$E113,0)</f>
        <v>0</v>
      </c>
      <c r="L113" s="72">
        <f t="array" ref="L113">IF(L68&gt;0,(L68-$D113)*$E113,0)</f>
        <v>0</v>
      </c>
      <c r="M113" s="72">
        <f t="array" ref="M113">IF(M68&gt;0,(M68-$D113)*$E113,0)</f>
        <v>0</v>
      </c>
      <c r="N113" s="72">
        <f t="array" ref="N113">IF(N68&gt;0,(N68-$D113)*$E113,0)</f>
        <v>0</v>
      </c>
      <c r="O113" s="72">
        <f t="array" ref="O113">IF(O68&gt;0,(O68-$D113)*$E113,0)</f>
        <v>0</v>
      </c>
      <c r="P113" s="72">
        <f t="array" ref="P113">IF(P68&gt;0,(P68-$D113)*$E113,0)</f>
        <v>0</v>
      </c>
      <c r="Q113" s="72">
        <f t="array" ref="Q113">IF(Q68&gt;0,(Q68-$D113)*$E113,0)</f>
        <v>0</v>
      </c>
    </row>
    <row r="114" spans="1:17" x14ac:dyDescent="0.25">
      <c r="A114" s="42" t="s">
        <v>63</v>
      </c>
      <c r="B114" s="70">
        <v>3.1069999999999998</v>
      </c>
      <c r="C114" s="14">
        <v>1018</v>
      </c>
      <c r="D114" s="71">
        <v>8</v>
      </c>
      <c r="E114" s="71">
        <v>18</v>
      </c>
      <c r="F114" s="72">
        <f t="array" ref="F114">IF(F69&gt;0,(F69-$D114)*$E114,0)</f>
        <v>245.99999999999994</v>
      </c>
      <c r="G114" s="72">
        <f t="array" ref="G114">IF(G69&gt;0,(G69-$D114)*$E114,0)</f>
        <v>150.00000000000006</v>
      </c>
      <c r="H114" s="72">
        <f t="array" ref="H114">IF(H69&gt;0,(H69-$D114)*$E114,0)</f>
        <v>0</v>
      </c>
      <c r="I114" s="72">
        <f t="array" ref="I114">IF(I69&gt;0,(I69-$D114)*$E114,0)</f>
        <v>0</v>
      </c>
      <c r="J114" s="72">
        <f t="array" ref="J114">IF(J69&gt;0,(J69-$D114)*$E114,0)</f>
        <v>0</v>
      </c>
      <c r="K114" s="72">
        <f t="array" ref="K114">IF(K69&gt;0,(K69-$D114)*$E114,0)</f>
        <v>0</v>
      </c>
      <c r="L114" s="72">
        <f t="array" ref="L114">IF(L69&gt;0,(L69-$D114)*$E114,0)</f>
        <v>0</v>
      </c>
      <c r="M114" s="72">
        <f t="array" ref="M114">IF(M69&gt;0,(M69-$D114)*$E114,0)</f>
        <v>0</v>
      </c>
      <c r="N114" s="72">
        <f t="array" ref="N114">IF(N69&gt;0,(N69-$D114)*$E114,0)</f>
        <v>0</v>
      </c>
      <c r="O114" s="72">
        <f t="array" ref="O114">IF(O69&gt;0,(O69-$D114)*$E114,0)</f>
        <v>0</v>
      </c>
      <c r="P114" s="72">
        <f t="array" ref="P114">IF(P69&gt;0,(P69-$D114)*$E114,0)</f>
        <v>0</v>
      </c>
      <c r="Q114" s="72">
        <f t="array" ref="Q114">IF(Q69&gt;0,(Q69-$D114)*$E114,0)</f>
        <v>0</v>
      </c>
    </row>
    <row r="115" spans="1:17" x14ac:dyDescent="0.25">
      <c r="A115" s="42" t="s">
        <v>64</v>
      </c>
      <c r="B115" s="70">
        <v>5.6950000000000003</v>
      </c>
      <c r="C115" s="14">
        <v>1018</v>
      </c>
      <c r="D115" s="71">
        <v>10</v>
      </c>
      <c r="E115" s="71">
        <v>15</v>
      </c>
      <c r="F115" s="72">
        <f t="array" ref="F115">IF(F70&gt;0,(F70-$D115)*$E115,0)</f>
        <v>1140</v>
      </c>
      <c r="G115" s="72">
        <f t="array" ref="G115">IF(G70&gt;0,(G70-$D115)*$E115,0)</f>
        <v>0</v>
      </c>
      <c r="H115" s="72">
        <f t="array" ref="H115">IF(H70&gt;0,(H70-$D115)*$E115,0)</f>
        <v>0</v>
      </c>
      <c r="I115" s="72">
        <f t="array" ref="I115">IF(I70&gt;0,(I70-$D115)*$E115,0)</f>
        <v>0</v>
      </c>
      <c r="J115" s="72">
        <f t="array" ref="J115">IF(J70&gt;0,(J70-$D115)*$E115,0)</f>
        <v>0</v>
      </c>
      <c r="K115" s="72">
        <f t="array" ref="K115">IF(K70&gt;0,(K70-$D115)*$E115,0)</f>
        <v>0</v>
      </c>
      <c r="L115" s="72">
        <f t="array" ref="L115">IF(L70&gt;0,(L70-$D115)*$E115,0)</f>
        <v>0</v>
      </c>
      <c r="M115" s="72">
        <f t="array" ref="M115">IF(M70&gt;0,(M70-$D115)*$E115,0)</f>
        <v>0</v>
      </c>
      <c r="N115" s="72">
        <f t="array" ref="N115">IF(N70&gt;0,(N70-$D115)*$E115,0)</f>
        <v>0</v>
      </c>
      <c r="O115" s="72">
        <f t="array" ref="O115">IF(O70&gt;0,(O70-$D115)*$E115,0)</f>
        <v>0</v>
      </c>
      <c r="P115" s="72">
        <f t="array" ref="P115">IF(P70&gt;0,(P70-$D115)*$E115,0)</f>
        <v>0</v>
      </c>
      <c r="Q115" s="72">
        <f t="array" ref="Q115">IF(Q70&gt;0,(Q70-$D115)*$E115,0)</f>
        <v>0</v>
      </c>
    </row>
    <row r="116" spans="1:17" x14ac:dyDescent="0.25">
      <c r="A116" s="42" t="s">
        <v>35</v>
      </c>
      <c r="B116" s="70">
        <v>7.399</v>
      </c>
      <c r="C116" s="14">
        <v>1018</v>
      </c>
      <c r="D116" s="71">
        <v>19</v>
      </c>
      <c r="E116" s="71">
        <v>12</v>
      </c>
      <c r="F116" s="72">
        <f t="array" ref="F116">IF(F71&gt;0,(F71-$D116)*$E116,0)</f>
        <v>0</v>
      </c>
      <c r="G116" s="72">
        <f t="array" ref="G116">IF(G71&gt;0,(G71-$D116)*$E116,0)</f>
        <v>0</v>
      </c>
      <c r="H116" s="72">
        <f t="array" ref="H116">IF(H71&gt;0,(H71-$D116)*$E116,0)</f>
        <v>266.92830939491694</v>
      </c>
      <c r="I116" s="72">
        <f t="array" ref="I116">IF(I71&gt;0,(I71-$D116)*$E116,0)</f>
        <v>266.92830939491694</v>
      </c>
      <c r="J116" s="72">
        <f t="array" ref="J116">IF(J71&gt;0,(J71-$D116)*$E116,0)</f>
        <v>206.36474339775094</v>
      </c>
      <c r="K116" s="72">
        <f t="array" ref="K116">IF(K71&gt;0,(K71-$D116)*$E116,0)</f>
        <v>206.36474339775094</v>
      </c>
      <c r="L116" s="72">
        <f t="array" ref="L116">IF(L71&gt;0,(L71-$D116)*$E116,0)</f>
        <v>206.36474339775094</v>
      </c>
      <c r="M116" s="72">
        <f t="array" ref="M116">IF(M71&gt;0,(M71-$D116)*$E116,0)</f>
        <v>206.36474339775094</v>
      </c>
      <c r="N116" s="72">
        <f t="array" ref="N116">IF(N71&gt;0,(N71-$D116)*$E116,0)</f>
        <v>206.36474339775094</v>
      </c>
      <c r="O116" s="72">
        <f t="array" ref="O116">IF(O71&gt;0,(O71-$D116)*$E116,0)</f>
        <v>206.36474339775094</v>
      </c>
      <c r="P116" s="72">
        <f t="array" ref="P116">IF(P71&gt;0,(P71-$D116)*$E116,0)</f>
        <v>206.36474339775094</v>
      </c>
      <c r="Q116" s="72">
        <f t="array" ref="Q116">IF(Q71&gt;0,(Q71-$D116)*$E116,0)</f>
        <v>206.36474339775094</v>
      </c>
    </row>
    <row r="117" spans="1:17" x14ac:dyDescent="0.25">
      <c r="A117" s="42" t="s">
        <v>55</v>
      </c>
      <c r="B117" s="70">
        <v>0.73</v>
      </c>
      <c r="C117" s="14">
        <v>1018</v>
      </c>
      <c r="D117" s="71">
        <v>5.5</v>
      </c>
      <c r="E117" s="71">
        <v>21</v>
      </c>
      <c r="F117" s="72">
        <f t="array" ref="F117">IF(F72&gt;0,(F72-$D117)*$E117,0)</f>
        <v>780.82191780821927</v>
      </c>
      <c r="G117" s="72">
        <f t="array" ref="G117">IF(G72&gt;0,(G72-$D117)*$E117,0)</f>
        <v>0</v>
      </c>
      <c r="H117" s="72">
        <f t="array" ref="H117">IF(H72&gt;0,(H72-$D117)*$E117,0)</f>
        <v>501.01536306772971</v>
      </c>
      <c r="I117" s="72">
        <f t="array" ref="I117">IF(I72&gt;0,(I72-$D117)*$E117,0)</f>
        <v>501.01536306772971</v>
      </c>
      <c r="J117" s="72">
        <f t="array" ref="J117">IF(J72&gt;0,(J72-$D117)*$E117,0)</f>
        <v>387.33960842211036</v>
      </c>
      <c r="K117" s="72">
        <f t="array" ref="K117">IF(K72&gt;0,(K72-$D117)*$E117,0)</f>
        <v>387.33960842211036</v>
      </c>
      <c r="L117" s="72">
        <f t="array" ref="L117">IF(L72&gt;0,(L72-$D117)*$E117,0)</f>
        <v>387.33960842211036</v>
      </c>
      <c r="M117" s="72">
        <f t="array" ref="M117">IF(M72&gt;0,(M72-$D117)*$E117,0)</f>
        <v>387.33960842211036</v>
      </c>
      <c r="N117" s="72">
        <f t="array" ref="N117">IF(N72&gt;0,(N72-$D117)*$E117,0)</f>
        <v>387.33960842211036</v>
      </c>
      <c r="O117" s="72">
        <f t="array" ref="O117">IF(O72&gt;0,(O72-$D117)*$E117,0)</f>
        <v>387.33960842211036</v>
      </c>
      <c r="P117" s="72">
        <f t="array" ref="P117">IF(P72&gt;0,(P72-$D117)*$E117,0)</f>
        <v>387.33960842211036</v>
      </c>
      <c r="Q117" s="72">
        <f t="array" ref="Q117">IF(Q72&gt;0,(Q72-$D117)*$E117,0)</f>
        <v>387.33960842211036</v>
      </c>
    </row>
    <row r="118" spans="1:17" x14ac:dyDescent="0.25">
      <c r="A118" s="42" t="s">
        <v>54</v>
      </c>
      <c r="B118" s="70">
        <v>1.3419999999999999</v>
      </c>
      <c r="C118" s="14">
        <v>1018</v>
      </c>
      <c r="D118" s="71">
        <v>7</v>
      </c>
      <c r="E118" s="71">
        <v>21</v>
      </c>
      <c r="F118" s="72">
        <f t="array" ref="F118">IF(F73&gt;0,(F73-$D118)*$E118,0)</f>
        <v>0</v>
      </c>
      <c r="G118" s="72">
        <f t="array" ref="G118">IF(G73&gt;0,(G73-$D118)*$E118,0)</f>
        <v>0</v>
      </c>
      <c r="H118" s="72">
        <f t="array" ref="H118">IF(H73&gt;0,(H73-$D118)*$E118,0)</f>
        <v>0</v>
      </c>
      <c r="I118" s="72">
        <f t="array" ref="I118">IF(I73&gt;0,(I73-$D118)*$E118,0)</f>
        <v>0</v>
      </c>
      <c r="J118" s="72">
        <f t="array" ref="J118">IF(J73&gt;0,(J73-$D118)*$E118,0)</f>
        <v>0</v>
      </c>
      <c r="K118" s="72">
        <f t="array" ref="K118">IF(K73&gt;0,(K73-$D118)*$E118,0)</f>
        <v>0</v>
      </c>
      <c r="L118" s="72">
        <f t="array" ref="L118">IF(L73&gt;0,(L73-$D118)*$E118,0)</f>
        <v>0</v>
      </c>
      <c r="M118" s="72">
        <f t="array" ref="M118">IF(M73&gt;0,(M73-$D118)*$E118,0)</f>
        <v>0</v>
      </c>
      <c r="N118" s="72">
        <f t="array" ref="N118">IF(N73&gt;0,(N73-$D118)*$E118,0)</f>
        <v>0</v>
      </c>
      <c r="O118" s="72">
        <f t="array" ref="O118">IF(O73&gt;0,(O73-$D118)*$E118,0)</f>
        <v>0</v>
      </c>
      <c r="P118" s="72">
        <f t="array" ref="P118">IF(P73&gt;0,(P73-$D118)*$E118,0)</f>
        <v>0</v>
      </c>
      <c r="Q118" s="72">
        <f t="array" ref="Q118">IF(Q73&gt;0,(Q73-$D118)*$E118,0)</f>
        <v>0</v>
      </c>
    </row>
    <row r="119" spans="1:17" x14ac:dyDescent="0.25">
      <c r="A119" s="42" t="s">
        <v>52</v>
      </c>
      <c r="B119" s="70">
        <v>0.82699999999999996</v>
      </c>
      <c r="C119" s="14">
        <v>1018</v>
      </c>
      <c r="D119" s="71">
        <v>9</v>
      </c>
      <c r="E119" s="71">
        <v>42</v>
      </c>
      <c r="F119" s="72">
        <f t="array" ref="F119">IF(F74&gt;0,(F74-$D119)*$E119,0)</f>
        <v>17180.68232</v>
      </c>
      <c r="G119" s="72">
        <f t="array" ref="G119">IF(G74&gt;0,(G74-$D119)*$E119,0)</f>
        <v>412</v>
      </c>
      <c r="H119" s="72">
        <f t="array" ref="H119">IF(H74&gt;0,(H74-$D119)*$E119,0)</f>
        <v>0</v>
      </c>
      <c r="I119" s="72">
        <f t="array" ref="I119">IF(I74&gt;0,(I74-$D119)*$E119,0)</f>
        <v>4120</v>
      </c>
      <c r="J119" s="72">
        <f t="array" ref="J119">IF(J74&gt;0,(J74-$D119)*$E119,0)</f>
        <v>0</v>
      </c>
      <c r="K119" s="72">
        <f t="array" ref="K119">IF(K74&gt;0,(K74-$D119)*$E119,0)</f>
        <v>0</v>
      </c>
      <c r="L119" s="72">
        <f t="array" ref="L119">IF(L74&gt;0,(L74-$D119)*$E119,0)</f>
        <v>0</v>
      </c>
      <c r="M119" s="72">
        <f t="array" ref="M119">IF(M74&gt;0,(M74-$D119)*$E119,0)</f>
        <v>0</v>
      </c>
      <c r="N119" s="72">
        <f t="array" ref="N119">IF(N74&gt;0,(N74-$D119)*$E119,0)</f>
        <v>0</v>
      </c>
      <c r="O119" s="72">
        <f t="array" ref="O119">IF(O74&gt;0,(O74-$D119)*$E119,0)</f>
        <v>0</v>
      </c>
      <c r="P119" s="72">
        <f t="array" ref="P119">IF(P74&gt;0,(P74-$D119)*$E119,0)</f>
        <v>0</v>
      </c>
      <c r="Q119" s="72">
        <f t="array" ref="Q119">IF(Q74&gt;0,(Q74-$D119)*$E119,0)</f>
        <v>0</v>
      </c>
    </row>
    <row r="120" spans="1:17" x14ac:dyDescent="0.25">
      <c r="A120" s="42" t="s">
        <v>50</v>
      </c>
      <c r="B120" s="70">
        <v>0.53100000000000003</v>
      </c>
      <c r="C120" s="14">
        <v>1018</v>
      </c>
      <c r="D120" s="71">
        <v>4</v>
      </c>
      <c r="E120" s="71">
        <v>24</v>
      </c>
      <c r="F120" s="72">
        <f t="array" ref="F120">IF(F75&gt;0,(F75-$D120)*$E120,0)</f>
        <v>504</v>
      </c>
      <c r="G120" s="72">
        <f t="array" ref="G120">IF(G75&gt;0,(G75-$D120)*$E120,0)</f>
        <v>504</v>
      </c>
      <c r="H120" s="72">
        <f t="array" ref="H120">IF(H75&gt;0,(H75-$D120)*$E120,0)</f>
        <v>504</v>
      </c>
      <c r="I120" s="72">
        <f t="array" ref="I120">IF(I75&gt;0,(I75-$D120)*$E120,0)</f>
        <v>504</v>
      </c>
      <c r="J120" s="72">
        <f t="array" ref="J120">IF(J75&gt;0,(J75-$D120)*$E120,0)</f>
        <v>504</v>
      </c>
      <c r="K120" s="72">
        <f t="array" ref="K120">IF(K75&gt;0,(K75-$D120)*$E120,0)</f>
        <v>504</v>
      </c>
      <c r="L120" s="72">
        <f t="array" ref="L120">IF(L75&gt;0,(L75-$D120)*$E120,0)</f>
        <v>504</v>
      </c>
      <c r="M120" s="72">
        <f t="array" ref="M120">IF(M75&gt;0,(M75-$D120)*$E120,0)</f>
        <v>504</v>
      </c>
      <c r="N120" s="72">
        <f t="array" ref="N120">IF(N75&gt;0,(N75-$D120)*$E120,0)</f>
        <v>504</v>
      </c>
      <c r="O120" s="72">
        <f t="array" ref="O120">IF(O75&gt;0,(O75-$D120)*$E120,0)</f>
        <v>504</v>
      </c>
      <c r="P120" s="72">
        <f t="array" ref="P120">IF(P75&gt;0,(P75-$D120)*$E120,0)</f>
        <v>504</v>
      </c>
      <c r="Q120" s="72">
        <f t="array" ref="Q120">IF(Q75&gt;0,(Q75-$D120)*$E120,0)</f>
        <v>504</v>
      </c>
    </row>
    <row r="121" spans="1:17" x14ac:dyDescent="0.25">
      <c r="A121" s="42" t="s">
        <v>51</v>
      </c>
      <c r="B121" s="70">
        <v>0.78400000000000003</v>
      </c>
      <c r="C121" s="14">
        <v>1018</v>
      </c>
      <c r="D121" s="71">
        <v>4.5</v>
      </c>
      <c r="E121" s="71">
        <v>21</v>
      </c>
      <c r="F121" s="72">
        <f t="array" ref="F121">IF(F76&gt;0,(F76-$D121)*$E121,0)</f>
        <v>0</v>
      </c>
      <c r="G121" s="72">
        <f t="array" ref="G121">IF(G76&gt;0,(G76-$D121)*$E121,0)</f>
        <v>0</v>
      </c>
      <c r="H121" s="72">
        <f t="array" ref="H121">IF(H76&gt;0,(H76-$D121)*$E121,0)</f>
        <v>0</v>
      </c>
      <c r="I121" s="72">
        <f t="array" ref="I121">IF(I76&gt;0,(I76-$D121)*$E121,0)</f>
        <v>0</v>
      </c>
      <c r="J121" s="72">
        <f t="array" ref="J121">IF(J76&gt;0,(J76-$D121)*$E121,0)</f>
        <v>0</v>
      </c>
      <c r="K121" s="72">
        <f t="array" ref="K121">IF(K76&gt;0,(K76-$D121)*$E121,0)</f>
        <v>0</v>
      </c>
      <c r="L121" s="72">
        <f t="array" ref="L121">IF(L76&gt;0,(L76-$D121)*$E121,0)</f>
        <v>0</v>
      </c>
      <c r="M121" s="72">
        <f t="array" ref="M121">IF(M76&gt;0,(M76-$D121)*$E121,0)</f>
        <v>0</v>
      </c>
      <c r="N121" s="72">
        <f t="array" ref="N121">IF(N76&gt;0,(N76-$D121)*$E121,0)</f>
        <v>0</v>
      </c>
      <c r="O121" s="72">
        <f t="array" ref="O121">IF(O76&gt;0,(O76-$D121)*$E121,0)</f>
        <v>0</v>
      </c>
      <c r="P121" s="72">
        <f t="array" ref="P121">IF(P76&gt;0,(P76-$D121)*$E121,0)</f>
        <v>0</v>
      </c>
      <c r="Q121" s="72">
        <f t="array" ref="Q121">IF(Q76&gt;0,(Q76-$D121)*$E121,0)</f>
        <v>0</v>
      </c>
    </row>
    <row r="122" spans="1:17" x14ac:dyDescent="0.25">
      <c r="A122" s="42" t="s">
        <v>49</v>
      </c>
      <c r="B122" s="70">
        <v>0.871</v>
      </c>
      <c r="C122" s="14">
        <v>1018</v>
      </c>
      <c r="D122" s="71">
        <v>5</v>
      </c>
      <c r="E122" s="71">
        <v>21</v>
      </c>
      <c r="F122" s="72">
        <f t="array" ref="F122">IF(F77&gt;0,(F77-$D122)*$E122,0)</f>
        <v>0</v>
      </c>
      <c r="G122" s="72">
        <f t="array" ref="G122">IF(G77&gt;0,(G77-$D122)*$E122,0)</f>
        <v>0</v>
      </c>
      <c r="H122" s="72">
        <f t="array" ref="H122">IF(H77&gt;0,(H77-$D122)*$E122,0)</f>
        <v>0</v>
      </c>
      <c r="I122" s="72">
        <f t="array" ref="I122">IF(I77&gt;0,(I77-$D122)*$E122,0)</f>
        <v>0</v>
      </c>
      <c r="J122" s="72">
        <f t="array" ref="J122">IF(J77&gt;0,(J77-$D122)*$E122,0)</f>
        <v>0</v>
      </c>
      <c r="K122" s="72">
        <f t="array" ref="K122">IF(K77&gt;0,(K77-$D122)*$E122,0)</f>
        <v>0</v>
      </c>
      <c r="L122" s="72">
        <f t="array" ref="L122">IF(L77&gt;0,(L77-$D122)*$E122,0)</f>
        <v>0</v>
      </c>
      <c r="M122" s="72">
        <f t="array" ref="M122">IF(M77&gt;0,(M77-$D122)*$E122,0)</f>
        <v>0</v>
      </c>
      <c r="N122" s="72">
        <f t="array" ref="N122">IF(N77&gt;0,(N77-$D122)*$E122,0)</f>
        <v>0</v>
      </c>
      <c r="O122" s="72">
        <f t="array" ref="O122">IF(O77&gt;0,(O77-$D122)*$E122,0)</f>
        <v>0</v>
      </c>
      <c r="P122" s="72">
        <f t="array" ref="P122">IF(P77&gt;0,(P77-$D122)*$E122,0)</f>
        <v>0</v>
      </c>
      <c r="Q122" s="72">
        <f t="array" ref="Q122">IF(Q77&gt;0,(Q77-$D122)*$E122,0)</f>
        <v>0</v>
      </c>
    </row>
    <row r="123" spans="1:17" x14ac:dyDescent="0.25">
      <c r="A123" s="42" t="s">
        <v>46</v>
      </c>
      <c r="B123" s="70">
        <v>1.665</v>
      </c>
      <c r="C123" s="14">
        <v>1018</v>
      </c>
      <c r="D123" s="71">
        <v>12.5</v>
      </c>
      <c r="E123" s="71">
        <v>36</v>
      </c>
      <c r="F123" s="72">
        <f t="array" ref="F123">IF(F78&gt;0,(F78-$D123)*$E123,0)</f>
        <v>0</v>
      </c>
      <c r="G123" s="72">
        <f t="array" ref="G123">IF(G78&gt;0,(G78-$D123)*$E123,0)</f>
        <v>0</v>
      </c>
      <c r="H123" s="72">
        <f t="array" ref="H123">IF(H78&gt;0,(H78-$D123)*$E123,0)</f>
        <v>0</v>
      </c>
      <c r="I123" s="72">
        <f t="array" ref="I123">IF(I78&gt;0,(I78-$D123)*$E123,0)</f>
        <v>0</v>
      </c>
      <c r="J123" s="72">
        <f t="array" ref="J123">IF(J78&gt;0,(J78-$D123)*$E123,0)</f>
        <v>0</v>
      </c>
      <c r="K123" s="72">
        <f t="array" ref="K123">IF(K78&gt;0,(K78-$D123)*$E123,0)</f>
        <v>0</v>
      </c>
      <c r="L123" s="72">
        <f t="array" ref="L123">IF(L78&gt;0,(L78-$D123)*$E123,0)</f>
        <v>0</v>
      </c>
      <c r="M123" s="72">
        <f t="array" ref="M123">IF(M78&gt;0,(M78-$D123)*$E123,0)</f>
        <v>0</v>
      </c>
      <c r="N123" s="72">
        <f t="array" ref="N123">IF(N78&gt;0,(N78-$D123)*$E123,0)</f>
        <v>0</v>
      </c>
      <c r="O123" s="72">
        <f t="array" ref="O123">IF(O78&gt;0,(O78-$D123)*$E123,0)</f>
        <v>0</v>
      </c>
      <c r="P123" s="72">
        <f t="array" ref="P123">IF(P78&gt;0,(P78-$D123)*$E123,0)</f>
        <v>0</v>
      </c>
      <c r="Q123" s="72">
        <f t="array" ref="Q123">IF(Q78&gt;0,(Q78-$D123)*$E123,0)</f>
        <v>0</v>
      </c>
    </row>
    <row r="124" spans="1:17" x14ac:dyDescent="0.25">
      <c r="A124" s="42" t="s">
        <v>47</v>
      </c>
      <c r="B124" s="70">
        <v>2.0350000000000001</v>
      </c>
      <c r="C124" s="14">
        <v>1018</v>
      </c>
      <c r="D124" s="71">
        <v>12.5</v>
      </c>
      <c r="E124" s="71">
        <v>36</v>
      </c>
      <c r="F124" s="72">
        <f t="array" ref="F124">IF(F79&gt;0,(F79-$D124)*$E124,0)</f>
        <v>0</v>
      </c>
      <c r="G124" s="72">
        <f t="array" ref="G124">IF(G79&gt;0,(G79-$D124)*$E124,0)</f>
        <v>0</v>
      </c>
      <c r="H124" s="72">
        <f t="array" ref="H124">IF(H79&gt;0,(H79-$D124)*$E124,0)</f>
        <v>0</v>
      </c>
      <c r="I124" s="72">
        <f t="array" ref="I124">IF(I79&gt;0,(I79-$D124)*$E124,0)</f>
        <v>0</v>
      </c>
      <c r="J124" s="72">
        <f t="array" ref="J124">IF(J79&gt;0,(J79-$D124)*$E124,0)</f>
        <v>0</v>
      </c>
      <c r="K124" s="72">
        <f t="array" ref="K124">IF(K79&gt;0,(K79-$D124)*$E124,0)</f>
        <v>0</v>
      </c>
      <c r="L124" s="72">
        <f t="array" ref="L124">IF(L79&gt;0,(L79-$D124)*$E124,0)</f>
        <v>0</v>
      </c>
      <c r="M124" s="72">
        <f t="array" ref="M124">IF(M79&gt;0,(M79-$D124)*$E124,0)</f>
        <v>0</v>
      </c>
      <c r="N124" s="72">
        <f t="array" ref="N124">IF(N79&gt;0,(N79-$D124)*$E124,0)</f>
        <v>0</v>
      </c>
      <c r="O124" s="72">
        <f t="array" ref="O124">IF(O79&gt;0,(O79-$D124)*$E124,0)</f>
        <v>0</v>
      </c>
      <c r="P124" s="72">
        <f t="array" ref="P124">IF(P79&gt;0,(P79-$D124)*$E124,0)</f>
        <v>0</v>
      </c>
      <c r="Q124" s="72">
        <f t="array" ref="Q124">IF(Q79&gt;0,(Q79-$D124)*$E124,0)</f>
        <v>0</v>
      </c>
    </row>
    <row r="125" spans="1:17" x14ac:dyDescent="0.25">
      <c r="A125" s="42" t="s">
        <v>36</v>
      </c>
      <c r="B125" s="70">
        <v>0.4</v>
      </c>
      <c r="C125" s="14">
        <v>1018</v>
      </c>
      <c r="D125" s="71">
        <v>6.75</v>
      </c>
      <c r="E125" s="71">
        <v>48</v>
      </c>
      <c r="F125" s="72">
        <f t="array" ref="F125">IF(F80&gt;0,(F80-$D125)*$E125,0)</f>
        <v>0</v>
      </c>
      <c r="G125" s="72">
        <f t="array" ref="G125">IF(G80&gt;0,(G80-$D125)*$E125,0)</f>
        <v>0</v>
      </c>
      <c r="H125" s="72">
        <f t="array" ref="H125">IF(H80&gt;0,(H80-$D125)*$E125,0)</f>
        <v>0</v>
      </c>
      <c r="I125" s="72">
        <f t="array" ref="I125">IF(I80&gt;0,(I80-$D125)*$E125,0)</f>
        <v>244.42</v>
      </c>
      <c r="J125" s="72">
        <f t="array" ref="J125">IF(J80&gt;0,(J80-$D125)*$E125,0)</f>
        <v>244.42</v>
      </c>
      <c r="K125" s="72">
        <f t="array" ref="K125">IF(K80&gt;0,(K80-$D125)*$E125,0)</f>
        <v>244.42</v>
      </c>
      <c r="L125" s="72">
        <f t="array" ref="L125">IF(L80&gt;0,(L80-$D125)*$E125,0)</f>
        <v>244.42</v>
      </c>
      <c r="M125" s="72">
        <f t="array" ref="M125">IF(M80&gt;0,(M80-$D125)*$E125,0)</f>
        <v>244.42</v>
      </c>
      <c r="N125" s="72">
        <f t="array" ref="N125">IF(N80&gt;0,(N80-$D125)*$E125,0)</f>
        <v>244.42</v>
      </c>
      <c r="O125" s="72">
        <f t="array" ref="O125">IF(O80&gt;0,(O80-$D125)*$E125,0)</f>
        <v>244.42</v>
      </c>
      <c r="P125" s="72">
        <f t="array" ref="P125">IF(P80&gt;0,(P80-$D125)*$E125,0)</f>
        <v>244.42</v>
      </c>
      <c r="Q125" s="72">
        <f t="array" ref="Q125">IF(Q80&gt;0,(Q80-$D125)*$E125,0)</f>
        <v>244.42</v>
      </c>
    </row>
    <row r="126" spans="1:17" x14ac:dyDescent="0.25">
      <c r="A126" s="42" t="s">
        <v>37</v>
      </c>
      <c r="B126" s="70">
        <v>0.50600000000000001</v>
      </c>
      <c r="C126" s="14">
        <v>1018</v>
      </c>
      <c r="D126" s="71">
        <v>6.75</v>
      </c>
      <c r="E126" s="71">
        <v>48</v>
      </c>
      <c r="F126" s="72">
        <f t="array" ref="F126">IF(F81&gt;0,(F81-$D126)*$E126,0)</f>
        <v>0</v>
      </c>
      <c r="G126" s="72">
        <f t="array" ref="G126">IF(G81&gt;0,(G81-$D126)*$E126,0)</f>
        <v>0</v>
      </c>
      <c r="H126" s="72">
        <f t="array" ref="H126">IF(H81&gt;0,(H81-$D126)*$E126,0)</f>
        <v>0</v>
      </c>
      <c r="I126" s="72">
        <f t="array" ref="I126">IF(I81&gt;0,(I81-$D126)*$E126,0)</f>
        <v>0</v>
      </c>
      <c r="J126" s="72">
        <f t="array" ref="J126">IF(J81&gt;0,(J81-$D126)*$E126,0)</f>
        <v>0</v>
      </c>
      <c r="K126" s="72">
        <f t="array" ref="K126">IF(K81&gt;0,(K81-$D126)*$E126,0)</f>
        <v>0</v>
      </c>
      <c r="L126" s="72">
        <f t="array" ref="L126">IF(L81&gt;0,(L81-$D126)*$E126,0)</f>
        <v>0</v>
      </c>
      <c r="M126" s="72">
        <f t="array" ref="M126">IF(M81&gt;0,(M81-$D126)*$E126,0)</f>
        <v>0</v>
      </c>
      <c r="N126" s="72">
        <f t="array" ref="N126">IF(N81&gt;0,(N81-$D126)*$E126,0)</f>
        <v>0</v>
      </c>
      <c r="O126" s="72">
        <f t="array" ref="O126">IF(O81&gt;0,(O81-$D126)*$E126,0)</f>
        <v>0</v>
      </c>
      <c r="P126" s="72">
        <f t="array" ref="P126">IF(P81&gt;0,(P81-$D126)*$E126,0)</f>
        <v>0</v>
      </c>
      <c r="Q126" s="72">
        <f t="array" ref="Q126">IF(Q81&gt;0,(Q81-$D126)*$E126,0)</f>
        <v>0</v>
      </c>
    </row>
    <row r="127" spans="1:17" x14ac:dyDescent="0.25">
      <c r="A127" s="42" t="s">
        <v>38</v>
      </c>
      <c r="B127" s="70">
        <v>0.61099999999999999</v>
      </c>
      <c r="C127" s="14">
        <v>1018</v>
      </c>
      <c r="D127" s="71">
        <v>5</v>
      </c>
      <c r="E127" s="71">
        <v>24</v>
      </c>
      <c r="F127" s="72">
        <f t="array" ref="F127">IF(F82&gt;0,(F82-$D127)*$E127,0)</f>
        <v>0</v>
      </c>
      <c r="G127" s="72">
        <f t="array" ref="G127">IF(G82&gt;0,(G82-$D127)*$E127,0)</f>
        <v>0</v>
      </c>
      <c r="H127" s="72">
        <f t="array" ref="H127">IF(H82&gt;0,(H82-$D127)*$E127,0)</f>
        <v>17159.707852368832</v>
      </c>
      <c r="I127" s="72">
        <f t="array" ref="I127">IF(I82&gt;0,(I82-$D127)*$E127,0)</f>
        <v>17159.707852368832</v>
      </c>
      <c r="J127" s="72">
        <f t="array" ref="J127">IF(J82&gt;0,(J82-$D127)*$E127,0)</f>
        <v>13266.328759814562</v>
      </c>
      <c r="K127" s="72">
        <f t="array" ref="K127">IF(K82&gt;0,(K82-$D127)*$E127,0)</f>
        <v>13266.328759814562</v>
      </c>
      <c r="L127" s="72">
        <f t="array" ref="L127">IF(L82&gt;0,(L82-$D127)*$E127,0)</f>
        <v>13266.328759814562</v>
      </c>
      <c r="M127" s="72">
        <f t="array" ref="M127">IF(M82&gt;0,(M82-$D127)*$E127,0)</f>
        <v>13266.328759814562</v>
      </c>
      <c r="N127" s="72">
        <f t="array" ref="N127">IF(N82&gt;0,(N82-$D127)*$E127,0)</f>
        <v>13266.328759814562</v>
      </c>
      <c r="O127" s="72">
        <f t="array" ref="O127">IF(O82&gt;0,(O82-$D127)*$E127,0)</f>
        <v>13266.328759814562</v>
      </c>
      <c r="P127" s="72">
        <f t="array" ref="P127">IF(P82&gt;0,(P82-$D127)*$E127,0)</f>
        <v>13266.328759814562</v>
      </c>
      <c r="Q127" s="72">
        <f t="array" ref="Q127">IF(Q82&gt;0,(Q82-$D127)*$E127,0)</f>
        <v>13266.328759814562</v>
      </c>
    </row>
    <row r="128" spans="1:17" x14ac:dyDescent="0.25">
      <c r="A128" s="42" t="s">
        <v>45</v>
      </c>
      <c r="B128" s="70">
        <v>2.3919999999999999</v>
      </c>
      <c r="C128" s="14">
        <v>1018</v>
      </c>
      <c r="D128" s="71">
        <v>11.5</v>
      </c>
      <c r="E128" s="71">
        <v>18</v>
      </c>
      <c r="F128" s="72">
        <f t="array" ref="F128">IF(F83&gt;0,(F83-$D128)*$E128,0)</f>
        <v>0</v>
      </c>
      <c r="G128" s="72">
        <f t="array" ref="G128">IF(G83&gt;0,(G83-$D128)*$E128,0)</f>
        <v>0</v>
      </c>
      <c r="H128" s="72">
        <f t="array" ref="H128">IF(H83&gt;0,(H83-$D128)*$E128,0)</f>
        <v>0</v>
      </c>
      <c r="I128" s="72">
        <f t="array" ref="I128">IF(I83&gt;0,(I83-$D128)*$E128,0)</f>
        <v>0</v>
      </c>
      <c r="J128" s="72">
        <f t="array" ref="J128">IF(J83&gt;0,(J83-$D128)*$E128,0)</f>
        <v>0</v>
      </c>
      <c r="K128" s="72">
        <f t="array" ref="K128">IF(K83&gt;0,(K83-$D128)*$E128,0)</f>
        <v>0</v>
      </c>
      <c r="L128" s="72">
        <f t="array" ref="L128">IF(L83&gt;0,(L83-$D128)*$E128,0)</f>
        <v>0</v>
      </c>
      <c r="M128" s="72">
        <f t="array" ref="M128">IF(M83&gt;0,(M83-$D128)*$E128,0)</f>
        <v>0</v>
      </c>
      <c r="N128" s="72">
        <f t="array" ref="N128">IF(N83&gt;0,(N83-$D128)*$E128,0)</f>
        <v>0</v>
      </c>
      <c r="O128" s="72">
        <f t="array" ref="O128">IF(O83&gt;0,(O83-$D128)*$E128,0)</f>
        <v>0</v>
      </c>
      <c r="P128" s="72">
        <f t="array" ref="P128">IF(P83&gt;0,(P83-$D128)*$E128,0)</f>
        <v>0</v>
      </c>
      <c r="Q128" s="72">
        <f t="array" ref="Q128">IF(Q83&gt;0,(Q83-$D128)*$E128,0)</f>
        <v>0</v>
      </c>
    </row>
    <row r="129" spans="1:17" x14ac:dyDescent="0.25">
      <c r="A129" s="42" t="s">
        <v>39</v>
      </c>
      <c r="B129" s="70">
        <v>0.38</v>
      </c>
      <c r="C129" s="14">
        <v>1018</v>
      </c>
      <c r="D129" s="71">
        <v>7.75</v>
      </c>
      <c r="E129" s="71">
        <v>48</v>
      </c>
      <c r="F129" s="72">
        <f t="array" ref="F129">IF(F84&gt;0,(F84-$D129)*$E129,0)</f>
        <v>1500</v>
      </c>
      <c r="G129" s="72">
        <f t="array" ref="G129">IF(G84&gt;0,(G84-$D129)*$E129,0)</f>
        <v>1500</v>
      </c>
      <c r="H129" s="72">
        <f t="array" ref="H129">IF(H84&gt;0,(H84-$D129)*$E129,0)</f>
        <v>1500</v>
      </c>
      <c r="I129" s="72">
        <f t="array" ref="I129">IF(I84&gt;0,(I84-$D129)*$E129,0)</f>
        <v>1500</v>
      </c>
      <c r="J129" s="72">
        <f t="array" ref="J129">IF(J84&gt;0,(J84-$D129)*$E129,0)</f>
        <v>1500</v>
      </c>
      <c r="K129" s="72">
        <f t="array" ref="K129">IF(K84&gt;0,(K84-$D129)*$E129,0)</f>
        <v>1500</v>
      </c>
      <c r="L129" s="72">
        <f t="array" ref="L129">IF(L84&gt;0,(L84-$D129)*$E129,0)</f>
        <v>1500</v>
      </c>
      <c r="M129" s="72">
        <f t="array" ref="M129">IF(M84&gt;0,(M84-$D129)*$E129,0)</f>
        <v>1500</v>
      </c>
      <c r="N129" s="72">
        <f t="array" ref="N129">IF(N84&gt;0,(N84-$D129)*$E129,0)</f>
        <v>1500</v>
      </c>
      <c r="O129" s="72">
        <f t="array" ref="O129">IF(O84&gt;0,(O84-$D129)*$E129,0)</f>
        <v>1500</v>
      </c>
      <c r="P129" s="72">
        <f t="array" ref="P129">IF(P84&gt;0,(P84-$D129)*$E129,0)</f>
        <v>1500</v>
      </c>
      <c r="Q129" s="72">
        <f t="array" ref="Q129">IF(Q84&gt;0,(Q84-$D129)*$E129,0)</f>
        <v>1500</v>
      </c>
    </row>
    <row r="130" spans="1:17" x14ac:dyDescent="0.25">
      <c r="A130" s="42" t="s">
        <v>40</v>
      </c>
      <c r="B130" s="70">
        <v>0.59799999999999998</v>
      </c>
      <c r="C130" s="14">
        <v>1018</v>
      </c>
      <c r="D130" s="71">
        <v>10.5</v>
      </c>
      <c r="E130" s="71">
        <v>48</v>
      </c>
      <c r="F130" s="72">
        <f t="array" ref="F130">IF(F85&gt;0,(F85-$D130)*$E130,0)</f>
        <v>0</v>
      </c>
      <c r="G130" s="72">
        <f t="array" ref="G130">IF(G85&gt;0,(G85-$D130)*$E130,0)</f>
        <v>0</v>
      </c>
      <c r="H130" s="72">
        <f t="array" ref="H130">IF(H85&gt;0,(H85-$D130)*$E130,0)</f>
        <v>0</v>
      </c>
      <c r="I130" s="72">
        <f t="array" ref="I130">IF(I85&gt;0,(I85-$D130)*$E130,0)</f>
        <v>0</v>
      </c>
      <c r="J130" s="72">
        <f t="array" ref="J130">IF(J85&gt;0,(J85-$D130)*$E130,0)</f>
        <v>0</v>
      </c>
      <c r="K130" s="72">
        <f t="array" ref="K130">IF(K85&gt;0,(K85-$D130)*$E130,0)</f>
        <v>0</v>
      </c>
      <c r="L130" s="72">
        <f t="array" ref="L130">IF(L85&gt;0,(L85-$D130)*$E130,0)</f>
        <v>0</v>
      </c>
      <c r="M130" s="72">
        <f t="array" ref="M130">IF(M85&gt;0,(M85-$D130)*$E130,0)</f>
        <v>0</v>
      </c>
      <c r="N130" s="72">
        <f t="array" ref="N130">IF(N85&gt;0,(N85-$D130)*$E130,0)</f>
        <v>0</v>
      </c>
      <c r="O130" s="72">
        <f t="array" ref="O130">IF(O85&gt;0,(O85-$D130)*$E130,0)</f>
        <v>0</v>
      </c>
      <c r="P130" s="72">
        <f t="array" ref="P130">IF(P85&gt;0,(P85-$D130)*$E130,0)</f>
        <v>0</v>
      </c>
      <c r="Q130" s="72">
        <f t="array" ref="Q130">IF(Q85&gt;0,(Q85-$D130)*$E130,0)</f>
        <v>0</v>
      </c>
    </row>
    <row r="131" spans="1:17" x14ac:dyDescent="0.25">
      <c r="A131" s="42" t="s">
        <v>41</v>
      </c>
      <c r="B131" s="70">
        <v>0.65500000000000003</v>
      </c>
      <c r="C131" s="14">
        <v>1018</v>
      </c>
      <c r="D131" s="71">
        <v>10.5</v>
      </c>
      <c r="E131" s="71">
        <v>48</v>
      </c>
      <c r="F131" s="72">
        <f t="array" ref="F131">IF(F86&gt;0,(F86-$D131)*$E131,0)</f>
        <v>7502</v>
      </c>
      <c r="G131" s="72">
        <f t="array" ref="G131">IF(G86&gt;0,(G86-$D131)*$E131,0)</f>
        <v>7502</v>
      </c>
      <c r="H131" s="72">
        <f t="array" ref="H131">IF(H86&gt;0,(H86-$D131)*$E131,0)</f>
        <v>7002</v>
      </c>
      <c r="I131" s="72">
        <f t="array" ref="I131">IF(I86&gt;0,(I86-$D131)*$E131,0)</f>
        <v>7502</v>
      </c>
      <c r="J131" s="72">
        <f t="array" ref="J131">IF(J86&gt;0,(J86-$D131)*$E131,0)</f>
        <v>7302</v>
      </c>
      <c r="K131" s="72">
        <f t="array" ref="K131">IF(K86&gt;0,(K86-$D131)*$E131,0)</f>
        <v>7302</v>
      </c>
      <c r="L131" s="72">
        <f t="array" ref="L131">IF(L86&gt;0,(L86-$D131)*$E131,0)</f>
        <v>7302</v>
      </c>
      <c r="M131" s="72">
        <f t="array" ref="M131">IF(M86&gt;0,(M86-$D131)*$E131,0)</f>
        <v>7302</v>
      </c>
      <c r="N131" s="72">
        <f t="array" ref="N131">IF(N86&gt;0,(N86-$D131)*$E131,0)</f>
        <v>7302</v>
      </c>
      <c r="O131" s="72">
        <f t="array" ref="O131">IF(O86&gt;0,(O86-$D131)*$E131,0)</f>
        <v>7302</v>
      </c>
      <c r="P131" s="72">
        <f t="array" ref="P131">IF(P86&gt;0,(P86-$D131)*$E131,0)</f>
        <v>7302</v>
      </c>
      <c r="Q131" s="72">
        <f t="array" ref="Q131">IF(Q86&gt;0,(Q86-$D131)*$E131,0)</f>
        <v>7302</v>
      </c>
    </row>
    <row r="132" spans="1:17" x14ac:dyDescent="0.25">
      <c r="A132" s="42" t="s">
        <v>43</v>
      </c>
      <c r="B132" s="70">
        <v>0.95699999999999996</v>
      </c>
      <c r="C132" s="14">
        <v>1018</v>
      </c>
      <c r="D132" s="71">
        <v>10.5</v>
      </c>
      <c r="E132" s="71">
        <v>42</v>
      </c>
      <c r="F132" s="72">
        <f t="array" ref="F132">IF(F87&gt;0,(F87-$D132)*$E132,0)</f>
        <v>0</v>
      </c>
      <c r="G132" s="72">
        <f t="array" ref="G132">IF(G87&gt;0,(G87-$D132)*$E132,0)</f>
        <v>0</v>
      </c>
      <c r="H132" s="72">
        <f t="array" ref="H132">IF(H87&gt;0,(H87-$D132)*$E132,0)</f>
        <v>2802.6146746317445</v>
      </c>
      <c r="I132" s="72">
        <f t="array" ref="I132">IF(I87&gt;0,(I87-$D132)*$E132,0)</f>
        <v>2802.6146746317445</v>
      </c>
      <c r="J132" s="72">
        <f t="array" ref="J132">IF(J87&gt;0,(J87-$D132)*$E132,0)</f>
        <v>2166.7273114800041</v>
      </c>
      <c r="K132" s="72">
        <f t="array" ref="K132">IF(K87&gt;0,(K87-$D132)*$E132,0)</f>
        <v>2166.7273114800041</v>
      </c>
      <c r="L132" s="72">
        <f t="array" ref="L132">IF(L87&gt;0,(L87-$D132)*$E132,0)</f>
        <v>2166.7273114800041</v>
      </c>
      <c r="M132" s="72">
        <f t="array" ref="M132">IF(M87&gt;0,(M87-$D132)*$E132,0)</f>
        <v>2166.7273114800041</v>
      </c>
      <c r="N132" s="72">
        <f t="array" ref="N132">IF(N87&gt;0,(N87-$D132)*$E132,0)</f>
        <v>2166.7273114800041</v>
      </c>
      <c r="O132" s="72">
        <f t="array" ref="O132">IF(O87&gt;0,(O87-$D132)*$E132,0)</f>
        <v>2166.7273114800041</v>
      </c>
      <c r="P132" s="72">
        <f t="array" ref="P132">IF(P87&gt;0,(P87-$D132)*$E132,0)</f>
        <v>2166.7273114800041</v>
      </c>
      <c r="Q132" s="72">
        <f t="array" ref="Q132">IF(Q87&gt;0,(Q87-$D132)*$E132,0)</f>
        <v>2166.7273114800041</v>
      </c>
    </row>
    <row r="133" spans="1:17" x14ac:dyDescent="0.25">
      <c r="A133" s="42" t="s">
        <v>42</v>
      </c>
      <c r="B133" s="70">
        <v>0.82199999999999995</v>
      </c>
      <c r="C133" s="14">
        <v>1018</v>
      </c>
      <c r="D133" s="71">
        <v>6.5</v>
      </c>
      <c r="E133" s="71">
        <v>21</v>
      </c>
      <c r="F133" s="72">
        <f t="array" ref="F133">IF(F88&gt;0,(F88-$D133)*$E133,0)</f>
        <v>2502</v>
      </c>
      <c r="G133" s="72">
        <f t="array" ref="G133">IF(G88&gt;0,(G88-$D133)*$E133,0)</f>
        <v>2502</v>
      </c>
      <c r="H133" s="72">
        <f t="array" ref="H133">IF(H88&gt;0,(H88-$D133)*$E133,0)</f>
        <v>2700.0000000000005</v>
      </c>
      <c r="I133" s="72">
        <f t="array" ref="I133">IF(I88&gt;0,(I88-$D133)*$E133,0)</f>
        <v>2502</v>
      </c>
      <c r="J133" s="72">
        <f t="array" ref="J133">IF(J88&gt;0,(J88-$D133)*$E133,0)</f>
        <v>2502</v>
      </c>
      <c r="K133" s="72">
        <f t="array" ref="K133">IF(K88&gt;0,(K88-$D133)*$E133,0)</f>
        <v>2502</v>
      </c>
      <c r="L133" s="72">
        <f t="array" ref="L133">IF(L88&gt;0,(L88-$D133)*$E133,0)</f>
        <v>2502</v>
      </c>
      <c r="M133" s="72">
        <f t="array" ref="M133">IF(M88&gt;0,(M88-$D133)*$E133,0)</f>
        <v>2502</v>
      </c>
      <c r="N133" s="72">
        <f t="array" ref="N133">IF(N88&gt;0,(N88-$D133)*$E133,0)</f>
        <v>2502</v>
      </c>
      <c r="O133" s="72">
        <f t="array" ref="O133">IF(O88&gt;0,(O88-$D133)*$E133,0)</f>
        <v>2502</v>
      </c>
      <c r="P133" s="72">
        <f t="array" ref="P133">IF(P88&gt;0,(P88-$D133)*$E133,0)</f>
        <v>2502</v>
      </c>
      <c r="Q133" s="72">
        <f t="array" ref="Q133">IF(Q88&gt;0,(Q88-$D133)*$E133,0)</f>
        <v>2502</v>
      </c>
    </row>
    <row r="134" spans="1:17" x14ac:dyDescent="0.25">
      <c r="A134" s="42" t="s">
        <v>44</v>
      </c>
      <c r="B134" s="70">
        <v>1.1789999999999998</v>
      </c>
      <c r="C134" s="14">
        <v>1018</v>
      </c>
      <c r="D134" s="71">
        <v>6.5</v>
      </c>
      <c r="E134" s="71">
        <v>21</v>
      </c>
      <c r="F134" s="72">
        <f t="array" ref="F134">IF(F89&gt;0,(F89-$D134)*$E134,0)</f>
        <v>504</v>
      </c>
      <c r="G134" s="72">
        <f t="array" ref="G134">IF(G89&gt;0,(G89-$D134)*$E134,0)</f>
        <v>504</v>
      </c>
      <c r="H134" s="72">
        <f t="array" ref="H134">IF(H89&gt;0,(H89-$D134)*$E134,0)</f>
        <v>504</v>
      </c>
      <c r="I134" s="72">
        <f t="array" ref="I134">IF(I89&gt;0,(I89-$D134)*$E134,0)</f>
        <v>504</v>
      </c>
      <c r="J134" s="72">
        <f t="array" ref="J134">IF(J89&gt;0,(J89-$D134)*$E134,0)</f>
        <v>504</v>
      </c>
      <c r="K134" s="72">
        <f t="array" ref="K134">IF(K89&gt;0,(K89-$D134)*$E134,0)</f>
        <v>504</v>
      </c>
      <c r="L134" s="72">
        <f t="array" ref="L134">IF(L89&gt;0,(L89-$D134)*$E134,0)</f>
        <v>504</v>
      </c>
      <c r="M134" s="72">
        <f t="array" ref="M134">IF(M89&gt;0,(M89-$D134)*$E134,0)</f>
        <v>504</v>
      </c>
      <c r="N134" s="72">
        <f t="array" ref="N134">IF(N89&gt;0,(N89-$D134)*$E134,0)</f>
        <v>504</v>
      </c>
      <c r="O134" s="72">
        <f t="array" ref="O134">IF(O89&gt;0,(O89-$D134)*$E134,0)</f>
        <v>504</v>
      </c>
      <c r="P134" s="72">
        <f t="array" ref="P134">IF(P89&gt;0,(P89-$D134)*$E134,0)</f>
        <v>504</v>
      </c>
      <c r="Q134" s="72">
        <f t="array" ref="Q134">IF(Q89&gt;0,(Q89-$D134)*$E134,0)</f>
        <v>504</v>
      </c>
    </row>
    <row r="135" spans="1:17" x14ac:dyDescent="0.25">
      <c r="A135" s="42" t="s">
        <v>48</v>
      </c>
      <c r="B135" s="70">
        <v>0.67900000000000005</v>
      </c>
      <c r="C135" s="14">
        <v>1018</v>
      </c>
      <c r="D135" s="71">
        <v>4</v>
      </c>
      <c r="E135" s="71">
        <v>21</v>
      </c>
      <c r="F135" s="72">
        <f t="array" ref="F135">IF(F90&gt;0,(F90-$D135)*$E135,0)</f>
        <v>0</v>
      </c>
      <c r="G135" s="72">
        <f t="array" ref="G135">IF(G90&gt;0,(G90-$D135)*$E135,0)</f>
        <v>0</v>
      </c>
      <c r="H135" s="72">
        <f t="array" ref="H135">IF(H90&gt;0,(H90-$D135)*$E135,0)</f>
        <v>0</v>
      </c>
      <c r="I135" s="72">
        <f t="array" ref="I135">IF(I90&gt;0,(I90-$D135)*$E135,0)</f>
        <v>0</v>
      </c>
      <c r="J135" s="72">
        <f t="array" ref="J135">IF(J90&gt;0,(J90-$D135)*$E135,0)</f>
        <v>0</v>
      </c>
      <c r="K135" s="72">
        <f t="array" ref="K135">IF(K90&gt;0,(K90-$D135)*$E135,0)</f>
        <v>0</v>
      </c>
      <c r="L135" s="72">
        <f t="array" ref="L135">IF(L90&gt;0,(L90-$D135)*$E135,0)</f>
        <v>0</v>
      </c>
      <c r="M135" s="72">
        <f t="array" ref="M135">IF(M90&gt;0,(M90-$D135)*$E135,0)</f>
        <v>0</v>
      </c>
      <c r="N135" s="72">
        <f t="array" ref="N135">IF(N90&gt;0,(N90-$D135)*$E135,0)</f>
        <v>0</v>
      </c>
      <c r="O135" s="72">
        <f t="array" ref="O135">IF(O90&gt;0,(O90-$D135)*$E135,0)</f>
        <v>0</v>
      </c>
      <c r="P135" s="72">
        <f t="array" ref="P135">IF(P90&gt;0,(P90-$D135)*$E135,0)</f>
        <v>0</v>
      </c>
      <c r="Q135" s="72">
        <f t="array" ref="Q135">IF(Q90&gt;0,(Q90-$D135)*$E135,0)</f>
        <v>0</v>
      </c>
    </row>
    <row r="136" spans="1:17" x14ac:dyDescent="0.25">
      <c r="A136" s="42" t="s">
        <v>28</v>
      </c>
      <c r="B136" s="70">
        <v>1.1779999999999999</v>
      </c>
      <c r="C136" s="14">
        <v>1018</v>
      </c>
      <c r="D136" s="71">
        <v>7</v>
      </c>
      <c r="E136" s="71">
        <v>18</v>
      </c>
      <c r="F136" s="72">
        <f t="array" ref="F136">IF(F91&gt;0,(F91-$D136)*$E136,0)</f>
        <v>0</v>
      </c>
      <c r="G136" s="72">
        <f t="array" ref="G136">IF(G91&gt;0,(G91-$D136)*$E136,0)</f>
        <v>0</v>
      </c>
      <c r="H136" s="72">
        <f t="array" ref="H136">IF(H91&gt;0,(H91-$D136)*$E136,0)</f>
        <v>0</v>
      </c>
      <c r="I136" s="72">
        <f t="array" ref="I136">IF(I91&gt;0,(I91-$D136)*$E136,0)</f>
        <v>0</v>
      </c>
      <c r="J136" s="72">
        <f t="array" ref="J136">IF(J91&gt;0,(J91-$D136)*$E136,0)</f>
        <v>0</v>
      </c>
      <c r="K136" s="72">
        <f t="array" ref="K136">IF(K91&gt;0,(K91-$D136)*$E136,0)</f>
        <v>0</v>
      </c>
      <c r="L136" s="72">
        <f t="array" ref="L136">IF(L91&gt;0,(L91-$D136)*$E136,0)</f>
        <v>0</v>
      </c>
      <c r="M136" s="72">
        <f t="array" ref="M136">IF(M91&gt;0,(M91-$D136)*$E136,0)</f>
        <v>0</v>
      </c>
      <c r="N136" s="72">
        <f t="array" ref="N136">IF(N91&gt;0,(N91-$D136)*$E136,0)</f>
        <v>0</v>
      </c>
      <c r="O136" s="72">
        <f t="array" ref="O136">IF(O91&gt;0,(O91-$D136)*$E136,0)</f>
        <v>0</v>
      </c>
      <c r="P136" s="72">
        <f t="array" ref="P136">IF(P91&gt;0,(P91-$D136)*$E136,0)</f>
        <v>0</v>
      </c>
      <c r="Q136" s="72">
        <f t="array" ref="Q136">IF(Q91&gt;0,(Q91-$D136)*$E136,0)</f>
        <v>0</v>
      </c>
    </row>
    <row r="137" spans="1:17" x14ac:dyDescent="0.25">
      <c r="A137" s="42" t="s">
        <v>27</v>
      </c>
      <c r="B137" s="70">
        <v>1.357</v>
      </c>
      <c r="C137" s="14">
        <v>1018</v>
      </c>
      <c r="D137" s="71">
        <v>7</v>
      </c>
      <c r="E137" s="71">
        <v>18</v>
      </c>
      <c r="F137" s="72">
        <f t="array" ref="F137">IF(F92&gt;0,(F92-$D137)*$E137,0)</f>
        <v>0</v>
      </c>
      <c r="G137" s="72">
        <f t="array" ref="G137">IF(G92&gt;0,(G92-$D137)*$E137,0)</f>
        <v>0</v>
      </c>
      <c r="H137" s="72">
        <f t="array" ref="H137">IF(H92&gt;0,(H92-$D137)*$E137,0)</f>
        <v>0</v>
      </c>
      <c r="I137" s="72">
        <f t="array" ref="I137">IF(I92&gt;0,(I92-$D137)*$E137,0)</f>
        <v>0</v>
      </c>
      <c r="J137" s="72">
        <f t="array" ref="J137">IF(J92&gt;0,(J92-$D137)*$E137,0)</f>
        <v>0</v>
      </c>
      <c r="K137" s="72">
        <f t="array" ref="K137">IF(K92&gt;0,(K92-$D137)*$E137,0)</f>
        <v>0</v>
      </c>
      <c r="L137" s="72">
        <f t="array" ref="L137">IF(L92&gt;0,(L92-$D137)*$E137,0)</f>
        <v>0</v>
      </c>
      <c r="M137" s="72">
        <f t="array" ref="M137">IF(M92&gt;0,(M92-$D137)*$E137,0)</f>
        <v>0</v>
      </c>
      <c r="N137" s="72">
        <f t="array" ref="N137">IF(N92&gt;0,(N92-$D137)*$E137,0)</f>
        <v>0</v>
      </c>
      <c r="O137" s="72">
        <f t="array" ref="O137">IF(O92&gt;0,(O92-$D137)*$E137,0)</f>
        <v>0</v>
      </c>
      <c r="P137" s="72">
        <f t="array" ref="P137">IF(P92&gt;0,(P92-$D137)*$E137,0)</f>
        <v>0</v>
      </c>
      <c r="Q137" s="72">
        <f t="array" ref="Q137">IF(Q92&gt;0,(Q92-$D137)*$E137,0)</f>
        <v>0</v>
      </c>
    </row>
    <row r="138" spans="1:17" x14ac:dyDescent="0.25">
      <c r="A138" s="42" t="s">
        <v>10</v>
      </c>
      <c r="B138" s="70">
        <v>0.26300000000000001</v>
      </c>
      <c r="C138" s="14">
        <v>1018</v>
      </c>
      <c r="D138" s="71">
        <v>4</v>
      </c>
      <c r="E138" s="71">
        <v>21</v>
      </c>
      <c r="F138" s="72">
        <f t="array" ref="F138">IF(F93&gt;0,(F93-$D138)*$E138,0)</f>
        <v>0</v>
      </c>
      <c r="G138" s="72">
        <f t="array" ref="G138">IF(G93&gt;0,(G93-$D138)*$E138,0)</f>
        <v>0</v>
      </c>
      <c r="H138" s="72">
        <f t="array" ref="H138">IF(H93&gt;0,(H93-$D138)*$E138,0)</f>
        <v>0</v>
      </c>
      <c r="I138" s="72">
        <f t="array" ref="I138">IF(I93&gt;0,(I93-$D138)*$E138,0)</f>
        <v>0</v>
      </c>
      <c r="J138" s="72">
        <f t="array" ref="J138">IF(J93&gt;0,(J93-$D138)*$E138,0)</f>
        <v>0</v>
      </c>
      <c r="K138" s="72">
        <f t="array" ref="K138">IF(K93&gt;0,(K93-$D138)*$E138,0)</f>
        <v>0</v>
      </c>
      <c r="L138" s="72">
        <f t="array" ref="L138">IF(L93&gt;0,(L93-$D138)*$E138,0)</f>
        <v>0</v>
      </c>
      <c r="M138" s="72">
        <f t="array" ref="M138">IF(M93&gt;0,(M93-$D138)*$E138,0)</f>
        <v>0</v>
      </c>
      <c r="N138" s="72">
        <f t="array" ref="N138">IF(N93&gt;0,(N93-$D138)*$E138,0)</f>
        <v>0</v>
      </c>
      <c r="O138" s="72">
        <f t="array" ref="O138">IF(O93&gt;0,(O93-$D138)*$E138,0)</f>
        <v>0</v>
      </c>
      <c r="P138" s="72">
        <f t="array" ref="P138">IF(P93&gt;0,(P93-$D138)*$E138,0)</f>
        <v>0</v>
      </c>
      <c r="Q138" s="72">
        <f t="array" ref="Q138">IF(Q93&gt;0,(Q93-$D138)*$E138,0)</f>
        <v>0</v>
      </c>
    </row>
    <row r="139" spans="1:17" x14ac:dyDescent="0.25">
      <c r="A139" s="42" t="s">
        <v>24</v>
      </c>
      <c r="B139" s="70">
        <v>1.0459999999999998</v>
      </c>
      <c r="C139" s="14">
        <v>1018</v>
      </c>
      <c r="D139" s="71">
        <v>5.5</v>
      </c>
      <c r="E139" s="71">
        <v>21</v>
      </c>
      <c r="F139" s="72">
        <f t="array" ref="F139">IF(F94&gt;0,(F94-$D139)*$E139,0)</f>
        <v>0</v>
      </c>
      <c r="G139" s="72">
        <f t="array" ref="G139">IF(G94&gt;0,(G94-$D139)*$E139,0)</f>
        <v>0</v>
      </c>
      <c r="H139" s="72">
        <f t="array" ref="H139">IF(H94&gt;0,(H94-$D139)*$E139,0)</f>
        <v>0</v>
      </c>
      <c r="I139" s="72">
        <f t="array" ref="I139">IF(I94&gt;0,(I94-$D139)*$E139,0)</f>
        <v>0</v>
      </c>
      <c r="J139" s="72">
        <f t="array" ref="J139">IF(J94&gt;0,(J94-$D139)*$E139,0)</f>
        <v>0</v>
      </c>
      <c r="K139" s="72">
        <f t="array" ref="K139">IF(K94&gt;0,(K94-$D139)*$E139,0)</f>
        <v>0</v>
      </c>
      <c r="L139" s="72">
        <f t="array" ref="L139">IF(L94&gt;0,(L94-$D139)*$E139,0)</f>
        <v>0</v>
      </c>
      <c r="M139" s="72">
        <f t="array" ref="M139">IF(M94&gt;0,(M94-$D139)*$E139,0)</f>
        <v>0</v>
      </c>
      <c r="N139" s="72">
        <f t="array" ref="N139">IF(N94&gt;0,(N94-$D139)*$E139,0)</f>
        <v>0</v>
      </c>
      <c r="O139" s="72">
        <f t="array" ref="O139">IF(O94&gt;0,(O94-$D139)*$E139,0)</f>
        <v>0</v>
      </c>
      <c r="P139" s="72">
        <f t="array" ref="P139">IF(P94&gt;0,(P94-$D139)*$E139,0)</f>
        <v>0</v>
      </c>
      <c r="Q139" s="72">
        <f t="array" ref="Q139">IF(Q94&gt;0,(Q94-$D139)*$E139,0)</f>
        <v>0</v>
      </c>
    </row>
    <row r="140" spans="1:17" x14ac:dyDescent="0.25">
      <c r="A140" s="42" t="s">
        <v>25</v>
      </c>
      <c r="B140" s="70">
        <v>1.121</v>
      </c>
      <c r="C140" s="14">
        <v>1018</v>
      </c>
      <c r="D140" s="71">
        <v>6</v>
      </c>
      <c r="E140" s="71">
        <v>21</v>
      </c>
      <c r="F140" s="72">
        <f t="array" ref="F140">IF(F95&gt;0,(F95-$D140)*$E140,0)</f>
        <v>2771.393398751115</v>
      </c>
      <c r="G140" s="72">
        <f t="array" ref="G140">IF(G95&gt;0,(G95-$D140)*$E140,0)</f>
        <v>0</v>
      </c>
      <c r="H140" s="72">
        <f t="array" ref="H140">IF(H95&gt;0,(H95-$D140)*$E140,0)</f>
        <v>989.66549415965756</v>
      </c>
      <c r="I140" s="72">
        <f t="array" ref="I140">IF(I95&gt;0,(I95-$D140)*$E140,0)</f>
        <v>989.66549415965756</v>
      </c>
      <c r="J140" s="72">
        <f t="array" ref="J140">IF(J95&gt;0,(J95-$D140)*$E140,0)</f>
        <v>765.11954170326476</v>
      </c>
      <c r="K140" s="72">
        <f t="array" ref="K140">IF(K95&gt;0,(K95-$D140)*$E140,0)</f>
        <v>765.11954170326476</v>
      </c>
      <c r="L140" s="72">
        <f t="array" ref="L140">IF(L95&gt;0,(L95-$D140)*$E140,0)</f>
        <v>765.11954170326476</v>
      </c>
      <c r="M140" s="72">
        <f t="array" ref="M140">IF(M95&gt;0,(M95-$D140)*$E140,0)</f>
        <v>765.11954170326476</v>
      </c>
      <c r="N140" s="72">
        <f t="array" ref="N140">IF(N95&gt;0,(N95-$D140)*$E140,0)</f>
        <v>765.11954170326476</v>
      </c>
      <c r="O140" s="72">
        <f t="array" ref="O140">IF(O95&gt;0,(O95-$D140)*$E140,0)</f>
        <v>765.11954170326476</v>
      </c>
      <c r="P140" s="72">
        <f t="array" ref="P140">IF(P95&gt;0,(P95-$D140)*$E140,0)</f>
        <v>765.11954170326476</v>
      </c>
      <c r="Q140" s="72">
        <f t="array" ref="Q140">IF(Q95&gt;0,(Q95-$D140)*$E140,0)</f>
        <v>765.11954170326476</v>
      </c>
    </row>
    <row r="141" spans="1:17" x14ac:dyDescent="0.25">
      <c r="A141" s="42" t="s">
        <v>26</v>
      </c>
      <c r="B141" s="70">
        <v>1.5999999999999999</v>
      </c>
      <c r="C141" s="14">
        <v>1018</v>
      </c>
      <c r="D141" s="71">
        <v>6.5</v>
      </c>
      <c r="E141" s="71">
        <v>21</v>
      </c>
      <c r="F141" s="72">
        <f t="array" ref="F141">IF(F96&gt;0,(F96-$D141)*$E141,0)</f>
        <v>125</v>
      </c>
      <c r="G141" s="72">
        <f t="array" ref="G141">IF(G96&gt;0,(G96-$D141)*$E141,0)</f>
        <v>0</v>
      </c>
      <c r="H141" s="72">
        <f t="array" ref="H141">IF(H96&gt;0,(H96-$D141)*$E141,0)</f>
        <v>0</v>
      </c>
      <c r="I141" s="72">
        <f t="array" ref="I141">IF(I96&gt;0,(I96-$D141)*$E141,0)</f>
        <v>0</v>
      </c>
      <c r="J141" s="72">
        <f t="array" ref="J141">IF(J96&gt;0,(J96-$D141)*$E141,0)</f>
        <v>0</v>
      </c>
      <c r="K141" s="72">
        <f t="array" ref="K141">IF(K96&gt;0,(K96-$D141)*$E141,0)</f>
        <v>0</v>
      </c>
      <c r="L141" s="72">
        <f t="array" ref="L141">IF(L96&gt;0,(L96-$D141)*$E141,0)</f>
        <v>0</v>
      </c>
      <c r="M141" s="72">
        <f t="array" ref="M141">IF(M96&gt;0,(M96-$D141)*$E141,0)</f>
        <v>0</v>
      </c>
      <c r="N141" s="72">
        <f t="array" ref="N141">IF(N96&gt;0,(N96-$D141)*$E141,0)</f>
        <v>0</v>
      </c>
      <c r="O141" s="72">
        <f t="array" ref="O141">IF(O96&gt;0,(O96-$D141)*$E141,0)</f>
        <v>0</v>
      </c>
      <c r="P141" s="72">
        <f t="array" ref="P141">IF(P96&gt;0,(P96-$D141)*$E141,0)</f>
        <v>0</v>
      </c>
      <c r="Q141" s="72">
        <f t="array" ref="Q141">IF(Q96&gt;0,(Q96-$D141)*$E141,0)</f>
        <v>0</v>
      </c>
    </row>
    <row r="142" spans="1:17" x14ac:dyDescent="0.25">
      <c r="A142" s="42" t="s">
        <v>30</v>
      </c>
      <c r="B142" s="70">
        <v>2.093</v>
      </c>
      <c r="C142" s="14">
        <v>1018</v>
      </c>
      <c r="D142" s="71">
        <v>7.5</v>
      </c>
      <c r="E142" s="71">
        <v>18</v>
      </c>
      <c r="F142" s="72">
        <f t="array" ref="F142">IF(F97&gt;0,(F97-$D142)*$E142,0)</f>
        <v>23.889154323936928</v>
      </c>
      <c r="G142" s="72">
        <f t="array" ref="G142">IF(G97&gt;0,(G97-$D142)*$E142,0)</f>
        <v>0</v>
      </c>
      <c r="H142" s="72">
        <f t="array" ref="H142">IF(H97&gt;0,(H97-$D142)*$E142,0)</f>
        <v>29.124161095671496</v>
      </c>
      <c r="I142" s="72">
        <f t="array" ref="I142">IF(I97&gt;0,(I97-$D142)*$E142,0)</f>
        <v>29.124161095671496</v>
      </c>
      <c r="J142" s="72">
        <f t="array" ref="J142">IF(J97&gt;0,(J97-$D142)*$E142,0)</f>
        <v>22.516158157998131</v>
      </c>
      <c r="K142" s="72">
        <f t="array" ref="K142">IF(K97&gt;0,(K97-$D142)*$E142,0)</f>
        <v>22.516158157998131</v>
      </c>
      <c r="L142" s="72">
        <f t="array" ref="L142">IF(L97&gt;0,(L97-$D142)*$E142,0)</f>
        <v>22.516158157998131</v>
      </c>
      <c r="M142" s="72">
        <f t="array" ref="M142">IF(M97&gt;0,(M97-$D142)*$E142,0)</f>
        <v>22.516158157998131</v>
      </c>
      <c r="N142" s="72">
        <f t="array" ref="N142">IF(N97&gt;0,(N97-$D142)*$E142,0)</f>
        <v>22.516158157998131</v>
      </c>
      <c r="O142" s="72">
        <f t="array" ref="O142">IF(O97&gt;0,(O97-$D142)*$E142,0)</f>
        <v>22.516158157998131</v>
      </c>
      <c r="P142" s="72">
        <f t="array" ref="P142">IF(P97&gt;0,(P97-$D142)*$E142,0)</f>
        <v>22.516158157998131</v>
      </c>
      <c r="Q142" s="72">
        <f t="array" ref="Q142">IF(Q97&gt;0,(Q97-$D142)*$E142,0)</f>
        <v>22.516158157998131</v>
      </c>
    </row>
    <row r="143" spans="1:17" x14ac:dyDescent="0.25">
      <c r="A143" s="42" t="s">
        <v>31</v>
      </c>
      <c r="B143" s="70">
        <v>4.0650000000000004</v>
      </c>
      <c r="C143" s="14">
        <v>1018</v>
      </c>
      <c r="D143" s="71">
        <v>11</v>
      </c>
      <c r="E143" s="71">
        <v>12</v>
      </c>
      <c r="F143" s="72">
        <f t="array" ref="F143">IF(F98&gt;0,(F98-$D143)*$E143,0)</f>
        <v>34.440344403444037</v>
      </c>
      <c r="G143" s="72">
        <f t="array" ref="G143">IF(G98&gt;0,(G98-$D143)*$E143,0)</f>
        <v>0</v>
      </c>
      <c r="H143" s="72">
        <f t="array" ref="H143">IF(H98&gt;0,(H98-$D143)*$E143,0)</f>
        <v>9559.9781708630635</v>
      </c>
      <c r="I143" s="72">
        <f t="array" ref="I143">IF(I98&gt;0,(I98-$D143)*$E143,0)</f>
        <v>9556.3359305014856</v>
      </c>
      <c r="J143" s="72">
        <f t="array" ref="J143">IF(J98&gt;0,(J98-$D143)*$E143,0)</f>
        <v>7389.4995685947015</v>
      </c>
      <c r="K143" s="72">
        <f t="array" ref="K143">IF(K98&gt;0,(K98-$D143)*$E143,0)</f>
        <v>7389.4995685947015</v>
      </c>
      <c r="L143" s="72">
        <f t="array" ref="L143">IF(L98&gt;0,(L98-$D143)*$E143,0)</f>
        <v>7389.4995685947015</v>
      </c>
      <c r="M143" s="72">
        <f t="array" ref="M143">IF(M98&gt;0,(M98-$D143)*$E143,0)</f>
        <v>7389.4995685947015</v>
      </c>
      <c r="N143" s="72">
        <f t="array" ref="N143">IF(N98&gt;0,(N98-$D143)*$E143,0)</f>
        <v>7389.4995685947015</v>
      </c>
      <c r="O143" s="72">
        <f t="array" ref="O143">IF(O98&gt;0,(O98-$D143)*$E143,0)</f>
        <v>7389.4995685947015</v>
      </c>
      <c r="P143" s="72">
        <f t="array" ref="P143">IF(P98&gt;0,(P98-$D143)*$E143,0)</f>
        <v>7389.4995685947015</v>
      </c>
      <c r="Q143" s="72">
        <f t="array" ref="Q143">IF(Q98&gt;0,(Q98-$D143)*$E143,0)</f>
        <v>7389.4995685947015</v>
      </c>
    </row>
    <row r="144" spans="1:17" x14ac:dyDescent="0.25">
      <c r="A144" s="42" t="s">
        <v>32</v>
      </c>
      <c r="B144" s="70">
        <v>7.0369999999999999</v>
      </c>
      <c r="C144" s="14">
        <v>1018</v>
      </c>
      <c r="D144" s="71">
        <v>18</v>
      </c>
      <c r="E144" s="71">
        <v>9</v>
      </c>
      <c r="F144" s="72">
        <f t="array" ref="F144">IF(F99&gt;0,(F99-$D144)*$E144,0)</f>
        <v>6312.3490123632228</v>
      </c>
      <c r="G144" s="72">
        <f t="array" ref="G144">IF(G99&gt;0,(G99-$D144)*$E144,0)</f>
        <v>0</v>
      </c>
      <c r="H144" s="72">
        <f t="array" ref="H144">IF(H99&gt;0,(H99-$D144)*$E144,0)</f>
        <v>17.324675052789683</v>
      </c>
      <c r="I144" s="72">
        <f t="array" ref="I144">IF(I99&gt;0,(I99-$D144)*$E144,0)</f>
        <v>17.324675052789683</v>
      </c>
      <c r="J144" s="72">
        <f t="array" ref="J144">IF(J99&gt;0,(J99-$D144)*$E144,0)</f>
        <v>13.393866427366799</v>
      </c>
      <c r="K144" s="72">
        <f t="array" ref="K144">IF(K99&gt;0,(K99-$D144)*$E144,0)</f>
        <v>13.393866427366799</v>
      </c>
      <c r="L144" s="72">
        <f t="array" ref="L144">IF(L99&gt;0,(L99-$D144)*$E144,0)</f>
        <v>13.393866427366799</v>
      </c>
      <c r="M144" s="72">
        <f t="array" ref="M144">IF(M99&gt;0,(M99-$D144)*$E144,0)</f>
        <v>13.393866427366799</v>
      </c>
      <c r="N144" s="72">
        <f t="array" ref="N144">IF(N99&gt;0,(N99-$D144)*$E144,0)</f>
        <v>13.393866427366799</v>
      </c>
      <c r="O144" s="72">
        <f t="array" ref="O144">IF(O99&gt;0,(O99-$D144)*$E144,0)</f>
        <v>13.393866427366799</v>
      </c>
      <c r="P144" s="72">
        <f t="array" ref="P144">IF(P99&gt;0,(P99-$D144)*$E144,0)</f>
        <v>13.393866427366799</v>
      </c>
      <c r="Q144" s="72">
        <f t="array" ref="Q144">IF(Q99&gt;0,(Q99-$D144)*$E144,0)</f>
        <v>13.393866427366799</v>
      </c>
    </row>
    <row r="145" spans="1:17" x14ac:dyDescent="0.25">
      <c r="A145" s="42" t="s">
        <v>29</v>
      </c>
      <c r="B145" s="70">
        <v>0.83</v>
      </c>
      <c r="C145" s="14">
        <v>1018</v>
      </c>
      <c r="D145" s="71">
        <v>6</v>
      </c>
      <c r="E145" s="71">
        <v>21</v>
      </c>
      <c r="F145" s="72">
        <f t="array" ref="F145">IF(F100&gt;0,(F100-$D145)*$E145,0)</f>
        <v>0</v>
      </c>
      <c r="G145" s="72">
        <f t="array" ref="G145">IF(G100&gt;0,(G100-$D145)*$E145,0)</f>
        <v>0</v>
      </c>
      <c r="H145" s="72">
        <f t="array" ref="H145">IF(H100&gt;0,(H100-$D145)*$E145,0)</f>
        <v>0</v>
      </c>
      <c r="I145" s="72">
        <f t="array" ref="I145">IF(I100&gt;0,(I100-$D145)*$E145,0)</f>
        <v>0</v>
      </c>
      <c r="J145" s="72">
        <f t="array" ref="J145">IF(J100&gt;0,(J100-$D145)*$E145,0)</f>
        <v>0</v>
      </c>
      <c r="K145" s="72">
        <f t="array" ref="K145">IF(K100&gt;0,(K100-$D145)*$E145,0)</f>
        <v>0</v>
      </c>
      <c r="L145" s="72">
        <f t="array" ref="L145">IF(L100&gt;0,(L100-$D145)*$E145,0)</f>
        <v>0</v>
      </c>
      <c r="M145" s="72">
        <f t="array" ref="M145">IF(M100&gt;0,(M100-$D145)*$E145,0)</f>
        <v>0</v>
      </c>
      <c r="N145" s="72">
        <f t="array" ref="N145">IF(N100&gt;0,(N100-$D145)*$E145,0)</f>
        <v>0</v>
      </c>
      <c r="O145" s="72">
        <f t="array" ref="O145">IF(O100&gt;0,(O100-$D145)*$E145,0)</f>
        <v>0</v>
      </c>
      <c r="P145" s="72">
        <f t="array" ref="P145">IF(P100&gt;0,(P100-$D145)*$E145,0)</f>
        <v>0</v>
      </c>
      <c r="Q145" s="72">
        <f t="array" ref="Q145">IF(Q100&gt;0,(Q100-$D145)*$E145,0)</f>
        <v>0</v>
      </c>
    </row>
    <row r="148" spans="1:17" ht="15.75" thickBot="1" x14ac:dyDescent="0.3">
      <c r="A148" s="97" t="s">
        <v>429</v>
      </c>
    </row>
    <row r="149" spans="1:17" ht="45.75" thickBot="1" x14ac:dyDescent="0.3">
      <c r="A149" s="68" t="s">
        <v>444</v>
      </c>
      <c r="B149" s="8" t="s">
        <v>388</v>
      </c>
      <c r="C149" s="68" t="s">
        <v>4</v>
      </c>
      <c r="D149" s="69" t="s">
        <v>400</v>
      </c>
      <c r="E149" s="67" t="s">
        <v>401</v>
      </c>
      <c r="F149" s="314">
        <f>F103</f>
        <v>42583</v>
      </c>
      <c r="G149" s="314">
        <f t="shared" ref="G149:Q149" si="5">G103</f>
        <v>42614</v>
      </c>
      <c r="H149" s="314">
        <f t="shared" si="5"/>
        <v>42644</v>
      </c>
      <c r="I149" s="314">
        <f t="shared" si="5"/>
        <v>42675</v>
      </c>
      <c r="J149" s="314">
        <f t="shared" si="5"/>
        <v>42705</v>
      </c>
      <c r="K149" s="314">
        <f t="shared" si="5"/>
        <v>42736</v>
      </c>
      <c r="L149" s="314">
        <f t="shared" si="5"/>
        <v>42767</v>
      </c>
      <c r="M149" s="314">
        <f t="shared" si="5"/>
        <v>42795</v>
      </c>
      <c r="N149" s="314">
        <f t="shared" si="5"/>
        <v>42826</v>
      </c>
      <c r="O149" s="314">
        <f t="shared" si="5"/>
        <v>42856</v>
      </c>
      <c r="P149" s="314">
        <f t="shared" si="5"/>
        <v>42887</v>
      </c>
      <c r="Q149" s="314">
        <f t="shared" si="5"/>
        <v>42917</v>
      </c>
    </row>
    <row r="150" spans="1:17" x14ac:dyDescent="0.25">
      <c r="A150" s="42" t="s">
        <v>53</v>
      </c>
      <c r="B150" s="70">
        <v>1.105</v>
      </c>
      <c r="C150" s="14">
        <v>1018</v>
      </c>
      <c r="D150" s="71">
        <v>9</v>
      </c>
      <c r="E150" s="71">
        <v>42</v>
      </c>
      <c r="F150" s="72">
        <f>F104*$B150</f>
        <v>23023.908179999999</v>
      </c>
      <c r="G150" s="72">
        <f t="shared" ref="G150:Q150" si="6">G104*$B150</f>
        <v>2161.38</v>
      </c>
      <c r="H150" s="72">
        <f t="shared" si="6"/>
        <v>0</v>
      </c>
      <c r="I150" s="72">
        <f t="shared" si="6"/>
        <v>13657.8</v>
      </c>
      <c r="J150" s="72">
        <f t="shared" si="6"/>
        <v>0</v>
      </c>
      <c r="K150" s="72">
        <f t="shared" si="6"/>
        <v>0</v>
      </c>
      <c r="L150" s="72">
        <f t="shared" si="6"/>
        <v>0</v>
      </c>
      <c r="M150" s="72">
        <f t="shared" si="6"/>
        <v>0</v>
      </c>
      <c r="N150" s="72">
        <f t="shared" si="6"/>
        <v>0</v>
      </c>
      <c r="O150" s="72">
        <f t="shared" si="6"/>
        <v>0</v>
      </c>
      <c r="P150" s="72">
        <f t="shared" si="6"/>
        <v>0</v>
      </c>
      <c r="Q150" s="72">
        <f t="shared" si="6"/>
        <v>0</v>
      </c>
    </row>
    <row r="151" spans="1:17" x14ac:dyDescent="0.25">
      <c r="A151" s="42" t="s">
        <v>33</v>
      </c>
      <c r="B151" s="70">
        <v>8.661999999999999</v>
      </c>
      <c r="C151" s="14">
        <v>1018</v>
      </c>
      <c r="D151" s="71">
        <v>37</v>
      </c>
      <c r="E151" s="71">
        <v>9</v>
      </c>
      <c r="F151" s="72">
        <f t="shared" ref="F151:Q191" si="7">F105*$B151</f>
        <v>0</v>
      </c>
      <c r="G151" s="72">
        <f t="shared" si="7"/>
        <v>0</v>
      </c>
      <c r="H151" s="72">
        <f t="shared" si="7"/>
        <v>0</v>
      </c>
      <c r="I151" s="72">
        <f t="shared" si="7"/>
        <v>207.88799999999981</v>
      </c>
      <c r="J151" s="72">
        <f t="shared" si="7"/>
        <v>207.88799999999981</v>
      </c>
      <c r="K151" s="72">
        <f t="shared" si="7"/>
        <v>207.88799999999981</v>
      </c>
      <c r="L151" s="72">
        <f t="shared" si="7"/>
        <v>207.88799999999981</v>
      </c>
      <c r="M151" s="72">
        <f t="shared" si="7"/>
        <v>207.88799999999981</v>
      </c>
      <c r="N151" s="72">
        <f t="shared" si="7"/>
        <v>207.88799999999981</v>
      </c>
      <c r="O151" s="72">
        <f t="shared" si="7"/>
        <v>207.88799999999981</v>
      </c>
      <c r="P151" s="72">
        <f t="shared" si="7"/>
        <v>207.88799999999981</v>
      </c>
      <c r="Q151" s="72">
        <f t="shared" si="7"/>
        <v>207.88799999999981</v>
      </c>
    </row>
    <row r="152" spans="1:17" x14ac:dyDescent="0.25">
      <c r="A152" s="42" t="s">
        <v>34</v>
      </c>
      <c r="B152" s="70">
        <v>16.061</v>
      </c>
      <c r="C152" s="14">
        <v>1018</v>
      </c>
      <c r="D152" s="71">
        <v>52</v>
      </c>
      <c r="E152" s="71">
        <v>6</v>
      </c>
      <c r="F152" s="72">
        <f t="shared" si="7"/>
        <v>32250</v>
      </c>
      <c r="G152" s="72">
        <f t="shared" si="7"/>
        <v>0</v>
      </c>
      <c r="H152" s="72">
        <f t="shared" si="7"/>
        <v>27759.758221493699</v>
      </c>
      <c r="I152" s="72">
        <f t="shared" si="7"/>
        <v>27759.758221493699</v>
      </c>
      <c r="J152" s="72">
        <f t="shared" si="7"/>
        <v>21461.325683843865</v>
      </c>
      <c r="K152" s="72">
        <f t="shared" si="7"/>
        <v>21461.325683843865</v>
      </c>
      <c r="L152" s="72">
        <f t="shared" si="7"/>
        <v>21461.325683843865</v>
      </c>
      <c r="M152" s="72">
        <f t="shared" si="7"/>
        <v>21461.325683843865</v>
      </c>
      <c r="N152" s="72">
        <f t="shared" si="7"/>
        <v>21461.325683843865</v>
      </c>
      <c r="O152" s="72">
        <f t="shared" si="7"/>
        <v>21461.325683843865</v>
      </c>
      <c r="P152" s="72">
        <f t="shared" si="7"/>
        <v>21461.325683843865</v>
      </c>
      <c r="Q152" s="72">
        <f t="shared" si="7"/>
        <v>21461.325683843865</v>
      </c>
    </row>
    <row r="153" spans="1:17" x14ac:dyDescent="0.25">
      <c r="A153" s="42" t="s">
        <v>56</v>
      </c>
      <c r="B153" s="70">
        <v>1.2739999999999998</v>
      </c>
      <c r="C153" s="14">
        <v>1018</v>
      </c>
      <c r="D153" s="71">
        <v>6.5</v>
      </c>
      <c r="E153" s="71">
        <v>21</v>
      </c>
      <c r="F153" s="72">
        <f t="shared" si="7"/>
        <v>0</v>
      </c>
      <c r="G153" s="72">
        <f t="shared" si="7"/>
        <v>0</v>
      </c>
      <c r="H153" s="72">
        <f t="shared" si="7"/>
        <v>0</v>
      </c>
      <c r="I153" s="72">
        <f t="shared" si="7"/>
        <v>0</v>
      </c>
      <c r="J153" s="72">
        <f t="shared" si="7"/>
        <v>0</v>
      </c>
      <c r="K153" s="72">
        <f t="shared" si="7"/>
        <v>0</v>
      </c>
      <c r="L153" s="72">
        <f t="shared" si="7"/>
        <v>0</v>
      </c>
      <c r="M153" s="72">
        <f t="shared" si="7"/>
        <v>0</v>
      </c>
      <c r="N153" s="72">
        <f t="shared" si="7"/>
        <v>0</v>
      </c>
      <c r="O153" s="72">
        <f t="shared" si="7"/>
        <v>0</v>
      </c>
      <c r="P153" s="72">
        <f t="shared" si="7"/>
        <v>0</v>
      </c>
      <c r="Q153" s="72">
        <f t="shared" si="7"/>
        <v>0</v>
      </c>
    </row>
    <row r="154" spans="1:17" x14ac:dyDescent="0.25">
      <c r="A154" s="42" t="s">
        <v>57</v>
      </c>
      <c r="B154" s="70">
        <v>1.738</v>
      </c>
      <c r="C154" s="14">
        <v>1018</v>
      </c>
      <c r="D154" s="71">
        <v>6.5</v>
      </c>
      <c r="E154" s="71">
        <v>21</v>
      </c>
      <c r="F154" s="72">
        <f t="shared" si="7"/>
        <v>0</v>
      </c>
      <c r="G154" s="72">
        <f t="shared" si="7"/>
        <v>0</v>
      </c>
      <c r="H154" s="72">
        <f t="shared" si="7"/>
        <v>0</v>
      </c>
      <c r="I154" s="72">
        <f t="shared" si="7"/>
        <v>0</v>
      </c>
      <c r="J154" s="72">
        <f t="shared" si="7"/>
        <v>0</v>
      </c>
      <c r="K154" s="72">
        <f t="shared" si="7"/>
        <v>0</v>
      </c>
      <c r="L154" s="72">
        <f t="shared" si="7"/>
        <v>0</v>
      </c>
      <c r="M154" s="72">
        <f t="shared" si="7"/>
        <v>0</v>
      </c>
      <c r="N154" s="72">
        <f t="shared" si="7"/>
        <v>0</v>
      </c>
      <c r="O154" s="72">
        <f t="shared" si="7"/>
        <v>0</v>
      </c>
      <c r="P154" s="72">
        <f t="shared" si="7"/>
        <v>0</v>
      </c>
      <c r="Q154" s="72">
        <f t="shared" si="7"/>
        <v>0</v>
      </c>
    </row>
    <row r="155" spans="1:17" x14ac:dyDescent="0.25">
      <c r="A155" s="42" t="s">
        <v>58</v>
      </c>
      <c r="B155" s="70">
        <v>3.4379999999999997</v>
      </c>
      <c r="C155" s="14">
        <v>1018</v>
      </c>
      <c r="D155" s="71">
        <v>8</v>
      </c>
      <c r="E155" s="71">
        <v>18</v>
      </c>
      <c r="F155" s="72">
        <f t="shared" si="7"/>
        <v>0</v>
      </c>
      <c r="G155" s="72">
        <f t="shared" si="7"/>
        <v>0</v>
      </c>
      <c r="H155" s="72">
        <f t="shared" si="7"/>
        <v>0</v>
      </c>
      <c r="I155" s="72">
        <f t="shared" si="7"/>
        <v>0</v>
      </c>
      <c r="J155" s="72">
        <f t="shared" si="7"/>
        <v>0</v>
      </c>
      <c r="K155" s="72">
        <f t="shared" si="7"/>
        <v>0</v>
      </c>
      <c r="L155" s="72">
        <f t="shared" si="7"/>
        <v>0</v>
      </c>
      <c r="M155" s="72">
        <f t="shared" si="7"/>
        <v>0</v>
      </c>
      <c r="N155" s="72">
        <f t="shared" si="7"/>
        <v>0</v>
      </c>
      <c r="O155" s="72">
        <f t="shared" si="7"/>
        <v>0</v>
      </c>
      <c r="P155" s="72">
        <f t="shared" si="7"/>
        <v>0</v>
      </c>
      <c r="Q155" s="72">
        <f t="shared" si="7"/>
        <v>0</v>
      </c>
    </row>
    <row r="156" spans="1:17" x14ac:dyDescent="0.25">
      <c r="A156" s="42" t="s">
        <v>59</v>
      </c>
      <c r="B156" s="70">
        <v>4.1779999999999999</v>
      </c>
      <c r="C156" s="14">
        <v>1018</v>
      </c>
      <c r="D156" s="71">
        <v>8</v>
      </c>
      <c r="E156" s="71">
        <v>18</v>
      </c>
      <c r="F156" s="72">
        <f t="shared" si="7"/>
        <v>0</v>
      </c>
      <c r="G156" s="72">
        <f t="shared" si="7"/>
        <v>0</v>
      </c>
      <c r="H156" s="72">
        <f t="shared" si="7"/>
        <v>0</v>
      </c>
      <c r="I156" s="72">
        <f t="shared" si="7"/>
        <v>0</v>
      </c>
      <c r="J156" s="72">
        <f t="shared" si="7"/>
        <v>0</v>
      </c>
      <c r="K156" s="72">
        <f t="shared" si="7"/>
        <v>0</v>
      </c>
      <c r="L156" s="72">
        <f t="shared" si="7"/>
        <v>0</v>
      </c>
      <c r="M156" s="72">
        <f t="shared" si="7"/>
        <v>0</v>
      </c>
      <c r="N156" s="72">
        <f t="shared" si="7"/>
        <v>0</v>
      </c>
      <c r="O156" s="72">
        <f t="shared" si="7"/>
        <v>0</v>
      </c>
      <c r="P156" s="72">
        <f t="shared" si="7"/>
        <v>0</v>
      </c>
      <c r="Q156" s="72">
        <f t="shared" si="7"/>
        <v>0</v>
      </c>
    </row>
    <row r="157" spans="1:17" x14ac:dyDescent="0.25">
      <c r="A157" s="42" t="s">
        <v>60</v>
      </c>
      <c r="B157" s="70">
        <v>0.63800000000000001</v>
      </c>
      <c r="C157" s="14">
        <v>1018</v>
      </c>
      <c r="D157" s="71">
        <v>5.5</v>
      </c>
      <c r="E157" s="71">
        <v>21</v>
      </c>
      <c r="F157" s="72">
        <f t="shared" si="7"/>
        <v>317.72399999999999</v>
      </c>
      <c r="G157" s="72">
        <f t="shared" si="7"/>
        <v>99.528000000000006</v>
      </c>
      <c r="H157" s="72">
        <f t="shared" si="7"/>
        <v>0</v>
      </c>
      <c r="I157" s="72">
        <f t="shared" si="7"/>
        <v>0</v>
      </c>
      <c r="J157" s="72">
        <f t="shared" si="7"/>
        <v>0</v>
      </c>
      <c r="K157" s="72">
        <f t="shared" si="7"/>
        <v>0</v>
      </c>
      <c r="L157" s="72">
        <f t="shared" si="7"/>
        <v>0</v>
      </c>
      <c r="M157" s="72">
        <f t="shared" si="7"/>
        <v>0</v>
      </c>
      <c r="N157" s="72">
        <f t="shared" si="7"/>
        <v>0</v>
      </c>
      <c r="O157" s="72">
        <f t="shared" si="7"/>
        <v>0</v>
      </c>
      <c r="P157" s="72">
        <f t="shared" si="7"/>
        <v>0</v>
      </c>
      <c r="Q157" s="72">
        <f t="shared" si="7"/>
        <v>0</v>
      </c>
    </row>
    <row r="158" spans="1:17" x14ac:dyDescent="0.25">
      <c r="A158" s="42" t="s">
        <v>61</v>
      </c>
      <c r="B158" s="70">
        <v>1.115</v>
      </c>
      <c r="C158" s="14">
        <v>1018</v>
      </c>
      <c r="D158" s="71">
        <v>5.5</v>
      </c>
      <c r="E158" s="71">
        <v>21</v>
      </c>
      <c r="F158" s="72">
        <f t="shared" si="7"/>
        <v>127.11</v>
      </c>
      <c r="G158" s="72">
        <f t="shared" si="7"/>
        <v>321.12</v>
      </c>
      <c r="H158" s="72">
        <f t="shared" si="7"/>
        <v>0</v>
      </c>
      <c r="I158" s="72">
        <f t="shared" si="7"/>
        <v>0</v>
      </c>
      <c r="J158" s="72">
        <f t="shared" si="7"/>
        <v>0</v>
      </c>
      <c r="K158" s="72">
        <f t="shared" si="7"/>
        <v>0</v>
      </c>
      <c r="L158" s="72">
        <f t="shared" si="7"/>
        <v>0</v>
      </c>
      <c r="M158" s="72">
        <f t="shared" si="7"/>
        <v>0</v>
      </c>
      <c r="N158" s="72">
        <f t="shared" si="7"/>
        <v>0</v>
      </c>
      <c r="O158" s="72">
        <f t="shared" si="7"/>
        <v>0</v>
      </c>
      <c r="P158" s="72">
        <f t="shared" si="7"/>
        <v>0</v>
      </c>
      <c r="Q158" s="72">
        <f t="shared" si="7"/>
        <v>0</v>
      </c>
    </row>
    <row r="159" spans="1:17" x14ac:dyDescent="0.25">
      <c r="A159" s="42" t="s">
        <v>62</v>
      </c>
      <c r="B159" s="70">
        <v>2.367</v>
      </c>
      <c r="C159" s="14">
        <v>1018</v>
      </c>
      <c r="D159" s="71">
        <v>7</v>
      </c>
      <c r="E159" s="71">
        <v>18</v>
      </c>
      <c r="F159" s="72">
        <f t="shared" si="7"/>
        <v>284.04000000000008</v>
      </c>
      <c r="G159" s="72">
        <f t="shared" si="7"/>
        <v>497.06999999999988</v>
      </c>
      <c r="H159" s="72">
        <f t="shared" si="7"/>
        <v>0</v>
      </c>
      <c r="I159" s="72">
        <f t="shared" si="7"/>
        <v>0</v>
      </c>
      <c r="J159" s="72">
        <f t="shared" si="7"/>
        <v>0</v>
      </c>
      <c r="K159" s="72">
        <f t="shared" si="7"/>
        <v>0</v>
      </c>
      <c r="L159" s="72">
        <f t="shared" si="7"/>
        <v>0</v>
      </c>
      <c r="M159" s="72">
        <f t="shared" si="7"/>
        <v>0</v>
      </c>
      <c r="N159" s="72">
        <f t="shared" si="7"/>
        <v>0</v>
      </c>
      <c r="O159" s="72">
        <f t="shared" si="7"/>
        <v>0</v>
      </c>
      <c r="P159" s="72">
        <f t="shared" si="7"/>
        <v>0</v>
      </c>
      <c r="Q159" s="72">
        <f t="shared" si="7"/>
        <v>0</v>
      </c>
    </row>
    <row r="160" spans="1:17" x14ac:dyDescent="0.25">
      <c r="A160" s="42" t="s">
        <v>63</v>
      </c>
      <c r="B160" s="70">
        <v>3.1069999999999998</v>
      </c>
      <c r="C160" s="14">
        <v>1018</v>
      </c>
      <c r="D160" s="71">
        <v>8</v>
      </c>
      <c r="E160" s="71">
        <v>18</v>
      </c>
      <c r="F160" s="72">
        <f t="shared" si="7"/>
        <v>764.32199999999978</v>
      </c>
      <c r="G160" s="72">
        <f t="shared" si="7"/>
        <v>466.05000000000013</v>
      </c>
      <c r="H160" s="72">
        <f t="shared" si="7"/>
        <v>0</v>
      </c>
      <c r="I160" s="72">
        <f t="shared" si="7"/>
        <v>0</v>
      </c>
      <c r="J160" s="72">
        <f t="shared" si="7"/>
        <v>0</v>
      </c>
      <c r="K160" s="72">
        <f t="shared" si="7"/>
        <v>0</v>
      </c>
      <c r="L160" s="72">
        <f t="shared" si="7"/>
        <v>0</v>
      </c>
      <c r="M160" s="72">
        <f t="shared" si="7"/>
        <v>0</v>
      </c>
      <c r="N160" s="72">
        <f t="shared" si="7"/>
        <v>0</v>
      </c>
      <c r="O160" s="72">
        <f t="shared" si="7"/>
        <v>0</v>
      </c>
      <c r="P160" s="72">
        <f t="shared" si="7"/>
        <v>0</v>
      </c>
      <c r="Q160" s="72">
        <f t="shared" si="7"/>
        <v>0</v>
      </c>
    </row>
    <row r="161" spans="1:17" x14ac:dyDescent="0.25">
      <c r="A161" s="42" t="s">
        <v>64</v>
      </c>
      <c r="B161" s="70">
        <v>5.6950000000000003</v>
      </c>
      <c r="C161" s="14">
        <v>1018</v>
      </c>
      <c r="D161" s="71">
        <v>10</v>
      </c>
      <c r="E161" s="71">
        <v>15</v>
      </c>
      <c r="F161" s="72">
        <f t="shared" si="7"/>
        <v>6492.3</v>
      </c>
      <c r="G161" s="72">
        <f t="shared" si="7"/>
        <v>0</v>
      </c>
      <c r="H161" s="72">
        <f t="shared" si="7"/>
        <v>0</v>
      </c>
      <c r="I161" s="72">
        <f t="shared" si="7"/>
        <v>0</v>
      </c>
      <c r="J161" s="72">
        <f t="shared" si="7"/>
        <v>0</v>
      </c>
      <c r="K161" s="72">
        <f t="shared" si="7"/>
        <v>0</v>
      </c>
      <c r="L161" s="72">
        <f t="shared" si="7"/>
        <v>0</v>
      </c>
      <c r="M161" s="72">
        <f t="shared" si="7"/>
        <v>0</v>
      </c>
      <c r="N161" s="72">
        <f t="shared" si="7"/>
        <v>0</v>
      </c>
      <c r="O161" s="72">
        <f t="shared" si="7"/>
        <v>0</v>
      </c>
      <c r="P161" s="72">
        <f t="shared" si="7"/>
        <v>0</v>
      </c>
      <c r="Q161" s="72">
        <f t="shared" si="7"/>
        <v>0</v>
      </c>
    </row>
    <row r="162" spans="1:17" x14ac:dyDescent="0.25">
      <c r="A162" s="42" t="s">
        <v>35</v>
      </c>
      <c r="B162" s="70">
        <v>7.399</v>
      </c>
      <c r="C162" s="14">
        <v>1018</v>
      </c>
      <c r="D162" s="71">
        <v>19</v>
      </c>
      <c r="E162" s="71">
        <v>12</v>
      </c>
      <c r="F162" s="72">
        <f t="shared" si="7"/>
        <v>0</v>
      </c>
      <c r="G162" s="72">
        <f t="shared" si="7"/>
        <v>0</v>
      </c>
      <c r="H162" s="72">
        <f t="shared" si="7"/>
        <v>1975.0025612129905</v>
      </c>
      <c r="I162" s="72">
        <f t="shared" si="7"/>
        <v>1975.0025612129905</v>
      </c>
      <c r="J162" s="72">
        <f t="shared" si="7"/>
        <v>1526.8927363999592</v>
      </c>
      <c r="K162" s="72">
        <f t="shared" si="7"/>
        <v>1526.8927363999592</v>
      </c>
      <c r="L162" s="72">
        <f t="shared" si="7"/>
        <v>1526.8927363999592</v>
      </c>
      <c r="M162" s="72">
        <f t="shared" si="7"/>
        <v>1526.8927363999592</v>
      </c>
      <c r="N162" s="72">
        <f t="shared" si="7"/>
        <v>1526.8927363999592</v>
      </c>
      <c r="O162" s="72">
        <f t="shared" si="7"/>
        <v>1526.8927363999592</v>
      </c>
      <c r="P162" s="72">
        <f t="shared" si="7"/>
        <v>1526.8927363999592</v>
      </c>
      <c r="Q162" s="72">
        <f t="shared" si="7"/>
        <v>1526.8927363999592</v>
      </c>
    </row>
    <row r="163" spans="1:17" x14ac:dyDescent="0.25">
      <c r="A163" s="42" t="s">
        <v>55</v>
      </c>
      <c r="B163" s="70">
        <v>0.73</v>
      </c>
      <c r="C163" s="14">
        <v>1018</v>
      </c>
      <c r="D163" s="71">
        <v>5.5</v>
      </c>
      <c r="E163" s="71">
        <v>21</v>
      </c>
      <c r="F163" s="72">
        <f t="shared" si="7"/>
        <v>570</v>
      </c>
      <c r="G163" s="72">
        <f t="shared" si="7"/>
        <v>0</v>
      </c>
      <c r="H163" s="72">
        <f t="shared" si="7"/>
        <v>365.74121503944269</v>
      </c>
      <c r="I163" s="72">
        <f t="shared" si="7"/>
        <v>365.74121503944269</v>
      </c>
      <c r="J163" s="72">
        <f t="shared" si="7"/>
        <v>282.75791414814057</v>
      </c>
      <c r="K163" s="72">
        <f t="shared" si="7"/>
        <v>282.75791414814057</v>
      </c>
      <c r="L163" s="72">
        <f t="shared" si="7"/>
        <v>282.75791414814057</v>
      </c>
      <c r="M163" s="72">
        <f t="shared" si="7"/>
        <v>282.75791414814057</v>
      </c>
      <c r="N163" s="72">
        <f t="shared" si="7"/>
        <v>282.75791414814057</v>
      </c>
      <c r="O163" s="72">
        <f t="shared" si="7"/>
        <v>282.75791414814057</v>
      </c>
      <c r="P163" s="72">
        <f t="shared" si="7"/>
        <v>282.75791414814057</v>
      </c>
      <c r="Q163" s="72">
        <f t="shared" si="7"/>
        <v>282.75791414814057</v>
      </c>
    </row>
    <row r="164" spans="1:17" x14ac:dyDescent="0.25">
      <c r="A164" s="42" t="s">
        <v>54</v>
      </c>
      <c r="B164" s="70">
        <v>1.3419999999999999</v>
      </c>
      <c r="C164" s="14">
        <v>1018</v>
      </c>
      <c r="D164" s="71">
        <v>7</v>
      </c>
      <c r="E164" s="71">
        <v>21</v>
      </c>
      <c r="F164" s="72">
        <f t="shared" si="7"/>
        <v>0</v>
      </c>
      <c r="G164" s="72">
        <f t="shared" si="7"/>
        <v>0</v>
      </c>
      <c r="H164" s="72">
        <f t="shared" si="7"/>
        <v>0</v>
      </c>
      <c r="I164" s="72">
        <f t="shared" si="7"/>
        <v>0</v>
      </c>
      <c r="J164" s="72">
        <f t="shared" si="7"/>
        <v>0</v>
      </c>
      <c r="K164" s="72">
        <f t="shared" si="7"/>
        <v>0</v>
      </c>
      <c r="L164" s="72">
        <f t="shared" si="7"/>
        <v>0</v>
      </c>
      <c r="M164" s="72">
        <f t="shared" si="7"/>
        <v>0</v>
      </c>
      <c r="N164" s="72">
        <f t="shared" si="7"/>
        <v>0</v>
      </c>
      <c r="O164" s="72">
        <f t="shared" si="7"/>
        <v>0</v>
      </c>
      <c r="P164" s="72">
        <f t="shared" si="7"/>
        <v>0</v>
      </c>
      <c r="Q164" s="72">
        <f t="shared" si="7"/>
        <v>0</v>
      </c>
    </row>
    <row r="165" spans="1:17" x14ac:dyDescent="0.25">
      <c r="A165" s="42" t="s">
        <v>52</v>
      </c>
      <c r="B165" s="70">
        <v>0.82699999999999996</v>
      </c>
      <c r="C165" s="14">
        <v>1018</v>
      </c>
      <c r="D165" s="71">
        <v>9</v>
      </c>
      <c r="E165" s="71">
        <v>42</v>
      </c>
      <c r="F165" s="72">
        <f t="shared" si="7"/>
        <v>14208.424278639999</v>
      </c>
      <c r="G165" s="72">
        <f t="shared" si="7"/>
        <v>340.72399999999999</v>
      </c>
      <c r="H165" s="72">
        <f t="shared" si="7"/>
        <v>0</v>
      </c>
      <c r="I165" s="72">
        <f t="shared" si="7"/>
        <v>3407.24</v>
      </c>
      <c r="J165" s="72">
        <f t="shared" si="7"/>
        <v>0</v>
      </c>
      <c r="K165" s="72">
        <f t="shared" si="7"/>
        <v>0</v>
      </c>
      <c r="L165" s="72">
        <f t="shared" si="7"/>
        <v>0</v>
      </c>
      <c r="M165" s="72">
        <f t="shared" si="7"/>
        <v>0</v>
      </c>
      <c r="N165" s="72">
        <f t="shared" si="7"/>
        <v>0</v>
      </c>
      <c r="O165" s="72">
        <f t="shared" si="7"/>
        <v>0</v>
      </c>
      <c r="P165" s="72">
        <f t="shared" si="7"/>
        <v>0</v>
      </c>
      <c r="Q165" s="72">
        <f t="shared" si="7"/>
        <v>0</v>
      </c>
    </row>
    <row r="166" spans="1:17" x14ac:dyDescent="0.25">
      <c r="A166" s="42" t="s">
        <v>50</v>
      </c>
      <c r="B166" s="70">
        <v>0.53100000000000003</v>
      </c>
      <c r="C166" s="14">
        <v>1018</v>
      </c>
      <c r="D166" s="71">
        <v>4</v>
      </c>
      <c r="E166" s="71">
        <v>24</v>
      </c>
      <c r="F166" s="72">
        <f t="shared" si="7"/>
        <v>267.62400000000002</v>
      </c>
      <c r="G166" s="72">
        <f t="shared" si="7"/>
        <v>267.62400000000002</v>
      </c>
      <c r="H166" s="72">
        <f t="shared" si="7"/>
        <v>267.62400000000002</v>
      </c>
      <c r="I166" s="72">
        <f t="shared" si="7"/>
        <v>267.62400000000002</v>
      </c>
      <c r="J166" s="72">
        <f t="shared" si="7"/>
        <v>267.62400000000002</v>
      </c>
      <c r="K166" s="72">
        <f t="shared" si="7"/>
        <v>267.62400000000002</v>
      </c>
      <c r="L166" s="72">
        <f t="shared" si="7"/>
        <v>267.62400000000002</v>
      </c>
      <c r="M166" s="72">
        <f t="shared" si="7"/>
        <v>267.62400000000002</v>
      </c>
      <c r="N166" s="72">
        <f t="shared" si="7"/>
        <v>267.62400000000002</v>
      </c>
      <c r="O166" s="72">
        <f t="shared" si="7"/>
        <v>267.62400000000002</v>
      </c>
      <c r="P166" s="72">
        <f t="shared" si="7"/>
        <v>267.62400000000002</v>
      </c>
      <c r="Q166" s="72">
        <f t="shared" si="7"/>
        <v>267.62400000000002</v>
      </c>
    </row>
    <row r="167" spans="1:17" x14ac:dyDescent="0.25">
      <c r="A167" s="42" t="s">
        <v>51</v>
      </c>
      <c r="B167" s="70">
        <v>0.78400000000000003</v>
      </c>
      <c r="C167" s="14">
        <v>1018</v>
      </c>
      <c r="D167" s="71">
        <v>4.5</v>
      </c>
      <c r="E167" s="71">
        <v>21</v>
      </c>
      <c r="F167" s="72">
        <f t="shared" si="7"/>
        <v>0</v>
      </c>
      <c r="G167" s="72">
        <f t="shared" si="7"/>
        <v>0</v>
      </c>
      <c r="H167" s="72">
        <f t="shared" si="7"/>
        <v>0</v>
      </c>
      <c r="I167" s="72">
        <f t="shared" si="7"/>
        <v>0</v>
      </c>
      <c r="J167" s="72">
        <f t="shared" si="7"/>
        <v>0</v>
      </c>
      <c r="K167" s="72">
        <f t="shared" si="7"/>
        <v>0</v>
      </c>
      <c r="L167" s="72">
        <f t="shared" si="7"/>
        <v>0</v>
      </c>
      <c r="M167" s="72">
        <f t="shared" si="7"/>
        <v>0</v>
      </c>
      <c r="N167" s="72">
        <f t="shared" si="7"/>
        <v>0</v>
      </c>
      <c r="O167" s="72">
        <f t="shared" si="7"/>
        <v>0</v>
      </c>
      <c r="P167" s="72">
        <f t="shared" si="7"/>
        <v>0</v>
      </c>
      <c r="Q167" s="72">
        <f t="shared" si="7"/>
        <v>0</v>
      </c>
    </row>
    <row r="168" spans="1:17" x14ac:dyDescent="0.25">
      <c r="A168" s="42" t="s">
        <v>49</v>
      </c>
      <c r="B168" s="70">
        <v>0.871</v>
      </c>
      <c r="C168" s="14">
        <v>1018</v>
      </c>
      <c r="D168" s="71">
        <v>5</v>
      </c>
      <c r="E168" s="71">
        <v>21</v>
      </c>
      <c r="F168" s="72">
        <f t="shared" si="7"/>
        <v>0</v>
      </c>
      <c r="G168" s="72">
        <f t="shared" si="7"/>
        <v>0</v>
      </c>
      <c r="H168" s="72">
        <f t="shared" si="7"/>
        <v>0</v>
      </c>
      <c r="I168" s="72">
        <f t="shared" si="7"/>
        <v>0</v>
      </c>
      <c r="J168" s="72">
        <f t="shared" si="7"/>
        <v>0</v>
      </c>
      <c r="K168" s="72">
        <f t="shared" si="7"/>
        <v>0</v>
      </c>
      <c r="L168" s="72">
        <f t="shared" si="7"/>
        <v>0</v>
      </c>
      <c r="M168" s="72">
        <f t="shared" si="7"/>
        <v>0</v>
      </c>
      <c r="N168" s="72">
        <f t="shared" si="7"/>
        <v>0</v>
      </c>
      <c r="O168" s="72">
        <f t="shared" si="7"/>
        <v>0</v>
      </c>
      <c r="P168" s="72">
        <f t="shared" si="7"/>
        <v>0</v>
      </c>
      <c r="Q168" s="72">
        <f t="shared" si="7"/>
        <v>0</v>
      </c>
    </row>
    <row r="169" spans="1:17" x14ac:dyDescent="0.25">
      <c r="A169" s="42" t="s">
        <v>46</v>
      </c>
      <c r="B169" s="70">
        <v>1.665</v>
      </c>
      <c r="C169" s="14">
        <v>1018</v>
      </c>
      <c r="D169" s="71">
        <v>12.5</v>
      </c>
      <c r="E169" s="71">
        <v>36</v>
      </c>
      <c r="F169" s="72">
        <f t="shared" si="7"/>
        <v>0</v>
      </c>
      <c r="G169" s="72">
        <f t="shared" si="7"/>
        <v>0</v>
      </c>
      <c r="H169" s="72">
        <f t="shared" si="7"/>
        <v>0</v>
      </c>
      <c r="I169" s="72">
        <f t="shared" si="7"/>
        <v>0</v>
      </c>
      <c r="J169" s="72">
        <f t="shared" si="7"/>
        <v>0</v>
      </c>
      <c r="K169" s="72">
        <f t="shared" si="7"/>
        <v>0</v>
      </c>
      <c r="L169" s="72">
        <f t="shared" si="7"/>
        <v>0</v>
      </c>
      <c r="M169" s="72">
        <f t="shared" si="7"/>
        <v>0</v>
      </c>
      <c r="N169" s="72">
        <f t="shared" si="7"/>
        <v>0</v>
      </c>
      <c r="O169" s="72">
        <f t="shared" si="7"/>
        <v>0</v>
      </c>
      <c r="P169" s="72">
        <f t="shared" si="7"/>
        <v>0</v>
      </c>
      <c r="Q169" s="72">
        <f t="shared" si="7"/>
        <v>0</v>
      </c>
    </row>
    <row r="170" spans="1:17" x14ac:dyDescent="0.25">
      <c r="A170" s="42" t="s">
        <v>47</v>
      </c>
      <c r="B170" s="70">
        <v>2.0350000000000001</v>
      </c>
      <c r="C170" s="14">
        <v>1018</v>
      </c>
      <c r="D170" s="71">
        <v>12.5</v>
      </c>
      <c r="E170" s="71">
        <v>36</v>
      </c>
      <c r="F170" s="72">
        <f t="shared" si="7"/>
        <v>0</v>
      </c>
      <c r="G170" s="72">
        <f t="shared" si="7"/>
        <v>0</v>
      </c>
      <c r="H170" s="72">
        <f t="shared" si="7"/>
        <v>0</v>
      </c>
      <c r="I170" s="72">
        <f t="shared" si="7"/>
        <v>0</v>
      </c>
      <c r="J170" s="72">
        <f t="shared" si="7"/>
        <v>0</v>
      </c>
      <c r="K170" s="72">
        <f t="shared" si="7"/>
        <v>0</v>
      </c>
      <c r="L170" s="72">
        <f t="shared" ref="G170:Q185" si="8">L124*$B170</f>
        <v>0</v>
      </c>
      <c r="M170" s="72">
        <f t="shared" si="8"/>
        <v>0</v>
      </c>
      <c r="N170" s="72">
        <f t="shared" si="8"/>
        <v>0</v>
      </c>
      <c r="O170" s="72">
        <f t="shared" si="8"/>
        <v>0</v>
      </c>
      <c r="P170" s="72">
        <f t="shared" si="8"/>
        <v>0</v>
      </c>
      <c r="Q170" s="72">
        <f t="shared" si="8"/>
        <v>0</v>
      </c>
    </row>
    <row r="171" spans="1:17" x14ac:dyDescent="0.25">
      <c r="A171" s="42" t="s">
        <v>36</v>
      </c>
      <c r="B171" s="70">
        <v>0.4</v>
      </c>
      <c r="C171" s="14">
        <v>1018</v>
      </c>
      <c r="D171" s="71">
        <v>6.75</v>
      </c>
      <c r="E171" s="71">
        <v>48</v>
      </c>
      <c r="F171" s="72">
        <f t="shared" si="7"/>
        <v>0</v>
      </c>
      <c r="G171" s="72">
        <f t="shared" si="8"/>
        <v>0</v>
      </c>
      <c r="H171" s="72">
        <f t="shared" si="8"/>
        <v>0</v>
      </c>
      <c r="I171" s="72">
        <f t="shared" si="8"/>
        <v>97.768000000000001</v>
      </c>
      <c r="J171" s="72">
        <f t="shared" si="8"/>
        <v>97.768000000000001</v>
      </c>
      <c r="K171" s="72">
        <f t="shared" si="8"/>
        <v>97.768000000000001</v>
      </c>
      <c r="L171" s="72">
        <f t="shared" si="8"/>
        <v>97.768000000000001</v>
      </c>
      <c r="M171" s="72">
        <f t="shared" si="8"/>
        <v>97.768000000000001</v>
      </c>
      <c r="N171" s="72">
        <f t="shared" si="8"/>
        <v>97.768000000000001</v>
      </c>
      <c r="O171" s="72">
        <f t="shared" si="8"/>
        <v>97.768000000000001</v>
      </c>
      <c r="P171" s="72">
        <f t="shared" si="8"/>
        <v>97.768000000000001</v>
      </c>
      <c r="Q171" s="72">
        <f t="shared" si="8"/>
        <v>97.768000000000001</v>
      </c>
    </row>
    <row r="172" spans="1:17" x14ac:dyDescent="0.25">
      <c r="A172" s="42" t="s">
        <v>37</v>
      </c>
      <c r="B172" s="70">
        <v>0.50600000000000001</v>
      </c>
      <c r="C172" s="14">
        <v>1018</v>
      </c>
      <c r="D172" s="71">
        <v>6.75</v>
      </c>
      <c r="E172" s="71">
        <v>48</v>
      </c>
      <c r="F172" s="72">
        <f t="shared" si="7"/>
        <v>0</v>
      </c>
      <c r="G172" s="72">
        <f t="shared" si="8"/>
        <v>0</v>
      </c>
      <c r="H172" s="72">
        <f t="shared" si="8"/>
        <v>0</v>
      </c>
      <c r="I172" s="72">
        <f t="shared" si="8"/>
        <v>0</v>
      </c>
      <c r="J172" s="72">
        <f t="shared" si="8"/>
        <v>0</v>
      </c>
      <c r="K172" s="72">
        <f t="shared" si="8"/>
        <v>0</v>
      </c>
      <c r="L172" s="72">
        <f t="shared" si="8"/>
        <v>0</v>
      </c>
      <c r="M172" s="72">
        <f t="shared" si="8"/>
        <v>0</v>
      </c>
      <c r="N172" s="72">
        <f t="shared" si="8"/>
        <v>0</v>
      </c>
      <c r="O172" s="72">
        <f t="shared" si="8"/>
        <v>0</v>
      </c>
      <c r="P172" s="72">
        <f t="shared" si="8"/>
        <v>0</v>
      </c>
      <c r="Q172" s="72">
        <f t="shared" si="8"/>
        <v>0</v>
      </c>
    </row>
    <row r="173" spans="1:17" x14ac:dyDescent="0.25">
      <c r="A173" s="42" t="s">
        <v>38</v>
      </c>
      <c r="B173" s="70">
        <v>0.61099999999999999</v>
      </c>
      <c r="C173" s="14">
        <v>1018</v>
      </c>
      <c r="D173" s="71">
        <v>5</v>
      </c>
      <c r="E173" s="71">
        <v>24</v>
      </c>
      <c r="F173" s="72">
        <f t="shared" si="7"/>
        <v>0</v>
      </c>
      <c r="G173" s="72">
        <f t="shared" si="8"/>
        <v>0</v>
      </c>
      <c r="H173" s="72">
        <f t="shared" si="8"/>
        <v>10484.581497797357</v>
      </c>
      <c r="I173" s="72">
        <f t="shared" si="8"/>
        <v>10484.581497797357</v>
      </c>
      <c r="J173" s="72">
        <f t="shared" si="8"/>
        <v>8105.726872246697</v>
      </c>
      <c r="K173" s="72">
        <f t="shared" si="8"/>
        <v>8105.726872246697</v>
      </c>
      <c r="L173" s="72">
        <f t="shared" si="8"/>
        <v>8105.726872246697</v>
      </c>
      <c r="M173" s="72">
        <f t="shared" si="8"/>
        <v>8105.726872246697</v>
      </c>
      <c r="N173" s="72">
        <f t="shared" si="8"/>
        <v>8105.726872246697</v>
      </c>
      <c r="O173" s="72">
        <f t="shared" si="8"/>
        <v>8105.726872246697</v>
      </c>
      <c r="P173" s="72">
        <f t="shared" si="8"/>
        <v>8105.726872246697</v>
      </c>
      <c r="Q173" s="72">
        <f t="shared" si="8"/>
        <v>8105.726872246697</v>
      </c>
    </row>
    <row r="174" spans="1:17" x14ac:dyDescent="0.25">
      <c r="A174" s="42" t="s">
        <v>45</v>
      </c>
      <c r="B174" s="70">
        <v>2.3919999999999999</v>
      </c>
      <c r="C174" s="14">
        <v>1018</v>
      </c>
      <c r="D174" s="71">
        <v>11.5</v>
      </c>
      <c r="E174" s="71">
        <v>18</v>
      </c>
      <c r="F174" s="72">
        <f t="shared" si="7"/>
        <v>0</v>
      </c>
      <c r="G174" s="72">
        <f t="shared" si="8"/>
        <v>0</v>
      </c>
      <c r="H174" s="72">
        <f t="shared" si="8"/>
        <v>0</v>
      </c>
      <c r="I174" s="72">
        <f t="shared" si="8"/>
        <v>0</v>
      </c>
      <c r="J174" s="72">
        <f t="shared" si="8"/>
        <v>0</v>
      </c>
      <c r="K174" s="72">
        <f t="shared" si="8"/>
        <v>0</v>
      </c>
      <c r="L174" s="72">
        <f t="shared" si="8"/>
        <v>0</v>
      </c>
      <c r="M174" s="72">
        <f t="shared" si="8"/>
        <v>0</v>
      </c>
      <c r="N174" s="72">
        <f t="shared" si="8"/>
        <v>0</v>
      </c>
      <c r="O174" s="72">
        <f t="shared" si="8"/>
        <v>0</v>
      </c>
      <c r="P174" s="72">
        <f t="shared" si="8"/>
        <v>0</v>
      </c>
      <c r="Q174" s="72">
        <f t="shared" si="8"/>
        <v>0</v>
      </c>
    </row>
    <row r="175" spans="1:17" x14ac:dyDescent="0.25">
      <c r="A175" s="42" t="s">
        <v>39</v>
      </c>
      <c r="B175" s="70">
        <v>0.38</v>
      </c>
      <c r="C175" s="14">
        <v>1018</v>
      </c>
      <c r="D175" s="71">
        <v>7.75</v>
      </c>
      <c r="E175" s="71">
        <v>48</v>
      </c>
      <c r="F175" s="72">
        <f t="shared" si="7"/>
        <v>570</v>
      </c>
      <c r="G175" s="72">
        <f t="shared" si="8"/>
        <v>570</v>
      </c>
      <c r="H175" s="72">
        <f t="shared" si="8"/>
        <v>570</v>
      </c>
      <c r="I175" s="72">
        <f t="shared" si="8"/>
        <v>570</v>
      </c>
      <c r="J175" s="72">
        <f t="shared" si="8"/>
        <v>570</v>
      </c>
      <c r="K175" s="72">
        <f t="shared" si="8"/>
        <v>570</v>
      </c>
      <c r="L175" s="72">
        <f t="shared" si="8"/>
        <v>570</v>
      </c>
      <c r="M175" s="72">
        <f t="shared" si="8"/>
        <v>570</v>
      </c>
      <c r="N175" s="72">
        <f t="shared" si="8"/>
        <v>570</v>
      </c>
      <c r="O175" s="72">
        <f t="shared" si="8"/>
        <v>570</v>
      </c>
      <c r="P175" s="72">
        <f t="shared" si="8"/>
        <v>570</v>
      </c>
      <c r="Q175" s="72">
        <f t="shared" si="8"/>
        <v>570</v>
      </c>
    </row>
    <row r="176" spans="1:17" x14ac:dyDescent="0.25">
      <c r="A176" s="42" t="s">
        <v>40</v>
      </c>
      <c r="B176" s="70">
        <v>0.59799999999999998</v>
      </c>
      <c r="C176" s="14">
        <v>1018</v>
      </c>
      <c r="D176" s="71">
        <v>10.5</v>
      </c>
      <c r="E176" s="71">
        <v>48</v>
      </c>
      <c r="F176" s="72">
        <f t="shared" si="7"/>
        <v>0</v>
      </c>
      <c r="G176" s="72">
        <f t="shared" si="8"/>
        <v>0</v>
      </c>
      <c r="H176" s="72">
        <f t="shared" si="8"/>
        <v>0</v>
      </c>
      <c r="I176" s="72">
        <f t="shared" si="8"/>
        <v>0</v>
      </c>
      <c r="J176" s="72">
        <f t="shared" si="8"/>
        <v>0</v>
      </c>
      <c r="K176" s="72">
        <f t="shared" si="8"/>
        <v>0</v>
      </c>
      <c r="L176" s="72">
        <f t="shared" si="8"/>
        <v>0</v>
      </c>
      <c r="M176" s="72">
        <f t="shared" si="8"/>
        <v>0</v>
      </c>
      <c r="N176" s="72">
        <f t="shared" si="8"/>
        <v>0</v>
      </c>
      <c r="O176" s="72">
        <f t="shared" si="8"/>
        <v>0</v>
      </c>
      <c r="P176" s="72">
        <f t="shared" si="8"/>
        <v>0</v>
      </c>
      <c r="Q176" s="72">
        <f t="shared" si="8"/>
        <v>0</v>
      </c>
    </row>
    <row r="177" spans="1:17" x14ac:dyDescent="0.25">
      <c r="A177" s="42" t="s">
        <v>41</v>
      </c>
      <c r="B177" s="70">
        <v>0.65500000000000003</v>
      </c>
      <c r="C177" s="14">
        <v>1018</v>
      </c>
      <c r="D177" s="71">
        <v>10.5</v>
      </c>
      <c r="E177" s="71">
        <v>48</v>
      </c>
      <c r="F177" s="72">
        <f t="shared" si="7"/>
        <v>4913.8100000000004</v>
      </c>
      <c r="G177" s="72">
        <f t="shared" si="8"/>
        <v>4913.8100000000004</v>
      </c>
      <c r="H177" s="72">
        <f t="shared" si="8"/>
        <v>4586.3100000000004</v>
      </c>
      <c r="I177" s="72">
        <f t="shared" si="8"/>
        <v>4913.8100000000004</v>
      </c>
      <c r="J177" s="72">
        <f t="shared" si="8"/>
        <v>4782.8100000000004</v>
      </c>
      <c r="K177" s="72">
        <f t="shared" si="8"/>
        <v>4782.8100000000004</v>
      </c>
      <c r="L177" s="72">
        <f t="shared" si="8"/>
        <v>4782.8100000000004</v>
      </c>
      <c r="M177" s="72">
        <f t="shared" si="8"/>
        <v>4782.8100000000004</v>
      </c>
      <c r="N177" s="72">
        <f t="shared" si="8"/>
        <v>4782.8100000000004</v>
      </c>
      <c r="O177" s="72">
        <f t="shared" si="8"/>
        <v>4782.8100000000004</v>
      </c>
      <c r="P177" s="72">
        <f t="shared" si="8"/>
        <v>4782.8100000000004</v>
      </c>
      <c r="Q177" s="72">
        <f t="shared" si="8"/>
        <v>4782.8100000000004</v>
      </c>
    </row>
    <row r="178" spans="1:17" x14ac:dyDescent="0.25">
      <c r="A178" s="42" t="s">
        <v>43</v>
      </c>
      <c r="B178" s="70">
        <v>0.95699999999999996</v>
      </c>
      <c r="C178" s="14">
        <v>1018</v>
      </c>
      <c r="D178" s="71">
        <v>10.5</v>
      </c>
      <c r="E178" s="71">
        <v>42</v>
      </c>
      <c r="F178" s="72">
        <f t="shared" si="7"/>
        <v>0</v>
      </c>
      <c r="G178" s="72">
        <f t="shared" si="8"/>
        <v>0</v>
      </c>
      <c r="H178" s="72">
        <f t="shared" si="8"/>
        <v>2682.1022436225794</v>
      </c>
      <c r="I178" s="72">
        <f t="shared" si="8"/>
        <v>2682.1022436225794</v>
      </c>
      <c r="J178" s="72">
        <f t="shared" si="8"/>
        <v>2073.558037086364</v>
      </c>
      <c r="K178" s="72">
        <f t="shared" si="8"/>
        <v>2073.558037086364</v>
      </c>
      <c r="L178" s="72">
        <f t="shared" si="8"/>
        <v>2073.558037086364</v>
      </c>
      <c r="M178" s="72">
        <f t="shared" si="8"/>
        <v>2073.558037086364</v>
      </c>
      <c r="N178" s="72">
        <f t="shared" si="8"/>
        <v>2073.558037086364</v>
      </c>
      <c r="O178" s="72">
        <f t="shared" si="8"/>
        <v>2073.558037086364</v>
      </c>
      <c r="P178" s="72">
        <f t="shared" si="8"/>
        <v>2073.558037086364</v>
      </c>
      <c r="Q178" s="72">
        <f t="shared" si="8"/>
        <v>2073.558037086364</v>
      </c>
    </row>
    <row r="179" spans="1:17" x14ac:dyDescent="0.25">
      <c r="A179" s="42" t="s">
        <v>42</v>
      </c>
      <c r="B179" s="70">
        <v>0.82199999999999995</v>
      </c>
      <c r="C179" s="14">
        <v>1018</v>
      </c>
      <c r="D179" s="71">
        <v>6.5</v>
      </c>
      <c r="E179" s="71">
        <v>21</v>
      </c>
      <c r="F179" s="72">
        <f t="shared" si="7"/>
        <v>2056.6439999999998</v>
      </c>
      <c r="G179" s="72">
        <f t="shared" si="8"/>
        <v>2056.6439999999998</v>
      </c>
      <c r="H179" s="72">
        <f t="shared" si="8"/>
        <v>2219.4</v>
      </c>
      <c r="I179" s="72">
        <f t="shared" si="8"/>
        <v>2056.6439999999998</v>
      </c>
      <c r="J179" s="72">
        <f t="shared" si="8"/>
        <v>2056.6439999999998</v>
      </c>
      <c r="K179" s="72">
        <f t="shared" si="8"/>
        <v>2056.6439999999998</v>
      </c>
      <c r="L179" s="72">
        <f t="shared" si="8"/>
        <v>2056.6439999999998</v>
      </c>
      <c r="M179" s="72">
        <f t="shared" si="8"/>
        <v>2056.6439999999998</v>
      </c>
      <c r="N179" s="72">
        <f t="shared" si="8"/>
        <v>2056.6439999999998</v>
      </c>
      <c r="O179" s="72">
        <f t="shared" si="8"/>
        <v>2056.6439999999998</v>
      </c>
      <c r="P179" s="72">
        <f t="shared" si="8"/>
        <v>2056.6439999999998</v>
      </c>
      <c r="Q179" s="72">
        <f t="shared" si="8"/>
        <v>2056.6439999999998</v>
      </c>
    </row>
    <row r="180" spans="1:17" x14ac:dyDescent="0.25">
      <c r="A180" s="42" t="s">
        <v>44</v>
      </c>
      <c r="B180" s="70">
        <v>1.1789999999999998</v>
      </c>
      <c r="C180" s="14">
        <v>1018</v>
      </c>
      <c r="D180" s="71">
        <v>6.5</v>
      </c>
      <c r="E180" s="71">
        <v>21</v>
      </c>
      <c r="F180" s="72">
        <f t="shared" si="7"/>
        <v>594.21599999999989</v>
      </c>
      <c r="G180" s="72">
        <f t="shared" si="8"/>
        <v>594.21599999999989</v>
      </c>
      <c r="H180" s="72">
        <f t="shared" si="8"/>
        <v>594.21599999999989</v>
      </c>
      <c r="I180" s="72">
        <f t="shared" si="8"/>
        <v>594.21599999999989</v>
      </c>
      <c r="J180" s="72">
        <f t="shared" si="8"/>
        <v>594.21599999999989</v>
      </c>
      <c r="K180" s="72">
        <f t="shared" si="8"/>
        <v>594.21599999999989</v>
      </c>
      <c r="L180" s="72">
        <f t="shared" si="8"/>
        <v>594.21599999999989</v>
      </c>
      <c r="M180" s="72">
        <f t="shared" si="8"/>
        <v>594.21599999999989</v>
      </c>
      <c r="N180" s="72">
        <f t="shared" si="8"/>
        <v>594.21599999999989</v>
      </c>
      <c r="O180" s="72">
        <f t="shared" si="8"/>
        <v>594.21599999999989</v>
      </c>
      <c r="P180" s="72">
        <f t="shared" si="8"/>
        <v>594.21599999999989</v>
      </c>
      <c r="Q180" s="72">
        <f t="shared" si="8"/>
        <v>594.21599999999989</v>
      </c>
    </row>
    <row r="181" spans="1:17" x14ac:dyDescent="0.25">
      <c r="A181" s="42" t="s">
        <v>48</v>
      </c>
      <c r="B181" s="70">
        <v>0.67900000000000005</v>
      </c>
      <c r="C181" s="14">
        <v>1018</v>
      </c>
      <c r="D181" s="71">
        <v>4</v>
      </c>
      <c r="E181" s="71">
        <v>21</v>
      </c>
      <c r="F181" s="72">
        <f t="shared" si="7"/>
        <v>0</v>
      </c>
      <c r="G181" s="72">
        <f t="shared" si="8"/>
        <v>0</v>
      </c>
      <c r="H181" s="72">
        <f t="shared" si="8"/>
        <v>0</v>
      </c>
      <c r="I181" s="72">
        <f t="shared" si="8"/>
        <v>0</v>
      </c>
      <c r="J181" s="72">
        <f t="shared" si="8"/>
        <v>0</v>
      </c>
      <c r="K181" s="72">
        <f t="shared" si="8"/>
        <v>0</v>
      </c>
      <c r="L181" s="72">
        <f t="shared" si="8"/>
        <v>0</v>
      </c>
      <c r="M181" s="72">
        <f t="shared" si="8"/>
        <v>0</v>
      </c>
      <c r="N181" s="72">
        <f t="shared" si="8"/>
        <v>0</v>
      </c>
      <c r="O181" s="72">
        <f t="shared" si="8"/>
        <v>0</v>
      </c>
      <c r="P181" s="72">
        <f t="shared" si="8"/>
        <v>0</v>
      </c>
      <c r="Q181" s="72">
        <f t="shared" si="8"/>
        <v>0</v>
      </c>
    </row>
    <row r="182" spans="1:17" x14ac:dyDescent="0.25">
      <c r="A182" s="42" t="s">
        <v>28</v>
      </c>
      <c r="B182" s="70">
        <v>1.1779999999999999</v>
      </c>
      <c r="C182" s="14">
        <v>1018</v>
      </c>
      <c r="D182" s="71">
        <v>7</v>
      </c>
      <c r="E182" s="71">
        <v>18</v>
      </c>
      <c r="F182" s="72">
        <f t="shared" si="7"/>
        <v>0</v>
      </c>
      <c r="G182" s="72">
        <f t="shared" si="8"/>
        <v>0</v>
      </c>
      <c r="H182" s="72">
        <f t="shared" si="8"/>
        <v>0</v>
      </c>
      <c r="I182" s="72">
        <f t="shared" si="8"/>
        <v>0</v>
      </c>
      <c r="J182" s="72">
        <f t="shared" si="8"/>
        <v>0</v>
      </c>
      <c r="K182" s="72">
        <f t="shared" si="8"/>
        <v>0</v>
      </c>
      <c r="L182" s="72">
        <f t="shared" si="8"/>
        <v>0</v>
      </c>
      <c r="M182" s="72">
        <f t="shared" si="8"/>
        <v>0</v>
      </c>
      <c r="N182" s="72">
        <f t="shared" si="8"/>
        <v>0</v>
      </c>
      <c r="O182" s="72">
        <f t="shared" si="8"/>
        <v>0</v>
      </c>
      <c r="P182" s="72">
        <f t="shared" si="8"/>
        <v>0</v>
      </c>
      <c r="Q182" s="72">
        <f t="shared" si="8"/>
        <v>0</v>
      </c>
    </row>
    <row r="183" spans="1:17" x14ac:dyDescent="0.25">
      <c r="A183" s="42" t="s">
        <v>27</v>
      </c>
      <c r="B183" s="70">
        <v>1.357</v>
      </c>
      <c r="C183" s="14">
        <v>1018</v>
      </c>
      <c r="D183" s="71">
        <v>7</v>
      </c>
      <c r="E183" s="71">
        <v>18</v>
      </c>
      <c r="F183" s="72">
        <f t="shared" si="7"/>
        <v>0</v>
      </c>
      <c r="G183" s="72">
        <f t="shared" si="8"/>
        <v>0</v>
      </c>
      <c r="H183" s="72">
        <f t="shared" si="8"/>
        <v>0</v>
      </c>
      <c r="I183" s="72">
        <f t="shared" si="8"/>
        <v>0</v>
      </c>
      <c r="J183" s="72">
        <f t="shared" si="8"/>
        <v>0</v>
      </c>
      <c r="K183" s="72">
        <f t="shared" si="8"/>
        <v>0</v>
      </c>
      <c r="L183" s="72">
        <f t="shared" si="8"/>
        <v>0</v>
      </c>
      <c r="M183" s="72">
        <f t="shared" si="8"/>
        <v>0</v>
      </c>
      <c r="N183" s="72">
        <f t="shared" si="8"/>
        <v>0</v>
      </c>
      <c r="O183" s="72">
        <f t="shared" si="8"/>
        <v>0</v>
      </c>
      <c r="P183" s="72">
        <f t="shared" si="8"/>
        <v>0</v>
      </c>
      <c r="Q183" s="72">
        <f t="shared" si="8"/>
        <v>0</v>
      </c>
    </row>
    <row r="184" spans="1:17" x14ac:dyDescent="0.25">
      <c r="A184" s="42" t="s">
        <v>10</v>
      </c>
      <c r="B184" s="70">
        <v>0.26300000000000001</v>
      </c>
      <c r="C184" s="14">
        <v>1018</v>
      </c>
      <c r="D184" s="71">
        <v>4</v>
      </c>
      <c r="E184" s="71">
        <v>21</v>
      </c>
      <c r="F184" s="72">
        <f t="shared" si="7"/>
        <v>0</v>
      </c>
      <c r="G184" s="72">
        <f t="shared" si="8"/>
        <v>0</v>
      </c>
      <c r="H184" s="72">
        <f t="shared" si="8"/>
        <v>0</v>
      </c>
      <c r="I184" s="72">
        <f t="shared" si="8"/>
        <v>0</v>
      </c>
      <c r="J184" s="72">
        <f t="shared" si="8"/>
        <v>0</v>
      </c>
      <c r="K184" s="72">
        <f t="shared" si="8"/>
        <v>0</v>
      </c>
      <c r="L184" s="72">
        <f t="shared" si="8"/>
        <v>0</v>
      </c>
      <c r="M184" s="72">
        <f t="shared" si="8"/>
        <v>0</v>
      </c>
      <c r="N184" s="72">
        <f t="shared" si="8"/>
        <v>0</v>
      </c>
      <c r="O184" s="72">
        <f t="shared" si="8"/>
        <v>0</v>
      </c>
      <c r="P184" s="72">
        <f t="shared" si="8"/>
        <v>0</v>
      </c>
      <c r="Q184" s="72">
        <f t="shared" si="8"/>
        <v>0</v>
      </c>
    </row>
    <row r="185" spans="1:17" x14ac:dyDescent="0.25">
      <c r="A185" s="42" t="s">
        <v>24</v>
      </c>
      <c r="B185" s="70">
        <v>1.0459999999999998</v>
      </c>
      <c r="C185" s="14">
        <v>1018</v>
      </c>
      <c r="D185" s="71">
        <v>5.5</v>
      </c>
      <c r="E185" s="71">
        <v>21</v>
      </c>
      <c r="F185" s="72">
        <f t="shared" si="7"/>
        <v>0</v>
      </c>
      <c r="G185" s="72">
        <f t="shared" si="8"/>
        <v>0</v>
      </c>
      <c r="H185" s="72">
        <f t="shared" si="8"/>
        <v>0</v>
      </c>
      <c r="I185" s="72">
        <f t="shared" si="8"/>
        <v>0</v>
      </c>
      <c r="J185" s="72">
        <f t="shared" si="8"/>
        <v>0</v>
      </c>
      <c r="K185" s="72">
        <f t="shared" si="8"/>
        <v>0</v>
      </c>
      <c r="L185" s="72">
        <f t="shared" si="8"/>
        <v>0</v>
      </c>
      <c r="M185" s="72">
        <f t="shared" si="8"/>
        <v>0</v>
      </c>
      <c r="N185" s="72">
        <f t="shared" si="8"/>
        <v>0</v>
      </c>
      <c r="O185" s="72">
        <f t="shared" si="8"/>
        <v>0</v>
      </c>
      <c r="P185" s="72">
        <f t="shared" si="8"/>
        <v>0</v>
      </c>
      <c r="Q185" s="72">
        <f t="shared" si="8"/>
        <v>0</v>
      </c>
    </row>
    <row r="186" spans="1:17" x14ac:dyDescent="0.25">
      <c r="A186" s="42" t="s">
        <v>25</v>
      </c>
      <c r="B186" s="70">
        <v>1.121</v>
      </c>
      <c r="C186" s="14">
        <v>1018</v>
      </c>
      <c r="D186" s="71">
        <v>6</v>
      </c>
      <c r="E186" s="71">
        <v>21</v>
      </c>
      <c r="F186" s="72">
        <f t="shared" si="7"/>
        <v>3106.732</v>
      </c>
      <c r="G186" s="72">
        <f t="shared" ref="G186:Q191" si="9">G140*$B186</f>
        <v>0</v>
      </c>
      <c r="H186" s="72">
        <f t="shared" si="9"/>
        <v>1109.4150189529762</v>
      </c>
      <c r="I186" s="72">
        <f t="shared" si="9"/>
        <v>1109.4150189529762</v>
      </c>
      <c r="J186" s="72">
        <f t="shared" si="9"/>
        <v>857.69900624935974</v>
      </c>
      <c r="K186" s="72">
        <f t="shared" si="9"/>
        <v>857.69900624935974</v>
      </c>
      <c r="L186" s="72">
        <f t="shared" si="9"/>
        <v>857.69900624935974</v>
      </c>
      <c r="M186" s="72">
        <f t="shared" si="9"/>
        <v>857.69900624935974</v>
      </c>
      <c r="N186" s="72">
        <f t="shared" si="9"/>
        <v>857.69900624935974</v>
      </c>
      <c r="O186" s="72">
        <f t="shared" si="9"/>
        <v>857.69900624935974</v>
      </c>
      <c r="P186" s="72">
        <f t="shared" si="9"/>
        <v>857.69900624935974</v>
      </c>
      <c r="Q186" s="72">
        <f t="shared" si="9"/>
        <v>857.69900624935974</v>
      </c>
    </row>
    <row r="187" spans="1:17" x14ac:dyDescent="0.25">
      <c r="A187" s="42" t="s">
        <v>26</v>
      </c>
      <c r="B187" s="70">
        <v>1.5999999999999999</v>
      </c>
      <c r="C187" s="14">
        <v>1018</v>
      </c>
      <c r="D187" s="71">
        <v>6.5</v>
      </c>
      <c r="E187" s="71">
        <v>21</v>
      </c>
      <c r="F187" s="72">
        <f t="shared" si="7"/>
        <v>199.99999999999997</v>
      </c>
      <c r="G187" s="72">
        <f t="shared" si="9"/>
        <v>0</v>
      </c>
      <c r="H187" s="72">
        <f t="shared" si="9"/>
        <v>0</v>
      </c>
      <c r="I187" s="72">
        <f t="shared" si="9"/>
        <v>0</v>
      </c>
      <c r="J187" s="72">
        <f t="shared" si="9"/>
        <v>0</v>
      </c>
      <c r="K187" s="72">
        <f t="shared" si="9"/>
        <v>0</v>
      </c>
      <c r="L187" s="72">
        <f t="shared" si="9"/>
        <v>0</v>
      </c>
      <c r="M187" s="72">
        <f t="shared" si="9"/>
        <v>0</v>
      </c>
      <c r="N187" s="72">
        <f t="shared" si="9"/>
        <v>0</v>
      </c>
      <c r="O187" s="72">
        <f t="shared" si="9"/>
        <v>0</v>
      </c>
      <c r="P187" s="72">
        <f t="shared" si="9"/>
        <v>0</v>
      </c>
      <c r="Q187" s="72">
        <f t="shared" si="9"/>
        <v>0</v>
      </c>
    </row>
    <row r="188" spans="1:17" x14ac:dyDescent="0.25">
      <c r="A188" s="42" t="s">
        <v>30</v>
      </c>
      <c r="B188" s="70">
        <v>2.093</v>
      </c>
      <c r="C188" s="14">
        <v>1018</v>
      </c>
      <c r="D188" s="71">
        <v>7.5</v>
      </c>
      <c r="E188" s="71">
        <v>18</v>
      </c>
      <c r="F188" s="72">
        <f t="shared" si="7"/>
        <v>49.999999999999993</v>
      </c>
      <c r="G188" s="72">
        <f t="shared" si="9"/>
        <v>0</v>
      </c>
      <c r="H188" s="72">
        <f t="shared" si="9"/>
        <v>60.956869173240442</v>
      </c>
      <c r="I188" s="72">
        <f t="shared" si="9"/>
        <v>60.956869173240442</v>
      </c>
      <c r="J188" s="72">
        <f t="shared" si="9"/>
        <v>47.12631902469009</v>
      </c>
      <c r="K188" s="72">
        <f t="shared" si="9"/>
        <v>47.12631902469009</v>
      </c>
      <c r="L188" s="72">
        <f t="shared" si="9"/>
        <v>47.12631902469009</v>
      </c>
      <c r="M188" s="72">
        <f t="shared" si="9"/>
        <v>47.12631902469009</v>
      </c>
      <c r="N188" s="72">
        <f t="shared" si="9"/>
        <v>47.12631902469009</v>
      </c>
      <c r="O188" s="72">
        <f t="shared" si="9"/>
        <v>47.12631902469009</v>
      </c>
      <c r="P188" s="72">
        <f t="shared" si="9"/>
        <v>47.12631902469009</v>
      </c>
      <c r="Q188" s="72">
        <f t="shared" si="9"/>
        <v>47.12631902469009</v>
      </c>
    </row>
    <row r="189" spans="1:17" x14ac:dyDescent="0.25">
      <c r="A189" s="42" t="s">
        <v>31</v>
      </c>
      <c r="B189" s="70">
        <v>4.0650000000000004</v>
      </c>
      <c r="C189" s="14">
        <v>1018</v>
      </c>
      <c r="D189" s="71">
        <v>11</v>
      </c>
      <c r="E189" s="71">
        <v>12</v>
      </c>
      <c r="F189" s="72">
        <f t="shared" si="7"/>
        <v>140.00000000000003</v>
      </c>
      <c r="G189" s="72">
        <f t="shared" si="9"/>
        <v>0</v>
      </c>
      <c r="H189" s="72">
        <f t="shared" si="9"/>
        <v>38861.311264558353</v>
      </c>
      <c r="I189" s="72">
        <f t="shared" si="9"/>
        <v>38846.505557488541</v>
      </c>
      <c r="J189" s="72">
        <f t="shared" si="9"/>
        <v>30038.315746337463</v>
      </c>
      <c r="K189" s="72">
        <f t="shared" si="9"/>
        <v>30038.315746337463</v>
      </c>
      <c r="L189" s="72">
        <f t="shared" si="9"/>
        <v>30038.315746337463</v>
      </c>
      <c r="M189" s="72">
        <f t="shared" si="9"/>
        <v>30038.315746337463</v>
      </c>
      <c r="N189" s="72">
        <f t="shared" si="9"/>
        <v>30038.315746337463</v>
      </c>
      <c r="O189" s="72">
        <f t="shared" si="9"/>
        <v>30038.315746337463</v>
      </c>
      <c r="P189" s="72">
        <f t="shared" si="9"/>
        <v>30038.315746337463</v>
      </c>
      <c r="Q189" s="72">
        <f t="shared" si="9"/>
        <v>30038.315746337463</v>
      </c>
    </row>
    <row r="190" spans="1:17" x14ac:dyDescent="0.25">
      <c r="A190" s="42" t="s">
        <v>32</v>
      </c>
      <c r="B190" s="70">
        <v>7.0369999999999999</v>
      </c>
      <c r="C190" s="14">
        <v>1018</v>
      </c>
      <c r="D190" s="71">
        <v>18</v>
      </c>
      <c r="E190" s="71">
        <v>9</v>
      </c>
      <c r="F190" s="72">
        <f t="shared" si="7"/>
        <v>44420</v>
      </c>
      <c r="G190" s="72">
        <f t="shared" si="9"/>
        <v>0</v>
      </c>
      <c r="H190" s="72">
        <f t="shared" si="9"/>
        <v>121.913738346481</v>
      </c>
      <c r="I190" s="72">
        <f t="shared" si="9"/>
        <v>121.913738346481</v>
      </c>
      <c r="J190" s="72">
        <f t="shared" si="9"/>
        <v>94.252638049380167</v>
      </c>
      <c r="K190" s="72">
        <f t="shared" si="9"/>
        <v>94.252638049380167</v>
      </c>
      <c r="L190" s="72">
        <f t="shared" si="9"/>
        <v>94.252638049380167</v>
      </c>
      <c r="M190" s="72">
        <f t="shared" si="9"/>
        <v>94.252638049380167</v>
      </c>
      <c r="N190" s="72">
        <f t="shared" si="9"/>
        <v>94.252638049380167</v>
      </c>
      <c r="O190" s="72">
        <f t="shared" si="9"/>
        <v>94.252638049380167</v>
      </c>
      <c r="P190" s="72">
        <f t="shared" si="9"/>
        <v>94.252638049380167</v>
      </c>
      <c r="Q190" s="72">
        <f t="shared" si="9"/>
        <v>94.252638049380167</v>
      </c>
    </row>
    <row r="191" spans="1:17" x14ac:dyDescent="0.25">
      <c r="A191" s="42" t="s">
        <v>29</v>
      </c>
      <c r="B191" s="70">
        <v>0.83</v>
      </c>
      <c r="C191" s="14">
        <v>1018</v>
      </c>
      <c r="D191" s="71">
        <v>6</v>
      </c>
      <c r="E191" s="71">
        <v>21</v>
      </c>
      <c r="F191" s="72">
        <f t="shared" si="7"/>
        <v>0</v>
      </c>
      <c r="G191" s="72">
        <f t="shared" si="9"/>
        <v>0</v>
      </c>
      <c r="H191" s="72">
        <f t="shared" si="9"/>
        <v>0</v>
      </c>
      <c r="I191" s="72">
        <f t="shared" si="9"/>
        <v>0</v>
      </c>
      <c r="J191" s="72">
        <f t="shared" si="9"/>
        <v>0</v>
      </c>
      <c r="K191" s="72">
        <f t="shared" si="9"/>
        <v>0</v>
      </c>
      <c r="L191" s="72">
        <f t="shared" si="9"/>
        <v>0</v>
      </c>
      <c r="M191" s="72">
        <f t="shared" si="9"/>
        <v>0</v>
      </c>
      <c r="N191" s="72">
        <f t="shared" si="9"/>
        <v>0</v>
      </c>
      <c r="O191" s="72">
        <f t="shared" si="9"/>
        <v>0</v>
      </c>
      <c r="P191" s="72">
        <f t="shared" si="9"/>
        <v>0</v>
      </c>
      <c r="Q191" s="72">
        <f t="shared" si="9"/>
        <v>0</v>
      </c>
    </row>
  </sheetData>
  <mergeCells count="6">
    <mergeCell ref="A58:D58"/>
    <mergeCell ref="A3:Q3"/>
    <mergeCell ref="A5:D5"/>
    <mergeCell ref="A6:D6"/>
    <mergeCell ref="A53:Q53"/>
    <mergeCell ref="A56:D5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ПланПроизводства">
                <anchor moveWithCells="1" sizeWithCells="1">
                  <from>
                    <xdr:col>10</xdr:col>
                    <xdr:colOff>581025</xdr:colOff>
                    <xdr:row>0</xdr:row>
                    <xdr:rowOff>0</xdr:rowOff>
                  </from>
                  <to>
                    <xdr:col>16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A1:T552"/>
  <sheetViews>
    <sheetView zoomScale="70" zoomScaleNormal="70" workbookViewId="0">
      <selection activeCell="H9" sqref="H9"/>
    </sheetView>
  </sheetViews>
  <sheetFormatPr defaultRowHeight="15" x14ac:dyDescent="0.25"/>
  <cols>
    <col min="1" max="1" width="15.28515625" style="6" customWidth="1"/>
    <col min="2" max="2" width="75.5703125" style="6" customWidth="1"/>
    <col min="3" max="3" width="47.42578125" style="6" customWidth="1"/>
    <col min="4" max="4" width="19.7109375" style="6" customWidth="1"/>
    <col min="5" max="5" width="13.28515625" style="4" customWidth="1"/>
    <col min="6" max="6" width="16.28515625" style="4" customWidth="1"/>
    <col min="7" max="7" width="17" style="4" customWidth="1"/>
    <col min="8" max="8" width="13.28515625" style="4" customWidth="1"/>
    <col min="9" max="9" width="12.85546875" style="4" customWidth="1"/>
    <col min="10" max="20" width="12.85546875" style="6" customWidth="1"/>
    <col min="21" max="16384" width="9.140625" style="6"/>
  </cols>
  <sheetData>
    <row r="1" spans="1:20" ht="23.25" x14ac:dyDescent="0.35">
      <c r="A1" s="1"/>
      <c r="B1" s="2" t="s">
        <v>0</v>
      </c>
      <c r="C1" s="3"/>
      <c r="D1" s="2"/>
      <c r="F1" s="5"/>
      <c r="G1" s="5"/>
      <c r="H1" s="5"/>
      <c r="I1" s="47" t="s">
        <v>1</v>
      </c>
    </row>
    <row r="2" spans="1:20" ht="36" customHeight="1" x14ac:dyDescent="0.25">
      <c r="A2" s="147" t="s">
        <v>2</v>
      </c>
      <c r="B2" s="147" t="s">
        <v>3</v>
      </c>
      <c r="C2" s="147" t="s">
        <v>5</v>
      </c>
      <c r="D2" s="147" t="s">
        <v>4</v>
      </c>
      <c r="E2" s="7"/>
      <c r="F2" s="146" t="s">
        <v>6</v>
      </c>
      <c r="G2" s="146"/>
      <c r="H2" s="146"/>
      <c r="I2" s="96" t="s">
        <v>409</v>
      </c>
      <c r="J2" s="96" t="s">
        <v>417</v>
      </c>
      <c r="K2" s="96" t="s">
        <v>418</v>
      </c>
      <c r="L2" s="96" t="s">
        <v>419</v>
      </c>
      <c r="M2" s="96" t="s">
        <v>420</v>
      </c>
      <c r="N2" s="96" t="s">
        <v>421</v>
      </c>
      <c r="O2" s="96" t="s">
        <v>422</v>
      </c>
      <c r="P2" s="96" t="s">
        <v>423</v>
      </c>
      <c r="Q2" s="96" t="s">
        <v>424</v>
      </c>
      <c r="R2" s="96" t="s">
        <v>425</v>
      </c>
      <c r="S2" s="96" t="s">
        <v>426</v>
      </c>
      <c r="T2" s="96" t="s">
        <v>427</v>
      </c>
    </row>
    <row r="3" spans="1:20" ht="34.5" customHeight="1" x14ac:dyDescent="0.25">
      <c r="A3" s="147"/>
      <c r="B3" s="147"/>
      <c r="C3" s="147"/>
      <c r="D3" s="147"/>
      <c r="E3" s="8" t="s">
        <v>388</v>
      </c>
      <c r="F3" s="9" t="s">
        <v>7</v>
      </c>
      <c r="G3" s="9" t="s">
        <v>8</v>
      </c>
      <c r="H3" s="10" t="s">
        <v>9</v>
      </c>
      <c r="I3" s="10" t="s">
        <v>416</v>
      </c>
      <c r="J3" s="10" t="s">
        <v>416</v>
      </c>
      <c r="K3" s="10" t="s">
        <v>416</v>
      </c>
      <c r="L3" s="10" t="s">
        <v>416</v>
      </c>
      <c r="M3" s="10" t="s">
        <v>416</v>
      </c>
      <c r="N3" s="10" t="s">
        <v>416</v>
      </c>
      <c r="O3" s="10" t="s">
        <v>416</v>
      </c>
      <c r="P3" s="10" t="s">
        <v>416</v>
      </c>
      <c r="Q3" s="10" t="s">
        <v>416</v>
      </c>
      <c r="R3" s="10" t="s">
        <v>416</v>
      </c>
      <c r="S3" s="10" t="s">
        <v>416</v>
      </c>
      <c r="T3" s="10" t="s">
        <v>416</v>
      </c>
    </row>
    <row r="4" spans="1:20" ht="21.75" customHeight="1" x14ac:dyDescent="0.25">
      <c r="A4" s="11"/>
      <c r="B4" s="39" t="s">
        <v>392</v>
      </c>
      <c r="C4" s="11"/>
      <c r="D4" s="11"/>
      <c r="E4" s="7"/>
      <c r="F4" s="10"/>
      <c r="G4" s="10"/>
      <c r="H4" s="12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x14ac:dyDescent="0.25">
      <c r="A5" s="34" t="s">
        <v>377</v>
      </c>
      <c r="B5" s="13" t="s">
        <v>53</v>
      </c>
      <c r="C5" s="15" t="s">
        <v>11</v>
      </c>
      <c r="D5" s="14">
        <v>7038</v>
      </c>
      <c r="E5" s="16">
        <v>1.105</v>
      </c>
      <c r="F5" s="22">
        <f>SUM(F6:F17)</f>
        <v>1.1121989827959866</v>
      </c>
      <c r="G5" s="22">
        <f>SUM(G6:G17)</f>
        <v>51.693843999999999</v>
      </c>
      <c r="H5" s="23">
        <f t="shared" ref="H5:H17" si="0">F5*1000</f>
        <v>1112.1989827959867</v>
      </c>
      <c r="I5" s="46">
        <f t="array" ref="I5">IF(SUMIF(Производство!$A$104:$A$145,Технологи!$B5,Производство!F$104:F$145)&gt;0,SUMIF(Производство!$A$104:$A$145,Технологи!$B5,Производство!F$104:F$145)*$F5+$G5,0)</f>
        <v>23225.60086461918</v>
      </c>
      <c r="J5" s="46">
        <f t="array" ref="J5">IF(SUMIF(Производство!$A$104:$A$145,Технологи!$B5,Производство!G$104:G$145)&gt;0,SUMIF(Производство!$A$104:$A$145,Технологи!$B5,Производство!G$104:G$145)*$F5+$G5,0)</f>
        <v>2227.1550543489498</v>
      </c>
      <c r="K5" s="46">
        <f t="array" ref="K5">IF(SUMIF(Производство!$A$104:$A$145,Технологи!$B5,Производство!H$104:H$145)&gt;0,SUMIF(Производство!$A$104:$A$145,Технологи!$B5,Производство!H$104:H$145)*$F5+$G5,0)</f>
        <v>0</v>
      </c>
      <c r="L5" s="46">
        <f t="array" ref="L5">IF(SUMIF(Производство!$A$104:$A$145,Технологи!$B5,Производство!I$104:I$145)&gt;0,SUMIF(Производство!$A$104:$A$145,Технологи!$B5,Производство!I$104:I$145)*$F5+$G5,0)</f>
        <v>13798.473271358394</v>
      </c>
      <c r="M5" s="46">
        <f t="array" ref="M5">IF(SUMIF(Производство!$A$104:$A$145,Технологи!$B5,Производство!J$104:J$145)&gt;0,SUMIF(Производство!$A$104:$A$145,Технологи!$B5,Производство!J$104:J$145)*$F5+$G5,0)</f>
        <v>0</v>
      </c>
      <c r="N5" s="46">
        <f t="array" ref="N5">IF(SUMIF(Производство!$A$104:$A$145,Технологи!$B5,Производство!K$104:K$145)&gt;0,SUMIF(Производство!$A$104:$A$145,Технологи!$B5,Производство!K$104:K$145)*$F5+$G5,0)</f>
        <v>0</v>
      </c>
      <c r="O5" s="46">
        <f t="array" ref="O5">IF(SUMIF(Производство!$A$104:$A$145,Технологи!$B5,Производство!L$104:L$145)&gt;0,SUMIF(Производство!$A$104:$A$145,Технологи!$B5,Производство!L$104:L$145)*$F5+$G5,0)</f>
        <v>0</v>
      </c>
      <c r="P5" s="46">
        <f t="array" ref="P5">IF(SUMIF(Производство!$A$104:$A$145,Технологи!$B5,Производство!M$104:M$145)&gt;0,SUMIF(Производство!$A$104:$A$145,Технологи!$B5,Производство!M$104:M$145)*$F5+$G5,0)</f>
        <v>0</v>
      </c>
      <c r="Q5" s="46">
        <f t="array" ref="Q5">IF(SUMIF(Производство!$A$104:$A$145,Технологи!$B5,Производство!N$104:N$145)&gt;0,SUMIF(Производство!$A$104:$A$145,Технологи!$B5,Производство!N$104:N$145)*$F5+$G5,0)</f>
        <v>0</v>
      </c>
      <c r="R5" s="46">
        <f t="array" ref="R5">IF(SUMIF(Производство!$A$104:$A$145,Технологи!$B5,Производство!O$104:O$145)&gt;0,SUMIF(Производство!$A$104:$A$145,Технологи!$B5,Производство!O$104:O$145)*$F5+$G5,0)</f>
        <v>0</v>
      </c>
      <c r="S5" s="46">
        <f t="array" ref="S5">IF(SUMIF(Производство!$A$104:$A$145,Технологи!$B5,Производство!P$104:P$145)&gt;0,SUMIF(Производство!$A$104:$A$145,Технологи!$B5,Производство!P$104:P$145)*$F5+$G5,0)</f>
        <v>0</v>
      </c>
      <c r="T5" s="46">
        <f t="array" ref="T5">IF(SUMIF(Производство!$A$104:$A$145,Технологи!$B5,Производство!Q$104:Q$145)&gt;0,SUMIF(Производство!$A$104:$A$145,Технологи!$B5,Производство!Q$104:Q$145)*$F5+$G5,0)</f>
        <v>0</v>
      </c>
    </row>
    <row r="6" spans="1:20" x14ac:dyDescent="0.25">
      <c r="A6" s="34" t="s">
        <v>377</v>
      </c>
      <c r="B6" s="13" t="s">
        <v>53</v>
      </c>
      <c r="C6" s="19" t="s">
        <v>12</v>
      </c>
      <c r="D6" s="14">
        <v>7038</v>
      </c>
      <c r="E6" s="20"/>
      <c r="F6" s="24">
        <v>0.28143844548494978</v>
      </c>
      <c r="G6" s="24">
        <v>20.559748792270526</v>
      </c>
      <c r="H6" s="23">
        <f t="shared" si="0"/>
        <v>281.4384454849498</v>
      </c>
      <c r="I6" s="46">
        <f t="array" ref="I6">IF(SUMIF(Производство!$A$104:$A$145,Технологи!$B6,Производство!F$104:F$145)&gt;0,SUMIF(Производство!$A$104:$A$145,Технологи!$B6,Производство!F$104:F$145)*$F6+$G6,0)</f>
        <v>5884.6438457763597</v>
      </c>
      <c r="J6" s="46">
        <f t="array" ref="J6">IF(SUMIF(Производство!$A$104:$A$145,Технологи!$B6,Производство!G$104:G$145)&gt;0,SUMIF(Производство!$A$104:$A$145,Технологи!$B6,Производство!G$104:G$145)*$F6+$G6,0)</f>
        <v>571.05334816083234</v>
      </c>
      <c r="K6" s="46">
        <f t="array" ref="K6">IF(SUMIF(Производство!$A$104:$A$145,Технологи!$B6,Производство!H$104:H$145)&gt;0,SUMIF(Производство!$A$104:$A$145,Технологи!$B6,Производство!H$104:H$145)*$F6+$G6,0)</f>
        <v>0</v>
      </c>
      <c r="L6" s="46">
        <f t="array" ref="L6">IF(SUMIF(Производство!$A$104:$A$145,Технологи!$B6,Производство!I$104:I$145)&gt;0,SUMIF(Производство!$A$104:$A$145,Технологи!$B6,Производство!I$104:I$145)*$F6+$G6,0)</f>
        <v>3499.1389349862498</v>
      </c>
      <c r="M6" s="46">
        <f t="array" ref="M6">IF(SUMIF(Производство!$A$104:$A$145,Технологи!$B6,Производство!J$104:J$145)&gt;0,SUMIF(Производство!$A$104:$A$145,Технологи!$B6,Производство!J$104:J$145)*$F6+$G6,0)</f>
        <v>0</v>
      </c>
      <c r="N6" s="46">
        <f t="array" ref="N6">IF(SUMIF(Производство!$A$104:$A$145,Технологи!$B6,Производство!K$104:K$145)&gt;0,SUMIF(Производство!$A$104:$A$145,Технологи!$B6,Производство!K$104:K$145)*$F6+$G6,0)</f>
        <v>0</v>
      </c>
      <c r="O6" s="46">
        <f t="array" ref="O6">IF(SUMIF(Производство!$A$104:$A$145,Технологи!$B6,Производство!L$104:L$145)&gt;0,SUMIF(Производство!$A$104:$A$145,Технологи!$B6,Производство!L$104:L$145)*$F6+$G6,0)</f>
        <v>0</v>
      </c>
      <c r="P6" s="46">
        <f t="array" ref="P6">IF(SUMIF(Производство!$A$104:$A$145,Технологи!$B6,Производство!M$104:M$145)&gt;0,SUMIF(Производство!$A$104:$A$145,Технологи!$B6,Производство!M$104:M$145)*$F6+$G6,0)</f>
        <v>0</v>
      </c>
      <c r="Q6" s="46">
        <f t="array" ref="Q6">IF(SUMIF(Производство!$A$104:$A$145,Технологи!$B6,Производство!N$104:N$145)&gt;0,SUMIF(Производство!$A$104:$A$145,Технологи!$B6,Производство!N$104:N$145)*$F6+$G6,0)</f>
        <v>0</v>
      </c>
      <c r="R6" s="46">
        <f t="array" ref="R6">IF(SUMIF(Производство!$A$104:$A$145,Технологи!$B6,Производство!O$104:O$145)&gt;0,SUMIF(Производство!$A$104:$A$145,Технологи!$B6,Производство!O$104:O$145)*$F6+$G6,0)</f>
        <v>0</v>
      </c>
      <c r="S6" s="46">
        <f t="array" ref="S6">IF(SUMIF(Производство!$A$104:$A$145,Технологи!$B6,Производство!P$104:P$145)&gt;0,SUMIF(Производство!$A$104:$A$145,Технологи!$B6,Производство!P$104:P$145)*$F6+$G6,0)</f>
        <v>0</v>
      </c>
      <c r="T6" s="46">
        <f t="array" ref="T6">IF(SUMIF(Производство!$A$104:$A$145,Технологи!$B6,Производство!Q$104:Q$145)&gt;0,SUMIF(Производство!$A$104:$A$145,Технологи!$B6,Производство!Q$104:Q$145)*$F6+$G6,0)</f>
        <v>0</v>
      </c>
    </row>
    <row r="7" spans="1:20" x14ac:dyDescent="0.25">
      <c r="A7" s="34" t="s">
        <v>377</v>
      </c>
      <c r="B7" s="13" t="s">
        <v>53</v>
      </c>
      <c r="C7" s="19" t="s">
        <v>13</v>
      </c>
      <c r="D7" s="14">
        <v>7038</v>
      </c>
      <c r="E7" s="20"/>
      <c r="F7" s="24">
        <v>8.5020786622073574E-2</v>
      </c>
      <c r="G7" s="24">
        <v>6.1679246376811587</v>
      </c>
      <c r="H7" s="23">
        <f t="shared" si="0"/>
        <v>85.020786622073572</v>
      </c>
      <c r="I7" s="46">
        <f t="array" ref="I7">IF(SUMIF(Производство!$A$104:$A$145,Технологи!$B7,Производство!F$104:F$145)&gt;0,SUMIF(Производство!$A$104:$A$145,Технологи!$B7,Производство!F$104:F$145)*$F7+$G7,0)</f>
        <v>1777.670897106454</v>
      </c>
      <c r="J7" s="46">
        <f t="array" ref="J7">IF(SUMIF(Производство!$A$104:$A$145,Технологи!$B7,Производство!G$104:G$145)&gt;0,SUMIF(Производство!$A$104:$A$145,Технологи!$B7,Производство!G$104:G$145)*$F7+$G7,0)</f>
        <v>172.46858327045706</v>
      </c>
      <c r="K7" s="46">
        <f t="array" ref="K7">IF(SUMIF(Производство!$A$104:$A$145,Технологи!$B7,Производство!H$104:H$145)&gt;0,SUMIF(Производство!$A$104:$A$145,Технологи!$B7,Производство!H$104:H$145)*$F7+$G7,0)</f>
        <v>0</v>
      </c>
      <c r="L7" s="46">
        <f t="array" ref="L7">IF(SUMIF(Производство!$A$104:$A$145,Технологи!$B7,Производство!I$104:I$145)&gt;0,SUMIF(Производство!$A$104:$A$145,Технологи!$B7,Производство!I$104:I$145)*$F7+$G7,0)</f>
        <v>1057.0248472865105</v>
      </c>
      <c r="M7" s="46">
        <f t="array" ref="M7">IF(SUMIF(Производство!$A$104:$A$145,Технологи!$B7,Производство!J$104:J$145)&gt;0,SUMIF(Производство!$A$104:$A$145,Технологи!$B7,Производство!J$104:J$145)*$F7+$G7,0)</f>
        <v>0</v>
      </c>
      <c r="N7" s="46">
        <f t="array" ref="N7">IF(SUMIF(Производство!$A$104:$A$145,Технологи!$B7,Производство!K$104:K$145)&gt;0,SUMIF(Производство!$A$104:$A$145,Технологи!$B7,Производство!K$104:K$145)*$F7+$G7,0)</f>
        <v>0</v>
      </c>
      <c r="O7" s="46">
        <f t="array" ref="O7">IF(SUMIF(Производство!$A$104:$A$145,Технологи!$B7,Производство!L$104:L$145)&gt;0,SUMIF(Производство!$A$104:$A$145,Технологи!$B7,Производство!L$104:L$145)*$F7+$G7,0)</f>
        <v>0</v>
      </c>
      <c r="P7" s="46">
        <f t="array" ref="P7">IF(SUMIF(Производство!$A$104:$A$145,Технологи!$B7,Производство!M$104:M$145)&gt;0,SUMIF(Производство!$A$104:$A$145,Технологи!$B7,Производство!M$104:M$145)*$F7+$G7,0)</f>
        <v>0</v>
      </c>
      <c r="Q7" s="46">
        <f t="array" ref="Q7">IF(SUMIF(Производство!$A$104:$A$145,Технологи!$B7,Производство!N$104:N$145)&gt;0,SUMIF(Производство!$A$104:$A$145,Технологи!$B7,Производство!N$104:N$145)*$F7+$G7,0)</f>
        <v>0</v>
      </c>
      <c r="R7" s="46">
        <f t="array" ref="R7">IF(SUMIF(Производство!$A$104:$A$145,Технологи!$B7,Производство!O$104:O$145)&gt;0,SUMIF(Производство!$A$104:$A$145,Технологи!$B7,Производство!O$104:O$145)*$F7+$G7,0)</f>
        <v>0</v>
      </c>
      <c r="S7" s="46">
        <f t="array" ref="S7">IF(SUMIF(Производство!$A$104:$A$145,Технологи!$B7,Производство!P$104:P$145)&gt;0,SUMIF(Производство!$A$104:$A$145,Технологи!$B7,Производство!P$104:P$145)*$F7+$G7,0)</f>
        <v>0</v>
      </c>
      <c r="T7" s="46">
        <f t="array" ref="T7">IF(SUMIF(Производство!$A$104:$A$145,Технологи!$B7,Производство!Q$104:Q$145)&gt;0,SUMIF(Производство!$A$104:$A$145,Технологи!$B7,Производство!Q$104:Q$145)*$F7+$G7,0)</f>
        <v>0</v>
      </c>
    </row>
    <row r="8" spans="1:20" x14ac:dyDescent="0.25">
      <c r="A8" s="34" t="s">
        <v>377</v>
      </c>
      <c r="B8" s="13" t="s">
        <v>53</v>
      </c>
      <c r="C8" s="19" t="s">
        <v>14</v>
      </c>
      <c r="D8" s="14">
        <v>7038</v>
      </c>
      <c r="E8" s="20"/>
      <c r="F8" s="24">
        <v>8.5020786622073583E-4</v>
      </c>
      <c r="G8" s="24">
        <v>6.1679246376811582E-2</v>
      </c>
      <c r="H8" s="23">
        <f t="shared" si="0"/>
        <v>0.85020786622073585</v>
      </c>
      <c r="I8" s="46">
        <f t="array" ref="I8">IF(SUMIF(Производство!$A$104:$A$145,Технологи!$B8,Производство!F$104:F$145)&gt;0,SUMIF(Производство!$A$104:$A$145,Технологи!$B8,Производство!F$104:F$145)*$F8+$G8,0)</f>
        <v>17.776708971064544</v>
      </c>
      <c r="J8" s="46">
        <f t="array" ref="J8">IF(SUMIF(Производство!$A$104:$A$145,Технологи!$B8,Производство!G$104:G$145)&gt;0,SUMIF(Производство!$A$104:$A$145,Технологи!$B8,Производство!G$104:G$145)*$F8+$G8,0)</f>
        <v>1.7246858327045709</v>
      </c>
      <c r="K8" s="46">
        <f t="array" ref="K8">IF(SUMIF(Производство!$A$104:$A$145,Технологи!$B8,Производство!H$104:H$145)&gt;0,SUMIF(Производство!$A$104:$A$145,Технологи!$B8,Производство!H$104:H$145)*$F8+$G8,0)</f>
        <v>0</v>
      </c>
      <c r="L8" s="46">
        <f t="array" ref="L8">IF(SUMIF(Производство!$A$104:$A$145,Технологи!$B8,Производство!I$104:I$145)&gt;0,SUMIF(Производство!$A$104:$A$145,Технологи!$B8,Производство!I$104:I$145)*$F8+$G8,0)</f>
        <v>10.570248472865106</v>
      </c>
      <c r="M8" s="46">
        <f t="array" ref="M8">IF(SUMIF(Производство!$A$104:$A$145,Технологи!$B8,Производство!J$104:J$145)&gt;0,SUMIF(Производство!$A$104:$A$145,Технологи!$B8,Производство!J$104:J$145)*$F8+$G8,0)</f>
        <v>0</v>
      </c>
      <c r="N8" s="46">
        <f t="array" ref="N8">IF(SUMIF(Производство!$A$104:$A$145,Технологи!$B8,Производство!K$104:K$145)&gt;0,SUMIF(Производство!$A$104:$A$145,Технологи!$B8,Производство!K$104:K$145)*$F8+$G8,0)</f>
        <v>0</v>
      </c>
      <c r="O8" s="46">
        <f t="array" ref="O8">IF(SUMIF(Производство!$A$104:$A$145,Технологи!$B8,Производство!L$104:L$145)&gt;0,SUMIF(Производство!$A$104:$A$145,Технологи!$B8,Производство!L$104:L$145)*$F8+$G8,0)</f>
        <v>0</v>
      </c>
      <c r="P8" s="46">
        <f t="array" ref="P8">IF(SUMIF(Производство!$A$104:$A$145,Технологи!$B8,Производство!M$104:M$145)&gt;0,SUMIF(Производство!$A$104:$A$145,Технологи!$B8,Производство!M$104:M$145)*$F8+$G8,0)</f>
        <v>0</v>
      </c>
      <c r="Q8" s="46">
        <f t="array" ref="Q8">IF(SUMIF(Производство!$A$104:$A$145,Технологи!$B8,Производство!N$104:N$145)&gt;0,SUMIF(Производство!$A$104:$A$145,Технологи!$B8,Производство!N$104:N$145)*$F8+$G8,0)</f>
        <v>0</v>
      </c>
      <c r="R8" s="46">
        <f t="array" ref="R8">IF(SUMIF(Производство!$A$104:$A$145,Технологи!$B8,Производство!O$104:O$145)&gt;0,SUMIF(Производство!$A$104:$A$145,Технологи!$B8,Производство!O$104:O$145)*$F8+$G8,0)</f>
        <v>0</v>
      </c>
      <c r="S8" s="46">
        <f t="array" ref="S8">IF(SUMIF(Производство!$A$104:$A$145,Технологи!$B8,Производство!P$104:P$145)&gt;0,SUMIF(Производство!$A$104:$A$145,Технологи!$B8,Производство!P$104:P$145)*$F8+$G8,0)</f>
        <v>0</v>
      </c>
      <c r="T8" s="46">
        <f t="array" ref="T8">IF(SUMIF(Производство!$A$104:$A$145,Технологи!$B8,Производство!Q$104:Q$145)&gt;0,SUMIF(Производство!$A$104:$A$145,Технологи!$B8,Производство!Q$104:Q$145)*$F8+$G8,0)</f>
        <v>0</v>
      </c>
    </row>
    <row r="9" spans="1:20" x14ac:dyDescent="0.25">
      <c r="A9" s="34" t="s">
        <v>377</v>
      </c>
      <c r="B9" s="13" t="s">
        <v>53</v>
      </c>
      <c r="C9" s="19" t="s">
        <v>15</v>
      </c>
      <c r="D9" s="14">
        <v>7038</v>
      </c>
      <c r="E9" s="20"/>
      <c r="F9" s="24">
        <v>4.2510393311036792E-4</v>
      </c>
      <c r="G9" s="24">
        <v>3.0839623188405791E-2</v>
      </c>
      <c r="H9" s="23">
        <f t="shared" si="0"/>
        <v>0.42510393311036793</v>
      </c>
      <c r="I9" s="46">
        <f t="array" ref="I9">IF(SUMIF(Производство!$A$104:$A$145,Технологи!$B9,Производство!F$104:F$145)&gt;0,SUMIF(Производство!$A$104:$A$145,Технологи!$B9,Производство!F$104:F$145)*$F9+$G9,0)</f>
        <v>8.8883544855322718</v>
      </c>
      <c r="J9" s="46">
        <f t="array" ref="J9">IF(SUMIF(Производство!$A$104:$A$145,Технологи!$B9,Производство!G$104:G$145)&gt;0,SUMIF(Производство!$A$104:$A$145,Технологи!$B9,Производство!G$104:G$145)*$F9+$G9,0)</f>
        <v>0.86234291635228544</v>
      </c>
      <c r="K9" s="46">
        <f t="array" ref="K9">IF(SUMIF(Производство!$A$104:$A$145,Технологи!$B9,Производство!H$104:H$145)&gt;0,SUMIF(Производство!$A$104:$A$145,Технологи!$B9,Производство!H$104:H$145)*$F9+$G9,0)</f>
        <v>0</v>
      </c>
      <c r="L9" s="46">
        <f t="array" ref="L9">IF(SUMIF(Производство!$A$104:$A$145,Технологи!$B9,Производство!I$104:I$145)&gt;0,SUMIF(Производство!$A$104:$A$145,Технологи!$B9,Производство!I$104:I$145)*$F9+$G9,0)</f>
        <v>5.2851242364325532</v>
      </c>
      <c r="M9" s="46">
        <f t="array" ref="M9">IF(SUMIF(Производство!$A$104:$A$145,Технологи!$B9,Производство!J$104:J$145)&gt;0,SUMIF(Производство!$A$104:$A$145,Технологи!$B9,Производство!J$104:J$145)*$F9+$G9,0)</f>
        <v>0</v>
      </c>
      <c r="N9" s="46">
        <f t="array" ref="N9">IF(SUMIF(Производство!$A$104:$A$145,Технологи!$B9,Производство!K$104:K$145)&gt;0,SUMIF(Производство!$A$104:$A$145,Технологи!$B9,Производство!K$104:K$145)*$F9+$G9,0)</f>
        <v>0</v>
      </c>
      <c r="O9" s="46">
        <f t="array" ref="O9">IF(SUMIF(Производство!$A$104:$A$145,Технологи!$B9,Производство!L$104:L$145)&gt;0,SUMIF(Производство!$A$104:$A$145,Технологи!$B9,Производство!L$104:L$145)*$F9+$G9,0)</f>
        <v>0</v>
      </c>
      <c r="P9" s="46">
        <f t="array" ref="P9">IF(SUMIF(Производство!$A$104:$A$145,Технологи!$B9,Производство!M$104:M$145)&gt;0,SUMIF(Производство!$A$104:$A$145,Технологи!$B9,Производство!M$104:M$145)*$F9+$G9,0)</f>
        <v>0</v>
      </c>
      <c r="Q9" s="46">
        <f t="array" ref="Q9">IF(SUMIF(Производство!$A$104:$A$145,Технологи!$B9,Производство!N$104:N$145)&gt;0,SUMIF(Производство!$A$104:$A$145,Технологи!$B9,Производство!N$104:N$145)*$F9+$G9,0)</f>
        <v>0</v>
      </c>
      <c r="R9" s="46">
        <f t="array" ref="R9">IF(SUMIF(Производство!$A$104:$A$145,Технологи!$B9,Производство!O$104:O$145)&gt;0,SUMIF(Производство!$A$104:$A$145,Технологи!$B9,Производство!O$104:O$145)*$F9+$G9,0)</f>
        <v>0</v>
      </c>
      <c r="S9" s="46">
        <f t="array" ref="S9">IF(SUMIF(Производство!$A$104:$A$145,Технологи!$B9,Производство!P$104:P$145)&gt;0,SUMIF(Производство!$A$104:$A$145,Технологи!$B9,Производство!P$104:P$145)*$F9+$G9,0)</f>
        <v>0</v>
      </c>
      <c r="T9" s="46">
        <f t="array" ref="T9">IF(SUMIF(Производство!$A$104:$A$145,Технологи!$B9,Производство!Q$104:Q$145)&gt;0,SUMIF(Производство!$A$104:$A$145,Технологи!$B9,Производство!Q$104:Q$145)*$F9+$G9,0)</f>
        <v>0</v>
      </c>
    </row>
    <row r="10" spans="1:20" x14ac:dyDescent="0.25">
      <c r="A10" s="34" t="s">
        <v>377</v>
      </c>
      <c r="B10" s="13" t="s">
        <v>53</v>
      </c>
      <c r="C10" s="19" t="s">
        <v>16</v>
      </c>
      <c r="D10" s="14">
        <v>7038</v>
      </c>
      <c r="E10" s="20"/>
      <c r="F10" s="24">
        <v>5.639992775919732E-3</v>
      </c>
      <c r="G10" s="24">
        <v>0.41119497584541065</v>
      </c>
      <c r="H10" s="23">
        <f t="shared" si="0"/>
        <v>5.6399927759197324</v>
      </c>
      <c r="I10" s="46">
        <f t="array" ref="I10">IF(SUMIF(Производство!$A$104:$A$145,Технологи!$B10,Производство!F$104:F$145)&gt;0,SUMIF(Производство!$A$104:$A$145,Технологи!$B10,Производство!F$104:F$145)*$F10+$G10,0)</f>
        <v>117.92673869407093</v>
      </c>
      <c r="J10" s="46">
        <f t="array" ref="J10">IF(SUMIF(Производство!$A$104:$A$145,Технологи!$B10,Производство!G$104:G$145)&gt;0,SUMIF(Производство!$A$104:$A$145,Технологи!$B10,Производство!G$104:G$145)*$F10+$G10,0)</f>
        <v>11.443020845544405</v>
      </c>
      <c r="K10" s="46">
        <f t="array" ref="K10">IF(SUMIF(Производство!$A$104:$A$145,Технологи!$B10,Производство!H$104:H$145)&gt;0,SUMIF(Производство!$A$104:$A$145,Технологи!$B10,Производство!H$104:H$145)*$F10+$G10,0)</f>
        <v>0</v>
      </c>
      <c r="L10" s="46">
        <f t="array" ref="L10">IF(SUMIF(Производство!$A$104:$A$145,Технологи!$B10,Производство!I$104:I$145)&gt;0,SUMIF(Производство!$A$104:$A$145,Технологи!$B10,Производство!I$104:I$145)*$F10+$G10,0)</f>
        <v>70.121505686213297</v>
      </c>
      <c r="M10" s="46">
        <f t="array" ref="M10">IF(SUMIF(Производство!$A$104:$A$145,Технологи!$B10,Производство!J$104:J$145)&gt;0,SUMIF(Производство!$A$104:$A$145,Технологи!$B10,Производство!J$104:J$145)*$F10+$G10,0)</f>
        <v>0</v>
      </c>
      <c r="N10" s="46">
        <f t="array" ref="N10">IF(SUMIF(Производство!$A$104:$A$145,Технологи!$B10,Производство!K$104:K$145)&gt;0,SUMIF(Производство!$A$104:$A$145,Технологи!$B10,Производство!K$104:K$145)*$F10+$G10,0)</f>
        <v>0</v>
      </c>
      <c r="O10" s="46">
        <f t="array" ref="O10">IF(SUMIF(Производство!$A$104:$A$145,Технологи!$B10,Производство!L$104:L$145)&gt;0,SUMIF(Производство!$A$104:$A$145,Технологи!$B10,Производство!L$104:L$145)*$F10+$G10,0)</f>
        <v>0</v>
      </c>
      <c r="P10" s="46">
        <f t="array" ref="P10">IF(SUMIF(Производство!$A$104:$A$145,Технологи!$B10,Производство!M$104:M$145)&gt;0,SUMIF(Производство!$A$104:$A$145,Технологи!$B10,Производство!M$104:M$145)*$F10+$G10,0)</f>
        <v>0</v>
      </c>
      <c r="Q10" s="46">
        <f t="array" ref="Q10">IF(SUMIF(Производство!$A$104:$A$145,Технологи!$B10,Производство!N$104:N$145)&gt;0,SUMIF(Производство!$A$104:$A$145,Технологи!$B10,Производство!N$104:N$145)*$F10+$G10,0)</f>
        <v>0</v>
      </c>
      <c r="R10" s="46">
        <f t="array" ref="R10">IF(SUMIF(Производство!$A$104:$A$145,Технологи!$B10,Производство!O$104:O$145)&gt;0,SUMIF(Производство!$A$104:$A$145,Технологи!$B10,Производство!O$104:O$145)*$F10+$G10,0)</f>
        <v>0</v>
      </c>
      <c r="S10" s="46">
        <f t="array" ref="S10">IF(SUMIF(Производство!$A$104:$A$145,Технологи!$B10,Производство!P$104:P$145)&gt;0,SUMIF(Производство!$A$104:$A$145,Технологи!$B10,Производство!P$104:P$145)*$F10+$G10,0)</f>
        <v>0</v>
      </c>
      <c r="T10" s="46">
        <f t="array" ref="T10">IF(SUMIF(Производство!$A$104:$A$145,Технологи!$B10,Производство!Q$104:Q$145)&gt;0,SUMIF(Производство!$A$104:$A$145,Технологи!$B10,Производство!Q$104:Q$145)*$F10+$G10,0)</f>
        <v>0</v>
      </c>
    </row>
    <row r="11" spans="1:20" x14ac:dyDescent="0.25">
      <c r="A11" s="34" t="s">
        <v>377</v>
      </c>
      <c r="B11" s="13" t="s">
        <v>53</v>
      </c>
      <c r="C11" s="19" t="s">
        <v>17</v>
      </c>
      <c r="D11" s="14">
        <v>7038</v>
      </c>
      <c r="E11" s="20"/>
      <c r="F11" s="24">
        <v>3.1328616588628764E-3</v>
      </c>
      <c r="G11" s="24">
        <v>0.22615723671497584</v>
      </c>
      <c r="H11" s="23">
        <f t="shared" si="0"/>
        <v>3.1328616588628764</v>
      </c>
      <c r="I11" s="46">
        <f t="array" ref="I11">IF(SUMIF(Производство!$A$104:$A$145,Технологи!$B11,Производство!F$104:F$145)&gt;0,SUMIF(Производство!$A$104:$A$145,Технологи!$B11,Производство!F$104:F$145)*$F11+$G11,0)</f>
        <v>65.502826172734302</v>
      </c>
      <c r="J11" s="46">
        <f t="array" ref="J11">IF(SUMIF(Производство!$A$104:$A$145,Технологи!$B11,Производство!G$104:G$145)&gt;0,SUMIF(Производство!$A$104:$A$145,Технологи!$B11,Производство!G$104:G$145)*$F11+$G11,0)</f>
        <v>6.3540346414507622</v>
      </c>
      <c r="K11" s="46">
        <f t="array" ref="K11">IF(SUMIF(Производство!$A$104:$A$145,Технологи!$B11,Производство!H$104:H$145)&gt;0,SUMIF(Производство!$A$104:$A$145,Технологи!$B11,Производство!H$104:H$145)*$F11+$G11,0)</f>
        <v>0</v>
      </c>
      <c r="L11" s="46">
        <f t="array" ref="L11">IF(SUMIF(Производство!$A$104:$A$145,Технологи!$B11,Производство!I$104:I$145)&gt;0,SUMIF(Производство!$A$104:$A$145,Технологи!$B11,Производство!I$104:I$145)*$F11+$G11,0)</f>
        <v>38.948327340260128</v>
      </c>
      <c r="M11" s="46">
        <f t="array" ref="M11">IF(SUMIF(Производство!$A$104:$A$145,Технологи!$B11,Производство!J$104:J$145)&gt;0,SUMIF(Производство!$A$104:$A$145,Технологи!$B11,Производство!J$104:J$145)*$F11+$G11,0)</f>
        <v>0</v>
      </c>
      <c r="N11" s="46">
        <f t="array" ref="N11">IF(SUMIF(Производство!$A$104:$A$145,Технологи!$B11,Производство!K$104:K$145)&gt;0,SUMIF(Производство!$A$104:$A$145,Технологи!$B11,Производство!K$104:K$145)*$F11+$G11,0)</f>
        <v>0</v>
      </c>
      <c r="O11" s="46">
        <f t="array" ref="O11">IF(SUMIF(Производство!$A$104:$A$145,Технологи!$B11,Производство!L$104:L$145)&gt;0,SUMIF(Производство!$A$104:$A$145,Технологи!$B11,Производство!L$104:L$145)*$F11+$G11,0)</f>
        <v>0</v>
      </c>
      <c r="P11" s="46">
        <f t="array" ref="P11">IF(SUMIF(Производство!$A$104:$A$145,Технологи!$B11,Производство!M$104:M$145)&gt;0,SUMIF(Производство!$A$104:$A$145,Технологи!$B11,Производство!M$104:M$145)*$F11+$G11,0)</f>
        <v>0</v>
      </c>
      <c r="Q11" s="46">
        <f t="array" ref="Q11">IF(SUMIF(Производство!$A$104:$A$145,Технологи!$B11,Производство!N$104:N$145)&gt;0,SUMIF(Производство!$A$104:$A$145,Технологи!$B11,Производство!N$104:N$145)*$F11+$G11,0)</f>
        <v>0</v>
      </c>
      <c r="R11" s="46">
        <f t="array" ref="R11">IF(SUMIF(Производство!$A$104:$A$145,Технологи!$B11,Производство!O$104:O$145)&gt;0,SUMIF(Производство!$A$104:$A$145,Технологи!$B11,Производство!O$104:O$145)*$F11+$G11,0)</f>
        <v>0</v>
      </c>
      <c r="S11" s="46">
        <f t="array" ref="S11">IF(SUMIF(Производство!$A$104:$A$145,Технологи!$B11,Производство!P$104:P$145)&gt;0,SUMIF(Производство!$A$104:$A$145,Технологи!$B11,Производство!P$104:P$145)*$F11+$G11,0)</f>
        <v>0</v>
      </c>
      <c r="T11" s="46">
        <f t="array" ref="T11">IF(SUMIF(Производство!$A$104:$A$145,Технологи!$B11,Производство!Q$104:Q$145)&gt;0,SUMIF(Производство!$A$104:$A$145,Технологи!$B11,Производство!Q$104:Q$145)*$F11+$G11,0)</f>
        <v>0</v>
      </c>
    </row>
    <row r="12" spans="1:20" x14ac:dyDescent="0.25">
      <c r="A12" s="34" t="s">
        <v>377</v>
      </c>
      <c r="B12" s="13" t="s">
        <v>53</v>
      </c>
      <c r="C12" s="19" t="s">
        <v>18</v>
      </c>
      <c r="D12" s="14">
        <v>7038</v>
      </c>
      <c r="E12" s="20"/>
      <c r="F12" s="24">
        <v>2.8143844548494984E-3</v>
      </c>
      <c r="G12" s="24">
        <v>0.20559748792270532</v>
      </c>
      <c r="H12" s="23">
        <f t="shared" si="0"/>
        <v>2.8143844548494985</v>
      </c>
      <c r="I12" s="46">
        <f t="array" ref="I12">IF(SUMIF(Производство!$A$104:$A$145,Технологи!$B12,Производство!F$104:F$145)&gt;0,SUMIF(Производство!$A$104:$A$145,Технологи!$B12,Производство!F$104:F$145)*$F12+$G12,0)</f>
        <v>58.846438457763611</v>
      </c>
      <c r="J12" s="46">
        <f t="array" ref="J12">IF(SUMIF(Производство!$A$104:$A$145,Технологи!$B12,Производство!G$104:G$145)&gt;0,SUMIF(Производство!$A$104:$A$145,Технологи!$B12,Производство!G$104:G$145)*$F12+$G12,0)</f>
        <v>5.7105334816083237</v>
      </c>
      <c r="K12" s="46">
        <f t="array" ref="K12">IF(SUMIF(Производство!$A$104:$A$145,Технологи!$B12,Производство!H$104:H$145)&gt;0,SUMIF(Производство!$A$104:$A$145,Технологи!$B12,Производство!H$104:H$145)*$F12+$G12,0)</f>
        <v>0</v>
      </c>
      <c r="L12" s="46">
        <f t="array" ref="L12">IF(SUMIF(Производство!$A$104:$A$145,Технологи!$B12,Производство!I$104:I$145)&gt;0,SUMIF(Производство!$A$104:$A$145,Технологи!$B12,Производство!I$104:I$145)*$F12+$G12,0)</f>
        <v>34.991389349862501</v>
      </c>
      <c r="M12" s="46">
        <f t="array" ref="M12">IF(SUMIF(Производство!$A$104:$A$145,Технологи!$B12,Производство!J$104:J$145)&gt;0,SUMIF(Производство!$A$104:$A$145,Технологи!$B12,Производство!J$104:J$145)*$F12+$G12,0)</f>
        <v>0</v>
      </c>
      <c r="N12" s="46">
        <f t="array" ref="N12">IF(SUMIF(Производство!$A$104:$A$145,Технологи!$B12,Производство!K$104:K$145)&gt;0,SUMIF(Производство!$A$104:$A$145,Технологи!$B12,Производство!K$104:K$145)*$F12+$G12,0)</f>
        <v>0</v>
      </c>
      <c r="O12" s="46">
        <f t="array" ref="O12">IF(SUMIF(Производство!$A$104:$A$145,Технологи!$B12,Производство!L$104:L$145)&gt;0,SUMIF(Производство!$A$104:$A$145,Технологи!$B12,Производство!L$104:L$145)*$F12+$G12,0)</f>
        <v>0</v>
      </c>
      <c r="P12" s="46">
        <f t="array" ref="P12">IF(SUMIF(Производство!$A$104:$A$145,Технологи!$B12,Производство!M$104:M$145)&gt;0,SUMIF(Производство!$A$104:$A$145,Технологи!$B12,Производство!M$104:M$145)*$F12+$G12,0)</f>
        <v>0</v>
      </c>
      <c r="Q12" s="46">
        <f t="array" ref="Q12">IF(SUMIF(Производство!$A$104:$A$145,Технологи!$B12,Производство!N$104:N$145)&gt;0,SUMIF(Производство!$A$104:$A$145,Технологи!$B12,Производство!N$104:N$145)*$F12+$G12,0)</f>
        <v>0</v>
      </c>
      <c r="R12" s="46">
        <f t="array" ref="R12">IF(SUMIF(Производство!$A$104:$A$145,Технологи!$B12,Производство!O$104:O$145)&gt;0,SUMIF(Производство!$A$104:$A$145,Технологи!$B12,Производство!O$104:O$145)*$F12+$G12,0)</f>
        <v>0</v>
      </c>
      <c r="S12" s="46">
        <f t="array" ref="S12">IF(SUMIF(Производство!$A$104:$A$145,Технологи!$B12,Производство!P$104:P$145)&gt;0,SUMIF(Производство!$A$104:$A$145,Технологи!$B12,Производство!P$104:P$145)*$F12+$G12,0)</f>
        <v>0</v>
      </c>
      <c r="T12" s="46">
        <f t="array" ref="T12">IF(SUMIF(Производство!$A$104:$A$145,Технологи!$B12,Производство!Q$104:Q$145)&gt;0,SUMIF(Производство!$A$104:$A$145,Технологи!$B12,Производство!Q$104:Q$145)*$F12+$G12,0)</f>
        <v>0</v>
      </c>
    </row>
    <row r="13" spans="1:20" x14ac:dyDescent="0.25">
      <c r="A13" s="34" t="s">
        <v>377</v>
      </c>
      <c r="B13" s="13" t="s">
        <v>53</v>
      </c>
      <c r="C13" s="19" t="s">
        <v>19</v>
      </c>
      <c r="D13" s="14">
        <v>7038</v>
      </c>
      <c r="E13" s="20"/>
      <c r="F13" s="24">
        <v>0.65187720000000016</v>
      </c>
      <c r="G13" s="24">
        <v>22.815702000000005</v>
      </c>
      <c r="H13" s="23">
        <f t="shared" si="0"/>
        <v>651.87720000000013</v>
      </c>
      <c r="I13" s="46">
        <f t="array" ref="I13">IF(SUMIF(Производство!$A$104:$A$145,Технологи!$B13,Производство!F$104:F$145)&gt;0,SUMIF(Производство!$A$104:$A$145,Технологи!$B13,Производство!F$104:F$145)*$F13+$G13,0)</f>
        <v>13605.404658955202</v>
      </c>
      <c r="J13" s="46">
        <f t="array" ref="J13">IF(SUMIF(Производство!$A$104:$A$145,Технологи!$B13,Производство!G$104:G$145)&gt;0,SUMIF(Производство!$A$104:$A$145,Технологи!$B13,Производство!G$104:G$145)*$F13+$G13,0)</f>
        <v>1297.8875052000003</v>
      </c>
      <c r="K13" s="46">
        <f t="array" ref="K13">IF(SUMIF(Производство!$A$104:$A$145,Технологи!$B13,Производство!H$104:H$145)&gt;0,SUMIF(Производство!$A$104:$A$145,Технологи!$B13,Производство!H$104:H$145)*$F13+$G13,0)</f>
        <v>0</v>
      </c>
      <c r="L13" s="46">
        <f t="array" ref="L13">IF(SUMIF(Производство!$A$104:$A$145,Технологи!$B13,Производство!I$104:I$145)&gt;0,SUMIF(Производство!$A$104:$A$145,Технологи!$B13,Производство!I$104:I$145)*$F13+$G13,0)</f>
        <v>8080.0178940000014</v>
      </c>
      <c r="M13" s="46">
        <f t="array" ref="M13">IF(SUMIF(Производство!$A$104:$A$145,Технологи!$B13,Производство!J$104:J$145)&gt;0,SUMIF(Производство!$A$104:$A$145,Технологи!$B13,Производство!J$104:J$145)*$F13+$G13,0)</f>
        <v>0</v>
      </c>
      <c r="N13" s="46">
        <f t="array" ref="N13">IF(SUMIF(Производство!$A$104:$A$145,Технологи!$B13,Производство!K$104:K$145)&gt;0,SUMIF(Производство!$A$104:$A$145,Технологи!$B13,Производство!K$104:K$145)*$F13+$G13,0)</f>
        <v>0</v>
      </c>
      <c r="O13" s="46">
        <f t="array" ref="O13">IF(SUMIF(Производство!$A$104:$A$145,Технологи!$B13,Производство!L$104:L$145)&gt;0,SUMIF(Производство!$A$104:$A$145,Технологи!$B13,Производство!L$104:L$145)*$F13+$G13,0)</f>
        <v>0</v>
      </c>
      <c r="P13" s="46">
        <f t="array" ref="P13">IF(SUMIF(Производство!$A$104:$A$145,Технологи!$B13,Производство!M$104:M$145)&gt;0,SUMIF(Производство!$A$104:$A$145,Технологи!$B13,Производство!M$104:M$145)*$F13+$G13,0)</f>
        <v>0</v>
      </c>
      <c r="Q13" s="46">
        <f t="array" ref="Q13">IF(SUMIF(Производство!$A$104:$A$145,Технологи!$B13,Производство!N$104:N$145)&gt;0,SUMIF(Производство!$A$104:$A$145,Технологи!$B13,Производство!N$104:N$145)*$F13+$G13,0)</f>
        <v>0</v>
      </c>
      <c r="R13" s="46">
        <f t="array" ref="R13">IF(SUMIF(Производство!$A$104:$A$145,Технологи!$B13,Производство!O$104:O$145)&gt;0,SUMIF(Производство!$A$104:$A$145,Технологи!$B13,Производство!O$104:O$145)*$F13+$G13,0)</f>
        <v>0</v>
      </c>
      <c r="S13" s="46">
        <f t="array" ref="S13">IF(SUMIF(Производство!$A$104:$A$145,Технологи!$B13,Производство!P$104:P$145)&gt;0,SUMIF(Производство!$A$104:$A$145,Технологи!$B13,Производство!P$104:P$145)*$F13+$G13,0)</f>
        <v>0</v>
      </c>
      <c r="T13" s="46">
        <f t="array" ref="T13">IF(SUMIF(Производство!$A$104:$A$145,Технологи!$B13,Производство!Q$104:Q$145)&gt;0,SUMIF(Производство!$A$104:$A$145,Технологи!$B13,Производство!Q$104:Q$145)*$F13+$G13,0)</f>
        <v>0</v>
      </c>
    </row>
    <row r="14" spans="1:20" x14ac:dyDescent="0.25">
      <c r="A14" s="34" t="s">
        <v>377</v>
      </c>
      <c r="B14" s="13" t="s">
        <v>53</v>
      </c>
      <c r="C14" s="19" t="s">
        <v>20</v>
      </c>
      <c r="D14" s="14">
        <v>7038</v>
      </c>
      <c r="E14" s="20"/>
      <c r="F14" s="24">
        <v>3.5999999999999997E-2</v>
      </c>
      <c r="G14" s="24">
        <v>0.54</v>
      </c>
      <c r="H14" s="23">
        <f t="shared" si="0"/>
        <v>36</v>
      </c>
      <c r="I14" s="46">
        <f t="array" ref="I14">IF(SUMIF(Производство!$A$104:$A$145,Технологи!$B14,Производство!F$104:F$145)&gt;0,SUMIF(Производство!$A$104:$A$145,Технологи!$B14,Производство!F$104:F$145)*$F14+$G14,0)</f>
        <v>750.64017599999988</v>
      </c>
      <c r="J14" s="46">
        <f t="array" ref="J14">IF(SUMIF(Производство!$A$104:$A$145,Технологи!$B14,Производство!G$104:G$145)&gt;0,SUMIF(Производство!$A$104:$A$145,Технологи!$B14,Производство!G$104:G$145)*$F14+$G14,0)</f>
        <v>70.956000000000003</v>
      </c>
      <c r="K14" s="46">
        <f t="array" ref="K14">IF(SUMIF(Производство!$A$104:$A$145,Технологи!$B14,Производство!H$104:H$145)&gt;0,SUMIF(Производство!$A$104:$A$145,Технологи!$B14,Производство!H$104:H$145)*$F14+$G14,0)</f>
        <v>0</v>
      </c>
      <c r="L14" s="46">
        <f t="array" ref="L14">IF(SUMIF(Производство!$A$104:$A$145,Технологи!$B14,Производство!I$104:I$145)&gt;0,SUMIF(Производство!$A$104:$A$145,Технологи!$B14,Производство!I$104:I$145)*$F14+$G14,0)</f>
        <v>445.5</v>
      </c>
      <c r="M14" s="46">
        <f t="array" ref="M14">IF(SUMIF(Производство!$A$104:$A$145,Технологи!$B14,Производство!J$104:J$145)&gt;0,SUMIF(Производство!$A$104:$A$145,Технологи!$B14,Производство!J$104:J$145)*$F14+$G14,0)</f>
        <v>0</v>
      </c>
      <c r="N14" s="46">
        <f t="array" ref="N14">IF(SUMIF(Производство!$A$104:$A$145,Технологи!$B14,Производство!K$104:K$145)&gt;0,SUMIF(Производство!$A$104:$A$145,Технологи!$B14,Производство!K$104:K$145)*$F14+$G14,0)</f>
        <v>0</v>
      </c>
      <c r="O14" s="46">
        <f t="array" ref="O14">IF(SUMIF(Производство!$A$104:$A$145,Технологи!$B14,Производство!L$104:L$145)&gt;0,SUMIF(Производство!$A$104:$A$145,Технологи!$B14,Производство!L$104:L$145)*$F14+$G14,0)</f>
        <v>0</v>
      </c>
      <c r="P14" s="46">
        <f t="array" ref="P14">IF(SUMIF(Производство!$A$104:$A$145,Технологи!$B14,Производство!M$104:M$145)&gt;0,SUMIF(Производство!$A$104:$A$145,Технологи!$B14,Производство!M$104:M$145)*$F14+$G14,0)</f>
        <v>0</v>
      </c>
      <c r="Q14" s="46">
        <f t="array" ref="Q14">IF(SUMIF(Производство!$A$104:$A$145,Технологи!$B14,Производство!N$104:N$145)&gt;0,SUMIF(Производство!$A$104:$A$145,Технологи!$B14,Производство!N$104:N$145)*$F14+$G14,0)</f>
        <v>0</v>
      </c>
      <c r="R14" s="46">
        <f t="array" ref="R14">IF(SUMIF(Производство!$A$104:$A$145,Технологи!$B14,Производство!O$104:O$145)&gt;0,SUMIF(Производство!$A$104:$A$145,Технологи!$B14,Производство!O$104:O$145)*$F14+$G14,0)</f>
        <v>0</v>
      </c>
      <c r="S14" s="46">
        <f t="array" ref="S14">IF(SUMIF(Производство!$A$104:$A$145,Технологи!$B14,Производство!P$104:P$145)&gt;0,SUMIF(Производство!$A$104:$A$145,Технологи!$B14,Производство!P$104:P$145)*$F14+$G14,0)</f>
        <v>0</v>
      </c>
      <c r="T14" s="46">
        <f t="array" ref="T14">IF(SUMIF(Производство!$A$104:$A$145,Технологи!$B14,Производство!Q$104:Q$145)&gt;0,SUMIF(Производство!$A$104:$A$145,Технологи!$B14,Производство!Q$104:Q$145)*$F14+$G14,0)</f>
        <v>0</v>
      </c>
    </row>
    <row r="15" spans="1:20" x14ac:dyDescent="0.25">
      <c r="A15" s="34" t="s">
        <v>377</v>
      </c>
      <c r="B15" s="13" t="s">
        <v>53</v>
      </c>
      <c r="C15" s="19" t="s">
        <v>21</v>
      </c>
      <c r="D15" s="14">
        <v>7038</v>
      </c>
      <c r="E15" s="20"/>
      <c r="F15" s="24">
        <v>0</v>
      </c>
      <c r="G15" s="24">
        <v>0</v>
      </c>
      <c r="H15" s="23">
        <f t="shared" si="0"/>
        <v>0</v>
      </c>
      <c r="I15" s="46">
        <f t="array" ref="I15">IF(SUMIF(Производство!$A$104:$A$145,Технологи!$B15,Производство!F$104:F$145)&gt;0,SUMIF(Производство!$A$104:$A$145,Технологи!$B15,Производство!F$104:F$145)*$F15+$G15,0)</f>
        <v>0</v>
      </c>
      <c r="J15" s="46">
        <f t="array" ref="J15">IF(SUMIF(Производство!$A$104:$A$145,Технологи!$B15,Производство!G$104:G$145)&gt;0,SUMIF(Производство!$A$104:$A$145,Технологи!$B15,Производство!G$104:G$145)*$F15+$G15,0)</f>
        <v>0</v>
      </c>
      <c r="K15" s="46">
        <f t="array" ref="K15">IF(SUMIF(Производство!$A$104:$A$145,Технологи!$B15,Производство!H$104:H$145)&gt;0,SUMIF(Производство!$A$104:$A$145,Технологи!$B15,Производство!H$104:H$145)*$F15+$G15,0)</f>
        <v>0</v>
      </c>
      <c r="L15" s="46">
        <f t="array" ref="L15">IF(SUMIF(Производство!$A$104:$A$145,Технологи!$B15,Производство!I$104:I$145)&gt;0,SUMIF(Производство!$A$104:$A$145,Технологи!$B15,Производство!I$104:I$145)*$F15+$G15,0)</f>
        <v>0</v>
      </c>
      <c r="M15" s="46">
        <f t="array" ref="M15">IF(SUMIF(Производство!$A$104:$A$145,Технологи!$B15,Производство!J$104:J$145)&gt;0,SUMIF(Производство!$A$104:$A$145,Технологи!$B15,Производство!J$104:J$145)*$F15+$G15,0)</f>
        <v>0</v>
      </c>
      <c r="N15" s="46">
        <f t="array" ref="N15">IF(SUMIF(Производство!$A$104:$A$145,Технологи!$B15,Производство!K$104:K$145)&gt;0,SUMIF(Производство!$A$104:$A$145,Технологи!$B15,Производство!K$104:K$145)*$F15+$G15,0)</f>
        <v>0</v>
      </c>
      <c r="O15" s="46">
        <f t="array" ref="O15">IF(SUMIF(Производство!$A$104:$A$145,Технологи!$B15,Производство!L$104:L$145)&gt;0,SUMIF(Производство!$A$104:$A$145,Технологи!$B15,Производство!L$104:L$145)*$F15+$G15,0)</f>
        <v>0</v>
      </c>
      <c r="P15" s="46">
        <f t="array" ref="P15">IF(SUMIF(Производство!$A$104:$A$145,Технологи!$B15,Производство!M$104:M$145)&gt;0,SUMIF(Производство!$A$104:$A$145,Технологи!$B15,Производство!M$104:M$145)*$F15+$G15,0)</f>
        <v>0</v>
      </c>
      <c r="Q15" s="46">
        <f t="array" ref="Q15">IF(SUMIF(Производство!$A$104:$A$145,Технологи!$B15,Производство!N$104:N$145)&gt;0,SUMIF(Производство!$A$104:$A$145,Технологи!$B15,Производство!N$104:N$145)*$F15+$G15,0)</f>
        <v>0</v>
      </c>
      <c r="R15" s="46">
        <f t="array" ref="R15">IF(SUMIF(Производство!$A$104:$A$145,Технологи!$B15,Производство!O$104:O$145)&gt;0,SUMIF(Производство!$A$104:$A$145,Технологи!$B15,Производство!O$104:O$145)*$F15+$G15,0)</f>
        <v>0</v>
      </c>
      <c r="S15" s="46">
        <f t="array" ref="S15">IF(SUMIF(Производство!$A$104:$A$145,Технологи!$B15,Производство!P$104:P$145)&gt;0,SUMIF(Производство!$A$104:$A$145,Технологи!$B15,Производство!P$104:P$145)*$F15+$G15,0)</f>
        <v>0</v>
      </c>
      <c r="T15" s="46">
        <f t="array" ref="T15">IF(SUMIF(Производство!$A$104:$A$145,Технологи!$B15,Производство!Q$104:Q$145)&gt;0,SUMIF(Производство!$A$104:$A$145,Технологи!$B15,Производство!Q$104:Q$145)*$F15+$G15,0)</f>
        <v>0</v>
      </c>
    </row>
    <row r="16" spans="1:20" x14ac:dyDescent="0.25">
      <c r="A16" s="34" t="s">
        <v>377</v>
      </c>
      <c r="B16" s="13" t="s">
        <v>53</v>
      </c>
      <c r="C16" s="19" t="s">
        <v>22</v>
      </c>
      <c r="D16" s="14">
        <v>7038</v>
      </c>
      <c r="E16" s="20"/>
      <c r="F16" s="24">
        <v>4.4999999999999998E-2</v>
      </c>
      <c r="G16" s="24">
        <v>0.67500000000000004</v>
      </c>
      <c r="H16" s="23">
        <f t="shared" si="0"/>
        <v>45</v>
      </c>
      <c r="I16" s="46">
        <f t="array" ref="I16">IF(SUMIF(Производство!$A$104:$A$145,Технологи!$B16,Производство!F$104:F$145)&gt;0,SUMIF(Производство!$A$104:$A$145,Технологи!$B16,Производство!F$104:F$145)*$F16+$G16,0)</f>
        <v>938.30021999999985</v>
      </c>
      <c r="J16" s="46">
        <f t="array" ref="J16">IF(SUMIF(Производство!$A$104:$A$145,Технологи!$B16,Производство!G$104:G$145)&gt;0,SUMIF(Производство!$A$104:$A$145,Технологи!$B16,Производство!G$104:G$145)*$F16+$G16,0)</f>
        <v>88.694999999999993</v>
      </c>
      <c r="K16" s="46">
        <f t="array" ref="K16">IF(SUMIF(Производство!$A$104:$A$145,Технологи!$B16,Производство!H$104:H$145)&gt;0,SUMIF(Производство!$A$104:$A$145,Технологи!$B16,Производство!H$104:H$145)*$F16+$G16,0)</f>
        <v>0</v>
      </c>
      <c r="L16" s="46">
        <f t="array" ref="L16">IF(SUMIF(Производство!$A$104:$A$145,Технологи!$B16,Производство!I$104:I$145)&gt;0,SUMIF(Производство!$A$104:$A$145,Технологи!$B16,Производство!I$104:I$145)*$F16+$G16,0)</f>
        <v>556.87499999999989</v>
      </c>
      <c r="M16" s="46">
        <f t="array" ref="M16">IF(SUMIF(Производство!$A$104:$A$145,Технологи!$B16,Производство!J$104:J$145)&gt;0,SUMIF(Производство!$A$104:$A$145,Технологи!$B16,Производство!J$104:J$145)*$F16+$G16,0)</f>
        <v>0</v>
      </c>
      <c r="N16" s="46">
        <f t="array" ref="N16">IF(SUMIF(Производство!$A$104:$A$145,Технологи!$B16,Производство!K$104:K$145)&gt;0,SUMIF(Производство!$A$104:$A$145,Технологи!$B16,Производство!K$104:K$145)*$F16+$G16,0)</f>
        <v>0</v>
      </c>
      <c r="O16" s="46">
        <f t="array" ref="O16">IF(SUMIF(Производство!$A$104:$A$145,Технологи!$B16,Производство!L$104:L$145)&gt;0,SUMIF(Производство!$A$104:$A$145,Технологи!$B16,Производство!L$104:L$145)*$F16+$G16,0)</f>
        <v>0</v>
      </c>
      <c r="P16" s="46">
        <f t="array" ref="P16">IF(SUMIF(Производство!$A$104:$A$145,Технологи!$B16,Производство!M$104:M$145)&gt;0,SUMIF(Производство!$A$104:$A$145,Технологи!$B16,Производство!M$104:M$145)*$F16+$G16,0)</f>
        <v>0</v>
      </c>
      <c r="Q16" s="46">
        <f t="array" ref="Q16">IF(SUMIF(Производство!$A$104:$A$145,Технологи!$B16,Производство!N$104:N$145)&gt;0,SUMIF(Производство!$A$104:$A$145,Технологи!$B16,Производство!N$104:N$145)*$F16+$G16,0)</f>
        <v>0</v>
      </c>
      <c r="R16" s="46">
        <f t="array" ref="R16">IF(SUMIF(Производство!$A$104:$A$145,Технологи!$B16,Производство!O$104:O$145)&gt;0,SUMIF(Производство!$A$104:$A$145,Технологи!$B16,Производство!O$104:O$145)*$F16+$G16,0)</f>
        <v>0</v>
      </c>
      <c r="S16" s="46">
        <f t="array" ref="S16">IF(SUMIF(Производство!$A$104:$A$145,Технологи!$B16,Производство!P$104:P$145)&gt;0,SUMIF(Производство!$A$104:$A$145,Технологи!$B16,Производство!P$104:P$145)*$F16+$G16,0)</f>
        <v>0</v>
      </c>
      <c r="T16" s="46">
        <f t="array" ref="T16">IF(SUMIF(Производство!$A$104:$A$145,Технологи!$B16,Производство!Q$104:Q$145)&gt;0,SUMIF(Производство!$A$104:$A$145,Технологи!$B16,Производство!Q$104:Q$145)*$F16+$G16,0)</f>
        <v>0</v>
      </c>
    </row>
    <row r="17" spans="1:20" x14ac:dyDescent="0.25">
      <c r="A17" s="34" t="s">
        <v>377</v>
      </c>
      <c r="B17" s="13" t="s">
        <v>53</v>
      </c>
      <c r="C17" s="19" t="s">
        <v>23</v>
      </c>
      <c r="D17" s="14">
        <v>7038</v>
      </c>
      <c r="E17" s="20"/>
      <c r="F17" s="24">
        <v>0</v>
      </c>
      <c r="G17" s="24">
        <v>0</v>
      </c>
      <c r="H17" s="23">
        <f t="shared" si="0"/>
        <v>0</v>
      </c>
      <c r="I17" s="46">
        <f t="array" ref="I17">IF(SUMIF(Производство!$A$104:$A$145,Технологи!$B17,Производство!F$104:F$145)&gt;0,SUMIF(Производство!$A$104:$A$145,Технологи!$B17,Производство!F$104:F$145)*$F17+$G17,0)</f>
        <v>0</v>
      </c>
      <c r="J17" s="46">
        <f t="array" ref="J17">IF(SUMIF(Производство!$A$104:$A$145,Технологи!$B17,Производство!G$104:G$145)&gt;0,SUMIF(Производство!$A$104:$A$145,Технологи!$B17,Производство!G$104:G$145)*$F17+$G17,0)</f>
        <v>0</v>
      </c>
      <c r="K17" s="46">
        <f t="array" ref="K17">IF(SUMIF(Производство!$A$104:$A$145,Технологи!$B17,Производство!H$104:H$145)&gt;0,SUMIF(Производство!$A$104:$A$145,Технологи!$B17,Производство!H$104:H$145)*$F17+$G17,0)</f>
        <v>0</v>
      </c>
      <c r="L17" s="46">
        <f t="array" ref="L17">IF(SUMIF(Производство!$A$104:$A$145,Технологи!$B17,Производство!I$104:I$145)&gt;0,SUMIF(Производство!$A$104:$A$145,Технологи!$B17,Производство!I$104:I$145)*$F17+$G17,0)</f>
        <v>0</v>
      </c>
      <c r="M17" s="46">
        <f t="array" ref="M17">IF(SUMIF(Производство!$A$104:$A$145,Технологи!$B17,Производство!J$104:J$145)&gt;0,SUMIF(Производство!$A$104:$A$145,Технологи!$B17,Производство!J$104:J$145)*$F17+$G17,0)</f>
        <v>0</v>
      </c>
      <c r="N17" s="46">
        <f t="array" ref="N17">IF(SUMIF(Производство!$A$104:$A$145,Технологи!$B17,Производство!K$104:K$145)&gt;0,SUMIF(Производство!$A$104:$A$145,Технологи!$B17,Производство!K$104:K$145)*$F17+$G17,0)</f>
        <v>0</v>
      </c>
      <c r="O17" s="46">
        <f t="array" ref="O17">IF(SUMIF(Производство!$A$104:$A$145,Технологи!$B17,Производство!L$104:L$145)&gt;0,SUMIF(Производство!$A$104:$A$145,Технологи!$B17,Производство!L$104:L$145)*$F17+$G17,0)</f>
        <v>0</v>
      </c>
      <c r="P17" s="46">
        <f t="array" ref="P17">IF(SUMIF(Производство!$A$104:$A$145,Технологи!$B17,Производство!M$104:M$145)&gt;0,SUMIF(Производство!$A$104:$A$145,Технологи!$B17,Производство!M$104:M$145)*$F17+$G17,0)</f>
        <v>0</v>
      </c>
      <c r="Q17" s="46">
        <f t="array" ref="Q17">IF(SUMIF(Производство!$A$104:$A$145,Технологи!$B17,Производство!N$104:N$145)&gt;0,SUMIF(Производство!$A$104:$A$145,Технологи!$B17,Производство!N$104:N$145)*$F17+$G17,0)</f>
        <v>0</v>
      </c>
      <c r="R17" s="46">
        <f t="array" ref="R17">IF(SUMIF(Производство!$A$104:$A$145,Технологи!$B17,Производство!O$104:O$145)&gt;0,SUMIF(Производство!$A$104:$A$145,Технологи!$B17,Производство!O$104:O$145)*$F17+$G17,0)</f>
        <v>0</v>
      </c>
      <c r="S17" s="46">
        <f t="array" ref="S17">IF(SUMIF(Производство!$A$104:$A$145,Технологи!$B17,Производство!P$104:P$145)&gt;0,SUMIF(Производство!$A$104:$A$145,Технологи!$B17,Производство!P$104:P$145)*$F17+$G17,0)</f>
        <v>0</v>
      </c>
      <c r="T17" s="46">
        <f t="array" ref="T17">IF(SUMIF(Производство!$A$104:$A$145,Технологи!$B17,Производство!Q$104:Q$145)&gt;0,SUMIF(Производство!$A$104:$A$145,Технологи!$B17,Производство!Q$104:Q$145)*$F17+$G17,0)</f>
        <v>0</v>
      </c>
    </row>
    <row r="18" spans="1:20" x14ac:dyDescent="0.25">
      <c r="A18" s="34" t="s">
        <v>377</v>
      </c>
      <c r="B18" s="13" t="s">
        <v>33</v>
      </c>
      <c r="C18" s="15" t="s">
        <v>11</v>
      </c>
      <c r="D18" s="14">
        <v>7038</v>
      </c>
      <c r="E18" s="16">
        <v>8.661999999999999</v>
      </c>
      <c r="F18" s="22">
        <f>SUM(F19:F30)</f>
        <v>8.6765592689358648</v>
      </c>
      <c r="G18" s="22">
        <f>SUM(G19:G30)</f>
        <v>447.60095000000007</v>
      </c>
      <c r="H18" s="23">
        <f t="shared" ref="H18:H43" si="1">F18*1000</f>
        <v>8676.5592689358655</v>
      </c>
      <c r="I18" s="46">
        <f t="array" ref="I18">IF(SUMIF(Производство!$A$104:$A$145,Технологи!$B18,Производство!F$104:F$145)&gt;0,SUMIF(Производство!$A$104:$A$145,Технологи!$B18,Производство!F$104:F$145)*$F18+$G18,0)</f>
        <v>0</v>
      </c>
      <c r="J18" s="46">
        <f t="array" ref="J18">IF(SUMIF(Производство!$A$104:$A$145,Технологи!$B18,Производство!G$104:G$145)&gt;0,SUMIF(Производство!$A$104:$A$145,Технологи!$B18,Производство!G$104:G$145)*$F18+$G18,0)</f>
        <v>0</v>
      </c>
      <c r="K18" s="46">
        <f t="array" ref="K18">IF(SUMIF(Производство!$A$104:$A$145,Технологи!$B18,Производство!H$104:H$145)&gt;0,SUMIF(Производство!$A$104:$A$145,Технологи!$B18,Производство!H$104:H$145)*$F18+$G18,0)</f>
        <v>0</v>
      </c>
      <c r="L18" s="46">
        <f t="array" ref="L18">IF(SUMIF(Производство!$A$104:$A$145,Технологи!$B18,Производство!I$104:I$145)&gt;0,SUMIF(Производство!$A$104:$A$145,Технологи!$B18,Производство!I$104:I$145)*$F18+$G18,0)</f>
        <v>655.83837245446057</v>
      </c>
      <c r="M18" s="46">
        <f t="array" ref="M18">IF(SUMIF(Производство!$A$104:$A$145,Технологи!$B18,Производство!J$104:J$145)&gt;0,SUMIF(Производство!$A$104:$A$145,Технологи!$B18,Производство!J$104:J$145)*$F18+$G18,0)</f>
        <v>655.83837245446057</v>
      </c>
      <c r="N18" s="46">
        <f t="array" ref="N18">IF(SUMIF(Производство!$A$104:$A$145,Технологи!$B18,Производство!K$104:K$145)&gt;0,SUMIF(Производство!$A$104:$A$145,Технологи!$B18,Производство!K$104:K$145)*$F18+$G18,0)</f>
        <v>655.83837245446057</v>
      </c>
      <c r="O18" s="46">
        <f t="array" ref="O18">IF(SUMIF(Производство!$A$104:$A$145,Технологи!$B18,Производство!L$104:L$145)&gt;0,SUMIF(Производство!$A$104:$A$145,Технологи!$B18,Производство!L$104:L$145)*$F18+$G18,0)</f>
        <v>655.83837245446057</v>
      </c>
      <c r="P18" s="46">
        <f t="array" ref="P18">IF(SUMIF(Производство!$A$104:$A$145,Технологи!$B18,Производство!M$104:M$145)&gt;0,SUMIF(Производство!$A$104:$A$145,Технологи!$B18,Производство!M$104:M$145)*$F18+$G18,0)</f>
        <v>655.83837245446057</v>
      </c>
      <c r="Q18" s="46">
        <f t="array" ref="Q18">IF(SUMIF(Производство!$A$104:$A$145,Технологи!$B18,Производство!N$104:N$145)&gt;0,SUMIF(Производство!$A$104:$A$145,Технологи!$B18,Производство!N$104:N$145)*$F18+$G18,0)</f>
        <v>655.83837245446057</v>
      </c>
      <c r="R18" s="46">
        <f t="array" ref="R18">IF(SUMIF(Производство!$A$104:$A$145,Технологи!$B18,Производство!O$104:O$145)&gt;0,SUMIF(Производство!$A$104:$A$145,Технологи!$B18,Производство!O$104:O$145)*$F18+$G18,0)</f>
        <v>655.83837245446057</v>
      </c>
      <c r="S18" s="46">
        <f t="array" ref="S18">IF(SUMIF(Производство!$A$104:$A$145,Технологи!$B18,Производство!P$104:P$145)&gt;0,SUMIF(Производство!$A$104:$A$145,Технологи!$B18,Производство!P$104:P$145)*$F18+$G18,0)</f>
        <v>655.83837245446057</v>
      </c>
      <c r="T18" s="46">
        <f t="array" ref="T18">IF(SUMIF(Производство!$A$104:$A$145,Технологи!$B18,Производство!Q$104:Q$145)&gt;0,SUMIF(Производство!$A$104:$A$145,Технологи!$B18,Производство!Q$104:Q$145)*$F18+$G18,0)</f>
        <v>655.83837245446057</v>
      </c>
    </row>
    <row r="19" spans="1:20" x14ac:dyDescent="0.25">
      <c r="A19" s="34" t="s">
        <v>377</v>
      </c>
      <c r="B19" s="13" t="s">
        <v>33</v>
      </c>
      <c r="C19" s="19" t="s">
        <v>12</v>
      </c>
      <c r="D19" s="14">
        <v>7038</v>
      </c>
      <c r="E19" s="20"/>
      <c r="F19" s="24">
        <v>2.1789249623790754</v>
      </c>
      <c r="G19" s="24">
        <v>78.322160441382607</v>
      </c>
      <c r="H19" s="23">
        <f t="shared" si="1"/>
        <v>2178.9249623790756</v>
      </c>
      <c r="I19" s="46">
        <f t="array" ref="I19">IF(SUMIF(Производство!$A$104:$A$145,Технологи!$B19,Производство!F$104:F$145)&gt;0,SUMIF(Производство!$A$104:$A$145,Технологи!$B19,Производство!F$104:F$145)*$F19+$G19,0)</f>
        <v>0</v>
      </c>
      <c r="J19" s="46">
        <f t="array" ref="J19">IF(SUMIF(Производство!$A$104:$A$145,Технологи!$B19,Производство!G$104:G$145)&gt;0,SUMIF(Производство!$A$104:$A$145,Технологи!$B19,Производство!G$104:G$145)*$F19+$G19,0)</f>
        <v>0</v>
      </c>
      <c r="K19" s="46">
        <f t="array" ref="K19">IF(SUMIF(Производство!$A$104:$A$145,Технологи!$B19,Производство!H$104:H$145)&gt;0,SUMIF(Производство!$A$104:$A$145,Технологи!$B19,Производство!H$104:H$145)*$F19+$G19,0)</f>
        <v>0</v>
      </c>
      <c r="L19" s="46">
        <f t="array" ref="L19">IF(SUMIF(Производство!$A$104:$A$145,Технологи!$B19,Производство!I$104:I$145)&gt;0,SUMIF(Производство!$A$104:$A$145,Технологи!$B19,Производство!I$104:I$145)*$F19+$G19,0)</f>
        <v>130.61635953848037</v>
      </c>
      <c r="M19" s="46">
        <f t="array" ref="M19">IF(SUMIF(Производство!$A$104:$A$145,Технологи!$B19,Производство!J$104:J$145)&gt;0,SUMIF(Производство!$A$104:$A$145,Технологи!$B19,Производство!J$104:J$145)*$F19+$G19,0)</f>
        <v>130.61635953848037</v>
      </c>
      <c r="N19" s="46">
        <f t="array" ref="N19">IF(SUMIF(Производство!$A$104:$A$145,Технологи!$B19,Производство!K$104:K$145)&gt;0,SUMIF(Производство!$A$104:$A$145,Технологи!$B19,Производство!K$104:K$145)*$F19+$G19,0)</f>
        <v>130.61635953848037</v>
      </c>
      <c r="O19" s="46">
        <f t="array" ref="O19">IF(SUMIF(Производство!$A$104:$A$145,Технологи!$B19,Производство!L$104:L$145)&gt;0,SUMIF(Производство!$A$104:$A$145,Технологи!$B19,Производство!L$104:L$145)*$F19+$G19,0)</f>
        <v>130.61635953848037</v>
      </c>
      <c r="P19" s="46">
        <f t="array" ref="P19">IF(SUMIF(Производство!$A$104:$A$145,Технологи!$B19,Производство!M$104:M$145)&gt;0,SUMIF(Производство!$A$104:$A$145,Технологи!$B19,Производство!M$104:M$145)*$F19+$G19,0)</f>
        <v>130.61635953848037</v>
      </c>
      <c r="Q19" s="46">
        <f t="array" ref="Q19">IF(SUMIF(Производство!$A$104:$A$145,Технологи!$B19,Производство!N$104:N$145)&gt;0,SUMIF(Производство!$A$104:$A$145,Технологи!$B19,Производство!N$104:N$145)*$F19+$G19,0)</f>
        <v>130.61635953848037</v>
      </c>
      <c r="R19" s="46">
        <f t="array" ref="R19">IF(SUMIF(Производство!$A$104:$A$145,Технологи!$B19,Производство!O$104:O$145)&gt;0,SUMIF(Производство!$A$104:$A$145,Технологи!$B19,Производство!O$104:O$145)*$F19+$G19,0)</f>
        <v>130.61635953848037</v>
      </c>
      <c r="S19" s="46">
        <f t="array" ref="S19">IF(SUMIF(Производство!$A$104:$A$145,Технологи!$B19,Производство!P$104:P$145)&gt;0,SUMIF(Производство!$A$104:$A$145,Технологи!$B19,Производство!P$104:P$145)*$F19+$G19,0)</f>
        <v>130.61635953848037</v>
      </c>
      <c r="T19" s="46">
        <f t="array" ref="T19">IF(SUMIF(Производство!$A$104:$A$145,Технологи!$B19,Производство!Q$104:Q$145)&gt;0,SUMIF(Производство!$A$104:$A$145,Технологи!$B19,Производство!Q$104:Q$145)*$F19+$G19,0)</f>
        <v>130.61635953848037</v>
      </c>
    </row>
    <row r="20" spans="1:20" x14ac:dyDescent="0.25">
      <c r="A20" s="34" t="s">
        <v>377</v>
      </c>
      <c r="B20" s="13" t="s">
        <v>33</v>
      </c>
      <c r="C20" s="19" t="s">
        <v>13</v>
      </c>
      <c r="D20" s="14">
        <v>7038</v>
      </c>
      <c r="E20" s="20"/>
      <c r="F20" s="24">
        <v>0.76794613579362248</v>
      </c>
      <c r="G20" s="24">
        <v>25.777676258534459</v>
      </c>
      <c r="H20" s="23">
        <f t="shared" si="1"/>
        <v>767.94613579362249</v>
      </c>
      <c r="I20" s="46">
        <f t="array" ref="I20">IF(SUMIF(Производство!$A$104:$A$145,Технологи!$B20,Производство!F$104:F$145)&gt;0,SUMIF(Производство!$A$104:$A$145,Технологи!$B20,Производство!F$104:F$145)*$F20+$G20,0)</f>
        <v>0</v>
      </c>
      <c r="J20" s="46">
        <f t="array" ref="J20">IF(SUMIF(Производство!$A$104:$A$145,Технологи!$B20,Производство!G$104:G$145)&gt;0,SUMIF(Производство!$A$104:$A$145,Технологи!$B20,Производство!G$104:G$145)*$F20+$G20,0)</f>
        <v>0</v>
      </c>
      <c r="K20" s="46">
        <f t="array" ref="K20">IF(SUMIF(Производство!$A$104:$A$145,Технологи!$B20,Производство!H$104:H$145)&gt;0,SUMIF(Производство!$A$104:$A$145,Технологи!$B20,Производство!H$104:H$145)*$F20+$G20,0)</f>
        <v>0</v>
      </c>
      <c r="L20" s="46">
        <f t="array" ref="L20">IF(SUMIF(Производство!$A$104:$A$145,Технологи!$B20,Производство!I$104:I$145)&gt;0,SUMIF(Производство!$A$104:$A$145,Технологи!$B20,Производство!I$104:I$145)*$F20+$G20,0)</f>
        <v>44.208383517581382</v>
      </c>
      <c r="M20" s="46">
        <f t="array" ref="M20">IF(SUMIF(Производство!$A$104:$A$145,Технологи!$B20,Производство!J$104:J$145)&gt;0,SUMIF(Производство!$A$104:$A$145,Технологи!$B20,Производство!J$104:J$145)*$F20+$G20,0)</f>
        <v>44.208383517581382</v>
      </c>
      <c r="N20" s="46">
        <f t="array" ref="N20">IF(SUMIF(Производство!$A$104:$A$145,Технологи!$B20,Производство!K$104:K$145)&gt;0,SUMIF(Производство!$A$104:$A$145,Технологи!$B20,Производство!K$104:K$145)*$F20+$G20,0)</f>
        <v>44.208383517581382</v>
      </c>
      <c r="O20" s="46">
        <f t="array" ref="O20">IF(SUMIF(Производство!$A$104:$A$145,Технологи!$B20,Производство!L$104:L$145)&gt;0,SUMIF(Производство!$A$104:$A$145,Технологи!$B20,Производство!L$104:L$145)*$F20+$G20,0)</f>
        <v>44.208383517581382</v>
      </c>
      <c r="P20" s="46">
        <f t="array" ref="P20">IF(SUMIF(Производство!$A$104:$A$145,Технологи!$B20,Производство!M$104:M$145)&gt;0,SUMIF(Производство!$A$104:$A$145,Технологи!$B20,Производство!M$104:M$145)*$F20+$G20,0)</f>
        <v>44.208383517581382</v>
      </c>
      <c r="Q20" s="46">
        <f t="array" ref="Q20">IF(SUMIF(Производство!$A$104:$A$145,Технологи!$B20,Производство!N$104:N$145)&gt;0,SUMIF(Производство!$A$104:$A$145,Технологи!$B20,Производство!N$104:N$145)*$F20+$G20,0)</f>
        <v>44.208383517581382</v>
      </c>
      <c r="R20" s="46">
        <f t="array" ref="R20">IF(SUMIF(Производство!$A$104:$A$145,Технологи!$B20,Производство!O$104:O$145)&gt;0,SUMIF(Производство!$A$104:$A$145,Технологи!$B20,Производство!O$104:O$145)*$F20+$G20,0)</f>
        <v>44.208383517581382</v>
      </c>
      <c r="S20" s="46">
        <f t="array" ref="S20">IF(SUMIF(Производство!$A$104:$A$145,Технологи!$B20,Производство!P$104:P$145)&gt;0,SUMIF(Производство!$A$104:$A$145,Технологи!$B20,Производство!P$104:P$145)*$F20+$G20,0)</f>
        <v>44.208383517581382</v>
      </c>
      <c r="T20" s="46">
        <f t="array" ref="T20">IF(SUMIF(Производство!$A$104:$A$145,Технологи!$B20,Производство!Q$104:Q$145)&gt;0,SUMIF(Производство!$A$104:$A$145,Технологи!$B20,Производство!Q$104:Q$145)*$F20+$G20,0)</f>
        <v>44.208383517581382</v>
      </c>
    </row>
    <row r="21" spans="1:20" x14ac:dyDescent="0.25">
      <c r="A21" s="34" t="s">
        <v>377</v>
      </c>
      <c r="B21" s="13" t="s">
        <v>33</v>
      </c>
      <c r="C21" s="19" t="s">
        <v>14</v>
      </c>
      <c r="D21" s="14">
        <v>7038</v>
      </c>
      <c r="E21" s="20"/>
      <c r="F21" s="24">
        <v>6.5823954496596216E-3</v>
      </c>
      <c r="G21" s="24">
        <v>0.23496648132414788</v>
      </c>
      <c r="H21" s="23">
        <f t="shared" si="1"/>
        <v>6.5823954496596215</v>
      </c>
      <c r="I21" s="46">
        <f t="array" ref="I21">IF(SUMIF(Производство!$A$104:$A$145,Технологи!$B21,Производство!F$104:F$145)&gt;0,SUMIF(Производство!$A$104:$A$145,Технологи!$B21,Производство!F$104:F$145)*$F21+$G21,0)</f>
        <v>0</v>
      </c>
      <c r="J21" s="46">
        <f t="array" ref="J21">IF(SUMIF(Производство!$A$104:$A$145,Технологи!$B21,Производство!G$104:G$145)&gt;0,SUMIF(Производство!$A$104:$A$145,Технологи!$B21,Производство!G$104:G$145)*$F21+$G21,0)</f>
        <v>0</v>
      </c>
      <c r="K21" s="46">
        <f t="array" ref="K21">IF(SUMIF(Производство!$A$104:$A$145,Технологи!$B21,Производство!H$104:H$145)&gt;0,SUMIF(Производство!$A$104:$A$145,Технологи!$B21,Производство!H$104:H$145)*$F21+$G21,0)</f>
        <v>0</v>
      </c>
      <c r="L21" s="46">
        <f t="array" ref="L21">IF(SUMIF(Производство!$A$104:$A$145,Технологи!$B21,Производство!I$104:I$145)&gt;0,SUMIF(Производство!$A$104:$A$145,Технологи!$B21,Производство!I$104:I$145)*$F21+$G21,0)</f>
        <v>0.39294397211597865</v>
      </c>
      <c r="M21" s="46">
        <f t="array" ref="M21">IF(SUMIF(Производство!$A$104:$A$145,Технологи!$B21,Производство!J$104:J$145)&gt;0,SUMIF(Производство!$A$104:$A$145,Технологи!$B21,Производство!J$104:J$145)*$F21+$G21,0)</f>
        <v>0.39294397211597865</v>
      </c>
      <c r="N21" s="46">
        <f t="array" ref="N21">IF(SUMIF(Производство!$A$104:$A$145,Технологи!$B21,Производство!K$104:K$145)&gt;0,SUMIF(Производство!$A$104:$A$145,Технологи!$B21,Производство!K$104:K$145)*$F21+$G21,0)</f>
        <v>0.39294397211597865</v>
      </c>
      <c r="O21" s="46">
        <f t="array" ref="O21">IF(SUMIF(Производство!$A$104:$A$145,Технологи!$B21,Производство!L$104:L$145)&gt;0,SUMIF(Производство!$A$104:$A$145,Технологи!$B21,Производство!L$104:L$145)*$F21+$G21,0)</f>
        <v>0.39294397211597865</v>
      </c>
      <c r="P21" s="46">
        <f t="array" ref="P21">IF(SUMIF(Производство!$A$104:$A$145,Технологи!$B21,Производство!M$104:M$145)&gt;0,SUMIF(Производство!$A$104:$A$145,Технологи!$B21,Производство!M$104:M$145)*$F21+$G21,0)</f>
        <v>0.39294397211597865</v>
      </c>
      <c r="Q21" s="46">
        <f t="array" ref="Q21">IF(SUMIF(Производство!$A$104:$A$145,Технологи!$B21,Производство!N$104:N$145)&gt;0,SUMIF(Производство!$A$104:$A$145,Технологи!$B21,Производство!N$104:N$145)*$F21+$G21,0)</f>
        <v>0.39294397211597865</v>
      </c>
      <c r="R21" s="46">
        <f t="array" ref="R21">IF(SUMIF(Производство!$A$104:$A$145,Технологи!$B21,Производство!O$104:O$145)&gt;0,SUMIF(Производство!$A$104:$A$145,Технологи!$B21,Производство!O$104:O$145)*$F21+$G21,0)</f>
        <v>0.39294397211597865</v>
      </c>
      <c r="S21" s="46">
        <f t="array" ref="S21">IF(SUMIF(Производство!$A$104:$A$145,Технологи!$B21,Производство!P$104:P$145)&gt;0,SUMIF(Производство!$A$104:$A$145,Технологи!$B21,Производство!P$104:P$145)*$F21+$G21,0)</f>
        <v>0.39294397211597865</v>
      </c>
      <c r="T21" s="46">
        <f t="array" ref="T21">IF(SUMIF(Производство!$A$104:$A$145,Технологи!$B21,Производство!Q$104:Q$145)&gt;0,SUMIF(Производство!$A$104:$A$145,Технологи!$B21,Производство!Q$104:Q$145)*$F21+$G21,0)</f>
        <v>0.39294397211597865</v>
      </c>
    </row>
    <row r="22" spans="1:20" x14ac:dyDescent="0.25">
      <c r="A22" s="34" t="s">
        <v>377</v>
      </c>
      <c r="B22" s="13" t="s">
        <v>33</v>
      </c>
      <c r="C22" s="19" t="s">
        <v>15</v>
      </c>
      <c r="D22" s="14">
        <v>7038</v>
      </c>
      <c r="E22" s="20"/>
      <c r="F22" s="24">
        <v>3.2911977248298108E-3</v>
      </c>
      <c r="G22" s="24">
        <v>0.11748324066207394</v>
      </c>
      <c r="H22" s="23">
        <f t="shared" si="1"/>
        <v>3.2911977248298108</v>
      </c>
      <c r="I22" s="46">
        <f t="array" ref="I22">IF(SUMIF(Производство!$A$104:$A$145,Технологи!$B22,Производство!F$104:F$145)&gt;0,SUMIF(Производство!$A$104:$A$145,Технологи!$B22,Производство!F$104:F$145)*$F22+$G22,0)</f>
        <v>0</v>
      </c>
      <c r="J22" s="46">
        <f t="array" ref="J22">IF(SUMIF(Производство!$A$104:$A$145,Технологи!$B22,Производство!G$104:G$145)&gt;0,SUMIF(Производство!$A$104:$A$145,Технологи!$B22,Производство!G$104:G$145)*$F22+$G22,0)</f>
        <v>0</v>
      </c>
      <c r="K22" s="46">
        <f t="array" ref="K22">IF(SUMIF(Производство!$A$104:$A$145,Технологи!$B22,Производство!H$104:H$145)&gt;0,SUMIF(Производство!$A$104:$A$145,Технологи!$B22,Производство!H$104:H$145)*$F22+$G22,0)</f>
        <v>0</v>
      </c>
      <c r="L22" s="46">
        <f t="array" ref="L22">IF(SUMIF(Производство!$A$104:$A$145,Технологи!$B22,Производство!I$104:I$145)&gt;0,SUMIF(Производство!$A$104:$A$145,Технологи!$B22,Производство!I$104:I$145)*$F22+$G22,0)</f>
        <v>0.19647198605798932</v>
      </c>
      <c r="M22" s="46">
        <f t="array" ref="M22">IF(SUMIF(Производство!$A$104:$A$145,Технологи!$B22,Производство!J$104:J$145)&gt;0,SUMIF(Производство!$A$104:$A$145,Технологи!$B22,Производство!J$104:J$145)*$F22+$G22,0)</f>
        <v>0.19647198605798932</v>
      </c>
      <c r="N22" s="46">
        <f t="array" ref="N22">IF(SUMIF(Производство!$A$104:$A$145,Технологи!$B22,Производство!K$104:K$145)&gt;0,SUMIF(Производство!$A$104:$A$145,Технологи!$B22,Производство!K$104:K$145)*$F22+$G22,0)</f>
        <v>0.19647198605798932</v>
      </c>
      <c r="O22" s="46">
        <f t="array" ref="O22">IF(SUMIF(Производство!$A$104:$A$145,Технологи!$B22,Производство!L$104:L$145)&gt;0,SUMIF(Производство!$A$104:$A$145,Технологи!$B22,Производство!L$104:L$145)*$F22+$G22,0)</f>
        <v>0.19647198605798932</v>
      </c>
      <c r="P22" s="46">
        <f t="array" ref="P22">IF(SUMIF(Производство!$A$104:$A$145,Технологи!$B22,Производство!M$104:M$145)&gt;0,SUMIF(Производство!$A$104:$A$145,Технологи!$B22,Производство!M$104:M$145)*$F22+$G22,0)</f>
        <v>0.19647198605798932</v>
      </c>
      <c r="Q22" s="46">
        <f t="array" ref="Q22">IF(SUMIF(Производство!$A$104:$A$145,Технологи!$B22,Производство!N$104:N$145)&gt;0,SUMIF(Производство!$A$104:$A$145,Технологи!$B22,Производство!N$104:N$145)*$F22+$G22,0)</f>
        <v>0.19647198605798932</v>
      </c>
      <c r="R22" s="46">
        <f t="array" ref="R22">IF(SUMIF(Производство!$A$104:$A$145,Технологи!$B22,Производство!O$104:O$145)&gt;0,SUMIF(Производство!$A$104:$A$145,Технологи!$B22,Производство!O$104:O$145)*$F22+$G22,0)</f>
        <v>0.19647198605798932</v>
      </c>
      <c r="S22" s="46">
        <f t="array" ref="S22">IF(SUMIF(Производство!$A$104:$A$145,Технологи!$B22,Производство!P$104:P$145)&gt;0,SUMIF(Производство!$A$104:$A$145,Технологи!$B22,Производство!P$104:P$145)*$F22+$G22,0)</f>
        <v>0.19647198605798932</v>
      </c>
      <c r="T22" s="46">
        <f t="array" ref="T22">IF(SUMIF(Производство!$A$104:$A$145,Технологи!$B22,Производство!Q$104:Q$145)&gt;0,SUMIF(Производство!$A$104:$A$145,Технологи!$B22,Производство!Q$104:Q$145)*$F22+$G22,0)</f>
        <v>0.19647198605798932</v>
      </c>
    </row>
    <row r="23" spans="1:20" x14ac:dyDescent="0.25">
      <c r="A23" s="34" t="s">
        <v>377</v>
      </c>
      <c r="B23" s="13" t="s">
        <v>33</v>
      </c>
      <c r="C23" s="19" t="s">
        <v>16</v>
      </c>
      <c r="D23" s="14">
        <v>7038</v>
      </c>
      <c r="E23" s="20"/>
      <c r="F23" s="24">
        <v>4.3665395557147983E-2</v>
      </c>
      <c r="G23" s="24">
        <v>1.5664432088276525</v>
      </c>
      <c r="H23" s="23">
        <f t="shared" si="1"/>
        <v>43.665395557147981</v>
      </c>
      <c r="I23" s="46">
        <f t="array" ref="I23">IF(SUMIF(Производство!$A$104:$A$145,Технологи!$B23,Производство!F$104:F$145)&gt;0,SUMIF(Производство!$A$104:$A$145,Технологи!$B23,Производство!F$104:F$145)*$F23+$G23,0)</f>
        <v>0</v>
      </c>
      <c r="J23" s="46">
        <f t="array" ref="J23">IF(SUMIF(Производство!$A$104:$A$145,Технологи!$B23,Производство!G$104:G$145)&gt;0,SUMIF(Производство!$A$104:$A$145,Технологи!$B23,Производство!G$104:G$145)*$F23+$G23,0)</f>
        <v>0</v>
      </c>
      <c r="K23" s="46">
        <f t="array" ref="K23">IF(SUMIF(Производство!$A$104:$A$145,Технологи!$B23,Производство!H$104:H$145)&gt;0,SUMIF(Производство!$A$104:$A$145,Технологи!$B23,Производство!H$104:H$145)*$F23+$G23,0)</f>
        <v>0</v>
      </c>
      <c r="L23" s="46">
        <f t="array" ref="L23">IF(SUMIF(Производство!$A$104:$A$145,Технологи!$B23,Производство!I$104:I$145)&gt;0,SUMIF(Производство!$A$104:$A$145,Технологи!$B23,Производство!I$104:I$145)*$F23+$G23,0)</f>
        <v>2.6144127021992034</v>
      </c>
      <c r="M23" s="46">
        <f t="array" ref="M23">IF(SUMIF(Производство!$A$104:$A$145,Технологи!$B23,Производство!J$104:J$145)&gt;0,SUMIF(Производство!$A$104:$A$145,Технологи!$B23,Производство!J$104:J$145)*$F23+$G23,0)</f>
        <v>2.6144127021992034</v>
      </c>
      <c r="N23" s="46">
        <f t="array" ref="N23">IF(SUMIF(Производство!$A$104:$A$145,Технологи!$B23,Производство!K$104:K$145)&gt;0,SUMIF(Производство!$A$104:$A$145,Технологи!$B23,Производство!K$104:K$145)*$F23+$G23,0)</f>
        <v>2.6144127021992034</v>
      </c>
      <c r="O23" s="46">
        <f t="array" ref="O23">IF(SUMIF(Производство!$A$104:$A$145,Технологи!$B23,Производство!L$104:L$145)&gt;0,SUMIF(Производство!$A$104:$A$145,Технологи!$B23,Производство!L$104:L$145)*$F23+$G23,0)</f>
        <v>2.6144127021992034</v>
      </c>
      <c r="P23" s="46">
        <f t="array" ref="P23">IF(SUMIF(Производство!$A$104:$A$145,Технологи!$B23,Производство!M$104:M$145)&gt;0,SUMIF(Производство!$A$104:$A$145,Технологи!$B23,Производство!M$104:M$145)*$F23+$G23,0)</f>
        <v>2.6144127021992034</v>
      </c>
      <c r="Q23" s="46">
        <f t="array" ref="Q23">IF(SUMIF(Производство!$A$104:$A$145,Технологи!$B23,Производство!N$104:N$145)&gt;0,SUMIF(Производство!$A$104:$A$145,Технологи!$B23,Производство!N$104:N$145)*$F23+$G23,0)</f>
        <v>2.6144127021992034</v>
      </c>
      <c r="R23" s="46">
        <f t="array" ref="R23">IF(SUMIF(Производство!$A$104:$A$145,Технологи!$B23,Производство!O$104:O$145)&gt;0,SUMIF(Производство!$A$104:$A$145,Технологи!$B23,Производство!O$104:O$145)*$F23+$G23,0)</f>
        <v>2.6144127021992034</v>
      </c>
      <c r="S23" s="46">
        <f t="array" ref="S23">IF(SUMIF(Производство!$A$104:$A$145,Технологи!$B23,Производство!P$104:P$145)&gt;0,SUMIF(Производство!$A$104:$A$145,Технологи!$B23,Производство!P$104:P$145)*$F23+$G23,0)</f>
        <v>2.6144127021992034</v>
      </c>
      <c r="T23" s="46">
        <f t="array" ref="T23">IF(SUMIF(Производство!$A$104:$A$145,Технологи!$B23,Производство!Q$104:Q$145)&gt;0,SUMIF(Производство!$A$104:$A$145,Технологи!$B23,Производство!Q$104:Q$145)*$F23+$G23,0)</f>
        <v>2.6144127021992034</v>
      </c>
    </row>
    <row r="24" spans="1:20" x14ac:dyDescent="0.25">
      <c r="A24" s="34" t="s">
        <v>377</v>
      </c>
      <c r="B24" s="13" t="s">
        <v>33</v>
      </c>
      <c r="C24" s="19" t="s">
        <v>17</v>
      </c>
      <c r="D24" s="14">
        <v>7038</v>
      </c>
      <c r="E24" s="20"/>
      <c r="F24" s="24">
        <v>2.4254932407739169E-2</v>
      </c>
      <c r="G24" s="24">
        <v>0.861543764855209</v>
      </c>
      <c r="H24" s="23">
        <f t="shared" si="1"/>
        <v>24.254932407739169</v>
      </c>
      <c r="I24" s="46">
        <f t="array" ref="I24">IF(SUMIF(Производство!$A$104:$A$145,Технологи!$B24,Производство!F$104:F$145)&gt;0,SUMIF(Производство!$A$104:$A$145,Технологи!$B24,Производство!F$104:F$145)*$F24+$G24,0)</f>
        <v>0</v>
      </c>
      <c r="J24" s="46">
        <f t="array" ref="J24">IF(SUMIF(Производство!$A$104:$A$145,Технологи!$B24,Производство!G$104:G$145)&gt;0,SUMIF(Производство!$A$104:$A$145,Технологи!$B24,Производство!G$104:G$145)*$F24+$G24,0)</f>
        <v>0</v>
      </c>
      <c r="K24" s="46">
        <f t="array" ref="K24">IF(SUMIF(Производство!$A$104:$A$145,Технологи!$B24,Производство!H$104:H$145)&gt;0,SUMIF(Производство!$A$104:$A$145,Технологи!$B24,Производство!H$104:H$145)*$F24+$G24,0)</f>
        <v>0</v>
      </c>
      <c r="L24" s="46">
        <f t="array" ref="L24">IF(SUMIF(Производство!$A$104:$A$145,Технологи!$B24,Производство!I$104:I$145)&gt;0,SUMIF(Производство!$A$104:$A$145,Технологи!$B24,Производство!I$104:I$145)*$F24+$G24,0)</f>
        <v>1.4436621426409486</v>
      </c>
      <c r="M24" s="46">
        <f t="array" ref="M24">IF(SUMIF(Производство!$A$104:$A$145,Технологи!$B24,Производство!J$104:J$145)&gt;0,SUMIF(Производство!$A$104:$A$145,Технологи!$B24,Производство!J$104:J$145)*$F24+$G24,0)</f>
        <v>1.4436621426409486</v>
      </c>
      <c r="N24" s="46">
        <f t="array" ref="N24">IF(SUMIF(Производство!$A$104:$A$145,Технологи!$B24,Производство!K$104:K$145)&gt;0,SUMIF(Производство!$A$104:$A$145,Технологи!$B24,Производство!K$104:K$145)*$F24+$G24,0)</f>
        <v>1.4436621426409486</v>
      </c>
      <c r="O24" s="46">
        <f t="array" ref="O24">IF(SUMIF(Производство!$A$104:$A$145,Технологи!$B24,Производство!L$104:L$145)&gt;0,SUMIF(Производство!$A$104:$A$145,Технологи!$B24,Производство!L$104:L$145)*$F24+$G24,0)</f>
        <v>1.4436621426409486</v>
      </c>
      <c r="P24" s="46">
        <f t="array" ref="P24">IF(SUMIF(Производство!$A$104:$A$145,Технологи!$B24,Производство!M$104:M$145)&gt;0,SUMIF(Производство!$A$104:$A$145,Технологи!$B24,Производство!M$104:M$145)*$F24+$G24,0)</f>
        <v>1.4436621426409486</v>
      </c>
      <c r="Q24" s="46">
        <f t="array" ref="Q24">IF(SUMIF(Производство!$A$104:$A$145,Технологи!$B24,Производство!N$104:N$145)&gt;0,SUMIF(Производство!$A$104:$A$145,Технологи!$B24,Производство!N$104:N$145)*$F24+$G24,0)</f>
        <v>1.4436621426409486</v>
      </c>
      <c r="R24" s="46">
        <f t="array" ref="R24">IF(SUMIF(Производство!$A$104:$A$145,Технологи!$B24,Производство!O$104:O$145)&gt;0,SUMIF(Производство!$A$104:$A$145,Технологи!$B24,Производство!O$104:O$145)*$F24+$G24,0)</f>
        <v>1.4436621426409486</v>
      </c>
      <c r="S24" s="46">
        <f t="array" ref="S24">IF(SUMIF(Производство!$A$104:$A$145,Технологи!$B24,Производство!P$104:P$145)&gt;0,SUMIF(Производство!$A$104:$A$145,Технологи!$B24,Производство!P$104:P$145)*$F24+$G24,0)</f>
        <v>1.4436621426409486</v>
      </c>
      <c r="T24" s="46">
        <f t="array" ref="T24">IF(SUMIF(Производство!$A$104:$A$145,Технологи!$B24,Производство!Q$104:Q$145)&gt;0,SUMIF(Производство!$A$104:$A$145,Технологи!$B24,Производство!Q$104:Q$145)*$F24+$G24,0)</f>
        <v>1.4436621426409486</v>
      </c>
    </row>
    <row r="25" spans="1:20" x14ac:dyDescent="0.25">
      <c r="A25" s="34" t="s">
        <v>377</v>
      </c>
      <c r="B25" s="13" t="s">
        <v>33</v>
      </c>
      <c r="C25" s="19" t="s">
        <v>18</v>
      </c>
      <c r="D25" s="14">
        <v>7038</v>
      </c>
      <c r="E25" s="20"/>
      <c r="F25" s="24">
        <v>2.1789249623790762E-2</v>
      </c>
      <c r="G25" s="24">
        <v>0.78322160441382627</v>
      </c>
      <c r="H25" s="23">
        <f t="shared" si="1"/>
        <v>21.789249623790763</v>
      </c>
      <c r="I25" s="46">
        <f t="array" ref="I25">IF(SUMIF(Производство!$A$104:$A$145,Технологи!$B25,Производство!F$104:F$145)&gt;0,SUMIF(Производство!$A$104:$A$145,Технологи!$B25,Производство!F$104:F$145)*$F25+$G25,0)</f>
        <v>0</v>
      </c>
      <c r="J25" s="46">
        <f t="array" ref="J25">IF(SUMIF(Производство!$A$104:$A$145,Технологи!$B25,Производство!G$104:G$145)&gt;0,SUMIF(Производство!$A$104:$A$145,Технологи!$B25,Производство!G$104:G$145)*$F25+$G25,0)</f>
        <v>0</v>
      </c>
      <c r="K25" s="46">
        <f t="array" ref="K25">IF(SUMIF(Производство!$A$104:$A$145,Технологи!$B25,Производство!H$104:H$145)&gt;0,SUMIF(Производство!$A$104:$A$145,Технологи!$B25,Производство!H$104:H$145)*$F25+$G25,0)</f>
        <v>0</v>
      </c>
      <c r="L25" s="46">
        <f t="array" ref="L25">IF(SUMIF(Производство!$A$104:$A$145,Технологи!$B25,Производство!I$104:I$145)&gt;0,SUMIF(Производство!$A$104:$A$145,Технологи!$B25,Производство!I$104:I$145)*$F25+$G25,0)</f>
        <v>1.3061635953848041</v>
      </c>
      <c r="M25" s="46">
        <f t="array" ref="M25">IF(SUMIF(Производство!$A$104:$A$145,Технологи!$B25,Производство!J$104:J$145)&gt;0,SUMIF(Производство!$A$104:$A$145,Технологи!$B25,Производство!J$104:J$145)*$F25+$G25,0)</f>
        <v>1.3061635953848041</v>
      </c>
      <c r="N25" s="46">
        <f t="array" ref="N25">IF(SUMIF(Производство!$A$104:$A$145,Технологи!$B25,Производство!K$104:K$145)&gt;0,SUMIF(Производство!$A$104:$A$145,Технологи!$B25,Производство!K$104:K$145)*$F25+$G25,0)</f>
        <v>1.3061635953848041</v>
      </c>
      <c r="O25" s="46">
        <f t="array" ref="O25">IF(SUMIF(Производство!$A$104:$A$145,Технологи!$B25,Производство!L$104:L$145)&gt;0,SUMIF(Производство!$A$104:$A$145,Технологи!$B25,Производство!L$104:L$145)*$F25+$G25,0)</f>
        <v>1.3061635953848041</v>
      </c>
      <c r="P25" s="46">
        <f t="array" ref="P25">IF(SUMIF(Производство!$A$104:$A$145,Технологи!$B25,Производство!M$104:M$145)&gt;0,SUMIF(Производство!$A$104:$A$145,Технологи!$B25,Производство!M$104:M$145)*$F25+$G25,0)</f>
        <v>1.3061635953848041</v>
      </c>
      <c r="Q25" s="46">
        <f t="array" ref="Q25">IF(SUMIF(Производство!$A$104:$A$145,Технологи!$B25,Производство!N$104:N$145)&gt;0,SUMIF(Производство!$A$104:$A$145,Технологи!$B25,Производство!N$104:N$145)*$F25+$G25,0)</f>
        <v>1.3061635953848041</v>
      </c>
      <c r="R25" s="46">
        <f t="array" ref="R25">IF(SUMIF(Производство!$A$104:$A$145,Технологи!$B25,Производство!O$104:O$145)&gt;0,SUMIF(Производство!$A$104:$A$145,Технологи!$B25,Производство!O$104:O$145)*$F25+$G25,0)</f>
        <v>1.3061635953848041</v>
      </c>
      <c r="S25" s="46">
        <f t="array" ref="S25">IF(SUMIF(Производство!$A$104:$A$145,Технологи!$B25,Производство!P$104:P$145)&gt;0,SUMIF(Производство!$A$104:$A$145,Технологи!$B25,Производство!P$104:P$145)*$F25+$G25,0)</f>
        <v>1.3061635953848041</v>
      </c>
      <c r="T25" s="46">
        <f t="array" ref="T25">IF(SUMIF(Производство!$A$104:$A$145,Технологи!$B25,Производство!Q$104:Q$145)&gt;0,SUMIF(Производство!$A$104:$A$145,Технологи!$B25,Производство!Q$104:Q$145)*$F25+$G25,0)</f>
        <v>1.3061635953848041</v>
      </c>
    </row>
    <row r="26" spans="1:20" x14ac:dyDescent="0.25">
      <c r="A26" s="34" t="s">
        <v>377</v>
      </c>
      <c r="B26" s="13" t="s">
        <v>33</v>
      </c>
      <c r="C26" s="19" t="s">
        <v>19</v>
      </c>
      <c r="D26" s="14">
        <v>7038</v>
      </c>
      <c r="E26" s="20"/>
      <c r="F26" s="24">
        <v>4.4341050000000015</v>
      </c>
      <c r="G26" s="24">
        <v>314.82145500000007</v>
      </c>
      <c r="H26" s="23">
        <f t="shared" si="1"/>
        <v>4434.1050000000014</v>
      </c>
      <c r="I26" s="46">
        <f t="array" ref="I26">IF(SUMIF(Производство!$A$104:$A$145,Технологи!$B26,Производство!F$104:F$145)&gt;0,SUMIF(Производство!$A$104:$A$145,Технологи!$B26,Производство!F$104:F$145)*$F26+$G26,0)</f>
        <v>0</v>
      </c>
      <c r="J26" s="46">
        <f t="array" ref="J26">IF(SUMIF(Производство!$A$104:$A$145,Технологи!$B26,Производство!G$104:G$145)&gt;0,SUMIF(Производство!$A$104:$A$145,Технологи!$B26,Производство!G$104:G$145)*$F26+$G26,0)</f>
        <v>0</v>
      </c>
      <c r="K26" s="46">
        <f t="array" ref="K26">IF(SUMIF(Производство!$A$104:$A$145,Технологи!$B26,Производство!H$104:H$145)&gt;0,SUMIF(Производство!$A$104:$A$145,Технологи!$B26,Производство!H$104:H$145)*$F26+$G26,0)</f>
        <v>0</v>
      </c>
      <c r="L26" s="46">
        <f t="array" ref="L26">IF(SUMIF(Производство!$A$104:$A$145,Технологи!$B26,Производство!I$104:I$145)&gt;0,SUMIF(Производство!$A$104:$A$145,Технологи!$B26,Производство!I$104:I$145)*$F26+$G26,0)</f>
        <v>421.23997500000002</v>
      </c>
      <c r="M26" s="46">
        <f t="array" ref="M26">IF(SUMIF(Производство!$A$104:$A$145,Технологи!$B26,Производство!J$104:J$145)&gt;0,SUMIF(Производство!$A$104:$A$145,Технологи!$B26,Производство!J$104:J$145)*$F26+$G26,0)</f>
        <v>421.23997500000002</v>
      </c>
      <c r="N26" s="46">
        <f t="array" ref="N26">IF(SUMIF(Производство!$A$104:$A$145,Технологи!$B26,Производство!K$104:K$145)&gt;0,SUMIF(Производство!$A$104:$A$145,Технологи!$B26,Производство!K$104:K$145)*$F26+$G26,0)</f>
        <v>421.23997500000002</v>
      </c>
      <c r="O26" s="46">
        <f t="array" ref="O26">IF(SUMIF(Производство!$A$104:$A$145,Технологи!$B26,Производство!L$104:L$145)&gt;0,SUMIF(Производство!$A$104:$A$145,Технологи!$B26,Производство!L$104:L$145)*$F26+$G26,0)</f>
        <v>421.23997500000002</v>
      </c>
      <c r="P26" s="46">
        <f t="array" ref="P26">IF(SUMIF(Производство!$A$104:$A$145,Технологи!$B26,Производство!M$104:M$145)&gt;0,SUMIF(Производство!$A$104:$A$145,Технологи!$B26,Производство!M$104:M$145)*$F26+$G26,0)</f>
        <v>421.23997500000002</v>
      </c>
      <c r="Q26" s="46">
        <f t="array" ref="Q26">IF(SUMIF(Производство!$A$104:$A$145,Технологи!$B26,Производство!N$104:N$145)&gt;0,SUMIF(Производство!$A$104:$A$145,Технологи!$B26,Производство!N$104:N$145)*$F26+$G26,0)</f>
        <v>421.23997500000002</v>
      </c>
      <c r="R26" s="46">
        <f t="array" ref="R26">IF(SUMIF(Производство!$A$104:$A$145,Технологи!$B26,Производство!O$104:O$145)&gt;0,SUMIF(Производство!$A$104:$A$145,Технологи!$B26,Производство!O$104:O$145)*$F26+$G26,0)</f>
        <v>421.23997500000002</v>
      </c>
      <c r="S26" s="46">
        <f t="array" ref="S26">IF(SUMIF(Производство!$A$104:$A$145,Технологи!$B26,Производство!P$104:P$145)&gt;0,SUMIF(Производство!$A$104:$A$145,Технологи!$B26,Производство!P$104:P$145)*$F26+$G26,0)</f>
        <v>421.23997500000002</v>
      </c>
      <c r="T26" s="46">
        <f t="array" ref="T26">IF(SUMIF(Производство!$A$104:$A$145,Технологи!$B26,Производство!Q$104:Q$145)&gt;0,SUMIF(Производство!$A$104:$A$145,Технологи!$B26,Производство!Q$104:Q$145)*$F26+$G26,0)</f>
        <v>421.23997500000002</v>
      </c>
    </row>
    <row r="27" spans="1:20" x14ac:dyDescent="0.25">
      <c r="A27" s="34" t="s">
        <v>377</v>
      </c>
      <c r="B27" s="13" t="s">
        <v>33</v>
      </c>
      <c r="C27" s="19" t="s">
        <v>20</v>
      </c>
      <c r="D27" s="14">
        <v>7038</v>
      </c>
      <c r="E27" s="20"/>
      <c r="F27" s="24">
        <v>0</v>
      </c>
      <c r="G27" s="24">
        <v>0</v>
      </c>
      <c r="H27" s="23">
        <f t="shared" si="1"/>
        <v>0</v>
      </c>
      <c r="I27" s="46">
        <f t="array" ref="I27">IF(SUMIF(Производство!$A$104:$A$145,Технологи!$B27,Производство!F$104:F$145)&gt;0,SUMIF(Производство!$A$104:$A$145,Технологи!$B27,Производство!F$104:F$145)*$F27+$G27,0)</f>
        <v>0</v>
      </c>
      <c r="J27" s="46">
        <f t="array" ref="J27">IF(SUMIF(Производство!$A$104:$A$145,Технологи!$B27,Производство!G$104:G$145)&gt;0,SUMIF(Производство!$A$104:$A$145,Технологи!$B27,Производство!G$104:G$145)*$F27+$G27,0)</f>
        <v>0</v>
      </c>
      <c r="K27" s="46">
        <f t="array" ref="K27">IF(SUMIF(Производство!$A$104:$A$145,Технологи!$B27,Производство!H$104:H$145)&gt;0,SUMIF(Производство!$A$104:$A$145,Технологи!$B27,Производство!H$104:H$145)*$F27+$G27,0)</f>
        <v>0</v>
      </c>
      <c r="L27" s="46">
        <f t="array" ref="L27">IF(SUMIF(Производство!$A$104:$A$145,Технологи!$B27,Производство!I$104:I$145)&gt;0,SUMIF(Производство!$A$104:$A$145,Технологи!$B27,Производство!I$104:I$145)*$F27+$G27,0)</f>
        <v>0</v>
      </c>
      <c r="M27" s="46">
        <f t="array" ref="M27">IF(SUMIF(Производство!$A$104:$A$145,Технологи!$B27,Производство!J$104:J$145)&gt;0,SUMIF(Производство!$A$104:$A$145,Технологи!$B27,Производство!J$104:J$145)*$F27+$G27,0)</f>
        <v>0</v>
      </c>
      <c r="N27" s="46">
        <f t="array" ref="N27">IF(SUMIF(Производство!$A$104:$A$145,Технологи!$B27,Производство!K$104:K$145)&gt;0,SUMIF(Производство!$A$104:$A$145,Технологи!$B27,Производство!K$104:K$145)*$F27+$G27,0)</f>
        <v>0</v>
      </c>
      <c r="O27" s="46">
        <f t="array" ref="O27">IF(SUMIF(Производство!$A$104:$A$145,Технологи!$B27,Производство!L$104:L$145)&gt;0,SUMIF(Производство!$A$104:$A$145,Технологи!$B27,Производство!L$104:L$145)*$F27+$G27,0)</f>
        <v>0</v>
      </c>
      <c r="P27" s="46">
        <f t="array" ref="P27">IF(SUMIF(Производство!$A$104:$A$145,Технологи!$B27,Производство!M$104:M$145)&gt;0,SUMIF(Производство!$A$104:$A$145,Технологи!$B27,Производство!M$104:M$145)*$F27+$G27,0)</f>
        <v>0</v>
      </c>
      <c r="Q27" s="46">
        <f t="array" ref="Q27">IF(SUMIF(Производство!$A$104:$A$145,Технологи!$B27,Производство!N$104:N$145)&gt;0,SUMIF(Производство!$A$104:$A$145,Технологи!$B27,Производство!N$104:N$145)*$F27+$G27,0)</f>
        <v>0</v>
      </c>
      <c r="R27" s="46">
        <f t="array" ref="R27">IF(SUMIF(Производство!$A$104:$A$145,Технологи!$B27,Производство!O$104:O$145)&gt;0,SUMIF(Производство!$A$104:$A$145,Технологи!$B27,Производство!O$104:O$145)*$F27+$G27,0)</f>
        <v>0</v>
      </c>
      <c r="S27" s="46">
        <f t="array" ref="S27">IF(SUMIF(Производство!$A$104:$A$145,Технологи!$B27,Производство!P$104:P$145)&gt;0,SUMIF(Производство!$A$104:$A$145,Технологи!$B27,Производство!P$104:P$145)*$F27+$G27,0)</f>
        <v>0</v>
      </c>
      <c r="T27" s="46">
        <f t="array" ref="T27">IF(SUMIF(Производство!$A$104:$A$145,Технологи!$B27,Производство!Q$104:Q$145)&gt;0,SUMIF(Производство!$A$104:$A$145,Технологи!$B27,Производство!Q$104:Q$145)*$F27+$G27,0)</f>
        <v>0</v>
      </c>
    </row>
    <row r="28" spans="1:20" x14ac:dyDescent="0.25">
      <c r="A28" s="34" t="s">
        <v>377</v>
      </c>
      <c r="B28" s="13" t="s">
        <v>33</v>
      </c>
      <c r="C28" s="19" t="s">
        <v>21</v>
      </c>
      <c r="D28" s="14">
        <v>7038</v>
      </c>
      <c r="E28" s="20"/>
      <c r="F28" s="24">
        <v>0.35</v>
      </c>
      <c r="G28" s="24">
        <v>7.35</v>
      </c>
      <c r="H28" s="23">
        <f t="shared" si="1"/>
        <v>350</v>
      </c>
      <c r="I28" s="46">
        <f t="array" ref="I28">IF(SUMIF(Производство!$A$104:$A$145,Технологи!$B28,Производство!F$104:F$145)&gt;0,SUMIF(Производство!$A$104:$A$145,Технологи!$B28,Производство!F$104:F$145)*$F28+$G28,0)</f>
        <v>0</v>
      </c>
      <c r="J28" s="46">
        <f t="array" ref="J28">IF(SUMIF(Производство!$A$104:$A$145,Технологи!$B28,Производство!G$104:G$145)&gt;0,SUMIF(Производство!$A$104:$A$145,Технологи!$B28,Производство!G$104:G$145)*$F28+$G28,0)</f>
        <v>0</v>
      </c>
      <c r="K28" s="46">
        <f t="array" ref="K28">IF(SUMIF(Производство!$A$104:$A$145,Технологи!$B28,Производство!H$104:H$145)&gt;0,SUMIF(Производство!$A$104:$A$145,Технологи!$B28,Производство!H$104:H$145)*$F28+$G28,0)</f>
        <v>0</v>
      </c>
      <c r="L28" s="46">
        <f t="array" ref="L28">IF(SUMIF(Производство!$A$104:$A$145,Технологи!$B28,Производство!I$104:I$145)&gt;0,SUMIF(Производство!$A$104:$A$145,Технологи!$B28,Производство!I$104:I$145)*$F28+$G28,0)</f>
        <v>15.749999999999991</v>
      </c>
      <c r="M28" s="46">
        <f t="array" ref="M28">IF(SUMIF(Производство!$A$104:$A$145,Технологи!$B28,Производство!J$104:J$145)&gt;0,SUMIF(Производство!$A$104:$A$145,Технологи!$B28,Производство!J$104:J$145)*$F28+$G28,0)</f>
        <v>15.749999999999991</v>
      </c>
      <c r="N28" s="46">
        <f t="array" ref="N28">IF(SUMIF(Производство!$A$104:$A$145,Технологи!$B28,Производство!K$104:K$145)&gt;0,SUMIF(Производство!$A$104:$A$145,Технологи!$B28,Производство!K$104:K$145)*$F28+$G28,0)</f>
        <v>15.749999999999991</v>
      </c>
      <c r="O28" s="46">
        <f t="array" ref="O28">IF(SUMIF(Производство!$A$104:$A$145,Технологи!$B28,Производство!L$104:L$145)&gt;0,SUMIF(Производство!$A$104:$A$145,Технологи!$B28,Производство!L$104:L$145)*$F28+$G28,0)</f>
        <v>15.749999999999991</v>
      </c>
      <c r="P28" s="46">
        <f t="array" ref="P28">IF(SUMIF(Производство!$A$104:$A$145,Технологи!$B28,Производство!M$104:M$145)&gt;0,SUMIF(Производство!$A$104:$A$145,Технологи!$B28,Производство!M$104:M$145)*$F28+$G28,0)</f>
        <v>15.749999999999991</v>
      </c>
      <c r="Q28" s="46">
        <f t="array" ref="Q28">IF(SUMIF(Производство!$A$104:$A$145,Технологи!$B28,Производство!N$104:N$145)&gt;0,SUMIF(Производство!$A$104:$A$145,Технологи!$B28,Производство!N$104:N$145)*$F28+$G28,0)</f>
        <v>15.749999999999991</v>
      </c>
      <c r="R28" s="46">
        <f t="array" ref="R28">IF(SUMIF(Производство!$A$104:$A$145,Технологи!$B28,Производство!O$104:O$145)&gt;0,SUMIF(Производство!$A$104:$A$145,Технологи!$B28,Производство!O$104:O$145)*$F28+$G28,0)</f>
        <v>15.749999999999991</v>
      </c>
      <c r="S28" s="46">
        <f t="array" ref="S28">IF(SUMIF(Производство!$A$104:$A$145,Технологи!$B28,Производство!P$104:P$145)&gt;0,SUMIF(Производство!$A$104:$A$145,Технологи!$B28,Производство!P$104:P$145)*$F28+$G28,0)</f>
        <v>15.749999999999991</v>
      </c>
      <c r="T28" s="46">
        <f t="array" ref="T28">IF(SUMIF(Производство!$A$104:$A$145,Технологи!$B28,Производство!Q$104:Q$145)&gt;0,SUMIF(Производство!$A$104:$A$145,Технологи!$B28,Производство!Q$104:Q$145)*$F28+$G28,0)</f>
        <v>15.749999999999991</v>
      </c>
    </row>
    <row r="29" spans="1:20" x14ac:dyDescent="0.25">
      <c r="A29" s="34" t="s">
        <v>377</v>
      </c>
      <c r="B29" s="13" t="s">
        <v>33</v>
      </c>
      <c r="C29" s="19" t="s">
        <v>22</v>
      </c>
      <c r="D29" s="14">
        <v>7038</v>
      </c>
      <c r="E29" s="20"/>
      <c r="F29" s="24">
        <v>0</v>
      </c>
      <c r="G29" s="24">
        <v>0</v>
      </c>
      <c r="H29" s="23">
        <f t="shared" si="1"/>
        <v>0</v>
      </c>
      <c r="I29" s="46">
        <f t="array" ref="I29">IF(SUMIF(Производство!$A$104:$A$145,Технологи!$B29,Производство!F$104:F$145)&gt;0,SUMIF(Производство!$A$104:$A$145,Технологи!$B29,Производство!F$104:F$145)*$F29+$G29,0)</f>
        <v>0</v>
      </c>
      <c r="J29" s="46">
        <f t="array" ref="J29">IF(SUMIF(Производство!$A$104:$A$145,Технологи!$B29,Производство!G$104:G$145)&gt;0,SUMIF(Производство!$A$104:$A$145,Технологи!$B29,Производство!G$104:G$145)*$F29+$G29,0)</f>
        <v>0</v>
      </c>
      <c r="K29" s="46">
        <f t="array" ref="K29">IF(SUMIF(Производство!$A$104:$A$145,Технологи!$B29,Производство!H$104:H$145)&gt;0,SUMIF(Производство!$A$104:$A$145,Технологи!$B29,Производство!H$104:H$145)*$F29+$G29,0)</f>
        <v>0</v>
      </c>
      <c r="L29" s="46">
        <f t="array" ref="L29">IF(SUMIF(Производство!$A$104:$A$145,Технологи!$B29,Производство!I$104:I$145)&gt;0,SUMIF(Производство!$A$104:$A$145,Технологи!$B29,Производство!I$104:I$145)*$F29+$G29,0)</f>
        <v>0</v>
      </c>
      <c r="M29" s="46">
        <f t="array" ref="M29">IF(SUMIF(Производство!$A$104:$A$145,Технологи!$B29,Производство!J$104:J$145)&gt;0,SUMIF(Производство!$A$104:$A$145,Технологи!$B29,Производство!J$104:J$145)*$F29+$G29,0)</f>
        <v>0</v>
      </c>
      <c r="N29" s="46">
        <f t="array" ref="N29">IF(SUMIF(Производство!$A$104:$A$145,Технологи!$B29,Производство!K$104:K$145)&gt;0,SUMIF(Производство!$A$104:$A$145,Технологи!$B29,Производство!K$104:K$145)*$F29+$G29,0)</f>
        <v>0</v>
      </c>
      <c r="O29" s="46">
        <f t="array" ref="O29">IF(SUMIF(Производство!$A$104:$A$145,Технологи!$B29,Производство!L$104:L$145)&gt;0,SUMIF(Производство!$A$104:$A$145,Технологи!$B29,Производство!L$104:L$145)*$F29+$G29,0)</f>
        <v>0</v>
      </c>
      <c r="P29" s="46">
        <f t="array" ref="P29">IF(SUMIF(Производство!$A$104:$A$145,Технологи!$B29,Производство!M$104:M$145)&gt;0,SUMIF(Производство!$A$104:$A$145,Технологи!$B29,Производство!M$104:M$145)*$F29+$G29,0)</f>
        <v>0</v>
      </c>
      <c r="Q29" s="46">
        <f t="array" ref="Q29">IF(SUMIF(Производство!$A$104:$A$145,Технологи!$B29,Производство!N$104:N$145)&gt;0,SUMIF(Производство!$A$104:$A$145,Технологи!$B29,Производство!N$104:N$145)*$F29+$G29,0)</f>
        <v>0</v>
      </c>
      <c r="R29" s="46">
        <f t="array" ref="R29">IF(SUMIF(Производство!$A$104:$A$145,Технологи!$B29,Производство!O$104:O$145)&gt;0,SUMIF(Производство!$A$104:$A$145,Технологи!$B29,Производство!O$104:O$145)*$F29+$G29,0)</f>
        <v>0</v>
      </c>
      <c r="S29" s="46">
        <f t="array" ref="S29">IF(SUMIF(Производство!$A$104:$A$145,Технологи!$B29,Производство!P$104:P$145)&gt;0,SUMIF(Производство!$A$104:$A$145,Технологи!$B29,Производство!P$104:P$145)*$F29+$G29,0)</f>
        <v>0</v>
      </c>
      <c r="T29" s="46">
        <f t="array" ref="T29">IF(SUMIF(Производство!$A$104:$A$145,Технологи!$B29,Производство!Q$104:Q$145)&gt;0,SUMIF(Производство!$A$104:$A$145,Технологи!$B29,Производство!Q$104:Q$145)*$F29+$G29,0)</f>
        <v>0</v>
      </c>
    </row>
    <row r="30" spans="1:20" x14ac:dyDescent="0.25">
      <c r="A30" s="34" t="s">
        <v>377</v>
      </c>
      <c r="B30" s="13" t="s">
        <v>33</v>
      </c>
      <c r="C30" s="19" t="s">
        <v>23</v>
      </c>
      <c r="D30" s="14">
        <v>7038</v>
      </c>
      <c r="E30" s="20"/>
      <c r="F30" s="24">
        <v>0.84599999999999997</v>
      </c>
      <c r="G30" s="24">
        <v>17.765999999999998</v>
      </c>
      <c r="H30" s="23">
        <f t="shared" si="1"/>
        <v>846</v>
      </c>
      <c r="I30" s="46">
        <f t="array" ref="I30">IF(SUMIF(Производство!$A$104:$A$145,Технологи!$B30,Производство!F$104:F$145)&gt;0,SUMIF(Производство!$A$104:$A$145,Технологи!$B30,Производство!F$104:F$145)*$F30+$G30,0)</f>
        <v>0</v>
      </c>
      <c r="J30" s="46">
        <f t="array" ref="J30">IF(SUMIF(Производство!$A$104:$A$145,Технологи!$B30,Производство!G$104:G$145)&gt;0,SUMIF(Производство!$A$104:$A$145,Технологи!$B30,Производство!G$104:G$145)*$F30+$G30,0)</f>
        <v>0</v>
      </c>
      <c r="K30" s="46">
        <f t="array" ref="K30">IF(SUMIF(Производство!$A$104:$A$145,Технологи!$B30,Производство!H$104:H$145)&gt;0,SUMIF(Производство!$A$104:$A$145,Технологи!$B30,Производство!H$104:H$145)*$F30+$G30,0)</f>
        <v>0</v>
      </c>
      <c r="L30" s="46">
        <f t="array" ref="L30">IF(SUMIF(Производство!$A$104:$A$145,Технологи!$B30,Производство!I$104:I$145)&gt;0,SUMIF(Производство!$A$104:$A$145,Технологи!$B30,Производство!I$104:I$145)*$F30+$G30,0)</f>
        <v>38.069999999999979</v>
      </c>
      <c r="M30" s="46">
        <f t="array" ref="M30">IF(SUMIF(Производство!$A$104:$A$145,Технологи!$B30,Производство!J$104:J$145)&gt;0,SUMIF(Производство!$A$104:$A$145,Технологи!$B30,Производство!J$104:J$145)*$F30+$G30,0)</f>
        <v>38.069999999999979</v>
      </c>
      <c r="N30" s="46">
        <f t="array" ref="N30">IF(SUMIF(Производство!$A$104:$A$145,Технологи!$B30,Производство!K$104:K$145)&gt;0,SUMIF(Производство!$A$104:$A$145,Технологи!$B30,Производство!K$104:K$145)*$F30+$G30,0)</f>
        <v>38.069999999999979</v>
      </c>
      <c r="O30" s="46">
        <f t="array" ref="O30">IF(SUMIF(Производство!$A$104:$A$145,Технологи!$B30,Производство!L$104:L$145)&gt;0,SUMIF(Производство!$A$104:$A$145,Технологи!$B30,Производство!L$104:L$145)*$F30+$G30,0)</f>
        <v>38.069999999999979</v>
      </c>
      <c r="P30" s="46">
        <f t="array" ref="P30">IF(SUMIF(Производство!$A$104:$A$145,Технологи!$B30,Производство!M$104:M$145)&gt;0,SUMIF(Производство!$A$104:$A$145,Технологи!$B30,Производство!M$104:M$145)*$F30+$G30,0)</f>
        <v>38.069999999999979</v>
      </c>
      <c r="Q30" s="46">
        <f t="array" ref="Q30">IF(SUMIF(Производство!$A$104:$A$145,Технологи!$B30,Производство!N$104:N$145)&gt;0,SUMIF(Производство!$A$104:$A$145,Технологи!$B30,Производство!N$104:N$145)*$F30+$G30,0)</f>
        <v>38.069999999999979</v>
      </c>
      <c r="R30" s="46">
        <f t="array" ref="R30">IF(SUMIF(Производство!$A$104:$A$145,Технологи!$B30,Производство!O$104:O$145)&gt;0,SUMIF(Производство!$A$104:$A$145,Технологи!$B30,Производство!O$104:O$145)*$F30+$G30,0)</f>
        <v>38.069999999999979</v>
      </c>
      <c r="S30" s="46">
        <f t="array" ref="S30">IF(SUMIF(Производство!$A$104:$A$145,Технологи!$B30,Производство!P$104:P$145)&gt;0,SUMIF(Производство!$A$104:$A$145,Технологи!$B30,Производство!P$104:P$145)*$F30+$G30,0)</f>
        <v>38.069999999999979</v>
      </c>
      <c r="T30" s="46">
        <f t="array" ref="T30">IF(SUMIF(Производство!$A$104:$A$145,Технологи!$B30,Производство!Q$104:Q$145)&gt;0,SUMIF(Производство!$A$104:$A$145,Технологи!$B30,Производство!Q$104:Q$145)*$F30+$G30,0)</f>
        <v>38.069999999999979</v>
      </c>
    </row>
    <row r="31" spans="1:20" x14ac:dyDescent="0.25">
      <c r="A31" s="34" t="s">
        <v>377</v>
      </c>
      <c r="B31" s="13" t="s">
        <v>34</v>
      </c>
      <c r="C31" s="15" t="s">
        <v>11</v>
      </c>
      <c r="D31" s="14">
        <v>7038</v>
      </c>
      <c r="E31" s="16">
        <v>16.061</v>
      </c>
      <c r="F31" s="22">
        <f>SUM(F32:F43)</f>
        <v>16.089254073665355</v>
      </c>
      <c r="G31" s="22">
        <f>SUM(G32:G43)</f>
        <v>827.25094999999999</v>
      </c>
      <c r="H31" s="23">
        <f t="shared" si="1"/>
        <v>16089.254073665355</v>
      </c>
      <c r="I31" s="46">
        <f t="array" ref="I31">IF(SUMIF(Производство!$A$104:$A$145,Технологи!$B31,Производство!F$104:F$145)&gt;0,SUMIF(Производство!$A$104:$A$145,Технологи!$B31,Производство!F$104:F$145)*$F31+$G31,0)</f>
        <v>33133.984271443725</v>
      </c>
      <c r="J31" s="46">
        <f t="array" ref="J31">IF(SUMIF(Производство!$A$104:$A$145,Технологи!$B31,Производство!G$104:G$145)&gt;0,SUMIF(Производство!$A$104:$A$145,Технологи!$B31,Производство!G$104:G$145)*$F31+$G31,0)</f>
        <v>0</v>
      </c>
      <c r="K31" s="46">
        <f t="array" ref="K31">IF(SUMIF(Производство!$A$104:$A$145,Технологи!$B31,Производство!H$104:H$145)&gt;0,SUMIF(Производство!$A$104:$A$145,Технологи!$B31,Производство!H$104:H$145)*$F31+$G31,0)</f>
        <v>28635.843381924093</v>
      </c>
      <c r="L31" s="46">
        <f t="array" ref="L31">IF(SUMIF(Производство!$A$104:$A$145,Технологи!$B31,Производство!I$104:I$145)&gt;0,SUMIF(Производство!$A$104:$A$145,Технологи!$B31,Производство!I$104:I$145)*$F31+$G31,0)</f>
        <v>28635.843381924093</v>
      </c>
      <c r="M31" s="46">
        <f t="array" ref="M31">IF(SUMIF(Производство!$A$104:$A$145,Технологи!$B31,Производство!J$104:J$145)&gt;0,SUMIF(Производство!$A$104:$A$145,Технологи!$B31,Производство!J$104:J$145)*$F31+$G31,0)</f>
        <v>22326.330813336273</v>
      </c>
      <c r="N31" s="46">
        <f t="array" ref="N31">IF(SUMIF(Производство!$A$104:$A$145,Технологи!$B31,Производство!K$104:K$145)&gt;0,SUMIF(Производство!$A$104:$A$145,Технологи!$B31,Производство!K$104:K$145)*$F31+$G31,0)</f>
        <v>22326.330813336273</v>
      </c>
      <c r="O31" s="46">
        <f t="array" ref="O31">IF(SUMIF(Производство!$A$104:$A$145,Технологи!$B31,Производство!L$104:L$145)&gt;0,SUMIF(Производство!$A$104:$A$145,Технологи!$B31,Производство!L$104:L$145)*$F31+$G31,0)</f>
        <v>22326.330813336273</v>
      </c>
      <c r="P31" s="46">
        <f t="array" ref="P31">IF(SUMIF(Производство!$A$104:$A$145,Технологи!$B31,Производство!M$104:M$145)&gt;0,SUMIF(Производство!$A$104:$A$145,Технологи!$B31,Производство!M$104:M$145)*$F31+$G31,0)</f>
        <v>22326.330813336273</v>
      </c>
      <c r="Q31" s="46">
        <f t="array" ref="Q31">IF(SUMIF(Производство!$A$104:$A$145,Технологи!$B31,Производство!N$104:N$145)&gt;0,SUMIF(Производство!$A$104:$A$145,Технологи!$B31,Производство!N$104:N$145)*$F31+$G31,0)</f>
        <v>22326.330813336273</v>
      </c>
      <c r="R31" s="46">
        <f t="array" ref="R31">IF(SUMIF(Производство!$A$104:$A$145,Технологи!$B31,Производство!O$104:O$145)&gt;0,SUMIF(Производство!$A$104:$A$145,Технологи!$B31,Производство!O$104:O$145)*$F31+$G31,0)</f>
        <v>22326.330813336273</v>
      </c>
      <c r="S31" s="46">
        <f t="array" ref="S31">IF(SUMIF(Производство!$A$104:$A$145,Технологи!$B31,Производство!P$104:P$145)&gt;0,SUMIF(Производство!$A$104:$A$145,Технологи!$B31,Производство!P$104:P$145)*$F31+$G31,0)</f>
        <v>22326.330813336273</v>
      </c>
      <c r="T31" s="46">
        <f t="array" ref="T31">IF(SUMIF(Производство!$A$104:$A$145,Технологи!$B31,Производство!Q$104:Q$145)&gt;0,SUMIF(Производство!$A$104:$A$145,Технологи!$B31,Производство!Q$104:Q$145)*$F31+$G31,0)</f>
        <v>22326.330813336273</v>
      </c>
    </row>
    <row r="32" spans="1:20" x14ac:dyDescent="0.25">
      <c r="A32" s="34" t="s">
        <v>377</v>
      </c>
      <c r="B32" s="13" t="s">
        <v>34</v>
      </c>
      <c r="C32" s="19" t="s">
        <v>12</v>
      </c>
      <c r="D32" s="14">
        <v>7038</v>
      </c>
      <c r="E32" s="20"/>
      <c r="F32" s="24">
        <v>4.0404584629165168</v>
      </c>
      <c r="G32" s="24">
        <v>117.29743811963414</v>
      </c>
      <c r="H32" s="23">
        <f t="shared" si="1"/>
        <v>4040.458462916517</v>
      </c>
      <c r="I32" s="46">
        <f t="array" ref="I32">IF(SUMIF(Производство!$A$104:$A$145,Технологи!$B32,Производство!F$104:F$145)&gt;0,SUMIF(Производство!$A$104:$A$145,Технологи!$B32,Производство!F$104:F$145)*$F32+$G32,0)</f>
        <v>8230.4152657180184</v>
      </c>
      <c r="J32" s="46">
        <f t="array" ref="J32">IF(SUMIF(Производство!$A$104:$A$145,Технологи!$B32,Производство!G$104:G$145)&gt;0,SUMIF(Производство!$A$104:$A$145,Технологи!$B32,Производство!G$104:G$145)*$F32+$G32,0)</f>
        <v>0</v>
      </c>
      <c r="K32" s="46">
        <f t="array" ref="K32">IF(SUMIF(Производство!$A$104:$A$145,Технологи!$B32,Производство!H$104:H$145)&gt;0,SUMIF(Производство!$A$104:$A$145,Технологи!$B32,Производство!H$104:H$145)*$F32+$G32,0)</f>
        <v>7100.8071843714606</v>
      </c>
      <c r="L32" s="46">
        <f t="array" ref="L32">IF(SUMIF(Производство!$A$104:$A$145,Технологи!$B32,Производство!I$104:I$145)&gt;0,SUMIF(Производство!$A$104:$A$145,Технологи!$B32,Производство!I$104:I$145)*$F32+$G32,0)</f>
        <v>7100.8071843714606</v>
      </c>
      <c r="M32" s="46">
        <f t="array" ref="M32">IF(SUMIF(Производство!$A$104:$A$145,Технологи!$B32,Производство!J$104:J$145)&gt;0,SUMIF(Производство!$A$104:$A$145,Технологи!$B32,Производство!J$104:J$145)*$F32+$G32,0)</f>
        <v>5516.313376398356</v>
      </c>
      <c r="N32" s="46">
        <f t="array" ref="N32">IF(SUMIF(Производство!$A$104:$A$145,Технологи!$B32,Производство!K$104:K$145)&gt;0,SUMIF(Производство!$A$104:$A$145,Технологи!$B32,Производство!K$104:K$145)*$F32+$G32,0)</f>
        <v>5516.313376398356</v>
      </c>
      <c r="O32" s="46">
        <f t="array" ref="O32">IF(SUMIF(Производство!$A$104:$A$145,Технологи!$B32,Производство!L$104:L$145)&gt;0,SUMIF(Производство!$A$104:$A$145,Технологи!$B32,Производство!L$104:L$145)*$F32+$G32,0)</f>
        <v>5516.313376398356</v>
      </c>
      <c r="P32" s="46">
        <f t="array" ref="P32">IF(SUMIF(Производство!$A$104:$A$145,Технологи!$B32,Производство!M$104:M$145)&gt;0,SUMIF(Производство!$A$104:$A$145,Технологи!$B32,Производство!M$104:M$145)*$F32+$G32,0)</f>
        <v>5516.313376398356</v>
      </c>
      <c r="Q32" s="46">
        <f t="array" ref="Q32">IF(SUMIF(Производство!$A$104:$A$145,Технологи!$B32,Производство!N$104:N$145)&gt;0,SUMIF(Производство!$A$104:$A$145,Технологи!$B32,Производство!N$104:N$145)*$F32+$G32,0)</f>
        <v>5516.313376398356</v>
      </c>
      <c r="R32" s="46">
        <f t="array" ref="R32">IF(SUMIF(Производство!$A$104:$A$145,Технологи!$B32,Производство!O$104:O$145)&gt;0,SUMIF(Производство!$A$104:$A$145,Технологи!$B32,Производство!O$104:O$145)*$F32+$G32,0)</f>
        <v>5516.313376398356</v>
      </c>
      <c r="S32" s="46">
        <f t="array" ref="S32">IF(SUMIF(Производство!$A$104:$A$145,Технологи!$B32,Производство!P$104:P$145)&gt;0,SUMIF(Производство!$A$104:$A$145,Технологи!$B32,Производство!P$104:P$145)*$F32+$G32,0)</f>
        <v>5516.313376398356</v>
      </c>
      <c r="T32" s="46">
        <f t="array" ref="T32">IF(SUMIF(Производство!$A$104:$A$145,Технологи!$B32,Производство!Q$104:Q$145)&gt;0,SUMIF(Производство!$A$104:$A$145,Технологи!$B32,Производство!Q$104:Q$145)*$F32+$G32,0)</f>
        <v>5516.313376398356</v>
      </c>
    </row>
    <row r="33" spans="1:20" x14ac:dyDescent="0.25">
      <c r="A33" s="34" t="s">
        <v>377</v>
      </c>
      <c r="B33" s="13" t="s">
        <v>34</v>
      </c>
      <c r="C33" s="19" t="s">
        <v>13</v>
      </c>
      <c r="D33" s="14">
        <v>7038</v>
      </c>
      <c r="E33" s="20"/>
      <c r="F33" s="24">
        <v>1.4240299767108562</v>
      </c>
      <c r="G33" s="24">
        <v>39.419023445922491</v>
      </c>
      <c r="H33" s="23">
        <f t="shared" si="1"/>
        <v>1424.0299767108561</v>
      </c>
      <c r="I33" s="46">
        <f t="array" ref="I33">IF(SUMIF(Производство!$A$104:$A$145,Технологи!$B33,Производство!F$104:F$145)&gt;0,SUMIF(Производство!$A$104:$A$145,Технологи!$B33,Производство!F$104:F$145)*$F33+$G33,0)</f>
        <v>2898.8279487261111</v>
      </c>
      <c r="J33" s="46">
        <f t="array" ref="J33">IF(SUMIF(Производство!$A$104:$A$145,Технологи!$B33,Производство!G$104:G$145)&gt;0,SUMIF(Производство!$A$104:$A$145,Технологи!$B33,Производство!G$104:G$145)*$F33+$G33,0)</f>
        <v>0</v>
      </c>
      <c r="K33" s="46">
        <f t="array" ref="K33">IF(SUMIF(Производство!$A$104:$A$145,Технологи!$B33,Производство!H$104:H$145)&gt;0,SUMIF(Производство!$A$104:$A$145,Технологи!$B33,Производство!H$104:H$145)*$F33+$G33,0)</f>
        <v>2500.7058582415561</v>
      </c>
      <c r="L33" s="46">
        <f t="array" ref="L33">IF(SUMIF(Производство!$A$104:$A$145,Технологи!$B33,Производство!I$104:I$145)&gt;0,SUMIF(Производство!$A$104:$A$145,Технологи!$B33,Производство!I$104:I$145)*$F33+$G33,0)</f>
        <v>2500.7058582415561</v>
      </c>
      <c r="M33" s="46">
        <f t="array" ref="M33">IF(SUMIF(Производство!$A$104:$A$145,Технологи!$B33,Производство!J$104:J$145)&gt;0,SUMIF(Производство!$A$104:$A$145,Технологи!$B33,Производство!J$104:J$145)*$F33+$G33,0)</f>
        <v>1942.2626268173365</v>
      </c>
      <c r="N33" s="46">
        <f t="array" ref="N33">IF(SUMIF(Производство!$A$104:$A$145,Технологи!$B33,Производство!K$104:K$145)&gt;0,SUMIF(Производство!$A$104:$A$145,Технологи!$B33,Производство!K$104:K$145)*$F33+$G33,0)</f>
        <v>1942.2626268173365</v>
      </c>
      <c r="O33" s="46">
        <f t="array" ref="O33">IF(SUMIF(Производство!$A$104:$A$145,Технологи!$B33,Производство!L$104:L$145)&gt;0,SUMIF(Производство!$A$104:$A$145,Технологи!$B33,Производство!L$104:L$145)*$F33+$G33,0)</f>
        <v>1942.2626268173365</v>
      </c>
      <c r="P33" s="46">
        <f t="array" ref="P33">IF(SUMIF(Производство!$A$104:$A$145,Технологи!$B33,Производство!M$104:M$145)&gt;0,SUMIF(Производство!$A$104:$A$145,Технологи!$B33,Производство!M$104:M$145)*$F33+$G33,0)</f>
        <v>1942.2626268173365</v>
      </c>
      <c r="Q33" s="46">
        <f t="array" ref="Q33">IF(SUMIF(Производство!$A$104:$A$145,Технологи!$B33,Производство!N$104:N$145)&gt;0,SUMIF(Производство!$A$104:$A$145,Технологи!$B33,Производство!N$104:N$145)*$F33+$G33,0)</f>
        <v>1942.2626268173365</v>
      </c>
      <c r="R33" s="46">
        <f t="array" ref="R33">IF(SUMIF(Производство!$A$104:$A$145,Технологи!$B33,Производство!O$104:O$145)&gt;0,SUMIF(Производство!$A$104:$A$145,Технологи!$B33,Производство!O$104:O$145)*$F33+$G33,0)</f>
        <v>1942.2626268173365</v>
      </c>
      <c r="S33" s="46">
        <f t="array" ref="S33">IF(SUMIF(Производство!$A$104:$A$145,Технологи!$B33,Производство!P$104:P$145)&gt;0,SUMIF(Производство!$A$104:$A$145,Технологи!$B33,Производство!P$104:P$145)*$F33+$G33,0)</f>
        <v>1942.2626268173365</v>
      </c>
      <c r="T33" s="46">
        <f t="array" ref="T33">IF(SUMIF(Производство!$A$104:$A$145,Технологи!$B33,Производство!Q$104:Q$145)&gt;0,SUMIF(Производство!$A$104:$A$145,Технологи!$B33,Производство!Q$104:Q$145)*$F33+$G33,0)</f>
        <v>1942.2626268173365</v>
      </c>
    </row>
    <row r="34" spans="1:20" x14ac:dyDescent="0.25">
      <c r="A34" s="34" t="s">
        <v>377</v>
      </c>
      <c r="B34" s="13" t="s">
        <v>34</v>
      </c>
      <c r="C34" s="19" t="s">
        <v>14</v>
      </c>
      <c r="D34" s="14">
        <v>7038</v>
      </c>
      <c r="E34" s="20"/>
      <c r="F34" s="24">
        <v>1.2205971228950197E-2</v>
      </c>
      <c r="G34" s="24">
        <v>0.35189231435890245</v>
      </c>
      <c r="H34" s="23">
        <f t="shared" si="1"/>
        <v>12.205971228950197</v>
      </c>
      <c r="I34" s="46">
        <f t="array" ref="I34">IF(SUMIF(Производство!$A$104:$A$145,Технологи!$B34,Производство!F$104:F$145)&gt;0,SUMIF(Производство!$A$104:$A$145,Технологи!$B34,Производство!F$104:F$145)*$F34+$G34,0)</f>
        <v>24.86111167390338</v>
      </c>
      <c r="J34" s="46">
        <f t="array" ref="J34">IF(SUMIF(Производство!$A$104:$A$145,Технологи!$B34,Производство!G$104:G$145)&gt;0,SUMIF(Производство!$A$104:$A$145,Технологи!$B34,Производство!G$104:G$145)*$F34+$G34,0)</f>
        <v>0</v>
      </c>
      <c r="K34" s="46">
        <f t="array" ref="K34">IF(SUMIF(Производство!$A$104:$A$145,Технологи!$B34,Производство!H$104:H$145)&gt;0,SUMIF(Производство!$A$104:$A$145,Технологи!$B34,Производство!H$104:H$145)*$F34+$G34,0)</f>
        <v>21.448636612607192</v>
      </c>
      <c r="L34" s="46">
        <f t="array" ref="L34">IF(SUMIF(Производство!$A$104:$A$145,Технологи!$B34,Производство!I$104:I$145)&gt;0,SUMIF(Производство!$A$104:$A$145,Технологи!$B34,Производство!I$104:I$145)*$F34+$G34,0)</f>
        <v>21.448636612607192</v>
      </c>
      <c r="M34" s="46">
        <f t="array" ref="M34">IF(SUMIF(Производство!$A$104:$A$145,Технологи!$B34,Производство!J$104:J$145)&gt;0,SUMIF(Производство!$A$104:$A$145,Технологи!$B34,Производство!J$104:J$145)*$F34+$G34,0)</f>
        <v>16.66198034325674</v>
      </c>
      <c r="N34" s="46">
        <f t="array" ref="N34">IF(SUMIF(Производство!$A$104:$A$145,Технологи!$B34,Производство!K$104:K$145)&gt;0,SUMIF(Производство!$A$104:$A$145,Технологи!$B34,Производство!K$104:K$145)*$F34+$G34,0)</f>
        <v>16.66198034325674</v>
      </c>
      <c r="O34" s="46">
        <f t="array" ref="O34">IF(SUMIF(Производство!$A$104:$A$145,Технологи!$B34,Производство!L$104:L$145)&gt;0,SUMIF(Производство!$A$104:$A$145,Технологи!$B34,Производство!L$104:L$145)*$F34+$G34,0)</f>
        <v>16.66198034325674</v>
      </c>
      <c r="P34" s="46">
        <f t="array" ref="P34">IF(SUMIF(Производство!$A$104:$A$145,Технологи!$B34,Производство!M$104:M$145)&gt;0,SUMIF(Производство!$A$104:$A$145,Технологи!$B34,Производство!M$104:M$145)*$F34+$G34,0)</f>
        <v>16.66198034325674</v>
      </c>
      <c r="Q34" s="46">
        <f t="array" ref="Q34">IF(SUMIF(Производство!$A$104:$A$145,Технологи!$B34,Производство!N$104:N$145)&gt;0,SUMIF(Производство!$A$104:$A$145,Технологи!$B34,Производство!N$104:N$145)*$F34+$G34,0)</f>
        <v>16.66198034325674</v>
      </c>
      <c r="R34" s="46">
        <f t="array" ref="R34">IF(SUMIF(Производство!$A$104:$A$145,Технологи!$B34,Производство!O$104:O$145)&gt;0,SUMIF(Производство!$A$104:$A$145,Технологи!$B34,Производство!O$104:O$145)*$F34+$G34,0)</f>
        <v>16.66198034325674</v>
      </c>
      <c r="S34" s="46">
        <f t="array" ref="S34">IF(SUMIF(Производство!$A$104:$A$145,Технологи!$B34,Производство!P$104:P$145)&gt;0,SUMIF(Производство!$A$104:$A$145,Технологи!$B34,Производство!P$104:P$145)*$F34+$G34,0)</f>
        <v>16.66198034325674</v>
      </c>
      <c r="T34" s="46">
        <f t="array" ref="T34">IF(SUMIF(Производство!$A$104:$A$145,Технологи!$B34,Производство!Q$104:Q$145)&gt;0,SUMIF(Производство!$A$104:$A$145,Технологи!$B34,Производство!Q$104:Q$145)*$F34+$G34,0)</f>
        <v>16.66198034325674</v>
      </c>
    </row>
    <row r="35" spans="1:20" x14ac:dyDescent="0.25">
      <c r="A35" s="34" t="s">
        <v>377</v>
      </c>
      <c r="B35" s="13" t="s">
        <v>34</v>
      </c>
      <c r="C35" s="19" t="s">
        <v>15</v>
      </c>
      <c r="D35" s="14">
        <v>7038</v>
      </c>
      <c r="E35" s="20"/>
      <c r="F35" s="24">
        <v>6.1029856144750984E-3</v>
      </c>
      <c r="G35" s="24">
        <v>0.17594615717945122</v>
      </c>
      <c r="H35" s="23">
        <f t="shared" si="1"/>
        <v>6.1029856144750987</v>
      </c>
      <c r="I35" s="46">
        <f t="array" ref="I35">IF(SUMIF(Производство!$A$104:$A$145,Технологи!$B35,Производство!F$104:F$145)&gt;0,SUMIF(Производство!$A$104:$A$145,Технологи!$B35,Производство!F$104:F$145)*$F35+$G35,0)</f>
        <v>12.43055583695169</v>
      </c>
      <c r="J35" s="46">
        <f t="array" ref="J35">IF(SUMIF(Производство!$A$104:$A$145,Технологи!$B35,Производство!G$104:G$145)&gt;0,SUMIF(Производство!$A$104:$A$145,Технологи!$B35,Производство!G$104:G$145)*$F35+$G35,0)</f>
        <v>0</v>
      </c>
      <c r="K35" s="46">
        <f t="array" ref="K35">IF(SUMIF(Производство!$A$104:$A$145,Технологи!$B35,Производство!H$104:H$145)&gt;0,SUMIF(Производство!$A$104:$A$145,Технологи!$B35,Производство!H$104:H$145)*$F35+$G35,0)</f>
        <v>10.724318306303596</v>
      </c>
      <c r="L35" s="46">
        <f t="array" ref="L35">IF(SUMIF(Производство!$A$104:$A$145,Технологи!$B35,Производство!I$104:I$145)&gt;0,SUMIF(Производство!$A$104:$A$145,Технологи!$B35,Производство!I$104:I$145)*$F35+$G35,0)</f>
        <v>10.724318306303596</v>
      </c>
      <c r="M35" s="46">
        <f t="array" ref="M35">IF(SUMIF(Производство!$A$104:$A$145,Технологи!$B35,Производство!J$104:J$145)&gt;0,SUMIF(Производство!$A$104:$A$145,Технологи!$B35,Производство!J$104:J$145)*$F35+$G35,0)</f>
        <v>8.3309901716283701</v>
      </c>
      <c r="N35" s="46">
        <f t="array" ref="N35">IF(SUMIF(Производство!$A$104:$A$145,Технологи!$B35,Производство!K$104:K$145)&gt;0,SUMIF(Производство!$A$104:$A$145,Технологи!$B35,Производство!K$104:K$145)*$F35+$G35,0)</f>
        <v>8.3309901716283701</v>
      </c>
      <c r="O35" s="46">
        <f t="array" ref="O35">IF(SUMIF(Производство!$A$104:$A$145,Технологи!$B35,Производство!L$104:L$145)&gt;0,SUMIF(Производство!$A$104:$A$145,Технологи!$B35,Производство!L$104:L$145)*$F35+$G35,0)</f>
        <v>8.3309901716283701</v>
      </c>
      <c r="P35" s="46">
        <f t="array" ref="P35">IF(SUMIF(Производство!$A$104:$A$145,Технологи!$B35,Производство!M$104:M$145)&gt;0,SUMIF(Производство!$A$104:$A$145,Технологи!$B35,Производство!M$104:M$145)*$F35+$G35,0)</f>
        <v>8.3309901716283701</v>
      </c>
      <c r="Q35" s="46">
        <f t="array" ref="Q35">IF(SUMIF(Производство!$A$104:$A$145,Технологи!$B35,Производство!N$104:N$145)&gt;0,SUMIF(Производство!$A$104:$A$145,Технологи!$B35,Производство!N$104:N$145)*$F35+$G35,0)</f>
        <v>8.3309901716283701</v>
      </c>
      <c r="R35" s="46">
        <f t="array" ref="R35">IF(SUMIF(Производство!$A$104:$A$145,Технологи!$B35,Производство!O$104:O$145)&gt;0,SUMIF(Производство!$A$104:$A$145,Технологи!$B35,Производство!O$104:O$145)*$F35+$G35,0)</f>
        <v>8.3309901716283701</v>
      </c>
      <c r="S35" s="46">
        <f t="array" ref="S35">IF(SUMIF(Производство!$A$104:$A$145,Технологи!$B35,Производство!P$104:P$145)&gt;0,SUMIF(Производство!$A$104:$A$145,Технологи!$B35,Производство!P$104:P$145)*$F35+$G35,0)</f>
        <v>8.3309901716283701</v>
      </c>
      <c r="T35" s="46">
        <f t="array" ref="T35">IF(SUMIF(Производство!$A$104:$A$145,Технологи!$B35,Производство!Q$104:Q$145)&gt;0,SUMIF(Производство!$A$104:$A$145,Технологи!$B35,Производство!Q$104:Q$145)*$F35+$G35,0)</f>
        <v>8.3309901716283701</v>
      </c>
    </row>
    <row r="36" spans="1:20" x14ac:dyDescent="0.25">
      <c r="A36" s="34" t="s">
        <v>377</v>
      </c>
      <c r="B36" s="13" t="s">
        <v>34</v>
      </c>
      <c r="C36" s="19" t="s">
        <v>16</v>
      </c>
      <c r="D36" s="14">
        <v>7038</v>
      </c>
      <c r="E36" s="20"/>
      <c r="F36" s="24">
        <v>8.0970304192045844E-2</v>
      </c>
      <c r="G36" s="24">
        <v>2.3459487623926831</v>
      </c>
      <c r="H36" s="23">
        <f t="shared" si="1"/>
        <v>80.970304192045845</v>
      </c>
      <c r="I36" s="46">
        <f t="array" ref="I36">IF(SUMIF(Производство!$A$104:$A$145,Технологи!$B36,Производство!F$104:F$145)&gt;0,SUMIF(Производство!$A$104:$A$145,Технологи!$B36,Производство!F$104:F$145)*$F36+$G36,0)</f>
        <v>164.93185936531145</v>
      </c>
      <c r="J36" s="46">
        <f t="array" ref="J36">IF(SUMIF(Производство!$A$104:$A$145,Технологи!$B36,Производство!G$104:G$145)&gt;0,SUMIF(Производство!$A$104:$A$145,Технологи!$B36,Производство!G$104:G$145)*$F36+$G36,0)</f>
        <v>0</v>
      </c>
      <c r="K36" s="46">
        <f t="array" ref="K36">IF(SUMIF(Производство!$A$104:$A$145,Технологи!$B36,Производство!H$104:H$145)&gt;0,SUMIF(Производство!$A$104:$A$145,Технологи!$B36,Производство!H$104:H$145)*$F36+$G36,0)</f>
        <v>142.29464856265358</v>
      </c>
      <c r="L36" s="46">
        <f t="array" ref="L36">IF(SUMIF(Производство!$A$104:$A$145,Технологи!$B36,Производство!I$104:I$145)&gt;0,SUMIF(Производство!$A$104:$A$145,Технологи!$B36,Производство!I$104:I$145)*$F36+$G36,0)</f>
        <v>142.29464856265358</v>
      </c>
      <c r="M36" s="46">
        <f t="array" ref="M36">IF(SUMIF(Производство!$A$104:$A$145,Технологи!$B36,Производство!J$104:J$145)&gt;0,SUMIF(Производство!$A$104:$A$145,Технологи!$B36,Производство!J$104:J$145)*$F36+$G36,0)</f>
        <v>110.54158222141791</v>
      </c>
      <c r="N36" s="46">
        <f t="array" ref="N36">IF(SUMIF(Производство!$A$104:$A$145,Технологи!$B36,Производство!K$104:K$145)&gt;0,SUMIF(Производство!$A$104:$A$145,Технологи!$B36,Производство!K$104:K$145)*$F36+$G36,0)</f>
        <v>110.54158222141791</v>
      </c>
      <c r="O36" s="46">
        <f t="array" ref="O36">IF(SUMIF(Производство!$A$104:$A$145,Технологи!$B36,Производство!L$104:L$145)&gt;0,SUMIF(Производство!$A$104:$A$145,Технологи!$B36,Производство!L$104:L$145)*$F36+$G36,0)</f>
        <v>110.54158222141791</v>
      </c>
      <c r="P36" s="46">
        <f t="array" ref="P36">IF(SUMIF(Производство!$A$104:$A$145,Технологи!$B36,Производство!M$104:M$145)&gt;0,SUMIF(Производство!$A$104:$A$145,Технологи!$B36,Производство!M$104:M$145)*$F36+$G36,0)</f>
        <v>110.54158222141791</v>
      </c>
      <c r="Q36" s="46">
        <f t="array" ref="Q36">IF(SUMIF(Производство!$A$104:$A$145,Технологи!$B36,Производство!N$104:N$145)&gt;0,SUMIF(Производство!$A$104:$A$145,Технологи!$B36,Производство!N$104:N$145)*$F36+$G36,0)</f>
        <v>110.54158222141791</v>
      </c>
      <c r="R36" s="46">
        <f t="array" ref="R36">IF(SUMIF(Производство!$A$104:$A$145,Технологи!$B36,Производство!O$104:O$145)&gt;0,SUMIF(Производство!$A$104:$A$145,Технологи!$B36,Производство!O$104:O$145)*$F36+$G36,0)</f>
        <v>110.54158222141791</v>
      </c>
      <c r="S36" s="46">
        <f t="array" ref="S36">IF(SUMIF(Производство!$A$104:$A$145,Технологи!$B36,Производство!P$104:P$145)&gt;0,SUMIF(Производство!$A$104:$A$145,Технологи!$B36,Производство!P$104:P$145)*$F36+$G36,0)</f>
        <v>110.54158222141791</v>
      </c>
      <c r="T36" s="46">
        <f t="array" ref="T36">IF(SUMIF(Производство!$A$104:$A$145,Технологи!$B36,Производство!Q$104:Q$145)&gt;0,SUMIF(Производство!$A$104:$A$145,Технологи!$B36,Производство!Q$104:Q$145)*$F36+$G36,0)</f>
        <v>110.54158222141791</v>
      </c>
    </row>
    <row r="37" spans="1:20" x14ac:dyDescent="0.25">
      <c r="A37" s="34" t="s">
        <v>377</v>
      </c>
      <c r="B37" s="13" t="s">
        <v>34</v>
      </c>
      <c r="C37" s="19" t="s">
        <v>17</v>
      </c>
      <c r="D37" s="14">
        <v>7038</v>
      </c>
      <c r="E37" s="20"/>
      <c r="F37" s="24">
        <v>4.4976788373342895E-2</v>
      </c>
      <c r="G37" s="24">
        <v>1.2902718193159759</v>
      </c>
      <c r="H37" s="23">
        <f t="shared" si="1"/>
        <v>44.976788373342892</v>
      </c>
      <c r="I37" s="46">
        <f t="array" ref="I37">IF(SUMIF(Производство!$A$104:$A$145,Технологи!$B37,Производство!F$104:F$145)&gt;0,SUMIF(Производство!$A$104:$A$145,Технологи!$B37,Производство!F$104:F$145)*$F37+$G37,0)</f>
        <v>91.602296291036808</v>
      </c>
      <c r="J37" s="46">
        <f t="array" ref="J37">IF(SUMIF(Производство!$A$104:$A$145,Технологи!$B37,Производство!G$104:G$145)&gt;0,SUMIF(Производство!$A$104:$A$145,Технологи!$B37,Производство!G$104:G$145)*$F37+$G37,0)</f>
        <v>0</v>
      </c>
      <c r="K37" s="46">
        <f t="array" ref="K37">IF(SUMIF(Производство!$A$104:$A$145,Технологи!$B37,Производство!H$104:H$145)&gt;0,SUMIF(Производство!$A$104:$A$145,Технологи!$B37,Производство!H$104:H$145)*$F37+$G37,0)</f>
        <v>79.027945116326606</v>
      </c>
      <c r="L37" s="46">
        <f t="array" ref="L37">IF(SUMIF(Производство!$A$104:$A$145,Технологи!$B37,Производство!I$104:I$145)&gt;0,SUMIF(Производство!$A$104:$A$145,Технологи!$B37,Производство!I$104:I$145)*$F37+$G37,0)</f>
        <v>79.027945116326606</v>
      </c>
      <c r="M37" s="46">
        <f t="array" ref="M37">IF(SUMIF(Производство!$A$104:$A$145,Технологи!$B37,Производство!J$104:J$145)&gt;0,SUMIF(Производство!$A$104:$A$145,Технологи!$B37,Производство!J$104:J$145)*$F37+$G37,0)</f>
        <v>61.389985628769566</v>
      </c>
      <c r="N37" s="46">
        <f t="array" ref="N37">IF(SUMIF(Производство!$A$104:$A$145,Технологи!$B37,Производство!K$104:K$145)&gt;0,SUMIF(Производство!$A$104:$A$145,Технологи!$B37,Производство!K$104:K$145)*$F37+$G37,0)</f>
        <v>61.389985628769566</v>
      </c>
      <c r="O37" s="46">
        <f t="array" ref="O37">IF(SUMIF(Производство!$A$104:$A$145,Технологи!$B37,Производство!L$104:L$145)&gt;0,SUMIF(Производство!$A$104:$A$145,Технологи!$B37,Производство!L$104:L$145)*$F37+$G37,0)</f>
        <v>61.389985628769566</v>
      </c>
      <c r="P37" s="46">
        <f t="array" ref="P37">IF(SUMIF(Производство!$A$104:$A$145,Технологи!$B37,Производство!M$104:M$145)&gt;0,SUMIF(Производство!$A$104:$A$145,Технологи!$B37,Производство!M$104:M$145)*$F37+$G37,0)</f>
        <v>61.389985628769566</v>
      </c>
      <c r="Q37" s="46">
        <f t="array" ref="Q37">IF(SUMIF(Производство!$A$104:$A$145,Технологи!$B37,Производство!N$104:N$145)&gt;0,SUMIF(Производство!$A$104:$A$145,Технологи!$B37,Производство!N$104:N$145)*$F37+$G37,0)</f>
        <v>61.389985628769566</v>
      </c>
      <c r="R37" s="46">
        <f t="array" ref="R37">IF(SUMIF(Производство!$A$104:$A$145,Технологи!$B37,Производство!O$104:O$145)&gt;0,SUMIF(Производство!$A$104:$A$145,Технологи!$B37,Производство!O$104:O$145)*$F37+$G37,0)</f>
        <v>61.389985628769566</v>
      </c>
      <c r="S37" s="46">
        <f t="array" ref="S37">IF(SUMIF(Производство!$A$104:$A$145,Технологи!$B37,Производство!P$104:P$145)&gt;0,SUMIF(Производство!$A$104:$A$145,Технологи!$B37,Производство!P$104:P$145)*$F37+$G37,0)</f>
        <v>61.389985628769566</v>
      </c>
      <c r="T37" s="46">
        <f t="array" ref="T37">IF(SUMIF(Производство!$A$104:$A$145,Технологи!$B37,Производство!Q$104:Q$145)&gt;0,SUMIF(Производство!$A$104:$A$145,Технологи!$B37,Производство!Q$104:Q$145)*$F37+$G37,0)</f>
        <v>61.389985628769566</v>
      </c>
    </row>
    <row r="38" spans="1:20" x14ac:dyDescent="0.25">
      <c r="A38" s="34" t="s">
        <v>377</v>
      </c>
      <c r="B38" s="13" t="s">
        <v>34</v>
      </c>
      <c r="C38" s="19" t="s">
        <v>18</v>
      </c>
      <c r="D38" s="14">
        <v>7038</v>
      </c>
      <c r="E38" s="20"/>
      <c r="F38" s="24">
        <v>4.0404584629165172E-2</v>
      </c>
      <c r="G38" s="24">
        <v>1.1729743811963416</v>
      </c>
      <c r="H38" s="23">
        <f t="shared" si="1"/>
        <v>40.404584629165171</v>
      </c>
      <c r="I38" s="46">
        <f t="array" ref="I38">IF(SUMIF(Производство!$A$104:$A$145,Технологи!$B38,Производство!F$104:F$145)&gt;0,SUMIF(Производство!$A$104:$A$145,Технологи!$B38,Производство!F$104:F$145)*$F38+$G38,0)</f>
        <v>82.304152657180197</v>
      </c>
      <c r="J38" s="46">
        <f t="array" ref="J38">IF(SUMIF(Производство!$A$104:$A$145,Технологи!$B38,Производство!G$104:G$145)&gt;0,SUMIF(Производство!$A$104:$A$145,Технологи!$B38,Производство!G$104:G$145)*$F38+$G38,0)</f>
        <v>0</v>
      </c>
      <c r="K38" s="46">
        <f t="array" ref="K38">IF(SUMIF(Производство!$A$104:$A$145,Технологи!$B38,Производство!H$104:H$145)&gt;0,SUMIF(Производство!$A$104:$A$145,Технологи!$B38,Производство!H$104:H$145)*$F38+$G38,0)</f>
        <v>71.008071843714603</v>
      </c>
      <c r="L38" s="46">
        <f t="array" ref="L38">IF(SUMIF(Производство!$A$104:$A$145,Технологи!$B38,Производство!I$104:I$145)&gt;0,SUMIF(Производство!$A$104:$A$145,Технологи!$B38,Производство!I$104:I$145)*$F38+$G38,0)</f>
        <v>71.008071843714603</v>
      </c>
      <c r="M38" s="46">
        <f t="array" ref="M38">IF(SUMIF(Производство!$A$104:$A$145,Технологи!$B38,Производство!J$104:J$145)&gt;0,SUMIF(Производство!$A$104:$A$145,Технологи!$B38,Производство!J$104:J$145)*$F38+$G38,0)</f>
        <v>55.163133763983566</v>
      </c>
      <c r="N38" s="46">
        <f t="array" ref="N38">IF(SUMIF(Производство!$A$104:$A$145,Технологи!$B38,Производство!K$104:K$145)&gt;0,SUMIF(Производство!$A$104:$A$145,Технологи!$B38,Производство!K$104:K$145)*$F38+$G38,0)</f>
        <v>55.163133763983566</v>
      </c>
      <c r="O38" s="46">
        <f t="array" ref="O38">IF(SUMIF(Производство!$A$104:$A$145,Технологи!$B38,Производство!L$104:L$145)&gt;0,SUMIF(Производство!$A$104:$A$145,Технологи!$B38,Производство!L$104:L$145)*$F38+$G38,0)</f>
        <v>55.163133763983566</v>
      </c>
      <c r="P38" s="46">
        <f t="array" ref="P38">IF(SUMIF(Производство!$A$104:$A$145,Технологи!$B38,Производство!M$104:M$145)&gt;0,SUMIF(Производство!$A$104:$A$145,Технологи!$B38,Производство!M$104:M$145)*$F38+$G38,0)</f>
        <v>55.163133763983566</v>
      </c>
      <c r="Q38" s="46">
        <f t="array" ref="Q38">IF(SUMIF(Производство!$A$104:$A$145,Технологи!$B38,Производство!N$104:N$145)&gt;0,SUMIF(Производство!$A$104:$A$145,Технологи!$B38,Производство!N$104:N$145)*$F38+$G38,0)</f>
        <v>55.163133763983566</v>
      </c>
      <c r="R38" s="46">
        <f t="array" ref="R38">IF(SUMIF(Производство!$A$104:$A$145,Технологи!$B38,Производство!O$104:O$145)&gt;0,SUMIF(Производство!$A$104:$A$145,Технологи!$B38,Производство!O$104:O$145)*$F38+$G38,0)</f>
        <v>55.163133763983566</v>
      </c>
      <c r="S38" s="46">
        <f t="array" ref="S38">IF(SUMIF(Производство!$A$104:$A$145,Технологи!$B38,Производство!P$104:P$145)&gt;0,SUMIF(Производство!$A$104:$A$145,Технологи!$B38,Производство!P$104:P$145)*$F38+$G38,0)</f>
        <v>55.163133763983566</v>
      </c>
      <c r="T38" s="46">
        <f t="array" ref="T38">IF(SUMIF(Производство!$A$104:$A$145,Технологи!$B38,Производство!Q$104:Q$145)&gt;0,SUMIF(Производство!$A$104:$A$145,Технологи!$B38,Производство!Q$104:Q$145)*$F38+$G38,0)</f>
        <v>55.163133763983566</v>
      </c>
    </row>
    <row r="39" spans="1:20" x14ac:dyDescent="0.25">
      <c r="A39" s="34" t="s">
        <v>377</v>
      </c>
      <c r="B39" s="13" t="s">
        <v>34</v>
      </c>
      <c r="C39" s="19" t="s">
        <v>19</v>
      </c>
      <c r="D39" s="14">
        <v>7038</v>
      </c>
      <c r="E39" s="20"/>
      <c r="F39" s="24">
        <v>8.9191050000000018</v>
      </c>
      <c r="G39" s="24">
        <v>633.25645500000007</v>
      </c>
      <c r="H39" s="23">
        <f t="shared" si="1"/>
        <v>8919.1050000000014</v>
      </c>
      <c r="I39" s="46">
        <f t="array" ref="I39">IF(SUMIF(Производство!$A$104:$A$145,Технологи!$B39,Производство!F$104:F$145)&gt;0,SUMIF(Производство!$A$104:$A$145,Технологи!$B39,Производство!F$104:F$145)*$F39+$G39,0)</f>
        <v>18542.54829548316</v>
      </c>
      <c r="J39" s="46">
        <f t="array" ref="J39">IF(SUMIF(Производство!$A$104:$A$145,Технологи!$B39,Производство!G$104:G$145)&gt;0,SUMIF(Производство!$A$104:$A$145,Технологи!$B39,Производство!G$104:G$145)*$F39+$G39,0)</f>
        <v>0</v>
      </c>
      <c r="K39" s="46">
        <f t="array" ref="K39">IF(SUMIF(Производство!$A$104:$A$145,Технологи!$B39,Производство!H$104:H$145)&gt;0,SUMIF(Производство!$A$104:$A$145,Технологи!$B39,Производство!H$104:H$145)*$F39+$G39,0)</f>
        <v>16048.996343681629</v>
      </c>
      <c r="L39" s="46">
        <f t="array" ref="L39">IF(SUMIF(Производство!$A$104:$A$145,Технологи!$B39,Производство!I$104:I$145)&gt;0,SUMIF(Производство!$A$104:$A$145,Технологи!$B39,Производство!I$104:I$145)*$F39+$G39,0)</f>
        <v>16048.996343681629</v>
      </c>
      <c r="M39" s="46">
        <f t="array" ref="M39">IF(SUMIF(Производство!$A$104:$A$145,Технологи!$B39,Производство!J$104:J$145)&gt;0,SUMIF(Производство!$A$104:$A$145,Технологи!$B39,Производство!J$104:J$145)*$F39+$G39,0)</f>
        <v>12551.307461375711</v>
      </c>
      <c r="N39" s="46">
        <f t="array" ref="N39">IF(SUMIF(Производство!$A$104:$A$145,Технологи!$B39,Производство!K$104:K$145)&gt;0,SUMIF(Производство!$A$104:$A$145,Технологи!$B39,Производство!K$104:K$145)*$F39+$G39,0)</f>
        <v>12551.307461375711</v>
      </c>
      <c r="O39" s="46">
        <f t="array" ref="O39">IF(SUMIF(Производство!$A$104:$A$145,Технологи!$B39,Производство!L$104:L$145)&gt;0,SUMIF(Производство!$A$104:$A$145,Технологи!$B39,Производство!L$104:L$145)*$F39+$G39,0)</f>
        <v>12551.307461375711</v>
      </c>
      <c r="P39" s="46">
        <f t="array" ref="P39">IF(SUMIF(Производство!$A$104:$A$145,Технологи!$B39,Производство!M$104:M$145)&gt;0,SUMIF(Производство!$A$104:$A$145,Технологи!$B39,Производство!M$104:M$145)*$F39+$G39,0)</f>
        <v>12551.307461375711</v>
      </c>
      <c r="Q39" s="46">
        <f t="array" ref="Q39">IF(SUMIF(Производство!$A$104:$A$145,Технологи!$B39,Производство!N$104:N$145)&gt;0,SUMIF(Производство!$A$104:$A$145,Технологи!$B39,Производство!N$104:N$145)*$F39+$G39,0)</f>
        <v>12551.307461375711</v>
      </c>
      <c r="R39" s="46">
        <f t="array" ref="R39">IF(SUMIF(Производство!$A$104:$A$145,Технологи!$B39,Производство!O$104:O$145)&gt;0,SUMIF(Производство!$A$104:$A$145,Технологи!$B39,Производство!O$104:O$145)*$F39+$G39,0)</f>
        <v>12551.307461375711</v>
      </c>
      <c r="S39" s="46">
        <f t="array" ref="S39">IF(SUMIF(Производство!$A$104:$A$145,Технологи!$B39,Производство!P$104:P$145)&gt;0,SUMIF(Производство!$A$104:$A$145,Технологи!$B39,Производство!P$104:P$145)*$F39+$G39,0)</f>
        <v>12551.307461375711</v>
      </c>
      <c r="T39" s="46">
        <f t="array" ref="T39">IF(SUMIF(Производство!$A$104:$A$145,Технологи!$B39,Производство!Q$104:Q$145)&gt;0,SUMIF(Производство!$A$104:$A$145,Технологи!$B39,Производство!Q$104:Q$145)*$F39+$G39,0)</f>
        <v>12551.307461375711</v>
      </c>
    </row>
    <row r="40" spans="1:20" x14ac:dyDescent="0.25">
      <c r="A40" s="34" t="s">
        <v>377</v>
      </c>
      <c r="B40" s="13" t="s">
        <v>34</v>
      </c>
      <c r="C40" s="19" t="s">
        <v>20</v>
      </c>
      <c r="D40" s="14">
        <v>7038</v>
      </c>
      <c r="E40" s="20"/>
      <c r="F40" s="24">
        <v>0</v>
      </c>
      <c r="G40" s="24">
        <v>0</v>
      </c>
      <c r="H40" s="23">
        <f t="shared" si="1"/>
        <v>0</v>
      </c>
      <c r="I40" s="46">
        <f t="array" ref="I40">IF(SUMIF(Производство!$A$104:$A$145,Технологи!$B40,Производство!F$104:F$145)&gt;0,SUMIF(Производство!$A$104:$A$145,Технологи!$B40,Производство!F$104:F$145)*$F40+$G40,0)</f>
        <v>0</v>
      </c>
      <c r="J40" s="46">
        <f t="array" ref="J40">IF(SUMIF(Производство!$A$104:$A$145,Технологи!$B40,Производство!G$104:G$145)&gt;0,SUMIF(Производство!$A$104:$A$145,Технологи!$B40,Производство!G$104:G$145)*$F40+$G40,0)</f>
        <v>0</v>
      </c>
      <c r="K40" s="46">
        <f t="array" ref="K40">IF(SUMIF(Производство!$A$104:$A$145,Технологи!$B40,Производство!H$104:H$145)&gt;0,SUMIF(Производство!$A$104:$A$145,Технологи!$B40,Производство!H$104:H$145)*$F40+$G40,0)</f>
        <v>0</v>
      </c>
      <c r="L40" s="46">
        <f t="array" ref="L40">IF(SUMIF(Производство!$A$104:$A$145,Технологи!$B40,Производство!I$104:I$145)&gt;0,SUMIF(Производство!$A$104:$A$145,Технологи!$B40,Производство!I$104:I$145)*$F40+$G40,0)</f>
        <v>0</v>
      </c>
      <c r="M40" s="46">
        <f t="array" ref="M40">IF(SUMIF(Производство!$A$104:$A$145,Технологи!$B40,Производство!J$104:J$145)&gt;0,SUMIF(Производство!$A$104:$A$145,Технологи!$B40,Производство!J$104:J$145)*$F40+$G40,0)</f>
        <v>0</v>
      </c>
      <c r="N40" s="46">
        <f t="array" ref="N40">IF(SUMIF(Производство!$A$104:$A$145,Технологи!$B40,Производство!K$104:K$145)&gt;0,SUMIF(Производство!$A$104:$A$145,Технологи!$B40,Производство!K$104:K$145)*$F40+$G40,0)</f>
        <v>0</v>
      </c>
      <c r="O40" s="46">
        <f t="array" ref="O40">IF(SUMIF(Производство!$A$104:$A$145,Технологи!$B40,Производство!L$104:L$145)&gt;0,SUMIF(Производство!$A$104:$A$145,Технологи!$B40,Производство!L$104:L$145)*$F40+$G40,0)</f>
        <v>0</v>
      </c>
      <c r="P40" s="46">
        <f t="array" ref="P40">IF(SUMIF(Производство!$A$104:$A$145,Технологи!$B40,Производство!M$104:M$145)&gt;0,SUMIF(Производство!$A$104:$A$145,Технологи!$B40,Производство!M$104:M$145)*$F40+$G40,0)</f>
        <v>0</v>
      </c>
      <c r="Q40" s="46">
        <f t="array" ref="Q40">IF(SUMIF(Производство!$A$104:$A$145,Технологи!$B40,Производство!N$104:N$145)&gt;0,SUMIF(Производство!$A$104:$A$145,Технологи!$B40,Производство!N$104:N$145)*$F40+$G40,0)</f>
        <v>0</v>
      </c>
      <c r="R40" s="46">
        <f t="array" ref="R40">IF(SUMIF(Производство!$A$104:$A$145,Технологи!$B40,Производство!O$104:O$145)&gt;0,SUMIF(Производство!$A$104:$A$145,Технологи!$B40,Производство!O$104:O$145)*$F40+$G40,0)</f>
        <v>0</v>
      </c>
      <c r="S40" s="46">
        <f t="array" ref="S40">IF(SUMIF(Производство!$A$104:$A$145,Технологи!$B40,Производство!P$104:P$145)&gt;0,SUMIF(Производство!$A$104:$A$145,Технологи!$B40,Производство!P$104:P$145)*$F40+$G40,0)</f>
        <v>0</v>
      </c>
      <c r="T40" s="46">
        <f t="array" ref="T40">IF(SUMIF(Производство!$A$104:$A$145,Технологи!$B40,Производство!Q$104:Q$145)&gt;0,SUMIF(Производство!$A$104:$A$145,Технологи!$B40,Производство!Q$104:Q$145)*$F40+$G40,0)</f>
        <v>0</v>
      </c>
    </row>
    <row r="41" spans="1:20" x14ac:dyDescent="0.25">
      <c r="A41" s="34" t="s">
        <v>377</v>
      </c>
      <c r="B41" s="13" t="s">
        <v>34</v>
      </c>
      <c r="C41" s="19" t="s">
        <v>21</v>
      </c>
      <c r="D41" s="14">
        <v>7038</v>
      </c>
      <c r="E41" s="20"/>
      <c r="F41" s="24">
        <v>0.441</v>
      </c>
      <c r="G41" s="24">
        <v>9.2609999999999992</v>
      </c>
      <c r="H41" s="23">
        <f t="shared" si="1"/>
        <v>441</v>
      </c>
      <c r="I41" s="46">
        <f t="array" ref="I41">IF(SUMIF(Производство!$A$104:$A$145,Технологи!$B41,Производство!F$104:F$145)&gt;0,SUMIF(Производство!$A$104:$A$145,Технологи!$B41,Производство!F$104:F$145)*$F41+$G41,0)</f>
        <v>894.77560058526853</v>
      </c>
      <c r="J41" s="46">
        <f t="array" ref="J41">IF(SUMIF(Производство!$A$104:$A$145,Технологи!$B41,Производство!G$104:G$145)&gt;0,SUMIF(Производство!$A$104:$A$145,Технологи!$B41,Производство!G$104:G$145)*$F41+$G41,0)</f>
        <v>0</v>
      </c>
      <c r="K41" s="46">
        <f t="array" ref="K41">IF(SUMIF(Производство!$A$104:$A$145,Технологи!$B41,Производство!H$104:H$145)&gt;0,SUMIF(Производство!$A$104:$A$145,Технологи!$B41,Производство!H$104:H$145)*$F41+$G41,0)</f>
        <v>771.48336322014325</v>
      </c>
      <c r="L41" s="46">
        <f t="array" ref="L41">IF(SUMIF(Производство!$A$104:$A$145,Технологи!$B41,Производство!I$104:I$145)&gt;0,SUMIF(Производство!$A$104:$A$145,Технологи!$B41,Производство!I$104:I$145)*$F41+$G41,0)</f>
        <v>771.48336322014325</v>
      </c>
      <c r="M41" s="46">
        <f t="array" ref="M41">IF(SUMIF(Производство!$A$104:$A$145,Технологи!$B41,Производство!J$104:J$145)&gt;0,SUMIF(Производство!$A$104:$A$145,Технологи!$B41,Производство!J$104:J$145)*$F41+$G41,0)</f>
        <v>598.54215475843</v>
      </c>
      <c r="N41" s="46">
        <f t="array" ref="N41">IF(SUMIF(Производство!$A$104:$A$145,Технологи!$B41,Производство!K$104:K$145)&gt;0,SUMIF(Производство!$A$104:$A$145,Технологи!$B41,Производство!K$104:K$145)*$F41+$G41,0)</f>
        <v>598.54215475843</v>
      </c>
      <c r="O41" s="46">
        <f t="array" ref="O41">IF(SUMIF(Производство!$A$104:$A$145,Технологи!$B41,Производство!L$104:L$145)&gt;0,SUMIF(Производство!$A$104:$A$145,Технологи!$B41,Производство!L$104:L$145)*$F41+$G41,0)</f>
        <v>598.54215475843</v>
      </c>
      <c r="P41" s="46">
        <f t="array" ref="P41">IF(SUMIF(Производство!$A$104:$A$145,Технологи!$B41,Производство!M$104:M$145)&gt;0,SUMIF(Производство!$A$104:$A$145,Технологи!$B41,Производство!M$104:M$145)*$F41+$G41,0)</f>
        <v>598.54215475843</v>
      </c>
      <c r="Q41" s="46">
        <f t="array" ref="Q41">IF(SUMIF(Производство!$A$104:$A$145,Технологи!$B41,Производство!N$104:N$145)&gt;0,SUMIF(Производство!$A$104:$A$145,Технологи!$B41,Производство!N$104:N$145)*$F41+$G41,0)</f>
        <v>598.54215475843</v>
      </c>
      <c r="R41" s="46">
        <f t="array" ref="R41">IF(SUMIF(Производство!$A$104:$A$145,Технологи!$B41,Производство!O$104:O$145)&gt;0,SUMIF(Производство!$A$104:$A$145,Технологи!$B41,Производство!O$104:O$145)*$F41+$G41,0)</f>
        <v>598.54215475843</v>
      </c>
      <c r="S41" s="46">
        <f t="array" ref="S41">IF(SUMIF(Производство!$A$104:$A$145,Технологи!$B41,Производство!P$104:P$145)&gt;0,SUMIF(Производство!$A$104:$A$145,Технологи!$B41,Производство!P$104:P$145)*$F41+$G41,0)</f>
        <v>598.54215475843</v>
      </c>
      <c r="T41" s="46">
        <f t="array" ref="T41">IF(SUMIF(Производство!$A$104:$A$145,Технологи!$B41,Производство!Q$104:Q$145)&gt;0,SUMIF(Производство!$A$104:$A$145,Технологи!$B41,Производство!Q$104:Q$145)*$F41+$G41,0)</f>
        <v>598.54215475843</v>
      </c>
    </row>
    <row r="42" spans="1:20" x14ac:dyDescent="0.25">
      <c r="A42" s="34" t="s">
        <v>377</v>
      </c>
      <c r="B42" s="13" t="s">
        <v>34</v>
      </c>
      <c r="C42" s="19" t="s">
        <v>22</v>
      </c>
      <c r="D42" s="14">
        <v>7038</v>
      </c>
      <c r="E42" s="20"/>
      <c r="F42" s="24">
        <v>0</v>
      </c>
      <c r="G42" s="24">
        <v>0</v>
      </c>
      <c r="H42" s="23">
        <f t="shared" si="1"/>
        <v>0</v>
      </c>
      <c r="I42" s="46">
        <f t="array" ref="I42">IF(SUMIF(Производство!$A$104:$A$145,Технологи!$B42,Производство!F$104:F$145)&gt;0,SUMIF(Производство!$A$104:$A$145,Технологи!$B42,Производство!F$104:F$145)*$F42+$G42,0)</f>
        <v>0</v>
      </c>
      <c r="J42" s="46">
        <f t="array" ref="J42">IF(SUMIF(Производство!$A$104:$A$145,Технологи!$B42,Производство!G$104:G$145)&gt;0,SUMIF(Производство!$A$104:$A$145,Технологи!$B42,Производство!G$104:G$145)*$F42+$G42,0)</f>
        <v>0</v>
      </c>
      <c r="K42" s="46">
        <f t="array" ref="K42">IF(SUMIF(Производство!$A$104:$A$145,Технологи!$B42,Производство!H$104:H$145)&gt;0,SUMIF(Производство!$A$104:$A$145,Технологи!$B42,Производство!H$104:H$145)*$F42+$G42,0)</f>
        <v>0</v>
      </c>
      <c r="L42" s="46">
        <f t="array" ref="L42">IF(SUMIF(Производство!$A$104:$A$145,Технологи!$B42,Производство!I$104:I$145)&gt;0,SUMIF(Производство!$A$104:$A$145,Технологи!$B42,Производство!I$104:I$145)*$F42+$G42,0)</f>
        <v>0</v>
      </c>
      <c r="M42" s="46">
        <f t="array" ref="M42">IF(SUMIF(Производство!$A$104:$A$145,Технологи!$B42,Производство!J$104:J$145)&gt;0,SUMIF(Производство!$A$104:$A$145,Технологи!$B42,Производство!J$104:J$145)*$F42+$G42,0)</f>
        <v>0</v>
      </c>
      <c r="N42" s="46">
        <f t="array" ref="N42">IF(SUMIF(Производство!$A$104:$A$145,Технологи!$B42,Производство!K$104:K$145)&gt;0,SUMIF(Производство!$A$104:$A$145,Технологи!$B42,Производство!K$104:K$145)*$F42+$G42,0)</f>
        <v>0</v>
      </c>
      <c r="O42" s="46">
        <f t="array" ref="O42">IF(SUMIF(Производство!$A$104:$A$145,Технологи!$B42,Производство!L$104:L$145)&gt;0,SUMIF(Производство!$A$104:$A$145,Технологи!$B42,Производство!L$104:L$145)*$F42+$G42,0)</f>
        <v>0</v>
      </c>
      <c r="P42" s="46">
        <f t="array" ref="P42">IF(SUMIF(Производство!$A$104:$A$145,Технологи!$B42,Производство!M$104:M$145)&gt;0,SUMIF(Производство!$A$104:$A$145,Технологи!$B42,Производство!M$104:M$145)*$F42+$G42,0)</f>
        <v>0</v>
      </c>
      <c r="Q42" s="46">
        <f t="array" ref="Q42">IF(SUMIF(Производство!$A$104:$A$145,Технологи!$B42,Производство!N$104:N$145)&gt;0,SUMIF(Производство!$A$104:$A$145,Технологи!$B42,Производство!N$104:N$145)*$F42+$G42,0)</f>
        <v>0</v>
      </c>
      <c r="R42" s="46">
        <f t="array" ref="R42">IF(SUMIF(Производство!$A$104:$A$145,Технологи!$B42,Производство!O$104:O$145)&gt;0,SUMIF(Производство!$A$104:$A$145,Технологи!$B42,Производство!O$104:O$145)*$F42+$G42,0)</f>
        <v>0</v>
      </c>
      <c r="S42" s="46">
        <f t="array" ref="S42">IF(SUMIF(Производство!$A$104:$A$145,Технологи!$B42,Производство!P$104:P$145)&gt;0,SUMIF(Производство!$A$104:$A$145,Технологи!$B42,Производство!P$104:P$145)*$F42+$G42,0)</f>
        <v>0</v>
      </c>
      <c r="T42" s="46">
        <f t="array" ref="T42">IF(SUMIF(Производство!$A$104:$A$145,Технологи!$B42,Производство!Q$104:Q$145)&gt;0,SUMIF(Производство!$A$104:$A$145,Технологи!$B42,Производство!Q$104:Q$145)*$F42+$G42,0)</f>
        <v>0</v>
      </c>
    </row>
    <row r="43" spans="1:20" x14ac:dyDescent="0.25">
      <c r="A43" s="34" t="s">
        <v>377</v>
      </c>
      <c r="B43" s="13" t="s">
        <v>34</v>
      </c>
      <c r="C43" s="19" t="s">
        <v>23</v>
      </c>
      <c r="D43" s="14">
        <v>7038</v>
      </c>
      <c r="E43" s="20"/>
      <c r="F43" s="24">
        <v>1.08</v>
      </c>
      <c r="G43" s="24">
        <v>22.68</v>
      </c>
      <c r="H43" s="23">
        <f t="shared" si="1"/>
        <v>1080</v>
      </c>
      <c r="I43" s="46">
        <f t="array" ref="I43">IF(SUMIF(Производство!$A$104:$A$145,Технологи!$B43,Производство!F$104:F$145)&gt;0,SUMIF(Производство!$A$104:$A$145,Технологи!$B43,Производство!F$104:F$145)*$F43+$G43,0)</f>
        <v>2191.2871851067803</v>
      </c>
      <c r="J43" s="46">
        <f t="array" ref="J43">IF(SUMIF(Производство!$A$104:$A$145,Технологи!$B43,Производство!G$104:G$145)&gt;0,SUMIF(Производство!$A$104:$A$145,Технологи!$B43,Производство!G$104:G$145)*$F43+$G43,0)</f>
        <v>0</v>
      </c>
      <c r="K43" s="46">
        <f t="array" ref="K43">IF(SUMIF(Производство!$A$104:$A$145,Технологи!$B43,Производство!H$104:H$145)&gt;0,SUMIF(Производство!$A$104:$A$145,Технологи!$B43,Производство!H$104:H$145)*$F43+$G43,0)</f>
        <v>1889.3470119676981</v>
      </c>
      <c r="L43" s="46">
        <f t="array" ref="L43">IF(SUMIF(Производство!$A$104:$A$145,Технологи!$B43,Производство!I$104:I$145)&gt;0,SUMIF(Производство!$A$104:$A$145,Технологи!$B43,Производство!I$104:I$145)*$F43+$G43,0)</f>
        <v>1889.3470119676981</v>
      </c>
      <c r="M43" s="46">
        <f t="array" ref="M43">IF(SUMIF(Производство!$A$104:$A$145,Технологи!$B43,Производство!J$104:J$145)&gt;0,SUMIF(Производство!$A$104:$A$145,Технологи!$B43,Производство!J$104:J$145)*$F43+$G43,0)</f>
        <v>1465.8175218573799</v>
      </c>
      <c r="N43" s="46">
        <f t="array" ref="N43">IF(SUMIF(Производство!$A$104:$A$145,Технологи!$B43,Производство!K$104:K$145)&gt;0,SUMIF(Производство!$A$104:$A$145,Технологи!$B43,Производство!K$104:K$145)*$F43+$G43,0)</f>
        <v>1465.8175218573799</v>
      </c>
      <c r="O43" s="46">
        <f t="array" ref="O43">IF(SUMIF(Производство!$A$104:$A$145,Технологи!$B43,Производство!L$104:L$145)&gt;0,SUMIF(Производство!$A$104:$A$145,Технологи!$B43,Производство!L$104:L$145)*$F43+$G43,0)</f>
        <v>1465.8175218573799</v>
      </c>
      <c r="P43" s="46">
        <f t="array" ref="P43">IF(SUMIF(Производство!$A$104:$A$145,Технологи!$B43,Производство!M$104:M$145)&gt;0,SUMIF(Производство!$A$104:$A$145,Технологи!$B43,Производство!M$104:M$145)*$F43+$G43,0)</f>
        <v>1465.8175218573799</v>
      </c>
      <c r="Q43" s="46">
        <f t="array" ref="Q43">IF(SUMIF(Производство!$A$104:$A$145,Технологи!$B43,Производство!N$104:N$145)&gt;0,SUMIF(Производство!$A$104:$A$145,Технологи!$B43,Производство!N$104:N$145)*$F43+$G43,0)</f>
        <v>1465.8175218573799</v>
      </c>
      <c r="R43" s="46">
        <f t="array" ref="R43">IF(SUMIF(Производство!$A$104:$A$145,Технологи!$B43,Производство!O$104:O$145)&gt;0,SUMIF(Производство!$A$104:$A$145,Технологи!$B43,Производство!O$104:O$145)*$F43+$G43,0)</f>
        <v>1465.8175218573799</v>
      </c>
      <c r="S43" s="46">
        <f t="array" ref="S43">IF(SUMIF(Производство!$A$104:$A$145,Технологи!$B43,Производство!P$104:P$145)&gt;0,SUMIF(Производство!$A$104:$A$145,Технологи!$B43,Производство!P$104:P$145)*$F43+$G43,0)</f>
        <v>1465.8175218573799</v>
      </c>
      <c r="T43" s="46">
        <f t="array" ref="T43">IF(SUMIF(Производство!$A$104:$A$145,Технологи!$B43,Производство!Q$104:Q$145)&gt;0,SUMIF(Производство!$A$104:$A$145,Технологи!$B43,Производство!Q$104:Q$145)*$F43+$G43,0)</f>
        <v>1465.8175218573799</v>
      </c>
    </row>
    <row r="44" spans="1:20" x14ac:dyDescent="0.25">
      <c r="A44" s="34" t="s">
        <v>377</v>
      </c>
      <c r="B44" s="13" t="s">
        <v>56</v>
      </c>
      <c r="C44" s="15" t="s">
        <v>11</v>
      </c>
      <c r="D44" s="14">
        <v>7038</v>
      </c>
      <c r="E44" s="16">
        <v>1.2739999999999998</v>
      </c>
      <c r="F44" s="22">
        <f>SUM(F45:F56)</f>
        <v>1.2771218543114082</v>
      </c>
      <c r="G44" s="22">
        <f>SUM(G45:G56)</f>
        <v>53.093567999999991</v>
      </c>
      <c r="H44" s="23">
        <f t="shared" ref="H44:H66" si="2">F44*1000</f>
        <v>1277.1218543114082</v>
      </c>
      <c r="I44" s="46">
        <f t="array" ref="I44">IF(SUMIF(Производство!$A$104:$A$145,Технологи!$B44,Производство!F$104:F$145)&gt;0,SUMIF(Производство!$A$104:$A$145,Технологи!$B44,Производство!F$104:F$145)*$F44+$G44,0)</f>
        <v>0</v>
      </c>
      <c r="J44" s="46">
        <f t="array" ref="J44">IF(SUMIF(Производство!$A$104:$A$145,Технологи!$B44,Производство!G$104:G$145)&gt;0,SUMIF(Производство!$A$104:$A$145,Технологи!$B44,Производство!G$104:G$145)*$F44+$G44,0)</f>
        <v>0</v>
      </c>
      <c r="K44" s="46">
        <f t="array" ref="K44">IF(SUMIF(Производство!$A$104:$A$145,Технологи!$B44,Производство!H$104:H$145)&gt;0,SUMIF(Производство!$A$104:$A$145,Технологи!$B44,Производство!H$104:H$145)*$F44+$G44,0)</f>
        <v>0</v>
      </c>
      <c r="L44" s="46">
        <f t="array" ref="L44">IF(SUMIF(Производство!$A$104:$A$145,Технологи!$B44,Производство!I$104:I$145)&gt;0,SUMIF(Производство!$A$104:$A$145,Технологи!$B44,Производство!I$104:I$145)*$F44+$G44,0)</f>
        <v>0</v>
      </c>
      <c r="M44" s="46">
        <f t="array" ref="M44">IF(SUMIF(Производство!$A$104:$A$145,Технологи!$B44,Производство!J$104:J$145)&gt;0,SUMIF(Производство!$A$104:$A$145,Технологи!$B44,Производство!J$104:J$145)*$F44+$G44,0)</f>
        <v>0</v>
      </c>
      <c r="N44" s="46">
        <f t="array" ref="N44">IF(SUMIF(Производство!$A$104:$A$145,Технологи!$B44,Производство!K$104:K$145)&gt;0,SUMIF(Производство!$A$104:$A$145,Технологи!$B44,Производство!K$104:K$145)*$F44+$G44,0)</f>
        <v>0</v>
      </c>
      <c r="O44" s="46">
        <f t="array" ref="O44">IF(SUMIF(Производство!$A$104:$A$145,Технологи!$B44,Производство!L$104:L$145)&gt;0,SUMIF(Производство!$A$104:$A$145,Технологи!$B44,Производство!L$104:L$145)*$F44+$G44,0)</f>
        <v>0</v>
      </c>
      <c r="P44" s="46">
        <f t="array" ref="P44">IF(SUMIF(Производство!$A$104:$A$145,Технологи!$B44,Производство!M$104:M$145)&gt;0,SUMIF(Производство!$A$104:$A$145,Технологи!$B44,Производство!M$104:M$145)*$F44+$G44,0)</f>
        <v>0</v>
      </c>
      <c r="Q44" s="46">
        <f t="array" ref="Q44">IF(SUMIF(Производство!$A$104:$A$145,Технологи!$B44,Производство!N$104:N$145)&gt;0,SUMIF(Производство!$A$104:$A$145,Технологи!$B44,Производство!N$104:N$145)*$F44+$G44,0)</f>
        <v>0</v>
      </c>
      <c r="R44" s="46">
        <f t="array" ref="R44">IF(SUMIF(Производство!$A$104:$A$145,Технологи!$B44,Производство!O$104:O$145)&gt;0,SUMIF(Производство!$A$104:$A$145,Технологи!$B44,Производство!O$104:O$145)*$F44+$G44,0)</f>
        <v>0</v>
      </c>
      <c r="S44" s="46">
        <f t="array" ref="S44">IF(SUMIF(Производство!$A$104:$A$145,Технологи!$B44,Производство!P$104:P$145)&gt;0,SUMIF(Производство!$A$104:$A$145,Технологи!$B44,Производство!P$104:P$145)*$F44+$G44,0)</f>
        <v>0</v>
      </c>
      <c r="T44" s="46">
        <f t="array" ref="T44">IF(SUMIF(Производство!$A$104:$A$145,Технологи!$B44,Производство!Q$104:Q$145)&gt;0,SUMIF(Производство!$A$104:$A$145,Технологи!$B44,Производство!Q$104:Q$145)*$F44+$G44,0)</f>
        <v>0</v>
      </c>
    </row>
    <row r="45" spans="1:20" x14ac:dyDescent="0.25">
      <c r="A45" s="34" t="s">
        <v>377</v>
      </c>
      <c r="B45" s="13" t="s">
        <v>56</v>
      </c>
      <c r="C45" s="19" t="s">
        <v>12</v>
      </c>
      <c r="D45" s="14">
        <v>7038</v>
      </c>
      <c r="E45" s="20"/>
      <c r="F45" s="24">
        <v>0.38063290078037898</v>
      </c>
      <c r="G45" s="24">
        <v>22.031887030843546</v>
      </c>
      <c r="H45" s="23">
        <f t="shared" si="2"/>
        <v>380.63290078037898</v>
      </c>
      <c r="I45" s="46">
        <f t="array" ref="I45">IF(SUMIF(Производство!$A$104:$A$145,Технологи!$B45,Производство!F$104:F$145)&gt;0,SUMIF(Производство!$A$104:$A$145,Технологи!$B45,Производство!F$104:F$145)*$F45+$G45,0)</f>
        <v>0</v>
      </c>
      <c r="J45" s="46">
        <f t="array" ref="J45">IF(SUMIF(Производство!$A$104:$A$145,Технологи!$B45,Производство!G$104:G$145)&gt;0,SUMIF(Производство!$A$104:$A$145,Технологи!$B45,Производство!G$104:G$145)*$F45+$G45,0)</f>
        <v>0</v>
      </c>
      <c r="K45" s="46">
        <f t="array" ref="K45">IF(SUMIF(Производство!$A$104:$A$145,Технологи!$B45,Производство!H$104:H$145)&gt;0,SUMIF(Производство!$A$104:$A$145,Технологи!$B45,Производство!H$104:H$145)*$F45+$G45,0)</f>
        <v>0</v>
      </c>
      <c r="L45" s="46">
        <f t="array" ref="L45">IF(SUMIF(Производство!$A$104:$A$145,Технологи!$B45,Производство!I$104:I$145)&gt;0,SUMIF(Производство!$A$104:$A$145,Технологи!$B45,Производство!I$104:I$145)*$F45+$G45,0)</f>
        <v>0</v>
      </c>
      <c r="M45" s="46">
        <f t="array" ref="M45">IF(SUMIF(Производство!$A$104:$A$145,Технологи!$B45,Производство!J$104:J$145)&gt;0,SUMIF(Производство!$A$104:$A$145,Технологи!$B45,Производство!J$104:J$145)*$F45+$G45,0)</f>
        <v>0</v>
      </c>
      <c r="N45" s="46">
        <f t="array" ref="N45">IF(SUMIF(Производство!$A$104:$A$145,Технологи!$B45,Производство!K$104:K$145)&gt;0,SUMIF(Производство!$A$104:$A$145,Технологи!$B45,Производство!K$104:K$145)*$F45+$G45,0)</f>
        <v>0</v>
      </c>
      <c r="O45" s="46">
        <f t="array" ref="O45">IF(SUMIF(Производство!$A$104:$A$145,Технологи!$B45,Производство!L$104:L$145)&gt;0,SUMIF(Производство!$A$104:$A$145,Технологи!$B45,Производство!L$104:L$145)*$F45+$G45,0)</f>
        <v>0</v>
      </c>
      <c r="P45" s="46">
        <f t="array" ref="P45">IF(SUMIF(Производство!$A$104:$A$145,Технологи!$B45,Производство!M$104:M$145)&gt;0,SUMIF(Производство!$A$104:$A$145,Технологи!$B45,Производство!M$104:M$145)*$F45+$G45,0)</f>
        <v>0</v>
      </c>
      <c r="Q45" s="46">
        <f t="array" ref="Q45">IF(SUMIF(Производство!$A$104:$A$145,Технологи!$B45,Производство!N$104:N$145)&gt;0,SUMIF(Производство!$A$104:$A$145,Технологи!$B45,Производство!N$104:N$145)*$F45+$G45,0)</f>
        <v>0</v>
      </c>
      <c r="R45" s="46">
        <f t="array" ref="R45">IF(SUMIF(Производство!$A$104:$A$145,Технологи!$B45,Производство!O$104:O$145)&gt;0,SUMIF(Производство!$A$104:$A$145,Технологи!$B45,Производство!O$104:O$145)*$F45+$G45,0)</f>
        <v>0</v>
      </c>
      <c r="S45" s="46">
        <f t="array" ref="S45">IF(SUMIF(Производство!$A$104:$A$145,Технологи!$B45,Производство!P$104:P$145)&gt;0,SUMIF(Производство!$A$104:$A$145,Технологи!$B45,Производство!P$104:P$145)*$F45+$G45,0)</f>
        <v>0</v>
      </c>
      <c r="T45" s="46">
        <f t="array" ref="T45">IF(SUMIF(Производство!$A$104:$A$145,Технологи!$B45,Производство!Q$104:Q$145)&gt;0,SUMIF(Производство!$A$104:$A$145,Технологи!$B45,Производство!Q$104:Q$145)*$F45+$G45,0)</f>
        <v>0</v>
      </c>
    </row>
    <row r="46" spans="1:20" x14ac:dyDescent="0.25">
      <c r="A46" s="34" t="s">
        <v>377</v>
      </c>
      <c r="B46" s="13" t="s">
        <v>56</v>
      </c>
      <c r="C46" s="19" t="s">
        <v>13</v>
      </c>
      <c r="D46" s="14">
        <v>7038</v>
      </c>
      <c r="E46" s="20"/>
      <c r="F46" s="24">
        <v>0.11475797904124858</v>
      </c>
      <c r="G46" s="24">
        <v>6.6095661092530653</v>
      </c>
      <c r="H46" s="23">
        <f t="shared" si="2"/>
        <v>114.75797904124859</v>
      </c>
      <c r="I46" s="46">
        <f t="array" ref="I46">IF(SUMIF(Производство!$A$104:$A$145,Технологи!$B46,Производство!F$104:F$145)&gt;0,SUMIF(Производство!$A$104:$A$145,Технологи!$B46,Производство!F$104:F$145)*$F46+$G46,0)</f>
        <v>0</v>
      </c>
      <c r="J46" s="46">
        <f t="array" ref="J46">IF(SUMIF(Производство!$A$104:$A$145,Технологи!$B46,Производство!G$104:G$145)&gt;0,SUMIF(Производство!$A$104:$A$145,Технологи!$B46,Производство!G$104:G$145)*$F46+$G46,0)</f>
        <v>0</v>
      </c>
      <c r="K46" s="46">
        <f t="array" ref="K46">IF(SUMIF(Производство!$A$104:$A$145,Технологи!$B46,Производство!H$104:H$145)&gt;0,SUMIF(Производство!$A$104:$A$145,Технологи!$B46,Производство!H$104:H$145)*$F46+$G46,0)</f>
        <v>0</v>
      </c>
      <c r="L46" s="46">
        <f t="array" ref="L46">IF(SUMIF(Производство!$A$104:$A$145,Технологи!$B46,Производство!I$104:I$145)&gt;0,SUMIF(Производство!$A$104:$A$145,Технологи!$B46,Производство!I$104:I$145)*$F46+$G46,0)</f>
        <v>0</v>
      </c>
      <c r="M46" s="46">
        <f t="array" ref="M46">IF(SUMIF(Производство!$A$104:$A$145,Технологи!$B46,Производство!J$104:J$145)&gt;0,SUMIF(Производство!$A$104:$A$145,Технологи!$B46,Производство!J$104:J$145)*$F46+$G46,0)</f>
        <v>0</v>
      </c>
      <c r="N46" s="46">
        <f t="array" ref="N46">IF(SUMIF(Производство!$A$104:$A$145,Технологи!$B46,Производство!K$104:K$145)&gt;0,SUMIF(Производство!$A$104:$A$145,Технологи!$B46,Производство!K$104:K$145)*$F46+$G46,0)</f>
        <v>0</v>
      </c>
      <c r="O46" s="46">
        <f t="array" ref="O46">IF(SUMIF(Производство!$A$104:$A$145,Технологи!$B46,Производство!L$104:L$145)&gt;0,SUMIF(Производство!$A$104:$A$145,Технологи!$B46,Производство!L$104:L$145)*$F46+$G46,0)</f>
        <v>0</v>
      </c>
      <c r="P46" s="46">
        <f t="array" ref="P46">IF(SUMIF(Производство!$A$104:$A$145,Технологи!$B46,Производство!M$104:M$145)&gt;0,SUMIF(Производство!$A$104:$A$145,Технологи!$B46,Производство!M$104:M$145)*$F46+$G46,0)</f>
        <v>0</v>
      </c>
      <c r="Q46" s="46">
        <f t="array" ref="Q46">IF(SUMIF(Производство!$A$104:$A$145,Технологи!$B46,Производство!N$104:N$145)&gt;0,SUMIF(Производство!$A$104:$A$145,Технологи!$B46,Производство!N$104:N$145)*$F46+$G46,0)</f>
        <v>0</v>
      </c>
      <c r="R46" s="46">
        <f t="array" ref="R46">IF(SUMIF(Производство!$A$104:$A$145,Технологи!$B46,Производство!O$104:O$145)&gt;0,SUMIF(Производство!$A$104:$A$145,Технологи!$B46,Производство!O$104:O$145)*$F46+$G46,0)</f>
        <v>0</v>
      </c>
      <c r="S46" s="46">
        <f t="array" ref="S46">IF(SUMIF(Производство!$A$104:$A$145,Технологи!$B46,Производство!P$104:P$145)&gt;0,SUMIF(Производство!$A$104:$A$145,Технологи!$B46,Производство!P$104:P$145)*$F46+$G46,0)</f>
        <v>0</v>
      </c>
      <c r="T46" s="46">
        <f t="array" ref="T46">IF(SUMIF(Производство!$A$104:$A$145,Технологи!$B46,Производство!Q$104:Q$145)&gt;0,SUMIF(Производство!$A$104:$A$145,Технологи!$B46,Производство!Q$104:Q$145)*$F46+$G46,0)</f>
        <v>0</v>
      </c>
    </row>
    <row r="47" spans="1:20" x14ac:dyDescent="0.25">
      <c r="A47" s="34" t="s">
        <v>377</v>
      </c>
      <c r="B47" s="13" t="s">
        <v>56</v>
      </c>
      <c r="C47" s="19" t="s">
        <v>14</v>
      </c>
      <c r="D47" s="14">
        <v>7038</v>
      </c>
      <c r="E47" s="20"/>
      <c r="F47" s="24">
        <v>1.1475797904124858E-3</v>
      </c>
      <c r="G47" s="24">
        <v>6.609566109253065E-2</v>
      </c>
      <c r="H47" s="23">
        <f t="shared" si="2"/>
        <v>1.1475797904124858</v>
      </c>
      <c r="I47" s="46">
        <f t="array" ref="I47">IF(SUMIF(Производство!$A$104:$A$145,Технологи!$B47,Производство!F$104:F$145)&gt;0,SUMIF(Производство!$A$104:$A$145,Технологи!$B47,Производство!F$104:F$145)*$F47+$G47,0)</f>
        <v>0</v>
      </c>
      <c r="J47" s="46">
        <f t="array" ref="J47">IF(SUMIF(Производство!$A$104:$A$145,Технологи!$B47,Производство!G$104:G$145)&gt;0,SUMIF(Производство!$A$104:$A$145,Технологи!$B47,Производство!G$104:G$145)*$F47+$G47,0)</f>
        <v>0</v>
      </c>
      <c r="K47" s="46">
        <f t="array" ref="K47">IF(SUMIF(Производство!$A$104:$A$145,Технологи!$B47,Производство!H$104:H$145)&gt;0,SUMIF(Производство!$A$104:$A$145,Технологи!$B47,Производство!H$104:H$145)*$F47+$G47,0)</f>
        <v>0</v>
      </c>
      <c r="L47" s="46">
        <f t="array" ref="L47">IF(SUMIF(Производство!$A$104:$A$145,Технологи!$B47,Производство!I$104:I$145)&gt;0,SUMIF(Производство!$A$104:$A$145,Технологи!$B47,Производство!I$104:I$145)*$F47+$G47,0)</f>
        <v>0</v>
      </c>
      <c r="M47" s="46">
        <f t="array" ref="M47">IF(SUMIF(Производство!$A$104:$A$145,Технологи!$B47,Производство!J$104:J$145)&gt;0,SUMIF(Производство!$A$104:$A$145,Технологи!$B47,Производство!J$104:J$145)*$F47+$G47,0)</f>
        <v>0</v>
      </c>
      <c r="N47" s="46">
        <f t="array" ref="N47">IF(SUMIF(Производство!$A$104:$A$145,Технологи!$B47,Производство!K$104:K$145)&gt;0,SUMIF(Производство!$A$104:$A$145,Технологи!$B47,Производство!K$104:K$145)*$F47+$G47,0)</f>
        <v>0</v>
      </c>
      <c r="O47" s="46">
        <f t="array" ref="O47">IF(SUMIF(Производство!$A$104:$A$145,Технологи!$B47,Производство!L$104:L$145)&gt;0,SUMIF(Производство!$A$104:$A$145,Технологи!$B47,Производство!L$104:L$145)*$F47+$G47,0)</f>
        <v>0</v>
      </c>
      <c r="P47" s="46">
        <f t="array" ref="P47">IF(SUMIF(Производство!$A$104:$A$145,Технологи!$B47,Производство!M$104:M$145)&gt;0,SUMIF(Производство!$A$104:$A$145,Технологи!$B47,Производство!M$104:M$145)*$F47+$G47,0)</f>
        <v>0</v>
      </c>
      <c r="Q47" s="46">
        <f t="array" ref="Q47">IF(SUMIF(Производство!$A$104:$A$145,Технологи!$B47,Производство!N$104:N$145)&gt;0,SUMIF(Производство!$A$104:$A$145,Технологи!$B47,Производство!N$104:N$145)*$F47+$G47,0)</f>
        <v>0</v>
      </c>
      <c r="R47" s="46">
        <f t="array" ref="R47">IF(SUMIF(Производство!$A$104:$A$145,Технологи!$B47,Производство!O$104:O$145)&gt;0,SUMIF(Производство!$A$104:$A$145,Технологи!$B47,Производство!O$104:O$145)*$F47+$G47,0)</f>
        <v>0</v>
      </c>
      <c r="S47" s="46">
        <f t="array" ref="S47">IF(SUMIF(Производство!$A$104:$A$145,Технологи!$B47,Производство!P$104:P$145)&gt;0,SUMIF(Производство!$A$104:$A$145,Технологи!$B47,Производство!P$104:P$145)*$F47+$G47,0)</f>
        <v>0</v>
      </c>
      <c r="T47" s="46">
        <f t="array" ref="T47">IF(SUMIF(Производство!$A$104:$A$145,Технологи!$B47,Производство!Q$104:Q$145)&gt;0,SUMIF(Производство!$A$104:$A$145,Технологи!$B47,Производство!Q$104:Q$145)*$F47+$G47,0)</f>
        <v>0</v>
      </c>
    </row>
    <row r="48" spans="1:20" x14ac:dyDescent="0.25">
      <c r="A48" s="34" t="s">
        <v>377</v>
      </c>
      <c r="B48" s="13" t="s">
        <v>56</v>
      </c>
      <c r="C48" s="19" t="s">
        <v>15</v>
      </c>
      <c r="D48" s="14">
        <v>7038</v>
      </c>
      <c r="E48" s="20"/>
      <c r="F48" s="24">
        <v>5.7378989520624291E-4</v>
      </c>
      <c r="G48" s="24">
        <v>3.3047830546265325E-2</v>
      </c>
      <c r="H48" s="23">
        <f t="shared" si="2"/>
        <v>0.57378989520624291</v>
      </c>
      <c r="I48" s="46">
        <f t="array" ref="I48">IF(SUMIF(Производство!$A$104:$A$145,Технологи!$B48,Производство!F$104:F$145)&gt;0,SUMIF(Производство!$A$104:$A$145,Технологи!$B48,Производство!F$104:F$145)*$F48+$G48,0)</f>
        <v>0</v>
      </c>
      <c r="J48" s="46">
        <f t="array" ref="J48">IF(SUMIF(Производство!$A$104:$A$145,Технологи!$B48,Производство!G$104:G$145)&gt;0,SUMIF(Производство!$A$104:$A$145,Технологи!$B48,Производство!G$104:G$145)*$F48+$G48,0)</f>
        <v>0</v>
      </c>
      <c r="K48" s="46">
        <f t="array" ref="K48">IF(SUMIF(Производство!$A$104:$A$145,Технологи!$B48,Производство!H$104:H$145)&gt;0,SUMIF(Производство!$A$104:$A$145,Технологи!$B48,Производство!H$104:H$145)*$F48+$G48,0)</f>
        <v>0</v>
      </c>
      <c r="L48" s="46">
        <f t="array" ref="L48">IF(SUMIF(Производство!$A$104:$A$145,Технологи!$B48,Производство!I$104:I$145)&gt;0,SUMIF(Производство!$A$104:$A$145,Технологи!$B48,Производство!I$104:I$145)*$F48+$G48,0)</f>
        <v>0</v>
      </c>
      <c r="M48" s="46">
        <f t="array" ref="M48">IF(SUMIF(Производство!$A$104:$A$145,Технологи!$B48,Производство!J$104:J$145)&gt;0,SUMIF(Производство!$A$104:$A$145,Технологи!$B48,Производство!J$104:J$145)*$F48+$G48,0)</f>
        <v>0</v>
      </c>
      <c r="N48" s="46">
        <f t="array" ref="N48">IF(SUMIF(Производство!$A$104:$A$145,Технологи!$B48,Производство!K$104:K$145)&gt;0,SUMIF(Производство!$A$104:$A$145,Технологи!$B48,Производство!K$104:K$145)*$F48+$G48,0)</f>
        <v>0</v>
      </c>
      <c r="O48" s="46">
        <f t="array" ref="O48">IF(SUMIF(Производство!$A$104:$A$145,Технологи!$B48,Производство!L$104:L$145)&gt;0,SUMIF(Производство!$A$104:$A$145,Технологи!$B48,Производство!L$104:L$145)*$F48+$G48,0)</f>
        <v>0</v>
      </c>
      <c r="P48" s="46">
        <f t="array" ref="P48">IF(SUMIF(Производство!$A$104:$A$145,Технологи!$B48,Производство!M$104:M$145)&gt;0,SUMIF(Производство!$A$104:$A$145,Технологи!$B48,Производство!M$104:M$145)*$F48+$G48,0)</f>
        <v>0</v>
      </c>
      <c r="Q48" s="46">
        <f t="array" ref="Q48">IF(SUMIF(Производство!$A$104:$A$145,Технологи!$B48,Производство!N$104:N$145)&gt;0,SUMIF(Производство!$A$104:$A$145,Технологи!$B48,Производство!N$104:N$145)*$F48+$G48,0)</f>
        <v>0</v>
      </c>
      <c r="R48" s="46">
        <f t="array" ref="R48">IF(SUMIF(Производство!$A$104:$A$145,Технологи!$B48,Производство!O$104:O$145)&gt;0,SUMIF(Производство!$A$104:$A$145,Технологи!$B48,Производство!O$104:O$145)*$F48+$G48,0)</f>
        <v>0</v>
      </c>
      <c r="S48" s="46">
        <f t="array" ref="S48">IF(SUMIF(Производство!$A$104:$A$145,Технологи!$B48,Производство!P$104:P$145)&gt;0,SUMIF(Производство!$A$104:$A$145,Технологи!$B48,Производство!P$104:P$145)*$F48+$G48,0)</f>
        <v>0</v>
      </c>
      <c r="T48" s="46">
        <f t="array" ref="T48">IF(SUMIF(Производство!$A$104:$A$145,Технологи!$B48,Производство!Q$104:Q$145)&gt;0,SUMIF(Производство!$A$104:$A$145,Технологи!$B48,Производство!Q$104:Q$145)*$F48+$G48,0)</f>
        <v>0</v>
      </c>
    </row>
    <row r="49" spans="1:20" x14ac:dyDescent="0.25">
      <c r="A49" s="34" t="s">
        <v>377</v>
      </c>
      <c r="B49" s="13" t="s">
        <v>56</v>
      </c>
      <c r="C49" s="19" t="s">
        <v>16</v>
      </c>
      <c r="D49" s="14">
        <v>7038</v>
      </c>
      <c r="E49" s="20"/>
      <c r="F49" s="24">
        <v>7.6126580156075799E-3</v>
      </c>
      <c r="G49" s="24">
        <v>0.44063774061687105</v>
      </c>
      <c r="H49" s="23">
        <f t="shared" si="2"/>
        <v>7.6126580156075798</v>
      </c>
      <c r="I49" s="46">
        <f t="array" ref="I49">IF(SUMIF(Производство!$A$104:$A$145,Технологи!$B49,Производство!F$104:F$145)&gt;0,SUMIF(Производство!$A$104:$A$145,Технологи!$B49,Производство!F$104:F$145)*$F49+$G49,0)</f>
        <v>0</v>
      </c>
      <c r="J49" s="46">
        <f t="array" ref="J49">IF(SUMIF(Производство!$A$104:$A$145,Технологи!$B49,Производство!G$104:G$145)&gt;0,SUMIF(Производство!$A$104:$A$145,Технологи!$B49,Производство!G$104:G$145)*$F49+$G49,0)</f>
        <v>0</v>
      </c>
      <c r="K49" s="46">
        <f t="array" ref="K49">IF(SUMIF(Производство!$A$104:$A$145,Технологи!$B49,Производство!H$104:H$145)&gt;0,SUMIF(Производство!$A$104:$A$145,Технологи!$B49,Производство!H$104:H$145)*$F49+$G49,0)</f>
        <v>0</v>
      </c>
      <c r="L49" s="46">
        <f t="array" ref="L49">IF(SUMIF(Производство!$A$104:$A$145,Технологи!$B49,Производство!I$104:I$145)&gt;0,SUMIF(Производство!$A$104:$A$145,Технологи!$B49,Производство!I$104:I$145)*$F49+$G49,0)</f>
        <v>0</v>
      </c>
      <c r="M49" s="46">
        <f t="array" ref="M49">IF(SUMIF(Производство!$A$104:$A$145,Технологи!$B49,Производство!J$104:J$145)&gt;0,SUMIF(Производство!$A$104:$A$145,Технологи!$B49,Производство!J$104:J$145)*$F49+$G49,0)</f>
        <v>0</v>
      </c>
      <c r="N49" s="46">
        <f t="array" ref="N49">IF(SUMIF(Производство!$A$104:$A$145,Технологи!$B49,Производство!K$104:K$145)&gt;0,SUMIF(Производство!$A$104:$A$145,Технологи!$B49,Производство!K$104:K$145)*$F49+$G49,0)</f>
        <v>0</v>
      </c>
      <c r="O49" s="46">
        <f t="array" ref="O49">IF(SUMIF(Производство!$A$104:$A$145,Технологи!$B49,Производство!L$104:L$145)&gt;0,SUMIF(Производство!$A$104:$A$145,Технологи!$B49,Производство!L$104:L$145)*$F49+$G49,0)</f>
        <v>0</v>
      </c>
      <c r="P49" s="46">
        <f t="array" ref="P49">IF(SUMIF(Производство!$A$104:$A$145,Технологи!$B49,Производство!M$104:M$145)&gt;0,SUMIF(Производство!$A$104:$A$145,Технологи!$B49,Производство!M$104:M$145)*$F49+$G49,0)</f>
        <v>0</v>
      </c>
      <c r="Q49" s="46">
        <f t="array" ref="Q49">IF(SUMIF(Производство!$A$104:$A$145,Технологи!$B49,Производство!N$104:N$145)&gt;0,SUMIF(Производство!$A$104:$A$145,Технологи!$B49,Производство!N$104:N$145)*$F49+$G49,0)</f>
        <v>0</v>
      </c>
      <c r="R49" s="46">
        <f t="array" ref="R49">IF(SUMIF(Производство!$A$104:$A$145,Технологи!$B49,Производство!O$104:O$145)&gt;0,SUMIF(Производство!$A$104:$A$145,Технологи!$B49,Производство!O$104:O$145)*$F49+$G49,0)</f>
        <v>0</v>
      </c>
      <c r="S49" s="46">
        <f t="array" ref="S49">IF(SUMIF(Производство!$A$104:$A$145,Технологи!$B49,Производство!P$104:P$145)&gt;0,SUMIF(Производство!$A$104:$A$145,Технологи!$B49,Производство!P$104:P$145)*$F49+$G49,0)</f>
        <v>0</v>
      </c>
      <c r="T49" s="46">
        <f t="array" ref="T49">IF(SUMIF(Производство!$A$104:$A$145,Технологи!$B49,Производство!Q$104:Q$145)&gt;0,SUMIF(Производство!$A$104:$A$145,Технологи!$B49,Производство!Q$104:Q$145)*$F49+$G49,0)</f>
        <v>0</v>
      </c>
    </row>
    <row r="50" spans="1:20" x14ac:dyDescent="0.25">
      <c r="A50" s="34" t="s">
        <v>377</v>
      </c>
      <c r="B50" s="13" t="s">
        <v>56</v>
      </c>
      <c r="C50" s="19" t="s">
        <v>17</v>
      </c>
      <c r="D50" s="14">
        <v>7038</v>
      </c>
      <c r="E50" s="20"/>
      <c r="F50" s="24">
        <v>4.2077925648457823E-3</v>
      </c>
      <c r="G50" s="24">
        <v>0.24235075733927908</v>
      </c>
      <c r="H50" s="23">
        <f t="shared" si="2"/>
        <v>4.2077925648457821</v>
      </c>
      <c r="I50" s="46">
        <f t="array" ref="I50">IF(SUMIF(Производство!$A$104:$A$145,Технологи!$B50,Производство!F$104:F$145)&gt;0,SUMIF(Производство!$A$104:$A$145,Технологи!$B50,Производство!F$104:F$145)*$F50+$G50,0)</f>
        <v>0</v>
      </c>
      <c r="J50" s="46">
        <f t="array" ref="J50">IF(SUMIF(Производство!$A$104:$A$145,Технологи!$B50,Производство!G$104:G$145)&gt;0,SUMIF(Производство!$A$104:$A$145,Технологи!$B50,Производство!G$104:G$145)*$F50+$G50,0)</f>
        <v>0</v>
      </c>
      <c r="K50" s="46">
        <f t="array" ref="K50">IF(SUMIF(Производство!$A$104:$A$145,Технологи!$B50,Производство!H$104:H$145)&gt;0,SUMIF(Производство!$A$104:$A$145,Технологи!$B50,Производство!H$104:H$145)*$F50+$G50,0)</f>
        <v>0</v>
      </c>
      <c r="L50" s="46">
        <f t="array" ref="L50">IF(SUMIF(Производство!$A$104:$A$145,Технологи!$B50,Производство!I$104:I$145)&gt;0,SUMIF(Производство!$A$104:$A$145,Технологи!$B50,Производство!I$104:I$145)*$F50+$G50,0)</f>
        <v>0</v>
      </c>
      <c r="M50" s="46">
        <f t="array" ref="M50">IF(SUMIF(Производство!$A$104:$A$145,Технологи!$B50,Производство!J$104:J$145)&gt;0,SUMIF(Производство!$A$104:$A$145,Технологи!$B50,Производство!J$104:J$145)*$F50+$G50,0)</f>
        <v>0</v>
      </c>
      <c r="N50" s="46">
        <f t="array" ref="N50">IF(SUMIF(Производство!$A$104:$A$145,Технологи!$B50,Производство!K$104:K$145)&gt;0,SUMIF(Производство!$A$104:$A$145,Технологи!$B50,Производство!K$104:K$145)*$F50+$G50,0)</f>
        <v>0</v>
      </c>
      <c r="O50" s="46">
        <f t="array" ref="O50">IF(SUMIF(Производство!$A$104:$A$145,Технологи!$B50,Производство!L$104:L$145)&gt;0,SUMIF(Производство!$A$104:$A$145,Технологи!$B50,Производство!L$104:L$145)*$F50+$G50,0)</f>
        <v>0</v>
      </c>
      <c r="P50" s="46">
        <f t="array" ref="P50">IF(SUMIF(Производство!$A$104:$A$145,Технологи!$B50,Производство!M$104:M$145)&gt;0,SUMIF(Производство!$A$104:$A$145,Технологи!$B50,Производство!M$104:M$145)*$F50+$G50,0)</f>
        <v>0</v>
      </c>
      <c r="Q50" s="46">
        <f t="array" ref="Q50">IF(SUMIF(Производство!$A$104:$A$145,Технологи!$B50,Производство!N$104:N$145)&gt;0,SUMIF(Производство!$A$104:$A$145,Технологи!$B50,Производство!N$104:N$145)*$F50+$G50,0)</f>
        <v>0</v>
      </c>
      <c r="R50" s="46">
        <f t="array" ref="R50">IF(SUMIF(Производство!$A$104:$A$145,Технологи!$B50,Производство!O$104:O$145)&gt;0,SUMIF(Производство!$A$104:$A$145,Технологи!$B50,Производство!O$104:O$145)*$F50+$G50,0)</f>
        <v>0</v>
      </c>
      <c r="S50" s="46">
        <f t="array" ref="S50">IF(SUMIF(Производство!$A$104:$A$145,Технологи!$B50,Производство!P$104:P$145)&gt;0,SUMIF(Производство!$A$104:$A$145,Технологи!$B50,Производство!P$104:P$145)*$F50+$G50,0)</f>
        <v>0</v>
      </c>
      <c r="T50" s="46">
        <f t="array" ref="T50">IF(SUMIF(Производство!$A$104:$A$145,Технологи!$B50,Производство!Q$104:Q$145)&gt;0,SUMIF(Производство!$A$104:$A$145,Технологи!$B50,Производство!Q$104:Q$145)*$F50+$G50,0)</f>
        <v>0</v>
      </c>
    </row>
    <row r="51" spans="1:20" x14ac:dyDescent="0.25">
      <c r="A51" s="34" t="s">
        <v>377</v>
      </c>
      <c r="B51" s="13" t="s">
        <v>56</v>
      </c>
      <c r="C51" s="19" t="s">
        <v>18</v>
      </c>
      <c r="D51" s="14">
        <v>7038</v>
      </c>
      <c r="E51" s="20"/>
      <c r="F51" s="24">
        <v>3.798754223708658E-3</v>
      </c>
      <c r="G51" s="24">
        <v>0.22031887030843553</v>
      </c>
      <c r="H51" s="23">
        <f t="shared" si="2"/>
        <v>3.798754223708658</v>
      </c>
      <c r="I51" s="46">
        <f t="array" ref="I51">IF(SUMIF(Производство!$A$104:$A$145,Технологи!$B51,Производство!F$104:F$145)&gt;0,SUMIF(Производство!$A$104:$A$145,Технологи!$B51,Производство!F$104:F$145)*$F51+$G51,0)</f>
        <v>0</v>
      </c>
      <c r="J51" s="46">
        <f t="array" ref="J51">IF(SUMIF(Производство!$A$104:$A$145,Технологи!$B51,Производство!G$104:G$145)&gt;0,SUMIF(Производство!$A$104:$A$145,Технологи!$B51,Производство!G$104:G$145)*$F51+$G51,0)</f>
        <v>0</v>
      </c>
      <c r="K51" s="46">
        <f t="array" ref="K51">IF(SUMIF(Производство!$A$104:$A$145,Технологи!$B51,Производство!H$104:H$145)&gt;0,SUMIF(Производство!$A$104:$A$145,Технологи!$B51,Производство!H$104:H$145)*$F51+$G51,0)</f>
        <v>0</v>
      </c>
      <c r="L51" s="46">
        <f t="array" ref="L51">IF(SUMIF(Производство!$A$104:$A$145,Технологи!$B51,Производство!I$104:I$145)&gt;0,SUMIF(Производство!$A$104:$A$145,Технологи!$B51,Производство!I$104:I$145)*$F51+$G51,0)</f>
        <v>0</v>
      </c>
      <c r="M51" s="46">
        <f t="array" ref="M51">IF(SUMIF(Производство!$A$104:$A$145,Технологи!$B51,Производство!J$104:J$145)&gt;0,SUMIF(Производство!$A$104:$A$145,Технологи!$B51,Производство!J$104:J$145)*$F51+$G51,0)</f>
        <v>0</v>
      </c>
      <c r="N51" s="46">
        <f t="array" ref="N51">IF(SUMIF(Производство!$A$104:$A$145,Технологи!$B51,Производство!K$104:K$145)&gt;0,SUMIF(Производство!$A$104:$A$145,Технологи!$B51,Производство!K$104:K$145)*$F51+$G51,0)</f>
        <v>0</v>
      </c>
      <c r="O51" s="46">
        <f t="array" ref="O51">IF(SUMIF(Производство!$A$104:$A$145,Технологи!$B51,Производство!L$104:L$145)&gt;0,SUMIF(Производство!$A$104:$A$145,Технологи!$B51,Производство!L$104:L$145)*$F51+$G51,0)</f>
        <v>0</v>
      </c>
      <c r="P51" s="46">
        <f t="array" ref="P51">IF(SUMIF(Производство!$A$104:$A$145,Технологи!$B51,Производство!M$104:M$145)&gt;0,SUMIF(Производство!$A$104:$A$145,Технологи!$B51,Производство!M$104:M$145)*$F51+$G51,0)</f>
        <v>0</v>
      </c>
      <c r="Q51" s="46">
        <f t="array" ref="Q51">IF(SUMIF(Производство!$A$104:$A$145,Технологи!$B51,Производство!N$104:N$145)&gt;0,SUMIF(Производство!$A$104:$A$145,Технологи!$B51,Производство!N$104:N$145)*$F51+$G51,0)</f>
        <v>0</v>
      </c>
      <c r="R51" s="46">
        <f t="array" ref="R51">IF(SUMIF(Производство!$A$104:$A$145,Технологи!$B51,Производство!O$104:O$145)&gt;0,SUMIF(Производство!$A$104:$A$145,Технологи!$B51,Производство!O$104:O$145)*$F51+$G51,0)</f>
        <v>0</v>
      </c>
      <c r="S51" s="46">
        <f t="array" ref="S51">IF(SUMIF(Производство!$A$104:$A$145,Технологи!$B51,Производство!P$104:P$145)&gt;0,SUMIF(Производство!$A$104:$A$145,Технологи!$B51,Производство!P$104:P$145)*$F51+$G51,0)</f>
        <v>0</v>
      </c>
      <c r="T51" s="46">
        <f t="array" ref="T51">IF(SUMIF(Производство!$A$104:$A$145,Технологи!$B51,Производство!Q$104:Q$145)&gt;0,SUMIF(Производство!$A$104:$A$145,Технологи!$B51,Производство!Q$104:Q$145)*$F51+$G51,0)</f>
        <v>0</v>
      </c>
    </row>
    <row r="52" spans="1:20" x14ac:dyDescent="0.25">
      <c r="A52" s="34" t="s">
        <v>377</v>
      </c>
      <c r="B52" s="13" t="s">
        <v>56</v>
      </c>
      <c r="C52" s="19" t="s">
        <v>19</v>
      </c>
      <c r="D52" s="14">
        <v>7038</v>
      </c>
      <c r="E52" s="20"/>
      <c r="F52" s="24">
        <v>0.5991903999999999</v>
      </c>
      <c r="G52" s="24">
        <v>20.971663999999997</v>
      </c>
      <c r="H52" s="23">
        <f t="shared" si="2"/>
        <v>599.19039999999995</v>
      </c>
      <c r="I52" s="46">
        <f t="array" ref="I52">IF(SUMIF(Производство!$A$104:$A$145,Технологи!$B52,Производство!F$104:F$145)&gt;0,SUMIF(Производство!$A$104:$A$145,Технологи!$B52,Производство!F$104:F$145)*$F52+$G52,0)</f>
        <v>0</v>
      </c>
      <c r="J52" s="46">
        <f t="array" ref="J52">IF(SUMIF(Производство!$A$104:$A$145,Технологи!$B52,Производство!G$104:G$145)&gt;0,SUMIF(Производство!$A$104:$A$145,Технологи!$B52,Производство!G$104:G$145)*$F52+$G52,0)</f>
        <v>0</v>
      </c>
      <c r="K52" s="46">
        <f t="array" ref="K52">IF(SUMIF(Производство!$A$104:$A$145,Технологи!$B52,Производство!H$104:H$145)&gt;0,SUMIF(Производство!$A$104:$A$145,Технологи!$B52,Производство!H$104:H$145)*$F52+$G52,0)</f>
        <v>0</v>
      </c>
      <c r="L52" s="46">
        <f t="array" ref="L52">IF(SUMIF(Производство!$A$104:$A$145,Технологи!$B52,Производство!I$104:I$145)&gt;0,SUMIF(Производство!$A$104:$A$145,Технологи!$B52,Производство!I$104:I$145)*$F52+$G52,0)</f>
        <v>0</v>
      </c>
      <c r="M52" s="46">
        <f t="array" ref="M52">IF(SUMIF(Производство!$A$104:$A$145,Технологи!$B52,Производство!J$104:J$145)&gt;0,SUMIF(Производство!$A$104:$A$145,Технологи!$B52,Производство!J$104:J$145)*$F52+$G52,0)</f>
        <v>0</v>
      </c>
      <c r="N52" s="46">
        <f t="array" ref="N52">IF(SUMIF(Производство!$A$104:$A$145,Технологи!$B52,Производство!K$104:K$145)&gt;0,SUMIF(Производство!$A$104:$A$145,Технологи!$B52,Производство!K$104:K$145)*$F52+$G52,0)</f>
        <v>0</v>
      </c>
      <c r="O52" s="46">
        <f t="array" ref="O52">IF(SUMIF(Производство!$A$104:$A$145,Технологи!$B52,Производство!L$104:L$145)&gt;0,SUMIF(Производство!$A$104:$A$145,Технологи!$B52,Производство!L$104:L$145)*$F52+$G52,0)</f>
        <v>0</v>
      </c>
      <c r="P52" s="46">
        <f t="array" ref="P52">IF(SUMIF(Производство!$A$104:$A$145,Технологи!$B52,Производство!M$104:M$145)&gt;0,SUMIF(Производство!$A$104:$A$145,Технологи!$B52,Производство!M$104:M$145)*$F52+$G52,0)</f>
        <v>0</v>
      </c>
      <c r="Q52" s="46">
        <f t="array" ref="Q52">IF(SUMIF(Производство!$A$104:$A$145,Технологи!$B52,Производство!N$104:N$145)&gt;0,SUMIF(Производство!$A$104:$A$145,Технологи!$B52,Производство!N$104:N$145)*$F52+$G52,0)</f>
        <v>0</v>
      </c>
      <c r="R52" s="46">
        <f t="array" ref="R52">IF(SUMIF(Производство!$A$104:$A$145,Технологи!$B52,Производство!O$104:O$145)&gt;0,SUMIF(Производство!$A$104:$A$145,Технологи!$B52,Производство!O$104:O$145)*$F52+$G52,0)</f>
        <v>0</v>
      </c>
      <c r="S52" s="46">
        <f t="array" ref="S52">IF(SUMIF(Производство!$A$104:$A$145,Технологи!$B52,Производство!P$104:P$145)&gt;0,SUMIF(Производство!$A$104:$A$145,Технологи!$B52,Производство!P$104:P$145)*$F52+$G52,0)</f>
        <v>0</v>
      </c>
      <c r="T52" s="46">
        <f t="array" ref="T52">IF(SUMIF(Производство!$A$104:$A$145,Технологи!$B52,Производство!Q$104:Q$145)&gt;0,SUMIF(Производство!$A$104:$A$145,Технологи!$B52,Производство!Q$104:Q$145)*$F52+$G52,0)</f>
        <v>0</v>
      </c>
    </row>
    <row r="53" spans="1:20" x14ac:dyDescent="0.25">
      <c r="A53" s="34" t="s">
        <v>377</v>
      </c>
      <c r="B53" s="13" t="s">
        <v>56</v>
      </c>
      <c r="C53" s="19" t="s">
        <v>20</v>
      </c>
      <c r="D53" s="14">
        <v>7038</v>
      </c>
      <c r="E53" s="20"/>
      <c r="F53" s="24">
        <v>6.720000000000001E-2</v>
      </c>
      <c r="G53" s="24">
        <v>1.008</v>
      </c>
      <c r="H53" s="23">
        <f t="shared" si="2"/>
        <v>67.2</v>
      </c>
      <c r="I53" s="46">
        <f t="array" ref="I53">IF(SUMIF(Производство!$A$104:$A$145,Технологи!$B53,Производство!F$104:F$145)&gt;0,SUMIF(Производство!$A$104:$A$145,Технологи!$B53,Производство!F$104:F$145)*$F53+$G53,0)</f>
        <v>0</v>
      </c>
      <c r="J53" s="46">
        <f t="array" ref="J53">IF(SUMIF(Производство!$A$104:$A$145,Технологи!$B53,Производство!G$104:G$145)&gt;0,SUMIF(Производство!$A$104:$A$145,Технологи!$B53,Производство!G$104:G$145)*$F53+$G53,0)</f>
        <v>0</v>
      </c>
      <c r="K53" s="46">
        <f t="array" ref="K53">IF(SUMIF(Производство!$A$104:$A$145,Технологи!$B53,Производство!H$104:H$145)&gt;0,SUMIF(Производство!$A$104:$A$145,Технологи!$B53,Производство!H$104:H$145)*$F53+$G53,0)</f>
        <v>0</v>
      </c>
      <c r="L53" s="46">
        <f t="array" ref="L53">IF(SUMIF(Производство!$A$104:$A$145,Технологи!$B53,Производство!I$104:I$145)&gt;0,SUMIF(Производство!$A$104:$A$145,Технологи!$B53,Производство!I$104:I$145)*$F53+$G53,0)</f>
        <v>0</v>
      </c>
      <c r="M53" s="46">
        <f t="array" ref="M53">IF(SUMIF(Производство!$A$104:$A$145,Технологи!$B53,Производство!J$104:J$145)&gt;0,SUMIF(Производство!$A$104:$A$145,Технологи!$B53,Производство!J$104:J$145)*$F53+$G53,0)</f>
        <v>0</v>
      </c>
      <c r="N53" s="46">
        <f t="array" ref="N53">IF(SUMIF(Производство!$A$104:$A$145,Технологи!$B53,Производство!K$104:K$145)&gt;0,SUMIF(Производство!$A$104:$A$145,Технологи!$B53,Производство!K$104:K$145)*$F53+$G53,0)</f>
        <v>0</v>
      </c>
      <c r="O53" s="46">
        <f t="array" ref="O53">IF(SUMIF(Производство!$A$104:$A$145,Технологи!$B53,Производство!L$104:L$145)&gt;0,SUMIF(Производство!$A$104:$A$145,Технологи!$B53,Производство!L$104:L$145)*$F53+$G53,0)</f>
        <v>0</v>
      </c>
      <c r="P53" s="46">
        <f t="array" ref="P53">IF(SUMIF(Производство!$A$104:$A$145,Технологи!$B53,Производство!M$104:M$145)&gt;0,SUMIF(Производство!$A$104:$A$145,Технологи!$B53,Производство!M$104:M$145)*$F53+$G53,0)</f>
        <v>0</v>
      </c>
      <c r="Q53" s="46">
        <f t="array" ref="Q53">IF(SUMIF(Производство!$A$104:$A$145,Технологи!$B53,Производство!N$104:N$145)&gt;0,SUMIF(Производство!$A$104:$A$145,Технологи!$B53,Производство!N$104:N$145)*$F53+$G53,0)</f>
        <v>0</v>
      </c>
      <c r="R53" s="46">
        <f t="array" ref="R53">IF(SUMIF(Производство!$A$104:$A$145,Технологи!$B53,Производство!O$104:O$145)&gt;0,SUMIF(Производство!$A$104:$A$145,Технологи!$B53,Производство!O$104:O$145)*$F53+$G53,0)</f>
        <v>0</v>
      </c>
      <c r="S53" s="46">
        <f t="array" ref="S53">IF(SUMIF(Производство!$A$104:$A$145,Технологи!$B53,Производство!P$104:P$145)&gt;0,SUMIF(Производство!$A$104:$A$145,Технологи!$B53,Производство!P$104:P$145)*$F53+$G53,0)</f>
        <v>0</v>
      </c>
      <c r="T53" s="46">
        <f t="array" ref="T53">IF(SUMIF(Производство!$A$104:$A$145,Технологи!$B53,Производство!Q$104:Q$145)&gt;0,SUMIF(Производство!$A$104:$A$145,Технологи!$B53,Производство!Q$104:Q$145)*$F53+$G53,0)</f>
        <v>0</v>
      </c>
    </row>
    <row r="54" spans="1:20" x14ac:dyDescent="0.25">
      <c r="A54" s="34" t="s">
        <v>377</v>
      </c>
      <c r="B54" s="13" t="s">
        <v>56</v>
      </c>
      <c r="C54" s="19" t="s">
        <v>21</v>
      </c>
      <c r="D54" s="14">
        <v>7038</v>
      </c>
      <c r="E54" s="20"/>
      <c r="F54" s="24">
        <v>9.8000000000000004E-2</v>
      </c>
      <c r="G54" s="24">
        <v>1.47</v>
      </c>
      <c r="H54" s="23">
        <f t="shared" si="2"/>
        <v>98</v>
      </c>
      <c r="I54" s="46">
        <f t="array" ref="I54">IF(SUMIF(Производство!$A$104:$A$145,Технологи!$B54,Производство!F$104:F$145)&gt;0,SUMIF(Производство!$A$104:$A$145,Технологи!$B54,Производство!F$104:F$145)*$F54+$G54,0)</f>
        <v>0</v>
      </c>
      <c r="J54" s="46">
        <f t="array" ref="J54">IF(SUMIF(Производство!$A$104:$A$145,Технологи!$B54,Производство!G$104:G$145)&gt;0,SUMIF(Производство!$A$104:$A$145,Технологи!$B54,Производство!G$104:G$145)*$F54+$G54,0)</f>
        <v>0</v>
      </c>
      <c r="K54" s="46">
        <f t="array" ref="K54">IF(SUMIF(Производство!$A$104:$A$145,Технологи!$B54,Производство!H$104:H$145)&gt;0,SUMIF(Производство!$A$104:$A$145,Технологи!$B54,Производство!H$104:H$145)*$F54+$G54,0)</f>
        <v>0</v>
      </c>
      <c r="L54" s="46">
        <f t="array" ref="L54">IF(SUMIF(Производство!$A$104:$A$145,Технологи!$B54,Производство!I$104:I$145)&gt;0,SUMIF(Производство!$A$104:$A$145,Технологи!$B54,Производство!I$104:I$145)*$F54+$G54,0)</f>
        <v>0</v>
      </c>
      <c r="M54" s="46">
        <f t="array" ref="M54">IF(SUMIF(Производство!$A$104:$A$145,Технологи!$B54,Производство!J$104:J$145)&gt;0,SUMIF(Производство!$A$104:$A$145,Технологи!$B54,Производство!J$104:J$145)*$F54+$G54,0)</f>
        <v>0</v>
      </c>
      <c r="N54" s="46">
        <f t="array" ref="N54">IF(SUMIF(Производство!$A$104:$A$145,Технологи!$B54,Производство!K$104:K$145)&gt;0,SUMIF(Производство!$A$104:$A$145,Технологи!$B54,Производство!K$104:K$145)*$F54+$G54,0)</f>
        <v>0</v>
      </c>
      <c r="O54" s="46">
        <f t="array" ref="O54">IF(SUMIF(Производство!$A$104:$A$145,Технологи!$B54,Производство!L$104:L$145)&gt;0,SUMIF(Производство!$A$104:$A$145,Технологи!$B54,Производство!L$104:L$145)*$F54+$G54,0)</f>
        <v>0</v>
      </c>
      <c r="P54" s="46">
        <f t="array" ref="P54">IF(SUMIF(Производство!$A$104:$A$145,Технологи!$B54,Производство!M$104:M$145)&gt;0,SUMIF(Производство!$A$104:$A$145,Технологи!$B54,Производство!M$104:M$145)*$F54+$G54,0)</f>
        <v>0</v>
      </c>
      <c r="Q54" s="46">
        <f t="array" ref="Q54">IF(SUMIF(Производство!$A$104:$A$145,Технологи!$B54,Производство!N$104:N$145)&gt;0,SUMIF(Производство!$A$104:$A$145,Технологи!$B54,Производство!N$104:N$145)*$F54+$G54,0)</f>
        <v>0</v>
      </c>
      <c r="R54" s="46">
        <f t="array" ref="R54">IF(SUMIF(Производство!$A$104:$A$145,Технологи!$B54,Производство!O$104:O$145)&gt;0,SUMIF(Производство!$A$104:$A$145,Технологи!$B54,Производство!O$104:O$145)*$F54+$G54,0)</f>
        <v>0</v>
      </c>
      <c r="S54" s="46">
        <f t="array" ref="S54">IF(SUMIF(Производство!$A$104:$A$145,Технологи!$B54,Производство!P$104:P$145)&gt;0,SUMIF(Производство!$A$104:$A$145,Технологи!$B54,Производство!P$104:P$145)*$F54+$G54,0)</f>
        <v>0</v>
      </c>
      <c r="T54" s="46">
        <f t="array" ref="T54">IF(SUMIF(Производство!$A$104:$A$145,Технологи!$B54,Производство!Q$104:Q$145)&gt;0,SUMIF(Производство!$A$104:$A$145,Технологи!$B54,Производство!Q$104:Q$145)*$F54+$G54,0)</f>
        <v>0</v>
      </c>
    </row>
    <row r="55" spans="1:20" x14ac:dyDescent="0.25">
      <c r="A55" s="34" t="s">
        <v>377</v>
      </c>
      <c r="B55" s="13" t="s">
        <v>56</v>
      </c>
      <c r="C55" s="19" t="s">
        <v>22</v>
      </c>
      <c r="D55" s="14">
        <v>7038</v>
      </c>
      <c r="E55" s="20"/>
      <c r="F55" s="24">
        <v>0</v>
      </c>
      <c r="G55" s="24">
        <v>0</v>
      </c>
      <c r="H55" s="23">
        <f t="shared" si="2"/>
        <v>0</v>
      </c>
      <c r="I55" s="46">
        <f t="array" ref="I55">IF(SUMIF(Производство!$A$104:$A$145,Технологи!$B55,Производство!F$104:F$145)&gt;0,SUMIF(Производство!$A$104:$A$145,Технологи!$B55,Производство!F$104:F$145)*$F55+$G55,0)</f>
        <v>0</v>
      </c>
      <c r="J55" s="46">
        <f t="array" ref="J55">IF(SUMIF(Производство!$A$104:$A$145,Технологи!$B55,Производство!G$104:G$145)&gt;0,SUMIF(Производство!$A$104:$A$145,Технологи!$B55,Производство!G$104:G$145)*$F55+$G55,0)</f>
        <v>0</v>
      </c>
      <c r="K55" s="46">
        <f t="array" ref="K55">IF(SUMIF(Производство!$A$104:$A$145,Технологи!$B55,Производство!H$104:H$145)&gt;0,SUMIF(Производство!$A$104:$A$145,Технологи!$B55,Производство!H$104:H$145)*$F55+$G55,0)</f>
        <v>0</v>
      </c>
      <c r="L55" s="46">
        <f t="array" ref="L55">IF(SUMIF(Производство!$A$104:$A$145,Технологи!$B55,Производство!I$104:I$145)&gt;0,SUMIF(Производство!$A$104:$A$145,Технологи!$B55,Производство!I$104:I$145)*$F55+$G55,0)</f>
        <v>0</v>
      </c>
      <c r="M55" s="46">
        <f t="array" ref="M55">IF(SUMIF(Производство!$A$104:$A$145,Технологи!$B55,Производство!J$104:J$145)&gt;0,SUMIF(Производство!$A$104:$A$145,Технологи!$B55,Производство!J$104:J$145)*$F55+$G55,0)</f>
        <v>0</v>
      </c>
      <c r="N55" s="46">
        <f t="array" ref="N55">IF(SUMIF(Производство!$A$104:$A$145,Технологи!$B55,Производство!K$104:K$145)&gt;0,SUMIF(Производство!$A$104:$A$145,Технологи!$B55,Производство!K$104:K$145)*$F55+$G55,0)</f>
        <v>0</v>
      </c>
      <c r="O55" s="46">
        <f t="array" ref="O55">IF(SUMIF(Производство!$A$104:$A$145,Технологи!$B55,Производство!L$104:L$145)&gt;0,SUMIF(Производство!$A$104:$A$145,Технологи!$B55,Производство!L$104:L$145)*$F55+$G55,0)</f>
        <v>0</v>
      </c>
      <c r="P55" s="46">
        <f t="array" ref="P55">IF(SUMIF(Производство!$A$104:$A$145,Технологи!$B55,Производство!M$104:M$145)&gt;0,SUMIF(Производство!$A$104:$A$145,Технологи!$B55,Производство!M$104:M$145)*$F55+$G55,0)</f>
        <v>0</v>
      </c>
      <c r="Q55" s="46">
        <f t="array" ref="Q55">IF(SUMIF(Производство!$A$104:$A$145,Технологи!$B55,Производство!N$104:N$145)&gt;0,SUMIF(Производство!$A$104:$A$145,Технологи!$B55,Производство!N$104:N$145)*$F55+$G55,0)</f>
        <v>0</v>
      </c>
      <c r="R55" s="46">
        <f t="array" ref="R55">IF(SUMIF(Производство!$A$104:$A$145,Технологи!$B55,Производство!O$104:O$145)&gt;0,SUMIF(Производство!$A$104:$A$145,Технологи!$B55,Производство!O$104:O$145)*$F55+$G55,0)</f>
        <v>0</v>
      </c>
      <c r="S55" s="46">
        <f t="array" ref="S55">IF(SUMIF(Производство!$A$104:$A$145,Технологи!$B55,Производство!P$104:P$145)&gt;0,SUMIF(Производство!$A$104:$A$145,Технологи!$B55,Производство!P$104:P$145)*$F55+$G55,0)</f>
        <v>0</v>
      </c>
      <c r="T55" s="46">
        <f t="array" ref="T55">IF(SUMIF(Производство!$A$104:$A$145,Технологи!$B55,Производство!Q$104:Q$145)&gt;0,SUMIF(Производство!$A$104:$A$145,Технологи!$B55,Производство!Q$104:Q$145)*$F55+$G55,0)</f>
        <v>0</v>
      </c>
    </row>
    <row r="56" spans="1:20" x14ac:dyDescent="0.25">
      <c r="A56" s="34" t="s">
        <v>377</v>
      </c>
      <c r="B56" s="13" t="s">
        <v>56</v>
      </c>
      <c r="C56" s="19" t="s">
        <v>23</v>
      </c>
      <c r="D56" s="14">
        <v>7038</v>
      </c>
      <c r="E56" s="20"/>
      <c r="F56" s="24">
        <v>0</v>
      </c>
      <c r="G56" s="24">
        <v>0</v>
      </c>
      <c r="H56" s="23">
        <f t="shared" si="2"/>
        <v>0</v>
      </c>
      <c r="I56" s="46">
        <f t="array" ref="I56">IF(SUMIF(Производство!$A$104:$A$145,Технологи!$B56,Производство!F$104:F$145)&gt;0,SUMIF(Производство!$A$104:$A$145,Технологи!$B56,Производство!F$104:F$145)*$F56+$G56,0)</f>
        <v>0</v>
      </c>
      <c r="J56" s="46">
        <f t="array" ref="J56">IF(SUMIF(Производство!$A$104:$A$145,Технологи!$B56,Производство!G$104:G$145)&gt;0,SUMIF(Производство!$A$104:$A$145,Технологи!$B56,Производство!G$104:G$145)*$F56+$G56,0)</f>
        <v>0</v>
      </c>
      <c r="K56" s="46">
        <f t="array" ref="K56">IF(SUMIF(Производство!$A$104:$A$145,Технологи!$B56,Производство!H$104:H$145)&gt;0,SUMIF(Производство!$A$104:$A$145,Технологи!$B56,Производство!H$104:H$145)*$F56+$G56,0)</f>
        <v>0</v>
      </c>
      <c r="L56" s="46">
        <f t="array" ref="L56">IF(SUMIF(Производство!$A$104:$A$145,Технологи!$B56,Производство!I$104:I$145)&gt;0,SUMIF(Производство!$A$104:$A$145,Технологи!$B56,Производство!I$104:I$145)*$F56+$G56,0)</f>
        <v>0</v>
      </c>
      <c r="M56" s="46">
        <f t="array" ref="M56">IF(SUMIF(Производство!$A$104:$A$145,Технологи!$B56,Производство!J$104:J$145)&gt;0,SUMIF(Производство!$A$104:$A$145,Технологи!$B56,Производство!J$104:J$145)*$F56+$G56,0)</f>
        <v>0</v>
      </c>
      <c r="N56" s="46">
        <f t="array" ref="N56">IF(SUMIF(Производство!$A$104:$A$145,Технологи!$B56,Производство!K$104:K$145)&gt;0,SUMIF(Производство!$A$104:$A$145,Технологи!$B56,Производство!K$104:K$145)*$F56+$G56,0)</f>
        <v>0</v>
      </c>
      <c r="O56" s="46">
        <f t="array" ref="O56">IF(SUMIF(Производство!$A$104:$A$145,Технологи!$B56,Производство!L$104:L$145)&gt;0,SUMIF(Производство!$A$104:$A$145,Технологи!$B56,Производство!L$104:L$145)*$F56+$G56,0)</f>
        <v>0</v>
      </c>
      <c r="P56" s="46">
        <f t="array" ref="P56">IF(SUMIF(Производство!$A$104:$A$145,Технологи!$B56,Производство!M$104:M$145)&gt;0,SUMIF(Производство!$A$104:$A$145,Технологи!$B56,Производство!M$104:M$145)*$F56+$G56,0)</f>
        <v>0</v>
      </c>
      <c r="Q56" s="46">
        <f t="array" ref="Q56">IF(SUMIF(Производство!$A$104:$A$145,Технологи!$B56,Производство!N$104:N$145)&gt;0,SUMIF(Производство!$A$104:$A$145,Технологи!$B56,Производство!N$104:N$145)*$F56+$G56,0)</f>
        <v>0</v>
      </c>
      <c r="R56" s="46">
        <f t="array" ref="R56">IF(SUMIF(Производство!$A$104:$A$145,Технологи!$B56,Производство!O$104:O$145)&gt;0,SUMIF(Производство!$A$104:$A$145,Технологи!$B56,Производство!O$104:O$145)*$F56+$G56,0)</f>
        <v>0</v>
      </c>
      <c r="S56" s="46">
        <f t="array" ref="S56">IF(SUMIF(Производство!$A$104:$A$145,Технологи!$B56,Производство!P$104:P$145)&gt;0,SUMIF(Производство!$A$104:$A$145,Технологи!$B56,Производство!P$104:P$145)*$F56+$G56,0)</f>
        <v>0</v>
      </c>
      <c r="T56" s="46">
        <f t="array" ref="T56">IF(SUMIF(Производство!$A$104:$A$145,Технологи!$B56,Производство!Q$104:Q$145)&gt;0,SUMIF(Производство!$A$104:$A$145,Технологи!$B56,Производство!Q$104:Q$145)*$F56+$G56,0)</f>
        <v>0</v>
      </c>
    </row>
    <row r="57" spans="1:20" x14ac:dyDescent="0.25">
      <c r="A57" s="34" t="s">
        <v>377</v>
      </c>
      <c r="B57" s="13" t="s">
        <v>57</v>
      </c>
      <c r="C57" s="15" t="s">
        <v>11</v>
      </c>
      <c r="D57" s="14">
        <v>7038</v>
      </c>
      <c r="E57" s="16">
        <v>1.738</v>
      </c>
      <c r="F57" s="22">
        <f>SUM(F58:F69)</f>
        <v>1.7403589827759192</v>
      </c>
      <c r="G57" s="22">
        <f>SUM(G58:G69)</f>
        <v>67.893349999999984</v>
      </c>
      <c r="H57" s="23">
        <f t="shared" si="2"/>
        <v>1740.3589827759192</v>
      </c>
      <c r="I57" s="46">
        <f t="array" ref="I57">IF(SUMIF(Производство!$A$104:$A$145,Технологи!$B57,Производство!F$104:F$145)&gt;0,SUMIF(Производство!$A$104:$A$145,Технологи!$B57,Производство!F$104:F$145)*$F57+$G57,0)</f>
        <v>0</v>
      </c>
      <c r="J57" s="46">
        <f t="array" ref="J57">IF(SUMIF(Производство!$A$104:$A$145,Технологи!$B57,Производство!G$104:G$145)&gt;0,SUMIF(Производство!$A$104:$A$145,Технологи!$B57,Производство!G$104:G$145)*$F57+$G57,0)</f>
        <v>0</v>
      </c>
      <c r="K57" s="46">
        <f t="array" ref="K57">IF(SUMIF(Производство!$A$104:$A$145,Технологи!$B57,Производство!H$104:H$145)&gt;0,SUMIF(Производство!$A$104:$A$145,Технологи!$B57,Производство!H$104:H$145)*$F57+$G57,0)</f>
        <v>0</v>
      </c>
      <c r="L57" s="46">
        <f t="array" ref="L57">IF(SUMIF(Производство!$A$104:$A$145,Технологи!$B57,Производство!I$104:I$145)&gt;0,SUMIF(Производство!$A$104:$A$145,Технологи!$B57,Производство!I$104:I$145)*$F57+$G57,0)</f>
        <v>0</v>
      </c>
      <c r="M57" s="46">
        <f t="array" ref="M57">IF(SUMIF(Производство!$A$104:$A$145,Технологи!$B57,Производство!J$104:J$145)&gt;0,SUMIF(Производство!$A$104:$A$145,Технологи!$B57,Производство!J$104:J$145)*$F57+$G57,0)</f>
        <v>0</v>
      </c>
      <c r="N57" s="46">
        <f t="array" ref="N57">IF(SUMIF(Производство!$A$104:$A$145,Технологи!$B57,Производство!K$104:K$145)&gt;0,SUMIF(Производство!$A$104:$A$145,Технологи!$B57,Производство!K$104:K$145)*$F57+$G57,0)</f>
        <v>0</v>
      </c>
      <c r="O57" s="46">
        <f t="array" ref="O57">IF(SUMIF(Производство!$A$104:$A$145,Технологи!$B57,Производство!L$104:L$145)&gt;0,SUMIF(Производство!$A$104:$A$145,Технологи!$B57,Производство!L$104:L$145)*$F57+$G57,0)</f>
        <v>0</v>
      </c>
      <c r="P57" s="46">
        <f t="array" ref="P57">IF(SUMIF(Производство!$A$104:$A$145,Технологи!$B57,Производство!M$104:M$145)&gt;0,SUMIF(Производство!$A$104:$A$145,Технологи!$B57,Производство!M$104:M$145)*$F57+$G57,0)</f>
        <v>0</v>
      </c>
      <c r="Q57" s="46">
        <f t="array" ref="Q57">IF(SUMIF(Производство!$A$104:$A$145,Технологи!$B57,Производство!N$104:N$145)&gt;0,SUMIF(Производство!$A$104:$A$145,Технологи!$B57,Производство!N$104:N$145)*$F57+$G57,0)</f>
        <v>0</v>
      </c>
      <c r="R57" s="46">
        <f t="array" ref="R57">IF(SUMIF(Производство!$A$104:$A$145,Технологи!$B57,Производство!O$104:O$145)&gt;0,SUMIF(Производство!$A$104:$A$145,Технологи!$B57,Производство!O$104:O$145)*$F57+$G57,0)</f>
        <v>0</v>
      </c>
      <c r="S57" s="46">
        <f t="array" ref="S57">IF(SUMIF(Производство!$A$104:$A$145,Технологи!$B57,Производство!P$104:P$145)&gt;0,SUMIF(Производство!$A$104:$A$145,Технологи!$B57,Производство!P$104:P$145)*$F57+$G57,0)</f>
        <v>0</v>
      </c>
      <c r="T57" s="46">
        <f t="array" ref="T57">IF(SUMIF(Производство!$A$104:$A$145,Технологи!$B57,Производство!Q$104:Q$145)&gt;0,SUMIF(Производство!$A$104:$A$145,Технологи!$B57,Производство!Q$104:Q$145)*$F57+$G57,0)</f>
        <v>0</v>
      </c>
    </row>
    <row r="58" spans="1:20" x14ac:dyDescent="0.25">
      <c r="A58" s="34" t="s">
        <v>377</v>
      </c>
      <c r="B58" s="13" t="s">
        <v>57</v>
      </c>
      <c r="C58" s="19" t="s">
        <v>12</v>
      </c>
      <c r="D58" s="14">
        <v>7038</v>
      </c>
      <c r="E58" s="20"/>
      <c r="F58" s="24">
        <v>0.38926103678929758</v>
      </c>
      <c r="G58" s="24">
        <v>22.160665180230392</v>
      </c>
      <c r="H58" s="23">
        <f t="shared" si="2"/>
        <v>389.26103678929758</v>
      </c>
      <c r="I58" s="46">
        <f t="array" ref="I58">IF(SUMIF(Производство!$A$104:$A$145,Технологи!$B58,Производство!F$104:F$145)&gt;0,SUMIF(Производство!$A$104:$A$145,Технологи!$B58,Производство!F$104:F$145)*$F58+$G58,0)</f>
        <v>0</v>
      </c>
      <c r="J58" s="46">
        <f t="array" ref="J58">IF(SUMIF(Производство!$A$104:$A$145,Технологи!$B58,Производство!G$104:G$145)&gt;0,SUMIF(Производство!$A$104:$A$145,Технологи!$B58,Производство!G$104:G$145)*$F58+$G58,0)</f>
        <v>0</v>
      </c>
      <c r="K58" s="46">
        <f t="array" ref="K58">IF(SUMIF(Производство!$A$104:$A$145,Технологи!$B58,Производство!H$104:H$145)&gt;0,SUMIF(Производство!$A$104:$A$145,Технологи!$B58,Производство!H$104:H$145)*$F58+$G58,0)</f>
        <v>0</v>
      </c>
      <c r="L58" s="46">
        <f t="array" ref="L58">IF(SUMIF(Производство!$A$104:$A$145,Технологи!$B58,Производство!I$104:I$145)&gt;0,SUMIF(Производство!$A$104:$A$145,Технологи!$B58,Производство!I$104:I$145)*$F58+$G58,0)</f>
        <v>0</v>
      </c>
      <c r="M58" s="46">
        <f t="array" ref="M58">IF(SUMIF(Производство!$A$104:$A$145,Технологи!$B58,Производство!J$104:J$145)&gt;0,SUMIF(Производство!$A$104:$A$145,Технологи!$B58,Производство!J$104:J$145)*$F58+$G58,0)</f>
        <v>0</v>
      </c>
      <c r="N58" s="46">
        <f t="array" ref="N58">IF(SUMIF(Производство!$A$104:$A$145,Технологи!$B58,Производство!K$104:K$145)&gt;0,SUMIF(Производство!$A$104:$A$145,Технологи!$B58,Производство!K$104:K$145)*$F58+$G58,0)</f>
        <v>0</v>
      </c>
      <c r="O58" s="46">
        <f t="array" ref="O58">IF(SUMIF(Производство!$A$104:$A$145,Технологи!$B58,Производство!L$104:L$145)&gt;0,SUMIF(Производство!$A$104:$A$145,Технологи!$B58,Производство!L$104:L$145)*$F58+$G58,0)</f>
        <v>0</v>
      </c>
      <c r="P58" s="46">
        <f t="array" ref="P58">IF(SUMIF(Производство!$A$104:$A$145,Технологи!$B58,Производство!M$104:M$145)&gt;0,SUMIF(Производство!$A$104:$A$145,Технологи!$B58,Производство!M$104:M$145)*$F58+$G58,0)</f>
        <v>0</v>
      </c>
      <c r="Q58" s="46">
        <f t="array" ref="Q58">IF(SUMIF(Производство!$A$104:$A$145,Технологи!$B58,Производство!N$104:N$145)&gt;0,SUMIF(Производство!$A$104:$A$145,Технологи!$B58,Производство!N$104:N$145)*$F58+$G58,0)</f>
        <v>0</v>
      </c>
      <c r="R58" s="46">
        <f t="array" ref="R58">IF(SUMIF(Производство!$A$104:$A$145,Технологи!$B58,Производство!O$104:O$145)&gt;0,SUMIF(Производство!$A$104:$A$145,Технологи!$B58,Производство!O$104:O$145)*$F58+$G58,0)</f>
        <v>0</v>
      </c>
      <c r="S58" s="46">
        <f t="array" ref="S58">IF(SUMIF(Производство!$A$104:$A$145,Технологи!$B58,Производство!P$104:P$145)&gt;0,SUMIF(Производство!$A$104:$A$145,Технологи!$B58,Производство!P$104:P$145)*$F58+$G58,0)</f>
        <v>0</v>
      </c>
      <c r="T58" s="46">
        <f t="array" ref="T58">IF(SUMIF(Производство!$A$104:$A$145,Технологи!$B58,Производство!Q$104:Q$145)&gt;0,SUMIF(Производство!$A$104:$A$145,Технологи!$B58,Производство!Q$104:Q$145)*$F58+$G58,0)</f>
        <v>0</v>
      </c>
    </row>
    <row r="59" spans="1:20" x14ac:dyDescent="0.25">
      <c r="A59" s="34" t="s">
        <v>377</v>
      </c>
      <c r="B59" s="13" t="s">
        <v>57</v>
      </c>
      <c r="C59" s="19" t="s">
        <v>13</v>
      </c>
      <c r="D59" s="14">
        <v>7038</v>
      </c>
      <c r="E59" s="20"/>
      <c r="F59" s="24">
        <v>0.11735929765886287</v>
      </c>
      <c r="G59" s="24">
        <v>6.6481995540691186</v>
      </c>
      <c r="H59" s="23">
        <f t="shared" si="2"/>
        <v>117.35929765886287</v>
      </c>
      <c r="I59" s="46">
        <f t="array" ref="I59">IF(SUMIF(Производство!$A$104:$A$145,Технологи!$B59,Производство!F$104:F$145)&gt;0,SUMIF(Производство!$A$104:$A$145,Технологи!$B59,Производство!F$104:F$145)*$F59+$G59,0)</f>
        <v>0</v>
      </c>
      <c r="J59" s="46">
        <f t="array" ref="J59">IF(SUMIF(Производство!$A$104:$A$145,Технологи!$B59,Производство!G$104:G$145)&gt;0,SUMIF(Производство!$A$104:$A$145,Технологи!$B59,Производство!G$104:G$145)*$F59+$G59,0)</f>
        <v>0</v>
      </c>
      <c r="K59" s="46">
        <f t="array" ref="K59">IF(SUMIF(Производство!$A$104:$A$145,Технологи!$B59,Производство!H$104:H$145)&gt;0,SUMIF(Производство!$A$104:$A$145,Технологи!$B59,Производство!H$104:H$145)*$F59+$G59,0)</f>
        <v>0</v>
      </c>
      <c r="L59" s="46">
        <f t="array" ref="L59">IF(SUMIF(Производство!$A$104:$A$145,Технологи!$B59,Производство!I$104:I$145)&gt;0,SUMIF(Производство!$A$104:$A$145,Технологи!$B59,Производство!I$104:I$145)*$F59+$G59,0)</f>
        <v>0</v>
      </c>
      <c r="M59" s="46">
        <f t="array" ref="M59">IF(SUMIF(Производство!$A$104:$A$145,Технологи!$B59,Производство!J$104:J$145)&gt;0,SUMIF(Производство!$A$104:$A$145,Технологи!$B59,Производство!J$104:J$145)*$F59+$G59,0)</f>
        <v>0</v>
      </c>
      <c r="N59" s="46">
        <f t="array" ref="N59">IF(SUMIF(Производство!$A$104:$A$145,Технологи!$B59,Производство!K$104:K$145)&gt;0,SUMIF(Производство!$A$104:$A$145,Технологи!$B59,Производство!K$104:K$145)*$F59+$G59,0)</f>
        <v>0</v>
      </c>
      <c r="O59" s="46">
        <f t="array" ref="O59">IF(SUMIF(Производство!$A$104:$A$145,Технологи!$B59,Производство!L$104:L$145)&gt;0,SUMIF(Производство!$A$104:$A$145,Технологи!$B59,Производство!L$104:L$145)*$F59+$G59,0)</f>
        <v>0</v>
      </c>
      <c r="P59" s="46">
        <f t="array" ref="P59">IF(SUMIF(Производство!$A$104:$A$145,Технологи!$B59,Производство!M$104:M$145)&gt;0,SUMIF(Производство!$A$104:$A$145,Технологи!$B59,Производство!M$104:M$145)*$F59+$G59,0)</f>
        <v>0</v>
      </c>
      <c r="Q59" s="46">
        <f t="array" ref="Q59">IF(SUMIF(Производство!$A$104:$A$145,Технологи!$B59,Производство!N$104:N$145)&gt;0,SUMIF(Производство!$A$104:$A$145,Технологи!$B59,Производство!N$104:N$145)*$F59+$G59,0)</f>
        <v>0</v>
      </c>
      <c r="R59" s="46">
        <f t="array" ref="R59">IF(SUMIF(Производство!$A$104:$A$145,Технологи!$B59,Производство!O$104:O$145)&gt;0,SUMIF(Производство!$A$104:$A$145,Технологи!$B59,Производство!O$104:O$145)*$F59+$G59,0)</f>
        <v>0</v>
      </c>
      <c r="S59" s="46">
        <f t="array" ref="S59">IF(SUMIF(Производство!$A$104:$A$145,Технологи!$B59,Производство!P$104:P$145)&gt;0,SUMIF(Производство!$A$104:$A$145,Технологи!$B59,Производство!P$104:P$145)*$F59+$G59,0)</f>
        <v>0</v>
      </c>
      <c r="T59" s="46">
        <f t="array" ref="T59">IF(SUMIF(Производство!$A$104:$A$145,Технологи!$B59,Производство!Q$104:Q$145)&gt;0,SUMIF(Производство!$A$104:$A$145,Технологи!$B59,Производство!Q$104:Q$145)*$F59+$G59,0)</f>
        <v>0</v>
      </c>
    </row>
    <row r="60" spans="1:20" x14ac:dyDescent="0.25">
      <c r="A60" s="34" t="s">
        <v>377</v>
      </c>
      <c r="B60" s="13" t="s">
        <v>57</v>
      </c>
      <c r="C60" s="19" t="s">
        <v>14</v>
      </c>
      <c r="D60" s="14">
        <v>7038</v>
      </c>
      <c r="E60" s="20"/>
      <c r="F60" s="24">
        <v>1.1735929765886285E-3</v>
      </c>
      <c r="G60" s="24">
        <v>6.6481995540691174E-2</v>
      </c>
      <c r="H60" s="23">
        <f t="shared" si="2"/>
        <v>1.1735929765886286</v>
      </c>
      <c r="I60" s="46">
        <f t="array" ref="I60">IF(SUMIF(Производство!$A$104:$A$145,Технологи!$B60,Производство!F$104:F$145)&gt;0,SUMIF(Производство!$A$104:$A$145,Технологи!$B60,Производство!F$104:F$145)*$F60+$G60,0)</f>
        <v>0</v>
      </c>
      <c r="J60" s="46">
        <f t="array" ref="J60">IF(SUMIF(Производство!$A$104:$A$145,Технологи!$B60,Производство!G$104:G$145)&gt;0,SUMIF(Производство!$A$104:$A$145,Технологи!$B60,Производство!G$104:G$145)*$F60+$G60,0)</f>
        <v>0</v>
      </c>
      <c r="K60" s="46">
        <f t="array" ref="K60">IF(SUMIF(Производство!$A$104:$A$145,Технологи!$B60,Производство!H$104:H$145)&gt;0,SUMIF(Производство!$A$104:$A$145,Технологи!$B60,Производство!H$104:H$145)*$F60+$G60,0)</f>
        <v>0</v>
      </c>
      <c r="L60" s="46">
        <f t="array" ref="L60">IF(SUMIF(Производство!$A$104:$A$145,Технологи!$B60,Производство!I$104:I$145)&gt;0,SUMIF(Производство!$A$104:$A$145,Технологи!$B60,Производство!I$104:I$145)*$F60+$G60,0)</f>
        <v>0</v>
      </c>
      <c r="M60" s="46">
        <f t="array" ref="M60">IF(SUMIF(Производство!$A$104:$A$145,Технологи!$B60,Производство!J$104:J$145)&gt;0,SUMIF(Производство!$A$104:$A$145,Технологи!$B60,Производство!J$104:J$145)*$F60+$G60,0)</f>
        <v>0</v>
      </c>
      <c r="N60" s="46">
        <f t="array" ref="N60">IF(SUMIF(Производство!$A$104:$A$145,Технологи!$B60,Производство!K$104:K$145)&gt;0,SUMIF(Производство!$A$104:$A$145,Технологи!$B60,Производство!K$104:K$145)*$F60+$G60,0)</f>
        <v>0</v>
      </c>
      <c r="O60" s="46">
        <f t="array" ref="O60">IF(SUMIF(Производство!$A$104:$A$145,Технологи!$B60,Производство!L$104:L$145)&gt;0,SUMIF(Производство!$A$104:$A$145,Технологи!$B60,Производство!L$104:L$145)*$F60+$G60,0)</f>
        <v>0</v>
      </c>
      <c r="P60" s="46">
        <f t="array" ref="P60">IF(SUMIF(Производство!$A$104:$A$145,Технологи!$B60,Производство!M$104:M$145)&gt;0,SUMIF(Производство!$A$104:$A$145,Технологи!$B60,Производство!M$104:M$145)*$F60+$G60,0)</f>
        <v>0</v>
      </c>
      <c r="Q60" s="46">
        <f t="array" ref="Q60">IF(SUMIF(Производство!$A$104:$A$145,Технологи!$B60,Производство!N$104:N$145)&gt;0,SUMIF(Производство!$A$104:$A$145,Технологи!$B60,Производство!N$104:N$145)*$F60+$G60,0)</f>
        <v>0</v>
      </c>
      <c r="R60" s="46">
        <f t="array" ref="R60">IF(SUMIF(Производство!$A$104:$A$145,Технологи!$B60,Производство!O$104:O$145)&gt;0,SUMIF(Производство!$A$104:$A$145,Технологи!$B60,Производство!O$104:O$145)*$F60+$G60,0)</f>
        <v>0</v>
      </c>
      <c r="S60" s="46">
        <f t="array" ref="S60">IF(SUMIF(Производство!$A$104:$A$145,Технологи!$B60,Производство!P$104:P$145)&gt;0,SUMIF(Производство!$A$104:$A$145,Технологи!$B60,Производство!P$104:P$145)*$F60+$G60,0)</f>
        <v>0</v>
      </c>
      <c r="T60" s="46">
        <f t="array" ref="T60">IF(SUMIF(Производство!$A$104:$A$145,Технологи!$B60,Производство!Q$104:Q$145)&gt;0,SUMIF(Производство!$A$104:$A$145,Технологи!$B60,Производство!Q$104:Q$145)*$F60+$G60,0)</f>
        <v>0</v>
      </c>
    </row>
    <row r="61" spans="1:20" x14ac:dyDescent="0.25">
      <c r="A61" s="34" t="s">
        <v>377</v>
      </c>
      <c r="B61" s="13" t="s">
        <v>57</v>
      </c>
      <c r="C61" s="19" t="s">
        <v>15</v>
      </c>
      <c r="D61" s="14">
        <v>7038</v>
      </c>
      <c r="E61" s="20"/>
      <c r="F61" s="24">
        <v>5.8679648829431427E-4</v>
      </c>
      <c r="G61" s="24">
        <v>3.3240997770345587E-2</v>
      </c>
      <c r="H61" s="23">
        <f t="shared" si="2"/>
        <v>0.5867964882943143</v>
      </c>
      <c r="I61" s="46">
        <f t="array" ref="I61">IF(SUMIF(Производство!$A$104:$A$145,Технологи!$B61,Производство!F$104:F$145)&gt;0,SUMIF(Производство!$A$104:$A$145,Технологи!$B61,Производство!F$104:F$145)*$F61+$G61,0)</f>
        <v>0</v>
      </c>
      <c r="J61" s="46">
        <f t="array" ref="J61">IF(SUMIF(Производство!$A$104:$A$145,Технологи!$B61,Производство!G$104:G$145)&gt;0,SUMIF(Производство!$A$104:$A$145,Технологи!$B61,Производство!G$104:G$145)*$F61+$G61,0)</f>
        <v>0</v>
      </c>
      <c r="K61" s="46">
        <f t="array" ref="K61">IF(SUMIF(Производство!$A$104:$A$145,Технологи!$B61,Производство!H$104:H$145)&gt;0,SUMIF(Производство!$A$104:$A$145,Технологи!$B61,Производство!H$104:H$145)*$F61+$G61,0)</f>
        <v>0</v>
      </c>
      <c r="L61" s="46">
        <f t="array" ref="L61">IF(SUMIF(Производство!$A$104:$A$145,Технологи!$B61,Производство!I$104:I$145)&gt;0,SUMIF(Производство!$A$104:$A$145,Технологи!$B61,Производство!I$104:I$145)*$F61+$G61,0)</f>
        <v>0</v>
      </c>
      <c r="M61" s="46">
        <f t="array" ref="M61">IF(SUMIF(Производство!$A$104:$A$145,Технологи!$B61,Производство!J$104:J$145)&gt;0,SUMIF(Производство!$A$104:$A$145,Технологи!$B61,Производство!J$104:J$145)*$F61+$G61,0)</f>
        <v>0</v>
      </c>
      <c r="N61" s="46">
        <f t="array" ref="N61">IF(SUMIF(Производство!$A$104:$A$145,Технологи!$B61,Производство!K$104:K$145)&gt;0,SUMIF(Производство!$A$104:$A$145,Технологи!$B61,Производство!K$104:K$145)*$F61+$G61,0)</f>
        <v>0</v>
      </c>
      <c r="O61" s="46">
        <f t="array" ref="O61">IF(SUMIF(Производство!$A$104:$A$145,Технологи!$B61,Производство!L$104:L$145)&gt;0,SUMIF(Производство!$A$104:$A$145,Технологи!$B61,Производство!L$104:L$145)*$F61+$G61,0)</f>
        <v>0</v>
      </c>
      <c r="P61" s="46">
        <f t="array" ref="P61">IF(SUMIF(Производство!$A$104:$A$145,Технологи!$B61,Производство!M$104:M$145)&gt;0,SUMIF(Производство!$A$104:$A$145,Технологи!$B61,Производство!M$104:M$145)*$F61+$G61,0)</f>
        <v>0</v>
      </c>
      <c r="Q61" s="46">
        <f t="array" ref="Q61">IF(SUMIF(Производство!$A$104:$A$145,Технологи!$B61,Производство!N$104:N$145)&gt;0,SUMIF(Производство!$A$104:$A$145,Технологи!$B61,Производство!N$104:N$145)*$F61+$G61,0)</f>
        <v>0</v>
      </c>
      <c r="R61" s="46">
        <f t="array" ref="R61">IF(SUMIF(Производство!$A$104:$A$145,Технологи!$B61,Производство!O$104:O$145)&gt;0,SUMIF(Производство!$A$104:$A$145,Технологи!$B61,Производство!O$104:O$145)*$F61+$G61,0)</f>
        <v>0</v>
      </c>
      <c r="S61" s="46">
        <f t="array" ref="S61">IF(SUMIF(Производство!$A$104:$A$145,Технологи!$B61,Производство!P$104:P$145)&gt;0,SUMIF(Производство!$A$104:$A$145,Технологи!$B61,Производство!P$104:P$145)*$F61+$G61,0)</f>
        <v>0</v>
      </c>
      <c r="T61" s="46">
        <f t="array" ref="T61">IF(SUMIF(Производство!$A$104:$A$145,Технологи!$B61,Производство!Q$104:Q$145)&gt;0,SUMIF(Производство!$A$104:$A$145,Технологи!$B61,Производство!Q$104:Q$145)*$F61+$G61,0)</f>
        <v>0</v>
      </c>
    </row>
    <row r="62" spans="1:20" x14ac:dyDescent="0.25">
      <c r="A62" s="34" t="s">
        <v>377</v>
      </c>
      <c r="B62" s="13" t="s">
        <v>57</v>
      </c>
      <c r="C62" s="19" t="s">
        <v>16</v>
      </c>
      <c r="D62" s="14">
        <v>7038</v>
      </c>
      <c r="E62" s="20"/>
      <c r="F62" s="24">
        <v>7.7852207357859537E-3</v>
      </c>
      <c r="G62" s="24">
        <v>0.44321330360460792</v>
      </c>
      <c r="H62" s="23">
        <f t="shared" si="2"/>
        <v>7.7852207357859537</v>
      </c>
      <c r="I62" s="46">
        <f t="array" ref="I62">IF(SUMIF(Производство!$A$104:$A$145,Технологи!$B62,Производство!F$104:F$145)&gt;0,SUMIF(Производство!$A$104:$A$145,Технологи!$B62,Производство!F$104:F$145)*$F62+$G62,0)</f>
        <v>0</v>
      </c>
      <c r="J62" s="46">
        <f t="array" ref="J62">IF(SUMIF(Производство!$A$104:$A$145,Технологи!$B62,Производство!G$104:G$145)&gt;0,SUMIF(Производство!$A$104:$A$145,Технологи!$B62,Производство!G$104:G$145)*$F62+$G62,0)</f>
        <v>0</v>
      </c>
      <c r="K62" s="46">
        <f t="array" ref="K62">IF(SUMIF(Производство!$A$104:$A$145,Технологи!$B62,Производство!H$104:H$145)&gt;0,SUMIF(Производство!$A$104:$A$145,Технологи!$B62,Производство!H$104:H$145)*$F62+$G62,0)</f>
        <v>0</v>
      </c>
      <c r="L62" s="46">
        <f t="array" ref="L62">IF(SUMIF(Производство!$A$104:$A$145,Технологи!$B62,Производство!I$104:I$145)&gt;0,SUMIF(Производство!$A$104:$A$145,Технологи!$B62,Производство!I$104:I$145)*$F62+$G62,0)</f>
        <v>0</v>
      </c>
      <c r="M62" s="46">
        <f t="array" ref="M62">IF(SUMIF(Производство!$A$104:$A$145,Технологи!$B62,Производство!J$104:J$145)&gt;0,SUMIF(Производство!$A$104:$A$145,Технологи!$B62,Производство!J$104:J$145)*$F62+$G62,0)</f>
        <v>0</v>
      </c>
      <c r="N62" s="46">
        <f t="array" ref="N62">IF(SUMIF(Производство!$A$104:$A$145,Технологи!$B62,Производство!K$104:K$145)&gt;0,SUMIF(Производство!$A$104:$A$145,Технологи!$B62,Производство!K$104:K$145)*$F62+$G62,0)</f>
        <v>0</v>
      </c>
      <c r="O62" s="46">
        <f t="array" ref="O62">IF(SUMIF(Производство!$A$104:$A$145,Технологи!$B62,Производство!L$104:L$145)&gt;0,SUMIF(Производство!$A$104:$A$145,Технологи!$B62,Производство!L$104:L$145)*$F62+$G62,0)</f>
        <v>0</v>
      </c>
      <c r="P62" s="46">
        <f t="array" ref="P62">IF(SUMIF(Производство!$A$104:$A$145,Технологи!$B62,Производство!M$104:M$145)&gt;0,SUMIF(Производство!$A$104:$A$145,Технологи!$B62,Производство!M$104:M$145)*$F62+$G62,0)</f>
        <v>0</v>
      </c>
      <c r="Q62" s="46">
        <f t="array" ref="Q62">IF(SUMIF(Производство!$A$104:$A$145,Технологи!$B62,Производство!N$104:N$145)&gt;0,SUMIF(Производство!$A$104:$A$145,Технологи!$B62,Производство!N$104:N$145)*$F62+$G62,0)</f>
        <v>0</v>
      </c>
      <c r="R62" s="46">
        <f t="array" ref="R62">IF(SUMIF(Производство!$A$104:$A$145,Технологи!$B62,Производство!O$104:O$145)&gt;0,SUMIF(Производство!$A$104:$A$145,Технологи!$B62,Производство!O$104:O$145)*$F62+$G62,0)</f>
        <v>0</v>
      </c>
      <c r="S62" s="46">
        <f t="array" ref="S62">IF(SUMIF(Производство!$A$104:$A$145,Технологи!$B62,Производство!P$104:P$145)&gt;0,SUMIF(Производство!$A$104:$A$145,Технологи!$B62,Производство!P$104:P$145)*$F62+$G62,0)</f>
        <v>0</v>
      </c>
      <c r="T62" s="46">
        <f t="array" ref="T62">IF(SUMIF(Производство!$A$104:$A$145,Технологи!$B62,Производство!Q$104:Q$145)&gt;0,SUMIF(Производство!$A$104:$A$145,Технологи!$B62,Производство!Q$104:Q$145)*$F62+$G62,0)</f>
        <v>0</v>
      </c>
    </row>
    <row r="63" spans="1:20" x14ac:dyDescent="0.25">
      <c r="A63" s="34" t="s">
        <v>377</v>
      </c>
      <c r="B63" s="13" t="s">
        <v>57</v>
      </c>
      <c r="C63" s="19" t="s">
        <v>17</v>
      </c>
      <c r="D63" s="14">
        <v>7038</v>
      </c>
      <c r="E63" s="20"/>
      <c r="F63" s="24">
        <v>4.3031742474916382E-3</v>
      </c>
      <c r="G63" s="24">
        <v>0.24376731698253437</v>
      </c>
      <c r="H63" s="23">
        <f t="shared" si="2"/>
        <v>4.3031742474916381</v>
      </c>
      <c r="I63" s="46">
        <f t="array" ref="I63">IF(SUMIF(Производство!$A$104:$A$145,Технологи!$B63,Производство!F$104:F$145)&gt;0,SUMIF(Производство!$A$104:$A$145,Технологи!$B63,Производство!F$104:F$145)*$F63+$G63,0)</f>
        <v>0</v>
      </c>
      <c r="J63" s="46">
        <f t="array" ref="J63">IF(SUMIF(Производство!$A$104:$A$145,Технологи!$B63,Производство!G$104:G$145)&gt;0,SUMIF(Производство!$A$104:$A$145,Технологи!$B63,Производство!G$104:G$145)*$F63+$G63,0)</f>
        <v>0</v>
      </c>
      <c r="K63" s="46">
        <f t="array" ref="K63">IF(SUMIF(Производство!$A$104:$A$145,Технологи!$B63,Производство!H$104:H$145)&gt;0,SUMIF(Производство!$A$104:$A$145,Технологи!$B63,Производство!H$104:H$145)*$F63+$G63,0)</f>
        <v>0</v>
      </c>
      <c r="L63" s="46">
        <f t="array" ref="L63">IF(SUMIF(Производство!$A$104:$A$145,Технологи!$B63,Производство!I$104:I$145)&gt;0,SUMIF(Производство!$A$104:$A$145,Технологи!$B63,Производство!I$104:I$145)*$F63+$G63,0)</f>
        <v>0</v>
      </c>
      <c r="M63" s="46">
        <f t="array" ref="M63">IF(SUMIF(Производство!$A$104:$A$145,Технологи!$B63,Производство!J$104:J$145)&gt;0,SUMIF(Производство!$A$104:$A$145,Технологи!$B63,Производство!J$104:J$145)*$F63+$G63,0)</f>
        <v>0</v>
      </c>
      <c r="N63" s="46">
        <f t="array" ref="N63">IF(SUMIF(Производство!$A$104:$A$145,Технологи!$B63,Производство!K$104:K$145)&gt;0,SUMIF(Производство!$A$104:$A$145,Технологи!$B63,Производство!K$104:K$145)*$F63+$G63,0)</f>
        <v>0</v>
      </c>
      <c r="O63" s="46">
        <f t="array" ref="O63">IF(SUMIF(Производство!$A$104:$A$145,Технологи!$B63,Производство!L$104:L$145)&gt;0,SUMIF(Производство!$A$104:$A$145,Технологи!$B63,Производство!L$104:L$145)*$F63+$G63,0)</f>
        <v>0</v>
      </c>
      <c r="P63" s="46">
        <f t="array" ref="P63">IF(SUMIF(Производство!$A$104:$A$145,Технологи!$B63,Производство!M$104:M$145)&gt;0,SUMIF(Производство!$A$104:$A$145,Технологи!$B63,Производство!M$104:M$145)*$F63+$G63,0)</f>
        <v>0</v>
      </c>
      <c r="Q63" s="46">
        <f t="array" ref="Q63">IF(SUMIF(Производство!$A$104:$A$145,Технологи!$B63,Производство!N$104:N$145)&gt;0,SUMIF(Производство!$A$104:$A$145,Технологи!$B63,Производство!N$104:N$145)*$F63+$G63,0)</f>
        <v>0</v>
      </c>
      <c r="R63" s="46">
        <f t="array" ref="R63">IF(SUMIF(Производство!$A$104:$A$145,Технологи!$B63,Производство!O$104:O$145)&gt;0,SUMIF(Производство!$A$104:$A$145,Технологи!$B63,Производство!O$104:O$145)*$F63+$G63,0)</f>
        <v>0</v>
      </c>
      <c r="S63" s="46">
        <f t="array" ref="S63">IF(SUMIF(Производство!$A$104:$A$145,Технологи!$B63,Производство!P$104:P$145)&gt;0,SUMIF(Производство!$A$104:$A$145,Технологи!$B63,Производство!P$104:P$145)*$F63+$G63,0)</f>
        <v>0</v>
      </c>
      <c r="T63" s="46">
        <f t="array" ref="T63">IF(SUMIF(Производство!$A$104:$A$145,Технологи!$B63,Производство!Q$104:Q$145)&gt;0,SUMIF(Производство!$A$104:$A$145,Технологи!$B63,Производство!Q$104:Q$145)*$F63+$G63,0)</f>
        <v>0</v>
      </c>
    </row>
    <row r="64" spans="1:20" x14ac:dyDescent="0.25">
      <c r="A64" s="34" t="s">
        <v>377</v>
      </c>
      <c r="B64" s="13" t="s">
        <v>57</v>
      </c>
      <c r="C64" s="19" t="s">
        <v>18</v>
      </c>
      <c r="D64" s="14">
        <v>7038</v>
      </c>
      <c r="E64" s="20"/>
      <c r="F64" s="24">
        <v>3.8848638795986623E-3</v>
      </c>
      <c r="G64" s="24">
        <v>0.22160665180230396</v>
      </c>
      <c r="H64" s="23">
        <f t="shared" si="2"/>
        <v>3.8848638795986621</v>
      </c>
      <c r="I64" s="46">
        <f t="array" ref="I64">IF(SUMIF(Производство!$A$104:$A$145,Технологи!$B64,Производство!F$104:F$145)&gt;0,SUMIF(Производство!$A$104:$A$145,Технологи!$B64,Производство!F$104:F$145)*$F64+$G64,0)</f>
        <v>0</v>
      </c>
      <c r="J64" s="46">
        <f t="array" ref="J64">IF(SUMIF(Производство!$A$104:$A$145,Технологи!$B64,Производство!G$104:G$145)&gt;0,SUMIF(Производство!$A$104:$A$145,Технологи!$B64,Производство!G$104:G$145)*$F64+$G64,0)</f>
        <v>0</v>
      </c>
      <c r="K64" s="46">
        <f t="array" ref="K64">IF(SUMIF(Производство!$A$104:$A$145,Технологи!$B64,Производство!H$104:H$145)&gt;0,SUMIF(Производство!$A$104:$A$145,Технологи!$B64,Производство!H$104:H$145)*$F64+$G64,0)</f>
        <v>0</v>
      </c>
      <c r="L64" s="46">
        <f t="array" ref="L64">IF(SUMIF(Производство!$A$104:$A$145,Технологи!$B64,Производство!I$104:I$145)&gt;0,SUMIF(Производство!$A$104:$A$145,Технологи!$B64,Производство!I$104:I$145)*$F64+$G64,0)</f>
        <v>0</v>
      </c>
      <c r="M64" s="46">
        <f t="array" ref="M64">IF(SUMIF(Производство!$A$104:$A$145,Технологи!$B64,Производство!J$104:J$145)&gt;0,SUMIF(Производство!$A$104:$A$145,Технологи!$B64,Производство!J$104:J$145)*$F64+$G64,0)</f>
        <v>0</v>
      </c>
      <c r="N64" s="46">
        <f t="array" ref="N64">IF(SUMIF(Производство!$A$104:$A$145,Технологи!$B64,Производство!K$104:K$145)&gt;0,SUMIF(Производство!$A$104:$A$145,Технологи!$B64,Производство!K$104:K$145)*$F64+$G64,0)</f>
        <v>0</v>
      </c>
      <c r="O64" s="46">
        <f t="array" ref="O64">IF(SUMIF(Производство!$A$104:$A$145,Технологи!$B64,Производство!L$104:L$145)&gt;0,SUMIF(Производство!$A$104:$A$145,Технологи!$B64,Производство!L$104:L$145)*$F64+$G64,0)</f>
        <v>0</v>
      </c>
      <c r="P64" s="46">
        <f t="array" ref="P64">IF(SUMIF(Производство!$A$104:$A$145,Технологи!$B64,Производство!M$104:M$145)&gt;0,SUMIF(Производство!$A$104:$A$145,Технологи!$B64,Производство!M$104:M$145)*$F64+$G64,0)</f>
        <v>0</v>
      </c>
      <c r="Q64" s="46">
        <f t="array" ref="Q64">IF(SUMIF(Производство!$A$104:$A$145,Технологи!$B64,Производство!N$104:N$145)&gt;0,SUMIF(Производство!$A$104:$A$145,Технологи!$B64,Производство!N$104:N$145)*$F64+$G64,0)</f>
        <v>0</v>
      </c>
      <c r="R64" s="46">
        <f t="array" ref="R64">IF(SUMIF(Производство!$A$104:$A$145,Технологи!$B64,Производство!O$104:O$145)&gt;0,SUMIF(Производство!$A$104:$A$145,Технологи!$B64,Производство!O$104:O$145)*$F64+$G64,0)</f>
        <v>0</v>
      </c>
      <c r="S64" s="46">
        <f t="array" ref="S64">IF(SUMIF(Производство!$A$104:$A$145,Технологи!$B64,Производство!P$104:P$145)&gt;0,SUMIF(Производство!$A$104:$A$145,Технологи!$B64,Производство!P$104:P$145)*$F64+$G64,0)</f>
        <v>0</v>
      </c>
      <c r="T64" s="46">
        <f t="array" ref="T64">IF(SUMIF(Производство!$A$104:$A$145,Технологи!$B64,Производство!Q$104:Q$145)&gt;0,SUMIF(Производство!$A$104:$A$145,Технологи!$B64,Производство!Q$104:Q$145)*$F64+$G64,0)</f>
        <v>0</v>
      </c>
    </row>
    <row r="65" spans="1:20" x14ac:dyDescent="0.25">
      <c r="A65" s="34" t="s">
        <v>377</v>
      </c>
      <c r="B65" s="13" t="s">
        <v>57</v>
      </c>
      <c r="C65" s="19" t="s">
        <v>19</v>
      </c>
      <c r="D65" s="14">
        <v>7038</v>
      </c>
      <c r="E65" s="20"/>
      <c r="F65" s="24">
        <v>0.99180499999999983</v>
      </c>
      <c r="G65" s="24">
        <v>34.713174999999993</v>
      </c>
      <c r="H65" s="23">
        <f t="shared" si="2"/>
        <v>991.80499999999984</v>
      </c>
      <c r="I65" s="46">
        <f t="array" ref="I65">IF(SUMIF(Производство!$A$104:$A$145,Технологи!$B65,Производство!F$104:F$145)&gt;0,SUMIF(Производство!$A$104:$A$145,Технологи!$B65,Производство!F$104:F$145)*$F65+$G65,0)</f>
        <v>0</v>
      </c>
      <c r="J65" s="46">
        <f t="array" ref="J65">IF(SUMIF(Производство!$A$104:$A$145,Технологи!$B65,Производство!G$104:G$145)&gt;0,SUMIF(Производство!$A$104:$A$145,Технологи!$B65,Производство!G$104:G$145)*$F65+$G65,0)</f>
        <v>0</v>
      </c>
      <c r="K65" s="46">
        <f t="array" ref="K65">IF(SUMIF(Производство!$A$104:$A$145,Технологи!$B65,Производство!H$104:H$145)&gt;0,SUMIF(Производство!$A$104:$A$145,Технологи!$B65,Производство!H$104:H$145)*$F65+$G65,0)</f>
        <v>0</v>
      </c>
      <c r="L65" s="46">
        <f t="array" ref="L65">IF(SUMIF(Производство!$A$104:$A$145,Технологи!$B65,Производство!I$104:I$145)&gt;0,SUMIF(Производство!$A$104:$A$145,Технологи!$B65,Производство!I$104:I$145)*$F65+$G65,0)</f>
        <v>0</v>
      </c>
      <c r="M65" s="46">
        <f t="array" ref="M65">IF(SUMIF(Производство!$A$104:$A$145,Технологи!$B65,Производство!J$104:J$145)&gt;0,SUMIF(Производство!$A$104:$A$145,Технологи!$B65,Производство!J$104:J$145)*$F65+$G65,0)</f>
        <v>0</v>
      </c>
      <c r="N65" s="46">
        <f t="array" ref="N65">IF(SUMIF(Производство!$A$104:$A$145,Технологи!$B65,Производство!K$104:K$145)&gt;0,SUMIF(Производство!$A$104:$A$145,Технологи!$B65,Производство!K$104:K$145)*$F65+$G65,0)</f>
        <v>0</v>
      </c>
      <c r="O65" s="46">
        <f t="array" ref="O65">IF(SUMIF(Производство!$A$104:$A$145,Технологи!$B65,Производство!L$104:L$145)&gt;0,SUMIF(Производство!$A$104:$A$145,Технологи!$B65,Производство!L$104:L$145)*$F65+$G65,0)</f>
        <v>0</v>
      </c>
      <c r="P65" s="46">
        <f t="array" ref="P65">IF(SUMIF(Производство!$A$104:$A$145,Технологи!$B65,Производство!M$104:M$145)&gt;0,SUMIF(Производство!$A$104:$A$145,Технологи!$B65,Производство!M$104:M$145)*$F65+$G65,0)</f>
        <v>0</v>
      </c>
      <c r="Q65" s="46">
        <f t="array" ref="Q65">IF(SUMIF(Производство!$A$104:$A$145,Технологи!$B65,Производство!N$104:N$145)&gt;0,SUMIF(Производство!$A$104:$A$145,Технологи!$B65,Производство!N$104:N$145)*$F65+$G65,0)</f>
        <v>0</v>
      </c>
      <c r="R65" s="46">
        <f t="array" ref="R65">IF(SUMIF(Производство!$A$104:$A$145,Технологи!$B65,Производство!O$104:O$145)&gt;0,SUMIF(Производство!$A$104:$A$145,Технологи!$B65,Производство!O$104:O$145)*$F65+$G65,0)</f>
        <v>0</v>
      </c>
      <c r="S65" s="46">
        <f t="array" ref="S65">IF(SUMIF(Производство!$A$104:$A$145,Технологи!$B65,Производство!P$104:P$145)&gt;0,SUMIF(Производство!$A$104:$A$145,Технологи!$B65,Производство!P$104:P$145)*$F65+$G65,0)</f>
        <v>0</v>
      </c>
      <c r="T65" s="46">
        <f t="array" ref="T65">IF(SUMIF(Производство!$A$104:$A$145,Технологи!$B65,Производство!Q$104:Q$145)&gt;0,SUMIF(Производство!$A$104:$A$145,Технологи!$B65,Производство!Q$104:Q$145)*$F65+$G65,0)</f>
        <v>0</v>
      </c>
    </row>
    <row r="66" spans="1:20" x14ac:dyDescent="0.25">
      <c r="A66" s="34" t="s">
        <v>377</v>
      </c>
      <c r="B66" s="13" t="s">
        <v>57</v>
      </c>
      <c r="C66" s="19" t="s">
        <v>20</v>
      </c>
      <c r="D66" s="14">
        <v>7038</v>
      </c>
      <c r="E66" s="20"/>
      <c r="F66" s="24">
        <v>9.1200000000000003E-2</v>
      </c>
      <c r="G66" s="24">
        <v>1.3680000000000001</v>
      </c>
      <c r="H66" s="23">
        <f t="shared" si="2"/>
        <v>91.2</v>
      </c>
      <c r="I66" s="46">
        <f t="array" ref="I66">IF(SUMIF(Производство!$A$104:$A$145,Технологи!$B66,Производство!F$104:F$145)&gt;0,SUMIF(Производство!$A$104:$A$145,Технологи!$B66,Производство!F$104:F$145)*$F66+$G66,0)</f>
        <v>0</v>
      </c>
      <c r="J66" s="46">
        <f t="array" ref="J66">IF(SUMIF(Производство!$A$104:$A$145,Технологи!$B66,Производство!G$104:G$145)&gt;0,SUMIF(Производство!$A$104:$A$145,Технологи!$B66,Производство!G$104:G$145)*$F66+$G66,0)</f>
        <v>0</v>
      </c>
      <c r="K66" s="46">
        <f t="array" ref="K66">IF(SUMIF(Производство!$A$104:$A$145,Технологи!$B66,Производство!H$104:H$145)&gt;0,SUMIF(Производство!$A$104:$A$145,Технологи!$B66,Производство!H$104:H$145)*$F66+$G66,0)</f>
        <v>0</v>
      </c>
      <c r="L66" s="46">
        <f t="array" ref="L66">IF(SUMIF(Производство!$A$104:$A$145,Технологи!$B66,Производство!I$104:I$145)&gt;0,SUMIF(Производство!$A$104:$A$145,Технологи!$B66,Производство!I$104:I$145)*$F66+$G66,0)</f>
        <v>0</v>
      </c>
      <c r="M66" s="46">
        <f t="array" ref="M66">IF(SUMIF(Производство!$A$104:$A$145,Технологи!$B66,Производство!J$104:J$145)&gt;0,SUMIF(Производство!$A$104:$A$145,Технологи!$B66,Производство!J$104:J$145)*$F66+$G66,0)</f>
        <v>0</v>
      </c>
      <c r="N66" s="46">
        <f t="array" ref="N66">IF(SUMIF(Производство!$A$104:$A$145,Технологи!$B66,Производство!K$104:K$145)&gt;0,SUMIF(Производство!$A$104:$A$145,Технологи!$B66,Производство!K$104:K$145)*$F66+$G66,0)</f>
        <v>0</v>
      </c>
      <c r="O66" s="46">
        <f t="array" ref="O66">IF(SUMIF(Производство!$A$104:$A$145,Технологи!$B66,Производство!L$104:L$145)&gt;0,SUMIF(Производство!$A$104:$A$145,Технологи!$B66,Производство!L$104:L$145)*$F66+$G66,0)</f>
        <v>0</v>
      </c>
      <c r="P66" s="46">
        <f t="array" ref="P66">IF(SUMIF(Производство!$A$104:$A$145,Технологи!$B66,Производство!M$104:M$145)&gt;0,SUMIF(Производство!$A$104:$A$145,Технологи!$B66,Производство!M$104:M$145)*$F66+$G66,0)</f>
        <v>0</v>
      </c>
      <c r="Q66" s="46">
        <f t="array" ref="Q66">IF(SUMIF(Производство!$A$104:$A$145,Технологи!$B66,Производство!N$104:N$145)&gt;0,SUMIF(Производство!$A$104:$A$145,Технологи!$B66,Производство!N$104:N$145)*$F66+$G66,0)</f>
        <v>0</v>
      </c>
      <c r="R66" s="46">
        <f t="array" ref="R66">IF(SUMIF(Производство!$A$104:$A$145,Технологи!$B66,Производство!O$104:O$145)&gt;0,SUMIF(Производство!$A$104:$A$145,Технологи!$B66,Производство!O$104:O$145)*$F66+$G66,0)</f>
        <v>0</v>
      </c>
      <c r="S66" s="46">
        <f t="array" ref="S66">IF(SUMIF(Производство!$A$104:$A$145,Технологи!$B66,Производство!P$104:P$145)&gt;0,SUMIF(Производство!$A$104:$A$145,Технологи!$B66,Производство!P$104:P$145)*$F66+$G66,0)</f>
        <v>0</v>
      </c>
      <c r="T66" s="46">
        <f t="array" ref="T66">IF(SUMIF(Производство!$A$104:$A$145,Технологи!$B66,Производство!Q$104:Q$145)&gt;0,SUMIF(Производство!$A$104:$A$145,Технологи!$B66,Производство!Q$104:Q$145)*$F66+$G66,0)</f>
        <v>0</v>
      </c>
    </row>
    <row r="67" spans="1:20" x14ac:dyDescent="0.25">
      <c r="A67" s="34" t="s">
        <v>377</v>
      </c>
      <c r="B67" s="13" t="s">
        <v>57</v>
      </c>
      <c r="C67" s="19" t="s">
        <v>21</v>
      </c>
      <c r="D67" s="14">
        <v>7038</v>
      </c>
      <c r="E67" s="20"/>
      <c r="F67" s="24">
        <v>0.13300000000000001</v>
      </c>
      <c r="G67" s="24">
        <v>1.9950000000000001</v>
      </c>
      <c r="H67" s="23">
        <f t="shared" ref="H67:H82" si="3">F67*1000</f>
        <v>133</v>
      </c>
      <c r="I67" s="46">
        <f t="array" ref="I67">IF(SUMIF(Производство!$A$104:$A$145,Технологи!$B67,Производство!F$104:F$145)&gt;0,SUMIF(Производство!$A$104:$A$145,Технологи!$B67,Производство!F$104:F$145)*$F67+$G67,0)</f>
        <v>0</v>
      </c>
      <c r="J67" s="46">
        <f t="array" ref="J67">IF(SUMIF(Производство!$A$104:$A$145,Технологи!$B67,Производство!G$104:G$145)&gt;0,SUMIF(Производство!$A$104:$A$145,Технологи!$B67,Производство!G$104:G$145)*$F67+$G67,0)</f>
        <v>0</v>
      </c>
      <c r="K67" s="46">
        <f t="array" ref="K67">IF(SUMIF(Производство!$A$104:$A$145,Технологи!$B67,Производство!H$104:H$145)&gt;0,SUMIF(Производство!$A$104:$A$145,Технологи!$B67,Производство!H$104:H$145)*$F67+$G67,0)</f>
        <v>0</v>
      </c>
      <c r="L67" s="46">
        <f t="array" ref="L67">IF(SUMIF(Производство!$A$104:$A$145,Технологи!$B67,Производство!I$104:I$145)&gt;0,SUMIF(Производство!$A$104:$A$145,Технологи!$B67,Производство!I$104:I$145)*$F67+$G67,0)</f>
        <v>0</v>
      </c>
      <c r="M67" s="46">
        <f t="array" ref="M67">IF(SUMIF(Производство!$A$104:$A$145,Технологи!$B67,Производство!J$104:J$145)&gt;0,SUMIF(Производство!$A$104:$A$145,Технологи!$B67,Производство!J$104:J$145)*$F67+$G67,0)</f>
        <v>0</v>
      </c>
      <c r="N67" s="46">
        <f t="array" ref="N67">IF(SUMIF(Производство!$A$104:$A$145,Технологи!$B67,Производство!K$104:K$145)&gt;0,SUMIF(Производство!$A$104:$A$145,Технологи!$B67,Производство!K$104:K$145)*$F67+$G67,0)</f>
        <v>0</v>
      </c>
      <c r="O67" s="46">
        <f t="array" ref="O67">IF(SUMIF(Производство!$A$104:$A$145,Технологи!$B67,Производство!L$104:L$145)&gt;0,SUMIF(Производство!$A$104:$A$145,Технологи!$B67,Производство!L$104:L$145)*$F67+$G67,0)</f>
        <v>0</v>
      </c>
      <c r="P67" s="46">
        <f t="array" ref="P67">IF(SUMIF(Производство!$A$104:$A$145,Технологи!$B67,Производство!M$104:M$145)&gt;0,SUMIF(Производство!$A$104:$A$145,Технологи!$B67,Производство!M$104:M$145)*$F67+$G67,0)</f>
        <v>0</v>
      </c>
      <c r="Q67" s="46">
        <f t="array" ref="Q67">IF(SUMIF(Производство!$A$104:$A$145,Технологи!$B67,Производство!N$104:N$145)&gt;0,SUMIF(Производство!$A$104:$A$145,Технологи!$B67,Производство!N$104:N$145)*$F67+$G67,0)</f>
        <v>0</v>
      </c>
      <c r="R67" s="46">
        <f t="array" ref="R67">IF(SUMIF(Производство!$A$104:$A$145,Технологи!$B67,Производство!O$104:O$145)&gt;0,SUMIF(Производство!$A$104:$A$145,Технологи!$B67,Производство!O$104:O$145)*$F67+$G67,0)</f>
        <v>0</v>
      </c>
      <c r="S67" s="46">
        <f t="array" ref="S67">IF(SUMIF(Производство!$A$104:$A$145,Технологи!$B67,Производство!P$104:P$145)&gt;0,SUMIF(Производство!$A$104:$A$145,Технологи!$B67,Производство!P$104:P$145)*$F67+$G67,0)</f>
        <v>0</v>
      </c>
      <c r="T67" s="46">
        <f t="array" ref="T67">IF(SUMIF(Производство!$A$104:$A$145,Технологи!$B67,Производство!Q$104:Q$145)&gt;0,SUMIF(Производство!$A$104:$A$145,Технологи!$B67,Производство!Q$104:Q$145)*$F67+$G67,0)</f>
        <v>0</v>
      </c>
    </row>
    <row r="68" spans="1:20" x14ac:dyDescent="0.25">
      <c r="A68" s="34" t="s">
        <v>377</v>
      </c>
      <c r="B68" s="13" t="s">
        <v>57</v>
      </c>
      <c r="C68" s="19" t="s">
        <v>22</v>
      </c>
      <c r="D68" s="14">
        <v>7038</v>
      </c>
      <c r="E68" s="20"/>
      <c r="F68" s="24">
        <v>0</v>
      </c>
      <c r="G68" s="24">
        <v>0</v>
      </c>
      <c r="H68" s="23">
        <f t="shared" si="3"/>
        <v>0</v>
      </c>
      <c r="I68" s="46">
        <f t="array" ref="I68">IF(SUMIF(Производство!$A$104:$A$145,Технологи!$B68,Производство!F$104:F$145)&gt;0,SUMIF(Производство!$A$104:$A$145,Технологи!$B68,Производство!F$104:F$145)*$F68+$G68,0)</f>
        <v>0</v>
      </c>
      <c r="J68" s="46">
        <f t="array" ref="J68">IF(SUMIF(Производство!$A$104:$A$145,Технологи!$B68,Производство!G$104:G$145)&gt;0,SUMIF(Производство!$A$104:$A$145,Технологи!$B68,Производство!G$104:G$145)*$F68+$G68,0)</f>
        <v>0</v>
      </c>
      <c r="K68" s="46">
        <f t="array" ref="K68">IF(SUMIF(Производство!$A$104:$A$145,Технологи!$B68,Производство!H$104:H$145)&gt;0,SUMIF(Производство!$A$104:$A$145,Технологи!$B68,Производство!H$104:H$145)*$F68+$G68,0)</f>
        <v>0</v>
      </c>
      <c r="L68" s="46">
        <f t="array" ref="L68">IF(SUMIF(Производство!$A$104:$A$145,Технологи!$B68,Производство!I$104:I$145)&gt;0,SUMIF(Производство!$A$104:$A$145,Технологи!$B68,Производство!I$104:I$145)*$F68+$G68,0)</f>
        <v>0</v>
      </c>
      <c r="M68" s="46">
        <f t="array" ref="M68">IF(SUMIF(Производство!$A$104:$A$145,Технологи!$B68,Производство!J$104:J$145)&gt;0,SUMIF(Производство!$A$104:$A$145,Технологи!$B68,Производство!J$104:J$145)*$F68+$G68,0)</f>
        <v>0</v>
      </c>
      <c r="N68" s="46">
        <f t="array" ref="N68">IF(SUMIF(Производство!$A$104:$A$145,Технологи!$B68,Производство!K$104:K$145)&gt;0,SUMIF(Производство!$A$104:$A$145,Технологи!$B68,Производство!K$104:K$145)*$F68+$G68,0)</f>
        <v>0</v>
      </c>
      <c r="O68" s="46">
        <f t="array" ref="O68">IF(SUMIF(Производство!$A$104:$A$145,Технологи!$B68,Производство!L$104:L$145)&gt;0,SUMIF(Производство!$A$104:$A$145,Технологи!$B68,Производство!L$104:L$145)*$F68+$G68,0)</f>
        <v>0</v>
      </c>
      <c r="P68" s="46">
        <f t="array" ref="P68">IF(SUMIF(Производство!$A$104:$A$145,Технологи!$B68,Производство!M$104:M$145)&gt;0,SUMIF(Производство!$A$104:$A$145,Технологи!$B68,Производство!M$104:M$145)*$F68+$G68,0)</f>
        <v>0</v>
      </c>
      <c r="Q68" s="46">
        <f t="array" ref="Q68">IF(SUMIF(Производство!$A$104:$A$145,Технологи!$B68,Производство!N$104:N$145)&gt;0,SUMIF(Производство!$A$104:$A$145,Технологи!$B68,Производство!N$104:N$145)*$F68+$G68,0)</f>
        <v>0</v>
      </c>
      <c r="R68" s="46">
        <f t="array" ref="R68">IF(SUMIF(Производство!$A$104:$A$145,Технологи!$B68,Производство!O$104:O$145)&gt;0,SUMIF(Производство!$A$104:$A$145,Технологи!$B68,Производство!O$104:O$145)*$F68+$G68,0)</f>
        <v>0</v>
      </c>
      <c r="S68" s="46">
        <f t="array" ref="S68">IF(SUMIF(Производство!$A$104:$A$145,Технологи!$B68,Производство!P$104:P$145)&gt;0,SUMIF(Производство!$A$104:$A$145,Технологи!$B68,Производство!P$104:P$145)*$F68+$G68,0)</f>
        <v>0</v>
      </c>
      <c r="T68" s="46">
        <f t="array" ref="T68">IF(SUMIF(Производство!$A$104:$A$145,Технологи!$B68,Производство!Q$104:Q$145)&gt;0,SUMIF(Производство!$A$104:$A$145,Технологи!$B68,Производство!Q$104:Q$145)*$F68+$G68,0)</f>
        <v>0</v>
      </c>
    </row>
    <row r="69" spans="1:20" x14ac:dyDescent="0.25">
      <c r="A69" s="34" t="s">
        <v>377</v>
      </c>
      <c r="B69" s="13" t="s">
        <v>57</v>
      </c>
      <c r="C69" s="19" t="s">
        <v>23</v>
      </c>
      <c r="D69" s="14">
        <v>7038</v>
      </c>
      <c r="E69" s="20"/>
      <c r="F69" s="24">
        <v>0</v>
      </c>
      <c r="G69" s="24">
        <v>0</v>
      </c>
      <c r="H69" s="23">
        <f t="shared" si="3"/>
        <v>0</v>
      </c>
      <c r="I69" s="46">
        <f t="array" ref="I69">IF(SUMIF(Производство!$A$104:$A$145,Технологи!$B69,Производство!F$104:F$145)&gt;0,SUMIF(Производство!$A$104:$A$145,Технологи!$B69,Производство!F$104:F$145)*$F69+$G69,0)</f>
        <v>0</v>
      </c>
      <c r="J69" s="46">
        <f t="array" ref="J69">IF(SUMIF(Производство!$A$104:$A$145,Технологи!$B69,Производство!G$104:G$145)&gt;0,SUMIF(Производство!$A$104:$A$145,Технологи!$B69,Производство!G$104:G$145)*$F69+$G69,0)</f>
        <v>0</v>
      </c>
      <c r="K69" s="46">
        <f t="array" ref="K69">IF(SUMIF(Производство!$A$104:$A$145,Технологи!$B69,Производство!H$104:H$145)&gt;0,SUMIF(Производство!$A$104:$A$145,Технологи!$B69,Производство!H$104:H$145)*$F69+$G69,0)</f>
        <v>0</v>
      </c>
      <c r="L69" s="46">
        <f t="array" ref="L69">IF(SUMIF(Производство!$A$104:$A$145,Технологи!$B69,Производство!I$104:I$145)&gt;0,SUMIF(Производство!$A$104:$A$145,Технологи!$B69,Производство!I$104:I$145)*$F69+$G69,0)</f>
        <v>0</v>
      </c>
      <c r="M69" s="46">
        <f t="array" ref="M69">IF(SUMIF(Производство!$A$104:$A$145,Технологи!$B69,Производство!J$104:J$145)&gt;0,SUMIF(Производство!$A$104:$A$145,Технологи!$B69,Производство!J$104:J$145)*$F69+$G69,0)</f>
        <v>0</v>
      </c>
      <c r="N69" s="46">
        <f t="array" ref="N69">IF(SUMIF(Производство!$A$104:$A$145,Технологи!$B69,Производство!K$104:K$145)&gt;0,SUMIF(Производство!$A$104:$A$145,Технологи!$B69,Производство!K$104:K$145)*$F69+$G69,0)</f>
        <v>0</v>
      </c>
      <c r="O69" s="46">
        <f t="array" ref="O69">IF(SUMIF(Производство!$A$104:$A$145,Технологи!$B69,Производство!L$104:L$145)&gt;0,SUMIF(Производство!$A$104:$A$145,Технологи!$B69,Производство!L$104:L$145)*$F69+$G69,0)</f>
        <v>0</v>
      </c>
      <c r="P69" s="46">
        <f t="array" ref="P69">IF(SUMIF(Производство!$A$104:$A$145,Технологи!$B69,Производство!M$104:M$145)&gt;0,SUMIF(Производство!$A$104:$A$145,Технологи!$B69,Производство!M$104:M$145)*$F69+$G69,0)</f>
        <v>0</v>
      </c>
      <c r="Q69" s="46">
        <f t="array" ref="Q69">IF(SUMIF(Производство!$A$104:$A$145,Технологи!$B69,Производство!N$104:N$145)&gt;0,SUMIF(Производство!$A$104:$A$145,Технологи!$B69,Производство!N$104:N$145)*$F69+$G69,0)</f>
        <v>0</v>
      </c>
      <c r="R69" s="46">
        <f t="array" ref="R69">IF(SUMIF(Производство!$A$104:$A$145,Технологи!$B69,Производство!O$104:O$145)&gt;0,SUMIF(Производство!$A$104:$A$145,Технологи!$B69,Производство!O$104:O$145)*$F69+$G69,0)</f>
        <v>0</v>
      </c>
      <c r="S69" s="46">
        <f t="array" ref="S69">IF(SUMIF(Производство!$A$104:$A$145,Технологи!$B69,Производство!P$104:P$145)&gt;0,SUMIF(Производство!$A$104:$A$145,Технологи!$B69,Производство!P$104:P$145)*$F69+$G69,0)</f>
        <v>0</v>
      </c>
      <c r="T69" s="46">
        <f t="array" ref="T69">IF(SUMIF(Производство!$A$104:$A$145,Технологи!$B69,Производство!Q$104:Q$145)&gt;0,SUMIF(Производство!$A$104:$A$145,Технологи!$B69,Производство!Q$104:Q$145)*$F69+$G69,0)</f>
        <v>0</v>
      </c>
    </row>
    <row r="70" spans="1:20" x14ac:dyDescent="0.25">
      <c r="A70" s="34" t="s">
        <v>377</v>
      </c>
      <c r="B70" s="13" t="s">
        <v>58</v>
      </c>
      <c r="C70" s="15" t="s">
        <v>11</v>
      </c>
      <c r="D70" s="14">
        <v>7038</v>
      </c>
      <c r="E70" s="16">
        <v>3.4379999999999997</v>
      </c>
      <c r="F70" s="22">
        <f>SUM(F71:F82)</f>
        <v>3.4448562050078038</v>
      </c>
      <c r="G70" s="22">
        <f>SUM(G71:G82)</f>
        <v>161.72064399999996</v>
      </c>
      <c r="H70" s="23">
        <f t="shared" si="3"/>
        <v>3444.856205007804</v>
      </c>
      <c r="I70" s="46">
        <f t="array" ref="I70">IF(SUMIF(Производство!$A$104:$A$145,Технологи!$B70,Производство!F$104:F$145)&gt;0,SUMIF(Производство!$A$104:$A$145,Технологи!$B70,Производство!F$104:F$145)*$F70+$G70,0)</f>
        <v>0</v>
      </c>
      <c r="J70" s="46">
        <f t="array" ref="J70">IF(SUMIF(Производство!$A$104:$A$145,Технологи!$B70,Производство!G$104:G$145)&gt;0,SUMIF(Производство!$A$104:$A$145,Технологи!$B70,Производство!G$104:G$145)*$F70+$G70,0)</f>
        <v>0</v>
      </c>
      <c r="K70" s="46">
        <f t="array" ref="K70">IF(SUMIF(Производство!$A$104:$A$145,Технологи!$B70,Производство!H$104:H$145)&gt;0,SUMIF(Производство!$A$104:$A$145,Технологи!$B70,Производство!H$104:H$145)*$F70+$G70,0)</f>
        <v>0</v>
      </c>
      <c r="L70" s="46">
        <f t="array" ref="L70">IF(SUMIF(Производство!$A$104:$A$145,Технологи!$B70,Производство!I$104:I$145)&gt;0,SUMIF(Производство!$A$104:$A$145,Технологи!$B70,Производство!I$104:I$145)*$F70+$G70,0)</f>
        <v>0</v>
      </c>
      <c r="M70" s="46">
        <f t="array" ref="M70">IF(SUMIF(Производство!$A$104:$A$145,Технологи!$B70,Производство!J$104:J$145)&gt;0,SUMIF(Производство!$A$104:$A$145,Технологи!$B70,Производство!J$104:J$145)*$F70+$G70,0)</f>
        <v>0</v>
      </c>
      <c r="N70" s="46">
        <f t="array" ref="N70">IF(SUMIF(Производство!$A$104:$A$145,Технологи!$B70,Производство!K$104:K$145)&gt;0,SUMIF(Производство!$A$104:$A$145,Технологи!$B70,Производство!K$104:K$145)*$F70+$G70,0)</f>
        <v>0</v>
      </c>
      <c r="O70" s="46">
        <f t="array" ref="O70">IF(SUMIF(Производство!$A$104:$A$145,Технологи!$B70,Производство!L$104:L$145)&gt;0,SUMIF(Производство!$A$104:$A$145,Технологи!$B70,Производство!L$104:L$145)*$F70+$G70,0)</f>
        <v>0</v>
      </c>
      <c r="P70" s="46">
        <f t="array" ref="P70">IF(SUMIF(Производство!$A$104:$A$145,Технологи!$B70,Производство!M$104:M$145)&gt;0,SUMIF(Производство!$A$104:$A$145,Технологи!$B70,Производство!M$104:M$145)*$F70+$G70,0)</f>
        <v>0</v>
      </c>
      <c r="Q70" s="46">
        <f t="array" ref="Q70">IF(SUMIF(Производство!$A$104:$A$145,Технологи!$B70,Производство!N$104:N$145)&gt;0,SUMIF(Производство!$A$104:$A$145,Технологи!$B70,Производство!N$104:N$145)*$F70+$G70,0)</f>
        <v>0</v>
      </c>
      <c r="R70" s="46">
        <f t="array" ref="R70">IF(SUMIF(Производство!$A$104:$A$145,Технологи!$B70,Производство!O$104:O$145)&gt;0,SUMIF(Производство!$A$104:$A$145,Технологи!$B70,Производство!O$104:O$145)*$F70+$G70,0)</f>
        <v>0</v>
      </c>
      <c r="S70" s="46">
        <f t="array" ref="S70">IF(SUMIF(Производство!$A$104:$A$145,Технологи!$B70,Производство!P$104:P$145)&gt;0,SUMIF(Производство!$A$104:$A$145,Технологи!$B70,Производство!P$104:P$145)*$F70+$G70,0)</f>
        <v>0</v>
      </c>
      <c r="T70" s="46">
        <f t="array" ref="T70">IF(SUMIF(Производство!$A$104:$A$145,Технологи!$B70,Производство!Q$104:Q$145)&gt;0,SUMIF(Производство!$A$104:$A$145,Технологи!$B70,Производство!Q$104:Q$145)*$F70+$G70,0)</f>
        <v>0</v>
      </c>
    </row>
    <row r="71" spans="1:20" x14ac:dyDescent="0.25">
      <c r="A71" s="34" t="s">
        <v>377</v>
      </c>
      <c r="B71" s="13" t="s">
        <v>58</v>
      </c>
      <c r="C71" s="19" t="s">
        <v>12</v>
      </c>
      <c r="D71" s="14">
        <v>7038</v>
      </c>
      <c r="E71" s="20"/>
      <c r="F71" s="24">
        <v>0.8986416454849494</v>
      </c>
      <c r="G71" s="24">
        <v>41.817348792270522</v>
      </c>
      <c r="H71" s="23">
        <f t="shared" si="3"/>
        <v>898.64164548494944</v>
      </c>
      <c r="I71" s="46">
        <f t="array" ref="I71">IF(SUMIF(Производство!$A$104:$A$145,Технологи!$B71,Производство!F$104:F$145)&gt;0,SUMIF(Производство!$A$104:$A$145,Технологи!$B71,Производство!F$104:F$145)*$F71+$G71,0)</f>
        <v>0</v>
      </c>
      <c r="J71" s="46">
        <f t="array" ref="J71">IF(SUMIF(Производство!$A$104:$A$145,Технологи!$B71,Производство!G$104:G$145)&gt;0,SUMIF(Производство!$A$104:$A$145,Технологи!$B71,Производство!G$104:G$145)*$F71+$G71,0)</f>
        <v>0</v>
      </c>
      <c r="K71" s="46">
        <f t="array" ref="K71">IF(SUMIF(Производство!$A$104:$A$145,Технологи!$B71,Производство!H$104:H$145)&gt;0,SUMIF(Производство!$A$104:$A$145,Технологи!$B71,Производство!H$104:H$145)*$F71+$G71,0)</f>
        <v>0</v>
      </c>
      <c r="L71" s="46">
        <f t="array" ref="L71">IF(SUMIF(Производство!$A$104:$A$145,Технологи!$B71,Производство!I$104:I$145)&gt;0,SUMIF(Производство!$A$104:$A$145,Технологи!$B71,Производство!I$104:I$145)*$F71+$G71,0)</f>
        <v>0</v>
      </c>
      <c r="M71" s="46">
        <f t="array" ref="M71">IF(SUMIF(Производство!$A$104:$A$145,Технологи!$B71,Производство!J$104:J$145)&gt;0,SUMIF(Производство!$A$104:$A$145,Технологи!$B71,Производство!J$104:J$145)*$F71+$G71,0)</f>
        <v>0</v>
      </c>
      <c r="N71" s="46">
        <f t="array" ref="N71">IF(SUMIF(Производство!$A$104:$A$145,Технологи!$B71,Производство!K$104:K$145)&gt;0,SUMIF(Производство!$A$104:$A$145,Технологи!$B71,Производство!K$104:K$145)*$F71+$G71,0)</f>
        <v>0</v>
      </c>
      <c r="O71" s="46">
        <f t="array" ref="O71">IF(SUMIF(Производство!$A$104:$A$145,Технологи!$B71,Производство!L$104:L$145)&gt;0,SUMIF(Производство!$A$104:$A$145,Технологи!$B71,Производство!L$104:L$145)*$F71+$G71,0)</f>
        <v>0</v>
      </c>
      <c r="P71" s="46">
        <f t="array" ref="P71">IF(SUMIF(Производство!$A$104:$A$145,Технологи!$B71,Производство!M$104:M$145)&gt;0,SUMIF(Производство!$A$104:$A$145,Технологи!$B71,Производство!M$104:M$145)*$F71+$G71,0)</f>
        <v>0</v>
      </c>
      <c r="Q71" s="46">
        <f t="array" ref="Q71">IF(SUMIF(Производство!$A$104:$A$145,Технологи!$B71,Производство!N$104:N$145)&gt;0,SUMIF(Производство!$A$104:$A$145,Технологи!$B71,Производство!N$104:N$145)*$F71+$G71,0)</f>
        <v>0</v>
      </c>
      <c r="R71" s="46">
        <f t="array" ref="R71">IF(SUMIF(Производство!$A$104:$A$145,Технологи!$B71,Производство!O$104:O$145)&gt;0,SUMIF(Производство!$A$104:$A$145,Технологи!$B71,Производство!O$104:O$145)*$F71+$G71,0)</f>
        <v>0</v>
      </c>
      <c r="S71" s="46">
        <f t="array" ref="S71">IF(SUMIF(Производство!$A$104:$A$145,Технологи!$B71,Производство!P$104:P$145)&gt;0,SUMIF(Производство!$A$104:$A$145,Технологи!$B71,Производство!P$104:P$145)*$F71+$G71,0)</f>
        <v>0</v>
      </c>
      <c r="T71" s="46">
        <f t="array" ref="T71">IF(SUMIF(Производство!$A$104:$A$145,Технологи!$B71,Производство!Q$104:Q$145)&gt;0,SUMIF(Производство!$A$104:$A$145,Технологи!$B71,Производство!Q$104:Q$145)*$F71+$G71,0)</f>
        <v>0</v>
      </c>
    </row>
    <row r="72" spans="1:20" x14ac:dyDescent="0.25">
      <c r="A72" s="34" t="s">
        <v>377</v>
      </c>
      <c r="B72" s="13" t="s">
        <v>58</v>
      </c>
      <c r="C72" s="19" t="s">
        <v>13</v>
      </c>
      <c r="D72" s="14">
        <v>7038</v>
      </c>
      <c r="E72" s="20"/>
      <c r="F72" s="24">
        <v>0.27093374983277585</v>
      </c>
      <c r="G72" s="24">
        <v>12.545204637681156</v>
      </c>
      <c r="H72" s="23">
        <f t="shared" si="3"/>
        <v>270.93374983277585</v>
      </c>
      <c r="I72" s="46">
        <f t="array" ref="I72">IF(SUMIF(Производство!$A$104:$A$145,Технологи!$B72,Производство!F$104:F$145)&gt;0,SUMIF(Производство!$A$104:$A$145,Технологи!$B72,Производство!F$104:F$145)*$F72+$G72,0)</f>
        <v>0</v>
      </c>
      <c r="J72" s="46">
        <f t="array" ref="J72">IF(SUMIF(Производство!$A$104:$A$145,Технологи!$B72,Производство!G$104:G$145)&gt;0,SUMIF(Производство!$A$104:$A$145,Технологи!$B72,Производство!G$104:G$145)*$F72+$G72,0)</f>
        <v>0</v>
      </c>
      <c r="K72" s="46">
        <f t="array" ref="K72">IF(SUMIF(Производство!$A$104:$A$145,Технологи!$B72,Производство!H$104:H$145)&gt;0,SUMIF(Производство!$A$104:$A$145,Технологи!$B72,Производство!H$104:H$145)*$F72+$G72,0)</f>
        <v>0</v>
      </c>
      <c r="L72" s="46">
        <f t="array" ref="L72">IF(SUMIF(Производство!$A$104:$A$145,Технологи!$B72,Производство!I$104:I$145)&gt;0,SUMIF(Производство!$A$104:$A$145,Технологи!$B72,Производство!I$104:I$145)*$F72+$G72,0)</f>
        <v>0</v>
      </c>
      <c r="M72" s="46">
        <f t="array" ref="M72">IF(SUMIF(Производство!$A$104:$A$145,Технологи!$B72,Производство!J$104:J$145)&gt;0,SUMIF(Производство!$A$104:$A$145,Технологи!$B72,Производство!J$104:J$145)*$F72+$G72,0)</f>
        <v>0</v>
      </c>
      <c r="N72" s="46">
        <f t="array" ref="N72">IF(SUMIF(Производство!$A$104:$A$145,Технологи!$B72,Производство!K$104:K$145)&gt;0,SUMIF(Производство!$A$104:$A$145,Технологи!$B72,Производство!K$104:K$145)*$F72+$G72,0)</f>
        <v>0</v>
      </c>
      <c r="O72" s="46">
        <f t="array" ref="O72">IF(SUMIF(Производство!$A$104:$A$145,Технологи!$B72,Производство!L$104:L$145)&gt;0,SUMIF(Производство!$A$104:$A$145,Технологи!$B72,Производство!L$104:L$145)*$F72+$G72,0)</f>
        <v>0</v>
      </c>
      <c r="P72" s="46">
        <f t="array" ref="P72">IF(SUMIF(Производство!$A$104:$A$145,Технологи!$B72,Производство!M$104:M$145)&gt;0,SUMIF(Производство!$A$104:$A$145,Технологи!$B72,Производство!M$104:M$145)*$F72+$G72,0)</f>
        <v>0</v>
      </c>
      <c r="Q72" s="46">
        <f t="array" ref="Q72">IF(SUMIF(Производство!$A$104:$A$145,Технологи!$B72,Производство!N$104:N$145)&gt;0,SUMIF(Производство!$A$104:$A$145,Технологи!$B72,Производство!N$104:N$145)*$F72+$G72,0)</f>
        <v>0</v>
      </c>
      <c r="R72" s="46">
        <f t="array" ref="R72">IF(SUMIF(Производство!$A$104:$A$145,Технологи!$B72,Производство!O$104:O$145)&gt;0,SUMIF(Производство!$A$104:$A$145,Технологи!$B72,Производство!O$104:O$145)*$F72+$G72,0)</f>
        <v>0</v>
      </c>
      <c r="S72" s="46">
        <f t="array" ref="S72">IF(SUMIF(Производство!$A$104:$A$145,Технологи!$B72,Производство!P$104:P$145)&gt;0,SUMIF(Производство!$A$104:$A$145,Технологи!$B72,Производство!P$104:P$145)*$F72+$G72,0)</f>
        <v>0</v>
      </c>
      <c r="T72" s="46">
        <f t="array" ref="T72">IF(SUMIF(Производство!$A$104:$A$145,Технологи!$B72,Производство!Q$104:Q$145)&gt;0,SUMIF(Производство!$A$104:$A$145,Технологи!$B72,Производство!Q$104:Q$145)*$F72+$G72,0)</f>
        <v>0</v>
      </c>
    </row>
    <row r="73" spans="1:20" x14ac:dyDescent="0.25">
      <c r="A73" s="34" t="s">
        <v>377</v>
      </c>
      <c r="B73" s="13" t="s">
        <v>58</v>
      </c>
      <c r="C73" s="19" t="s">
        <v>14</v>
      </c>
      <c r="D73" s="14">
        <v>7038</v>
      </c>
      <c r="E73" s="20"/>
      <c r="F73" s="24">
        <v>2.7093374983277584E-3</v>
      </c>
      <c r="G73" s="24">
        <v>0.12545204637681157</v>
      </c>
      <c r="H73" s="23">
        <f t="shared" si="3"/>
        <v>2.7093374983277583</v>
      </c>
      <c r="I73" s="46">
        <f t="array" ref="I73">IF(SUMIF(Производство!$A$104:$A$145,Технологи!$B73,Производство!F$104:F$145)&gt;0,SUMIF(Производство!$A$104:$A$145,Технологи!$B73,Производство!F$104:F$145)*$F73+$G73,0)</f>
        <v>0</v>
      </c>
      <c r="J73" s="46">
        <f t="array" ref="J73">IF(SUMIF(Производство!$A$104:$A$145,Технологи!$B73,Производство!G$104:G$145)&gt;0,SUMIF(Производство!$A$104:$A$145,Технологи!$B73,Производство!G$104:G$145)*$F73+$G73,0)</f>
        <v>0</v>
      </c>
      <c r="K73" s="46">
        <f t="array" ref="K73">IF(SUMIF(Производство!$A$104:$A$145,Технологи!$B73,Производство!H$104:H$145)&gt;0,SUMIF(Производство!$A$104:$A$145,Технологи!$B73,Производство!H$104:H$145)*$F73+$G73,0)</f>
        <v>0</v>
      </c>
      <c r="L73" s="46">
        <f t="array" ref="L73">IF(SUMIF(Производство!$A$104:$A$145,Технологи!$B73,Производство!I$104:I$145)&gt;0,SUMIF(Производство!$A$104:$A$145,Технологи!$B73,Производство!I$104:I$145)*$F73+$G73,0)</f>
        <v>0</v>
      </c>
      <c r="M73" s="46">
        <f t="array" ref="M73">IF(SUMIF(Производство!$A$104:$A$145,Технологи!$B73,Производство!J$104:J$145)&gt;0,SUMIF(Производство!$A$104:$A$145,Технологи!$B73,Производство!J$104:J$145)*$F73+$G73,0)</f>
        <v>0</v>
      </c>
      <c r="N73" s="46">
        <f t="array" ref="N73">IF(SUMIF(Производство!$A$104:$A$145,Технологи!$B73,Производство!K$104:K$145)&gt;0,SUMIF(Производство!$A$104:$A$145,Технологи!$B73,Производство!K$104:K$145)*$F73+$G73,0)</f>
        <v>0</v>
      </c>
      <c r="O73" s="46">
        <f t="array" ref="O73">IF(SUMIF(Производство!$A$104:$A$145,Технологи!$B73,Производство!L$104:L$145)&gt;0,SUMIF(Производство!$A$104:$A$145,Технологи!$B73,Производство!L$104:L$145)*$F73+$G73,0)</f>
        <v>0</v>
      </c>
      <c r="P73" s="46">
        <f t="array" ref="P73">IF(SUMIF(Производство!$A$104:$A$145,Технологи!$B73,Производство!M$104:M$145)&gt;0,SUMIF(Производство!$A$104:$A$145,Технологи!$B73,Производство!M$104:M$145)*$F73+$G73,0)</f>
        <v>0</v>
      </c>
      <c r="Q73" s="46">
        <f t="array" ref="Q73">IF(SUMIF(Производство!$A$104:$A$145,Технологи!$B73,Производство!N$104:N$145)&gt;0,SUMIF(Производство!$A$104:$A$145,Технологи!$B73,Производство!N$104:N$145)*$F73+$G73,0)</f>
        <v>0</v>
      </c>
      <c r="R73" s="46">
        <f t="array" ref="R73">IF(SUMIF(Производство!$A$104:$A$145,Технологи!$B73,Производство!O$104:O$145)&gt;0,SUMIF(Производство!$A$104:$A$145,Технологи!$B73,Производство!O$104:O$145)*$F73+$G73,0)</f>
        <v>0</v>
      </c>
      <c r="S73" s="46">
        <f t="array" ref="S73">IF(SUMIF(Производство!$A$104:$A$145,Технологи!$B73,Производство!P$104:P$145)&gt;0,SUMIF(Производство!$A$104:$A$145,Технологи!$B73,Производство!P$104:P$145)*$F73+$G73,0)</f>
        <v>0</v>
      </c>
      <c r="T73" s="46">
        <f t="array" ref="T73">IF(SUMIF(Производство!$A$104:$A$145,Технологи!$B73,Производство!Q$104:Q$145)&gt;0,SUMIF(Производство!$A$104:$A$145,Технологи!$B73,Производство!Q$104:Q$145)*$F73+$G73,0)</f>
        <v>0</v>
      </c>
    </row>
    <row r="74" spans="1:20" x14ac:dyDescent="0.25">
      <c r="A74" s="34" t="s">
        <v>377</v>
      </c>
      <c r="B74" s="13" t="s">
        <v>58</v>
      </c>
      <c r="C74" s="19" t="s">
        <v>15</v>
      </c>
      <c r="D74" s="14">
        <v>7038</v>
      </c>
      <c r="E74" s="20"/>
      <c r="F74" s="24">
        <v>1.3546687491638792E-3</v>
      </c>
      <c r="G74" s="24">
        <v>6.2726023188405783E-2</v>
      </c>
      <c r="H74" s="23">
        <f t="shared" si="3"/>
        <v>1.3546687491638791</v>
      </c>
      <c r="I74" s="46">
        <f t="array" ref="I74">IF(SUMIF(Производство!$A$104:$A$145,Технологи!$B74,Производство!F$104:F$145)&gt;0,SUMIF(Производство!$A$104:$A$145,Технологи!$B74,Производство!F$104:F$145)*$F74+$G74,0)</f>
        <v>0</v>
      </c>
      <c r="J74" s="46">
        <f t="array" ref="J74">IF(SUMIF(Производство!$A$104:$A$145,Технологи!$B74,Производство!G$104:G$145)&gt;0,SUMIF(Производство!$A$104:$A$145,Технологи!$B74,Производство!G$104:G$145)*$F74+$G74,0)</f>
        <v>0</v>
      </c>
      <c r="K74" s="46">
        <f t="array" ref="K74">IF(SUMIF(Производство!$A$104:$A$145,Технологи!$B74,Производство!H$104:H$145)&gt;0,SUMIF(Производство!$A$104:$A$145,Технологи!$B74,Производство!H$104:H$145)*$F74+$G74,0)</f>
        <v>0</v>
      </c>
      <c r="L74" s="46">
        <f t="array" ref="L74">IF(SUMIF(Производство!$A$104:$A$145,Технологи!$B74,Производство!I$104:I$145)&gt;0,SUMIF(Производство!$A$104:$A$145,Технологи!$B74,Производство!I$104:I$145)*$F74+$G74,0)</f>
        <v>0</v>
      </c>
      <c r="M74" s="46">
        <f t="array" ref="M74">IF(SUMIF(Производство!$A$104:$A$145,Технологи!$B74,Производство!J$104:J$145)&gt;0,SUMIF(Производство!$A$104:$A$145,Технологи!$B74,Производство!J$104:J$145)*$F74+$G74,0)</f>
        <v>0</v>
      </c>
      <c r="N74" s="46">
        <f t="array" ref="N74">IF(SUMIF(Производство!$A$104:$A$145,Технологи!$B74,Производство!K$104:K$145)&gt;0,SUMIF(Производство!$A$104:$A$145,Технологи!$B74,Производство!K$104:K$145)*$F74+$G74,0)</f>
        <v>0</v>
      </c>
      <c r="O74" s="46">
        <f t="array" ref="O74">IF(SUMIF(Производство!$A$104:$A$145,Технологи!$B74,Производство!L$104:L$145)&gt;0,SUMIF(Производство!$A$104:$A$145,Технологи!$B74,Производство!L$104:L$145)*$F74+$G74,0)</f>
        <v>0</v>
      </c>
      <c r="P74" s="46">
        <f t="array" ref="P74">IF(SUMIF(Производство!$A$104:$A$145,Технологи!$B74,Производство!M$104:M$145)&gt;0,SUMIF(Производство!$A$104:$A$145,Технологи!$B74,Производство!M$104:M$145)*$F74+$G74,0)</f>
        <v>0</v>
      </c>
      <c r="Q74" s="46">
        <f t="array" ref="Q74">IF(SUMIF(Производство!$A$104:$A$145,Технологи!$B74,Производство!N$104:N$145)&gt;0,SUMIF(Производство!$A$104:$A$145,Технологи!$B74,Производство!N$104:N$145)*$F74+$G74,0)</f>
        <v>0</v>
      </c>
      <c r="R74" s="46">
        <f t="array" ref="R74">IF(SUMIF(Производство!$A$104:$A$145,Технологи!$B74,Производство!O$104:O$145)&gt;0,SUMIF(Производство!$A$104:$A$145,Технологи!$B74,Производство!O$104:O$145)*$F74+$G74,0)</f>
        <v>0</v>
      </c>
      <c r="S74" s="46">
        <f t="array" ref="S74">IF(SUMIF(Производство!$A$104:$A$145,Технологи!$B74,Производство!P$104:P$145)&gt;0,SUMIF(Производство!$A$104:$A$145,Технологи!$B74,Производство!P$104:P$145)*$F74+$G74,0)</f>
        <v>0</v>
      </c>
      <c r="T74" s="46">
        <f t="array" ref="T74">IF(SUMIF(Производство!$A$104:$A$145,Технологи!$B74,Производство!Q$104:Q$145)&gt;0,SUMIF(Производство!$A$104:$A$145,Технологи!$B74,Производство!Q$104:Q$145)*$F74+$G74,0)</f>
        <v>0</v>
      </c>
    </row>
    <row r="75" spans="1:20" x14ac:dyDescent="0.25">
      <c r="A75" s="34" t="s">
        <v>377</v>
      </c>
      <c r="B75" s="13" t="s">
        <v>58</v>
      </c>
      <c r="C75" s="19" t="s">
        <v>16</v>
      </c>
      <c r="D75" s="14">
        <v>7038</v>
      </c>
      <c r="E75" s="20"/>
      <c r="F75" s="24">
        <v>1.7972832909698994E-2</v>
      </c>
      <c r="G75" s="24">
        <v>0.83634697584541051</v>
      </c>
      <c r="H75" s="23">
        <f t="shared" si="3"/>
        <v>17.972832909698994</v>
      </c>
      <c r="I75" s="46">
        <f t="array" ref="I75">IF(SUMIF(Производство!$A$104:$A$145,Технологи!$B75,Производство!F$104:F$145)&gt;0,SUMIF(Производство!$A$104:$A$145,Технологи!$B75,Производство!F$104:F$145)*$F75+$G75,0)</f>
        <v>0</v>
      </c>
      <c r="J75" s="46">
        <f t="array" ref="J75">IF(SUMIF(Производство!$A$104:$A$145,Технологи!$B75,Производство!G$104:G$145)&gt;0,SUMIF(Производство!$A$104:$A$145,Технологи!$B75,Производство!G$104:G$145)*$F75+$G75,0)</f>
        <v>0</v>
      </c>
      <c r="K75" s="46">
        <f t="array" ref="K75">IF(SUMIF(Производство!$A$104:$A$145,Технологи!$B75,Производство!H$104:H$145)&gt;0,SUMIF(Производство!$A$104:$A$145,Технологи!$B75,Производство!H$104:H$145)*$F75+$G75,0)</f>
        <v>0</v>
      </c>
      <c r="L75" s="46">
        <f t="array" ref="L75">IF(SUMIF(Производство!$A$104:$A$145,Технологи!$B75,Производство!I$104:I$145)&gt;0,SUMIF(Производство!$A$104:$A$145,Технологи!$B75,Производство!I$104:I$145)*$F75+$G75,0)</f>
        <v>0</v>
      </c>
      <c r="M75" s="46">
        <f t="array" ref="M75">IF(SUMIF(Производство!$A$104:$A$145,Технологи!$B75,Производство!J$104:J$145)&gt;0,SUMIF(Производство!$A$104:$A$145,Технологи!$B75,Производство!J$104:J$145)*$F75+$G75,0)</f>
        <v>0</v>
      </c>
      <c r="N75" s="46">
        <f t="array" ref="N75">IF(SUMIF(Производство!$A$104:$A$145,Технологи!$B75,Производство!K$104:K$145)&gt;0,SUMIF(Производство!$A$104:$A$145,Технологи!$B75,Производство!K$104:K$145)*$F75+$G75,0)</f>
        <v>0</v>
      </c>
      <c r="O75" s="46">
        <f t="array" ref="O75">IF(SUMIF(Производство!$A$104:$A$145,Технологи!$B75,Производство!L$104:L$145)&gt;0,SUMIF(Производство!$A$104:$A$145,Технологи!$B75,Производство!L$104:L$145)*$F75+$G75,0)</f>
        <v>0</v>
      </c>
      <c r="P75" s="46">
        <f t="array" ref="P75">IF(SUMIF(Производство!$A$104:$A$145,Технологи!$B75,Производство!M$104:M$145)&gt;0,SUMIF(Производство!$A$104:$A$145,Технологи!$B75,Производство!M$104:M$145)*$F75+$G75,0)</f>
        <v>0</v>
      </c>
      <c r="Q75" s="46">
        <f t="array" ref="Q75">IF(SUMIF(Производство!$A$104:$A$145,Технологи!$B75,Производство!N$104:N$145)&gt;0,SUMIF(Производство!$A$104:$A$145,Технологи!$B75,Производство!N$104:N$145)*$F75+$G75,0)</f>
        <v>0</v>
      </c>
      <c r="R75" s="46">
        <f t="array" ref="R75">IF(SUMIF(Производство!$A$104:$A$145,Технологи!$B75,Производство!O$104:O$145)&gt;0,SUMIF(Производство!$A$104:$A$145,Технологи!$B75,Производство!O$104:O$145)*$F75+$G75,0)</f>
        <v>0</v>
      </c>
      <c r="S75" s="46">
        <f t="array" ref="S75">IF(SUMIF(Производство!$A$104:$A$145,Технологи!$B75,Производство!P$104:P$145)&gt;0,SUMIF(Производство!$A$104:$A$145,Технологи!$B75,Производство!P$104:P$145)*$F75+$G75,0)</f>
        <v>0</v>
      </c>
      <c r="T75" s="46">
        <f t="array" ref="T75">IF(SUMIF(Производство!$A$104:$A$145,Технологи!$B75,Производство!Q$104:Q$145)&gt;0,SUMIF(Производство!$A$104:$A$145,Технологи!$B75,Производство!Q$104:Q$145)*$F75+$G75,0)</f>
        <v>0</v>
      </c>
    </row>
    <row r="76" spans="1:20" x14ac:dyDescent="0.25">
      <c r="A76" s="34" t="s">
        <v>377</v>
      </c>
      <c r="B76" s="13" t="s">
        <v>58</v>
      </c>
      <c r="C76" s="19" t="s">
        <v>17</v>
      </c>
      <c r="D76" s="14">
        <v>7038</v>
      </c>
      <c r="E76" s="20"/>
      <c r="F76" s="24">
        <v>9.9342374938684481E-3</v>
      </c>
      <c r="G76" s="24">
        <v>0.45999083671497581</v>
      </c>
      <c r="H76" s="23">
        <f t="shared" si="3"/>
        <v>9.9342374938684479</v>
      </c>
      <c r="I76" s="46">
        <f t="array" ref="I76">IF(SUMIF(Производство!$A$104:$A$145,Технологи!$B76,Производство!F$104:F$145)&gt;0,SUMIF(Производство!$A$104:$A$145,Технологи!$B76,Производство!F$104:F$145)*$F76+$G76,0)</f>
        <v>0</v>
      </c>
      <c r="J76" s="46">
        <f t="array" ref="J76">IF(SUMIF(Производство!$A$104:$A$145,Технологи!$B76,Производство!G$104:G$145)&gt;0,SUMIF(Производство!$A$104:$A$145,Технологи!$B76,Производство!G$104:G$145)*$F76+$G76,0)</f>
        <v>0</v>
      </c>
      <c r="K76" s="46">
        <f t="array" ref="K76">IF(SUMIF(Производство!$A$104:$A$145,Технологи!$B76,Производство!H$104:H$145)&gt;0,SUMIF(Производство!$A$104:$A$145,Технологи!$B76,Производство!H$104:H$145)*$F76+$G76,0)</f>
        <v>0</v>
      </c>
      <c r="L76" s="46">
        <f t="array" ref="L76">IF(SUMIF(Производство!$A$104:$A$145,Технологи!$B76,Производство!I$104:I$145)&gt;0,SUMIF(Производство!$A$104:$A$145,Технологи!$B76,Производство!I$104:I$145)*$F76+$G76,0)</f>
        <v>0</v>
      </c>
      <c r="M76" s="46">
        <f t="array" ref="M76">IF(SUMIF(Производство!$A$104:$A$145,Технологи!$B76,Производство!J$104:J$145)&gt;0,SUMIF(Производство!$A$104:$A$145,Технологи!$B76,Производство!J$104:J$145)*$F76+$G76,0)</f>
        <v>0</v>
      </c>
      <c r="N76" s="46">
        <f t="array" ref="N76">IF(SUMIF(Производство!$A$104:$A$145,Технологи!$B76,Производство!K$104:K$145)&gt;0,SUMIF(Производство!$A$104:$A$145,Технологи!$B76,Производство!K$104:K$145)*$F76+$G76,0)</f>
        <v>0</v>
      </c>
      <c r="O76" s="46">
        <f t="array" ref="O76">IF(SUMIF(Производство!$A$104:$A$145,Технологи!$B76,Производство!L$104:L$145)&gt;0,SUMIF(Производство!$A$104:$A$145,Технологи!$B76,Производство!L$104:L$145)*$F76+$G76,0)</f>
        <v>0</v>
      </c>
      <c r="P76" s="46">
        <f t="array" ref="P76">IF(SUMIF(Производство!$A$104:$A$145,Технологи!$B76,Производство!M$104:M$145)&gt;0,SUMIF(Производство!$A$104:$A$145,Технологи!$B76,Производство!M$104:M$145)*$F76+$G76,0)</f>
        <v>0</v>
      </c>
      <c r="Q76" s="46">
        <f t="array" ref="Q76">IF(SUMIF(Производство!$A$104:$A$145,Технологи!$B76,Производство!N$104:N$145)&gt;0,SUMIF(Производство!$A$104:$A$145,Технологи!$B76,Производство!N$104:N$145)*$F76+$G76,0)</f>
        <v>0</v>
      </c>
      <c r="R76" s="46">
        <f t="array" ref="R76">IF(SUMIF(Производство!$A$104:$A$145,Технологи!$B76,Производство!O$104:O$145)&gt;0,SUMIF(Производство!$A$104:$A$145,Технологи!$B76,Производство!O$104:O$145)*$F76+$G76,0)</f>
        <v>0</v>
      </c>
      <c r="S76" s="46">
        <f t="array" ref="S76">IF(SUMIF(Производство!$A$104:$A$145,Технологи!$B76,Производство!P$104:P$145)&gt;0,SUMIF(Производство!$A$104:$A$145,Технологи!$B76,Производство!P$104:P$145)*$F76+$G76,0)</f>
        <v>0</v>
      </c>
      <c r="T76" s="46">
        <f t="array" ref="T76">IF(SUMIF(Производство!$A$104:$A$145,Технологи!$B76,Производство!Q$104:Q$145)&gt;0,SUMIF(Производство!$A$104:$A$145,Технологи!$B76,Производство!Q$104:Q$145)*$F76+$G76,0)</f>
        <v>0</v>
      </c>
    </row>
    <row r="77" spans="1:20" x14ac:dyDescent="0.25">
      <c r="A77" s="34" t="s">
        <v>377</v>
      </c>
      <c r="B77" s="13" t="s">
        <v>58</v>
      </c>
      <c r="C77" s="19" t="s">
        <v>18</v>
      </c>
      <c r="D77" s="14">
        <v>7038</v>
      </c>
      <c r="E77" s="20"/>
      <c r="F77" s="24">
        <v>8.9685330390189503E-3</v>
      </c>
      <c r="G77" s="24">
        <v>0.41817348792270526</v>
      </c>
      <c r="H77" s="23">
        <f t="shared" si="3"/>
        <v>8.9685330390189506</v>
      </c>
      <c r="I77" s="46">
        <f t="array" ref="I77">IF(SUMIF(Производство!$A$104:$A$145,Технологи!$B77,Производство!F$104:F$145)&gt;0,SUMIF(Производство!$A$104:$A$145,Технологи!$B77,Производство!F$104:F$145)*$F77+$G77,0)</f>
        <v>0</v>
      </c>
      <c r="J77" s="46">
        <f t="array" ref="J77">IF(SUMIF(Производство!$A$104:$A$145,Технологи!$B77,Производство!G$104:G$145)&gt;0,SUMIF(Производство!$A$104:$A$145,Технологи!$B77,Производство!G$104:G$145)*$F77+$G77,0)</f>
        <v>0</v>
      </c>
      <c r="K77" s="46">
        <f t="array" ref="K77">IF(SUMIF(Производство!$A$104:$A$145,Технологи!$B77,Производство!H$104:H$145)&gt;0,SUMIF(Производство!$A$104:$A$145,Технологи!$B77,Производство!H$104:H$145)*$F77+$G77,0)</f>
        <v>0</v>
      </c>
      <c r="L77" s="46">
        <f t="array" ref="L77">IF(SUMIF(Производство!$A$104:$A$145,Технологи!$B77,Производство!I$104:I$145)&gt;0,SUMIF(Производство!$A$104:$A$145,Технологи!$B77,Производство!I$104:I$145)*$F77+$G77,0)</f>
        <v>0</v>
      </c>
      <c r="M77" s="46">
        <f t="array" ref="M77">IF(SUMIF(Производство!$A$104:$A$145,Технологи!$B77,Производство!J$104:J$145)&gt;0,SUMIF(Производство!$A$104:$A$145,Технологи!$B77,Производство!J$104:J$145)*$F77+$G77,0)</f>
        <v>0</v>
      </c>
      <c r="N77" s="46">
        <f t="array" ref="N77">IF(SUMIF(Производство!$A$104:$A$145,Технологи!$B77,Производство!K$104:K$145)&gt;0,SUMIF(Производство!$A$104:$A$145,Технологи!$B77,Производство!K$104:K$145)*$F77+$G77,0)</f>
        <v>0</v>
      </c>
      <c r="O77" s="46">
        <f t="array" ref="O77">IF(SUMIF(Производство!$A$104:$A$145,Технологи!$B77,Производство!L$104:L$145)&gt;0,SUMIF(Производство!$A$104:$A$145,Технологи!$B77,Производство!L$104:L$145)*$F77+$G77,0)</f>
        <v>0</v>
      </c>
      <c r="P77" s="46">
        <f t="array" ref="P77">IF(SUMIF(Производство!$A$104:$A$145,Технологи!$B77,Производство!M$104:M$145)&gt;0,SUMIF(Производство!$A$104:$A$145,Технологи!$B77,Производство!M$104:M$145)*$F77+$G77,0)</f>
        <v>0</v>
      </c>
      <c r="Q77" s="46">
        <f t="array" ref="Q77">IF(SUMIF(Производство!$A$104:$A$145,Технологи!$B77,Производство!N$104:N$145)&gt;0,SUMIF(Производство!$A$104:$A$145,Технологи!$B77,Производство!N$104:N$145)*$F77+$G77,0)</f>
        <v>0</v>
      </c>
      <c r="R77" s="46">
        <f t="array" ref="R77">IF(SUMIF(Производство!$A$104:$A$145,Технологи!$B77,Производство!O$104:O$145)&gt;0,SUMIF(Производство!$A$104:$A$145,Технологи!$B77,Производство!O$104:O$145)*$F77+$G77,0)</f>
        <v>0</v>
      </c>
      <c r="S77" s="46">
        <f t="array" ref="S77">IF(SUMIF(Производство!$A$104:$A$145,Технологи!$B77,Производство!P$104:P$145)&gt;0,SUMIF(Производство!$A$104:$A$145,Технологи!$B77,Производство!P$104:P$145)*$F77+$G77,0)</f>
        <v>0</v>
      </c>
      <c r="T77" s="46">
        <f t="array" ref="T77">IF(SUMIF(Производство!$A$104:$A$145,Технологи!$B77,Производство!Q$104:Q$145)&gt;0,SUMIF(Производство!$A$104:$A$145,Технологи!$B77,Производство!Q$104:Q$145)*$F77+$G77,0)</f>
        <v>0</v>
      </c>
    </row>
    <row r="78" spans="1:20" x14ac:dyDescent="0.25">
      <c r="A78" s="34" t="s">
        <v>377</v>
      </c>
      <c r="B78" s="13" t="s">
        <v>58</v>
      </c>
      <c r="C78" s="19" t="s">
        <v>19</v>
      </c>
      <c r="D78" s="14">
        <v>7038</v>
      </c>
      <c r="E78" s="20"/>
      <c r="F78" s="24">
        <v>1.9511411999999999</v>
      </c>
      <c r="G78" s="24">
        <v>99.508201200000002</v>
      </c>
      <c r="H78" s="23">
        <f t="shared" si="3"/>
        <v>1951.1411999999998</v>
      </c>
      <c r="I78" s="46">
        <f t="array" ref="I78">IF(SUMIF(Производство!$A$104:$A$145,Технологи!$B78,Производство!F$104:F$145)&gt;0,SUMIF(Производство!$A$104:$A$145,Технологи!$B78,Производство!F$104:F$145)*$F78+$G78,0)</f>
        <v>0</v>
      </c>
      <c r="J78" s="46">
        <f t="array" ref="J78">IF(SUMIF(Производство!$A$104:$A$145,Технологи!$B78,Производство!G$104:G$145)&gt;0,SUMIF(Производство!$A$104:$A$145,Технологи!$B78,Производство!G$104:G$145)*$F78+$G78,0)</f>
        <v>0</v>
      </c>
      <c r="K78" s="46">
        <f t="array" ref="K78">IF(SUMIF(Производство!$A$104:$A$145,Технологи!$B78,Производство!H$104:H$145)&gt;0,SUMIF(Производство!$A$104:$A$145,Технологи!$B78,Производство!H$104:H$145)*$F78+$G78,0)</f>
        <v>0</v>
      </c>
      <c r="L78" s="46">
        <f t="array" ref="L78">IF(SUMIF(Производство!$A$104:$A$145,Технологи!$B78,Производство!I$104:I$145)&gt;0,SUMIF(Производство!$A$104:$A$145,Технологи!$B78,Производство!I$104:I$145)*$F78+$G78,0)</f>
        <v>0</v>
      </c>
      <c r="M78" s="46">
        <f t="array" ref="M78">IF(SUMIF(Производство!$A$104:$A$145,Технологи!$B78,Производство!J$104:J$145)&gt;0,SUMIF(Производство!$A$104:$A$145,Технологи!$B78,Производство!J$104:J$145)*$F78+$G78,0)</f>
        <v>0</v>
      </c>
      <c r="N78" s="46">
        <f t="array" ref="N78">IF(SUMIF(Производство!$A$104:$A$145,Технологи!$B78,Производство!K$104:K$145)&gt;0,SUMIF(Производство!$A$104:$A$145,Технологи!$B78,Производство!K$104:K$145)*$F78+$G78,0)</f>
        <v>0</v>
      </c>
      <c r="O78" s="46">
        <f t="array" ref="O78">IF(SUMIF(Производство!$A$104:$A$145,Технологи!$B78,Производство!L$104:L$145)&gt;0,SUMIF(Производство!$A$104:$A$145,Технологи!$B78,Производство!L$104:L$145)*$F78+$G78,0)</f>
        <v>0</v>
      </c>
      <c r="P78" s="46">
        <f t="array" ref="P78">IF(SUMIF(Производство!$A$104:$A$145,Технологи!$B78,Производство!M$104:M$145)&gt;0,SUMIF(Производство!$A$104:$A$145,Технологи!$B78,Производство!M$104:M$145)*$F78+$G78,0)</f>
        <v>0</v>
      </c>
      <c r="Q78" s="46">
        <f t="array" ref="Q78">IF(SUMIF(Производство!$A$104:$A$145,Технологи!$B78,Производство!N$104:N$145)&gt;0,SUMIF(Производство!$A$104:$A$145,Технологи!$B78,Производство!N$104:N$145)*$F78+$G78,0)</f>
        <v>0</v>
      </c>
      <c r="R78" s="46">
        <f t="array" ref="R78">IF(SUMIF(Производство!$A$104:$A$145,Технологи!$B78,Производство!O$104:O$145)&gt;0,SUMIF(Производство!$A$104:$A$145,Технологи!$B78,Производство!O$104:O$145)*$F78+$G78,0)</f>
        <v>0</v>
      </c>
      <c r="S78" s="46">
        <f t="array" ref="S78">IF(SUMIF(Производство!$A$104:$A$145,Технологи!$B78,Производство!P$104:P$145)&gt;0,SUMIF(Производство!$A$104:$A$145,Технологи!$B78,Производство!P$104:P$145)*$F78+$G78,0)</f>
        <v>0</v>
      </c>
      <c r="T78" s="46">
        <f t="array" ref="T78">IF(SUMIF(Производство!$A$104:$A$145,Технологи!$B78,Производство!Q$104:Q$145)&gt;0,SUMIF(Производство!$A$104:$A$145,Технологи!$B78,Производство!Q$104:Q$145)*$F78+$G78,0)</f>
        <v>0</v>
      </c>
    </row>
    <row r="79" spans="1:20" x14ac:dyDescent="0.25">
      <c r="A79" s="34" t="s">
        <v>377</v>
      </c>
      <c r="B79" s="13" t="s">
        <v>58</v>
      </c>
      <c r="C79" s="19" t="s">
        <v>20</v>
      </c>
      <c r="D79" s="14">
        <v>7038</v>
      </c>
      <c r="E79" s="20"/>
      <c r="F79" s="24">
        <v>0.11519999999999998</v>
      </c>
      <c r="G79" s="24">
        <v>2.4192</v>
      </c>
      <c r="H79" s="23">
        <f t="shared" si="3"/>
        <v>115.19999999999999</v>
      </c>
      <c r="I79" s="46">
        <f t="array" ref="I79">IF(SUMIF(Производство!$A$104:$A$145,Технологи!$B79,Производство!F$104:F$145)&gt;0,SUMIF(Производство!$A$104:$A$145,Технологи!$B79,Производство!F$104:F$145)*$F79+$G79,0)</f>
        <v>0</v>
      </c>
      <c r="J79" s="46">
        <f t="array" ref="J79">IF(SUMIF(Производство!$A$104:$A$145,Технологи!$B79,Производство!G$104:G$145)&gt;0,SUMIF(Производство!$A$104:$A$145,Технологи!$B79,Производство!G$104:G$145)*$F79+$G79,0)</f>
        <v>0</v>
      </c>
      <c r="K79" s="46">
        <f t="array" ref="K79">IF(SUMIF(Производство!$A$104:$A$145,Технологи!$B79,Производство!H$104:H$145)&gt;0,SUMIF(Производство!$A$104:$A$145,Технологи!$B79,Производство!H$104:H$145)*$F79+$G79,0)</f>
        <v>0</v>
      </c>
      <c r="L79" s="46">
        <f t="array" ref="L79">IF(SUMIF(Производство!$A$104:$A$145,Технологи!$B79,Производство!I$104:I$145)&gt;0,SUMIF(Производство!$A$104:$A$145,Технологи!$B79,Производство!I$104:I$145)*$F79+$G79,0)</f>
        <v>0</v>
      </c>
      <c r="M79" s="46">
        <f t="array" ref="M79">IF(SUMIF(Производство!$A$104:$A$145,Технологи!$B79,Производство!J$104:J$145)&gt;0,SUMIF(Производство!$A$104:$A$145,Технологи!$B79,Производство!J$104:J$145)*$F79+$G79,0)</f>
        <v>0</v>
      </c>
      <c r="N79" s="46">
        <f t="array" ref="N79">IF(SUMIF(Производство!$A$104:$A$145,Технологи!$B79,Производство!K$104:K$145)&gt;0,SUMIF(Производство!$A$104:$A$145,Технологи!$B79,Производство!K$104:K$145)*$F79+$G79,0)</f>
        <v>0</v>
      </c>
      <c r="O79" s="46">
        <f t="array" ref="O79">IF(SUMIF(Производство!$A$104:$A$145,Технологи!$B79,Производство!L$104:L$145)&gt;0,SUMIF(Производство!$A$104:$A$145,Технологи!$B79,Производство!L$104:L$145)*$F79+$G79,0)</f>
        <v>0</v>
      </c>
      <c r="P79" s="46">
        <f t="array" ref="P79">IF(SUMIF(Производство!$A$104:$A$145,Технологи!$B79,Производство!M$104:M$145)&gt;0,SUMIF(Производство!$A$104:$A$145,Технологи!$B79,Производство!M$104:M$145)*$F79+$G79,0)</f>
        <v>0</v>
      </c>
      <c r="Q79" s="46">
        <f t="array" ref="Q79">IF(SUMIF(Производство!$A$104:$A$145,Технологи!$B79,Производство!N$104:N$145)&gt;0,SUMIF(Производство!$A$104:$A$145,Технологи!$B79,Производство!N$104:N$145)*$F79+$G79,0)</f>
        <v>0</v>
      </c>
      <c r="R79" s="46">
        <f t="array" ref="R79">IF(SUMIF(Производство!$A$104:$A$145,Технологи!$B79,Производство!O$104:O$145)&gt;0,SUMIF(Производство!$A$104:$A$145,Технологи!$B79,Производство!O$104:O$145)*$F79+$G79,0)</f>
        <v>0</v>
      </c>
      <c r="S79" s="46">
        <f t="array" ref="S79">IF(SUMIF(Производство!$A$104:$A$145,Технологи!$B79,Производство!P$104:P$145)&gt;0,SUMIF(Производство!$A$104:$A$145,Технологи!$B79,Производство!P$104:P$145)*$F79+$G79,0)</f>
        <v>0</v>
      </c>
      <c r="T79" s="46">
        <f t="array" ref="T79">IF(SUMIF(Производство!$A$104:$A$145,Технологи!$B79,Производство!Q$104:Q$145)&gt;0,SUMIF(Производство!$A$104:$A$145,Технологи!$B79,Производство!Q$104:Q$145)*$F79+$G79,0)</f>
        <v>0</v>
      </c>
    </row>
    <row r="80" spans="1:20" x14ac:dyDescent="0.25">
      <c r="A80" s="34" t="s">
        <v>377</v>
      </c>
      <c r="B80" s="13" t="s">
        <v>58</v>
      </c>
      <c r="C80" s="19" t="s">
        <v>21</v>
      </c>
      <c r="D80" s="14">
        <v>7038</v>
      </c>
      <c r="E80" s="20"/>
      <c r="F80" s="24">
        <v>0.16800000000000001</v>
      </c>
      <c r="G80" s="24">
        <v>3.528</v>
      </c>
      <c r="H80" s="23">
        <f t="shared" si="3"/>
        <v>168</v>
      </c>
      <c r="I80" s="46">
        <f t="array" ref="I80">IF(SUMIF(Производство!$A$104:$A$145,Технологи!$B80,Производство!F$104:F$145)&gt;0,SUMIF(Производство!$A$104:$A$145,Технологи!$B80,Производство!F$104:F$145)*$F80+$G80,0)</f>
        <v>0</v>
      </c>
      <c r="J80" s="46">
        <f t="array" ref="J80">IF(SUMIF(Производство!$A$104:$A$145,Технологи!$B80,Производство!G$104:G$145)&gt;0,SUMIF(Производство!$A$104:$A$145,Технологи!$B80,Производство!G$104:G$145)*$F80+$G80,0)</f>
        <v>0</v>
      </c>
      <c r="K80" s="46">
        <f t="array" ref="K80">IF(SUMIF(Производство!$A$104:$A$145,Технологи!$B80,Производство!H$104:H$145)&gt;0,SUMIF(Производство!$A$104:$A$145,Технологи!$B80,Производство!H$104:H$145)*$F80+$G80,0)</f>
        <v>0</v>
      </c>
      <c r="L80" s="46">
        <f t="array" ref="L80">IF(SUMIF(Производство!$A$104:$A$145,Технологи!$B80,Производство!I$104:I$145)&gt;0,SUMIF(Производство!$A$104:$A$145,Технологи!$B80,Производство!I$104:I$145)*$F80+$G80,0)</f>
        <v>0</v>
      </c>
      <c r="M80" s="46">
        <f t="array" ref="M80">IF(SUMIF(Производство!$A$104:$A$145,Технологи!$B80,Производство!J$104:J$145)&gt;0,SUMIF(Производство!$A$104:$A$145,Технологи!$B80,Производство!J$104:J$145)*$F80+$G80,0)</f>
        <v>0</v>
      </c>
      <c r="N80" s="46">
        <f t="array" ref="N80">IF(SUMIF(Производство!$A$104:$A$145,Технологи!$B80,Производство!K$104:K$145)&gt;0,SUMIF(Производство!$A$104:$A$145,Технологи!$B80,Производство!K$104:K$145)*$F80+$G80,0)</f>
        <v>0</v>
      </c>
      <c r="O80" s="46">
        <f t="array" ref="O80">IF(SUMIF(Производство!$A$104:$A$145,Технологи!$B80,Производство!L$104:L$145)&gt;0,SUMIF(Производство!$A$104:$A$145,Технологи!$B80,Производство!L$104:L$145)*$F80+$G80,0)</f>
        <v>0</v>
      </c>
      <c r="P80" s="46">
        <f t="array" ref="P80">IF(SUMIF(Производство!$A$104:$A$145,Технологи!$B80,Производство!M$104:M$145)&gt;0,SUMIF(Производство!$A$104:$A$145,Технологи!$B80,Производство!M$104:M$145)*$F80+$G80,0)</f>
        <v>0</v>
      </c>
      <c r="Q80" s="46">
        <f t="array" ref="Q80">IF(SUMIF(Производство!$A$104:$A$145,Технологи!$B80,Производство!N$104:N$145)&gt;0,SUMIF(Производство!$A$104:$A$145,Технологи!$B80,Производство!N$104:N$145)*$F80+$G80,0)</f>
        <v>0</v>
      </c>
      <c r="R80" s="46">
        <f t="array" ref="R80">IF(SUMIF(Производство!$A$104:$A$145,Технологи!$B80,Производство!O$104:O$145)&gt;0,SUMIF(Производство!$A$104:$A$145,Технологи!$B80,Производство!O$104:O$145)*$F80+$G80,0)</f>
        <v>0</v>
      </c>
      <c r="S80" s="46">
        <f t="array" ref="S80">IF(SUMIF(Производство!$A$104:$A$145,Технологи!$B80,Производство!P$104:P$145)&gt;0,SUMIF(Производство!$A$104:$A$145,Технологи!$B80,Производство!P$104:P$145)*$F80+$G80,0)</f>
        <v>0</v>
      </c>
      <c r="T80" s="46">
        <f t="array" ref="T80">IF(SUMIF(Производство!$A$104:$A$145,Технологи!$B80,Производство!Q$104:Q$145)&gt;0,SUMIF(Производство!$A$104:$A$145,Технологи!$B80,Производство!Q$104:Q$145)*$F80+$G80,0)</f>
        <v>0</v>
      </c>
    </row>
    <row r="81" spans="1:20" x14ac:dyDescent="0.25">
      <c r="A81" s="34" t="s">
        <v>377</v>
      </c>
      <c r="B81" s="13" t="s">
        <v>58</v>
      </c>
      <c r="C81" s="19" t="s">
        <v>22</v>
      </c>
      <c r="D81" s="14">
        <v>7038</v>
      </c>
      <c r="E81" s="20"/>
      <c r="F81" s="24">
        <v>0</v>
      </c>
      <c r="G81" s="24">
        <v>0</v>
      </c>
      <c r="H81" s="23">
        <f t="shared" si="3"/>
        <v>0</v>
      </c>
      <c r="I81" s="46">
        <f t="array" ref="I81">IF(SUMIF(Производство!$A$104:$A$145,Технологи!$B81,Производство!F$104:F$145)&gt;0,SUMIF(Производство!$A$104:$A$145,Технологи!$B81,Производство!F$104:F$145)*$F81+$G81,0)</f>
        <v>0</v>
      </c>
      <c r="J81" s="46">
        <f t="array" ref="J81">IF(SUMIF(Производство!$A$104:$A$145,Технологи!$B81,Производство!G$104:G$145)&gt;0,SUMIF(Производство!$A$104:$A$145,Технологи!$B81,Производство!G$104:G$145)*$F81+$G81,0)</f>
        <v>0</v>
      </c>
      <c r="K81" s="46">
        <f t="array" ref="K81">IF(SUMIF(Производство!$A$104:$A$145,Технологи!$B81,Производство!H$104:H$145)&gt;0,SUMIF(Производство!$A$104:$A$145,Технологи!$B81,Производство!H$104:H$145)*$F81+$G81,0)</f>
        <v>0</v>
      </c>
      <c r="L81" s="46">
        <f t="array" ref="L81">IF(SUMIF(Производство!$A$104:$A$145,Технологи!$B81,Производство!I$104:I$145)&gt;0,SUMIF(Производство!$A$104:$A$145,Технологи!$B81,Производство!I$104:I$145)*$F81+$G81,0)</f>
        <v>0</v>
      </c>
      <c r="M81" s="46">
        <f t="array" ref="M81">IF(SUMIF(Производство!$A$104:$A$145,Технологи!$B81,Производство!J$104:J$145)&gt;0,SUMIF(Производство!$A$104:$A$145,Технологи!$B81,Производство!J$104:J$145)*$F81+$G81,0)</f>
        <v>0</v>
      </c>
      <c r="N81" s="46">
        <f t="array" ref="N81">IF(SUMIF(Производство!$A$104:$A$145,Технологи!$B81,Производство!K$104:K$145)&gt;0,SUMIF(Производство!$A$104:$A$145,Технологи!$B81,Производство!K$104:K$145)*$F81+$G81,0)</f>
        <v>0</v>
      </c>
      <c r="O81" s="46">
        <f t="array" ref="O81">IF(SUMIF(Производство!$A$104:$A$145,Технологи!$B81,Производство!L$104:L$145)&gt;0,SUMIF(Производство!$A$104:$A$145,Технологи!$B81,Производство!L$104:L$145)*$F81+$G81,0)</f>
        <v>0</v>
      </c>
      <c r="P81" s="46">
        <f t="array" ref="P81">IF(SUMIF(Производство!$A$104:$A$145,Технологи!$B81,Производство!M$104:M$145)&gt;0,SUMIF(Производство!$A$104:$A$145,Технологи!$B81,Производство!M$104:M$145)*$F81+$G81,0)</f>
        <v>0</v>
      </c>
      <c r="Q81" s="46">
        <f t="array" ref="Q81">IF(SUMIF(Производство!$A$104:$A$145,Технологи!$B81,Производство!N$104:N$145)&gt;0,SUMIF(Производство!$A$104:$A$145,Технологи!$B81,Производство!N$104:N$145)*$F81+$G81,0)</f>
        <v>0</v>
      </c>
      <c r="R81" s="46">
        <f t="array" ref="R81">IF(SUMIF(Производство!$A$104:$A$145,Технологи!$B81,Производство!O$104:O$145)&gt;0,SUMIF(Производство!$A$104:$A$145,Технологи!$B81,Производство!O$104:O$145)*$F81+$G81,0)</f>
        <v>0</v>
      </c>
      <c r="S81" s="46">
        <f t="array" ref="S81">IF(SUMIF(Производство!$A$104:$A$145,Технологи!$B81,Производство!P$104:P$145)&gt;0,SUMIF(Производство!$A$104:$A$145,Технологи!$B81,Производство!P$104:P$145)*$F81+$G81,0)</f>
        <v>0</v>
      </c>
      <c r="T81" s="46">
        <f t="array" ref="T81">IF(SUMIF(Производство!$A$104:$A$145,Технологи!$B81,Производство!Q$104:Q$145)&gt;0,SUMIF(Производство!$A$104:$A$145,Технологи!$B81,Производство!Q$104:Q$145)*$F81+$G81,0)</f>
        <v>0</v>
      </c>
    </row>
    <row r="82" spans="1:20" x14ac:dyDescent="0.25">
      <c r="A82" s="34" t="s">
        <v>377</v>
      </c>
      <c r="B82" s="13" t="s">
        <v>58</v>
      </c>
      <c r="C82" s="19" t="s">
        <v>23</v>
      </c>
      <c r="D82" s="14">
        <v>7038</v>
      </c>
      <c r="E82" s="20"/>
      <c r="F82" s="24">
        <v>0</v>
      </c>
      <c r="G82" s="24">
        <v>0</v>
      </c>
      <c r="H82" s="23">
        <f t="shared" si="3"/>
        <v>0</v>
      </c>
      <c r="I82" s="46">
        <f t="array" ref="I82">IF(SUMIF(Производство!$A$104:$A$145,Технологи!$B82,Производство!F$104:F$145)&gt;0,SUMIF(Производство!$A$104:$A$145,Технологи!$B82,Производство!F$104:F$145)*$F82+$G82,0)</f>
        <v>0</v>
      </c>
      <c r="J82" s="46">
        <f t="array" ref="J82">IF(SUMIF(Производство!$A$104:$A$145,Технологи!$B82,Производство!G$104:G$145)&gt;0,SUMIF(Производство!$A$104:$A$145,Технологи!$B82,Производство!G$104:G$145)*$F82+$G82,0)</f>
        <v>0</v>
      </c>
      <c r="K82" s="46">
        <f t="array" ref="K82">IF(SUMIF(Производство!$A$104:$A$145,Технологи!$B82,Производство!H$104:H$145)&gt;0,SUMIF(Производство!$A$104:$A$145,Технологи!$B82,Производство!H$104:H$145)*$F82+$G82,0)</f>
        <v>0</v>
      </c>
      <c r="L82" s="46">
        <f t="array" ref="L82">IF(SUMIF(Производство!$A$104:$A$145,Технологи!$B82,Производство!I$104:I$145)&gt;0,SUMIF(Производство!$A$104:$A$145,Технологи!$B82,Производство!I$104:I$145)*$F82+$G82,0)</f>
        <v>0</v>
      </c>
      <c r="M82" s="46">
        <f t="array" ref="M82">IF(SUMIF(Производство!$A$104:$A$145,Технологи!$B82,Производство!J$104:J$145)&gt;0,SUMIF(Производство!$A$104:$A$145,Технологи!$B82,Производство!J$104:J$145)*$F82+$G82,0)</f>
        <v>0</v>
      </c>
      <c r="N82" s="46">
        <f t="array" ref="N82">IF(SUMIF(Производство!$A$104:$A$145,Технологи!$B82,Производство!K$104:K$145)&gt;0,SUMIF(Производство!$A$104:$A$145,Технологи!$B82,Производство!K$104:K$145)*$F82+$G82,0)</f>
        <v>0</v>
      </c>
      <c r="O82" s="46">
        <f t="array" ref="O82">IF(SUMIF(Производство!$A$104:$A$145,Технологи!$B82,Производство!L$104:L$145)&gt;0,SUMIF(Производство!$A$104:$A$145,Технологи!$B82,Производство!L$104:L$145)*$F82+$G82,0)</f>
        <v>0</v>
      </c>
      <c r="P82" s="46">
        <f t="array" ref="P82">IF(SUMIF(Производство!$A$104:$A$145,Технологи!$B82,Производство!M$104:M$145)&gt;0,SUMIF(Производство!$A$104:$A$145,Технологи!$B82,Производство!M$104:M$145)*$F82+$G82,0)</f>
        <v>0</v>
      </c>
      <c r="Q82" s="46">
        <f t="array" ref="Q82">IF(SUMIF(Производство!$A$104:$A$145,Технологи!$B82,Производство!N$104:N$145)&gt;0,SUMIF(Производство!$A$104:$A$145,Технологи!$B82,Производство!N$104:N$145)*$F82+$G82,0)</f>
        <v>0</v>
      </c>
      <c r="R82" s="46">
        <f t="array" ref="R82">IF(SUMIF(Производство!$A$104:$A$145,Технологи!$B82,Производство!O$104:O$145)&gt;0,SUMIF(Производство!$A$104:$A$145,Технологи!$B82,Производство!O$104:O$145)*$F82+$G82,0)</f>
        <v>0</v>
      </c>
      <c r="S82" s="46">
        <f t="array" ref="S82">IF(SUMIF(Производство!$A$104:$A$145,Технологи!$B82,Производство!P$104:P$145)&gt;0,SUMIF(Производство!$A$104:$A$145,Технологи!$B82,Производство!P$104:P$145)*$F82+$G82,0)</f>
        <v>0</v>
      </c>
      <c r="T82" s="46">
        <f t="array" ref="T82">IF(SUMIF(Производство!$A$104:$A$145,Технологи!$B82,Производство!Q$104:Q$145)&gt;0,SUMIF(Производство!$A$104:$A$145,Технологи!$B82,Производство!Q$104:Q$145)*$F82+$G82,0)</f>
        <v>0</v>
      </c>
    </row>
    <row r="83" spans="1:20" x14ac:dyDescent="0.25">
      <c r="A83" s="34" t="s">
        <v>377</v>
      </c>
      <c r="B83" s="13" t="s">
        <v>59</v>
      </c>
      <c r="C83" s="15" t="s">
        <v>11</v>
      </c>
      <c r="D83" s="14">
        <v>7038</v>
      </c>
      <c r="E83" s="16">
        <v>4.1779999999999999</v>
      </c>
      <c r="F83" s="22">
        <f>SUM(F84:F95)</f>
        <v>4.1883050006506872</v>
      </c>
      <c r="G83" s="22">
        <f>SUM(G84:G95)</f>
        <v>189.99556900000002</v>
      </c>
      <c r="H83" s="23">
        <f t="shared" ref="H83:H108" si="4">F83*1000</f>
        <v>4188.3050006506874</v>
      </c>
      <c r="I83" s="46">
        <f t="array" ref="I83">IF(SUMIF(Производство!$A$104:$A$145,Технологи!$B83,Производство!F$104:F$145)&gt;0,SUMIF(Производство!$A$104:$A$145,Технологи!$B83,Производство!F$104:F$145)*$F83+$G83,0)</f>
        <v>0</v>
      </c>
      <c r="J83" s="46">
        <f t="array" ref="J83">IF(SUMIF(Производство!$A$104:$A$145,Технологи!$B83,Производство!G$104:G$145)&gt;0,SUMIF(Производство!$A$104:$A$145,Технологи!$B83,Производство!G$104:G$145)*$F83+$G83,0)</f>
        <v>0</v>
      </c>
      <c r="K83" s="46">
        <f t="array" ref="K83">IF(SUMIF(Производство!$A$104:$A$145,Технологи!$B83,Производство!H$104:H$145)&gt;0,SUMIF(Производство!$A$104:$A$145,Технологи!$B83,Производство!H$104:H$145)*$F83+$G83,0)</f>
        <v>0</v>
      </c>
      <c r="L83" s="46">
        <f t="array" ref="L83">IF(SUMIF(Производство!$A$104:$A$145,Технологи!$B83,Производство!I$104:I$145)&gt;0,SUMIF(Производство!$A$104:$A$145,Технологи!$B83,Производство!I$104:I$145)*$F83+$G83,0)</f>
        <v>0</v>
      </c>
      <c r="M83" s="46">
        <f t="array" ref="M83">IF(SUMIF(Производство!$A$104:$A$145,Технологи!$B83,Производство!J$104:J$145)&gt;0,SUMIF(Производство!$A$104:$A$145,Технологи!$B83,Производство!J$104:J$145)*$F83+$G83,0)</f>
        <v>0</v>
      </c>
      <c r="N83" s="46">
        <f t="array" ref="N83">IF(SUMIF(Производство!$A$104:$A$145,Технологи!$B83,Производство!K$104:K$145)&gt;0,SUMIF(Производство!$A$104:$A$145,Технологи!$B83,Производство!K$104:K$145)*$F83+$G83,0)</f>
        <v>0</v>
      </c>
      <c r="O83" s="46">
        <f t="array" ref="O83">IF(SUMIF(Производство!$A$104:$A$145,Технологи!$B83,Производство!L$104:L$145)&gt;0,SUMIF(Производство!$A$104:$A$145,Технологи!$B83,Производство!L$104:L$145)*$F83+$G83,0)</f>
        <v>0</v>
      </c>
      <c r="P83" s="46">
        <f t="array" ref="P83">IF(SUMIF(Производство!$A$104:$A$145,Технологи!$B83,Производство!M$104:M$145)&gt;0,SUMIF(Производство!$A$104:$A$145,Технологи!$B83,Производство!M$104:M$145)*$F83+$G83,0)</f>
        <v>0</v>
      </c>
      <c r="Q83" s="46">
        <f t="array" ref="Q83">IF(SUMIF(Производство!$A$104:$A$145,Технологи!$B83,Производство!N$104:N$145)&gt;0,SUMIF(Производство!$A$104:$A$145,Технологи!$B83,Производство!N$104:N$145)*$F83+$G83,0)</f>
        <v>0</v>
      </c>
      <c r="R83" s="46">
        <f t="array" ref="R83">IF(SUMIF(Производство!$A$104:$A$145,Технологи!$B83,Производство!O$104:O$145)&gt;0,SUMIF(Производство!$A$104:$A$145,Технологи!$B83,Производство!O$104:O$145)*$F83+$G83,0)</f>
        <v>0</v>
      </c>
      <c r="S83" s="46">
        <f t="array" ref="S83">IF(SUMIF(Производство!$A$104:$A$145,Технологи!$B83,Производство!P$104:P$145)&gt;0,SUMIF(Производство!$A$104:$A$145,Технологи!$B83,Производство!P$104:P$145)*$F83+$G83,0)</f>
        <v>0</v>
      </c>
      <c r="T83" s="46">
        <f t="array" ref="T83">IF(SUMIF(Производство!$A$104:$A$145,Технологи!$B83,Производство!Q$104:Q$145)&gt;0,SUMIF(Производство!$A$104:$A$145,Технологи!$B83,Производство!Q$104:Q$145)*$F83+$G83,0)</f>
        <v>0</v>
      </c>
    </row>
    <row r="84" spans="1:20" x14ac:dyDescent="0.25">
      <c r="A84" s="34" t="s">
        <v>377</v>
      </c>
      <c r="B84" s="13" t="s">
        <v>59</v>
      </c>
      <c r="C84" s="19" t="s">
        <v>12</v>
      </c>
      <c r="D84" s="14">
        <v>7038</v>
      </c>
      <c r="E84" s="20"/>
      <c r="F84" s="24">
        <v>1.0925812497212928</v>
      </c>
      <c r="G84" s="24">
        <v>45.869818134522475</v>
      </c>
      <c r="H84" s="23">
        <f t="shared" si="4"/>
        <v>1092.5812497212928</v>
      </c>
      <c r="I84" s="46">
        <f t="array" ref="I84">IF(SUMIF(Производство!$A$104:$A$145,Технологи!$B84,Производство!F$104:F$145)&gt;0,SUMIF(Производство!$A$104:$A$145,Технологи!$B84,Производство!F$104:F$145)*$F84+$G84,0)</f>
        <v>0</v>
      </c>
      <c r="J84" s="46">
        <f t="array" ref="J84">IF(SUMIF(Производство!$A$104:$A$145,Технологи!$B84,Производство!G$104:G$145)&gt;0,SUMIF(Производство!$A$104:$A$145,Технологи!$B84,Производство!G$104:G$145)*$F84+$G84,0)</f>
        <v>0</v>
      </c>
      <c r="K84" s="46">
        <f t="array" ref="K84">IF(SUMIF(Производство!$A$104:$A$145,Технологи!$B84,Производство!H$104:H$145)&gt;0,SUMIF(Производство!$A$104:$A$145,Технологи!$B84,Производство!H$104:H$145)*$F84+$G84,0)</f>
        <v>0</v>
      </c>
      <c r="L84" s="46">
        <f t="array" ref="L84">IF(SUMIF(Производство!$A$104:$A$145,Технологи!$B84,Производство!I$104:I$145)&gt;0,SUMIF(Производство!$A$104:$A$145,Технологи!$B84,Производство!I$104:I$145)*$F84+$G84,0)</f>
        <v>0</v>
      </c>
      <c r="M84" s="46">
        <f t="array" ref="M84">IF(SUMIF(Производство!$A$104:$A$145,Технологи!$B84,Производство!J$104:J$145)&gt;0,SUMIF(Производство!$A$104:$A$145,Технологи!$B84,Производство!J$104:J$145)*$F84+$G84,0)</f>
        <v>0</v>
      </c>
      <c r="N84" s="46">
        <f t="array" ref="N84">IF(SUMIF(Производство!$A$104:$A$145,Технологи!$B84,Производство!K$104:K$145)&gt;0,SUMIF(Производство!$A$104:$A$145,Технологи!$B84,Производство!K$104:K$145)*$F84+$G84,0)</f>
        <v>0</v>
      </c>
      <c r="O84" s="46">
        <f t="array" ref="O84">IF(SUMIF(Производство!$A$104:$A$145,Технологи!$B84,Производство!L$104:L$145)&gt;0,SUMIF(Производство!$A$104:$A$145,Технологи!$B84,Производство!L$104:L$145)*$F84+$G84,0)</f>
        <v>0</v>
      </c>
      <c r="P84" s="46">
        <f t="array" ref="P84">IF(SUMIF(Производство!$A$104:$A$145,Технологи!$B84,Производство!M$104:M$145)&gt;0,SUMIF(Производство!$A$104:$A$145,Технологи!$B84,Производство!M$104:M$145)*$F84+$G84,0)</f>
        <v>0</v>
      </c>
      <c r="Q84" s="46">
        <f t="array" ref="Q84">IF(SUMIF(Производство!$A$104:$A$145,Технологи!$B84,Производство!N$104:N$145)&gt;0,SUMIF(Производство!$A$104:$A$145,Технологи!$B84,Производство!N$104:N$145)*$F84+$G84,0)</f>
        <v>0</v>
      </c>
      <c r="R84" s="46">
        <f t="array" ref="R84">IF(SUMIF(Производство!$A$104:$A$145,Технологи!$B84,Производство!O$104:O$145)&gt;0,SUMIF(Производство!$A$104:$A$145,Технологи!$B84,Производство!O$104:O$145)*$F84+$G84,0)</f>
        <v>0</v>
      </c>
      <c r="S84" s="46">
        <f t="array" ref="S84">IF(SUMIF(Производство!$A$104:$A$145,Технологи!$B84,Производство!P$104:P$145)&gt;0,SUMIF(Производство!$A$104:$A$145,Технологи!$B84,Производство!P$104:P$145)*$F84+$G84,0)</f>
        <v>0</v>
      </c>
      <c r="T84" s="46">
        <f t="array" ref="T84">IF(SUMIF(Производство!$A$104:$A$145,Технологи!$B84,Производство!Q$104:Q$145)&gt;0,SUMIF(Производство!$A$104:$A$145,Технологи!$B84,Производство!Q$104:Q$145)*$F84+$G84,0)</f>
        <v>0</v>
      </c>
    </row>
    <row r="85" spans="1:20" x14ac:dyDescent="0.25">
      <c r="A85" s="34" t="s">
        <v>377</v>
      </c>
      <c r="B85" s="13" t="s">
        <v>59</v>
      </c>
      <c r="C85" s="19" t="s">
        <v>13</v>
      </c>
      <c r="D85" s="14">
        <v>7038</v>
      </c>
      <c r="E85" s="20"/>
      <c r="F85" s="24">
        <v>0.32940509319955402</v>
      </c>
      <c r="G85" s="24">
        <v>13.760945440356741</v>
      </c>
      <c r="H85" s="23">
        <f t="shared" si="4"/>
        <v>329.40509319955402</v>
      </c>
      <c r="I85" s="46">
        <f t="array" ref="I85">IF(SUMIF(Производство!$A$104:$A$145,Технологи!$B85,Производство!F$104:F$145)&gt;0,SUMIF(Производство!$A$104:$A$145,Технологи!$B85,Производство!F$104:F$145)*$F85+$G85,0)</f>
        <v>0</v>
      </c>
      <c r="J85" s="46">
        <f t="array" ref="J85">IF(SUMIF(Производство!$A$104:$A$145,Технологи!$B85,Производство!G$104:G$145)&gt;0,SUMIF(Производство!$A$104:$A$145,Технологи!$B85,Производство!G$104:G$145)*$F85+$G85,0)</f>
        <v>0</v>
      </c>
      <c r="K85" s="46">
        <f t="array" ref="K85">IF(SUMIF(Производство!$A$104:$A$145,Технологи!$B85,Производство!H$104:H$145)&gt;0,SUMIF(Производство!$A$104:$A$145,Технологи!$B85,Производство!H$104:H$145)*$F85+$G85,0)</f>
        <v>0</v>
      </c>
      <c r="L85" s="46">
        <f t="array" ref="L85">IF(SUMIF(Производство!$A$104:$A$145,Технологи!$B85,Производство!I$104:I$145)&gt;0,SUMIF(Производство!$A$104:$A$145,Технологи!$B85,Производство!I$104:I$145)*$F85+$G85,0)</f>
        <v>0</v>
      </c>
      <c r="M85" s="46">
        <f t="array" ref="M85">IF(SUMIF(Производство!$A$104:$A$145,Технологи!$B85,Производство!J$104:J$145)&gt;0,SUMIF(Производство!$A$104:$A$145,Технологи!$B85,Производство!J$104:J$145)*$F85+$G85,0)</f>
        <v>0</v>
      </c>
      <c r="N85" s="46">
        <f t="array" ref="N85">IF(SUMIF(Производство!$A$104:$A$145,Технологи!$B85,Производство!K$104:K$145)&gt;0,SUMIF(Производство!$A$104:$A$145,Технологи!$B85,Производство!K$104:K$145)*$F85+$G85,0)</f>
        <v>0</v>
      </c>
      <c r="O85" s="46">
        <f t="array" ref="O85">IF(SUMIF(Производство!$A$104:$A$145,Технологи!$B85,Производство!L$104:L$145)&gt;0,SUMIF(Производство!$A$104:$A$145,Технологи!$B85,Производство!L$104:L$145)*$F85+$G85,0)</f>
        <v>0</v>
      </c>
      <c r="P85" s="46">
        <f t="array" ref="P85">IF(SUMIF(Производство!$A$104:$A$145,Технологи!$B85,Производство!M$104:M$145)&gt;0,SUMIF(Производство!$A$104:$A$145,Технологи!$B85,Производство!M$104:M$145)*$F85+$G85,0)</f>
        <v>0</v>
      </c>
      <c r="Q85" s="46">
        <f t="array" ref="Q85">IF(SUMIF(Производство!$A$104:$A$145,Технологи!$B85,Производство!N$104:N$145)&gt;0,SUMIF(Производство!$A$104:$A$145,Технологи!$B85,Производство!N$104:N$145)*$F85+$G85,0)</f>
        <v>0</v>
      </c>
      <c r="R85" s="46">
        <f t="array" ref="R85">IF(SUMIF(Производство!$A$104:$A$145,Технологи!$B85,Производство!O$104:O$145)&gt;0,SUMIF(Производство!$A$104:$A$145,Технологи!$B85,Производство!O$104:O$145)*$F85+$G85,0)</f>
        <v>0</v>
      </c>
      <c r="S85" s="46">
        <f t="array" ref="S85">IF(SUMIF(Производство!$A$104:$A$145,Технологи!$B85,Производство!P$104:P$145)&gt;0,SUMIF(Производство!$A$104:$A$145,Технологи!$B85,Производство!P$104:P$145)*$F85+$G85,0)</f>
        <v>0</v>
      </c>
      <c r="T85" s="46">
        <f t="array" ref="T85">IF(SUMIF(Производство!$A$104:$A$145,Технологи!$B85,Производство!Q$104:Q$145)&gt;0,SUMIF(Производство!$A$104:$A$145,Технологи!$B85,Производство!Q$104:Q$145)*$F85+$G85,0)</f>
        <v>0</v>
      </c>
    </row>
    <row r="86" spans="1:20" x14ac:dyDescent="0.25">
      <c r="A86" s="34" t="s">
        <v>377</v>
      </c>
      <c r="B86" s="13" t="s">
        <v>59</v>
      </c>
      <c r="C86" s="19" t="s">
        <v>14</v>
      </c>
      <c r="D86" s="14">
        <v>7038</v>
      </c>
      <c r="E86" s="20"/>
      <c r="F86" s="24">
        <v>3.2940509319955395E-3</v>
      </c>
      <c r="G86" s="24">
        <v>0.13760945440356742</v>
      </c>
      <c r="H86" s="23">
        <f t="shared" si="4"/>
        <v>3.2940509319955393</v>
      </c>
      <c r="I86" s="46">
        <f t="array" ref="I86">IF(SUMIF(Производство!$A$104:$A$145,Технологи!$B86,Производство!F$104:F$145)&gt;0,SUMIF(Производство!$A$104:$A$145,Технологи!$B86,Производство!F$104:F$145)*$F86+$G86,0)</f>
        <v>0</v>
      </c>
      <c r="J86" s="46">
        <f t="array" ref="J86">IF(SUMIF(Производство!$A$104:$A$145,Технологи!$B86,Производство!G$104:G$145)&gt;0,SUMIF(Производство!$A$104:$A$145,Технологи!$B86,Производство!G$104:G$145)*$F86+$G86,0)</f>
        <v>0</v>
      </c>
      <c r="K86" s="46">
        <f t="array" ref="K86">IF(SUMIF(Производство!$A$104:$A$145,Технологи!$B86,Производство!H$104:H$145)&gt;0,SUMIF(Производство!$A$104:$A$145,Технологи!$B86,Производство!H$104:H$145)*$F86+$G86,0)</f>
        <v>0</v>
      </c>
      <c r="L86" s="46">
        <f t="array" ref="L86">IF(SUMIF(Производство!$A$104:$A$145,Технологи!$B86,Производство!I$104:I$145)&gt;0,SUMIF(Производство!$A$104:$A$145,Технологи!$B86,Производство!I$104:I$145)*$F86+$G86,0)</f>
        <v>0</v>
      </c>
      <c r="M86" s="46">
        <f t="array" ref="M86">IF(SUMIF(Производство!$A$104:$A$145,Технологи!$B86,Производство!J$104:J$145)&gt;0,SUMIF(Производство!$A$104:$A$145,Технологи!$B86,Производство!J$104:J$145)*$F86+$G86,0)</f>
        <v>0</v>
      </c>
      <c r="N86" s="46">
        <f t="array" ref="N86">IF(SUMIF(Производство!$A$104:$A$145,Технологи!$B86,Производство!K$104:K$145)&gt;0,SUMIF(Производство!$A$104:$A$145,Технологи!$B86,Производство!K$104:K$145)*$F86+$G86,0)</f>
        <v>0</v>
      </c>
      <c r="O86" s="46">
        <f t="array" ref="O86">IF(SUMIF(Производство!$A$104:$A$145,Технологи!$B86,Производство!L$104:L$145)&gt;0,SUMIF(Производство!$A$104:$A$145,Технологи!$B86,Производство!L$104:L$145)*$F86+$G86,0)</f>
        <v>0</v>
      </c>
      <c r="P86" s="46">
        <f t="array" ref="P86">IF(SUMIF(Производство!$A$104:$A$145,Технологи!$B86,Производство!M$104:M$145)&gt;0,SUMIF(Производство!$A$104:$A$145,Технологи!$B86,Производство!M$104:M$145)*$F86+$G86,0)</f>
        <v>0</v>
      </c>
      <c r="Q86" s="46">
        <f t="array" ref="Q86">IF(SUMIF(Производство!$A$104:$A$145,Технологи!$B86,Производство!N$104:N$145)&gt;0,SUMIF(Производство!$A$104:$A$145,Технологи!$B86,Производство!N$104:N$145)*$F86+$G86,0)</f>
        <v>0</v>
      </c>
      <c r="R86" s="46">
        <f t="array" ref="R86">IF(SUMIF(Производство!$A$104:$A$145,Технологи!$B86,Производство!O$104:O$145)&gt;0,SUMIF(Производство!$A$104:$A$145,Технологи!$B86,Производство!O$104:O$145)*$F86+$G86,0)</f>
        <v>0</v>
      </c>
      <c r="S86" s="46">
        <f t="array" ref="S86">IF(SUMIF(Производство!$A$104:$A$145,Технологи!$B86,Производство!P$104:P$145)&gt;0,SUMIF(Производство!$A$104:$A$145,Технологи!$B86,Производство!P$104:P$145)*$F86+$G86,0)</f>
        <v>0</v>
      </c>
      <c r="T86" s="46">
        <f t="array" ref="T86">IF(SUMIF(Производство!$A$104:$A$145,Технологи!$B86,Производство!Q$104:Q$145)&gt;0,SUMIF(Производство!$A$104:$A$145,Технологи!$B86,Производство!Q$104:Q$145)*$F86+$G86,0)</f>
        <v>0</v>
      </c>
    </row>
    <row r="87" spans="1:20" x14ac:dyDescent="0.25">
      <c r="A87" s="34" t="s">
        <v>377</v>
      </c>
      <c r="B87" s="13" t="s">
        <v>59</v>
      </c>
      <c r="C87" s="19" t="s">
        <v>15</v>
      </c>
      <c r="D87" s="14">
        <v>7038</v>
      </c>
      <c r="E87" s="20"/>
      <c r="F87" s="24">
        <v>1.6470254659977698E-3</v>
      </c>
      <c r="G87" s="24">
        <v>6.8804727201783711E-2</v>
      </c>
      <c r="H87" s="23">
        <f t="shared" si="4"/>
        <v>1.6470254659977697</v>
      </c>
      <c r="I87" s="46">
        <f t="array" ref="I87">IF(SUMIF(Производство!$A$104:$A$145,Технологи!$B87,Производство!F$104:F$145)&gt;0,SUMIF(Производство!$A$104:$A$145,Технологи!$B87,Производство!F$104:F$145)*$F87+$G87,0)</f>
        <v>0</v>
      </c>
      <c r="J87" s="46">
        <f t="array" ref="J87">IF(SUMIF(Производство!$A$104:$A$145,Технологи!$B87,Производство!G$104:G$145)&gt;0,SUMIF(Производство!$A$104:$A$145,Технологи!$B87,Производство!G$104:G$145)*$F87+$G87,0)</f>
        <v>0</v>
      </c>
      <c r="K87" s="46">
        <f t="array" ref="K87">IF(SUMIF(Производство!$A$104:$A$145,Технологи!$B87,Производство!H$104:H$145)&gt;0,SUMIF(Производство!$A$104:$A$145,Технологи!$B87,Производство!H$104:H$145)*$F87+$G87,0)</f>
        <v>0</v>
      </c>
      <c r="L87" s="46">
        <f t="array" ref="L87">IF(SUMIF(Производство!$A$104:$A$145,Технологи!$B87,Производство!I$104:I$145)&gt;0,SUMIF(Производство!$A$104:$A$145,Технологи!$B87,Производство!I$104:I$145)*$F87+$G87,0)</f>
        <v>0</v>
      </c>
      <c r="M87" s="46">
        <f t="array" ref="M87">IF(SUMIF(Производство!$A$104:$A$145,Технологи!$B87,Производство!J$104:J$145)&gt;0,SUMIF(Производство!$A$104:$A$145,Технологи!$B87,Производство!J$104:J$145)*$F87+$G87,0)</f>
        <v>0</v>
      </c>
      <c r="N87" s="46">
        <f t="array" ref="N87">IF(SUMIF(Производство!$A$104:$A$145,Технологи!$B87,Производство!K$104:K$145)&gt;0,SUMIF(Производство!$A$104:$A$145,Технологи!$B87,Производство!K$104:K$145)*$F87+$G87,0)</f>
        <v>0</v>
      </c>
      <c r="O87" s="46">
        <f t="array" ref="O87">IF(SUMIF(Производство!$A$104:$A$145,Технологи!$B87,Производство!L$104:L$145)&gt;0,SUMIF(Производство!$A$104:$A$145,Технологи!$B87,Производство!L$104:L$145)*$F87+$G87,0)</f>
        <v>0</v>
      </c>
      <c r="P87" s="46">
        <f t="array" ref="P87">IF(SUMIF(Производство!$A$104:$A$145,Технологи!$B87,Производство!M$104:M$145)&gt;0,SUMIF(Производство!$A$104:$A$145,Технологи!$B87,Производство!M$104:M$145)*$F87+$G87,0)</f>
        <v>0</v>
      </c>
      <c r="Q87" s="46">
        <f t="array" ref="Q87">IF(SUMIF(Производство!$A$104:$A$145,Технологи!$B87,Производство!N$104:N$145)&gt;0,SUMIF(Производство!$A$104:$A$145,Технологи!$B87,Производство!N$104:N$145)*$F87+$G87,0)</f>
        <v>0</v>
      </c>
      <c r="R87" s="46">
        <f t="array" ref="R87">IF(SUMIF(Производство!$A$104:$A$145,Технологи!$B87,Производство!O$104:O$145)&gt;0,SUMIF(Производство!$A$104:$A$145,Технологи!$B87,Производство!O$104:O$145)*$F87+$G87,0)</f>
        <v>0</v>
      </c>
      <c r="S87" s="46">
        <f t="array" ref="S87">IF(SUMIF(Производство!$A$104:$A$145,Технологи!$B87,Производство!P$104:P$145)&gt;0,SUMIF(Производство!$A$104:$A$145,Технологи!$B87,Производство!P$104:P$145)*$F87+$G87,0)</f>
        <v>0</v>
      </c>
      <c r="T87" s="46">
        <f t="array" ref="T87">IF(SUMIF(Производство!$A$104:$A$145,Технологи!$B87,Производство!Q$104:Q$145)&gt;0,SUMIF(Производство!$A$104:$A$145,Технологи!$B87,Производство!Q$104:Q$145)*$F87+$G87,0)</f>
        <v>0</v>
      </c>
    </row>
    <row r="88" spans="1:20" x14ac:dyDescent="0.25">
      <c r="A88" s="34" t="s">
        <v>377</v>
      </c>
      <c r="B88" s="13" t="s">
        <v>59</v>
      </c>
      <c r="C88" s="19" t="s">
        <v>16</v>
      </c>
      <c r="D88" s="14">
        <v>7038</v>
      </c>
      <c r="E88" s="20"/>
      <c r="F88" s="24">
        <v>2.1851624994425858E-2</v>
      </c>
      <c r="G88" s="24">
        <v>0.91739636269044944</v>
      </c>
      <c r="H88" s="23">
        <f t="shared" si="4"/>
        <v>21.851624994425858</v>
      </c>
      <c r="I88" s="46">
        <f t="array" ref="I88">IF(SUMIF(Производство!$A$104:$A$145,Технологи!$B88,Производство!F$104:F$145)&gt;0,SUMIF(Производство!$A$104:$A$145,Технологи!$B88,Производство!F$104:F$145)*$F88+$G88,0)</f>
        <v>0</v>
      </c>
      <c r="J88" s="46">
        <f t="array" ref="J88">IF(SUMIF(Производство!$A$104:$A$145,Технологи!$B88,Производство!G$104:G$145)&gt;0,SUMIF(Производство!$A$104:$A$145,Технологи!$B88,Производство!G$104:G$145)*$F88+$G88,0)</f>
        <v>0</v>
      </c>
      <c r="K88" s="46">
        <f t="array" ref="K88">IF(SUMIF(Производство!$A$104:$A$145,Технологи!$B88,Производство!H$104:H$145)&gt;0,SUMIF(Производство!$A$104:$A$145,Технологи!$B88,Производство!H$104:H$145)*$F88+$G88,0)</f>
        <v>0</v>
      </c>
      <c r="L88" s="46">
        <f t="array" ref="L88">IF(SUMIF(Производство!$A$104:$A$145,Технологи!$B88,Производство!I$104:I$145)&gt;0,SUMIF(Производство!$A$104:$A$145,Технологи!$B88,Производство!I$104:I$145)*$F88+$G88,0)</f>
        <v>0</v>
      </c>
      <c r="M88" s="46">
        <f t="array" ref="M88">IF(SUMIF(Производство!$A$104:$A$145,Технологи!$B88,Производство!J$104:J$145)&gt;0,SUMIF(Производство!$A$104:$A$145,Технологи!$B88,Производство!J$104:J$145)*$F88+$G88,0)</f>
        <v>0</v>
      </c>
      <c r="N88" s="46">
        <f t="array" ref="N88">IF(SUMIF(Производство!$A$104:$A$145,Технологи!$B88,Производство!K$104:K$145)&gt;0,SUMIF(Производство!$A$104:$A$145,Технологи!$B88,Производство!K$104:K$145)*$F88+$G88,0)</f>
        <v>0</v>
      </c>
      <c r="O88" s="46">
        <f t="array" ref="O88">IF(SUMIF(Производство!$A$104:$A$145,Технологи!$B88,Производство!L$104:L$145)&gt;0,SUMIF(Производство!$A$104:$A$145,Технологи!$B88,Производство!L$104:L$145)*$F88+$G88,0)</f>
        <v>0</v>
      </c>
      <c r="P88" s="46">
        <f t="array" ref="P88">IF(SUMIF(Производство!$A$104:$A$145,Технологи!$B88,Производство!M$104:M$145)&gt;0,SUMIF(Производство!$A$104:$A$145,Технологи!$B88,Производство!M$104:M$145)*$F88+$G88,0)</f>
        <v>0</v>
      </c>
      <c r="Q88" s="46">
        <f t="array" ref="Q88">IF(SUMIF(Производство!$A$104:$A$145,Технологи!$B88,Производство!N$104:N$145)&gt;0,SUMIF(Производство!$A$104:$A$145,Технологи!$B88,Производство!N$104:N$145)*$F88+$G88,0)</f>
        <v>0</v>
      </c>
      <c r="R88" s="46">
        <f t="array" ref="R88">IF(SUMIF(Производство!$A$104:$A$145,Технологи!$B88,Производство!O$104:O$145)&gt;0,SUMIF(Производство!$A$104:$A$145,Технологи!$B88,Производство!O$104:O$145)*$F88+$G88,0)</f>
        <v>0</v>
      </c>
      <c r="S88" s="46">
        <f t="array" ref="S88">IF(SUMIF(Производство!$A$104:$A$145,Технологи!$B88,Производство!P$104:P$145)&gt;0,SUMIF(Производство!$A$104:$A$145,Технологи!$B88,Производство!P$104:P$145)*$F88+$G88,0)</f>
        <v>0</v>
      </c>
      <c r="T88" s="46">
        <f t="array" ref="T88">IF(SUMIF(Производство!$A$104:$A$145,Технологи!$B88,Производство!Q$104:Q$145)&gt;0,SUMIF(Производство!$A$104:$A$145,Технологи!$B88,Производство!Q$104:Q$145)*$F88+$G88,0)</f>
        <v>0</v>
      </c>
    </row>
    <row r="89" spans="1:20" x14ac:dyDescent="0.25">
      <c r="A89" s="34" t="s">
        <v>377</v>
      </c>
      <c r="B89" s="13" t="s">
        <v>59</v>
      </c>
      <c r="C89" s="19" t="s">
        <v>17</v>
      </c>
      <c r="D89" s="14">
        <v>7038</v>
      </c>
      <c r="E89" s="20"/>
      <c r="F89" s="24">
        <v>1.2078186750650316E-2</v>
      </c>
      <c r="G89" s="24">
        <v>0.50456799947974729</v>
      </c>
      <c r="H89" s="23">
        <f t="shared" si="4"/>
        <v>12.078186750650316</v>
      </c>
      <c r="I89" s="46">
        <f t="array" ref="I89">IF(SUMIF(Производство!$A$104:$A$145,Технологи!$B89,Производство!F$104:F$145)&gt;0,SUMIF(Производство!$A$104:$A$145,Технологи!$B89,Производство!F$104:F$145)*$F89+$G89,0)</f>
        <v>0</v>
      </c>
      <c r="J89" s="46">
        <f t="array" ref="J89">IF(SUMIF(Производство!$A$104:$A$145,Технологи!$B89,Производство!G$104:G$145)&gt;0,SUMIF(Производство!$A$104:$A$145,Технологи!$B89,Производство!G$104:G$145)*$F89+$G89,0)</f>
        <v>0</v>
      </c>
      <c r="K89" s="46">
        <f t="array" ref="K89">IF(SUMIF(Производство!$A$104:$A$145,Технологи!$B89,Производство!H$104:H$145)&gt;0,SUMIF(Производство!$A$104:$A$145,Технологи!$B89,Производство!H$104:H$145)*$F89+$G89,0)</f>
        <v>0</v>
      </c>
      <c r="L89" s="46">
        <f t="array" ref="L89">IF(SUMIF(Производство!$A$104:$A$145,Технологи!$B89,Производство!I$104:I$145)&gt;0,SUMIF(Производство!$A$104:$A$145,Технологи!$B89,Производство!I$104:I$145)*$F89+$G89,0)</f>
        <v>0</v>
      </c>
      <c r="M89" s="46">
        <f t="array" ref="M89">IF(SUMIF(Производство!$A$104:$A$145,Технологи!$B89,Производство!J$104:J$145)&gt;0,SUMIF(Производство!$A$104:$A$145,Технологи!$B89,Производство!J$104:J$145)*$F89+$G89,0)</f>
        <v>0</v>
      </c>
      <c r="N89" s="46">
        <f t="array" ref="N89">IF(SUMIF(Производство!$A$104:$A$145,Технологи!$B89,Производство!K$104:K$145)&gt;0,SUMIF(Производство!$A$104:$A$145,Технологи!$B89,Производство!K$104:K$145)*$F89+$G89,0)</f>
        <v>0</v>
      </c>
      <c r="O89" s="46">
        <f t="array" ref="O89">IF(SUMIF(Производство!$A$104:$A$145,Технологи!$B89,Производство!L$104:L$145)&gt;0,SUMIF(Производство!$A$104:$A$145,Технологи!$B89,Производство!L$104:L$145)*$F89+$G89,0)</f>
        <v>0</v>
      </c>
      <c r="P89" s="46">
        <f t="array" ref="P89">IF(SUMIF(Производство!$A$104:$A$145,Технологи!$B89,Производство!M$104:M$145)&gt;0,SUMIF(Производство!$A$104:$A$145,Технологи!$B89,Производство!M$104:M$145)*$F89+$G89,0)</f>
        <v>0</v>
      </c>
      <c r="Q89" s="46">
        <f t="array" ref="Q89">IF(SUMIF(Производство!$A$104:$A$145,Технологи!$B89,Производство!N$104:N$145)&gt;0,SUMIF(Производство!$A$104:$A$145,Технологи!$B89,Производство!N$104:N$145)*$F89+$G89,0)</f>
        <v>0</v>
      </c>
      <c r="R89" s="46">
        <f t="array" ref="R89">IF(SUMIF(Производство!$A$104:$A$145,Технологи!$B89,Производство!O$104:O$145)&gt;0,SUMIF(Производство!$A$104:$A$145,Технологи!$B89,Производство!O$104:O$145)*$F89+$G89,0)</f>
        <v>0</v>
      </c>
      <c r="S89" s="46">
        <f t="array" ref="S89">IF(SUMIF(Производство!$A$104:$A$145,Технологи!$B89,Производство!P$104:P$145)&gt;0,SUMIF(Производство!$A$104:$A$145,Технологи!$B89,Производство!P$104:P$145)*$F89+$G89,0)</f>
        <v>0</v>
      </c>
      <c r="T89" s="46">
        <f t="array" ref="T89">IF(SUMIF(Производство!$A$104:$A$145,Технологи!$B89,Производство!Q$104:Q$145)&gt;0,SUMIF(Производство!$A$104:$A$145,Технологи!$B89,Производство!Q$104:Q$145)*$F89+$G89,0)</f>
        <v>0</v>
      </c>
    </row>
    <row r="90" spans="1:20" x14ac:dyDescent="0.25">
      <c r="A90" s="34" t="s">
        <v>377</v>
      </c>
      <c r="B90" s="13" t="s">
        <v>59</v>
      </c>
      <c r="C90" s="19" t="s">
        <v>18</v>
      </c>
      <c r="D90" s="14">
        <v>7038</v>
      </c>
      <c r="E90" s="20"/>
      <c r="F90" s="24">
        <v>1.0904069586770718E-2</v>
      </c>
      <c r="G90" s="24">
        <v>0.45869818134522472</v>
      </c>
      <c r="H90" s="23">
        <f t="shared" si="4"/>
        <v>10.904069586770717</v>
      </c>
      <c r="I90" s="46">
        <f t="array" ref="I90">IF(SUMIF(Производство!$A$104:$A$145,Технологи!$B90,Производство!F$104:F$145)&gt;0,SUMIF(Производство!$A$104:$A$145,Технологи!$B90,Производство!F$104:F$145)*$F90+$G90,0)</f>
        <v>0</v>
      </c>
      <c r="J90" s="46">
        <f t="array" ref="J90">IF(SUMIF(Производство!$A$104:$A$145,Технологи!$B90,Производство!G$104:G$145)&gt;0,SUMIF(Производство!$A$104:$A$145,Технологи!$B90,Производство!G$104:G$145)*$F90+$G90,0)</f>
        <v>0</v>
      </c>
      <c r="K90" s="46">
        <f t="array" ref="K90">IF(SUMIF(Производство!$A$104:$A$145,Технологи!$B90,Производство!H$104:H$145)&gt;0,SUMIF(Производство!$A$104:$A$145,Технологи!$B90,Производство!H$104:H$145)*$F90+$G90,0)</f>
        <v>0</v>
      </c>
      <c r="L90" s="46">
        <f t="array" ref="L90">IF(SUMIF(Производство!$A$104:$A$145,Технологи!$B90,Производство!I$104:I$145)&gt;0,SUMIF(Производство!$A$104:$A$145,Технологи!$B90,Производство!I$104:I$145)*$F90+$G90,0)</f>
        <v>0</v>
      </c>
      <c r="M90" s="46">
        <f t="array" ref="M90">IF(SUMIF(Производство!$A$104:$A$145,Технологи!$B90,Производство!J$104:J$145)&gt;0,SUMIF(Производство!$A$104:$A$145,Технологи!$B90,Производство!J$104:J$145)*$F90+$G90,0)</f>
        <v>0</v>
      </c>
      <c r="N90" s="46">
        <f t="array" ref="N90">IF(SUMIF(Производство!$A$104:$A$145,Технологи!$B90,Производство!K$104:K$145)&gt;0,SUMIF(Производство!$A$104:$A$145,Технологи!$B90,Производство!K$104:K$145)*$F90+$G90,0)</f>
        <v>0</v>
      </c>
      <c r="O90" s="46">
        <f t="array" ref="O90">IF(SUMIF(Производство!$A$104:$A$145,Технологи!$B90,Производство!L$104:L$145)&gt;0,SUMIF(Производство!$A$104:$A$145,Технологи!$B90,Производство!L$104:L$145)*$F90+$G90,0)</f>
        <v>0</v>
      </c>
      <c r="P90" s="46">
        <f t="array" ref="P90">IF(SUMIF(Производство!$A$104:$A$145,Технологи!$B90,Производство!M$104:M$145)&gt;0,SUMIF(Производство!$A$104:$A$145,Технологи!$B90,Производство!M$104:M$145)*$F90+$G90,0)</f>
        <v>0</v>
      </c>
      <c r="Q90" s="46">
        <f t="array" ref="Q90">IF(SUMIF(Производство!$A$104:$A$145,Технологи!$B90,Производство!N$104:N$145)&gt;0,SUMIF(Производство!$A$104:$A$145,Технологи!$B90,Производство!N$104:N$145)*$F90+$G90,0)</f>
        <v>0</v>
      </c>
      <c r="R90" s="46">
        <f t="array" ref="R90">IF(SUMIF(Производство!$A$104:$A$145,Технологи!$B90,Производство!O$104:O$145)&gt;0,SUMIF(Производство!$A$104:$A$145,Технологи!$B90,Производство!O$104:O$145)*$F90+$G90,0)</f>
        <v>0</v>
      </c>
      <c r="S90" s="46">
        <f t="array" ref="S90">IF(SUMIF(Производство!$A$104:$A$145,Технологи!$B90,Производство!P$104:P$145)&gt;0,SUMIF(Производство!$A$104:$A$145,Технологи!$B90,Производство!P$104:P$145)*$F90+$G90,0)</f>
        <v>0</v>
      </c>
      <c r="T90" s="46">
        <f t="array" ref="T90">IF(SUMIF(Производство!$A$104:$A$145,Технологи!$B90,Производство!Q$104:Q$145)&gt;0,SUMIF(Производство!$A$104:$A$145,Технологи!$B90,Производство!Q$104:Q$145)*$F90+$G90,0)</f>
        <v>0</v>
      </c>
    </row>
    <row r="91" spans="1:20" x14ac:dyDescent="0.25">
      <c r="A91" s="34" t="s">
        <v>377</v>
      </c>
      <c r="B91" s="13" t="s">
        <v>59</v>
      </c>
      <c r="C91" s="19" t="s">
        <v>19</v>
      </c>
      <c r="D91" s="14">
        <v>7038</v>
      </c>
      <c r="E91" s="20"/>
      <c r="F91" s="24">
        <v>2.3743437000000003</v>
      </c>
      <c r="G91" s="24">
        <v>121.09152870000003</v>
      </c>
      <c r="H91" s="23">
        <f t="shared" si="4"/>
        <v>2374.3437000000004</v>
      </c>
      <c r="I91" s="46">
        <f t="array" ref="I91">IF(SUMIF(Производство!$A$104:$A$145,Технологи!$B91,Производство!F$104:F$145)&gt;0,SUMIF(Производство!$A$104:$A$145,Технологи!$B91,Производство!F$104:F$145)*$F91+$G91,0)</f>
        <v>0</v>
      </c>
      <c r="J91" s="46">
        <f t="array" ref="J91">IF(SUMIF(Производство!$A$104:$A$145,Технологи!$B91,Производство!G$104:G$145)&gt;0,SUMIF(Производство!$A$104:$A$145,Технологи!$B91,Производство!G$104:G$145)*$F91+$G91,0)</f>
        <v>0</v>
      </c>
      <c r="K91" s="46">
        <f t="array" ref="K91">IF(SUMIF(Производство!$A$104:$A$145,Технологи!$B91,Производство!H$104:H$145)&gt;0,SUMIF(Производство!$A$104:$A$145,Технологи!$B91,Производство!H$104:H$145)*$F91+$G91,0)</f>
        <v>0</v>
      </c>
      <c r="L91" s="46">
        <f t="array" ref="L91">IF(SUMIF(Производство!$A$104:$A$145,Технологи!$B91,Производство!I$104:I$145)&gt;0,SUMIF(Производство!$A$104:$A$145,Технологи!$B91,Производство!I$104:I$145)*$F91+$G91,0)</f>
        <v>0</v>
      </c>
      <c r="M91" s="46">
        <f t="array" ref="M91">IF(SUMIF(Производство!$A$104:$A$145,Технологи!$B91,Производство!J$104:J$145)&gt;0,SUMIF(Производство!$A$104:$A$145,Технологи!$B91,Производство!J$104:J$145)*$F91+$G91,0)</f>
        <v>0</v>
      </c>
      <c r="N91" s="46">
        <f t="array" ref="N91">IF(SUMIF(Производство!$A$104:$A$145,Технологи!$B91,Производство!K$104:K$145)&gt;0,SUMIF(Производство!$A$104:$A$145,Технологи!$B91,Производство!K$104:K$145)*$F91+$G91,0)</f>
        <v>0</v>
      </c>
      <c r="O91" s="46">
        <f t="array" ref="O91">IF(SUMIF(Производство!$A$104:$A$145,Технологи!$B91,Производство!L$104:L$145)&gt;0,SUMIF(Производство!$A$104:$A$145,Технологи!$B91,Производство!L$104:L$145)*$F91+$G91,0)</f>
        <v>0</v>
      </c>
      <c r="P91" s="46">
        <f t="array" ref="P91">IF(SUMIF(Производство!$A$104:$A$145,Технологи!$B91,Производство!M$104:M$145)&gt;0,SUMIF(Производство!$A$104:$A$145,Технологи!$B91,Производство!M$104:M$145)*$F91+$G91,0)</f>
        <v>0</v>
      </c>
      <c r="Q91" s="46">
        <f t="array" ref="Q91">IF(SUMIF(Производство!$A$104:$A$145,Технологи!$B91,Производство!N$104:N$145)&gt;0,SUMIF(Производство!$A$104:$A$145,Технологи!$B91,Производство!N$104:N$145)*$F91+$G91,0)</f>
        <v>0</v>
      </c>
      <c r="R91" s="46">
        <f t="array" ref="R91">IF(SUMIF(Производство!$A$104:$A$145,Технологи!$B91,Производство!O$104:O$145)&gt;0,SUMIF(Производство!$A$104:$A$145,Технологи!$B91,Производство!O$104:O$145)*$F91+$G91,0)</f>
        <v>0</v>
      </c>
      <c r="S91" s="46">
        <f t="array" ref="S91">IF(SUMIF(Производство!$A$104:$A$145,Технологи!$B91,Производство!P$104:P$145)&gt;0,SUMIF(Производство!$A$104:$A$145,Технологи!$B91,Производство!P$104:P$145)*$F91+$G91,0)</f>
        <v>0</v>
      </c>
      <c r="T91" s="46">
        <f t="array" ref="T91">IF(SUMIF(Производство!$A$104:$A$145,Технологи!$B91,Производство!Q$104:Q$145)&gt;0,SUMIF(Производство!$A$104:$A$145,Технологи!$B91,Производство!Q$104:Q$145)*$F91+$G91,0)</f>
        <v>0</v>
      </c>
    </row>
    <row r="92" spans="1:20" x14ac:dyDescent="0.25">
      <c r="A92" s="34" t="s">
        <v>377</v>
      </c>
      <c r="B92" s="13" t="s">
        <v>59</v>
      </c>
      <c r="C92" s="19" t="s">
        <v>20</v>
      </c>
      <c r="D92" s="14">
        <v>7038</v>
      </c>
      <c r="E92" s="20"/>
      <c r="F92" s="24">
        <v>0.13919999999999999</v>
      </c>
      <c r="G92" s="24">
        <v>2.9232</v>
      </c>
      <c r="H92" s="23">
        <f t="shared" si="4"/>
        <v>139.19999999999999</v>
      </c>
      <c r="I92" s="46">
        <f t="array" ref="I92">IF(SUMIF(Производство!$A$104:$A$145,Технологи!$B92,Производство!F$104:F$145)&gt;0,SUMIF(Производство!$A$104:$A$145,Технологи!$B92,Производство!F$104:F$145)*$F92+$G92,0)</f>
        <v>0</v>
      </c>
      <c r="J92" s="46">
        <f t="array" ref="J92">IF(SUMIF(Производство!$A$104:$A$145,Технологи!$B92,Производство!G$104:G$145)&gt;0,SUMIF(Производство!$A$104:$A$145,Технологи!$B92,Производство!G$104:G$145)*$F92+$G92,0)</f>
        <v>0</v>
      </c>
      <c r="K92" s="46">
        <f t="array" ref="K92">IF(SUMIF(Производство!$A$104:$A$145,Технологи!$B92,Производство!H$104:H$145)&gt;0,SUMIF(Производство!$A$104:$A$145,Технологи!$B92,Производство!H$104:H$145)*$F92+$G92,0)</f>
        <v>0</v>
      </c>
      <c r="L92" s="46">
        <f t="array" ref="L92">IF(SUMIF(Производство!$A$104:$A$145,Технологи!$B92,Производство!I$104:I$145)&gt;0,SUMIF(Производство!$A$104:$A$145,Технологи!$B92,Производство!I$104:I$145)*$F92+$G92,0)</f>
        <v>0</v>
      </c>
      <c r="M92" s="46">
        <f t="array" ref="M92">IF(SUMIF(Производство!$A$104:$A$145,Технологи!$B92,Производство!J$104:J$145)&gt;0,SUMIF(Производство!$A$104:$A$145,Технологи!$B92,Производство!J$104:J$145)*$F92+$G92,0)</f>
        <v>0</v>
      </c>
      <c r="N92" s="46">
        <f t="array" ref="N92">IF(SUMIF(Производство!$A$104:$A$145,Технологи!$B92,Производство!K$104:K$145)&gt;0,SUMIF(Производство!$A$104:$A$145,Технологи!$B92,Производство!K$104:K$145)*$F92+$G92,0)</f>
        <v>0</v>
      </c>
      <c r="O92" s="46">
        <f t="array" ref="O92">IF(SUMIF(Производство!$A$104:$A$145,Технологи!$B92,Производство!L$104:L$145)&gt;0,SUMIF(Производство!$A$104:$A$145,Технологи!$B92,Производство!L$104:L$145)*$F92+$G92,0)</f>
        <v>0</v>
      </c>
      <c r="P92" s="46">
        <f t="array" ref="P92">IF(SUMIF(Производство!$A$104:$A$145,Технологи!$B92,Производство!M$104:M$145)&gt;0,SUMIF(Производство!$A$104:$A$145,Технологи!$B92,Производство!M$104:M$145)*$F92+$G92,0)</f>
        <v>0</v>
      </c>
      <c r="Q92" s="46">
        <f t="array" ref="Q92">IF(SUMIF(Производство!$A$104:$A$145,Технологи!$B92,Производство!N$104:N$145)&gt;0,SUMIF(Производство!$A$104:$A$145,Технологи!$B92,Производство!N$104:N$145)*$F92+$G92,0)</f>
        <v>0</v>
      </c>
      <c r="R92" s="46">
        <f t="array" ref="R92">IF(SUMIF(Производство!$A$104:$A$145,Технологи!$B92,Производство!O$104:O$145)&gt;0,SUMIF(Производство!$A$104:$A$145,Технологи!$B92,Производство!O$104:O$145)*$F92+$G92,0)</f>
        <v>0</v>
      </c>
      <c r="S92" s="46">
        <f t="array" ref="S92">IF(SUMIF(Производство!$A$104:$A$145,Технологи!$B92,Производство!P$104:P$145)&gt;0,SUMIF(Производство!$A$104:$A$145,Технологи!$B92,Производство!P$104:P$145)*$F92+$G92,0)</f>
        <v>0</v>
      </c>
      <c r="T92" s="46">
        <f t="array" ref="T92">IF(SUMIF(Производство!$A$104:$A$145,Технологи!$B92,Производство!Q$104:Q$145)&gt;0,SUMIF(Производство!$A$104:$A$145,Технологи!$B92,Производство!Q$104:Q$145)*$F92+$G92,0)</f>
        <v>0</v>
      </c>
    </row>
    <row r="93" spans="1:20" x14ac:dyDescent="0.25">
      <c r="A93" s="34" t="s">
        <v>377</v>
      </c>
      <c r="B93" s="13" t="s">
        <v>59</v>
      </c>
      <c r="C93" s="19" t="s">
        <v>21</v>
      </c>
      <c r="D93" s="14">
        <v>7038</v>
      </c>
      <c r="E93" s="20"/>
      <c r="F93" s="24">
        <v>0.20300000000000001</v>
      </c>
      <c r="G93" s="24">
        <v>4.2629999999999999</v>
      </c>
      <c r="H93" s="23">
        <f t="shared" si="4"/>
        <v>203</v>
      </c>
      <c r="I93" s="46">
        <f t="array" ref="I93">IF(SUMIF(Производство!$A$104:$A$145,Технологи!$B93,Производство!F$104:F$145)&gt;0,SUMIF(Производство!$A$104:$A$145,Технологи!$B93,Производство!F$104:F$145)*$F93+$G93,0)</f>
        <v>0</v>
      </c>
      <c r="J93" s="46">
        <f t="array" ref="J93">IF(SUMIF(Производство!$A$104:$A$145,Технологи!$B93,Производство!G$104:G$145)&gt;0,SUMIF(Производство!$A$104:$A$145,Технологи!$B93,Производство!G$104:G$145)*$F93+$G93,0)</f>
        <v>0</v>
      </c>
      <c r="K93" s="46">
        <f t="array" ref="K93">IF(SUMIF(Производство!$A$104:$A$145,Технологи!$B93,Производство!H$104:H$145)&gt;0,SUMIF(Производство!$A$104:$A$145,Технологи!$B93,Производство!H$104:H$145)*$F93+$G93,0)</f>
        <v>0</v>
      </c>
      <c r="L93" s="46">
        <f t="array" ref="L93">IF(SUMIF(Производство!$A$104:$A$145,Технологи!$B93,Производство!I$104:I$145)&gt;0,SUMIF(Производство!$A$104:$A$145,Технологи!$B93,Производство!I$104:I$145)*$F93+$G93,0)</f>
        <v>0</v>
      </c>
      <c r="M93" s="46">
        <f t="array" ref="M93">IF(SUMIF(Производство!$A$104:$A$145,Технологи!$B93,Производство!J$104:J$145)&gt;0,SUMIF(Производство!$A$104:$A$145,Технологи!$B93,Производство!J$104:J$145)*$F93+$G93,0)</f>
        <v>0</v>
      </c>
      <c r="N93" s="46">
        <f t="array" ref="N93">IF(SUMIF(Производство!$A$104:$A$145,Технологи!$B93,Производство!K$104:K$145)&gt;0,SUMIF(Производство!$A$104:$A$145,Технологи!$B93,Производство!K$104:K$145)*$F93+$G93,0)</f>
        <v>0</v>
      </c>
      <c r="O93" s="46">
        <f t="array" ref="O93">IF(SUMIF(Производство!$A$104:$A$145,Технологи!$B93,Производство!L$104:L$145)&gt;0,SUMIF(Производство!$A$104:$A$145,Технологи!$B93,Производство!L$104:L$145)*$F93+$G93,0)</f>
        <v>0</v>
      </c>
      <c r="P93" s="46">
        <f t="array" ref="P93">IF(SUMIF(Производство!$A$104:$A$145,Технологи!$B93,Производство!M$104:M$145)&gt;0,SUMIF(Производство!$A$104:$A$145,Технологи!$B93,Производство!M$104:M$145)*$F93+$G93,0)</f>
        <v>0</v>
      </c>
      <c r="Q93" s="46">
        <f t="array" ref="Q93">IF(SUMIF(Производство!$A$104:$A$145,Технологи!$B93,Производство!N$104:N$145)&gt;0,SUMIF(Производство!$A$104:$A$145,Технологи!$B93,Производство!N$104:N$145)*$F93+$G93,0)</f>
        <v>0</v>
      </c>
      <c r="R93" s="46">
        <f t="array" ref="R93">IF(SUMIF(Производство!$A$104:$A$145,Технологи!$B93,Производство!O$104:O$145)&gt;0,SUMIF(Производство!$A$104:$A$145,Технологи!$B93,Производство!O$104:O$145)*$F93+$G93,0)</f>
        <v>0</v>
      </c>
      <c r="S93" s="46">
        <f t="array" ref="S93">IF(SUMIF(Производство!$A$104:$A$145,Технологи!$B93,Производство!P$104:P$145)&gt;0,SUMIF(Производство!$A$104:$A$145,Технологи!$B93,Производство!P$104:P$145)*$F93+$G93,0)</f>
        <v>0</v>
      </c>
      <c r="T93" s="46">
        <f t="array" ref="T93">IF(SUMIF(Производство!$A$104:$A$145,Технологи!$B93,Производство!Q$104:Q$145)&gt;0,SUMIF(Производство!$A$104:$A$145,Технологи!$B93,Производство!Q$104:Q$145)*$F93+$G93,0)</f>
        <v>0</v>
      </c>
    </row>
    <row r="94" spans="1:20" x14ac:dyDescent="0.25">
      <c r="A94" s="34" t="s">
        <v>377</v>
      </c>
      <c r="B94" s="13" t="s">
        <v>59</v>
      </c>
      <c r="C94" s="19" t="s">
        <v>22</v>
      </c>
      <c r="D94" s="14">
        <v>7038</v>
      </c>
      <c r="E94" s="20"/>
      <c r="F94" s="24">
        <v>0</v>
      </c>
      <c r="G94" s="24">
        <v>0</v>
      </c>
      <c r="H94" s="23">
        <f t="shared" si="4"/>
        <v>0</v>
      </c>
      <c r="I94" s="46">
        <f t="array" ref="I94">IF(SUMIF(Производство!$A$104:$A$145,Технологи!$B94,Производство!F$104:F$145)&gt;0,SUMIF(Производство!$A$104:$A$145,Технологи!$B94,Производство!F$104:F$145)*$F94+$G94,0)</f>
        <v>0</v>
      </c>
      <c r="J94" s="46">
        <f t="array" ref="J94">IF(SUMIF(Производство!$A$104:$A$145,Технологи!$B94,Производство!G$104:G$145)&gt;0,SUMIF(Производство!$A$104:$A$145,Технологи!$B94,Производство!G$104:G$145)*$F94+$G94,0)</f>
        <v>0</v>
      </c>
      <c r="K94" s="46">
        <f t="array" ref="K94">IF(SUMIF(Производство!$A$104:$A$145,Технологи!$B94,Производство!H$104:H$145)&gt;0,SUMIF(Производство!$A$104:$A$145,Технологи!$B94,Производство!H$104:H$145)*$F94+$G94,0)</f>
        <v>0</v>
      </c>
      <c r="L94" s="46">
        <f t="array" ref="L94">IF(SUMIF(Производство!$A$104:$A$145,Технологи!$B94,Производство!I$104:I$145)&gt;0,SUMIF(Производство!$A$104:$A$145,Технологи!$B94,Производство!I$104:I$145)*$F94+$G94,0)</f>
        <v>0</v>
      </c>
      <c r="M94" s="46">
        <f t="array" ref="M94">IF(SUMIF(Производство!$A$104:$A$145,Технологи!$B94,Производство!J$104:J$145)&gt;0,SUMIF(Производство!$A$104:$A$145,Технологи!$B94,Производство!J$104:J$145)*$F94+$G94,0)</f>
        <v>0</v>
      </c>
      <c r="N94" s="46">
        <f t="array" ref="N94">IF(SUMIF(Производство!$A$104:$A$145,Технологи!$B94,Производство!K$104:K$145)&gt;0,SUMIF(Производство!$A$104:$A$145,Технологи!$B94,Производство!K$104:K$145)*$F94+$G94,0)</f>
        <v>0</v>
      </c>
      <c r="O94" s="46">
        <f t="array" ref="O94">IF(SUMIF(Производство!$A$104:$A$145,Технологи!$B94,Производство!L$104:L$145)&gt;0,SUMIF(Производство!$A$104:$A$145,Технологи!$B94,Производство!L$104:L$145)*$F94+$G94,0)</f>
        <v>0</v>
      </c>
      <c r="P94" s="46">
        <f t="array" ref="P94">IF(SUMIF(Производство!$A$104:$A$145,Технологи!$B94,Производство!M$104:M$145)&gt;0,SUMIF(Производство!$A$104:$A$145,Технологи!$B94,Производство!M$104:M$145)*$F94+$G94,0)</f>
        <v>0</v>
      </c>
      <c r="Q94" s="46">
        <f t="array" ref="Q94">IF(SUMIF(Производство!$A$104:$A$145,Технологи!$B94,Производство!N$104:N$145)&gt;0,SUMIF(Производство!$A$104:$A$145,Технологи!$B94,Производство!N$104:N$145)*$F94+$G94,0)</f>
        <v>0</v>
      </c>
      <c r="R94" s="46">
        <f t="array" ref="R94">IF(SUMIF(Производство!$A$104:$A$145,Технологи!$B94,Производство!O$104:O$145)&gt;0,SUMIF(Производство!$A$104:$A$145,Технологи!$B94,Производство!O$104:O$145)*$F94+$G94,0)</f>
        <v>0</v>
      </c>
      <c r="S94" s="46">
        <f t="array" ref="S94">IF(SUMIF(Производство!$A$104:$A$145,Технологи!$B94,Производство!P$104:P$145)&gt;0,SUMIF(Производство!$A$104:$A$145,Технологи!$B94,Производство!P$104:P$145)*$F94+$G94,0)</f>
        <v>0</v>
      </c>
      <c r="T94" s="46">
        <f t="array" ref="T94">IF(SUMIF(Производство!$A$104:$A$145,Технологи!$B94,Производство!Q$104:Q$145)&gt;0,SUMIF(Производство!$A$104:$A$145,Технологи!$B94,Производство!Q$104:Q$145)*$F94+$G94,0)</f>
        <v>0</v>
      </c>
    </row>
    <row r="95" spans="1:20" x14ac:dyDescent="0.25">
      <c r="A95" s="34" t="s">
        <v>377</v>
      </c>
      <c r="B95" s="13" t="s">
        <v>59</v>
      </c>
      <c r="C95" s="19" t="s">
        <v>23</v>
      </c>
      <c r="D95" s="14">
        <v>7038</v>
      </c>
      <c r="E95" s="20"/>
      <c r="F95" s="24">
        <v>0</v>
      </c>
      <c r="G95" s="24">
        <v>0</v>
      </c>
      <c r="H95" s="23">
        <f t="shared" si="4"/>
        <v>0</v>
      </c>
      <c r="I95" s="46">
        <f t="array" ref="I95">IF(SUMIF(Производство!$A$104:$A$145,Технологи!$B95,Производство!F$104:F$145)&gt;0,SUMIF(Производство!$A$104:$A$145,Технологи!$B95,Производство!F$104:F$145)*$F95+$G95,0)</f>
        <v>0</v>
      </c>
      <c r="J95" s="46">
        <f t="array" ref="J95">IF(SUMIF(Производство!$A$104:$A$145,Технологи!$B95,Производство!G$104:G$145)&gt;0,SUMIF(Производство!$A$104:$A$145,Технологи!$B95,Производство!G$104:G$145)*$F95+$G95,0)</f>
        <v>0</v>
      </c>
      <c r="K95" s="46">
        <f t="array" ref="K95">IF(SUMIF(Производство!$A$104:$A$145,Технологи!$B95,Производство!H$104:H$145)&gt;0,SUMIF(Производство!$A$104:$A$145,Технологи!$B95,Производство!H$104:H$145)*$F95+$G95,0)</f>
        <v>0</v>
      </c>
      <c r="L95" s="46">
        <f t="array" ref="L95">IF(SUMIF(Производство!$A$104:$A$145,Технологи!$B95,Производство!I$104:I$145)&gt;0,SUMIF(Производство!$A$104:$A$145,Технологи!$B95,Производство!I$104:I$145)*$F95+$G95,0)</f>
        <v>0</v>
      </c>
      <c r="M95" s="46">
        <f t="array" ref="M95">IF(SUMIF(Производство!$A$104:$A$145,Технологи!$B95,Производство!J$104:J$145)&gt;0,SUMIF(Производство!$A$104:$A$145,Технологи!$B95,Производство!J$104:J$145)*$F95+$G95,0)</f>
        <v>0</v>
      </c>
      <c r="N95" s="46">
        <f t="array" ref="N95">IF(SUMIF(Производство!$A$104:$A$145,Технологи!$B95,Производство!K$104:K$145)&gt;0,SUMIF(Производство!$A$104:$A$145,Технологи!$B95,Производство!K$104:K$145)*$F95+$G95,0)</f>
        <v>0</v>
      </c>
      <c r="O95" s="46">
        <f t="array" ref="O95">IF(SUMIF(Производство!$A$104:$A$145,Технологи!$B95,Производство!L$104:L$145)&gt;0,SUMIF(Производство!$A$104:$A$145,Технологи!$B95,Производство!L$104:L$145)*$F95+$G95,0)</f>
        <v>0</v>
      </c>
      <c r="P95" s="46">
        <f t="array" ref="P95">IF(SUMIF(Производство!$A$104:$A$145,Технологи!$B95,Производство!M$104:M$145)&gt;0,SUMIF(Производство!$A$104:$A$145,Технологи!$B95,Производство!M$104:M$145)*$F95+$G95,0)</f>
        <v>0</v>
      </c>
      <c r="Q95" s="46">
        <f t="array" ref="Q95">IF(SUMIF(Производство!$A$104:$A$145,Технологи!$B95,Производство!N$104:N$145)&gt;0,SUMIF(Производство!$A$104:$A$145,Технологи!$B95,Производство!N$104:N$145)*$F95+$G95,0)</f>
        <v>0</v>
      </c>
      <c r="R95" s="46">
        <f t="array" ref="R95">IF(SUMIF(Производство!$A$104:$A$145,Технологи!$B95,Производство!O$104:O$145)&gt;0,SUMIF(Производство!$A$104:$A$145,Технологи!$B95,Производство!O$104:O$145)*$F95+$G95,0)</f>
        <v>0</v>
      </c>
      <c r="S95" s="46">
        <f t="array" ref="S95">IF(SUMIF(Производство!$A$104:$A$145,Технологи!$B95,Производство!P$104:P$145)&gt;0,SUMIF(Производство!$A$104:$A$145,Технологи!$B95,Производство!P$104:P$145)*$F95+$G95,0)</f>
        <v>0</v>
      </c>
      <c r="T95" s="46">
        <f t="array" ref="T95">IF(SUMIF(Производство!$A$104:$A$145,Технологи!$B95,Производство!Q$104:Q$145)&gt;0,SUMIF(Производство!$A$104:$A$145,Технологи!$B95,Производство!Q$104:Q$145)*$F95+$G95,0)</f>
        <v>0</v>
      </c>
    </row>
    <row r="96" spans="1:20" x14ac:dyDescent="0.25">
      <c r="A96" s="34" t="s">
        <v>377</v>
      </c>
      <c r="B96" s="13" t="s">
        <v>60</v>
      </c>
      <c r="C96" s="15" t="s">
        <v>11</v>
      </c>
      <c r="D96" s="14">
        <v>7038</v>
      </c>
      <c r="E96" s="16">
        <v>0.63800000000000001</v>
      </c>
      <c r="F96" s="22">
        <f>SUM(F97:F108)</f>
        <v>0.63933108490836121</v>
      </c>
      <c r="G96" s="22">
        <f>SUM(G97:G108)</f>
        <v>38.259092600000002</v>
      </c>
      <c r="H96" s="23">
        <f t="shared" si="4"/>
        <v>639.33108490836116</v>
      </c>
      <c r="I96" s="46">
        <f t="array" ref="I96">IF(SUMIF(Производство!$A$104:$A$145,Технологи!$B96,Производство!F$104:F$145)&gt;0,SUMIF(Производство!$A$104:$A$145,Технологи!$B96,Производство!F$104:F$145)*$F96+$G96,0)</f>
        <v>356.64597288436391</v>
      </c>
      <c r="J96" s="46">
        <f t="array" ref="J96">IF(SUMIF(Производство!$A$104:$A$145,Технологи!$B96,Производство!G$104:G$145)&gt;0,SUMIF(Производство!$A$104:$A$145,Технологи!$B96,Производство!G$104:G$145)*$F96+$G96,0)</f>
        <v>137.99474184570437</v>
      </c>
      <c r="K96" s="46">
        <f t="array" ref="K96">IF(SUMIF(Производство!$A$104:$A$145,Технологи!$B96,Производство!H$104:H$145)&gt;0,SUMIF(Производство!$A$104:$A$145,Технологи!$B96,Производство!H$104:H$145)*$F96+$G96,0)</f>
        <v>0</v>
      </c>
      <c r="L96" s="46">
        <f t="array" ref="L96">IF(SUMIF(Производство!$A$104:$A$145,Технологи!$B96,Производство!I$104:I$145)&gt;0,SUMIF(Производство!$A$104:$A$145,Технологи!$B96,Производство!I$104:I$145)*$F96+$G96,0)</f>
        <v>0</v>
      </c>
      <c r="M96" s="46">
        <f t="array" ref="M96">IF(SUMIF(Производство!$A$104:$A$145,Технологи!$B96,Производство!J$104:J$145)&gt;0,SUMIF(Производство!$A$104:$A$145,Технологи!$B96,Производство!J$104:J$145)*$F96+$G96,0)</f>
        <v>0</v>
      </c>
      <c r="N96" s="46">
        <f t="array" ref="N96">IF(SUMIF(Производство!$A$104:$A$145,Технологи!$B96,Производство!K$104:K$145)&gt;0,SUMIF(Производство!$A$104:$A$145,Технологи!$B96,Производство!K$104:K$145)*$F96+$G96,0)</f>
        <v>0</v>
      </c>
      <c r="O96" s="46">
        <f t="array" ref="O96">IF(SUMIF(Производство!$A$104:$A$145,Технологи!$B96,Производство!L$104:L$145)&gt;0,SUMIF(Производство!$A$104:$A$145,Технологи!$B96,Производство!L$104:L$145)*$F96+$G96,0)</f>
        <v>0</v>
      </c>
      <c r="P96" s="46">
        <f t="array" ref="P96">IF(SUMIF(Производство!$A$104:$A$145,Технологи!$B96,Производство!M$104:M$145)&gt;0,SUMIF(Производство!$A$104:$A$145,Технологи!$B96,Производство!M$104:M$145)*$F96+$G96,0)</f>
        <v>0</v>
      </c>
      <c r="Q96" s="46">
        <f t="array" ref="Q96">IF(SUMIF(Производство!$A$104:$A$145,Технологи!$B96,Производство!N$104:N$145)&gt;0,SUMIF(Производство!$A$104:$A$145,Технологи!$B96,Производство!N$104:N$145)*$F96+$G96,0)</f>
        <v>0</v>
      </c>
      <c r="R96" s="46">
        <f t="array" ref="R96">IF(SUMIF(Производство!$A$104:$A$145,Технологи!$B96,Производство!O$104:O$145)&gt;0,SUMIF(Производство!$A$104:$A$145,Технологи!$B96,Производство!O$104:O$145)*$F96+$G96,0)</f>
        <v>0</v>
      </c>
      <c r="S96" s="46">
        <f t="array" ref="S96">IF(SUMIF(Производство!$A$104:$A$145,Технологи!$B96,Производство!P$104:P$145)&gt;0,SUMIF(Производство!$A$104:$A$145,Технологи!$B96,Производство!P$104:P$145)*$F96+$G96,0)</f>
        <v>0</v>
      </c>
      <c r="T96" s="46">
        <f t="array" ref="T96">IF(SUMIF(Производство!$A$104:$A$145,Технологи!$B96,Производство!Q$104:Q$145)&gt;0,SUMIF(Производство!$A$104:$A$145,Технологи!$B96,Производство!Q$104:Q$145)*$F96+$G96,0)</f>
        <v>0</v>
      </c>
    </row>
    <row r="97" spans="1:20" x14ac:dyDescent="0.25">
      <c r="A97" s="34" t="s">
        <v>377</v>
      </c>
      <c r="B97" s="13" t="s">
        <v>60</v>
      </c>
      <c r="C97" s="19" t="s">
        <v>12</v>
      </c>
      <c r="D97" s="14">
        <v>7038</v>
      </c>
      <c r="E97" s="20"/>
      <c r="F97" s="24">
        <v>0.17153353444816052</v>
      </c>
      <c r="G97" s="24">
        <v>18.911000966183572</v>
      </c>
      <c r="H97" s="23">
        <f t="shared" si="4"/>
        <v>171.53353444816054</v>
      </c>
      <c r="I97" s="46">
        <f t="array" ref="I97">IF(SUMIF(Производство!$A$104:$A$145,Технологи!$B97,Производство!F$104:F$145)&gt;0,SUMIF(Производство!$A$104:$A$145,Технологи!$B97,Производство!F$104:F$145)*$F97+$G97,0)</f>
        <v>104.33470112136752</v>
      </c>
      <c r="J97" s="46">
        <f t="array" ref="J97">IF(SUMIF(Производство!$A$104:$A$145,Технологи!$B97,Производство!G$104:G$145)&gt;0,SUMIF(Производство!$A$104:$A$145,Технологи!$B97,Производство!G$104:G$145)*$F97+$G97,0)</f>
        <v>45.670232340096618</v>
      </c>
      <c r="K97" s="46">
        <f t="array" ref="K97">IF(SUMIF(Производство!$A$104:$A$145,Технологи!$B97,Производство!H$104:H$145)&gt;0,SUMIF(Производство!$A$104:$A$145,Технологи!$B97,Производство!H$104:H$145)*$F97+$G97,0)</f>
        <v>0</v>
      </c>
      <c r="L97" s="46">
        <f t="array" ref="L97">IF(SUMIF(Производство!$A$104:$A$145,Технологи!$B97,Производство!I$104:I$145)&gt;0,SUMIF(Производство!$A$104:$A$145,Технологи!$B97,Производство!I$104:I$145)*$F97+$G97,0)</f>
        <v>0</v>
      </c>
      <c r="M97" s="46">
        <f t="array" ref="M97">IF(SUMIF(Производство!$A$104:$A$145,Технологи!$B97,Производство!J$104:J$145)&gt;0,SUMIF(Производство!$A$104:$A$145,Технологи!$B97,Производство!J$104:J$145)*$F97+$G97,0)</f>
        <v>0</v>
      </c>
      <c r="N97" s="46">
        <f t="array" ref="N97">IF(SUMIF(Производство!$A$104:$A$145,Технологи!$B97,Производство!K$104:K$145)&gt;0,SUMIF(Производство!$A$104:$A$145,Технологи!$B97,Производство!K$104:K$145)*$F97+$G97,0)</f>
        <v>0</v>
      </c>
      <c r="O97" s="46">
        <f t="array" ref="O97">IF(SUMIF(Производство!$A$104:$A$145,Технологи!$B97,Производство!L$104:L$145)&gt;0,SUMIF(Производство!$A$104:$A$145,Технологи!$B97,Производство!L$104:L$145)*$F97+$G97,0)</f>
        <v>0</v>
      </c>
      <c r="P97" s="46">
        <f t="array" ref="P97">IF(SUMIF(Производство!$A$104:$A$145,Технологи!$B97,Производство!M$104:M$145)&gt;0,SUMIF(Производство!$A$104:$A$145,Технологи!$B97,Производство!M$104:M$145)*$F97+$G97,0)</f>
        <v>0</v>
      </c>
      <c r="Q97" s="46">
        <f t="array" ref="Q97">IF(SUMIF(Производство!$A$104:$A$145,Технологи!$B97,Производство!N$104:N$145)&gt;0,SUMIF(Производство!$A$104:$A$145,Технологи!$B97,Производство!N$104:N$145)*$F97+$G97,0)</f>
        <v>0</v>
      </c>
      <c r="R97" s="46">
        <f t="array" ref="R97">IF(SUMIF(Производство!$A$104:$A$145,Технологи!$B97,Производство!O$104:O$145)&gt;0,SUMIF(Производство!$A$104:$A$145,Технологи!$B97,Производство!O$104:O$145)*$F97+$G97,0)</f>
        <v>0</v>
      </c>
      <c r="S97" s="46">
        <f t="array" ref="S97">IF(SUMIF(Производство!$A$104:$A$145,Технологи!$B97,Производство!P$104:P$145)&gt;0,SUMIF(Производство!$A$104:$A$145,Технологи!$B97,Производство!P$104:P$145)*$F97+$G97,0)</f>
        <v>0</v>
      </c>
      <c r="T97" s="46">
        <f t="array" ref="T97">IF(SUMIF(Производство!$A$104:$A$145,Технологи!$B97,Производство!Q$104:Q$145)&gt;0,SUMIF(Производство!$A$104:$A$145,Технологи!$B97,Производство!Q$104:Q$145)*$F97+$G97,0)</f>
        <v>0</v>
      </c>
    </row>
    <row r="98" spans="1:20" x14ac:dyDescent="0.25">
      <c r="A98" s="34" t="s">
        <v>377</v>
      </c>
      <c r="B98" s="13" t="s">
        <v>60</v>
      </c>
      <c r="C98" s="19" t="s">
        <v>13</v>
      </c>
      <c r="D98" s="14">
        <v>7038</v>
      </c>
      <c r="E98" s="20"/>
      <c r="F98" s="24">
        <v>5.1716080535117059E-2</v>
      </c>
      <c r="G98" s="24">
        <v>5.6733002898550717</v>
      </c>
      <c r="H98" s="23">
        <f t="shared" si="4"/>
        <v>51.716080535117058</v>
      </c>
      <c r="I98" s="46">
        <f t="array" ref="I98">IF(SUMIF(Производство!$A$104:$A$145,Технологи!$B98,Производство!F$104:F$145)&gt;0,SUMIF(Производство!$A$104:$A$145,Технологи!$B98,Производство!F$104:F$145)*$F98+$G98,0)</f>
        <v>31.427908396343366</v>
      </c>
      <c r="J98" s="46">
        <f t="array" ref="J98">IF(SUMIF(Производство!$A$104:$A$145,Технологи!$B98,Производство!G$104:G$145)&gt;0,SUMIF(Производство!$A$104:$A$145,Технологи!$B98,Производство!G$104:G$145)*$F98+$G98,0)</f>
        <v>13.741008853333334</v>
      </c>
      <c r="K98" s="46">
        <f t="array" ref="K98">IF(SUMIF(Производство!$A$104:$A$145,Технологи!$B98,Производство!H$104:H$145)&gt;0,SUMIF(Производство!$A$104:$A$145,Технологи!$B98,Производство!H$104:H$145)*$F98+$G98,0)</f>
        <v>0</v>
      </c>
      <c r="L98" s="46">
        <f t="array" ref="L98">IF(SUMIF(Производство!$A$104:$A$145,Технологи!$B98,Производство!I$104:I$145)&gt;0,SUMIF(Производство!$A$104:$A$145,Технологи!$B98,Производство!I$104:I$145)*$F98+$G98,0)</f>
        <v>0</v>
      </c>
      <c r="M98" s="46">
        <f t="array" ref="M98">IF(SUMIF(Производство!$A$104:$A$145,Технологи!$B98,Производство!J$104:J$145)&gt;0,SUMIF(Производство!$A$104:$A$145,Технологи!$B98,Производство!J$104:J$145)*$F98+$G98,0)</f>
        <v>0</v>
      </c>
      <c r="N98" s="46">
        <f t="array" ref="N98">IF(SUMIF(Производство!$A$104:$A$145,Технологи!$B98,Производство!K$104:K$145)&gt;0,SUMIF(Производство!$A$104:$A$145,Технологи!$B98,Производство!K$104:K$145)*$F98+$G98,0)</f>
        <v>0</v>
      </c>
      <c r="O98" s="46">
        <f t="array" ref="O98">IF(SUMIF(Производство!$A$104:$A$145,Технологи!$B98,Производство!L$104:L$145)&gt;0,SUMIF(Производство!$A$104:$A$145,Технологи!$B98,Производство!L$104:L$145)*$F98+$G98,0)</f>
        <v>0</v>
      </c>
      <c r="P98" s="46">
        <f t="array" ref="P98">IF(SUMIF(Производство!$A$104:$A$145,Технологи!$B98,Производство!M$104:M$145)&gt;0,SUMIF(Производство!$A$104:$A$145,Технологи!$B98,Производство!M$104:M$145)*$F98+$G98,0)</f>
        <v>0</v>
      </c>
      <c r="Q98" s="46">
        <f t="array" ref="Q98">IF(SUMIF(Производство!$A$104:$A$145,Технологи!$B98,Производство!N$104:N$145)&gt;0,SUMIF(Производство!$A$104:$A$145,Технологи!$B98,Производство!N$104:N$145)*$F98+$G98,0)</f>
        <v>0</v>
      </c>
      <c r="R98" s="46">
        <f t="array" ref="R98">IF(SUMIF(Производство!$A$104:$A$145,Технологи!$B98,Производство!O$104:O$145)&gt;0,SUMIF(Производство!$A$104:$A$145,Технологи!$B98,Производство!O$104:O$145)*$F98+$G98,0)</f>
        <v>0</v>
      </c>
      <c r="S98" s="46">
        <f t="array" ref="S98">IF(SUMIF(Производство!$A$104:$A$145,Технологи!$B98,Производство!P$104:P$145)&gt;0,SUMIF(Производство!$A$104:$A$145,Технологи!$B98,Производство!P$104:P$145)*$F98+$G98,0)</f>
        <v>0</v>
      </c>
      <c r="T98" s="46">
        <f t="array" ref="T98">IF(SUMIF(Производство!$A$104:$A$145,Технологи!$B98,Производство!Q$104:Q$145)&gt;0,SUMIF(Производство!$A$104:$A$145,Технологи!$B98,Производство!Q$104:Q$145)*$F98+$G98,0)</f>
        <v>0</v>
      </c>
    </row>
    <row r="99" spans="1:20" x14ac:dyDescent="0.25">
      <c r="A99" s="34" t="s">
        <v>377</v>
      </c>
      <c r="B99" s="13" t="s">
        <v>60</v>
      </c>
      <c r="C99" s="19" t="s">
        <v>14</v>
      </c>
      <c r="D99" s="14">
        <v>7038</v>
      </c>
      <c r="E99" s="20"/>
      <c r="F99" s="24">
        <v>5.1716080535117053E-4</v>
      </c>
      <c r="G99" s="24">
        <v>5.6733002898550718E-2</v>
      </c>
      <c r="H99" s="23">
        <f t="shared" si="4"/>
        <v>0.51716080535117048</v>
      </c>
      <c r="I99" s="46">
        <f t="array" ref="I99">IF(SUMIF(Производство!$A$104:$A$145,Технологи!$B99,Производство!F$104:F$145)&gt;0,SUMIF(Производство!$A$104:$A$145,Технологи!$B99,Производство!F$104:F$145)*$F99+$G99,0)</f>
        <v>0.31427908396343363</v>
      </c>
      <c r="J99" s="46">
        <f t="array" ref="J99">IF(SUMIF(Производство!$A$104:$A$145,Технологи!$B99,Производство!G$104:G$145)&gt;0,SUMIF(Производство!$A$104:$A$145,Технологи!$B99,Производство!G$104:G$145)*$F99+$G99,0)</f>
        <v>0.13741008853333331</v>
      </c>
      <c r="K99" s="46">
        <f t="array" ref="K99">IF(SUMIF(Производство!$A$104:$A$145,Технологи!$B99,Производство!H$104:H$145)&gt;0,SUMIF(Производство!$A$104:$A$145,Технологи!$B99,Производство!H$104:H$145)*$F99+$G99,0)</f>
        <v>0</v>
      </c>
      <c r="L99" s="46">
        <f t="array" ref="L99">IF(SUMIF(Производство!$A$104:$A$145,Технологи!$B99,Производство!I$104:I$145)&gt;0,SUMIF(Производство!$A$104:$A$145,Технологи!$B99,Производство!I$104:I$145)*$F99+$G99,0)</f>
        <v>0</v>
      </c>
      <c r="M99" s="46">
        <f t="array" ref="M99">IF(SUMIF(Производство!$A$104:$A$145,Технологи!$B99,Производство!J$104:J$145)&gt;0,SUMIF(Производство!$A$104:$A$145,Технологи!$B99,Производство!J$104:J$145)*$F99+$G99,0)</f>
        <v>0</v>
      </c>
      <c r="N99" s="46">
        <f t="array" ref="N99">IF(SUMIF(Производство!$A$104:$A$145,Технологи!$B99,Производство!K$104:K$145)&gt;0,SUMIF(Производство!$A$104:$A$145,Технологи!$B99,Производство!K$104:K$145)*$F99+$G99,0)</f>
        <v>0</v>
      </c>
      <c r="O99" s="46">
        <f t="array" ref="O99">IF(SUMIF(Производство!$A$104:$A$145,Технологи!$B99,Производство!L$104:L$145)&gt;0,SUMIF(Производство!$A$104:$A$145,Технологи!$B99,Производство!L$104:L$145)*$F99+$G99,0)</f>
        <v>0</v>
      </c>
      <c r="P99" s="46">
        <f t="array" ref="P99">IF(SUMIF(Производство!$A$104:$A$145,Технологи!$B99,Производство!M$104:M$145)&gt;0,SUMIF(Производство!$A$104:$A$145,Технологи!$B99,Производство!M$104:M$145)*$F99+$G99,0)</f>
        <v>0</v>
      </c>
      <c r="Q99" s="46">
        <f t="array" ref="Q99">IF(SUMIF(Производство!$A$104:$A$145,Технологи!$B99,Производство!N$104:N$145)&gt;0,SUMIF(Производство!$A$104:$A$145,Технологи!$B99,Производство!N$104:N$145)*$F99+$G99,0)</f>
        <v>0</v>
      </c>
      <c r="R99" s="46">
        <f t="array" ref="R99">IF(SUMIF(Производство!$A$104:$A$145,Технологи!$B99,Производство!O$104:O$145)&gt;0,SUMIF(Производство!$A$104:$A$145,Технологи!$B99,Производство!O$104:O$145)*$F99+$G99,0)</f>
        <v>0</v>
      </c>
      <c r="S99" s="46">
        <f t="array" ref="S99">IF(SUMIF(Производство!$A$104:$A$145,Технологи!$B99,Производство!P$104:P$145)&gt;0,SUMIF(Производство!$A$104:$A$145,Технологи!$B99,Производство!P$104:P$145)*$F99+$G99,0)</f>
        <v>0</v>
      </c>
      <c r="T99" s="46">
        <f t="array" ref="T99">IF(SUMIF(Производство!$A$104:$A$145,Технологи!$B99,Производство!Q$104:Q$145)&gt;0,SUMIF(Производство!$A$104:$A$145,Технологи!$B99,Производство!Q$104:Q$145)*$F99+$G99,0)</f>
        <v>0</v>
      </c>
    </row>
    <row r="100" spans="1:20" x14ac:dyDescent="0.25">
      <c r="A100" s="34" t="s">
        <v>377</v>
      </c>
      <c r="B100" s="13" t="s">
        <v>60</v>
      </c>
      <c r="C100" s="19" t="s">
        <v>15</v>
      </c>
      <c r="D100" s="14">
        <v>7038</v>
      </c>
      <c r="E100" s="20"/>
      <c r="F100" s="24">
        <v>2.5858040267558527E-4</v>
      </c>
      <c r="G100" s="24">
        <v>2.8366501449275359E-2</v>
      </c>
      <c r="H100" s="23">
        <f t="shared" si="4"/>
        <v>0.25858040267558524</v>
      </c>
      <c r="I100" s="46">
        <f t="array" ref="I100">IF(SUMIF(Производство!$A$104:$A$145,Технологи!$B100,Производство!F$104:F$145)&gt;0,SUMIF(Производство!$A$104:$A$145,Технологи!$B100,Производство!F$104:F$145)*$F100+$G100,0)</f>
        <v>0.15713954198171681</v>
      </c>
      <c r="J100" s="46">
        <f t="array" ref="J100">IF(SUMIF(Производство!$A$104:$A$145,Технологи!$B100,Производство!G$104:G$145)&gt;0,SUMIF(Производство!$A$104:$A$145,Технологи!$B100,Производство!G$104:G$145)*$F100+$G100,0)</f>
        <v>6.8705044266666654E-2</v>
      </c>
      <c r="K100" s="46">
        <f t="array" ref="K100">IF(SUMIF(Производство!$A$104:$A$145,Технологи!$B100,Производство!H$104:H$145)&gt;0,SUMIF(Производство!$A$104:$A$145,Технологи!$B100,Производство!H$104:H$145)*$F100+$G100,0)</f>
        <v>0</v>
      </c>
      <c r="L100" s="46">
        <f t="array" ref="L100">IF(SUMIF(Производство!$A$104:$A$145,Технологи!$B100,Производство!I$104:I$145)&gt;0,SUMIF(Производство!$A$104:$A$145,Технологи!$B100,Производство!I$104:I$145)*$F100+$G100,0)</f>
        <v>0</v>
      </c>
      <c r="M100" s="46">
        <f t="array" ref="M100">IF(SUMIF(Производство!$A$104:$A$145,Технологи!$B100,Производство!J$104:J$145)&gt;0,SUMIF(Производство!$A$104:$A$145,Технологи!$B100,Производство!J$104:J$145)*$F100+$G100,0)</f>
        <v>0</v>
      </c>
      <c r="N100" s="46">
        <f t="array" ref="N100">IF(SUMIF(Производство!$A$104:$A$145,Технологи!$B100,Производство!K$104:K$145)&gt;0,SUMIF(Производство!$A$104:$A$145,Технологи!$B100,Производство!K$104:K$145)*$F100+$G100,0)</f>
        <v>0</v>
      </c>
      <c r="O100" s="46">
        <f t="array" ref="O100">IF(SUMIF(Производство!$A$104:$A$145,Технологи!$B100,Производство!L$104:L$145)&gt;0,SUMIF(Производство!$A$104:$A$145,Технологи!$B100,Производство!L$104:L$145)*$F100+$G100,0)</f>
        <v>0</v>
      </c>
      <c r="P100" s="46">
        <f t="array" ref="P100">IF(SUMIF(Производство!$A$104:$A$145,Технологи!$B100,Производство!M$104:M$145)&gt;0,SUMIF(Производство!$A$104:$A$145,Технологи!$B100,Производство!M$104:M$145)*$F100+$G100,0)</f>
        <v>0</v>
      </c>
      <c r="Q100" s="46">
        <f t="array" ref="Q100">IF(SUMIF(Производство!$A$104:$A$145,Технологи!$B100,Производство!N$104:N$145)&gt;0,SUMIF(Производство!$A$104:$A$145,Технологи!$B100,Производство!N$104:N$145)*$F100+$G100,0)</f>
        <v>0</v>
      </c>
      <c r="R100" s="46">
        <f t="array" ref="R100">IF(SUMIF(Производство!$A$104:$A$145,Технологи!$B100,Производство!O$104:O$145)&gt;0,SUMIF(Производство!$A$104:$A$145,Технологи!$B100,Производство!O$104:O$145)*$F100+$G100,0)</f>
        <v>0</v>
      </c>
      <c r="S100" s="46">
        <f t="array" ref="S100">IF(SUMIF(Производство!$A$104:$A$145,Технологи!$B100,Производство!P$104:P$145)&gt;0,SUMIF(Производство!$A$104:$A$145,Технологи!$B100,Производство!P$104:P$145)*$F100+$G100,0)</f>
        <v>0</v>
      </c>
      <c r="T100" s="46">
        <f t="array" ref="T100">IF(SUMIF(Производство!$A$104:$A$145,Технологи!$B100,Производство!Q$104:Q$145)&gt;0,SUMIF(Производство!$A$104:$A$145,Технологи!$B100,Производство!Q$104:Q$145)*$F100+$G100,0)</f>
        <v>0</v>
      </c>
    </row>
    <row r="101" spans="1:20" x14ac:dyDescent="0.25">
      <c r="A101" s="34" t="s">
        <v>377</v>
      </c>
      <c r="B101" s="13" t="s">
        <v>60</v>
      </c>
      <c r="C101" s="19" t="s">
        <v>16</v>
      </c>
      <c r="D101" s="14">
        <v>7038</v>
      </c>
      <c r="E101" s="20"/>
      <c r="F101" s="24">
        <v>3.4306706889632109E-3</v>
      </c>
      <c r="G101" s="24">
        <v>0.37822001932367144</v>
      </c>
      <c r="H101" s="23">
        <f t="shared" si="4"/>
        <v>3.430670688963211</v>
      </c>
      <c r="I101" s="46">
        <f t="array" ref="I101">IF(SUMIF(Производство!$A$104:$A$145,Технологи!$B101,Производство!F$104:F$145)&gt;0,SUMIF(Производство!$A$104:$A$145,Технологи!$B101,Производство!F$104:F$145)*$F101+$G101,0)</f>
        <v>2.0866940224273507</v>
      </c>
      <c r="J101" s="46">
        <f t="array" ref="J101">IF(SUMIF(Производство!$A$104:$A$145,Технологи!$B101,Производство!G$104:G$145)&gt;0,SUMIF(Производство!$A$104:$A$145,Технологи!$B101,Производство!G$104:G$145)*$F101+$G101,0)</f>
        <v>0.91340464680193234</v>
      </c>
      <c r="K101" s="46">
        <f t="array" ref="K101">IF(SUMIF(Производство!$A$104:$A$145,Технологи!$B101,Производство!H$104:H$145)&gt;0,SUMIF(Производство!$A$104:$A$145,Технологи!$B101,Производство!H$104:H$145)*$F101+$G101,0)</f>
        <v>0</v>
      </c>
      <c r="L101" s="46">
        <f t="array" ref="L101">IF(SUMIF(Производство!$A$104:$A$145,Технологи!$B101,Производство!I$104:I$145)&gt;0,SUMIF(Производство!$A$104:$A$145,Технологи!$B101,Производство!I$104:I$145)*$F101+$G101,0)</f>
        <v>0</v>
      </c>
      <c r="M101" s="46">
        <f t="array" ref="M101">IF(SUMIF(Производство!$A$104:$A$145,Технологи!$B101,Производство!J$104:J$145)&gt;0,SUMIF(Производство!$A$104:$A$145,Технологи!$B101,Производство!J$104:J$145)*$F101+$G101,0)</f>
        <v>0</v>
      </c>
      <c r="N101" s="46">
        <f t="array" ref="N101">IF(SUMIF(Производство!$A$104:$A$145,Технологи!$B101,Производство!K$104:K$145)&gt;0,SUMIF(Производство!$A$104:$A$145,Технологи!$B101,Производство!K$104:K$145)*$F101+$G101,0)</f>
        <v>0</v>
      </c>
      <c r="O101" s="46">
        <f t="array" ref="O101">IF(SUMIF(Производство!$A$104:$A$145,Технологи!$B101,Производство!L$104:L$145)&gt;0,SUMIF(Производство!$A$104:$A$145,Технологи!$B101,Производство!L$104:L$145)*$F101+$G101,0)</f>
        <v>0</v>
      </c>
      <c r="P101" s="46">
        <f t="array" ref="P101">IF(SUMIF(Производство!$A$104:$A$145,Технологи!$B101,Производство!M$104:M$145)&gt;0,SUMIF(Производство!$A$104:$A$145,Технологи!$B101,Производство!M$104:M$145)*$F101+$G101,0)</f>
        <v>0</v>
      </c>
      <c r="Q101" s="46">
        <f t="array" ref="Q101">IF(SUMIF(Производство!$A$104:$A$145,Технологи!$B101,Производство!N$104:N$145)&gt;0,SUMIF(Производство!$A$104:$A$145,Технологи!$B101,Производство!N$104:N$145)*$F101+$G101,0)</f>
        <v>0</v>
      </c>
      <c r="R101" s="46">
        <f t="array" ref="R101">IF(SUMIF(Производство!$A$104:$A$145,Технологи!$B101,Производство!O$104:O$145)&gt;0,SUMIF(Производство!$A$104:$A$145,Технологи!$B101,Производство!O$104:O$145)*$F101+$G101,0)</f>
        <v>0</v>
      </c>
      <c r="S101" s="46">
        <f t="array" ref="S101">IF(SUMIF(Производство!$A$104:$A$145,Технологи!$B101,Производство!P$104:P$145)&gt;0,SUMIF(Производство!$A$104:$A$145,Технологи!$B101,Производство!P$104:P$145)*$F101+$G101,0)</f>
        <v>0</v>
      </c>
      <c r="T101" s="46">
        <f t="array" ref="T101">IF(SUMIF(Производство!$A$104:$A$145,Технологи!$B101,Производство!Q$104:Q$145)&gt;0,SUMIF(Производство!$A$104:$A$145,Технологи!$B101,Производство!Q$104:Q$145)*$F101+$G101,0)</f>
        <v>0</v>
      </c>
    </row>
    <row r="102" spans="1:20" x14ac:dyDescent="0.25">
      <c r="A102" s="34" t="s">
        <v>377</v>
      </c>
      <c r="B102" s="13" t="s">
        <v>60</v>
      </c>
      <c r="C102" s="19" t="s">
        <v>17</v>
      </c>
      <c r="D102" s="14">
        <v>7038</v>
      </c>
      <c r="E102" s="20"/>
      <c r="F102" s="24">
        <v>1.8962562862876258E-3</v>
      </c>
      <c r="G102" s="24">
        <v>0.20802101062801934</v>
      </c>
      <c r="H102" s="23">
        <f t="shared" si="4"/>
        <v>1.8962562862876258</v>
      </c>
      <c r="I102" s="46">
        <f t="array" ref="I102">IF(SUMIF(Производство!$A$104:$A$145,Технологи!$B102,Производство!F$104:F$145)&gt;0,SUMIF(Производство!$A$104:$A$145,Технологи!$B102,Производство!F$104:F$145)*$F102+$G102,0)</f>
        <v>1.152356641199257</v>
      </c>
      <c r="J102" s="46">
        <f t="array" ref="J102">IF(SUMIF(Производство!$A$104:$A$145,Технологи!$B102,Производство!G$104:G$145)&gt;0,SUMIF(Производство!$A$104:$A$145,Технологи!$B102,Производство!G$104:G$145)*$F102+$G102,0)</f>
        <v>0.50383699128888892</v>
      </c>
      <c r="K102" s="46">
        <f t="array" ref="K102">IF(SUMIF(Производство!$A$104:$A$145,Технологи!$B102,Производство!H$104:H$145)&gt;0,SUMIF(Производство!$A$104:$A$145,Технологи!$B102,Производство!H$104:H$145)*$F102+$G102,0)</f>
        <v>0</v>
      </c>
      <c r="L102" s="46">
        <f t="array" ref="L102">IF(SUMIF(Производство!$A$104:$A$145,Технологи!$B102,Производство!I$104:I$145)&gt;0,SUMIF(Производство!$A$104:$A$145,Технологи!$B102,Производство!I$104:I$145)*$F102+$G102,0)</f>
        <v>0</v>
      </c>
      <c r="M102" s="46">
        <f t="array" ref="M102">IF(SUMIF(Производство!$A$104:$A$145,Технологи!$B102,Производство!J$104:J$145)&gt;0,SUMIF(Производство!$A$104:$A$145,Технологи!$B102,Производство!J$104:J$145)*$F102+$G102,0)</f>
        <v>0</v>
      </c>
      <c r="N102" s="46">
        <f t="array" ref="N102">IF(SUMIF(Производство!$A$104:$A$145,Технологи!$B102,Производство!K$104:K$145)&gt;0,SUMIF(Производство!$A$104:$A$145,Технологи!$B102,Производство!K$104:K$145)*$F102+$G102,0)</f>
        <v>0</v>
      </c>
      <c r="O102" s="46">
        <f t="array" ref="O102">IF(SUMIF(Производство!$A$104:$A$145,Технологи!$B102,Производство!L$104:L$145)&gt;0,SUMIF(Производство!$A$104:$A$145,Технологи!$B102,Производство!L$104:L$145)*$F102+$G102,0)</f>
        <v>0</v>
      </c>
      <c r="P102" s="46">
        <f t="array" ref="P102">IF(SUMIF(Производство!$A$104:$A$145,Технологи!$B102,Производство!M$104:M$145)&gt;0,SUMIF(Производство!$A$104:$A$145,Технологи!$B102,Производство!M$104:M$145)*$F102+$G102,0)</f>
        <v>0</v>
      </c>
      <c r="Q102" s="46">
        <f t="array" ref="Q102">IF(SUMIF(Производство!$A$104:$A$145,Технологи!$B102,Производство!N$104:N$145)&gt;0,SUMIF(Производство!$A$104:$A$145,Технологи!$B102,Производство!N$104:N$145)*$F102+$G102,0)</f>
        <v>0</v>
      </c>
      <c r="R102" s="46">
        <f t="array" ref="R102">IF(SUMIF(Производство!$A$104:$A$145,Технологи!$B102,Производство!O$104:O$145)&gt;0,SUMIF(Производство!$A$104:$A$145,Технологи!$B102,Производство!O$104:O$145)*$F102+$G102,0)</f>
        <v>0</v>
      </c>
      <c r="S102" s="46">
        <f t="array" ref="S102">IF(SUMIF(Производство!$A$104:$A$145,Технологи!$B102,Производство!P$104:P$145)&gt;0,SUMIF(Производство!$A$104:$A$145,Технологи!$B102,Производство!P$104:P$145)*$F102+$G102,0)</f>
        <v>0</v>
      </c>
      <c r="T102" s="46">
        <f t="array" ref="T102">IF(SUMIF(Производство!$A$104:$A$145,Технологи!$B102,Производство!Q$104:Q$145)&gt;0,SUMIF(Производство!$A$104:$A$145,Технологи!$B102,Производство!Q$104:Q$145)*$F102+$G102,0)</f>
        <v>0</v>
      </c>
    </row>
    <row r="103" spans="1:20" x14ac:dyDescent="0.25">
      <c r="A103" s="34" t="s">
        <v>377</v>
      </c>
      <c r="B103" s="13" t="s">
        <v>60</v>
      </c>
      <c r="C103" s="19" t="s">
        <v>18</v>
      </c>
      <c r="D103" s="14">
        <v>7038</v>
      </c>
      <c r="E103" s="20"/>
      <c r="F103" s="24">
        <v>1.7119217418060202E-3</v>
      </c>
      <c r="G103" s="24">
        <v>0.18911000966183572</v>
      </c>
      <c r="H103" s="23">
        <f t="shared" si="4"/>
        <v>1.7119217418060202</v>
      </c>
      <c r="I103" s="46">
        <f t="array" ref="I103">IF(SUMIF(Производство!$A$104:$A$145,Технологи!$B103,Производство!F$104:F$145)&gt;0,SUMIF(Производство!$A$104:$A$145,Технологи!$B103,Производство!F$104:F$145)*$F103+$G103,0)</f>
        <v>1.0416470370812339</v>
      </c>
      <c r="J103" s="46">
        <f t="array" ref="J103">IF(SUMIF(Производство!$A$104:$A$145,Технологи!$B103,Производство!G$104:G$145)&gt;0,SUMIF(Производство!$A$104:$A$145,Технологи!$B103,Производство!G$104:G$145)*$F103+$G103,0)</f>
        <v>0.45616980138357488</v>
      </c>
      <c r="K103" s="46">
        <f t="array" ref="K103">IF(SUMIF(Производство!$A$104:$A$145,Технологи!$B103,Производство!H$104:H$145)&gt;0,SUMIF(Производство!$A$104:$A$145,Технологи!$B103,Производство!H$104:H$145)*$F103+$G103,0)</f>
        <v>0</v>
      </c>
      <c r="L103" s="46">
        <f t="array" ref="L103">IF(SUMIF(Производство!$A$104:$A$145,Технологи!$B103,Производство!I$104:I$145)&gt;0,SUMIF(Производство!$A$104:$A$145,Технологи!$B103,Производство!I$104:I$145)*$F103+$G103,0)</f>
        <v>0</v>
      </c>
      <c r="M103" s="46">
        <f t="array" ref="M103">IF(SUMIF(Производство!$A$104:$A$145,Технологи!$B103,Производство!J$104:J$145)&gt;0,SUMIF(Производство!$A$104:$A$145,Технологи!$B103,Производство!J$104:J$145)*$F103+$G103,0)</f>
        <v>0</v>
      </c>
      <c r="N103" s="46">
        <f t="array" ref="N103">IF(SUMIF(Производство!$A$104:$A$145,Технологи!$B103,Производство!K$104:K$145)&gt;0,SUMIF(Производство!$A$104:$A$145,Технологи!$B103,Производство!K$104:K$145)*$F103+$G103,0)</f>
        <v>0</v>
      </c>
      <c r="O103" s="46">
        <f t="array" ref="O103">IF(SUMIF(Производство!$A$104:$A$145,Технологи!$B103,Производство!L$104:L$145)&gt;0,SUMIF(Производство!$A$104:$A$145,Технологи!$B103,Производство!L$104:L$145)*$F103+$G103,0)</f>
        <v>0</v>
      </c>
      <c r="P103" s="46">
        <f t="array" ref="P103">IF(SUMIF(Производство!$A$104:$A$145,Технологи!$B103,Производство!M$104:M$145)&gt;0,SUMIF(Производство!$A$104:$A$145,Технологи!$B103,Производство!M$104:M$145)*$F103+$G103,0)</f>
        <v>0</v>
      </c>
      <c r="Q103" s="46">
        <f t="array" ref="Q103">IF(SUMIF(Производство!$A$104:$A$145,Технологи!$B103,Производство!N$104:N$145)&gt;0,SUMIF(Производство!$A$104:$A$145,Технологи!$B103,Производство!N$104:N$145)*$F103+$G103,0)</f>
        <v>0</v>
      </c>
      <c r="R103" s="46">
        <f t="array" ref="R103">IF(SUMIF(Производство!$A$104:$A$145,Технологи!$B103,Производство!O$104:O$145)&gt;0,SUMIF(Производство!$A$104:$A$145,Технологи!$B103,Производство!O$104:O$145)*$F103+$G103,0)</f>
        <v>0</v>
      </c>
      <c r="S103" s="46">
        <f t="array" ref="S103">IF(SUMIF(Производство!$A$104:$A$145,Технологи!$B103,Производство!P$104:P$145)&gt;0,SUMIF(Производство!$A$104:$A$145,Технологи!$B103,Производство!P$104:P$145)*$F103+$G103,0)</f>
        <v>0</v>
      </c>
      <c r="T103" s="46">
        <f t="array" ref="T103">IF(SUMIF(Производство!$A$104:$A$145,Технологи!$B103,Производство!Q$104:Q$145)&gt;0,SUMIF(Производство!$A$104:$A$145,Технологи!$B103,Производство!Q$104:Q$145)*$F103+$G103,0)</f>
        <v>0</v>
      </c>
    </row>
    <row r="104" spans="1:20" x14ac:dyDescent="0.25">
      <c r="A104" s="34" t="s">
        <v>377</v>
      </c>
      <c r="B104" s="13" t="s">
        <v>60</v>
      </c>
      <c r="C104" s="19" t="s">
        <v>19</v>
      </c>
      <c r="D104" s="14">
        <v>7038</v>
      </c>
      <c r="E104" s="20"/>
      <c r="F104" s="24">
        <v>0.33451688000000002</v>
      </c>
      <c r="G104" s="24">
        <v>11.708090800000003</v>
      </c>
      <c r="H104" s="23">
        <f t="shared" si="4"/>
        <v>334.51688000000001</v>
      </c>
      <c r="I104" s="46">
        <f t="array" ref="I104">IF(SUMIF(Производство!$A$104:$A$145,Технологи!$B104,Производство!F$104:F$145)&gt;0,SUMIF(Производство!$A$104:$A$145,Технологи!$B104,Производство!F$104:F$145)*$F104+$G104,0)</f>
        <v>178.29749704000002</v>
      </c>
      <c r="J104" s="46">
        <f t="array" ref="J104">IF(SUMIF(Производство!$A$104:$A$145,Технологи!$B104,Производство!G$104:G$145)&gt;0,SUMIF(Производство!$A$104:$A$145,Технологи!$B104,Производство!G$104:G$145)*$F104+$G104,0)</f>
        <v>63.892724080000001</v>
      </c>
      <c r="K104" s="46">
        <f t="array" ref="K104">IF(SUMIF(Производство!$A$104:$A$145,Технологи!$B104,Производство!H$104:H$145)&gt;0,SUMIF(Производство!$A$104:$A$145,Технологи!$B104,Производство!H$104:H$145)*$F104+$G104,0)</f>
        <v>0</v>
      </c>
      <c r="L104" s="46">
        <f t="array" ref="L104">IF(SUMIF(Производство!$A$104:$A$145,Технологи!$B104,Производство!I$104:I$145)&gt;0,SUMIF(Производство!$A$104:$A$145,Технологи!$B104,Производство!I$104:I$145)*$F104+$G104,0)</f>
        <v>0</v>
      </c>
      <c r="M104" s="46">
        <f t="array" ref="M104">IF(SUMIF(Производство!$A$104:$A$145,Технологи!$B104,Производство!J$104:J$145)&gt;0,SUMIF(Производство!$A$104:$A$145,Технологи!$B104,Производство!J$104:J$145)*$F104+$G104,0)</f>
        <v>0</v>
      </c>
      <c r="N104" s="46">
        <f t="array" ref="N104">IF(SUMIF(Производство!$A$104:$A$145,Технологи!$B104,Производство!K$104:K$145)&gt;0,SUMIF(Производство!$A$104:$A$145,Технологи!$B104,Производство!K$104:K$145)*$F104+$G104,0)</f>
        <v>0</v>
      </c>
      <c r="O104" s="46">
        <f t="array" ref="O104">IF(SUMIF(Производство!$A$104:$A$145,Технологи!$B104,Производство!L$104:L$145)&gt;0,SUMIF(Производство!$A$104:$A$145,Технологи!$B104,Производство!L$104:L$145)*$F104+$G104,0)</f>
        <v>0</v>
      </c>
      <c r="P104" s="46">
        <f t="array" ref="P104">IF(SUMIF(Производство!$A$104:$A$145,Технологи!$B104,Производство!M$104:M$145)&gt;0,SUMIF(Производство!$A$104:$A$145,Технологи!$B104,Производство!M$104:M$145)*$F104+$G104,0)</f>
        <v>0</v>
      </c>
      <c r="Q104" s="46">
        <f t="array" ref="Q104">IF(SUMIF(Производство!$A$104:$A$145,Технологи!$B104,Производство!N$104:N$145)&gt;0,SUMIF(Производство!$A$104:$A$145,Технологи!$B104,Производство!N$104:N$145)*$F104+$G104,0)</f>
        <v>0</v>
      </c>
      <c r="R104" s="46">
        <f t="array" ref="R104">IF(SUMIF(Производство!$A$104:$A$145,Технологи!$B104,Производство!O$104:O$145)&gt;0,SUMIF(Производство!$A$104:$A$145,Технологи!$B104,Производство!O$104:O$145)*$F104+$G104,0)</f>
        <v>0</v>
      </c>
      <c r="S104" s="46">
        <f t="array" ref="S104">IF(SUMIF(Производство!$A$104:$A$145,Технологи!$B104,Производство!P$104:P$145)&gt;0,SUMIF(Производство!$A$104:$A$145,Технологи!$B104,Производство!P$104:P$145)*$F104+$G104,0)</f>
        <v>0</v>
      </c>
      <c r="T104" s="46">
        <f t="array" ref="T104">IF(SUMIF(Производство!$A$104:$A$145,Технологи!$B104,Производство!Q$104:Q$145)&gt;0,SUMIF(Производство!$A$104:$A$145,Технологи!$B104,Производство!Q$104:Q$145)*$F104+$G104,0)</f>
        <v>0</v>
      </c>
    </row>
    <row r="105" spans="1:20" x14ac:dyDescent="0.25">
      <c r="A105" s="34" t="s">
        <v>377</v>
      </c>
      <c r="B105" s="13" t="s">
        <v>60</v>
      </c>
      <c r="C105" s="19" t="s">
        <v>20</v>
      </c>
      <c r="D105" s="14">
        <v>7038</v>
      </c>
      <c r="E105" s="20"/>
      <c r="F105" s="24">
        <v>0.03</v>
      </c>
      <c r="G105" s="24">
        <v>0.45</v>
      </c>
      <c r="H105" s="23">
        <f t="shared" si="4"/>
        <v>30</v>
      </c>
      <c r="I105" s="46">
        <f t="array" ref="I105">IF(SUMIF(Производство!$A$104:$A$145,Технологи!$B105,Производство!F$104:F$145)&gt;0,SUMIF(Производство!$A$104:$A$145,Технологи!$B105,Производство!F$104:F$145)*$F105+$G105,0)</f>
        <v>15.389999999999999</v>
      </c>
      <c r="J105" s="46">
        <f t="array" ref="J105">IF(SUMIF(Производство!$A$104:$A$145,Технологи!$B105,Производство!G$104:G$145)&gt;0,SUMIF(Производство!$A$104:$A$145,Технологи!$B105,Производство!G$104:G$145)*$F105+$G105,0)</f>
        <v>5.13</v>
      </c>
      <c r="K105" s="46">
        <f t="array" ref="K105">IF(SUMIF(Производство!$A$104:$A$145,Технологи!$B105,Производство!H$104:H$145)&gt;0,SUMIF(Производство!$A$104:$A$145,Технологи!$B105,Производство!H$104:H$145)*$F105+$G105,0)</f>
        <v>0</v>
      </c>
      <c r="L105" s="46">
        <f t="array" ref="L105">IF(SUMIF(Производство!$A$104:$A$145,Технологи!$B105,Производство!I$104:I$145)&gt;0,SUMIF(Производство!$A$104:$A$145,Технологи!$B105,Производство!I$104:I$145)*$F105+$G105,0)</f>
        <v>0</v>
      </c>
      <c r="M105" s="46">
        <f t="array" ref="M105">IF(SUMIF(Производство!$A$104:$A$145,Технологи!$B105,Производство!J$104:J$145)&gt;0,SUMIF(Производство!$A$104:$A$145,Технологи!$B105,Производство!J$104:J$145)*$F105+$G105,0)</f>
        <v>0</v>
      </c>
      <c r="N105" s="46">
        <f t="array" ref="N105">IF(SUMIF(Производство!$A$104:$A$145,Технологи!$B105,Производство!K$104:K$145)&gt;0,SUMIF(Производство!$A$104:$A$145,Технологи!$B105,Производство!K$104:K$145)*$F105+$G105,0)</f>
        <v>0</v>
      </c>
      <c r="O105" s="46">
        <f t="array" ref="O105">IF(SUMIF(Производство!$A$104:$A$145,Технологи!$B105,Производство!L$104:L$145)&gt;0,SUMIF(Производство!$A$104:$A$145,Технологи!$B105,Производство!L$104:L$145)*$F105+$G105,0)</f>
        <v>0</v>
      </c>
      <c r="P105" s="46">
        <f t="array" ref="P105">IF(SUMIF(Производство!$A$104:$A$145,Технологи!$B105,Производство!M$104:M$145)&gt;0,SUMIF(Производство!$A$104:$A$145,Технологи!$B105,Производство!M$104:M$145)*$F105+$G105,0)</f>
        <v>0</v>
      </c>
      <c r="Q105" s="46">
        <f t="array" ref="Q105">IF(SUMIF(Производство!$A$104:$A$145,Технологи!$B105,Производство!N$104:N$145)&gt;0,SUMIF(Производство!$A$104:$A$145,Технологи!$B105,Производство!N$104:N$145)*$F105+$G105,0)</f>
        <v>0</v>
      </c>
      <c r="R105" s="46">
        <f t="array" ref="R105">IF(SUMIF(Производство!$A$104:$A$145,Технологи!$B105,Производство!O$104:O$145)&gt;0,SUMIF(Производство!$A$104:$A$145,Технологи!$B105,Производство!O$104:O$145)*$F105+$G105,0)</f>
        <v>0</v>
      </c>
      <c r="S105" s="46">
        <f t="array" ref="S105">IF(SUMIF(Производство!$A$104:$A$145,Технологи!$B105,Производство!P$104:P$145)&gt;0,SUMIF(Производство!$A$104:$A$145,Технологи!$B105,Производство!P$104:P$145)*$F105+$G105,0)</f>
        <v>0</v>
      </c>
      <c r="T105" s="46">
        <f t="array" ref="T105">IF(SUMIF(Производство!$A$104:$A$145,Технологи!$B105,Производство!Q$104:Q$145)&gt;0,SUMIF(Производство!$A$104:$A$145,Технологи!$B105,Производство!Q$104:Q$145)*$F105+$G105,0)</f>
        <v>0</v>
      </c>
    </row>
    <row r="106" spans="1:20" x14ac:dyDescent="0.25">
      <c r="A106" s="34" t="s">
        <v>377</v>
      </c>
      <c r="B106" s="13" t="s">
        <v>60</v>
      </c>
      <c r="C106" s="19" t="s">
        <v>21</v>
      </c>
      <c r="D106" s="14">
        <v>7038</v>
      </c>
      <c r="E106" s="20"/>
      <c r="F106" s="24">
        <v>4.3749999999999997E-2</v>
      </c>
      <c r="G106" s="24">
        <v>0.65625</v>
      </c>
      <c r="H106" s="23">
        <f t="shared" si="4"/>
        <v>43.75</v>
      </c>
      <c r="I106" s="46">
        <f t="array" ref="I106">IF(SUMIF(Производство!$A$104:$A$145,Технологи!$B106,Производство!F$104:F$145)&gt;0,SUMIF(Производство!$A$104:$A$145,Технологи!$B106,Производство!F$104:F$145)*$F106+$G106,0)</f>
        <v>22.443749999999998</v>
      </c>
      <c r="J106" s="46">
        <f t="array" ref="J106">IF(SUMIF(Производство!$A$104:$A$145,Технологи!$B106,Производство!G$104:G$145)&gt;0,SUMIF(Производство!$A$104:$A$145,Технологи!$B106,Производство!G$104:G$145)*$F106+$G106,0)</f>
        <v>7.4812499999999993</v>
      </c>
      <c r="K106" s="46">
        <f t="array" ref="K106">IF(SUMIF(Производство!$A$104:$A$145,Технологи!$B106,Производство!H$104:H$145)&gt;0,SUMIF(Производство!$A$104:$A$145,Технологи!$B106,Производство!H$104:H$145)*$F106+$G106,0)</f>
        <v>0</v>
      </c>
      <c r="L106" s="46">
        <f t="array" ref="L106">IF(SUMIF(Производство!$A$104:$A$145,Технологи!$B106,Производство!I$104:I$145)&gt;0,SUMIF(Производство!$A$104:$A$145,Технологи!$B106,Производство!I$104:I$145)*$F106+$G106,0)</f>
        <v>0</v>
      </c>
      <c r="M106" s="46">
        <f t="array" ref="M106">IF(SUMIF(Производство!$A$104:$A$145,Технологи!$B106,Производство!J$104:J$145)&gt;0,SUMIF(Производство!$A$104:$A$145,Технологи!$B106,Производство!J$104:J$145)*$F106+$G106,0)</f>
        <v>0</v>
      </c>
      <c r="N106" s="46">
        <f t="array" ref="N106">IF(SUMIF(Производство!$A$104:$A$145,Технологи!$B106,Производство!K$104:K$145)&gt;0,SUMIF(Производство!$A$104:$A$145,Технологи!$B106,Производство!K$104:K$145)*$F106+$G106,0)</f>
        <v>0</v>
      </c>
      <c r="O106" s="46">
        <f t="array" ref="O106">IF(SUMIF(Производство!$A$104:$A$145,Технологи!$B106,Производство!L$104:L$145)&gt;0,SUMIF(Производство!$A$104:$A$145,Технологи!$B106,Производство!L$104:L$145)*$F106+$G106,0)</f>
        <v>0</v>
      </c>
      <c r="P106" s="46">
        <f t="array" ref="P106">IF(SUMIF(Производство!$A$104:$A$145,Технологи!$B106,Производство!M$104:M$145)&gt;0,SUMIF(Производство!$A$104:$A$145,Технологи!$B106,Производство!M$104:M$145)*$F106+$G106,0)</f>
        <v>0</v>
      </c>
      <c r="Q106" s="46">
        <f t="array" ref="Q106">IF(SUMIF(Производство!$A$104:$A$145,Технологи!$B106,Производство!N$104:N$145)&gt;0,SUMIF(Производство!$A$104:$A$145,Технологи!$B106,Производство!N$104:N$145)*$F106+$G106,0)</f>
        <v>0</v>
      </c>
      <c r="R106" s="46">
        <f t="array" ref="R106">IF(SUMIF(Производство!$A$104:$A$145,Технологи!$B106,Производство!O$104:O$145)&gt;0,SUMIF(Производство!$A$104:$A$145,Технологи!$B106,Производство!O$104:O$145)*$F106+$G106,0)</f>
        <v>0</v>
      </c>
      <c r="S106" s="46">
        <f t="array" ref="S106">IF(SUMIF(Производство!$A$104:$A$145,Технологи!$B106,Производство!P$104:P$145)&gt;0,SUMIF(Производство!$A$104:$A$145,Технологи!$B106,Производство!P$104:P$145)*$F106+$G106,0)</f>
        <v>0</v>
      </c>
      <c r="T106" s="46">
        <f t="array" ref="T106">IF(SUMIF(Производство!$A$104:$A$145,Технологи!$B106,Производство!Q$104:Q$145)&gt;0,SUMIF(Производство!$A$104:$A$145,Технологи!$B106,Производство!Q$104:Q$145)*$F106+$G106,0)</f>
        <v>0</v>
      </c>
    </row>
    <row r="107" spans="1:20" x14ac:dyDescent="0.25">
      <c r="A107" s="34" t="s">
        <v>377</v>
      </c>
      <c r="B107" s="13" t="s">
        <v>60</v>
      </c>
      <c r="C107" s="19" t="s">
        <v>22</v>
      </c>
      <c r="D107" s="14">
        <v>7038</v>
      </c>
      <c r="E107" s="20"/>
      <c r="F107" s="24">
        <v>0</v>
      </c>
      <c r="G107" s="24">
        <v>0</v>
      </c>
      <c r="H107" s="23">
        <f t="shared" si="4"/>
        <v>0</v>
      </c>
      <c r="I107" s="46">
        <f t="array" ref="I107">IF(SUMIF(Производство!$A$104:$A$145,Технологи!$B107,Производство!F$104:F$145)&gt;0,SUMIF(Производство!$A$104:$A$145,Технологи!$B107,Производство!F$104:F$145)*$F107+$G107,0)</f>
        <v>0</v>
      </c>
      <c r="J107" s="46">
        <f t="array" ref="J107">IF(SUMIF(Производство!$A$104:$A$145,Технологи!$B107,Производство!G$104:G$145)&gt;0,SUMIF(Производство!$A$104:$A$145,Технологи!$B107,Производство!G$104:G$145)*$F107+$G107,0)</f>
        <v>0</v>
      </c>
      <c r="K107" s="46">
        <f t="array" ref="K107">IF(SUMIF(Производство!$A$104:$A$145,Технологи!$B107,Производство!H$104:H$145)&gt;0,SUMIF(Производство!$A$104:$A$145,Технологи!$B107,Производство!H$104:H$145)*$F107+$G107,0)</f>
        <v>0</v>
      </c>
      <c r="L107" s="46">
        <f t="array" ref="L107">IF(SUMIF(Производство!$A$104:$A$145,Технологи!$B107,Производство!I$104:I$145)&gt;0,SUMIF(Производство!$A$104:$A$145,Технологи!$B107,Производство!I$104:I$145)*$F107+$G107,0)</f>
        <v>0</v>
      </c>
      <c r="M107" s="46">
        <f t="array" ref="M107">IF(SUMIF(Производство!$A$104:$A$145,Технологи!$B107,Производство!J$104:J$145)&gt;0,SUMIF(Производство!$A$104:$A$145,Технологи!$B107,Производство!J$104:J$145)*$F107+$G107,0)</f>
        <v>0</v>
      </c>
      <c r="N107" s="46">
        <f t="array" ref="N107">IF(SUMIF(Производство!$A$104:$A$145,Технологи!$B107,Производство!K$104:K$145)&gt;0,SUMIF(Производство!$A$104:$A$145,Технологи!$B107,Производство!K$104:K$145)*$F107+$G107,0)</f>
        <v>0</v>
      </c>
      <c r="O107" s="46">
        <f t="array" ref="O107">IF(SUMIF(Производство!$A$104:$A$145,Технологи!$B107,Производство!L$104:L$145)&gt;0,SUMIF(Производство!$A$104:$A$145,Технологи!$B107,Производство!L$104:L$145)*$F107+$G107,0)</f>
        <v>0</v>
      </c>
      <c r="P107" s="46">
        <f t="array" ref="P107">IF(SUMIF(Производство!$A$104:$A$145,Технологи!$B107,Производство!M$104:M$145)&gt;0,SUMIF(Производство!$A$104:$A$145,Технологи!$B107,Производство!M$104:M$145)*$F107+$G107,0)</f>
        <v>0</v>
      </c>
      <c r="Q107" s="46">
        <f t="array" ref="Q107">IF(SUMIF(Производство!$A$104:$A$145,Технологи!$B107,Производство!N$104:N$145)&gt;0,SUMIF(Производство!$A$104:$A$145,Технологи!$B107,Производство!N$104:N$145)*$F107+$G107,0)</f>
        <v>0</v>
      </c>
      <c r="R107" s="46">
        <f t="array" ref="R107">IF(SUMIF(Производство!$A$104:$A$145,Технологи!$B107,Производство!O$104:O$145)&gt;0,SUMIF(Производство!$A$104:$A$145,Технологи!$B107,Производство!O$104:O$145)*$F107+$G107,0)</f>
        <v>0</v>
      </c>
      <c r="S107" s="46">
        <f t="array" ref="S107">IF(SUMIF(Производство!$A$104:$A$145,Технологи!$B107,Производство!P$104:P$145)&gt;0,SUMIF(Производство!$A$104:$A$145,Технологи!$B107,Производство!P$104:P$145)*$F107+$G107,0)</f>
        <v>0</v>
      </c>
      <c r="T107" s="46">
        <f t="array" ref="T107">IF(SUMIF(Производство!$A$104:$A$145,Технологи!$B107,Производство!Q$104:Q$145)&gt;0,SUMIF(Производство!$A$104:$A$145,Технологи!$B107,Производство!Q$104:Q$145)*$F107+$G107,0)</f>
        <v>0</v>
      </c>
    </row>
    <row r="108" spans="1:20" x14ac:dyDescent="0.25">
      <c r="A108" s="34" t="s">
        <v>377</v>
      </c>
      <c r="B108" s="13" t="s">
        <v>60</v>
      </c>
      <c r="C108" s="19" t="s">
        <v>23</v>
      </c>
      <c r="D108" s="14">
        <v>7038</v>
      </c>
      <c r="E108" s="20"/>
      <c r="F108" s="24">
        <v>0</v>
      </c>
      <c r="G108" s="24">
        <v>0</v>
      </c>
      <c r="H108" s="23">
        <f t="shared" si="4"/>
        <v>0</v>
      </c>
      <c r="I108" s="46">
        <f t="array" ref="I108">IF(SUMIF(Производство!$A$104:$A$145,Технологи!$B108,Производство!F$104:F$145)&gt;0,SUMIF(Производство!$A$104:$A$145,Технологи!$B108,Производство!F$104:F$145)*$F108+$G108,0)</f>
        <v>0</v>
      </c>
      <c r="J108" s="46">
        <f t="array" ref="J108">IF(SUMIF(Производство!$A$104:$A$145,Технологи!$B108,Производство!G$104:G$145)&gt;0,SUMIF(Производство!$A$104:$A$145,Технологи!$B108,Производство!G$104:G$145)*$F108+$G108,0)</f>
        <v>0</v>
      </c>
      <c r="K108" s="46">
        <f t="array" ref="K108">IF(SUMIF(Производство!$A$104:$A$145,Технологи!$B108,Производство!H$104:H$145)&gt;0,SUMIF(Производство!$A$104:$A$145,Технологи!$B108,Производство!H$104:H$145)*$F108+$G108,0)</f>
        <v>0</v>
      </c>
      <c r="L108" s="46">
        <f t="array" ref="L108">IF(SUMIF(Производство!$A$104:$A$145,Технологи!$B108,Производство!I$104:I$145)&gt;0,SUMIF(Производство!$A$104:$A$145,Технологи!$B108,Производство!I$104:I$145)*$F108+$G108,0)</f>
        <v>0</v>
      </c>
      <c r="M108" s="46">
        <f t="array" ref="M108">IF(SUMIF(Производство!$A$104:$A$145,Технологи!$B108,Производство!J$104:J$145)&gt;0,SUMIF(Производство!$A$104:$A$145,Технологи!$B108,Производство!J$104:J$145)*$F108+$G108,0)</f>
        <v>0</v>
      </c>
      <c r="N108" s="46">
        <f t="array" ref="N108">IF(SUMIF(Производство!$A$104:$A$145,Технологи!$B108,Производство!K$104:K$145)&gt;0,SUMIF(Производство!$A$104:$A$145,Технологи!$B108,Производство!K$104:K$145)*$F108+$G108,0)</f>
        <v>0</v>
      </c>
      <c r="O108" s="46">
        <f t="array" ref="O108">IF(SUMIF(Производство!$A$104:$A$145,Технологи!$B108,Производство!L$104:L$145)&gt;0,SUMIF(Производство!$A$104:$A$145,Технологи!$B108,Производство!L$104:L$145)*$F108+$G108,0)</f>
        <v>0</v>
      </c>
      <c r="P108" s="46">
        <f t="array" ref="P108">IF(SUMIF(Производство!$A$104:$A$145,Технологи!$B108,Производство!M$104:M$145)&gt;0,SUMIF(Производство!$A$104:$A$145,Технологи!$B108,Производство!M$104:M$145)*$F108+$G108,0)</f>
        <v>0</v>
      </c>
      <c r="Q108" s="46">
        <f t="array" ref="Q108">IF(SUMIF(Производство!$A$104:$A$145,Технологи!$B108,Производство!N$104:N$145)&gt;0,SUMIF(Производство!$A$104:$A$145,Технологи!$B108,Производство!N$104:N$145)*$F108+$G108,0)</f>
        <v>0</v>
      </c>
      <c r="R108" s="46">
        <f t="array" ref="R108">IF(SUMIF(Производство!$A$104:$A$145,Технологи!$B108,Производство!O$104:O$145)&gt;0,SUMIF(Производство!$A$104:$A$145,Технологи!$B108,Производство!O$104:O$145)*$F108+$G108,0)</f>
        <v>0</v>
      </c>
      <c r="S108" s="46">
        <f t="array" ref="S108">IF(SUMIF(Производство!$A$104:$A$145,Технологи!$B108,Производство!P$104:P$145)&gt;0,SUMIF(Производство!$A$104:$A$145,Технологи!$B108,Производство!P$104:P$145)*$F108+$G108,0)</f>
        <v>0</v>
      </c>
      <c r="T108" s="46">
        <f t="array" ref="T108">IF(SUMIF(Производство!$A$104:$A$145,Технологи!$B108,Производство!Q$104:Q$145)&gt;0,SUMIF(Производство!$A$104:$A$145,Технологи!$B108,Производство!Q$104:Q$145)*$F108+$G108,0)</f>
        <v>0</v>
      </c>
    </row>
    <row r="109" spans="1:20" x14ac:dyDescent="0.25">
      <c r="A109" s="34" t="s">
        <v>377</v>
      </c>
      <c r="B109" s="13" t="s">
        <v>61</v>
      </c>
      <c r="C109" s="15" t="s">
        <v>11</v>
      </c>
      <c r="D109" s="14">
        <v>7038</v>
      </c>
      <c r="E109" s="16">
        <v>1.115</v>
      </c>
      <c r="F109" s="22">
        <f>SUM(F110:F121)</f>
        <v>1.1165562363750279</v>
      </c>
      <c r="G109" s="22">
        <f>SUM(G110:G121)</f>
        <v>50.931892800000007</v>
      </c>
      <c r="H109" s="23">
        <f t="shared" ref="H109:H128" si="5">F109*1000</f>
        <v>1116.5562363750278</v>
      </c>
      <c r="I109" s="46">
        <f t="array" ref="I109">IF(SUMIF(Производство!$A$104:$A$145,Технологи!$B109,Производство!F$104:F$145)&gt;0,SUMIF(Производство!$A$104:$A$145,Технологи!$B109,Производство!F$104:F$145)*$F109+$G109,0)</f>
        <v>178.21930374675318</v>
      </c>
      <c r="J109" s="46">
        <f t="array" ref="J109">IF(SUMIF(Производство!$A$104:$A$145,Технологи!$B109,Производство!G$104:G$145)&gt;0,SUMIF(Производство!$A$104:$A$145,Технологи!$B109,Производство!G$104:G$145)*$F109+$G109,0)</f>
        <v>372.50008887600802</v>
      </c>
      <c r="K109" s="46">
        <f t="array" ref="K109">IF(SUMIF(Производство!$A$104:$A$145,Технологи!$B109,Производство!H$104:H$145)&gt;0,SUMIF(Производство!$A$104:$A$145,Технологи!$B109,Производство!H$104:H$145)*$F109+$G109,0)</f>
        <v>0</v>
      </c>
      <c r="L109" s="46">
        <f t="array" ref="L109">IF(SUMIF(Производство!$A$104:$A$145,Технологи!$B109,Производство!I$104:I$145)&gt;0,SUMIF(Производство!$A$104:$A$145,Технологи!$B109,Производство!I$104:I$145)*$F109+$G109,0)</f>
        <v>0</v>
      </c>
      <c r="M109" s="46">
        <f t="array" ref="M109">IF(SUMIF(Производство!$A$104:$A$145,Технологи!$B109,Производство!J$104:J$145)&gt;0,SUMIF(Производство!$A$104:$A$145,Технологи!$B109,Производство!J$104:J$145)*$F109+$G109,0)</f>
        <v>0</v>
      </c>
      <c r="N109" s="46">
        <f t="array" ref="N109">IF(SUMIF(Производство!$A$104:$A$145,Технологи!$B109,Производство!K$104:K$145)&gt;0,SUMIF(Производство!$A$104:$A$145,Технологи!$B109,Производство!K$104:K$145)*$F109+$G109,0)</f>
        <v>0</v>
      </c>
      <c r="O109" s="46">
        <f t="array" ref="O109">IF(SUMIF(Производство!$A$104:$A$145,Технологи!$B109,Производство!L$104:L$145)&gt;0,SUMIF(Производство!$A$104:$A$145,Технологи!$B109,Производство!L$104:L$145)*$F109+$G109,0)</f>
        <v>0</v>
      </c>
      <c r="P109" s="46">
        <f t="array" ref="P109">IF(SUMIF(Производство!$A$104:$A$145,Технологи!$B109,Производство!M$104:M$145)&gt;0,SUMIF(Производство!$A$104:$A$145,Технологи!$B109,Производство!M$104:M$145)*$F109+$G109,0)</f>
        <v>0</v>
      </c>
      <c r="Q109" s="46">
        <f t="array" ref="Q109">IF(SUMIF(Производство!$A$104:$A$145,Технологи!$B109,Производство!N$104:N$145)&gt;0,SUMIF(Производство!$A$104:$A$145,Технологи!$B109,Производство!N$104:N$145)*$F109+$G109,0)</f>
        <v>0</v>
      </c>
      <c r="R109" s="46">
        <f t="array" ref="R109">IF(SUMIF(Производство!$A$104:$A$145,Технологи!$B109,Производство!O$104:O$145)&gt;0,SUMIF(Производство!$A$104:$A$145,Технологи!$B109,Производство!O$104:O$145)*$F109+$G109,0)</f>
        <v>0</v>
      </c>
      <c r="S109" s="46">
        <f t="array" ref="S109">IF(SUMIF(Производство!$A$104:$A$145,Технологи!$B109,Производство!P$104:P$145)&gt;0,SUMIF(Производство!$A$104:$A$145,Технологи!$B109,Производство!P$104:P$145)*$F109+$G109,0)</f>
        <v>0</v>
      </c>
      <c r="T109" s="46">
        <f t="array" ref="T109">IF(SUMIF(Производство!$A$104:$A$145,Технологи!$B109,Производство!Q$104:Q$145)&gt;0,SUMIF(Производство!$A$104:$A$145,Технологи!$B109,Производство!Q$104:Q$145)*$F109+$G109,0)</f>
        <v>0</v>
      </c>
    </row>
    <row r="110" spans="1:20" x14ac:dyDescent="0.25">
      <c r="A110" s="34" t="s">
        <v>377</v>
      </c>
      <c r="B110" s="13" t="s">
        <v>61</v>
      </c>
      <c r="C110" s="19" t="s">
        <v>12</v>
      </c>
      <c r="D110" s="14">
        <v>7038</v>
      </c>
      <c r="E110" s="20"/>
      <c r="F110" s="24">
        <v>0.2746599344481605</v>
      </c>
      <c r="G110" s="24">
        <v>20.450200966183569</v>
      </c>
      <c r="H110" s="23">
        <f t="shared" si="5"/>
        <v>274.65993444816053</v>
      </c>
      <c r="I110" s="46">
        <f t="array" ref="I110">IF(SUMIF(Производство!$A$104:$A$145,Технологи!$B110,Производство!F$104:F$145)&gt;0,SUMIF(Производство!$A$104:$A$145,Технологи!$B110,Производство!F$104:F$145)*$F110+$G110,0)</f>
        <v>51.76143349327387</v>
      </c>
      <c r="J110" s="46">
        <f t="array" ref="J110">IF(SUMIF(Производство!$A$104:$A$145,Технологи!$B110,Производство!G$104:G$145)&gt;0,SUMIF(Производство!$A$104:$A$145,Технологи!$B110,Производство!G$104:G$145)*$F110+$G110,0)</f>
        <v>99.552262087253794</v>
      </c>
      <c r="K110" s="46">
        <f t="array" ref="K110">IF(SUMIF(Производство!$A$104:$A$145,Технологи!$B110,Производство!H$104:H$145)&gt;0,SUMIF(Производство!$A$104:$A$145,Технологи!$B110,Производство!H$104:H$145)*$F110+$G110,0)</f>
        <v>0</v>
      </c>
      <c r="L110" s="46">
        <f t="array" ref="L110">IF(SUMIF(Производство!$A$104:$A$145,Технологи!$B110,Производство!I$104:I$145)&gt;0,SUMIF(Производство!$A$104:$A$145,Технологи!$B110,Производство!I$104:I$145)*$F110+$G110,0)</f>
        <v>0</v>
      </c>
      <c r="M110" s="46">
        <f t="array" ref="M110">IF(SUMIF(Производство!$A$104:$A$145,Технологи!$B110,Производство!J$104:J$145)&gt;0,SUMIF(Производство!$A$104:$A$145,Технологи!$B110,Производство!J$104:J$145)*$F110+$G110,0)</f>
        <v>0</v>
      </c>
      <c r="N110" s="46">
        <f t="array" ref="N110">IF(SUMIF(Производство!$A$104:$A$145,Технологи!$B110,Производство!K$104:K$145)&gt;0,SUMIF(Производство!$A$104:$A$145,Технологи!$B110,Производство!K$104:K$145)*$F110+$G110,0)</f>
        <v>0</v>
      </c>
      <c r="O110" s="46">
        <f t="array" ref="O110">IF(SUMIF(Производство!$A$104:$A$145,Технологи!$B110,Производство!L$104:L$145)&gt;0,SUMIF(Производство!$A$104:$A$145,Технологи!$B110,Производство!L$104:L$145)*$F110+$G110,0)</f>
        <v>0</v>
      </c>
      <c r="P110" s="46">
        <f t="array" ref="P110">IF(SUMIF(Производство!$A$104:$A$145,Технологи!$B110,Производство!M$104:M$145)&gt;0,SUMIF(Производство!$A$104:$A$145,Технологи!$B110,Производство!M$104:M$145)*$F110+$G110,0)</f>
        <v>0</v>
      </c>
      <c r="Q110" s="46">
        <f t="array" ref="Q110">IF(SUMIF(Производство!$A$104:$A$145,Технологи!$B110,Производство!N$104:N$145)&gt;0,SUMIF(Производство!$A$104:$A$145,Технологи!$B110,Производство!N$104:N$145)*$F110+$G110,0)</f>
        <v>0</v>
      </c>
      <c r="R110" s="46">
        <f t="array" ref="R110">IF(SUMIF(Производство!$A$104:$A$145,Технологи!$B110,Производство!O$104:O$145)&gt;0,SUMIF(Производство!$A$104:$A$145,Технологи!$B110,Производство!O$104:O$145)*$F110+$G110,0)</f>
        <v>0</v>
      </c>
      <c r="S110" s="46">
        <f t="array" ref="S110">IF(SUMIF(Производство!$A$104:$A$145,Технологи!$B110,Производство!P$104:P$145)&gt;0,SUMIF(Производство!$A$104:$A$145,Технологи!$B110,Производство!P$104:P$145)*$F110+$G110,0)</f>
        <v>0</v>
      </c>
      <c r="T110" s="46">
        <f t="array" ref="T110">IF(SUMIF(Производство!$A$104:$A$145,Технологи!$B110,Производство!Q$104:Q$145)&gt;0,SUMIF(Производство!$A$104:$A$145,Технологи!$B110,Производство!Q$104:Q$145)*$F110+$G110,0)</f>
        <v>0</v>
      </c>
    </row>
    <row r="111" spans="1:20" x14ac:dyDescent="0.25">
      <c r="A111" s="34" t="s">
        <v>377</v>
      </c>
      <c r="B111" s="13" t="s">
        <v>61</v>
      </c>
      <c r="C111" s="19" t="s">
        <v>13</v>
      </c>
      <c r="D111" s="14">
        <v>7038</v>
      </c>
      <c r="E111" s="20"/>
      <c r="F111" s="24">
        <v>8.2807920535117055E-2</v>
      </c>
      <c r="G111" s="24">
        <v>6.1350602898550726</v>
      </c>
      <c r="H111" s="23">
        <f t="shared" si="5"/>
        <v>82.807920535117049</v>
      </c>
      <c r="I111" s="46">
        <f t="array" ref="I111">IF(SUMIF(Производство!$A$104:$A$145,Технологи!$B111,Производство!F$104:F$145)&gt;0,SUMIF(Производство!$A$104:$A$145,Технологи!$B111,Производство!F$104:F$145)*$F111+$G111,0)</f>
        <v>15.575163230858417</v>
      </c>
      <c r="J111" s="46">
        <f t="array" ref="J111">IF(SUMIF(Производство!$A$104:$A$145,Технологи!$B111,Производство!G$104:G$145)&gt;0,SUMIF(Производство!$A$104:$A$145,Технологи!$B111,Производство!G$104:G$145)*$F111+$G111,0)</f>
        <v>29.983741403968786</v>
      </c>
      <c r="K111" s="46">
        <f t="array" ref="K111">IF(SUMIF(Производство!$A$104:$A$145,Технологи!$B111,Производство!H$104:H$145)&gt;0,SUMIF(Производство!$A$104:$A$145,Технологи!$B111,Производство!H$104:H$145)*$F111+$G111,0)</f>
        <v>0</v>
      </c>
      <c r="L111" s="46">
        <f t="array" ref="L111">IF(SUMIF(Производство!$A$104:$A$145,Технологи!$B111,Производство!I$104:I$145)&gt;0,SUMIF(Производство!$A$104:$A$145,Технологи!$B111,Производство!I$104:I$145)*$F111+$G111,0)</f>
        <v>0</v>
      </c>
      <c r="M111" s="46">
        <f t="array" ref="M111">IF(SUMIF(Производство!$A$104:$A$145,Технологи!$B111,Производство!J$104:J$145)&gt;0,SUMIF(Производство!$A$104:$A$145,Технологи!$B111,Производство!J$104:J$145)*$F111+$G111,0)</f>
        <v>0</v>
      </c>
      <c r="N111" s="46">
        <f t="array" ref="N111">IF(SUMIF(Производство!$A$104:$A$145,Технологи!$B111,Производство!K$104:K$145)&gt;0,SUMIF(Производство!$A$104:$A$145,Технологи!$B111,Производство!K$104:K$145)*$F111+$G111,0)</f>
        <v>0</v>
      </c>
      <c r="O111" s="46">
        <f t="array" ref="O111">IF(SUMIF(Производство!$A$104:$A$145,Технологи!$B111,Производство!L$104:L$145)&gt;0,SUMIF(Производство!$A$104:$A$145,Технологи!$B111,Производство!L$104:L$145)*$F111+$G111,0)</f>
        <v>0</v>
      </c>
      <c r="P111" s="46">
        <f t="array" ref="P111">IF(SUMIF(Производство!$A$104:$A$145,Технологи!$B111,Производство!M$104:M$145)&gt;0,SUMIF(Производство!$A$104:$A$145,Технологи!$B111,Производство!M$104:M$145)*$F111+$G111,0)</f>
        <v>0</v>
      </c>
      <c r="Q111" s="46">
        <f t="array" ref="Q111">IF(SUMIF(Производство!$A$104:$A$145,Технологи!$B111,Производство!N$104:N$145)&gt;0,SUMIF(Производство!$A$104:$A$145,Технологи!$B111,Производство!N$104:N$145)*$F111+$G111,0)</f>
        <v>0</v>
      </c>
      <c r="R111" s="46">
        <f t="array" ref="R111">IF(SUMIF(Производство!$A$104:$A$145,Технологи!$B111,Производство!O$104:O$145)&gt;0,SUMIF(Производство!$A$104:$A$145,Технологи!$B111,Производство!O$104:O$145)*$F111+$G111,0)</f>
        <v>0</v>
      </c>
      <c r="S111" s="46">
        <f t="array" ref="S111">IF(SUMIF(Производство!$A$104:$A$145,Технологи!$B111,Производство!P$104:P$145)&gt;0,SUMIF(Производство!$A$104:$A$145,Технологи!$B111,Производство!P$104:P$145)*$F111+$G111,0)</f>
        <v>0</v>
      </c>
      <c r="T111" s="46">
        <f t="array" ref="T111">IF(SUMIF(Производство!$A$104:$A$145,Технологи!$B111,Производство!Q$104:Q$145)&gt;0,SUMIF(Производство!$A$104:$A$145,Технологи!$B111,Производство!Q$104:Q$145)*$F111+$G111,0)</f>
        <v>0</v>
      </c>
    </row>
    <row r="112" spans="1:20" x14ac:dyDescent="0.25">
      <c r="A112" s="34" t="s">
        <v>377</v>
      </c>
      <c r="B112" s="13" t="s">
        <v>61</v>
      </c>
      <c r="C112" s="19" t="s">
        <v>14</v>
      </c>
      <c r="D112" s="14">
        <v>7038</v>
      </c>
      <c r="E112" s="20"/>
      <c r="F112" s="24">
        <v>8.2807920535117054E-4</v>
      </c>
      <c r="G112" s="24">
        <v>6.1350602898550717E-2</v>
      </c>
      <c r="H112" s="23">
        <f t="shared" si="5"/>
        <v>0.82807920535117052</v>
      </c>
      <c r="I112" s="46">
        <f t="array" ref="I112">IF(SUMIF(Производство!$A$104:$A$145,Технологи!$B112,Производство!F$104:F$145)&gt;0,SUMIF(Производство!$A$104:$A$145,Технологи!$B112,Производство!F$104:F$145)*$F112+$G112,0)</f>
        <v>0.15575163230858416</v>
      </c>
      <c r="J112" s="46">
        <f t="array" ref="J112">IF(SUMIF(Производство!$A$104:$A$145,Технологи!$B112,Производство!G$104:G$145)&gt;0,SUMIF(Производство!$A$104:$A$145,Технологи!$B112,Производство!G$104:G$145)*$F112+$G112,0)</f>
        <v>0.29983741403968783</v>
      </c>
      <c r="K112" s="46">
        <f t="array" ref="K112">IF(SUMIF(Производство!$A$104:$A$145,Технологи!$B112,Производство!H$104:H$145)&gt;0,SUMIF(Производство!$A$104:$A$145,Технологи!$B112,Производство!H$104:H$145)*$F112+$G112,0)</f>
        <v>0</v>
      </c>
      <c r="L112" s="46">
        <f t="array" ref="L112">IF(SUMIF(Производство!$A$104:$A$145,Технологи!$B112,Производство!I$104:I$145)&gt;0,SUMIF(Производство!$A$104:$A$145,Технологи!$B112,Производство!I$104:I$145)*$F112+$G112,0)</f>
        <v>0</v>
      </c>
      <c r="M112" s="46">
        <f t="array" ref="M112">IF(SUMIF(Производство!$A$104:$A$145,Технологи!$B112,Производство!J$104:J$145)&gt;0,SUMIF(Производство!$A$104:$A$145,Технологи!$B112,Производство!J$104:J$145)*$F112+$G112,0)</f>
        <v>0</v>
      </c>
      <c r="N112" s="46">
        <f t="array" ref="N112">IF(SUMIF(Производство!$A$104:$A$145,Технологи!$B112,Производство!K$104:K$145)&gt;0,SUMIF(Производство!$A$104:$A$145,Технологи!$B112,Производство!K$104:K$145)*$F112+$G112,0)</f>
        <v>0</v>
      </c>
      <c r="O112" s="46">
        <f t="array" ref="O112">IF(SUMIF(Производство!$A$104:$A$145,Технологи!$B112,Производство!L$104:L$145)&gt;0,SUMIF(Производство!$A$104:$A$145,Технологи!$B112,Производство!L$104:L$145)*$F112+$G112,0)</f>
        <v>0</v>
      </c>
      <c r="P112" s="46">
        <f t="array" ref="P112">IF(SUMIF(Производство!$A$104:$A$145,Технологи!$B112,Производство!M$104:M$145)&gt;0,SUMIF(Производство!$A$104:$A$145,Технологи!$B112,Производство!M$104:M$145)*$F112+$G112,0)</f>
        <v>0</v>
      </c>
      <c r="Q112" s="46">
        <f t="array" ref="Q112">IF(SUMIF(Производство!$A$104:$A$145,Технологи!$B112,Производство!N$104:N$145)&gt;0,SUMIF(Производство!$A$104:$A$145,Технологи!$B112,Производство!N$104:N$145)*$F112+$G112,0)</f>
        <v>0</v>
      </c>
      <c r="R112" s="46">
        <f t="array" ref="R112">IF(SUMIF(Производство!$A$104:$A$145,Технологи!$B112,Производство!O$104:O$145)&gt;0,SUMIF(Производство!$A$104:$A$145,Технологи!$B112,Производство!O$104:O$145)*$F112+$G112,0)</f>
        <v>0</v>
      </c>
      <c r="S112" s="46">
        <f t="array" ref="S112">IF(SUMIF(Производство!$A$104:$A$145,Технологи!$B112,Производство!P$104:P$145)&gt;0,SUMIF(Производство!$A$104:$A$145,Технологи!$B112,Производство!P$104:P$145)*$F112+$G112,0)</f>
        <v>0</v>
      </c>
      <c r="T112" s="46">
        <f t="array" ref="T112">IF(SUMIF(Производство!$A$104:$A$145,Технологи!$B112,Производство!Q$104:Q$145)&gt;0,SUMIF(Производство!$A$104:$A$145,Технологи!$B112,Производство!Q$104:Q$145)*$F112+$G112,0)</f>
        <v>0</v>
      </c>
    </row>
    <row r="113" spans="1:20" x14ac:dyDescent="0.25">
      <c r="A113" s="34" t="s">
        <v>377</v>
      </c>
      <c r="B113" s="13" t="s">
        <v>61</v>
      </c>
      <c r="C113" s="19" t="s">
        <v>15</v>
      </c>
      <c r="D113" s="14">
        <v>7038</v>
      </c>
      <c r="E113" s="20"/>
      <c r="F113" s="24">
        <v>4.1403960267558527E-4</v>
      </c>
      <c r="G113" s="24">
        <v>3.0675301449275359E-2</v>
      </c>
      <c r="H113" s="23">
        <f t="shared" si="5"/>
        <v>0.41403960267558526</v>
      </c>
      <c r="I113" s="46">
        <f t="array" ref="I113">IF(SUMIF(Производство!$A$104:$A$145,Технологи!$B113,Производство!F$104:F$145)&gt;0,SUMIF(Производство!$A$104:$A$145,Технологи!$B113,Производство!F$104:F$145)*$F113+$G113,0)</f>
        <v>7.787581615429208E-2</v>
      </c>
      <c r="J113" s="46">
        <f t="array" ref="J113">IF(SUMIF(Производство!$A$104:$A$145,Технологи!$B113,Производство!G$104:G$145)&gt;0,SUMIF(Производство!$A$104:$A$145,Технологи!$B113,Производство!G$104:G$145)*$F113+$G113,0)</f>
        <v>0.14991870701984392</v>
      </c>
      <c r="K113" s="46">
        <f t="array" ref="K113">IF(SUMIF(Производство!$A$104:$A$145,Технологи!$B113,Производство!H$104:H$145)&gt;0,SUMIF(Производство!$A$104:$A$145,Технологи!$B113,Производство!H$104:H$145)*$F113+$G113,0)</f>
        <v>0</v>
      </c>
      <c r="L113" s="46">
        <f t="array" ref="L113">IF(SUMIF(Производство!$A$104:$A$145,Технологи!$B113,Производство!I$104:I$145)&gt;0,SUMIF(Производство!$A$104:$A$145,Технологи!$B113,Производство!I$104:I$145)*$F113+$G113,0)</f>
        <v>0</v>
      </c>
      <c r="M113" s="46">
        <f t="array" ref="M113">IF(SUMIF(Производство!$A$104:$A$145,Технологи!$B113,Производство!J$104:J$145)&gt;0,SUMIF(Производство!$A$104:$A$145,Технологи!$B113,Производство!J$104:J$145)*$F113+$G113,0)</f>
        <v>0</v>
      </c>
      <c r="N113" s="46">
        <f t="array" ref="N113">IF(SUMIF(Производство!$A$104:$A$145,Технологи!$B113,Производство!K$104:K$145)&gt;0,SUMIF(Производство!$A$104:$A$145,Технологи!$B113,Производство!K$104:K$145)*$F113+$G113,0)</f>
        <v>0</v>
      </c>
      <c r="O113" s="46">
        <f t="array" ref="O113">IF(SUMIF(Производство!$A$104:$A$145,Технологи!$B113,Производство!L$104:L$145)&gt;0,SUMIF(Производство!$A$104:$A$145,Технологи!$B113,Производство!L$104:L$145)*$F113+$G113,0)</f>
        <v>0</v>
      </c>
      <c r="P113" s="46">
        <f t="array" ref="P113">IF(SUMIF(Производство!$A$104:$A$145,Технологи!$B113,Производство!M$104:M$145)&gt;0,SUMIF(Производство!$A$104:$A$145,Технологи!$B113,Производство!M$104:M$145)*$F113+$G113,0)</f>
        <v>0</v>
      </c>
      <c r="Q113" s="46">
        <f t="array" ref="Q113">IF(SUMIF(Производство!$A$104:$A$145,Технологи!$B113,Производство!N$104:N$145)&gt;0,SUMIF(Производство!$A$104:$A$145,Технологи!$B113,Производство!N$104:N$145)*$F113+$G113,0)</f>
        <v>0</v>
      </c>
      <c r="R113" s="46">
        <f t="array" ref="R113">IF(SUMIF(Производство!$A$104:$A$145,Технологи!$B113,Производство!O$104:O$145)&gt;0,SUMIF(Производство!$A$104:$A$145,Технологи!$B113,Производство!O$104:O$145)*$F113+$G113,0)</f>
        <v>0</v>
      </c>
      <c r="S113" s="46">
        <f t="array" ref="S113">IF(SUMIF(Производство!$A$104:$A$145,Технологи!$B113,Производство!P$104:P$145)&gt;0,SUMIF(Производство!$A$104:$A$145,Технологи!$B113,Производство!P$104:P$145)*$F113+$G113,0)</f>
        <v>0</v>
      </c>
      <c r="T113" s="46">
        <f t="array" ref="T113">IF(SUMIF(Производство!$A$104:$A$145,Технологи!$B113,Производство!Q$104:Q$145)&gt;0,SUMIF(Производство!$A$104:$A$145,Технологи!$B113,Производство!Q$104:Q$145)*$F113+$G113,0)</f>
        <v>0</v>
      </c>
    </row>
    <row r="114" spans="1:20" x14ac:dyDescent="0.25">
      <c r="A114" s="34" t="s">
        <v>377</v>
      </c>
      <c r="B114" s="13" t="s">
        <v>61</v>
      </c>
      <c r="C114" s="19" t="s">
        <v>16</v>
      </c>
      <c r="D114" s="14">
        <v>7038</v>
      </c>
      <c r="E114" s="20"/>
      <c r="F114" s="24">
        <v>5.4931986889632106E-3</v>
      </c>
      <c r="G114" s="24">
        <v>0.40900401932367153</v>
      </c>
      <c r="H114" s="23">
        <f t="shared" si="5"/>
        <v>5.4931986889632105</v>
      </c>
      <c r="I114" s="46">
        <f t="array" ref="I114">IF(SUMIF(Производство!$A$104:$A$145,Технологи!$B114,Производство!F$104:F$145)&gt;0,SUMIF(Производство!$A$104:$A$145,Технологи!$B114,Производство!F$104:F$145)*$F114+$G114,0)</f>
        <v>1.0352286698654776</v>
      </c>
      <c r="J114" s="46">
        <f t="array" ref="J114">IF(SUMIF(Производство!$A$104:$A$145,Технологи!$B114,Производство!G$104:G$145)&gt;0,SUMIF(Производство!$A$104:$A$145,Технологи!$B114,Производство!G$104:G$145)*$F114+$G114,0)</f>
        <v>1.9910452417450761</v>
      </c>
      <c r="K114" s="46">
        <f t="array" ref="K114">IF(SUMIF(Производство!$A$104:$A$145,Технологи!$B114,Производство!H$104:H$145)&gt;0,SUMIF(Производство!$A$104:$A$145,Технологи!$B114,Производство!H$104:H$145)*$F114+$G114,0)</f>
        <v>0</v>
      </c>
      <c r="L114" s="46">
        <f t="array" ref="L114">IF(SUMIF(Производство!$A$104:$A$145,Технологи!$B114,Производство!I$104:I$145)&gt;0,SUMIF(Производство!$A$104:$A$145,Технологи!$B114,Производство!I$104:I$145)*$F114+$G114,0)</f>
        <v>0</v>
      </c>
      <c r="M114" s="46">
        <f t="array" ref="M114">IF(SUMIF(Производство!$A$104:$A$145,Технологи!$B114,Производство!J$104:J$145)&gt;0,SUMIF(Производство!$A$104:$A$145,Технологи!$B114,Производство!J$104:J$145)*$F114+$G114,0)</f>
        <v>0</v>
      </c>
      <c r="N114" s="46">
        <f t="array" ref="N114">IF(SUMIF(Производство!$A$104:$A$145,Технологи!$B114,Производство!K$104:K$145)&gt;0,SUMIF(Производство!$A$104:$A$145,Технологи!$B114,Производство!K$104:K$145)*$F114+$G114,0)</f>
        <v>0</v>
      </c>
      <c r="O114" s="46">
        <f t="array" ref="O114">IF(SUMIF(Производство!$A$104:$A$145,Технологи!$B114,Производство!L$104:L$145)&gt;0,SUMIF(Производство!$A$104:$A$145,Технологи!$B114,Производство!L$104:L$145)*$F114+$G114,0)</f>
        <v>0</v>
      </c>
      <c r="P114" s="46">
        <f t="array" ref="P114">IF(SUMIF(Производство!$A$104:$A$145,Технологи!$B114,Производство!M$104:M$145)&gt;0,SUMIF(Производство!$A$104:$A$145,Технологи!$B114,Производство!M$104:M$145)*$F114+$G114,0)</f>
        <v>0</v>
      </c>
      <c r="Q114" s="46">
        <f t="array" ref="Q114">IF(SUMIF(Производство!$A$104:$A$145,Технологи!$B114,Производство!N$104:N$145)&gt;0,SUMIF(Производство!$A$104:$A$145,Технологи!$B114,Производство!N$104:N$145)*$F114+$G114,0)</f>
        <v>0</v>
      </c>
      <c r="R114" s="46">
        <f t="array" ref="R114">IF(SUMIF(Производство!$A$104:$A$145,Технологи!$B114,Производство!O$104:O$145)&gt;0,SUMIF(Производство!$A$104:$A$145,Технологи!$B114,Производство!O$104:O$145)*$F114+$G114,0)</f>
        <v>0</v>
      </c>
      <c r="S114" s="46">
        <f t="array" ref="S114">IF(SUMIF(Производство!$A$104:$A$145,Технологи!$B114,Производство!P$104:P$145)&gt;0,SUMIF(Производство!$A$104:$A$145,Технологи!$B114,Производство!P$104:P$145)*$F114+$G114,0)</f>
        <v>0</v>
      </c>
      <c r="T114" s="46">
        <f t="array" ref="T114">IF(SUMIF(Производство!$A$104:$A$145,Технологи!$B114,Производство!Q$104:Q$145)&gt;0,SUMIF(Производство!$A$104:$A$145,Технологи!$B114,Производство!Q$104:Q$145)*$F114+$G114,0)</f>
        <v>0</v>
      </c>
    </row>
    <row r="115" spans="1:20" x14ac:dyDescent="0.25">
      <c r="A115" s="34" t="s">
        <v>377</v>
      </c>
      <c r="B115" s="13" t="s">
        <v>61</v>
      </c>
      <c r="C115" s="19" t="s">
        <v>17</v>
      </c>
      <c r="D115" s="14">
        <v>7038</v>
      </c>
      <c r="E115" s="20"/>
      <c r="F115" s="24">
        <v>3.0362904196209596E-3</v>
      </c>
      <c r="G115" s="24">
        <v>0.22495221062801934</v>
      </c>
      <c r="H115" s="23">
        <f t="shared" si="5"/>
        <v>3.0362904196209595</v>
      </c>
      <c r="I115" s="46">
        <f t="array" ref="I115">IF(SUMIF(Производство!$A$104:$A$145,Технологи!$B115,Производство!F$104:F$145)&gt;0,SUMIF(Производство!$A$104:$A$145,Технологи!$B115,Производство!F$104:F$145)*$F115+$G115,0)</f>
        <v>0.5710893184648087</v>
      </c>
      <c r="J115" s="46">
        <f t="array" ref="J115">IF(SUMIF(Производство!$A$104:$A$145,Технологи!$B115,Производство!G$104:G$145)&gt;0,SUMIF(Производство!$A$104:$A$145,Технологи!$B115,Производство!G$104:G$145)*$F115+$G115,0)</f>
        <v>1.0994038514788558</v>
      </c>
      <c r="K115" s="46">
        <f t="array" ref="K115">IF(SUMIF(Производство!$A$104:$A$145,Технологи!$B115,Производство!H$104:H$145)&gt;0,SUMIF(Производство!$A$104:$A$145,Технологи!$B115,Производство!H$104:H$145)*$F115+$G115,0)</f>
        <v>0</v>
      </c>
      <c r="L115" s="46">
        <f t="array" ref="L115">IF(SUMIF(Производство!$A$104:$A$145,Технологи!$B115,Производство!I$104:I$145)&gt;0,SUMIF(Производство!$A$104:$A$145,Технологи!$B115,Производство!I$104:I$145)*$F115+$G115,0)</f>
        <v>0</v>
      </c>
      <c r="M115" s="46">
        <f t="array" ref="M115">IF(SUMIF(Производство!$A$104:$A$145,Технологи!$B115,Производство!J$104:J$145)&gt;0,SUMIF(Производство!$A$104:$A$145,Технологи!$B115,Производство!J$104:J$145)*$F115+$G115,0)</f>
        <v>0</v>
      </c>
      <c r="N115" s="46">
        <f t="array" ref="N115">IF(SUMIF(Производство!$A$104:$A$145,Технологи!$B115,Производство!K$104:K$145)&gt;0,SUMIF(Производство!$A$104:$A$145,Технологи!$B115,Производство!K$104:K$145)*$F115+$G115,0)</f>
        <v>0</v>
      </c>
      <c r="O115" s="46">
        <f t="array" ref="O115">IF(SUMIF(Производство!$A$104:$A$145,Технологи!$B115,Производство!L$104:L$145)&gt;0,SUMIF(Производство!$A$104:$A$145,Технологи!$B115,Производство!L$104:L$145)*$F115+$G115,0)</f>
        <v>0</v>
      </c>
      <c r="P115" s="46">
        <f t="array" ref="P115">IF(SUMIF(Производство!$A$104:$A$145,Технологи!$B115,Производство!M$104:M$145)&gt;0,SUMIF(Производство!$A$104:$A$145,Технологи!$B115,Производство!M$104:M$145)*$F115+$G115,0)</f>
        <v>0</v>
      </c>
      <c r="Q115" s="46">
        <f t="array" ref="Q115">IF(SUMIF(Производство!$A$104:$A$145,Технологи!$B115,Производство!N$104:N$145)&gt;0,SUMIF(Производство!$A$104:$A$145,Технологи!$B115,Производство!N$104:N$145)*$F115+$G115,0)</f>
        <v>0</v>
      </c>
      <c r="R115" s="46">
        <f t="array" ref="R115">IF(SUMIF(Производство!$A$104:$A$145,Технологи!$B115,Производство!O$104:O$145)&gt;0,SUMIF(Производство!$A$104:$A$145,Технологи!$B115,Производство!O$104:O$145)*$F115+$G115,0)</f>
        <v>0</v>
      </c>
      <c r="S115" s="46">
        <f t="array" ref="S115">IF(SUMIF(Производство!$A$104:$A$145,Технологи!$B115,Производство!P$104:P$145)&gt;0,SUMIF(Производство!$A$104:$A$145,Технологи!$B115,Производство!P$104:P$145)*$F115+$G115,0)</f>
        <v>0</v>
      </c>
      <c r="T115" s="46">
        <f t="array" ref="T115">IF(SUMIF(Производство!$A$104:$A$145,Технологи!$B115,Производство!Q$104:Q$145)&gt;0,SUMIF(Производство!$A$104:$A$145,Технологи!$B115,Производство!Q$104:Q$145)*$F115+$G115,0)</f>
        <v>0</v>
      </c>
    </row>
    <row r="116" spans="1:20" x14ac:dyDescent="0.25">
      <c r="A116" s="34" t="s">
        <v>377</v>
      </c>
      <c r="B116" s="13" t="s">
        <v>61</v>
      </c>
      <c r="C116" s="19" t="s">
        <v>18</v>
      </c>
      <c r="D116" s="14">
        <v>7038</v>
      </c>
      <c r="E116" s="20"/>
      <c r="F116" s="24">
        <v>2.7411334751393534E-3</v>
      </c>
      <c r="G116" s="24">
        <v>0.20450200966183577</v>
      </c>
      <c r="H116" s="23">
        <f t="shared" si="5"/>
        <v>2.7411334751393532</v>
      </c>
      <c r="I116" s="46">
        <f t="array" ref="I116">IF(SUMIF(Производство!$A$104:$A$145,Технологи!$B116,Производство!F$104:F$145)&gt;0,SUMIF(Производство!$A$104:$A$145,Технологи!$B116,Производство!F$104:F$145)*$F116+$G116,0)</f>
        <v>0.51699122582772206</v>
      </c>
      <c r="J116" s="46">
        <f t="array" ref="J116">IF(SUMIF(Производство!$A$104:$A$145,Технологи!$B116,Производство!G$104:G$145)&gt;0,SUMIF(Производство!$A$104:$A$145,Технологи!$B116,Производство!G$104:G$145)*$F116+$G116,0)</f>
        <v>0.99394845050196956</v>
      </c>
      <c r="K116" s="46">
        <f t="array" ref="K116">IF(SUMIF(Производство!$A$104:$A$145,Технологи!$B116,Производство!H$104:H$145)&gt;0,SUMIF(Производство!$A$104:$A$145,Технологи!$B116,Производство!H$104:H$145)*$F116+$G116,0)</f>
        <v>0</v>
      </c>
      <c r="L116" s="46">
        <f t="array" ref="L116">IF(SUMIF(Производство!$A$104:$A$145,Технологи!$B116,Производство!I$104:I$145)&gt;0,SUMIF(Производство!$A$104:$A$145,Технологи!$B116,Производство!I$104:I$145)*$F116+$G116,0)</f>
        <v>0</v>
      </c>
      <c r="M116" s="46">
        <f t="array" ref="M116">IF(SUMIF(Производство!$A$104:$A$145,Технологи!$B116,Производство!J$104:J$145)&gt;0,SUMIF(Производство!$A$104:$A$145,Технологи!$B116,Производство!J$104:J$145)*$F116+$G116,0)</f>
        <v>0</v>
      </c>
      <c r="N116" s="46">
        <f t="array" ref="N116">IF(SUMIF(Производство!$A$104:$A$145,Технологи!$B116,Производство!K$104:K$145)&gt;0,SUMIF(Производство!$A$104:$A$145,Технологи!$B116,Производство!K$104:K$145)*$F116+$G116,0)</f>
        <v>0</v>
      </c>
      <c r="O116" s="46">
        <f t="array" ref="O116">IF(SUMIF(Производство!$A$104:$A$145,Технологи!$B116,Производство!L$104:L$145)&gt;0,SUMIF(Производство!$A$104:$A$145,Технологи!$B116,Производство!L$104:L$145)*$F116+$G116,0)</f>
        <v>0</v>
      </c>
      <c r="P116" s="46">
        <f t="array" ref="P116">IF(SUMIF(Производство!$A$104:$A$145,Технологи!$B116,Производство!M$104:M$145)&gt;0,SUMIF(Производство!$A$104:$A$145,Технологи!$B116,Производство!M$104:M$145)*$F116+$G116,0)</f>
        <v>0</v>
      </c>
      <c r="Q116" s="46">
        <f t="array" ref="Q116">IF(SUMIF(Производство!$A$104:$A$145,Технологи!$B116,Производство!N$104:N$145)&gt;0,SUMIF(Производство!$A$104:$A$145,Технологи!$B116,Производство!N$104:N$145)*$F116+$G116,0)</f>
        <v>0</v>
      </c>
      <c r="R116" s="46">
        <f t="array" ref="R116">IF(SUMIF(Производство!$A$104:$A$145,Технологи!$B116,Производство!O$104:O$145)&gt;0,SUMIF(Производство!$A$104:$A$145,Технологи!$B116,Производство!O$104:O$145)*$F116+$G116,0)</f>
        <v>0</v>
      </c>
      <c r="S116" s="46">
        <f t="array" ref="S116">IF(SUMIF(Производство!$A$104:$A$145,Технологи!$B116,Производство!P$104:P$145)&gt;0,SUMIF(Производство!$A$104:$A$145,Технологи!$B116,Производство!P$104:P$145)*$F116+$G116,0)</f>
        <v>0</v>
      </c>
      <c r="T116" s="46">
        <f t="array" ref="T116">IF(SUMIF(Производство!$A$104:$A$145,Технологи!$B116,Производство!Q$104:Q$145)&gt;0,SUMIF(Производство!$A$104:$A$145,Технологи!$B116,Производство!Q$104:Q$145)*$F116+$G116,0)</f>
        <v>0</v>
      </c>
    </row>
    <row r="117" spans="1:20" x14ac:dyDescent="0.25">
      <c r="A117" s="34" t="s">
        <v>377</v>
      </c>
      <c r="B117" s="13" t="s">
        <v>61</v>
      </c>
      <c r="C117" s="19" t="s">
        <v>19</v>
      </c>
      <c r="D117" s="14">
        <v>7038</v>
      </c>
      <c r="E117" s="20"/>
      <c r="F117" s="24">
        <v>0.61087564000000016</v>
      </c>
      <c r="G117" s="24">
        <v>21.380647400000008</v>
      </c>
      <c r="H117" s="23">
        <f t="shared" si="5"/>
        <v>610.8756400000002</v>
      </c>
      <c r="I117" s="46">
        <f t="array" ref="I117">IF(SUMIF(Производство!$A$104:$A$145,Технологи!$B117,Производство!F$104:F$145)&gt;0,SUMIF(Производство!$A$104:$A$145,Технологи!$B117,Производство!F$104:F$145)*$F117+$G117,0)</f>
        <v>91.020470360000019</v>
      </c>
      <c r="J117" s="46">
        <f t="array" ref="J117">IF(SUMIF(Производство!$A$104:$A$145,Технологи!$B117,Производство!G$104:G$145)&gt;0,SUMIF(Производство!$A$104:$A$145,Технологи!$B117,Производство!G$104:G$145)*$F117+$G117,0)</f>
        <v>197.31283172000005</v>
      </c>
      <c r="K117" s="46">
        <f t="array" ref="K117">IF(SUMIF(Производство!$A$104:$A$145,Технологи!$B117,Производство!H$104:H$145)&gt;0,SUMIF(Производство!$A$104:$A$145,Технологи!$B117,Производство!H$104:H$145)*$F117+$G117,0)</f>
        <v>0</v>
      </c>
      <c r="L117" s="46">
        <f t="array" ref="L117">IF(SUMIF(Производство!$A$104:$A$145,Технологи!$B117,Производство!I$104:I$145)&gt;0,SUMIF(Производство!$A$104:$A$145,Технологи!$B117,Производство!I$104:I$145)*$F117+$G117,0)</f>
        <v>0</v>
      </c>
      <c r="M117" s="46">
        <f t="array" ref="M117">IF(SUMIF(Производство!$A$104:$A$145,Технологи!$B117,Производство!J$104:J$145)&gt;0,SUMIF(Производство!$A$104:$A$145,Технологи!$B117,Производство!J$104:J$145)*$F117+$G117,0)</f>
        <v>0</v>
      </c>
      <c r="N117" s="46">
        <f t="array" ref="N117">IF(SUMIF(Производство!$A$104:$A$145,Технологи!$B117,Производство!K$104:K$145)&gt;0,SUMIF(Производство!$A$104:$A$145,Технологи!$B117,Производство!K$104:K$145)*$F117+$G117,0)</f>
        <v>0</v>
      </c>
      <c r="O117" s="46">
        <f t="array" ref="O117">IF(SUMIF(Производство!$A$104:$A$145,Технологи!$B117,Производство!L$104:L$145)&gt;0,SUMIF(Производство!$A$104:$A$145,Технологи!$B117,Производство!L$104:L$145)*$F117+$G117,0)</f>
        <v>0</v>
      </c>
      <c r="P117" s="46">
        <f t="array" ref="P117">IF(SUMIF(Производство!$A$104:$A$145,Технологи!$B117,Производство!M$104:M$145)&gt;0,SUMIF(Производство!$A$104:$A$145,Технологи!$B117,Производство!M$104:M$145)*$F117+$G117,0)</f>
        <v>0</v>
      </c>
      <c r="Q117" s="46">
        <f t="array" ref="Q117">IF(SUMIF(Производство!$A$104:$A$145,Технологи!$B117,Производство!N$104:N$145)&gt;0,SUMIF(Производство!$A$104:$A$145,Технологи!$B117,Производство!N$104:N$145)*$F117+$G117,0)</f>
        <v>0</v>
      </c>
      <c r="R117" s="46">
        <f t="array" ref="R117">IF(SUMIF(Производство!$A$104:$A$145,Технологи!$B117,Производство!O$104:O$145)&gt;0,SUMIF(Производство!$A$104:$A$145,Технологи!$B117,Производство!O$104:O$145)*$F117+$G117,0)</f>
        <v>0</v>
      </c>
      <c r="S117" s="46">
        <f t="array" ref="S117">IF(SUMIF(Производство!$A$104:$A$145,Технологи!$B117,Производство!P$104:P$145)&gt;0,SUMIF(Производство!$A$104:$A$145,Технологи!$B117,Производство!P$104:P$145)*$F117+$G117,0)</f>
        <v>0</v>
      </c>
      <c r="T117" s="46">
        <f t="array" ref="T117">IF(SUMIF(Производство!$A$104:$A$145,Технологи!$B117,Производство!Q$104:Q$145)&gt;0,SUMIF(Производство!$A$104:$A$145,Технологи!$B117,Производство!Q$104:Q$145)*$F117+$G117,0)</f>
        <v>0</v>
      </c>
    </row>
    <row r="118" spans="1:20" x14ac:dyDescent="0.25">
      <c r="A118" s="34" t="s">
        <v>377</v>
      </c>
      <c r="B118" s="13" t="s">
        <v>61</v>
      </c>
      <c r="C118" s="19" t="s">
        <v>20</v>
      </c>
      <c r="D118" s="14">
        <v>7038</v>
      </c>
      <c r="E118" s="20"/>
      <c r="F118" s="24">
        <v>5.5199999999999999E-2</v>
      </c>
      <c r="G118" s="24">
        <v>0.82799999999999985</v>
      </c>
      <c r="H118" s="23">
        <f t="shared" si="5"/>
        <v>55.199999999999996</v>
      </c>
      <c r="I118" s="46">
        <f t="array" ref="I118">IF(SUMIF(Производство!$A$104:$A$145,Технологи!$B118,Производство!F$104:F$145)&gt;0,SUMIF(Производство!$A$104:$A$145,Технологи!$B118,Производство!F$104:F$145)*$F118+$G118,0)</f>
        <v>7.1207999999999991</v>
      </c>
      <c r="J118" s="46">
        <f t="array" ref="J118">IF(SUMIF(Производство!$A$104:$A$145,Технологи!$B118,Производство!G$104:G$145)&gt;0,SUMIF(Производство!$A$104:$A$145,Технологи!$B118,Производство!G$104:G$145)*$F118+$G118,0)</f>
        <v>16.7256</v>
      </c>
      <c r="K118" s="46">
        <f t="array" ref="K118">IF(SUMIF(Производство!$A$104:$A$145,Технологи!$B118,Производство!H$104:H$145)&gt;0,SUMIF(Производство!$A$104:$A$145,Технологи!$B118,Производство!H$104:H$145)*$F118+$G118,0)</f>
        <v>0</v>
      </c>
      <c r="L118" s="46">
        <f t="array" ref="L118">IF(SUMIF(Производство!$A$104:$A$145,Технологи!$B118,Производство!I$104:I$145)&gt;0,SUMIF(Производство!$A$104:$A$145,Технологи!$B118,Производство!I$104:I$145)*$F118+$G118,0)</f>
        <v>0</v>
      </c>
      <c r="M118" s="46">
        <f t="array" ref="M118">IF(SUMIF(Производство!$A$104:$A$145,Технологи!$B118,Производство!J$104:J$145)&gt;0,SUMIF(Производство!$A$104:$A$145,Технологи!$B118,Производство!J$104:J$145)*$F118+$G118,0)</f>
        <v>0</v>
      </c>
      <c r="N118" s="46">
        <f t="array" ref="N118">IF(SUMIF(Производство!$A$104:$A$145,Технологи!$B118,Производство!K$104:K$145)&gt;0,SUMIF(Производство!$A$104:$A$145,Технологи!$B118,Производство!K$104:K$145)*$F118+$G118,0)</f>
        <v>0</v>
      </c>
      <c r="O118" s="46">
        <f t="array" ref="O118">IF(SUMIF(Производство!$A$104:$A$145,Технологи!$B118,Производство!L$104:L$145)&gt;0,SUMIF(Производство!$A$104:$A$145,Технологи!$B118,Производство!L$104:L$145)*$F118+$G118,0)</f>
        <v>0</v>
      </c>
      <c r="P118" s="46">
        <f t="array" ref="P118">IF(SUMIF(Производство!$A$104:$A$145,Технологи!$B118,Производство!M$104:M$145)&gt;0,SUMIF(Производство!$A$104:$A$145,Технологи!$B118,Производство!M$104:M$145)*$F118+$G118,0)</f>
        <v>0</v>
      </c>
      <c r="Q118" s="46">
        <f t="array" ref="Q118">IF(SUMIF(Производство!$A$104:$A$145,Технологи!$B118,Производство!N$104:N$145)&gt;0,SUMIF(Производство!$A$104:$A$145,Технологи!$B118,Производство!N$104:N$145)*$F118+$G118,0)</f>
        <v>0</v>
      </c>
      <c r="R118" s="46">
        <f t="array" ref="R118">IF(SUMIF(Производство!$A$104:$A$145,Технологи!$B118,Производство!O$104:O$145)&gt;0,SUMIF(Производство!$A$104:$A$145,Технологи!$B118,Производство!O$104:O$145)*$F118+$G118,0)</f>
        <v>0</v>
      </c>
      <c r="S118" s="46">
        <f t="array" ref="S118">IF(SUMIF(Производство!$A$104:$A$145,Технологи!$B118,Производство!P$104:P$145)&gt;0,SUMIF(Производство!$A$104:$A$145,Технологи!$B118,Производство!P$104:P$145)*$F118+$G118,0)</f>
        <v>0</v>
      </c>
      <c r="T118" s="46">
        <f t="array" ref="T118">IF(SUMIF(Производство!$A$104:$A$145,Технологи!$B118,Производство!Q$104:Q$145)&gt;0,SUMIF(Производство!$A$104:$A$145,Технологи!$B118,Производство!Q$104:Q$145)*$F118+$G118,0)</f>
        <v>0</v>
      </c>
    </row>
    <row r="119" spans="1:20" x14ac:dyDescent="0.25">
      <c r="A119" s="34" t="s">
        <v>377</v>
      </c>
      <c r="B119" s="13" t="s">
        <v>61</v>
      </c>
      <c r="C119" s="19" t="s">
        <v>21</v>
      </c>
      <c r="D119" s="14">
        <v>7038</v>
      </c>
      <c r="E119" s="20"/>
      <c r="F119" s="24">
        <v>8.0500000000000002E-2</v>
      </c>
      <c r="G119" s="24">
        <v>1.2075</v>
      </c>
      <c r="H119" s="23">
        <f t="shared" si="5"/>
        <v>80.5</v>
      </c>
      <c r="I119" s="46">
        <f t="array" ref="I119">IF(SUMIF(Производство!$A$104:$A$145,Технологи!$B119,Производство!F$104:F$145)&gt;0,SUMIF(Производство!$A$104:$A$145,Технологи!$B119,Производство!F$104:F$145)*$F119+$G119,0)</f>
        <v>10.384499999999999</v>
      </c>
      <c r="J119" s="46">
        <f t="array" ref="J119">IF(SUMIF(Производство!$A$104:$A$145,Технологи!$B119,Производство!G$104:G$145)&gt;0,SUMIF(Производство!$A$104:$A$145,Технологи!$B119,Производство!G$104:G$145)*$F119+$G119,0)</f>
        <v>24.391500000000001</v>
      </c>
      <c r="K119" s="46">
        <f t="array" ref="K119">IF(SUMIF(Производство!$A$104:$A$145,Технологи!$B119,Производство!H$104:H$145)&gt;0,SUMIF(Производство!$A$104:$A$145,Технологи!$B119,Производство!H$104:H$145)*$F119+$G119,0)</f>
        <v>0</v>
      </c>
      <c r="L119" s="46">
        <f t="array" ref="L119">IF(SUMIF(Производство!$A$104:$A$145,Технологи!$B119,Производство!I$104:I$145)&gt;0,SUMIF(Производство!$A$104:$A$145,Технологи!$B119,Производство!I$104:I$145)*$F119+$G119,0)</f>
        <v>0</v>
      </c>
      <c r="M119" s="46">
        <f t="array" ref="M119">IF(SUMIF(Производство!$A$104:$A$145,Технологи!$B119,Производство!J$104:J$145)&gt;0,SUMIF(Производство!$A$104:$A$145,Технологи!$B119,Производство!J$104:J$145)*$F119+$G119,0)</f>
        <v>0</v>
      </c>
      <c r="N119" s="46">
        <f t="array" ref="N119">IF(SUMIF(Производство!$A$104:$A$145,Технологи!$B119,Производство!K$104:K$145)&gt;0,SUMIF(Производство!$A$104:$A$145,Технологи!$B119,Производство!K$104:K$145)*$F119+$G119,0)</f>
        <v>0</v>
      </c>
      <c r="O119" s="46">
        <f t="array" ref="O119">IF(SUMIF(Производство!$A$104:$A$145,Технологи!$B119,Производство!L$104:L$145)&gt;0,SUMIF(Производство!$A$104:$A$145,Технологи!$B119,Производство!L$104:L$145)*$F119+$G119,0)</f>
        <v>0</v>
      </c>
      <c r="P119" s="46">
        <f t="array" ref="P119">IF(SUMIF(Производство!$A$104:$A$145,Технологи!$B119,Производство!M$104:M$145)&gt;0,SUMIF(Производство!$A$104:$A$145,Технологи!$B119,Производство!M$104:M$145)*$F119+$G119,0)</f>
        <v>0</v>
      </c>
      <c r="Q119" s="46">
        <f t="array" ref="Q119">IF(SUMIF(Производство!$A$104:$A$145,Технологи!$B119,Производство!N$104:N$145)&gt;0,SUMIF(Производство!$A$104:$A$145,Технологи!$B119,Производство!N$104:N$145)*$F119+$G119,0)</f>
        <v>0</v>
      </c>
      <c r="R119" s="46">
        <f t="array" ref="R119">IF(SUMIF(Производство!$A$104:$A$145,Технологи!$B119,Производство!O$104:O$145)&gt;0,SUMIF(Производство!$A$104:$A$145,Технологи!$B119,Производство!O$104:O$145)*$F119+$G119,0)</f>
        <v>0</v>
      </c>
      <c r="S119" s="46">
        <f t="array" ref="S119">IF(SUMIF(Производство!$A$104:$A$145,Технологи!$B119,Производство!P$104:P$145)&gt;0,SUMIF(Производство!$A$104:$A$145,Технологи!$B119,Производство!P$104:P$145)*$F119+$G119,0)</f>
        <v>0</v>
      </c>
      <c r="T119" s="46">
        <f t="array" ref="T119">IF(SUMIF(Производство!$A$104:$A$145,Технологи!$B119,Производство!Q$104:Q$145)&gt;0,SUMIF(Производство!$A$104:$A$145,Технологи!$B119,Производство!Q$104:Q$145)*$F119+$G119,0)</f>
        <v>0</v>
      </c>
    </row>
    <row r="120" spans="1:20" x14ac:dyDescent="0.25">
      <c r="A120" s="34" t="s">
        <v>377</v>
      </c>
      <c r="B120" s="13" t="s">
        <v>61</v>
      </c>
      <c r="C120" s="19" t="s">
        <v>22</v>
      </c>
      <c r="D120" s="14">
        <v>7038</v>
      </c>
      <c r="E120" s="20"/>
      <c r="F120" s="24">
        <v>0</v>
      </c>
      <c r="G120" s="24">
        <v>0</v>
      </c>
      <c r="H120" s="23">
        <f t="shared" si="5"/>
        <v>0</v>
      </c>
      <c r="I120" s="46">
        <f t="array" ref="I120">IF(SUMIF(Производство!$A$104:$A$145,Технологи!$B120,Производство!F$104:F$145)&gt;0,SUMIF(Производство!$A$104:$A$145,Технологи!$B120,Производство!F$104:F$145)*$F120+$G120,0)</f>
        <v>0</v>
      </c>
      <c r="J120" s="46">
        <f t="array" ref="J120">IF(SUMIF(Производство!$A$104:$A$145,Технологи!$B120,Производство!G$104:G$145)&gt;0,SUMIF(Производство!$A$104:$A$145,Технологи!$B120,Производство!G$104:G$145)*$F120+$G120,0)</f>
        <v>0</v>
      </c>
      <c r="K120" s="46">
        <f t="array" ref="K120">IF(SUMIF(Производство!$A$104:$A$145,Технологи!$B120,Производство!H$104:H$145)&gt;0,SUMIF(Производство!$A$104:$A$145,Технологи!$B120,Производство!H$104:H$145)*$F120+$G120,0)</f>
        <v>0</v>
      </c>
      <c r="L120" s="46">
        <f t="array" ref="L120">IF(SUMIF(Производство!$A$104:$A$145,Технологи!$B120,Производство!I$104:I$145)&gt;0,SUMIF(Производство!$A$104:$A$145,Технологи!$B120,Производство!I$104:I$145)*$F120+$G120,0)</f>
        <v>0</v>
      </c>
      <c r="M120" s="46">
        <f t="array" ref="M120">IF(SUMIF(Производство!$A$104:$A$145,Технологи!$B120,Производство!J$104:J$145)&gt;0,SUMIF(Производство!$A$104:$A$145,Технологи!$B120,Производство!J$104:J$145)*$F120+$G120,0)</f>
        <v>0</v>
      </c>
      <c r="N120" s="46">
        <f t="array" ref="N120">IF(SUMIF(Производство!$A$104:$A$145,Технологи!$B120,Производство!K$104:K$145)&gt;0,SUMIF(Производство!$A$104:$A$145,Технологи!$B120,Производство!K$104:K$145)*$F120+$G120,0)</f>
        <v>0</v>
      </c>
      <c r="O120" s="46">
        <f t="array" ref="O120">IF(SUMIF(Производство!$A$104:$A$145,Технологи!$B120,Производство!L$104:L$145)&gt;0,SUMIF(Производство!$A$104:$A$145,Технологи!$B120,Производство!L$104:L$145)*$F120+$G120,0)</f>
        <v>0</v>
      </c>
      <c r="P120" s="46">
        <f t="array" ref="P120">IF(SUMIF(Производство!$A$104:$A$145,Технологи!$B120,Производство!M$104:M$145)&gt;0,SUMIF(Производство!$A$104:$A$145,Технологи!$B120,Производство!M$104:M$145)*$F120+$G120,0)</f>
        <v>0</v>
      </c>
      <c r="Q120" s="46">
        <f t="array" ref="Q120">IF(SUMIF(Производство!$A$104:$A$145,Технологи!$B120,Производство!N$104:N$145)&gt;0,SUMIF(Производство!$A$104:$A$145,Технологи!$B120,Производство!N$104:N$145)*$F120+$G120,0)</f>
        <v>0</v>
      </c>
      <c r="R120" s="46">
        <f t="array" ref="R120">IF(SUMIF(Производство!$A$104:$A$145,Технологи!$B120,Производство!O$104:O$145)&gt;0,SUMIF(Производство!$A$104:$A$145,Технологи!$B120,Производство!O$104:O$145)*$F120+$G120,0)</f>
        <v>0</v>
      </c>
      <c r="S120" s="46">
        <f t="array" ref="S120">IF(SUMIF(Производство!$A$104:$A$145,Технологи!$B120,Производство!P$104:P$145)&gt;0,SUMIF(Производство!$A$104:$A$145,Технологи!$B120,Производство!P$104:P$145)*$F120+$G120,0)</f>
        <v>0</v>
      </c>
      <c r="T120" s="46">
        <f t="array" ref="T120">IF(SUMIF(Производство!$A$104:$A$145,Технологи!$B120,Производство!Q$104:Q$145)&gt;0,SUMIF(Производство!$A$104:$A$145,Технологи!$B120,Производство!Q$104:Q$145)*$F120+$G120,0)</f>
        <v>0</v>
      </c>
    </row>
    <row r="121" spans="1:20" x14ac:dyDescent="0.25">
      <c r="A121" s="34" t="s">
        <v>377</v>
      </c>
      <c r="B121" s="13" t="s">
        <v>61</v>
      </c>
      <c r="C121" s="19" t="s">
        <v>23</v>
      </c>
      <c r="D121" s="14">
        <v>7038</v>
      </c>
      <c r="E121" s="20"/>
      <c r="F121" s="24">
        <v>0</v>
      </c>
      <c r="G121" s="24">
        <v>0</v>
      </c>
      <c r="H121" s="23">
        <f t="shared" si="5"/>
        <v>0</v>
      </c>
      <c r="I121" s="46">
        <f t="array" ref="I121">IF(SUMIF(Производство!$A$104:$A$145,Технологи!$B121,Производство!F$104:F$145)&gt;0,SUMIF(Производство!$A$104:$A$145,Технологи!$B121,Производство!F$104:F$145)*$F121+$G121,0)</f>
        <v>0</v>
      </c>
      <c r="J121" s="46">
        <f t="array" ref="J121">IF(SUMIF(Производство!$A$104:$A$145,Технологи!$B121,Производство!G$104:G$145)&gt;0,SUMIF(Производство!$A$104:$A$145,Технологи!$B121,Производство!G$104:G$145)*$F121+$G121,0)</f>
        <v>0</v>
      </c>
      <c r="K121" s="46">
        <f t="array" ref="K121">IF(SUMIF(Производство!$A$104:$A$145,Технологи!$B121,Производство!H$104:H$145)&gt;0,SUMIF(Производство!$A$104:$A$145,Технологи!$B121,Производство!H$104:H$145)*$F121+$G121,0)</f>
        <v>0</v>
      </c>
      <c r="L121" s="46">
        <f t="array" ref="L121">IF(SUMIF(Производство!$A$104:$A$145,Технологи!$B121,Производство!I$104:I$145)&gt;0,SUMIF(Производство!$A$104:$A$145,Технологи!$B121,Производство!I$104:I$145)*$F121+$G121,0)</f>
        <v>0</v>
      </c>
      <c r="M121" s="46">
        <f t="array" ref="M121">IF(SUMIF(Производство!$A$104:$A$145,Технологи!$B121,Производство!J$104:J$145)&gt;0,SUMIF(Производство!$A$104:$A$145,Технологи!$B121,Производство!J$104:J$145)*$F121+$G121,0)</f>
        <v>0</v>
      </c>
      <c r="N121" s="46">
        <f t="array" ref="N121">IF(SUMIF(Производство!$A$104:$A$145,Технологи!$B121,Производство!K$104:K$145)&gt;0,SUMIF(Производство!$A$104:$A$145,Технологи!$B121,Производство!K$104:K$145)*$F121+$G121,0)</f>
        <v>0</v>
      </c>
      <c r="O121" s="46">
        <f t="array" ref="O121">IF(SUMIF(Производство!$A$104:$A$145,Технологи!$B121,Производство!L$104:L$145)&gt;0,SUMIF(Производство!$A$104:$A$145,Технологи!$B121,Производство!L$104:L$145)*$F121+$G121,0)</f>
        <v>0</v>
      </c>
      <c r="P121" s="46">
        <f t="array" ref="P121">IF(SUMIF(Производство!$A$104:$A$145,Технологи!$B121,Производство!M$104:M$145)&gt;0,SUMIF(Производство!$A$104:$A$145,Технологи!$B121,Производство!M$104:M$145)*$F121+$G121,0)</f>
        <v>0</v>
      </c>
      <c r="Q121" s="46">
        <f t="array" ref="Q121">IF(SUMIF(Производство!$A$104:$A$145,Технологи!$B121,Производство!N$104:N$145)&gt;0,SUMIF(Производство!$A$104:$A$145,Технологи!$B121,Производство!N$104:N$145)*$F121+$G121,0)</f>
        <v>0</v>
      </c>
      <c r="R121" s="46">
        <f t="array" ref="R121">IF(SUMIF(Производство!$A$104:$A$145,Технологи!$B121,Производство!O$104:O$145)&gt;0,SUMIF(Производство!$A$104:$A$145,Технологи!$B121,Производство!O$104:O$145)*$F121+$G121,0)</f>
        <v>0</v>
      </c>
      <c r="S121" s="46">
        <f t="array" ref="S121">IF(SUMIF(Производство!$A$104:$A$145,Технологи!$B121,Производство!P$104:P$145)&gt;0,SUMIF(Производство!$A$104:$A$145,Технологи!$B121,Производство!P$104:P$145)*$F121+$G121,0)</f>
        <v>0</v>
      </c>
      <c r="T121" s="46">
        <f t="array" ref="T121">IF(SUMIF(Производство!$A$104:$A$145,Технологи!$B121,Производство!Q$104:Q$145)&gt;0,SUMIF(Производство!$A$104:$A$145,Технологи!$B121,Производство!Q$104:Q$145)*$F121+$G121,0)</f>
        <v>0</v>
      </c>
    </row>
    <row r="122" spans="1:20" x14ac:dyDescent="0.25">
      <c r="A122" s="34" t="s">
        <v>377</v>
      </c>
      <c r="B122" s="13" t="s">
        <v>62</v>
      </c>
      <c r="C122" s="15" t="s">
        <v>11</v>
      </c>
      <c r="D122" s="14">
        <v>7038</v>
      </c>
      <c r="E122" s="16">
        <v>2.367</v>
      </c>
      <c r="F122" s="22">
        <f>SUM(F123:F134)</f>
        <v>2.371138161345411</v>
      </c>
      <c r="G122" s="22">
        <f>SUM(G123:G134)</f>
        <v>120.9835795</v>
      </c>
      <c r="H122" s="23">
        <f t="shared" si="5"/>
        <v>2371.1381613454109</v>
      </c>
      <c r="I122" s="46">
        <f t="array" ref="I122">IF(SUMIF(Производство!$A$104:$A$145,Технологи!$B122,Производство!F$104:F$145)&gt;0,SUMIF(Производство!$A$104:$A$145,Технологи!$B122,Производство!F$104:F$145)*$F122+$G122,0)</f>
        <v>405.52015886144943</v>
      </c>
      <c r="J122" s="46">
        <f t="array" ref="J122">IF(SUMIF(Производство!$A$104:$A$145,Технологи!$B122,Производство!G$104:G$145)&gt;0,SUMIF(Производство!$A$104:$A$145,Технологи!$B122,Производство!G$104:G$145)*$F122+$G122,0)</f>
        <v>618.92259338253621</v>
      </c>
      <c r="K122" s="46">
        <f t="array" ref="K122">IF(SUMIF(Производство!$A$104:$A$145,Технологи!$B122,Производство!H$104:H$145)&gt;0,SUMIF(Производство!$A$104:$A$145,Технологи!$B122,Производство!H$104:H$145)*$F122+$G122,0)</f>
        <v>0</v>
      </c>
      <c r="L122" s="46">
        <f t="array" ref="L122">IF(SUMIF(Производство!$A$104:$A$145,Технологи!$B122,Производство!I$104:I$145)&gt;0,SUMIF(Производство!$A$104:$A$145,Технологи!$B122,Производство!I$104:I$145)*$F122+$G122,0)</f>
        <v>0</v>
      </c>
      <c r="M122" s="46">
        <f t="array" ref="M122">IF(SUMIF(Производство!$A$104:$A$145,Технологи!$B122,Производство!J$104:J$145)&gt;0,SUMIF(Производство!$A$104:$A$145,Технологи!$B122,Производство!J$104:J$145)*$F122+$G122,0)</f>
        <v>0</v>
      </c>
      <c r="N122" s="46">
        <f t="array" ref="N122">IF(SUMIF(Производство!$A$104:$A$145,Технологи!$B122,Производство!K$104:K$145)&gt;0,SUMIF(Производство!$A$104:$A$145,Технологи!$B122,Производство!K$104:K$145)*$F122+$G122,0)</f>
        <v>0</v>
      </c>
      <c r="O122" s="46">
        <f t="array" ref="O122">IF(SUMIF(Производство!$A$104:$A$145,Технологи!$B122,Производство!L$104:L$145)&gt;0,SUMIF(Производство!$A$104:$A$145,Технологи!$B122,Производство!L$104:L$145)*$F122+$G122,0)</f>
        <v>0</v>
      </c>
      <c r="P122" s="46">
        <f t="array" ref="P122">IF(SUMIF(Производство!$A$104:$A$145,Технологи!$B122,Производство!M$104:M$145)&gt;0,SUMIF(Производство!$A$104:$A$145,Технологи!$B122,Производство!M$104:M$145)*$F122+$G122,0)</f>
        <v>0</v>
      </c>
      <c r="Q122" s="46">
        <f t="array" ref="Q122">IF(SUMIF(Производство!$A$104:$A$145,Технологи!$B122,Производство!N$104:N$145)&gt;0,SUMIF(Производство!$A$104:$A$145,Технологи!$B122,Производство!N$104:N$145)*$F122+$G122,0)</f>
        <v>0</v>
      </c>
      <c r="R122" s="46">
        <f t="array" ref="R122">IF(SUMIF(Производство!$A$104:$A$145,Технологи!$B122,Производство!O$104:O$145)&gt;0,SUMIF(Производство!$A$104:$A$145,Технологи!$B122,Производство!O$104:O$145)*$F122+$G122,0)</f>
        <v>0</v>
      </c>
      <c r="S122" s="46">
        <f t="array" ref="S122">IF(SUMIF(Производство!$A$104:$A$145,Технологи!$B122,Производство!P$104:P$145)&gt;0,SUMIF(Производство!$A$104:$A$145,Технологи!$B122,Производство!P$104:P$145)*$F122+$G122,0)</f>
        <v>0</v>
      </c>
      <c r="T122" s="46">
        <f t="array" ref="T122">IF(SUMIF(Производство!$A$104:$A$145,Технологи!$B122,Производство!Q$104:Q$145)&gt;0,SUMIF(Производство!$A$104:$A$145,Технологи!$B122,Производство!Q$104:Q$145)*$F122+$G122,0)</f>
        <v>0</v>
      </c>
    </row>
    <row r="123" spans="1:20" x14ac:dyDescent="0.25">
      <c r="A123" s="34" t="s">
        <v>377</v>
      </c>
      <c r="B123" s="13" t="s">
        <v>62</v>
      </c>
      <c r="C123" s="19" t="s">
        <v>12</v>
      </c>
      <c r="D123" s="14">
        <v>7038</v>
      </c>
      <c r="E123" s="20"/>
      <c r="F123" s="24">
        <v>0.61854642753623179</v>
      </c>
      <c r="G123" s="24">
        <v>35.96461289483463</v>
      </c>
      <c r="H123" s="23">
        <f t="shared" si="5"/>
        <v>618.54642753623182</v>
      </c>
      <c r="I123" s="46">
        <f t="array" ref="I123">IF(SUMIF(Производство!$A$104:$A$145,Технологи!$B123,Производство!F$104:F$145)&gt;0,SUMIF(Производство!$A$104:$A$145,Технологи!$B123,Производство!F$104:F$145)*$F123+$G123,0)</f>
        <v>110.19018419918247</v>
      </c>
      <c r="J123" s="46">
        <f t="array" ref="J123">IF(SUMIF(Производство!$A$104:$A$145,Технологи!$B123,Производство!G$104:G$145)&gt;0,SUMIF(Производство!$A$104:$A$145,Технологи!$B123,Производство!G$104:G$145)*$F123+$G123,0)</f>
        <v>165.85936267744327</v>
      </c>
      <c r="K123" s="46">
        <f t="array" ref="K123">IF(SUMIF(Производство!$A$104:$A$145,Технологи!$B123,Производство!H$104:H$145)&gt;0,SUMIF(Производство!$A$104:$A$145,Технологи!$B123,Производство!H$104:H$145)*$F123+$G123,0)</f>
        <v>0</v>
      </c>
      <c r="L123" s="46">
        <f t="array" ref="L123">IF(SUMIF(Производство!$A$104:$A$145,Технологи!$B123,Производство!I$104:I$145)&gt;0,SUMIF(Производство!$A$104:$A$145,Технологи!$B123,Производство!I$104:I$145)*$F123+$G123,0)</f>
        <v>0</v>
      </c>
      <c r="M123" s="46">
        <f t="array" ref="M123">IF(SUMIF(Производство!$A$104:$A$145,Технологи!$B123,Производство!J$104:J$145)&gt;0,SUMIF(Производство!$A$104:$A$145,Технологи!$B123,Производство!J$104:J$145)*$F123+$G123,0)</f>
        <v>0</v>
      </c>
      <c r="N123" s="46">
        <f t="array" ref="N123">IF(SUMIF(Производство!$A$104:$A$145,Технологи!$B123,Производство!K$104:K$145)&gt;0,SUMIF(Производство!$A$104:$A$145,Технологи!$B123,Производство!K$104:K$145)*$F123+$G123,0)</f>
        <v>0</v>
      </c>
      <c r="O123" s="46">
        <f t="array" ref="O123">IF(SUMIF(Производство!$A$104:$A$145,Технологи!$B123,Производство!L$104:L$145)&gt;0,SUMIF(Производство!$A$104:$A$145,Технологи!$B123,Производство!L$104:L$145)*$F123+$G123,0)</f>
        <v>0</v>
      </c>
      <c r="P123" s="46">
        <f t="array" ref="P123">IF(SUMIF(Производство!$A$104:$A$145,Технологи!$B123,Производство!M$104:M$145)&gt;0,SUMIF(Производство!$A$104:$A$145,Технологи!$B123,Производство!M$104:M$145)*$F123+$G123,0)</f>
        <v>0</v>
      </c>
      <c r="Q123" s="46">
        <f t="array" ref="Q123">IF(SUMIF(Производство!$A$104:$A$145,Технологи!$B123,Производство!N$104:N$145)&gt;0,SUMIF(Производство!$A$104:$A$145,Технологи!$B123,Производство!N$104:N$145)*$F123+$G123,0)</f>
        <v>0</v>
      </c>
      <c r="R123" s="46">
        <f t="array" ref="R123">IF(SUMIF(Производство!$A$104:$A$145,Технологи!$B123,Производство!O$104:O$145)&gt;0,SUMIF(Производство!$A$104:$A$145,Технологи!$B123,Производство!O$104:O$145)*$F123+$G123,0)</f>
        <v>0</v>
      </c>
      <c r="S123" s="46">
        <f t="array" ref="S123">IF(SUMIF(Производство!$A$104:$A$145,Технологи!$B123,Производство!P$104:P$145)&gt;0,SUMIF(Производство!$A$104:$A$145,Технологи!$B123,Производство!P$104:P$145)*$F123+$G123,0)</f>
        <v>0</v>
      </c>
      <c r="T123" s="46">
        <f t="array" ref="T123">IF(SUMIF(Производство!$A$104:$A$145,Технологи!$B123,Производство!Q$104:Q$145)&gt;0,SUMIF(Производство!$A$104:$A$145,Технологи!$B123,Производство!Q$104:Q$145)*$F123+$G123,0)</f>
        <v>0</v>
      </c>
    </row>
    <row r="124" spans="1:20" x14ac:dyDescent="0.25">
      <c r="A124" s="34" t="s">
        <v>377</v>
      </c>
      <c r="B124" s="13" t="s">
        <v>62</v>
      </c>
      <c r="C124" s="19" t="s">
        <v>13</v>
      </c>
      <c r="D124" s="14">
        <v>7038</v>
      </c>
      <c r="E124" s="20"/>
      <c r="F124" s="24">
        <v>0.18648713188405799</v>
      </c>
      <c r="G124" s="24">
        <v>10.789383868450388</v>
      </c>
      <c r="H124" s="23">
        <f t="shared" si="5"/>
        <v>186.48713188405799</v>
      </c>
      <c r="I124" s="46">
        <f t="array" ref="I124">IF(SUMIF(Производство!$A$104:$A$145,Технологи!$B124,Производство!F$104:F$145)&gt;0,SUMIF(Производство!$A$104:$A$145,Технологи!$B124,Производство!F$104:F$145)*$F124+$G124,0)</f>
        <v>33.167839694537349</v>
      </c>
      <c r="J124" s="46">
        <f t="array" ref="J124">IF(SUMIF(Производство!$A$104:$A$145,Технологи!$B124,Производство!G$104:G$145)&gt;0,SUMIF(Производство!$A$104:$A$145,Технологи!$B124,Производство!G$104:G$145)*$F124+$G124,0)</f>
        <v>49.951681564102557</v>
      </c>
      <c r="K124" s="46">
        <f t="array" ref="K124">IF(SUMIF(Производство!$A$104:$A$145,Технологи!$B124,Производство!H$104:H$145)&gt;0,SUMIF(Производство!$A$104:$A$145,Технологи!$B124,Производство!H$104:H$145)*$F124+$G124,0)</f>
        <v>0</v>
      </c>
      <c r="L124" s="46">
        <f t="array" ref="L124">IF(SUMIF(Производство!$A$104:$A$145,Технологи!$B124,Производство!I$104:I$145)&gt;0,SUMIF(Производство!$A$104:$A$145,Технологи!$B124,Производство!I$104:I$145)*$F124+$G124,0)</f>
        <v>0</v>
      </c>
      <c r="M124" s="46">
        <f t="array" ref="M124">IF(SUMIF(Производство!$A$104:$A$145,Технологи!$B124,Производство!J$104:J$145)&gt;0,SUMIF(Производство!$A$104:$A$145,Технологи!$B124,Производство!J$104:J$145)*$F124+$G124,0)</f>
        <v>0</v>
      </c>
      <c r="N124" s="46">
        <f t="array" ref="N124">IF(SUMIF(Производство!$A$104:$A$145,Технологи!$B124,Производство!K$104:K$145)&gt;0,SUMIF(Производство!$A$104:$A$145,Технологи!$B124,Производство!K$104:K$145)*$F124+$G124,0)</f>
        <v>0</v>
      </c>
      <c r="O124" s="46">
        <f t="array" ref="O124">IF(SUMIF(Производство!$A$104:$A$145,Технологи!$B124,Производство!L$104:L$145)&gt;0,SUMIF(Производство!$A$104:$A$145,Технологи!$B124,Производство!L$104:L$145)*$F124+$G124,0)</f>
        <v>0</v>
      </c>
      <c r="P124" s="46">
        <f t="array" ref="P124">IF(SUMIF(Производство!$A$104:$A$145,Технологи!$B124,Производство!M$104:M$145)&gt;0,SUMIF(Производство!$A$104:$A$145,Технологи!$B124,Производство!M$104:M$145)*$F124+$G124,0)</f>
        <v>0</v>
      </c>
      <c r="Q124" s="46">
        <f t="array" ref="Q124">IF(SUMIF(Производство!$A$104:$A$145,Технологи!$B124,Производство!N$104:N$145)&gt;0,SUMIF(Производство!$A$104:$A$145,Технологи!$B124,Производство!N$104:N$145)*$F124+$G124,0)</f>
        <v>0</v>
      </c>
      <c r="R124" s="46">
        <f t="array" ref="R124">IF(SUMIF(Производство!$A$104:$A$145,Технологи!$B124,Производство!O$104:O$145)&gt;0,SUMIF(Производство!$A$104:$A$145,Технологи!$B124,Производство!O$104:O$145)*$F124+$G124,0)</f>
        <v>0</v>
      </c>
      <c r="S124" s="46">
        <f t="array" ref="S124">IF(SUMIF(Производство!$A$104:$A$145,Технологи!$B124,Производство!P$104:P$145)&gt;0,SUMIF(Производство!$A$104:$A$145,Технологи!$B124,Производство!P$104:P$145)*$F124+$G124,0)</f>
        <v>0</v>
      </c>
      <c r="T124" s="46">
        <f t="array" ref="T124">IF(SUMIF(Производство!$A$104:$A$145,Технологи!$B124,Производство!Q$104:Q$145)&gt;0,SUMIF(Производство!$A$104:$A$145,Технологи!$B124,Производство!Q$104:Q$145)*$F124+$G124,0)</f>
        <v>0</v>
      </c>
    </row>
    <row r="125" spans="1:20" x14ac:dyDescent="0.25">
      <c r="A125" s="34" t="s">
        <v>377</v>
      </c>
      <c r="B125" s="13" t="s">
        <v>62</v>
      </c>
      <c r="C125" s="19" t="s">
        <v>14</v>
      </c>
      <c r="D125" s="14">
        <v>7038</v>
      </c>
      <c r="E125" s="20"/>
      <c r="F125" s="24">
        <v>1.8648713188405793E-3</v>
      </c>
      <c r="G125" s="24">
        <v>0.10789383868450388</v>
      </c>
      <c r="H125" s="23">
        <f t="shared" si="5"/>
        <v>1.8648713188405792</v>
      </c>
      <c r="I125" s="46">
        <f t="array" ref="I125">IF(SUMIF(Производство!$A$104:$A$145,Технологи!$B125,Производство!F$104:F$145)&gt;0,SUMIF(Производство!$A$104:$A$145,Технологи!$B125,Производство!F$104:F$145)*$F125+$G125,0)</f>
        <v>0.33167839694537343</v>
      </c>
      <c r="J125" s="46">
        <f t="array" ref="J125">IF(SUMIF(Производство!$A$104:$A$145,Технологи!$B125,Производство!G$104:G$145)&gt;0,SUMIF(Производство!$A$104:$A$145,Технологи!$B125,Производство!G$104:G$145)*$F125+$G125,0)</f>
        <v>0.4995168156410254</v>
      </c>
      <c r="K125" s="46">
        <f t="array" ref="K125">IF(SUMIF(Производство!$A$104:$A$145,Технологи!$B125,Производство!H$104:H$145)&gt;0,SUMIF(Производство!$A$104:$A$145,Технологи!$B125,Производство!H$104:H$145)*$F125+$G125,0)</f>
        <v>0</v>
      </c>
      <c r="L125" s="46">
        <f t="array" ref="L125">IF(SUMIF(Производство!$A$104:$A$145,Технологи!$B125,Производство!I$104:I$145)&gt;0,SUMIF(Производство!$A$104:$A$145,Технологи!$B125,Производство!I$104:I$145)*$F125+$G125,0)</f>
        <v>0</v>
      </c>
      <c r="M125" s="46">
        <f t="array" ref="M125">IF(SUMIF(Производство!$A$104:$A$145,Технологи!$B125,Производство!J$104:J$145)&gt;0,SUMIF(Производство!$A$104:$A$145,Технологи!$B125,Производство!J$104:J$145)*$F125+$G125,0)</f>
        <v>0</v>
      </c>
      <c r="N125" s="46">
        <f t="array" ref="N125">IF(SUMIF(Производство!$A$104:$A$145,Технологи!$B125,Производство!K$104:K$145)&gt;0,SUMIF(Производство!$A$104:$A$145,Технологи!$B125,Производство!K$104:K$145)*$F125+$G125,0)</f>
        <v>0</v>
      </c>
      <c r="O125" s="46">
        <f t="array" ref="O125">IF(SUMIF(Производство!$A$104:$A$145,Технологи!$B125,Производство!L$104:L$145)&gt;0,SUMIF(Производство!$A$104:$A$145,Технологи!$B125,Производство!L$104:L$145)*$F125+$G125,0)</f>
        <v>0</v>
      </c>
      <c r="P125" s="46">
        <f t="array" ref="P125">IF(SUMIF(Производство!$A$104:$A$145,Технологи!$B125,Производство!M$104:M$145)&gt;0,SUMIF(Производство!$A$104:$A$145,Технологи!$B125,Производство!M$104:M$145)*$F125+$G125,0)</f>
        <v>0</v>
      </c>
      <c r="Q125" s="46">
        <f t="array" ref="Q125">IF(SUMIF(Производство!$A$104:$A$145,Технологи!$B125,Производство!N$104:N$145)&gt;0,SUMIF(Производство!$A$104:$A$145,Технологи!$B125,Производство!N$104:N$145)*$F125+$G125,0)</f>
        <v>0</v>
      </c>
      <c r="R125" s="46">
        <f t="array" ref="R125">IF(SUMIF(Производство!$A$104:$A$145,Технологи!$B125,Производство!O$104:O$145)&gt;0,SUMIF(Производство!$A$104:$A$145,Технологи!$B125,Производство!O$104:O$145)*$F125+$G125,0)</f>
        <v>0</v>
      </c>
      <c r="S125" s="46">
        <f t="array" ref="S125">IF(SUMIF(Производство!$A$104:$A$145,Технологи!$B125,Производство!P$104:P$145)&gt;0,SUMIF(Производство!$A$104:$A$145,Технологи!$B125,Производство!P$104:P$145)*$F125+$G125,0)</f>
        <v>0</v>
      </c>
      <c r="T125" s="46">
        <f t="array" ref="T125">IF(SUMIF(Производство!$A$104:$A$145,Технологи!$B125,Производство!Q$104:Q$145)&gt;0,SUMIF(Производство!$A$104:$A$145,Технологи!$B125,Производство!Q$104:Q$145)*$F125+$G125,0)</f>
        <v>0</v>
      </c>
    </row>
    <row r="126" spans="1:20" x14ac:dyDescent="0.25">
      <c r="A126" s="34" t="s">
        <v>377</v>
      </c>
      <c r="B126" s="13" t="s">
        <v>62</v>
      </c>
      <c r="C126" s="19" t="s">
        <v>15</v>
      </c>
      <c r="D126" s="14">
        <v>7038</v>
      </c>
      <c r="E126" s="20"/>
      <c r="F126" s="24">
        <v>9.3243565942028965E-4</v>
      </c>
      <c r="G126" s="24">
        <v>5.3946919342251938E-2</v>
      </c>
      <c r="H126" s="23">
        <f t="shared" si="5"/>
        <v>0.93243565942028961</v>
      </c>
      <c r="I126" s="46">
        <f t="array" ref="I126">IF(SUMIF(Производство!$A$104:$A$145,Технологи!$B126,Производство!F$104:F$145)&gt;0,SUMIF(Производство!$A$104:$A$145,Технологи!$B126,Производство!F$104:F$145)*$F126+$G126,0)</f>
        <v>0.16583919847268672</v>
      </c>
      <c r="J126" s="46">
        <f t="array" ref="J126">IF(SUMIF(Производство!$A$104:$A$145,Технологи!$B126,Производство!G$104:G$145)&gt;0,SUMIF(Производство!$A$104:$A$145,Технологи!$B126,Производство!G$104:G$145)*$F126+$G126,0)</f>
        <v>0.2497584078205127</v>
      </c>
      <c r="K126" s="46">
        <f t="array" ref="K126">IF(SUMIF(Производство!$A$104:$A$145,Технологи!$B126,Производство!H$104:H$145)&gt;0,SUMIF(Производство!$A$104:$A$145,Технологи!$B126,Производство!H$104:H$145)*$F126+$G126,0)</f>
        <v>0</v>
      </c>
      <c r="L126" s="46">
        <f t="array" ref="L126">IF(SUMIF(Производство!$A$104:$A$145,Технологи!$B126,Производство!I$104:I$145)&gt;0,SUMIF(Производство!$A$104:$A$145,Технологи!$B126,Производство!I$104:I$145)*$F126+$G126,0)</f>
        <v>0</v>
      </c>
      <c r="M126" s="46">
        <f t="array" ref="M126">IF(SUMIF(Производство!$A$104:$A$145,Технологи!$B126,Производство!J$104:J$145)&gt;0,SUMIF(Производство!$A$104:$A$145,Технологи!$B126,Производство!J$104:J$145)*$F126+$G126,0)</f>
        <v>0</v>
      </c>
      <c r="N126" s="46">
        <f t="array" ref="N126">IF(SUMIF(Производство!$A$104:$A$145,Технологи!$B126,Производство!K$104:K$145)&gt;0,SUMIF(Производство!$A$104:$A$145,Технологи!$B126,Производство!K$104:K$145)*$F126+$G126,0)</f>
        <v>0</v>
      </c>
      <c r="O126" s="46">
        <f t="array" ref="O126">IF(SUMIF(Производство!$A$104:$A$145,Технологи!$B126,Производство!L$104:L$145)&gt;0,SUMIF(Производство!$A$104:$A$145,Технологи!$B126,Производство!L$104:L$145)*$F126+$G126,0)</f>
        <v>0</v>
      </c>
      <c r="P126" s="46">
        <f t="array" ref="P126">IF(SUMIF(Производство!$A$104:$A$145,Технологи!$B126,Производство!M$104:M$145)&gt;0,SUMIF(Производство!$A$104:$A$145,Технологи!$B126,Производство!M$104:M$145)*$F126+$G126,0)</f>
        <v>0</v>
      </c>
      <c r="Q126" s="46">
        <f t="array" ref="Q126">IF(SUMIF(Производство!$A$104:$A$145,Технологи!$B126,Производство!N$104:N$145)&gt;0,SUMIF(Производство!$A$104:$A$145,Технологи!$B126,Производство!N$104:N$145)*$F126+$G126,0)</f>
        <v>0</v>
      </c>
      <c r="R126" s="46">
        <f t="array" ref="R126">IF(SUMIF(Производство!$A$104:$A$145,Технологи!$B126,Производство!O$104:O$145)&gt;0,SUMIF(Производство!$A$104:$A$145,Технологи!$B126,Производство!O$104:O$145)*$F126+$G126,0)</f>
        <v>0</v>
      </c>
      <c r="S126" s="46">
        <f t="array" ref="S126">IF(SUMIF(Производство!$A$104:$A$145,Технологи!$B126,Производство!P$104:P$145)&gt;0,SUMIF(Производство!$A$104:$A$145,Технологи!$B126,Производство!P$104:P$145)*$F126+$G126,0)</f>
        <v>0</v>
      </c>
      <c r="T126" s="46">
        <f t="array" ref="T126">IF(SUMIF(Производство!$A$104:$A$145,Технологи!$B126,Производство!Q$104:Q$145)&gt;0,SUMIF(Производство!$A$104:$A$145,Технологи!$B126,Производство!Q$104:Q$145)*$F126+$G126,0)</f>
        <v>0</v>
      </c>
    </row>
    <row r="127" spans="1:20" x14ac:dyDescent="0.25">
      <c r="A127" s="34" t="s">
        <v>377</v>
      </c>
      <c r="B127" s="13" t="s">
        <v>62</v>
      </c>
      <c r="C127" s="19" t="s">
        <v>16</v>
      </c>
      <c r="D127" s="14">
        <v>7038</v>
      </c>
      <c r="E127" s="20"/>
      <c r="F127" s="24">
        <v>1.2370928550724638E-2</v>
      </c>
      <c r="G127" s="24">
        <v>0.71929225789669271</v>
      </c>
      <c r="H127" s="23">
        <f t="shared" si="5"/>
        <v>12.370928550724637</v>
      </c>
      <c r="I127" s="46">
        <f t="array" ref="I127">IF(SUMIF(Производство!$A$104:$A$145,Технологи!$B127,Производство!F$104:F$145)&gt;0,SUMIF(Производство!$A$104:$A$145,Технологи!$B127,Производство!F$104:F$145)*$F127+$G127,0)</f>
        <v>2.2038036839836499</v>
      </c>
      <c r="J127" s="46">
        <f t="array" ref="J127">IF(SUMIF(Производство!$A$104:$A$145,Технологи!$B127,Производство!G$104:G$145)&gt;0,SUMIF(Производство!$A$104:$A$145,Технологи!$B127,Производство!G$104:G$145)*$F127+$G127,0)</f>
        <v>3.317187253548866</v>
      </c>
      <c r="K127" s="46">
        <f t="array" ref="K127">IF(SUMIF(Производство!$A$104:$A$145,Технологи!$B127,Производство!H$104:H$145)&gt;0,SUMIF(Производство!$A$104:$A$145,Технологи!$B127,Производство!H$104:H$145)*$F127+$G127,0)</f>
        <v>0</v>
      </c>
      <c r="L127" s="46">
        <f t="array" ref="L127">IF(SUMIF(Производство!$A$104:$A$145,Технологи!$B127,Производство!I$104:I$145)&gt;0,SUMIF(Производство!$A$104:$A$145,Технологи!$B127,Производство!I$104:I$145)*$F127+$G127,0)</f>
        <v>0</v>
      </c>
      <c r="M127" s="46">
        <f t="array" ref="M127">IF(SUMIF(Производство!$A$104:$A$145,Технологи!$B127,Производство!J$104:J$145)&gt;0,SUMIF(Производство!$A$104:$A$145,Технологи!$B127,Производство!J$104:J$145)*$F127+$G127,0)</f>
        <v>0</v>
      </c>
      <c r="N127" s="46">
        <f t="array" ref="N127">IF(SUMIF(Производство!$A$104:$A$145,Технологи!$B127,Производство!K$104:K$145)&gt;0,SUMIF(Производство!$A$104:$A$145,Технологи!$B127,Производство!K$104:K$145)*$F127+$G127,0)</f>
        <v>0</v>
      </c>
      <c r="O127" s="46">
        <f t="array" ref="O127">IF(SUMIF(Производство!$A$104:$A$145,Технологи!$B127,Производство!L$104:L$145)&gt;0,SUMIF(Производство!$A$104:$A$145,Технологи!$B127,Производство!L$104:L$145)*$F127+$G127,0)</f>
        <v>0</v>
      </c>
      <c r="P127" s="46">
        <f t="array" ref="P127">IF(SUMIF(Производство!$A$104:$A$145,Технологи!$B127,Производство!M$104:M$145)&gt;0,SUMIF(Производство!$A$104:$A$145,Технологи!$B127,Производство!M$104:M$145)*$F127+$G127,0)</f>
        <v>0</v>
      </c>
      <c r="Q127" s="46">
        <f t="array" ref="Q127">IF(SUMIF(Производство!$A$104:$A$145,Технологи!$B127,Производство!N$104:N$145)&gt;0,SUMIF(Производство!$A$104:$A$145,Технологи!$B127,Производство!N$104:N$145)*$F127+$G127,0)</f>
        <v>0</v>
      </c>
      <c r="R127" s="46">
        <f t="array" ref="R127">IF(SUMIF(Производство!$A$104:$A$145,Технологи!$B127,Производство!O$104:O$145)&gt;0,SUMIF(Производство!$A$104:$A$145,Технологи!$B127,Производство!O$104:O$145)*$F127+$G127,0)</f>
        <v>0</v>
      </c>
      <c r="S127" s="46">
        <f t="array" ref="S127">IF(SUMIF(Производство!$A$104:$A$145,Технологи!$B127,Производство!P$104:P$145)&gt;0,SUMIF(Производство!$A$104:$A$145,Технологи!$B127,Производство!P$104:P$145)*$F127+$G127,0)</f>
        <v>0</v>
      </c>
      <c r="T127" s="46">
        <f t="array" ref="T127">IF(SUMIF(Производство!$A$104:$A$145,Технологи!$B127,Производство!Q$104:Q$145)&gt;0,SUMIF(Производство!$A$104:$A$145,Технологи!$B127,Производство!Q$104:Q$145)*$F127+$G127,0)</f>
        <v>0</v>
      </c>
    </row>
    <row r="128" spans="1:20" x14ac:dyDescent="0.25">
      <c r="A128" s="34" t="s">
        <v>377</v>
      </c>
      <c r="B128" s="13" t="s">
        <v>62</v>
      </c>
      <c r="C128" s="19" t="s">
        <v>17</v>
      </c>
      <c r="D128" s="14">
        <v>7038</v>
      </c>
      <c r="E128" s="20"/>
      <c r="F128" s="24">
        <v>6.8378615024154597E-3</v>
      </c>
      <c r="G128" s="24">
        <v>0.39561074184318101</v>
      </c>
      <c r="H128" s="23">
        <f t="shared" si="5"/>
        <v>6.8378615024154596</v>
      </c>
      <c r="I128" s="46">
        <f t="array" ref="I128">IF(SUMIF(Производство!$A$104:$A$145,Технологи!$B128,Производство!F$104:F$145)&gt;0,SUMIF(Производство!$A$104:$A$145,Технологи!$B128,Производство!F$104:F$145)*$F128+$G128,0)</f>
        <v>1.2161541221330365</v>
      </c>
      <c r="J128" s="46">
        <f t="array" ref="J128">IF(SUMIF(Производство!$A$104:$A$145,Технологи!$B128,Производство!G$104:G$145)&gt;0,SUMIF(Производство!$A$104:$A$145,Технологи!$B128,Производство!G$104:G$145)*$F128+$G128,0)</f>
        <v>1.8315616573504272</v>
      </c>
      <c r="K128" s="46">
        <f t="array" ref="K128">IF(SUMIF(Производство!$A$104:$A$145,Технологи!$B128,Производство!H$104:H$145)&gt;0,SUMIF(Производство!$A$104:$A$145,Технологи!$B128,Производство!H$104:H$145)*$F128+$G128,0)</f>
        <v>0</v>
      </c>
      <c r="L128" s="46">
        <f t="array" ref="L128">IF(SUMIF(Производство!$A$104:$A$145,Технологи!$B128,Производство!I$104:I$145)&gt;0,SUMIF(Производство!$A$104:$A$145,Технологи!$B128,Производство!I$104:I$145)*$F128+$G128,0)</f>
        <v>0</v>
      </c>
      <c r="M128" s="46">
        <f t="array" ref="M128">IF(SUMIF(Производство!$A$104:$A$145,Технологи!$B128,Производство!J$104:J$145)&gt;0,SUMIF(Производство!$A$104:$A$145,Технологи!$B128,Производство!J$104:J$145)*$F128+$G128,0)</f>
        <v>0</v>
      </c>
      <c r="N128" s="46">
        <f t="array" ref="N128">IF(SUMIF(Производство!$A$104:$A$145,Технологи!$B128,Производство!K$104:K$145)&gt;0,SUMIF(Производство!$A$104:$A$145,Технологи!$B128,Производство!K$104:K$145)*$F128+$G128,0)</f>
        <v>0</v>
      </c>
      <c r="O128" s="46">
        <f t="array" ref="O128">IF(SUMIF(Производство!$A$104:$A$145,Технологи!$B128,Производство!L$104:L$145)&gt;0,SUMIF(Производство!$A$104:$A$145,Технологи!$B128,Производство!L$104:L$145)*$F128+$G128,0)</f>
        <v>0</v>
      </c>
      <c r="P128" s="46">
        <f t="array" ref="P128">IF(SUMIF(Производство!$A$104:$A$145,Технологи!$B128,Производство!M$104:M$145)&gt;0,SUMIF(Производство!$A$104:$A$145,Технологи!$B128,Производство!M$104:M$145)*$F128+$G128,0)</f>
        <v>0</v>
      </c>
      <c r="Q128" s="46">
        <f t="array" ref="Q128">IF(SUMIF(Производство!$A$104:$A$145,Технологи!$B128,Производство!N$104:N$145)&gt;0,SUMIF(Производство!$A$104:$A$145,Технологи!$B128,Производство!N$104:N$145)*$F128+$G128,0)</f>
        <v>0</v>
      </c>
      <c r="R128" s="46">
        <f t="array" ref="R128">IF(SUMIF(Производство!$A$104:$A$145,Технологи!$B128,Производство!O$104:O$145)&gt;0,SUMIF(Производство!$A$104:$A$145,Технологи!$B128,Производство!O$104:O$145)*$F128+$G128,0)</f>
        <v>0</v>
      </c>
      <c r="S128" s="46">
        <f t="array" ref="S128">IF(SUMIF(Производство!$A$104:$A$145,Технологи!$B128,Производство!P$104:P$145)&gt;0,SUMIF(Производство!$A$104:$A$145,Технологи!$B128,Производство!P$104:P$145)*$F128+$G128,0)</f>
        <v>0</v>
      </c>
      <c r="T128" s="46">
        <f t="array" ref="T128">IF(SUMIF(Производство!$A$104:$A$145,Технологи!$B128,Производство!Q$104:Q$145)&gt;0,SUMIF(Производство!$A$104:$A$145,Технологи!$B128,Производство!Q$104:Q$145)*$F128+$G128,0)</f>
        <v>0</v>
      </c>
    </row>
    <row r="129" spans="1:20" x14ac:dyDescent="0.25">
      <c r="A129" s="34" t="s">
        <v>377</v>
      </c>
      <c r="B129" s="13" t="s">
        <v>62</v>
      </c>
      <c r="C129" s="19" t="s">
        <v>18</v>
      </c>
      <c r="D129" s="14">
        <v>7038</v>
      </c>
      <c r="E129" s="20"/>
      <c r="F129" s="24">
        <v>6.1731548937198066E-3</v>
      </c>
      <c r="G129" s="24">
        <v>0.35964612894834636</v>
      </c>
      <c r="H129" s="23">
        <f t="shared" ref="H129:H147" si="6">F129*1000</f>
        <v>6.1731548937198069</v>
      </c>
      <c r="I129" s="46">
        <f t="array" ref="I129">IF(SUMIF(Производство!$A$104:$A$145,Технологи!$B129,Производство!F$104:F$145)&gt;0,SUMIF(Производство!$A$104:$A$145,Технологи!$B129,Производство!F$104:F$145)*$F129+$G129,0)</f>
        <v>1.1004247161947234</v>
      </c>
      <c r="J129" s="46">
        <f t="array" ref="J129">IF(SUMIF(Производство!$A$104:$A$145,Технологи!$B129,Производство!G$104:G$145)&gt;0,SUMIF(Производство!$A$104:$A$145,Технологи!$B129,Производство!G$104:G$145)*$F129+$G129,0)</f>
        <v>1.6560086566295054</v>
      </c>
      <c r="K129" s="46">
        <f t="array" ref="K129">IF(SUMIF(Производство!$A$104:$A$145,Технологи!$B129,Производство!H$104:H$145)&gt;0,SUMIF(Производство!$A$104:$A$145,Технологи!$B129,Производство!H$104:H$145)*$F129+$G129,0)</f>
        <v>0</v>
      </c>
      <c r="L129" s="46">
        <f t="array" ref="L129">IF(SUMIF(Производство!$A$104:$A$145,Технологи!$B129,Производство!I$104:I$145)&gt;0,SUMIF(Производство!$A$104:$A$145,Технологи!$B129,Производство!I$104:I$145)*$F129+$G129,0)</f>
        <v>0</v>
      </c>
      <c r="M129" s="46">
        <f t="array" ref="M129">IF(SUMIF(Производство!$A$104:$A$145,Технологи!$B129,Производство!J$104:J$145)&gt;0,SUMIF(Производство!$A$104:$A$145,Технологи!$B129,Производство!J$104:J$145)*$F129+$G129,0)</f>
        <v>0</v>
      </c>
      <c r="N129" s="46">
        <f t="array" ref="N129">IF(SUMIF(Производство!$A$104:$A$145,Технологи!$B129,Производство!K$104:K$145)&gt;0,SUMIF(Производство!$A$104:$A$145,Технологи!$B129,Производство!K$104:K$145)*$F129+$G129,0)</f>
        <v>0</v>
      </c>
      <c r="O129" s="46">
        <f t="array" ref="O129">IF(SUMIF(Производство!$A$104:$A$145,Технологи!$B129,Производство!L$104:L$145)&gt;0,SUMIF(Производство!$A$104:$A$145,Технологи!$B129,Производство!L$104:L$145)*$F129+$G129,0)</f>
        <v>0</v>
      </c>
      <c r="P129" s="46">
        <f t="array" ref="P129">IF(SUMIF(Производство!$A$104:$A$145,Технологи!$B129,Производство!M$104:M$145)&gt;0,SUMIF(Производство!$A$104:$A$145,Технологи!$B129,Производство!M$104:M$145)*$F129+$G129,0)</f>
        <v>0</v>
      </c>
      <c r="Q129" s="46">
        <f t="array" ref="Q129">IF(SUMIF(Производство!$A$104:$A$145,Технологи!$B129,Производство!N$104:N$145)&gt;0,SUMIF(Производство!$A$104:$A$145,Технологи!$B129,Производство!N$104:N$145)*$F129+$G129,0)</f>
        <v>0</v>
      </c>
      <c r="R129" s="46">
        <f t="array" ref="R129">IF(SUMIF(Производство!$A$104:$A$145,Технологи!$B129,Производство!O$104:O$145)&gt;0,SUMIF(Производство!$A$104:$A$145,Технологи!$B129,Производство!O$104:O$145)*$F129+$G129,0)</f>
        <v>0</v>
      </c>
      <c r="S129" s="46">
        <f t="array" ref="S129">IF(SUMIF(Производство!$A$104:$A$145,Технологи!$B129,Производство!P$104:P$145)&gt;0,SUMIF(Производство!$A$104:$A$145,Технологи!$B129,Производство!P$104:P$145)*$F129+$G129,0)</f>
        <v>0</v>
      </c>
      <c r="T129" s="46">
        <f t="array" ref="T129">IF(SUMIF(Производство!$A$104:$A$145,Технологи!$B129,Производство!Q$104:Q$145)&gt;0,SUMIF(Производство!$A$104:$A$145,Технологи!$B129,Производство!Q$104:Q$145)*$F129+$G129,0)</f>
        <v>0</v>
      </c>
    </row>
    <row r="130" spans="1:20" x14ac:dyDescent="0.25">
      <c r="A130" s="34" t="s">
        <v>377</v>
      </c>
      <c r="B130" s="13" t="s">
        <v>62</v>
      </c>
      <c r="C130" s="19" t="s">
        <v>19</v>
      </c>
      <c r="D130" s="14">
        <v>7038</v>
      </c>
      <c r="E130" s="20"/>
      <c r="F130" s="24">
        <v>1.3432253500000002</v>
      </c>
      <c r="G130" s="24">
        <v>68.504492850000005</v>
      </c>
      <c r="H130" s="23">
        <f t="shared" si="6"/>
        <v>1343.2253500000002</v>
      </c>
      <c r="I130" s="46">
        <f t="array" ref="I130">IF(SUMIF(Производство!$A$104:$A$145,Технологи!$B130,Производство!F$104:F$145)&gt;0,SUMIF(Производство!$A$104:$A$145,Технологи!$B130,Производство!F$104:F$145)*$F130+$G130,0)</f>
        <v>229.6915348500001</v>
      </c>
      <c r="J130" s="46">
        <f t="array" ref="J130">IF(SUMIF(Производство!$A$104:$A$145,Технологи!$B130,Производство!G$104:G$145)&gt;0,SUMIF(Производство!$A$104:$A$145,Технологи!$B130,Производство!G$104:G$145)*$F130+$G130,0)</f>
        <v>350.58181635</v>
      </c>
      <c r="K130" s="46">
        <f t="array" ref="K130">IF(SUMIF(Производство!$A$104:$A$145,Технологи!$B130,Производство!H$104:H$145)&gt;0,SUMIF(Производство!$A$104:$A$145,Технологи!$B130,Производство!H$104:H$145)*$F130+$G130,0)</f>
        <v>0</v>
      </c>
      <c r="L130" s="46">
        <f t="array" ref="L130">IF(SUMIF(Производство!$A$104:$A$145,Технологи!$B130,Производство!I$104:I$145)&gt;0,SUMIF(Производство!$A$104:$A$145,Технологи!$B130,Производство!I$104:I$145)*$F130+$G130,0)</f>
        <v>0</v>
      </c>
      <c r="M130" s="46">
        <f t="array" ref="M130">IF(SUMIF(Производство!$A$104:$A$145,Технологи!$B130,Производство!J$104:J$145)&gt;0,SUMIF(Производство!$A$104:$A$145,Технологи!$B130,Производство!J$104:J$145)*$F130+$G130,0)</f>
        <v>0</v>
      </c>
      <c r="N130" s="46">
        <f t="array" ref="N130">IF(SUMIF(Производство!$A$104:$A$145,Технологи!$B130,Производство!K$104:K$145)&gt;0,SUMIF(Производство!$A$104:$A$145,Технологи!$B130,Производство!K$104:K$145)*$F130+$G130,0)</f>
        <v>0</v>
      </c>
      <c r="O130" s="46">
        <f t="array" ref="O130">IF(SUMIF(Производство!$A$104:$A$145,Технологи!$B130,Производство!L$104:L$145)&gt;0,SUMIF(Производство!$A$104:$A$145,Технологи!$B130,Производство!L$104:L$145)*$F130+$G130,0)</f>
        <v>0</v>
      </c>
      <c r="P130" s="46">
        <f t="array" ref="P130">IF(SUMIF(Производство!$A$104:$A$145,Технологи!$B130,Производство!M$104:M$145)&gt;0,SUMIF(Производство!$A$104:$A$145,Технологи!$B130,Производство!M$104:M$145)*$F130+$G130,0)</f>
        <v>0</v>
      </c>
      <c r="Q130" s="46">
        <f t="array" ref="Q130">IF(SUMIF(Производство!$A$104:$A$145,Технологи!$B130,Производство!N$104:N$145)&gt;0,SUMIF(Производство!$A$104:$A$145,Технологи!$B130,Производство!N$104:N$145)*$F130+$G130,0)</f>
        <v>0</v>
      </c>
      <c r="R130" s="46">
        <f t="array" ref="R130">IF(SUMIF(Производство!$A$104:$A$145,Технологи!$B130,Производство!O$104:O$145)&gt;0,SUMIF(Производство!$A$104:$A$145,Технологи!$B130,Производство!O$104:O$145)*$F130+$G130,0)</f>
        <v>0</v>
      </c>
      <c r="S130" s="46">
        <f t="array" ref="S130">IF(SUMIF(Производство!$A$104:$A$145,Технологи!$B130,Производство!P$104:P$145)&gt;0,SUMIF(Производство!$A$104:$A$145,Технологи!$B130,Производство!P$104:P$145)*$F130+$G130,0)</f>
        <v>0</v>
      </c>
      <c r="T130" s="46">
        <f t="array" ref="T130">IF(SUMIF(Производство!$A$104:$A$145,Технологи!$B130,Производство!Q$104:Q$145)&gt;0,SUMIF(Производство!$A$104:$A$145,Технологи!$B130,Производство!Q$104:Q$145)*$F130+$G130,0)</f>
        <v>0</v>
      </c>
    </row>
    <row r="131" spans="1:20" x14ac:dyDescent="0.25">
      <c r="A131" s="34" t="s">
        <v>377</v>
      </c>
      <c r="B131" s="13" t="s">
        <v>62</v>
      </c>
      <c r="C131" s="19" t="s">
        <v>20</v>
      </c>
      <c r="D131" s="14">
        <v>7038</v>
      </c>
      <c r="E131" s="20"/>
      <c r="F131" s="24">
        <v>7.9200000000000007E-2</v>
      </c>
      <c r="G131" s="24">
        <v>1.6632</v>
      </c>
      <c r="H131" s="23">
        <f t="shared" si="6"/>
        <v>79.2</v>
      </c>
      <c r="I131" s="46">
        <f t="array" ref="I131">IF(SUMIF(Производство!$A$104:$A$145,Технологи!$B131,Производство!F$104:F$145)&gt;0,SUMIF(Производство!$A$104:$A$145,Технологи!$B131,Производство!F$104:F$145)*$F131+$G131,0)</f>
        <v>11.167200000000003</v>
      </c>
      <c r="J131" s="46">
        <f t="array" ref="J131">IF(SUMIF(Производство!$A$104:$A$145,Технологи!$B131,Производство!G$104:G$145)&gt;0,SUMIF(Производство!$A$104:$A$145,Технологи!$B131,Производство!G$104:G$145)*$F131+$G131,0)</f>
        <v>18.295199999999998</v>
      </c>
      <c r="K131" s="46">
        <f t="array" ref="K131">IF(SUMIF(Производство!$A$104:$A$145,Технологи!$B131,Производство!H$104:H$145)&gt;0,SUMIF(Производство!$A$104:$A$145,Технологи!$B131,Производство!H$104:H$145)*$F131+$G131,0)</f>
        <v>0</v>
      </c>
      <c r="L131" s="46">
        <f t="array" ref="L131">IF(SUMIF(Производство!$A$104:$A$145,Технологи!$B131,Производство!I$104:I$145)&gt;0,SUMIF(Производство!$A$104:$A$145,Технологи!$B131,Производство!I$104:I$145)*$F131+$G131,0)</f>
        <v>0</v>
      </c>
      <c r="M131" s="46">
        <f t="array" ref="M131">IF(SUMIF(Производство!$A$104:$A$145,Технологи!$B131,Производство!J$104:J$145)&gt;0,SUMIF(Производство!$A$104:$A$145,Технологи!$B131,Производство!J$104:J$145)*$F131+$G131,0)</f>
        <v>0</v>
      </c>
      <c r="N131" s="46">
        <f t="array" ref="N131">IF(SUMIF(Производство!$A$104:$A$145,Технологи!$B131,Производство!K$104:K$145)&gt;0,SUMIF(Производство!$A$104:$A$145,Технологи!$B131,Производство!K$104:K$145)*$F131+$G131,0)</f>
        <v>0</v>
      </c>
      <c r="O131" s="46">
        <f t="array" ref="O131">IF(SUMIF(Производство!$A$104:$A$145,Технологи!$B131,Производство!L$104:L$145)&gt;0,SUMIF(Производство!$A$104:$A$145,Технологи!$B131,Производство!L$104:L$145)*$F131+$G131,0)</f>
        <v>0</v>
      </c>
      <c r="P131" s="46">
        <f t="array" ref="P131">IF(SUMIF(Производство!$A$104:$A$145,Технологи!$B131,Производство!M$104:M$145)&gt;0,SUMIF(Производство!$A$104:$A$145,Технологи!$B131,Производство!M$104:M$145)*$F131+$G131,0)</f>
        <v>0</v>
      </c>
      <c r="Q131" s="46">
        <f t="array" ref="Q131">IF(SUMIF(Производство!$A$104:$A$145,Технологи!$B131,Производство!N$104:N$145)&gt;0,SUMIF(Производство!$A$104:$A$145,Технологи!$B131,Производство!N$104:N$145)*$F131+$G131,0)</f>
        <v>0</v>
      </c>
      <c r="R131" s="46">
        <f t="array" ref="R131">IF(SUMIF(Производство!$A$104:$A$145,Технологи!$B131,Производство!O$104:O$145)&gt;0,SUMIF(Производство!$A$104:$A$145,Технологи!$B131,Производство!O$104:O$145)*$F131+$G131,0)</f>
        <v>0</v>
      </c>
      <c r="S131" s="46">
        <f t="array" ref="S131">IF(SUMIF(Производство!$A$104:$A$145,Технологи!$B131,Производство!P$104:P$145)&gt;0,SUMIF(Производство!$A$104:$A$145,Технологи!$B131,Производство!P$104:P$145)*$F131+$G131,0)</f>
        <v>0</v>
      </c>
      <c r="T131" s="46">
        <f t="array" ref="T131">IF(SUMIF(Производство!$A$104:$A$145,Технологи!$B131,Производство!Q$104:Q$145)&gt;0,SUMIF(Производство!$A$104:$A$145,Технологи!$B131,Производство!Q$104:Q$145)*$F131+$G131,0)</f>
        <v>0</v>
      </c>
    </row>
    <row r="132" spans="1:20" x14ac:dyDescent="0.25">
      <c r="A132" s="34" t="s">
        <v>377</v>
      </c>
      <c r="B132" s="13" t="s">
        <v>62</v>
      </c>
      <c r="C132" s="19" t="s">
        <v>21</v>
      </c>
      <c r="D132" s="14">
        <v>7038</v>
      </c>
      <c r="E132" s="20"/>
      <c r="F132" s="24">
        <v>0.11550000000000001</v>
      </c>
      <c r="G132" s="24">
        <v>2.4255</v>
      </c>
      <c r="H132" s="23">
        <f t="shared" si="6"/>
        <v>115.5</v>
      </c>
      <c r="I132" s="46">
        <f t="array" ref="I132">IF(SUMIF(Производство!$A$104:$A$145,Технологи!$B132,Производство!F$104:F$145)&gt;0,SUMIF(Производство!$A$104:$A$145,Технологи!$B132,Производство!F$104:F$145)*$F132+$G132,0)</f>
        <v>16.285500000000006</v>
      </c>
      <c r="J132" s="46">
        <f t="array" ref="J132">IF(SUMIF(Производство!$A$104:$A$145,Технологи!$B132,Производство!G$104:G$145)&gt;0,SUMIF(Производство!$A$104:$A$145,Технологи!$B132,Производство!G$104:G$145)*$F132+$G132,0)</f>
        <v>26.680499999999995</v>
      </c>
      <c r="K132" s="46">
        <f t="array" ref="K132">IF(SUMIF(Производство!$A$104:$A$145,Технологи!$B132,Производство!H$104:H$145)&gt;0,SUMIF(Производство!$A$104:$A$145,Технологи!$B132,Производство!H$104:H$145)*$F132+$G132,0)</f>
        <v>0</v>
      </c>
      <c r="L132" s="46">
        <f t="array" ref="L132">IF(SUMIF(Производство!$A$104:$A$145,Технологи!$B132,Производство!I$104:I$145)&gt;0,SUMIF(Производство!$A$104:$A$145,Технологи!$B132,Производство!I$104:I$145)*$F132+$G132,0)</f>
        <v>0</v>
      </c>
      <c r="M132" s="46">
        <f t="array" ref="M132">IF(SUMIF(Производство!$A$104:$A$145,Технологи!$B132,Производство!J$104:J$145)&gt;0,SUMIF(Производство!$A$104:$A$145,Технологи!$B132,Производство!J$104:J$145)*$F132+$G132,0)</f>
        <v>0</v>
      </c>
      <c r="N132" s="46">
        <f t="array" ref="N132">IF(SUMIF(Производство!$A$104:$A$145,Технологи!$B132,Производство!K$104:K$145)&gt;0,SUMIF(Производство!$A$104:$A$145,Технологи!$B132,Производство!K$104:K$145)*$F132+$G132,0)</f>
        <v>0</v>
      </c>
      <c r="O132" s="46">
        <f t="array" ref="O132">IF(SUMIF(Производство!$A$104:$A$145,Технологи!$B132,Производство!L$104:L$145)&gt;0,SUMIF(Производство!$A$104:$A$145,Технологи!$B132,Производство!L$104:L$145)*$F132+$G132,0)</f>
        <v>0</v>
      </c>
      <c r="P132" s="46">
        <f t="array" ref="P132">IF(SUMIF(Производство!$A$104:$A$145,Технологи!$B132,Производство!M$104:M$145)&gt;0,SUMIF(Производство!$A$104:$A$145,Технологи!$B132,Производство!M$104:M$145)*$F132+$G132,0)</f>
        <v>0</v>
      </c>
      <c r="Q132" s="46">
        <f t="array" ref="Q132">IF(SUMIF(Производство!$A$104:$A$145,Технологи!$B132,Производство!N$104:N$145)&gt;0,SUMIF(Производство!$A$104:$A$145,Технологи!$B132,Производство!N$104:N$145)*$F132+$G132,0)</f>
        <v>0</v>
      </c>
      <c r="R132" s="46">
        <f t="array" ref="R132">IF(SUMIF(Производство!$A$104:$A$145,Технологи!$B132,Производство!O$104:O$145)&gt;0,SUMIF(Производство!$A$104:$A$145,Технологи!$B132,Производство!O$104:O$145)*$F132+$G132,0)</f>
        <v>0</v>
      </c>
      <c r="S132" s="46">
        <f t="array" ref="S132">IF(SUMIF(Производство!$A$104:$A$145,Технологи!$B132,Производство!P$104:P$145)&gt;0,SUMIF(Производство!$A$104:$A$145,Технологи!$B132,Производство!P$104:P$145)*$F132+$G132,0)</f>
        <v>0</v>
      </c>
      <c r="T132" s="46">
        <f t="array" ref="T132">IF(SUMIF(Производство!$A$104:$A$145,Технологи!$B132,Производство!Q$104:Q$145)&gt;0,SUMIF(Производство!$A$104:$A$145,Технологи!$B132,Производство!Q$104:Q$145)*$F132+$G132,0)</f>
        <v>0</v>
      </c>
    </row>
    <row r="133" spans="1:20" x14ac:dyDescent="0.25">
      <c r="A133" s="34" t="s">
        <v>377</v>
      </c>
      <c r="B133" s="13" t="s">
        <v>62</v>
      </c>
      <c r="C133" s="19" t="s">
        <v>22</v>
      </c>
      <c r="D133" s="14">
        <v>7038</v>
      </c>
      <c r="E133" s="20"/>
      <c r="F133" s="24">
        <v>0</v>
      </c>
      <c r="G133" s="24">
        <v>0</v>
      </c>
      <c r="H133" s="23">
        <f t="shared" si="6"/>
        <v>0</v>
      </c>
      <c r="I133" s="46">
        <f t="array" ref="I133">IF(SUMIF(Производство!$A$104:$A$145,Технологи!$B133,Производство!F$104:F$145)&gt;0,SUMIF(Производство!$A$104:$A$145,Технологи!$B133,Производство!F$104:F$145)*$F133+$G133,0)</f>
        <v>0</v>
      </c>
      <c r="J133" s="46">
        <f t="array" ref="J133">IF(SUMIF(Производство!$A$104:$A$145,Технологи!$B133,Производство!G$104:G$145)&gt;0,SUMIF(Производство!$A$104:$A$145,Технологи!$B133,Производство!G$104:G$145)*$F133+$G133,0)</f>
        <v>0</v>
      </c>
      <c r="K133" s="46">
        <f t="array" ref="K133">IF(SUMIF(Производство!$A$104:$A$145,Технологи!$B133,Производство!H$104:H$145)&gt;0,SUMIF(Производство!$A$104:$A$145,Технологи!$B133,Производство!H$104:H$145)*$F133+$G133,0)</f>
        <v>0</v>
      </c>
      <c r="L133" s="46">
        <f t="array" ref="L133">IF(SUMIF(Производство!$A$104:$A$145,Технологи!$B133,Производство!I$104:I$145)&gt;0,SUMIF(Производство!$A$104:$A$145,Технологи!$B133,Производство!I$104:I$145)*$F133+$G133,0)</f>
        <v>0</v>
      </c>
      <c r="M133" s="46">
        <f t="array" ref="M133">IF(SUMIF(Производство!$A$104:$A$145,Технологи!$B133,Производство!J$104:J$145)&gt;0,SUMIF(Производство!$A$104:$A$145,Технологи!$B133,Производство!J$104:J$145)*$F133+$G133,0)</f>
        <v>0</v>
      </c>
      <c r="N133" s="46">
        <f t="array" ref="N133">IF(SUMIF(Производство!$A$104:$A$145,Технологи!$B133,Производство!K$104:K$145)&gt;0,SUMIF(Производство!$A$104:$A$145,Технологи!$B133,Производство!K$104:K$145)*$F133+$G133,0)</f>
        <v>0</v>
      </c>
      <c r="O133" s="46">
        <f t="array" ref="O133">IF(SUMIF(Производство!$A$104:$A$145,Технологи!$B133,Производство!L$104:L$145)&gt;0,SUMIF(Производство!$A$104:$A$145,Технологи!$B133,Производство!L$104:L$145)*$F133+$G133,0)</f>
        <v>0</v>
      </c>
      <c r="P133" s="46">
        <f t="array" ref="P133">IF(SUMIF(Производство!$A$104:$A$145,Технологи!$B133,Производство!M$104:M$145)&gt;0,SUMIF(Производство!$A$104:$A$145,Технологи!$B133,Производство!M$104:M$145)*$F133+$G133,0)</f>
        <v>0</v>
      </c>
      <c r="Q133" s="46">
        <f t="array" ref="Q133">IF(SUMIF(Производство!$A$104:$A$145,Технологи!$B133,Производство!N$104:N$145)&gt;0,SUMIF(Производство!$A$104:$A$145,Технологи!$B133,Производство!N$104:N$145)*$F133+$G133,0)</f>
        <v>0</v>
      </c>
      <c r="R133" s="46">
        <f t="array" ref="R133">IF(SUMIF(Производство!$A$104:$A$145,Технологи!$B133,Производство!O$104:O$145)&gt;0,SUMIF(Производство!$A$104:$A$145,Технологи!$B133,Производство!O$104:O$145)*$F133+$G133,0)</f>
        <v>0</v>
      </c>
      <c r="S133" s="46">
        <f t="array" ref="S133">IF(SUMIF(Производство!$A$104:$A$145,Технологи!$B133,Производство!P$104:P$145)&gt;0,SUMIF(Производство!$A$104:$A$145,Технологи!$B133,Производство!P$104:P$145)*$F133+$G133,0)</f>
        <v>0</v>
      </c>
      <c r="T133" s="46">
        <f t="array" ref="T133">IF(SUMIF(Производство!$A$104:$A$145,Технологи!$B133,Производство!Q$104:Q$145)&gt;0,SUMIF(Производство!$A$104:$A$145,Технологи!$B133,Производство!Q$104:Q$145)*$F133+$G133,0)</f>
        <v>0</v>
      </c>
    </row>
    <row r="134" spans="1:20" x14ac:dyDescent="0.25">
      <c r="A134" s="34" t="s">
        <v>377</v>
      </c>
      <c r="B134" s="13" t="s">
        <v>62</v>
      </c>
      <c r="C134" s="19" t="s">
        <v>23</v>
      </c>
      <c r="D134" s="14">
        <v>7038</v>
      </c>
      <c r="E134" s="20"/>
      <c r="F134" s="24">
        <v>0</v>
      </c>
      <c r="G134" s="24">
        <v>0</v>
      </c>
      <c r="H134" s="23">
        <f t="shared" si="6"/>
        <v>0</v>
      </c>
      <c r="I134" s="46">
        <f t="array" ref="I134">IF(SUMIF(Производство!$A$104:$A$145,Технологи!$B134,Производство!F$104:F$145)&gt;0,SUMIF(Производство!$A$104:$A$145,Технологи!$B134,Производство!F$104:F$145)*$F134+$G134,0)</f>
        <v>0</v>
      </c>
      <c r="J134" s="46">
        <f t="array" ref="J134">IF(SUMIF(Производство!$A$104:$A$145,Технологи!$B134,Производство!G$104:G$145)&gt;0,SUMIF(Производство!$A$104:$A$145,Технологи!$B134,Производство!G$104:G$145)*$F134+$G134,0)</f>
        <v>0</v>
      </c>
      <c r="K134" s="46">
        <f t="array" ref="K134">IF(SUMIF(Производство!$A$104:$A$145,Технологи!$B134,Производство!H$104:H$145)&gt;0,SUMIF(Производство!$A$104:$A$145,Технологи!$B134,Производство!H$104:H$145)*$F134+$G134,0)</f>
        <v>0</v>
      </c>
      <c r="L134" s="46">
        <f t="array" ref="L134">IF(SUMIF(Производство!$A$104:$A$145,Технологи!$B134,Производство!I$104:I$145)&gt;0,SUMIF(Производство!$A$104:$A$145,Технологи!$B134,Производство!I$104:I$145)*$F134+$G134,0)</f>
        <v>0</v>
      </c>
      <c r="M134" s="46">
        <f t="array" ref="M134">IF(SUMIF(Производство!$A$104:$A$145,Технологи!$B134,Производство!J$104:J$145)&gt;0,SUMIF(Производство!$A$104:$A$145,Технологи!$B134,Производство!J$104:J$145)*$F134+$G134,0)</f>
        <v>0</v>
      </c>
      <c r="N134" s="46">
        <f t="array" ref="N134">IF(SUMIF(Производство!$A$104:$A$145,Технологи!$B134,Производство!K$104:K$145)&gt;0,SUMIF(Производство!$A$104:$A$145,Технологи!$B134,Производство!K$104:K$145)*$F134+$G134,0)</f>
        <v>0</v>
      </c>
      <c r="O134" s="46">
        <f t="array" ref="O134">IF(SUMIF(Производство!$A$104:$A$145,Технологи!$B134,Производство!L$104:L$145)&gt;0,SUMIF(Производство!$A$104:$A$145,Технологи!$B134,Производство!L$104:L$145)*$F134+$G134,0)</f>
        <v>0</v>
      </c>
      <c r="P134" s="46">
        <f t="array" ref="P134">IF(SUMIF(Производство!$A$104:$A$145,Технологи!$B134,Производство!M$104:M$145)&gt;0,SUMIF(Производство!$A$104:$A$145,Технологи!$B134,Производство!M$104:M$145)*$F134+$G134,0)</f>
        <v>0</v>
      </c>
      <c r="Q134" s="46">
        <f t="array" ref="Q134">IF(SUMIF(Производство!$A$104:$A$145,Технологи!$B134,Производство!N$104:N$145)&gt;0,SUMIF(Производство!$A$104:$A$145,Технологи!$B134,Производство!N$104:N$145)*$F134+$G134,0)</f>
        <v>0</v>
      </c>
      <c r="R134" s="46">
        <f t="array" ref="R134">IF(SUMIF(Производство!$A$104:$A$145,Технологи!$B134,Производство!O$104:O$145)&gt;0,SUMIF(Производство!$A$104:$A$145,Технологи!$B134,Производство!O$104:O$145)*$F134+$G134,0)</f>
        <v>0</v>
      </c>
      <c r="S134" s="46">
        <f t="array" ref="S134">IF(SUMIF(Производство!$A$104:$A$145,Технологи!$B134,Производство!P$104:P$145)&gt;0,SUMIF(Производство!$A$104:$A$145,Технологи!$B134,Производство!P$104:P$145)*$F134+$G134,0)</f>
        <v>0</v>
      </c>
      <c r="T134" s="46">
        <f t="array" ref="T134">IF(SUMIF(Производство!$A$104:$A$145,Технологи!$B134,Производство!Q$104:Q$145)&gt;0,SUMIF(Производство!$A$104:$A$145,Технологи!$B134,Производство!Q$104:Q$145)*$F134+$G134,0)</f>
        <v>0</v>
      </c>
    </row>
    <row r="135" spans="1:20" x14ac:dyDescent="0.25">
      <c r="A135" s="34" t="s">
        <v>377</v>
      </c>
      <c r="B135" s="13" t="s">
        <v>63</v>
      </c>
      <c r="C135" s="15" t="s">
        <v>11</v>
      </c>
      <c r="D135" s="14">
        <v>7038</v>
      </c>
      <c r="E135" s="16">
        <v>3.1069999999999998</v>
      </c>
      <c r="F135" s="22">
        <f>SUM(F136:F147)</f>
        <v>3.112732969966741</v>
      </c>
      <c r="G135" s="22">
        <f>SUM(G136:G147)</f>
        <v>149.18357950000004</v>
      </c>
      <c r="H135" s="23">
        <f t="shared" si="6"/>
        <v>3112.7329699667412</v>
      </c>
      <c r="I135" s="46">
        <f t="array" ref="I135">IF(SUMIF(Производство!$A$104:$A$145,Технологи!$B135,Производство!F$104:F$145)&gt;0,SUMIF(Производство!$A$104:$A$145,Технологи!$B135,Производство!F$104:F$145)*$F135+$G135,0)</f>
        <v>914.91589011181816</v>
      </c>
      <c r="J135" s="46">
        <f t="array" ref="J135">IF(SUMIF(Производство!$A$104:$A$145,Технологи!$B135,Производство!G$104:G$145)&gt;0,SUMIF(Производство!$A$104:$A$145,Технологи!$B135,Производство!G$104:G$145)*$F135+$G135,0)</f>
        <v>616.09352499501131</v>
      </c>
      <c r="K135" s="46">
        <f t="array" ref="K135">IF(SUMIF(Производство!$A$104:$A$145,Технологи!$B135,Производство!H$104:H$145)&gt;0,SUMIF(Производство!$A$104:$A$145,Технологи!$B135,Производство!H$104:H$145)*$F135+$G135,0)</f>
        <v>0</v>
      </c>
      <c r="L135" s="46">
        <f t="array" ref="L135">IF(SUMIF(Производство!$A$104:$A$145,Технологи!$B135,Производство!I$104:I$145)&gt;0,SUMIF(Производство!$A$104:$A$145,Технологи!$B135,Производство!I$104:I$145)*$F135+$G135,0)</f>
        <v>0</v>
      </c>
      <c r="M135" s="46">
        <f t="array" ref="M135">IF(SUMIF(Производство!$A$104:$A$145,Технологи!$B135,Производство!J$104:J$145)&gt;0,SUMIF(Производство!$A$104:$A$145,Технологи!$B135,Производство!J$104:J$145)*$F135+$G135,0)</f>
        <v>0</v>
      </c>
      <c r="N135" s="46">
        <f t="array" ref="N135">IF(SUMIF(Производство!$A$104:$A$145,Технологи!$B135,Производство!K$104:K$145)&gt;0,SUMIF(Производство!$A$104:$A$145,Технологи!$B135,Производство!K$104:K$145)*$F135+$G135,0)</f>
        <v>0</v>
      </c>
      <c r="O135" s="46">
        <f t="array" ref="O135">IF(SUMIF(Производство!$A$104:$A$145,Технологи!$B135,Производство!L$104:L$145)&gt;0,SUMIF(Производство!$A$104:$A$145,Технологи!$B135,Производство!L$104:L$145)*$F135+$G135,0)</f>
        <v>0</v>
      </c>
      <c r="P135" s="46">
        <f t="array" ref="P135">IF(SUMIF(Производство!$A$104:$A$145,Технологи!$B135,Производство!M$104:M$145)&gt;0,SUMIF(Производство!$A$104:$A$145,Технологи!$B135,Производство!M$104:M$145)*$F135+$G135,0)</f>
        <v>0</v>
      </c>
      <c r="Q135" s="46">
        <f t="array" ref="Q135">IF(SUMIF(Производство!$A$104:$A$145,Технологи!$B135,Производство!N$104:N$145)&gt;0,SUMIF(Производство!$A$104:$A$145,Технологи!$B135,Производство!N$104:N$145)*$F135+$G135,0)</f>
        <v>0</v>
      </c>
      <c r="R135" s="46">
        <f t="array" ref="R135">IF(SUMIF(Производство!$A$104:$A$145,Технологи!$B135,Производство!O$104:O$145)&gt;0,SUMIF(Производство!$A$104:$A$145,Технологи!$B135,Производство!O$104:O$145)*$F135+$G135,0)</f>
        <v>0</v>
      </c>
      <c r="S135" s="46">
        <f t="array" ref="S135">IF(SUMIF(Производство!$A$104:$A$145,Технологи!$B135,Производство!P$104:P$145)&gt;0,SUMIF(Производство!$A$104:$A$145,Технологи!$B135,Производство!P$104:P$145)*$F135+$G135,0)</f>
        <v>0</v>
      </c>
      <c r="T135" s="46">
        <f t="array" ref="T135">IF(SUMIF(Производство!$A$104:$A$145,Технологи!$B135,Производство!Q$104:Q$145)&gt;0,SUMIF(Производство!$A$104:$A$145,Технологи!$B135,Производство!Q$104:Q$145)*$F135+$G135,0)</f>
        <v>0</v>
      </c>
    </row>
    <row r="136" spans="1:20" x14ac:dyDescent="0.25">
      <c r="A136" s="34" t="s">
        <v>377</v>
      </c>
      <c r="B136" s="13" t="s">
        <v>63</v>
      </c>
      <c r="C136" s="19" t="s">
        <v>12</v>
      </c>
      <c r="D136" s="14">
        <v>7038</v>
      </c>
      <c r="E136" s="20"/>
      <c r="F136" s="24">
        <v>0.81200239186176126</v>
      </c>
      <c r="G136" s="24">
        <v>40.006976328502411</v>
      </c>
      <c r="H136" s="23">
        <f t="shared" si="6"/>
        <v>812.00239186176123</v>
      </c>
      <c r="I136" s="46">
        <f t="array" ref="I136">IF(SUMIF(Производство!$A$104:$A$145,Технологи!$B136,Производство!F$104:F$145)&gt;0,SUMIF(Производство!$A$104:$A$145,Технологи!$B136,Производство!F$104:F$145)*$F136+$G136,0)</f>
        <v>239.75956472649565</v>
      </c>
      <c r="J136" s="46">
        <f t="array" ref="J136">IF(SUMIF(Производство!$A$104:$A$145,Технологи!$B136,Производство!G$104:G$145)&gt;0,SUMIF(Производство!$A$104:$A$145,Технологи!$B136,Производство!G$104:G$145)*$F136+$G136,0)</f>
        <v>161.80733510776665</v>
      </c>
      <c r="K136" s="46">
        <f t="array" ref="K136">IF(SUMIF(Производство!$A$104:$A$145,Технологи!$B136,Производство!H$104:H$145)&gt;0,SUMIF(Производство!$A$104:$A$145,Технологи!$B136,Производство!H$104:H$145)*$F136+$G136,0)</f>
        <v>0</v>
      </c>
      <c r="L136" s="46">
        <f t="array" ref="L136">IF(SUMIF(Производство!$A$104:$A$145,Технологи!$B136,Производство!I$104:I$145)&gt;0,SUMIF(Производство!$A$104:$A$145,Технологи!$B136,Производство!I$104:I$145)*$F136+$G136,0)</f>
        <v>0</v>
      </c>
      <c r="M136" s="46">
        <f t="array" ref="M136">IF(SUMIF(Производство!$A$104:$A$145,Технологи!$B136,Производство!J$104:J$145)&gt;0,SUMIF(Производство!$A$104:$A$145,Технологи!$B136,Производство!J$104:J$145)*$F136+$G136,0)</f>
        <v>0</v>
      </c>
      <c r="N136" s="46">
        <f t="array" ref="N136">IF(SUMIF(Производство!$A$104:$A$145,Технологи!$B136,Производство!K$104:K$145)&gt;0,SUMIF(Производство!$A$104:$A$145,Технологи!$B136,Производство!K$104:K$145)*$F136+$G136,0)</f>
        <v>0</v>
      </c>
      <c r="O136" s="46">
        <f t="array" ref="O136">IF(SUMIF(Производство!$A$104:$A$145,Технологи!$B136,Производство!L$104:L$145)&gt;0,SUMIF(Производство!$A$104:$A$145,Технологи!$B136,Производство!L$104:L$145)*$F136+$G136,0)</f>
        <v>0</v>
      </c>
      <c r="P136" s="46">
        <f t="array" ref="P136">IF(SUMIF(Производство!$A$104:$A$145,Технологи!$B136,Производство!M$104:M$145)&gt;0,SUMIF(Производство!$A$104:$A$145,Технологи!$B136,Производство!M$104:M$145)*$F136+$G136,0)</f>
        <v>0</v>
      </c>
      <c r="Q136" s="46">
        <f t="array" ref="Q136">IF(SUMIF(Производство!$A$104:$A$145,Технологи!$B136,Производство!N$104:N$145)&gt;0,SUMIF(Производство!$A$104:$A$145,Технологи!$B136,Производство!N$104:N$145)*$F136+$G136,0)</f>
        <v>0</v>
      </c>
      <c r="R136" s="46">
        <f t="array" ref="R136">IF(SUMIF(Производство!$A$104:$A$145,Технологи!$B136,Производство!O$104:O$145)&gt;0,SUMIF(Производство!$A$104:$A$145,Технологи!$B136,Производство!O$104:O$145)*$F136+$G136,0)</f>
        <v>0</v>
      </c>
      <c r="S136" s="46">
        <f t="array" ref="S136">IF(SUMIF(Производство!$A$104:$A$145,Технологи!$B136,Производство!P$104:P$145)&gt;0,SUMIF(Производство!$A$104:$A$145,Технологи!$B136,Производство!P$104:P$145)*$F136+$G136,0)</f>
        <v>0</v>
      </c>
      <c r="T136" s="46">
        <f t="array" ref="T136">IF(SUMIF(Производство!$A$104:$A$145,Технологи!$B136,Производство!Q$104:Q$145)&gt;0,SUMIF(Производство!$A$104:$A$145,Технологи!$B136,Производство!Q$104:Q$145)*$F136+$G136,0)</f>
        <v>0</v>
      </c>
    </row>
    <row r="137" spans="1:20" x14ac:dyDescent="0.25">
      <c r="A137" s="34" t="s">
        <v>377</v>
      </c>
      <c r="B137" s="13" t="s">
        <v>63</v>
      </c>
      <c r="C137" s="19" t="s">
        <v>13</v>
      </c>
      <c r="D137" s="14">
        <v>7038</v>
      </c>
      <c r="E137" s="20"/>
      <c r="F137" s="24">
        <v>0.24481266142697877</v>
      </c>
      <c r="G137" s="24">
        <v>12.002092898550723</v>
      </c>
      <c r="H137" s="23">
        <f t="shared" si="6"/>
        <v>244.81266142697876</v>
      </c>
      <c r="I137" s="46">
        <f t="array" ref="I137">IF(SUMIF(Производство!$A$104:$A$145,Технологи!$B137,Производство!F$104:F$145)&gt;0,SUMIF(Производство!$A$104:$A$145,Технологи!$B137,Производство!F$104:F$145)*$F137+$G137,0)</f>
        <v>72.226007609587484</v>
      </c>
      <c r="J137" s="46">
        <f t="array" ref="J137">IF(SUMIF(Производство!$A$104:$A$145,Технологи!$B137,Производство!G$104:G$145)&gt;0,SUMIF(Производство!$A$104:$A$145,Технологи!$B137,Производство!G$104:G$145)*$F137+$G137,0)</f>
        <v>48.72399211259755</v>
      </c>
      <c r="K137" s="46">
        <f t="array" ref="K137">IF(SUMIF(Производство!$A$104:$A$145,Технологи!$B137,Производство!H$104:H$145)&gt;0,SUMIF(Производство!$A$104:$A$145,Технологи!$B137,Производство!H$104:H$145)*$F137+$G137,0)</f>
        <v>0</v>
      </c>
      <c r="L137" s="46">
        <f t="array" ref="L137">IF(SUMIF(Производство!$A$104:$A$145,Технологи!$B137,Производство!I$104:I$145)&gt;0,SUMIF(Производство!$A$104:$A$145,Технологи!$B137,Производство!I$104:I$145)*$F137+$G137,0)</f>
        <v>0</v>
      </c>
      <c r="M137" s="46">
        <f t="array" ref="M137">IF(SUMIF(Производство!$A$104:$A$145,Технологи!$B137,Производство!J$104:J$145)&gt;0,SUMIF(Производство!$A$104:$A$145,Технологи!$B137,Производство!J$104:J$145)*$F137+$G137,0)</f>
        <v>0</v>
      </c>
      <c r="N137" s="46">
        <f t="array" ref="N137">IF(SUMIF(Производство!$A$104:$A$145,Технологи!$B137,Производство!K$104:K$145)&gt;0,SUMIF(Производство!$A$104:$A$145,Технологи!$B137,Производство!K$104:K$145)*$F137+$G137,0)</f>
        <v>0</v>
      </c>
      <c r="O137" s="46">
        <f t="array" ref="O137">IF(SUMIF(Производство!$A$104:$A$145,Технологи!$B137,Производство!L$104:L$145)&gt;0,SUMIF(Производство!$A$104:$A$145,Технологи!$B137,Производство!L$104:L$145)*$F137+$G137,0)</f>
        <v>0</v>
      </c>
      <c r="P137" s="46">
        <f t="array" ref="P137">IF(SUMIF(Производство!$A$104:$A$145,Технологи!$B137,Производство!M$104:M$145)&gt;0,SUMIF(Производство!$A$104:$A$145,Технологи!$B137,Производство!M$104:M$145)*$F137+$G137,0)</f>
        <v>0</v>
      </c>
      <c r="Q137" s="46">
        <f t="array" ref="Q137">IF(SUMIF(Производство!$A$104:$A$145,Технологи!$B137,Производство!N$104:N$145)&gt;0,SUMIF(Производство!$A$104:$A$145,Технологи!$B137,Производство!N$104:N$145)*$F137+$G137,0)</f>
        <v>0</v>
      </c>
      <c r="R137" s="46">
        <f t="array" ref="R137">IF(SUMIF(Производство!$A$104:$A$145,Технологи!$B137,Производство!O$104:O$145)&gt;0,SUMIF(Производство!$A$104:$A$145,Технологи!$B137,Производство!O$104:O$145)*$F137+$G137,0)</f>
        <v>0</v>
      </c>
      <c r="S137" s="46">
        <f t="array" ref="S137">IF(SUMIF(Производство!$A$104:$A$145,Технологи!$B137,Производство!P$104:P$145)&gt;0,SUMIF(Производство!$A$104:$A$145,Технологи!$B137,Производство!P$104:P$145)*$F137+$G137,0)</f>
        <v>0</v>
      </c>
      <c r="T137" s="46">
        <f t="array" ref="T137">IF(SUMIF(Производство!$A$104:$A$145,Технологи!$B137,Производство!Q$104:Q$145)&gt;0,SUMIF(Производство!$A$104:$A$145,Технологи!$B137,Производство!Q$104:Q$145)*$F137+$G137,0)</f>
        <v>0</v>
      </c>
    </row>
    <row r="138" spans="1:20" x14ac:dyDescent="0.25">
      <c r="A138" s="34" t="s">
        <v>377</v>
      </c>
      <c r="B138" s="13" t="s">
        <v>63</v>
      </c>
      <c r="C138" s="19" t="s">
        <v>14</v>
      </c>
      <c r="D138" s="14">
        <v>7038</v>
      </c>
      <c r="E138" s="20"/>
      <c r="F138" s="24">
        <v>2.4481266142697871E-3</v>
      </c>
      <c r="G138" s="24">
        <v>0.12002092898550723</v>
      </c>
      <c r="H138" s="23">
        <f t="shared" si="6"/>
        <v>2.4481266142697873</v>
      </c>
      <c r="I138" s="46">
        <f t="array" ref="I138">IF(SUMIF(Производство!$A$104:$A$145,Технологи!$B138,Производство!F$104:F$145)&gt;0,SUMIF(Производство!$A$104:$A$145,Технологи!$B138,Производство!F$104:F$145)*$F138+$G138,0)</f>
        <v>0.72226007609587473</v>
      </c>
      <c r="J138" s="46">
        <f t="array" ref="J138">IF(SUMIF(Производство!$A$104:$A$145,Технологи!$B138,Производство!G$104:G$145)&gt;0,SUMIF(Производство!$A$104:$A$145,Технологи!$B138,Производство!G$104:G$145)*$F138+$G138,0)</f>
        <v>0.48723992112597547</v>
      </c>
      <c r="K138" s="46">
        <f t="array" ref="K138">IF(SUMIF(Производство!$A$104:$A$145,Технологи!$B138,Производство!H$104:H$145)&gt;0,SUMIF(Производство!$A$104:$A$145,Технологи!$B138,Производство!H$104:H$145)*$F138+$G138,0)</f>
        <v>0</v>
      </c>
      <c r="L138" s="46">
        <f t="array" ref="L138">IF(SUMIF(Производство!$A$104:$A$145,Технологи!$B138,Производство!I$104:I$145)&gt;0,SUMIF(Производство!$A$104:$A$145,Технологи!$B138,Производство!I$104:I$145)*$F138+$G138,0)</f>
        <v>0</v>
      </c>
      <c r="M138" s="46">
        <f t="array" ref="M138">IF(SUMIF(Производство!$A$104:$A$145,Технологи!$B138,Производство!J$104:J$145)&gt;0,SUMIF(Производство!$A$104:$A$145,Технологи!$B138,Производство!J$104:J$145)*$F138+$G138,0)</f>
        <v>0</v>
      </c>
      <c r="N138" s="46">
        <f t="array" ref="N138">IF(SUMIF(Производство!$A$104:$A$145,Технологи!$B138,Производство!K$104:K$145)&gt;0,SUMIF(Производство!$A$104:$A$145,Технологи!$B138,Производство!K$104:K$145)*$F138+$G138,0)</f>
        <v>0</v>
      </c>
      <c r="O138" s="46">
        <f t="array" ref="O138">IF(SUMIF(Производство!$A$104:$A$145,Технологи!$B138,Производство!L$104:L$145)&gt;0,SUMIF(Производство!$A$104:$A$145,Технологи!$B138,Производство!L$104:L$145)*$F138+$G138,0)</f>
        <v>0</v>
      </c>
      <c r="P138" s="46">
        <f t="array" ref="P138">IF(SUMIF(Производство!$A$104:$A$145,Технологи!$B138,Производство!M$104:M$145)&gt;0,SUMIF(Производство!$A$104:$A$145,Технологи!$B138,Производство!M$104:M$145)*$F138+$G138,0)</f>
        <v>0</v>
      </c>
      <c r="Q138" s="46">
        <f t="array" ref="Q138">IF(SUMIF(Производство!$A$104:$A$145,Технологи!$B138,Производство!N$104:N$145)&gt;0,SUMIF(Производство!$A$104:$A$145,Технологи!$B138,Производство!N$104:N$145)*$F138+$G138,0)</f>
        <v>0</v>
      </c>
      <c r="R138" s="46">
        <f t="array" ref="R138">IF(SUMIF(Производство!$A$104:$A$145,Технологи!$B138,Производство!O$104:O$145)&gt;0,SUMIF(Производство!$A$104:$A$145,Технологи!$B138,Производство!O$104:O$145)*$F138+$G138,0)</f>
        <v>0</v>
      </c>
      <c r="S138" s="46">
        <f t="array" ref="S138">IF(SUMIF(Производство!$A$104:$A$145,Технологи!$B138,Производство!P$104:P$145)&gt;0,SUMIF(Производство!$A$104:$A$145,Технологи!$B138,Производство!P$104:P$145)*$F138+$G138,0)</f>
        <v>0</v>
      </c>
      <c r="T138" s="46">
        <f t="array" ref="T138">IF(SUMIF(Производство!$A$104:$A$145,Технологи!$B138,Производство!Q$104:Q$145)&gt;0,SUMIF(Производство!$A$104:$A$145,Технологи!$B138,Производство!Q$104:Q$145)*$F138+$G138,0)</f>
        <v>0</v>
      </c>
    </row>
    <row r="139" spans="1:20" x14ac:dyDescent="0.25">
      <c r="A139" s="34" t="s">
        <v>377</v>
      </c>
      <c r="B139" s="13" t="s">
        <v>63</v>
      </c>
      <c r="C139" s="19" t="s">
        <v>15</v>
      </c>
      <c r="D139" s="14">
        <v>7038</v>
      </c>
      <c r="E139" s="20"/>
      <c r="F139" s="24">
        <v>1.2240633071348935E-3</v>
      </c>
      <c r="G139" s="24">
        <v>6.0010464492753615E-2</v>
      </c>
      <c r="H139" s="23">
        <f t="shared" si="6"/>
        <v>1.2240633071348936</v>
      </c>
      <c r="I139" s="46">
        <f t="array" ref="I139">IF(SUMIF(Производство!$A$104:$A$145,Технологи!$B139,Производство!F$104:F$145)&gt;0,SUMIF(Производство!$A$104:$A$145,Технологи!$B139,Производство!F$104:F$145)*$F139+$G139,0)</f>
        <v>0.36113003804793736</v>
      </c>
      <c r="J139" s="46">
        <f t="array" ref="J139">IF(SUMIF(Производство!$A$104:$A$145,Технологи!$B139,Производство!G$104:G$145)&gt;0,SUMIF(Производство!$A$104:$A$145,Технологи!$B139,Производство!G$104:G$145)*$F139+$G139,0)</f>
        <v>0.24361996056298774</v>
      </c>
      <c r="K139" s="46">
        <f t="array" ref="K139">IF(SUMIF(Производство!$A$104:$A$145,Технологи!$B139,Производство!H$104:H$145)&gt;0,SUMIF(Производство!$A$104:$A$145,Технологи!$B139,Производство!H$104:H$145)*$F139+$G139,0)</f>
        <v>0</v>
      </c>
      <c r="L139" s="46">
        <f t="array" ref="L139">IF(SUMIF(Производство!$A$104:$A$145,Технологи!$B139,Производство!I$104:I$145)&gt;0,SUMIF(Производство!$A$104:$A$145,Технологи!$B139,Производство!I$104:I$145)*$F139+$G139,0)</f>
        <v>0</v>
      </c>
      <c r="M139" s="46">
        <f t="array" ref="M139">IF(SUMIF(Производство!$A$104:$A$145,Технологи!$B139,Производство!J$104:J$145)&gt;0,SUMIF(Производство!$A$104:$A$145,Технологи!$B139,Производство!J$104:J$145)*$F139+$G139,0)</f>
        <v>0</v>
      </c>
      <c r="N139" s="46">
        <f t="array" ref="N139">IF(SUMIF(Производство!$A$104:$A$145,Технологи!$B139,Производство!K$104:K$145)&gt;0,SUMIF(Производство!$A$104:$A$145,Технологи!$B139,Производство!K$104:K$145)*$F139+$G139,0)</f>
        <v>0</v>
      </c>
      <c r="O139" s="46">
        <f t="array" ref="O139">IF(SUMIF(Производство!$A$104:$A$145,Технологи!$B139,Производство!L$104:L$145)&gt;0,SUMIF(Производство!$A$104:$A$145,Технологи!$B139,Производство!L$104:L$145)*$F139+$G139,0)</f>
        <v>0</v>
      </c>
      <c r="P139" s="46">
        <f t="array" ref="P139">IF(SUMIF(Производство!$A$104:$A$145,Технологи!$B139,Производство!M$104:M$145)&gt;0,SUMIF(Производство!$A$104:$A$145,Технологи!$B139,Производство!M$104:M$145)*$F139+$G139,0)</f>
        <v>0</v>
      </c>
      <c r="Q139" s="46">
        <f t="array" ref="Q139">IF(SUMIF(Производство!$A$104:$A$145,Технологи!$B139,Производство!N$104:N$145)&gt;0,SUMIF(Производство!$A$104:$A$145,Технологи!$B139,Производство!N$104:N$145)*$F139+$G139,0)</f>
        <v>0</v>
      </c>
      <c r="R139" s="46">
        <f t="array" ref="R139">IF(SUMIF(Производство!$A$104:$A$145,Технологи!$B139,Производство!O$104:O$145)&gt;0,SUMIF(Производство!$A$104:$A$145,Технологи!$B139,Производство!O$104:O$145)*$F139+$G139,0)</f>
        <v>0</v>
      </c>
      <c r="S139" s="46">
        <f t="array" ref="S139">IF(SUMIF(Производство!$A$104:$A$145,Технологи!$B139,Производство!P$104:P$145)&gt;0,SUMIF(Производство!$A$104:$A$145,Технологи!$B139,Производство!P$104:P$145)*$F139+$G139,0)</f>
        <v>0</v>
      </c>
      <c r="T139" s="46">
        <f t="array" ref="T139">IF(SUMIF(Производство!$A$104:$A$145,Технологи!$B139,Производство!Q$104:Q$145)&gt;0,SUMIF(Производство!$A$104:$A$145,Технологи!$B139,Производство!Q$104:Q$145)*$F139+$G139,0)</f>
        <v>0</v>
      </c>
    </row>
    <row r="140" spans="1:20" x14ac:dyDescent="0.25">
      <c r="A140" s="34" t="s">
        <v>377</v>
      </c>
      <c r="B140" s="13" t="s">
        <v>63</v>
      </c>
      <c r="C140" s="19" t="s">
        <v>16</v>
      </c>
      <c r="D140" s="14">
        <v>7038</v>
      </c>
      <c r="E140" s="20"/>
      <c r="F140" s="24">
        <v>1.6240047837235226E-2</v>
      </c>
      <c r="G140" s="24">
        <v>0.80013952657004828</v>
      </c>
      <c r="H140" s="23">
        <f t="shared" si="6"/>
        <v>16.240047837235227</v>
      </c>
      <c r="I140" s="46">
        <f t="array" ref="I140">IF(SUMIF(Производство!$A$104:$A$145,Технологи!$B140,Производство!F$104:F$145)&gt;0,SUMIF(Производство!$A$104:$A$145,Технологи!$B140,Производство!F$104:F$145)*$F140+$G140,0)</f>
        <v>4.7951912945299133</v>
      </c>
      <c r="J140" s="46">
        <f t="array" ref="J140">IF(SUMIF(Производство!$A$104:$A$145,Технологи!$B140,Производство!G$104:G$145)&gt;0,SUMIF(Производство!$A$104:$A$145,Технологи!$B140,Производство!G$104:G$145)*$F140+$G140,0)</f>
        <v>3.2361467021553332</v>
      </c>
      <c r="K140" s="46">
        <f t="array" ref="K140">IF(SUMIF(Производство!$A$104:$A$145,Технологи!$B140,Производство!H$104:H$145)&gt;0,SUMIF(Производство!$A$104:$A$145,Технологи!$B140,Производство!H$104:H$145)*$F140+$G140,0)</f>
        <v>0</v>
      </c>
      <c r="L140" s="46">
        <f t="array" ref="L140">IF(SUMIF(Производство!$A$104:$A$145,Технологи!$B140,Производство!I$104:I$145)&gt;0,SUMIF(Производство!$A$104:$A$145,Технологи!$B140,Производство!I$104:I$145)*$F140+$G140,0)</f>
        <v>0</v>
      </c>
      <c r="M140" s="46">
        <f t="array" ref="M140">IF(SUMIF(Производство!$A$104:$A$145,Технологи!$B140,Производство!J$104:J$145)&gt;0,SUMIF(Производство!$A$104:$A$145,Технологи!$B140,Производство!J$104:J$145)*$F140+$G140,0)</f>
        <v>0</v>
      </c>
      <c r="N140" s="46">
        <f t="array" ref="N140">IF(SUMIF(Производство!$A$104:$A$145,Технологи!$B140,Производство!K$104:K$145)&gt;0,SUMIF(Производство!$A$104:$A$145,Технологи!$B140,Производство!K$104:K$145)*$F140+$G140,0)</f>
        <v>0</v>
      </c>
      <c r="O140" s="46">
        <f t="array" ref="O140">IF(SUMIF(Производство!$A$104:$A$145,Технологи!$B140,Производство!L$104:L$145)&gt;0,SUMIF(Производство!$A$104:$A$145,Технологи!$B140,Производство!L$104:L$145)*$F140+$G140,0)</f>
        <v>0</v>
      </c>
      <c r="P140" s="46">
        <f t="array" ref="P140">IF(SUMIF(Производство!$A$104:$A$145,Технологи!$B140,Производство!M$104:M$145)&gt;0,SUMIF(Производство!$A$104:$A$145,Технологи!$B140,Производство!M$104:M$145)*$F140+$G140,0)</f>
        <v>0</v>
      </c>
      <c r="Q140" s="46">
        <f t="array" ref="Q140">IF(SUMIF(Производство!$A$104:$A$145,Технологи!$B140,Производство!N$104:N$145)&gt;0,SUMIF(Производство!$A$104:$A$145,Технологи!$B140,Производство!N$104:N$145)*$F140+$G140,0)</f>
        <v>0</v>
      </c>
      <c r="R140" s="46">
        <f t="array" ref="R140">IF(SUMIF(Производство!$A$104:$A$145,Технологи!$B140,Производство!O$104:O$145)&gt;0,SUMIF(Производство!$A$104:$A$145,Технологи!$B140,Производство!O$104:O$145)*$F140+$G140,0)</f>
        <v>0</v>
      </c>
      <c r="S140" s="46">
        <f t="array" ref="S140">IF(SUMIF(Производство!$A$104:$A$145,Технологи!$B140,Производство!P$104:P$145)&gt;0,SUMIF(Производство!$A$104:$A$145,Технологи!$B140,Производство!P$104:P$145)*$F140+$G140,0)</f>
        <v>0</v>
      </c>
      <c r="T140" s="46">
        <f t="array" ref="T140">IF(SUMIF(Производство!$A$104:$A$145,Технологи!$B140,Производство!Q$104:Q$145)&gt;0,SUMIF(Производство!$A$104:$A$145,Технологи!$B140,Производство!Q$104:Q$145)*$F140+$G140,0)</f>
        <v>0</v>
      </c>
    </row>
    <row r="141" spans="1:20" x14ac:dyDescent="0.25">
      <c r="A141" s="34" t="s">
        <v>377</v>
      </c>
      <c r="B141" s="13" t="s">
        <v>63</v>
      </c>
      <c r="C141" s="19" t="s">
        <v>17</v>
      </c>
      <c r="D141" s="14">
        <v>7038</v>
      </c>
      <c r="E141" s="20"/>
      <c r="F141" s="24">
        <v>8.9764642523225552E-3</v>
      </c>
      <c r="G141" s="24">
        <v>0.44007673961352656</v>
      </c>
      <c r="H141" s="23">
        <f t="shared" si="6"/>
        <v>8.9764642523225557</v>
      </c>
      <c r="I141" s="46">
        <f t="array" ref="I141">IF(SUMIF(Производство!$A$104:$A$145,Технологи!$B141,Производство!F$104:F$145)&gt;0,SUMIF(Производство!$A$104:$A$145,Технологи!$B141,Производство!F$104:F$145)*$F141+$G141,0)</f>
        <v>2.648286945684875</v>
      </c>
      <c r="J141" s="46">
        <f t="array" ref="J141">IF(SUMIF(Производство!$A$104:$A$145,Технологи!$B141,Производство!G$104:G$145)&gt;0,SUMIF(Производство!$A$104:$A$145,Технологи!$B141,Производство!G$104:G$145)*$F141+$G141,0)</f>
        <v>1.7865463774619104</v>
      </c>
      <c r="K141" s="46">
        <f t="array" ref="K141">IF(SUMIF(Производство!$A$104:$A$145,Технологи!$B141,Производство!H$104:H$145)&gt;0,SUMIF(Производство!$A$104:$A$145,Технологи!$B141,Производство!H$104:H$145)*$F141+$G141,0)</f>
        <v>0</v>
      </c>
      <c r="L141" s="46">
        <f t="array" ref="L141">IF(SUMIF(Производство!$A$104:$A$145,Технологи!$B141,Производство!I$104:I$145)&gt;0,SUMIF(Производство!$A$104:$A$145,Технологи!$B141,Производство!I$104:I$145)*$F141+$G141,0)</f>
        <v>0</v>
      </c>
      <c r="M141" s="46">
        <f t="array" ref="M141">IF(SUMIF(Производство!$A$104:$A$145,Технологи!$B141,Производство!J$104:J$145)&gt;0,SUMIF(Производство!$A$104:$A$145,Технологи!$B141,Производство!J$104:J$145)*$F141+$G141,0)</f>
        <v>0</v>
      </c>
      <c r="N141" s="46">
        <f t="array" ref="N141">IF(SUMIF(Производство!$A$104:$A$145,Технологи!$B141,Производство!K$104:K$145)&gt;0,SUMIF(Производство!$A$104:$A$145,Технологи!$B141,Производство!K$104:K$145)*$F141+$G141,0)</f>
        <v>0</v>
      </c>
      <c r="O141" s="46">
        <f t="array" ref="O141">IF(SUMIF(Производство!$A$104:$A$145,Технологи!$B141,Производство!L$104:L$145)&gt;0,SUMIF(Производство!$A$104:$A$145,Технологи!$B141,Производство!L$104:L$145)*$F141+$G141,0)</f>
        <v>0</v>
      </c>
      <c r="P141" s="46">
        <f t="array" ref="P141">IF(SUMIF(Производство!$A$104:$A$145,Технологи!$B141,Производство!M$104:M$145)&gt;0,SUMIF(Производство!$A$104:$A$145,Технологи!$B141,Производство!M$104:M$145)*$F141+$G141,0)</f>
        <v>0</v>
      </c>
      <c r="Q141" s="46">
        <f t="array" ref="Q141">IF(SUMIF(Производство!$A$104:$A$145,Технологи!$B141,Производство!N$104:N$145)&gt;0,SUMIF(Производство!$A$104:$A$145,Технологи!$B141,Производство!N$104:N$145)*$F141+$G141,0)</f>
        <v>0</v>
      </c>
      <c r="R141" s="46">
        <f t="array" ref="R141">IF(SUMIF(Производство!$A$104:$A$145,Технологи!$B141,Производство!O$104:O$145)&gt;0,SUMIF(Производство!$A$104:$A$145,Технологи!$B141,Производство!O$104:O$145)*$F141+$G141,0)</f>
        <v>0</v>
      </c>
      <c r="S141" s="46">
        <f t="array" ref="S141">IF(SUMIF(Производство!$A$104:$A$145,Технологи!$B141,Производство!P$104:P$145)&gt;0,SUMIF(Производство!$A$104:$A$145,Технологи!$B141,Производство!P$104:P$145)*$F141+$G141,0)</f>
        <v>0</v>
      </c>
      <c r="T141" s="46">
        <f t="array" ref="T141">IF(SUMIF(Производство!$A$104:$A$145,Технологи!$B141,Производство!Q$104:Q$145)&gt;0,SUMIF(Производство!$A$104:$A$145,Технологи!$B141,Производство!Q$104:Q$145)*$F141+$G141,0)</f>
        <v>0</v>
      </c>
    </row>
    <row r="142" spans="1:20" x14ac:dyDescent="0.25">
      <c r="A142" s="34" t="s">
        <v>377</v>
      </c>
      <c r="B142" s="13" t="s">
        <v>63</v>
      </c>
      <c r="C142" s="19" t="s">
        <v>18</v>
      </c>
      <c r="D142" s="14">
        <v>7038</v>
      </c>
      <c r="E142" s="20"/>
      <c r="F142" s="24">
        <v>8.1038646670382759E-3</v>
      </c>
      <c r="G142" s="24">
        <v>0.40006976328502414</v>
      </c>
      <c r="H142" s="23">
        <f t="shared" si="6"/>
        <v>8.103864667038275</v>
      </c>
      <c r="I142" s="46">
        <f t="array" ref="I142">IF(SUMIF(Производство!$A$104:$A$145,Технологи!$B142,Производство!F$104:F$145)&gt;0,SUMIF(Производство!$A$104:$A$145,Технологи!$B142,Производство!F$104:F$145)*$F142+$G142,0)</f>
        <v>2.3936204713764395</v>
      </c>
      <c r="J142" s="46">
        <f t="array" ref="J142">IF(SUMIF(Производство!$A$104:$A$145,Технологи!$B142,Производство!G$104:G$145)&gt;0,SUMIF(Производство!$A$104:$A$145,Технологи!$B142,Производство!G$104:G$145)*$F142+$G142,0)</f>
        <v>1.6156494633407659</v>
      </c>
      <c r="K142" s="46">
        <f t="array" ref="K142">IF(SUMIF(Производство!$A$104:$A$145,Технологи!$B142,Производство!H$104:H$145)&gt;0,SUMIF(Производство!$A$104:$A$145,Технологи!$B142,Производство!H$104:H$145)*$F142+$G142,0)</f>
        <v>0</v>
      </c>
      <c r="L142" s="46">
        <f t="array" ref="L142">IF(SUMIF(Производство!$A$104:$A$145,Технологи!$B142,Производство!I$104:I$145)&gt;0,SUMIF(Производство!$A$104:$A$145,Технологи!$B142,Производство!I$104:I$145)*$F142+$G142,0)</f>
        <v>0</v>
      </c>
      <c r="M142" s="46">
        <f t="array" ref="M142">IF(SUMIF(Производство!$A$104:$A$145,Технологи!$B142,Производство!J$104:J$145)&gt;0,SUMIF(Производство!$A$104:$A$145,Технологи!$B142,Производство!J$104:J$145)*$F142+$G142,0)</f>
        <v>0</v>
      </c>
      <c r="N142" s="46">
        <f t="array" ref="N142">IF(SUMIF(Производство!$A$104:$A$145,Технологи!$B142,Производство!K$104:K$145)&gt;0,SUMIF(Производство!$A$104:$A$145,Технологи!$B142,Производство!K$104:K$145)*$F142+$G142,0)</f>
        <v>0</v>
      </c>
      <c r="O142" s="46">
        <f t="array" ref="O142">IF(SUMIF(Производство!$A$104:$A$145,Технологи!$B142,Производство!L$104:L$145)&gt;0,SUMIF(Производство!$A$104:$A$145,Технологи!$B142,Производство!L$104:L$145)*$F142+$G142,0)</f>
        <v>0</v>
      </c>
      <c r="P142" s="46">
        <f t="array" ref="P142">IF(SUMIF(Производство!$A$104:$A$145,Технологи!$B142,Производство!M$104:M$145)&gt;0,SUMIF(Производство!$A$104:$A$145,Технологи!$B142,Производство!M$104:M$145)*$F142+$G142,0)</f>
        <v>0</v>
      </c>
      <c r="Q142" s="46">
        <f t="array" ref="Q142">IF(SUMIF(Производство!$A$104:$A$145,Технологи!$B142,Производство!N$104:N$145)&gt;0,SUMIF(Производство!$A$104:$A$145,Технологи!$B142,Производство!N$104:N$145)*$F142+$G142,0)</f>
        <v>0</v>
      </c>
      <c r="R142" s="46">
        <f t="array" ref="R142">IF(SUMIF(Производство!$A$104:$A$145,Технологи!$B142,Производство!O$104:O$145)&gt;0,SUMIF(Производство!$A$104:$A$145,Технологи!$B142,Производство!O$104:O$145)*$F142+$G142,0)</f>
        <v>0</v>
      </c>
      <c r="S142" s="46">
        <f t="array" ref="S142">IF(SUMIF(Производство!$A$104:$A$145,Технологи!$B142,Производство!P$104:P$145)&gt;0,SUMIF(Производство!$A$104:$A$145,Технологи!$B142,Производство!P$104:P$145)*$F142+$G142,0)</f>
        <v>0</v>
      </c>
      <c r="T142" s="46">
        <f t="array" ref="T142">IF(SUMIF(Производство!$A$104:$A$145,Технологи!$B142,Производство!Q$104:Q$145)&gt;0,SUMIF(Производство!$A$104:$A$145,Технологи!$B142,Производство!Q$104:Q$145)*$F142+$G142,0)</f>
        <v>0</v>
      </c>
    </row>
    <row r="143" spans="1:20" x14ac:dyDescent="0.25">
      <c r="A143" s="34" t="s">
        <v>377</v>
      </c>
      <c r="B143" s="13" t="s">
        <v>63</v>
      </c>
      <c r="C143" s="19" t="s">
        <v>19</v>
      </c>
      <c r="D143" s="14">
        <v>7038</v>
      </c>
      <c r="E143" s="20"/>
      <c r="F143" s="24">
        <v>1.7652253500000001</v>
      </c>
      <c r="G143" s="24">
        <v>90.026492850000011</v>
      </c>
      <c r="H143" s="23">
        <f t="shared" si="6"/>
        <v>1765.2253500000002</v>
      </c>
      <c r="I143" s="46">
        <f t="array" ref="I143">IF(SUMIF(Производство!$A$104:$A$145,Технологи!$B143,Производство!F$104:F$145)&gt;0,SUMIF(Производство!$A$104:$A$145,Технологи!$B143,Производство!F$104:F$145)*$F143+$G143,0)</f>
        <v>524.27192894999996</v>
      </c>
      <c r="J143" s="46">
        <f t="array" ref="J143">IF(SUMIF(Производство!$A$104:$A$145,Технологи!$B143,Производство!G$104:G$145)&gt;0,SUMIF(Производство!$A$104:$A$145,Технологи!$B143,Производство!G$104:G$145)*$F143+$G143,0)</f>
        <v>354.8102953500001</v>
      </c>
      <c r="K143" s="46">
        <f t="array" ref="K143">IF(SUMIF(Производство!$A$104:$A$145,Технологи!$B143,Производство!H$104:H$145)&gt;0,SUMIF(Производство!$A$104:$A$145,Технологи!$B143,Производство!H$104:H$145)*$F143+$G143,0)</f>
        <v>0</v>
      </c>
      <c r="L143" s="46">
        <f t="array" ref="L143">IF(SUMIF(Производство!$A$104:$A$145,Технологи!$B143,Производство!I$104:I$145)&gt;0,SUMIF(Производство!$A$104:$A$145,Технологи!$B143,Производство!I$104:I$145)*$F143+$G143,0)</f>
        <v>0</v>
      </c>
      <c r="M143" s="46">
        <f t="array" ref="M143">IF(SUMIF(Производство!$A$104:$A$145,Технологи!$B143,Производство!J$104:J$145)&gt;0,SUMIF(Производство!$A$104:$A$145,Технологи!$B143,Производство!J$104:J$145)*$F143+$G143,0)</f>
        <v>0</v>
      </c>
      <c r="N143" s="46">
        <f t="array" ref="N143">IF(SUMIF(Производство!$A$104:$A$145,Технологи!$B143,Производство!K$104:K$145)&gt;0,SUMIF(Производство!$A$104:$A$145,Технологи!$B143,Производство!K$104:K$145)*$F143+$G143,0)</f>
        <v>0</v>
      </c>
      <c r="O143" s="46">
        <f t="array" ref="O143">IF(SUMIF(Производство!$A$104:$A$145,Технологи!$B143,Производство!L$104:L$145)&gt;0,SUMIF(Производство!$A$104:$A$145,Технологи!$B143,Производство!L$104:L$145)*$F143+$G143,0)</f>
        <v>0</v>
      </c>
      <c r="P143" s="46">
        <f t="array" ref="P143">IF(SUMIF(Производство!$A$104:$A$145,Технологи!$B143,Производство!M$104:M$145)&gt;0,SUMIF(Производство!$A$104:$A$145,Технологи!$B143,Производство!M$104:M$145)*$F143+$G143,0)</f>
        <v>0</v>
      </c>
      <c r="Q143" s="46">
        <f t="array" ref="Q143">IF(SUMIF(Производство!$A$104:$A$145,Технологи!$B143,Производство!N$104:N$145)&gt;0,SUMIF(Производство!$A$104:$A$145,Технологи!$B143,Производство!N$104:N$145)*$F143+$G143,0)</f>
        <v>0</v>
      </c>
      <c r="R143" s="46">
        <f t="array" ref="R143">IF(SUMIF(Производство!$A$104:$A$145,Технологи!$B143,Производство!O$104:O$145)&gt;0,SUMIF(Производство!$A$104:$A$145,Технологи!$B143,Производство!O$104:O$145)*$F143+$G143,0)</f>
        <v>0</v>
      </c>
      <c r="S143" s="46">
        <f t="array" ref="S143">IF(SUMIF(Производство!$A$104:$A$145,Технологи!$B143,Производство!P$104:P$145)&gt;0,SUMIF(Производство!$A$104:$A$145,Технологи!$B143,Производство!P$104:P$145)*$F143+$G143,0)</f>
        <v>0</v>
      </c>
      <c r="T143" s="46">
        <f t="array" ref="T143">IF(SUMIF(Производство!$A$104:$A$145,Технологи!$B143,Производство!Q$104:Q$145)&gt;0,SUMIF(Производство!$A$104:$A$145,Технологи!$B143,Производство!Q$104:Q$145)*$F143+$G143,0)</f>
        <v>0</v>
      </c>
    </row>
    <row r="144" spans="1:20" x14ac:dyDescent="0.25">
      <c r="A144" s="34" t="s">
        <v>377</v>
      </c>
      <c r="B144" s="13" t="s">
        <v>63</v>
      </c>
      <c r="C144" s="19" t="s">
        <v>20</v>
      </c>
      <c r="D144" s="14">
        <v>7038</v>
      </c>
      <c r="E144" s="20"/>
      <c r="F144" s="24">
        <v>0.1032</v>
      </c>
      <c r="G144" s="24">
        <v>2.1672000000000002</v>
      </c>
      <c r="H144" s="23">
        <f t="shared" si="6"/>
        <v>103.2</v>
      </c>
      <c r="I144" s="46">
        <f t="array" ref="I144">IF(SUMIF(Производство!$A$104:$A$145,Технологи!$B144,Производство!F$104:F$145)&gt;0,SUMIF(Производство!$A$104:$A$145,Технологи!$B144,Производство!F$104:F$145)*$F144+$G144,0)</f>
        <v>27.554399999999994</v>
      </c>
      <c r="J144" s="46">
        <f t="array" ref="J144">IF(SUMIF(Производство!$A$104:$A$145,Технологи!$B144,Производство!G$104:G$145)&gt;0,SUMIF(Производство!$A$104:$A$145,Технологи!$B144,Производство!G$104:G$145)*$F144+$G144,0)</f>
        <v>17.647200000000005</v>
      </c>
      <c r="K144" s="46">
        <f t="array" ref="K144">IF(SUMIF(Производство!$A$104:$A$145,Технологи!$B144,Производство!H$104:H$145)&gt;0,SUMIF(Производство!$A$104:$A$145,Технологи!$B144,Производство!H$104:H$145)*$F144+$G144,0)</f>
        <v>0</v>
      </c>
      <c r="L144" s="46">
        <f t="array" ref="L144">IF(SUMIF(Производство!$A$104:$A$145,Технологи!$B144,Производство!I$104:I$145)&gt;0,SUMIF(Производство!$A$104:$A$145,Технологи!$B144,Производство!I$104:I$145)*$F144+$G144,0)</f>
        <v>0</v>
      </c>
      <c r="M144" s="46">
        <f t="array" ref="M144">IF(SUMIF(Производство!$A$104:$A$145,Технологи!$B144,Производство!J$104:J$145)&gt;0,SUMIF(Производство!$A$104:$A$145,Технологи!$B144,Производство!J$104:J$145)*$F144+$G144,0)</f>
        <v>0</v>
      </c>
      <c r="N144" s="46">
        <f t="array" ref="N144">IF(SUMIF(Производство!$A$104:$A$145,Технологи!$B144,Производство!K$104:K$145)&gt;0,SUMIF(Производство!$A$104:$A$145,Технологи!$B144,Производство!K$104:K$145)*$F144+$G144,0)</f>
        <v>0</v>
      </c>
      <c r="O144" s="46">
        <f t="array" ref="O144">IF(SUMIF(Производство!$A$104:$A$145,Технологи!$B144,Производство!L$104:L$145)&gt;0,SUMIF(Производство!$A$104:$A$145,Технологи!$B144,Производство!L$104:L$145)*$F144+$G144,0)</f>
        <v>0</v>
      </c>
      <c r="P144" s="46">
        <f t="array" ref="P144">IF(SUMIF(Производство!$A$104:$A$145,Технологи!$B144,Производство!M$104:M$145)&gt;0,SUMIF(Производство!$A$104:$A$145,Технологи!$B144,Производство!M$104:M$145)*$F144+$G144,0)</f>
        <v>0</v>
      </c>
      <c r="Q144" s="46">
        <f t="array" ref="Q144">IF(SUMIF(Производство!$A$104:$A$145,Технологи!$B144,Производство!N$104:N$145)&gt;0,SUMIF(Производство!$A$104:$A$145,Технологи!$B144,Производство!N$104:N$145)*$F144+$G144,0)</f>
        <v>0</v>
      </c>
      <c r="R144" s="46">
        <f t="array" ref="R144">IF(SUMIF(Производство!$A$104:$A$145,Технологи!$B144,Производство!O$104:O$145)&gt;0,SUMIF(Производство!$A$104:$A$145,Технологи!$B144,Производство!O$104:O$145)*$F144+$G144,0)</f>
        <v>0</v>
      </c>
      <c r="S144" s="46">
        <f t="array" ref="S144">IF(SUMIF(Производство!$A$104:$A$145,Технологи!$B144,Производство!P$104:P$145)&gt;0,SUMIF(Производство!$A$104:$A$145,Технологи!$B144,Производство!P$104:P$145)*$F144+$G144,0)</f>
        <v>0</v>
      </c>
      <c r="T144" s="46">
        <f t="array" ref="T144">IF(SUMIF(Производство!$A$104:$A$145,Технологи!$B144,Производство!Q$104:Q$145)&gt;0,SUMIF(Производство!$A$104:$A$145,Технологи!$B144,Производство!Q$104:Q$145)*$F144+$G144,0)</f>
        <v>0</v>
      </c>
    </row>
    <row r="145" spans="1:20" x14ac:dyDescent="0.25">
      <c r="A145" s="34" t="s">
        <v>377</v>
      </c>
      <c r="B145" s="13" t="s">
        <v>63</v>
      </c>
      <c r="C145" s="19" t="s">
        <v>21</v>
      </c>
      <c r="D145" s="14">
        <v>7038</v>
      </c>
      <c r="E145" s="20"/>
      <c r="F145" s="24">
        <v>0.15049999999999999</v>
      </c>
      <c r="G145" s="24">
        <v>3.1604999999999999</v>
      </c>
      <c r="H145" s="23">
        <f t="shared" si="6"/>
        <v>150.5</v>
      </c>
      <c r="I145" s="46">
        <f t="array" ref="I145">IF(SUMIF(Производство!$A$104:$A$145,Технологи!$B145,Производство!F$104:F$145)&gt;0,SUMIF(Производство!$A$104:$A$145,Технологи!$B145,Производство!F$104:F$145)*$F145+$G145,0)</f>
        <v>40.183499999999988</v>
      </c>
      <c r="J145" s="46">
        <f t="array" ref="J145">IF(SUMIF(Производство!$A$104:$A$145,Технологи!$B145,Производство!G$104:G$145)&gt;0,SUMIF(Производство!$A$104:$A$145,Технологи!$B145,Производство!G$104:G$145)*$F145+$G145,0)</f>
        <v>25.735500000000005</v>
      </c>
      <c r="K145" s="46">
        <f t="array" ref="K145">IF(SUMIF(Производство!$A$104:$A$145,Технологи!$B145,Производство!H$104:H$145)&gt;0,SUMIF(Производство!$A$104:$A$145,Технологи!$B145,Производство!H$104:H$145)*$F145+$G145,0)</f>
        <v>0</v>
      </c>
      <c r="L145" s="46">
        <f t="array" ref="L145">IF(SUMIF(Производство!$A$104:$A$145,Технологи!$B145,Производство!I$104:I$145)&gt;0,SUMIF(Производство!$A$104:$A$145,Технологи!$B145,Производство!I$104:I$145)*$F145+$G145,0)</f>
        <v>0</v>
      </c>
      <c r="M145" s="46">
        <f t="array" ref="M145">IF(SUMIF(Производство!$A$104:$A$145,Технологи!$B145,Производство!J$104:J$145)&gt;0,SUMIF(Производство!$A$104:$A$145,Технологи!$B145,Производство!J$104:J$145)*$F145+$G145,0)</f>
        <v>0</v>
      </c>
      <c r="N145" s="46">
        <f t="array" ref="N145">IF(SUMIF(Производство!$A$104:$A$145,Технологи!$B145,Производство!K$104:K$145)&gt;0,SUMIF(Производство!$A$104:$A$145,Технологи!$B145,Производство!K$104:K$145)*$F145+$G145,0)</f>
        <v>0</v>
      </c>
      <c r="O145" s="46">
        <f t="array" ref="O145">IF(SUMIF(Производство!$A$104:$A$145,Технологи!$B145,Производство!L$104:L$145)&gt;0,SUMIF(Производство!$A$104:$A$145,Технологи!$B145,Производство!L$104:L$145)*$F145+$G145,0)</f>
        <v>0</v>
      </c>
      <c r="P145" s="46">
        <f t="array" ref="P145">IF(SUMIF(Производство!$A$104:$A$145,Технологи!$B145,Производство!M$104:M$145)&gt;0,SUMIF(Производство!$A$104:$A$145,Технологи!$B145,Производство!M$104:M$145)*$F145+$G145,0)</f>
        <v>0</v>
      </c>
      <c r="Q145" s="46">
        <f t="array" ref="Q145">IF(SUMIF(Производство!$A$104:$A$145,Технологи!$B145,Производство!N$104:N$145)&gt;0,SUMIF(Производство!$A$104:$A$145,Технологи!$B145,Производство!N$104:N$145)*$F145+$G145,0)</f>
        <v>0</v>
      </c>
      <c r="R145" s="46">
        <f t="array" ref="R145">IF(SUMIF(Производство!$A$104:$A$145,Технологи!$B145,Производство!O$104:O$145)&gt;0,SUMIF(Производство!$A$104:$A$145,Технологи!$B145,Производство!O$104:O$145)*$F145+$G145,0)</f>
        <v>0</v>
      </c>
      <c r="S145" s="46">
        <f t="array" ref="S145">IF(SUMIF(Производство!$A$104:$A$145,Технологи!$B145,Производство!P$104:P$145)&gt;0,SUMIF(Производство!$A$104:$A$145,Технологи!$B145,Производство!P$104:P$145)*$F145+$G145,0)</f>
        <v>0</v>
      </c>
      <c r="T145" s="46">
        <f t="array" ref="T145">IF(SUMIF(Производство!$A$104:$A$145,Технологи!$B145,Производство!Q$104:Q$145)&gt;0,SUMIF(Производство!$A$104:$A$145,Технологи!$B145,Производство!Q$104:Q$145)*$F145+$G145,0)</f>
        <v>0</v>
      </c>
    </row>
    <row r="146" spans="1:20" x14ac:dyDescent="0.25">
      <c r="A146" s="34" t="s">
        <v>377</v>
      </c>
      <c r="B146" s="13" t="s">
        <v>63</v>
      </c>
      <c r="C146" s="19" t="s">
        <v>22</v>
      </c>
      <c r="D146" s="14">
        <v>7038</v>
      </c>
      <c r="E146" s="20"/>
      <c r="F146" s="24">
        <v>0</v>
      </c>
      <c r="G146" s="24">
        <v>0</v>
      </c>
      <c r="H146" s="23">
        <f t="shared" si="6"/>
        <v>0</v>
      </c>
      <c r="I146" s="46">
        <f t="array" ref="I146">IF(SUMIF(Производство!$A$104:$A$145,Технологи!$B146,Производство!F$104:F$145)&gt;0,SUMIF(Производство!$A$104:$A$145,Технологи!$B146,Производство!F$104:F$145)*$F146+$G146,0)</f>
        <v>0</v>
      </c>
      <c r="J146" s="46">
        <f t="array" ref="J146">IF(SUMIF(Производство!$A$104:$A$145,Технологи!$B146,Производство!G$104:G$145)&gt;0,SUMIF(Производство!$A$104:$A$145,Технологи!$B146,Производство!G$104:G$145)*$F146+$G146,0)</f>
        <v>0</v>
      </c>
      <c r="K146" s="46">
        <f t="array" ref="K146">IF(SUMIF(Производство!$A$104:$A$145,Технологи!$B146,Производство!H$104:H$145)&gt;0,SUMIF(Производство!$A$104:$A$145,Технологи!$B146,Производство!H$104:H$145)*$F146+$G146,0)</f>
        <v>0</v>
      </c>
      <c r="L146" s="46">
        <f t="array" ref="L146">IF(SUMIF(Производство!$A$104:$A$145,Технологи!$B146,Производство!I$104:I$145)&gt;0,SUMIF(Производство!$A$104:$A$145,Технологи!$B146,Производство!I$104:I$145)*$F146+$G146,0)</f>
        <v>0</v>
      </c>
      <c r="M146" s="46">
        <f t="array" ref="M146">IF(SUMIF(Производство!$A$104:$A$145,Технологи!$B146,Производство!J$104:J$145)&gt;0,SUMIF(Производство!$A$104:$A$145,Технологи!$B146,Производство!J$104:J$145)*$F146+$G146,0)</f>
        <v>0</v>
      </c>
      <c r="N146" s="46">
        <f t="array" ref="N146">IF(SUMIF(Производство!$A$104:$A$145,Технологи!$B146,Производство!K$104:K$145)&gt;0,SUMIF(Производство!$A$104:$A$145,Технологи!$B146,Производство!K$104:K$145)*$F146+$G146,0)</f>
        <v>0</v>
      </c>
      <c r="O146" s="46">
        <f t="array" ref="O146">IF(SUMIF(Производство!$A$104:$A$145,Технологи!$B146,Производство!L$104:L$145)&gt;0,SUMIF(Производство!$A$104:$A$145,Технологи!$B146,Производство!L$104:L$145)*$F146+$G146,0)</f>
        <v>0</v>
      </c>
      <c r="P146" s="46">
        <f t="array" ref="P146">IF(SUMIF(Производство!$A$104:$A$145,Технологи!$B146,Производство!M$104:M$145)&gt;0,SUMIF(Производство!$A$104:$A$145,Технологи!$B146,Производство!M$104:M$145)*$F146+$G146,0)</f>
        <v>0</v>
      </c>
      <c r="Q146" s="46">
        <f t="array" ref="Q146">IF(SUMIF(Производство!$A$104:$A$145,Технологи!$B146,Производство!N$104:N$145)&gt;0,SUMIF(Производство!$A$104:$A$145,Технологи!$B146,Производство!N$104:N$145)*$F146+$G146,0)</f>
        <v>0</v>
      </c>
      <c r="R146" s="46">
        <f t="array" ref="R146">IF(SUMIF(Производство!$A$104:$A$145,Технологи!$B146,Производство!O$104:O$145)&gt;0,SUMIF(Производство!$A$104:$A$145,Технологи!$B146,Производство!O$104:O$145)*$F146+$G146,0)</f>
        <v>0</v>
      </c>
      <c r="S146" s="46">
        <f t="array" ref="S146">IF(SUMIF(Производство!$A$104:$A$145,Технологи!$B146,Производство!P$104:P$145)&gt;0,SUMIF(Производство!$A$104:$A$145,Технологи!$B146,Производство!P$104:P$145)*$F146+$G146,0)</f>
        <v>0</v>
      </c>
      <c r="T146" s="46">
        <f t="array" ref="T146">IF(SUMIF(Производство!$A$104:$A$145,Технологи!$B146,Производство!Q$104:Q$145)&gt;0,SUMIF(Производство!$A$104:$A$145,Технологи!$B146,Производство!Q$104:Q$145)*$F146+$G146,0)</f>
        <v>0</v>
      </c>
    </row>
    <row r="147" spans="1:20" x14ac:dyDescent="0.25">
      <c r="A147" s="34" t="s">
        <v>377</v>
      </c>
      <c r="B147" s="13" t="s">
        <v>63</v>
      </c>
      <c r="C147" s="19" t="s">
        <v>23</v>
      </c>
      <c r="D147" s="14">
        <v>7038</v>
      </c>
      <c r="E147" s="20"/>
      <c r="F147" s="24">
        <v>0</v>
      </c>
      <c r="G147" s="24">
        <v>0</v>
      </c>
      <c r="H147" s="23">
        <f t="shared" si="6"/>
        <v>0</v>
      </c>
      <c r="I147" s="46">
        <f t="array" ref="I147">IF(SUMIF(Производство!$A$104:$A$145,Технологи!$B147,Производство!F$104:F$145)&gt;0,SUMIF(Производство!$A$104:$A$145,Технологи!$B147,Производство!F$104:F$145)*$F147+$G147,0)</f>
        <v>0</v>
      </c>
      <c r="J147" s="46">
        <f t="array" ref="J147">IF(SUMIF(Производство!$A$104:$A$145,Технологи!$B147,Производство!G$104:G$145)&gt;0,SUMIF(Производство!$A$104:$A$145,Технологи!$B147,Производство!G$104:G$145)*$F147+$G147,0)</f>
        <v>0</v>
      </c>
      <c r="K147" s="46">
        <f t="array" ref="K147">IF(SUMIF(Производство!$A$104:$A$145,Технологи!$B147,Производство!H$104:H$145)&gt;0,SUMIF(Производство!$A$104:$A$145,Технологи!$B147,Производство!H$104:H$145)*$F147+$G147,0)</f>
        <v>0</v>
      </c>
      <c r="L147" s="46">
        <f t="array" ref="L147">IF(SUMIF(Производство!$A$104:$A$145,Технологи!$B147,Производство!I$104:I$145)&gt;0,SUMIF(Производство!$A$104:$A$145,Технологи!$B147,Производство!I$104:I$145)*$F147+$G147,0)</f>
        <v>0</v>
      </c>
      <c r="M147" s="46">
        <f t="array" ref="M147">IF(SUMIF(Производство!$A$104:$A$145,Технологи!$B147,Производство!J$104:J$145)&gt;0,SUMIF(Производство!$A$104:$A$145,Технологи!$B147,Производство!J$104:J$145)*$F147+$G147,0)</f>
        <v>0</v>
      </c>
      <c r="N147" s="46">
        <f t="array" ref="N147">IF(SUMIF(Производство!$A$104:$A$145,Технологи!$B147,Производство!K$104:K$145)&gt;0,SUMIF(Производство!$A$104:$A$145,Технологи!$B147,Производство!K$104:K$145)*$F147+$G147,0)</f>
        <v>0</v>
      </c>
      <c r="O147" s="46">
        <f t="array" ref="O147">IF(SUMIF(Производство!$A$104:$A$145,Технологи!$B147,Производство!L$104:L$145)&gt;0,SUMIF(Производство!$A$104:$A$145,Технологи!$B147,Производство!L$104:L$145)*$F147+$G147,0)</f>
        <v>0</v>
      </c>
      <c r="P147" s="46">
        <f t="array" ref="P147">IF(SUMIF(Производство!$A$104:$A$145,Технологи!$B147,Производство!M$104:M$145)&gt;0,SUMIF(Производство!$A$104:$A$145,Технологи!$B147,Производство!M$104:M$145)*$F147+$G147,0)</f>
        <v>0</v>
      </c>
      <c r="Q147" s="46">
        <f t="array" ref="Q147">IF(SUMIF(Производство!$A$104:$A$145,Технологи!$B147,Производство!N$104:N$145)&gt;0,SUMIF(Производство!$A$104:$A$145,Технологи!$B147,Производство!N$104:N$145)*$F147+$G147,0)</f>
        <v>0</v>
      </c>
      <c r="R147" s="46">
        <f t="array" ref="R147">IF(SUMIF(Производство!$A$104:$A$145,Технологи!$B147,Производство!O$104:O$145)&gt;0,SUMIF(Производство!$A$104:$A$145,Технологи!$B147,Производство!O$104:O$145)*$F147+$G147,0)</f>
        <v>0</v>
      </c>
      <c r="S147" s="46">
        <f t="array" ref="S147">IF(SUMIF(Производство!$A$104:$A$145,Технологи!$B147,Производство!P$104:P$145)&gt;0,SUMIF(Производство!$A$104:$A$145,Технологи!$B147,Производство!P$104:P$145)*$F147+$G147,0)</f>
        <v>0</v>
      </c>
      <c r="T147" s="46">
        <f t="array" ref="T147">IF(SUMIF(Производство!$A$104:$A$145,Технологи!$B147,Производство!Q$104:Q$145)&gt;0,SUMIF(Производство!$A$104:$A$145,Технологи!$B147,Производство!Q$104:Q$145)*$F147+$G147,0)</f>
        <v>0</v>
      </c>
    </row>
    <row r="148" spans="1:20" x14ac:dyDescent="0.25">
      <c r="A148" s="34" t="s">
        <v>377</v>
      </c>
      <c r="B148" s="13" t="s">
        <v>64</v>
      </c>
      <c r="C148" s="15" t="s">
        <v>11</v>
      </c>
      <c r="D148" s="14">
        <v>7038</v>
      </c>
      <c r="E148" s="16">
        <v>5.6950000000000003</v>
      </c>
      <c r="F148" s="22">
        <f>SUM(F149:F160)</f>
        <v>5.7040686522393411</v>
      </c>
      <c r="G148" s="22">
        <f>SUM(G149:G160)</f>
        <v>330.06004999999999</v>
      </c>
      <c r="H148" s="23">
        <f t="shared" ref="H148:H173" si="7">F148*1000</f>
        <v>5704.0686522393407</v>
      </c>
      <c r="I148" s="46">
        <f t="array" ref="I148">IF(SUMIF(Производство!$A$104:$A$145,Технологи!$B148,Производство!F$104:F$145)&gt;0,SUMIF(Производство!$A$104:$A$145,Технологи!$B148,Производство!F$104:F$145)*$F148+$G148,0)</f>
        <v>6832.698313552849</v>
      </c>
      <c r="J148" s="46">
        <f t="array" ref="J148">IF(SUMIF(Производство!$A$104:$A$145,Технологи!$B148,Производство!G$104:G$145)&gt;0,SUMIF(Производство!$A$104:$A$145,Технологи!$B148,Производство!G$104:G$145)*$F148+$G148,0)</f>
        <v>0</v>
      </c>
      <c r="K148" s="46">
        <f t="array" ref="K148">IF(SUMIF(Производство!$A$104:$A$145,Технологи!$B148,Производство!H$104:H$145)&gt;0,SUMIF(Производство!$A$104:$A$145,Технологи!$B148,Производство!H$104:H$145)*$F148+$G148,0)</f>
        <v>0</v>
      </c>
      <c r="L148" s="46">
        <f t="array" ref="L148">IF(SUMIF(Производство!$A$104:$A$145,Технологи!$B148,Производство!I$104:I$145)&gt;0,SUMIF(Производство!$A$104:$A$145,Технологи!$B148,Производство!I$104:I$145)*$F148+$G148,0)</f>
        <v>0</v>
      </c>
      <c r="M148" s="46">
        <f t="array" ref="M148">IF(SUMIF(Производство!$A$104:$A$145,Технологи!$B148,Производство!J$104:J$145)&gt;0,SUMIF(Производство!$A$104:$A$145,Технологи!$B148,Производство!J$104:J$145)*$F148+$G148,0)</f>
        <v>0</v>
      </c>
      <c r="N148" s="46">
        <f t="array" ref="N148">IF(SUMIF(Производство!$A$104:$A$145,Технологи!$B148,Производство!K$104:K$145)&gt;0,SUMIF(Производство!$A$104:$A$145,Технологи!$B148,Производство!K$104:K$145)*$F148+$G148,0)</f>
        <v>0</v>
      </c>
      <c r="O148" s="46">
        <f t="array" ref="O148">IF(SUMIF(Производство!$A$104:$A$145,Технологи!$B148,Производство!L$104:L$145)&gt;0,SUMIF(Производство!$A$104:$A$145,Технологи!$B148,Производство!L$104:L$145)*$F148+$G148,0)</f>
        <v>0</v>
      </c>
      <c r="P148" s="46">
        <f t="array" ref="P148">IF(SUMIF(Производство!$A$104:$A$145,Технологи!$B148,Производство!M$104:M$145)&gt;0,SUMIF(Производство!$A$104:$A$145,Технологи!$B148,Производство!M$104:M$145)*$F148+$G148,0)</f>
        <v>0</v>
      </c>
      <c r="Q148" s="46">
        <f t="array" ref="Q148">IF(SUMIF(Производство!$A$104:$A$145,Технологи!$B148,Производство!N$104:N$145)&gt;0,SUMIF(Производство!$A$104:$A$145,Технологи!$B148,Производство!N$104:N$145)*$F148+$G148,0)</f>
        <v>0</v>
      </c>
      <c r="R148" s="46">
        <f t="array" ref="R148">IF(SUMIF(Производство!$A$104:$A$145,Технологи!$B148,Производство!O$104:O$145)&gt;0,SUMIF(Производство!$A$104:$A$145,Технологи!$B148,Производство!O$104:O$145)*$F148+$G148,0)</f>
        <v>0</v>
      </c>
      <c r="S148" s="46">
        <f t="array" ref="S148">IF(SUMIF(Производство!$A$104:$A$145,Технологи!$B148,Производство!P$104:P$145)&gt;0,SUMIF(Производство!$A$104:$A$145,Технологи!$B148,Производство!P$104:P$145)*$F148+$G148,0)</f>
        <v>0</v>
      </c>
      <c r="T148" s="46">
        <f t="array" ref="T148">IF(SUMIF(Производство!$A$104:$A$145,Технологи!$B148,Производство!Q$104:Q$145)&gt;0,SUMIF(Производство!$A$104:$A$145,Технологи!$B148,Производство!Q$104:Q$145)*$F148+$G148,0)</f>
        <v>0</v>
      </c>
    </row>
    <row r="149" spans="1:20" x14ac:dyDescent="0.25">
      <c r="A149" s="34" t="s">
        <v>377</v>
      </c>
      <c r="B149" s="13" t="s">
        <v>64</v>
      </c>
      <c r="C149" s="19" t="s">
        <v>12</v>
      </c>
      <c r="D149" s="14">
        <v>7038</v>
      </c>
      <c r="E149" s="20"/>
      <c r="F149" s="24">
        <v>1.4324500286635611</v>
      </c>
      <c r="G149" s="24">
        <v>62.693074092403762</v>
      </c>
      <c r="H149" s="23">
        <f t="shared" si="7"/>
        <v>1432.4500286635612</v>
      </c>
      <c r="I149" s="46">
        <f t="array" ref="I149">IF(SUMIF(Производство!$A$104:$A$145,Технологи!$B149,Производство!F$104:F$145)&gt;0,SUMIF(Производство!$A$104:$A$145,Технологи!$B149,Производство!F$104:F$145)*$F149+$G149,0)</f>
        <v>1695.6861067688635</v>
      </c>
      <c r="J149" s="46">
        <f t="array" ref="J149">IF(SUMIF(Производство!$A$104:$A$145,Технологи!$B149,Производство!G$104:G$145)&gt;0,SUMIF(Производство!$A$104:$A$145,Технологи!$B149,Производство!G$104:G$145)*$F149+$G149,0)</f>
        <v>0</v>
      </c>
      <c r="K149" s="46">
        <f t="array" ref="K149">IF(SUMIF(Производство!$A$104:$A$145,Технологи!$B149,Производство!H$104:H$145)&gt;0,SUMIF(Производство!$A$104:$A$145,Технологи!$B149,Производство!H$104:H$145)*$F149+$G149,0)</f>
        <v>0</v>
      </c>
      <c r="L149" s="46">
        <f t="array" ref="L149">IF(SUMIF(Производство!$A$104:$A$145,Технологи!$B149,Производство!I$104:I$145)&gt;0,SUMIF(Производство!$A$104:$A$145,Технологи!$B149,Производство!I$104:I$145)*$F149+$G149,0)</f>
        <v>0</v>
      </c>
      <c r="M149" s="46">
        <f t="array" ref="M149">IF(SUMIF(Производство!$A$104:$A$145,Технологи!$B149,Производство!J$104:J$145)&gt;0,SUMIF(Производство!$A$104:$A$145,Технологи!$B149,Производство!J$104:J$145)*$F149+$G149,0)</f>
        <v>0</v>
      </c>
      <c r="N149" s="46">
        <f t="array" ref="N149">IF(SUMIF(Производство!$A$104:$A$145,Технологи!$B149,Производство!K$104:K$145)&gt;0,SUMIF(Производство!$A$104:$A$145,Технологи!$B149,Производство!K$104:K$145)*$F149+$G149,0)</f>
        <v>0</v>
      </c>
      <c r="O149" s="46">
        <f t="array" ref="O149">IF(SUMIF(Производство!$A$104:$A$145,Технологи!$B149,Производство!L$104:L$145)&gt;0,SUMIF(Производство!$A$104:$A$145,Технологи!$B149,Производство!L$104:L$145)*$F149+$G149,0)</f>
        <v>0</v>
      </c>
      <c r="P149" s="46">
        <f t="array" ref="P149">IF(SUMIF(Производство!$A$104:$A$145,Технологи!$B149,Производство!M$104:M$145)&gt;0,SUMIF(Производство!$A$104:$A$145,Технологи!$B149,Производство!M$104:M$145)*$F149+$G149,0)</f>
        <v>0</v>
      </c>
      <c r="Q149" s="46">
        <f t="array" ref="Q149">IF(SUMIF(Производство!$A$104:$A$145,Технологи!$B149,Производство!N$104:N$145)&gt;0,SUMIF(Производство!$A$104:$A$145,Технологи!$B149,Производство!N$104:N$145)*$F149+$G149,0)</f>
        <v>0</v>
      </c>
      <c r="R149" s="46">
        <f t="array" ref="R149">IF(SUMIF(Производство!$A$104:$A$145,Технологи!$B149,Производство!O$104:O$145)&gt;0,SUMIF(Производство!$A$104:$A$145,Технологи!$B149,Производство!O$104:O$145)*$F149+$G149,0)</f>
        <v>0</v>
      </c>
      <c r="S149" s="46">
        <f t="array" ref="S149">IF(SUMIF(Производство!$A$104:$A$145,Технологи!$B149,Производство!P$104:P$145)&gt;0,SUMIF(Производство!$A$104:$A$145,Технологи!$B149,Производство!P$104:P$145)*$F149+$G149,0)</f>
        <v>0</v>
      </c>
      <c r="T149" s="46">
        <f t="array" ref="T149">IF(SUMIF(Производство!$A$104:$A$145,Технологи!$B149,Производство!Q$104:Q$145)&gt;0,SUMIF(Производство!$A$104:$A$145,Технологи!$B149,Производство!Q$104:Q$145)*$F149+$G149,0)</f>
        <v>0</v>
      </c>
    </row>
    <row r="150" spans="1:20" x14ac:dyDescent="0.25">
      <c r="A150" s="34" t="s">
        <v>377</v>
      </c>
      <c r="B150" s="13" t="s">
        <v>64</v>
      </c>
      <c r="C150" s="19" t="s">
        <v>13</v>
      </c>
      <c r="D150" s="14">
        <v>7038</v>
      </c>
      <c r="E150" s="20"/>
      <c r="F150" s="24">
        <v>0.50485651558581146</v>
      </c>
      <c r="G150" s="24">
        <v>20.307496036391857</v>
      </c>
      <c r="H150" s="23">
        <f t="shared" si="7"/>
        <v>504.85651558581145</v>
      </c>
      <c r="I150" s="46">
        <f t="array" ref="I150">IF(SUMIF(Производство!$A$104:$A$145,Технологи!$B150,Производство!F$104:F$145)&gt;0,SUMIF(Производство!$A$104:$A$145,Технологи!$B150,Производство!F$104:F$145)*$F150+$G150,0)</f>
        <v>595.84392380421696</v>
      </c>
      <c r="J150" s="46">
        <f t="array" ref="J150">IF(SUMIF(Производство!$A$104:$A$145,Технологи!$B150,Производство!G$104:G$145)&gt;0,SUMIF(Производство!$A$104:$A$145,Технологи!$B150,Производство!G$104:G$145)*$F150+$G150,0)</f>
        <v>0</v>
      </c>
      <c r="K150" s="46">
        <f t="array" ref="K150">IF(SUMIF(Производство!$A$104:$A$145,Технологи!$B150,Производство!H$104:H$145)&gt;0,SUMIF(Производство!$A$104:$A$145,Технологи!$B150,Производство!H$104:H$145)*$F150+$G150,0)</f>
        <v>0</v>
      </c>
      <c r="L150" s="46">
        <f t="array" ref="L150">IF(SUMIF(Производство!$A$104:$A$145,Технологи!$B150,Производство!I$104:I$145)&gt;0,SUMIF(Производство!$A$104:$A$145,Технологи!$B150,Производство!I$104:I$145)*$F150+$G150,0)</f>
        <v>0</v>
      </c>
      <c r="M150" s="46">
        <f t="array" ref="M150">IF(SUMIF(Производство!$A$104:$A$145,Технологи!$B150,Производство!J$104:J$145)&gt;0,SUMIF(Производство!$A$104:$A$145,Технологи!$B150,Производство!J$104:J$145)*$F150+$G150,0)</f>
        <v>0</v>
      </c>
      <c r="N150" s="46">
        <f t="array" ref="N150">IF(SUMIF(Производство!$A$104:$A$145,Технологи!$B150,Производство!K$104:K$145)&gt;0,SUMIF(Производство!$A$104:$A$145,Технологи!$B150,Производство!K$104:K$145)*$F150+$G150,0)</f>
        <v>0</v>
      </c>
      <c r="O150" s="46">
        <f t="array" ref="O150">IF(SUMIF(Производство!$A$104:$A$145,Технологи!$B150,Производство!L$104:L$145)&gt;0,SUMIF(Производство!$A$104:$A$145,Технологи!$B150,Производство!L$104:L$145)*$F150+$G150,0)</f>
        <v>0</v>
      </c>
      <c r="P150" s="46">
        <f t="array" ref="P150">IF(SUMIF(Производство!$A$104:$A$145,Технологи!$B150,Производство!M$104:M$145)&gt;0,SUMIF(Производство!$A$104:$A$145,Технологи!$B150,Производство!M$104:M$145)*$F150+$G150,0)</f>
        <v>0</v>
      </c>
      <c r="Q150" s="46">
        <f t="array" ref="Q150">IF(SUMIF(Производство!$A$104:$A$145,Технологи!$B150,Производство!N$104:N$145)&gt;0,SUMIF(Производство!$A$104:$A$145,Технологи!$B150,Производство!N$104:N$145)*$F150+$G150,0)</f>
        <v>0</v>
      </c>
      <c r="R150" s="46">
        <f t="array" ref="R150">IF(SUMIF(Производство!$A$104:$A$145,Технологи!$B150,Производство!O$104:O$145)&gt;0,SUMIF(Производство!$A$104:$A$145,Технологи!$B150,Производство!O$104:O$145)*$F150+$G150,0)</f>
        <v>0</v>
      </c>
      <c r="S150" s="46">
        <f t="array" ref="S150">IF(SUMIF(Производство!$A$104:$A$145,Технологи!$B150,Производство!P$104:P$145)&gt;0,SUMIF(Производство!$A$104:$A$145,Технологи!$B150,Производство!P$104:P$145)*$F150+$G150,0)</f>
        <v>0</v>
      </c>
      <c r="T150" s="46">
        <f t="array" ref="T150">IF(SUMIF(Производство!$A$104:$A$145,Технологи!$B150,Производство!Q$104:Q$145)&gt;0,SUMIF(Производство!$A$104:$A$145,Технологи!$B150,Производство!Q$104:Q$145)*$F150+$G150,0)</f>
        <v>0</v>
      </c>
    </row>
    <row r="151" spans="1:20" x14ac:dyDescent="0.25">
      <c r="A151" s="34" t="s">
        <v>377</v>
      </c>
      <c r="B151" s="13" t="s">
        <v>64</v>
      </c>
      <c r="C151" s="19" t="s">
        <v>14</v>
      </c>
      <c r="D151" s="14">
        <v>7038</v>
      </c>
      <c r="E151" s="20"/>
      <c r="F151" s="24">
        <v>4.3273415621640993E-3</v>
      </c>
      <c r="G151" s="24">
        <v>0.18807922227721127</v>
      </c>
      <c r="H151" s="23">
        <f t="shared" si="7"/>
        <v>4.3273415621640989</v>
      </c>
      <c r="I151" s="46">
        <f t="array" ref="I151">IF(SUMIF(Производство!$A$104:$A$145,Технологи!$B151,Производство!F$104:F$145)&gt;0,SUMIF(Производство!$A$104:$A$145,Технологи!$B151,Производство!F$104:F$145)*$F151+$G151,0)</f>
        <v>5.1212486031442843</v>
      </c>
      <c r="J151" s="46">
        <f t="array" ref="J151">IF(SUMIF(Производство!$A$104:$A$145,Технологи!$B151,Производство!G$104:G$145)&gt;0,SUMIF(Производство!$A$104:$A$145,Технологи!$B151,Производство!G$104:G$145)*$F151+$G151,0)</f>
        <v>0</v>
      </c>
      <c r="K151" s="46">
        <f t="array" ref="K151">IF(SUMIF(Производство!$A$104:$A$145,Технологи!$B151,Производство!H$104:H$145)&gt;0,SUMIF(Производство!$A$104:$A$145,Технологи!$B151,Производство!H$104:H$145)*$F151+$G151,0)</f>
        <v>0</v>
      </c>
      <c r="L151" s="46">
        <f t="array" ref="L151">IF(SUMIF(Производство!$A$104:$A$145,Технологи!$B151,Производство!I$104:I$145)&gt;0,SUMIF(Производство!$A$104:$A$145,Технологи!$B151,Производство!I$104:I$145)*$F151+$G151,0)</f>
        <v>0</v>
      </c>
      <c r="M151" s="46">
        <f t="array" ref="M151">IF(SUMIF(Производство!$A$104:$A$145,Технологи!$B151,Производство!J$104:J$145)&gt;0,SUMIF(Производство!$A$104:$A$145,Технологи!$B151,Производство!J$104:J$145)*$F151+$G151,0)</f>
        <v>0</v>
      </c>
      <c r="N151" s="46">
        <f t="array" ref="N151">IF(SUMIF(Производство!$A$104:$A$145,Технологи!$B151,Производство!K$104:K$145)&gt;0,SUMIF(Производство!$A$104:$A$145,Технологи!$B151,Производство!K$104:K$145)*$F151+$G151,0)</f>
        <v>0</v>
      </c>
      <c r="O151" s="46">
        <f t="array" ref="O151">IF(SUMIF(Производство!$A$104:$A$145,Технологи!$B151,Производство!L$104:L$145)&gt;0,SUMIF(Производство!$A$104:$A$145,Технологи!$B151,Производство!L$104:L$145)*$F151+$G151,0)</f>
        <v>0</v>
      </c>
      <c r="P151" s="46">
        <f t="array" ref="P151">IF(SUMIF(Производство!$A$104:$A$145,Технологи!$B151,Производство!M$104:M$145)&gt;0,SUMIF(Производство!$A$104:$A$145,Технологи!$B151,Производство!M$104:M$145)*$F151+$G151,0)</f>
        <v>0</v>
      </c>
      <c r="Q151" s="46">
        <f t="array" ref="Q151">IF(SUMIF(Производство!$A$104:$A$145,Технологи!$B151,Производство!N$104:N$145)&gt;0,SUMIF(Производство!$A$104:$A$145,Технологи!$B151,Производство!N$104:N$145)*$F151+$G151,0)</f>
        <v>0</v>
      </c>
      <c r="R151" s="46">
        <f t="array" ref="R151">IF(SUMIF(Производство!$A$104:$A$145,Технологи!$B151,Производство!O$104:O$145)&gt;0,SUMIF(Производство!$A$104:$A$145,Технологи!$B151,Производство!O$104:O$145)*$F151+$G151,0)</f>
        <v>0</v>
      </c>
      <c r="S151" s="46">
        <f t="array" ref="S151">IF(SUMIF(Производство!$A$104:$A$145,Технологи!$B151,Производство!P$104:P$145)&gt;0,SUMIF(Производство!$A$104:$A$145,Технологи!$B151,Производство!P$104:P$145)*$F151+$G151,0)</f>
        <v>0</v>
      </c>
      <c r="T151" s="46">
        <f t="array" ref="T151">IF(SUMIF(Производство!$A$104:$A$145,Технологи!$B151,Производство!Q$104:Q$145)&gt;0,SUMIF(Производство!$A$104:$A$145,Технологи!$B151,Производство!Q$104:Q$145)*$F151+$G151,0)</f>
        <v>0</v>
      </c>
    </row>
    <row r="152" spans="1:20" x14ac:dyDescent="0.25">
      <c r="A152" s="34" t="s">
        <v>377</v>
      </c>
      <c r="B152" s="13" t="s">
        <v>64</v>
      </c>
      <c r="C152" s="19" t="s">
        <v>15</v>
      </c>
      <c r="D152" s="14">
        <v>7038</v>
      </c>
      <c r="E152" s="20"/>
      <c r="F152" s="24">
        <v>2.1636707810820496E-3</v>
      </c>
      <c r="G152" s="24">
        <v>9.4039611138605636E-2</v>
      </c>
      <c r="H152" s="23">
        <f t="shared" si="7"/>
        <v>2.1636707810820495</v>
      </c>
      <c r="I152" s="46">
        <f t="array" ref="I152">IF(SUMIF(Производство!$A$104:$A$145,Технологи!$B152,Производство!F$104:F$145)&gt;0,SUMIF(Производство!$A$104:$A$145,Технологи!$B152,Производство!F$104:F$145)*$F152+$G152,0)</f>
        <v>2.5606243015721422</v>
      </c>
      <c r="J152" s="46">
        <f t="array" ref="J152">IF(SUMIF(Производство!$A$104:$A$145,Технологи!$B152,Производство!G$104:G$145)&gt;0,SUMIF(Производство!$A$104:$A$145,Технологи!$B152,Производство!G$104:G$145)*$F152+$G152,0)</f>
        <v>0</v>
      </c>
      <c r="K152" s="46">
        <f t="array" ref="K152">IF(SUMIF(Производство!$A$104:$A$145,Технологи!$B152,Производство!H$104:H$145)&gt;0,SUMIF(Производство!$A$104:$A$145,Технологи!$B152,Производство!H$104:H$145)*$F152+$G152,0)</f>
        <v>0</v>
      </c>
      <c r="L152" s="46">
        <f t="array" ref="L152">IF(SUMIF(Производство!$A$104:$A$145,Технологи!$B152,Производство!I$104:I$145)&gt;0,SUMIF(Производство!$A$104:$A$145,Технологи!$B152,Производство!I$104:I$145)*$F152+$G152,0)</f>
        <v>0</v>
      </c>
      <c r="M152" s="46">
        <f t="array" ref="M152">IF(SUMIF(Производство!$A$104:$A$145,Технологи!$B152,Производство!J$104:J$145)&gt;0,SUMIF(Производство!$A$104:$A$145,Технологи!$B152,Производство!J$104:J$145)*$F152+$G152,0)</f>
        <v>0</v>
      </c>
      <c r="N152" s="46">
        <f t="array" ref="N152">IF(SUMIF(Производство!$A$104:$A$145,Технологи!$B152,Производство!K$104:K$145)&gt;0,SUMIF(Производство!$A$104:$A$145,Технологи!$B152,Производство!K$104:K$145)*$F152+$G152,0)</f>
        <v>0</v>
      </c>
      <c r="O152" s="46">
        <f t="array" ref="O152">IF(SUMIF(Производство!$A$104:$A$145,Технологи!$B152,Производство!L$104:L$145)&gt;0,SUMIF(Производство!$A$104:$A$145,Технологи!$B152,Производство!L$104:L$145)*$F152+$G152,0)</f>
        <v>0</v>
      </c>
      <c r="P152" s="46">
        <f t="array" ref="P152">IF(SUMIF(Производство!$A$104:$A$145,Технологи!$B152,Производство!M$104:M$145)&gt;0,SUMIF(Производство!$A$104:$A$145,Технологи!$B152,Производство!M$104:M$145)*$F152+$G152,0)</f>
        <v>0</v>
      </c>
      <c r="Q152" s="46">
        <f t="array" ref="Q152">IF(SUMIF(Производство!$A$104:$A$145,Технологи!$B152,Производство!N$104:N$145)&gt;0,SUMIF(Производство!$A$104:$A$145,Технологи!$B152,Производство!N$104:N$145)*$F152+$G152,0)</f>
        <v>0</v>
      </c>
      <c r="R152" s="46">
        <f t="array" ref="R152">IF(SUMIF(Производство!$A$104:$A$145,Технологи!$B152,Производство!O$104:O$145)&gt;0,SUMIF(Производство!$A$104:$A$145,Технологи!$B152,Производство!O$104:O$145)*$F152+$G152,0)</f>
        <v>0</v>
      </c>
      <c r="S152" s="46">
        <f t="array" ref="S152">IF(SUMIF(Производство!$A$104:$A$145,Технологи!$B152,Производство!P$104:P$145)&gt;0,SUMIF(Производство!$A$104:$A$145,Технологи!$B152,Производство!P$104:P$145)*$F152+$G152,0)</f>
        <v>0</v>
      </c>
      <c r="T152" s="46">
        <f t="array" ref="T152">IF(SUMIF(Производство!$A$104:$A$145,Технологи!$B152,Производство!Q$104:Q$145)&gt;0,SUMIF(Производство!$A$104:$A$145,Технологи!$B152,Производство!Q$104:Q$145)*$F152+$G152,0)</f>
        <v>0</v>
      </c>
    </row>
    <row r="153" spans="1:20" x14ac:dyDescent="0.25">
      <c r="A153" s="34" t="s">
        <v>377</v>
      </c>
      <c r="B153" s="13" t="s">
        <v>64</v>
      </c>
      <c r="C153" s="19" t="s">
        <v>16</v>
      </c>
      <c r="D153" s="14">
        <v>7038</v>
      </c>
      <c r="E153" s="20"/>
      <c r="F153" s="24">
        <v>2.870612719455392E-2</v>
      </c>
      <c r="G153" s="24">
        <v>1.2538614818480753</v>
      </c>
      <c r="H153" s="23">
        <f t="shared" si="7"/>
        <v>28.706127194553918</v>
      </c>
      <c r="I153" s="46">
        <f t="array" ref="I153">IF(SUMIF(Производство!$A$104:$A$145,Технологи!$B153,Производство!F$104:F$145)&gt;0,SUMIF(Производство!$A$104:$A$145,Технологи!$B153,Производство!F$104:F$145)*$F153+$G153,0)</f>
        <v>33.978846483639543</v>
      </c>
      <c r="J153" s="46">
        <f t="array" ref="J153">IF(SUMIF(Производство!$A$104:$A$145,Технологи!$B153,Производство!G$104:G$145)&gt;0,SUMIF(Производство!$A$104:$A$145,Технологи!$B153,Производство!G$104:G$145)*$F153+$G153,0)</f>
        <v>0</v>
      </c>
      <c r="K153" s="46">
        <f t="array" ref="K153">IF(SUMIF(Производство!$A$104:$A$145,Технологи!$B153,Производство!H$104:H$145)&gt;0,SUMIF(Производство!$A$104:$A$145,Технологи!$B153,Производство!H$104:H$145)*$F153+$G153,0)</f>
        <v>0</v>
      </c>
      <c r="L153" s="46">
        <f t="array" ref="L153">IF(SUMIF(Производство!$A$104:$A$145,Технологи!$B153,Производство!I$104:I$145)&gt;0,SUMIF(Производство!$A$104:$A$145,Технологи!$B153,Производство!I$104:I$145)*$F153+$G153,0)</f>
        <v>0</v>
      </c>
      <c r="M153" s="46">
        <f t="array" ref="M153">IF(SUMIF(Производство!$A$104:$A$145,Технологи!$B153,Производство!J$104:J$145)&gt;0,SUMIF(Производство!$A$104:$A$145,Технологи!$B153,Производство!J$104:J$145)*$F153+$G153,0)</f>
        <v>0</v>
      </c>
      <c r="N153" s="46">
        <f t="array" ref="N153">IF(SUMIF(Производство!$A$104:$A$145,Технологи!$B153,Производство!K$104:K$145)&gt;0,SUMIF(Производство!$A$104:$A$145,Технологи!$B153,Производство!K$104:K$145)*$F153+$G153,0)</f>
        <v>0</v>
      </c>
      <c r="O153" s="46">
        <f t="array" ref="O153">IF(SUMIF(Производство!$A$104:$A$145,Технологи!$B153,Производство!L$104:L$145)&gt;0,SUMIF(Производство!$A$104:$A$145,Технологи!$B153,Производство!L$104:L$145)*$F153+$G153,0)</f>
        <v>0</v>
      </c>
      <c r="P153" s="46">
        <f t="array" ref="P153">IF(SUMIF(Производство!$A$104:$A$145,Технологи!$B153,Производство!M$104:M$145)&gt;0,SUMIF(Производство!$A$104:$A$145,Технологи!$B153,Производство!M$104:M$145)*$F153+$G153,0)</f>
        <v>0</v>
      </c>
      <c r="Q153" s="46">
        <f t="array" ref="Q153">IF(SUMIF(Производство!$A$104:$A$145,Технологи!$B153,Производство!N$104:N$145)&gt;0,SUMIF(Производство!$A$104:$A$145,Технологи!$B153,Производство!N$104:N$145)*$F153+$G153,0)</f>
        <v>0</v>
      </c>
      <c r="R153" s="46">
        <f t="array" ref="R153">IF(SUMIF(Производство!$A$104:$A$145,Технологи!$B153,Производство!O$104:O$145)&gt;0,SUMIF(Производство!$A$104:$A$145,Технологи!$B153,Производство!O$104:O$145)*$F153+$G153,0)</f>
        <v>0</v>
      </c>
      <c r="S153" s="46">
        <f t="array" ref="S153">IF(SUMIF(Производство!$A$104:$A$145,Технологи!$B153,Производство!P$104:P$145)&gt;0,SUMIF(Производство!$A$104:$A$145,Технологи!$B153,Производство!P$104:P$145)*$F153+$G153,0)</f>
        <v>0</v>
      </c>
      <c r="T153" s="46">
        <f t="array" ref="T153">IF(SUMIF(Производство!$A$104:$A$145,Технологи!$B153,Производство!Q$104:Q$145)&gt;0,SUMIF(Производство!$A$104:$A$145,Технологи!$B153,Производство!Q$104:Q$145)*$F153+$G153,0)</f>
        <v>0</v>
      </c>
    </row>
    <row r="154" spans="1:20" x14ac:dyDescent="0.25">
      <c r="A154" s="34" t="s">
        <v>377</v>
      </c>
      <c r="B154" s="13" t="s">
        <v>64</v>
      </c>
      <c r="C154" s="19" t="s">
        <v>17</v>
      </c>
      <c r="D154" s="14">
        <v>7038</v>
      </c>
      <c r="E154" s="20"/>
      <c r="F154" s="24">
        <v>1.5945468165532068E-2</v>
      </c>
      <c r="G154" s="24">
        <v>0.68962381501644154</v>
      </c>
      <c r="H154" s="23">
        <f t="shared" si="7"/>
        <v>15.945468165532068</v>
      </c>
      <c r="I154" s="46">
        <f t="array" ref="I154">IF(SUMIF(Производство!$A$104:$A$145,Технологи!$B154,Производство!F$104:F$145)&gt;0,SUMIF(Производство!$A$104:$A$145,Технологи!$B154,Производство!F$104:F$145)*$F154+$G154,0)</f>
        <v>18.867457523723001</v>
      </c>
      <c r="J154" s="46">
        <f t="array" ref="J154">IF(SUMIF(Производство!$A$104:$A$145,Технологи!$B154,Производство!G$104:G$145)&gt;0,SUMIF(Производство!$A$104:$A$145,Технологи!$B154,Производство!G$104:G$145)*$F154+$G154,0)</f>
        <v>0</v>
      </c>
      <c r="K154" s="46">
        <f t="array" ref="K154">IF(SUMIF(Производство!$A$104:$A$145,Технологи!$B154,Производство!H$104:H$145)&gt;0,SUMIF(Производство!$A$104:$A$145,Технологи!$B154,Производство!H$104:H$145)*$F154+$G154,0)</f>
        <v>0</v>
      </c>
      <c r="L154" s="46">
        <f t="array" ref="L154">IF(SUMIF(Производство!$A$104:$A$145,Технологи!$B154,Производство!I$104:I$145)&gt;0,SUMIF(Производство!$A$104:$A$145,Технологи!$B154,Производство!I$104:I$145)*$F154+$G154,0)</f>
        <v>0</v>
      </c>
      <c r="M154" s="46">
        <f t="array" ref="M154">IF(SUMIF(Производство!$A$104:$A$145,Технологи!$B154,Производство!J$104:J$145)&gt;0,SUMIF(Производство!$A$104:$A$145,Технологи!$B154,Производство!J$104:J$145)*$F154+$G154,0)</f>
        <v>0</v>
      </c>
      <c r="N154" s="46">
        <f t="array" ref="N154">IF(SUMIF(Производство!$A$104:$A$145,Технологи!$B154,Производство!K$104:K$145)&gt;0,SUMIF(Производство!$A$104:$A$145,Технологи!$B154,Производство!K$104:K$145)*$F154+$G154,0)</f>
        <v>0</v>
      </c>
      <c r="O154" s="46">
        <f t="array" ref="O154">IF(SUMIF(Производство!$A$104:$A$145,Технологи!$B154,Производство!L$104:L$145)&gt;0,SUMIF(Производство!$A$104:$A$145,Технологи!$B154,Производство!L$104:L$145)*$F154+$G154,0)</f>
        <v>0</v>
      </c>
      <c r="P154" s="46">
        <f t="array" ref="P154">IF(SUMIF(Производство!$A$104:$A$145,Технологи!$B154,Производство!M$104:M$145)&gt;0,SUMIF(Производство!$A$104:$A$145,Технологи!$B154,Производство!M$104:M$145)*$F154+$G154,0)</f>
        <v>0</v>
      </c>
      <c r="Q154" s="46">
        <f t="array" ref="Q154">IF(SUMIF(Производство!$A$104:$A$145,Технологи!$B154,Производство!N$104:N$145)&gt;0,SUMIF(Производство!$A$104:$A$145,Технологи!$B154,Производство!N$104:N$145)*$F154+$G154,0)</f>
        <v>0</v>
      </c>
      <c r="R154" s="46">
        <f t="array" ref="R154">IF(SUMIF(Производство!$A$104:$A$145,Технологи!$B154,Производство!O$104:O$145)&gt;0,SUMIF(Производство!$A$104:$A$145,Технологи!$B154,Производство!O$104:O$145)*$F154+$G154,0)</f>
        <v>0</v>
      </c>
      <c r="S154" s="46">
        <f t="array" ref="S154">IF(SUMIF(Производство!$A$104:$A$145,Технологи!$B154,Производство!P$104:P$145)&gt;0,SUMIF(Производство!$A$104:$A$145,Технологи!$B154,Производство!P$104:P$145)*$F154+$G154,0)</f>
        <v>0</v>
      </c>
      <c r="T154" s="46">
        <f t="array" ref="T154">IF(SUMIF(Производство!$A$104:$A$145,Технологи!$B154,Производство!Q$104:Q$145)&gt;0,SUMIF(Производство!$A$104:$A$145,Технологи!$B154,Производство!Q$104:Q$145)*$F154+$G154,0)</f>
        <v>0</v>
      </c>
    </row>
    <row r="155" spans="1:20" x14ac:dyDescent="0.25">
      <c r="A155" s="34" t="s">
        <v>377</v>
      </c>
      <c r="B155" s="13" t="s">
        <v>64</v>
      </c>
      <c r="C155" s="19" t="s">
        <v>18</v>
      </c>
      <c r="D155" s="14">
        <v>7038</v>
      </c>
      <c r="E155" s="20"/>
      <c r="F155" s="24">
        <v>1.4324500286635612E-2</v>
      </c>
      <c r="G155" s="24">
        <v>0.62693074092403767</v>
      </c>
      <c r="H155" s="23">
        <f t="shared" si="7"/>
        <v>14.324500286635612</v>
      </c>
      <c r="I155" s="46">
        <f t="array" ref="I155">IF(SUMIF(Производство!$A$104:$A$145,Технологи!$B155,Производство!F$104:F$145)&gt;0,SUMIF(Производство!$A$104:$A$145,Технологи!$B155,Производство!F$104:F$145)*$F155+$G155,0)</f>
        <v>16.956861067688635</v>
      </c>
      <c r="J155" s="46">
        <f t="array" ref="J155">IF(SUMIF(Производство!$A$104:$A$145,Технологи!$B155,Производство!G$104:G$145)&gt;0,SUMIF(Производство!$A$104:$A$145,Технологи!$B155,Производство!G$104:G$145)*$F155+$G155,0)</f>
        <v>0</v>
      </c>
      <c r="K155" s="46">
        <f t="array" ref="K155">IF(SUMIF(Производство!$A$104:$A$145,Технологи!$B155,Производство!H$104:H$145)&gt;0,SUMIF(Производство!$A$104:$A$145,Технологи!$B155,Производство!H$104:H$145)*$F155+$G155,0)</f>
        <v>0</v>
      </c>
      <c r="L155" s="46">
        <f t="array" ref="L155">IF(SUMIF(Производство!$A$104:$A$145,Технологи!$B155,Производство!I$104:I$145)&gt;0,SUMIF(Производство!$A$104:$A$145,Технологи!$B155,Производство!I$104:I$145)*$F155+$G155,0)</f>
        <v>0</v>
      </c>
      <c r="M155" s="46">
        <f t="array" ref="M155">IF(SUMIF(Производство!$A$104:$A$145,Технологи!$B155,Производство!J$104:J$145)&gt;0,SUMIF(Производство!$A$104:$A$145,Технологи!$B155,Производство!J$104:J$145)*$F155+$G155,0)</f>
        <v>0</v>
      </c>
      <c r="N155" s="46">
        <f t="array" ref="N155">IF(SUMIF(Производство!$A$104:$A$145,Технологи!$B155,Производство!K$104:K$145)&gt;0,SUMIF(Производство!$A$104:$A$145,Технологи!$B155,Производство!K$104:K$145)*$F155+$G155,0)</f>
        <v>0</v>
      </c>
      <c r="O155" s="46">
        <f t="array" ref="O155">IF(SUMIF(Производство!$A$104:$A$145,Технологи!$B155,Производство!L$104:L$145)&gt;0,SUMIF(Производство!$A$104:$A$145,Технологи!$B155,Производство!L$104:L$145)*$F155+$G155,0)</f>
        <v>0</v>
      </c>
      <c r="P155" s="46">
        <f t="array" ref="P155">IF(SUMIF(Производство!$A$104:$A$145,Технологи!$B155,Производство!M$104:M$145)&gt;0,SUMIF(Производство!$A$104:$A$145,Технологи!$B155,Производство!M$104:M$145)*$F155+$G155,0)</f>
        <v>0</v>
      </c>
      <c r="Q155" s="46">
        <f t="array" ref="Q155">IF(SUMIF(Производство!$A$104:$A$145,Технологи!$B155,Производство!N$104:N$145)&gt;0,SUMIF(Производство!$A$104:$A$145,Технологи!$B155,Производство!N$104:N$145)*$F155+$G155,0)</f>
        <v>0</v>
      </c>
      <c r="R155" s="46">
        <f t="array" ref="R155">IF(SUMIF(Производство!$A$104:$A$145,Технологи!$B155,Производство!O$104:O$145)&gt;0,SUMIF(Производство!$A$104:$A$145,Технологи!$B155,Производство!O$104:O$145)*$F155+$G155,0)</f>
        <v>0</v>
      </c>
      <c r="S155" s="46">
        <f t="array" ref="S155">IF(SUMIF(Производство!$A$104:$A$145,Технологи!$B155,Производство!P$104:P$145)&gt;0,SUMIF(Производство!$A$104:$A$145,Технологи!$B155,Производство!P$104:P$145)*$F155+$G155,0)</f>
        <v>0</v>
      </c>
      <c r="T155" s="46">
        <f t="array" ref="T155">IF(SUMIF(Производство!$A$104:$A$145,Технологи!$B155,Производство!Q$104:Q$145)&gt;0,SUMIF(Производство!$A$104:$A$145,Технологи!$B155,Производство!Q$104:Q$145)*$F155+$G155,0)</f>
        <v>0</v>
      </c>
    </row>
    <row r="156" spans="1:20" x14ac:dyDescent="0.25">
      <c r="A156" s="34" t="s">
        <v>377</v>
      </c>
      <c r="B156" s="13" t="s">
        <v>64</v>
      </c>
      <c r="C156" s="19" t="s">
        <v>19</v>
      </c>
      <c r="D156" s="14">
        <v>7038</v>
      </c>
      <c r="E156" s="20"/>
      <c r="F156" s="24">
        <v>3.3295950000000003</v>
      </c>
      <c r="G156" s="24">
        <v>236.40124499999999</v>
      </c>
      <c r="H156" s="23">
        <f t="shared" si="7"/>
        <v>3329.5950000000003</v>
      </c>
      <c r="I156" s="46">
        <f t="array" ref="I156">IF(SUMIF(Производство!$A$104:$A$145,Технологи!$B156,Производство!F$104:F$145)&gt;0,SUMIF(Производство!$A$104:$A$145,Технологи!$B156,Производство!F$104:F$145)*$F156+$G156,0)</f>
        <v>4032.1395450000005</v>
      </c>
      <c r="J156" s="46">
        <f t="array" ref="J156">IF(SUMIF(Производство!$A$104:$A$145,Технологи!$B156,Производство!G$104:G$145)&gt;0,SUMIF(Производство!$A$104:$A$145,Технологи!$B156,Производство!G$104:G$145)*$F156+$G156,0)</f>
        <v>0</v>
      </c>
      <c r="K156" s="46">
        <f t="array" ref="K156">IF(SUMIF(Производство!$A$104:$A$145,Технологи!$B156,Производство!H$104:H$145)&gt;0,SUMIF(Производство!$A$104:$A$145,Технологи!$B156,Производство!H$104:H$145)*$F156+$G156,0)</f>
        <v>0</v>
      </c>
      <c r="L156" s="46">
        <f t="array" ref="L156">IF(SUMIF(Производство!$A$104:$A$145,Технологи!$B156,Производство!I$104:I$145)&gt;0,SUMIF(Производство!$A$104:$A$145,Технологи!$B156,Производство!I$104:I$145)*$F156+$G156,0)</f>
        <v>0</v>
      </c>
      <c r="M156" s="46">
        <f t="array" ref="M156">IF(SUMIF(Производство!$A$104:$A$145,Технологи!$B156,Производство!J$104:J$145)&gt;0,SUMIF(Производство!$A$104:$A$145,Технологи!$B156,Производство!J$104:J$145)*$F156+$G156,0)</f>
        <v>0</v>
      </c>
      <c r="N156" s="46">
        <f t="array" ref="N156">IF(SUMIF(Производство!$A$104:$A$145,Технологи!$B156,Производство!K$104:K$145)&gt;0,SUMIF(Производство!$A$104:$A$145,Технологи!$B156,Производство!K$104:K$145)*$F156+$G156,0)</f>
        <v>0</v>
      </c>
      <c r="O156" s="46">
        <f t="array" ref="O156">IF(SUMIF(Производство!$A$104:$A$145,Технологи!$B156,Производство!L$104:L$145)&gt;0,SUMIF(Производство!$A$104:$A$145,Технологи!$B156,Производство!L$104:L$145)*$F156+$G156,0)</f>
        <v>0</v>
      </c>
      <c r="P156" s="46">
        <f t="array" ref="P156">IF(SUMIF(Производство!$A$104:$A$145,Технологи!$B156,Производство!M$104:M$145)&gt;0,SUMIF(Производство!$A$104:$A$145,Технологи!$B156,Производство!M$104:M$145)*$F156+$G156,0)</f>
        <v>0</v>
      </c>
      <c r="Q156" s="46">
        <f t="array" ref="Q156">IF(SUMIF(Производство!$A$104:$A$145,Технологи!$B156,Производство!N$104:N$145)&gt;0,SUMIF(Производство!$A$104:$A$145,Технологи!$B156,Производство!N$104:N$145)*$F156+$G156,0)</f>
        <v>0</v>
      </c>
      <c r="R156" s="46">
        <f t="array" ref="R156">IF(SUMIF(Производство!$A$104:$A$145,Технологи!$B156,Производство!O$104:O$145)&gt;0,SUMIF(Производство!$A$104:$A$145,Технологи!$B156,Производство!O$104:O$145)*$F156+$G156,0)</f>
        <v>0</v>
      </c>
      <c r="S156" s="46">
        <f t="array" ref="S156">IF(SUMIF(Производство!$A$104:$A$145,Технологи!$B156,Производство!P$104:P$145)&gt;0,SUMIF(Производство!$A$104:$A$145,Технологи!$B156,Производство!P$104:P$145)*$F156+$G156,0)</f>
        <v>0</v>
      </c>
      <c r="T156" s="46">
        <f t="array" ref="T156">IF(SUMIF(Производство!$A$104:$A$145,Технологи!$B156,Производство!Q$104:Q$145)&gt;0,SUMIF(Производство!$A$104:$A$145,Технологи!$B156,Производство!Q$104:Q$145)*$F156+$G156,0)</f>
        <v>0</v>
      </c>
    </row>
    <row r="157" spans="1:20" x14ac:dyDescent="0.25">
      <c r="A157" s="34" t="s">
        <v>377</v>
      </c>
      <c r="B157" s="13" t="s">
        <v>64</v>
      </c>
      <c r="C157" s="19" t="s">
        <v>20</v>
      </c>
      <c r="D157" s="14">
        <v>7038</v>
      </c>
      <c r="E157" s="20"/>
      <c r="F157" s="24">
        <v>0.1512</v>
      </c>
      <c r="G157" s="24">
        <v>3.1751999999999998</v>
      </c>
      <c r="H157" s="23">
        <f t="shared" si="7"/>
        <v>151.19999999999999</v>
      </c>
      <c r="I157" s="46">
        <f t="array" ref="I157">IF(SUMIF(Производство!$A$104:$A$145,Технологи!$B157,Производство!F$104:F$145)&gt;0,SUMIF(Производство!$A$104:$A$145,Технологи!$B157,Производство!F$104:F$145)*$F157+$G157,0)</f>
        <v>175.54319999999998</v>
      </c>
      <c r="J157" s="46">
        <f t="array" ref="J157">IF(SUMIF(Производство!$A$104:$A$145,Технологи!$B157,Производство!G$104:G$145)&gt;0,SUMIF(Производство!$A$104:$A$145,Технологи!$B157,Производство!G$104:G$145)*$F157+$G157,0)</f>
        <v>0</v>
      </c>
      <c r="K157" s="46">
        <f t="array" ref="K157">IF(SUMIF(Производство!$A$104:$A$145,Технологи!$B157,Производство!H$104:H$145)&gt;0,SUMIF(Производство!$A$104:$A$145,Технологи!$B157,Производство!H$104:H$145)*$F157+$G157,0)</f>
        <v>0</v>
      </c>
      <c r="L157" s="46">
        <f t="array" ref="L157">IF(SUMIF(Производство!$A$104:$A$145,Технологи!$B157,Производство!I$104:I$145)&gt;0,SUMIF(Производство!$A$104:$A$145,Технологи!$B157,Производство!I$104:I$145)*$F157+$G157,0)</f>
        <v>0</v>
      </c>
      <c r="M157" s="46">
        <f t="array" ref="M157">IF(SUMIF(Производство!$A$104:$A$145,Технологи!$B157,Производство!J$104:J$145)&gt;0,SUMIF(Производство!$A$104:$A$145,Технологи!$B157,Производство!J$104:J$145)*$F157+$G157,0)</f>
        <v>0</v>
      </c>
      <c r="N157" s="46">
        <f t="array" ref="N157">IF(SUMIF(Производство!$A$104:$A$145,Технологи!$B157,Производство!K$104:K$145)&gt;0,SUMIF(Производство!$A$104:$A$145,Технологи!$B157,Производство!K$104:K$145)*$F157+$G157,0)</f>
        <v>0</v>
      </c>
      <c r="O157" s="46">
        <f t="array" ref="O157">IF(SUMIF(Производство!$A$104:$A$145,Технологи!$B157,Производство!L$104:L$145)&gt;0,SUMIF(Производство!$A$104:$A$145,Технологи!$B157,Производство!L$104:L$145)*$F157+$G157,0)</f>
        <v>0</v>
      </c>
      <c r="P157" s="46">
        <f t="array" ref="P157">IF(SUMIF(Производство!$A$104:$A$145,Технологи!$B157,Производство!M$104:M$145)&gt;0,SUMIF(Производство!$A$104:$A$145,Технологи!$B157,Производство!M$104:M$145)*$F157+$G157,0)</f>
        <v>0</v>
      </c>
      <c r="Q157" s="46">
        <f t="array" ref="Q157">IF(SUMIF(Производство!$A$104:$A$145,Технологи!$B157,Производство!N$104:N$145)&gt;0,SUMIF(Производство!$A$104:$A$145,Технологи!$B157,Производство!N$104:N$145)*$F157+$G157,0)</f>
        <v>0</v>
      </c>
      <c r="R157" s="46">
        <f t="array" ref="R157">IF(SUMIF(Производство!$A$104:$A$145,Технологи!$B157,Производство!O$104:O$145)&gt;0,SUMIF(Производство!$A$104:$A$145,Технологи!$B157,Производство!O$104:O$145)*$F157+$G157,0)</f>
        <v>0</v>
      </c>
      <c r="S157" s="46">
        <f t="array" ref="S157">IF(SUMIF(Производство!$A$104:$A$145,Технологи!$B157,Производство!P$104:P$145)&gt;0,SUMIF(Производство!$A$104:$A$145,Технологи!$B157,Производство!P$104:P$145)*$F157+$G157,0)</f>
        <v>0</v>
      </c>
      <c r="T157" s="46">
        <f t="array" ref="T157">IF(SUMIF(Производство!$A$104:$A$145,Технологи!$B157,Производство!Q$104:Q$145)&gt;0,SUMIF(Производство!$A$104:$A$145,Технологи!$B157,Производство!Q$104:Q$145)*$F157+$G157,0)</f>
        <v>0</v>
      </c>
    </row>
    <row r="158" spans="1:20" x14ac:dyDescent="0.25">
      <c r="A158" s="34" t="s">
        <v>377</v>
      </c>
      <c r="B158" s="13" t="s">
        <v>64</v>
      </c>
      <c r="C158" s="19" t="s">
        <v>21</v>
      </c>
      <c r="D158" s="14">
        <v>7038</v>
      </c>
      <c r="E158" s="20"/>
      <c r="F158" s="24">
        <v>0.2205</v>
      </c>
      <c r="G158" s="24">
        <v>4.6304999999999996</v>
      </c>
      <c r="H158" s="23">
        <f t="shared" si="7"/>
        <v>220.5</v>
      </c>
      <c r="I158" s="46">
        <f t="array" ref="I158">IF(SUMIF(Производство!$A$104:$A$145,Технологи!$B158,Производство!F$104:F$145)&gt;0,SUMIF(Производство!$A$104:$A$145,Технологи!$B158,Производство!F$104:F$145)*$F158+$G158,0)</f>
        <v>256.00049999999999</v>
      </c>
      <c r="J158" s="46">
        <f t="array" ref="J158">IF(SUMIF(Производство!$A$104:$A$145,Технологи!$B158,Производство!G$104:G$145)&gt;0,SUMIF(Производство!$A$104:$A$145,Технологи!$B158,Производство!G$104:G$145)*$F158+$G158,0)</f>
        <v>0</v>
      </c>
      <c r="K158" s="46">
        <f t="array" ref="K158">IF(SUMIF(Производство!$A$104:$A$145,Технологи!$B158,Производство!H$104:H$145)&gt;0,SUMIF(Производство!$A$104:$A$145,Технологи!$B158,Производство!H$104:H$145)*$F158+$G158,0)</f>
        <v>0</v>
      </c>
      <c r="L158" s="46">
        <f t="array" ref="L158">IF(SUMIF(Производство!$A$104:$A$145,Технологи!$B158,Производство!I$104:I$145)&gt;0,SUMIF(Производство!$A$104:$A$145,Технологи!$B158,Производство!I$104:I$145)*$F158+$G158,0)</f>
        <v>0</v>
      </c>
      <c r="M158" s="46">
        <f t="array" ref="M158">IF(SUMIF(Производство!$A$104:$A$145,Технологи!$B158,Производство!J$104:J$145)&gt;0,SUMIF(Производство!$A$104:$A$145,Технологи!$B158,Производство!J$104:J$145)*$F158+$G158,0)</f>
        <v>0</v>
      </c>
      <c r="N158" s="46">
        <f t="array" ref="N158">IF(SUMIF(Производство!$A$104:$A$145,Технологи!$B158,Производство!K$104:K$145)&gt;0,SUMIF(Производство!$A$104:$A$145,Технологи!$B158,Производство!K$104:K$145)*$F158+$G158,0)</f>
        <v>0</v>
      </c>
      <c r="O158" s="46">
        <f t="array" ref="O158">IF(SUMIF(Производство!$A$104:$A$145,Технологи!$B158,Производство!L$104:L$145)&gt;0,SUMIF(Производство!$A$104:$A$145,Технологи!$B158,Производство!L$104:L$145)*$F158+$G158,0)</f>
        <v>0</v>
      </c>
      <c r="P158" s="46">
        <f t="array" ref="P158">IF(SUMIF(Производство!$A$104:$A$145,Технологи!$B158,Производство!M$104:M$145)&gt;0,SUMIF(Производство!$A$104:$A$145,Технологи!$B158,Производство!M$104:M$145)*$F158+$G158,0)</f>
        <v>0</v>
      </c>
      <c r="Q158" s="46">
        <f t="array" ref="Q158">IF(SUMIF(Производство!$A$104:$A$145,Технологи!$B158,Производство!N$104:N$145)&gt;0,SUMIF(Производство!$A$104:$A$145,Технологи!$B158,Производство!N$104:N$145)*$F158+$G158,0)</f>
        <v>0</v>
      </c>
      <c r="R158" s="46">
        <f t="array" ref="R158">IF(SUMIF(Производство!$A$104:$A$145,Технологи!$B158,Производство!O$104:O$145)&gt;0,SUMIF(Производство!$A$104:$A$145,Технологи!$B158,Производство!O$104:O$145)*$F158+$G158,0)</f>
        <v>0</v>
      </c>
      <c r="S158" s="46">
        <f t="array" ref="S158">IF(SUMIF(Производство!$A$104:$A$145,Технологи!$B158,Производство!P$104:P$145)&gt;0,SUMIF(Производство!$A$104:$A$145,Технологи!$B158,Производство!P$104:P$145)*$F158+$G158,0)</f>
        <v>0</v>
      </c>
      <c r="T158" s="46">
        <f t="array" ref="T158">IF(SUMIF(Производство!$A$104:$A$145,Технологи!$B158,Производство!Q$104:Q$145)&gt;0,SUMIF(Производство!$A$104:$A$145,Технологи!$B158,Производство!Q$104:Q$145)*$F158+$G158,0)</f>
        <v>0</v>
      </c>
    </row>
    <row r="159" spans="1:20" x14ac:dyDescent="0.25">
      <c r="A159" s="34" t="s">
        <v>377</v>
      </c>
      <c r="B159" s="13" t="s">
        <v>64</v>
      </c>
      <c r="C159" s="19" t="s">
        <v>22</v>
      </c>
      <c r="D159" s="14">
        <v>7038</v>
      </c>
      <c r="E159" s="20"/>
      <c r="F159" s="24">
        <v>0</v>
      </c>
      <c r="G159" s="24">
        <v>0</v>
      </c>
      <c r="H159" s="23">
        <f t="shared" si="7"/>
        <v>0</v>
      </c>
      <c r="I159" s="46">
        <f t="array" ref="I159">IF(SUMIF(Производство!$A$104:$A$145,Технологи!$B159,Производство!F$104:F$145)&gt;0,SUMIF(Производство!$A$104:$A$145,Технологи!$B159,Производство!F$104:F$145)*$F159+$G159,0)</f>
        <v>0</v>
      </c>
      <c r="J159" s="46">
        <f t="array" ref="J159">IF(SUMIF(Производство!$A$104:$A$145,Технологи!$B159,Производство!G$104:G$145)&gt;0,SUMIF(Производство!$A$104:$A$145,Технологи!$B159,Производство!G$104:G$145)*$F159+$G159,0)</f>
        <v>0</v>
      </c>
      <c r="K159" s="46">
        <f t="array" ref="K159">IF(SUMIF(Производство!$A$104:$A$145,Технологи!$B159,Производство!H$104:H$145)&gt;0,SUMIF(Производство!$A$104:$A$145,Технологи!$B159,Производство!H$104:H$145)*$F159+$G159,0)</f>
        <v>0</v>
      </c>
      <c r="L159" s="46">
        <f t="array" ref="L159">IF(SUMIF(Производство!$A$104:$A$145,Технологи!$B159,Производство!I$104:I$145)&gt;0,SUMIF(Производство!$A$104:$A$145,Технологи!$B159,Производство!I$104:I$145)*$F159+$G159,0)</f>
        <v>0</v>
      </c>
      <c r="M159" s="46">
        <f t="array" ref="M159">IF(SUMIF(Производство!$A$104:$A$145,Технологи!$B159,Производство!J$104:J$145)&gt;0,SUMIF(Производство!$A$104:$A$145,Технологи!$B159,Производство!J$104:J$145)*$F159+$G159,0)</f>
        <v>0</v>
      </c>
      <c r="N159" s="46">
        <f t="array" ref="N159">IF(SUMIF(Производство!$A$104:$A$145,Технологи!$B159,Производство!K$104:K$145)&gt;0,SUMIF(Производство!$A$104:$A$145,Технологи!$B159,Производство!K$104:K$145)*$F159+$G159,0)</f>
        <v>0</v>
      </c>
      <c r="O159" s="46">
        <f t="array" ref="O159">IF(SUMIF(Производство!$A$104:$A$145,Технологи!$B159,Производство!L$104:L$145)&gt;0,SUMIF(Производство!$A$104:$A$145,Технологи!$B159,Производство!L$104:L$145)*$F159+$G159,0)</f>
        <v>0</v>
      </c>
      <c r="P159" s="46">
        <f t="array" ref="P159">IF(SUMIF(Производство!$A$104:$A$145,Технологи!$B159,Производство!M$104:M$145)&gt;0,SUMIF(Производство!$A$104:$A$145,Технологи!$B159,Производство!M$104:M$145)*$F159+$G159,0)</f>
        <v>0</v>
      </c>
      <c r="Q159" s="46">
        <f t="array" ref="Q159">IF(SUMIF(Производство!$A$104:$A$145,Технологи!$B159,Производство!N$104:N$145)&gt;0,SUMIF(Производство!$A$104:$A$145,Технологи!$B159,Производство!N$104:N$145)*$F159+$G159,0)</f>
        <v>0</v>
      </c>
      <c r="R159" s="46">
        <f t="array" ref="R159">IF(SUMIF(Производство!$A$104:$A$145,Технологи!$B159,Производство!O$104:O$145)&gt;0,SUMIF(Производство!$A$104:$A$145,Технологи!$B159,Производство!O$104:O$145)*$F159+$G159,0)</f>
        <v>0</v>
      </c>
      <c r="S159" s="46">
        <f t="array" ref="S159">IF(SUMIF(Производство!$A$104:$A$145,Технологи!$B159,Производство!P$104:P$145)&gt;0,SUMIF(Производство!$A$104:$A$145,Технологи!$B159,Производство!P$104:P$145)*$F159+$G159,0)</f>
        <v>0</v>
      </c>
      <c r="T159" s="46">
        <f t="array" ref="T159">IF(SUMIF(Производство!$A$104:$A$145,Технологи!$B159,Производство!Q$104:Q$145)&gt;0,SUMIF(Производство!$A$104:$A$145,Технологи!$B159,Производство!Q$104:Q$145)*$F159+$G159,0)</f>
        <v>0</v>
      </c>
    </row>
    <row r="160" spans="1:20" x14ac:dyDescent="0.25">
      <c r="A160" s="34" t="s">
        <v>377</v>
      </c>
      <c r="B160" s="13" t="s">
        <v>64</v>
      </c>
      <c r="C160" s="19" t="s">
        <v>23</v>
      </c>
      <c r="D160" s="14">
        <v>7038</v>
      </c>
      <c r="E160" s="20"/>
      <c r="F160" s="24">
        <v>0</v>
      </c>
      <c r="G160" s="24">
        <v>0</v>
      </c>
      <c r="H160" s="23">
        <f t="shared" si="7"/>
        <v>0</v>
      </c>
      <c r="I160" s="46">
        <f t="array" ref="I160">IF(SUMIF(Производство!$A$104:$A$145,Технологи!$B160,Производство!F$104:F$145)&gt;0,SUMIF(Производство!$A$104:$A$145,Технологи!$B160,Производство!F$104:F$145)*$F160+$G160,0)</f>
        <v>0</v>
      </c>
      <c r="J160" s="46">
        <f t="array" ref="J160">IF(SUMIF(Производство!$A$104:$A$145,Технологи!$B160,Производство!G$104:G$145)&gt;0,SUMIF(Производство!$A$104:$A$145,Технологи!$B160,Производство!G$104:G$145)*$F160+$G160,0)</f>
        <v>0</v>
      </c>
      <c r="K160" s="46">
        <f t="array" ref="K160">IF(SUMIF(Производство!$A$104:$A$145,Технологи!$B160,Производство!H$104:H$145)&gt;0,SUMIF(Производство!$A$104:$A$145,Технологи!$B160,Производство!H$104:H$145)*$F160+$G160,0)</f>
        <v>0</v>
      </c>
      <c r="L160" s="46">
        <f t="array" ref="L160">IF(SUMIF(Производство!$A$104:$A$145,Технологи!$B160,Производство!I$104:I$145)&gt;0,SUMIF(Производство!$A$104:$A$145,Технологи!$B160,Производство!I$104:I$145)*$F160+$G160,0)</f>
        <v>0</v>
      </c>
      <c r="M160" s="46">
        <f t="array" ref="M160">IF(SUMIF(Производство!$A$104:$A$145,Технологи!$B160,Производство!J$104:J$145)&gt;0,SUMIF(Производство!$A$104:$A$145,Технологи!$B160,Производство!J$104:J$145)*$F160+$G160,0)</f>
        <v>0</v>
      </c>
      <c r="N160" s="46">
        <f t="array" ref="N160">IF(SUMIF(Производство!$A$104:$A$145,Технологи!$B160,Производство!K$104:K$145)&gt;0,SUMIF(Производство!$A$104:$A$145,Технологи!$B160,Производство!K$104:K$145)*$F160+$G160,0)</f>
        <v>0</v>
      </c>
      <c r="O160" s="46">
        <f t="array" ref="O160">IF(SUMIF(Производство!$A$104:$A$145,Технологи!$B160,Производство!L$104:L$145)&gt;0,SUMIF(Производство!$A$104:$A$145,Технологи!$B160,Производство!L$104:L$145)*$F160+$G160,0)</f>
        <v>0</v>
      </c>
      <c r="P160" s="46">
        <f t="array" ref="P160">IF(SUMIF(Производство!$A$104:$A$145,Технологи!$B160,Производство!M$104:M$145)&gt;0,SUMIF(Производство!$A$104:$A$145,Технологи!$B160,Производство!M$104:M$145)*$F160+$G160,0)</f>
        <v>0</v>
      </c>
      <c r="Q160" s="46">
        <f t="array" ref="Q160">IF(SUMIF(Производство!$A$104:$A$145,Технологи!$B160,Производство!N$104:N$145)&gt;0,SUMIF(Производство!$A$104:$A$145,Технологи!$B160,Производство!N$104:N$145)*$F160+$G160,0)</f>
        <v>0</v>
      </c>
      <c r="R160" s="46">
        <f t="array" ref="R160">IF(SUMIF(Производство!$A$104:$A$145,Технологи!$B160,Производство!O$104:O$145)&gt;0,SUMIF(Производство!$A$104:$A$145,Технологи!$B160,Производство!O$104:O$145)*$F160+$G160,0)</f>
        <v>0</v>
      </c>
      <c r="S160" s="46">
        <f t="array" ref="S160">IF(SUMIF(Производство!$A$104:$A$145,Технологи!$B160,Производство!P$104:P$145)&gt;0,SUMIF(Производство!$A$104:$A$145,Технологи!$B160,Производство!P$104:P$145)*$F160+$G160,0)</f>
        <v>0</v>
      </c>
      <c r="T160" s="46">
        <f t="array" ref="T160">IF(SUMIF(Производство!$A$104:$A$145,Технологи!$B160,Производство!Q$104:Q$145)&gt;0,SUMIF(Производство!$A$104:$A$145,Технологи!$B160,Производство!Q$104:Q$145)*$F160+$G160,0)</f>
        <v>0</v>
      </c>
    </row>
    <row r="161" spans="1:20" x14ac:dyDescent="0.25">
      <c r="A161" s="34" t="s">
        <v>377</v>
      </c>
      <c r="B161" s="13" t="s">
        <v>35</v>
      </c>
      <c r="C161" s="15" t="s">
        <v>11</v>
      </c>
      <c r="D161" s="14">
        <v>7038</v>
      </c>
      <c r="E161" s="16">
        <v>7.399</v>
      </c>
      <c r="F161" s="22">
        <f>SUM(F162:F173)</f>
        <v>7.4110269483984244</v>
      </c>
      <c r="G161" s="22">
        <f>SUM(G162:G173)</f>
        <v>405.51092249999994</v>
      </c>
      <c r="H161" s="23">
        <f t="shared" si="7"/>
        <v>7411.0269483984248</v>
      </c>
      <c r="I161" s="46">
        <f t="array" ref="I161">IF(SUMIF(Производство!$A$104:$A$145,Технологи!$B161,Производство!F$104:F$145)&gt;0,SUMIF(Производство!$A$104:$A$145,Технологи!$B161,Производство!F$104:F$145)*$F161+$G161,0)</f>
        <v>0</v>
      </c>
      <c r="J161" s="46">
        <f t="array" ref="J161">IF(SUMIF(Производство!$A$104:$A$145,Технологи!$B161,Производство!G$104:G$145)&gt;0,SUMIF(Производство!$A$104:$A$145,Технологи!$B161,Производство!G$104:G$145)*$F161+$G161,0)</f>
        <v>0</v>
      </c>
      <c r="K161" s="46">
        <f t="array" ref="K161">IF(SUMIF(Производство!$A$104:$A$145,Технологи!$B161,Производство!H$104:H$145)&gt;0,SUMIF(Производство!$A$104:$A$145,Технологи!$B161,Производство!H$104:H$145)*$F161+$G161,0)</f>
        <v>2383.7238167161618</v>
      </c>
      <c r="L161" s="46">
        <f t="array" ref="L161">IF(SUMIF(Производство!$A$104:$A$145,Технологи!$B161,Производство!I$104:I$145)&gt;0,SUMIF(Производство!$A$104:$A$145,Технологи!$B161,Производство!I$104:I$145)*$F161+$G161,0)</f>
        <v>2383.7238167161618</v>
      </c>
      <c r="M161" s="46">
        <f t="array" ref="M161">IF(SUMIF(Производство!$A$104:$A$145,Технологи!$B161,Производство!J$104:J$145)&gt;0,SUMIF(Производство!$A$104:$A$145,Технологи!$B161,Производство!J$104:J$145)*$F161+$G161,0)</f>
        <v>1934.885597020058</v>
      </c>
      <c r="N161" s="46">
        <f t="array" ref="N161">IF(SUMIF(Производство!$A$104:$A$145,Технологи!$B161,Производство!K$104:K$145)&gt;0,SUMIF(Производство!$A$104:$A$145,Технологи!$B161,Производство!K$104:K$145)*$F161+$G161,0)</f>
        <v>1934.885597020058</v>
      </c>
      <c r="O161" s="46">
        <f t="array" ref="O161">IF(SUMIF(Производство!$A$104:$A$145,Технологи!$B161,Производство!L$104:L$145)&gt;0,SUMIF(Производство!$A$104:$A$145,Технологи!$B161,Производство!L$104:L$145)*$F161+$G161,0)</f>
        <v>1934.885597020058</v>
      </c>
      <c r="P161" s="46">
        <f t="array" ref="P161">IF(SUMIF(Производство!$A$104:$A$145,Технологи!$B161,Производство!M$104:M$145)&gt;0,SUMIF(Производство!$A$104:$A$145,Технологи!$B161,Производство!M$104:M$145)*$F161+$G161,0)</f>
        <v>1934.885597020058</v>
      </c>
      <c r="Q161" s="46">
        <f t="array" ref="Q161">IF(SUMIF(Производство!$A$104:$A$145,Технологи!$B161,Производство!N$104:N$145)&gt;0,SUMIF(Производство!$A$104:$A$145,Технологи!$B161,Производство!N$104:N$145)*$F161+$G161,0)</f>
        <v>1934.885597020058</v>
      </c>
      <c r="R161" s="46">
        <f t="array" ref="R161">IF(SUMIF(Производство!$A$104:$A$145,Технологи!$B161,Производство!O$104:O$145)&gt;0,SUMIF(Производство!$A$104:$A$145,Технологи!$B161,Производство!O$104:O$145)*$F161+$G161,0)</f>
        <v>1934.885597020058</v>
      </c>
      <c r="S161" s="46">
        <f t="array" ref="S161">IF(SUMIF(Производство!$A$104:$A$145,Технологи!$B161,Производство!P$104:P$145)&gt;0,SUMIF(Производство!$A$104:$A$145,Технологи!$B161,Производство!P$104:P$145)*$F161+$G161,0)</f>
        <v>1934.885597020058</v>
      </c>
      <c r="T161" s="46">
        <f t="array" ref="T161">IF(SUMIF(Производство!$A$104:$A$145,Технологи!$B161,Производство!Q$104:Q$145)&gt;0,SUMIF(Производство!$A$104:$A$145,Технологи!$B161,Производство!Q$104:Q$145)*$F161+$G161,0)</f>
        <v>1934.885597020058</v>
      </c>
    </row>
    <row r="162" spans="1:20" x14ac:dyDescent="0.25">
      <c r="A162" s="34" t="s">
        <v>377</v>
      </c>
      <c r="B162" s="13" t="s">
        <v>35</v>
      </c>
      <c r="C162" s="19" t="s">
        <v>12</v>
      </c>
      <c r="D162" s="14">
        <v>7038</v>
      </c>
      <c r="E162" s="20"/>
      <c r="F162" s="24">
        <v>1.8611146554998206</v>
      </c>
      <c r="G162" s="24">
        <v>71.668106159763113</v>
      </c>
      <c r="H162" s="23">
        <f t="shared" si="7"/>
        <v>1861.1146554998206</v>
      </c>
      <c r="I162" s="46">
        <f t="array" ref="I162">IF(SUMIF(Производство!$A$104:$A$145,Технологи!$B162,Производство!F$104:F$145)&gt;0,SUMIF(Производство!$A$104:$A$145,Технологи!$B162,Производство!F$104:F$145)*$F162+$G162,0)</f>
        <v>0</v>
      </c>
      <c r="J162" s="46">
        <f t="array" ref="J162">IF(SUMIF(Производство!$A$104:$A$145,Технологи!$B162,Производство!G$104:G$145)&gt;0,SUMIF(Производство!$A$104:$A$145,Технологи!$B162,Производство!G$104:G$145)*$F162+$G162,0)</f>
        <v>0</v>
      </c>
      <c r="K162" s="46">
        <f t="array" ref="K162">IF(SUMIF(Производство!$A$104:$A$145,Технологи!$B162,Производство!H$104:H$145)&gt;0,SUMIF(Производство!$A$104:$A$145,Технологи!$B162,Производство!H$104:H$145)*$F162+$G162,0)</f>
        <v>568.45229474243342</v>
      </c>
      <c r="L162" s="46">
        <f t="array" ref="L162">IF(SUMIF(Производство!$A$104:$A$145,Технологи!$B162,Производство!I$104:I$145)&gt;0,SUMIF(Производство!$A$104:$A$145,Технологи!$B162,Производство!I$104:I$145)*$F162+$G162,0)</f>
        <v>568.45229474243342</v>
      </c>
      <c r="M162" s="46">
        <f t="array" ref="M162">IF(SUMIF(Производство!$A$104:$A$145,Технологи!$B162,Производство!J$104:J$145)&gt;0,SUMIF(Производство!$A$104:$A$145,Технологи!$B162,Производство!J$104:J$145)*$F162+$G162,0)</f>
        <v>455.73655447577721</v>
      </c>
      <c r="N162" s="46">
        <f t="array" ref="N162">IF(SUMIF(Производство!$A$104:$A$145,Технологи!$B162,Производство!K$104:K$145)&gt;0,SUMIF(Производство!$A$104:$A$145,Технологи!$B162,Производство!K$104:K$145)*$F162+$G162,0)</f>
        <v>455.73655447577721</v>
      </c>
      <c r="O162" s="46">
        <f t="array" ref="O162">IF(SUMIF(Производство!$A$104:$A$145,Технологи!$B162,Производство!L$104:L$145)&gt;0,SUMIF(Производство!$A$104:$A$145,Технологи!$B162,Производство!L$104:L$145)*$F162+$G162,0)</f>
        <v>455.73655447577721</v>
      </c>
      <c r="P162" s="46">
        <f t="array" ref="P162">IF(SUMIF(Производство!$A$104:$A$145,Технологи!$B162,Производство!M$104:M$145)&gt;0,SUMIF(Производство!$A$104:$A$145,Технологи!$B162,Производство!M$104:M$145)*$F162+$G162,0)</f>
        <v>455.73655447577721</v>
      </c>
      <c r="Q162" s="46">
        <f t="array" ref="Q162">IF(SUMIF(Производство!$A$104:$A$145,Технологи!$B162,Производство!N$104:N$145)&gt;0,SUMIF(Производство!$A$104:$A$145,Технологи!$B162,Производство!N$104:N$145)*$F162+$G162,0)</f>
        <v>455.73655447577721</v>
      </c>
      <c r="R162" s="46">
        <f t="array" ref="R162">IF(SUMIF(Производство!$A$104:$A$145,Технологи!$B162,Производство!O$104:O$145)&gt;0,SUMIF(Производство!$A$104:$A$145,Технологи!$B162,Производство!O$104:O$145)*$F162+$G162,0)</f>
        <v>455.73655447577721</v>
      </c>
      <c r="S162" s="46">
        <f t="array" ref="S162">IF(SUMIF(Производство!$A$104:$A$145,Технологи!$B162,Производство!P$104:P$145)&gt;0,SUMIF(Производство!$A$104:$A$145,Технологи!$B162,Производство!P$104:P$145)*$F162+$G162,0)</f>
        <v>455.73655447577721</v>
      </c>
      <c r="T162" s="46">
        <f t="array" ref="T162">IF(SUMIF(Производство!$A$104:$A$145,Технологи!$B162,Производство!Q$104:Q$145)&gt;0,SUMIF(Производство!$A$104:$A$145,Технологи!$B162,Производство!Q$104:Q$145)*$F162+$G162,0)</f>
        <v>455.73655447577721</v>
      </c>
    </row>
    <row r="163" spans="1:20" x14ac:dyDescent="0.25">
      <c r="A163" s="34" t="s">
        <v>377</v>
      </c>
      <c r="B163" s="13" t="s">
        <v>35</v>
      </c>
      <c r="C163" s="19" t="s">
        <v>13</v>
      </c>
      <c r="D163" s="14">
        <v>7038</v>
      </c>
      <c r="E163" s="20"/>
      <c r="F163" s="24">
        <v>0.6559362220530276</v>
      </c>
      <c r="G163" s="24">
        <v>23.448757259967635</v>
      </c>
      <c r="H163" s="23">
        <f t="shared" si="7"/>
        <v>655.93622205302756</v>
      </c>
      <c r="I163" s="46">
        <f t="array" ref="I163">IF(SUMIF(Производство!$A$104:$A$145,Технологи!$B163,Производство!F$104:F$145)&gt;0,SUMIF(Производство!$A$104:$A$145,Технологи!$B163,Производство!F$104:F$145)*$F163+$G163,0)</f>
        <v>0</v>
      </c>
      <c r="J163" s="46">
        <f t="array" ref="J163">IF(SUMIF(Производство!$A$104:$A$145,Технологи!$B163,Производство!G$104:G$145)&gt;0,SUMIF(Производство!$A$104:$A$145,Технологи!$B163,Производство!G$104:G$145)*$F163+$G163,0)</f>
        <v>0</v>
      </c>
      <c r="K163" s="46">
        <f t="array" ref="K163">IF(SUMIF(Производство!$A$104:$A$145,Технологи!$B163,Производство!H$104:H$145)&gt;0,SUMIF(Производство!$A$104:$A$145,Технологи!$B163,Производство!H$104:H$145)*$F163+$G163,0)</f>
        <v>198.53670408347114</v>
      </c>
      <c r="L163" s="46">
        <f t="array" ref="L163">IF(SUMIF(Производство!$A$104:$A$145,Технологи!$B163,Производство!I$104:I$145)&gt;0,SUMIF(Производство!$A$104:$A$145,Технологи!$B163,Производство!I$104:I$145)*$F163+$G163,0)</f>
        <v>198.53670408347114</v>
      </c>
      <c r="M163" s="46">
        <f t="array" ref="M163">IF(SUMIF(Производство!$A$104:$A$145,Технологи!$B163,Производство!J$104:J$145)&gt;0,SUMIF(Производство!$A$104:$A$145,Технологи!$B163,Производство!J$104:J$145)*$F163+$G163,0)</f>
        <v>158.81086740923087</v>
      </c>
      <c r="N163" s="46">
        <f t="array" ref="N163">IF(SUMIF(Производство!$A$104:$A$145,Технологи!$B163,Производство!K$104:K$145)&gt;0,SUMIF(Производство!$A$104:$A$145,Технологи!$B163,Производство!K$104:K$145)*$F163+$G163,0)</f>
        <v>158.81086740923087</v>
      </c>
      <c r="O163" s="46">
        <f t="array" ref="O163">IF(SUMIF(Производство!$A$104:$A$145,Технологи!$B163,Производство!L$104:L$145)&gt;0,SUMIF(Производство!$A$104:$A$145,Технологи!$B163,Производство!L$104:L$145)*$F163+$G163,0)</f>
        <v>158.81086740923087</v>
      </c>
      <c r="P163" s="46">
        <f t="array" ref="P163">IF(SUMIF(Производство!$A$104:$A$145,Технологи!$B163,Производство!M$104:M$145)&gt;0,SUMIF(Производство!$A$104:$A$145,Технологи!$B163,Производство!M$104:M$145)*$F163+$G163,0)</f>
        <v>158.81086740923087</v>
      </c>
      <c r="Q163" s="46">
        <f t="array" ref="Q163">IF(SUMIF(Производство!$A$104:$A$145,Технологи!$B163,Производство!N$104:N$145)&gt;0,SUMIF(Производство!$A$104:$A$145,Технологи!$B163,Производство!N$104:N$145)*$F163+$G163,0)</f>
        <v>158.81086740923087</v>
      </c>
      <c r="R163" s="46">
        <f t="array" ref="R163">IF(SUMIF(Производство!$A$104:$A$145,Технологи!$B163,Производство!O$104:O$145)&gt;0,SUMIF(Производство!$A$104:$A$145,Технологи!$B163,Производство!O$104:O$145)*$F163+$G163,0)</f>
        <v>158.81086740923087</v>
      </c>
      <c r="S163" s="46">
        <f t="array" ref="S163">IF(SUMIF(Производство!$A$104:$A$145,Технологи!$B163,Производство!P$104:P$145)&gt;0,SUMIF(Производство!$A$104:$A$145,Технологи!$B163,Производство!P$104:P$145)*$F163+$G163,0)</f>
        <v>158.81086740923087</v>
      </c>
      <c r="T163" s="46">
        <f t="array" ref="T163">IF(SUMIF(Производство!$A$104:$A$145,Технологи!$B163,Производство!Q$104:Q$145)&gt;0,SUMIF(Производство!$A$104:$A$145,Технологи!$B163,Производство!Q$104:Q$145)*$F163+$G163,0)</f>
        <v>158.81086740923087</v>
      </c>
    </row>
    <row r="164" spans="1:20" x14ac:dyDescent="0.25">
      <c r="A164" s="34" t="s">
        <v>377</v>
      </c>
      <c r="B164" s="13" t="s">
        <v>35</v>
      </c>
      <c r="C164" s="19" t="s">
        <v>14</v>
      </c>
      <c r="D164" s="14">
        <v>7038</v>
      </c>
      <c r="E164" s="20"/>
      <c r="F164" s="24">
        <v>5.6223104747402369E-3</v>
      </c>
      <c r="G164" s="24">
        <v>0.21500431847928939</v>
      </c>
      <c r="H164" s="23">
        <f t="shared" si="7"/>
        <v>5.622310474740237</v>
      </c>
      <c r="I164" s="46">
        <f t="array" ref="I164">IF(SUMIF(Производство!$A$104:$A$145,Технологи!$B164,Производство!F$104:F$145)&gt;0,SUMIF(Производство!$A$104:$A$145,Технологи!$B164,Производство!F$104:F$145)*$F164+$G164,0)</f>
        <v>0</v>
      </c>
      <c r="J164" s="46">
        <f t="array" ref="J164">IF(SUMIF(Производство!$A$104:$A$145,Технологи!$B164,Производство!G$104:G$145)&gt;0,SUMIF(Производство!$A$104:$A$145,Технологи!$B164,Производство!G$104:G$145)*$F164+$G164,0)</f>
        <v>0</v>
      </c>
      <c r="K164" s="46">
        <f t="array" ref="K164">IF(SUMIF(Производство!$A$104:$A$145,Технологи!$B164,Производство!H$104:H$145)&gt;0,SUMIF(Производство!$A$104:$A$145,Технологи!$B164,Производство!H$104:H$145)*$F164+$G164,0)</f>
        <v>1.7157581483950337</v>
      </c>
      <c r="L164" s="46">
        <f t="array" ref="L164">IF(SUMIF(Производство!$A$104:$A$145,Технологи!$B164,Производство!I$104:I$145)&gt;0,SUMIF(Производство!$A$104:$A$145,Технологи!$B164,Производство!I$104:I$145)*$F164+$G164,0)</f>
        <v>1.7157581483950337</v>
      </c>
      <c r="M164" s="46">
        <f t="array" ref="M164">IF(SUMIF(Производство!$A$104:$A$145,Технологи!$B164,Производство!J$104:J$145)&gt;0,SUMIF(Производство!$A$104:$A$145,Технологи!$B164,Производство!J$104:J$145)*$F164+$G164,0)</f>
        <v>1.3752509769015455</v>
      </c>
      <c r="N164" s="46">
        <f t="array" ref="N164">IF(SUMIF(Производство!$A$104:$A$145,Технологи!$B164,Производство!K$104:K$145)&gt;0,SUMIF(Производство!$A$104:$A$145,Технологи!$B164,Производство!K$104:K$145)*$F164+$G164,0)</f>
        <v>1.3752509769015455</v>
      </c>
      <c r="O164" s="46">
        <f t="array" ref="O164">IF(SUMIF(Производство!$A$104:$A$145,Технологи!$B164,Производство!L$104:L$145)&gt;0,SUMIF(Производство!$A$104:$A$145,Технологи!$B164,Производство!L$104:L$145)*$F164+$G164,0)</f>
        <v>1.3752509769015455</v>
      </c>
      <c r="P164" s="46">
        <f t="array" ref="P164">IF(SUMIF(Производство!$A$104:$A$145,Технологи!$B164,Производство!M$104:M$145)&gt;0,SUMIF(Производство!$A$104:$A$145,Технологи!$B164,Производство!M$104:M$145)*$F164+$G164,0)</f>
        <v>1.3752509769015455</v>
      </c>
      <c r="Q164" s="46">
        <f t="array" ref="Q164">IF(SUMIF(Производство!$A$104:$A$145,Технологи!$B164,Производство!N$104:N$145)&gt;0,SUMIF(Производство!$A$104:$A$145,Технологи!$B164,Производство!N$104:N$145)*$F164+$G164,0)</f>
        <v>1.3752509769015455</v>
      </c>
      <c r="R164" s="46">
        <f t="array" ref="R164">IF(SUMIF(Производство!$A$104:$A$145,Технологи!$B164,Производство!O$104:O$145)&gt;0,SUMIF(Производство!$A$104:$A$145,Технологи!$B164,Производство!O$104:O$145)*$F164+$G164,0)</f>
        <v>1.3752509769015455</v>
      </c>
      <c r="S164" s="46">
        <f t="array" ref="S164">IF(SUMIF(Производство!$A$104:$A$145,Технологи!$B164,Производство!P$104:P$145)&gt;0,SUMIF(Производство!$A$104:$A$145,Технологи!$B164,Производство!P$104:P$145)*$F164+$G164,0)</f>
        <v>1.3752509769015455</v>
      </c>
      <c r="T164" s="46">
        <f t="array" ref="T164">IF(SUMIF(Производство!$A$104:$A$145,Технологи!$B164,Производство!Q$104:Q$145)&gt;0,SUMIF(Производство!$A$104:$A$145,Технологи!$B164,Производство!Q$104:Q$145)*$F164+$G164,0)</f>
        <v>1.3752509769015455</v>
      </c>
    </row>
    <row r="165" spans="1:20" x14ac:dyDescent="0.25">
      <c r="A165" s="34" t="s">
        <v>377</v>
      </c>
      <c r="B165" s="13" t="s">
        <v>35</v>
      </c>
      <c r="C165" s="19" t="s">
        <v>15</v>
      </c>
      <c r="D165" s="14">
        <v>7038</v>
      </c>
      <c r="E165" s="20"/>
      <c r="F165" s="24">
        <v>2.8111552373701184E-3</v>
      </c>
      <c r="G165" s="24">
        <v>0.10750215923964469</v>
      </c>
      <c r="H165" s="23">
        <f t="shared" si="7"/>
        <v>2.8111552373701185</v>
      </c>
      <c r="I165" s="46">
        <f t="array" ref="I165">IF(SUMIF(Производство!$A$104:$A$145,Технологи!$B165,Производство!F$104:F$145)&gt;0,SUMIF(Производство!$A$104:$A$145,Технологи!$B165,Производство!F$104:F$145)*$F165+$G165,0)</f>
        <v>0</v>
      </c>
      <c r="J165" s="46">
        <f t="array" ref="J165">IF(SUMIF(Производство!$A$104:$A$145,Технологи!$B165,Производство!G$104:G$145)&gt;0,SUMIF(Производство!$A$104:$A$145,Технологи!$B165,Производство!G$104:G$145)*$F165+$G165,0)</f>
        <v>0</v>
      </c>
      <c r="K165" s="46">
        <f t="array" ref="K165">IF(SUMIF(Производство!$A$104:$A$145,Технологи!$B165,Производство!H$104:H$145)&gt;0,SUMIF(Производство!$A$104:$A$145,Технологи!$B165,Производство!H$104:H$145)*$F165+$G165,0)</f>
        <v>0.85787907419751686</v>
      </c>
      <c r="L165" s="46">
        <f t="array" ref="L165">IF(SUMIF(Производство!$A$104:$A$145,Технологи!$B165,Производство!I$104:I$145)&gt;0,SUMIF(Производство!$A$104:$A$145,Технологи!$B165,Производство!I$104:I$145)*$F165+$G165,0)</f>
        <v>0.85787907419751686</v>
      </c>
      <c r="M165" s="46">
        <f t="array" ref="M165">IF(SUMIF(Производство!$A$104:$A$145,Технологи!$B165,Производство!J$104:J$145)&gt;0,SUMIF(Производство!$A$104:$A$145,Технологи!$B165,Производство!J$104:J$145)*$F165+$G165,0)</f>
        <v>0.68762548845077276</v>
      </c>
      <c r="N165" s="46">
        <f t="array" ref="N165">IF(SUMIF(Производство!$A$104:$A$145,Технологи!$B165,Производство!K$104:K$145)&gt;0,SUMIF(Производство!$A$104:$A$145,Технологи!$B165,Производство!K$104:K$145)*$F165+$G165,0)</f>
        <v>0.68762548845077276</v>
      </c>
      <c r="O165" s="46">
        <f t="array" ref="O165">IF(SUMIF(Производство!$A$104:$A$145,Технологи!$B165,Производство!L$104:L$145)&gt;0,SUMIF(Производство!$A$104:$A$145,Технологи!$B165,Производство!L$104:L$145)*$F165+$G165,0)</f>
        <v>0.68762548845077276</v>
      </c>
      <c r="P165" s="46">
        <f t="array" ref="P165">IF(SUMIF(Производство!$A$104:$A$145,Технологи!$B165,Производство!M$104:M$145)&gt;0,SUMIF(Производство!$A$104:$A$145,Технологи!$B165,Производство!M$104:M$145)*$F165+$G165,0)</f>
        <v>0.68762548845077276</v>
      </c>
      <c r="Q165" s="46">
        <f t="array" ref="Q165">IF(SUMIF(Производство!$A$104:$A$145,Технологи!$B165,Производство!N$104:N$145)&gt;0,SUMIF(Производство!$A$104:$A$145,Технологи!$B165,Производство!N$104:N$145)*$F165+$G165,0)</f>
        <v>0.68762548845077276</v>
      </c>
      <c r="R165" s="46">
        <f t="array" ref="R165">IF(SUMIF(Производство!$A$104:$A$145,Технологи!$B165,Производство!O$104:O$145)&gt;0,SUMIF(Производство!$A$104:$A$145,Технологи!$B165,Производство!O$104:O$145)*$F165+$G165,0)</f>
        <v>0.68762548845077276</v>
      </c>
      <c r="S165" s="46">
        <f t="array" ref="S165">IF(SUMIF(Производство!$A$104:$A$145,Технологи!$B165,Производство!P$104:P$145)&gt;0,SUMIF(Производство!$A$104:$A$145,Технологи!$B165,Производство!P$104:P$145)*$F165+$G165,0)</f>
        <v>0.68762548845077276</v>
      </c>
      <c r="T165" s="46">
        <f t="array" ref="T165">IF(SUMIF(Производство!$A$104:$A$145,Технологи!$B165,Производство!Q$104:Q$145)&gt;0,SUMIF(Производство!$A$104:$A$145,Технологи!$B165,Производство!Q$104:Q$145)*$F165+$G165,0)</f>
        <v>0.68762548845077276</v>
      </c>
    </row>
    <row r="166" spans="1:20" x14ac:dyDescent="0.25">
      <c r="A166" s="34" t="s">
        <v>377</v>
      </c>
      <c r="B166" s="13" t="s">
        <v>35</v>
      </c>
      <c r="C166" s="19" t="s">
        <v>16</v>
      </c>
      <c r="D166" s="14">
        <v>7038</v>
      </c>
      <c r="E166" s="20"/>
      <c r="F166" s="24">
        <v>3.7296515030455037E-2</v>
      </c>
      <c r="G166" s="24">
        <v>1.4333621231952627</v>
      </c>
      <c r="H166" s="23">
        <f t="shared" si="7"/>
        <v>37.296515030455033</v>
      </c>
      <c r="I166" s="46">
        <f t="array" ref="I166">IF(SUMIF(Производство!$A$104:$A$145,Технологи!$B166,Производство!F$104:F$145)&gt;0,SUMIF(Производство!$A$104:$A$145,Технологи!$B166,Производство!F$104:F$145)*$F166+$G166,0)</f>
        <v>0</v>
      </c>
      <c r="J166" s="46">
        <f t="array" ref="J166">IF(SUMIF(Производство!$A$104:$A$145,Технологи!$B166,Производство!G$104:G$145)&gt;0,SUMIF(Производство!$A$104:$A$145,Технологи!$B166,Производство!G$104:G$145)*$F166+$G166,0)</f>
        <v>0</v>
      </c>
      <c r="K166" s="46">
        <f t="array" ref="K166">IF(SUMIF(Производство!$A$104:$A$145,Технологи!$B166,Производство!H$104:H$145)&gt;0,SUMIF(Производство!$A$104:$A$145,Технологи!$B166,Производство!H$104:H$145)*$F166+$G166,0)</f>
        <v>11.388857826596734</v>
      </c>
      <c r="L166" s="46">
        <f t="array" ref="L166">IF(SUMIF(Производство!$A$104:$A$145,Технологи!$B166,Производство!I$104:I$145)&gt;0,SUMIF(Производство!$A$104:$A$145,Технологи!$B166,Производство!I$104:I$145)*$F166+$G166,0)</f>
        <v>11.388857826596734</v>
      </c>
      <c r="M166" s="46">
        <f t="array" ref="M166">IF(SUMIF(Производство!$A$104:$A$145,Технологи!$B166,Производство!J$104:J$145)&gt;0,SUMIF(Производство!$A$104:$A$145,Технологи!$B166,Производство!J$104:J$145)*$F166+$G166,0)</f>
        <v>9.1300478770854774</v>
      </c>
      <c r="N166" s="46">
        <f t="array" ref="N166">IF(SUMIF(Производство!$A$104:$A$145,Технологи!$B166,Производство!K$104:K$145)&gt;0,SUMIF(Производство!$A$104:$A$145,Технологи!$B166,Производство!K$104:K$145)*$F166+$G166,0)</f>
        <v>9.1300478770854774</v>
      </c>
      <c r="O166" s="46">
        <f t="array" ref="O166">IF(SUMIF(Производство!$A$104:$A$145,Технологи!$B166,Производство!L$104:L$145)&gt;0,SUMIF(Производство!$A$104:$A$145,Технологи!$B166,Производство!L$104:L$145)*$F166+$G166,0)</f>
        <v>9.1300478770854774</v>
      </c>
      <c r="P166" s="46">
        <f t="array" ref="P166">IF(SUMIF(Производство!$A$104:$A$145,Технологи!$B166,Производство!M$104:M$145)&gt;0,SUMIF(Производство!$A$104:$A$145,Технологи!$B166,Производство!M$104:M$145)*$F166+$G166,0)</f>
        <v>9.1300478770854774</v>
      </c>
      <c r="Q166" s="46">
        <f t="array" ref="Q166">IF(SUMIF(Производство!$A$104:$A$145,Технологи!$B166,Производство!N$104:N$145)&gt;0,SUMIF(Производство!$A$104:$A$145,Технологи!$B166,Производство!N$104:N$145)*$F166+$G166,0)</f>
        <v>9.1300478770854774</v>
      </c>
      <c r="R166" s="46">
        <f t="array" ref="R166">IF(SUMIF(Производство!$A$104:$A$145,Технологи!$B166,Производство!O$104:O$145)&gt;0,SUMIF(Производство!$A$104:$A$145,Технологи!$B166,Производство!O$104:O$145)*$F166+$G166,0)</f>
        <v>9.1300478770854774</v>
      </c>
      <c r="S166" s="46">
        <f t="array" ref="S166">IF(SUMIF(Производство!$A$104:$A$145,Технологи!$B166,Производство!P$104:P$145)&gt;0,SUMIF(Производство!$A$104:$A$145,Технологи!$B166,Производство!P$104:P$145)*$F166+$G166,0)</f>
        <v>9.1300478770854774</v>
      </c>
      <c r="T166" s="46">
        <f t="array" ref="T166">IF(SUMIF(Производство!$A$104:$A$145,Технологи!$B166,Производство!Q$104:Q$145)&gt;0,SUMIF(Производство!$A$104:$A$145,Технологи!$B166,Производство!Q$104:Q$145)*$F166+$G166,0)</f>
        <v>9.1300478770854774</v>
      </c>
    </row>
    <row r="167" spans="1:20" x14ac:dyDescent="0.25">
      <c r="A167" s="34" t="s">
        <v>377</v>
      </c>
      <c r="B167" s="13" t="s">
        <v>35</v>
      </c>
      <c r="C167" s="19" t="s">
        <v>17</v>
      </c>
      <c r="D167" s="14">
        <v>7038</v>
      </c>
      <c r="E167" s="20"/>
      <c r="F167" s="24">
        <v>2.0717193548011464E-2</v>
      </c>
      <c r="G167" s="24">
        <v>0.7883491677573945</v>
      </c>
      <c r="H167" s="23">
        <f t="shared" si="7"/>
        <v>20.717193548011466</v>
      </c>
      <c r="I167" s="46">
        <f t="array" ref="I167">IF(SUMIF(Производство!$A$104:$A$145,Технологи!$B167,Производство!F$104:F$145)&gt;0,SUMIF(Производство!$A$104:$A$145,Технологи!$B167,Производство!F$104:F$145)*$F167+$G167,0)</f>
        <v>0</v>
      </c>
      <c r="J167" s="46">
        <f t="array" ref="J167">IF(SUMIF(Производство!$A$104:$A$145,Технологи!$B167,Производство!G$104:G$145)&gt;0,SUMIF(Производство!$A$104:$A$145,Технологи!$B167,Производство!G$104:G$145)*$F167+$G167,0)</f>
        <v>0</v>
      </c>
      <c r="K167" s="46">
        <f t="array" ref="K167">IF(SUMIF(Производство!$A$104:$A$145,Технологи!$B167,Производство!H$104:H$145)&gt;0,SUMIF(Производство!$A$104:$A$145,Технологи!$B167,Производство!H$104:H$145)*$F167+$G167,0)</f>
        <v>6.3183546169353759</v>
      </c>
      <c r="L167" s="46">
        <f t="array" ref="L167">IF(SUMIF(Производство!$A$104:$A$145,Технологи!$B167,Производство!I$104:I$145)&gt;0,SUMIF(Производство!$A$104:$A$145,Технологи!$B167,Производство!I$104:I$145)*$F167+$G167,0)</f>
        <v>6.3183546169353759</v>
      </c>
      <c r="M167" s="46">
        <f t="array" ref="M167">IF(SUMIF(Производство!$A$104:$A$145,Технологи!$B167,Производство!J$104:J$145)&gt;0,SUMIF(Производство!$A$104:$A$145,Технологи!$B167,Производство!J$104:J$145)*$F167+$G167,0)</f>
        <v>5.0636474982143218</v>
      </c>
      <c r="N167" s="46">
        <f t="array" ref="N167">IF(SUMIF(Производство!$A$104:$A$145,Технологи!$B167,Производство!K$104:K$145)&gt;0,SUMIF(Производство!$A$104:$A$145,Технологи!$B167,Производство!K$104:K$145)*$F167+$G167,0)</f>
        <v>5.0636474982143218</v>
      </c>
      <c r="O167" s="46">
        <f t="array" ref="O167">IF(SUMIF(Производство!$A$104:$A$145,Технологи!$B167,Производство!L$104:L$145)&gt;0,SUMIF(Производство!$A$104:$A$145,Технологи!$B167,Производство!L$104:L$145)*$F167+$G167,0)</f>
        <v>5.0636474982143218</v>
      </c>
      <c r="P167" s="46">
        <f t="array" ref="P167">IF(SUMIF(Производство!$A$104:$A$145,Технологи!$B167,Производство!M$104:M$145)&gt;0,SUMIF(Производство!$A$104:$A$145,Технологи!$B167,Производство!M$104:M$145)*$F167+$G167,0)</f>
        <v>5.0636474982143218</v>
      </c>
      <c r="Q167" s="46">
        <f t="array" ref="Q167">IF(SUMIF(Производство!$A$104:$A$145,Технологи!$B167,Производство!N$104:N$145)&gt;0,SUMIF(Производство!$A$104:$A$145,Технологи!$B167,Производство!N$104:N$145)*$F167+$G167,0)</f>
        <v>5.0636474982143218</v>
      </c>
      <c r="R167" s="46">
        <f t="array" ref="R167">IF(SUMIF(Производство!$A$104:$A$145,Технологи!$B167,Производство!O$104:O$145)&gt;0,SUMIF(Производство!$A$104:$A$145,Технологи!$B167,Производство!O$104:O$145)*$F167+$G167,0)</f>
        <v>5.0636474982143218</v>
      </c>
      <c r="S167" s="46">
        <f t="array" ref="S167">IF(SUMIF(Производство!$A$104:$A$145,Технологи!$B167,Производство!P$104:P$145)&gt;0,SUMIF(Производство!$A$104:$A$145,Технологи!$B167,Производство!P$104:P$145)*$F167+$G167,0)</f>
        <v>5.0636474982143218</v>
      </c>
      <c r="T167" s="46">
        <f t="array" ref="T167">IF(SUMIF(Производство!$A$104:$A$145,Технологи!$B167,Производство!Q$104:Q$145)&gt;0,SUMIF(Производство!$A$104:$A$145,Технологи!$B167,Производство!Q$104:Q$145)*$F167+$G167,0)</f>
        <v>5.0636474982143218</v>
      </c>
    </row>
    <row r="168" spans="1:20" x14ac:dyDescent="0.25">
      <c r="A168" s="34" t="s">
        <v>377</v>
      </c>
      <c r="B168" s="13" t="s">
        <v>35</v>
      </c>
      <c r="C168" s="19" t="s">
        <v>18</v>
      </c>
      <c r="D168" s="14">
        <v>7038</v>
      </c>
      <c r="E168" s="20"/>
      <c r="F168" s="24">
        <v>1.8611146554998209E-2</v>
      </c>
      <c r="G168" s="24">
        <v>0.71668106159763134</v>
      </c>
      <c r="H168" s="23">
        <f t="shared" si="7"/>
        <v>18.611146554998211</v>
      </c>
      <c r="I168" s="46">
        <f t="array" ref="I168">IF(SUMIF(Производство!$A$104:$A$145,Технологи!$B168,Производство!F$104:F$145)&gt;0,SUMIF(Производство!$A$104:$A$145,Технологи!$B168,Производство!F$104:F$145)*$F168+$G168,0)</f>
        <v>0</v>
      </c>
      <c r="J168" s="46">
        <f t="array" ref="J168">IF(SUMIF(Производство!$A$104:$A$145,Технологи!$B168,Производство!G$104:G$145)&gt;0,SUMIF(Производство!$A$104:$A$145,Технологи!$B168,Производство!G$104:G$145)*$F168+$G168,0)</f>
        <v>0</v>
      </c>
      <c r="K168" s="46">
        <f t="array" ref="K168">IF(SUMIF(Производство!$A$104:$A$145,Технологи!$B168,Производство!H$104:H$145)&gt;0,SUMIF(Производство!$A$104:$A$145,Технологи!$B168,Производство!H$104:H$145)*$F168+$G168,0)</f>
        <v>5.6845229474243357</v>
      </c>
      <c r="L168" s="46">
        <f t="array" ref="L168">IF(SUMIF(Производство!$A$104:$A$145,Технологи!$B168,Производство!I$104:I$145)&gt;0,SUMIF(Производство!$A$104:$A$145,Технологи!$B168,Производство!I$104:I$145)*$F168+$G168,0)</f>
        <v>5.6845229474243357</v>
      </c>
      <c r="M168" s="46">
        <f t="array" ref="M168">IF(SUMIF(Производство!$A$104:$A$145,Технологи!$B168,Производство!J$104:J$145)&gt;0,SUMIF(Производство!$A$104:$A$145,Технологи!$B168,Производство!J$104:J$145)*$F168+$G168,0)</f>
        <v>4.557365544757773</v>
      </c>
      <c r="N168" s="46">
        <f t="array" ref="N168">IF(SUMIF(Производство!$A$104:$A$145,Технологи!$B168,Производство!K$104:K$145)&gt;0,SUMIF(Производство!$A$104:$A$145,Технологи!$B168,Производство!K$104:K$145)*$F168+$G168,0)</f>
        <v>4.557365544757773</v>
      </c>
      <c r="O168" s="46">
        <f t="array" ref="O168">IF(SUMIF(Производство!$A$104:$A$145,Технологи!$B168,Производство!L$104:L$145)&gt;0,SUMIF(Производство!$A$104:$A$145,Технологи!$B168,Производство!L$104:L$145)*$F168+$G168,0)</f>
        <v>4.557365544757773</v>
      </c>
      <c r="P168" s="46">
        <f t="array" ref="P168">IF(SUMIF(Производство!$A$104:$A$145,Технологи!$B168,Производство!M$104:M$145)&gt;0,SUMIF(Производство!$A$104:$A$145,Технологи!$B168,Производство!M$104:M$145)*$F168+$G168,0)</f>
        <v>4.557365544757773</v>
      </c>
      <c r="Q168" s="46">
        <f t="array" ref="Q168">IF(SUMIF(Производство!$A$104:$A$145,Технологи!$B168,Производство!N$104:N$145)&gt;0,SUMIF(Производство!$A$104:$A$145,Технологи!$B168,Производство!N$104:N$145)*$F168+$G168,0)</f>
        <v>4.557365544757773</v>
      </c>
      <c r="R168" s="46">
        <f t="array" ref="R168">IF(SUMIF(Производство!$A$104:$A$145,Технологи!$B168,Производство!O$104:O$145)&gt;0,SUMIF(Производство!$A$104:$A$145,Технологи!$B168,Производство!O$104:O$145)*$F168+$G168,0)</f>
        <v>4.557365544757773</v>
      </c>
      <c r="S168" s="46">
        <f t="array" ref="S168">IF(SUMIF(Производство!$A$104:$A$145,Технологи!$B168,Производство!P$104:P$145)&gt;0,SUMIF(Производство!$A$104:$A$145,Технологи!$B168,Производство!P$104:P$145)*$F168+$G168,0)</f>
        <v>4.557365544757773</v>
      </c>
      <c r="T168" s="46">
        <f t="array" ref="T168">IF(SUMIF(Производство!$A$104:$A$145,Технологи!$B168,Производство!Q$104:Q$145)&gt;0,SUMIF(Производство!$A$104:$A$145,Технологи!$B168,Производство!Q$104:Q$145)*$F168+$G168,0)</f>
        <v>4.557365544757773</v>
      </c>
    </row>
    <row r="169" spans="1:20" x14ac:dyDescent="0.25">
      <c r="A169" s="34" t="s">
        <v>377</v>
      </c>
      <c r="B169" s="13" t="s">
        <v>35</v>
      </c>
      <c r="C169" s="19" t="s">
        <v>19</v>
      </c>
      <c r="D169" s="14">
        <v>7038</v>
      </c>
      <c r="E169" s="20"/>
      <c r="F169" s="24">
        <v>4.1229177500000009</v>
      </c>
      <c r="G169" s="24">
        <v>292.72716025</v>
      </c>
      <c r="H169" s="23">
        <f t="shared" si="7"/>
        <v>4122.9177500000005</v>
      </c>
      <c r="I169" s="46">
        <f t="array" ref="I169">IF(SUMIF(Производство!$A$104:$A$145,Технологи!$B169,Производство!F$104:F$145)&gt;0,SUMIF(Производство!$A$104:$A$145,Технологи!$B169,Производство!F$104:F$145)*$F169+$G169,0)</f>
        <v>0</v>
      </c>
      <c r="J169" s="46">
        <f t="array" ref="J169">IF(SUMIF(Производство!$A$104:$A$145,Технологи!$B169,Производство!G$104:G$145)&gt;0,SUMIF(Производство!$A$104:$A$145,Технологи!$B169,Производство!G$104:G$145)*$F169+$G169,0)</f>
        <v>0</v>
      </c>
      <c r="K169" s="46">
        <f t="array" ref="K169">IF(SUMIF(Производство!$A$104:$A$145,Технологи!$B169,Производство!H$104:H$145)&gt;0,SUMIF(Производство!$A$104:$A$145,Технологи!$B169,Производство!H$104:H$145)*$F169+$G169,0)</f>
        <v>1393.2506250317952</v>
      </c>
      <c r="L169" s="46">
        <f t="array" ref="L169">IF(SUMIF(Производство!$A$104:$A$145,Технологи!$B169,Производство!I$104:I$145)&gt;0,SUMIF(Производство!$A$104:$A$145,Технологи!$B169,Производство!I$104:I$145)*$F169+$G169,0)</f>
        <v>1393.2506250317952</v>
      </c>
      <c r="M169" s="46">
        <f t="array" ref="M169">IF(SUMIF(Производство!$A$104:$A$145,Технологи!$B169,Производство!J$104:J$145)&gt;0,SUMIF(Производство!$A$104:$A$145,Технологи!$B169,Производство!J$104:J$145)*$F169+$G169,0)</f>
        <v>1143.5520237787828</v>
      </c>
      <c r="N169" s="46">
        <f t="array" ref="N169">IF(SUMIF(Производство!$A$104:$A$145,Технологи!$B169,Производство!K$104:K$145)&gt;0,SUMIF(Производство!$A$104:$A$145,Технологи!$B169,Производство!K$104:K$145)*$F169+$G169,0)</f>
        <v>1143.5520237787828</v>
      </c>
      <c r="O169" s="46">
        <f t="array" ref="O169">IF(SUMIF(Производство!$A$104:$A$145,Технологи!$B169,Производство!L$104:L$145)&gt;0,SUMIF(Производство!$A$104:$A$145,Технологи!$B169,Производство!L$104:L$145)*$F169+$G169,0)</f>
        <v>1143.5520237787828</v>
      </c>
      <c r="P169" s="46">
        <f t="array" ref="P169">IF(SUMIF(Производство!$A$104:$A$145,Технологи!$B169,Производство!M$104:M$145)&gt;0,SUMIF(Производство!$A$104:$A$145,Технологи!$B169,Производство!M$104:M$145)*$F169+$G169,0)</f>
        <v>1143.5520237787828</v>
      </c>
      <c r="Q169" s="46">
        <f t="array" ref="Q169">IF(SUMIF(Производство!$A$104:$A$145,Технологи!$B169,Производство!N$104:N$145)&gt;0,SUMIF(Производство!$A$104:$A$145,Технологи!$B169,Производство!N$104:N$145)*$F169+$G169,0)</f>
        <v>1143.5520237787828</v>
      </c>
      <c r="R169" s="46">
        <f t="array" ref="R169">IF(SUMIF(Производство!$A$104:$A$145,Технологи!$B169,Производство!O$104:O$145)&gt;0,SUMIF(Производство!$A$104:$A$145,Технологи!$B169,Производство!O$104:O$145)*$F169+$G169,0)</f>
        <v>1143.5520237787828</v>
      </c>
      <c r="S169" s="46">
        <f t="array" ref="S169">IF(SUMIF(Производство!$A$104:$A$145,Технологи!$B169,Производство!P$104:P$145)&gt;0,SUMIF(Производство!$A$104:$A$145,Технологи!$B169,Производство!P$104:P$145)*$F169+$G169,0)</f>
        <v>1143.5520237787828</v>
      </c>
      <c r="T169" s="46">
        <f t="array" ref="T169">IF(SUMIF(Производство!$A$104:$A$145,Технологи!$B169,Производство!Q$104:Q$145)&gt;0,SUMIF(Производство!$A$104:$A$145,Технологи!$B169,Производство!Q$104:Q$145)*$F169+$G169,0)</f>
        <v>1143.5520237787828</v>
      </c>
    </row>
    <row r="170" spans="1:20" x14ac:dyDescent="0.25">
      <c r="A170" s="34" t="s">
        <v>377</v>
      </c>
      <c r="B170" s="13" t="s">
        <v>35</v>
      </c>
      <c r="C170" s="19" t="s">
        <v>20</v>
      </c>
      <c r="D170" s="14">
        <v>7038</v>
      </c>
      <c r="E170" s="20"/>
      <c r="F170" s="24">
        <v>0</v>
      </c>
      <c r="G170" s="24">
        <v>0</v>
      </c>
      <c r="H170" s="23">
        <f t="shared" si="7"/>
        <v>0</v>
      </c>
      <c r="I170" s="46">
        <f t="array" ref="I170">IF(SUMIF(Производство!$A$104:$A$145,Технологи!$B170,Производство!F$104:F$145)&gt;0,SUMIF(Производство!$A$104:$A$145,Технологи!$B170,Производство!F$104:F$145)*$F170+$G170,0)</f>
        <v>0</v>
      </c>
      <c r="J170" s="46">
        <f t="array" ref="J170">IF(SUMIF(Производство!$A$104:$A$145,Технологи!$B170,Производство!G$104:G$145)&gt;0,SUMIF(Производство!$A$104:$A$145,Технологи!$B170,Производство!G$104:G$145)*$F170+$G170,0)</f>
        <v>0</v>
      </c>
      <c r="K170" s="46">
        <f t="array" ref="K170">IF(SUMIF(Производство!$A$104:$A$145,Технологи!$B170,Производство!H$104:H$145)&gt;0,SUMIF(Производство!$A$104:$A$145,Технологи!$B170,Производство!H$104:H$145)*$F170+$G170,0)</f>
        <v>0</v>
      </c>
      <c r="L170" s="46">
        <f t="array" ref="L170">IF(SUMIF(Производство!$A$104:$A$145,Технологи!$B170,Производство!I$104:I$145)&gt;0,SUMIF(Производство!$A$104:$A$145,Технологи!$B170,Производство!I$104:I$145)*$F170+$G170,0)</f>
        <v>0</v>
      </c>
      <c r="M170" s="46">
        <f t="array" ref="M170">IF(SUMIF(Производство!$A$104:$A$145,Технологи!$B170,Производство!J$104:J$145)&gt;0,SUMIF(Производство!$A$104:$A$145,Технологи!$B170,Производство!J$104:J$145)*$F170+$G170,0)</f>
        <v>0</v>
      </c>
      <c r="N170" s="46">
        <f t="array" ref="N170">IF(SUMIF(Производство!$A$104:$A$145,Технологи!$B170,Производство!K$104:K$145)&gt;0,SUMIF(Производство!$A$104:$A$145,Технологи!$B170,Производство!K$104:K$145)*$F170+$G170,0)</f>
        <v>0</v>
      </c>
      <c r="O170" s="46">
        <f t="array" ref="O170">IF(SUMIF(Производство!$A$104:$A$145,Технологи!$B170,Производство!L$104:L$145)&gt;0,SUMIF(Производство!$A$104:$A$145,Технологи!$B170,Производство!L$104:L$145)*$F170+$G170,0)</f>
        <v>0</v>
      </c>
      <c r="P170" s="46">
        <f t="array" ref="P170">IF(SUMIF(Производство!$A$104:$A$145,Технологи!$B170,Производство!M$104:M$145)&gt;0,SUMIF(Производство!$A$104:$A$145,Технологи!$B170,Производство!M$104:M$145)*$F170+$G170,0)</f>
        <v>0</v>
      </c>
      <c r="Q170" s="46">
        <f t="array" ref="Q170">IF(SUMIF(Производство!$A$104:$A$145,Технологи!$B170,Производство!N$104:N$145)&gt;0,SUMIF(Производство!$A$104:$A$145,Технологи!$B170,Производство!N$104:N$145)*$F170+$G170,0)</f>
        <v>0</v>
      </c>
      <c r="R170" s="46">
        <f t="array" ref="R170">IF(SUMIF(Производство!$A$104:$A$145,Технологи!$B170,Производство!O$104:O$145)&gt;0,SUMIF(Производство!$A$104:$A$145,Технологи!$B170,Производство!O$104:O$145)*$F170+$G170,0)</f>
        <v>0</v>
      </c>
      <c r="S170" s="46">
        <f t="array" ref="S170">IF(SUMIF(Производство!$A$104:$A$145,Технологи!$B170,Производство!P$104:P$145)&gt;0,SUMIF(Производство!$A$104:$A$145,Технологи!$B170,Производство!P$104:P$145)*$F170+$G170,0)</f>
        <v>0</v>
      </c>
      <c r="T170" s="46">
        <f t="array" ref="T170">IF(SUMIF(Производство!$A$104:$A$145,Технологи!$B170,Производство!Q$104:Q$145)&gt;0,SUMIF(Производство!$A$104:$A$145,Технологи!$B170,Производство!Q$104:Q$145)*$F170+$G170,0)</f>
        <v>0</v>
      </c>
    </row>
    <row r="171" spans="1:20" x14ac:dyDescent="0.25">
      <c r="A171" s="34" t="s">
        <v>377</v>
      </c>
      <c r="B171" s="13" t="s">
        <v>35</v>
      </c>
      <c r="C171" s="19" t="s">
        <v>21</v>
      </c>
      <c r="D171" s="14">
        <v>7038</v>
      </c>
      <c r="E171" s="20"/>
      <c r="F171" s="24">
        <v>0.308</v>
      </c>
      <c r="G171" s="24">
        <v>6.468</v>
      </c>
      <c r="H171" s="23">
        <f t="shared" si="7"/>
        <v>308</v>
      </c>
      <c r="I171" s="46">
        <f t="array" ref="I171">IF(SUMIF(Производство!$A$104:$A$145,Технологи!$B171,Производство!F$104:F$145)&gt;0,SUMIF(Производство!$A$104:$A$145,Технологи!$B171,Производство!F$104:F$145)*$F171+$G171,0)</f>
        <v>0</v>
      </c>
      <c r="J171" s="46">
        <f t="array" ref="J171">IF(SUMIF(Производство!$A$104:$A$145,Технологи!$B171,Производство!G$104:G$145)&gt;0,SUMIF(Производство!$A$104:$A$145,Технологи!$B171,Производство!G$104:G$145)*$F171+$G171,0)</f>
        <v>0</v>
      </c>
      <c r="K171" s="46">
        <f t="array" ref="K171">IF(SUMIF(Производство!$A$104:$A$145,Технологи!$B171,Производство!H$104:H$145)&gt;0,SUMIF(Производство!$A$104:$A$145,Технологи!$B171,Производство!H$104:H$145)*$F171+$G171,0)</f>
        <v>88.681919293634422</v>
      </c>
      <c r="L171" s="46">
        <f t="array" ref="L171">IF(SUMIF(Производство!$A$104:$A$145,Технологи!$B171,Производство!I$104:I$145)&gt;0,SUMIF(Производство!$A$104:$A$145,Технологи!$B171,Производство!I$104:I$145)*$F171+$G171,0)</f>
        <v>88.681919293634422</v>
      </c>
      <c r="M171" s="46">
        <f t="array" ref="M171">IF(SUMIF(Производство!$A$104:$A$145,Технологи!$B171,Производство!J$104:J$145)&gt;0,SUMIF(Производство!$A$104:$A$145,Технологи!$B171,Производство!J$104:J$145)*$F171+$G171,0)</f>
        <v>70.028340966507287</v>
      </c>
      <c r="N171" s="46">
        <f t="array" ref="N171">IF(SUMIF(Производство!$A$104:$A$145,Технологи!$B171,Производство!K$104:K$145)&gt;0,SUMIF(Производство!$A$104:$A$145,Технологи!$B171,Производство!K$104:K$145)*$F171+$G171,0)</f>
        <v>70.028340966507287</v>
      </c>
      <c r="O171" s="46">
        <f t="array" ref="O171">IF(SUMIF(Производство!$A$104:$A$145,Технологи!$B171,Производство!L$104:L$145)&gt;0,SUMIF(Производство!$A$104:$A$145,Технологи!$B171,Производство!L$104:L$145)*$F171+$G171,0)</f>
        <v>70.028340966507287</v>
      </c>
      <c r="P171" s="46">
        <f t="array" ref="P171">IF(SUMIF(Производство!$A$104:$A$145,Технологи!$B171,Производство!M$104:M$145)&gt;0,SUMIF(Производство!$A$104:$A$145,Технологи!$B171,Производство!M$104:M$145)*$F171+$G171,0)</f>
        <v>70.028340966507287</v>
      </c>
      <c r="Q171" s="46">
        <f t="array" ref="Q171">IF(SUMIF(Производство!$A$104:$A$145,Технологи!$B171,Производство!N$104:N$145)&gt;0,SUMIF(Производство!$A$104:$A$145,Технологи!$B171,Производство!N$104:N$145)*$F171+$G171,0)</f>
        <v>70.028340966507287</v>
      </c>
      <c r="R171" s="46">
        <f t="array" ref="R171">IF(SUMIF(Производство!$A$104:$A$145,Технологи!$B171,Производство!O$104:O$145)&gt;0,SUMIF(Производство!$A$104:$A$145,Технологи!$B171,Производство!O$104:O$145)*$F171+$G171,0)</f>
        <v>70.028340966507287</v>
      </c>
      <c r="S171" s="46">
        <f t="array" ref="S171">IF(SUMIF(Производство!$A$104:$A$145,Технологи!$B171,Производство!P$104:P$145)&gt;0,SUMIF(Производство!$A$104:$A$145,Технологи!$B171,Производство!P$104:P$145)*$F171+$G171,0)</f>
        <v>70.028340966507287</v>
      </c>
      <c r="T171" s="46">
        <f t="array" ref="T171">IF(SUMIF(Производство!$A$104:$A$145,Технологи!$B171,Производство!Q$104:Q$145)&gt;0,SUMIF(Производство!$A$104:$A$145,Технологи!$B171,Производство!Q$104:Q$145)*$F171+$G171,0)</f>
        <v>70.028340966507287</v>
      </c>
    </row>
    <row r="172" spans="1:20" x14ac:dyDescent="0.25">
      <c r="A172" s="34" t="s">
        <v>377</v>
      </c>
      <c r="B172" s="13" t="s">
        <v>35</v>
      </c>
      <c r="C172" s="19" t="s">
        <v>22</v>
      </c>
      <c r="D172" s="14">
        <v>7038</v>
      </c>
      <c r="E172" s="20"/>
      <c r="F172" s="24">
        <v>0</v>
      </c>
      <c r="G172" s="24">
        <v>0</v>
      </c>
      <c r="H172" s="23">
        <f t="shared" si="7"/>
        <v>0</v>
      </c>
      <c r="I172" s="46">
        <f t="array" ref="I172">IF(SUMIF(Производство!$A$104:$A$145,Технологи!$B172,Производство!F$104:F$145)&gt;0,SUMIF(Производство!$A$104:$A$145,Технологи!$B172,Производство!F$104:F$145)*$F172+$G172,0)</f>
        <v>0</v>
      </c>
      <c r="J172" s="46">
        <f t="array" ref="J172">IF(SUMIF(Производство!$A$104:$A$145,Технологи!$B172,Производство!G$104:G$145)&gt;0,SUMIF(Производство!$A$104:$A$145,Технологи!$B172,Производство!G$104:G$145)*$F172+$G172,0)</f>
        <v>0</v>
      </c>
      <c r="K172" s="46">
        <f t="array" ref="K172">IF(SUMIF(Производство!$A$104:$A$145,Технологи!$B172,Производство!H$104:H$145)&gt;0,SUMIF(Производство!$A$104:$A$145,Технологи!$B172,Производство!H$104:H$145)*$F172+$G172,0)</f>
        <v>0</v>
      </c>
      <c r="L172" s="46">
        <f t="array" ref="L172">IF(SUMIF(Производство!$A$104:$A$145,Технологи!$B172,Производство!I$104:I$145)&gt;0,SUMIF(Производство!$A$104:$A$145,Технологи!$B172,Производство!I$104:I$145)*$F172+$G172,0)</f>
        <v>0</v>
      </c>
      <c r="M172" s="46">
        <f t="array" ref="M172">IF(SUMIF(Производство!$A$104:$A$145,Технологи!$B172,Производство!J$104:J$145)&gt;0,SUMIF(Производство!$A$104:$A$145,Технологи!$B172,Производство!J$104:J$145)*$F172+$G172,0)</f>
        <v>0</v>
      </c>
      <c r="N172" s="46">
        <f t="array" ref="N172">IF(SUMIF(Производство!$A$104:$A$145,Технологи!$B172,Производство!K$104:K$145)&gt;0,SUMIF(Производство!$A$104:$A$145,Технологи!$B172,Производство!K$104:K$145)*$F172+$G172,0)</f>
        <v>0</v>
      </c>
      <c r="O172" s="46">
        <f t="array" ref="O172">IF(SUMIF(Производство!$A$104:$A$145,Технологи!$B172,Производство!L$104:L$145)&gt;0,SUMIF(Производство!$A$104:$A$145,Технологи!$B172,Производство!L$104:L$145)*$F172+$G172,0)</f>
        <v>0</v>
      </c>
      <c r="P172" s="46">
        <f t="array" ref="P172">IF(SUMIF(Производство!$A$104:$A$145,Технологи!$B172,Производство!M$104:M$145)&gt;0,SUMIF(Производство!$A$104:$A$145,Технологи!$B172,Производство!M$104:M$145)*$F172+$G172,0)</f>
        <v>0</v>
      </c>
      <c r="Q172" s="46">
        <f t="array" ref="Q172">IF(SUMIF(Производство!$A$104:$A$145,Технологи!$B172,Производство!N$104:N$145)&gt;0,SUMIF(Производство!$A$104:$A$145,Технологи!$B172,Производство!N$104:N$145)*$F172+$G172,0)</f>
        <v>0</v>
      </c>
      <c r="R172" s="46">
        <f t="array" ref="R172">IF(SUMIF(Производство!$A$104:$A$145,Технологи!$B172,Производство!O$104:O$145)&gt;0,SUMIF(Производство!$A$104:$A$145,Технологи!$B172,Производство!O$104:O$145)*$F172+$G172,0)</f>
        <v>0</v>
      </c>
      <c r="S172" s="46">
        <f t="array" ref="S172">IF(SUMIF(Производство!$A$104:$A$145,Технологи!$B172,Производство!P$104:P$145)&gt;0,SUMIF(Производство!$A$104:$A$145,Технологи!$B172,Производство!P$104:P$145)*$F172+$G172,0)</f>
        <v>0</v>
      </c>
      <c r="T172" s="46">
        <f t="array" ref="T172">IF(SUMIF(Производство!$A$104:$A$145,Технологи!$B172,Производство!Q$104:Q$145)&gt;0,SUMIF(Производство!$A$104:$A$145,Технологи!$B172,Производство!Q$104:Q$145)*$F172+$G172,0)</f>
        <v>0</v>
      </c>
    </row>
    <row r="173" spans="1:20" x14ac:dyDescent="0.25">
      <c r="A173" s="34" t="s">
        <v>377</v>
      </c>
      <c r="B173" s="13" t="s">
        <v>35</v>
      </c>
      <c r="C173" s="19" t="s">
        <v>23</v>
      </c>
      <c r="D173" s="14">
        <v>7038</v>
      </c>
      <c r="E173" s="20"/>
      <c r="F173" s="24">
        <v>0.378</v>
      </c>
      <c r="G173" s="24">
        <v>7.9379999999999997</v>
      </c>
      <c r="H173" s="23">
        <f t="shared" si="7"/>
        <v>378</v>
      </c>
      <c r="I173" s="46">
        <f t="array" ref="I173">IF(SUMIF(Производство!$A$104:$A$145,Технологи!$B173,Производство!F$104:F$145)&gt;0,SUMIF(Производство!$A$104:$A$145,Технологи!$B173,Производство!F$104:F$145)*$F173+$G173,0)</f>
        <v>0</v>
      </c>
      <c r="J173" s="46">
        <f t="array" ref="J173">IF(SUMIF(Производство!$A$104:$A$145,Технологи!$B173,Производство!G$104:G$145)&gt;0,SUMIF(Производство!$A$104:$A$145,Технологи!$B173,Производство!G$104:G$145)*$F173+$G173,0)</f>
        <v>0</v>
      </c>
      <c r="K173" s="46">
        <f t="array" ref="K173">IF(SUMIF(Производство!$A$104:$A$145,Технологи!$B173,Производство!H$104:H$145)&gt;0,SUMIF(Производство!$A$104:$A$145,Технологи!$B173,Производство!H$104:H$145)*$F173+$G173,0)</f>
        <v>108.83690095127861</v>
      </c>
      <c r="L173" s="46">
        <f t="array" ref="L173">IF(SUMIF(Производство!$A$104:$A$145,Технологи!$B173,Производство!I$104:I$145)&gt;0,SUMIF(Производство!$A$104:$A$145,Технологи!$B173,Производство!I$104:I$145)*$F173+$G173,0)</f>
        <v>108.83690095127861</v>
      </c>
      <c r="M173" s="46">
        <f t="array" ref="M173">IF(SUMIF(Производство!$A$104:$A$145,Технологи!$B173,Производство!J$104:J$145)&gt;0,SUMIF(Производство!$A$104:$A$145,Технологи!$B173,Производство!J$104:J$145)*$F173+$G173,0)</f>
        <v>85.943873004349854</v>
      </c>
      <c r="N173" s="46">
        <f t="array" ref="N173">IF(SUMIF(Производство!$A$104:$A$145,Технологи!$B173,Производство!K$104:K$145)&gt;0,SUMIF(Производство!$A$104:$A$145,Технологи!$B173,Производство!K$104:K$145)*$F173+$G173,0)</f>
        <v>85.943873004349854</v>
      </c>
      <c r="O173" s="46">
        <f t="array" ref="O173">IF(SUMIF(Производство!$A$104:$A$145,Технологи!$B173,Производство!L$104:L$145)&gt;0,SUMIF(Производство!$A$104:$A$145,Технологи!$B173,Производство!L$104:L$145)*$F173+$G173,0)</f>
        <v>85.943873004349854</v>
      </c>
      <c r="P173" s="46">
        <f t="array" ref="P173">IF(SUMIF(Производство!$A$104:$A$145,Технологи!$B173,Производство!M$104:M$145)&gt;0,SUMIF(Производство!$A$104:$A$145,Технологи!$B173,Производство!M$104:M$145)*$F173+$G173,0)</f>
        <v>85.943873004349854</v>
      </c>
      <c r="Q173" s="46">
        <f t="array" ref="Q173">IF(SUMIF(Производство!$A$104:$A$145,Технологи!$B173,Производство!N$104:N$145)&gt;0,SUMIF(Производство!$A$104:$A$145,Технологи!$B173,Производство!N$104:N$145)*$F173+$G173,0)</f>
        <v>85.943873004349854</v>
      </c>
      <c r="R173" s="46">
        <f t="array" ref="R173">IF(SUMIF(Производство!$A$104:$A$145,Технологи!$B173,Производство!O$104:O$145)&gt;0,SUMIF(Производство!$A$104:$A$145,Технологи!$B173,Производство!O$104:O$145)*$F173+$G173,0)</f>
        <v>85.943873004349854</v>
      </c>
      <c r="S173" s="46">
        <f t="array" ref="S173">IF(SUMIF(Производство!$A$104:$A$145,Технологи!$B173,Производство!P$104:P$145)&gt;0,SUMIF(Производство!$A$104:$A$145,Технологи!$B173,Производство!P$104:P$145)*$F173+$G173,0)</f>
        <v>85.943873004349854</v>
      </c>
      <c r="T173" s="46">
        <f t="array" ref="T173">IF(SUMIF(Производство!$A$104:$A$145,Технологи!$B173,Производство!Q$104:Q$145)&gt;0,SUMIF(Производство!$A$104:$A$145,Технологи!$B173,Производство!Q$104:Q$145)*$F173+$G173,0)</f>
        <v>85.943873004349854</v>
      </c>
    </row>
    <row r="174" spans="1:20" x14ac:dyDescent="0.25">
      <c r="A174" s="34" t="s">
        <v>377</v>
      </c>
      <c r="B174" s="13" t="s">
        <v>55</v>
      </c>
      <c r="C174" s="15" t="s">
        <v>11</v>
      </c>
      <c r="D174" s="14">
        <v>7038</v>
      </c>
      <c r="E174" s="16">
        <v>0.73</v>
      </c>
      <c r="F174" s="22">
        <f>SUM(F175:F186)</f>
        <v>0.73097146298782967</v>
      </c>
      <c r="G174" s="22">
        <f>SUM(G175:G186)</f>
        <v>40.323186</v>
      </c>
      <c r="H174" s="23">
        <f t="shared" ref="H174:H190" si="8">F174*1000</f>
        <v>730.97146298782968</v>
      </c>
      <c r="I174" s="46">
        <f t="array" ref="I174">IF(SUMIF(Производство!$A$104:$A$145,Технологи!$B174,Производство!F$104:F$145)&gt;0,SUMIF(Производство!$A$104:$A$145,Технологи!$B174,Производство!F$104:F$145)*$F174+$G174,0)</f>
        <v>611.08172559323691</v>
      </c>
      <c r="J174" s="46">
        <f t="array" ref="J174">IF(SUMIF(Производство!$A$104:$A$145,Технологи!$B174,Производство!G$104:G$145)&gt;0,SUMIF(Производство!$A$104:$A$145,Технологи!$B174,Производство!G$104:G$145)*$F174+$G174,0)</f>
        <v>0</v>
      </c>
      <c r="K174" s="46">
        <f t="array" ref="K174">IF(SUMIF(Производство!$A$104:$A$145,Технологи!$B174,Производство!H$104:H$145)&gt;0,SUMIF(Производство!$A$104:$A$145,Технологи!$B174,Производство!H$104:H$145)*$F174+$G174,0)</f>
        <v>406.55111892099706</v>
      </c>
      <c r="L174" s="46">
        <f t="array" ref="L174">IF(SUMIF(Производство!$A$104:$A$145,Технологи!$B174,Производство!I$104:I$145)&gt;0,SUMIF(Производство!$A$104:$A$145,Технологи!$B174,Производство!I$104:I$145)*$F174+$G174,0)</f>
        <v>406.55111892099706</v>
      </c>
      <c r="M174" s="46">
        <f t="array" ref="M174">IF(SUMIF(Производство!$A$104:$A$145,Технологи!$B174,Производство!J$104:J$145)&gt;0,SUMIF(Производство!$A$104:$A$145,Технологи!$B174,Производство!J$104:J$145)*$F174+$G174,0)</f>
        <v>323.45738624144309</v>
      </c>
      <c r="N174" s="46">
        <f t="array" ref="N174">IF(SUMIF(Производство!$A$104:$A$145,Технологи!$B174,Производство!K$104:K$145)&gt;0,SUMIF(Производство!$A$104:$A$145,Технологи!$B174,Производство!K$104:K$145)*$F174+$G174,0)</f>
        <v>323.45738624144309</v>
      </c>
      <c r="O174" s="46">
        <f t="array" ref="O174">IF(SUMIF(Производство!$A$104:$A$145,Технологи!$B174,Производство!L$104:L$145)&gt;0,SUMIF(Производство!$A$104:$A$145,Технологи!$B174,Производство!L$104:L$145)*$F174+$G174,0)</f>
        <v>323.45738624144309</v>
      </c>
      <c r="P174" s="46">
        <f t="array" ref="P174">IF(SUMIF(Производство!$A$104:$A$145,Технологи!$B174,Производство!M$104:M$145)&gt;0,SUMIF(Производство!$A$104:$A$145,Технологи!$B174,Производство!M$104:M$145)*$F174+$G174,0)</f>
        <v>323.45738624144309</v>
      </c>
      <c r="Q174" s="46">
        <f t="array" ref="Q174">IF(SUMIF(Производство!$A$104:$A$145,Технологи!$B174,Производство!N$104:N$145)&gt;0,SUMIF(Производство!$A$104:$A$145,Технологи!$B174,Производство!N$104:N$145)*$F174+$G174,0)</f>
        <v>323.45738624144309</v>
      </c>
      <c r="R174" s="46">
        <f t="array" ref="R174">IF(SUMIF(Производство!$A$104:$A$145,Технологи!$B174,Производство!O$104:O$145)&gt;0,SUMIF(Производство!$A$104:$A$145,Технологи!$B174,Производство!O$104:O$145)*$F174+$G174,0)</f>
        <v>323.45738624144309</v>
      </c>
      <c r="S174" s="46">
        <f t="array" ref="S174">IF(SUMIF(Производство!$A$104:$A$145,Технологи!$B174,Производство!P$104:P$145)&gt;0,SUMIF(Производство!$A$104:$A$145,Технологи!$B174,Производство!P$104:P$145)*$F174+$G174,0)</f>
        <v>323.45738624144309</v>
      </c>
      <c r="T174" s="46">
        <f t="array" ref="T174">IF(SUMIF(Производство!$A$104:$A$145,Технологи!$B174,Производство!Q$104:Q$145)&gt;0,SUMIF(Производство!$A$104:$A$145,Технологи!$B174,Производство!Q$104:Q$145)*$F174+$G174,0)</f>
        <v>323.45738624144309</v>
      </c>
    </row>
    <row r="175" spans="1:20" x14ac:dyDescent="0.25">
      <c r="A175" s="34" t="s">
        <v>377</v>
      </c>
      <c r="B175" s="13" t="s">
        <v>55</v>
      </c>
      <c r="C175" s="19" t="s">
        <v>12</v>
      </c>
      <c r="D175" s="14">
        <v>7038</v>
      </c>
      <c r="E175" s="20"/>
      <c r="F175" s="24">
        <v>0.19068470763656628</v>
      </c>
      <c r="G175" s="24">
        <v>19.196839371980673</v>
      </c>
      <c r="H175" s="23">
        <f t="shared" si="8"/>
        <v>190.68470763656629</v>
      </c>
      <c r="I175" s="46">
        <f t="array" ref="I175">IF(SUMIF(Производство!$A$104:$A$145,Технологи!$B175,Производство!F$104:F$145)&gt;0,SUMIF(Производство!$A$104:$A$145,Технологи!$B175,Производство!F$104:F$145)*$F175+$G175,0)</f>
        <v>168.08763848546394</v>
      </c>
      <c r="J175" s="46">
        <f t="array" ref="J175">IF(SUMIF(Производство!$A$104:$A$145,Технологи!$B175,Производство!G$104:G$145)&gt;0,SUMIF(Производство!$A$104:$A$145,Технологи!$B175,Производство!G$104:G$145)*$F175+$G175,0)</f>
        <v>0</v>
      </c>
      <c r="K175" s="46">
        <f t="array" ref="K175">IF(SUMIF(Производство!$A$104:$A$145,Технологи!$B175,Производство!H$104:H$145)&gt;0,SUMIF(Производство!$A$104:$A$145,Технологи!$B175,Производство!H$104:H$145)*$F175+$G175,0)</f>
        <v>114.73280739997882</v>
      </c>
      <c r="L175" s="46">
        <f t="array" ref="L175">IF(SUMIF(Производство!$A$104:$A$145,Технологи!$B175,Производство!I$104:I$145)&gt;0,SUMIF(Производство!$A$104:$A$145,Технологи!$B175,Производство!I$104:I$145)*$F175+$G175,0)</f>
        <v>114.73280739997882</v>
      </c>
      <c r="M175" s="46">
        <f t="array" ref="M175">IF(SUMIF(Производство!$A$104:$A$145,Технологи!$B175,Производство!J$104:J$145)&gt;0,SUMIF(Производство!$A$104:$A$145,Технологи!$B175,Производство!J$104:J$145)*$F175+$G175,0)</f>
        <v>93.056579360012847</v>
      </c>
      <c r="N175" s="46">
        <f t="array" ref="N175">IF(SUMIF(Производство!$A$104:$A$145,Технологи!$B175,Производство!K$104:K$145)&gt;0,SUMIF(Производство!$A$104:$A$145,Технологи!$B175,Производство!K$104:K$145)*$F175+$G175,0)</f>
        <v>93.056579360012847</v>
      </c>
      <c r="O175" s="46">
        <f t="array" ref="O175">IF(SUMIF(Производство!$A$104:$A$145,Технологи!$B175,Производство!L$104:L$145)&gt;0,SUMIF(Производство!$A$104:$A$145,Технологи!$B175,Производство!L$104:L$145)*$F175+$G175,0)</f>
        <v>93.056579360012847</v>
      </c>
      <c r="P175" s="46">
        <f t="array" ref="P175">IF(SUMIF(Производство!$A$104:$A$145,Технологи!$B175,Производство!M$104:M$145)&gt;0,SUMIF(Производство!$A$104:$A$145,Технологи!$B175,Производство!M$104:M$145)*$F175+$G175,0)</f>
        <v>93.056579360012847</v>
      </c>
      <c r="Q175" s="46">
        <f t="array" ref="Q175">IF(SUMIF(Производство!$A$104:$A$145,Технологи!$B175,Производство!N$104:N$145)&gt;0,SUMIF(Производство!$A$104:$A$145,Технологи!$B175,Производство!N$104:N$145)*$F175+$G175,0)</f>
        <v>93.056579360012847</v>
      </c>
      <c r="R175" s="46">
        <f t="array" ref="R175">IF(SUMIF(Производство!$A$104:$A$145,Технологи!$B175,Производство!O$104:O$145)&gt;0,SUMIF(Производство!$A$104:$A$145,Технологи!$B175,Производство!O$104:O$145)*$F175+$G175,0)</f>
        <v>93.056579360012847</v>
      </c>
      <c r="S175" s="46">
        <f t="array" ref="S175">IF(SUMIF(Производство!$A$104:$A$145,Технологи!$B175,Производство!P$104:P$145)&gt;0,SUMIF(Производство!$A$104:$A$145,Технологи!$B175,Производство!P$104:P$145)*$F175+$G175,0)</f>
        <v>93.056579360012847</v>
      </c>
      <c r="T175" s="46">
        <f t="array" ref="T175">IF(SUMIF(Производство!$A$104:$A$145,Технологи!$B175,Производство!Q$104:Q$145)&gt;0,SUMIF(Производство!$A$104:$A$145,Технологи!$B175,Производство!Q$104:Q$145)*$F175+$G175,0)</f>
        <v>93.056579360012847</v>
      </c>
    </row>
    <row r="176" spans="1:20" x14ac:dyDescent="0.25">
      <c r="A176" s="34" t="s">
        <v>377</v>
      </c>
      <c r="B176" s="13" t="s">
        <v>55</v>
      </c>
      <c r="C176" s="19" t="s">
        <v>13</v>
      </c>
      <c r="D176" s="14">
        <v>7038</v>
      </c>
      <c r="E176" s="20"/>
      <c r="F176" s="24">
        <v>5.7490016332218494E-2</v>
      </c>
      <c r="G176" s="24">
        <v>5.759051811594202</v>
      </c>
      <c r="H176" s="23">
        <f t="shared" si="8"/>
        <v>57.490016332218495</v>
      </c>
      <c r="I176" s="46">
        <f t="array" ref="I176">IF(SUMIF(Производство!$A$104:$A$145,Технологи!$B176,Производство!F$104:F$145)&gt;0,SUMIF(Производство!$A$104:$A$145,Технологи!$B176,Производство!F$104:F$145)*$F176+$G176,0)</f>
        <v>50.648516618942899</v>
      </c>
      <c r="J176" s="46">
        <f t="array" ref="J176">IF(SUMIF(Производство!$A$104:$A$145,Технологи!$B176,Производство!G$104:G$145)&gt;0,SUMIF(Производство!$A$104:$A$145,Технологи!$B176,Производство!G$104:G$145)*$F176+$G176,0)</f>
        <v>0</v>
      </c>
      <c r="K176" s="46">
        <f t="array" ref="K176">IF(SUMIF(Производство!$A$104:$A$145,Технологи!$B176,Производство!H$104:H$145)&gt;0,SUMIF(Производство!$A$104:$A$145,Технологи!$B176,Производство!H$104:H$145)*$F176+$G176,0)</f>
        <v>34.562433217050362</v>
      </c>
      <c r="L176" s="46">
        <f t="array" ref="L176">IF(SUMIF(Производство!$A$104:$A$145,Технологи!$B176,Производство!I$104:I$145)&gt;0,SUMIF(Производство!$A$104:$A$145,Технологи!$B176,Производство!I$104:I$145)*$F176+$G176,0)</f>
        <v>34.562433217050362</v>
      </c>
      <c r="M176" s="46">
        <f t="array" ref="M176">IF(SUMIF(Производство!$A$104:$A$145,Технологи!$B176,Производство!J$104:J$145)&gt;0,SUMIF(Производство!$A$104:$A$145,Технологи!$B176,Производство!J$104:J$145)*$F176+$G176,0)</f>
        <v>28.027212225896442</v>
      </c>
      <c r="N176" s="46">
        <f t="array" ref="N176">IF(SUMIF(Производство!$A$104:$A$145,Технологи!$B176,Производство!K$104:K$145)&gt;0,SUMIF(Производство!$A$104:$A$145,Технологи!$B176,Производство!K$104:K$145)*$F176+$G176,0)</f>
        <v>28.027212225896442</v>
      </c>
      <c r="O176" s="46">
        <f t="array" ref="O176">IF(SUMIF(Производство!$A$104:$A$145,Технологи!$B176,Производство!L$104:L$145)&gt;0,SUMIF(Производство!$A$104:$A$145,Технологи!$B176,Производство!L$104:L$145)*$F176+$G176,0)</f>
        <v>28.027212225896442</v>
      </c>
      <c r="P176" s="46">
        <f t="array" ref="P176">IF(SUMIF(Производство!$A$104:$A$145,Технологи!$B176,Производство!M$104:M$145)&gt;0,SUMIF(Производство!$A$104:$A$145,Технологи!$B176,Производство!M$104:M$145)*$F176+$G176,0)</f>
        <v>28.027212225896442</v>
      </c>
      <c r="Q176" s="46">
        <f t="array" ref="Q176">IF(SUMIF(Производство!$A$104:$A$145,Технологи!$B176,Производство!N$104:N$145)&gt;0,SUMIF(Производство!$A$104:$A$145,Технологи!$B176,Производство!N$104:N$145)*$F176+$G176,0)</f>
        <v>28.027212225896442</v>
      </c>
      <c r="R176" s="46">
        <f t="array" ref="R176">IF(SUMIF(Производство!$A$104:$A$145,Технологи!$B176,Производство!O$104:O$145)&gt;0,SUMIF(Производство!$A$104:$A$145,Технологи!$B176,Производство!O$104:O$145)*$F176+$G176,0)</f>
        <v>28.027212225896442</v>
      </c>
      <c r="S176" s="46">
        <f t="array" ref="S176">IF(SUMIF(Производство!$A$104:$A$145,Технологи!$B176,Производство!P$104:P$145)&gt;0,SUMIF(Производство!$A$104:$A$145,Технологи!$B176,Производство!P$104:P$145)*$F176+$G176,0)</f>
        <v>28.027212225896442</v>
      </c>
      <c r="T176" s="46">
        <f t="array" ref="T176">IF(SUMIF(Производство!$A$104:$A$145,Технологи!$B176,Производство!Q$104:Q$145)&gt;0,SUMIF(Производство!$A$104:$A$145,Технологи!$B176,Производство!Q$104:Q$145)*$F176+$G176,0)</f>
        <v>28.027212225896442</v>
      </c>
    </row>
    <row r="177" spans="1:20" x14ac:dyDescent="0.25">
      <c r="A177" s="34" t="s">
        <v>377</v>
      </c>
      <c r="B177" s="13" t="s">
        <v>55</v>
      </c>
      <c r="C177" s="19" t="s">
        <v>14</v>
      </c>
      <c r="D177" s="14">
        <v>7038</v>
      </c>
      <c r="E177" s="20"/>
      <c r="F177" s="24">
        <v>5.7490016332218481E-4</v>
      </c>
      <c r="G177" s="24">
        <v>5.759051811594202E-2</v>
      </c>
      <c r="H177" s="23">
        <f t="shared" si="8"/>
        <v>0.57490016332218485</v>
      </c>
      <c r="I177" s="46">
        <f t="array" ref="I177">IF(SUMIF(Производство!$A$104:$A$145,Технологи!$B177,Производство!F$104:F$145)&gt;0,SUMIF(Производство!$A$104:$A$145,Технологи!$B177,Производство!F$104:F$145)*$F177+$G177,0)</f>
        <v>0.50648516618942885</v>
      </c>
      <c r="J177" s="46">
        <f t="array" ref="J177">IF(SUMIF(Производство!$A$104:$A$145,Технологи!$B177,Производство!G$104:G$145)&gt;0,SUMIF(Производство!$A$104:$A$145,Технологи!$B177,Производство!G$104:G$145)*$F177+$G177,0)</f>
        <v>0</v>
      </c>
      <c r="K177" s="46">
        <f t="array" ref="K177">IF(SUMIF(Производство!$A$104:$A$145,Технологи!$B177,Производство!H$104:H$145)&gt;0,SUMIF(Производство!$A$104:$A$145,Технологи!$B177,Производство!H$104:H$145)*$F177+$G177,0)</f>
        <v>0.34562433217050353</v>
      </c>
      <c r="L177" s="46">
        <f t="array" ref="L177">IF(SUMIF(Производство!$A$104:$A$145,Технологи!$B177,Производство!I$104:I$145)&gt;0,SUMIF(Производство!$A$104:$A$145,Технологи!$B177,Производство!I$104:I$145)*$F177+$G177,0)</f>
        <v>0.34562433217050353</v>
      </c>
      <c r="M177" s="46">
        <f t="array" ref="M177">IF(SUMIF(Производство!$A$104:$A$145,Технологи!$B177,Производство!J$104:J$145)&gt;0,SUMIF(Производство!$A$104:$A$145,Технологи!$B177,Производство!J$104:J$145)*$F177+$G177,0)</f>
        <v>0.28027212225896436</v>
      </c>
      <c r="N177" s="46">
        <f t="array" ref="N177">IF(SUMIF(Производство!$A$104:$A$145,Технологи!$B177,Производство!K$104:K$145)&gt;0,SUMIF(Производство!$A$104:$A$145,Технологи!$B177,Производство!K$104:K$145)*$F177+$G177,0)</f>
        <v>0.28027212225896436</v>
      </c>
      <c r="O177" s="46">
        <f t="array" ref="O177">IF(SUMIF(Производство!$A$104:$A$145,Технологи!$B177,Производство!L$104:L$145)&gt;0,SUMIF(Производство!$A$104:$A$145,Технологи!$B177,Производство!L$104:L$145)*$F177+$G177,0)</f>
        <v>0.28027212225896436</v>
      </c>
      <c r="P177" s="46">
        <f t="array" ref="P177">IF(SUMIF(Производство!$A$104:$A$145,Технологи!$B177,Производство!M$104:M$145)&gt;0,SUMIF(Производство!$A$104:$A$145,Технологи!$B177,Производство!M$104:M$145)*$F177+$G177,0)</f>
        <v>0.28027212225896436</v>
      </c>
      <c r="Q177" s="46">
        <f t="array" ref="Q177">IF(SUMIF(Производство!$A$104:$A$145,Технологи!$B177,Производство!N$104:N$145)&gt;0,SUMIF(Производство!$A$104:$A$145,Технологи!$B177,Производство!N$104:N$145)*$F177+$G177,0)</f>
        <v>0.28027212225896436</v>
      </c>
      <c r="R177" s="46">
        <f t="array" ref="R177">IF(SUMIF(Производство!$A$104:$A$145,Технологи!$B177,Производство!O$104:O$145)&gt;0,SUMIF(Производство!$A$104:$A$145,Технологи!$B177,Производство!O$104:O$145)*$F177+$G177,0)</f>
        <v>0.28027212225896436</v>
      </c>
      <c r="S177" s="46">
        <f t="array" ref="S177">IF(SUMIF(Производство!$A$104:$A$145,Технологи!$B177,Производство!P$104:P$145)&gt;0,SUMIF(Производство!$A$104:$A$145,Технологи!$B177,Производство!P$104:P$145)*$F177+$G177,0)</f>
        <v>0.28027212225896436</v>
      </c>
      <c r="T177" s="46">
        <f t="array" ref="T177">IF(SUMIF(Производство!$A$104:$A$145,Технологи!$B177,Производство!Q$104:Q$145)&gt;0,SUMIF(Производство!$A$104:$A$145,Технологи!$B177,Производство!Q$104:Q$145)*$F177+$G177,0)</f>
        <v>0.28027212225896436</v>
      </c>
    </row>
    <row r="178" spans="1:20" x14ac:dyDescent="0.25">
      <c r="A178" s="34" t="s">
        <v>377</v>
      </c>
      <c r="B178" s="13" t="s">
        <v>55</v>
      </c>
      <c r="C178" s="19" t="s">
        <v>15</v>
      </c>
      <c r="D178" s="14">
        <v>7038</v>
      </c>
      <c r="E178" s="20"/>
      <c r="F178" s="24">
        <v>2.8745008166109241E-4</v>
      </c>
      <c r="G178" s="24">
        <v>2.879525905797101E-2</v>
      </c>
      <c r="H178" s="23">
        <f t="shared" si="8"/>
        <v>0.28745008166109243</v>
      </c>
      <c r="I178" s="46">
        <f t="array" ref="I178">IF(SUMIF(Производство!$A$104:$A$145,Технологи!$B178,Производство!F$104:F$145)&gt;0,SUMIF(Производство!$A$104:$A$145,Технологи!$B178,Производство!F$104:F$145)*$F178+$G178,0)</f>
        <v>0.25324258309471442</v>
      </c>
      <c r="J178" s="46">
        <f t="array" ref="J178">IF(SUMIF(Производство!$A$104:$A$145,Технологи!$B178,Производство!G$104:G$145)&gt;0,SUMIF(Производство!$A$104:$A$145,Технологи!$B178,Производство!G$104:G$145)*$F178+$G178,0)</f>
        <v>0</v>
      </c>
      <c r="K178" s="46">
        <f t="array" ref="K178">IF(SUMIF(Производство!$A$104:$A$145,Технологи!$B178,Производство!H$104:H$145)&gt;0,SUMIF(Производство!$A$104:$A$145,Технологи!$B178,Производство!H$104:H$145)*$F178+$G178,0)</f>
        <v>0.17281216608525177</v>
      </c>
      <c r="L178" s="46">
        <f t="array" ref="L178">IF(SUMIF(Производство!$A$104:$A$145,Технологи!$B178,Производство!I$104:I$145)&gt;0,SUMIF(Производство!$A$104:$A$145,Технологи!$B178,Производство!I$104:I$145)*$F178+$G178,0)</f>
        <v>0.17281216608525177</v>
      </c>
      <c r="M178" s="46">
        <f t="array" ref="M178">IF(SUMIF(Производство!$A$104:$A$145,Технологи!$B178,Производство!J$104:J$145)&gt;0,SUMIF(Производство!$A$104:$A$145,Технологи!$B178,Производство!J$104:J$145)*$F178+$G178,0)</f>
        <v>0.14013606112948218</v>
      </c>
      <c r="N178" s="46">
        <f t="array" ref="N178">IF(SUMIF(Производство!$A$104:$A$145,Технологи!$B178,Производство!K$104:K$145)&gt;0,SUMIF(Производство!$A$104:$A$145,Технологи!$B178,Производство!K$104:K$145)*$F178+$G178,0)</f>
        <v>0.14013606112948218</v>
      </c>
      <c r="O178" s="46">
        <f t="array" ref="O178">IF(SUMIF(Производство!$A$104:$A$145,Технологи!$B178,Производство!L$104:L$145)&gt;0,SUMIF(Производство!$A$104:$A$145,Технологи!$B178,Производство!L$104:L$145)*$F178+$G178,0)</f>
        <v>0.14013606112948218</v>
      </c>
      <c r="P178" s="46">
        <f t="array" ref="P178">IF(SUMIF(Производство!$A$104:$A$145,Технологи!$B178,Производство!M$104:M$145)&gt;0,SUMIF(Производство!$A$104:$A$145,Технологи!$B178,Производство!M$104:M$145)*$F178+$G178,0)</f>
        <v>0.14013606112948218</v>
      </c>
      <c r="Q178" s="46">
        <f t="array" ref="Q178">IF(SUMIF(Производство!$A$104:$A$145,Технологи!$B178,Производство!N$104:N$145)&gt;0,SUMIF(Производство!$A$104:$A$145,Технологи!$B178,Производство!N$104:N$145)*$F178+$G178,0)</f>
        <v>0.14013606112948218</v>
      </c>
      <c r="R178" s="46">
        <f t="array" ref="R178">IF(SUMIF(Производство!$A$104:$A$145,Технологи!$B178,Производство!O$104:O$145)&gt;0,SUMIF(Производство!$A$104:$A$145,Технологи!$B178,Производство!O$104:O$145)*$F178+$G178,0)</f>
        <v>0.14013606112948218</v>
      </c>
      <c r="S178" s="46">
        <f t="array" ref="S178">IF(SUMIF(Производство!$A$104:$A$145,Технологи!$B178,Производство!P$104:P$145)&gt;0,SUMIF(Производство!$A$104:$A$145,Технологи!$B178,Производство!P$104:P$145)*$F178+$G178,0)</f>
        <v>0.14013606112948218</v>
      </c>
      <c r="T178" s="46">
        <f t="array" ref="T178">IF(SUMIF(Производство!$A$104:$A$145,Технологи!$B178,Производство!Q$104:Q$145)&gt;0,SUMIF(Производство!$A$104:$A$145,Технологи!$B178,Производство!Q$104:Q$145)*$F178+$G178,0)</f>
        <v>0.14013606112948218</v>
      </c>
    </row>
    <row r="179" spans="1:20" x14ac:dyDescent="0.25">
      <c r="A179" s="34" t="s">
        <v>377</v>
      </c>
      <c r="B179" s="13" t="s">
        <v>55</v>
      </c>
      <c r="C179" s="19" t="s">
        <v>16</v>
      </c>
      <c r="D179" s="14">
        <v>7038</v>
      </c>
      <c r="E179" s="20"/>
      <c r="F179" s="24">
        <v>3.8136941527313261E-3</v>
      </c>
      <c r="G179" s="24">
        <v>0.38393678743961351</v>
      </c>
      <c r="H179" s="23">
        <f t="shared" si="8"/>
        <v>3.8136941527313262</v>
      </c>
      <c r="I179" s="46">
        <f t="array" ref="I179">IF(SUMIF(Производство!$A$104:$A$145,Технологи!$B179,Производство!F$104:F$145)&gt;0,SUMIF(Производство!$A$104:$A$145,Технологи!$B179,Производство!F$104:F$145)*$F179+$G179,0)</f>
        <v>3.3617527697092795</v>
      </c>
      <c r="J179" s="46">
        <f t="array" ref="J179">IF(SUMIF(Производство!$A$104:$A$145,Технологи!$B179,Производство!G$104:G$145)&gt;0,SUMIF(Производство!$A$104:$A$145,Технологи!$B179,Производство!G$104:G$145)*$F179+$G179,0)</f>
        <v>0</v>
      </c>
      <c r="K179" s="46">
        <f t="array" ref="K179">IF(SUMIF(Производство!$A$104:$A$145,Технологи!$B179,Производство!H$104:H$145)&gt;0,SUMIF(Производство!$A$104:$A$145,Технологи!$B179,Производство!H$104:H$145)*$F179+$G179,0)</f>
        <v>2.2946561479995768</v>
      </c>
      <c r="L179" s="46">
        <f t="array" ref="L179">IF(SUMIF(Производство!$A$104:$A$145,Технологи!$B179,Производство!I$104:I$145)&gt;0,SUMIF(Производство!$A$104:$A$145,Технологи!$B179,Производство!I$104:I$145)*$F179+$G179,0)</f>
        <v>2.2946561479995768</v>
      </c>
      <c r="M179" s="46">
        <f t="array" ref="M179">IF(SUMIF(Производство!$A$104:$A$145,Технологи!$B179,Производство!J$104:J$145)&gt;0,SUMIF(Производство!$A$104:$A$145,Технологи!$B179,Производство!J$104:J$145)*$F179+$G179,0)</f>
        <v>1.8611315872002574</v>
      </c>
      <c r="N179" s="46">
        <f t="array" ref="N179">IF(SUMIF(Производство!$A$104:$A$145,Технологи!$B179,Производство!K$104:K$145)&gt;0,SUMIF(Производство!$A$104:$A$145,Технологи!$B179,Производство!K$104:K$145)*$F179+$G179,0)</f>
        <v>1.8611315872002574</v>
      </c>
      <c r="O179" s="46">
        <f t="array" ref="O179">IF(SUMIF(Производство!$A$104:$A$145,Технологи!$B179,Производство!L$104:L$145)&gt;0,SUMIF(Производство!$A$104:$A$145,Технологи!$B179,Производство!L$104:L$145)*$F179+$G179,0)</f>
        <v>1.8611315872002574</v>
      </c>
      <c r="P179" s="46">
        <f t="array" ref="P179">IF(SUMIF(Производство!$A$104:$A$145,Технологи!$B179,Производство!M$104:M$145)&gt;0,SUMIF(Производство!$A$104:$A$145,Технологи!$B179,Производство!M$104:M$145)*$F179+$G179,0)</f>
        <v>1.8611315872002574</v>
      </c>
      <c r="Q179" s="46">
        <f t="array" ref="Q179">IF(SUMIF(Производство!$A$104:$A$145,Технологи!$B179,Производство!N$104:N$145)&gt;0,SUMIF(Производство!$A$104:$A$145,Технологи!$B179,Производство!N$104:N$145)*$F179+$G179,0)</f>
        <v>1.8611315872002574</v>
      </c>
      <c r="R179" s="46">
        <f t="array" ref="R179">IF(SUMIF(Производство!$A$104:$A$145,Технологи!$B179,Производство!O$104:O$145)&gt;0,SUMIF(Производство!$A$104:$A$145,Технологи!$B179,Производство!O$104:O$145)*$F179+$G179,0)</f>
        <v>1.8611315872002574</v>
      </c>
      <c r="S179" s="46">
        <f t="array" ref="S179">IF(SUMIF(Производство!$A$104:$A$145,Технологи!$B179,Производство!P$104:P$145)&gt;0,SUMIF(Производство!$A$104:$A$145,Технологи!$B179,Производство!P$104:P$145)*$F179+$G179,0)</f>
        <v>1.8611315872002574</v>
      </c>
      <c r="T179" s="46">
        <f t="array" ref="T179">IF(SUMIF(Производство!$A$104:$A$145,Технологи!$B179,Производство!Q$104:Q$145)&gt;0,SUMIF(Производство!$A$104:$A$145,Технологи!$B179,Производство!Q$104:Q$145)*$F179+$G179,0)</f>
        <v>1.8611315872002574</v>
      </c>
    </row>
    <row r="180" spans="1:20" x14ac:dyDescent="0.25">
      <c r="A180" s="34" t="s">
        <v>377</v>
      </c>
      <c r="B180" s="13" t="s">
        <v>55</v>
      </c>
      <c r="C180" s="19" t="s">
        <v>17</v>
      </c>
      <c r="D180" s="14">
        <v>7038</v>
      </c>
      <c r="E180" s="20"/>
      <c r="F180" s="24">
        <v>2.107967265514678E-3</v>
      </c>
      <c r="G180" s="24">
        <v>0.21116523309178745</v>
      </c>
      <c r="H180" s="23">
        <f t="shared" si="8"/>
        <v>2.1079672655146782</v>
      </c>
      <c r="I180" s="46">
        <f t="array" ref="I180">IF(SUMIF(Производство!$A$104:$A$145,Технологи!$B180,Производство!F$104:F$145)&gt;0,SUMIF(Производство!$A$104:$A$145,Технологи!$B180,Производство!F$104:F$145)*$F180+$G180,0)</f>
        <v>1.8571122760279062</v>
      </c>
      <c r="J180" s="46">
        <f t="array" ref="J180">IF(SUMIF(Производство!$A$104:$A$145,Технологи!$B180,Производство!G$104:G$145)&gt;0,SUMIF(Производство!$A$104:$A$145,Технологи!$B180,Производство!G$104:G$145)*$F180+$G180,0)</f>
        <v>0</v>
      </c>
      <c r="K180" s="46">
        <f t="array" ref="K180">IF(SUMIF(Производство!$A$104:$A$145,Технологи!$B180,Производство!H$104:H$145)&gt;0,SUMIF(Производство!$A$104:$A$145,Технологи!$B180,Производство!H$104:H$145)*$F180+$G180,0)</f>
        <v>1.2672892179585133</v>
      </c>
      <c r="L180" s="46">
        <f t="array" ref="L180">IF(SUMIF(Производство!$A$104:$A$145,Технологи!$B180,Производство!I$104:I$145)&gt;0,SUMIF(Производство!$A$104:$A$145,Технологи!$B180,Производство!I$104:I$145)*$F180+$G180,0)</f>
        <v>1.2672892179585133</v>
      </c>
      <c r="M180" s="46">
        <f t="array" ref="M180">IF(SUMIF(Производство!$A$104:$A$145,Технологи!$B180,Производство!J$104:J$145)&gt;0,SUMIF(Производство!$A$104:$A$145,Технологи!$B180,Производство!J$104:J$145)*$F180+$G180,0)</f>
        <v>1.0276644482828696</v>
      </c>
      <c r="N180" s="46">
        <f t="array" ref="N180">IF(SUMIF(Производство!$A$104:$A$145,Технологи!$B180,Производство!K$104:K$145)&gt;0,SUMIF(Производство!$A$104:$A$145,Технологи!$B180,Производство!K$104:K$145)*$F180+$G180,0)</f>
        <v>1.0276644482828696</v>
      </c>
      <c r="O180" s="46">
        <f t="array" ref="O180">IF(SUMIF(Производство!$A$104:$A$145,Технологи!$B180,Производство!L$104:L$145)&gt;0,SUMIF(Производство!$A$104:$A$145,Технологи!$B180,Производство!L$104:L$145)*$F180+$G180,0)</f>
        <v>1.0276644482828696</v>
      </c>
      <c r="P180" s="46">
        <f t="array" ref="P180">IF(SUMIF(Производство!$A$104:$A$145,Технологи!$B180,Производство!M$104:M$145)&gt;0,SUMIF(Производство!$A$104:$A$145,Технологи!$B180,Производство!M$104:M$145)*$F180+$G180,0)</f>
        <v>1.0276644482828696</v>
      </c>
      <c r="Q180" s="46">
        <f t="array" ref="Q180">IF(SUMIF(Производство!$A$104:$A$145,Технологи!$B180,Производство!N$104:N$145)&gt;0,SUMIF(Производство!$A$104:$A$145,Технологи!$B180,Производство!N$104:N$145)*$F180+$G180,0)</f>
        <v>1.0276644482828696</v>
      </c>
      <c r="R180" s="46">
        <f t="array" ref="R180">IF(SUMIF(Производство!$A$104:$A$145,Технологи!$B180,Производство!O$104:O$145)&gt;0,SUMIF(Производство!$A$104:$A$145,Технологи!$B180,Производство!O$104:O$145)*$F180+$G180,0)</f>
        <v>1.0276644482828696</v>
      </c>
      <c r="S180" s="46">
        <f t="array" ref="S180">IF(SUMIF(Производство!$A$104:$A$145,Технологи!$B180,Производство!P$104:P$145)&gt;0,SUMIF(Производство!$A$104:$A$145,Технологи!$B180,Производство!P$104:P$145)*$F180+$G180,0)</f>
        <v>1.0276644482828696</v>
      </c>
      <c r="T180" s="46">
        <f t="array" ref="T180">IF(SUMIF(Производство!$A$104:$A$145,Технологи!$B180,Производство!Q$104:Q$145)&gt;0,SUMIF(Производство!$A$104:$A$145,Технологи!$B180,Производство!Q$104:Q$145)*$F180+$G180,0)</f>
        <v>1.0276644482828696</v>
      </c>
    </row>
    <row r="181" spans="1:20" x14ac:dyDescent="0.25">
      <c r="A181" s="34" t="s">
        <v>377</v>
      </c>
      <c r="B181" s="13" t="s">
        <v>55</v>
      </c>
      <c r="C181" s="19" t="s">
        <v>18</v>
      </c>
      <c r="D181" s="14">
        <v>7038</v>
      </c>
      <c r="E181" s="20"/>
      <c r="F181" s="24">
        <v>1.9030523558156817E-3</v>
      </c>
      <c r="G181" s="24">
        <v>0.19196839371980676</v>
      </c>
      <c r="H181" s="23">
        <f t="shared" si="8"/>
        <v>1.9030523558156818</v>
      </c>
      <c r="I181" s="46">
        <f t="array" ref="I181">IF(SUMIF(Производство!$A$104:$A$145,Технологи!$B181,Производство!F$104:F$145)&gt;0,SUMIF(Производство!$A$104:$A$145,Технологи!$B181,Производство!F$104:F$145)*$F181+$G181,0)</f>
        <v>1.6779133838772569</v>
      </c>
      <c r="J181" s="46">
        <f t="array" ref="J181">IF(SUMIF(Производство!$A$104:$A$145,Технологи!$B181,Производство!G$104:G$145)&gt;0,SUMIF(Производство!$A$104:$A$145,Технологи!$B181,Производство!G$104:G$145)*$F181+$G181,0)</f>
        <v>0</v>
      </c>
      <c r="K181" s="46">
        <f t="array" ref="K181">IF(SUMIF(Производство!$A$104:$A$145,Технологи!$B181,Производство!H$104:H$145)&gt;0,SUMIF(Производство!$A$104:$A$145,Технологи!$B181,Производство!H$104:H$145)*$F181+$G181,0)</f>
        <v>1.1454268607056988</v>
      </c>
      <c r="L181" s="46">
        <f t="array" ref="L181">IF(SUMIF(Производство!$A$104:$A$145,Технологи!$B181,Производство!I$104:I$145)&gt;0,SUMIF(Производство!$A$104:$A$145,Технологи!$B181,Производство!I$104:I$145)*$F181+$G181,0)</f>
        <v>1.1454268607056988</v>
      </c>
      <c r="M181" s="46">
        <f t="array" ref="M181">IF(SUMIF(Производство!$A$104:$A$145,Технологи!$B181,Производство!J$104:J$145)&gt;0,SUMIF(Производство!$A$104:$A$145,Технологи!$B181,Производство!J$104:J$145)*$F181+$G181,0)</f>
        <v>0.92909594802822759</v>
      </c>
      <c r="N181" s="46">
        <f t="array" ref="N181">IF(SUMIF(Производство!$A$104:$A$145,Технологи!$B181,Производство!K$104:K$145)&gt;0,SUMIF(Производство!$A$104:$A$145,Технологи!$B181,Производство!K$104:K$145)*$F181+$G181,0)</f>
        <v>0.92909594802822759</v>
      </c>
      <c r="O181" s="46">
        <f t="array" ref="O181">IF(SUMIF(Производство!$A$104:$A$145,Технологи!$B181,Производство!L$104:L$145)&gt;0,SUMIF(Производство!$A$104:$A$145,Технологи!$B181,Производство!L$104:L$145)*$F181+$G181,0)</f>
        <v>0.92909594802822759</v>
      </c>
      <c r="P181" s="46">
        <f t="array" ref="P181">IF(SUMIF(Производство!$A$104:$A$145,Технологи!$B181,Производство!M$104:M$145)&gt;0,SUMIF(Производство!$A$104:$A$145,Технологи!$B181,Производство!M$104:M$145)*$F181+$G181,0)</f>
        <v>0.92909594802822759</v>
      </c>
      <c r="Q181" s="46">
        <f t="array" ref="Q181">IF(SUMIF(Производство!$A$104:$A$145,Технологи!$B181,Производство!N$104:N$145)&gt;0,SUMIF(Производство!$A$104:$A$145,Технологи!$B181,Производство!N$104:N$145)*$F181+$G181,0)</f>
        <v>0.92909594802822759</v>
      </c>
      <c r="R181" s="46">
        <f t="array" ref="R181">IF(SUMIF(Производство!$A$104:$A$145,Технологи!$B181,Производство!O$104:O$145)&gt;0,SUMIF(Производство!$A$104:$A$145,Технологи!$B181,Производство!O$104:O$145)*$F181+$G181,0)</f>
        <v>0.92909594802822759</v>
      </c>
      <c r="S181" s="46">
        <f t="array" ref="S181">IF(SUMIF(Производство!$A$104:$A$145,Технологи!$B181,Производство!P$104:P$145)&gt;0,SUMIF(Производство!$A$104:$A$145,Технологи!$B181,Производство!P$104:P$145)*$F181+$G181,0)</f>
        <v>0.92909594802822759</v>
      </c>
      <c r="T181" s="46">
        <f t="array" ref="T181">IF(SUMIF(Производство!$A$104:$A$145,Технологи!$B181,Производство!Q$104:Q$145)&gt;0,SUMIF(Производство!$A$104:$A$145,Технологи!$B181,Производство!Q$104:Q$145)*$F181+$G181,0)</f>
        <v>0.92909594802822759</v>
      </c>
    </row>
    <row r="182" spans="1:20" x14ac:dyDescent="0.25">
      <c r="A182" s="34" t="s">
        <v>377</v>
      </c>
      <c r="B182" s="13" t="s">
        <v>55</v>
      </c>
      <c r="C182" s="19" t="s">
        <v>19</v>
      </c>
      <c r="D182" s="14">
        <v>7038</v>
      </c>
      <c r="E182" s="20"/>
      <c r="F182" s="24">
        <v>0.36910967499999997</v>
      </c>
      <c r="G182" s="24">
        <v>12.918838625000001</v>
      </c>
      <c r="H182" s="23">
        <f t="shared" si="8"/>
        <v>369.10967499999998</v>
      </c>
      <c r="I182" s="46">
        <f t="array" ref="I182">IF(SUMIF(Производство!$A$104:$A$145,Технологи!$B182,Производство!F$104:F$145)&gt;0,SUMIF(Производство!$A$104:$A$145,Технологи!$B182,Производство!F$104:F$145)*$F182+$G182,0)</f>
        <v>301.12776294006846</v>
      </c>
      <c r="J182" s="46">
        <f t="array" ref="J182">IF(SUMIF(Производство!$A$104:$A$145,Технологи!$B182,Производство!G$104:G$145)&gt;0,SUMIF(Производство!$A$104:$A$145,Технологи!$B182,Производство!G$104:G$145)*$F182+$G182,0)</f>
        <v>0</v>
      </c>
      <c r="K182" s="46">
        <f t="array" ref="K182">IF(SUMIF(Производство!$A$104:$A$145,Технологи!$B182,Производство!H$104:H$145)&gt;0,SUMIF(Производство!$A$104:$A$145,Технологи!$B182,Производство!H$104:H$145)*$F182+$G182,0)</f>
        <v>197.8484564569367</v>
      </c>
      <c r="L182" s="46">
        <f t="array" ref="L182">IF(SUMIF(Производство!$A$104:$A$145,Технологи!$B182,Производство!I$104:I$145)&gt;0,SUMIF(Производство!$A$104:$A$145,Технологи!$B182,Производство!I$104:I$145)*$F182+$G182,0)</f>
        <v>197.8484564569367</v>
      </c>
      <c r="M182" s="46">
        <f t="array" ref="M182">IF(SUMIF(Производство!$A$104:$A$145,Технологи!$B182,Производство!J$104:J$145)&gt;0,SUMIF(Производство!$A$104:$A$145,Технологи!$B182,Производство!J$104:J$145)*$F182+$G182,0)</f>
        <v>155.88963560431242</v>
      </c>
      <c r="N182" s="46">
        <f t="array" ref="N182">IF(SUMIF(Производство!$A$104:$A$145,Технологи!$B182,Производство!K$104:K$145)&gt;0,SUMIF(Производство!$A$104:$A$145,Технологи!$B182,Производство!K$104:K$145)*$F182+$G182,0)</f>
        <v>155.88963560431242</v>
      </c>
      <c r="O182" s="46">
        <f t="array" ref="O182">IF(SUMIF(Производство!$A$104:$A$145,Технологи!$B182,Производство!L$104:L$145)&gt;0,SUMIF(Производство!$A$104:$A$145,Технологи!$B182,Производство!L$104:L$145)*$F182+$G182,0)</f>
        <v>155.88963560431242</v>
      </c>
      <c r="P182" s="46">
        <f t="array" ref="P182">IF(SUMIF(Производство!$A$104:$A$145,Технологи!$B182,Производство!M$104:M$145)&gt;0,SUMIF(Производство!$A$104:$A$145,Технологи!$B182,Производство!M$104:M$145)*$F182+$G182,0)</f>
        <v>155.88963560431242</v>
      </c>
      <c r="Q182" s="46">
        <f t="array" ref="Q182">IF(SUMIF(Производство!$A$104:$A$145,Технологи!$B182,Производство!N$104:N$145)&gt;0,SUMIF(Производство!$A$104:$A$145,Технологи!$B182,Производство!N$104:N$145)*$F182+$G182,0)</f>
        <v>155.88963560431242</v>
      </c>
      <c r="R182" s="46">
        <f t="array" ref="R182">IF(SUMIF(Производство!$A$104:$A$145,Технологи!$B182,Производство!O$104:O$145)&gt;0,SUMIF(Производство!$A$104:$A$145,Технологи!$B182,Производство!O$104:O$145)*$F182+$G182,0)</f>
        <v>155.88963560431242</v>
      </c>
      <c r="S182" s="46">
        <f t="array" ref="S182">IF(SUMIF(Производство!$A$104:$A$145,Технологи!$B182,Производство!P$104:P$145)&gt;0,SUMIF(Производство!$A$104:$A$145,Технологи!$B182,Производство!P$104:P$145)*$F182+$G182,0)</f>
        <v>155.88963560431242</v>
      </c>
      <c r="T182" s="46">
        <f t="array" ref="T182">IF(SUMIF(Производство!$A$104:$A$145,Технологи!$B182,Производство!Q$104:Q$145)&gt;0,SUMIF(Производство!$A$104:$A$145,Технологи!$B182,Производство!Q$104:Q$145)*$F182+$G182,0)</f>
        <v>155.88963560431242</v>
      </c>
    </row>
    <row r="183" spans="1:20" x14ac:dyDescent="0.25">
      <c r="A183" s="34" t="s">
        <v>377</v>
      </c>
      <c r="B183" s="13" t="s">
        <v>55</v>
      </c>
      <c r="C183" s="19" t="s">
        <v>20</v>
      </c>
      <c r="D183" s="14">
        <v>7038</v>
      </c>
      <c r="E183" s="20"/>
      <c r="F183" s="24">
        <v>0</v>
      </c>
      <c r="G183" s="24">
        <v>0</v>
      </c>
      <c r="H183" s="23">
        <f t="shared" si="8"/>
        <v>0</v>
      </c>
      <c r="I183" s="46">
        <f t="array" ref="I183">IF(SUMIF(Производство!$A$104:$A$145,Технологи!$B183,Производство!F$104:F$145)&gt;0,SUMIF(Производство!$A$104:$A$145,Технологи!$B183,Производство!F$104:F$145)*$F183+$G183,0)</f>
        <v>0</v>
      </c>
      <c r="J183" s="46">
        <f t="array" ref="J183">IF(SUMIF(Производство!$A$104:$A$145,Технологи!$B183,Производство!G$104:G$145)&gt;0,SUMIF(Производство!$A$104:$A$145,Технологи!$B183,Производство!G$104:G$145)*$F183+$G183,0)</f>
        <v>0</v>
      </c>
      <c r="K183" s="46">
        <f t="array" ref="K183">IF(SUMIF(Производство!$A$104:$A$145,Технологи!$B183,Производство!H$104:H$145)&gt;0,SUMIF(Производство!$A$104:$A$145,Технологи!$B183,Производство!H$104:H$145)*$F183+$G183,0)</f>
        <v>0</v>
      </c>
      <c r="L183" s="46">
        <f t="array" ref="L183">IF(SUMIF(Производство!$A$104:$A$145,Технологи!$B183,Производство!I$104:I$145)&gt;0,SUMIF(Производство!$A$104:$A$145,Технологи!$B183,Производство!I$104:I$145)*$F183+$G183,0)</f>
        <v>0</v>
      </c>
      <c r="M183" s="46">
        <f t="array" ref="M183">IF(SUMIF(Производство!$A$104:$A$145,Технологи!$B183,Производство!J$104:J$145)&gt;0,SUMIF(Производство!$A$104:$A$145,Технологи!$B183,Производство!J$104:J$145)*$F183+$G183,0)</f>
        <v>0</v>
      </c>
      <c r="N183" s="46">
        <f t="array" ref="N183">IF(SUMIF(Производство!$A$104:$A$145,Технологи!$B183,Производство!K$104:K$145)&gt;0,SUMIF(Производство!$A$104:$A$145,Технологи!$B183,Производство!K$104:K$145)*$F183+$G183,0)</f>
        <v>0</v>
      </c>
      <c r="O183" s="46">
        <f t="array" ref="O183">IF(SUMIF(Производство!$A$104:$A$145,Технологи!$B183,Производство!L$104:L$145)&gt;0,SUMIF(Производство!$A$104:$A$145,Технологи!$B183,Производство!L$104:L$145)*$F183+$G183,0)</f>
        <v>0</v>
      </c>
      <c r="P183" s="46">
        <f t="array" ref="P183">IF(SUMIF(Производство!$A$104:$A$145,Технологи!$B183,Производство!M$104:M$145)&gt;0,SUMIF(Производство!$A$104:$A$145,Технологи!$B183,Производство!M$104:M$145)*$F183+$G183,0)</f>
        <v>0</v>
      </c>
      <c r="Q183" s="46">
        <f t="array" ref="Q183">IF(SUMIF(Производство!$A$104:$A$145,Технологи!$B183,Производство!N$104:N$145)&gt;0,SUMIF(Производство!$A$104:$A$145,Технологи!$B183,Производство!N$104:N$145)*$F183+$G183,0)</f>
        <v>0</v>
      </c>
      <c r="R183" s="46">
        <f t="array" ref="R183">IF(SUMIF(Производство!$A$104:$A$145,Технологи!$B183,Производство!O$104:O$145)&gt;0,SUMIF(Производство!$A$104:$A$145,Технологи!$B183,Производство!O$104:O$145)*$F183+$G183,0)</f>
        <v>0</v>
      </c>
      <c r="S183" s="46">
        <f t="array" ref="S183">IF(SUMIF(Производство!$A$104:$A$145,Технологи!$B183,Производство!P$104:P$145)&gt;0,SUMIF(Производство!$A$104:$A$145,Технологи!$B183,Производство!P$104:P$145)*$F183+$G183,0)</f>
        <v>0</v>
      </c>
      <c r="T183" s="46">
        <f t="array" ref="T183">IF(SUMIF(Производство!$A$104:$A$145,Технологи!$B183,Производство!Q$104:Q$145)&gt;0,SUMIF(Производство!$A$104:$A$145,Технологи!$B183,Производство!Q$104:Q$145)*$F183+$G183,0)</f>
        <v>0</v>
      </c>
    </row>
    <row r="184" spans="1:20" x14ac:dyDescent="0.25">
      <c r="A184" s="34" t="s">
        <v>377</v>
      </c>
      <c r="B184" s="13" t="s">
        <v>55</v>
      </c>
      <c r="C184" s="19" t="s">
        <v>21</v>
      </c>
      <c r="D184" s="14">
        <v>7038</v>
      </c>
      <c r="E184" s="20"/>
      <c r="F184" s="24">
        <v>0.105</v>
      </c>
      <c r="G184" s="24">
        <v>1.575</v>
      </c>
      <c r="H184" s="23">
        <f t="shared" si="8"/>
        <v>105</v>
      </c>
      <c r="I184" s="46">
        <f t="array" ref="I184">IF(SUMIF(Производство!$A$104:$A$145,Технологи!$B184,Производство!F$104:F$145)&gt;0,SUMIF(Производство!$A$104:$A$145,Технологи!$B184,Производство!F$104:F$145)*$F184+$G184,0)</f>
        <v>83.561301369863017</v>
      </c>
      <c r="J184" s="46">
        <f t="array" ref="J184">IF(SUMIF(Производство!$A$104:$A$145,Технологи!$B184,Производство!G$104:G$145)&gt;0,SUMIF(Производство!$A$104:$A$145,Технологи!$B184,Производство!G$104:G$145)*$F184+$G184,0)</f>
        <v>0</v>
      </c>
      <c r="K184" s="46">
        <f t="array" ref="K184">IF(SUMIF(Производство!$A$104:$A$145,Технологи!$B184,Производство!H$104:H$145)&gt;0,SUMIF(Производство!$A$104:$A$145,Технологи!$B184,Производство!H$104:H$145)*$F184+$G184,0)</f>
        <v>54.181613122111621</v>
      </c>
      <c r="L184" s="46">
        <f t="array" ref="L184">IF(SUMIF(Производство!$A$104:$A$145,Технологи!$B184,Производство!I$104:I$145)&gt;0,SUMIF(Производство!$A$104:$A$145,Технологи!$B184,Производство!I$104:I$145)*$F184+$G184,0)</f>
        <v>54.181613122111621</v>
      </c>
      <c r="M184" s="46">
        <f t="array" ref="M184">IF(SUMIF(Производство!$A$104:$A$145,Технологи!$B184,Производство!J$104:J$145)&gt;0,SUMIF(Производство!$A$104:$A$145,Технологи!$B184,Производство!J$104:J$145)*$F184+$G184,0)</f>
        <v>42.245658884321593</v>
      </c>
      <c r="N184" s="46">
        <f t="array" ref="N184">IF(SUMIF(Производство!$A$104:$A$145,Технологи!$B184,Производство!K$104:K$145)&gt;0,SUMIF(Производство!$A$104:$A$145,Технологи!$B184,Производство!K$104:K$145)*$F184+$G184,0)</f>
        <v>42.245658884321593</v>
      </c>
      <c r="O184" s="46">
        <f t="array" ref="O184">IF(SUMIF(Производство!$A$104:$A$145,Технологи!$B184,Производство!L$104:L$145)&gt;0,SUMIF(Производство!$A$104:$A$145,Технологи!$B184,Производство!L$104:L$145)*$F184+$G184,0)</f>
        <v>42.245658884321593</v>
      </c>
      <c r="P184" s="46">
        <f t="array" ref="P184">IF(SUMIF(Производство!$A$104:$A$145,Технологи!$B184,Производство!M$104:M$145)&gt;0,SUMIF(Производство!$A$104:$A$145,Технологи!$B184,Производство!M$104:M$145)*$F184+$G184,0)</f>
        <v>42.245658884321593</v>
      </c>
      <c r="Q184" s="46">
        <f t="array" ref="Q184">IF(SUMIF(Производство!$A$104:$A$145,Технологи!$B184,Производство!N$104:N$145)&gt;0,SUMIF(Производство!$A$104:$A$145,Технологи!$B184,Производство!N$104:N$145)*$F184+$G184,0)</f>
        <v>42.245658884321593</v>
      </c>
      <c r="R184" s="46">
        <f t="array" ref="R184">IF(SUMIF(Производство!$A$104:$A$145,Технологи!$B184,Производство!O$104:O$145)&gt;0,SUMIF(Производство!$A$104:$A$145,Технологи!$B184,Производство!O$104:O$145)*$F184+$G184,0)</f>
        <v>42.245658884321593</v>
      </c>
      <c r="S184" s="46">
        <f t="array" ref="S184">IF(SUMIF(Производство!$A$104:$A$145,Технологи!$B184,Производство!P$104:P$145)&gt;0,SUMIF(Производство!$A$104:$A$145,Технологи!$B184,Производство!P$104:P$145)*$F184+$G184,0)</f>
        <v>42.245658884321593</v>
      </c>
      <c r="T184" s="46">
        <f t="array" ref="T184">IF(SUMIF(Производство!$A$104:$A$145,Технологи!$B184,Производство!Q$104:Q$145)&gt;0,SUMIF(Производство!$A$104:$A$145,Технологи!$B184,Производство!Q$104:Q$145)*$F184+$G184,0)</f>
        <v>42.245658884321593</v>
      </c>
    </row>
    <row r="185" spans="1:20" x14ac:dyDescent="0.25">
      <c r="A185" s="34" t="s">
        <v>377</v>
      </c>
      <c r="B185" s="13" t="s">
        <v>55</v>
      </c>
      <c r="C185" s="19" t="s">
        <v>22</v>
      </c>
      <c r="D185" s="14">
        <v>7038</v>
      </c>
      <c r="E185" s="20"/>
      <c r="F185" s="24">
        <v>0</v>
      </c>
      <c r="G185" s="24">
        <v>0</v>
      </c>
      <c r="H185" s="23">
        <f t="shared" si="8"/>
        <v>0</v>
      </c>
      <c r="I185" s="46">
        <f t="array" ref="I185">IF(SUMIF(Производство!$A$104:$A$145,Технологи!$B185,Производство!F$104:F$145)&gt;0,SUMIF(Производство!$A$104:$A$145,Технологи!$B185,Производство!F$104:F$145)*$F185+$G185,0)</f>
        <v>0</v>
      </c>
      <c r="J185" s="46">
        <f t="array" ref="J185">IF(SUMIF(Производство!$A$104:$A$145,Технологи!$B185,Производство!G$104:G$145)&gt;0,SUMIF(Производство!$A$104:$A$145,Технологи!$B185,Производство!G$104:G$145)*$F185+$G185,0)</f>
        <v>0</v>
      </c>
      <c r="K185" s="46">
        <f t="array" ref="K185">IF(SUMIF(Производство!$A$104:$A$145,Технологи!$B185,Производство!H$104:H$145)&gt;0,SUMIF(Производство!$A$104:$A$145,Технологи!$B185,Производство!H$104:H$145)*$F185+$G185,0)</f>
        <v>0</v>
      </c>
      <c r="L185" s="46">
        <f t="array" ref="L185">IF(SUMIF(Производство!$A$104:$A$145,Технологи!$B185,Производство!I$104:I$145)&gt;0,SUMIF(Производство!$A$104:$A$145,Технологи!$B185,Производство!I$104:I$145)*$F185+$G185,0)</f>
        <v>0</v>
      </c>
      <c r="M185" s="46">
        <f t="array" ref="M185">IF(SUMIF(Производство!$A$104:$A$145,Технологи!$B185,Производство!J$104:J$145)&gt;0,SUMIF(Производство!$A$104:$A$145,Технологи!$B185,Производство!J$104:J$145)*$F185+$G185,0)</f>
        <v>0</v>
      </c>
      <c r="N185" s="46">
        <f t="array" ref="N185">IF(SUMIF(Производство!$A$104:$A$145,Технологи!$B185,Производство!K$104:K$145)&gt;0,SUMIF(Производство!$A$104:$A$145,Технологи!$B185,Производство!K$104:K$145)*$F185+$G185,0)</f>
        <v>0</v>
      </c>
      <c r="O185" s="46">
        <f t="array" ref="O185">IF(SUMIF(Производство!$A$104:$A$145,Технологи!$B185,Производство!L$104:L$145)&gt;0,SUMIF(Производство!$A$104:$A$145,Технологи!$B185,Производство!L$104:L$145)*$F185+$G185,0)</f>
        <v>0</v>
      </c>
      <c r="P185" s="46">
        <f t="array" ref="P185">IF(SUMIF(Производство!$A$104:$A$145,Технологи!$B185,Производство!M$104:M$145)&gt;0,SUMIF(Производство!$A$104:$A$145,Технологи!$B185,Производство!M$104:M$145)*$F185+$G185,0)</f>
        <v>0</v>
      </c>
      <c r="Q185" s="46">
        <f t="array" ref="Q185">IF(SUMIF(Производство!$A$104:$A$145,Технологи!$B185,Производство!N$104:N$145)&gt;0,SUMIF(Производство!$A$104:$A$145,Технологи!$B185,Производство!N$104:N$145)*$F185+$G185,0)</f>
        <v>0</v>
      </c>
      <c r="R185" s="46">
        <f t="array" ref="R185">IF(SUMIF(Производство!$A$104:$A$145,Технологи!$B185,Производство!O$104:O$145)&gt;0,SUMIF(Производство!$A$104:$A$145,Технологи!$B185,Производство!O$104:O$145)*$F185+$G185,0)</f>
        <v>0</v>
      </c>
      <c r="S185" s="46">
        <f t="array" ref="S185">IF(SUMIF(Производство!$A$104:$A$145,Технологи!$B185,Производство!P$104:P$145)&gt;0,SUMIF(Производство!$A$104:$A$145,Технологи!$B185,Производство!P$104:P$145)*$F185+$G185,0)</f>
        <v>0</v>
      </c>
      <c r="T185" s="46">
        <f t="array" ref="T185">IF(SUMIF(Производство!$A$104:$A$145,Технологи!$B185,Производство!Q$104:Q$145)&gt;0,SUMIF(Производство!$A$104:$A$145,Технологи!$B185,Производство!Q$104:Q$145)*$F185+$G185,0)</f>
        <v>0</v>
      </c>
    </row>
    <row r="186" spans="1:20" x14ac:dyDescent="0.25">
      <c r="A186" s="34" t="s">
        <v>377</v>
      </c>
      <c r="B186" s="13" t="s">
        <v>55</v>
      </c>
      <c r="C186" s="19" t="s">
        <v>23</v>
      </c>
      <c r="D186" s="14">
        <v>7038</v>
      </c>
      <c r="E186" s="20"/>
      <c r="F186" s="24">
        <v>0</v>
      </c>
      <c r="G186" s="24">
        <v>0</v>
      </c>
      <c r="H186" s="23">
        <f t="shared" si="8"/>
        <v>0</v>
      </c>
      <c r="I186" s="46">
        <f t="array" ref="I186">IF(SUMIF(Производство!$A$104:$A$145,Технологи!$B186,Производство!F$104:F$145)&gt;0,SUMIF(Производство!$A$104:$A$145,Технологи!$B186,Производство!F$104:F$145)*$F186+$G186,0)</f>
        <v>0</v>
      </c>
      <c r="J186" s="46">
        <f t="array" ref="J186">IF(SUMIF(Производство!$A$104:$A$145,Технологи!$B186,Производство!G$104:G$145)&gt;0,SUMIF(Производство!$A$104:$A$145,Технологи!$B186,Производство!G$104:G$145)*$F186+$G186,0)</f>
        <v>0</v>
      </c>
      <c r="K186" s="46">
        <f t="array" ref="K186">IF(SUMIF(Производство!$A$104:$A$145,Технологи!$B186,Производство!H$104:H$145)&gt;0,SUMIF(Производство!$A$104:$A$145,Технологи!$B186,Производство!H$104:H$145)*$F186+$G186,0)</f>
        <v>0</v>
      </c>
      <c r="L186" s="46">
        <f t="array" ref="L186">IF(SUMIF(Производство!$A$104:$A$145,Технологи!$B186,Производство!I$104:I$145)&gt;0,SUMIF(Производство!$A$104:$A$145,Технологи!$B186,Производство!I$104:I$145)*$F186+$G186,0)</f>
        <v>0</v>
      </c>
      <c r="M186" s="46">
        <f t="array" ref="M186">IF(SUMIF(Производство!$A$104:$A$145,Технологи!$B186,Производство!J$104:J$145)&gt;0,SUMIF(Производство!$A$104:$A$145,Технологи!$B186,Производство!J$104:J$145)*$F186+$G186,0)</f>
        <v>0</v>
      </c>
      <c r="N186" s="46">
        <f t="array" ref="N186">IF(SUMIF(Производство!$A$104:$A$145,Технологи!$B186,Производство!K$104:K$145)&gt;0,SUMIF(Производство!$A$104:$A$145,Технологи!$B186,Производство!K$104:K$145)*$F186+$G186,0)</f>
        <v>0</v>
      </c>
      <c r="O186" s="46">
        <f t="array" ref="O186">IF(SUMIF(Производство!$A$104:$A$145,Технологи!$B186,Производство!L$104:L$145)&gt;0,SUMIF(Производство!$A$104:$A$145,Технологи!$B186,Производство!L$104:L$145)*$F186+$G186,0)</f>
        <v>0</v>
      </c>
      <c r="P186" s="46">
        <f t="array" ref="P186">IF(SUMIF(Производство!$A$104:$A$145,Технологи!$B186,Производство!M$104:M$145)&gt;0,SUMIF(Производство!$A$104:$A$145,Технологи!$B186,Производство!M$104:M$145)*$F186+$G186,0)</f>
        <v>0</v>
      </c>
      <c r="Q186" s="46">
        <f t="array" ref="Q186">IF(SUMIF(Производство!$A$104:$A$145,Технологи!$B186,Производство!N$104:N$145)&gt;0,SUMIF(Производство!$A$104:$A$145,Технологи!$B186,Производство!N$104:N$145)*$F186+$G186,0)</f>
        <v>0</v>
      </c>
      <c r="R186" s="46">
        <f t="array" ref="R186">IF(SUMIF(Производство!$A$104:$A$145,Технологи!$B186,Производство!O$104:O$145)&gt;0,SUMIF(Производство!$A$104:$A$145,Технологи!$B186,Производство!O$104:O$145)*$F186+$G186,0)</f>
        <v>0</v>
      </c>
      <c r="S186" s="46">
        <f t="array" ref="S186">IF(SUMIF(Производство!$A$104:$A$145,Технологи!$B186,Производство!P$104:P$145)&gt;0,SUMIF(Производство!$A$104:$A$145,Технологи!$B186,Производство!P$104:P$145)*$F186+$G186,0)</f>
        <v>0</v>
      </c>
      <c r="T186" s="46">
        <f t="array" ref="T186">IF(SUMIF(Производство!$A$104:$A$145,Технологи!$B186,Производство!Q$104:Q$145)&gt;0,SUMIF(Производство!$A$104:$A$145,Технологи!$B186,Производство!Q$104:Q$145)*$F186+$G186,0)</f>
        <v>0</v>
      </c>
    </row>
    <row r="187" spans="1:20" x14ac:dyDescent="0.25">
      <c r="A187" s="34" t="s">
        <v>377</v>
      </c>
      <c r="B187" s="13" t="s">
        <v>54</v>
      </c>
      <c r="C187" s="15" t="s">
        <v>11</v>
      </c>
      <c r="D187" s="14">
        <v>7038</v>
      </c>
      <c r="E187" s="16">
        <v>1.3419999999999999</v>
      </c>
      <c r="F187" s="22">
        <f>SUM(F188:F199)</f>
        <v>1.3448821854347826</v>
      </c>
      <c r="G187" s="22">
        <f>SUM(G188:G199)</f>
        <v>56.401719999999983</v>
      </c>
      <c r="H187" s="23">
        <f t="shared" si="8"/>
        <v>1344.8821854347825</v>
      </c>
      <c r="I187" s="46">
        <f t="array" ref="I187">IF(SUMIF(Производство!$A$104:$A$145,Технологи!$B187,Производство!F$104:F$145)&gt;0,SUMIF(Производство!$A$104:$A$145,Технологи!$B187,Производство!F$104:F$145)*$F187+$G187,0)</f>
        <v>0</v>
      </c>
      <c r="J187" s="46">
        <f t="array" ref="J187">IF(SUMIF(Производство!$A$104:$A$145,Технологи!$B187,Производство!G$104:G$145)&gt;0,SUMIF(Производство!$A$104:$A$145,Технологи!$B187,Производство!G$104:G$145)*$F187+$G187,0)</f>
        <v>0</v>
      </c>
      <c r="K187" s="46">
        <f t="array" ref="K187">IF(SUMIF(Производство!$A$104:$A$145,Технологи!$B187,Производство!H$104:H$145)&gt;0,SUMIF(Производство!$A$104:$A$145,Технологи!$B187,Производство!H$104:H$145)*$F187+$G187,0)</f>
        <v>0</v>
      </c>
      <c r="L187" s="46">
        <f t="array" ref="L187">IF(SUMIF(Производство!$A$104:$A$145,Технологи!$B187,Производство!I$104:I$145)&gt;0,SUMIF(Производство!$A$104:$A$145,Технологи!$B187,Производство!I$104:I$145)*$F187+$G187,0)</f>
        <v>0</v>
      </c>
      <c r="M187" s="46">
        <f t="array" ref="M187">IF(SUMIF(Производство!$A$104:$A$145,Технологи!$B187,Производство!J$104:J$145)&gt;0,SUMIF(Производство!$A$104:$A$145,Технологи!$B187,Производство!J$104:J$145)*$F187+$G187,0)</f>
        <v>0</v>
      </c>
      <c r="N187" s="46">
        <f t="array" ref="N187">IF(SUMIF(Производство!$A$104:$A$145,Технологи!$B187,Производство!K$104:K$145)&gt;0,SUMIF(Производство!$A$104:$A$145,Технологи!$B187,Производство!K$104:K$145)*$F187+$G187,0)</f>
        <v>0</v>
      </c>
      <c r="O187" s="46">
        <f t="array" ref="O187">IF(SUMIF(Производство!$A$104:$A$145,Технологи!$B187,Производство!L$104:L$145)&gt;0,SUMIF(Производство!$A$104:$A$145,Технологи!$B187,Производство!L$104:L$145)*$F187+$G187,0)</f>
        <v>0</v>
      </c>
      <c r="P187" s="46">
        <f t="array" ref="P187">IF(SUMIF(Производство!$A$104:$A$145,Технологи!$B187,Производство!M$104:M$145)&gt;0,SUMIF(Производство!$A$104:$A$145,Технологи!$B187,Производство!M$104:M$145)*$F187+$G187,0)</f>
        <v>0</v>
      </c>
      <c r="Q187" s="46">
        <f t="array" ref="Q187">IF(SUMIF(Производство!$A$104:$A$145,Технологи!$B187,Производство!N$104:N$145)&gt;0,SUMIF(Производство!$A$104:$A$145,Технологи!$B187,Производство!N$104:N$145)*$F187+$G187,0)</f>
        <v>0</v>
      </c>
      <c r="R187" s="46">
        <f t="array" ref="R187">IF(SUMIF(Производство!$A$104:$A$145,Технологи!$B187,Производство!O$104:O$145)&gt;0,SUMIF(Производство!$A$104:$A$145,Технологи!$B187,Производство!O$104:O$145)*$F187+$G187,0)</f>
        <v>0</v>
      </c>
      <c r="S187" s="46">
        <f t="array" ref="S187">IF(SUMIF(Производство!$A$104:$A$145,Технологи!$B187,Производство!P$104:P$145)&gt;0,SUMIF(Производство!$A$104:$A$145,Технологи!$B187,Производство!P$104:P$145)*$F187+$G187,0)</f>
        <v>0</v>
      </c>
      <c r="T187" s="46">
        <f t="array" ref="T187">IF(SUMIF(Производство!$A$104:$A$145,Технологи!$B187,Производство!Q$104:Q$145)&gt;0,SUMIF(Производство!$A$104:$A$145,Технологи!$B187,Производство!Q$104:Q$145)*$F187+$G187,0)</f>
        <v>0</v>
      </c>
    </row>
    <row r="188" spans="1:20" x14ac:dyDescent="0.25">
      <c r="A188" s="34" t="s">
        <v>377</v>
      </c>
      <c r="B188" s="13" t="s">
        <v>54</v>
      </c>
      <c r="C188" s="19" t="s">
        <v>12</v>
      </c>
      <c r="D188" s="14">
        <v>7038</v>
      </c>
      <c r="E188" s="20"/>
      <c r="F188" s="24">
        <v>0.35083239130434773</v>
      </c>
      <c r="G188" s="24">
        <v>21.587103307320692</v>
      </c>
      <c r="H188" s="23">
        <f t="shared" si="8"/>
        <v>350.83239130434771</v>
      </c>
      <c r="I188" s="46">
        <f t="array" ref="I188">IF(SUMIF(Производство!$A$104:$A$145,Технологи!$B188,Производство!F$104:F$145)&gt;0,SUMIF(Производство!$A$104:$A$145,Технологи!$B188,Производство!F$104:F$145)*$F188+$G188,0)</f>
        <v>0</v>
      </c>
      <c r="J188" s="46">
        <f t="array" ref="J188">IF(SUMIF(Производство!$A$104:$A$145,Технологи!$B188,Производство!G$104:G$145)&gt;0,SUMIF(Производство!$A$104:$A$145,Технологи!$B188,Производство!G$104:G$145)*$F188+$G188,0)</f>
        <v>0</v>
      </c>
      <c r="K188" s="46">
        <f t="array" ref="K188">IF(SUMIF(Производство!$A$104:$A$145,Технологи!$B188,Производство!H$104:H$145)&gt;0,SUMIF(Производство!$A$104:$A$145,Технологи!$B188,Производство!H$104:H$145)*$F188+$G188,0)</f>
        <v>0</v>
      </c>
      <c r="L188" s="46">
        <f t="array" ref="L188">IF(SUMIF(Производство!$A$104:$A$145,Технологи!$B188,Производство!I$104:I$145)&gt;0,SUMIF(Производство!$A$104:$A$145,Технологи!$B188,Производство!I$104:I$145)*$F188+$G188,0)</f>
        <v>0</v>
      </c>
      <c r="M188" s="46">
        <f t="array" ref="M188">IF(SUMIF(Производство!$A$104:$A$145,Технологи!$B188,Производство!J$104:J$145)&gt;0,SUMIF(Производство!$A$104:$A$145,Технологи!$B188,Производство!J$104:J$145)*$F188+$G188,0)</f>
        <v>0</v>
      </c>
      <c r="N188" s="46">
        <f t="array" ref="N188">IF(SUMIF(Производство!$A$104:$A$145,Технологи!$B188,Производство!K$104:K$145)&gt;0,SUMIF(Производство!$A$104:$A$145,Технологи!$B188,Производство!K$104:K$145)*$F188+$G188,0)</f>
        <v>0</v>
      </c>
      <c r="O188" s="46">
        <f t="array" ref="O188">IF(SUMIF(Производство!$A$104:$A$145,Технологи!$B188,Производство!L$104:L$145)&gt;0,SUMIF(Производство!$A$104:$A$145,Технологи!$B188,Производство!L$104:L$145)*$F188+$G188,0)</f>
        <v>0</v>
      </c>
      <c r="P188" s="46">
        <f t="array" ref="P188">IF(SUMIF(Производство!$A$104:$A$145,Технологи!$B188,Производство!M$104:M$145)&gt;0,SUMIF(Производство!$A$104:$A$145,Технологи!$B188,Производство!M$104:M$145)*$F188+$G188,0)</f>
        <v>0</v>
      </c>
      <c r="Q188" s="46">
        <f t="array" ref="Q188">IF(SUMIF(Производство!$A$104:$A$145,Технологи!$B188,Производство!N$104:N$145)&gt;0,SUMIF(Производство!$A$104:$A$145,Технологи!$B188,Производство!N$104:N$145)*$F188+$G188,0)</f>
        <v>0</v>
      </c>
      <c r="R188" s="46">
        <f t="array" ref="R188">IF(SUMIF(Производство!$A$104:$A$145,Технологи!$B188,Производство!O$104:O$145)&gt;0,SUMIF(Производство!$A$104:$A$145,Технологи!$B188,Производство!O$104:O$145)*$F188+$G188,0)</f>
        <v>0</v>
      </c>
      <c r="S188" s="46">
        <f t="array" ref="S188">IF(SUMIF(Производство!$A$104:$A$145,Технологи!$B188,Производство!P$104:P$145)&gt;0,SUMIF(Производство!$A$104:$A$145,Технологи!$B188,Производство!P$104:P$145)*$F188+$G188,0)</f>
        <v>0</v>
      </c>
      <c r="T188" s="46">
        <f t="array" ref="T188">IF(SUMIF(Производство!$A$104:$A$145,Технологи!$B188,Производство!Q$104:Q$145)&gt;0,SUMIF(Производство!$A$104:$A$145,Технологи!$B188,Производство!Q$104:Q$145)*$F188+$G188,0)</f>
        <v>0</v>
      </c>
    </row>
    <row r="189" spans="1:20" x14ac:dyDescent="0.25">
      <c r="A189" s="34" t="s">
        <v>377</v>
      </c>
      <c r="B189" s="13" t="s">
        <v>54</v>
      </c>
      <c r="C189" s="19" t="s">
        <v>13</v>
      </c>
      <c r="D189" s="14">
        <v>7038</v>
      </c>
      <c r="E189" s="20"/>
      <c r="F189" s="24">
        <v>0.10577334782608694</v>
      </c>
      <c r="G189" s="24">
        <v>6.4761309921962091</v>
      </c>
      <c r="H189" s="23">
        <f t="shared" si="8"/>
        <v>105.77334782608693</v>
      </c>
      <c r="I189" s="46">
        <f t="array" ref="I189">IF(SUMIF(Производство!$A$104:$A$145,Технологи!$B189,Производство!F$104:F$145)&gt;0,SUMIF(Производство!$A$104:$A$145,Технологи!$B189,Производство!F$104:F$145)*$F189+$G189,0)</f>
        <v>0</v>
      </c>
      <c r="J189" s="46">
        <f t="array" ref="J189">IF(SUMIF(Производство!$A$104:$A$145,Технологи!$B189,Производство!G$104:G$145)&gt;0,SUMIF(Производство!$A$104:$A$145,Технологи!$B189,Производство!G$104:G$145)*$F189+$G189,0)</f>
        <v>0</v>
      </c>
      <c r="K189" s="46">
        <f t="array" ref="K189">IF(SUMIF(Производство!$A$104:$A$145,Технологи!$B189,Производство!H$104:H$145)&gt;0,SUMIF(Производство!$A$104:$A$145,Технологи!$B189,Производство!H$104:H$145)*$F189+$G189,0)</f>
        <v>0</v>
      </c>
      <c r="L189" s="46">
        <f t="array" ref="L189">IF(SUMIF(Производство!$A$104:$A$145,Технологи!$B189,Производство!I$104:I$145)&gt;0,SUMIF(Производство!$A$104:$A$145,Технологи!$B189,Производство!I$104:I$145)*$F189+$G189,0)</f>
        <v>0</v>
      </c>
      <c r="M189" s="46">
        <f t="array" ref="M189">IF(SUMIF(Производство!$A$104:$A$145,Технологи!$B189,Производство!J$104:J$145)&gt;0,SUMIF(Производство!$A$104:$A$145,Технологи!$B189,Производство!J$104:J$145)*$F189+$G189,0)</f>
        <v>0</v>
      </c>
      <c r="N189" s="46">
        <f t="array" ref="N189">IF(SUMIF(Производство!$A$104:$A$145,Технологи!$B189,Производство!K$104:K$145)&gt;0,SUMIF(Производство!$A$104:$A$145,Технологи!$B189,Производство!K$104:K$145)*$F189+$G189,0)</f>
        <v>0</v>
      </c>
      <c r="O189" s="46">
        <f t="array" ref="O189">IF(SUMIF(Производство!$A$104:$A$145,Технологи!$B189,Производство!L$104:L$145)&gt;0,SUMIF(Производство!$A$104:$A$145,Технологи!$B189,Производство!L$104:L$145)*$F189+$G189,0)</f>
        <v>0</v>
      </c>
      <c r="P189" s="46">
        <f t="array" ref="P189">IF(SUMIF(Производство!$A$104:$A$145,Технологи!$B189,Производство!M$104:M$145)&gt;0,SUMIF(Производство!$A$104:$A$145,Технологи!$B189,Производство!M$104:M$145)*$F189+$G189,0)</f>
        <v>0</v>
      </c>
      <c r="Q189" s="46">
        <f t="array" ref="Q189">IF(SUMIF(Производство!$A$104:$A$145,Технологи!$B189,Производство!N$104:N$145)&gt;0,SUMIF(Производство!$A$104:$A$145,Технологи!$B189,Производство!N$104:N$145)*$F189+$G189,0)</f>
        <v>0</v>
      </c>
      <c r="R189" s="46">
        <f t="array" ref="R189">IF(SUMIF(Производство!$A$104:$A$145,Технологи!$B189,Производство!O$104:O$145)&gt;0,SUMIF(Производство!$A$104:$A$145,Технологи!$B189,Производство!O$104:O$145)*$F189+$G189,0)</f>
        <v>0</v>
      </c>
      <c r="S189" s="46">
        <f t="array" ref="S189">IF(SUMIF(Производство!$A$104:$A$145,Технологи!$B189,Производство!P$104:P$145)&gt;0,SUMIF(Производство!$A$104:$A$145,Технологи!$B189,Производство!P$104:P$145)*$F189+$G189,0)</f>
        <v>0</v>
      </c>
      <c r="T189" s="46">
        <f t="array" ref="T189">IF(SUMIF(Производство!$A$104:$A$145,Технологи!$B189,Производство!Q$104:Q$145)&gt;0,SUMIF(Производство!$A$104:$A$145,Технологи!$B189,Производство!Q$104:Q$145)*$F189+$G189,0)</f>
        <v>0</v>
      </c>
    </row>
    <row r="190" spans="1:20" x14ac:dyDescent="0.25">
      <c r="A190" s="34" t="s">
        <v>377</v>
      </c>
      <c r="B190" s="13" t="s">
        <v>54</v>
      </c>
      <c r="C190" s="19" t="s">
        <v>14</v>
      </c>
      <c r="D190" s="14">
        <v>7038</v>
      </c>
      <c r="E190" s="20"/>
      <c r="F190" s="24">
        <v>1.0577334782608692E-3</v>
      </c>
      <c r="G190" s="24">
        <v>6.4761309921962079E-2</v>
      </c>
      <c r="H190" s="23">
        <f t="shared" si="8"/>
        <v>1.0577334782608692</v>
      </c>
      <c r="I190" s="46">
        <f t="array" ref="I190">IF(SUMIF(Производство!$A$104:$A$145,Технологи!$B190,Производство!F$104:F$145)&gt;0,SUMIF(Производство!$A$104:$A$145,Технологи!$B190,Производство!F$104:F$145)*$F190+$G190,0)</f>
        <v>0</v>
      </c>
      <c r="J190" s="46">
        <f t="array" ref="J190">IF(SUMIF(Производство!$A$104:$A$145,Технологи!$B190,Производство!G$104:G$145)&gt;0,SUMIF(Производство!$A$104:$A$145,Технологи!$B190,Производство!G$104:G$145)*$F190+$G190,0)</f>
        <v>0</v>
      </c>
      <c r="K190" s="46">
        <f t="array" ref="K190">IF(SUMIF(Производство!$A$104:$A$145,Технологи!$B190,Производство!H$104:H$145)&gt;0,SUMIF(Производство!$A$104:$A$145,Технологи!$B190,Производство!H$104:H$145)*$F190+$G190,0)</f>
        <v>0</v>
      </c>
      <c r="L190" s="46">
        <f t="array" ref="L190">IF(SUMIF(Производство!$A$104:$A$145,Технологи!$B190,Производство!I$104:I$145)&gt;0,SUMIF(Производство!$A$104:$A$145,Технологи!$B190,Производство!I$104:I$145)*$F190+$G190,0)</f>
        <v>0</v>
      </c>
      <c r="M190" s="46">
        <f t="array" ref="M190">IF(SUMIF(Производство!$A$104:$A$145,Технологи!$B190,Производство!J$104:J$145)&gt;0,SUMIF(Производство!$A$104:$A$145,Технологи!$B190,Производство!J$104:J$145)*$F190+$G190,0)</f>
        <v>0</v>
      </c>
      <c r="N190" s="46">
        <f t="array" ref="N190">IF(SUMIF(Производство!$A$104:$A$145,Технологи!$B190,Производство!K$104:K$145)&gt;0,SUMIF(Производство!$A$104:$A$145,Технологи!$B190,Производство!K$104:K$145)*$F190+$G190,0)</f>
        <v>0</v>
      </c>
      <c r="O190" s="46">
        <f t="array" ref="O190">IF(SUMIF(Производство!$A$104:$A$145,Технологи!$B190,Производство!L$104:L$145)&gt;0,SUMIF(Производство!$A$104:$A$145,Технологи!$B190,Производство!L$104:L$145)*$F190+$G190,0)</f>
        <v>0</v>
      </c>
      <c r="P190" s="46">
        <f t="array" ref="P190">IF(SUMIF(Производство!$A$104:$A$145,Технологи!$B190,Производство!M$104:M$145)&gt;0,SUMIF(Производство!$A$104:$A$145,Технологи!$B190,Производство!M$104:M$145)*$F190+$G190,0)</f>
        <v>0</v>
      </c>
      <c r="Q190" s="46">
        <f t="array" ref="Q190">IF(SUMIF(Производство!$A$104:$A$145,Технологи!$B190,Производство!N$104:N$145)&gt;0,SUMIF(Производство!$A$104:$A$145,Технологи!$B190,Производство!N$104:N$145)*$F190+$G190,0)</f>
        <v>0</v>
      </c>
      <c r="R190" s="46">
        <f t="array" ref="R190">IF(SUMIF(Производство!$A$104:$A$145,Технологи!$B190,Производство!O$104:O$145)&gt;0,SUMIF(Производство!$A$104:$A$145,Технологи!$B190,Производство!O$104:O$145)*$F190+$G190,0)</f>
        <v>0</v>
      </c>
      <c r="S190" s="46">
        <f t="array" ref="S190">IF(SUMIF(Производство!$A$104:$A$145,Технологи!$B190,Производство!P$104:P$145)&gt;0,SUMIF(Производство!$A$104:$A$145,Технологи!$B190,Производство!P$104:P$145)*$F190+$G190,0)</f>
        <v>0</v>
      </c>
      <c r="T190" s="46">
        <f t="array" ref="T190">IF(SUMIF(Производство!$A$104:$A$145,Технологи!$B190,Производство!Q$104:Q$145)&gt;0,SUMIF(Производство!$A$104:$A$145,Технологи!$B190,Производство!Q$104:Q$145)*$F190+$G190,0)</f>
        <v>0</v>
      </c>
    </row>
    <row r="191" spans="1:20" x14ac:dyDescent="0.25">
      <c r="A191" s="34" t="s">
        <v>377</v>
      </c>
      <c r="B191" s="13" t="s">
        <v>54</v>
      </c>
      <c r="C191" s="19" t="s">
        <v>15</v>
      </c>
      <c r="D191" s="14">
        <v>7038</v>
      </c>
      <c r="E191" s="20"/>
      <c r="F191" s="24">
        <v>5.2886673913043461E-4</v>
      </c>
      <c r="G191" s="24">
        <v>3.238065496098104E-2</v>
      </c>
      <c r="H191" s="23">
        <f t="shared" ref="H191:H212" si="9">F191*1000</f>
        <v>0.52886673913043458</v>
      </c>
      <c r="I191" s="46">
        <f t="array" ref="I191">IF(SUMIF(Производство!$A$104:$A$145,Технологи!$B191,Производство!F$104:F$145)&gt;0,SUMIF(Производство!$A$104:$A$145,Технологи!$B191,Производство!F$104:F$145)*$F191+$G191,0)</f>
        <v>0</v>
      </c>
      <c r="J191" s="46">
        <f t="array" ref="J191">IF(SUMIF(Производство!$A$104:$A$145,Технологи!$B191,Производство!G$104:G$145)&gt;0,SUMIF(Производство!$A$104:$A$145,Технологи!$B191,Производство!G$104:G$145)*$F191+$G191,0)</f>
        <v>0</v>
      </c>
      <c r="K191" s="46">
        <f t="array" ref="K191">IF(SUMIF(Производство!$A$104:$A$145,Технологи!$B191,Производство!H$104:H$145)&gt;0,SUMIF(Производство!$A$104:$A$145,Технологи!$B191,Производство!H$104:H$145)*$F191+$G191,0)</f>
        <v>0</v>
      </c>
      <c r="L191" s="46">
        <f t="array" ref="L191">IF(SUMIF(Производство!$A$104:$A$145,Технологи!$B191,Производство!I$104:I$145)&gt;0,SUMIF(Производство!$A$104:$A$145,Технологи!$B191,Производство!I$104:I$145)*$F191+$G191,0)</f>
        <v>0</v>
      </c>
      <c r="M191" s="46">
        <f t="array" ref="M191">IF(SUMIF(Производство!$A$104:$A$145,Технологи!$B191,Производство!J$104:J$145)&gt;0,SUMIF(Производство!$A$104:$A$145,Технологи!$B191,Производство!J$104:J$145)*$F191+$G191,0)</f>
        <v>0</v>
      </c>
      <c r="N191" s="46">
        <f t="array" ref="N191">IF(SUMIF(Производство!$A$104:$A$145,Технологи!$B191,Производство!K$104:K$145)&gt;0,SUMIF(Производство!$A$104:$A$145,Технологи!$B191,Производство!K$104:K$145)*$F191+$G191,0)</f>
        <v>0</v>
      </c>
      <c r="O191" s="46">
        <f t="array" ref="O191">IF(SUMIF(Производство!$A$104:$A$145,Технологи!$B191,Производство!L$104:L$145)&gt;0,SUMIF(Производство!$A$104:$A$145,Технологи!$B191,Производство!L$104:L$145)*$F191+$G191,0)</f>
        <v>0</v>
      </c>
      <c r="P191" s="46">
        <f t="array" ref="P191">IF(SUMIF(Производство!$A$104:$A$145,Технологи!$B191,Производство!M$104:M$145)&gt;0,SUMIF(Производство!$A$104:$A$145,Технологи!$B191,Производство!M$104:M$145)*$F191+$G191,0)</f>
        <v>0</v>
      </c>
      <c r="Q191" s="46">
        <f t="array" ref="Q191">IF(SUMIF(Производство!$A$104:$A$145,Технологи!$B191,Производство!N$104:N$145)&gt;0,SUMIF(Производство!$A$104:$A$145,Технологи!$B191,Производство!N$104:N$145)*$F191+$G191,0)</f>
        <v>0</v>
      </c>
      <c r="R191" s="46">
        <f t="array" ref="R191">IF(SUMIF(Производство!$A$104:$A$145,Технологи!$B191,Производство!O$104:O$145)&gt;0,SUMIF(Производство!$A$104:$A$145,Технологи!$B191,Производство!O$104:O$145)*$F191+$G191,0)</f>
        <v>0</v>
      </c>
      <c r="S191" s="46">
        <f t="array" ref="S191">IF(SUMIF(Производство!$A$104:$A$145,Технологи!$B191,Производство!P$104:P$145)&gt;0,SUMIF(Производство!$A$104:$A$145,Технологи!$B191,Производство!P$104:P$145)*$F191+$G191,0)</f>
        <v>0</v>
      </c>
      <c r="T191" s="46">
        <f t="array" ref="T191">IF(SUMIF(Производство!$A$104:$A$145,Технологи!$B191,Производство!Q$104:Q$145)&gt;0,SUMIF(Производство!$A$104:$A$145,Технологи!$B191,Производство!Q$104:Q$145)*$F191+$G191,0)</f>
        <v>0</v>
      </c>
    </row>
    <row r="192" spans="1:20" x14ac:dyDescent="0.25">
      <c r="A192" s="34" t="s">
        <v>377</v>
      </c>
      <c r="B192" s="13" t="s">
        <v>54</v>
      </c>
      <c r="C192" s="19" t="s">
        <v>16</v>
      </c>
      <c r="D192" s="14">
        <v>7038</v>
      </c>
      <c r="E192" s="20"/>
      <c r="F192" s="24">
        <v>7.0166478260869549E-3</v>
      </c>
      <c r="G192" s="24">
        <v>0.43174206614641397</v>
      </c>
      <c r="H192" s="23">
        <f t="shared" si="9"/>
        <v>7.0166478260869551</v>
      </c>
      <c r="I192" s="46">
        <f t="array" ref="I192">IF(SUMIF(Производство!$A$104:$A$145,Технологи!$B192,Производство!F$104:F$145)&gt;0,SUMIF(Производство!$A$104:$A$145,Технологи!$B192,Производство!F$104:F$145)*$F192+$G192,0)</f>
        <v>0</v>
      </c>
      <c r="J192" s="46">
        <f t="array" ref="J192">IF(SUMIF(Производство!$A$104:$A$145,Технологи!$B192,Производство!G$104:G$145)&gt;0,SUMIF(Производство!$A$104:$A$145,Технологи!$B192,Производство!G$104:G$145)*$F192+$G192,0)</f>
        <v>0</v>
      </c>
      <c r="K192" s="46">
        <f t="array" ref="K192">IF(SUMIF(Производство!$A$104:$A$145,Технологи!$B192,Производство!H$104:H$145)&gt;0,SUMIF(Производство!$A$104:$A$145,Технологи!$B192,Производство!H$104:H$145)*$F192+$G192,0)</f>
        <v>0</v>
      </c>
      <c r="L192" s="46">
        <f t="array" ref="L192">IF(SUMIF(Производство!$A$104:$A$145,Технологи!$B192,Производство!I$104:I$145)&gt;0,SUMIF(Производство!$A$104:$A$145,Технологи!$B192,Производство!I$104:I$145)*$F192+$G192,0)</f>
        <v>0</v>
      </c>
      <c r="M192" s="46">
        <f t="array" ref="M192">IF(SUMIF(Производство!$A$104:$A$145,Технологи!$B192,Производство!J$104:J$145)&gt;0,SUMIF(Производство!$A$104:$A$145,Технологи!$B192,Производство!J$104:J$145)*$F192+$G192,0)</f>
        <v>0</v>
      </c>
      <c r="N192" s="46">
        <f t="array" ref="N192">IF(SUMIF(Производство!$A$104:$A$145,Технологи!$B192,Производство!K$104:K$145)&gt;0,SUMIF(Производство!$A$104:$A$145,Технологи!$B192,Производство!K$104:K$145)*$F192+$G192,0)</f>
        <v>0</v>
      </c>
      <c r="O192" s="46">
        <f t="array" ref="O192">IF(SUMIF(Производство!$A$104:$A$145,Технологи!$B192,Производство!L$104:L$145)&gt;0,SUMIF(Производство!$A$104:$A$145,Технологи!$B192,Производство!L$104:L$145)*$F192+$G192,0)</f>
        <v>0</v>
      </c>
      <c r="P192" s="46">
        <f t="array" ref="P192">IF(SUMIF(Производство!$A$104:$A$145,Технологи!$B192,Производство!M$104:M$145)&gt;0,SUMIF(Производство!$A$104:$A$145,Технологи!$B192,Производство!M$104:M$145)*$F192+$G192,0)</f>
        <v>0</v>
      </c>
      <c r="Q192" s="46">
        <f t="array" ref="Q192">IF(SUMIF(Производство!$A$104:$A$145,Технологи!$B192,Производство!N$104:N$145)&gt;0,SUMIF(Производство!$A$104:$A$145,Технологи!$B192,Производство!N$104:N$145)*$F192+$G192,0)</f>
        <v>0</v>
      </c>
      <c r="R192" s="46">
        <f t="array" ref="R192">IF(SUMIF(Производство!$A$104:$A$145,Технологи!$B192,Производство!O$104:O$145)&gt;0,SUMIF(Производство!$A$104:$A$145,Технологи!$B192,Производство!O$104:O$145)*$F192+$G192,0)</f>
        <v>0</v>
      </c>
      <c r="S192" s="46">
        <f t="array" ref="S192">IF(SUMIF(Производство!$A$104:$A$145,Технологи!$B192,Производство!P$104:P$145)&gt;0,SUMIF(Производство!$A$104:$A$145,Технологи!$B192,Производство!P$104:P$145)*$F192+$G192,0)</f>
        <v>0</v>
      </c>
      <c r="T192" s="46">
        <f t="array" ref="T192">IF(SUMIF(Производство!$A$104:$A$145,Технологи!$B192,Производство!Q$104:Q$145)&gt;0,SUMIF(Производство!$A$104:$A$145,Технологи!$B192,Производство!Q$104:Q$145)*$F192+$G192,0)</f>
        <v>0</v>
      </c>
    </row>
    <row r="193" spans="1:20" x14ac:dyDescent="0.25">
      <c r="A193" s="34" t="s">
        <v>377</v>
      </c>
      <c r="B193" s="13" t="s">
        <v>54</v>
      </c>
      <c r="C193" s="19" t="s">
        <v>17</v>
      </c>
      <c r="D193" s="14">
        <v>7038</v>
      </c>
      <c r="E193" s="20"/>
      <c r="F193" s="24">
        <v>3.8783560869565213E-3</v>
      </c>
      <c r="G193" s="24">
        <v>0.23745813638052768</v>
      </c>
      <c r="H193" s="23">
        <f t="shared" si="9"/>
        <v>3.8783560869565212</v>
      </c>
      <c r="I193" s="46">
        <f t="array" ref="I193">IF(SUMIF(Производство!$A$104:$A$145,Технологи!$B193,Производство!F$104:F$145)&gt;0,SUMIF(Производство!$A$104:$A$145,Технологи!$B193,Производство!F$104:F$145)*$F193+$G193,0)</f>
        <v>0</v>
      </c>
      <c r="J193" s="46">
        <f t="array" ref="J193">IF(SUMIF(Производство!$A$104:$A$145,Технологи!$B193,Производство!G$104:G$145)&gt;0,SUMIF(Производство!$A$104:$A$145,Технологи!$B193,Производство!G$104:G$145)*$F193+$G193,0)</f>
        <v>0</v>
      </c>
      <c r="K193" s="46">
        <f t="array" ref="K193">IF(SUMIF(Производство!$A$104:$A$145,Технологи!$B193,Производство!H$104:H$145)&gt;0,SUMIF(Производство!$A$104:$A$145,Технологи!$B193,Производство!H$104:H$145)*$F193+$G193,0)</f>
        <v>0</v>
      </c>
      <c r="L193" s="46">
        <f t="array" ref="L193">IF(SUMIF(Производство!$A$104:$A$145,Технологи!$B193,Производство!I$104:I$145)&gt;0,SUMIF(Производство!$A$104:$A$145,Технологи!$B193,Производство!I$104:I$145)*$F193+$G193,0)</f>
        <v>0</v>
      </c>
      <c r="M193" s="46">
        <f t="array" ref="M193">IF(SUMIF(Производство!$A$104:$A$145,Технологи!$B193,Производство!J$104:J$145)&gt;0,SUMIF(Производство!$A$104:$A$145,Технологи!$B193,Производство!J$104:J$145)*$F193+$G193,0)</f>
        <v>0</v>
      </c>
      <c r="N193" s="46">
        <f t="array" ref="N193">IF(SUMIF(Производство!$A$104:$A$145,Технологи!$B193,Производство!K$104:K$145)&gt;0,SUMIF(Производство!$A$104:$A$145,Технологи!$B193,Производство!K$104:K$145)*$F193+$G193,0)</f>
        <v>0</v>
      </c>
      <c r="O193" s="46">
        <f t="array" ref="O193">IF(SUMIF(Производство!$A$104:$A$145,Технологи!$B193,Производство!L$104:L$145)&gt;0,SUMIF(Производство!$A$104:$A$145,Технологи!$B193,Производство!L$104:L$145)*$F193+$G193,0)</f>
        <v>0</v>
      </c>
      <c r="P193" s="46">
        <f t="array" ref="P193">IF(SUMIF(Производство!$A$104:$A$145,Технологи!$B193,Производство!M$104:M$145)&gt;0,SUMIF(Производство!$A$104:$A$145,Технологи!$B193,Производство!M$104:M$145)*$F193+$G193,0)</f>
        <v>0</v>
      </c>
      <c r="Q193" s="46">
        <f t="array" ref="Q193">IF(SUMIF(Производство!$A$104:$A$145,Технологи!$B193,Производство!N$104:N$145)&gt;0,SUMIF(Производство!$A$104:$A$145,Технологи!$B193,Производство!N$104:N$145)*$F193+$G193,0)</f>
        <v>0</v>
      </c>
      <c r="R193" s="46">
        <f t="array" ref="R193">IF(SUMIF(Производство!$A$104:$A$145,Технологи!$B193,Производство!O$104:O$145)&gt;0,SUMIF(Производство!$A$104:$A$145,Технологи!$B193,Производство!O$104:O$145)*$F193+$G193,0)</f>
        <v>0</v>
      </c>
      <c r="S193" s="46">
        <f t="array" ref="S193">IF(SUMIF(Производство!$A$104:$A$145,Технологи!$B193,Производство!P$104:P$145)&gt;0,SUMIF(Производство!$A$104:$A$145,Технологи!$B193,Производство!P$104:P$145)*$F193+$G193,0)</f>
        <v>0</v>
      </c>
      <c r="T193" s="46">
        <f t="array" ref="T193">IF(SUMIF(Производство!$A$104:$A$145,Технологи!$B193,Производство!Q$104:Q$145)&gt;0,SUMIF(Производство!$A$104:$A$145,Технологи!$B193,Производство!Q$104:Q$145)*$F193+$G193,0)</f>
        <v>0</v>
      </c>
    </row>
    <row r="194" spans="1:20" x14ac:dyDescent="0.25">
      <c r="A194" s="34" t="s">
        <v>377</v>
      </c>
      <c r="B194" s="13" t="s">
        <v>54</v>
      </c>
      <c r="C194" s="19" t="s">
        <v>18</v>
      </c>
      <c r="D194" s="14">
        <v>7038</v>
      </c>
      <c r="E194" s="20"/>
      <c r="F194" s="24">
        <v>3.501342173913043E-3</v>
      </c>
      <c r="G194" s="24">
        <v>0.21587103307320699</v>
      </c>
      <c r="H194" s="23">
        <f t="shared" si="9"/>
        <v>3.5013421739130428</v>
      </c>
      <c r="I194" s="46">
        <f t="array" ref="I194">IF(SUMIF(Производство!$A$104:$A$145,Технологи!$B194,Производство!F$104:F$145)&gt;0,SUMIF(Производство!$A$104:$A$145,Технологи!$B194,Производство!F$104:F$145)*$F194+$G194,0)</f>
        <v>0</v>
      </c>
      <c r="J194" s="46">
        <f t="array" ref="J194">IF(SUMIF(Производство!$A$104:$A$145,Технологи!$B194,Производство!G$104:G$145)&gt;0,SUMIF(Производство!$A$104:$A$145,Технологи!$B194,Производство!G$104:G$145)*$F194+$G194,0)</f>
        <v>0</v>
      </c>
      <c r="K194" s="46">
        <f t="array" ref="K194">IF(SUMIF(Производство!$A$104:$A$145,Технологи!$B194,Производство!H$104:H$145)&gt;0,SUMIF(Производство!$A$104:$A$145,Технологи!$B194,Производство!H$104:H$145)*$F194+$G194,0)</f>
        <v>0</v>
      </c>
      <c r="L194" s="46">
        <f t="array" ref="L194">IF(SUMIF(Производство!$A$104:$A$145,Технологи!$B194,Производство!I$104:I$145)&gt;0,SUMIF(Производство!$A$104:$A$145,Технологи!$B194,Производство!I$104:I$145)*$F194+$G194,0)</f>
        <v>0</v>
      </c>
      <c r="M194" s="46">
        <f t="array" ref="M194">IF(SUMIF(Производство!$A$104:$A$145,Технологи!$B194,Производство!J$104:J$145)&gt;0,SUMIF(Производство!$A$104:$A$145,Технологи!$B194,Производство!J$104:J$145)*$F194+$G194,0)</f>
        <v>0</v>
      </c>
      <c r="N194" s="46">
        <f t="array" ref="N194">IF(SUMIF(Производство!$A$104:$A$145,Технологи!$B194,Производство!K$104:K$145)&gt;0,SUMIF(Производство!$A$104:$A$145,Технологи!$B194,Производство!K$104:K$145)*$F194+$G194,0)</f>
        <v>0</v>
      </c>
      <c r="O194" s="46">
        <f t="array" ref="O194">IF(SUMIF(Производство!$A$104:$A$145,Технологи!$B194,Производство!L$104:L$145)&gt;0,SUMIF(Производство!$A$104:$A$145,Технологи!$B194,Производство!L$104:L$145)*$F194+$G194,0)</f>
        <v>0</v>
      </c>
      <c r="P194" s="46">
        <f t="array" ref="P194">IF(SUMIF(Производство!$A$104:$A$145,Технологи!$B194,Производство!M$104:M$145)&gt;0,SUMIF(Производство!$A$104:$A$145,Технологи!$B194,Производство!M$104:M$145)*$F194+$G194,0)</f>
        <v>0</v>
      </c>
      <c r="Q194" s="46">
        <f t="array" ref="Q194">IF(SUMIF(Производство!$A$104:$A$145,Технологи!$B194,Производство!N$104:N$145)&gt;0,SUMIF(Производство!$A$104:$A$145,Технологи!$B194,Производство!N$104:N$145)*$F194+$G194,0)</f>
        <v>0</v>
      </c>
      <c r="R194" s="46">
        <f t="array" ref="R194">IF(SUMIF(Производство!$A$104:$A$145,Технологи!$B194,Производство!O$104:O$145)&gt;0,SUMIF(Производство!$A$104:$A$145,Технологи!$B194,Производство!O$104:O$145)*$F194+$G194,0)</f>
        <v>0</v>
      </c>
      <c r="S194" s="46">
        <f t="array" ref="S194">IF(SUMIF(Производство!$A$104:$A$145,Технологи!$B194,Производство!P$104:P$145)&gt;0,SUMIF(Производство!$A$104:$A$145,Технологи!$B194,Производство!P$104:P$145)*$F194+$G194,0)</f>
        <v>0</v>
      </c>
      <c r="T194" s="46">
        <f t="array" ref="T194">IF(SUMIF(Производство!$A$104:$A$145,Технологи!$B194,Производство!Q$104:Q$145)&gt;0,SUMIF(Производство!$A$104:$A$145,Технологи!$B194,Производство!Q$104:Q$145)*$F194+$G194,0)</f>
        <v>0</v>
      </c>
    </row>
    <row r="195" spans="1:20" x14ac:dyDescent="0.25">
      <c r="A195" s="34" t="s">
        <v>377</v>
      </c>
      <c r="B195" s="13" t="s">
        <v>54</v>
      </c>
      <c r="C195" s="19" t="s">
        <v>19</v>
      </c>
      <c r="D195" s="14">
        <v>7038</v>
      </c>
      <c r="E195" s="20"/>
      <c r="F195" s="24">
        <v>0.71359349999999999</v>
      </c>
      <c r="G195" s="24">
        <v>24.975772499999998</v>
      </c>
      <c r="H195" s="23">
        <f t="shared" si="9"/>
        <v>713.59349999999995</v>
      </c>
      <c r="I195" s="46">
        <f t="array" ref="I195">IF(SUMIF(Производство!$A$104:$A$145,Технологи!$B195,Производство!F$104:F$145)&gt;0,SUMIF(Производство!$A$104:$A$145,Технологи!$B195,Производство!F$104:F$145)*$F195+$G195,0)</f>
        <v>0</v>
      </c>
      <c r="J195" s="46">
        <f t="array" ref="J195">IF(SUMIF(Производство!$A$104:$A$145,Технологи!$B195,Производство!G$104:G$145)&gt;0,SUMIF(Производство!$A$104:$A$145,Технологи!$B195,Производство!G$104:G$145)*$F195+$G195,0)</f>
        <v>0</v>
      </c>
      <c r="K195" s="46">
        <f t="array" ref="K195">IF(SUMIF(Производство!$A$104:$A$145,Технологи!$B195,Производство!H$104:H$145)&gt;0,SUMIF(Производство!$A$104:$A$145,Технологи!$B195,Производство!H$104:H$145)*$F195+$G195,0)</f>
        <v>0</v>
      </c>
      <c r="L195" s="46">
        <f t="array" ref="L195">IF(SUMIF(Производство!$A$104:$A$145,Технологи!$B195,Производство!I$104:I$145)&gt;0,SUMIF(Производство!$A$104:$A$145,Технологи!$B195,Производство!I$104:I$145)*$F195+$G195,0)</f>
        <v>0</v>
      </c>
      <c r="M195" s="46">
        <f t="array" ref="M195">IF(SUMIF(Производство!$A$104:$A$145,Технологи!$B195,Производство!J$104:J$145)&gt;0,SUMIF(Производство!$A$104:$A$145,Технологи!$B195,Производство!J$104:J$145)*$F195+$G195,0)</f>
        <v>0</v>
      </c>
      <c r="N195" s="46">
        <f t="array" ref="N195">IF(SUMIF(Производство!$A$104:$A$145,Технологи!$B195,Производство!K$104:K$145)&gt;0,SUMIF(Производство!$A$104:$A$145,Технологи!$B195,Производство!K$104:K$145)*$F195+$G195,0)</f>
        <v>0</v>
      </c>
      <c r="O195" s="46">
        <f t="array" ref="O195">IF(SUMIF(Производство!$A$104:$A$145,Технологи!$B195,Производство!L$104:L$145)&gt;0,SUMIF(Производство!$A$104:$A$145,Технологи!$B195,Производство!L$104:L$145)*$F195+$G195,0)</f>
        <v>0</v>
      </c>
      <c r="P195" s="46">
        <f t="array" ref="P195">IF(SUMIF(Производство!$A$104:$A$145,Технологи!$B195,Производство!M$104:M$145)&gt;0,SUMIF(Производство!$A$104:$A$145,Технологи!$B195,Производство!M$104:M$145)*$F195+$G195,0)</f>
        <v>0</v>
      </c>
      <c r="Q195" s="46">
        <f t="array" ref="Q195">IF(SUMIF(Производство!$A$104:$A$145,Технологи!$B195,Производство!N$104:N$145)&gt;0,SUMIF(Производство!$A$104:$A$145,Технологи!$B195,Производство!N$104:N$145)*$F195+$G195,0)</f>
        <v>0</v>
      </c>
      <c r="R195" s="46">
        <f t="array" ref="R195">IF(SUMIF(Производство!$A$104:$A$145,Технологи!$B195,Производство!O$104:O$145)&gt;0,SUMIF(Производство!$A$104:$A$145,Технологи!$B195,Производство!O$104:O$145)*$F195+$G195,0)</f>
        <v>0</v>
      </c>
      <c r="S195" s="46">
        <f t="array" ref="S195">IF(SUMIF(Производство!$A$104:$A$145,Технологи!$B195,Производство!P$104:P$145)&gt;0,SUMIF(Производство!$A$104:$A$145,Технологи!$B195,Производство!P$104:P$145)*$F195+$G195,0)</f>
        <v>0</v>
      </c>
      <c r="T195" s="46">
        <f t="array" ref="T195">IF(SUMIF(Производство!$A$104:$A$145,Технологи!$B195,Производство!Q$104:Q$145)&gt;0,SUMIF(Производство!$A$104:$A$145,Технологи!$B195,Производство!Q$104:Q$145)*$F195+$G195,0)</f>
        <v>0</v>
      </c>
    </row>
    <row r="196" spans="1:20" x14ac:dyDescent="0.25">
      <c r="A196" s="34" t="s">
        <v>377</v>
      </c>
      <c r="B196" s="13" t="s">
        <v>54</v>
      </c>
      <c r="C196" s="19" t="s">
        <v>20</v>
      </c>
      <c r="D196" s="14">
        <v>7038</v>
      </c>
      <c r="E196" s="20"/>
      <c r="F196" s="24">
        <v>5.5199999999999999E-2</v>
      </c>
      <c r="G196" s="24">
        <v>0.82799999999999985</v>
      </c>
      <c r="H196" s="23">
        <f t="shared" si="9"/>
        <v>55.199999999999996</v>
      </c>
      <c r="I196" s="46">
        <f t="array" ref="I196">IF(SUMIF(Производство!$A$104:$A$145,Технологи!$B196,Производство!F$104:F$145)&gt;0,SUMIF(Производство!$A$104:$A$145,Технологи!$B196,Производство!F$104:F$145)*$F196+$G196,0)</f>
        <v>0</v>
      </c>
      <c r="J196" s="46">
        <f t="array" ref="J196">IF(SUMIF(Производство!$A$104:$A$145,Технологи!$B196,Производство!G$104:G$145)&gt;0,SUMIF(Производство!$A$104:$A$145,Технологи!$B196,Производство!G$104:G$145)*$F196+$G196,0)</f>
        <v>0</v>
      </c>
      <c r="K196" s="46">
        <f t="array" ref="K196">IF(SUMIF(Производство!$A$104:$A$145,Технологи!$B196,Производство!H$104:H$145)&gt;0,SUMIF(Производство!$A$104:$A$145,Технологи!$B196,Производство!H$104:H$145)*$F196+$G196,0)</f>
        <v>0</v>
      </c>
      <c r="L196" s="46">
        <f t="array" ref="L196">IF(SUMIF(Производство!$A$104:$A$145,Технологи!$B196,Производство!I$104:I$145)&gt;0,SUMIF(Производство!$A$104:$A$145,Технологи!$B196,Производство!I$104:I$145)*$F196+$G196,0)</f>
        <v>0</v>
      </c>
      <c r="M196" s="46">
        <f t="array" ref="M196">IF(SUMIF(Производство!$A$104:$A$145,Технологи!$B196,Производство!J$104:J$145)&gt;0,SUMIF(Производство!$A$104:$A$145,Технологи!$B196,Производство!J$104:J$145)*$F196+$G196,0)</f>
        <v>0</v>
      </c>
      <c r="N196" s="46">
        <f t="array" ref="N196">IF(SUMIF(Производство!$A$104:$A$145,Технологи!$B196,Производство!K$104:K$145)&gt;0,SUMIF(Производство!$A$104:$A$145,Технологи!$B196,Производство!K$104:K$145)*$F196+$G196,0)</f>
        <v>0</v>
      </c>
      <c r="O196" s="46">
        <f t="array" ref="O196">IF(SUMIF(Производство!$A$104:$A$145,Технологи!$B196,Производство!L$104:L$145)&gt;0,SUMIF(Производство!$A$104:$A$145,Технологи!$B196,Производство!L$104:L$145)*$F196+$G196,0)</f>
        <v>0</v>
      </c>
      <c r="P196" s="46">
        <f t="array" ref="P196">IF(SUMIF(Производство!$A$104:$A$145,Технологи!$B196,Производство!M$104:M$145)&gt;0,SUMIF(Производство!$A$104:$A$145,Технологи!$B196,Производство!M$104:M$145)*$F196+$G196,0)</f>
        <v>0</v>
      </c>
      <c r="Q196" s="46">
        <f t="array" ref="Q196">IF(SUMIF(Производство!$A$104:$A$145,Технологи!$B196,Производство!N$104:N$145)&gt;0,SUMIF(Производство!$A$104:$A$145,Технологи!$B196,Производство!N$104:N$145)*$F196+$G196,0)</f>
        <v>0</v>
      </c>
      <c r="R196" s="46">
        <f t="array" ref="R196">IF(SUMIF(Производство!$A$104:$A$145,Технологи!$B196,Производство!O$104:O$145)&gt;0,SUMIF(Производство!$A$104:$A$145,Технологи!$B196,Производство!O$104:O$145)*$F196+$G196,0)</f>
        <v>0</v>
      </c>
      <c r="S196" s="46">
        <f t="array" ref="S196">IF(SUMIF(Производство!$A$104:$A$145,Технологи!$B196,Производство!P$104:P$145)&gt;0,SUMIF(Производство!$A$104:$A$145,Технологи!$B196,Производство!P$104:P$145)*$F196+$G196,0)</f>
        <v>0</v>
      </c>
      <c r="T196" s="46">
        <f t="array" ref="T196">IF(SUMIF(Производство!$A$104:$A$145,Технологи!$B196,Производство!Q$104:Q$145)&gt;0,SUMIF(Производство!$A$104:$A$145,Технологи!$B196,Производство!Q$104:Q$145)*$F196+$G196,0)</f>
        <v>0</v>
      </c>
    </row>
    <row r="197" spans="1:20" x14ac:dyDescent="0.25">
      <c r="A197" s="34" t="s">
        <v>377</v>
      </c>
      <c r="B197" s="13" t="s">
        <v>54</v>
      </c>
      <c r="C197" s="19" t="s">
        <v>21</v>
      </c>
      <c r="D197" s="14">
        <v>7038</v>
      </c>
      <c r="E197" s="20"/>
      <c r="F197" s="24">
        <v>3.15E-2</v>
      </c>
      <c r="G197" s="24">
        <v>0.47249999999999998</v>
      </c>
      <c r="H197" s="23">
        <f t="shared" si="9"/>
        <v>31.5</v>
      </c>
      <c r="I197" s="46">
        <f t="array" ref="I197">IF(SUMIF(Производство!$A$104:$A$145,Технологи!$B197,Производство!F$104:F$145)&gt;0,SUMIF(Производство!$A$104:$A$145,Технологи!$B197,Производство!F$104:F$145)*$F197+$G197,0)</f>
        <v>0</v>
      </c>
      <c r="J197" s="46">
        <f t="array" ref="J197">IF(SUMIF(Производство!$A$104:$A$145,Технологи!$B197,Производство!G$104:G$145)&gt;0,SUMIF(Производство!$A$104:$A$145,Технологи!$B197,Производство!G$104:G$145)*$F197+$G197,0)</f>
        <v>0</v>
      </c>
      <c r="K197" s="46">
        <f t="array" ref="K197">IF(SUMIF(Производство!$A$104:$A$145,Технологи!$B197,Производство!H$104:H$145)&gt;0,SUMIF(Производство!$A$104:$A$145,Технологи!$B197,Производство!H$104:H$145)*$F197+$G197,0)</f>
        <v>0</v>
      </c>
      <c r="L197" s="46">
        <f t="array" ref="L197">IF(SUMIF(Производство!$A$104:$A$145,Технологи!$B197,Производство!I$104:I$145)&gt;0,SUMIF(Производство!$A$104:$A$145,Технологи!$B197,Производство!I$104:I$145)*$F197+$G197,0)</f>
        <v>0</v>
      </c>
      <c r="M197" s="46">
        <f t="array" ref="M197">IF(SUMIF(Производство!$A$104:$A$145,Технологи!$B197,Производство!J$104:J$145)&gt;0,SUMIF(Производство!$A$104:$A$145,Технологи!$B197,Производство!J$104:J$145)*$F197+$G197,0)</f>
        <v>0</v>
      </c>
      <c r="N197" s="46">
        <f t="array" ref="N197">IF(SUMIF(Производство!$A$104:$A$145,Технологи!$B197,Производство!K$104:K$145)&gt;0,SUMIF(Производство!$A$104:$A$145,Технологи!$B197,Производство!K$104:K$145)*$F197+$G197,0)</f>
        <v>0</v>
      </c>
      <c r="O197" s="46">
        <f t="array" ref="O197">IF(SUMIF(Производство!$A$104:$A$145,Технологи!$B197,Производство!L$104:L$145)&gt;0,SUMIF(Производство!$A$104:$A$145,Технологи!$B197,Производство!L$104:L$145)*$F197+$G197,0)</f>
        <v>0</v>
      </c>
      <c r="P197" s="46">
        <f t="array" ref="P197">IF(SUMIF(Производство!$A$104:$A$145,Технологи!$B197,Производство!M$104:M$145)&gt;0,SUMIF(Производство!$A$104:$A$145,Технологи!$B197,Производство!M$104:M$145)*$F197+$G197,0)</f>
        <v>0</v>
      </c>
      <c r="Q197" s="46">
        <f t="array" ref="Q197">IF(SUMIF(Производство!$A$104:$A$145,Технологи!$B197,Производство!N$104:N$145)&gt;0,SUMIF(Производство!$A$104:$A$145,Технологи!$B197,Производство!N$104:N$145)*$F197+$G197,0)</f>
        <v>0</v>
      </c>
      <c r="R197" s="46">
        <f t="array" ref="R197">IF(SUMIF(Производство!$A$104:$A$145,Технологи!$B197,Производство!O$104:O$145)&gt;0,SUMIF(Производство!$A$104:$A$145,Технологи!$B197,Производство!O$104:O$145)*$F197+$G197,0)</f>
        <v>0</v>
      </c>
      <c r="S197" s="46">
        <f t="array" ref="S197">IF(SUMIF(Производство!$A$104:$A$145,Технологи!$B197,Производство!P$104:P$145)&gt;0,SUMIF(Производство!$A$104:$A$145,Технологи!$B197,Производство!P$104:P$145)*$F197+$G197,0)</f>
        <v>0</v>
      </c>
      <c r="T197" s="46">
        <f t="array" ref="T197">IF(SUMIF(Производство!$A$104:$A$145,Технологи!$B197,Производство!Q$104:Q$145)&gt;0,SUMIF(Производство!$A$104:$A$145,Технологи!$B197,Производство!Q$104:Q$145)*$F197+$G197,0)</f>
        <v>0</v>
      </c>
    </row>
    <row r="198" spans="1:20" x14ac:dyDescent="0.25">
      <c r="A198" s="34" t="s">
        <v>377</v>
      </c>
      <c r="B198" s="13" t="s">
        <v>54</v>
      </c>
      <c r="C198" s="19" t="s">
        <v>22</v>
      </c>
      <c r="D198" s="14">
        <v>7038</v>
      </c>
      <c r="E198" s="20"/>
      <c r="F198" s="24">
        <v>7.1999999999999995E-2</v>
      </c>
      <c r="G198" s="24">
        <v>1.08</v>
      </c>
      <c r="H198" s="23">
        <f t="shared" si="9"/>
        <v>72</v>
      </c>
      <c r="I198" s="46">
        <f t="array" ref="I198">IF(SUMIF(Производство!$A$104:$A$145,Технологи!$B198,Производство!F$104:F$145)&gt;0,SUMIF(Производство!$A$104:$A$145,Технологи!$B198,Производство!F$104:F$145)*$F198+$G198,0)</f>
        <v>0</v>
      </c>
      <c r="J198" s="46">
        <f t="array" ref="J198">IF(SUMIF(Производство!$A$104:$A$145,Технологи!$B198,Производство!G$104:G$145)&gt;0,SUMIF(Производство!$A$104:$A$145,Технологи!$B198,Производство!G$104:G$145)*$F198+$G198,0)</f>
        <v>0</v>
      </c>
      <c r="K198" s="46">
        <f t="array" ref="K198">IF(SUMIF(Производство!$A$104:$A$145,Технологи!$B198,Производство!H$104:H$145)&gt;0,SUMIF(Производство!$A$104:$A$145,Технологи!$B198,Производство!H$104:H$145)*$F198+$G198,0)</f>
        <v>0</v>
      </c>
      <c r="L198" s="46">
        <f t="array" ref="L198">IF(SUMIF(Производство!$A$104:$A$145,Технологи!$B198,Производство!I$104:I$145)&gt;0,SUMIF(Производство!$A$104:$A$145,Технологи!$B198,Производство!I$104:I$145)*$F198+$G198,0)</f>
        <v>0</v>
      </c>
      <c r="M198" s="46">
        <f t="array" ref="M198">IF(SUMIF(Производство!$A$104:$A$145,Технологи!$B198,Производство!J$104:J$145)&gt;0,SUMIF(Производство!$A$104:$A$145,Технологи!$B198,Производство!J$104:J$145)*$F198+$G198,0)</f>
        <v>0</v>
      </c>
      <c r="N198" s="46">
        <f t="array" ref="N198">IF(SUMIF(Производство!$A$104:$A$145,Технологи!$B198,Производство!K$104:K$145)&gt;0,SUMIF(Производство!$A$104:$A$145,Технологи!$B198,Производство!K$104:K$145)*$F198+$G198,0)</f>
        <v>0</v>
      </c>
      <c r="O198" s="46">
        <f t="array" ref="O198">IF(SUMIF(Производство!$A$104:$A$145,Технологи!$B198,Производство!L$104:L$145)&gt;0,SUMIF(Производство!$A$104:$A$145,Технологи!$B198,Производство!L$104:L$145)*$F198+$G198,0)</f>
        <v>0</v>
      </c>
      <c r="P198" s="46">
        <f t="array" ref="P198">IF(SUMIF(Производство!$A$104:$A$145,Технологи!$B198,Производство!M$104:M$145)&gt;0,SUMIF(Производство!$A$104:$A$145,Технологи!$B198,Производство!M$104:M$145)*$F198+$G198,0)</f>
        <v>0</v>
      </c>
      <c r="Q198" s="46">
        <f t="array" ref="Q198">IF(SUMIF(Производство!$A$104:$A$145,Технологи!$B198,Производство!N$104:N$145)&gt;0,SUMIF(Производство!$A$104:$A$145,Технологи!$B198,Производство!N$104:N$145)*$F198+$G198,0)</f>
        <v>0</v>
      </c>
      <c r="R198" s="46">
        <f t="array" ref="R198">IF(SUMIF(Производство!$A$104:$A$145,Технологи!$B198,Производство!O$104:O$145)&gt;0,SUMIF(Производство!$A$104:$A$145,Технологи!$B198,Производство!O$104:O$145)*$F198+$G198,0)</f>
        <v>0</v>
      </c>
      <c r="S198" s="46">
        <f t="array" ref="S198">IF(SUMIF(Производство!$A$104:$A$145,Технологи!$B198,Производство!P$104:P$145)&gt;0,SUMIF(Производство!$A$104:$A$145,Технологи!$B198,Производство!P$104:P$145)*$F198+$G198,0)</f>
        <v>0</v>
      </c>
      <c r="T198" s="46">
        <f t="array" ref="T198">IF(SUMIF(Производство!$A$104:$A$145,Технологи!$B198,Производство!Q$104:Q$145)&gt;0,SUMIF(Производство!$A$104:$A$145,Технологи!$B198,Производство!Q$104:Q$145)*$F198+$G198,0)</f>
        <v>0</v>
      </c>
    </row>
    <row r="199" spans="1:20" x14ac:dyDescent="0.25">
      <c r="A199" s="34" t="s">
        <v>377</v>
      </c>
      <c r="B199" s="13" t="s">
        <v>54</v>
      </c>
      <c r="C199" s="19" t="s">
        <v>23</v>
      </c>
      <c r="D199" s="14">
        <v>7038</v>
      </c>
      <c r="E199" s="20"/>
      <c r="F199" s="24">
        <v>0</v>
      </c>
      <c r="G199" s="24">
        <v>0</v>
      </c>
      <c r="H199" s="23">
        <f t="shared" si="9"/>
        <v>0</v>
      </c>
      <c r="I199" s="46">
        <f t="array" ref="I199">IF(SUMIF(Производство!$A$104:$A$145,Технологи!$B199,Производство!F$104:F$145)&gt;0,SUMIF(Производство!$A$104:$A$145,Технологи!$B199,Производство!F$104:F$145)*$F199+$G199,0)</f>
        <v>0</v>
      </c>
      <c r="J199" s="46">
        <f t="array" ref="J199">IF(SUMIF(Производство!$A$104:$A$145,Технологи!$B199,Производство!G$104:G$145)&gt;0,SUMIF(Производство!$A$104:$A$145,Технологи!$B199,Производство!G$104:G$145)*$F199+$G199,0)</f>
        <v>0</v>
      </c>
      <c r="K199" s="46">
        <f t="array" ref="K199">IF(SUMIF(Производство!$A$104:$A$145,Технологи!$B199,Производство!H$104:H$145)&gt;0,SUMIF(Производство!$A$104:$A$145,Технологи!$B199,Производство!H$104:H$145)*$F199+$G199,0)</f>
        <v>0</v>
      </c>
      <c r="L199" s="46">
        <f t="array" ref="L199">IF(SUMIF(Производство!$A$104:$A$145,Технологи!$B199,Производство!I$104:I$145)&gt;0,SUMIF(Производство!$A$104:$A$145,Технологи!$B199,Производство!I$104:I$145)*$F199+$G199,0)</f>
        <v>0</v>
      </c>
      <c r="M199" s="46">
        <f t="array" ref="M199">IF(SUMIF(Производство!$A$104:$A$145,Технологи!$B199,Производство!J$104:J$145)&gt;0,SUMIF(Производство!$A$104:$A$145,Технологи!$B199,Производство!J$104:J$145)*$F199+$G199,0)</f>
        <v>0</v>
      </c>
      <c r="N199" s="46">
        <f t="array" ref="N199">IF(SUMIF(Производство!$A$104:$A$145,Технологи!$B199,Производство!K$104:K$145)&gt;0,SUMIF(Производство!$A$104:$A$145,Технологи!$B199,Производство!K$104:K$145)*$F199+$G199,0)</f>
        <v>0</v>
      </c>
      <c r="O199" s="46">
        <f t="array" ref="O199">IF(SUMIF(Производство!$A$104:$A$145,Технологи!$B199,Производство!L$104:L$145)&gt;0,SUMIF(Производство!$A$104:$A$145,Технологи!$B199,Производство!L$104:L$145)*$F199+$G199,0)</f>
        <v>0</v>
      </c>
      <c r="P199" s="46">
        <f t="array" ref="P199">IF(SUMIF(Производство!$A$104:$A$145,Технологи!$B199,Производство!M$104:M$145)&gt;0,SUMIF(Производство!$A$104:$A$145,Технологи!$B199,Производство!M$104:M$145)*$F199+$G199,0)</f>
        <v>0</v>
      </c>
      <c r="Q199" s="46">
        <f t="array" ref="Q199">IF(SUMIF(Производство!$A$104:$A$145,Технологи!$B199,Производство!N$104:N$145)&gt;0,SUMIF(Производство!$A$104:$A$145,Технологи!$B199,Производство!N$104:N$145)*$F199+$G199,0)</f>
        <v>0</v>
      </c>
      <c r="R199" s="46">
        <f t="array" ref="R199">IF(SUMIF(Производство!$A$104:$A$145,Технологи!$B199,Производство!O$104:O$145)&gt;0,SUMIF(Производство!$A$104:$A$145,Технологи!$B199,Производство!O$104:O$145)*$F199+$G199,0)</f>
        <v>0</v>
      </c>
      <c r="S199" s="46">
        <f t="array" ref="S199">IF(SUMIF(Производство!$A$104:$A$145,Технологи!$B199,Производство!P$104:P$145)&gt;0,SUMIF(Производство!$A$104:$A$145,Технологи!$B199,Производство!P$104:P$145)*$F199+$G199,0)</f>
        <v>0</v>
      </c>
      <c r="T199" s="46">
        <f t="array" ref="T199">IF(SUMIF(Производство!$A$104:$A$145,Технологи!$B199,Производство!Q$104:Q$145)&gt;0,SUMIF(Производство!$A$104:$A$145,Технологи!$B199,Производство!Q$104:Q$145)*$F199+$G199,0)</f>
        <v>0</v>
      </c>
    </row>
    <row r="200" spans="1:20" x14ac:dyDescent="0.25">
      <c r="A200" s="34" t="s">
        <v>377</v>
      </c>
      <c r="B200" s="13" t="s">
        <v>52</v>
      </c>
      <c r="C200" s="15" t="s">
        <v>11</v>
      </c>
      <c r="D200" s="14">
        <v>7038</v>
      </c>
      <c r="E200" s="16">
        <v>0.82699999999999996</v>
      </c>
      <c r="F200" s="22">
        <f>SUM(F201:F212)</f>
        <v>0.82840917712647799</v>
      </c>
      <c r="G200" s="22">
        <f>SUM(G201:G212)</f>
        <v>43.595210000000002</v>
      </c>
      <c r="H200" s="23">
        <f t="shared" si="9"/>
        <v>828.40917712647797</v>
      </c>
      <c r="I200" s="46">
        <f t="array" ref="I200">IF(SUMIF(Производство!$A$104:$A$145,Технологи!$B200,Производство!F$104:F$145)&gt;0,SUMIF(Производство!$A$104:$A$145,Технологи!$B200,Производство!F$104:F$145)*$F200+$G200,0)</f>
        <v>14276.230113182628</v>
      </c>
      <c r="J200" s="46">
        <f t="array" ref="J200">IF(SUMIF(Производство!$A$104:$A$145,Технологи!$B200,Производство!G$104:G$145)&gt;0,SUMIF(Производство!$A$104:$A$145,Технологи!$B200,Производство!G$104:G$145)*$F200+$G200,0)</f>
        <v>384.89979097610893</v>
      </c>
      <c r="K200" s="46">
        <f t="array" ref="K200">IF(SUMIF(Производство!$A$104:$A$145,Технологи!$B200,Производство!H$104:H$145)&gt;0,SUMIF(Производство!$A$104:$A$145,Технологи!$B200,Производство!H$104:H$145)*$F200+$G200,0)</f>
        <v>0</v>
      </c>
      <c r="L200" s="46">
        <f t="array" ref="L200">IF(SUMIF(Производство!$A$104:$A$145,Технологи!$B200,Производство!I$104:I$145)&gt;0,SUMIF(Производство!$A$104:$A$145,Технологи!$B200,Производство!I$104:I$145)*$F200+$G200,0)</f>
        <v>3456.6410197610894</v>
      </c>
      <c r="M200" s="46">
        <f t="array" ref="M200">IF(SUMIF(Производство!$A$104:$A$145,Технологи!$B200,Производство!J$104:J$145)&gt;0,SUMIF(Производство!$A$104:$A$145,Технологи!$B200,Производство!J$104:J$145)*$F200+$G200,0)</f>
        <v>0</v>
      </c>
      <c r="N200" s="46">
        <f t="array" ref="N200">IF(SUMIF(Производство!$A$104:$A$145,Технологи!$B200,Производство!K$104:K$145)&gt;0,SUMIF(Производство!$A$104:$A$145,Технологи!$B200,Производство!K$104:K$145)*$F200+$G200,0)</f>
        <v>0</v>
      </c>
      <c r="O200" s="46">
        <f t="array" ref="O200">IF(SUMIF(Производство!$A$104:$A$145,Технологи!$B200,Производство!L$104:L$145)&gt;0,SUMIF(Производство!$A$104:$A$145,Технологи!$B200,Производство!L$104:L$145)*$F200+$G200,0)</f>
        <v>0</v>
      </c>
      <c r="P200" s="46">
        <f t="array" ref="P200">IF(SUMIF(Производство!$A$104:$A$145,Технологи!$B200,Производство!M$104:M$145)&gt;0,SUMIF(Производство!$A$104:$A$145,Технологи!$B200,Производство!M$104:M$145)*$F200+$G200,0)</f>
        <v>0</v>
      </c>
      <c r="Q200" s="46">
        <f t="array" ref="Q200">IF(SUMIF(Производство!$A$104:$A$145,Технологи!$B200,Производство!N$104:N$145)&gt;0,SUMIF(Производство!$A$104:$A$145,Технологи!$B200,Производство!N$104:N$145)*$F200+$G200,0)</f>
        <v>0</v>
      </c>
      <c r="R200" s="46">
        <f t="array" ref="R200">IF(SUMIF(Производство!$A$104:$A$145,Технологи!$B200,Производство!O$104:O$145)&gt;0,SUMIF(Производство!$A$104:$A$145,Технологи!$B200,Производство!O$104:O$145)*$F200+$G200,0)</f>
        <v>0</v>
      </c>
      <c r="S200" s="46">
        <f t="array" ref="S200">IF(SUMIF(Производство!$A$104:$A$145,Технологи!$B200,Производство!P$104:P$145)&gt;0,SUMIF(Производство!$A$104:$A$145,Технологи!$B200,Производство!P$104:P$145)*$F200+$G200,0)</f>
        <v>0</v>
      </c>
      <c r="T200" s="46">
        <f t="array" ref="T200">IF(SUMIF(Производство!$A$104:$A$145,Технологи!$B200,Производство!Q$104:Q$145)&gt;0,SUMIF(Производство!$A$104:$A$145,Технологи!$B200,Производство!Q$104:Q$145)*$F200+$G200,0)</f>
        <v>0</v>
      </c>
    </row>
    <row r="201" spans="1:20" x14ac:dyDescent="0.25">
      <c r="A201" s="34" t="s">
        <v>377</v>
      </c>
      <c r="B201" s="13" t="s">
        <v>52</v>
      </c>
      <c r="C201" s="19" t="s">
        <v>12</v>
      </c>
      <c r="D201" s="14">
        <v>7038</v>
      </c>
      <c r="E201" s="20"/>
      <c r="F201" s="24">
        <v>0.21396997921891792</v>
      </c>
      <c r="G201" s="24">
        <v>19.550748798262074</v>
      </c>
      <c r="H201" s="23">
        <f t="shared" si="9"/>
        <v>213.96997921891793</v>
      </c>
      <c r="I201" s="46">
        <f t="array" ref="I201">IF(SUMIF(Производство!$A$104:$A$145,Технологи!$B201,Производство!F$104:F$145)&gt;0,SUMIF(Производство!$A$104:$A$145,Технологи!$B201,Производство!F$104:F$145)*$F201+$G201,0)</f>
        <v>3695.7009877754926</v>
      </c>
      <c r="J201" s="46">
        <f t="array" ref="J201">IF(SUMIF(Производство!$A$104:$A$145,Технологи!$B201,Производство!G$104:G$145)&gt;0,SUMIF(Производство!$A$104:$A$145,Технологи!$B201,Производство!G$104:G$145)*$F201+$G201,0)</f>
        <v>107.70638023645625</v>
      </c>
      <c r="K201" s="46">
        <f t="array" ref="K201">IF(SUMIF(Производство!$A$104:$A$145,Технологи!$B201,Производство!H$104:H$145)&gt;0,SUMIF(Производство!$A$104:$A$145,Технологи!$B201,Производство!H$104:H$145)*$F201+$G201,0)</f>
        <v>0</v>
      </c>
      <c r="L201" s="46">
        <f t="array" ref="L201">IF(SUMIF(Производство!$A$104:$A$145,Технологи!$B201,Производство!I$104:I$145)&gt;0,SUMIF(Производство!$A$104:$A$145,Технологи!$B201,Производство!I$104:I$145)*$F201+$G201,0)</f>
        <v>901.1070631802038</v>
      </c>
      <c r="M201" s="46">
        <f t="array" ref="M201">IF(SUMIF(Производство!$A$104:$A$145,Технологи!$B201,Производство!J$104:J$145)&gt;0,SUMIF(Производство!$A$104:$A$145,Технологи!$B201,Производство!J$104:J$145)*$F201+$G201,0)</f>
        <v>0</v>
      </c>
      <c r="N201" s="46">
        <f t="array" ref="N201">IF(SUMIF(Производство!$A$104:$A$145,Технологи!$B201,Производство!K$104:K$145)&gt;0,SUMIF(Производство!$A$104:$A$145,Технологи!$B201,Производство!K$104:K$145)*$F201+$G201,0)</f>
        <v>0</v>
      </c>
      <c r="O201" s="46">
        <f t="array" ref="O201">IF(SUMIF(Производство!$A$104:$A$145,Технологи!$B201,Производство!L$104:L$145)&gt;0,SUMIF(Производство!$A$104:$A$145,Технологи!$B201,Производство!L$104:L$145)*$F201+$G201,0)</f>
        <v>0</v>
      </c>
      <c r="P201" s="46">
        <f t="array" ref="P201">IF(SUMIF(Производство!$A$104:$A$145,Технологи!$B201,Производство!M$104:M$145)&gt;0,SUMIF(Производство!$A$104:$A$145,Технологи!$B201,Производство!M$104:M$145)*$F201+$G201,0)</f>
        <v>0</v>
      </c>
      <c r="Q201" s="46">
        <f t="array" ref="Q201">IF(SUMIF(Производство!$A$104:$A$145,Технологи!$B201,Производство!N$104:N$145)&gt;0,SUMIF(Производство!$A$104:$A$145,Технологи!$B201,Производство!N$104:N$145)*$F201+$G201,0)</f>
        <v>0</v>
      </c>
      <c r="R201" s="46">
        <f t="array" ref="R201">IF(SUMIF(Производство!$A$104:$A$145,Технологи!$B201,Производство!O$104:O$145)&gt;0,SUMIF(Производство!$A$104:$A$145,Технологи!$B201,Производство!O$104:O$145)*$F201+$G201,0)</f>
        <v>0</v>
      </c>
      <c r="S201" s="46">
        <f t="array" ref="S201">IF(SUMIF(Производство!$A$104:$A$145,Технологи!$B201,Производство!P$104:P$145)&gt;0,SUMIF(Производство!$A$104:$A$145,Технологи!$B201,Производство!P$104:P$145)*$F201+$G201,0)</f>
        <v>0</v>
      </c>
      <c r="T201" s="46">
        <f t="array" ref="T201">IF(SUMIF(Производство!$A$104:$A$145,Технологи!$B201,Производство!Q$104:Q$145)&gt;0,SUMIF(Производство!$A$104:$A$145,Технологи!$B201,Производство!Q$104:Q$145)*$F201+$G201,0)</f>
        <v>0</v>
      </c>
    </row>
    <row r="202" spans="1:20" x14ac:dyDescent="0.25">
      <c r="A202" s="34" t="s">
        <v>377</v>
      </c>
      <c r="B202" s="13" t="s">
        <v>52</v>
      </c>
      <c r="C202" s="19" t="s">
        <v>13</v>
      </c>
      <c r="D202" s="14">
        <v>7038</v>
      </c>
      <c r="E202" s="20"/>
      <c r="F202" s="24">
        <v>7.5412151200286631E-2</v>
      </c>
      <c r="G202" s="24">
        <v>6.0252221314169967</v>
      </c>
      <c r="H202" s="23">
        <f t="shared" si="9"/>
        <v>75.41215120028663</v>
      </c>
      <c r="I202" s="46">
        <f t="array" ref="I202">IF(SUMIF(Производство!$A$104:$A$145,Технологи!$B202,Производство!F$104:F$145)&gt;0,SUMIF(Производство!$A$104:$A$145,Технологи!$B202,Производство!F$104:F$145)*$F202+$G202,0)</f>
        <v>1301.6574349713483</v>
      </c>
      <c r="J202" s="46">
        <f t="array" ref="J202">IF(SUMIF(Производство!$A$104:$A$145,Технологи!$B202,Производство!G$104:G$145)&gt;0,SUMIF(Производство!$A$104:$A$145,Технологи!$B202,Производство!G$104:G$145)*$F202+$G202,0)</f>
        <v>37.095028425935091</v>
      </c>
      <c r="K202" s="46">
        <f t="array" ref="K202">IF(SUMIF(Производство!$A$104:$A$145,Технологи!$B202,Производство!H$104:H$145)&gt;0,SUMIF(Производство!$A$104:$A$145,Технологи!$B202,Производство!H$104:H$145)*$F202+$G202,0)</f>
        <v>0</v>
      </c>
      <c r="L202" s="46">
        <f t="array" ref="L202">IF(SUMIF(Производство!$A$104:$A$145,Технологи!$B202,Производство!I$104:I$145)&gt;0,SUMIF(Производство!$A$104:$A$145,Технологи!$B202,Производство!I$104:I$145)*$F202+$G202,0)</f>
        <v>316.72328507659796</v>
      </c>
      <c r="M202" s="46">
        <f t="array" ref="M202">IF(SUMIF(Производство!$A$104:$A$145,Технологи!$B202,Производство!J$104:J$145)&gt;0,SUMIF(Производство!$A$104:$A$145,Технологи!$B202,Производство!J$104:J$145)*$F202+$G202,0)</f>
        <v>0</v>
      </c>
      <c r="N202" s="46">
        <f t="array" ref="N202">IF(SUMIF(Производство!$A$104:$A$145,Технологи!$B202,Производство!K$104:K$145)&gt;0,SUMIF(Производство!$A$104:$A$145,Технологи!$B202,Производство!K$104:K$145)*$F202+$G202,0)</f>
        <v>0</v>
      </c>
      <c r="O202" s="46">
        <f t="array" ref="O202">IF(SUMIF(Производство!$A$104:$A$145,Технологи!$B202,Производство!L$104:L$145)&gt;0,SUMIF(Производство!$A$104:$A$145,Технологи!$B202,Производство!L$104:L$145)*$F202+$G202,0)</f>
        <v>0</v>
      </c>
      <c r="P202" s="46">
        <f t="array" ref="P202">IF(SUMIF(Производство!$A$104:$A$145,Технологи!$B202,Производство!M$104:M$145)&gt;0,SUMIF(Производство!$A$104:$A$145,Технологи!$B202,Производство!M$104:M$145)*$F202+$G202,0)</f>
        <v>0</v>
      </c>
      <c r="Q202" s="46">
        <f t="array" ref="Q202">IF(SUMIF(Производство!$A$104:$A$145,Технологи!$B202,Производство!N$104:N$145)&gt;0,SUMIF(Производство!$A$104:$A$145,Технологи!$B202,Производство!N$104:N$145)*$F202+$G202,0)</f>
        <v>0</v>
      </c>
      <c r="R202" s="46">
        <f t="array" ref="R202">IF(SUMIF(Производство!$A$104:$A$145,Технологи!$B202,Производство!O$104:O$145)&gt;0,SUMIF(Производство!$A$104:$A$145,Технологи!$B202,Производство!O$104:O$145)*$F202+$G202,0)</f>
        <v>0</v>
      </c>
      <c r="S202" s="46">
        <f t="array" ref="S202">IF(SUMIF(Производство!$A$104:$A$145,Технологи!$B202,Производство!P$104:P$145)&gt;0,SUMIF(Производство!$A$104:$A$145,Технологи!$B202,Производство!P$104:P$145)*$F202+$G202,0)</f>
        <v>0</v>
      </c>
      <c r="T202" s="46">
        <f t="array" ref="T202">IF(SUMIF(Производство!$A$104:$A$145,Технологи!$B202,Производство!Q$104:Q$145)&gt;0,SUMIF(Производство!$A$104:$A$145,Технологи!$B202,Производство!Q$104:Q$145)*$F202+$G202,0)</f>
        <v>0</v>
      </c>
    </row>
    <row r="203" spans="1:20" x14ac:dyDescent="0.25">
      <c r="A203" s="34" t="s">
        <v>377</v>
      </c>
      <c r="B203" s="13" t="s">
        <v>52</v>
      </c>
      <c r="C203" s="19" t="s">
        <v>14</v>
      </c>
      <c r="D203" s="14">
        <v>7038</v>
      </c>
      <c r="E203" s="20"/>
      <c r="F203" s="24">
        <v>6.463898674310283E-4</v>
      </c>
      <c r="G203" s="24">
        <v>5.8652246394786223E-2</v>
      </c>
      <c r="H203" s="23">
        <f t="shared" si="9"/>
        <v>0.64638986743102833</v>
      </c>
      <c r="I203" s="46">
        <f t="array" ref="I203">IF(SUMIF(Производство!$A$104:$A$145,Технологи!$B203,Производство!F$104:F$145)&gt;0,SUMIF(Производство!$A$104:$A$145,Технологи!$B203,Производство!F$104:F$145)*$F203+$G203,0)</f>
        <v>11.164071213594198</v>
      </c>
      <c r="J203" s="46">
        <f t="array" ref="J203">IF(SUMIF(Производство!$A$104:$A$145,Технологи!$B203,Производство!G$104:G$145)&gt;0,SUMIF(Производство!$A$104:$A$145,Технологи!$B203,Производство!G$104:G$145)*$F203+$G203,0)</f>
        <v>0.3249648717763699</v>
      </c>
      <c r="K203" s="46">
        <f t="array" ref="K203">IF(SUMIF(Производство!$A$104:$A$145,Технологи!$B203,Производство!H$104:H$145)&gt;0,SUMIF(Производство!$A$104:$A$145,Технологи!$B203,Производство!H$104:H$145)*$F203+$G203,0)</f>
        <v>0</v>
      </c>
      <c r="L203" s="46">
        <f t="array" ref="L203">IF(SUMIF(Производство!$A$104:$A$145,Технологи!$B203,Производство!I$104:I$145)&gt;0,SUMIF(Производство!$A$104:$A$145,Технологи!$B203,Производство!I$104:I$145)*$F203+$G203,0)</f>
        <v>2.7217785002106227</v>
      </c>
      <c r="M203" s="46">
        <f t="array" ref="M203">IF(SUMIF(Производство!$A$104:$A$145,Технологи!$B203,Производство!J$104:J$145)&gt;0,SUMIF(Производство!$A$104:$A$145,Технологи!$B203,Производство!J$104:J$145)*$F203+$G203,0)</f>
        <v>0</v>
      </c>
      <c r="N203" s="46">
        <f t="array" ref="N203">IF(SUMIF(Производство!$A$104:$A$145,Технологи!$B203,Производство!K$104:K$145)&gt;0,SUMIF(Производство!$A$104:$A$145,Технологи!$B203,Производство!K$104:K$145)*$F203+$G203,0)</f>
        <v>0</v>
      </c>
      <c r="O203" s="46">
        <f t="array" ref="O203">IF(SUMIF(Производство!$A$104:$A$145,Технологи!$B203,Производство!L$104:L$145)&gt;0,SUMIF(Производство!$A$104:$A$145,Технологи!$B203,Производство!L$104:L$145)*$F203+$G203,0)</f>
        <v>0</v>
      </c>
      <c r="P203" s="46">
        <f t="array" ref="P203">IF(SUMIF(Производство!$A$104:$A$145,Технологи!$B203,Производство!M$104:M$145)&gt;0,SUMIF(Производство!$A$104:$A$145,Технологи!$B203,Производство!M$104:M$145)*$F203+$G203,0)</f>
        <v>0</v>
      </c>
      <c r="Q203" s="46">
        <f t="array" ref="Q203">IF(SUMIF(Производство!$A$104:$A$145,Технологи!$B203,Производство!N$104:N$145)&gt;0,SUMIF(Производство!$A$104:$A$145,Технологи!$B203,Производство!N$104:N$145)*$F203+$G203,0)</f>
        <v>0</v>
      </c>
      <c r="R203" s="46">
        <f t="array" ref="R203">IF(SUMIF(Производство!$A$104:$A$145,Технологи!$B203,Производство!O$104:O$145)&gt;0,SUMIF(Производство!$A$104:$A$145,Технологи!$B203,Производство!O$104:O$145)*$F203+$G203,0)</f>
        <v>0</v>
      </c>
      <c r="S203" s="46">
        <f t="array" ref="S203">IF(SUMIF(Производство!$A$104:$A$145,Технологи!$B203,Производство!P$104:P$145)&gt;0,SUMIF(Производство!$A$104:$A$145,Технологи!$B203,Производство!P$104:P$145)*$F203+$G203,0)</f>
        <v>0</v>
      </c>
      <c r="T203" s="46">
        <f t="array" ref="T203">IF(SUMIF(Производство!$A$104:$A$145,Технологи!$B203,Производство!Q$104:Q$145)&gt;0,SUMIF(Производство!$A$104:$A$145,Технологи!$B203,Производство!Q$104:Q$145)*$F203+$G203,0)</f>
        <v>0</v>
      </c>
    </row>
    <row r="204" spans="1:20" x14ac:dyDescent="0.25">
      <c r="A204" s="34" t="s">
        <v>377</v>
      </c>
      <c r="B204" s="13" t="s">
        <v>52</v>
      </c>
      <c r="C204" s="19" t="s">
        <v>15</v>
      </c>
      <c r="D204" s="14">
        <v>7038</v>
      </c>
      <c r="E204" s="20"/>
      <c r="F204" s="24">
        <v>3.2319493371551415E-4</v>
      </c>
      <c r="G204" s="24">
        <v>2.9326123197393111E-2</v>
      </c>
      <c r="H204" s="23">
        <f t="shared" si="9"/>
        <v>0.32319493371551417</v>
      </c>
      <c r="I204" s="46">
        <f t="array" ref="I204">IF(SUMIF(Производство!$A$104:$A$145,Технологи!$B204,Производство!F$104:F$145)&gt;0,SUMIF(Производство!$A$104:$A$145,Технологи!$B204,Производство!F$104:F$145)*$F204+$G204,0)</f>
        <v>5.5820356067970991</v>
      </c>
      <c r="J204" s="46">
        <f t="array" ref="J204">IF(SUMIF(Производство!$A$104:$A$145,Технологи!$B204,Производство!G$104:G$145)&gt;0,SUMIF(Производство!$A$104:$A$145,Технологи!$B204,Производство!G$104:G$145)*$F204+$G204,0)</f>
        <v>0.16248243588818495</v>
      </c>
      <c r="K204" s="46">
        <f t="array" ref="K204">IF(SUMIF(Производство!$A$104:$A$145,Технологи!$B204,Производство!H$104:H$145)&gt;0,SUMIF(Производство!$A$104:$A$145,Технологи!$B204,Производство!H$104:H$145)*$F204+$G204,0)</f>
        <v>0</v>
      </c>
      <c r="L204" s="46">
        <f t="array" ref="L204">IF(SUMIF(Производство!$A$104:$A$145,Технологи!$B204,Производство!I$104:I$145)&gt;0,SUMIF(Производство!$A$104:$A$145,Технологи!$B204,Производство!I$104:I$145)*$F204+$G204,0)</f>
        <v>1.3608892501053114</v>
      </c>
      <c r="M204" s="46">
        <f t="array" ref="M204">IF(SUMIF(Производство!$A$104:$A$145,Технологи!$B204,Производство!J$104:J$145)&gt;0,SUMIF(Производство!$A$104:$A$145,Технологи!$B204,Производство!J$104:J$145)*$F204+$G204,0)</f>
        <v>0</v>
      </c>
      <c r="N204" s="46">
        <f t="array" ref="N204">IF(SUMIF(Производство!$A$104:$A$145,Технологи!$B204,Производство!K$104:K$145)&gt;0,SUMIF(Производство!$A$104:$A$145,Технологи!$B204,Производство!K$104:K$145)*$F204+$G204,0)</f>
        <v>0</v>
      </c>
      <c r="O204" s="46">
        <f t="array" ref="O204">IF(SUMIF(Производство!$A$104:$A$145,Технологи!$B204,Производство!L$104:L$145)&gt;0,SUMIF(Производство!$A$104:$A$145,Технологи!$B204,Производство!L$104:L$145)*$F204+$G204,0)</f>
        <v>0</v>
      </c>
      <c r="P204" s="46">
        <f t="array" ref="P204">IF(SUMIF(Производство!$A$104:$A$145,Технологи!$B204,Производство!M$104:M$145)&gt;0,SUMIF(Производство!$A$104:$A$145,Технологи!$B204,Производство!M$104:M$145)*$F204+$G204,0)</f>
        <v>0</v>
      </c>
      <c r="Q204" s="46">
        <f t="array" ref="Q204">IF(SUMIF(Производство!$A$104:$A$145,Технологи!$B204,Производство!N$104:N$145)&gt;0,SUMIF(Производство!$A$104:$A$145,Технологи!$B204,Производство!N$104:N$145)*$F204+$G204,0)</f>
        <v>0</v>
      </c>
      <c r="R204" s="46">
        <f t="array" ref="R204">IF(SUMIF(Производство!$A$104:$A$145,Технологи!$B204,Производство!O$104:O$145)&gt;0,SUMIF(Производство!$A$104:$A$145,Технологи!$B204,Производство!O$104:O$145)*$F204+$G204,0)</f>
        <v>0</v>
      </c>
      <c r="S204" s="46">
        <f t="array" ref="S204">IF(SUMIF(Производство!$A$104:$A$145,Технологи!$B204,Производство!P$104:P$145)&gt;0,SUMIF(Производство!$A$104:$A$145,Технологи!$B204,Производство!P$104:P$145)*$F204+$G204,0)</f>
        <v>0</v>
      </c>
      <c r="T204" s="46">
        <f t="array" ref="T204">IF(SUMIF(Производство!$A$104:$A$145,Технологи!$B204,Производство!Q$104:Q$145)&gt;0,SUMIF(Производство!$A$104:$A$145,Технологи!$B204,Производство!Q$104:Q$145)*$F204+$G204,0)</f>
        <v>0</v>
      </c>
    </row>
    <row r="205" spans="1:20" x14ac:dyDescent="0.25">
      <c r="A205" s="34" t="s">
        <v>377</v>
      </c>
      <c r="B205" s="13" t="s">
        <v>52</v>
      </c>
      <c r="C205" s="19" t="s">
        <v>16</v>
      </c>
      <c r="D205" s="14">
        <v>7038</v>
      </c>
      <c r="E205" s="20"/>
      <c r="F205" s="24">
        <v>4.2879327839484048E-3</v>
      </c>
      <c r="G205" s="24">
        <v>0.39101497596524154</v>
      </c>
      <c r="H205" s="23">
        <f t="shared" si="9"/>
        <v>4.2879327839484045</v>
      </c>
      <c r="I205" s="46">
        <f t="array" ref="I205">IF(SUMIF(Производство!$A$104:$A$145,Технологи!$B205,Производство!F$104:F$145)&gt;0,SUMIF(Производство!$A$104:$A$145,Технологи!$B205,Производство!F$104:F$145)*$F205+$G205,0)</f>
        <v>74.060625946495989</v>
      </c>
      <c r="J205" s="46">
        <f t="array" ref="J205">IF(SUMIF(Производство!$A$104:$A$145,Технологи!$B205,Производство!G$104:G$145)&gt;0,SUMIF(Производство!$A$104:$A$145,Технологи!$B205,Производство!G$104:G$145)*$F205+$G205,0)</f>
        <v>2.1576432829519843</v>
      </c>
      <c r="K205" s="46">
        <f t="array" ref="K205">IF(SUMIF(Производство!$A$104:$A$145,Технологи!$B205,Производство!H$104:H$145)&gt;0,SUMIF(Производство!$A$104:$A$145,Технологи!$B205,Производство!H$104:H$145)*$F205+$G205,0)</f>
        <v>0</v>
      </c>
      <c r="L205" s="46">
        <f t="array" ref="L205">IF(SUMIF(Производство!$A$104:$A$145,Технологи!$B205,Производство!I$104:I$145)&gt;0,SUMIF(Производство!$A$104:$A$145,Технологи!$B205,Производство!I$104:I$145)*$F205+$G205,0)</f>
        <v>18.05729804583267</v>
      </c>
      <c r="M205" s="46">
        <f t="array" ref="M205">IF(SUMIF(Производство!$A$104:$A$145,Технологи!$B205,Производство!J$104:J$145)&gt;0,SUMIF(Производство!$A$104:$A$145,Технологи!$B205,Производство!J$104:J$145)*$F205+$G205,0)</f>
        <v>0</v>
      </c>
      <c r="N205" s="46">
        <f t="array" ref="N205">IF(SUMIF(Производство!$A$104:$A$145,Технологи!$B205,Производство!K$104:K$145)&gt;0,SUMIF(Производство!$A$104:$A$145,Технологи!$B205,Производство!K$104:K$145)*$F205+$G205,0)</f>
        <v>0</v>
      </c>
      <c r="O205" s="46">
        <f t="array" ref="O205">IF(SUMIF(Производство!$A$104:$A$145,Технологи!$B205,Производство!L$104:L$145)&gt;0,SUMIF(Производство!$A$104:$A$145,Технологи!$B205,Производство!L$104:L$145)*$F205+$G205,0)</f>
        <v>0</v>
      </c>
      <c r="P205" s="46">
        <f t="array" ref="P205">IF(SUMIF(Производство!$A$104:$A$145,Технологи!$B205,Производство!M$104:M$145)&gt;0,SUMIF(Производство!$A$104:$A$145,Технологи!$B205,Производство!M$104:M$145)*$F205+$G205,0)</f>
        <v>0</v>
      </c>
      <c r="Q205" s="46">
        <f t="array" ref="Q205">IF(SUMIF(Производство!$A$104:$A$145,Технологи!$B205,Производство!N$104:N$145)&gt;0,SUMIF(Производство!$A$104:$A$145,Технологи!$B205,Производство!N$104:N$145)*$F205+$G205,0)</f>
        <v>0</v>
      </c>
      <c r="R205" s="46">
        <f t="array" ref="R205">IF(SUMIF(Производство!$A$104:$A$145,Технологи!$B205,Производство!O$104:O$145)&gt;0,SUMIF(Производство!$A$104:$A$145,Технологи!$B205,Производство!O$104:O$145)*$F205+$G205,0)</f>
        <v>0</v>
      </c>
      <c r="S205" s="46">
        <f t="array" ref="S205">IF(SUMIF(Производство!$A$104:$A$145,Технологи!$B205,Производство!P$104:P$145)&gt;0,SUMIF(Производство!$A$104:$A$145,Технологи!$B205,Производство!P$104:P$145)*$F205+$G205,0)</f>
        <v>0</v>
      </c>
      <c r="T205" s="46">
        <f t="array" ref="T205">IF(SUMIF(Производство!$A$104:$A$145,Технологи!$B205,Производство!Q$104:Q$145)&gt;0,SUMIF(Производство!$A$104:$A$145,Технологи!$B205,Производство!Q$104:Q$145)*$F205+$G205,0)</f>
        <v>0</v>
      </c>
    </row>
    <row r="206" spans="1:20" x14ac:dyDescent="0.25">
      <c r="A206" s="34" t="s">
        <v>377</v>
      </c>
      <c r="B206" s="13" t="s">
        <v>52</v>
      </c>
      <c r="C206" s="19" t="s">
        <v>17</v>
      </c>
      <c r="D206" s="14">
        <v>7038</v>
      </c>
      <c r="E206" s="20"/>
      <c r="F206" s="24">
        <v>2.3818293299892519E-3</v>
      </c>
      <c r="G206" s="24">
        <v>0.21505823678088287</v>
      </c>
      <c r="H206" s="23">
        <f t="shared" si="9"/>
        <v>2.3818293299892517</v>
      </c>
      <c r="I206" s="46">
        <f t="array" ref="I206">IF(SUMIF(Производство!$A$104:$A$145,Технологи!$B206,Производство!F$104:F$145)&gt;0,SUMIF(Производство!$A$104:$A$145,Технологи!$B206,Производство!F$104:F$145)*$F206+$G206,0)</f>
        <v>41.136511295784672</v>
      </c>
      <c r="J206" s="46">
        <f t="array" ref="J206">IF(SUMIF(Производство!$A$104:$A$145,Технологи!$B206,Производство!G$104:G$145)&gt;0,SUMIF(Производство!$A$104:$A$145,Технологи!$B206,Производство!G$104:G$145)*$F206+$G206,0)</f>
        <v>1.1963719207364547</v>
      </c>
      <c r="K206" s="46">
        <f t="array" ref="K206">IF(SUMIF(Производство!$A$104:$A$145,Технологи!$B206,Производство!H$104:H$145)&gt;0,SUMIF(Производство!$A$104:$A$145,Технологи!$B206,Производство!H$104:H$145)*$F206+$G206,0)</f>
        <v>0</v>
      </c>
      <c r="L206" s="46">
        <f t="array" ref="L206">IF(SUMIF(Производство!$A$104:$A$145,Технологи!$B206,Производство!I$104:I$145)&gt;0,SUMIF(Производство!$A$104:$A$145,Технологи!$B206,Производство!I$104:I$145)*$F206+$G206,0)</f>
        <v>10.028195076336601</v>
      </c>
      <c r="M206" s="46">
        <f t="array" ref="M206">IF(SUMIF(Производство!$A$104:$A$145,Технологи!$B206,Производство!J$104:J$145)&gt;0,SUMIF(Производство!$A$104:$A$145,Технологи!$B206,Производство!J$104:J$145)*$F206+$G206,0)</f>
        <v>0</v>
      </c>
      <c r="N206" s="46">
        <f t="array" ref="N206">IF(SUMIF(Производство!$A$104:$A$145,Технологи!$B206,Производство!K$104:K$145)&gt;0,SUMIF(Производство!$A$104:$A$145,Технологи!$B206,Производство!K$104:K$145)*$F206+$G206,0)</f>
        <v>0</v>
      </c>
      <c r="O206" s="46">
        <f t="array" ref="O206">IF(SUMIF(Производство!$A$104:$A$145,Технологи!$B206,Производство!L$104:L$145)&gt;0,SUMIF(Производство!$A$104:$A$145,Технологи!$B206,Производство!L$104:L$145)*$F206+$G206,0)</f>
        <v>0</v>
      </c>
      <c r="P206" s="46">
        <f t="array" ref="P206">IF(SUMIF(Производство!$A$104:$A$145,Технологи!$B206,Производство!M$104:M$145)&gt;0,SUMIF(Производство!$A$104:$A$145,Технологи!$B206,Производство!M$104:M$145)*$F206+$G206,0)</f>
        <v>0</v>
      </c>
      <c r="Q206" s="46">
        <f t="array" ref="Q206">IF(SUMIF(Производство!$A$104:$A$145,Технологи!$B206,Производство!N$104:N$145)&gt;0,SUMIF(Производство!$A$104:$A$145,Технологи!$B206,Производство!N$104:N$145)*$F206+$G206,0)</f>
        <v>0</v>
      </c>
      <c r="R206" s="46">
        <f t="array" ref="R206">IF(SUMIF(Производство!$A$104:$A$145,Технологи!$B206,Производство!O$104:O$145)&gt;0,SUMIF(Производство!$A$104:$A$145,Технологи!$B206,Производство!O$104:O$145)*$F206+$G206,0)</f>
        <v>0</v>
      </c>
      <c r="S206" s="46">
        <f t="array" ref="S206">IF(SUMIF(Производство!$A$104:$A$145,Технологи!$B206,Производство!P$104:P$145)&gt;0,SUMIF(Производство!$A$104:$A$145,Технологи!$B206,Производство!P$104:P$145)*$F206+$G206,0)</f>
        <v>0</v>
      </c>
      <c r="T206" s="46">
        <f t="array" ref="T206">IF(SUMIF(Производство!$A$104:$A$145,Технологи!$B206,Производство!Q$104:Q$145)&gt;0,SUMIF(Производство!$A$104:$A$145,Технологи!$B206,Производство!Q$104:Q$145)*$F206+$G206,0)</f>
        <v>0</v>
      </c>
    </row>
    <row r="207" spans="1:20" x14ac:dyDescent="0.25">
      <c r="A207" s="34" t="s">
        <v>377</v>
      </c>
      <c r="B207" s="13" t="s">
        <v>52</v>
      </c>
      <c r="C207" s="19" t="s">
        <v>18</v>
      </c>
      <c r="D207" s="14">
        <v>7038</v>
      </c>
      <c r="E207" s="20"/>
      <c r="F207" s="24">
        <v>2.1396997921891794E-3</v>
      </c>
      <c r="G207" s="24">
        <v>0.19550748798262077</v>
      </c>
      <c r="H207" s="23">
        <f t="shared" si="9"/>
        <v>2.1396997921891794</v>
      </c>
      <c r="I207" s="46">
        <f t="array" ref="I207">IF(SUMIF(Производство!$A$104:$A$145,Технологи!$B207,Производство!F$104:F$145)&gt;0,SUMIF(Производство!$A$104:$A$145,Технологи!$B207,Производство!F$104:F$145)*$F207+$G207,0)</f>
        <v>36.957009877754935</v>
      </c>
      <c r="J207" s="46">
        <f t="array" ref="J207">IF(SUMIF(Производство!$A$104:$A$145,Технологи!$B207,Производство!G$104:G$145)&gt;0,SUMIF(Производство!$A$104:$A$145,Технологи!$B207,Производство!G$104:G$145)*$F207+$G207,0)</f>
        <v>1.0770638023645627</v>
      </c>
      <c r="K207" s="46">
        <f t="array" ref="K207">IF(SUMIF(Производство!$A$104:$A$145,Технологи!$B207,Производство!H$104:H$145)&gt;0,SUMIF(Производство!$A$104:$A$145,Технологи!$B207,Производство!H$104:H$145)*$F207+$G207,0)</f>
        <v>0</v>
      </c>
      <c r="L207" s="46">
        <f t="array" ref="L207">IF(SUMIF(Производство!$A$104:$A$145,Технологи!$B207,Производство!I$104:I$145)&gt;0,SUMIF(Производство!$A$104:$A$145,Технологи!$B207,Производство!I$104:I$145)*$F207+$G207,0)</f>
        <v>9.0110706318020402</v>
      </c>
      <c r="M207" s="46">
        <f t="array" ref="M207">IF(SUMIF(Производство!$A$104:$A$145,Технологи!$B207,Производство!J$104:J$145)&gt;0,SUMIF(Производство!$A$104:$A$145,Технологи!$B207,Производство!J$104:J$145)*$F207+$G207,0)</f>
        <v>0</v>
      </c>
      <c r="N207" s="46">
        <f t="array" ref="N207">IF(SUMIF(Производство!$A$104:$A$145,Технологи!$B207,Производство!K$104:K$145)&gt;0,SUMIF(Производство!$A$104:$A$145,Технологи!$B207,Производство!K$104:K$145)*$F207+$G207,0)</f>
        <v>0</v>
      </c>
      <c r="O207" s="46">
        <f t="array" ref="O207">IF(SUMIF(Производство!$A$104:$A$145,Технологи!$B207,Производство!L$104:L$145)&gt;0,SUMIF(Производство!$A$104:$A$145,Технологи!$B207,Производство!L$104:L$145)*$F207+$G207,0)</f>
        <v>0</v>
      </c>
      <c r="P207" s="46">
        <f t="array" ref="P207">IF(SUMIF(Производство!$A$104:$A$145,Технологи!$B207,Производство!M$104:M$145)&gt;0,SUMIF(Производство!$A$104:$A$145,Технологи!$B207,Производство!M$104:M$145)*$F207+$G207,0)</f>
        <v>0</v>
      </c>
      <c r="Q207" s="46">
        <f t="array" ref="Q207">IF(SUMIF(Производство!$A$104:$A$145,Технологи!$B207,Производство!N$104:N$145)&gt;0,SUMIF(Производство!$A$104:$A$145,Технологи!$B207,Производство!N$104:N$145)*$F207+$G207,0)</f>
        <v>0</v>
      </c>
      <c r="R207" s="46">
        <f t="array" ref="R207">IF(SUMIF(Производство!$A$104:$A$145,Технологи!$B207,Производство!O$104:O$145)&gt;0,SUMIF(Производство!$A$104:$A$145,Технологи!$B207,Производство!O$104:O$145)*$F207+$G207,0)</f>
        <v>0</v>
      </c>
      <c r="S207" s="46">
        <f t="array" ref="S207">IF(SUMIF(Производство!$A$104:$A$145,Технологи!$B207,Производство!P$104:P$145)&gt;0,SUMIF(Производство!$A$104:$A$145,Технологи!$B207,Производство!P$104:P$145)*$F207+$G207,0)</f>
        <v>0</v>
      </c>
      <c r="T207" s="46">
        <f t="array" ref="T207">IF(SUMIF(Производство!$A$104:$A$145,Технологи!$B207,Производство!Q$104:Q$145)&gt;0,SUMIF(Производство!$A$104:$A$145,Технологи!$B207,Производство!Q$104:Q$145)*$F207+$G207,0)</f>
        <v>0</v>
      </c>
    </row>
    <row r="208" spans="1:20" x14ac:dyDescent="0.25">
      <c r="A208" s="34" t="s">
        <v>377</v>
      </c>
      <c r="B208" s="13" t="s">
        <v>52</v>
      </c>
      <c r="C208" s="19" t="s">
        <v>19</v>
      </c>
      <c r="D208" s="14">
        <v>7038</v>
      </c>
      <c r="E208" s="20"/>
      <c r="F208" s="24">
        <v>0.45954800000000007</v>
      </c>
      <c r="G208" s="24">
        <v>16.084180000000003</v>
      </c>
      <c r="H208" s="23">
        <f t="shared" si="9"/>
        <v>459.54800000000006</v>
      </c>
      <c r="I208" s="46">
        <f t="array" ref="I208">IF(SUMIF(Производство!$A$104:$A$145,Технологи!$B208,Производство!F$104:F$145)&gt;0,SUMIF(Производство!$A$104:$A$145,Технологи!$B208,Производство!F$104:F$145)*$F208+$G208,0)</f>
        <v>7911.4323787913609</v>
      </c>
      <c r="J208" s="46">
        <f t="array" ref="J208">IF(SUMIF(Производство!$A$104:$A$145,Технологи!$B208,Производство!G$104:G$145)&gt;0,SUMIF(Производство!$A$104:$A$145,Технологи!$B208,Производство!G$104:G$145)*$F208+$G208,0)</f>
        <v>205.41795600000003</v>
      </c>
      <c r="K208" s="46">
        <f t="array" ref="K208">IF(SUMIF(Производство!$A$104:$A$145,Технологи!$B208,Производство!H$104:H$145)&gt;0,SUMIF(Производство!$A$104:$A$145,Технологи!$B208,Производство!H$104:H$145)*$F208+$G208,0)</f>
        <v>0</v>
      </c>
      <c r="L208" s="46">
        <f t="array" ref="L208">IF(SUMIF(Производство!$A$104:$A$145,Технологи!$B208,Производство!I$104:I$145)&gt;0,SUMIF(Производство!$A$104:$A$145,Технологи!$B208,Производство!I$104:I$145)*$F208+$G208,0)</f>
        <v>1909.4219400000004</v>
      </c>
      <c r="M208" s="46">
        <f t="array" ref="M208">IF(SUMIF(Производство!$A$104:$A$145,Технологи!$B208,Производство!J$104:J$145)&gt;0,SUMIF(Производство!$A$104:$A$145,Технологи!$B208,Производство!J$104:J$145)*$F208+$G208,0)</f>
        <v>0</v>
      </c>
      <c r="N208" s="46">
        <f t="array" ref="N208">IF(SUMIF(Производство!$A$104:$A$145,Технологи!$B208,Производство!K$104:K$145)&gt;0,SUMIF(Производство!$A$104:$A$145,Технологи!$B208,Производство!K$104:K$145)*$F208+$G208,0)</f>
        <v>0</v>
      </c>
      <c r="O208" s="46">
        <f t="array" ref="O208">IF(SUMIF(Производство!$A$104:$A$145,Технологи!$B208,Производство!L$104:L$145)&gt;0,SUMIF(Производство!$A$104:$A$145,Технологи!$B208,Производство!L$104:L$145)*$F208+$G208,0)</f>
        <v>0</v>
      </c>
      <c r="P208" s="46">
        <f t="array" ref="P208">IF(SUMIF(Производство!$A$104:$A$145,Технологи!$B208,Производство!M$104:M$145)&gt;0,SUMIF(Производство!$A$104:$A$145,Технологи!$B208,Производство!M$104:M$145)*$F208+$G208,0)</f>
        <v>0</v>
      </c>
      <c r="Q208" s="46">
        <f t="array" ref="Q208">IF(SUMIF(Производство!$A$104:$A$145,Технологи!$B208,Производство!N$104:N$145)&gt;0,SUMIF(Производство!$A$104:$A$145,Технологи!$B208,Производство!N$104:N$145)*$F208+$G208,0)</f>
        <v>0</v>
      </c>
      <c r="R208" s="46">
        <f t="array" ref="R208">IF(SUMIF(Производство!$A$104:$A$145,Технологи!$B208,Производство!O$104:O$145)&gt;0,SUMIF(Производство!$A$104:$A$145,Технологи!$B208,Производство!O$104:O$145)*$F208+$G208,0)</f>
        <v>0</v>
      </c>
      <c r="S208" s="46">
        <f t="array" ref="S208">IF(SUMIF(Производство!$A$104:$A$145,Технологи!$B208,Производство!P$104:P$145)&gt;0,SUMIF(Производство!$A$104:$A$145,Технологи!$B208,Производство!P$104:P$145)*$F208+$G208,0)</f>
        <v>0</v>
      </c>
      <c r="T208" s="46">
        <f t="array" ref="T208">IF(SUMIF(Производство!$A$104:$A$145,Технологи!$B208,Производство!Q$104:Q$145)&gt;0,SUMIF(Производство!$A$104:$A$145,Технологи!$B208,Производство!Q$104:Q$145)*$F208+$G208,0)</f>
        <v>0</v>
      </c>
    </row>
    <row r="209" spans="1:20" x14ac:dyDescent="0.25">
      <c r="A209" s="34" t="s">
        <v>377</v>
      </c>
      <c r="B209" s="13" t="s">
        <v>52</v>
      </c>
      <c r="C209" s="19" t="s">
        <v>20</v>
      </c>
      <c r="D209" s="14">
        <v>7038</v>
      </c>
      <c r="E209" s="20"/>
      <c r="F209" s="24">
        <v>3.1199999999999999E-2</v>
      </c>
      <c r="G209" s="24">
        <v>0.46800000000000003</v>
      </c>
      <c r="H209" s="23">
        <f t="shared" si="9"/>
        <v>31.2</v>
      </c>
      <c r="I209" s="46">
        <f t="array" ref="I209">IF(SUMIF(Производство!$A$104:$A$145,Технологи!$B209,Производство!F$104:F$145)&gt;0,SUMIF(Производство!$A$104:$A$145,Технологи!$B209,Производство!F$104:F$145)*$F209+$G209,0)</f>
        <v>536.50528838399998</v>
      </c>
      <c r="J209" s="46">
        <f t="array" ref="J209">IF(SUMIF(Производство!$A$104:$A$145,Технологи!$B209,Производство!G$104:G$145)&gt;0,SUMIF(Производство!$A$104:$A$145,Технологи!$B209,Производство!G$104:G$145)*$F209+$G209,0)</f>
        <v>13.3224</v>
      </c>
      <c r="K209" s="46">
        <f t="array" ref="K209">IF(SUMIF(Производство!$A$104:$A$145,Технологи!$B209,Производство!H$104:H$145)&gt;0,SUMIF(Производство!$A$104:$A$145,Технологи!$B209,Производство!H$104:H$145)*$F209+$G209,0)</f>
        <v>0</v>
      </c>
      <c r="L209" s="46">
        <f t="array" ref="L209">IF(SUMIF(Производство!$A$104:$A$145,Технологи!$B209,Производство!I$104:I$145)&gt;0,SUMIF(Производство!$A$104:$A$145,Технологи!$B209,Производство!I$104:I$145)*$F209+$G209,0)</f>
        <v>129.01199999999997</v>
      </c>
      <c r="M209" s="46">
        <f t="array" ref="M209">IF(SUMIF(Производство!$A$104:$A$145,Технологи!$B209,Производство!J$104:J$145)&gt;0,SUMIF(Производство!$A$104:$A$145,Технологи!$B209,Производство!J$104:J$145)*$F209+$G209,0)</f>
        <v>0</v>
      </c>
      <c r="N209" s="46">
        <f t="array" ref="N209">IF(SUMIF(Производство!$A$104:$A$145,Технологи!$B209,Производство!K$104:K$145)&gt;0,SUMIF(Производство!$A$104:$A$145,Технологи!$B209,Производство!K$104:K$145)*$F209+$G209,0)</f>
        <v>0</v>
      </c>
      <c r="O209" s="46">
        <f t="array" ref="O209">IF(SUMIF(Производство!$A$104:$A$145,Технологи!$B209,Производство!L$104:L$145)&gt;0,SUMIF(Производство!$A$104:$A$145,Технологи!$B209,Производство!L$104:L$145)*$F209+$G209,0)</f>
        <v>0</v>
      </c>
      <c r="P209" s="46">
        <f t="array" ref="P209">IF(SUMIF(Производство!$A$104:$A$145,Технологи!$B209,Производство!M$104:M$145)&gt;0,SUMIF(Производство!$A$104:$A$145,Технологи!$B209,Производство!M$104:M$145)*$F209+$G209,0)</f>
        <v>0</v>
      </c>
      <c r="Q209" s="46">
        <f t="array" ref="Q209">IF(SUMIF(Производство!$A$104:$A$145,Технологи!$B209,Производство!N$104:N$145)&gt;0,SUMIF(Производство!$A$104:$A$145,Технологи!$B209,Производство!N$104:N$145)*$F209+$G209,0)</f>
        <v>0</v>
      </c>
      <c r="R209" s="46">
        <f t="array" ref="R209">IF(SUMIF(Производство!$A$104:$A$145,Технологи!$B209,Производство!O$104:O$145)&gt;0,SUMIF(Производство!$A$104:$A$145,Технологи!$B209,Производство!O$104:O$145)*$F209+$G209,0)</f>
        <v>0</v>
      </c>
      <c r="S209" s="46">
        <f t="array" ref="S209">IF(SUMIF(Производство!$A$104:$A$145,Технологи!$B209,Производство!P$104:P$145)&gt;0,SUMIF(Производство!$A$104:$A$145,Технологи!$B209,Производство!P$104:P$145)*$F209+$G209,0)</f>
        <v>0</v>
      </c>
      <c r="T209" s="46">
        <f t="array" ref="T209">IF(SUMIF(Производство!$A$104:$A$145,Технологи!$B209,Производство!Q$104:Q$145)&gt;0,SUMIF(Производство!$A$104:$A$145,Технологи!$B209,Производство!Q$104:Q$145)*$F209+$G209,0)</f>
        <v>0</v>
      </c>
    </row>
    <row r="210" spans="1:20" x14ac:dyDescent="0.25">
      <c r="A210" s="34" t="s">
        <v>377</v>
      </c>
      <c r="B210" s="13" t="s">
        <v>52</v>
      </c>
      <c r="C210" s="19" t="s">
        <v>21</v>
      </c>
      <c r="D210" s="14">
        <v>7038</v>
      </c>
      <c r="E210" s="20"/>
      <c r="F210" s="24">
        <v>3.85E-2</v>
      </c>
      <c r="G210" s="24">
        <v>0.57750000000000001</v>
      </c>
      <c r="H210" s="23">
        <f t="shared" si="9"/>
        <v>38.5</v>
      </c>
      <c r="I210" s="46">
        <f t="array" ref="I210">IF(SUMIF(Производство!$A$104:$A$145,Технологи!$B210,Производство!F$104:F$145)&gt;0,SUMIF(Производство!$A$104:$A$145,Технологи!$B210,Производство!F$104:F$145)*$F210+$G210,0)</f>
        <v>662.03376931999992</v>
      </c>
      <c r="J210" s="46">
        <f t="array" ref="J210">IF(SUMIF(Производство!$A$104:$A$145,Технологи!$B210,Производство!G$104:G$145)&gt;0,SUMIF(Производство!$A$104:$A$145,Технологи!$B210,Производство!G$104:G$145)*$F210+$G210,0)</f>
        <v>16.439499999999999</v>
      </c>
      <c r="K210" s="46">
        <f t="array" ref="K210">IF(SUMIF(Производство!$A$104:$A$145,Технологи!$B210,Производство!H$104:H$145)&gt;0,SUMIF(Производство!$A$104:$A$145,Технологи!$B210,Производство!H$104:H$145)*$F210+$G210,0)</f>
        <v>0</v>
      </c>
      <c r="L210" s="46">
        <f t="array" ref="L210">IF(SUMIF(Производство!$A$104:$A$145,Технологи!$B210,Производство!I$104:I$145)&gt;0,SUMIF(Производство!$A$104:$A$145,Технологи!$B210,Производство!I$104:I$145)*$F210+$G210,0)</f>
        <v>159.19749999999999</v>
      </c>
      <c r="M210" s="46">
        <f t="array" ref="M210">IF(SUMIF(Производство!$A$104:$A$145,Технологи!$B210,Производство!J$104:J$145)&gt;0,SUMIF(Производство!$A$104:$A$145,Технологи!$B210,Производство!J$104:J$145)*$F210+$G210,0)</f>
        <v>0</v>
      </c>
      <c r="N210" s="46">
        <f t="array" ref="N210">IF(SUMIF(Производство!$A$104:$A$145,Технологи!$B210,Производство!K$104:K$145)&gt;0,SUMIF(Производство!$A$104:$A$145,Технологи!$B210,Производство!K$104:K$145)*$F210+$G210,0)</f>
        <v>0</v>
      </c>
      <c r="O210" s="46">
        <f t="array" ref="O210">IF(SUMIF(Производство!$A$104:$A$145,Технологи!$B210,Производство!L$104:L$145)&gt;0,SUMIF(Производство!$A$104:$A$145,Технологи!$B210,Производство!L$104:L$145)*$F210+$G210,0)</f>
        <v>0</v>
      </c>
      <c r="P210" s="46">
        <f t="array" ref="P210">IF(SUMIF(Производство!$A$104:$A$145,Технологи!$B210,Производство!M$104:M$145)&gt;0,SUMIF(Производство!$A$104:$A$145,Технологи!$B210,Производство!M$104:M$145)*$F210+$G210,0)</f>
        <v>0</v>
      </c>
      <c r="Q210" s="46">
        <f t="array" ref="Q210">IF(SUMIF(Производство!$A$104:$A$145,Технологи!$B210,Производство!N$104:N$145)&gt;0,SUMIF(Производство!$A$104:$A$145,Технологи!$B210,Производство!N$104:N$145)*$F210+$G210,0)</f>
        <v>0</v>
      </c>
      <c r="R210" s="46">
        <f t="array" ref="R210">IF(SUMIF(Производство!$A$104:$A$145,Технологи!$B210,Производство!O$104:O$145)&gt;0,SUMIF(Производство!$A$104:$A$145,Технологи!$B210,Производство!O$104:O$145)*$F210+$G210,0)</f>
        <v>0</v>
      </c>
      <c r="S210" s="46">
        <f t="array" ref="S210">IF(SUMIF(Производство!$A$104:$A$145,Технологи!$B210,Производство!P$104:P$145)&gt;0,SUMIF(Производство!$A$104:$A$145,Технологи!$B210,Производство!P$104:P$145)*$F210+$G210,0)</f>
        <v>0</v>
      </c>
      <c r="T210" s="46">
        <f t="array" ref="T210">IF(SUMIF(Производство!$A$104:$A$145,Технологи!$B210,Производство!Q$104:Q$145)&gt;0,SUMIF(Производство!$A$104:$A$145,Технологи!$B210,Производство!Q$104:Q$145)*$F210+$G210,0)</f>
        <v>0</v>
      </c>
    </row>
    <row r="211" spans="1:20" x14ac:dyDescent="0.25">
      <c r="A211" s="34" t="s">
        <v>377</v>
      </c>
      <c r="B211" s="13" t="s">
        <v>52</v>
      </c>
      <c r="C211" s="19" t="s">
        <v>22</v>
      </c>
      <c r="D211" s="14">
        <v>7038</v>
      </c>
      <c r="E211" s="20"/>
      <c r="F211" s="24">
        <v>0</v>
      </c>
      <c r="G211" s="24">
        <v>0</v>
      </c>
      <c r="H211" s="23">
        <f t="shared" si="9"/>
        <v>0</v>
      </c>
      <c r="I211" s="46">
        <f t="array" ref="I211">IF(SUMIF(Производство!$A$104:$A$145,Технологи!$B211,Производство!F$104:F$145)&gt;0,SUMIF(Производство!$A$104:$A$145,Технологи!$B211,Производство!F$104:F$145)*$F211+$G211,0)</f>
        <v>0</v>
      </c>
      <c r="J211" s="46">
        <f t="array" ref="J211">IF(SUMIF(Производство!$A$104:$A$145,Технологи!$B211,Производство!G$104:G$145)&gt;0,SUMIF(Производство!$A$104:$A$145,Технологи!$B211,Производство!G$104:G$145)*$F211+$G211,0)</f>
        <v>0</v>
      </c>
      <c r="K211" s="46">
        <f t="array" ref="K211">IF(SUMIF(Производство!$A$104:$A$145,Технологи!$B211,Производство!H$104:H$145)&gt;0,SUMIF(Производство!$A$104:$A$145,Технологи!$B211,Производство!H$104:H$145)*$F211+$G211,0)</f>
        <v>0</v>
      </c>
      <c r="L211" s="46">
        <f t="array" ref="L211">IF(SUMIF(Производство!$A$104:$A$145,Технологи!$B211,Производство!I$104:I$145)&gt;0,SUMIF(Производство!$A$104:$A$145,Технологи!$B211,Производство!I$104:I$145)*$F211+$G211,0)</f>
        <v>0</v>
      </c>
      <c r="M211" s="46">
        <f t="array" ref="M211">IF(SUMIF(Производство!$A$104:$A$145,Технологи!$B211,Производство!J$104:J$145)&gt;0,SUMIF(Производство!$A$104:$A$145,Технологи!$B211,Производство!J$104:J$145)*$F211+$G211,0)</f>
        <v>0</v>
      </c>
      <c r="N211" s="46">
        <f t="array" ref="N211">IF(SUMIF(Производство!$A$104:$A$145,Технологи!$B211,Производство!K$104:K$145)&gt;0,SUMIF(Производство!$A$104:$A$145,Технологи!$B211,Производство!K$104:K$145)*$F211+$G211,0)</f>
        <v>0</v>
      </c>
      <c r="O211" s="46">
        <f t="array" ref="O211">IF(SUMIF(Производство!$A$104:$A$145,Технологи!$B211,Производство!L$104:L$145)&gt;0,SUMIF(Производство!$A$104:$A$145,Технологи!$B211,Производство!L$104:L$145)*$F211+$G211,0)</f>
        <v>0</v>
      </c>
      <c r="P211" s="46">
        <f t="array" ref="P211">IF(SUMIF(Производство!$A$104:$A$145,Технологи!$B211,Производство!M$104:M$145)&gt;0,SUMIF(Производство!$A$104:$A$145,Технологи!$B211,Производство!M$104:M$145)*$F211+$G211,0)</f>
        <v>0</v>
      </c>
      <c r="Q211" s="46">
        <f t="array" ref="Q211">IF(SUMIF(Производство!$A$104:$A$145,Технологи!$B211,Производство!N$104:N$145)&gt;0,SUMIF(Производство!$A$104:$A$145,Технологи!$B211,Производство!N$104:N$145)*$F211+$G211,0)</f>
        <v>0</v>
      </c>
      <c r="R211" s="46">
        <f t="array" ref="R211">IF(SUMIF(Производство!$A$104:$A$145,Технологи!$B211,Производство!O$104:O$145)&gt;0,SUMIF(Производство!$A$104:$A$145,Технологи!$B211,Производство!O$104:O$145)*$F211+$G211,0)</f>
        <v>0</v>
      </c>
      <c r="S211" s="46">
        <f t="array" ref="S211">IF(SUMIF(Производство!$A$104:$A$145,Технологи!$B211,Производство!P$104:P$145)&gt;0,SUMIF(Производство!$A$104:$A$145,Технологи!$B211,Производство!P$104:P$145)*$F211+$G211,0)</f>
        <v>0</v>
      </c>
      <c r="T211" s="46">
        <f t="array" ref="T211">IF(SUMIF(Производство!$A$104:$A$145,Технологи!$B211,Производство!Q$104:Q$145)&gt;0,SUMIF(Производство!$A$104:$A$145,Технологи!$B211,Производство!Q$104:Q$145)*$F211+$G211,0)</f>
        <v>0</v>
      </c>
    </row>
    <row r="212" spans="1:20" x14ac:dyDescent="0.25">
      <c r="A212" s="34" t="s">
        <v>377</v>
      </c>
      <c r="B212" s="13" t="s">
        <v>52</v>
      </c>
      <c r="C212" s="19" t="s">
        <v>23</v>
      </c>
      <c r="D212" s="14">
        <v>7038</v>
      </c>
      <c r="E212" s="20"/>
      <c r="F212" s="24">
        <v>0</v>
      </c>
      <c r="G212" s="24">
        <v>0</v>
      </c>
      <c r="H212" s="23">
        <f t="shared" si="9"/>
        <v>0</v>
      </c>
      <c r="I212" s="46">
        <f t="array" ref="I212">IF(SUMIF(Производство!$A$104:$A$145,Технологи!$B212,Производство!F$104:F$145)&gt;0,SUMIF(Производство!$A$104:$A$145,Технологи!$B212,Производство!F$104:F$145)*$F212+$G212,0)</f>
        <v>0</v>
      </c>
      <c r="J212" s="46">
        <f t="array" ref="J212">IF(SUMIF(Производство!$A$104:$A$145,Технологи!$B212,Производство!G$104:G$145)&gt;0,SUMIF(Производство!$A$104:$A$145,Технологи!$B212,Производство!G$104:G$145)*$F212+$G212,0)</f>
        <v>0</v>
      </c>
      <c r="K212" s="46">
        <f t="array" ref="K212">IF(SUMIF(Производство!$A$104:$A$145,Технологи!$B212,Производство!H$104:H$145)&gt;0,SUMIF(Производство!$A$104:$A$145,Технологи!$B212,Производство!H$104:H$145)*$F212+$G212,0)</f>
        <v>0</v>
      </c>
      <c r="L212" s="46">
        <f t="array" ref="L212">IF(SUMIF(Производство!$A$104:$A$145,Технологи!$B212,Производство!I$104:I$145)&gt;0,SUMIF(Производство!$A$104:$A$145,Технологи!$B212,Производство!I$104:I$145)*$F212+$G212,0)</f>
        <v>0</v>
      </c>
      <c r="M212" s="46">
        <f t="array" ref="M212">IF(SUMIF(Производство!$A$104:$A$145,Технологи!$B212,Производство!J$104:J$145)&gt;0,SUMIF(Производство!$A$104:$A$145,Технологи!$B212,Производство!J$104:J$145)*$F212+$G212,0)</f>
        <v>0</v>
      </c>
      <c r="N212" s="46">
        <f t="array" ref="N212">IF(SUMIF(Производство!$A$104:$A$145,Технологи!$B212,Производство!K$104:K$145)&gt;0,SUMIF(Производство!$A$104:$A$145,Технологи!$B212,Производство!K$104:K$145)*$F212+$G212,0)</f>
        <v>0</v>
      </c>
      <c r="O212" s="46">
        <f t="array" ref="O212">IF(SUMIF(Производство!$A$104:$A$145,Технологи!$B212,Производство!L$104:L$145)&gt;0,SUMIF(Производство!$A$104:$A$145,Технологи!$B212,Производство!L$104:L$145)*$F212+$G212,0)</f>
        <v>0</v>
      </c>
      <c r="P212" s="46">
        <f t="array" ref="P212">IF(SUMIF(Производство!$A$104:$A$145,Технологи!$B212,Производство!M$104:M$145)&gt;0,SUMIF(Производство!$A$104:$A$145,Технологи!$B212,Производство!M$104:M$145)*$F212+$G212,0)</f>
        <v>0</v>
      </c>
      <c r="Q212" s="46">
        <f t="array" ref="Q212">IF(SUMIF(Производство!$A$104:$A$145,Технологи!$B212,Производство!N$104:N$145)&gt;0,SUMIF(Производство!$A$104:$A$145,Технологи!$B212,Производство!N$104:N$145)*$F212+$G212,0)</f>
        <v>0</v>
      </c>
      <c r="R212" s="46">
        <f t="array" ref="R212">IF(SUMIF(Производство!$A$104:$A$145,Технологи!$B212,Производство!O$104:O$145)&gt;0,SUMIF(Производство!$A$104:$A$145,Технологи!$B212,Производство!O$104:O$145)*$F212+$G212,0)</f>
        <v>0</v>
      </c>
      <c r="S212" s="46">
        <f t="array" ref="S212">IF(SUMIF(Производство!$A$104:$A$145,Технологи!$B212,Производство!P$104:P$145)&gt;0,SUMIF(Производство!$A$104:$A$145,Технологи!$B212,Производство!P$104:P$145)*$F212+$G212,0)</f>
        <v>0</v>
      </c>
      <c r="T212" s="46">
        <f t="array" ref="T212">IF(SUMIF(Производство!$A$104:$A$145,Технологи!$B212,Производство!Q$104:Q$145)&gt;0,SUMIF(Производство!$A$104:$A$145,Технологи!$B212,Производство!Q$104:Q$145)*$F212+$G212,0)</f>
        <v>0</v>
      </c>
    </row>
    <row r="213" spans="1:20" x14ac:dyDescent="0.25">
      <c r="A213" s="34" t="s">
        <v>377</v>
      </c>
      <c r="B213" s="13" t="s">
        <v>50</v>
      </c>
      <c r="C213" s="15" t="s">
        <v>11</v>
      </c>
      <c r="D213" s="14">
        <v>7038</v>
      </c>
      <c r="E213" s="16">
        <v>0.53100000000000003</v>
      </c>
      <c r="F213" s="22">
        <f>SUM(F214:F225)</f>
        <v>0.53203865557515806</v>
      </c>
      <c r="G213" s="22">
        <f>SUM(G214:G225)</f>
        <v>35.749046000000007</v>
      </c>
      <c r="H213" s="23">
        <f t="shared" ref="H213:H238" si="10">F213*1000</f>
        <v>532.03865557515803</v>
      </c>
      <c r="I213" s="46">
        <f t="array" ref="I213">IF(SUMIF(Производство!$A$104:$A$145,Технологи!$B213,Производство!F$104:F$145)&gt;0,SUMIF(Производство!$A$104:$A$145,Технологи!$B213,Производство!F$104:F$145)*$F213+$G213,0)</f>
        <v>303.89652840987969</v>
      </c>
      <c r="J213" s="46">
        <f t="array" ref="J213">IF(SUMIF(Производство!$A$104:$A$145,Технологи!$B213,Производство!G$104:G$145)&gt;0,SUMIF(Производство!$A$104:$A$145,Технологи!$B213,Производство!G$104:G$145)*$F213+$G213,0)</f>
        <v>303.89652840987969</v>
      </c>
      <c r="K213" s="46">
        <f t="array" ref="K213">IF(SUMIF(Производство!$A$104:$A$145,Технологи!$B213,Производство!H$104:H$145)&gt;0,SUMIF(Производство!$A$104:$A$145,Технологи!$B213,Производство!H$104:H$145)*$F213+$G213,0)</f>
        <v>303.89652840987969</v>
      </c>
      <c r="L213" s="46">
        <f t="array" ref="L213">IF(SUMIF(Производство!$A$104:$A$145,Технологи!$B213,Производство!I$104:I$145)&gt;0,SUMIF(Производство!$A$104:$A$145,Технологи!$B213,Производство!I$104:I$145)*$F213+$G213,0)</f>
        <v>303.89652840987969</v>
      </c>
      <c r="M213" s="46">
        <f t="array" ref="M213">IF(SUMIF(Производство!$A$104:$A$145,Технологи!$B213,Производство!J$104:J$145)&gt;0,SUMIF(Производство!$A$104:$A$145,Технологи!$B213,Производство!J$104:J$145)*$F213+$G213,0)</f>
        <v>303.89652840987969</v>
      </c>
      <c r="N213" s="46">
        <f t="array" ref="N213">IF(SUMIF(Производство!$A$104:$A$145,Технологи!$B213,Производство!K$104:K$145)&gt;0,SUMIF(Производство!$A$104:$A$145,Технологи!$B213,Производство!K$104:K$145)*$F213+$G213,0)</f>
        <v>303.89652840987969</v>
      </c>
      <c r="O213" s="46">
        <f t="array" ref="O213">IF(SUMIF(Производство!$A$104:$A$145,Технологи!$B213,Производство!L$104:L$145)&gt;0,SUMIF(Производство!$A$104:$A$145,Технологи!$B213,Производство!L$104:L$145)*$F213+$G213,0)</f>
        <v>303.89652840987969</v>
      </c>
      <c r="P213" s="46">
        <f t="array" ref="P213">IF(SUMIF(Производство!$A$104:$A$145,Технологи!$B213,Производство!M$104:M$145)&gt;0,SUMIF(Производство!$A$104:$A$145,Технологи!$B213,Производство!M$104:M$145)*$F213+$G213,0)</f>
        <v>303.89652840987969</v>
      </c>
      <c r="Q213" s="46">
        <f t="array" ref="Q213">IF(SUMIF(Производство!$A$104:$A$145,Технологи!$B213,Производство!N$104:N$145)&gt;0,SUMIF(Производство!$A$104:$A$145,Технологи!$B213,Производство!N$104:N$145)*$F213+$G213,0)</f>
        <v>303.89652840987969</v>
      </c>
      <c r="R213" s="46">
        <f t="array" ref="R213">IF(SUMIF(Производство!$A$104:$A$145,Технологи!$B213,Производство!O$104:O$145)&gt;0,SUMIF(Производство!$A$104:$A$145,Технологи!$B213,Производство!O$104:O$145)*$F213+$G213,0)</f>
        <v>303.89652840987969</v>
      </c>
      <c r="S213" s="46">
        <f t="array" ref="S213">IF(SUMIF(Производство!$A$104:$A$145,Технологи!$B213,Производство!P$104:P$145)&gt;0,SUMIF(Производство!$A$104:$A$145,Технологи!$B213,Производство!P$104:P$145)*$F213+$G213,0)</f>
        <v>303.89652840987969</v>
      </c>
      <c r="T213" s="46">
        <f t="array" ref="T213">IF(SUMIF(Производство!$A$104:$A$145,Технологи!$B213,Производство!Q$104:Q$145)&gt;0,SUMIF(Производство!$A$104:$A$145,Технологи!$B213,Производство!Q$104:Q$145)*$F213+$G213,0)</f>
        <v>303.89652840987969</v>
      </c>
    </row>
    <row r="214" spans="1:20" x14ac:dyDescent="0.25">
      <c r="A214" s="34" t="s">
        <v>377</v>
      </c>
      <c r="B214" s="13" t="s">
        <v>50</v>
      </c>
      <c r="C214" s="19" t="s">
        <v>12</v>
      </c>
      <c r="D214" s="14">
        <v>7038</v>
      </c>
      <c r="E214" s="20"/>
      <c r="F214" s="24">
        <v>0.138790145206243</v>
      </c>
      <c r="G214" s="24">
        <v>18.4222936640654</v>
      </c>
      <c r="H214" s="23">
        <f t="shared" si="10"/>
        <v>138.79014520624301</v>
      </c>
      <c r="I214" s="46">
        <f t="array" ref="I214">IF(SUMIF(Производство!$A$104:$A$145,Технологи!$B214,Производство!F$104:F$145)&gt;0,SUMIF(Производство!$A$104:$A$145,Технологи!$B214,Производство!F$104:F$145)*$F214+$G214,0)</f>
        <v>88.372526848011859</v>
      </c>
      <c r="J214" s="46">
        <f t="array" ref="J214">IF(SUMIF(Производство!$A$104:$A$145,Технологи!$B214,Производство!G$104:G$145)&gt;0,SUMIF(Производство!$A$104:$A$145,Технологи!$B214,Производство!G$104:G$145)*$F214+$G214,0)</f>
        <v>88.372526848011859</v>
      </c>
      <c r="K214" s="46">
        <f t="array" ref="K214">IF(SUMIF(Производство!$A$104:$A$145,Технологи!$B214,Производство!H$104:H$145)&gt;0,SUMIF(Производство!$A$104:$A$145,Технологи!$B214,Производство!H$104:H$145)*$F214+$G214,0)</f>
        <v>88.372526848011859</v>
      </c>
      <c r="L214" s="46">
        <f t="array" ref="L214">IF(SUMIF(Производство!$A$104:$A$145,Технологи!$B214,Производство!I$104:I$145)&gt;0,SUMIF(Производство!$A$104:$A$145,Технологи!$B214,Производство!I$104:I$145)*$F214+$G214,0)</f>
        <v>88.372526848011859</v>
      </c>
      <c r="M214" s="46">
        <f t="array" ref="M214">IF(SUMIF(Производство!$A$104:$A$145,Технологи!$B214,Производство!J$104:J$145)&gt;0,SUMIF(Производство!$A$104:$A$145,Технологи!$B214,Производство!J$104:J$145)*$F214+$G214,0)</f>
        <v>88.372526848011859</v>
      </c>
      <c r="N214" s="46">
        <f t="array" ref="N214">IF(SUMIF(Производство!$A$104:$A$145,Технологи!$B214,Производство!K$104:K$145)&gt;0,SUMIF(Производство!$A$104:$A$145,Технологи!$B214,Производство!K$104:K$145)*$F214+$G214,0)</f>
        <v>88.372526848011859</v>
      </c>
      <c r="O214" s="46">
        <f t="array" ref="O214">IF(SUMIF(Производство!$A$104:$A$145,Технологи!$B214,Производство!L$104:L$145)&gt;0,SUMIF(Производство!$A$104:$A$145,Технологи!$B214,Производство!L$104:L$145)*$F214+$G214,0)</f>
        <v>88.372526848011859</v>
      </c>
      <c r="P214" s="46">
        <f t="array" ref="P214">IF(SUMIF(Производство!$A$104:$A$145,Технологи!$B214,Производство!M$104:M$145)&gt;0,SUMIF(Производство!$A$104:$A$145,Технологи!$B214,Производство!M$104:M$145)*$F214+$G214,0)</f>
        <v>88.372526848011859</v>
      </c>
      <c r="Q214" s="46">
        <f t="array" ref="Q214">IF(SUMIF(Производство!$A$104:$A$145,Технологи!$B214,Производство!N$104:N$145)&gt;0,SUMIF(Производство!$A$104:$A$145,Технологи!$B214,Производство!N$104:N$145)*$F214+$G214,0)</f>
        <v>88.372526848011859</v>
      </c>
      <c r="R214" s="46">
        <f t="array" ref="R214">IF(SUMIF(Производство!$A$104:$A$145,Технологи!$B214,Производство!O$104:O$145)&gt;0,SUMIF(Производство!$A$104:$A$145,Технологи!$B214,Производство!O$104:O$145)*$F214+$G214,0)</f>
        <v>88.372526848011859</v>
      </c>
      <c r="S214" s="46">
        <f t="array" ref="S214">IF(SUMIF(Производство!$A$104:$A$145,Технологи!$B214,Производство!P$104:P$145)&gt;0,SUMIF(Производство!$A$104:$A$145,Технологи!$B214,Производство!P$104:P$145)*$F214+$G214,0)</f>
        <v>88.372526848011859</v>
      </c>
      <c r="T214" s="46">
        <f t="array" ref="T214">IF(SUMIF(Производство!$A$104:$A$145,Технологи!$B214,Производство!Q$104:Q$145)&gt;0,SUMIF(Производство!$A$104:$A$145,Технологи!$B214,Производство!Q$104:Q$145)*$F214+$G214,0)</f>
        <v>88.372526848011859</v>
      </c>
    </row>
    <row r="215" spans="1:20" x14ac:dyDescent="0.25">
      <c r="A215" s="34" t="s">
        <v>377</v>
      </c>
      <c r="B215" s="13" t="s">
        <v>50</v>
      </c>
      <c r="C215" s="19" t="s">
        <v>13</v>
      </c>
      <c r="D215" s="14">
        <v>7038</v>
      </c>
      <c r="E215" s="20"/>
      <c r="F215" s="24">
        <v>4.1844193032329988E-2</v>
      </c>
      <c r="G215" s="24">
        <v>5.526688099219621</v>
      </c>
      <c r="H215" s="23">
        <f t="shared" si="10"/>
        <v>41.84419303232999</v>
      </c>
      <c r="I215" s="46">
        <f t="array" ref="I215">IF(SUMIF(Производство!$A$104:$A$145,Технологи!$B215,Производство!F$104:F$145)&gt;0,SUMIF(Производство!$A$104:$A$145,Технологи!$B215,Производство!F$104:F$145)*$F215+$G215,0)</f>
        <v>26.616161387513934</v>
      </c>
      <c r="J215" s="46">
        <f t="array" ref="J215">IF(SUMIF(Производство!$A$104:$A$145,Технологи!$B215,Производство!G$104:G$145)&gt;0,SUMIF(Производство!$A$104:$A$145,Технологи!$B215,Производство!G$104:G$145)*$F215+$G215,0)</f>
        <v>26.616161387513934</v>
      </c>
      <c r="K215" s="46">
        <f t="array" ref="K215">IF(SUMIF(Производство!$A$104:$A$145,Технологи!$B215,Производство!H$104:H$145)&gt;0,SUMIF(Производство!$A$104:$A$145,Технологи!$B215,Производство!H$104:H$145)*$F215+$G215,0)</f>
        <v>26.616161387513934</v>
      </c>
      <c r="L215" s="46">
        <f t="array" ref="L215">IF(SUMIF(Производство!$A$104:$A$145,Технологи!$B215,Производство!I$104:I$145)&gt;0,SUMIF(Производство!$A$104:$A$145,Технологи!$B215,Производство!I$104:I$145)*$F215+$G215,0)</f>
        <v>26.616161387513934</v>
      </c>
      <c r="M215" s="46">
        <f t="array" ref="M215">IF(SUMIF(Производство!$A$104:$A$145,Технологи!$B215,Производство!J$104:J$145)&gt;0,SUMIF(Производство!$A$104:$A$145,Технологи!$B215,Производство!J$104:J$145)*$F215+$G215,0)</f>
        <v>26.616161387513934</v>
      </c>
      <c r="N215" s="46">
        <f t="array" ref="N215">IF(SUMIF(Производство!$A$104:$A$145,Технологи!$B215,Производство!K$104:K$145)&gt;0,SUMIF(Производство!$A$104:$A$145,Технологи!$B215,Производство!K$104:K$145)*$F215+$G215,0)</f>
        <v>26.616161387513934</v>
      </c>
      <c r="O215" s="46">
        <f t="array" ref="O215">IF(SUMIF(Производство!$A$104:$A$145,Технологи!$B215,Производство!L$104:L$145)&gt;0,SUMIF(Производство!$A$104:$A$145,Технологи!$B215,Производство!L$104:L$145)*$F215+$G215,0)</f>
        <v>26.616161387513934</v>
      </c>
      <c r="P215" s="46">
        <f t="array" ref="P215">IF(SUMIF(Производство!$A$104:$A$145,Технологи!$B215,Производство!M$104:M$145)&gt;0,SUMIF(Производство!$A$104:$A$145,Технологи!$B215,Производство!M$104:M$145)*$F215+$G215,0)</f>
        <v>26.616161387513934</v>
      </c>
      <c r="Q215" s="46">
        <f t="array" ref="Q215">IF(SUMIF(Производство!$A$104:$A$145,Технологи!$B215,Производство!N$104:N$145)&gt;0,SUMIF(Производство!$A$104:$A$145,Технологи!$B215,Производство!N$104:N$145)*$F215+$G215,0)</f>
        <v>26.616161387513934</v>
      </c>
      <c r="R215" s="46">
        <f t="array" ref="R215">IF(SUMIF(Производство!$A$104:$A$145,Технологи!$B215,Производство!O$104:O$145)&gt;0,SUMIF(Производство!$A$104:$A$145,Технологи!$B215,Производство!O$104:O$145)*$F215+$G215,0)</f>
        <v>26.616161387513934</v>
      </c>
      <c r="S215" s="46">
        <f t="array" ref="S215">IF(SUMIF(Производство!$A$104:$A$145,Технологи!$B215,Производство!P$104:P$145)&gt;0,SUMIF(Производство!$A$104:$A$145,Технологи!$B215,Производство!P$104:P$145)*$F215+$G215,0)</f>
        <v>26.616161387513934</v>
      </c>
      <c r="T215" s="46">
        <f t="array" ref="T215">IF(SUMIF(Производство!$A$104:$A$145,Технологи!$B215,Производство!Q$104:Q$145)&gt;0,SUMIF(Производство!$A$104:$A$145,Технологи!$B215,Производство!Q$104:Q$145)*$F215+$G215,0)</f>
        <v>26.616161387513934</v>
      </c>
    </row>
    <row r="216" spans="1:20" x14ac:dyDescent="0.25">
      <c r="A216" s="34" t="s">
        <v>377</v>
      </c>
      <c r="B216" s="13" t="s">
        <v>50</v>
      </c>
      <c r="C216" s="19" t="s">
        <v>14</v>
      </c>
      <c r="D216" s="14">
        <v>7038</v>
      </c>
      <c r="E216" s="20"/>
      <c r="F216" s="24">
        <v>4.1844193032329987E-4</v>
      </c>
      <c r="G216" s="24">
        <v>5.5266880992196198E-2</v>
      </c>
      <c r="H216" s="23">
        <f t="shared" si="10"/>
        <v>0.41844193032329985</v>
      </c>
      <c r="I216" s="46">
        <f t="array" ref="I216">IF(SUMIF(Производство!$A$104:$A$145,Технологи!$B216,Производство!F$104:F$145)&gt;0,SUMIF(Производство!$A$104:$A$145,Технологи!$B216,Производство!F$104:F$145)*$F216+$G216,0)</f>
        <v>0.26616161387513931</v>
      </c>
      <c r="J216" s="46">
        <f t="array" ref="J216">IF(SUMIF(Производство!$A$104:$A$145,Технологи!$B216,Производство!G$104:G$145)&gt;0,SUMIF(Производство!$A$104:$A$145,Технологи!$B216,Производство!G$104:G$145)*$F216+$G216,0)</f>
        <v>0.26616161387513931</v>
      </c>
      <c r="K216" s="46">
        <f t="array" ref="K216">IF(SUMIF(Производство!$A$104:$A$145,Технологи!$B216,Производство!H$104:H$145)&gt;0,SUMIF(Производство!$A$104:$A$145,Технологи!$B216,Производство!H$104:H$145)*$F216+$G216,0)</f>
        <v>0.26616161387513931</v>
      </c>
      <c r="L216" s="46">
        <f t="array" ref="L216">IF(SUMIF(Производство!$A$104:$A$145,Технологи!$B216,Производство!I$104:I$145)&gt;0,SUMIF(Производство!$A$104:$A$145,Технологи!$B216,Производство!I$104:I$145)*$F216+$G216,0)</f>
        <v>0.26616161387513931</v>
      </c>
      <c r="M216" s="46">
        <f t="array" ref="M216">IF(SUMIF(Производство!$A$104:$A$145,Технологи!$B216,Производство!J$104:J$145)&gt;0,SUMIF(Производство!$A$104:$A$145,Технологи!$B216,Производство!J$104:J$145)*$F216+$G216,0)</f>
        <v>0.26616161387513931</v>
      </c>
      <c r="N216" s="46">
        <f t="array" ref="N216">IF(SUMIF(Производство!$A$104:$A$145,Технологи!$B216,Производство!K$104:K$145)&gt;0,SUMIF(Производство!$A$104:$A$145,Технологи!$B216,Производство!K$104:K$145)*$F216+$G216,0)</f>
        <v>0.26616161387513931</v>
      </c>
      <c r="O216" s="46">
        <f t="array" ref="O216">IF(SUMIF(Производство!$A$104:$A$145,Технологи!$B216,Производство!L$104:L$145)&gt;0,SUMIF(Производство!$A$104:$A$145,Технологи!$B216,Производство!L$104:L$145)*$F216+$G216,0)</f>
        <v>0.26616161387513931</v>
      </c>
      <c r="P216" s="46">
        <f t="array" ref="P216">IF(SUMIF(Производство!$A$104:$A$145,Технологи!$B216,Производство!M$104:M$145)&gt;0,SUMIF(Производство!$A$104:$A$145,Технологи!$B216,Производство!M$104:M$145)*$F216+$G216,0)</f>
        <v>0.26616161387513931</v>
      </c>
      <c r="Q216" s="46">
        <f t="array" ref="Q216">IF(SUMIF(Производство!$A$104:$A$145,Технологи!$B216,Производство!N$104:N$145)&gt;0,SUMIF(Производство!$A$104:$A$145,Технологи!$B216,Производство!N$104:N$145)*$F216+$G216,0)</f>
        <v>0.26616161387513931</v>
      </c>
      <c r="R216" s="46">
        <f t="array" ref="R216">IF(SUMIF(Производство!$A$104:$A$145,Технологи!$B216,Производство!O$104:O$145)&gt;0,SUMIF(Производство!$A$104:$A$145,Технологи!$B216,Производство!O$104:O$145)*$F216+$G216,0)</f>
        <v>0.26616161387513931</v>
      </c>
      <c r="S216" s="46">
        <f t="array" ref="S216">IF(SUMIF(Производство!$A$104:$A$145,Технологи!$B216,Производство!P$104:P$145)&gt;0,SUMIF(Производство!$A$104:$A$145,Технологи!$B216,Производство!P$104:P$145)*$F216+$G216,0)</f>
        <v>0.26616161387513931</v>
      </c>
      <c r="T216" s="46">
        <f t="array" ref="T216">IF(SUMIF(Производство!$A$104:$A$145,Технологи!$B216,Производство!Q$104:Q$145)&gt;0,SUMIF(Производство!$A$104:$A$145,Технологи!$B216,Производство!Q$104:Q$145)*$F216+$G216,0)</f>
        <v>0.26616161387513931</v>
      </c>
    </row>
    <row r="217" spans="1:20" x14ac:dyDescent="0.25">
      <c r="A217" s="34" t="s">
        <v>377</v>
      </c>
      <c r="B217" s="13" t="s">
        <v>50</v>
      </c>
      <c r="C217" s="19" t="s">
        <v>15</v>
      </c>
      <c r="D217" s="14">
        <v>7038</v>
      </c>
      <c r="E217" s="20"/>
      <c r="F217" s="24">
        <v>2.0922096516164994E-4</v>
      </c>
      <c r="G217" s="24">
        <v>2.7633440496098099E-2</v>
      </c>
      <c r="H217" s="23">
        <f t="shared" si="10"/>
        <v>0.20922096516164992</v>
      </c>
      <c r="I217" s="46">
        <f t="array" ref="I217">IF(SUMIF(Производство!$A$104:$A$145,Технологи!$B217,Производство!F$104:F$145)&gt;0,SUMIF(Производство!$A$104:$A$145,Технологи!$B217,Производство!F$104:F$145)*$F217+$G217,0)</f>
        <v>0.13308080693756966</v>
      </c>
      <c r="J217" s="46">
        <f t="array" ref="J217">IF(SUMIF(Производство!$A$104:$A$145,Технологи!$B217,Производство!G$104:G$145)&gt;0,SUMIF(Производство!$A$104:$A$145,Технологи!$B217,Производство!G$104:G$145)*$F217+$G217,0)</f>
        <v>0.13308080693756966</v>
      </c>
      <c r="K217" s="46">
        <f t="array" ref="K217">IF(SUMIF(Производство!$A$104:$A$145,Технологи!$B217,Производство!H$104:H$145)&gt;0,SUMIF(Производство!$A$104:$A$145,Технологи!$B217,Производство!H$104:H$145)*$F217+$G217,0)</f>
        <v>0.13308080693756966</v>
      </c>
      <c r="L217" s="46">
        <f t="array" ref="L217">IF(SUMIF(Производство!$A$104:$A$145,Технологи!$B217,Производство!I$104:I$145)&gt;0,SUMIF(Производство!$A$104:$A$145,Технологи!$B217,Производство!I$104:I$145)*$F217+$G217,0)</f>
        <v>0.13308080693756966</v>
      </c>
      <c r="M217" s="46">
        <f t="array" ref="M217">IF(SUMIF(Производство!$A$104:$A$145,Технологи!$B217,Производство!J$104:J$145)&gt;0,SUMIF(Производство!$A$104:$A$145,Технологи!$B217,Производство!J$104:J$145)*$F217+$G217,0)</f>
        <v>0.13308080693756966</v>
      </c>
      <c r="N217" s="46">
        <f t="array" ref="N217">IF(SUMIF(Производство!$A$104:$A$145,Технологи!$B217,Производство!K$104:K$145)&gt;0,SUMIF(Производство!$A$104:$A$145,Технологи!$B217,Производство!K$104:K$145)*$F217+$G217,0)</f>
        <v>0.13308080693756966</v>
      </c>
      <c r="O217" s="46">
        <f t="array" ref="O217">IF(SUMIF(Производство!$A$104:$A$145,Технологи!$B217,Производство!L$104:L$145)&gt;0,SUMIF(Производство!$A$104:$A$145,Технологи!$B217,Производство!L$104:L$145)*$F217+$G217,0)</f>
        <v>0.13308080693756966</v>
      </c>
      <c r="P217" s="46">
        <f t="array" ref="P217">IF(SUMIF(Производство!$A$104:$A$145,Технологи!$B217,Производство!M$104:M$145)&gt;0,SUMIF(Производство!$A$104:$A$145,Технологи!$B217,Производство!M$104:M$145)*$F217+$G217,0)</f>
        <v>0.13308080693756966</v>
      </c>
      <c r="Q217" s="46">
        <f t="array" ref="Q217">IF(SUMIF(Производство!$A$104:$A$145,Технологи!$B217,Производство!N$104:N$145)&gt;0,SUMIF(Производство!$A$104:$A$145,Технологи!$B217,Производство!N$104:N$145)*$F217+$G217,0)</f>
        <v>0.13308080693756966</v>
      </c>
      <c r="R217" s="46">
        <f t="array" ref="R217">IF(SUMIF(Производство!$A$104:$A$145,Технологи!$B217,Производство!O$104:O$145)&gt;0,SUMIF(Производство!$A$104:$A$145,Технологи!$B217,Производство!O$104:O$145)*$F217+$G217,0)</f>
        <v>0.13308080693756966</v>
      </c>
      <c r="S217" s="46">
        <f t="array" ref="S217">IF(SUMIF(Производство!$A$104:$A$145,Технологи!$B217,Производство!P$104:P$145)&gt;0,SUMIF(Производство!$A$104:$A$145,Технологи!$B217,Производство!P$104:P$145)*$F217+$G217,0)</f>
        <v>0.13308080693756966</v>
      </c>
      <c r="T217" s="46">
        <f t="array" ref="T217">IF(SUMIF(Производство!$A$104:$A$145,Технологи!$B217,Производство!Q$104:Q$145)&gt;0,SUMIF(Производство!$A$104:$A$145,Технологи!$B217,Производство!Q$104:Q$145)*$F217+$G217,0)</f>
        <v>0.13308080693756966</v>
      </c>
    </row>
    <row r="218" spans="1:20" x14ac:dyDescent="0.25">
      <c r="A218" s="34" t="s">
        <v>377</v>
      </c>
      <c r="B218" s="13" t="s">
        <v>50</v>
      </c>
      <c r="C218" s="19" t="s">
        <v>16</v>
      </c>
      <c r="D218" s="14">
        <v>7038</v>
      </c>
      <c r="E218" s="20"/>
      <c r="F218" s="24">
        <v>2.7758029041248604E-3</v>
      </c>
      <c r="G218" s="24">
        <v>0.36844587328130807</v>
      </c>
      <c r="H218" s="23">
        <f t="shared" si="10"/>
        <v>2.7758029041248604</v>
      </c>
      <c r="I218" s="46">
        <f t="array" ref="I218">IF(SUMIF(Производство!$A$104:$A$145,Технологи!$B218,Производство!F$104:F$145)&gt;0,SUMIF(Производство!$A$104:$A$145,Технологи!$B218,Производство!F$104:F$145)*$F218+$G218,0)</f>
        <v>1.7674505369602378</v>
      </c>
      <c r="J218" s="46">
        <f t="array" ref="J218">IF(SUMIF(Производство!$A$104:$A$145,Технологи!$B218,Производство!G$104:G$145)&gt;0,SUMIF(Производство!$A$104:$A$145,Технологи!$B218,Производство!G$104:G$145)*$F218+$G218,0)</f>
        <v>1.7674505369602378</v>
      </c>
      <c r="K218" s="46">
        <f t="array" ref="K218">IF(SUMIF(Производство!$A$104:$A$145,Технологи!$B218,Производство!H$104:H$145)&gt;0,SUMIF(Производство!$A$104:$A$145,Технологи!$B218,Производство!H$104:H$145)*$F218+$G218,0)</f>
        <v>1.7674505369602378</v>
      </c>
      <c r="L218" s="46">
        <f t="array" ref="L218">IF(SUMIF(Производство!$A$104:$A$145,Технологи!$B218,Производство!I$104:I$145)&gt;0,SUMIF(Производство!$A$104:$A$145,Технологи!$B218,Производство!I$104:I$145)*$F218+$G218,0)</f>
        <v>1.7674505369602378</v>
      </c>
      <c r="M218" s="46">
        <f t="array" ref="M218">IF(SUMIF(Производство!$A$104:$A$145,Технологи!$B218,Производство!J$104:J$145)&gt;0,SUMIF(Производство!$A$104:$A$145,Технологи!$B218,Производство!J$104:J$145)*$F218+$G218,0)</f>
        <v>1.7674505369602378</v>
      </c>
      <c r="N218" s="46">
        <f t="array" ref="N218">IF(SUMIF(Производство!$A$104:$A$145,Технологи!$B218,Производство!K$104:K$145)&gt;0,SUMIF(Производство!$A$104:$A$145,Технологи!$B218,Производство!K$104:K$145)*$F218+$G218,0)</f>
        <v>1.7674505369602378</v>
      </c>
      <c r="O218" s="46">
        <f t="array" ref="O218">IF(SUMIF(Производство!$A$104:$A$145,Технологи!$B218,Производство!L$104:L$145)&gt;0,SUMIF(Производство!$A$104:$A$145,Технологи!$B218,Производство!L$104:L$145)*$F218+$G218,0)</f>
        <v>1.7674505369602378</v>
      </c>
      <c r="P218" s="46">
        <f t="array" ref="P218">IF(SUMIF(Производство!$A$104:$A$145,Технологи!$B218,Производство!M$104:M$145)&gt;0,SUMIF(Производство!$A$104:$A$145,Технологи!$B218,Производство!M$104:M$145)*$F218+$G218,0)</f>
        <v>1.7674505369602378</v>
      </c>
      <c r="Q218" s="46">
        <f t="array" ref="Q218">IF(SUMIF(Производство!$A$104:$A$145,Технологи!$B218,Производство!N$104:N$145)&gt;0,SUMIF(Производство!$A$104:$A$145,Технологи!$B218,Производство!N$104:N$145)*$F218+$G218,0)</f>
        <v>1.7674505369602378</v>
      </c>
      <c r="R218" s="46">
        <f t="array" ref="R218">IF(SUMIF(Производство!$A$104:$A$145,Технологи!$B218,Производство!O$104:O$145)&gt;0,SUMIF(Производство!$A$104:$A$145,Технологи!$B218,Производство!O$104:O$145)*$F218+$G218,0)</f>
        <v>1.7674505369602378</v>
      </c>
      <c r="S218" s="46">
        <f t="array" ref="S218">IF(SUMIF(Производство!$A$104:$A$145,Технологи!$B218,Производство!P$104:P$145)&gt;0,SUMIF(Производство!$A$104:$A$145,Технологи!$B218,Производство!P$104:P$145)*$F218+$G218,0)</f>
        <v>1.7674505369602378</v>
      </c>
      <c r="T218" s="46">
        <f t="array" ref="T218">IF(SUMIF(Производство!$A$104:$A$145,Технологи!$B218,Производство!Q$104:Q$145)&gt;0,SUMIF(Производство!$A$104:$A$145,Технологи!$B218,Производство!Q$104:Q$145)*$F218+$G218,0)</f>
        <v>1.7674505369602378</v>
      </c>
    </row>
    <row r="219" spans="1:20" x14ac:dyDescent="0.25">
      <c r="A219" s="34" t="s">
        <v>377</v>
      </c>
      <c r="B219" s="13" t="s">
        <v>50</v>
      </c>
      <c r="C219" s="19" t="s">
        <v>17</v>
      </c>
      <c r="D219" s="14">
        <v>7038</v>
      </c>
      <c r="E219" s="20"/>
      <c r="F219" s="24">
        <v>1.5342870778520998E-3</v>
      </c>
      <c r="G219" s="24">
        <v>0.20264523030471945</v>
      </c>
      <c r="H219" s="23">
        <f t="shared" si="10"/>
        <v>1.5342870778520998</v>
      </c>
      <c r="I219" s="46">
        <f t="array" ref="I219">IF(SUMIF(Производство!$A$104:$A$145,Технологи!$B219,Производство!F$104:F$145)&gt;0,SUMIF(Производство!$A$104:$A$145,Технологи!$B219,Производство!F$104:F$145)*$F219+$G219,0)</f>
        <v>0.97592591754217783</v>
      </c>
      <c r="J219" s="46">
        <f t="array" ref="J219">IF(SUMIF(Производство!$A$104:$A$145,Технологи!$B219,Производство!G$104:G$145)&gt;0,SUMIF(Производство!$A$104:$A$145,Технологи!$B219,Производство!G$104:G$145)*$F219+$G219,0)</f>
        <v>0.97592591754217783</v>
      </c>
      <c r="K219" s="46">
        <f t="array" ref="K219">IF(SUMIF(Производство!$A$104:$A$145,Технологи!$B219,Производство!H$104:H$145)&gt;0,SUMIF(Производство!$A$104:$A$145,Технологи!$B219,Производство!H$104:H$145)*$F219+$G219,0)</f>
        <v>0.97592591754217783</v>
      </c>
      <c r="L219" s="46">
        <f t="array" ref="L219">IF(SUMIF(Производство!$A$104:$A$145,Технологи!$B219,Производство!I$104:I$145)&gt;0,SUMIF(Производство!$A$104:$A$145,Технологи!$B219,Производство!I$104:I$145)*$F219+$G219,0)</f>
        <v>0.97592591754217783</v>
      </c>
      <c r="M219" s="46">
        <f t="array" ref="M219">IF(SUMIF(Производство!$A$104:$A$145,Технологи!$B219,Производство!J$104:J$145)&gt;0,SUMIF(Производство!$A$104:$A$145,Технологи!$B219,Производство!J$104:J$145)*$F219+$G219,0)</f>
        <v>0.97592591754217783</v>
      </c>
      <c r="N219" s="46">
        <f t="array" ref="N219">IF(SUMIF(Производство!$A$104:$A$145,Технологи!$B219,Производство!K$104:K$145)&gt;0,SUMIF(Производство!$A$104:$A$145,Технологи!$B219,Производство!K$104:K$145)*$F219+$G219,0)</f>
        <v>0.97592591754217783</v>
      </c>
      <c r="O219" s="46">
        <f t="array" ref="O219">IF(SUMIF(Производство!$A$104:$A$145,Технологи!$B219,Производство!L$104:L$145)&gt;0,SUMIF(Производство!$A$104:$A$145,Технологи!$B219,Производство!L$104:L$145)*$F219+$G219,0)</f>
        <v>0.97592591754217783</v>
      </c>
      <c r="P219" s="46">
        <f t="array" ref="P219">IF(SUMIF(Производство!$A$104:$A$145,Технологи!$B219,Производство!M$104:M$145)&gt;0,SUMIF(Производство!$A$104:$A$145,Технологи!$B219,Производство!M$104:M$145)*$F219+$G219,0)</f>
        <v>0.97592591754217783</v>
      </c>
      <c r="Q219" s="46">
        <f t="array" ref="Q219">IF(SUMIF(Производство!$A$104:$A$145,Технологи!$B219,Производство!N$104:N$145)&gt;0,SUMIF(Производство!$A$104:$A$145,Технологи!$B219,Производство!N$104:N$145)*$F219+$G219,0)</f>
        <v>0.97592591754217783</v>
      </c>
      <c r="R219" s="46">
        <f t="array" ref="R219">IF(SUMIF(Производство!$A$104:$A$145,Технологи!$B219,Производство!O$104:O$145)&gt;0,SUMIF(Производство!$A$104:$A$145,Технологи!$B219,Производство!O$104:O$145)*$F219+$G219,0)</f>
        <v>0.97592591754217783</v>
      </c>
      <c r="S219" s="46">
        <f t="array" ref="S219">IF(SUMIF(Производство!$A$104:$A$145,Технологи!$B219,Производство!P$104:P$145)&gt;0,SUMIF(Производство!$A$104:$A$145,Технологи!$B219,Производство!P$104:P$145)*$F219+$G219,0)</f>
        <v>0.97592591754217783</v>
      </c>
      <c r="T219" s="46">
        <f t="array" ref="T219">IF(SUMIF(Производство!$A$104:$A$145,Технологи!$B219,Производство!Q$104:Q$145)&gt;0,SUMIF(Производство!$A$104:$A$145,Технологи!$B219,Производство!Q$104:Q$145)*$F219+$G219,0)</f>
        <v>0.97592591754217783</v>
      </c>
    </row>
    <row r="220" spans="1:20" x14ac:dyDescent="0.25">
      <c r="A220" s="34" t="s">
        <v>377</v>
      </c>
      <c r="B220" s="13" t="s">
        <v>50</v>
      </c>
      <c r="C220" s="19" t="s">
        <v>18</v>
      </c>
      <c r="D220" s="14">
        <v>7038</v>
      </c>
      <c r="E220" s="20"/>
      <c r="F220" s="24">
        <v>1.3851394591230027E-3</v>
      </c>
      <c r="G220" s="24">
        <v>0.18422293664065403</v>
      </c>
      <c r="H220" s="23">
        <f t="shared" si="10"/>
        <v>1.3851394591230026</v>
      </c>
      <c r="I220" s="46">
        <f t="array" ref="I220">IF(SUMIF(Производство!$A$104:$A$145,Технологи!$B220,Производство!F$104:F$145)&gt;0,SUMIF(Производство!$A$104:$A$145,Технологи!$B220,Производство!F$104:F$145)*$F220+$G220,0)</f>
        <v>0.88233322403864745</v>
      </c>
      <c r="J220" s="46">
        <f t="array" ref="J220">IF(SUMIF(Производство!$A$104:$A$145,Технологи!$B220,Производство!G$104:G$145)&gt;0,SUMIF(Производство!$A$104:$A$145,Технологи!$B220,Производство!G$104:G$145)*$F220+$G220,0)</f>
        <v>0.88233322403864745</v>
      </c>
      <c r="K220" s="46">
        <f t="array" ref="K220">IF(SUMIF(Производство!$A$104:$A$145,Технологи!$B220,Производство!H$104:H$145)&gt;0,SUMIF(Производство!$A$104:$A$145,Технологи!$B220,Производство!H$104:H$145)*$F220+$G220,0)</f>
        <v>0.88233322403864745</v>
      </c>
      <c r="L220" s="46">
        <f t="array" ref="L220">IF(SUMIF(Производство!$A$104:$A$145,Технологи!$B220,Производство!I$104:I$145)&gt;0,SUMIF(Производство!$A$104:$A$145,Технологи!$B220,Производство!I$104:I$145)*$F220+$G220,0)</f>
        <v>0.88233322403864745</v>
      </c>
      <c r="M220" s="46">
        <f t="array" ref="M220">IF(SUMIF(Производство!$A$104:$A$145,Технологи!$B220,Производство!J$104:J$145)&gt;0,SUMIF(Производство!$A$104:$A$145,Технологи!$B220,Производство!J$104:J$145)*$F220+$G220,0)</f>
        <v>0.88233322403864745</v>
      </c>
      <c r="N220" s="46">
        <f t="array" ref="N220">IF(SUMIF(Производство!$A$104:$A$145,Технологи!$B220,Производство!K$104:K$145)&gt;0,SUMIF(Производство!$A$104:$A$145,Технологи!$B220,Производство!K$104:K$145)*$F220+$G220,0)</f>
        <v>0.88233322403864745</v>
      </c>
      <c r="O220" s="46">
        <f t="array" ref="O220">IF(SUMIF(Производство!$A$104:$A$145,Технологи!$B220,Производство!L$104:L$145)&gt;0,SUMIF(Производство!$A$104:$A$145,Технологи!$B220,Производство!L$104:L$145)*$F220+$G220,0)</f>
        <v>0.88233322403864745</v>
      </c>
      <c r="P220" s="46">
        <f t="array" ref="P220">IF(SUMIF(Производство!$A$104:$A$145,Технологи!$B220,Производство!M$104:M$145)&gt;0,SUMIF(Производство!$A$104:$A$145,Технологи!$B220,Производство!M$104:M$145)*$F220+$G220,0)</f>
        <v>0.88233322403864745</v>
      </c>
      <c r="Q220" s="46">
        <f t="array" ref="Q220">IF(SUMIF(Производство!$A$104:$A$145,Технологи!$B220,Производство!N$104:N$145)&gt;0,SUMIF(Производство!$A$104:$A$145,Технологи!$B220,Производство!N$104:N$145)*$F220+$G220,0)</f>
        <v>0.88233322403864745</v>
      </c>
      <c r="R220" s="46">
        <f t="array" ref="R220">IF(SUMIF(Производство!$A$104:$A$145,Технологи!$B220,Производство!O$104:O$145)&gt;0,SUMIF(Производство!$A$104:$A$145,Технологи!$B220,Производство!O$104:O$145)*$F220+$G220,0)</f>
        <v>0.88233322403864745</v>
      </c>
      <c r="S220" s="46">
        <f t="array" ref="S220">IF(SUMIF(Производство!$A$104:$A$145,Технологи!$B220,Производство!P$104:P$145)&gt;0,SUMIF(Производство!$A$104:$A$145,Технологи!$B220,Производство!P$104:P$145)*$F220+$G220,0)</f>
        <v>0.88233322403864745</v>
      </c>
      <c r="T220" s="46">
        <f t="array" ref="T220">IF(SUMIF(Производство!$A$104:$A$145,Технологи!$B220,Производство!Q$104:Q$145)&gt;0,SUMIF(Производство!$A$104:$A$145,Технологи!$B220,Производство!Q$104:Q$145)*$F220+$G220,0)</f>
        <v>0.88233322403864745</v>
      </c>
    </row>
    <row r="221" spans="1:20" x14ac:dyDescent="0.25">
      <c r="A221" s="34" t="s">
        <v>377</v>
      </c>
      <c r="B221" s="13" t="s">
        <v>50</v>
      </c>
      <c r="C221" s="19" t="s">
        <v>19</v>
      </c>
      <c r="D221" s="14">
        <v>7038</v>
      </c>
      <c r="E221" s="20"/>
      <c r="F221" s="24">
        <v>0.28928142500000009</v>
      </c>
      <c r="G221" s="24">
        <v>10.124849875000004</v>
      </c>
      <c r="H221" s="23">
        <f t="shared" si="10"/>
        <v>289.28142500000007</v>
      </c>
      <c r="I221" s="46">
        <f t="array" ref="I221">IF(SUMIF(Производство!$A$104:$A$145,Технологи!$B221,Производство!F$104:F$145)&gt;0,SUMIF(Производство!$A$104:$A$145,Технологи!$B221,Производство!F$104:F$145)*$F221+$G221,0)</f>
        <v>155.92268807500005</v>
      </c>
      <c r="J221" s="46">
        <f t="array" ref="J221">IF(SUMIF(Производство!$A$104:$A$145,Технологи!$B221,Производство!G$104:G$145)&gt;0,SUMIF(Производство!$A$104:$A$145,Технологи!$B221,Производство!G$104:G$145)*$F221+$G221,0)</f>
        <v>155.92268807500005</v>
      </c>
      <c r="K221" s="46">
        <f t="array" ref="K221">IF(SUMIF(Производство!$A$104:$A$145,Технологи!$B221,Производство!H$104:H$145)&gt;0,SUMIF(Производство!$A$104:$A$145,Технологи!$B221,Производство!H$104:H$145)*$F221+$G221,0)</f>
        <v>155.92268807500005</v>
      </c>
      <c r="L221" s="46">
        <f t="array" ref="L221">IF(SUMIF(Производство!$A$104:$A$145,Технологи!$B221,Производство!I$104:I$145)&gt;0,SUMIF(Производство!$A$104:$A$145,Технологи!$B221,Производство!I$104:I$145)*$F221+$G221,0)</f>
        <v>155.92268807500005</v>
      </c>
      <c r="M221" s="46">
        <f t="array" ref="M221">IF(SUMIF(Производство!$A$104:$A$145,Технологи!$B221,Производство!J$104:J$145)&gt;0,SUMIF(Производство!$A$104:$A$145,Технологи!$B221,Производство!J$104:J$145)*$F221+$G221,0)</f>
        <v>155.92268807500005</v>
      </c>
      <c r="N221" s="46">
        <f t="array" ref="N221">IF(SUMIF(Производство!$A$104:$A$145,Технологи!$B221,Производство!K$104:K$145)&gt;0,SUMIF(Производство!$A$104:$A$145,Технологи!$B221,Производство!K$104:K$145)*$F221+$G221,0)</f>
        <v>155.92268807500005</v>
      </c>
      <c r="O221" s="46">
        <f t="array" ref="O221">IF(SUMIF(Производство!$A$104:$A$145,Технологи!$B221,Производство!L$104:L$145)&gt;0,SUMIF(Производство!$A$104:$A$145,Технологи!$B221,Производство!L$104:L$145)*$F221+$G221,0)</f>
        <v>155.92268807500005</v>
      </c>
      <c r="P221" s="46">
        <f t="array" ref="P221">IF(SUMIF(Производство!$A$104:$A$145,Технологи!$B221,Производство!M$104:M$145)&gt;0,SUMIF(Производство!$A$104:$A$145,Технологи!$B221,Производство!M$104:M$145)*$F221+$G221,0)</f>
        <v>155.92268807500005</v>
      </c>
      <c r="Q221" s="46">
        <f t="array" ref="Q221">IF(SUMIF(Производство!$A$104:$A$145,Технологи!$B221,Производство!N$104:N$145)&gt;0,SUMIF(Производство!$A$104:$A$145,Технологи!$B221,Производство!N$104:N$145)*$F221+$G221,0)</f>
        <v>155.92268807500005</v>
      </c>
      <c r="R221" s="46">
        <f t="array" ref="R221">IF(SUMIF(Производство!$A$104:$A$145,Технологи!$B221,Производство!O$104:O$145)&gt;0,SUMIF(Производство!$A$104:$A$145,Технологи!$B221,Производство!O$104:O$145)*$F221+$G221,0)</f>
        <v>155.92268807500005</v>
      </c>
      <c r="S221" s="46">
        <f t="array" ref="S221">IF(SUMIF(Производство!$A$104:$A$145,Технологи!$B221,Производство!P$104:P$145)&gt;0,SUMIF(Производство!$A$104:$A$145,Технологи!$B221,Производство!P$104:P$145)*$F221+$G221,0)</f>
        <v>155.92268807500005</v>
      </c>
      <c r="T221" s="46">
        <f t="array" ref="T221">IF(SUMIF(Производство!$A$104:$A$145,Технологи!$B221,Производство!Q$104:Q$145)&gt;0,SUMIF(Производство!$A$104:$A$145,Технологи!$B221,Производство!Q$104:Q$145)*$F221+$G221,0)</f>
        <v>155.92268807500005</v>
      </c>
    </row>
    <row r="222" spans="1:20" x14ac:dyDescent="0.25">
      <c r="A222" s="34" t="s">
        <v>377</v>
      </c>
      <c r="B222" s="13" t="s">
        <v>50</v>
      </c>
      <c r="C222" s="19" t="s">
        <v>20</v>
      </c>
      <c r="D222" s="14">
        <v>7038</v>
      </c>
      <c r="E222" s="20"/>
      <c r="F222" s="24">
        <v>2.8799999999999996E-2</v>
      </c>
      <c r="G222" s="24">
        <v>0.43199999999999994</v>
      </c>
      <c r="H222" s="23">
        <f t="shared" si="10"/>
        <v>28.799999999999997</v>
      </c>
      <c r="I222" s="46">
        <f t="array" ref="I222">IF(SUMIF(Производство!$A$104:$A$145,Технологи!$B222,Производство!F$104:F$145)&gt;0,SUMIF(Производство!$A$104:$A$145,Технологи!$B222,Производство!F$104:F$145)*$F222+$G222,0)</f>
        <v>14.947199999999999</v>
      </c>
      <c r="J222" s="46">
        <f t="array" ref="J222">IF(SUMIF(Производство!$A$104:$A$145,Технологи!$B222,Производство!G$104:G$145)&gt;0,SUMIF(Производство!$A$104:$A$145,Технологи!$B222,Производство!G$104:G$145)*$F222+$G222,0)</f>
        <v>14.947199999999999</v>
      </c>
      <c r="K222" s="46">
        <f t="array" ref="K222">IF(SUMIF(Производство!$A$104:$A$145,Технологи!$B222,Производство!H$104:H$145)&gt;0,SUMIF(Производство!$A$104:$A$145,Технологи!$B222,Производство!H$104:H$145)*$F222+$G222,0)</f>
        <v>14.947199999999999</v>
      </c>
      <c r="L222" s="46">
        <f t="array" ref="L222">IF(SUMIF(Производство!$A$104:$A$145,Технологи!$B222,Производство!I$104:I$145)&gt;0,SUMIF(Производство!$A$104:$A$145,Технологи!$B222,Производство!I$104:I$145)*$F222+$G222,0)</f>
        <v>14.947199999999999</v>
      </c>
      <c r="M222" s="46">
        <f t="array" ref="M222">IF(SUMIF(Производство!$A$104:$A$145,Технологи!$B222,Производство!J$104:J$145)&gt;0,SUMIF(Производство!$A$104:$A$145,Технологи!$B222,Производство!J$104:J$145)*$F222+$G222,0)</f>
        <v>14.947199999999999</v>
      </c>
      <c r="N222" s="46">
        <f t="array" ref="N222">IF(SUMIF(Производство!$A$104:$A$145,Технологи!$B222,Производство!K$104:K$145)&gt;0,SUMIF(Производство!$A$104:$A$145,Технологи!$B222,Производство!K$104:K$145)*$F222+$G222,0)</f>
        <v>14.947199999999999</v>
      </c>
      <c r="O222" s="46">
        <f t="array" ref="O222">IF(SUMIF(Производство!$A$104:$A$145,Технологи!$B222,Производство!L$104:L$145)&gt;0,SUMIF(Производство!$A$104:$A$145,Технологи!$B222,Производство!L$104:L$145)*$F222+$G222,0)</f>
        <v>14.947199999999999</v>
      </c>
      <c r="P222" s="46">
        <f t="array" ref="P222">IF(SUMIF(Производство!$A$104:$A$145,Технологи!$B222,Производство!M$104:M$145)&gt;0,SUMIF(Производство!$A$104:$A$145,Технологи!$B222,Производство!M$104:M$145)*$F222+$G222,0)</f>
        <v>14.947199999999999</v>
      </c>
      <c r="Q222" s="46">
        <f t="array" ref="Q222">IF(SUMIF(Производство!$A$104:$A$145,Технологи!$B222,Производство!N$104:N$145)&gt;0,SUMIF(Производство!$A$104:$A$145,Технологи!$B222,Производство!N$104:N$145)*$F222+$G222,0)</f>
        <v>14.947199999999999</v>
      </c>
      <c r="R222" s="46">
        <f t="array" ref="R222">IF(SUMIF(Производство!$A$104:$A$145,Технологи!$B222,Производство!O$104:O$145)&gt;0,SUMIF(Производство!$A$104:$A$145,Технологи!$B222,Производство!O$104:O$145)*$F222+$G222,0)</f>
        <v>14.947199999999999</v>
      </c>
      <c r="S222" s="46">
        <f t="array" ref="S222">IF(SUMIF(Производство!$A$104:$A$145,Технологи!$B222,Производство!P$104:P$145)&gt;0,SUMIF(Производство!$A$104:$A$145,Технологи!$B222,Производство!P$104:P$145)*$F222+$G222,0)</f>
        <v>14.947199999999999</v>
      </c>
      <c r="T222" s="46">
        <f t="array" ref="T222">IF(SUMIF(Производство!$A$104:$A$145,Технологи!$B222,Производство!Q$104:Q$145)&gt;0,SUMIF(Производство!$A$104:$A$145,Технологи!$B222,Производство!Q$104:Q$145)*$F222+$G222,0)</f>
        <v>14.947199999999999</v>
      </c>
    </row>
    <row r="223" spans="1:20" x14ac:dyDescent="0.25">
      <c r="A223" s="34" t="s">
        <v>377</v>
      </c>
      <c r="B223" s="13" t="s">
        <v>50</v>
      </c>
      <c r="C223" s="19" t="s">
        <v>21</v>
      </c>
      <c r="D223" s="14">
        <v>7038</v>
      </c>
      <c r="E223" s="20"/>
      <c r="F223" s="24">
        <v>0</v>
      </c>
      <c r="G223" s="24">
        <v>0</v>
      </c>
      <c r="H223" s="23">
        <f t="shared" si="10"/>
        <v>0</v>
      </c>
      <c r="I223" s="46">
        <f t="array" ref="I223">IF(SUMIF(Производство!$A$104:$A$145,Технологи!$B223,Производство!F$104:F$145)&gt;0,SUMIF(Производство!$A$104:$A$145,Технологи!$B223,Производство!F$104:F$145)*$F223+$G223,0)</f>
        <v>0</v>
      </c>
      <c r="J223" s="46">
        <f t="array" ref="J223">IF(SUMIF(Производство!$A$104:$A$145,Технологи!$B223,Производство!G$104:G$145)&gt;0,SUMIF(Производство!$A$104:$A$145,Технологи!$B223,Производство!G$104:G$145)*$F223+$G223,0)</f>
        <v>0</v>
      </c>
      <c r="K223" s="46">
        <f t="array" ref="K223">IF(SUMIF(Производство!$A$104:$A$145,Технологи!$B223,Производство!H$104:H$145)&gt;0,SUMIF(Производство!$A$104:$A$145,Технологи!$B223,Производство!H$104:H$145)*$F223+$G223,0)</f>
        <v>0</v>
      </c>
      <c r="L223" s="46">
        <f t="array" ref="L223">IF(SUMIF(Производство!$A$104:$A$145,Технологи!$B223,Производство!I$104:I$145)&gt;0,SUMIF(Производство!$A$104:$A$145,Технологи!$B223,Производство!I$104:I$145)*$F223+$G223,0)</f>
        <v>0</v>
      </c>
      <c r="M223" s="46">
        <f t="array" ref="M223">IF(SUMIF(Производство!$A$104:$A$145,Технологи!$B223,Производство!J$104:J$145)&gt;0,SUMIF(Производство!$A$104:$A$145,Технологи!$B223,Производство!J$104:J$145)*$F223+$G223,0)</f>
        <v>0</v>
      </c>
      <c r="N223" s="46">
        <f t="array" ref="N223">IF(SUMIF(Производство!$A$104:$A$145,Технологи!$B223,Производство!K$104:K$145)&gt;0,SUMIF(Производство!$A$104:$A$145,Технологи!$B223,Производство!K$104:K$145)*$F223+$G223,0)</f>
        <v>0</v>
      </c>
      <c r="O223" s="46">
        <f t="array" ref="O223">IF(SUMIF(Производство!$A$104:$A$145,Технологи!$B223,Производство!L$104:L$145)&gt;0,SUMIF(Производство!$A$104:$A$145,Технологи!$B223,Производство!L$104:L$145)*$F223+$G223,0)</f>
        <v>0</v>
      </c>
      <c r="P223" s="46">
        <f t="array" ref="P223">IF(SUMIF(Производство!$A$104:$A$145,Технологи!$B223,Производство!M$104:M$145)&gt;0,SUMIF(Производство!$A$104:$A$145,Технологи!$B223,Производство!M$104:M$145)*$F223+$G223,0)</f>
        <v>0</v>
      </c>
      <c r="Q223" s="46">
        <f t="array" ref="Q223">IF(SUMIF(Производство!$A$104:$A$145,Технологи!$B223,Производство!N$104:N$145)&gt;0,SUMIF(Производство!$A$104:$A$145,Технологи!$B223,Производство!N$104:N$145)*$F223+$G223,0)</f>
        <v>0</v>
      </c>
      <c r="R223" s="46">
        <f t="array" ref="R223">IF(SUMIF(Производство!$A$104:$A$145,Технологи!$B223,Производство!O$104:O$145)&gt;0,SUMIF(Производство!$A$104:$A$145,Технологи!$B223,Производство!O$104:O$145)*$F223+$G223,0)</f>
        <v>0</v>
      </c>
      <c r="S223" s="46">
        <f t="array" ref="S223">IF(SUMIF(Производство!$A$104:$A$145,Технологи!$B223,Производство!P$104:P$145)&gt;0,SUMIF(Производство!$A$104:$A$145,Технологи!$B223,Производство!P$104:P$145)*$F223+$G223,0)</f>
        <v>0</v>
      </c>
      <c r="T223" s="46">
        <f t="array" ref="T223">IF(SUMIF(Производство!$A$104:$A$145,Технологи!$B223,Производство!Q$104:Q$145)&gt;0,SUMIF(Производство!$A$104:$A$145,Технологи!$B223,Производство!Q$104:Q$145)*$F223+$G223,0)</f>
        <v>0</v>
      </c>
    </row>
    <row r="224" spans="1:20" x14ac:dyDescent="0.25">
      <c r="A224" s="34" t="s">
        <v>377</v>
      </c>
      <c r="B224" s="13" t="s">
        <v>50</v>
      </c>
      <c r="C224" s="19" t="s">
        <v>22</v>
      </c>
      <c r="D224" s="14">
        <v>7038</v>
      </c>
      <c r="E224" s="20"/>
      <c r="F224" s="24">
        <v>2.7E-2</v>
      </c>
      <c r="G224" s="24">
        <v>0.40500000000000003</v>
      </c>
      <c r="H224" s="23">
        <f t="shared" si="10"/>
        <v>27</v>
      </c>
      <c r="I224" s="46">
        <f t="array" ref="I224">IF(SUMIF(Производство!$A$104:$A$145,Технологи!$B224,Производство!F$104:F$145)&gt;0,SUMIF(Производство!$A$104:$A$145,Технологи!$B224,Производство!F$104:F$145)*$F224+$G224,0)</f>
        <v>14.013</v>
      </c>
      <c r="J224" s="46">
        <f t="array" ref="J224">IF(SUMIF(Производство!$A$104:$A$145,Технологи!$B224,Производство!G$104:G$145)&gt;0,SUMIF(Производство!$A$104:$A$145,Технологи!$B224,Производство!G$104:G$145)*$F224+$G224,0)</f>
        <v>14.013</v>
      </c>
      <c r="K224" s="46">
        <f t="array" ref="K224">IF(SUMIF(Производство!$A$104:$A$145,Технологи!$B224,Производство!H$104:H$145)&gt;0,SUMIF(Производство!$A$104:$A$145,Технологи!$B224,Производство!H$104:H$145)*$F224+$G224,0)</f>
        <v>14.013</v>
      </c>
      <c r="L224" s="46">
        <f t="array" ref="L224">IF(SUMIF(Производство!$A$104:$A$145,Технологи!$B224,Производство!I$104:I$145)&gt;0,SUMIF(Производство!$A$104:$A$145,Технологи!$B224,Производство!I$104:I$145)*$F224+$G224,0)</f>
        <v>14.013</v>
      </c>
      <c r="M224" s="46">
        <f t="array" ref="M224">IF(SUMIF(Производство!$A$104:$A$145,Технологи!$B224,Производство!J$104:J$145)&gt;0,SUMIF(Производство!$A$104:$A$145,Технологи!$B224,Производство!J$104:J$145)*$F224+$G224,0)</f>
        <v>14.013</v>
      </c>
      <c r="N224" s="46">
        <f t="array" ref="N224">IF(SUMIF(Производство!$A$104:$A$145,Технологи!$B224,Производство!K$104:K$145)&gt;0,SUMIF(Производство!$A$104:$A$145,Технологи!$B224,Производство!K$104:K$145)*$F224+$G224,0)</f>
        <v>14.013</v>
      </c>
      <c r="O224" s="46">
        <f t="array" ref="O224">IF(SUMIF(Производство!$A$104:$A$145,Технологи!$B224,Производство!L$104:L$145)&gt;0,SUMIF(Производство!$A$104:$A$145,Технологи!$B224,Производство!L$104:L$145)*$F224+$G224,0)</f>
        <v>14.013</v>
      </c>
      <c r="P224" s="46">
        <f t="array" ref="P224">IF(SUMIF(Производство!$A$104:$A$145,Технологи!$B224,Производство!M$104:M$145)&gt;0,SUMIF(Производство!$A$104:$A$145,Технологи!$B224,Производство!M$104:M$145)*$F224+$G224,0)</f>
        <v>14.013</v>
      </c>
      <c r="Q224" s="46">
        <f t="array" ref="Q224">IF(SUMIF(Производство!$A$104:$A$145,Технологи!$B224,Производство!N$104:N$145)&gt;0,SUMIF(Производство!$A$104:$A$145,Технологи!$B224,Производство!N$104:N$145)*$F224+$G224,0)</f>
        <v>14.013</v>
      </c>
      <c r="R224" s="46">
        <f t="array" ref="R224">IF(SUMIF(Производство!$A$104:$A$145,Технологи!$B224,Производство!O$104:O$145)&gt;0,SUMIF(Производство!$A$104:$A$145,Технологи!$B224,Производство!O$104:O$145)*$F224+$G224,0)</f>
        <v>14.013</v>
      </c>
      <c r="S224" s="46">
        <f t="array" ref="S224">IF(SUMIF(Производство!$A$104:$A$145,Технологи!$B224,Производство!P$104:P$145)&gt;0,SUMIF(Производство!$A$104:$A$145,Технологи!$B224,Производство!P$104:P$145)*$F224+$G224,0)</f>
        <v>14.013</v>
      </c>
      <c r="T224" s="46">
        <f t="array" ref="T224">IF(SUMIF(Производство!$A$104:$A$145,Технологи!$B224,Производство!Q$104:Q$145)&gt;0,SUMIF(Производство!$A$104:$A$145,Технологи!$B224,Производство!Q$104:Q$145)*$F224+$G224,0)</f>
        <v>14.013</v>
      </c>
    </row>
    <row r="225" spans="1:20" x14ac:dyDescent="0.25">
      <c r="A225" s="34" t="s">
        <v>377</v>
      </c>
      <c r="B225" s="13" t="s">
        <v>50</v>
      </c>
      <c r="C225" s="19" t="s">
        <v>23</v>
      </c>
      <c r="D225" s="14">
        <v>7038</v>
      </c>
      <c r="E225" s="20"/>
      <c r="F225" s="24">
        <v>0</v>
      </c>
      <c r="G225" s="24">
        <v>0</v>
      </c>
      <c r="H225" s="23">
        <f t="shared" si="10"/>
        <v>0</v>
      </c>
      <c r="I225" s="46">
        <f t="array" ref="I225">IF(SUMIF(Производство!$A$104:$A$145,Технологи!$B225,Производство!F$104:F$145)&gt;0,SUMIF(Производство!$A$104:$A$145,Технологи!$B225,Производство!F$104:F$145)*$F225+$G225,0)</f>
        <v>0</v>
      </c>
      <c r="J225" s="46">
        <f t="array" ref="J225">IF(SUMIF(Производство!$A$104:$A$145,Технологи!$B225,Производство!G$104:G$145)&gt;0,SUMIF(Производство!$A$104:$A$145,Технологи!$B225,Производство!G$104:G$145)*$F225+$G225,0)</f>
        <v>0</v>
      </c>
      <c r="K225" s="46">
        <f t="array" ref="K225">IF(SUMIF(Производство!$A$104:$A$145,Технологи!$B225,Производство!H$104:H$145)&gt;0,SUMIF(Производство!$A$104:$A$145,Технологи!$B225,Производство!H$104:H$145)*$F225+$G225,0)</f>
        <v>0</v>
      </c>
      <c r="L225" s="46">
        <f t="array" ref="L225">IF(SUMIF(Производство!$A$104:$A$145,Технологи!$B225,Производство!I$104:I$145)&gt;0,SUMIF(Производство!$A$104:$A$145,Технологи!$B225,Производство!I$104:I$145)*$F225+$G225,0)</f>
        <v>0</v>
      </c>
      <c r="M225" s="46">
        <f t="array" ref="M225">IF(SUMIF(Производство!$A$104:$A$145,Технологи!$B225,Производство!J$104:J$145)&gt;0,SUMIF(Производство!$A$104:$A$145,Технологи!$B225,Производство!J$104:J$145)*$F225+$G225,0)</f>
        <v>0</v>
      </c>
      <c r="N225" s="46">
        <f t="array" ref="N225">IF(SUMIF(Производство!$A$104:$A$145,Технологи!$B225,Производство!K$104:K$145)&gt;0,SUMIF(Производство!$A$104:$A$145,Технологи!$B225,Производство!K$104:K$145)*$F225+$G225,0)</f>
        <v>0</v>
      </c>
      <c r="O225" s="46">
        <f t="array" ref="O225">IF(SUMIF(Производство!$A$104:$A$145,Технологи!$B225,Производство!L$104:L$145)&gt;0,SUMIF(Производство!$A$104:$A$145,Технологи!$B225,Производство!L$104:L$145)*$F225+$G225,0)</f>
        <v>0</v>
      </c>
      <c r="P225" s="46">
        <f t="array" ref="P225">IF(SUMIF(Производство!$A$104:$A$145,Технологи!$B225,Производство!M$104:M$145)&gt;0,SUMIF(Производство!$A$104:$A$145,Технологи!$B225,Производство!M$104:M$145)*$F225+$G225,0)</f>
        <v>0</v>
      </c>
      <c r="Q225" s="46">
        <f t="array" ref="Q225">IF(SUMIF(Производство!$A$104:$A$145,Технологи!$B225,Производство!N$104:N$145)&gt;0,SUMIF(Производство!$A$104:$A$145,Технологи!$B225,Производство!N$104:N$145)*$F225+$G225,0)</f>
        <v>0</v>
      </c>
      <c r="R225" s="46">
        <f t="array" ref="R225">IF(SUMIF(Производство!$A$104:$A$145,Технологи!$B225,Производство!O$104:O$145)&gt;0,SUMIF(Производство!$A$104:$A$145,Технологи!$B225,Производство!O$104:O$145)*$F225+$G225,0)</f>
        <v>0</v>
      </c>
      <c r="S225" s="46">
        <f t="array" ref="S225">IF(SUMIF(Производство!$A$104:$A$145,Технологи!$B225,Производство!P$104:P$145)&gt;0,SUMIF(Производство!$A$104:$A$145,Технологи!$B225,Производство!P$104:P$145)*$F225+$G225,0)</f>
        <v>0</v>
      </c>
      <c r="T225" s="46">
        <f t="array" ref="T225">IF(SUMIF(Производство!$A$104:$A$145,Технологи!$B225,Производство!Q$104:Q$145)&gt;0,SUMIF(Производство!$A$104:$A$145,Технологи!$B225,Производство!Q$104:Q$145)*$F225+$G225,0)</f>
        <v>0</v>
      </c>
    </row>
    <row r="226" spans="1:20" x14ac:dyDescent="0.25">
      <c r="A226" s="34" t="s">
        <v>377</v>
      </c>
      <c r="B226" s="13" t="s">
        <v>51</v>
      </c>
      <c r="C226" s="15" t="s">
        <v>11</v>
      </c>
      <c r="D226" s="14">
        <v>7038</v>
      </c>
      <c r="E226" s="16">
        <v>0.78400000000000003</v>
      </c>
      <c r="F226" s="22">
        <f>SUM(F227:F238)</f>
        <v>0.7849781049256781</v>
      </c>
      <c r="G226" s="22">
        <f>SUM(G227:G238)</f>
        <v>42.636119999999991</v>
      </c>
      <c r="H226" s="23">
        <f t="shared" si="10"/>
        <v>784.97810492567805</v>
      </c>
      <c r="I226" s="46">
        <f t="array" ref="I226">IF(SUMIF(Производство!$A$104:$A$145,Технологи!$B226,Производство!F$104:F$145)&gt;0,SUMIF(Производство!$A$104:$A$145,Технологи!$B226,Производство!F$104:F$145)*$F226+$G226,0)</f>
        <v>0</v>
      </c>
      <c r="J226" s="46">
        <f t="array" ref="J226">IF(SUMIF(Производство!$A$104:$A$145,Технологи!$B226,Производство!G$104:G$145)&gt;0,SUMIF(Производство!$A$104:$A$145,Технологи!$B226,Производство!G$104:G$145)*$F226+$G226,0)</f>
        <v>0</v>
      </c>
      <c r="K226" s="46">
        <f t="array" ref="K226">IF(SUMIF(Производство!$A$104:$A$145,Технологи!$B226,Производство!H$104:H$145)&gt;0,SUMIF(Производство!$A$104:$A$145,Технологи!$B226,Производство!H$104:H$145)*$F226+$G226,0)</f>
        <v>0</v>
      </c>
      <c r="L226" s="46">
        <f t="array" ref="L226">IF(SUMIF(Производство!$A$104:$A$145,Технологи!$B226,Производство!I$104:I$145)&gt;0,SUMIF(Производство!$A$104:$A$145,Технологи!$B226,Производство!I$104:I$145)*$F226+$G226,0)</f>
        <v>0</v>
      </c>
      <c r="M226" s="46">
        <f t="array" ref="M226">IF(SUMIF(Производство!$A$104:$A$145,Технологи!$B226,Производство!J$104:J$145)&gt;0,SUMIF(Производство!$A$104:$A$145,Технологи!$B226,Производство!J$104:J$145)*$F226+$G226,0)</f>
        <v>0</v>
      </c>
      <c r="N226" s="46">
        <f t="array" ref="N226">IF(SUMIF(Производство!$A$104:$A$145,Технологи!$B226,Производство!K$104:K$145)&gt;0,SUMIF(Производство!$A$104:$A$145,Технологи!$B226,Производство!K$104:K$145)*$F226+$G226,0)</f>
        <v>0</v>
      </c>
      <c r="O226" s="46">
        <f t="array" ref="O226">IF(SUMIF(Производство!$A$104:$A$145,Технологи!$B226,Производство!L$104:L$145)&gt;0,SUMIF(Производство!$A$104:$A$145,Технологи!$B226,Производство!L$104:L$145)*$F226+$G226,0)</f>
        <v>0</v>
      </c>
      <c r="P226" s="46">
        <f t="array" ref="P226">IF(SUMIF(Производство!$A$104:$A$145,Технологи!$B226,Производство!M$104:M$145)&gt;0,SUMIF(Производство!$A$104:$A$145,Технологи!$B226,Производство!M$104:M$145)*$F226+$G226,0)</f>
        <v>0</v>
      </c>
      <c r="Q226" s="46">
        <f t="array" ref="Q226">IF(SUMIF(Производство!$A$104:$A$145,Технологи!$B226,Производство!N$104:N$145)&gt;0,SUMIF(Производство!$A$104:$A$145,Технологи!$B226,Производство!N$104:N$145)*$F226+$G226,0)</f>
        <v>0</v>
      </c>
      <c r="R226" s="46">
        <f t="array" ref="R226">IF(SUMIF(Производство!$A$104:$A$145,Технологи!$B226,Производство!O$104:O$145)&gt;0,SUMIF(Производство!$A$104:$A$145,Технологи!$B226,Производство!O$104:O$145)*$F226+$G226,0)</f>
        <v>0</v>
      </c>
      <c r="S226" s="46">
        <f t="array" ref="S226">IF(SUMIF(Производство!$A$104:$A$145,Технологи!$B226,Производство!P$104:P$145)&gt;0,SUMIF(Производство!$A$104:$A$145,Технологи!$B226,Производство!P$104:P$145)*$F226+$G226,0)</f>
        <v>0</v>
      </c>
      <c r="T226" s="46">
        <f t="array" ref="T226">IF(SUMIF(Производство!$A$104:$A$145,Технологи!$B226,Производство!Q$104:Q$145)&gt;0,SUMIF(Производство!$A$104:$A$145,Технологи!$B226,Производство!Q$104:Q$145)*$F226+$G226,0)</f>
        <v>0</v>
      </c>
    </row>
    <row r="227" spans="1:20" x14ac:dyDescent="0.25">
      <c r="A227" s="34" t="s">
        <v>377</v>
      </c>
      <c r="B227" s="13" t="s">
        <v>51</v>
      </c>
      <c r="C227" s="19" t="s">
        <v>12</v>
      </c>
      <c r="D227" s="14">
        <v>7038</v>
      </c>
      <c r="E227" s="20"/>
      <c r="F227" s="24">
        <v>0.20477313823857296</v>
      </c>
      <c r="G227" s="24">
        <v>19.407114455592712</v>
      </c>
      <c r="H227" s="23">
        <f t="shared" si="10"/>
        <v>204.77313823857295</v>
      </c>
      <c r="I227" s="46">
        <f t="array" ref="I227">IF(SUMIF(Производство!$A$104:$A$145,Технологи!$B227,Производство!F$104:F$145)&gt;0,SUMIF(Производство!$A$104:$A$145,Технологи!$B227,Производство!F$104:F$145)*$F227+$G227,0)</f>
        <v>0</v>
      </c>
      <c r="J227" s="46">
        <f t="array" ref="J227">IF(SUMIF(Производство!$A$104:$A$145,Технологи!$B227,Производство!G$104:G$145)&gt;0,SUMIF(Производство!$A$104:$A$145,Технологи!$B227,Производство!G$104:G$145)*$F227+$G227,0)</f>
        <v>0</v>
      </c>
      <c r="K227" s="46">
        <f t="array" ref="K227">IF(SUMIF(Производство!$A$104:$A$145,Технологи!$B227,Производство!H$104:H$145)&gt;0,SUMIF(Производство!$A$104:$A$145,Технологи!$B227,Производство!H$104:H$145)*$F227+$G227,0)</f>
        <v>0</v>
      </c>
      <c r="L227" s="46">
        <f t="array" ref="L227">IF(SUMIF(Производство!$A$104:$A$145,Технологи!$B227,Производство!I$104:I$145)&gt;0,SUMIF(Производство!$A$104:$A$145,Технологи!$B227,Производство!I$104:I$145)*$F227+$G227,0)</f>
        <v>0</v>
      </c>
      <c r="M227" s="46">
        <f t="array" ref="M227">IF(SUMIF(Производство!$A$104:$A$145,Технологи!$B227,Производство!J$104:J$145)&gt;0,SUMIF(Производство!$A$104:$A$145,Технологи!$B227,Производство!J$104:J$145)*$F227+$G227,0)</f>
        <v>0</v>
      </c>
      <c r="N227" s="46">
        <f t="array" ref="N227">IF(SUMIF(Производство!$A$104:$A$145,Технологи!$B227,Производство!K$104:K$145)&gt;0,SUMIF(Производство!$A$104:$A$145,Технологи!$B227,Производство!K$104:K$145)*$F227+$G227,0)</f>
        <v>0</v>
      </c>
      <c r="O227" s="46">
        <f t="array" ref="O227">IF(SUMIF(Производство!$A$104:$A$145,Технологи!$B227,Производство!L$104:L$145)&gt;0,SUMIF(Производство!$A$104:$A$145,Технологи!$B227,Производство!L$104:L$145)*$F227+$G227,0)</f>
        <v>0</v>
      </c>
      <c r="P227" s="46">
        <f t="array" ref="P227">IF(SUMIF(Производство!$A$104:$A$145,Технологи!$B227,Производство!M$104:M$145)&gt;0,SUMIF(Производство!$A$104:$A$145,Технологи!$B227,Производство!M$104:M$145)*$F227+$G227,0)</f>
        <v>0</v>
      </c>
      <c r="Q227" s="46">
        <f t="array" ref="Q227">IF(SUMIF(Производство!$A$104:$A$145,Технологи!$B227,Производство!N$104:N$145)&gt;0,SUMIF(Производство!$A$104:$A$145,Технологи!$B227,Производство!N$104:N$145)*$F227+$G227,0)</f>
        <v>0</v>
      </c>
      <c r="R227" s="46">
        <f t="array" ref="R227">IF(SUMIF(Производство!$A$104:$A$145,Технологи!$B227,Производство!O$104:O$145)&gt;0,SUMIF(Производство!$A$104:$A$145,Технологи!$B227,Производство!O$104:O$145)*$F227+$G227,0)</f>
        <v>0</v>
      </c>
      <c r="S227" s="46">
        <f t="array" ref="S227">IF(SUMIF(Производство!$A$104:$A$145,Технологи!$B227,Производство!P$104:P$145)&gt;0,SUMIF(Производство!$A$104:$A$145,Технологи!$B227,Производство!P$104:P$145)*$F227+$G227,0)</f>
        <v>0</v>
      </c>
      <c r="T227" s="46">
        <f t="array" ref="T227">IF(SUMIF(Производство!$A$104:$A$145,Технологи!$B227,Производство!Q$104:Q$145)&gt;0,SUMIF(Производство!$A$104:$A$145,Технологи!$B227,Производство!Q$104:Q$145)*$F227+$G227,0)</f>
        <v>0</v>
      </c>
    </row>
    <row r="228" spans="1:20" x14ac:dyDescent="0.25">
      <c r="A228" s="34" t="s">
        <v>377</v>
      </c>
      <c r="B228" s="13" t="s">
        <v>51</v>
      </c>
      <c r="C228" s="19" t="s">
        <v>13</v>
      </c>
      <c r="D228" s="14">
        <v>7038</v>
      </c>
      <c r="E228" s="20"/>
      <c r="F228" s="24">
        <v>6.1737573021181699E-2</v>
      </c>
      <c r="G228" s="24">
        <v>5.8221343366778147</v>
      </c>
      <c r="H228" s="23">
        <f t="shared" si="10"/>
        <v>61.737573021181696</v>
      </c>
      <c r="I228" s="46">
        <f t="array" ref="I228">IF(SUMIF(Производство!$A$104:$A$145,Технологи!$B228,Производство!F$104:F$145)&gt;0,SUMIF(Производство!$A$104:$A$145,Технологи!$B228,Производство!F$104:F$145)*$F228+$G228,0)</f>
        <v>0</v>
      </c>
      <c r="J228" s="46">
        <f t="array" ref="J228">IF(SUMIF(Производство!$A$104:$A$145,Технологи!$B228,Производство!G$104:G$145)&gt;0,SUMIF(Производство!$A$104:$A$145,Технологи!$B228,Производство!G$104:G$145)*$F228+$G228,0)</f>
        <v>0</v>
      </c>
      <c r="K228" s="46">
        <f t="array" ref="K228">IF(SUMIF(Производство!$A$104:$A$145,Технологи!$B228,Производство!H$104:H$145)&gt;0,SUMIF(Производство!$A$104:$A$145,Технологи!$B228,Производство!H$104:H$145)*$F228+$G228,0)</f>
        <v>0</v>
      </c>
      <c r="L228" s="46">
        <f t="array" ref="L228">IF(SUMIF(Производство!$A$104:$A$145,Технологи!$B228,Производство!I$104:I$145)&gt;0,SUMIF(Производство!$A$104:$A$145,Технологи!$B228,Производство!I$104:I$145)*$F228+$G228,0)</f>
        <v>0</v>
      </c>
      <c r="M228" s="46">
        <f t="array" ref="M228">IF(SUMIF(Производство!$A$104:$A$145,Технологи!$B228,Производство!J$104:J$145)&gt;0,SUMIF(Производство!$A$104:$A$145,Технологи!$B228,Производство!J$104:J$145)*$F228+$G228,0)</f>
        <v>0</v>
      </c>
      <c r="N228" s="46">
        <f t="array" ref="N228">IF(SUMIF(Производство!$A$104:$A$145,Технологи!$B228,Производство!K$104:K$145)&gt;0,SUMIF(Производство!$A$104:$A$145,Технологи!$B228,Производство!K$104:K$145)*$F228+$G228,0)</f>
        <v>0</v>
      </c>
      <c r="O228" s="46">
        <f t="array" ref="O228">IF(SUMIF(Производство!$A$104:$A$145,Технологи!$B228,Производство!L$104:L$145)&gt;0,SUMIF(Производство!$A$104:$A$145,Технологи!$B228,Производство!L$104:L$145)*$F228+$G228,0)</f>
        <v>0</v>
      </c>
      <c r="P228" s="46">
        <f t="array" ref="P228">IF(SUMIF(Производство!$A$104:$A$145,Технологи!$B228,Производство!M$104:M$145)&gt;0,SUMIF(Производство!$A$104:$A$145,Технологи!$B228,Производство!M$104:M$145)*$F228+$G228,0)</f>
        <v>0</v>
      </c>
      <c r="Q228" s="46">
        <f t="array" ref="Q228">IF(SUMIF(Производство!$A$104:$A$145,Технологи!$B228,Производство!N$104:N$145)&gt;0,SUMIF(Производство!$A$104:$A$145,Технологи!$B228,Производство!N$104:N$145)*$F228+$G228,0)</f>
        <v>0</v>
      </c>
      <c r="R228" s="46">
        <f t="array" ref="R228">IF(SUMIF(Производство!$A$104:$A$145,Технологи!$B228,Производство!O$104:O$145)&gt;0,SUMIF(Производство!$A$104:$A$145,Технологи!$B228,Производство!O$104:O$145)*$F228+$G228,0)</f>
        <v>0</v>
      </c>
      <c r="S228" s="46">
        <f t="array" ref="S228">IF(SUMIF(Производство!$A$104:$A$145,Технологи!$B228,Производство!P$104:P$145)&gt;0,SUMIF(Производство!$A$104:$A$145,Технологи!$B228,Производство!P$104:P$145)*$F228+$G228,0)</f>
        <v>0</v>
      </c>
      <c r="T228" s="46">
        <f t="array" ref="T228">IF(SUMIF(Производство!$A$104:$A$145,Технологи!$B228,Производство!Q$104:Q$145)&gt;0,SUMIF(Производство!$A$104:$A$145,Технологи!$B228,Производство!Q$104:Q$145)*$F228+$G228,0)</f>
        <v>0</v>
      </c>
    </row>
    <row r="229" spans="1:20" x14ac:dyDescent="0.25">
      <c r="A229" s="34" t="s">
        <v>377</v>
      </c>
      <c r="B229" s="13" t="s">
        <v>51</v>
      </c>
      <c r="C229" s="19" t="s">
        <v>14</v>
      </c>
      <c r="D229" s="14">
        <v>7038</v>
      </c>
      <c r="E229" s="20"/>
      <c r="F229" s="24">
        <v>6.1737573021181688E-4</v>
      </c>
      <c r="G229" s="24">
        <v>5.8221343366778137E-2</v>
      </c>
      <c r="H229" s="23">
        <f t="shared" si="10"/>
        <v>0.61737573021181691</v>
      </c>
      <c r="I229" s="46">
        <f t="array" ref="I229">IF(SUMIF(Производство!$A$104:$A$145,Технологи!$B229,Производство!F$104:F$145)&gt;0,SUMIF(Производство!$A$104:$A$145,Технологи!$B229,Производство!F$104:F$145)*$F229+$G229,0)</f>
        <v>0</v>
      </c>
      <c r="J229" s="46">
        <f t="array" ref="J229">IF(SUMIF(Производство!$A$104:$A$145,Технологи!$B229,Производство!G$104:G$145)&gt;0,SUMIF(Производство!$A$104:$A$145,Технологи!$B229,Производство!G$104:G$145)*$F229+$G229,0)</f>
        <v>0</v>
      </c>
      <c r="K229" s="46">
        <f t="array" ref="K229">IF(SUMIF(Производство!$A$104:$A$145,Технологи!$B229,Производство!H$104:H$145)&gt;0,SUMIF(Производство!$A$104:$A$145,Технологи!$B229,Производство!H$104:H$145)*$F229+$G229,0)</f>
        <v>0</v>
      </c>
      <c r="L229" s="46">
        <f t="array" ref="L229">IF(SUMIF(Производство!$A$104:$A$145,Технологи!$B229,Производство!I$104:I$145)&gt;0,SUMIF(Производство!$A$104:$A$145,Технологи!$B229,Производство!I$104:I$145)*$F229+$G229,0)</f>
        <v>0</v>
      </c>
      <c r="M229" s="46">
        <f t="array" ref="M229">IF(SUMIF(Производство!$A$104:$A$145,Технологи!$B229,Производство!J$104:J$145)&gt;0,SUMIF(Производство!$A$104:$A$145,Технологи!$B229,Производство!J$104:J$145)*$F229+$G229,0)</f>
        <v>0</v>
      </c>
      <c r="N229" s="46">
        <f t="array" ref="N229">IF(SUMIF(Производство!$A$104:$A$145,Технологи!$B229,Производство!K$104:K$145)&gt;0,SUMIF(Производство!$A$104:$A$145,Технологи!$B229,Производство!K$104:K$145)*$F229+$G229,0)</f>
        <v>0</v>
      </c>
      <c r="O229" s="46">
        <f t="array" ref="O229">IF(SUMIF(Производство!$A$104:$A$145,Технологи!$B229,Производство!L$104:L$145)&gt;0,SUMIF(Производство!$A$104:$A$145,Технологи!$B229,Производство!L$104:L$145)*$F229+$G229,0)</f>
        <v>0</v>
      </c>
      <c r="P229" s="46">
        <f t="array" ref="P229">IF(SUMIF(Производство!$A$104:$A$145,Технологи!$B229,Производство!M$104:M$145)&gt;0,SUMIF(Производство!$A$104:$A$145,Технологи!$B229,Производство!M$104:M$145)*$F229+$G229,0)</f>
        <v>0</v>
      </c>
      <c r="Q229" s="46">
        <f t="array" ref="Q229">IF(SUMIF(Производство!$A$104:$A$145,Технологи!$B229,Производство!N$104:N$145)&gt;0,SUMIF(Производство!$A$104:$A$145,Технологи!$B229,Производство!N$104:N$145)*$F229+$G229,0)</f>
        <v>0</v>
      </c>
      <c r="R229" s="46">
        <f t="array" ref="R229">IF(SUMIF(Производство!$A$104:$A$145,Технологи!$B229,Производство!O$104:O$145)&gt;0,SUMIF(Производство!$A$104:$A$145,Технологи!$B229,Производство!O$104:O$145)*$F229+$G229,0)</f>
        <v>0</v>
      </c>
      <c r="S229" s="46">
        <f t="array" ref="S229">IF(SUMIF(Производство!$A$104:$A$145,Технологи!$B229,Производство!P$104:P$145)&gt;0,SUMIF(Производство!$A$104:$A$145,Технологи!$B229,Производство!P$104:P$145)*$F229+$G229,0)</f>
        <v>0</v>
      </c>
      <c r="T229" s="46">
        <f t="array" ref="T229">IF(SUMIF(Производство!$A$104:$A$145,Технологи!$B229,Производство!Q$104:Q$145)&gt;0,SUMIF(Производство!$A$104:$A$145,Технологи!$B229,Производство!Q$104:Q$145)*$F229+$G229,0)</f>
        <v>0</v>
      </c>
    </row>
    <row r="230" spans="1:20" x14ac:dyDescent="0.25">
      <c r="A230" s="34" t="s">
        <v>377</v>
      </c>
      <c r="B230" s="13" t="s">
        <v>51</v>
      </c>
      <c r="C230" s="19" t="s">
        <v>15</v>
      </c>
      <c r="D230" s="14">
        <v>7038</v>
      </c>
      <c r="E230" s="20"/>
      <c r="F230" s="24">
        <v>3.0868786510590844E-4</v>
      </c>
      <c r="G230" s="24">
        <v>2.9110671683389069E-2</v>
      </c>
      <c r="H230" s="23">
        <f t="shared" si="10"/>
        <v>0.30868786510590845</v>
      </c>
      <c r="I230" s="46">
        <f t="array" ref="I230">IF(SUMIF(Производство!$A$104:$A$145,Технологи!$B230,Производство!F$104:F$145)&gt;0,SUMIF(Производство!$A$104:$A$145,Технологи!$B230,Производство!F$104:F$145)*$F230+$G230,0)</f>
        <v>0</v>
      </c>
      <c r="J230" s="46">
        <f t="array" ref="J230">IF(SUMIF(Производство!$A$104:$A$145,Технологи!$B230,Производство!G$104:G$145)&gt;0,SUMIF(Производство!$A$104:$A$145,Технологи!$B230,Производство!G$104:G$145)*$F230+$G230,0)</f>
        <v>0</v>
      </c>
      <c r="K230" s="46">
        <f t="array" ref="K230">IF(SUMIF(Производство!$A$104:$A$145,Технологи!$B230,Производство!H$104:H$145)&gt;0,SUMIF(Производство!$A$104:$A$145,Технологи!$B230,Производство!H$104:H$145)*$F230+$G230,0)</f>
        <v>0</v>
      </c>
      <c r="L230" s="46">
        <f t="array" ref="L230">IF(SUMIF(Производство!$A$104:$A$145,Технологи!$B230,Производство!I$104:I$145)&gt;0,SUMIF(Производство!$A$104:$A$145,Технологи!$B230,Производство!I$104:I$145)*$F230+$G230,0)</f>
        <v>0</v>
      </c>
      <c r="M230" s="46">
        <f t="array" ref="M230">IF(SUMIF(Производство!$A$104:$A$145,Технологи!$B230,Производство!J$104:J$145)&gt;0,SUMIF(Производство!$A$104:$A$145,Технологи!$B230,Производство!J$104:J$145)*$F230+$G230,0)</f>
        <v>0</v>
      </c>
      <c r="N230" s="46">
        <f t="array" ref="N230">IF(SUMIF(Производство!$A$104:$A$145,Технологи!$B230,Производство!K$104:K$145)&gt;0,SUMIF(Производство!$A$104:$A$145,Технологи!$B230,Производство!K$104:K$145)*$F230+$G230,0)</f>
        <v>0</v>
      </c>
      <c r="O230" s="46">
        <f t="array" ref="O230">IF(SUMIF(Производство!$A$104:$A$145,Технологи!$B230,Производство!L$104:L$145)&gt;0,SUMIF(Производство!$A$104:$A$145,Технологи!$B230,Производство!L$104:L$145)*$F230+$G230,0)</f>
        <v>0</v>
      </c>
      <c r="P230" s="46">
        <f t="array" ref="P230">IF(SUMIF(Производство!$A$104:$A$145,Технологи!$B230,Производство!M$104:M$145)&gt;0,SUMIF(Производство!$A$104:$A$145,Технологи!$B230,Производство!M$104:M$145)*$F230+$G230,0)</f>
        <v>0</v>
      </c>
      <c r="Q230" s="46">
        <f t="array" ref="Q230">IF(SUMIF(Производство!$A$104:$A$145,Технологи!$B230,Производство!N$104:N$145)&gt;0,SUMIF(Производство!$A$104:$A$145,Технологи!$B230,Производство!N$104:N$145)*$F230+$G230,0)</f>
        <v>0</v>
      </c>
      <c r="R230" s="46">
        <f t="array" ref="R230">IF(SUMIF(Производство!$A$104:$A$145,Технологи!$B230,Производство!O$104:O$145)&gt;0,SUMIF(Производство!$A$104:$A$145,Технологи!$B230,Производство!O$104:O$145)*$F230+$G230,0)</f>
        <v>0</v>
      </c>
      <c r="S230" s="46">
        <f t="array" ref="S230">IF(SUMIF(Производство!$A$104:$A$145,Технологи!$B230,Производство!P$104:P$145)&gt;0,SUMIF(Производство!$A$104:$A$145,Технологи!$B230,Производство!P$104:P$145)*$F230+$G230,0)</f>
        <v>0</v>
      </c>
      <c r="T230" s="46">
        <f t="array" ref="T230">IF(SUMIF(Производство!$A$104:$A$145,Технологи!$B230,Производство!Q$104:Q$145)&gt;0,SUMIF(Производство!$A$104:$A$145,Технологи!$B230,Производство!Q$104:Q$145)*$F230+$G230,0)</f>
        <v>0</v>
      </c>
    </row>
    <row r="231" spans="1:20" x14ac:dyDescent="0.25">
      <c r="A231" s="34" t="s">
        <v>377</v>
      </c>
      <c r="B231" s="13" t="s">
        <v>51</v>
      </c>
      <c r="C231" s="19" t="s">
        <v>16</v>
      </c>
      <c r="D231" s="14">
        <v>7038</v>
      </c>
      <c r="E231" s="20"/>
      <c r="F231" s="24">
        <v>4.0954627647714599E-3</v>
      </c>
      <c r="G231" s="24">
        <v>0.38814228911185433</v>
      </c>
      <c r="H231" s="23">
        <f t="shared" si="10"/>
        <v>4.0954627647714599</v>
      </c>
      <c r="I231" s="46">
        <f t="array" ref="I231">IF(SUMIF(Производство!$A$104:$A$145,Технологи!$B231,Производство!F$104:F$145)&gt;0,SUMIF(Производство!$A$104:$A$145,Технологи!$B231,Производство!F$104:F$145)*$F231+$G231,0)</f>
        <v>0</v>
      </c>
      <c r="J231" s="46">
        <f t="array" ref="J231">IF(SUMIF(Производство!$A$104:$A$145,Технологи!$B231,Производство!G$104:G$145)&gt;0,SUMIF(Производство!$A$104:$A$145,Технологи!$B231,Производство!G$104:G$145)*$F231+$G231,0)</f>
        <v>0</v>
      </c>
      <c r="K231" s="46">
        <f t="array" ref="K231">IF(SUMIF(Производство!$A$104:$A$145,Технологи!$B231,Производство!H$104:H$145)&gt;0,SUMIF(Производство!$A$104:$A$145,Технологи!$B231,Производство!H$104:H$145)*$F231+$G231,0)</f>
        <v>0</v>
      </c>
      <c r="L231" s="46">
        <f t="array" ref="L231">IF(SUMIF(Производство!$A$104:$A$145,Технологи!$B231,Производство!I$104:I$145)&gt;0,SUMIF(Производство!$A$104:$A$145,Технологи!$B231,Производство!I$104:I$145)*$F231+$G231,0)</f>
        <v>0</v>
      </c>
      <c r="M231" s="46">
        <f t="array" ref="M231">IF(SUMIF(Производство!$A$104:$A$145,Технологи!$B231,Производство!J$104:J$145)&gt;0,SUMIF(Производство!$A$104:$A$145,Технологи!$B231,Производство!J$104:J$145)*$F231+$G231,0)</f>
        <v>0</v>
      </c>
      <c r="N231" s="46">
        <f t="array" ref="N231">IF(SUMIF(Производство!$A$104:$A$145,Технологи!$B231,Производство!K$104:K$145)&gt;0,SUMIF(Производство!$A$104:$A$145,Технологи!$B231,Производство!K$104:K$145)*$F231+$G231,0)</f>
        <v>0</v>
      </c>
      <c r="O231" s="46">
        <f t="array" ref="O231">IF(SUMIF(Производство!$A$104:$A$145,Технологи!$B231,Производство!L$104:L$145)&gt;0,SUMIF(Производство!$A$104:$A$145,Технологи!$B231,Производство!L$104:L$145)*$F231+$G231,0)</f>
        <v>0</v>
      </c>
      <c r="P231" s="46">
        <f t="array" ref="P231">IF(SUMIF(Производство!$A$104:$A$145,Технологи!$B231,Производство!M$104:M$145)&gt;0,SUMIF(Производство!$A$104:$A$145,Технологи!$B231,Производство!M$104:M$145)*$F231+$G231,0)</f>
        <v>0</v>
      </c>
      <c r="Q231" s="46">
        <f t="array" ref="Q231">IF(SUMIF(Производство!$A$104:$A$145,Технологи!$B231,Производство!N$104:N$145)&gt;0,SUMIF(Производство!$A$104:$A$145,Технологи!$B231,Производство!N$104:N$145)*$F231+$G231,0)</f>
        <v>0</v>
      </c>
      <c r="R231" s="46">
        <f t="array" ref="R231">IF(SUMIF(Производство!$A$104:$A$145,Технологи!$B231,Производство!O$104:O$145)&gt;0,SUMIF(Производство!$A$104:$A$145,Технологи!$B231,Производство!O$104:O$145)*$F231+$G231,0)</f>
        <v>0</v>
      </c>
      <c r="S231" s="46">
        <f t="array" ref="S231">IF(SUMIF(Производство!$A$104:$A$145,Технологи!$B231,Производство!P$104:P$145)&gt;0,SUMIF(Производство!$A$104:$A$145,Технологи!$B231,Производство!P$104:P$145)*$F231+$G231,0)</f>
        <v>0</v>
      </c>
      <c r="T231" s="46">
        <f t="array" ref="T231">IF(SUMIF(Производство!$A$104:$A$145,Технологи!$B231,Производство!Q$104:Q$145)&gt;0,SUMIF(Производство!$A$104:$A$145,Технологи!$B231,Производство!Q$104:Q$145)*$F231+$G231,0)</f>
        <v>0</v>
      </c>
    </row>
    <row r="232" spans="1:20" x14ac:dyDescent="0.25">
      <c r="A232" s="34" t="s">
        <v>377</v>
      </c>
      <c r="B232" s="13" t="s">
        <v>51</v>
      </c>
      <c r="C232" s="19" t="s">
        <v>17</v>
      </c>
      <c r="D232" s="14">
        <v>7038</v>
      </c>
      <c r="E232" s="20"/>
      <c r="F232" s="24">
        <v>2.2637110107766624E-3</v>
      </c>
      <c r="G232" s="24">
        <v>0.21347825901151987</v>
      </c>
      <c r="H232" s="23">
        <f t="shared" si="10"/>
        <v>2.2637110107766625</v>
      </c>
      <c r="I232" s="46">
        <f t="array" ref="I232">IF(SUMIF(Производство!$A$104:$A$145,Технологи!$B232,Производство!F$104:F$145)&gt;0,SUMIF(Производство!$A$104:$A$145,Технологи!$B232,Производство!F$104:F$145)*$F232+$G232,0)</f>
        <v>0</v>
      </c>
      <c r="J232" s="46">
        <f t="array" ref="J232">IF(SUMIF(Производство!$A$104:$A$145,Технологи!$B232,Производство!G$104:G$145)&gt;0,SUMIF(Производство!$A$104:$A$145,Технологи!$B232,Производство!G$104:G$145)*$F232+$G232,0)</f>
        <v>0</v>
      </c>
      <c r="K232" s="46">
        <f t="array" ref="K232">IF(SUMIF(Производство!$A$104:$A$145,Технологи!$B232,Производство!H$104:H$145)&gt;0,SUMIF(Производство!$A$104:$A$145,Технологи!$B232,Производство!H$104:H$145)*$F232+$G232,0)</f>
        <v>0</v>
      </c>
      <c r="L232" s="46">
        <f t="array" ref="L232">IF(SUMIF(Производство!$A$104:$A$145,Технологи!$B232,Производство!I$104:I$145)&gt;0,SUMIF(Производство!$A$104:$A$145,Технологи!$B232,Производство!I$104:I$145)*$F232+$G232,0)</f>
        <v>0</v>
      </c>
      <c r="M232" s="46">
        <f t="array" ref="M232">IF(SUMIF(Производство!$A$104:$A$145,Технологи!$B232,Производство!J$104:J$145)&gt;0,SUMIF(Производство!$A$104:$A$145,Технологи!$B232,Производство!J$104:J$145)*$F232+$G232,0)</f>
        <v>0</v>
      </c>
      <c r="N232" s="46">
        <f t="array" ref="N232">IF(SUMIF(Производство!$A$104:$A$145,Технологи!$B232,Производство!K$104:K$145)&gt;0,SUMIF(Производство!$A$104:$A$145,Технологи!$B232,Производство!K$104:K$145)*$F232+$G232,0)</f>
        <v>0</v>
      </c>
      <c r="O232" s="46">
        <f t="array" ref="O232">IF(SUMIF(Производство!$A$104:$A$145,Технологи!$B232,Производство!L$104:L$145)&gt;0,SUMIF(Производство!$A$104:$A$145,Технологи!$B232,Производство!L$104:L$145)*$F232+$G232,0)</f>
        <v>0</v>
      </c>
      <c r="P232" s="46">
        <f t="array" ref="P232">IF(SUMIF(Производство!$A$104:$A$145,Технологи!$B232,Производство!M$104:M$145)&gt;0,SUMIF(Производство!$A$104:$A$145,Технологи!$B232,Производство!M$104:M$145)*$F232+$G232,0)</f>
        <v>0</v>
      </c>
      <c r="Q232" s="46">
        <f t="array" ref="Q232">IF(SUMIF(Производство!$A$104:$A$145,Технологи!$B232,Производство!N$104:N$145)&gt;0,SUMIF(Производство!$A$104:$A$145,Технологи!$B232,Производство!N$104:N$145)*$F232+$G232,0)</f>
        <v>0</v>
      </c>
      <c r="R232" s="46">
        <f t="array" ref="R232">IF(SUMIF(Производство!$A$104:$A$145,Технологи!$B232,Производство!O$104:O$145)&gt;0,SUMIF(Производство!$A$104:$A$145,Технологи!$B232,Производство!O$104:O$145)*$F232+$G232,0)</f>
        <v>0</v>
      </c>
      <c r="S232" s="46">
        <f t="array" ref="S232">IF(SUMIF(Производство!$A$104:$A$145,Технологи!$B232,Производство!P$104:P$145)&gt;0,SUMIF(Производство!$A$104:$A$145,Технологи!$B232,Производство!P$104:P$145)*$F232+$G232,0)</f>
        <v>0</v>
      </c>
      <c r="T232" s="46">
        <f t="array" ref="T232">IF(SUMIF(Производство!$A$104:$A$145,Технологи!$B232,Производство!Q$104:Q$145)&gt;0,SUMIF(Производство!$A$104:$A$145,Технологи!$B232,Производство!Q$104:Q$145)*$F232+$G232,0)</f>
        <v>0</v>
      </c>
    </row>
    <row r="233" spans="1:20" x14ac:dyDescent="0.25">
      <c r="A233" s="34" t="s">
        <v>377</v>
      </c>
      <c r="B233" s="13" t="s">
        <v>51</v>
      </c>
      <c r="C233" s="19" t="s">
        <v>18</v>
      </c>
      <c r="D233" s="14">
        <v>7038</v>
      </c>
      <c r="E233" s="20"/>
      <c r="F233" s="24">
        <v>2.043656295057599E-3</v>
      </c>
      <c r="G233" s="24">
        <v>0.19407114455592717</v>
      </c>
      <c r="H233" s="23">
        <f t="shared" si="10"/>
        <v>2.0436562950575992</v>
      </c>
      <c r="I233" s="46">
        <f t="array" ref="I233">IF(SUMIF(Производство!$A$104:$A$145,Технологи!$B233,Производство!F$104:F$145)&gt;0,SUMIF(Производство!$A$104:$A$145,Технологи!$B233,Производство!F$104:F$145)*$F233+$G233,0)</f>
        <v>0</v>
      </c>
      <c r="J233" s="46">
        <f t="array" ref="J233">IF(SUMIF(Производство!$A$104:$A$145,Технологи!$B233,Производство!G$104:G$145)&gt;0,SUMIF(Производство!$A$104:$A$145,Технологи!$B233,Производство!G$104:G$145)*$F233+$G233,0)</f>
        <v>0</v>
      </c>
      <c r="K233" s="46">
        <f t="array" ref="K233">IF(SUMIF(Производство!$A$104:$A$145,Технологи!$B233,Производство!H$104:H$145)&gt;0,SUMIF(Производство!$A$104:$A$145,Технологи!$B233,Производство!H$104:H$145)*$F233+$G233,0)</f>
        <v>0</v>
      </c>
      <c r="L233" s="46">
        <f t="array" ref="L233">IF(SUMIF(Производство!$A$104:$A$145,Технологи!$B233,Производство!I$104:I$145)&gt;0,SUMIF(Производство!$A$104:$A$145,Технологи!$B233,Производство!I$104:I$145)*$F233+$G233,0)</f>
        <v>0</v>
      </c>
      <c r="M233" s="46">
        <f t="array" ref="M233">IF(SUMIF(Производство!$A$104:$A$145,Технологи!$B233,Производство!J$104:J$145)&gt;0,SUMIF(Производство!$A$104:$A$145,Технологи!$B233,Производство!J$104:J$145)*$F233+$G233,0)</f>
        <v>0</v>
      </c>
      <c r="N233" s="46">
        <f t="array" ref="N233">IF(SUMIF(Производство!$A$104:$A$145,Технологи!$B233,Производство!K$104:K$145)&gt;0,SUMIF(Производство!$A$104:$A$145,Технологи!$B233,Производство!K$104:K$145)*$F233+$G233,0)</f>
        <v>0</v>
      </c>
      <c r="O233" s="46">
        <f t="array" ref="O233">IF(SUMIF(Производство!$A$104:$A$145,Технологи!$B233,Производство!L$104:L$145)&gt;0,SUMIF(Производство!$A$104:$A$145,Технологи!$B233,Производство!L$104:L$145)*$F233+$G233,0)</f>
        <v>0</v>
      </c>
      <c r="P233" s="46">
        <f t="array" ref="P233">IF(SUMIF(Производство!$A$104:$A$145,Технологи!$B233,Производство!M$104:M$145)&gt;0,SUMIF(Производство!$A$104:$A$145,Технологи!$B233,Производство!M$104:M$145)*$F233+$G233,0)</f>
        <v>0</v>
      </c>
      <c r="Q233" s="46">
        <f t="array" ref="Q233">IF(SUMIF(Производство!$A$104:$A$145,Технологи!$B233,Производство!N$104:N$145)&gt;0,SUMIF(Производство!$A$104:$A$145,Технологи!$B233,Производство!N$104:N$145)*$F233+$G233,0)</f>
        <v>0</v>
      </c>
      <c r="R233" s="46">
        <f t="array" ref="R233">IF(SUMIF(Производство!$A$104:$A$145,Технологи!$B233,Производство!O$104:O$145)&gt;0,SUMIF(Производство!$A$104:$A$145,Технологи!$B233,Производство!O$104:O$145)*$F233+$G233,0)</f>
        <v>0</v>
      </c>
      <c r="S233" s="46">
        <f t="array" ref="S233">IF(SUMIF(Производство!$A$104:$A$145,Технологи!$B233,Производство!P$104:P$145)&gt;0,SUMIF(Производство!$A$104:$A$145,Технологи!$B233,Производство!P$104:P$145)*$F233+$G233,0)</f>
        <v>0</v>
      </c>
      <c r="T233" s="46">
        <f t="array" ref="T233">IF(SUMIF(Производство!$A$104:$A$145,Технологи!$B233,Производство!Q$104:Q$145)&gt;0,SUMIF(Производство!$A$104:$A$145,Технологи!$B233,Производство!Q$104:Q$145)*$F233+$G233,0)</f>
        <v>0</v>
      </c>
    </row>
    <row r="234" spans="1:20" x14ac:dyDescent="0.25">
      <c r="A234" s="34" t="s">
        <v>377</v>
      </c>
      <c r="B234" s="13" t="s">
        <v>51</v>
      </c>
      <c r="C234" s="19" t="s">
        <v>19</v>
      </c>
      <c r="D234" s="14">
        <v>7038</v>
      </c>
      <c r="E234" s="20"/>
      <c r="F234" s="24">
        <v>0.44433850000000003</v>
      </c>
      <c r="G234" s="24">
        <v>15.551847499999999</v>
      </c>
      <c r="H234" s="23">
        <f t="shared" si="10"/>
        <v>444.33850000000001</v>
      </c>
      <c r="I234" s="46">
        <f t="array" ref="I234">IF(SUMIF(Производство!$A$104:$A$145,Технологи!$B234,Производство!F$104:F$145)&gt;0,SUMIF(Производство!$A$104:$A$145,Технологи!$B234,Производство!F$104:F$145)*$F234+$G234,0)</f>
        <v>0</v>
      </c>
      <c r="J234" s="46">
        <f t="array" ref="J234">IF(SUMIF(Производство!$A$104:$A$145,Технологи!$B234,Производство!G$104:G$145)&gt;0,SUMIF(Производство!$A$104:$A$145,Технологи!$B234,Производство!G$104:G$145)*$F234+$G234,0)</f>
        <v>0</v>
      </c>
      <c r="K234" s="46">
        <f t="array" ref="K234">IF(SUMIF(Производство!$A$104:$A$145,Технологи!$B234,Производство!H$104:H$145)&gt;0,SUMIF(Производство!$A$104:$A$145,Технологи!$B234,Производство!H$104:H$145)*$F234+$G234,0)</f>
        <v>0</v>
      </c>
      <c r="L234" s="46">
        <f t="array" ref="L234">IF(SUMIF(Производство!$A$104:$A$145,Технологи!$B234,Производство!I$104:I$145)&gt;0,SUMIF(Производство!$A$104:$A$145,Технологи!$B234,Производство!I$104:I$145)*$F234+$G234,0)</f>
        <v>0</v>
      </c>
      <c r="M234" s="46">
        <f t="array" ref="M234">IF(SUMIF(Производство!$A$104:$A$145,Технологи!$B234,Производство!J$104:J$145)&gt;0,SUMIF(Производство!$A$104:$A$145,Технологи!$B234,Производство!J$104:J$145)*$F234+$G234,0)</f>
        <v>0</v>
      </c>
      <c r="N234" s="46">
        <f t="array" ref="N234">IF(SUMIF(Производство!$A$104:$A$145,Технологи!$B234,Производство!K$104:K$145)&gt;0,SUMIF(Производство!$A$104:$A$145,Технологи!$B234,Производство!K$104:K$145)*$F234+$G234,0)</f>
        <v>0</v>
      </c>
      <c r="O234" s="46">
        <f t="array" ref="O234">IF(SUMIF(Производство!$A$104:$A$145,Технологи!$B234,Производство!L$104:L$145)&gt;0,SUMIF(Производство!$A$104:$A$145,Технологи!$B234,Производство!L$104:L$145)*$F234+$G234,0)</f>
        <v>0</v>
      </c>
      <c r="P234" s="46">
        <f t="array" ref="P234">IF(SUMIF(Производство!$A$104:$A$145,Технологи!$B234,Производство!M$104:M$145)&gt;0,SUMIF(Производство!$A$104:$A$145,Технологи!$B234,Производство!M$104:M$145)*$F234+$G234,0)</f>
        <v>0</v>
      </c>
      <c r="Q234" s="46">
        <f t="array" ref="Q234">IF(SUMIF(Производство!$A$104:$A$145,Технологи!$B234,Производство!N$104:N$145)&gt;0,SUMIF(Производство!$A$104:$A$145,Технологи!$B234,Производство!N$104:N$145)*$F234+$G234,0)</f>
        <v>0</v>
      </c>
      <c r="R234" s="46">
        <f t="array" ref="R234">IF(SUMIF(Производство!$A$104:$A$145,Технологи!$B234,Производство!O$104:O$145)&gt;0,SUMIF(Производство!$A$104:$A$145,Технологи!$B234,Производство!O$104:O$145)*$F234+$G234,0)</f>
        <v>0</v>
      </c>
      <c r="S234" s="46">
        <f t="array" ref="S234">IF(SUMIF(Производство!$A$104:$A$145,Технологи!$B234,Производство!P$104:P$145)&gt;0,SUMIF(Производство!$A$104:$A$145,Технологи!$B234,Производство!P$104:P$145)*$F234+$G234,0)</f>
        <v>0</v>
      </c>
      <c r="T234" s="46">
        <f t="array" ref="T234">IF(SUMIF(Производство!$A$104:$A$145,Технологи!$B234,Производство!Q$104:Q$145)&gt;0,SUMIF(Производство!$A$104:$A$145,Технологи!$B234,Производство!Q$104:Q$145)*$F234+$G234,0)</f>
        <v>0</v>
      </c>
    </row>
    <row r="235" spans="1:20" x14ac:dyDescent="0.25">
      <c r="A235" s="34" t="s">
        <v>377</v>
      </c>
      <c r="B235" s="13" t="s">
        <v>51</v>
      </c>
      <c r="C235" s="19" t="s">
        <v>20</v>
      </c>
      <c r="D235" s="14">
        <v>7038</v>
      </c>
      <c r="E235" s="20"/>
      <c r="F235" s="24">
        <v>4.0799999999999996E-2</v>
      </c>
      <c r="G235" s="24">
        <v>0.61199999999999999</v>
      </c>
      <c r="H235" s="23">
        <f t="shared" si="10"/>
        <v>40.799999999999997</v>
      </c>
      <c r="I235" s="46">
        <f t="array" ref="I235">IF(SUMIF(Производство!$A$104:$A$145,Технологи!$B235,Производство!F$104:F$145)&gt;0,SUMIF(Производство!$A$104:$A$145,Технологи!$B235,Производство!F$104:F$145)*$F235+$G235,0)</f>
        <v>0</v>
      </c>
      <c r="J235" s="46">
        <f t="array" ref="J235">IF(SUMIF(Производство!$A$104:$A$145,Технологи!$B235,Производство!G$104:G$145)&gt;0,SUMIF(Производство!$A$104:$A$145,Технологи!$B235,Производство!G$104:G$145)*$F235+$G235,0)</f>
        <v>0</v>
      </c>
      <c r="K235" s="46">
        <f t="array" ref="K235">IF(SUMIF(Производство!$A$104:$A$145,Технологи!$B235,Производство!H$104:H$145)&gt;0,SUMIF(Производство!$A$104:$A$145,Технологи!$B235,Производство!H$104:H$145)*$F235+$G235,0)</f>
        <v>0</v>
      </c>
      <c r="L235" s="46">
        <f t="array" ref="L235">IF(SUMIF(Производство!$A$104:$A$145,Технологи!$B235,Производство!I$104:I$145)&gt;0,SUMIF(Производство!$A$104:$A$145,Технологи!$B235,Производство!I$104:I$145)*$F235+$G235,0)</f>
        <v>0</v>
      </c>
      <c r="M235" s="46">
        <f t="array" ref="M235">IF(SUMIF(Производство!$A$104:$A$145,Технологи!$B235,Производство!J$104:J$145)&gt;0,SUMIF(Производство!$A$104:$A$145,Технологи!$B235,Производство!J$104:J$145)*$F235+$G235,0)</f>
        <v>0</v>
      </c>
      <c r="N235" s="46">
        <f t="array" ref="N235">IF(SUMIF(Производство!$A$104:$A$145,Технологи!$B235,Производство!K$104:K$145)&gt;0,SUMIF(Производство!$A$104:$A$145,Технологи!$B235,Производство!K$104:K$145)*$F235+$G235,0)</f>
        <v>0</v>
      </c>
      <c r="O235" s="46">
        <f t="array" ref="O235">IF(SUMIF(Производство!$A$104:$A$145,Технологи!$B235,Производство!L$104:L$145)&gt;0,SUMIF(Производство!$A$104:$A$145,Технологи!$B235,Производство!L$104:L$145)*$F235+$G235,0)</f>
        <v>0</v>
      </c>
      <c r="P235" s="46">
        <f t="array" ref="P235">IF(SUMIF(Производство!$A$104:$A$145,Технологи!$B235,Производство!M$104:M$145)&gt;0,SUMIF(Производство!$A$104:$A$145,Технологи!$B235,Производство!M$104:M$145)*$F235+$G235,0)</f>
        <v>0</v>
      </c>
      <c r="Q235" s="46">
        <f t="array" ref="Q235">IF(SUMIF(Производство!$A$104:$A$145,Технологи!$B235,Производство!N$104:N$145)&gt;0,SUMIF(Производство!$A$104:$A$145,Технологи!$B235,Производство!N$104:N$145)*$F235+$G235,0)</f>
        <v>0</v>
      </c>
      <c r="R235" s="46">
        <f t="array" ref="R235">IF(SUMIF(Производство!$A$104:$A$145,Технологи!$B235,Производство!O$104:O$145)&gt;0,SUMIF(Производство!$A$104:$A$145,Технологи!$B235,Производство!O$104:O$145)*$F235+$G235,0)</f>
        <v>0</v>
      </c>
      <c r="S235" s="46">
        <f t="array" ref="S235">IF(SUMIF(Производство!$A$104:$A$145,Технологи!$B235,Производство!P$104:P$145)&gt;0,SUMIF(Производство!$A$104:$A$145,Технологи!$B235,Производство!P$104:P$145)*$F235+$G235,0)</f>
        <v>0</v>
      </c>
      <c r="T235" s="46">
        <f t="array" ref="T235">IF(SUMIF(Производство!$A$104:$A$145,Технологи!$B235,Производство!Q$104:Q$145)&gt;0,SUMIF(Производство!$A$104:$A$145,Технологи!$B235,Производство!Q$104:Q$145)*$F235+$G235,0)</f>
        <v>0</v>
      </c>
    </row>
    <row r="236" spans="1:20" x14ac:dyDescent="0.25">
      <c r="A236" s="34" t="s">
        <v>377</v>
      </c>
      <c r="B236" s="13" t="s">
        <v>51</v>
      </c>
      <c r="C236" s="19" t="s">
        <v>21</v>
      </c>
      <c r="D236" s="14">
        <v>7038</v>
      </c>
      <c r="E236" s="20"/>
      <c r="F236" s="24">
        <v>0</v>
      </c>
      <c r="G236" s="24">
        <v>0</v>
      </c>
      <c r="H236" s="23">
        <f t="shared" si="10"/>
        <v>0</v>
      </c>
      <c r="I236" s="46">
        <f t="array" ref="I236">IF(SUMIF(Производство!$A$104:$A$145,Технологи!$B236,Производство!F$104:F$145)&gt;0,SUMIF(Производство!$A$104:$A$145,Технологи!$B236,Производство!F$104:F$145)*$F236+$G236,0)</f>
        <v>0</v>
      </c>
      <c r="J236" s="46">
        <f t="array" ref="J236">IF(SUMIF(Производство!$A$104:$A$145,Технологи!$B236,Производство!G$104:G$145)&gt;0,SUMIF(Производство!$A$104:$A$145,Технологи!$B236,Производство!G$104:G$145)*$F236+$G236,0)</f>
        <v>0</v>
      </c>
      <c r="K236" s="46">
        <f t="array" ref="K236">IF(SUMIF(Производство!$A$104:$A$145,Технологи!$B236,Производство!H$104:H$145)&gt;0,SUMIF(Производство!$A$104:$A$145,Технологи!$B236,Производство!H$104:H$145)*$F236+$G236,0)</f>
        <v>0</v>
      </c>
      <c r="L236" s="46">
        <f t="array" ref="L236">IF(SUMIF(Производство!$A$104:$A$145,Технологи!$B236,Производство!I$104:I$145)&gt;0,SUMIF(Производство!$A$104:$A$145,Технологи!$B236,Производство!I$104:I$145)*$F236+$G236,0)</f>
        <v>0</v>
      </c>
      <c r="M236" s="46">
        <f t="array" ref="M236">IF(SUMIF(Производство!$A$104:$A$145,Технологи!$B236,Производство!J$104:J$145)&gt;0,SUMIF(Производство!$A$104:$A$145,Технологи!$B236,Производство!J$104:J$145)*$F236+$G236,0)</f>
        <v>0</v>
      </c>
      <c r="N236" s="46">
        <f t="array" ref="N236">IF(SUMIF(Производство!$A$104:$A$145,Технологи!$B236,Производство!K$104:K$145)&gt;0,SUMIF(Производство!$A$104:$A$145,Технологи!$B236,Производство!K$104:K$145)*$F236+$G236,0)</f>
        <v>0</v>
      </c>
      <c r="O236" s="46">
        <f t="array" ref="O236">IF(SUMIF(Производство!$A$104:$A$145,Технологи!$B236,Производство!L$104:L$145)&gt;0,SUMIF(Производство!$A$104:$A$145,Технологи!$B236,Производство!L$104:L$145)*$F236+$G236,0)</f>
        <v>0</v>
      </c>
      <c r="P236" s="46">
        <f t="array" ref="P236">IF(SUMIF(Производство!$A$104:$A$145,Технологи!$B236,Производство!M$104:M$145)&gt;0,SUMIF(Производство!$A$104:$A$145,Технологи!$B236,Производство!M$104:M$145)*$F236+$G236,0)</f>
        <v>0</v>
      </c>
      <c r="Q236" s="46">
        <f t="array" ref="Q236">IF(SUMIF(Производство!$A$104:$A$145,Технологи!$B236,Производство!N$104:N$145)&gt;0,SUMIF(Производство!$A$104:$A$145,Технологи!$B236,Производство!N$104:N$145)*$F236+$G236,0)</f>
        <v>0</v>
      </c>
      <c r="R236" s="46">
        <f t="array" ref="R236">IF(SUMIF(Производство!$A$104:$A$145,Технологи!$B236,Производство!O$104:O$145)&gt;0,SUMIF(Производство!$A$104:$A$145,Технологи!$B236,Производство!O$104:O$145)*$F236+$G236,0)</f>
        <v>0</v>
      </c>
      <c r="S236" s="46">
        <f t="array" ref="S236">IF(SUMIF(Производство!$A$104:$A$145,Технологи!$B236,Производство!P$104:P$145)&gt;0,SUMIF(Производство!$A$104:$A$145,Технологи!$B236,Производство!P$104:P$145)*$F236+$G236,0)</f>
        <v>0</v>
      </c>
      <c r="T236" s="46">
        <f t="array" ref="T236">IF(SUMIF(Производство!$A$104:$A$145,Технологи!$B236,Производство!Q$104:Q$145)&gt;0,SUMIF(Производство!$A$104:$A$145,Технологи!$B236,Производство!Q$104:Q$145)*$F236+$G236,0)</f>
        <v>0</v>
      </c>
    </row>
    <row r="237" spans="1:20" x14ac:dyDescent="0.25">
      <c r="A237" s="34" t="s">
        <v>377</v>
      </c>
      <c r="B237" s="13" t="s">
        <v>51</v>
      </c>
      <c r="C237" s="19" t="s">
        <v>22</v>
      </c>
      <c r="D237" s="14">
        <v>7038</v>
      </c>
      <c r="E237" s="20"/>
      <c r="F237" s="24">
        <v>2.4E-2</v>
      </c>
      <c r="G237" s="24">
        <v>0.36</v>
      </c>
      <c r="H237" s="23">
        <f t="shared" si="10"/>
        <v>24</v>
      </c>
      <c r="I237" s="46">
        <f t="array" ref="I237">IF(SUMIF(Производство!$A$104:$A$145,Технологи!$B237,Производство!F$104:F$145)&gt;0,SUMIF(Производство!$A$104:$A$145,Технологи!$B237,Производство!F$104:F$145)*$F237+$G237,0)</f>
        <v>0</v>
      </c>
      <c r="J237" s="46">
        <f t="array" ref="J237">IF(SUMIF(Производство!$A$104:$A$145,Технологи!$B237,Производство!G$104:G$145)&gt;0,SUMIF(Производство!$A$104:$A$145,Технологи!$B237,Производство!G$104:G$145)*$F237+$G237,0)</f>
        <v>0</v>
      </c>
      <c r="K237" s="46">
        <f t="array" ref="K237">IF(SUMIF(Производство!$A$104:$A$145,Технологи!$B237,Производство!H$104:H$145)&gt;0,SUMIF(Производство!$A$104:$A$145,Технологи!$B237,Производство!H$104:H$145)*$F237+$G237,0)</f>
        <v>0</v>
      </c>
      <c r="L237" s="46">
        <f t="array" ref="L237">IF(SUMIF(Производство!$A$104:$A$145,Технологи!$B237,Производство!I$104:I$145)&gt;0,SUMIF(Производство!$A$104:$A$145,Технологи!$B237,Производство!I$104:I$145)*$F237+$G237,0)</f>
        <v>0</v>
      </c>
      <c r="M237" s="46">
        <f t="array" ref="M237">IF(SUMIF(Производство!$A$104:$A$145,Технологи!$B237,Производство!J$104:J$145)&gt;0,SUMIF(Производство!$A$104:$A$145,Технологи!$B237,Производство!J$104:J$145)*$F237+$G237,0)</f>
        <v>0</v>
      </c>
      <c r="N237" s="46">
        <f t="array" ref="N237">IF(SUMIF(Производство!$A$104:$A$145,Технологи!$B237,Производство!K$104:K$145)&gt;0,SUMIF(Производство!$A$104:$A$145,Технологи!$B237,Производство!K$104:K$145)*$F237+$G237,0)</f>
        <v>0</v>
      </c>
      <c r="O237" s="46">
        <f t="array" ref="O237">IF(SUMIF(Производство!$A$104:$A$145,Технологи!$B237,Производство!L$104:L$145)&gt;0,SUMIF(Производство!$A$104:$A$145,Технологи!$B237,Производство!L$104:L$145)*$F237+$G237,0)</f>
        <v>0</v>
      </c>
      <c r="P237" s="46">
        <f t="array" ref="P237">IF(SUMIF(Производство!$A$104:$A$145,Технологи!$B237,Производство!M$104:M$145)&gt;0,SUMIF(Производство!$A$104:$A$145,Технологи!$B237,Производство!M$104:M$145)*$F237+$G237,0)</f>
        <v>0</v>
      </c>
      <c r="Q237" s="46">
        <f t="array" ref="Q237">IF(SUMIF(Производство!$A$104:$A$145,Технологи!$B237,Производство!N$104:N$145)&gt;0,SUMIF(Производство!$A$104:$A$145,Технологи!$B237,Производство!N$104:N$145)*$F237+$G237,0)</f>
        <v>0</v>
      </c>
      <c r="R237" s="46">
        <f t="array" ref="R237">IF(SUMIF(Производство!$A$104:$A$145,Технологи!$B237,Производство!O$104:O$145)&gt;0,SUMIF(Производство!$A$104:$A$145,Технологи!$B237,Производство!O$104:O$145)*$F237+$G237,0)</f>
        <v>0</v>
      </c>
      <c r="S237" s="46">
        <f t="array" ref="S237">IF(SUMIF(Производство!$A$104:$A$145,Технологи!$B237,Производство!P$104:P$145)&gt;0,SUMIF(Производство!$A$104:$A$145,Технологи!$B237,Производство!P$104:P$145)*$F237+$G237,0)</f>
        <v>0</v>
      </c>
      <c r="T237" s="46">
        <f t="array" ref="T237">IF(SUMIF(Производство!$A$104:$A$145,Технологи!$B237,Производство!Q$104:Q$145)&gt;0,SUMIF(Производство!$A$104:$A$145,Технологи!$B237,Производство!Q$104:Q$145)*$F237+$G237,0)</f>
        <v>0</v>
      </c>
    </row>
    <row r="238" spans="1:20" x14ac:dyDescent="0.25">
      <c r="A238" s="34" t="s">
        <v>377</v>
      </c>
      <c r="B238" s="13" t="s">
        <v>51</v>
      </c>
      <c r="C238" s="19" t="s">
        <v>23</v>
      </c>
      <c r="D238" s="14">
        <v>7038</v>
      </c>
      <c r="E238" s="20"/>
      <c r="F238" s="24">
        <v>0</v>
      </c>
      <c r="G238" s="24">
        <v>0</v>
      </c>
      <c r="H238" s="23">
        <f t="shared" si="10"/>
        <v>0</v>
      </c>
      <c r="I238" s="46">
        <f t="array" ref="I238">IF(SUMIF(Производство!$A$104:$A$145,Технологи!$B238,Производство!F$104:F$145)&gt;0,SUMIF(Производство!$A$104:$A$145,Технологи!$B238,Производство!F$104:F$145)*$F238+$G238,0)</f>
        <v>0</v>
      </c>
      <c r="J238" s="46">
        <f t="array" ref="J238">IF(SUMIF(Производство!$A$104:$A$145,Технологи!$B238,Производство!G$104:G$145)&gt;0,SUMIF(Производство!$A$104:$A$145,Технологи!$B238,Производство!G$104:G$145)*$F238+$G238,0)</f>
        <v>0</v>
      </c>
      <c r="K238" s="46">
        <f t="array" ref="K238">IF(SUMIF(Производство!$A$104:$A$145,Технологи!$B238,Производство!H$104:H$145)&gt;0,SUMIF(Производство!$A$104:$A$145,Технологи!$B238,Производство!H$104:H$145)*$F238+$G238,0)</f>
        <v>0</v>
      </c>
      <c r="L238" s="46">
        <f t="array" ref="L238">IF(SUMIF(Производство!$A$104:$A$145,Технологи!$B238,Производство!I$104:I$145)&gt;0,SUMIF(Производство!$A$104:$A$145,Технологи!$B238,Производство!I$104:I$145)*$F238+$G238,0)</f>
        <v>0</v>
      </c>
      <c r="M238" s="46">
        <f t="array" ref="M238">IF(SUMIF(Производство!$A$104:$A$145,Технологи!$B238,Производство!J$104:J$145)&gt;0,SUMIF(Производство!$A$104:$A$145,Технологи!$B238,Производство!J$104:J$145)*$F238+$G238,0)</f>
        <v>0</v>
      </c>
      <c r="N238" s="46">
        <f t="array" ref="N238">IF(SUMIF(Производство!$A$104:$A$145,Технологи!$B238,Производство!K$104:K$145)&gt;0,SUMIF(Производство!$A$104:$A$145,Технологи!$B238,Производство!K$104:K$145)*$F238+$G238,0)</f>
        <v>0</v>
      </c>
      <c r="O238" s="46">
        <f t="array" ref="O238">IF(SUMIF(Производство!$A$104:$A$145,Технологи!$B238,Производство!L$104:L$145)&gt;0,SUMIF(Производство!$A$104:$A$145,Технологи!$B238,Производство!L$104:L$145)*$F238+$G238,0)</f>
        <v>0</v>
      </c>
      <c r="P238" s="46">
        <f t="array" ref="P238">IF(SUMIF(Производство!$A$104:$A$145,Технологи!$B238,Производство!M$104:M$145)&gt;0,SUMIF(Производство!$A$104:$A$145,Технологи!$B238,Производство!M$104:M$145)*$F238+$G238,0)</f>
        <v>0</v>
      </c>
      <c r="Q238" s="46">
        <f t="array" ref="Q238">IF(SUMIF(Производство!$A$104:$A$145,Технологи!$B238,Производство!N$104:N$145)&gt;0,SUMIF(Производство!$A$104:$A$145,Технологи!$B238,Производство!N$104:N$145)*$F238+$G238,0)</f>
        <v>0</v>
      </c>
      <c r="R238" s="46">
        <f t="array" ref="R238">IF(SUMIF(Производство!$A$104:$A$145,Технологи!$B238,Производство!O$104:O$145)&gt;0,SUMIF(Производство!$A$104:$A$145,Технологи!$B238,Производство!O$104:O$145)*$F238+$G238,0)</f>
        <v>0</v>
      </c>
      <c r="S238" s="46">
        <f t="array" ref="S238">IF(SUMIF(Производство!$A$104:$A$145,Технологи!$B238,Производство!P$104:P$145)&gt;0,SUMIF(Производство!$A$104:$A$145,Технологи!$B238,Производство!P$104:P$145)*$F238+$G238,0)</f>
        <v>0</v>
      </c>
      <c r="T238" s="46">
        <f t="array" ref="T238">IF(SUMIF(Производство!$A$104:$A$145,Технологи!$B238,Производство!Q$104:Q$145)&gt;0,SUMIF(Производство!$A$104:$A$145,Технологи!$B238,Производство!Q$104:Q$145)*$F238+$G238,0)</f>
        <v>0</v>
      </c>
    </row>
    <row r="239" spans="1:20" x14ac:dyDescent="0.25">
      <c r="A239" s="34" t="s">
        <v>377</v>
      </c>
      <c r="B239" s="13" t="s">
        <v>49</v>
      </c>
      <c r="C239" s="15" t="s">
        <v>11</v>
      </c>
      <c r="D239" s="14">
        <v>7038</v>
      </c>
      <c r="E239" s="16">
        <v>0.871</v>
      </c>
      <c r="F239" s="22">
        <f>SUM(F240:F251)</f>
        <v>0.87189301649609807</v>
      </c>
      <c r="G239" s="22">
        <f>SUM(G240:G251)</f>
        <v>45.100504000000008</v>
      </c>
      <c r="H239" s="23">
        <f t="shared" ref="H239:H252" si="11">F239*1000</f>
        <v>871.89301649609808</v>
      </c>
      <c r="I239" s="46">
        <f t="array" ref="I239">IF(SUMIF(Производство!$A$104:$A$145,Технологи!$B239,Производство!F$104:F$145)&gt;0,SUMIF(Производство!$A$104:$A$145,Технологи!$B239,Производство!F$104:F$145)*$F239+$G239,0)</f>
        <v>0</v>
      </c>
      <c r="J239" s="46">
        <f t="array" ref="J239">IF(SUMIF(Производство!$A$104:$A$145,Технологи!$B239,Производство!G$104:G$145)&gt;0,SUMIF(Производство!$A$104:$A$145,Технологи!$B239,Производство!G$104:G$145)*$F239+$G239,0)</f>
        <v>0</v>
      </c>
      <c r="K239" s="46">
        <f t="array" ref="K239">IF(SUMIF(Производство!$A$104:$A$145,Технологи!$B239,Производство!H$104:H$145)&gt;0,SUMIF(Производство!$A$104:$A$145,Технологи!$B239,Производство!H$104:H$145)*$F239+$G239,0)</f>
        <v>0</v>
      </c>
      <c r="L239" s="46">
        <f t="array" ref="L239">IF(SUMIF(Производство!$A$104:$A$145,Технологи!$B239,Производство!I$104:I$145)&gt;0,SUMIF(Производство!$A$104:$A$145,Технологи!$B239,Производство!I$104:I$145)*$F239+$G239,0)</f>
        <v>0</v>
      </c>
      <c r="M239" s="46">
        <f t="array" ref="M239">IF(SUMIF(Производство!$A$104:$A$145,Технологи!$B239,Производство!J$104:J$145)&gt;0,SUMIF(Производство!$A$104:$A$145,Технологи!$B239,Производство!J$104:J$145)*$F239+$G239,0)</f>
        <v>0</v>
      </c>
      <c r="N239" s="46">
        <f t="array" ref="N239">IF(SUMIF(Производство!$A$104:$A$145,Технологи!$B239,Производство!K$104:K$145)&gt;0,SUMIF(Производство!$A$104:$A$145,Технологи!$B239,Производство!K$104:K$145)*$F239+$G239,0)</f>
        <v>0</v>
      </c>
      <c r="O239" s="46">
        <f t="array" ref="O239">IF(SUMIF(Производство!$A$104:$A$145,Технологи!$B239,Производство!L$104:L$145)&gt;0,SUMIF(Производство!$A$104:$A$145,Технологи!$B239,Производство!L$104:L$145)*$F239+$G239,0)</f>
        <v>0</v>
      </c>
      <c r="P239" s="46">
        <f t="array" ref="P239">IF(SUMIF(Производство!$A$104:$A$145,Технологи!$B239,Производство!M$104:M$145)&gt;0,SUMIF(Производство!$A$104:$A$145,Технологи!$B239,Производство!M$104:M$145)*$F239+$G239,0)</f>
        <v>0</v>
      </c>
      <c r="Q239" s="46">
        <f t="array" ref="Q239">IF(SUMIF(Производство!$A$104:$A$145,Технологи!$B239,Производство!N$104:N$145)&gt;0,SUMIF(Производство!$A$104:$A$145,Технологи!$B239,Производство!N$104:N$145)*$F239+$G239,0)</f>
        <v>0</v>
      </c>
      <c r="R239" s="46">
        <f t="array" ref="R239">IF(SUMIF(Производство!$A$104:$A$145,Технологи!$B239,Производство!O$104:O$145)&gt;0,SUMIF(Производство!$A$104:$A$145,Технологи!$B239,Производство!O$104:O$145)*$F239+$G239,0)</f>
        <v>0</v>
      </c>
      <c r="S239" s="46">
        <f t="array" ref="S239">IF(SUMIF(Производство!$A$104:$A$145,Технологи!$B239,Производство!P$104:P$145)&gt;0,SUMIF(Производство!$A$104:$A$145,Технологи!$B239,Производство!P$104:P$145)*$F239+$G239,0)</f>
        <v>0</v>
      </c>
      <c r="T239" s="46">
        <f t="array" ref="T239">IF(SUMIF(Производство!$A$104:$A$145,Технологи!$B239,Производство!Q$104:Q$145)&gt;0,SUMIF(Производство!$A$104:$A$145,Технологи!$B239,Производство!Q$104:Q$145)*$F239+$G239,0)</f>
        <v>0</v>
      </c>
    </row>
    <row r="240" spans="1:20" x14ac:dyDescent="0.25">
      <c r="A240" s="34" t="s">
        <v>377</v>
      </c>
      <c r="B240" s="13" t="s">
        <v>49</v>
      </c>
      <c r="C240" s="19" t="s">
        <v>12</v>
      </c>
      <c r="D240" s="14">
        <v>7038</v>
      </c>
      <c r="E240" s="20"/>
      <c r="F240" s="24">
        <v>0.22744617725752503</v>
      </c>
      <c r="G240" s="24">
        <v>19.745518023039761</v>
      </c>
      <c r="H240" s="23">
        <f t="shared" si="11"/>
        <v>227.44617725752502</v>
      </c>
      <c r="I240" s="46">
        <f t="array" ref="I240">IF(SUMIF(Производство!$A$104:$A$145,Технологи!$B240,Производство!F$104:F$145)&gt;0,SUMIF(Производство!$A$104:$A$145,Технологи!$B240,Производство!F$104:F$145)*$F240+$G240,0)</f>
        <v>0</v>
      </c>
      <c r="J240" s="46">
        <f t="array" ref="J240">IF(SUMIF(Производство!$A$104:$A$145,Технологи!$B240,Производство!G$104:G$145)&gt;0,SUMIF(Производство!$A$104:$A$145,Технологи!$B240,Производство!G$104:G$145)*$F240+$G240,0)</f>
        <v>0</v>
      </c>
      <c r="K240" s="46">
        <f t="array" ref="K240">IF(SUMIF(Производство!$A$104:$A$145,Технологи!$B240,Производство!H$104:H$145)&gt;0,SUMIF(Производство!$A$104:$A$145,Технологи!$B240,Производство!H$104:H$145)*$F240+$G240,0)</f>
        <v>0</v>
      </c>
      <c r="L240" s="46">
        <f t="array" ref="L240">IF(SUMIF(Производство!$A$104:$A$145,Технологи!$B240,Производство!I$104:I$145)&gt;0,SUMIF(Производство!$A$104:$A$145,Технологи!$B240,Производство!I$104:I$145)*$F240+$G240,0)</f>
        <v>0</v>
      </c>
      <c r="M240" s="46">
        <f t="array" ref="M240">IF(SUMIF(Производство!$A$104:$A$145,Технологи!$B240,Производство!J$104:J$145)&gt;0,SUMIF(Производство!$A$104:$A$145,Технологи!$B240,Производство!J$104:J$145)*$F240+$G240,0)</f>
        <v>0</v>
      </c>
      <c r="N240" s="46">
        <f t="array" ref="N240">IF(SUMIF(Производство!$A$104:$A$145,Технологи!$B240,Производство!K$104:K$145)&gt;0,SUMIF(Производство!$A$104:$A$145,Технологи!$B240,Производство!K$104:K$145)*$F240+$G240,0)</f>
        <v>0</v>
      </c>
      <c r="O240" s="46">
        <f t="array" ref="O240">IF(SUMIF(Производство!$A$104:$A$145,Технологи!$B240,Производство!L$104:L$145)&gt;0,SUMIF(Производство!$A$104:$A$145,Технологи!$B240,Производство!L$104:L$145)*$F240+$G240,0)</f>
        <v>0</v>
      </c>
      <c r="P240" s="46">
        <f t="array" ref="P240">IF(SUMIF(Производство!$A$104:$A$145,Технологи!$B240,Производство!M$104:M$145)&gt;0,SUMIF(Производство!$A$104:$A$145,Технологи!$B240,Производство!M$104:M$145)*$F240+$G240,0)</f>
        <v>0</v>
      </c>
      <c r="Q240" s="46">
        <f t="array" ref="Q240">IF(SUMIF(Производство!$A$104:$A$145,Технологи!$B240,Производство!N$104:N$145)&gt;0,SUMIF(Производство!$A$104:$A$145,Технологи!$B240,Производство!N$104:N$145)*$F240+$G240,0)</f>
        <v>0</v>
      </c>
      <c r="R240" s="46">
        <f t="array" ref="R240">IF(SUMIF(Производство!$A$104:$A$145,Технологи!$B240,Производство!O$104:O$145)&gt;0,SUMIF(Производство!$A$104:$A$145,Технологи!$B240,Производство!O$104:O$145)*$F240+$G240,0)</f>
        <v>0</v>
      </c>
      <c r="S240" s="46">
        <f t="array" ref="S240">IF(SUMIF(Производство!$A$104:$A$145,Технологи!$B240,Производство!P$104:P$145)&gt;0,SUMIF(Производство!$A$104:$A$145,Технологи!$B240,Производство!P$104:P$145)*$F240+$G240,0)</f>
        <v>0</v>
      </c>
      <c r="T240" s="46">
        <f t="array" ref="T240">IF(SUMIF(Производство!$A$104:$A$145,Технологи!$B240,Производство!Q$104:Q$145)&gt;0,SUMIF(Производство!$A$104:$A$145,Технологи!$B240,Производство!Q$104:Q$145)*$F240+$G240,0)</f>
        <v>0</v>
      </c>
    </row>
    <row r="241" spans="1:20" x14ac:dyDescent="0.25">
      <c r="A241" s="34" t="s">
        <v>377</v>
      </c>
      <c r="B241" s="13" t="s">
        <v>49</v>
      </c>
      <c r="C241" s="19" t="s">
        <v>13</v>
      </c>
      <c r="D241" s="14">
        <v>7038</v>
      </c>
      <c r="E241" s="20"/>
      <c r="F241" s="24">
        <v>6.8573325083612038E-2</v>
      </c>
      <c r="G241" s="24">
        <v>5.9236554069119283</v>
      </c>
      <c r="H241" s="23">
        <f t="shared" si="11"/>
        <v>68.573325083612033</v>
      </c>
      <c r="I241" s="46">
        <f t="array" ref="I241">IF(SUMIF(Производство!$A$104:$A$145,Технологи!$B241,Производство!F$104:F$145)&gt;0,SUMIF(Производство!$A$104:$A$145,Технологи!$B241,Производство!F$104:F$145)*$F241+$G241,0)</f>
        <v>0</v>
      </c>
      <c r="J241" s="46">
        <f t="array" ref="J241">IF(SUMIF(Производство!$A$104:$A$145,Технологи!$B241,Производство!G$104:G$145)&gt;0,SUMIF(Производство!$A$104:$A$145,Технологи!$B241,Производство!G$104:G$145)*$F241+$G241,0)</f>
        <v>0</v>
      </c>
      <c r="K241" s="46">
        <f t="array" ref="K241">IF(SUMIF(Производство!$A$104:$A$145,Технологи!$B241,Производство!H$104:H$145)&gt;0,SUMIF(Производство!$A$104:$A$145,Технологи!$B241,Производство!H$104:H$145)*$F241+$G241,0)</f>
        <v>0</v>
      </c>
      <c r="L241" s="46">
        <f t="array" ref="L241">IF(SUMIF(Производство!$A$104:$A$145,Технологи!$B241,Производство!I$104:I$145)&gt;0,SUMIF(Производство!$A$104:$A$145,Технологи!$B241,Производство!I$104:I$145)*$F241+$G241,0)</f>
        <v>0</v>
      </c>
      <c r="M241" s="46">
        <f t="array" ref="M241">IF(SUMIF(Производство!$A$104:$A$145,Технологи!$B241,Производство!J$104:J$145)&gt;0,SUMIF(Производство!$A$104:$A$145,Технологи!$B241,Производство!J$104:J$145)*$F241+$G241,0)</f>
        <v>0</v>
      </c>
      <c r="N241" s="46">
        <f t="array" ref="N241">IF(SUMIF(Производство!$A$104:$A$145,Технологи!$B241,Производство!K$104:K$145)&gt;0,SUMIF(Производство!$A$104:$A$145,Технологи!$B241,Производство!K$104:K$145)*$F241+$G241,0)</f>
        <v>0</v>
      </c>
      <c r="O241" s="46">
        <f t="array" ref="O241">IF(SUMIF(Производство!$A$104:$A$145,Технологи!$B241,Производство!L$104:L$145)&gt;0,SUMIF(Производство!$A$104:$A$145,Технологи!$B241,Производство!L$104:L$145)*$F241+$G241,0)</f>
        <v>0</v>
      </c>
      <c r="P241" s="46">
        <f t="array" ref="P241">IF(SUMIF(Производство!$A$104:$A$145,Технологи!$B241,Производство!M$104:M$145)&gt;0,SUMIF(Производство!$A$104:$A$145,Технологи!$B241,Производство!M$104:M$145)*$F241+$G241,0)</f>
        <v>0</v>
      </c>
      <c r="Q241" s="46">
        <f t="array" ref="Q241">IF(SUMIF(Производство!$A$104:$A$145,Технологи!$B241,Производство!N$104:N$145)&gt;0,SUMIF(Производство!$A$104:$A$145,Технологи!$B241,Производство!N$104:N$145)*$F241+$G241,0)</f>
        <v>0</v>
      </c>
      <c r="R241" s="46">
        <f t="array" ref="R241">IF(SUMIF(Производство!$A$104:$A$145,Технологи!$B241,Производство!O$104:O$145)&gt;0,SUMIF(Производство!$A$104:$A$145,Технологи!$B241,Производство!O$104:O$145)*$F241+$G241,0)</f>
        <v>0</v>
      </c>
      <c r="S241" s="46">
        <f t="array" ref="S241">IF(SUMIF(Производство!$A$104:$A$145,Технологи!$B241,Производство!P$104:P$145)&gt;0,SUMIF(Производство!$A$104:$A$145,Технологи!$B241,Производство!P$104:P$145)*$F241+$G241,0)</f>
        <v>0</v>
      </c>
      <c r="T241" s="46">
        <f t="array" ref="T241">IF(SUMIF(Производство!$A$104:$A$145,Технологи!$B241,Производство!Q$104:Q$145)&gt;0,SUMIF(Производство!$A$104:$A$145,Технологи!$B241,Производство!Q$104:Q$145)*$F241+$G241,0)</f>
        <v>0</v>
      </c>
    </row>
    <row r="242" spans="1:20" x14ac:dyDescent="0.25">
      <c r="A242" s="34" t="s">
        <v>377</v>
      </c>
      <c r="B242" s="13" t="s">
        <v>49</v>
      </c>
      <c r="C242" s="19" t="s">
        <v>14</v>
      </c>
      <c r="D242" s="14">
        <v>7038</v>
      </c>
      <c r="E242" s="20"/>
      <c r="F242" s="24">
        <v>6.8573325083612021E-4</v>
      </c>
      <c r="G242" s="24">
        <v>5.9236554069119277E-2</v>
      </c>
      <c r="H242" s="23">
        <f t="shared" si="11"/>
        <v>0.68573325083612024</v>
      </c>
      <c r="I242" s="46">
        <f t="array" ref="I242">IF(SUMIF(Производство!$A$104:$A$145,Технологи!$B242,Производство!F$104:F$145)&gt;0,SUMIF(Производство!$A$104:$A$145,Технологи!$B242,Производство!F$104:F$145)*$F242+$G242,0)</f>
        <v>0</v>
      </c>
      <c r="J242" s="46">
        <f t="array" ref="J242">IF(SUMIF(Производство!$A$104:$A$145,Технологи!$B242,Производство!G$104:G$145)&gt;0,SUMIF(Производство!$A$104:$A$145,Технологи!$B242,Производство!G$104:G$145)*$F242+$G242,0)</f>
        <v>0</v>
      </c>
      <c r="K242" s="46">
        <f t="array" ref="K242">IF(SUMIF(Производство!$A$104:$A$145,Технологи!$B242,Производство!H$104:H$145)&gt;0,SUMIF(Производство!$A$104:$A$145,Технологи!$B242,Производство!H$104:H$145)*$F242+$G242,0)</f>
        <v>0</v>
      </c>
      <c r="L242" s="46">
        <f t="array" ref="L242">IF(SUMIF(Производство!$A$104:$A$145,Технологи!$B242,Производство!I$104:I$145)&gt;0,SUMIF(Производство!$A$104:$A$145,Технологи!$B242,Производство!I$104:I$145)*$F242+$G242,0)</f>
        <v>0</v>
      </c>
      <c r="M242" s="46">
        <f t="array" ref="M242">IF(SUMIF(Производство!$A$104:$A$145,Технологи!$B242,Производство!J$104:J$145)&gt;0,SUMIF(Производство!$A$104:$A$145,Технологи!$B242,Производство!J$104:J$145)*$F242+$G242,0)</f>
        <v>0</v>
      </c>
      <c r="N242" s="46">
        <f t="array" ref="N242">IF(SUMIF(Производство!$A$104:$A$145,Технологи!$B242,Производство!K$104:K$145)&gt;0,SUMIF(Производство!$A$104:$A$145,Технологи!$B242,Производство!K$104:K$145)*$F242+$G242,0)</f>
        <v>0</v>
      </c>
      <c r="O242" s="46">
        <f t="array" ref="O242">IF(SUMIF(Производство!$A$104:$A$145,Технологи!$B242,Производство!L$104:L$145)&gt;0,SUMIF(Производство!$A$104:$A$145,Технологи!$B242,Производство!L$104:L$145)*$F242+$G242,0)</f>
        <v>0</v>
      </c>
      <c r="P242" s="46">
        <f t="array" ref="P242">IF(SUMIF(Производство!$A$104:$A$145,Технологи!$B242,Производство!M$104:M$145)&gt;0,SUMIF(Производство!$A$104:$A$145,Технологи!$B242,Производство!M$104:M$145)*$F242+$G242,0)</f>
        <v>0</v>
      </c>
      <c r="Q242" s="46">
        <f t="array" ref="Q242">IF(SUMIF(Производство!$A$104:$A$145,Технологи!$B242,Производство!N$104:N$145)&gt;0,SUMIF(Производство!$A$104:$A$145,Технологи!$B242,Производство!N$104:N$145)*$F242+$G242,0)</f>
        <v>0</v>
      </c>
      <c r="R242" s="46">
        <f t="array" ref="R242">IF(SUMIF(Производство!$A$104:$A$145,Технологи!$B242,Производство!O$104:O$145)&gt;0,SUMIF(Производство!$A$104:$A$145,Технологи!$B242,Производство!O$104:O$145)*$F242+$G242,0)</f>
        <v>0</v>
      </c>
      <c r="S242" s="46">
        <f t="array" ref="S242">IF(SUMIF(Производство!$A$104:$A$145,Технологи!$B242,Производство!P$104:P$145)&gt;0,SUMIF(Производство!$A$104:$A$145,Технологи!$B242,Производство!P$104:P$145)*$F242+$G242,0)</f>
        <v>0</v>
      </c>
      <c r="T242" s="46">
        <f t="array" ref="T242">IF(SUMIF(Производство!$A$104:$A$145,Технологи!$B242,Производство!Q$104:Q$145)&gt;0,SUMIF(Производство!$A$104:$A$145,Технологи!$B242,Производство!Q$104:Q$145)*$F242+$G242,0)</f>
        <v>0</v>
      </c>
    </row>
    <row r="243" spans="1:20" x14ac:dyDescent="0.25">
      <c r="A243" s="34" t="s">
        <v>377</v>
      </c>
      <c r="B243" s="13" t="s">
        <v>49</v>
      </c>
      <c r="C243" s="19" t="s">
        <v>15</v>
      </c>
      <c r="D243" s="14">
        <v>7038</v>
      </c>
      <c r="E243" s="20"/>
      <c r="F243" s="24">
        <v>3.4286662541806011E-4</v>
      </c>
      <c r="G243" s="24">
        <v>2.9618277034559638E-2</v>
      </c>
      <c r="H243" s="23">
        <f t="shared" si="11"/>
        <v>0.34286662541806012</v>
      </c>
      <c r="I243" s="46">
        <f t="array" ref="I243">IF(SUMIF(Производство!$A$104:$A$145,Технологи!$B243,Производство!F$104:F$145)&gt;0,SUMIF(Производство!$A$104:$A$145,Технологи!$B243,Производство!F$104:F$145)*$F243+$G243,0)</f>
        <v>0</v>
      </c>
      <c r="J243" s="46">
        <f t="array" ref="J243">IF(SUMIF(Производство!$A$104:$A$145,Технологи!$B243,Производство!G$104:G$145)&gt;0,SUMIF(Производство!$A$104:$A$145,Технологи!$B243,Производство!G$104:G$145)*$F243+$G243,0)</f>
        <v>0</v>
      </c>
      <c r="K243" s="46">
        <f t="array" ref="K243">IF(SUMIF(Производство!$A$104:$A$145,Технологи!$B243,Производство!H$104:H$145)&gt;0,SUMIF(Производство!$A$104:$A$145,Технологи!$B243,Производство!H$104:H$145)*$F243+$G243,0)</f>
        <v>0</v>
      </c>
      <c r="L243" s="46">
        <f t="array" ref="L243">IF(SUMIF(Производство!$A$104:$A$145,Технологи!$B243,Производство!I$104:I$145)&gt;0,SUMIF(Производство!$A$104:$A$145,Технологи!$B243,Производство!I$104:I$145)*$F243+$G243,0)</f>
        <v>0</v>
      </c>
      <c r="M243" s="46">
        <f t="array" ref="M243">IF(SUMIF(Производство!$A$104:$A$145,Технологи!$B243,Производство!J$104:J$145)&gt;0,SUMIF(Производство!$A$104:$A$145,Технологи!$B243,Производство!J$104:J$145)*$F243+$G243,0)</f>
        <v>0</v>
      </c>
      <c r="N243" s="46">
        <f t="array" ref="N243">IF(SUMIF(Производство!$A$104:$A$145,Технологи!$B243,Производство!K$104:K$145)&gt;0,SUMIF(Производство!$A$104:$A$145,Технологи!$B243,Производство!K$104:K$145)*$F243+$G243,0)</f>
        <v>0</v>
      </c>
      <c r="O243" s="46">
        <f t="array" ref="O243">IF(SUMIF(Производство!$A$104:$A$145,Технологи!$B243,Производство!L$104:L$145)&gt;0,SUMIF(Производство!$A$104:$A$145,Технологи!$B243,Производство!L$104:L$145)*$F243+$G243,0)</f>
        <v>0</v>
      </c>
      <c r="P243" s="46">
        <f t="array" ref="P243">IF(SUMIF(Производство!$A$104:$A$145,Технологи!$B243,Производство!M$104:M$145)&gt;0,SUMIF(Производство!$A$104:$A$145,Технологи!$B243,Производство!M$104:M$145)*$F243+$G243,0)</f>
        <v>0</v>
      </c>
      <c r="Q243" s="46">
        <f t="array" ref="Q243">IF(SUMIF(Производство!$A$104:$A$145,Технологи!$B243,Производство!N$104:N$145)&gt;0,SUMIF(Производство!$A$104:$A$145,Технологи!$B243,Производство!N$104:N$145)*$F243+$G243,0)</f>
        <v>0</v>
      </c>
      <c r="R243" s="46">
        <f t="array" ref="R243">IF(SUMIF(Производство!$A$104:$A$145,Технологи!$B243,Производство!O$104:O$145)&gt;0,SUMIF(Производство!$A$104:$A$145,Технологи!$B243,Производство!O$104:O$145)*$F243+$G243,0)</f>
        <v>0</v>
      </c>
      <c r="S243" s="46">
        <f t="array" ref="S243">IF(SUMIF(Производство!$A$104:$A$145,Технологи!$B243,Производство!P$104:P$145)&gt;0,SUMIF(Производство!$A$104:$A$145,Технологи!$B243,Производство!P$104:P$145)*$F243+$G243,0)</f>
        <v>0</v>
      </c>
      <c r="T243" s="46">
        <f t="array" ref="T243">IF(SUMIF(Производство!$A$104:$A$145,Технологи!$B243,Производство!Q$104:Q$145)&gt;0,SUMIF(Производство!$A$104:$A$145,Технологи!$B243,Производство!Q$104:Q$145)*$F243+$G243,0)</f>
        <v>0</v>
      </c>
    </row>
    <row r="244" spans="1:20" x14ac:dyDescent="0.25">
      <c r="A244" s="34" t="s">
        <v>377</v>
      </c>
      <c r="B244" s="13" t="s">
        <v>49</v>
      </c>
      <c r="C244" s="19" t="s">
        <v>16</v>
      </c>
      <c r="D244" s="14">
        <v>7038</v>
      </c>
      <c r="E244" s="20"/>
      <c r="F244" s="24">
        <v>4.548923545150501E-3</v>
      </c>
      <c r="G244" s="24">
        <v>0.39491036046079525</v>
      </c>
      <c r="H244" s="23">
        <f t="shared" si="11"/>
        <v>4.548923545150501</v>
      </c>
      <c r="I244" s="46">
        <f t="array" ref="I244">IF(SUMIF(Производство!$A$104:$A$145,Технологи!$B244,Производство!F$104:F$145)&gt;0,SUMIF(Производство!$A$104:$A$145,Технологи!$B244,Производство!F$104:F$145)*$F244+$G244,0)</f>
        <v>0</v>
      </c>
      <c r="J244" s="46">
        <f t="array" ref="J244">IF(SUMIF(Производство!$A$104:$A$145,Технологи!$B244,Производство!G$104:G$145)&gt;0,SUMIF(Производство!$A$104:$A$145,Технологи!$B244,Производство!G$104:G$145)*$F244+$G244,0)</f>
        <v>0</v>
      </c>
      <c r="K244" s="46">
        <f t="array" ref="K244">IF(SUMIF(Производство!$A$104:$A$145,Технологи!$B244,Производство!H$104:H$145)&gt;0,SUMIF(Производство!$A$104:$A$145,Технологи!$B244,Производство!H$104:H$145)*$F244+$G244,0)</f>
        <v>0</v>
      </c>
      <c r="L244" s="46">
        <f t="array" ref="L244">IF(SUMIF(Производство!$A$104:$A$145,Технологи!$B244,Производство!I$104:I$145)&gt;0,SUMIF(Производство!$A$104:$A$145,Технологи!$B244,Производство!I$104:I$145)*$F244+$G244,0)</f>
        <v>0</v>
      </c>
      <c r="M244" s="46">
        <f t="array" ref="M244">IF(SUMIF(Производство!$A$104:$A$145,Технологи!$B244,Производство!J$104:J$145)&gt;0,SUMIF(Производство!$A$104:$A$145,Технологи!$B244,Производство!J$104:J$145)*$F244+$G244,0)</f>
        <v>0</v>
      </c>
      <c r="N244" s="46">
        <f t="array" ref="N244">IF(SUMIF(Производство!$A$104:$A$145,Технологи!$B244,Производство!K$104:K$145)&gt;0,SUMIF(Производство!$A$104:$A$145,Технологи!$B244,Производство!K$104:K$145)*$F244+$G244,0)</f>
        <v>0</v>
      </c>
      <c r="O244" s="46">
        <f t="array" ref="O244">IF(SUMIF(Производство!$A$104:$A$145,Технологи!$B244,Производство!L$104:L$145)&gt;0,SUMIF(Производство!$A$104:$A$145,Технологи!$B244,Производство!L$104:L$145)*$F244+$G244,0)</f>
        <v>0</v>
      </c>
      <c r="P244" s="46">
        <f t="array" ref="P244">IF(SUMIF(Производство!$A$104:$A$145,Технологи!$B244,Производство!M$104:M$145)&gt;0,SUMIF(Производство!$A$104:$A$145,Технологи!$B244,Производство!M$104:M$145)*$F244+$G244,0)</f>
        <v>0</v>
      </c>
      <c r="Q244" s="46">
        <f t="array" ref="Q244">IF(SUMIF(Производство!$A$104:$A$145,Технологи!$B244,Производство!N$104:N$145)&gt;0,SUMIF(Производство!$A$104:$A$145,Технологи!$B244,Производство!N$104:N$145)*$F244+$G244,0)</f>
        <v>0</v>
      </c>
      <c r="R244" s="46">
        <f t="array" ref="R244">IF(SUMIF(Производство!$A$104:$A$145,Технологи!$B244,Производство!O$104:O$145)&gt;0,SUMIF(Производство!$A$104:$A$145,Технологи!$B244,Производство!O$104:O$145)*$F244+$G244,0)</f>
        <v>0</v>
      </c>
      <c r="S244" s="46">
        <f t="array" ref="S244">IF(SUMIF(Производство!$A$104:$A$145,Технологи!$B244,Производство!P$104:P$145)&gt;0,SUMIF(Производство!$A$104:$A$145,Технологи!$B244,Производство!P$104:P$145)*$F244+$G244,0)</f>
        <v>0</v>
      </c>
      <c r="T244" s="46">
        <f t="array" ref="T244">IF(SUMIF(Производство!$A$104:$A$145,Технологи!$B244,Производство!Q$104:Q$145)&gt;0,SUMIF(Производство!$A$104:$A$145,Технологи!$B244,Производство!Q$104:Q$145)*$F244+$G244,0)</f>
        <v>0</v>
      </c>
    </row>
    <row r="245" spans="1:20" x14ac:dyDescent="0.25">
      <c r="A245" s="34" t="s">
        <v>377</v>
      </c>
      <c r="B245" s="13" t="s">
        <v>49</v>
      </c>
      <c r="C245" s="19" t="s">
        <v>17</v>
      </c>
      <c r="D245" s="14">
        <v>7038</v>
      </c>
      <c r="E245" s="20"/>
      <c r="F245" s="24">
        <v>2.5143552530657747E-3</v>
      </c>
      <c r="G245" s="24">
        <v>0.21720069825343741</v>
      </c>
      <c r="H245" s="23">
        <f t="shared" si="11"/>
        <v>2.5143552530657747</v>
      </c>
      <c r="I245" s="46">
        <f t="array" ref="I245">IF(SUMIF(Производство!$A$104:$A$145,Технологи!$B245,Производство!F$104:F$145)&gt;0,SUMIF(Производство!$A$104:$A$145,Технологи!$B245,Производство!F$104:F$145)*$F245+$G245,0)</f>
        <v>0</v>
      </c>
      <c r="J245" s="46">
        <f t="array" ref="J245">IF(SUMIF(Производство!$A$104:$A$145,Технологи!$B245,Производство!G$104:G$145)&gt;0,SUMIF(Производство!$A$104:$A$145,Технологи!$B245,Производство!G$104:G$145)*$F245+$G245,0)</f>
        <v>0</v>
      </c>
      <c r="K245" s="46">
        <f t="array" ref="K245">IF(SUMIF(Производство!$A$104:$A$145,Технологи!$B245,Производство!H$104:H$145)&gt;0,SUMIF(Производство!$A$104:$A$145,Технологи!$B245,Производство!H$104:H$145)*$F245+$G245,0)</f>
        <v>0</v>
      </c>
      <c r="L245" s="46">
        <f t="array" ref="L245">IF(SUMIF(Производство!$A$104:$A$145,Технологи!$B245,Производство!I$104:I$145)&gt;0,SUMIF(Производство!$A$104:$A$145,Технологи!$B245,Производство!I$104:I$145)*$F245+$G245,0)</f>
        <v>0</v>
      </c>
      <c r="M245" s="46">
        <f t="array" ref="M245">IF(SUMIF(Производство!$A$104:$A$145,Технологи!$B245,Производство!J$104:J$145)&gt;0,SUMIF(Производство!$A$104:$A$145,Технологи!$B245,Производство!J$104:J$145)*$F245+$G245,0)</f>
        <v>0</v>
      </c>
      <c r="N245" s="46">
        <f t="array" ref="N245">IF(SUMIF(Производство!$A$104:$A$145,Технологи!$B245,Производство!K$104:K$145)&gt;0,SUMIF(Производство!$A$104:$A$145,Технологи!$B245,Производство!K$104:K$145)*$F245+$G245,0)</f>
        <v>0</v>
      </c>
      <c r="O245" s="46">
        <f t="array" ref="O245">IF(SUMIF(Производство!$A$104:$A$145,Технологи!$B245,Производство!L$104:L$145)&gt;0,SUMIF(Производство!$A$104:$A$145,Технологи!$B245,Производство!L$104:L$145)*$F245+$G245,0)</f>
        <v>0</v>
      </c>
      <c r="P245" s="46">
        <f t="array" ref="P245">IF(SUMIF(Производство!$A$104:$A$145,Технологи!$B245,Производство!M$104:M$145)&gt;0,SUMIF(Производство!$A$104:$A$145,Технологи!$B245,Производство!M$104:M$145)*$F245+$G245,0)</f>
        <v>0</v>
      </c>
      <c r="Q245" s="46">
        <f t="array" ref="Q245">IF(SUMIF(Производство!$A$104:$A$145,Технологи!$B245,Производство!N$104:N$145)&gt;0,SUMIF(Производство!$A$104:$A$145,Технологи!$B245,Производство!N$104:N$145)*$F245+$G245,0)</f>
        <v>0</v>
      </c>
      <c r="R245" s="46">
        <f t="array" ref="R245">IF(SUMIF(Производство!$A$104:$A$145,Технологи!$B245,Производство!O$104:O$145)&gt;0,SUMIF(Производство!$A$104:$A$145,Технологи!$B245,Производство!O$104:O$145)*$F245+$G245,0)</f>
        <v>0</v>
      </c>
      <c r="S245" s="46">
        <f t="array" ref="S245">IF(SUMIF(Производство!$A$104:$A$145,Технологи!$B245,Производство!P$104:P$145)&gt;0,SUMIF(Производство!$A$104:$A$145,Технологи!$B245,Производство!P$104:P$145)*$F245+$G245,0)</f>
        <v>0</v>
      </c>
      <c r="T245" s="46">
        <f t="array" ref="T245">IF(SUMIF(Производство!$A$104:$A$145,Технологи!$B245,Производство!Q$104:Q$145)&gt;0,SUMIF(Производство!$A$104:$A$145,Технологи!$B245,Производство!Q$104:Q$145)*$F245+$G245,0)</f>
        <v>0</v>
      </c>
    </row>
    <row r="246" spans="1:20" x14ac:dyDescent="0.25">
      <c r="A246" s="34" t="s">
        <v>377</v>
      </c>
      <c r="B246" s="13" t="s">
        <v>49</v>
      </c>
      <c r="C246" s="19" t="s">
        <v>18</v>
      </c>
      <c r="D246" s="14">
        <v>7038</v>
      </c>
      <c r="E246" s="20"/>
      <c r="F246" s="24">
        <v>2.2699354804905235E-3</v>
      </c>
      <c r="G246" s="24">
        <v>0.19745518023039763</v>
      </c>
      <c r="H246" s="23">
        <f t="shared" si="11"/>
        <v>2.2699354804905236</v>
      </c>
      <c r="I246" s="46">
        <f t="array" ref="I246">IF(SUMIF(Производство!$A$104:$A$145,Технологи!$B246,Производство!F$104:F$145)&gt;0,SUMIF(Производство!$A$104:$A$145,Технологи!$B246,Производство!F$104:F$145)*$F246+$G246,0)</f>
        <v>0</v>
      </c>
      <c r="J246" s="46">
        <f t="array" ref="J246">IF(SUMIF(Производство!$A$104:$A$145,Технологи!$B246,Производство!G$104:G$145)&gt;0,SUMIF(Производство!$A$104:$A$145,Технологи!$B246,Производство!G$104:G$145)*$F246+$G246,0)</f>
        <v>0</v>
      </c>
      <c r="K246" s="46">
        <f t="array" ref="K246">IF(SUMIF(Производство!$A$104:$A$145,Технологи!$B246,Производство!H$104:H$145)&gt;0,SUMIF(Производство!$A$104:$A$145,Технологи!$B246,Производство!H$104:H$145)*$F246+$G246,0)</f>
        <v>0</v>
      </c>
      <c r="L246" s="46">
        <f t="array" ref="L246">IF(SUMIF(Производство!$A$104:$A$145,Технологи!$B246,Производство!I$104:I$145)&gt;0,SUMIF(Производство!$A$104:$A$145,Технологи!$B246,Производство!I$104:I$145)*$F246+$G246,0)</f>
        <v>0</v>
      </c>
      <c r="M246" s="46">
        <f t="array" ref="M246">IF(SUMIF(Производство!$A$104:$A$145,Технологи!$B246,Производство!J$104:J$145)&gt;0,SUMIF(Производство!$A$104:$A$145,Технологи!$B246,Производство!J$104:J$145)*$F246+$G246,0)</f>
        <v>0</v>
      </c>
      <c r="N246" s="46">
        <f t="array" ref="N246">IF(SUMIF(Производство!$A$104:$A$145,Технологи!$B246,Производство!K$104:K$145)&gt;0,SUMIF(Производство!$A$104:$A$145,Технологи!$B246,Производство!K$104:K$145)*$F246+$G246,0)</f>
        <v>0</v>
      </c>
      <c r="O246" s="46">
        <f t="array" ref="O246">IF(SUMIF(Производство!$A$104:$A$145,Технологи!$B246,Производство!L$104:L$145)&gt;0,SUMIF(Производство!$A$104:$A$145,Технологи!$B246,Производство!L$104:L$145)*$F246+$G246,0)</f>
        <v>0</v>
      </c>
      <c r="P246" s="46">
        <f t="array" ref="P246">IF(SUMIF(Производство!$A$104:$A$145,Технологи!$B246,Производство!M$104:M$145)&gt;0,SUMIF(Производство!$A$104:$A$145,Технологи!$B246,Производство!M$104:M$145)*$F246+$G246,0)</f>
        <v>0</v>
      </c>
      <c r="Q246" s="46">
        <f t="array" ref="Q246">IF(SUMIF(Производство!$A$104:$A$145,Технологи!$B246,Производство!N$104:N$145)&gt;0,SUMIF(Производство!$A$104:$A$145,Технологи!$B246,Производство!N$104:N$145)*$F246+$G246,0)</f>
        <v>0</v>
      </c>
      <c r="R246" s="46">
        <f t="array" ref="R246">IF(SUMIF(Производство!$A$104:$A$145,Технологи!$B246,Производство!O$104:O$145)&gt;0,SUMIF(Производство!$A$104:$A$145,Технологи!$B246,Производство!O$104:O$145)*$F246+$G246,0)</f>
        <v>0</v>
      </c>
      <c r="S246" s="46">
        <f t="array" ref="S246">IF(SUMIF(Производство!$A$104:$A$145,Технологи!$B246,Производство!P$104:P$145)&gt;0,SUMIF(Производство!$A$104:$A$145,Технологи!$B246,Производство!P$104:P$145)*$F246+$G246,0)</f>
        <v>0</v>
      </c>
      <c r="T246" s="46">
        <f t="array" ref="T246">IF(SUMIF(Производство!$A$104:$A$145,Технологи!$B246,Производство!Q$104:Q$145)&gt;0,SUMIF(Производство!$A$104:$A$145,Технологи!$B246,Производство!Q$104:Q$145)*$F246+$G246,0)</f>
        <v>0</v>
      </c>
    </row>
    <row r="247" spans="1:20" x14ac:dyDescent="0.25">
      <c r="A247" s="34" t="s">
        <v>377</v>
      </c>
      <c r="B247" s="13" t="s">
        <v>49</v>
      </c>
      <c r="C247" s="19" t="s">
        <v>19</v>
      </c>
      <c r="D247" s="14">
        <v>7038</v>
      </c>
      <c r="E247" s="20"/>
      <c r="F247" s="24">
        <v>0.50251170000000001</v>
      </c>
      <c r="G247" s="24">
        <v>17.587909500000002</v>
      </c>
      <c r="H247" s="23">
        <f t="shared" si="11"/>
        <v>502.51170000000002</v>
      </c>
      <c r="I247" s="46">
        <f t="array" ref="I247">IF(SUMIF(Производство!$A$104:$A$145,Технологи!$B247,Производство!F$104:F$145)&gt;0,SUMIF(Производство!$A$104:$A$145,Технологи!$B247,Производство!F$104:F$145)*$F247+$G247,0)</f>
        <v>0</v>
      </c>
      <c r="J247" s="46">
        <f t="array" ref="J247">IF(SUMIF(Производство!$A$104:$A$145,Технологи!$B247,Производство!G$104:G$145)&gt;0,SUMIF(Производство!$A$104:$A$145,Технологи!$B247,Производство!G$104:G$145)*$F247+$G247,0)</f>
        <v>0</v>
      </c>
      <c r="K247" s="46">
        <f t="array" ref="K247">IF(SUMIF(Производство!$A$104:$A$145,Технологи!$B247,Производство!H$104:H$145)&gt;0,SUMIF(Производство!$A$104:$A$145,Технологи!$B247,Производство!H$104:H$145)*$F247+$G247,0)</f>
        <v>0</v>
      </c>
      <c r="L247" s="46">
        <f t="array" ref="L247">IF(SUMIF(Производство!$A$104:$A$145,Технологи!$B247,Производство!I$104:I$145)&gt;0,SUMIF(Производство!$A$104:$A$145,Технологи!$B247,Производство!I$104:I$145)*$F247+$G247,0)</f>
        <v>0</v>
      </c>
      <c r="M247" s="46">
        <f t="array" ref="M247">IF(SUMIF(Производство!$A$104:$A$145,Технологи!$B247,Производство!J$104:J$145)&gt;0,SUMIF(Производство!$A$104:$A$145,Технологи!$B247,Производство!J$104:J$145)*$F247+$G247,0)</f>
        <v>0</v>
      </c>
      <c r="N247" s="46">
        <f t="array" ref="N247">IF(SUMIF(Производство!$A$104:$A$145,Технологи!$B247,Производство!K$104:K$145)&gt;0,SUMIF(Производство!$A$104:$A$145,Технологи!$B247,Производство!K$104:K$145)*$F247+$G247,0)</f>
        <v>0</v>
      </c>
      <c r="O247" s="46">
        <f t="array" ref="O247">IF(SUMIF(Производство!$A$104:$A$145,Технологи!$B247,Производство!L$104:L$145)&gt;0,SUMIF(Производство!$A$104:$A$145,Технологи!$B247,Производство!L$104:L$145)*$F247+$G247,0)</f>
        <v>0</v>
      </c>
      <c r="P247" s="46">
        <f t="array" ref="P247">IF(SUMIF(Производство!$A$104:$A$145,Технологи!$B247,Производство!M$104:M$145)&gt;0,SUMIF(Производство!$A$104:$A$145,Технологи!$B247,Производство!M$104:M$145)*$F247+$G247,0)</f>
        <v>0</v>
      </c>
      <c r="Q247" s="46">
        <f t="array" ref="Q247">IF(SUMIF(Производство!$A$104:$A$145,Технологи!$B247,Производство!N$104:N$145)&gt;0,SUMIF(Производство!$A$104:$A$145,Технологи!$B247,Производство!N$104:N$145)*$F247+$G247,0)</f>
        <v>0</v>
      </c>
      <c r="R247" s="46">
        <f t="array" ref="R247">IF(SUMIF(Производство!$A$104:$A$145,Технологи!$B247,Производство!O$104:O$145)&gt;0,SUMIF(Производство!$A$104:$A$145,Технологи!$B247,Производство!O$104:O$145)*$F247+$G247,0)</f>
        <v>0</v>
      </c>
      <c r="S247" s="46">
        <f t="array" ref="S247">IF(SUMIF(Производство!$A$104:$A$145,Технологи!$B247,Производство!P$104:P$145)&gt;0,SUMIF(Производство!$A$104:$A$145,Технологи!$B247,Производство!P$104:P$145)*$F247+$G247,0)</f>
        <v>0</v>
      </c>
      <c r="T247" s="46">
        <f t="array" ref="T247">IF(SUMIF(Производство!$A$104:$A$145,Технологи!$B247,Производство!Q$104:Q$145)&gt;0,SUMIF(Производство!$A$104:$A$145,Технологи!$B247,Производство!Q$104:Q$145)*$F247+$G247,0)</f>
        <v>0</v>
      </c>
    </row>
    <row r="248" spans="1:20" x14ac:dyDescent="0.25">
      <c r="A248" s="34" t="s">
        <v>377</v>
      </c>
      <c r="B248" s="13" t="s">
        <v>49</v>
      </c>
      <c r="C248" s="19" t="s">
        <v>20</v>
      </c>
      <c r="D248" s="14">
        <v>7038</v>
      </c>
      <c r="E248" s="20"/>
      <c r="F248" s="24">
        <v>3.5999999999999997E-2</v>
      </c>
      <c r="G248" s="24">
        <v>0.54</v>
      </c>
      <c r="H248" s="23">
        <f t="shared" si="11"/>
        <v>36</v>
      </c>
      <c r="I248" s="46">
        <f t="array" ref="I248">IF(SUMIF(Производство!$A$104:$A$145,Технологи!$B248,Производство!F$104:F$145)&gt;0,SUMIF(Производство!$A$104:$A$145,Технологи!$B248,Производство!F$104:F$145)*$F248+$G248,0)</f>
        <v>0</v>
      </c>
      <c r="J248" s="46">
        <f t="array" ref="J248">IF(SUMIF(Производство!$A$104:$A$145,Технологи!$B248,Производство!G$104:G$145)&gt;0,SUMIF(Производство!$A$104:$A$145,Технологи!$B248,Производство!G$104:G$145)*$F248+$G248,0)</f>
        <v>0</v>
      </c>
      <c r="K248" s="46">
        <f t="array" ref="K248">IF(SUMIF(Производство!$A$104:$A$145,Технологи!$B248,Производство!H$104:H$145)&gt;0,SUMIF(Производство!$A$104:$A$145,Технологи!$B248,Производство!H$104:H$145)*$F248+$G248,0)</f>
        <v>0</v>
      </c>
      <c r="L248" s="46">
        <f t="array" ref="L248">IF(SUMIF(Производство!$A$104:$A$145,Технологи!$B248,Производство!I$104:I$145)&gt;0,SUMIF(Производство!$A$104:$A$145,Технологи!$B248,Производство!I$104:I$145)*$F248+$G248,0)</f>
        <v>0</v>
      </c>
      <c r="M248" s="46">
        <f t="array" ref="M248">IF(SUMIF(Производство!$A$104:$A$145,Технологи!$B248,Производство!J$104:J$145)&gt;0,SUMIF(Производство!$A$104:$A$145,Технологи!$B248,Производство!J$104:J$145)*$F248+$G248,0)</f>
        <v>0</v>
      </c>
      <c r="N248" s="46">
        <f t="array" ref="N248">IF(SUMIF(Производство!$A$104:$A$145,Технологи!$B248,Производство!K$104:K$145)&gt;0,SUMIF(Производство!$A$104:$A$145,Технологи!$B248,Производство!K$104:K$145)*$F248+$G248,0)</f>
        <v>0</v>
      </c>
      <c r="O248" s="46">
        <f t="array" ref="O248">IF(SUMIF(Производство!$A$104:$A$145,Технологи!$B248,Производство!L$104:L$145)&gt;0,SUMIF(Производство!$A$104:$A$145,Технологи!$B248,Производство!L$104:L$145)*$F248+$G248,0)</f>
        <v>0</v>
      </c>
      <c r="P248" s="46">
        <f t="array" ref="P248">IF(SUMIF(Производство!$A$104:$A$145,Технологи!$B248,Производство!M$104:M$145)&gt;0,SUMIF(Производство!$A$104:$A$145,Технологи!$B248,Производство!M$104:M$145)*$F248+$G248,0)</f>
        <v>0</v>
      </c>
      <c r="Q248" s="46">
        <f t="array" ref="Q248">IF(SUMIF(Производство!$A$104:$A$145,Технологи!$B248,Производство!N$104:N$145)&gt;0,SUMIF(Производство!$A$104:$A$145,Технологи!$B248,Производство!N$104:N$145)*$F248+$G248,0)</f>
        <v>0</v>
      </c>
      <c r="R248" s="46">
        <f t="array" ref="R248">IF(SUMIF(Производство!$A$104:$A$145,Технологи!$B248,Производство!O$104:O$145)&gt;0,SUMIF(Производство!$A$104:$A$145,Технологи!$B248,Производство!O$104:O$145)*$F248+$G248,0)</f>
        <v>0</v>
      </c>
      <c r="S248" s="46">
        <f t="array" ref="S248">IF(SUMIF(Производство!$A$104:$A$145,Технологи!$B248,Производство!P$104:P$145)&gt;0,SUMIF(Производство!$A$104:$A$145,Технологи!$B248,Производство!P$104:P$145)*$F248+$G248,0)</f>
        <v>0</v>
      </c>
      <c r="T248" s="46">
        <f t="array" ref="T248">IF(SUMIF(Производство!$A$104:$A$145,Технологи!$B248,Производство!Q$104:Q$145)&gt;0,SUMIF(Производство!$A$104:$A$145,Технологи!$B248,Производство!Q$104:Q$145)*$F248+$G248,0)</f>
        <v>0</v>
      </c>
    </row>
    <row r="249" spans="1:20" x14ac:dyDescent="0.25">
      <c r="A249" s="34" t="s">
        <v>377</v>
      </c>
      <c r="B249" s="13" t="s">
        <v>49</v>
      </c>
      <c r="C249" s="19" t="s">
        <v>21</v>
      </c>
      <c r="D249" s="14">
        <v>7038</v>
      </c>
      <c r="E249" s="20"/>
      <c r="F249" s="24">
        <v>0</v>
      </c>
      <c r="G249" s="24">
        <v>0</v>
      </c>
      <c r="H249" s="23">
        <f t="shared" si="11"/>
        <v>0</v>
      </c>
      <c r="I249" s="46">
        <f t="array" ref="I249">IF(SUMIF(Производство!$A$104:$A$145,Технологи!$B249,Производство!F$104:F$145)&gt;0,SUMIF(Производство!$A$104:$A$145,Технологи!$B249,Производство!F$104:F$145)*$F249+$G249,0)</f>
        <v>0</v>
      </c>
      <c r="J249" s="46">
        <f t="array" ref="J249">IF(SUMIF(Производство!$A$104:$A$145,Технологи!$B249,Производство!G$104:G$145)&gt;0,SUMIF(Производство!$A$104:$A$145,Технологи!$B249,Производство!G$104:G$145)*$F249+$G249,0)</f>
        <v>0</v>
      </c>
      <c r="K249" s="46">
        <f t="array" ref="K249">IF(SUMIF(Производство!$A$104:$A$145,Технологи!$B249,Производство!H$104:H$145)&gt;0,SUMIF(Производство!$A$104:$A$145,Технологи!$B249,Производство!H$104:H$145)*$F249+$G249,0)</f>
        <v>0</v>
      </c>
      <c r="L249" s="46">
        <f t="array" ref="L249">IF(SUMIF(Производство!$A$104:$A$145,Технологи!$B249,Производство!I$104:I$145)&gt;0,SUMIF(Производство!$A$104:$A$145,Технологи!$B249,Производство!I$104:I$145)*$F249+$G249,0)</f>
        <v>0</v>
      </c>
      <c r="M249" s="46">
        <f t="array" ref="M249">IF(SUMIF(Производство!$A$104:$A$145,Технологи!$B249,Производство!J$104:J$145)&gt;0,SUMIF(Производство!$A$104:$A$145,Технологи!$B249,Производство!J$104:J$145)*$F249+$G249,0)</f>
        <v>0</v>
      </c>
      <c r="N249" s="46">
        <f t="array" ref="N249">IF(SUMIF(Производство!$A$104:$A$145,Технологи!$B249,Производство!K$104:K$145)&gt;0,SUMIF(Производство!$A$104:$A$145,Технологи!$B249,Производство!K$104:K$145)*$F249+$G249,0)</f>
        <v>0</v>
      </c>
      <c r="O249" s="46">
        <f t="array" ref="O249">IF(SUMIF(Производство!$A$104:$A$145,Технологи!$B249,Производство!L$104:L$145)&gt;0,SUMIF(Производство!$A$104:$A$145,Технологи!$B249,Производство!L$104:L$145)*$F249+$G249,0)</f>
        <v>0</v>
      </c>
      <c r="P249" s="46">
        <f t="array" ref="P249">IF(SUMIF(Производство!$A$104:$A$145,Технологи!$B249,Производство!M$104:M$145)&gt;0,SUMIF(Производство!$A$104:$A$145,Технологи!$B249,Производство!M$104:M$145)*$F249+$G249,0)</f>
        <v>0</v>
      </c>
      <c r="Q249" s="46">
        <f t="array" ref="Q249">IF(SUMIF(Производство!$A$104:$A$145,Технологи!$B249,Производство!N$104:N$145)&gt;0,SUMIF(Производство!$A$104:$A$145,Технологи!$B249,Производство!N$104:N$145)*$F249+$G249,0)</f>
        <v>0</v>
      </c>
      <c r="R249" s="46">
        <f t="array" ref="R249">IF(SUMIF(Производство!$A$104:$A$145,Технологи!$B249,Производство!O$104:O$145)&gt;0,SUMIF(Производство!$A$104:$A$145,Технологи!$B249,Производство!O$104:O$145)*$F249+$G249,0)</f>
        <v>0</v>
      </c>
      <c r="S249" s="46">
        <f t="array" ref="S249">IF(SUMIF(Производство!$A$104:$A$145,Технологи!$B249,Производство!P$104:P$145)&gt;0,SUMIF(Производство!$A$104:$A$145,Технологи!$B249,Производство!P$104:P$145)*$F249+$G249,0)</f>
        <v>0</v>
      </c>
      <c r="T249" s="46">
        <f t="array" ref="T249">IF(SUMIF(Производство!$A$104:$A$145,Технологи!$B249,Производство!Q$104:Q$145)&gt;0,SUMIF(Производство!$A$104:$A$145,Технологи!$B249,Производство!Q$104:Q$145)*$F249+$G249,0)</f>
        <v>0</v>
      </c>
    </row>
    <row r="250" spans="1:20" x14ac:dyDescent="0.25">
      <c r="A250" s="34" t="s">
        <v>377</v>
      </c>
      <c r="B250" s="13" t="s">
        <v>49</v>
      </c>
      <c r="C250" s="19" t="s">
        <v>22</v>
      </c>
      <c r="D250" s="14">
        <v>7038</v>
      </c>
      <c r="E250" s="20"/>
      <c r="F250" s="24">
        <v>2.7E-2</v>
      </c>
      <c r="G250" s="24">
        <v>0.40500000000000003</v>
      </c>
      <c r="H250" s="23">
        <f t="shared" si="11"/>
        <v>27</v>
      </c>
      <c r="I250" s="46">
        <f t="array" ref="I250">IF(SUMIF(Производство!$A$104:$A$145,Технологи!$B250,Производство!F$104:F$145)&gt;0,SUMIF(Производство!$A$104:$A$145,Технологи!$B250,Производство!F$104:F$145)*$F250+$G250,0)</f>
        <v>0</v>
      </c>
      <c r="J250" s="46">
        <f t="array" ref="J250">IF(SUMIF(Производство!$A$104:$A$145,Технологи!$B250,Производство!G$104:G$145)&gt;0,SUMIF(Производство!$A$104:$A$145,Технологи!$B250,Производство!G$104:G$145)*$F250+$G250,0)</f>
        <v>0</v>
      </c>
      <c r="K250" s="46">
        <f t="array" ref="K250">IF(SUMIF(Производство!$A$104:$A$145,Технологи!$B250,Производство!H$104:H$145)&gt;0,SUMIF(Производство!$A$104:$A$145,Технологи!$B250,Производство!H$104:H$145)*$F250+$G250,0)</f>
        <v>0</v>
      </c>
      <c r="L250" s="46">
        <f t="array" ref="L250">IF(SUMIF(Производство!$A$104:$A$145,Технологи!$B250,Производство!I$104:I$145)&gt;0,SUMIF(Производство!$A$104:$A$145,Технологи!$B250,Производство!I$104:I$145)*$F250+$G250,0)</f>
        <v>0</v>
      </c>
      <c r="M250" s="46">
        <f t="array" ref="M250">IF(SUMIF(Производство!$A$104:$A$145,Технологи!$B250,Производство!J$104:J$145)&gt;0,SUMIF(Производство!$A$104:$A$145,Технологи!$B250,Производство!J$104:J$145)*$F250+$G250,0)</f>
        <v>0</v>
      </c>
      <c r="N250" s="46">
        <f t="array" ref="N250">IF(SUMIF(Производство!$A$104:$A$145,Технологи!$B250,Производство!K$104:K$145)&gt;0,SUMIF(Производство!$A$104:$A$145,Технологи!$B250,Производство!K$104:K$145)*$F250+$G250,0)</f>
        <v>0</v>
      </c>
      <c r="O250" s="46">
        <f t="array" ref="O250">IF(SUMIF(Производство!$A$104:$A$145,Технологи!$B250,Производство!L$104:L$145)&gt;0,SUMIF(Производство!$A$104:$A$145,Технологи!$B250,Производство!L$104:L$145)*$F250+$G250,0)</f>
        <v>0</v>
      </c>
      <c r="P250" s="46">
        <f t="array" ref="P250">IF(SUMIF(Производство!$A$104:$A$145,Технологи!$B250,Производство!M$104:M$145)&gt;0,SUMIF(Производство!$A$104:$A$145,Технологи!$B250,Производство!M$104:M$145)*$F250+$G250,0)</f>
        <v>0</v>
      </c>
      <c r="Q250" s="46">
        <f t="array" ref="Q250">IF(SUMIF(Производство!$A$104:$A$145,Технологи!$B250,Производство!N$104:N$145)&gt;0,SUMIF(Производство!$A$104:$A$145,Технологи!$B250,Производство!N$104:N$145)*$F250+$G250,0)</f>
        <v>0</v>
      </c>
      <c r="R250" s="46">
        <f t="array" ref="R250">IF(SUMIF(Производство!$A$104:$A$145,Технологи!$B250,Производство!O$104:O$145)&gt;0,SUMIF(Производство!$A$104:$A$145,Технологи!$B250,Производство!O$104:O$145)*$F250+$G250,0)</f>
        <v>0</v>
      </c>
      <c r="S250" s="46">
        <f t="array" ref="S250">IF(SUMIF(Производство!$A$104:$A$145,Технологи!$B250,Производство!P$104:P$145)&gt;0,SUMIF(Производство!$A$104:$A$145,Технологи!$B250,Производство!P$104:P$145)*$F250+$G250,0)</f>
        <v>0</v>
      </c>
      <c r="T250" s="46">
        <f t="array" ref="T250">IF(SUMIF(Производство!$A$104:$A$145,Технологи!$B250,Производство!Q$104:Q$145)&gt;0,SUMIF(Производство!$A$104:$A$145,Технологи!$B250,Производство!Q$104:Q$145)*$F250+$G250,0)</f>
        <v>0</v>
      </c>
    </row>
    <row r="251" spans="1:20" x14ac:dyDescent="0.25">
      <c r="A251" s="34" t="s">
        <v>377</v>
      </c>
      <c r="B251" s="13" t="s">
        <v>49</v>
      </c>
      <c r="C251" s="19" t="s">
        <v>23</v>
      </c>
      <c r="D251" s="14">
        <v>7038</v>
      </c>
      <c r="E251" s="20"/>
      <c r="F251" s="24">
        <v>0</v>
      </c>
      <c r="G251" s="24">
        <v>0</v>
      </c>
      <c r="H251" s="23">
        <f t="shared" si="11"/>
        <v>0</v>
      </c>
      <c r="I251" s="46">
        <f t="array" ref="I251">IF(SUMIF(Производство!$A$104:$A$145,Технологи!$B251,Производство!F$104:F$145)&gt;0,SUMIF(Производство!$A$104:$A$145,Технологи!$B251,Производство!F$104:F$145)*$F251+$G251,0)</f>
        <v>0</v>
      </c>
      <c r="J251" s="46">
        <f t="array" ref="J251">IF(SUMIF(Производство!$A$104:$A$145,Технологи!$B251,Производство!G$104:G$145)&gt;0,SUMIF(Производство!$A$104:$A$145,Технологи!$B251,Производство!G$104:G$145)*$F251+$G251,0)</f>
        <v>0</v>
      </c>
      <c r="K251" s="46">
        <f t="array" ref="K251">IF(SUMIF(Производство!$A$104:$A$145,Технологи!$B251,Производство!H$104:H$145)&gt;0,SUMIF(Производство!$A$104:$A$145,Технологи!$B251,Производство!H$104:H$145)*$F251+$G251,0)</f>
        <v>0</v>
      </c>
      <c r="L251" s="46">
        <f t="array" ref="L251">IF(SUMIF(Производство!$A$104:$A$145,Технологи!$B251,Производство!I$104:I$145)&gt;0,SUMIF(Производство!$A$104:$A$145,Технологи!$B251,Производство!I$104:I$145)*$F251+$G251,0)</f>
        <v>0</v>
      </c>
      <c r="M251" s="46">
        <f t="array" ref="M251">IF(SUMIF(Производство!$A$104:$A$145,Технологи!$B251,Производство!J$104:J$145)&gt;0,SUMIF(Производство!$A$104:$A$145,Технологи!$B251,Производство!J$104:J$145)*$F251+$G251,0)</f>
        <v>0</v>
      </c>
      <c r="N251" s="46">
        <f t="array" ref="N251">IF(SUMIF(Производство!$A$104:$A$145,Технологи!$B251,Производство!K$104:K$145)&gt;0,SUMIF(Производство!$A$104:$A$145,Технологи!$B251,Производство!K$104:K$145)*$F251+$G251,0)</f>
        <v>0</v>
      </c>
      <c r="O251" s="46">
        <f t="array" ref="O251">IF(SUMIF(Производство!$A$104:$A$145,Технологи!$B251,Производство!L$104:L$145)&gt;0,SUMIF(Производство!$A$104:$A$145,Технологи!$B251,Производство!L$104:L$145)*$F251+$G251,0)</f>
        <v>0</v>
      </c>
      <c r="P251" s="46">
        <f t="array" ref="P251">IF(SUMIF(Производство!$A$104:$A$145,Технологи!$B251,Производство!M$104:M$145)&gt;0,SUMIF(Производство!$A$104:$A$145,Технологи!$B251,Производство!M$104:M$145)*$F251+$G251,0)</f>
        <v>0</v>
      </c>
      <c r="Q251" s="46">
        <f t="array" ref="Q251">IF(SUMIF(Производство!$A$104:$A$145,Технологи!$B251,Производство!N$104:N$145)&gt;0,SUMIF(Производство!$A$104:$A$145,Технологи!$B251,Производство!N$104:N$145)*$F251+$G251,0)</f>
        <v>0</v>
      </c>
      <c r="R251" s="46">
        <f t="array" ref="R251">IF(SUMIF(Производство!$A$104:$A$145,Технологи!$B251,Производство!O$104:O$145)&gt;0,SUMIF(Производство!$A$104:$A$145,Технологи!$B251,Производство!O$104:O$145)*$F251+$G251,0)</f>
        <v>0</v>
      </c>
      <c r="S251" s="46">
        <f t="array" ref="S251">IF(SUMIF(Производство!$A$104:$A$145,Технологи!$B251,Производство!P$104:P$145)&gt;0,SUMIF(Производство!$A$104:$A$145,Технологи!$B251,Производство!P$104:P$145)*$F251+$G251,0)</f>
        <v>0</v>
      </c>
      <c r="T251" s="46">
        <f t="array" ref="T251">IF(SUMIF(Производство!$A$104:$A$145,Технологи!$B251,Производство!Q$104:Q$145)&gt;0,SUMIF(Производство!$A$104:$A$145,Технологи!$B251,Производство!Q$104:Q$145)*$F251+$G251,0)</f>
        <v>0</v>
      </c>
    </row>
    <row r="252" spans="1:20" x14ac:dyDescent="0.25">
      <c r="A252" s="34" t="s">
        <v>377</v>
      </c>
      <c r="B252" s="13" t="s">
        <v>46</v>
      </c>
      <c r="C252" s="15" t="s">
        <v>11</v>
      </c>
      <c r="D252" s="14">
        <v>7038</v>
      </c>
      <c r="E252" s="16">
        <v>1.665</v>
      </c>
      <c r="F252" s="22">
        <f>SUM(F253:F264)</f>
        <v>1.6678563310641346</v>
      </c>
      <c r="G252" s="22">
        <f>SUM(G253:G264)</f>
        <v>66.375999999999991</v>
      </c>
      <c r="H252" s="23">
        <f t="shared" si="11"/>
        <v>1667.8563310641346</v>
      </c>
      <c r="I252" s="46">
        <f t="array" ref="I252">IF(SUMIF(Производство!$A$104:$A$145,Технологи!$B252,Производство!F$104:F$145)&gt;0,SUMIF(Производство!$A$104:$A$145,Технологи!$B252,Производство!F$104:F$145)*$F252+$G252,0)</f>
        <v>0</v>
      </c>
      <c r="J252" s="46">
        <f t="array" ref="J252">IF(SUMIF(Производство!$A$104:$A$145,Технологи!$B252,Производство!G$104:G$145)&gt;0,SUMIF(Производство!$A$104:$A$145,Технологи!$B252,Производство!G$104:G$145)*$F252+$G252,0)</f>
        <v>0</v>
      </c>
      <c r="K252" s="46">
        <f t="array" ref="K252">IF(SUMIF(Производство!$A$104:$A$145,Технологи!$B252,Производство!H$104:H$145)&gt;0,SUMIF(Производство!$A$104:$A$145,Технологи!$B252,Производство!H$104:H$145)*$F252+$G252,0)</f>
        <v>0</v>
      </c>
      <c r="L252" s="46">
        <f t="array" ref="L252">IF(SUMIF(Производство!$A$104:$A$145,Технологи!$B252,Производство!I$104:I$145)&gt;0,SUMIF(Производство!$A$104:$A$145,Технологи!$B252,Производство!I$104:I$145)*$F252+$G252,0)</f>
        <v>0</v>
      </c>
      <c r="M252" s="46">
        <f t="array" ref="M252">IF(SUMIF(Производство!$A$104:$A$145,Технологи!$B252,Производство!J$104:J$145)&gt;0,SUMIF(Производство!$A$104:$A$145,Технологи!$B252,Производство!J$104:J$145)*$F252+$G252,0)</f>
        <v>0</v>
      </c>
      <c r="N252" s="46">
        <f t="array" ref="N252">IF(SUMIF(Производство!$A$104:$A$145,Технологи!$B252,Производство!K$104:K$145)&gt;0,SUMIF(Производство!$A$104:$A$145,Технологи!$B252,Производство!K$104:K$145)*$F252+$G252,0)</f>
        <v>0</v>
      </c>
      <c r="O252" s="46">
        <f t="array" ref="O252">IF(SUMIF(Производство!$A$104:$A$145,Технологи!$B252,Производство!L$104:L$145)&gt;0,SUMIF(Производство!$A$104:$A$145,Технологи!$B252,Производство!L$104:L$145)*$F252+$G252,0)</f>
        <v>0</v>
      </c>
      <c r="P252" s="46">
        <f t="array" ref="P252">IF(SUMIF(Производство!$A$104:$A$145,Технологи!$B252,Производство!M$104:M$145)&gt;0,SUMIF(Производство!$A$104:$A$145,Технологи!$B252,Производство!M$104:M$145)*$F252+$G252,0)</f>
        <v>0</v>
      </c>
      <c r="Q252" s="46">
        <f t="array" ref="Q252">IF(SUMIF(Производство!$A$104:$A$145,Технологи!$B252,Производство!N$104:N$145)&gt;0,SUMIF(Производство!$A$104:$A$145,Технологи!$B252,Производство!N$104:N$145)*$F252+$G252,0)</f>
        <v>0</v>
      </c>
      <c r="R252" s="46">
        <f t="array" ref="R252">IF(SUMIF(Производство!$A$104:$A$145,Технологи!$B252,Производство!O$104:O$145)&gt;0,SUMIF(Производство!$A$104:$A$145,Технологи!$B252,Производство!O$104:O$145)*$F252+$G252,0)</f>
        <v>0</v>
      </c>
      <c r="S252" s="46">
        <f t="array" ref="S252">IF(SUMIF(Производство!$A$104:$A$145,Технологи!$B252,Производство!P$104:P$145)&gt;0,SUMIF(Производство!$A$104:$A$145,Технологи!$B252,Производство!P$104:P$145)*$F252+$G252,0)</f>
        <v>0</v>
      </c>
      <c r="T252" s="46">
        <f t="array" ref="T252">IF(SUMIF(Производство!$A$104:$A$145,Технологи!$B252,Производство!Q$104:Q$145)&gt;0,SUMIF(Производство!$A$104:$A$145,Технологи!$B252,Производство!Q$104:Q$145)*$F252+$G252,0)</f>
        <v>0</v>
      </c>
    </row>
    <row r="253" spans="1:20" x14ac:dyDescent="0.25">
      <c r="A253" s="34" t="s">
        <v>377</v>
      </c>
      <c r="B253" s="13" t="s">
        <v>46</v>
      </c>
      <c r="C253" s="19" t="s">
        <v>12</v>
      </c>
      <c r="D253" s="14">
        <v>7038</v>
      </c>
      <c r="E253" s="20"/>
      <c r="F253" s="24">
        <v>0.41884503762092434</v>
      </c>
      <c r="G253" s="24">
        <v>22.614682872070745</v>
      </c>
      <c r="H253" s="23">
        <f t="shared" ref="H253:H277" si="12">F253*1000</f>
        <v>418.84503762092436</v>
      </c>
      <c r="I253" s="46">
        <f t="array" ref="I253">IF(SUMIF(Производство!$A$104:$A$145,Технологи!$B253,Производство!F$104:F$145)&gt;0,SUMIF(Производство!$A$104:$A$145,Технологи!$B253,Производство!F$104:F$145)*$F253+$G253,0)</f>
        <v>0</v>
      </c>
      <c r="J253" s="46">
        <f t="array" ref="J253">IF(SUMIF(Производство!$A$104:$A$145,Технологи!$B253,Производство!G$104:G$145)&gt;0,SUMIF(Производство!$A$104:$A$145,Технологи!$B253,Производство!G$104:G$145)*$F253+$G253,0)</f>
        <v>0</v>
      </c>
      <c r="K253" s="46">
        <f t="array" ref="K253">IF(SUMIF(Производство!$A$104:$A$145,Технологи!$B253,Производство!H$104:H$145)&gt;0,SUMIF(Производство!$A$104:$A$145,Технологи!$B253,Производство!H$104:H$145)*$F253+$G253,0)</f>
        <v>0</v>
      </c>
      <c r="L253" s="46">
        <f t="array" ref="L253">IF(SUMIF(Производство!$A$104:$A$145,Технологи!$B253,Производство!I$104:I$145)&gt;0,SUMIF(Производство!$A$104:$A$145,Технологи!$B253,Производство!I$104:I$145)*$F253+$G253,0)</f>
        <v>0</v>
      </c>
      <c r="M253" s="46">
        <f t="array" ref="M253">IF(SUMIF(Производство!$A$104:$A$145,Технологи!$B253,Производство!J$104:J$145)&gt;0,SUMIF(Производство!$A$104:$A$145,Технологи!$B253,Производство!J$104:J$145)*$F253+$G253,0)</f>
        <v>0</v>
      </c>
      <c r="N253" s="46">
        <f t="array" ref="N253">IF(SUMIF(Производство!$A$104:$A$145,Технологи!$B253,Производство!K$104:K$145)&gt;0,SUMIF(Производство!$A$104:$A$145,Технологи!$B253,Производство!K$104:K$145)*$F253+$G253,0)</f>
        <v>0</v>
      </c>
      <c r="O253" s="46">
        <f t="array" ref="O253">IF(SUMIF(Производство!$A$104:$A$145,Технологи!$B253,Производство!L$104:L$145)&gt;0,SUMIF(Производство!$A$104:$A$145,Технологи!$B253,Производство!L$104:L$145)*$F253+$G253,0)</f>
        <v>0</v>
      </c>
      <c r="P253" s="46">
        <f t="array" ref="P253">IF(SUMIF(Производство!$A$104:$A$145,Технологи!$B253,Производство!M$104:M$145)&gt;0,SUMIF(Производство!$A$104:$A$145,Технологи!$B253,Производство!M$104:M$145)*$F253+$G253,0)</f>
        <v>0</v>
      </c>
      <c r="Q253" s="46">
        <f t="array" ref="Q253">IF(SUMIF(Производство!$A$104:$A$145,Технологи!$B253,Производство!N$104:N$145)&gt;0,SUMIF(Производство!$A$104:$A$145,Технологи!$B253,Производство!N$104:N$145)*$F253+$G253,0)</f>
        <v>0</v>
      </c>
      <c r="R253" s="46">
        <f t="array" ref="R253">IF(SUMIF(Производство!$A$104:$A$145,Технологи!$B253,Производство!O$104:O$145)&gt;0,SUMIF(Производство!$A$104:$A$145,Технологи!$B253,Производство!O$104:O$145)*$F253+$G253,0)</f>
        <v>0</v>
      </c>
      <c r="S253" s="46">
        <f t="array" ref="S253">IF(SUMIF(Производство!$A$104:$A$145,Технологи!$B253,Производство!P$104:P$145)&gt;0,SUMIF(Производство!$A$104:$A$145,Технологи!$B253,Производство!P$104:P$145)*$F253+$G253,0)</f>
        <v>0</v>
      </c>
      <c r="T253" s="46">
        <f t="array" ref="T253">IF(SUMIF(Производство!$A$104:$A$145,Технологи!$B253,Производство!Q$104:Q$145)&gt;0,SUMIF(Производство!$A$104:$A$145,Технологи!$B253,Производство!Q$104:Q$145)*$F253+$G253,0)</f>
        <v>0</v>
      </c>
    </row>
    <row r="254" spans="1:20" x14ac:dyDescent="0.25">
      <c r="A254" s="34" t="s">
        <v>377</v>
      </c>
      <c r="B254" s="13" t="s">
        <v>46</v>
      </c>
      <c r="C254" s="19" t="s">
        <v>13</v>
      </c>
      <c r="D254" s="14">
        <v>7038</v>
      </c>
      <c r="E254" s="20"/>
      <c r="F254" s="24">
        <v>0.14761886420637765</v>
      </c>
      <c r="G254" s="24">
        <v>7.0975990572500312</v>
      </c>
      <c r="H254" s="23">
        <f t="shared" si="12"/>
        <v>147.61886420637765</v>
      </c>
      <c r="I254" s="46">
        <f t="array" ref="I254">IF(SUMIF(Производство!$A$104:$A$145,Технологи!$B254,Производство!F$104:F$145)&gt;0,SUMIF(Производство!$A$104:$A$145,Технологи!$B254,Производство!F$104:F$145)*$F254+$G254,0)</f>
        <v>0</v>
      </c>
      <c r="J254" s="46">
        <f t="array" ref="J254">IF(SUMIF(Производство!$A$104:$A$145,Технологи!$B254,Производство!G$104:G$145)&gt;0,SUMIF(Производство!$A$104:$A$145,Технологи!$B254,Производство!G$104:G$145)*$F254+$G254,0)</f>
        <v>0</v>
      </c>
      <c r="K254" s="46">
        <f t="array" ref="K254">IF(SUMIF(Производство!$A$104:$A$145,Технологи!$B254,Производство!H$104:H$145)&gt;0,SUMIF(Производство!$A$104:$A$145,Технологи!$B254,Производство!H$104:H$145)*$F254+$G254,0)</f>
        <v>0</v>
      </c>
      <c r="L254" s="46">
        <f t="array" ref="L254">IF(SUMIF(Производство!$A$104:$A$145,Технологи!$B254,Производство!I$104:I$145)&gt;0,SUMIF(Производство!$A$104:$A$145,Технологи!$B254,Производство!I$104:I$145)*$F254+$G254,0)</f>
        <v>0</v>
      </c>
      <c r="M254" s="46">
        <f t="array" ref="M254">IF(SUMIF(Производство!$A$104:$A$145,Технологи!$B254,Производство!J$104:J$145)&gt;0,SUMIF(Производство!$A$104:$A$145,Технологи!$B254,Производство!J$104:J$145)*$F254+$G254,0)</f>
        <v>0</v>
      </c>
      <c r="N254" s="46">
        <f t="array" ref="N254">IF(SUMIF(Производство!$A$104:$A$145,Технологи!$B254,Производство!K$104:K$145)&gt;0,SUMIF(Производство!$A$104:$A$145,Технологи!$B254,Производство!K$104:K$145)*$F254+$G254,0)</f>
        <v>0</v>
      </c>
      <c r="O254" s="46">
        <f t="array" ref="O254">IF(SUMIF(Производство!$A$104:$A$145,Технологи!$B254,Производство!L$104:L$145)&gt;0,SUMIF(Производство!$A$104:$A$145,Технологи!$B254,Производство!L$104:L$145)*$F254+$G254,0)</f>
        <v>0</v>
      </c>
      <c r="P254" s="46">
        <f t="array" ref="P254">IF(SUMIF(Производство!$A$104:$A$145,Технологи!$B254,Производство!M$104:M$145)&gt;0,SUMIF(Производство!$A$104:$A$145,Технологи!$B254,Производство!M$104:M$145)*$F254+$G254,0)</f>
        <v>0</v>
      </c>
      <c r="Q254" s="46">
        <f t="array" ref="Q254">IF(SUMIF(Производство!$A$104:$A$145,Технологи!$B254,Производство!N$104:N$145)&gt;0,SUMIF(Производство!$A$104:$A$145,Технологи!$B254,Производство!N$104:N$145)*$F254+$G254,0)</f>
        <v>0</v>
      </c>
      <c r="R254" s="46">
        <f t="array" ref="R254">IF(SUMIF(Производство!$A$104:$A$145,Технологи!$B254,Производство!O$104:O$145)&gt;0,SUMIF(Производство!$A$104:$A$145,Технологи!$B254,Производство!O$104:O$145)*$F254+$G254,0)</f>
        <v>0</v>
      </c>
      <c r="S254" s="46">
        <f t="array" ref="S254">IF(SUMIF(Производство!$A$104:$A$145,Технологи!$B254,Производство!P$104:P$145)&gt;0,SUMIF(Производство!$A$104:$A$145,Технологи!$B254,Производство!P$104:P$145)*$F254+$G254,0)</f>
        <v>0</v>
      </c>
      <c r="T254" s="46">
        <f t="array" ref="T254">IF(SUMIF(Производство!$A$104:$A$145,Технологи!$B254,Производство!Q$104:Q$145)&gt;0,SUMIF(Производство!$A$104:$A$145,Технологи!$B254,Производство!Q$104:Q$145)*$F254+$G254,0)</f>
        <v>0</v>
      </c>
    </row>
    <row r="255" spans="1:20" x14ac:dyDescent="0.25">
      <c r="A255" s="34" t="s">
        <v>377</v>
      </c>
      <c r="B255" s="13" t="s">
        <v>46</v>
      </c>
      <c r="C255" s="19" t="s">
        <v>14</v>
      </c>
      <c r="D255" s="14">
        <v>7038</v>
      </c>
      <c r="E255" s="20"/>
      <c r="F255" s="24">
        <v>1.2653045503403799E-3</v>
      </c>
      <c r="G255" s="24">
        <v>6.7844048616212238E-2</v>
      </c>
      <c r="H255" s="23">
        <f t="shared" si="12"/>
        <v>1.2653045503403799</v>
      </c>
      <c r="I255" s="46">
        <f t="array" ref="I255">IF(SUMIF(Производство!$A$104:$A$145,Технологи!$B255,Производство!F$104:F$145)&gt;0,SUMIF(Производство!$A$104:$A$145,Технологи!$B255,Производство!F$104:F$145)*$F255+$G255,0)</f>
        <v>0</v>
      </c>
      <c r="J255" s="46">
        <f t="array" ref="J255">IF(SUMIF(Производство!$A$104:$A$145,Технологи!$B255,Производство!G$104:G$145)&gt;0,SUMIF(Производство!$A$104:$A$145,Технологи!$B255,Производство!G$104:G$145)*$F255+$G255,0)</f>
        <v>0</v>
      </c>
      <c r="K255" s="46">
        <f t="array" ref="K255">IF(SUMIF(Производство!$A$104:$A$145,Технологи!$B255,Производство!H$104:H$145)&gt;0,SUMIF(Производство!$A$104:$A$145,Технологи!$B255,Производство!H$104:H$145)*$F255+$G255,0)</f>
        <v>0</v>
      </c>
      <c r="L255" s="46">
        <f t="array" ref="L255">IF(SUMIF(Производство!$A$104:$A$145,Технологи!$B255,Производство!I$104:I$145)&gt;0,SUMIF(Производство!$A$104:$A$145,Технологи!$B255,Производство!I$104:I$145)*$F255+$G255,0)</f>
        <v>0</v>
      </c>
      <c r="M255" s="46">
        <f t="array" ref="M255">IF(SUMIF(Производство!$A$104:$A$145,Технологи!$B255,Производство!J$104:J$145)&gt;0,SUMIF(Производство!$A$104:$A$145,Технологи!$B255,Производство!J$104:J$145)*$F255+$G255,0)</f>
        <v>0</v>
      </c>
      <c r="N255" s="46">
        <f t="array" ref="N255">IF(SUMIF(Производство!$A$104:$A$145,Технологи!$B255,Производство!K$104:K$145)&gt;0,SUMIF(Производство!$A$104:$A$145,Технологи!$B255,Производство!K$104:K$145)*$F255+$G255,0)</f>
        <v>0</v>
      </c>
      <c r="O255" s="46">
        <f t="array" ref="O255">IF(SUMIF(Производство!$A$104:$A$145,Технологи!$B255,Производство!L$104:L$145)&gt;0,SUMIF(Производство!$A$104:$A$145,Технологи!$B255,Производство!L$104:L$145)*$F255+$G255,0)</f>
        <v>0</v>
      </c>
      <c r="P255" s="46">
        <f t="array" ref="P255">IF(SUMIF(Производство!$A$104:$A$145,Технологи!$B255,Производство!M$104:M$145)&gt;0,SUMIF(Производство!$A$104:$A$145,Технологи!$B255,Производство!M$104:M$145)*$F255+$G255,0)</f>
        <v>0</v>
      </c>
      <c r="Q255" s="46">
        <f t="array" ref="Q255">IF(SUMIF(Производство!$A$104:$A$145,Технологи!$B255,Производство!N$104:N$145)&gt;0,SUMIF(Производство!$A$104:$A$145,Технологи!$B255,Производство!N$104:N$145)*$F255+$G255,0)</f>
        <v>0</v>
      </c>
      <c r="R255" s="46">
        <f t="array" ref="R255">IF(SUMIF(Производство!$A$104:$A$145,Технологи!$B255,Производство!O$104:O$145)&gt;0,SUMIF(Производство!$A$104:$A$145,Технологи!$B255,Производство!O$104:O$145)*$F255+$G255,0)</f>
        <v>0</v>
      </c>
      <c r="S255" s="46">
        <f t="array" ref="S255">IF(SUMIF(Производство!$A$104:$A$145,Технологи!$B255,Производство!P$104:P$145)&gt;0,SUMIF(Производство!$A$104:$A$145,Технологи!$B255,Производство!P$104:P$145)*$F255+$G255,0)</f>
        <v>0</v>
      </c>
      <c r="T255" s="46">
        <f t="array" ref="T255">IF(SUMIF(Производство!$A$104:$A$145,Технологи!$B255,Производство!Q$104:Q$145)&gt;0,SUMIF(Производство!$A$104:$A$145,Технологи!$B255,Производство!Q$104:Q$145)*$F255+$G255,0)</f>
        <v>0</v>
      </c>
    </row>
    <row r="256" spans="1:20" x14ac:dyDescent="0.25">
      <c r="A256" s="34" t="s">
        <v>377</v>
      </c>
      <c r="B256" s="13" t="s">
        <v>46</v>
      </c>
      <c r="C256" s="19" t="s">
        <v>15</v>
      </c>
      <c r="D256" s="14">
        <v>7038</v>
      </c>
      <c r="E256" s="20"/>
      <c r="F256" s="24">
        <v>6.3265227517018995E-4</v>
      </c>
      <c r="G256" s="24">
        <v>3.3922024308106119E-2</v>
      </c>
      <c r="H256" s="23">
        <f t="shared" si="12"/>
        <v>0.63265227517018996</v>
      </c>
      <c r="I256" s="46">
        <f t="array" ref="I256">IF(SUMIF(Производство!$A$104:$A$145,Технологи!$B256,Производство!F$104:F$145)&gt;0,SUMIF(Производство!$A$104:$A$145,Технологи!$B256,Производство!F$104:F$145)*$F256+$G256,0)</f>
        <v>0</v>
      </c>
      <c r="J256" s="46">
        <f t="array" ref="J256">IF(SUMIF(Производство!$A$104:$A$145,Технологи!$B256,Производство!G$104:G$145)&gt;0,SUMIF(Производство!$A$104:$A$145,Технологи!$B256,Производство!G$104:G$145)*$F256+$G256,0)</f>
        <v>0</v>
      </c>
      <c r="K256" s="46">
        <f t="array" ref="K256">IF(SUMIF(Производство!$A$104:$A$145,Технологи!$B256,Производство!H$104:H$145)&gt;0,SUMIF(Производство!$A$104:$A$145,Технологи!$B256,Производство!H$104:H$145)*$F256+$G256,0)</f>
        <v>0</v>
      </c>
      <c r="L256" s="46">
        <f t="array" ref="L256">IF(SUMIF(Производство!$A$104:$A$145,Технологи!$B256,Производство!I$104:I$145)&gt;0,SUMIF(Производство!$A$104:$A$145,Технологи!$B256,Производство!I$104:I$145)*$F256+$G256,0)</f>
        <v>0</v>
      </c>
      <c r="M256" s="46">
        <f t="array" ref="M256">IF(SUMIF(Производство!$A$104:$A$145,Технологи!$B256,Производство!J$104:J$145)&gt;0,SUMIF(Производство!$A$104:$A$145,Технологи!$B256,Производство!J$104:J$145)*$F256+$G256,0)</f>
        <v>0</v>
      </c>
      <c r="N256" s="46">
        <f t="array" ref="N256">IF(SUMIF(Производство!$A$104:$A$145,Технологи!$B256,Производство!K$104:K$145)&gt;0,SUMIF(Производство!$A$104:$A$145,Технологи!$B256,Производство!K$104:K$145)*$F256+$G256,0)</f>
        <v>0</v>
      </c>
      <c r="O256" s="46">
        <f t="array" ref="O256">IF(SUMIF(Производство!$A$104:$A$145,Технологи!$B256,Производство!L$104:L$145)&gt;0,SUMIF(Производство!$A$104:$A$145,Технологи!$B256,Производство!L$104:L$145)*$F256+$G256,0)</f>
        <v>0</v>
      </c>
      <c r="P256" s="46">
        <f t="array" ref="P256">IF(SUMIF(Производство!$A$104:$A$145,Технологи!$B256,Производство!M$104:M$145)&gt;0,SUMIF(Производство!$A$104:$A$145,Технологи!$B256,Производство!M$104:M$145)*$F256+$G256,0)</f>
        <v>0</v>
      </c>
      <c r="Q256" s="46">
        <f t="array" ref="Q256">IF(SUMIF(Производство!$A$104:$A$145,Технологи!$B256,Производство!N$104:N$145)&gt;0,SUMIF(Производство!$A$104:$A$145,Технологи!$B256,Производство!N$104:N$145)*$F256+$G256,0)</f>
        <v>0</v>
      </c>
      <c r="R256" s="46">
        <f t="array" ref="R256">IF(SUMIF(Производство!$A$104:$A$145,Технологи!$B256,Производство!O$104:O$145)&gt;0,SUMIF(Производство!$A$104:$A$145,Технологи!$B256,Производство!O$104:O$145)*$F256+$G256,0)</f>
        <v>0</v>
      </c>
      <c r="S256" s="46">
        <f t="array" ref="S256">IF(SUMIF(Производство!$A$104:$A$145,Технологи!$B256,Производство!P$104:P$145)&gt;0,SUMIF(Производство!$A$104:$A$145,Технологи!$B256,Производство!P$104:P$145)*$F256+$G256,0)</f>
        <v>0</v>
      </c>
      <c r="T256" s="46">
        <f t="array" ref="T256">IF(SUMIF(Производство!$A$104:$A$145,Технологи!$B256,Производство!Q$104:Q$145)&gt;0,SUMIF(Производство!$A$104:$A$145,Технологи!$B256,Производство!Q$104:Q$145)*$F256+$G256,0)</f>
        <v>0</v>
      </c>
    </row>
    <row r="257" spans="1:20" x14ac:dyDescent="0.25">
      <c r="A257" s="34" t="s">
        <v>377</v>
      </c>
      <c r="B257" s="13" t="s">
        <v>46</v>
      </c>
      <c r="C257" s="19" t="s">
        <v>16</v>
      </c>
      <c r="D257" s="14">
        <v>7038</v>
      </c>
      <c r="E257" s="20"/>
      <c r="F257" s="24">
        <v>8.3936044428520231E-3</v>
      </c>
      <c r="G257" s="24">
        <v>0.45229365744141498</v>
      </c>
      <c r="H257" s="23">
        <f t="shared" si="12"/>
        <v>8.3936044428520233</v>
      </c>
      <c r="I257" s="46">
        <f t="array" ref="I257">IF(SUMIF(Производство!$A$104:$A$145,Технологи!$B257,Производство!F$104:F$145)&gt;0,SUMIF(Производство!$A$104:$A$145,Технологи!$B257,Производство!F$104:F$145)*$F257+$G257,0)</f>
        <v>0</v>
      </c>
      <c r="J257" s="46">
        <f t="array" ref="J257">IF(SUMIF(Производство!$A$104:$A$145,Технологи!$B257,Производство!G$104:G$145)&gt;0,SUMIF(Производство!$A$104:$A$145,Технологи!$B257,Производство!G$104:G$145)*$F257+$G257,0)</f>
        <v>0</v>
      </c>
      <c r="K257" s="46">
        <f t="array" ref="K257">IF(SUMIF(Производство!$A$104:$A$145,Технологи!$B257,Производство!H$104:H$145)&gt;0,SUMIF(Производство!$A$104:$A$145,Технологи!$B257,Производство!H$104:H$145)*$F257+$G257,0)</f>
        <v>0</v>
      </c>
      <c r="L257" s="46">
        <f t="array" ref="L257">IF(SUMIF(Производство!$A$104:$A$145,Технологи!$B257,Производство!I$104:I$145)&gt;0,SUMIF(Производство!$A$104:$A$145,Технологи!$B257,Производство!I$104:I$145)*$F257+$G257,0)</f>
        <v>0</v>
      </c>
      <c r="M257" s="46">
        <f t="array" ref="M257">IF(SUMIF(Производство!$A$104:$A$145,Технологи!$B257,Производство!J$104:J$145)&gt;0,SUMIF(Производство!$A$104:$A$145,Технологи!$B257,Производство!J$104:J$145)*$F257+$G257,0)</f>
        <v>0</v>
      </c>
      <c r="N257" s="46">
        <f t="array" ref="N257">IF(SUMIF(Производство!$A$104:$A$145,Технологи!$B257,Производство!K$104:K$145)&gt;0,SUMIF(Производство!$A$104:$A$145,Технологи!$B257,Производство!K$104:K$145)*$F257+$G257,0)</f>
        <v>0</v>
      </c>
      <c r="O257" s="46">
        <f t="array" ref="O257">IF(SUMIF(Производство!$A$104:$A$145,Технологи!$B257,Производство!L$104:L$145)&gt;0,SUMIF(Производство!$A$104:$A$145,Технологи!$B257,Производство!L$104:L$145)*$F257+$G257,0)</f>
        <v>0</v>
      </c>
      <c r="P257" s="46">
        <f t="array" ref="P257">IF(SUMIF(Производство!$A$104:$A$145,Технологи!$B257,Производство!M$104:M$145)&gt;0,SUMIF(Производство!$A$104:$A$145,Технологи!$B257,Производство!M$104:M$145)*$F257+$G257,0)</f>
        <v>0</v>
      </c>
      <c r="Q257" s="46">
        <f t="array" ref="Q257">IF(SUMIF(Производство!$A$104:$A$145,Технологи!$B257,Производство!N$104:N$145)&gt;0,SUMIF(Производство!$A$104:$A$145,Технологи!$B257,Производство!N$104:N$145)*$F257+$G257,0)</f>
        <v>0</v>
      </c>
      <c r="R257" s="46">
        <f t="array" ref="R257">IF(SUMIF(Производство!$A$104:$A$145,Технологи!$B257,Производство!O$104:O$145)&gt;0,SUMIF(Производство!$A$104:$A$145,Технологи!$B257,Производство!O$104:O$145)*$F257+$G257,0)</f>
        <v>0</v>
      </c>
      <c r="S257" s="46">
        <f t="array" ref="S257">IF(SUMIF(Производство!$A$104:$A$145,Технологи!$B257,Производство!P$104:P$145)&gt;0,SUMIF(Производство!$A$104:$A$145,Технологи!$B257,Производство!P$104:P$145)*$F257+$G257,0)</f>
        <v>0</v>
      </c>
      <c r="T257" s="46">
        <f t="array" ref="T257">IF(SUMIF(Производство!$A$104:$A$145,Технологи!$B257,Производство!Q$104:Q$145)&gt;0,SUMIF(Производство!$A$104:$A$145,Технологи!$B257,Производство!Q$104:Q$145)*$F257+$G257,0)</f>
        <v>0</v>
      </c>
    </row>
    <row r="258" spans="1:20" x14ac:dyDescent="0.25">
      <c r="A258" s="34" t="s">
        <v>377</v>
      </c>
      <c r="B258" s="13" t="s">
        <v>46</v>
      </c>
      <c r="C258" s="19" t="s">
        <v>17</v>
      </c>
      <c r="D258" s="14">
        <v>7038</v>
      </c>
      <c r="E258" s="20"/>
      <c r="F258" s="24">
        <v>4.6624175922608379E-3</v>
      </c>
      <c r="G258" s="24">
        <v>0.24876151159277829</v>
      </c>
      <c r="H258" s="23">
        <f t="shared" si="12"/>
        <v>4.6624175922608382</v>
      </c>
      <c r="I258" s="46">
        <f t="array" ref="I258">IF(SUMIF(Производство!$A$104:$A$145,Технологи!$B258,Производство!F$104:F$145)&gt;0,SUMIF(Производство!$A$104:$A$145,Технологи!$B258,Производство!F$104:F$145)*$F258+$G258,0)</f>
        <v>0</v>
      </c>
      <c r="J258" s="46">
        <f t="array" ref="J258">IF(SUMIF(Производство!$A$104:$A$145,Технологи!$B258,Производство!G$104:G$145)&gt;0,SUMIF(Производство!$A$104:$A$145,Технологи!$B258,Производство!G$104:G$145)*$F258+$G258,0)</f>
        <v>0</v>
      </c>
      <c r="K258" s="46">
        <f t="array" ref="K258">IF(SUMIF(Производство!$A$104:$A$145,Технологи!$B258,Производство!H$104:H$145)&gt;0,SUMIF(Производство!$A$104:$A$145,Технологи!$B258,Производство!H$104:H$145)*$F258+$G258,0)</f>
        <v>0</v>
      </c>
      <c r="L258" s="46">
        <f t="array" ref="L258">IF(SUMIF(Производство!$A$104:$A$145,Технологи!$B258,Производство!I$104:I$145)&gt;0,SUMIF(Производство!$A$104:$A$145,Технологи!$B258,Производство!I$104:I$145)*$F258+$G258,0)</f>
        <v>0</v>
      </c>
      <c r="M258" s="46">
        <f t="array" ref="M258">IF(SUMIF(Производство!$A$104:$A$145,Технологи!$B258,Производство!J$104:J$145)&gt;0,SUMIF(Производство!$A$104:$A$145,Технологи!$B258,Производство!J$104:J$145)*$F258+$G258,0)</f>
        <v>0</v>
      </c>
      <c r="N258" s="46">
        <f t="array" ref="N258">IF(SUMIF(Производство!$A$104:$A$145,Технологи!$B258,Производство!K$104:K$145)&gt;0,SUMIF(Производство!$A$104:$A$145,Технологи!$B258,Производство!K$104:K$145)*$F258+$G258,0)</f>
        <v>0</v>
      </c>
      <c r="O258" s="46">
        <f t="array" ref="O258">IF(SUMIF(Производство!$A$104:$A$145,Технологи!$B258,Производство!L$104:L$145)&gt;0,SUMIF(Производство!$A$104:$A$145,Технологи!$B258,Производство!L$104:L$145)*$F258+$G258,0)</f>
        <v>0</v>
      </c>
      <c r="P258" s="46">
        <f t="array" ref="P258">IF(SUMIF(Производство!$A$104:$A$145,Технологи!$B258,Производство!M$104:M$145)&gt;0,SUMIF(Производство!$A$104:$A$145,Технологи!$B258,Производство!M$104:M$145)*$F258+$G258,0)</f>
        <v>0</v>
      </c>
      <c r="Q258" s="46">
        <f t="array" ref="Q258">IF(SUMIF(Производство!$A$104:$A$145,Технологи!$B258,Производство!N$104:N$145)&gt;0,SUMIF(Производство!$A$104:$A$145,Технологи!$B258,Производство!N$104:N$145)*$F258+$G258,0)</f>
        <v>0</v>
      </c>
      <c r="R258" s="46">
        <f t="array" ref="R258">IF(SUMIF(Производство!$A$104:$A$145,Технологи!$B258,Производство!O$104:O$145)&gt;0,SUMIF(Производство!$A$104:$A$145,Технологи!$B258,Производство!O$104:O$145)*$F258+$G258,0)</f>
        <v>0</v>
      </c>
      <c r="S258" s="46">
        <f t="array" ref="S258">IF(SUMIF(Производство!$A$104:$A$145,Технологи!$B258,Производство!P$104:P$145)&gt;0,SUMIF(Производство!$A$104:$A$145,Технологи!$B258,Производство!P$104:P$145)*$F258+$G258,0)</f>
        <v>0</v>
      </c>
      <c r="T258" s="46">
        <f t="array" ref="T258">IF(SUMIF(Производство!$A$104:$A$145,Технологи!$B258,Производство!Q$104:Q$145)&gt;0,SUMIF(Производство!$A$104:$A$145,Технологи!$B258,Производство!Q$104:Q$145)*$F258+$G258,0)</f>
        <v>0</v>
      </c>
    </row>
    <row r="259" spans="1:20" x14ac:dyDescent="0.25">
      <c r="A259" s="34" t="s">
        <v>377</v>
      </c>
      <c r="B259" s="13" t="s">
        <v>46</v>
      </c>
      <c r="C259" s="19" t="s">
        <v>18</v>
      </c>
      <c r="D259" s="14">
        <v>7038</v>
      </c>
      <c r="E259" s="20"/>
      <c r="F259" s="24">
        <v>4.1884503762092441E-3</v>
      </c>
      <c r="G259" s="24">
        <v>0.22614682872070749</v>
      </c>
      <c r="H259" s="23">
        <f t="shared" si="12"/>
        <v>4.1884503762092438</v>
      </c>
      <c r="I259" s="46">
        <f t="array" ref="I259">IF(SUMIF(Производство!$A$104:$A$145,Технологи!$B259,Производство!F$104:F$145)&gt;0,SUMIF(Производство!$A$104:$A$145,Технологи!$B259,Производство!F$104:F$145)*$F259+$G259,0)</f>
        <v>0</v>
      </c>
      <c r="J259" s="46">
        <f t="array" ref="J259">IF(SUMIF(Производство!$A$104:$A$145,Технологи!$B259,Производство!G$104:G$145)&gt;0,SUMIF(Производство!$A$104:$A$145,Технологи!$B259,Производство!G$104:G$145)*$F259+$G259,0)</f>
        <v>0</v>
      </c>
      <c r="K259" s="46">
        <f t="array" ref="K259">IF(SUMIF(Производство!$A$104:$A$145,Технологи!$B259,Производство!H$104:H$145)&gt;0,SUMIF(Производство!$A$104:$A$145,Технологи!$B259,Производство!H$104:H$145)*$F259+$G259,0)</f>
        <v>0</v>
      </c>
      <c r="L259" s="46">
        <f t="array" ref="L259">IF(SUMIF(Производство!$A$104:$A$145,Технологи!$B259,Производство!I$104:I$145)&gt;0,SUMIF(Производство!$A$104:$A$145,Технологи!$B259,Производство!I$104:I$145)*$F259+$G259,0)</f>
        <v>0</v>
      </c>
      <c r="M259" s="46">
        <f t="array" ref="M259">IF(SUMIF(Производство!$A$104:$A$145,Технологи!$B259,Производство!J$104:J$145)&gt;0,SUMIF(Производство!$A$104:$A$145,Технологи!$B259,Производство!J$104:J$145)*$F259+$G259,0)</f>
        <v>0</v>
      </c>
      <c r="N259" s="46">
        <f t="array" ref="N259">IF(SUMIF(Производство!$A$104:$A$145,Технологи!$B259,Производство!K$104:K$145)&gt;0,SUMIF(Производство!$A$104:$A$145,Технологи!$B259,Производство!K$104:K$145)*$F259+$G259,0)</f>
        <v>0</v>
      </c>
      <c r="O259" s="46">
        <f t="array" ref="O259">IF(SUMIF(Производство!$A$104:$A$145,Технологи!$B259,Производство!L$104:L$145)&gt;0,SUMIF(Производство!$A$104:$A$145,Технологи!$B259,Производство!L$104:L$145)*$F259+$G259,0)</f>
        <v>0</v>
      </c>
      <c r="P259" s="46">
        <f t="array" ref="P259">IF(SUMIF(Производство!$A$104:$A$145,Технологи!$B259,Производство!M$104:M$145)&gt;0,SUMIF(Производство!$A$104:$A$145,Технологи!$B259,Производство!M$104:M$145)*$F259+$G259,0)</f>
        <v>0</v>
      </c>
      <c r="Q259" s="46">
        <f t="array" ref="Q259">IF(SUMIF(Производство!$A$104:$A$145,Технологи!$B259,Производство!N$104:N$145)&gt;0,SUMIF(Производство!$A$104:$A$145,Технологи!$B259,Производство!N$104:N$145)*$F259+$G259,0)</f>
        <v>0</v>
      </c>
      <c r="R259" s="46">
        <f t="array" ref="R259">IF(SUMIF(Производство!$A$104:$A$145,Технологи!$B259,Производство!O$104:O$145)&gt;0,SUMIF(Производство!$A$104:$A$145,Технологи!$B259,Производство!O$104:O$145)*$F259+$G259,0)</f>
        <v>0</v>
      </c>
      <c r="S259" s="46">
        <f t="array" ref="S259">IF(SUMIF(Производство!$A$104:$A$145,Технологи!$B259,Производство!P$104:P$145)&gt;0,SUMIF(Производство!$A$104:$A$145,Технологи!$B259,Производство!P$104:P$145)*$F259+$G259,0)</f>
        <v>0</v>
      </c>
      <c r="T259" s="46">
        <f t="array" ref="T259">IF(SUMIF(Производство!$A$104:$A$145,Технологи!$B259,Производство!Q$104:Q$145)&gt;0,SUMIF(Производство!$A$104:$A$145,Технологи!$B259,Производство!Q$104:Q$145)*$F259+$G259,0)</f>
        <v>0</v>
      </c>
    </row>
    <row r="260" spans="1:20" x14ac:dyDescent="0.25">
      <c r="A260" s="34" t="s">
        <v>377</v>
      </c>
      <c r="B260" s="13" t="s">
        <v>46</v>
      </c>
      <c r="C260" s="19" t="s">
        <v>19</v>
      </c>
      <c r="D260" s="14">
        <v>7038</v>
      </c>
      <c r="E260" s="20"/>
      <c r="F260" s="24">
        <v>0.97004999999999997</v>
      </c>
      <c r="G260" s="24">
        <v>33.951749999999997</v>
      </c>
      <c r="H260" s="23">
        <f t="shared" si="12"/>
        <v>970.05</v>
      </c>
      <c r="I260" s="46">
        <f t="array" ref="I260">IF(SUMIF(Производство!$A$104:$A$145,Технологи!$B260,Производство!F$104:F$145)&gt;0,SUMIF(Производство!$A$104:$A$145,Технологи!$B260,Производство!F$104:F$145)*$F260+$G260,0)</f>
        <v>0</v>
      </c>
      <c r="J260" s="46">
        <f t="array" ref="J260">IF(SUMIF(Производство!$A$104:$A$145,Технологи!$B260,Производство!G$104:G$145)&gt;0,SUMIF(Производство!$A$104:$A$145,Технологи!$B260,Производство!G$104:G$145)*$F260+$G260,0)</f>
        <v>0</v>
      </c>
      <c r="K260" s="46">
        <f t="array" ref="K260">IF(SUMIF(Производство!$A$104:$A$145,Технологи!$B260,Производство!H$104:H$145)&gt;0,SUMIF(Производство!$A$104:$A$145,Технологи!$B260,Производство!H$104:H$145)*$F260+$G260,0)</f>
        <v>0</v>
      </c>
      <c r="L260" s="46">
        <f t="array" ref="L260">IF(SUMIF(Производство!$A$104:$A$145,Технологи!$B260,Производство!I$104:I$145)&gt;0,SUMIF(Производство!$A$104:$A$145,Технологи!$B260,Производство!I$104:I$145)*$F260+$G260,0)</f>
        <v>0</v>
      </c>
      <c r="M260" s="46">
        <f t="array" ref="M260">IF(SUMIF(Производство!$A$104:$A$145,Технологи!$B260,Производство!J$104:J$145)&gt;0,SUMIF(Производство!$A$104:$A$145,Технологи!$B260,Производство!J$104:J$145)*$F260+$G260,0)</f>
        <v>0</v>
      </c>
      <c r="N260" s="46">
        <f t="array" ref="N260">IF(SUMIF(Производство!$A$104:$A$145,Технологи!$B260,Производство!K$104:K$145)&gt;0,SUMIF(Производство!$A$104:$A$145,Технологи!$B260,Производство!K$104:K$145)*$F260+$G260,0)</f>
        <v>0</v>
      </c>
      <c r="O260" s="46">
        <f t="array" ref="O260">IF(SUMIF(Производство!$A$104:$A$145,Технологи!$B260,Производство!L$104:L$145)&gt;0,SUMIF(Производство!$A$104:$A$145,Технологи!$B260,Производство!L$104:L$145)*$F260+$G260,0)</f>
        <v>0</v>
      </c>
      <c r="P260" s="46">
        <f t="array" ref="P260">IF(SUMIF(Производство!$A$104:$A$145,Технологи!$B260,Производство!M$104:M$145)&gt;0,SUMIF(Производство!$A$104:$A$145,Технологи!$B260,Производство!M$104:M$145)*$F260+$G260,0)</f>
        <v>0</v>
      </c>
      <c r="Q260" s="46">
        <f t="array" ref="Q260">IF(SUMIF(Производство!$A$104:$A$145,Технологи!$B260,Производство!N$104:N$145)&gt;0,SUMIF(Производство!$A$104:$A$145,Технологи!$B260,Производство!N$104:N$145)*$F260+$G260,0)</f>
        <v>0</v>
      </c>
      <c r="R260" s="46">
        <f t="array" ref="R260">IF(SUMIF(Производство!$A$104:$A$145,Технологи!$B260,Производство!O$104:O$145)&gt;0,SUMIF(Производство!$A$104:$A$145,Технологи!$B260,Производство!O$104:O$145)*$F260+$G260,0)</f>
        <v>0</v>
      </c>
      <c r="S260" s="46">
        <f t="array" ref="S260">IF(SUMIF(Производство!$A$104:$A$145,Технологи!$B260,Производство!P$104:P$145)&gt;0,SUMIF(Производство!$A$104:$A$145,Технологи!$B260,Производство!P$104:P$145)*$F260+$G260,0)</f>
        <v>0</v>
      </c>
      <c r="T260" s="46">
        <f t="array" ref="T260">IF(SUMIF(Производство!$A$104:$A$145,Технологи!$B260,Производство!Q$104:Q$145)&gt;0,SUMIF(Производство!$A$104:$A$145,Технологи!$B260,Производство!Q$104:Q$145)*$F260+$G260,0)</f>
        <v>0</v>
      </c>
    </row>
    <row r="261" spans="1:20" x14ac:dyDescent="0.25">
      <c r="A261" s="34" t="s">
        <v>377</v>
      </c>
      <c r="B261" s="13" t="s">
        <v>46</v>
      </c>
      <c r="C261" s="19" t="s">
        <v>20</v>
      </c>
      <c r="D261" s="14">
        <v>7038</v>
      </c>
      <c r="E261" s="20"/>
      <c r="F261" s="24">
        <v>5.5199999999999999E-2</v>
      </c>
      <c r="G261" s="24">
        <v>0.82799999999999985</v>
      </c>
      <c r="H261" s="23">
        <f t="shared" si="12"/>
        <v>55.199999999999996</v>
      </c>
      <c r="I261" s="46">
        <f t="array" ref="I261">IF(SUMIF(Производство!$A$104:$A$145,Технологи!$B261,Производство!F$104:F$145)&gt;0,SUMIF(Производство!$A$104:$A$145,Технологи!$B261,Производство!F$104:F$145)*$F261+$G261,0)</f>
        <v>0</v>
      </c>
      <c r="J261" s="46">
        <f t="array" ref="J261">IF(SUMIF(Производство!$A$104:$A$145,Технологи!$B261,Производство!G$104:G$145)&gt;0,SUMIF(Производство!$A$104:$A$145,Технологи!$B261,Производство!G$104:G$145)*$F261+$G261,0)</f>
        <v>0</v>
      </c>
      <c r="K261" s="46">
        <f t="array" ref="K261">IF(SUMIF(Производство!$A$104:$A$145,Технологи!$B261,Производство!H$104:H$145)&gt;0,SUMIF(Производство!$A$104:$A$145,Технологи!$B261,Производство!H$104:H$145)*$F261+$G261,0)</f>
        <v>0</v>
      </c>
      <c r="L261" s="46">
        <f t="array" ref="L261">IF(SUMIF(Производство!$A$104:$A$145,Технологи!$B261,Производство!I$104:I$145)&gt;0,SUMIF(Производство!$A$104:$A$145,Технологи!$B261,Производство!I$104:I$145)*$F261+$G261,0)</f>
        <v>0</v>
      </c>
      <c r="M261" s="46">
        <f t="array" ref="M261">IF(SUMIF(Производство!$A$104:$A$145,Технологи!$B261,Производство!J$104:J$145)&gt;0,SUMIF(Производство!$A$104:$A$145,Технологи!$B261,Производство!J$104:J$145)*$F261+$G261,0)</f>
        <v>0</v>
      </c>
      <c r="N261" s="46">
        <f t="array" ref="N261">IF(SUMIF(Производство!$A$104:$A$145,Технологи!$B261,Производство!K$104:K$145)&gt;0,SUMIF(Производство!$A$104:$A$145,Технологи!$B261,Производство!K$104:K$145)*$F261+$G261,0)</f>
        <v>0</v>
      </c>
      <c r="O261" s="46">
        <f t="array" ref="O261">IF(SUMIF(Производство!$A$104:$A$145,Технологи!$B261,Производство!L$104:L$145)&gt;0,SUMIF(Производство!$A$104:$A$145,Технологи!$B261,Производство!L$104:L$145)*$F261+$G261,0)</f>
        <v>0</v>
      </c>
      <c r="P261" s="46">
        <f t="array" ref="P261">IF(SUMIF(Производство!$A$104:$A$145,Технологи!$B261,Производство!M$104:M$145)&gt;0,SUMIF(Производство!$A$104:$A$145,Технологи!$B261,Производство!M$104:M$145)*$F261+$G261,0)</f>
        <v>0</v>
      </c>
      <c r="Q261" s="46">
        <f t="array" ref="Q261">IF(SUMIF(Производство!$A$104:$A$145,Технологи!$B261,Производство!N$104:N$145)&gt;0,SUMIF(Производство!$A$104:$A$145,Технологи!$B261,Производство!N$104:N$145)*$F261+$G261,0)</f>
        <v>0</v>
      </c>
      <c r="R261" s="46">
        <f t="array" ref="R261">IF(SUMIF(Производство!$A$104:$A$145,Технологи!$B261,Производство!O$104:O$145)&gt;0,SUMIF(Производство!$A$104:$A$145,Технологи!$B261,Производство!O$104:O$145)*$F261+$G261,0)</f>
        <v>0</v>
      </c>
      <c r="S261" s="46">
        <f t="array" ref="S261">IF(SUMIF(Производство!$A$104:$A$145,Технологи!$B261,Производство!P$104:P$145)&gt;0,SUMIF(Производство!$A$104:$A$145,Технологи!$B261,Производство!P$104:P$145)*$F261+$G261,0)</f>
        <v>0</v>
      </c>
      <c r="T261" s="46">
        <f t="array" ref="T261">IF(SUMIF(Производство!$A$104:$A$145,Технологи!$B261,Производство!Q$104:Q$145)&gt;0,SUMIF(Производство!$A$104:$A$145,Технологи!$B261,Производство!Q$104:Q$145)*$F261+$G261,0)</f>
        <v>0</v>
      </c>
    </row>
    <row r="262" spans="1:20" x14ac:dyDescent="0.25">
      <c r="A262" s="34" t="s">
        <v>377</v>
      </c>
      <c r="B262" s="13" t="s">
        <v>46</v>
      </c>
      <c r="C262" s="19" t="s">
        <v>21</v>
      </c>
      <c r="D262" s="14">
        <v>7038</v>
      </c>
      <c r="E262" s="20"/>
      <c r="F262" s="24">
        <v>0</v>
      </c>
      <c r="G262" s="24">
        <v>0</v>
      </c>
      <c r="H262" s="23">
        <f t="shared" si="12"/>
        <v>0</v>
      </c>
      <c r="I262" s="46">
        <f t="array" ref="I262">IF(SUMIF(Производство!$A$104:$A$145,Технологи!$B262,Производство!F$104:F$145)&gt;0,SUMIF(Производство!$A$104:$A$145,Технологи!$B262,Производство!F$104:F$145)*$F262+$G262,0)</f>
        <v>0</v>
      </c>
      <c r="J262" s="46">
        <f t="array" ref="J262">IF(SUMIF(Производство!$A$104:$A$145,Технологи!$B262,Производство!G$104:G$145)&gt;0,SUMIF(Производство!$A$104:$A$145,Технологи!$B262,Производство!G$104:G$145)*$F262+$G262,0)</f>
        <v>0</v>
      </c>
      <c r="K262" s="46">
        <f t="array" ref="K262">IF(SUMIF(Производство!$A$104:$A$145,Технологи!$B262,Производство!H$104:H$145)&gt;0,SUMIF(Производство!$A$104:$A$145,Технологи!$B262,Производство!H$104:H$145)*$F262+$G262,0)</f>
        <v>0</v>
      </c>
      <c r="L262" s="46">
        <f t="array" ref="L262">IF(SUMIF(Производство!$A$104:$A$145,Технологи!$B262,Производство!I$104:I$145)&gt;0,SUMIF(Производство!$A$104:$A$145,Технологи!$B262,Производство!I$104:I$145)*$F262+$G262,0)</f>
        <v>0</v>
      </c>
      <c r="M262" s="46">
        <f t="array" ref="M262">IF(SUMIF(Производство!$A$104:$A$145,Технологи!$B262,Производство!J$104:J$145)&gt;0,SUMIF(Производство!$A$104:$A$145,Технологи!$B262,Производство!J$104:J$145)*$F262+$G262,0)</f>
        <v>0</v>
      </c>
      <c r="N262" s="46">
        <f t="array" ref="N262">IF(SUMIF(Производство!$A$104:$A$145,Технологи!$B262,Производство!K$104:K$145)&gt;0,SUMIF(Производство!$A$104:$A$145,Технологи!$B262,Производство!K$104:K$145)*$F262+$G262,0)</f>
        <v>0</v>
      </c>
      <c r="O262" s="46">
        <f t="array" ref="O262">IF(SUMIF(Производство!$A$104:$A$145,Технологи!$B262,Производство!L$104:L$145)&gt;0,SUMIF(Производство!$A$104:$A$145,Технологи!$B262,Производство!L$104:L$145)*$F262+$G262,0)</f>
        <v>0</v>
      </c>
      <c r="P262" s="46">
        <f t="array" ref="P262">IF(SUMIF(Производство!$A$104:$A$145,Технологи!$B262,Производство!M$104:M$145)&gt;0,SUMIF(Производство!$A$104:$A$145,Технологи!$B262,Производство!M$104:M$145)*$F262+$G262,0)</f>
        <v>0</v>
      </c>
      <c r="Q262" s="46">
        <f t="array" ref="Q262">IF(SUMIF(Производство!$A$104:$A$145,Технологи!$B262,Производство!N$104:N$145)&gt;0,SUMIF(Производство!$A$104:$A$145,Технологи!$B262,Производство!N$104:N$145)*$F262+$G262,0)</f>
        <v>0</v>
      </c>
      <c r="R262" s="46">
        <f t="array" ref="R262">IF(SUMIF(Производство!$A$104:$A$145,Технологи!$B262,Производство!O$104:O$145)&gt;0,SUMIF(Производство!$A$104:$A$145,Технологи!$B262,Производство!O$104:O$145)*$F262+$G262,0)</f>
        <v>0</v>
      </c>
      <c r="S262" s="46">
        <f t="array" ref="S262">IF(SUMIF(Производство!$A$104:$A$145,Технологи!$B262,Производство!P$104:P$145)&gt;0,SUMIF(Производство!$A$104:$A$145,Технологи!$B262,Производство!P$104:P$145)*$F262+$G262,0)</f>
        <v>0</v>
      </c>
      <c r="T262" s="46">
        <f t="array" ref="T262">IF(SUMIF(Производство!$A$104:$A$145,Технологи!$B262,Производство!Q$104:Q$145)&gt;0,SUMIF(Производство!$A$104:$A$145,Технологи!$B262,Производство!Q$104:Q$145)*$F262+$G262,0)</f>
        <v>0</v>
      </c>
    </row>
    <row r="263" spans="1:20" x14ac:dyDescent="0.25">
      <c r="A263" s="34" t="s">
        <v>377</v>
      </c>
      <c r="B263" s="13" t="s">
        <v>46</v>
      </c>
      <c r="C263" s="19" t="s">
        <v>22</v>
      </c>
      <c r="D263" s="14">
        <v>7038</v>
      </c>
      <c r="E263" s="20"/>
      <c r="F263" s="24">
        <v>5.7000000000000002E-2</v>
      </c>
      <c r="G263" s="24">
        <v>0.85499999999999998</v>
      </c>
      <c r="H263" s="23">
        <f t="shared" si="12"/>
        <v>57</v>
      </c>
      <c r="I263" s="46">
        <f t="array" ref="I263">IF(SUMIF(Производство!$A$104:$A$145,Технологи!$B263,Производство!F$104:F$145)&gt;0,SUMIF(Производство!$A$104:$A$145,Технологи!$B263,Производство!F$104:F$145)*$F263+$G263,0)</f>
        <v>0</v>
      </c>
      <c r="J263" s="46">
        <f t="array" ref="J263">IF(SUMIF(Производство!$A$104:$A$145,Технологи!$B263,Производство!G$104:G$145)&gt;0,SUMIF(Производство!$A$104:$A$145,Технологи!$B263,Производство!G$104:G$145)*$F263+$G263,0)</f>
        <v>0</v>
      </c>
      <c r="K263" s="46">
        <f t="array" ref="K263">IF(SUMIF(Производство!$A$104:$A$145,Технологи!$B263,Производство!H$104:H$145)&gt;0,SUMIF(Производство!$A$104:$A$145,Технологи!$B263,Производство!H$104:H$145)*$F263+$G263,0)</f>
        <v>0</v>
      </c>
      <c r="L263" s="46">
        <f t="array" ref="L263">IF(SUMIF(Производство!$A$104:$A$145,Технологи!$B263,Производство!I$104:I$145)&gt;0,SUMIF(Производство!$A$104:$A$145,Технологи!$B263,Производство!I$104:I$145)*$F263+$G263,0)</f>
        <v>0</v>
      </c>
      <c r="M263" s="46">
        <f t="array" ref="M263">IF(SUMIF(Производство!$A$104:$A$145,Технологи!$B263,Производство!J$104:J$145)&gt;0,SUMIF(Производство!$A$104:$A$145,Технологи!$B263,Производство!J$104:J$145)*$F263+$G263,0)</f>
        <v>0</v>
      </c>
      <c r="N263" s="46">
        <f t="array" ref="N263">IF(SUMIF(Производство!$A$104:$A$145,Технологи!$B263,Производство!K$104:K$145)&gt;0,SUMIF(Производство!$A$104:$A$145,Технологи!$B263,Производство!K$104:K$145)*$F263+$G263,0)</f>
        <v>0</v>
      </c>
      <c r="O263" s="46">
        <f t="array" ref="O263">IF(SUMIF(Производство!$A$104:$A$145,Технологи!$B263,Производство!L$104:L$145)&gt;0,SUMIF(Производство!$A$104:$A$145,Технологи!$B263,Производство!L$104:L$145)*$F263+$G263,0)</f>
        <v>0</v>
      </c>
      <c r="P263" s="46">
        <f t="array" ref="P263">IF(SUMIF(Производство!$A$104:$A$145,Технологи!$B263,Производство!M$104:M$145)&gt;0,SUMIF(Производство!$A$104:$A$145,Технологи!$B263,Производство!M$104:M$145)*$F263+$G263,0)</f>
        <v>0</v>
      </c>
      <c r="Q263" s="46">
        <f t="array" ref="Q263">IF(SUMIF(Производство!$A$104:$A$145,Технологи!$B263,Производство!N$104:N$145)&gt;0,SUMIF(Производство!$A$104:$A$145,Технологи!$B263,Производство!N$104:N$145)*$F263+$G263,0)</f>
        <v>0</v>
      </c>
      <c r="R263" s="46">
        <f t="array" ref="R263">IF(SUMIF(Производство!$A$104:$A$145,Технологи!$B263,Производство!O$104:O$145)&gt;0,SUMIF(Производство!$A$104:$A$145,Технологи!$B263,Производство!O$104:O$145)*$F263+$G263,0)</f>
        <v>0</v>
      </c>
      <c r="S263" s="46">
        <f t="array" ref="S263">IF(SUMIF(Производство!$A$104:$A$145,Технологи!$B263,Производство!P$104:P$145)&gt;0,SUMIF(Производство!$A$104:$A$145,Технологи!$B263,Производство!P$104:P$145)*$F263+$G263,0)</f>
        <v>0</v>
      </c>
      <c r="T263" s="46">
        <f t="array" ref="T263">IF(SUMIF(Производство!$A$104:$A$145,Технологи!$B263,Производство!Q$104:Q$145)&gt;0,SUMIF(Производство!$A$104:$A$145,Технологи!$B263,Производство!Q$104:Q$145)*$F263+$G263,0)</f>
        <v>0</v>
      </c>
    </row>
    <row r="264" spans="1:20" x14ac:dyDescent="0.25">
      <c r="A264" s="34" t="s">
        <v>377</v>
      </c>
      <c r="B264" s="13" t="s">
        <v>46</v>
      </c>
      <c r="C264" s="19" t="s">
        <v>23</v>
      </c>
      <c r="D264" s="14">
        <v>7038</v>
      </c>
      <c r="E264" s="20"/>
      <c r="F264" s="24">
        <v>0</v>
      </c>
      <c r="G264" s="24">
        <v>0</v>
      </c>
      <c r="H264" s="23">
        <f t="shared" si="12"/>
        <v>0</v>
      </c>
      <c r="I264" s="46">
        <f t="array" ref="I264">IF(SUMIF(Производство!$A$104:$A$145,Технологи!$B264,Производство!F$104:F$145)&gt;0,SUMIF(Производство!$A$104:$A$145,Технологи!$B264,Производство!F$104:F$145)*$F264+$G264,0)</f>
        <v>0</v>
      </c>
      <c r="J264" s="46">
        <f t="array" ref="J264">IF(SUMIF(Производство!$A$104:$A$145,Технологи!$B264,Производство!G$104:G$145)&gt;0,SUMIF(Производство!$A$104:$A$145,Технологи!$B264,Производство!G$104:G$145)*$F264+$G264,0)</f>
        <v>0</v>
      </c>
      <c r="K264" s="46">
        <f t="array" ref="K264">IF(SUMIF(Производство!$A$104:$A$145,Технологи!$B264,Производство!H$104:H$145)&gt;0,SUMIF(Производство!$A$104:$A$145,Технологи!$B264,Производство!H$104:H$145)*$F264+$G264,0)</f>
        <v>0</v>
      </c>
      <c r="L264" s="46">
        <f t="array" ref="L264">IF(SUMIF(Производство!$A$104:$A$145,Технологи!$B264,Производство!I$104:I$145)&gt;0,SUMIF(Производство!$A$104:$A$145,Технологи!$B264,Производство!I$104:I$145)*$F264+$G264,0)</f>
        <v>0</v>
      </c>
      <c r="M264" s="46">
        <f t="array" ref="M264">IF(SUMIF(Производство!$A$104:$A$145,Технологи!$B264,Производство!J$104:J$145)&gt;0,SUMIF(Производство!$A$104:$A$145,Технологи!$B264,Производство!J$104:J$145)*$F264+$G264,0)</f>
        <v>0</v>
      </c>
      <c r="N264" s="46">
        <f t="array" ref="N264">IF(SUMIF(Производство!$A$104:$A$145,Технологи!$B264,Производство!K$104:K$145)&gt;0,SUMIF(Производство!$A$104:$A$145,Технологи!$B264,Производство!K$104:K$145)*$F264+$G264,0)</f>
        <v>0</v>
      </c>
      <c r="O264" s="46">
        <f t="array" ref="O264">IF(SUMIF(Производство!$A$104:$A$145,Технологи!$B264,Производство!L$104:L$145)&gt;0,SUMIF(Производство!$A$104:$A$145,Технологи!$B264,Производство!L$104:L$145)*$F264+$G264,0)</f>
        <v>0</v>
      </c>
      <c r="P264" s="46">
        <f t="array" ref="P264">IF(SUMIF(Производство!$A$104:$A$145,Технологи!$B264,Производство!M$104:M$145)&gt;0,SUMIF(Производство!$A$104:$A$145,Технологи!$B264,Производство!M$104:M$145)*$F264+$G264,0)</f>
        <v>0</v>
      </c>
      <c r="Q264" s="46">
        <f t="array" ref="Q264">IF(SUMIF(Производство!$A$104:$A$145,Технологи!$B264,Производство!N$104:N$145)&gt;0,SUMIF(Производство!$A$104:$A$145,Технологи!$B264,Производство!N$104:N$145)*$F264+$G264,0)</f>
        <v>0</v>
      </c>
      <c r="R264" s="46">
        <f t="array" ref="R264">IF(SUMIF(Производство!$A$104:$A$145,Технологи!$B264,Производство!O$104:O$145)&gt;0,SUMIF(Производство!$A$104:$A$145,Технологи!$B264,Производство!O$104:O$145)*$F264+$G264,0)</f>
        <v>0</v>
      </c>
      <c r="S264" s="46">
        <f t="array" ref="S264">IF(SUMIF(Производство!$A$104:$A$145,Технологи!$B264,Производство!P$104:P$145)&gt;0,SUMIF(Производство!$A$104:$A$145,Технологи!$B264,Производство!P$104:P$145)*$F264+$G264,0)</f>
        <v>0</v>
      </c>
      <c r="T264" s="46">
        <f t="array" ref="T264">IF(SUMIF(Производство!$A$104:$A$145,Технологи!$B264,Производство!Q$104:Q$145)&gt;0,SUMIF(Производство!$A$104:$A$145,Технологи!$B264,Производство!Q$104:Q$145)*$F264+$G264,0)</f>
        <v>0</v>
      </c>
    </row>
    <row r="265" spans="1:20" x14ac:dyDescent="0.25">
      <c r="A265" s="34" t="s">
        <v>377</v>
      </c>
      <c r="B265" s="13" t="s">
        <v>47</v>
      </c>
      <c r="C265" s="15" t="s">
        <v>11</v>
      </c>
      <c r="D265" s="14">
        <v>7038</v>
      </c>
      <c r="E265" s="16">
        <v>2.0350000000000001</v>
      </c>
      <c r="F265" s="22">
        <f>SUM(F266:F277)</f>
        <v>2.038491071300609</v>
      </c>
      <c r="G265" s="22">
        <f>SUM(G266:G277)</f>
        <v>109.24149999999999</v>
      </c>
      <c r="H265" s="23">
        <f t="shared" si="12"/>
        <v>2038.4910713006091</v>
      </c>
      <c r="I265" s="46">
        <f t="array" ref="I265">IF(SUMIF(Производство!$A$104:$A$145,Технологи!$B265,Производство!F$104:F$145)&gt;0,SUMIF(Производство!$A$104:$A$145,Технологи!$B265,Производство!F$104:F$145)*$F265+$G265,0)</f>
        <v>0</v>
      </c>
      <c r="J265" s="46">
        <f t="array" ref="J265">IF(SUMIF(Производство!$A$104:$A$145,Технологи!$B265,Производство!G$104:G$145)&gt;0,SUMIF(Производство!$A$104:$A$145,Технологи!$B265,Производство!G$104:G$145)*$F265+$G265,0)</f>
        <v>0</v>
      </c>
      <c r="K265" s="46">
        <f t="array" ref="K265">IF(SUMIF(Производство!$A$104:$A$145,Технологи!$B265,Производство!H$104:H$145)&gt;0,SUMIF(Производство!$A$104:$A$145,Технологи!$B265,Производство!H$104:H$145)*$F265+$G265,0)</f>
        <v>0</v>
      </c>
      <c r="L265" s="46">
        <f t="array" ref="L265">IF(SUMIF(Производство!$A$104:$A$145,Технологи!$B265,Производство!I$104:I$145)&gt;0,SUMIF(Производство!$A$104:$A$145,Технологи!$B265,Производство!I$104:I$145)*$F265+$G265,0)</f>
        <v>0</v>
      </c>
      <c r="M265" s="46">
        <f t="array" ref="M265">IF(SUMIF(Производство!$A$104:$A$145,Технологи!$B265,Производство!J$104:J$145)&gt;0,SUMIF(Производство!$A$104:$A$145,Технологи!$B265,Производство!J$104:J$145)*$F265+$G265,0)</f>
        <v>0</v>
      </c>
      <c r="N265" s="46">
        <f t="array" ref="N265">IF(SUMIF(Производство!$A$104:$A$145,Технологи!$B265,Производство!K$104:K$145)&gt;0,SUMIF(Производство!$A$104:$A$145,Технологи!$B265,Производство!K$104:K$145)*$F265+$G265,0)</f>
        <v>0</v>
      </c>
      <c r="O265" s="46">
        <f t="array" ref="O265">IF(SUMIF(Производство!$A$104:$A$145,Технологи!$B265,Производство!L$104:L$145)&gt;0,SUMIF(Производство!$A$104:$A$145,Технологи!$B265,Производство!L$104:L$145)*$F265+$G265,0)</f>
        <v>0</v>
      </c>
      <c r="P265" s="46">
        <f t="array" ref="P265">IF(SUMIF(Производство!$A$104:$A$145,Технологи!$B265,Производство!M$104:M$145)&gt;0,SUMIF(Производство!$A$104:$A$145,Технологи!$B265,Производство!M$104:M$145)*$F265+$G265,0)</f>
        <v>0</v>
      </c>
      <c r="Q265" s="46">
        <f t="array" ref="Q265">IF(SUMIF(Производство!$A$104:$A$145,Технологи!$B265,Производство!N$104:N$145)&gt;0,SUMIF(Производство!$A$104:$A$145,Технологи!$B265,Производство!N$104:N$145)*$F265+$G265,0)</f>
        <v>0</v>
      </c>
      <c r="R265" s="46">
        <f t="array" ref="R265">IF(SUMIF(Производство!$A$104:$A$145,Технологи!$B265,Производство!O$104:O$145)&gt;0,SUMIF(Производство!$A$104:$A$145,Технологи!$B265,Производство!O$104:O$145)*$F265+$G265,0)</f>
        <v>0</v>
      </c>
      <c r="S265" s="46">
        <f t="array" ref="S265">IF(SUMIF(Производство!$A$104:$A$145,Технологи!$B265,Производство!P$104:P$145)&gt;0,SUMIF(Производство!$A$104:$A$145,Технологи!$B265,Производство!P$104:P$145)*$F265+$G265,0)</f>
        <v>0</v>
      </c>
      <c r="T265" s="46">
        <f t="array" ref="T265">IF(SUMIF(Производство!$A$104:$A$145,Технологи!$B265,Производство!Q$104:Q$145)&gt;0,SUMIF(Производство!$A$104:$A$145,Технологи!$B265,Производство!Q$104:Q$145)*$F265+$G265,0)</f>
        <v>0</v>
      </c>
    </row>
    <row r="266" spans="1:20" x14ac:dyDescent="0.25">
      <c r="A266" s="34" t="s">
        <v>377</v>
      </c>
      <c r="B266" s="13" t="s">
        <v>47</v>
      </c>
      <c r="C266" s="19" t="s">
        <v>12</v>
      </c>
      <c r="D266" s="14">
        <v>7038</v>
      </c>
      <c r="E266" s="20"/>
      <c r="F266" s="24">
        <v>0.5119217126477964</v>
      </c>
      <c r="G266" s="24">
        <v>33.757963531716115</v>
      </c>
      <c r="H266" s="23">
        <f t="shared" si="12"/>
        <v>511.92171264779643</v>
      </c>
      <c r="I266" s="46">
        <f t="array" ref="I266">IF(SUMIF(Производство!$A$104:$A$145,Технологи!$B266,Производство!F$104:F$145)&gt;0,SUMIF(Производство!$A$104:$A$145,Технологи!$B266,Производство!F$104:F$145)*$F266+$G266,0)</f>
        <v>0</v>
      </c>
      <c r="J266" s="46">
        <f t="array" ref="J266">IF(SUMIF(Производство!$A$104:$A$145,Технологи!$B266,Производство!G$104:G$145)&gt;0,SUMIF(Производство!$A$104:$A$145,Технологи!$B266,Производство!G$104:G$145)*$F266+$G266,0)</f>
        <v>0</v>
      </c>
      <c r="K266" s="46">
        <f t="array" ref="K266">IF(SUMIF(Производство!$A$104:$A$145,Технологи!$B266,Производство!H$104:H$145)&gt;0,SUMIF(Производство!$A$104:$A$145,Технологи!$B266,Производство!H$104:H$145)*$F266+$G266,0)</f>
        <v>0</v>
      </c>
      <c r="L266" s="46">
        <f t="array" ref="L266">IF(SUMIF(Производство!$A$104:$A$145,Технологи!$B266,Производство!I$104:I$145)&gt;0,SUMIF(Производство!$A$104:$A$145,Технологи!$B266,Производство!I$104:I$145)*$F266+$G266,0)</f>
        <v>0</v>
      </c>
      <c r="M266" s="46">
        <f t="array" ref="M266">IF(SUMIF(Производство!$A$104:$A$145,Технологи!$B266,Производство!J$104:J$145)&gt;0,SUMIF(Производство!$A$104:$A$145,Технологи!$B266,Производство!J$104:J$145)*$F266+$G266,0)</f>
        <v>0</v>
      </c>
      <c r="N266" s="46">
        <f t="array" ref="N266">IF(SUMIF(Производство!$A$104:$A$145,Технологи!$B266,Производство!K$104:K$145)&gt;0,SUMIF(Производство!$A$104:$A$145,Технологи!$B266,Производство!K$104:K$145)*$F266+$G266,0)</f>
        <v>0</v>
      </c>
      <c r="O266" s="46">
        <f t="array" ref="O266">IF(SUMIF(Производство!$A$104:$A$145,Технологи!$B266,Производство!L$104:L$145)&gt;0,SUMIF(Производство!$A$104:$A$145,Технологи!$B266,Производство!L$104:L$145)*$F266+$G266,0)</f>
        <v>0</v>
      </c>
      <c r="P266" s="46">
        <f t="array" ref="P266">IF(SUMIF(Производство!$A$104:$A$145,Технологи!$B266,Производство!M$104:M$145)&gt;0,SUMIF(Производство!$A$104:$A$145,Технологи!$B266,Производство!M$104:M$145)*$F266+$G266,0)</f>
        <v>0</v>
      </c>
      <c r="Q266" s="46">
        <f t="array" ref="Q266">IF(SUMIF(Производство!$A$104:$A$145,Технологи!$B266,Производство!N$104:N$145)&gt;0,SUMIF(Производство!$A$104:$A$145,Технологи!$B266,Производство!N$104:N$145)*$F266+$G266,0)</f>
        <v>0</v>
      </c>
      <c r="R266" s="46">
        <f t="array" ref="R266">IF(SUMIF(Производство!$A$104:$A$145,Технологи!$B266,Производство!O$104:O$145)&gt;0,SUMIF(Производство!$A$104:$A$145,Технологи!$B266,Производство!O$104:O$145)*$F266+$G266,0)</f>
        <v>0</v>
      </c>
      <c r="S266" s="46">
        <f t="array" ref="S266">IF(SUMIF(Производство!$A$104:$A$145,Технологи!$B266,Производство!P$104:P$145)&gt;0,SUMIF(Производство!$A$104:$A$145,Технологи!$B266,Производство!P$104:P$145)*$F266+$G266,0)</f>
        <v>0</v>
      </c>
      <c r="T266" s="46">
        <f t="array" ref="T266">IF(SUMIF(Производство!$A$104:$A$145,Технологи!$B266,Производство!Q$104:Q$145)&gt;0,SUMIF(Производство!$A$104:$A$145,Технологи!$B266,Производство!Q$104:Q$145)*$F266+$G266,0)</f>
        <v>0</v>
      </c>
    </row>
    <row r="267" spans="1:20" x14ac:dyDescent="0.25">
      <c r="A267" s="34" t="s">
        <v>377</v>
      </c>
      <c r="B267" s="13" t="s">
        <v>47</v>
      </c>
      <c r="C267" s="19" t="s">
        <v>13</v>
      </c>
      <c r="D267" s="14">
        <v>7038</v>
      </c>
      <c r="E267" s="20"/>
      <c r="F267" s="24">
        <v>0.18042305625223931</v>
      </c>
      <c r="G267" s="24">
        <v>10.663299127590793</v>
      </c>
      <c r="H267" s="23">
        <f t="shared" si="12"/>
        <v>180.42305625223932</v>
      </c>
      <c r="I267" s="46">
        <f t="array" ref="I267">IF(SUMIF(Производство!$A$104:$A$145,Технологи!$B267,Производство!F$104:F$145)&gt;0,SUMIF(Производство!$A$104:$A$145,Технологи!$B267,Производство!F$104:F$145)*$F267+$G267,0)</f>
        <v>0</v>
      </c>
      <c r="J267" s="46">
        <f t="array" ref="J267">IF(SUMIF(Производство!$A$104:$A$145,Технологи!$B267,Производство!G$104:G$145)&gt;0,SUMIF(Производство!$A$104:$A$145,Технологи!$B267,Производство!G$104:G$145)*$F267+$G267,0)</f>
        <v>0</v>
      </c>
      <c r="K267" s="46">
        <f t="array" ref="K267">IF(SUMIF(Производство!$A$104:$A$145,Технологи!$B267,Производство!H$104:H$145)&gt;0,SUMIF(Производство!$A$104:$A$145,Технологи!$B267,Производство!H$104:H$145)*$F267+$G267,0)</f>
        <v>0</v>
      </c>
      <c r="L267" s="46">
        <f t="array" ref="L267">IF(SUMIF(Производство!$A$104:$A$145,Технологи!$B267,Производство!I$104:I$145)&gt;0,SUMIF(Производство!$A$104:$A$145,Технологи!$B267,Производство!I$104:I$145)*$F267+$G267,0)</f>
        <v>0</v>
      </c>
      <c r="M267" s="46">
        <f t="array" ref="M267">IF(SUMIF(Производство!$A$104:$A$145,Технологи!$B267,Производство!J$104:J$145)&gt;0,SUMIF(Производство!$A$104:$A$145,Технологи!$B267,Производство!J$104:J$145)*$F267+$G267,0)</f>
        <v>0</v>
      </c>
      <c r="N267" s="46">
        <f t="array" ref="N267">IF(SUMIF(Производство!$A$104:$A$145,Технологи!$B267,Производство!K$104:K$145)&gt;0,SUMIF(Производство!$A$104:$A$145,Технологи!$B267,Производство!K$104:K$145)*$F267+$G267,0)</f>
        <v>0</v>
      </c>
      <c r="O267" s="46">
        <f t="array" ref="O267">IF(SUMIF(Производство!$A$104:$A$145,Технологи!$B267,Производство!L$104:L$145)&gt;0,SUMIF(Производство!$A$104:$A$145,Технологи!$B267,Производство!L$104:L$145)*$F267+$G267,0)</f>
        <v>0</v>
      </c>
      <c r="P267" s="46">
        <f t="array" ref="P267">IF(SUMIF(Производство!$A$104:$A$145,Технологи!$B267,Производство!M$104:M$145)&gt;0,SUMIF(Производство!$A$104:$A$145,Технологи!$B267,Производство!M$104:M$145)*$F267+$G267,0)</f>
        <v>0</v>
      </c>
      <c r="Q267" s="46">
        <f t="array" ref="Q267">IF(SUMIF(Производство!$A$104:$A$145,Технологи!$B267,Производство!N$104:N$145)&gt;0,SUMIF(Производство!$A$104:$A$145,Технологи!$B267,Производство!N$104:N$145)*$F267+$G267,0)</f>
        <v>0</v>
      </c>
      <c r="R267" s="46">
        <f t="array" ref="R267">IF(SUMIF(Производство!$A$104:$A$145,Технологи!$B267,Производство!O$104:O$145)&gt;0,SUMIF(Производство!$A$104:$A$145,Технологи!$B267,Производство!O$104:O$145)*$F267+$G267,0)</f>
        <v>0</v>
      </c>
      <c r="S267" s="46">
        <f t="array" ref="S267">IF(SUMIF(Производство!$A$104:$A$145,Технологи!$B267,Производство!P$104:P$145)&gt;0,SUMIF(Производство!$A$104:$A$145,Технологи!$B267,Производство!P$104:P$145)*$F267+$G267,0)</f>
        <v>0</v>
      </c>
      <c r="T267" s="46">
        <f t="array" ref="T267">IF(SUMIF(Производство!$A$104:$A$145,Технологи!$B267,Производство!Q$104:Q$145)&gt;0,SUMIF(Производство!$A$104:$A$145,Технологи!$B267,Производство!Q$104:Q$145)*$F267+$G267,0)</f>
        <v>0</v>
      </c>
    </row>
    <row r="268" spans="1:20" x14ac:dyDescent="0.25">
      <c r="A268" s="34" t="s">
        <v>377</v>
      </c>
      <c r="B268" s="13" t="s">
        <v>47</v>
      </c>
      <c r="C268" s="19" t="s">
        <v>14</v>
      </c>
      <c r="D268" s="14">
        <v>7038</v>
      </c>
      <c r="E268" s="20"/>
      <c r="F268" s="24">
        <v>1.5464833393049086E-3</v>
      </c>
      <c r="G268" s="24">
        <v>0.10127389059514834</v>
      </c>
      <c r="H268" s="23">
        <f t="shared" si="12"/>
        <v>1.5464833393049087</v>
      </c>
      <c r="I268" s="46">
        <f t="array" ref="I268">IF(SUMIF(Производство!$A$104:$A$145,Технологи!$B268,Производство!F$104:F$145)&gt;0,SUMIF(Производство!$A$104:$A$145,Технологи!$B268,Производство!F$104:F$145)*$F268+$G268,0)</f>
        <v>0</v>
      </c>
      <c r="J268" s="46">
        <f t="array" ref="J268">IF(SUMIF(Производство!$A$104:$A$145,Технологи!$B268,Производство!G$104:G$145)&gt;0,SUMIF(Производство!$A$104:$A$145,Технологи!$B268,Производство!G$104:G$145)*$F268+$G268,0)</f>
        <v>0</v>
      </c>
      <c r="K268" s="46">
        <f t="array" ref="K268">IF(SUMIF(Производство!$A$104:$A$145,Технологи!$B268,Производство!H$104:H$145)&gt;0,SUMIF(Производство!$A$104:$A$145,Технологи!$B268,Производство!H$104:H$145)*$F268+$G268,0)</f>
        <v>0</v>
      </c>
      <c r="L268" s="46">
        <f t="array" ref="L268">IF(SUMIF(Производство!$A$104:$A$145,Технологи!$B268,Производство!I$104:I$145)&gt;0,SUMIF(Производство!$A$104:$A$145,Технологи!$B268,Производство!I$104:I$145)*$F268+$G268,0)</f>
        <v>0</v>
      </c>
      <c r="M268" s="46">
        <f t="array" ref="M268">IF(SUMIF(Производство!$A$104:$A$145,Технологи!$B268,Производство!J$104:J$145)&gt;0,SUMIF(Производство!$A$104:$A$145,Технологи!$B268,Производство!J$104:J$145)*$F268+$G268,0)</f>
        <v>0</v>
      </c>
      <c r="N268" s="46">
        <f t="array" ref="N268">IF(SUMIF(Производство!$A$104:$A$145,Технологи!$B268,Производство!K$104:K$145)&gt;0,SUMIF(Производство!$A$104:$A$145,Технологи!$B268,Производство!K$104:K$145)*$F268+$G268,0)</f>
        <v>0</v>
      </c>
      <c r="O268" s="46">
        <f t="array" ref="O268">IF(SUMIF(Производство!$A$104:$A$145,Технологи!$B268,Производство!L$104:L$145)&gt;0,SUMIF(Производство!$A$104:$A$145,Технологи!$B268,Производство!L$104:L$145)*$F268+$G268,0)</f>
        <v>0</v>
      </c>
      <c r="P268" s="46">
        <f t="array" ref="P268">IF(SUMIF(Производство!$A$104:$A$145,Технологи!$B268,Производство!M$104:M$145)&gt;0,SUMIF(Производство!$A$104:$A$145,Технологи!$B268,Производство!M$104:M$145)*$F268+$G268,0)</f>
        <v>0</v>
      </c>
      <c r="Q268" s="46">
        <f t="array" ref="Q268">IF(SUMIF(Производство!$A$104:$A$145,Технологи!$B268,Производство!N$104:N$145)&gt;0,SUMIF(Производство!$A$104:$A$145,Технологи!$B268,Производство!N$104:N$145)*$F268+$G268,0)</f>
        <v>0</v>
      </c>
      <c r="R268" s="46">
        <f t="array" ref="R268">IF(SUMIF(Производство!$A$104:$A$145,Технологи!$B268,Производство!O$104:O$145)&gt;0,SUMIF(Производство!$A$104:$A$145,Технологи!$B268,Производство!O$104:O$145)*$F268+$G268,0)</f>
        <v>0</v>
      </c>
      <c r="S268" s="46">
        <f t="array" ref="S268">IF(SUMIF(Производство!$A$104:$A$145,Технологи!$B268,Производство!P$104:P$145)&gt;0,SUMIF(Производство!$A$104:$A$145,Технологи!$B268,Производство!P$104:P$145)*$F268+$G268,0)</f>
        <v>0</v>
      </c>
      <c r="T268" s="46">
        <f t="array" ref="T268">IF(SUMIF(Производство!$A$104:$A$145,Технологи!$B268,Производство!Q$104:Q$145)&gt;0,SUMIF(Производство!$A$104:$A$145,Технологи!$B268,Производство!Q$104:Q$145)*$F268+$G268,0)</f>
        <v>0</v>
      </c>
    </row>
    <row r="269" spans="1:20" x14ac:dyDescent="0.25">
      <c r="A269" s="34" t="s">
        <v>377</v>
      </c>
      <c r="B269" s="13" t="s">
        <v>47</v>
      </c>
      <c r="C269" s="19" t="s">
        <v>15</v>
      </c>
      <c r="D269" s="14">
        <v>7038</v>
      </c>
      <c r="E269" s="20"/>
      <c r="F269" s="24">
        <v>7.7324166965245429E-4</v>
      </c>
      <c r="G269" s="24">
        <v>5.0636945297574169E-2</v>
      </c>
      <c r="H269" s="23">
        <f t="shared" si="12"/>
        <v>0.77324166965245433</v>
      </c>
      <c r="I269" s="46">
        <f t="array" ref="I269">IF(SUMIF(Производство!$A$104:$A$145,Технологи!$B269,Производство!F$104:F$145)&gt;0,SUMIF(Производство!$A$104:$A$145,Технологи!$B269,Производство!F$104:F$145)*$F269+$G269,0)</f>
        <v>0</v>
      </c>
      <c r="J269" s="46">
        <f t="array" ref="J269">IF(SUMIF(Производство!$A$104:$A$145,Технологи!$B269,Производство!G$104:G$145)&gt;0,SUMIF(Производство!$A$104:$A$145,Технологи!$B269,Производство!G$104:G$145)*$F269+$G269,0)</f>
        <v>0</v>
      </c>
      <c r="K269" s="46">
        <f t="array" ref="K269">IF(SUMIF(Производство!$A$104:$A$145,Технологи!$B269,Производство!H$104:H$145)&gt;0,SUMIF(Производство!$A$104:$A$145,Технологи!$B269,Производство!H$104:H$145)*$F269+$G269,0)</f>
        <v>0</v>
      </c>
      <c r="L269" s="46">
        <f t="array" ref="L269">IF(SUMIF(Производство!$A$104:$A$145,Технологи!$B269,Производство!I$104:I$145)&gt;0,SUMIF(Производство!$A$104:$A$145,Технологи!$B269,Производство!I$104:I$145)*$F269+$G269,0)</f>
        <v>0</v>
      </c>
      <c r="M269" s="46">
        <f t="array" ref="M269">IF(SUMIF(Производство!$A$104:$A$145,Технологи!$B269,Производство!J$104:J$145)&gt;0,SUMIF(Производство!$A$104:$A$145,Технологи!$B269,Производство!J$104:J$145)*$F269+$G269,0)</f>
        <v>0</v>
      </c>
      <c r="N269" s="46">
        <f t="array" ref="N269">IF(SUMIF(Производство!$A$104:$A$145,Технологи!$B269,Производство!K$104:K$145)&gt;0,SUMIF(Производство!$A$104:$A$145,Технологи!$B269,Производство!K$104:K$145)*$F269+$G269,0)</f>
        <v>0</v>
      </c>
      <c r="O269" s="46">
        <f t="array" ref="O269">IF(SUMIF(Производство!$A$104:$A$145,Технологи!$B269,Производство!L$104:L$145)&gt;0,SUMIF(Производство!$A$104:$A$145,Технологи!$B269,Производство!L$104:L$145)*$F269+$G269,0)</f>
        <v>0</v>
      </c>
      <c r="P269" s="46">
        <f t="array" ref="P269">IF(SUMIF(Производство!$A$104:$A$145,Технологи!$B269,Производство!M$104:M$145)&gt;0,SUMIF(Производство!$A$104:$A$145,Технологи!$B269,Производство!M$104:M$145)*$F269+$G269,0)</f>
        <v>0</v>
      </c>
      <c r="Q269" s="46">
        <f t="array" ref="Q269">IF(SUMIF(Производство!$A$104:$A$145,Технологи!$B269,Производство!N$104:N$145)&gt;0,SUMIF(Производство!$A$104:$A$145,Технологи!$B269,Производство!N$104:N$145)*$F269+$G269,0)</f>
        <v>0</v>
      </c>
      <c r="R269" s="46">
        <f t="array" ref="R269">IF(SUMIF(Производство!$A$104:$A$145,Технологи!$B269,Производство!O$104:O$145)&gt;0,SUMIF(Производство!$A$104:$A$145,Технологи!$B269,Производство!O$104:O$145)*$F269+$G269,0)</f>
        <v>0</v>
      </c>
      <c r="S269" s="46">
        <f t="array" ref="S269">IF(SUMIF(Производство!$A$104:$A$145,Технологи!$B269,Производство!P$104:P$145)&gt;0,SUMIF(Производство!$A$104:$A$145,Технологи!$B269,Производство!P$104:P$145)*$F269+$G269,0)</f>
        <v>0</v>
      </c>
      <c r="T269" s="46">
        <f t="array" ref="T269">IF(SUMIF(Производство!$A$104:$A$145,Технологи!$B269,Производство!Q$104:Q$145)&gt;0,SUMIF(Производство!$A$104:$A$145,Технологи!$B269,Производство!Q$104:Q$145)*$F269+$G269,0)</f>
        <v>0</v>
      </c>
    </row>
    <row r="270" spans="1:20" x14ac:dyDescent="0.25">
      <c r="A270" s="34" t="s">
        <v>377</v>
      </c>
      <c r="B270" s="13" t="s">
        <v>47</v>
      </c>
      <c r="C270" s="19" t="s">
        <v>16</v>
      </c>
      <c r="D270" s="14">
        <v>7038</v>
      </c>
      <c r="E270" s="20"/>
      <c r="F270" s="24">
        <v>1.0258849874596918E-2</v>
      </c>
      <c r="G270" s="24">
        <v>0.67515927063432246</v>
      </c>
      <c r="H270" s="23">
        <f t="shared" si="12"/>
        <v>10.258849874596917</v>
      </c>
      <c r="I270" s="46">
        <f t="array" ref="I270">IF(SUMIF(Производство!$A$104:$A$145,Технологи!$B270,Производство!F$104:F$145)&gt;0,SUMIF(Производство!$A$104:$A$145,Технологи!$B270,Производство!F$104:F$145)*$F270+$G270,0)</f>
        <v>0</v>
      </c>
      <c r="J270" s="46">
        <f t="array" ref="J270">IF(SUMIF(Производство!$A$104:$A$145,Технологи!$B270,Производство!G$104:G$145)&gt;0,SUMIF(Производство!$A$104:$A$145,Технологи!$B270,Производство!G$104:G$145)*$F270+$G270,0)</f>
        <v>0</v>
      </c>
      <c r="K270" s="46">
        <f t="array" ref="K270">IF(SUMIF(Производство!$A$104:$A$145,Технологи!$B270,Производство!H$104:H$145)&gt;0,SUMIF(Производство!$A$104:$A$145,Технологи!$B270,Производство!H$104:H$145)*$F270+$G270,0)</f>
        <v>0</v>
      </c>
      <c r="L270" s="46">
        <f t="array" ref="L270">IF(SUMIF(Производство!$A$104:$A$145,Технологи!$B270,Производство!I$104:I$145)&gt;0,SUMIF(Производство!$A$104:$A$145,Технологи!$B270,Производство!I$104:I$145)*$F270+$G270,0)</f>
        <v>0</v>
      </c>
      <c r="M270" s="46">
        <f t="array" ref="M270">IF(SUMIF(Производство!$A$104:$A$145,Технологи!$B270,Производство!J$104:J$145)&gt;0,SUMIF(Производство!$A$104:$A$145,Технологи!$B270,Производство!J$104:J$145)*$F270+$G270,0)</f>
        <v>0</v>
      </c>
      <c r="N270" s="46">
        <f t="array" ref="N270">IF(SUMIF(Производство!$A$104:$A$145,Технологи!$B270,Производство!K$104:K$145)&gt;0,SUMIF(Производство!$A$104:$A$145,Технологи!$B270,Производство!K$104:K$145)*$F270+$G270,0)</f>
        <v>0</v>
      </c>
      <c r="O270" s="46">
        <f t="array" ref="O270">IF(SUMIF(Производство!$A$104:$A$145,Технологи!$B270,Производство!L$104:L$145)&gt;0,SUMIF(Производство!$A$104:$A$145,Технологи!$B270,Производство!L$104:L$145)*$F270+$G270,0)</f>
        <v>0</v>
      </c>
      <c r="P270" s="46">
        <f t="array" ref="P270">IF(SUMIF(Производство!$A$104:$A$145,Технологи!$B270,Производство!M$104:M$145)&gt;0,SUMIF(Производство!$A$104:$A$145,Технологи!$B270,Производство!M$104:M$145)*$F270+$G270,0)</f>
        <v>0</v>
      </c>
      <c r="Q270" s="46">
        <f t="array" ref="Q270">IF(SUMIF(Производство!$A$104:$A$145,Технологи!$B270,Производство!N$104:N$145)&gt;0,SUMIF(Производство!$A$104:$A$145,Технологи!$B270,Производство!N$104:N$145)*$F270+$G270,0)</f>
        <v>0</v>
      </c>
      <c r="R270" s="46">
        <f t="array" ref="R270">IF(SUMIF(Производство!$A$104:$A$145,Технологи!$B270,Производство!O$104:O$145)&gt;0,SUMIF(Производство!$A$104:$A$145,Технологи!$B270,Производство!O$104:O$145)*$F270+$G270,0)</f>
        <v>0</v>
      </c>
      <c r="S270" s="46">
        <f t="array" ref="S270">IF(SUMIF(Производство!$A$104:$A$145,Технологи!$B270,Производство!P$104:P$145)&gt;0,SUMIF(Производство!$A$104:$A$145,Технологи!$B270,Производство!P$104:P$145)*$F270+$G270,0)</f>
        <v>0</v>
      </c>
      <c r="T270" s="46">
        <f t="array" ref="T270">IF(SUMIF(Производство!$A$104:$A$145,Технологи!$B270,Производство!Q$104:Q$145)&gt;0,SUMIF(Производство!$A$104:$A$145,Технологи!$B270,Производство!Q$104:Q$145)*$F270+$G270,0)</f>
        <v>0</v>
      </c>
    </row>
    <row r="271" spans="1:20" x14ac:dyDescent="0.25">
      <c r="A271" s="34" t="s">
        <v>377</v>
      </c>
      <c r="B271" s="13" t="s">
        <v>47</v>
      </c>
      <c r="C271" s="19" t="s">
        <v>17</v>
      </c>
      <c r="D271" s="14">
        <v>7038</v>
      </c>
      <c r="E271" s="20"/>
      <c r="F271" s="24">
        <v>5.6985103905410252E-3</v>
      </c>
      <c r="G271" s="24">
        <v>0.37133759884887735</v>
      </c>
      <c r="H271" s="23">
        <f t="shared" si="12"/>
        <v>5.698510390541025</v>
      </c>
      <c r="I271" s="46">
        <f t="array" ref="I271">IF(SUMIF(Производство!$A$104:$A$145,Технологи!$B271,Производство!F$104:F$145)&gt;0,SUMIF(Производство!$A$104:$A$145,Технологи!$B271,Производство!F$104:F$145)*$F271+$G271,0)</f>
        <v>0</v>
      </c>
      <c r="J271" s="46">
        <f t="array" ref="J271">IF(SUMIF(Производство!$A$104:$A$145,Технологи!$B271,Производство!G$104:G$145)&gt;0,SUMIF(Производство!$A$104:$A$145,Технологи!$B271,Производство!G$104:G$145)*$F271+$G271,0)</f>
        <v>0</v>
      </c>
      <c r="K271" s="46">
        <f t="array" ref="K271">IF(SUMIF(Производство!$A$104:$A$145,Технологи!$B271,Производство!H$104:H$145)&gt;0,SUMIF(Производство!$A$104:$A$145,Технологи!$B271,Производство!H$104:H$145)*$F271+$G271,0)</f>
        <v>0</v>
      </c>
      <c r="L271" s="46">
        <f t="array" ref="L271">IF(SUMIF(Производство!$A$104:$A$145,Технологи!$B271,Производство!I$104:I$145)&gt;0,SUMIF(Производство!$A$104:$A$145,Технологи!$B271,Производство!I$104:I$145)*$F271+$G271,0)</f>
        <v>0</v>
      </c>
      <c r="M271" s="46">
        <f t="array" ref="M271">IF(SUMIF(Производство!$A$104:$A$145,Технологи!$B271,Производство!J$104:J$145)&gt;0,SUMIF(Производство!$A$104:$A$145,Технологи!$B271,Производство!J$104:J$145)*$F271+$G271,0)</f>
        <v>0</v>
      </c>
      <c r="N271" s="46">
        <f t="array" ref="N271">IF(SUMIF(Производство!$A$104:$A$145,Технологи!$B271,Производство!K$104:K$145)&gt;0,SUMIF(Производство!$A$104:$A$145,Технологи!$B271,Производство!K$104:K$145)*$F271+$G271,0)</f>
        <v>0</v>
      </c>
      <c r="O271" s="46">
        <f t="array" ref="O271">IF(SUMIF(Производство!$A$104:$A$145,Технологи!$B271,Производство!L$104:L$145)&gt;0,SUMIF(Производство!$A$104:$A$145,Технологи!$B271,Производство!L$104:L$145)*$F271+$G271,0)</f>
        <v>0</v>
      </c>
      <c r="P271" s="46">
        <f t="array" ref="P271">IF(SUMIF(Производство!$A$104:$A$145,Технологи!$B271,Производство!M$104:M$145)&gt;0,SUMIF(Производство!$A$104:$A$145,Технологи!$B271,Производство!M$104:M$145)*$F271+$G271,0)</f>
        <v>0</v>
      </c>
      <c r="Q271" s="46">
        <f t="array" ref="Q271">IF(SUMIF(Производство!$A$104:$A$145,Технологи!$B271,Производство!N$104:N$145)&gt;0,SUMIF(Производство!$A$104:$A$145,Технологи!$B271,Производство!N$104:N$145)*$F271+$G271,0)</f>
        <v>0</v>
      </c>
      <c r="R271" s="46">
        <f t="array" ref="R271">IF(SUMIF(Производство!$A$104:$A$145,Технологи!$B271,Производство!O$104:O$145)&gt;0,SUMIF(Производство!$A$104:$A$145,Технологи!$B271,Производство!O$104:O$145)*$F271+$G271,0)</f>
        <v>0</v>
      </c>
      <c r="S271" s="46">
        <f t="array" ref="S271">IF(SUMIF(Производство!$A$104:$A$145,Технологи!$B271,Производство!P$104:P$145)&gt;0,SUMIF(Производство!$A$104:$A$145,Технологи!$B271,Производство!P$104:P$145)*$F271+$G271,0)</f>
        <v>0</v>
      </c>
      <c r="T271" s="46">
        <f t="array" ref="T271">IF(SUMIF(Производство!$A$104:$A$145,Технологи!$B271,Производство!Q$104:Q$145)&gt;0,SUMIF(Производство!$A$104:$A$145,Технологи!$B271,Производство!Q$104:Q$145)*$F271+$G271,0)</f>
        <v>0</v>
      </c>
    </row>
    <row r="272" spans="1:20" x14ac:dyDescent="0.25">
      <c r="A272" s="34" t="s">
        <v>377</v>
      </c>
      <c r="B272" s="13" t="s">
        <v>47</v>
      </c>
      <c r="C272" s="19" t="s">
        <v>18</v>
      </c>
      <c r="D272" s="14">
        <v>7038</v>
      </c>
      <c r="E272" s="20"/>
      <c r="F272" s="24">
        <v>5.1192171264779649E-3</v>
      </c>
      <c r="G272" s="24">
        <v>0.33757963531716123</v>
      </c>
      <c r="H272" s="23">
        <f t="shared" si="12"/>
        <v>5.1192171264779649</v>
      </c>
      <c r="I272" s="46">
        <f t="array" ref="I272">IF(SUMIF(Производство!$A$104:$A$145,Технологи!$B272,Производство!F$104:F$145)&gt;0,SUMIF(Производство!$A$104:$A$145,Технологи!$B272,Производство!F$104:F$145)*$F272+$G272,0)</f>
        <v>0</v>
      </c>
      <c r="J272" s="46">
        <f t="array" ref="J272">IF(SUMIF(Производство!$A$104:$A$145,Технологи!$B272,Производство!G$104:G$145)&gt;0,SUMIF(Производство!$A$104:$A$145,Технологи!$B272,Производство!G$104:G$145)*$F272+$G272,0)</f>
        <v>0</v>
      </c>
      <c r="K272" s="46">
        <f t="array" ref="K272">IF(SUMIF(Производство!$A$104:$A$145,Технологи!$B272,Производство!H$104:H$145)&gt;0,SUMIF(Производство!$A$104:$A$145,Технологи!$B272,Производство!H$104:H$145)*$F272+$G272,0)</f>
        <v>0</v>
      </c>
      <c r="L272" s="46">
        <f t="array" ref="L272">IF(SUMIF(Производство!$A$104:$A$145,Технологи!$B272,Производство!I$104:I$145)&gt;0,SUMIF(Производство!$A$104:$A$145,Технологи!$B272,Производство!I$104:I$145)*$F272+$G272,0)</f>
        <v>0</v>
      </c>
      <c r="M272" s="46">
        <f t="array" ref="M272">IF(SUMIF(Производство!$A$104:$A$145,Технологи!$B272,Производство!J$104:J$145)&gt;0,SUMIF(Производство!$A$104:$A$145,Технологи!$B272,Производство!J$104:J$145)*$F272+$G272,0)</f>
        <v>0</v>
      </c>
      <c r="N272" s="46">
        <f t="array" ref="N272">IF(SUMIF(Производство!$A$104:$A$145,Технологи!$B272,Производство!K$104:K$145)&gt;0,SUMIF(Производство!$A$104:$A$145,Технологи!$B272,Производство!K$104:K$145)*$F272+$G272,0)</f>
        <v>0</v>
      </c>
      <c r="O272" s="46">
        <f t="array" ref="O272">IF(SUMIF(Производство!$A$104:$A$145,Технологи!$B272,Производство!L$104:L$145)&gt;0,SUMIF(Производство!$A$104:$A$145,Технологи!$B272,Производство!L$104:L$145)*$F272+$G272,0)</f>
        <v>0</v>
      </c>
      <c r="P272" s="46">
        <f t="array" ref="P272">IF(SUMIF(Производство!$A$104:$A$145,Технологи!$B272,Производство!M$104:M$145)&gt;0,SUMIF(Производство!$A$104:$A$145,Технологи!$B272,Производство!M$104:M$145)*$F272+$G272,0)</f>
        <v>0</v>
      </c>
      <c r="Q272" s="46">
        <f t="array" ref="Q272">IF(SUMIF(Производство!$A$104:$A$145,Технологи!$B272,Производство!N$104:N$145)&gt;0,SUMIF(Производство!$A$104:$A$145,Технологи!$B272,Производство!N$104:N$145)*$F272+$G272,0)</f>
        <v>0</v>
      </c>
      <c r="R272" s="46">
        <f t="array" ref="R272">IF(SUMIF(Производство!$A$104:$A$145,Технологи!$B272,Производство!O$104:O$145)&gt;0,SUMIF(Производство!$A$104:$A$145,Технологи!$B272,Производство!O$104:O$145)*$F272+$G272,0)</f>
        <v>0</v>
      </c>
      <c r="S272" s="46">
        <f t="array" ref="S272">IF(SUMIF(Производство!$A$104:$A$145,Технологи!$B272,Производство!P$104:P$145)&gt;0,SUMIF(Производство!$A$104:$A$145,Технологи!$B272,Производство!P$104:P$145)*$F272+$G272,0)</f>
        <v>0</v>
      </c>
      <c r="T272" s="46">
        <f t="array" ref="T272">IF(SUMIF(Производство!$A$104:$A$145,Технологи!$B272,Производство!Q$104:Q$145)&gt;0,SUMIF(Производство!$A$104:$A$145,Технологи!$B272,Производство!Q$104:Q$145)*$F272+$G272,0)</f>
        <v>0</v>
      </c>
    </row>
    <row r="273" spans="1:20" x14ac:dyDescent="0.25">
      <c r="A273" s="34" t="s">
        <v>377</v>
      </c>
      <c r="B273" s="13" t="s">
        <v>47</v>
      </c>
      <c r="C273" s="19" t="s">
        <v>19</v>
      </c>
      <c r="D273" s="14">
        <v>7038</v>
      </c>
      <c r="E273" s="20"/>
      <c r="F273" s="24">
        <v>1.1835500000000001</v>
      </c>
      <c r="G273" s="24">
        <v>60.361050000000013</v>
      </c>
      <c r="H273" s="23">
        <f t="shared" si="12"/>
        <v>1183.5500000000002</v>
      </c>
      <c r="I273" s="46">
        <f t="array" ref="I273">IF(SUMIF(Производство!$A$104:$A$145,Технологи!$B273,Производство!F$104:F$145)&gt;0,SUMIF(Производство!$A$104:$A$145,Технологи!$B273,Производство!F$104:F$145)*$F273+$G273,0)</f>
        <v>0</v>
      </c>
      <c r="J273" s="46">
        <f t="array" ref="J273">IF(SUMIF(Производство!$A$104:$A$145,Технологи!$B273,Производство!G$104:G$145)&gt;0,SUMIF(Производство!$A$104:$A$145,Технологи!$B273,Производство!G$104:G$145)*$F273+$G273,0)</f>
        <v>0</v>
      </c>
      <c r="K273" s="46">
        <f t="array" ref="K273">IF(SUMIF(Производство!$A$104:$A$145,Технологи!$B273,Производство!H$104:H$145)&gt;0,SUMIF(Производство!$A$104:$A$145,Технологи!$B273,Производство!H$104:H$145)*$F273+$G273,0)</f>
        <v>0</v>
      </c>
      <c r="L273" s="46">
        <f t="array" ref="L273">IF(SUMIF(Производство!$A$104:$A$145,Технологи!$B273,Производство!I$104:I$145)&gt;0,SUMIF(Производство!$A$104:$A$145,Технологи!$B273,Производство!I$104:I$145)*$F273+$G273,0)</f>
        <v>0</v>
      </c>
      <c r="M273" s="46">
        <f t="array" ref="M273">IF(SUMIF(Производство!$A$104:$A$145,Технологи!$B273,Производство!J$104:J$145)&gt;0,SUMIF(Производство!$A$104:$A$145,Технологи!$B273,Производство!J$104:J$145)*$F273+$G273,0)</f>
        <v>0</v>
      </c>
      <c r="N273" s="46">
        <f t="array" ref="N273">IF(SUMIF(Производство!$A$104:$A$145,Технологи!$B273,Производство!K$104:K$145)&gt;0,SUMIF(Производство!$A$104:$A$145,Технологи!$B273,Производство!K$104:K$145)*$F273+$G273,0)</f>
        <v>0</v>
      </c>
      <c r="O273" s="46">
        <f t="array" ref="O273">IF(SUMIF(Производство!$A$104:$A$145,Технологи!$B273,Производство!L$104:L$145)&gt;0,SUMIF(Производство!$A$104:$A$145,Технологи!$B273,Производство!L$104:L$145)*$F273+$G273,0)</f>
        <v>0</v>
      </c>
      <c r="P273" s="46">
        <f t="array" ref="P273">IF(SUMIF(Производство!$A$104:$A$145,Технологи!$B273,Производство!M$104:M$145)&gt;0,SUMIF(Производство!$A$104:$A$145,Технологи!$B273,Производство!M$104:M$145)*$F273+$G273,0)</f>
        <v>0</v>
      </c>
      <c r="Q273" s="46">
        <f t="array" ref="Q273">IF(SUMIF(Производство!$A$104:$A$145,Технологи!$B273,Производство!N$104:N$145)&gt;0,SUMIF(Производство!$A$104:$A$145,Технологи!$B273,Производство!N$104:N$145)*$F273+$G273,0)</f>
        <v>0</v>
      </c>
      <c r="R273" s="46">
        <f t="array" ref="R273">IF(SUMIF(Производство!$A$104:$A$145,Технологи!$B273,Производство!O$104:O$145)&gt;0,SUMIF(Производство!$A$104:$A$145,Технологи!$B273,Производство!O$104:O$145)*$F273+$G273,0)</f>
        <v>0</v>
      </c>
      <c r="S273" s="46">
        <f t="array" ref="S273">IF(SUMIF(Производство!$A$104:$A$145,Технологи!$B273,Производство!P$104:P$145)&gt;0,SUMIF(Производство!$A$104:$A$145,Технологи!$B273,Производство!P$104:P$145)*$F273+$G273,0)</f>
        <v>0</v>
      </c>
      <c r="T273" s="46">
        <f t="array" ref="T273">IF(SUMIF(Производство!$A$104:$A$145,Технологи!$B273,Производство!Q$104:Q$145)&gt;0,SUMIF(Производство!$A$104:$A$145,Технологи!$B273,Производство!Q$104:Q$145)*$F273+$G273,0)</f>
        <v>0</v>
      </c>
    </row>
    <row r="274" spans="1:20" x14ac:dyDescent="0.25">
      <c r="A274" s="34" t="s">
        <v>377</v>
      </c>
      <c r="B274" s="13" t="s">
        <v>47</v>
      </c>
      <c r="C274" s="19" t="s">
        <v>20</v>
      </c>
      <c r="D274" s="14">
        <v>7038</v>
      </c>
      <c r="E274" s="20"/>
      <c r="F274" s="24">
        <v>6.720000000000001E-2</v>
      </c>
      <c r="G274" s="24">
        <v>1.4112</v>
      </c>
      <c r="H274" s="23">
        <f t="shared" si="12"/>
        <v>67.2</v>
      </c>
      <c r="I274" s="46">
        <f t="array" ref="I274">IF(SUMIF(Производство!$A$104:$A$145,Технологи!$B274,Производство!F$104:F$145)&gt;0,SUMIF(Производство!$A$104:$A$145,Технологи!$B274,Производство!F$104:F$145)*$F274+$G274,0)</f>
        <v>0</v>
      </c>
      <c r="J274" s="46">
        <f t="array" ref="J274">IF(SUMIF(Производство!$A$104:$A$145,Технологи!$B274,Производство!G$104:G$145)&gt;0,SUMIF(Производство!$A$104:$A$145,Технологи!$B274,Производство!G$104:G$145)*$F274+$G274,0)</f>
        <v>0</v>
      </c>
      <c r="K274" s="46">
        <f t="array" ref="K274">IF(SUMIF(Производство!$A$104:$A$145,Технологи!$B274,Производство!H$104:H$145)&gt;0,SUMIF(Производство!$A$104:$A$145,Технологи!$B274,Производство!H$104:H$145)*$F274+$G274,0)</f>
        <v>0</v>
      </c>
      <c r="L274" s="46">
        <f t="array" ref="L274">IF(SUMIF(Производство!$A$104:$A$145,Технологи!$B274,Производство!I$104:I$145)&gt;0,SUMIF(Производство!$A$104:$A$145,Технологи!$B274,Производство!I$104:I$145)*$F274+$G274,0)</f>
        <v>0</v>
      </c>
      <c r="M274" s="46">
        <f t="array" ref="M274">IF(SUMIF(Производство!$A$104:$A$145,Технологи!$B274,Производство!J$104:J$145)&gt;0,SUMIF(Производство!$A$104:$A$145,Технологи!$B274,Производство!J$104:J$145)*$F274+$G274,0)</f>
        <v>0</v>
      </c>
      <c r="N274" s="46">
        <f t="array" ref="N274">IF(SUMIF(Производство!$A$104:$A$145,Технологи!$B274,Производство!K$104:K$145)&gt;0,SUMIF(Производство!$A$104:$A$145,Технологи!$B274,Производство!K$104:K$145)*$F274+$G274,0)</f>
        <v>0</v>
      </c>
      <c r="O274" s="46">
        <f t="array" ref="O274">IF(SUMIF(Производство!$A$104:$A$145,Технологи!$B274,Производство!L$104:L$145)&gt;0,SUMIF(Производство!$A$104:$A$145,Технологи!$B274,Производство!L$104:L$145)*$F274+$G274,0)</f>
        <v>0</v>
      </c>
      <c r="P274" s="46">
        <f t="array" ref="P274">IF(SUMIF(Производство!$A$104:$A$145,Технологи!$B274,Производство!M$104:M$145)&gt;0,SUMIF(Производство!$A$104:$A$145,Технологи!$B274,Производство!M$104:M$145)*$F274+$G274,0)</f>
        <v>0</v>
      </c>
      <c r="Q274" s="46">
        <f t="array" ref="Q274">IF(SUMIF(Производство!$A$104:$A$145,Технологи!$B274,Производство!N$104:N$145)&gt;0,SUMIF(Производство!$A$104:$A$145,Технологи!$B274,Производство!N$104:N$145)*$F274+$G274,0)</f>
        <v>0</v>
      </c>
      <c r="R274" s="46">
        <f t="array" ref="R274">IF(SUMIF(Производство!$A$104:$A$145,Технологи!$B274,Производство!O$104:O$145)&gt;0,SUMIF(Производство!$A$104:$A$145,Технологи!$B274,Производство!O$104:O$145)*$F274+$G274,0)</f>
        <v>0</v>
      </c>
      <c r="S274" s="46">
        <f t="array" ref="S274">IF(SUMIF(Производство!$A$104:$A$145,Технологи!$B274,Производство!P$104:P$145)&gt;0,SUMIF(Производство!$A$104:$A$145,Технологи!$B274,Производство!P$104:P$145)*$F274+$G274,0)</f>
        <v>0</v>
      </c>
      <c r="T274" s="46">
        <f t="array" ref="T274">IF(SUMIF(Производство!$A$104:$A$145,Технологи!$B274,Производство!Q$104:Q$145)&gt;0,SUMIF(Производство!$A$104:$A$145,Технологи!$B274,Производство!Q$104:Q$145)*$F274+$G274,0)</f>
        <v>0</v>
      </c>
    </row>
    <row r="275" spans="1:20" x14ac:dyDescent="0.25">
      <c r="A275" s="34" t="s">
        <v>377</v>
      </c>
      <c r="B275" s="13" t="s">
        <v>47</v>
      </c>
      <c r="C275" s="19" t="s">
        <v>21</v>
      </c>
      <c r="D275" s="14">
        <v>7038</v>
      </c>
      <c r="E275" s="20"/>
      <c r="F275" s="24">
        <v>0</v>
      </c>
      <c r="G275" s="24">
        <v>0</v>
      </c>
      <c r="H275" s="23">
        <f t="shared" si="12"/>
        <v>0</v>
      </c>
      <c r="I275" s="46">
        <f t="array" ref="I275">IF(SUMIF(Производство!$A$104:$A$145,Технологи!$B275,Производство!F$104:F$145)&gt;0,SUMIF(Производство!$A$104:$A$145,Технологи!$B275,Производство!F$104:F$145)*$F275+$G275,0)</f>
        <v>0</v>
      </c>
      <c r="J275" s="46">
        <f t="array" ref="J275">IF(SUMIF(Производство!$A$104:$A$145,Технологи!$B275,Производство!G$104:G$145)&gt;0,SUMIF(Производство!$A$104:$A$145,Технологи!$B275,Производство!G$104:G$145)*$F275+$G275,0)</f>
        <v>0</v>
      </c>
      <c r="K275" s="46">
        <f t="array" ref="K275">IF(SUMIF(Производство!$A$104:$A$145,Технологи!$B275,Производство!H$104:H$145)&gt;0,SUMIF(Производство!$A$104:$A$145,Технологи!$B275,Производство!H$104:H$145)*$F275+$G275,0)</f>
        <v>0</v>
      </c>
      <c r="L275" s="46">
        <f t="array" ref="L275">IF(SUMIF(Производство!$A$104:$A$145,Технологи!$B275,Производство!I$104:I$145)&gt;0,SUMIF(Производство!$A$104:$A$145,Технологи!$B275,Производство!I$104:I$145)*$F275+$G275,0)</f>
        <v>0</v>
      </c>
      <c r="M275" s="46">
        <f t="array" ref="M275">IF(SUMIF(Производство!$A$104:$A$145,Технологи!$B275,Производство!J$104:J$145)&gt;0,SUMIF(Производство!$A$104:$A$145,Технологи!$B275,Производство!J$104:J$145)*$F275+$G275,0)</f>
        <v>0</v>
      </c>
      <c r="N275" s="46">
        <f t="array" ref="N275">IF(SUMIF(Производство!$A$104:$A$145,Технологи!$B275,Производство!K$104:K$145)&gt;0,SUMIF(Производство!$A$104:$A$145,Технологи!$B275,Производство!K$104:K$145)*$F275+$G275,0)</f>
        <v>0</v>
      </c>
      <c r="O275" s="46">
        <f t="array" ref="O275">IF(SUMIF(Производство!$A$104:$A$145,Технологи!$B275,Производство!L$104:L$145)&gt;0,SUMIF(Производство!$A$104:$A$145,Технологи!$B275,Производство!L$104:L$145)*$F275+$G275,0)</f>
        <v>0</v>
      </c>
      <c r="P275" s="46">
        <f t="array" ref="P275">IF(SUMIF(Производство!$A$104:$A$145,Технологи!$B275,Производство!M$104:M$145)&gt;0,SUMIF(Производство!$A$104:$A$145,Технологи!$B275,Производство!M$104:M$145)*$F275+$G275,0)</f>
        <v>0</v>
      </c>
      <c r="Q275" s="46">
        <f t="array" ref="Q275">IF(SUMIF(Производство!$A$104:$A$145,Технологи!$B275,Производство!N$104:N$145)&gt;0,SUMIF(Производство!$A$104:$A$145,Технологи!$B275,Производство!N$104:N$145)*$F275+$G275,0)</f>
        <v>0</v>
      </c>
      <c r="R275" s="46">
        <f t="array" ref="R275">IF(SUMIF(Производство!$A$104:$A$145,Технологи!$B275,Производство!O$104:O$145)&gt;0,SUMIF(Производство!$A$104:$A$145,Технологи!$B275,Производство!O$104:O$145)*$F275+$G275,0)</f>
        <v>0</v>
      </c>
      <c r="S275" s="46">
        <f t="array" ref="S275">IF(SUMIF(Производство!$A$104:$A$145,Технологи!$B275,Производство!P$104:P$145)&gt;0,SUMIF(Производство!$A$104:$A$145,Технологи!$B275,Производство!P$104:P$145)*$F275+$G275,0)</f>
        <v>0</v>
      </c>
      <c r="T275" s="46">
        <f t="array" ref="T275">IF(SUMIF(Производство!$A$104:$A$145,Технологи!$B275,Производство!Q$104:Q$145)&gt;0,SUMIF(Производство!$A$104:$A$145,Технологи!$B275,Производство!Q$104:Q$145)*$F275+$G275,0)</f>
        <v>0</v>
      </c>
    </row>
    <row r="276" spans="1:20" x14ac:dyDescent="0.25">
      <c r="A276" s="34" t="s">
        <v>377</v>
      </c>
      <c r="B276" s="13" t="s">
        <v>47</v>
      </c>
      <c r="C276" s="19" t="s">
        <v>22</v>
      </c>
      <c r="D276" s="14">
        <v>7038</v>
      </c>
      <c r="E276" s="20"/>
      <c r="F276" s="24">
        <v>7.1999999999999995E-2</v>
      </c>
      <c r="G276" s="24">
        <v>1.512</v>
      </c>
      <c r="H276" s="23">
        <f t="shared" si="12"/>
        <v>72</v>
      </c>
      <c r="I276" s="46">
        <f t="array" ref="I276">IF(SUMIF(Производство!$A$104:$A$145,Технологи!$B276,Производство!F$104:F$145)&gt;0,SUMIF(Производство!$A$104:$A$145,Технологи!$B276,Производство!F$104:F$145)*$F276+$G276,0)</f>
        <v>0</v>
      </c>
      <c r="J276" s="46">
        <f t="array" ref="J276">IF(SUMIF(Производство!$A$104:$A$145,Технологи!$B276,Производство!G$104:G$145)&gt;0,SUMIF(Производство!$A$104:$A$145,Технологи!$B276,Производство!G$104:G$145)*$F276+$G276,0)</f>
        <v>0</v>
      </c>
      <c r="K276" s="46">
        <f t="array" ref="K276">IF(SUMIF(Производство!$A$104:$A$145,Технологи!$B276,Производство!H$104:H$145)&gt;0,SUMIF(Производство!$A$104:$A$145,Технологи!$B276,Производство!H$104:H$145)*$F276+$G276,0)</f>
        <v>0</v>
      </c>
      <c r="L276" s="46">
        <f t="array" ref="L276">IF(SUMIF(Производство!$A$104:$A$145,Технологи!$B276,Производство!I$104:I$145)&gt;0,SUMIF(Производство!$A$104:$A$145,Технологи!$B276,Производство!I$104:I$145)*$F276+$G276,0)</f>
        <v>0</v>
      </c>
      <c r="M276" s="46">
        <f t="array" ref="M276">IF(SUMIF(Производство!$A$104:$A$145,Технологи!$B276,Производство!J$104:J$145)&gt;0,SUMIF(Производство!$A$104:$A$145,Технологи!$B276,Производство!J$104:J$145)*$F276+$G276,0)</f>
        <v>0</v>
      </c>
      <c r="N276" s="46">
        <f t="array" ref="N276">IF(SUMIF(Производство!$A$104:$A$145,Технологи!$B276,Производство!K$104:K$145)&gt;0,SUMIF(Производство!$A$104:$A$145,Технологи!$B276,Производство!K$104:K$145)*$F276+$G276,0)</f>
        <v>0</v>
      </c>
      <c r="O276" s="46">
        <f t="array" ref="O276">IF(SUMIF(Производство!$A$104:$A$145,Технологи!$B276,Производство!L$104:L$145)&gt;0,SUMIF(Производство!$A$104:$A$145,Технологи!$B276,Производство!L$104:L$145)*$F276+$G276,0)</f>
        <v>0</v>
      </c>
      <c r="P276" s="46">
        <f t="array" ref="P276">IF(SUMIF(Производство!$A$104:$A$145,Технологи!$B276,Производство!M$104:M$145)&gt;0,SUMIF(Производство!$A$104:$A$145,Технологи!$B276,Производство!M$104:M$145)*$F276+$G276,0)</f>
        <v>0</v>
      </c>
      <c r="Q276" s="46">
        <f t="array" ref="Q276">IF(SUMIF(Производство!$A$104:$A$145,Технологи!$B276,Производство!N$104:N$145)&gt;0,SUMIF(Производство!$A$104:$A$145,Технологи!$B276,Производство!N$104:N$145)*$F276+$G276,0)</f>
        <v>0</v>
      </c>
      <c r="R276" s="46">
        <f t="array" ref="R276">IF(SUMIF(Производство!$A$104:$A$145,Технологи!$B276,Производство!O$104:O$145)&gt;0,SUMIF(Производство!$A$104:$A$145,Технологи!$B276,Производство!O$104:O$145)*$F276+$G276,0)</f>
        <v>0</v>
      </c>
      <c r="S276" s="46">
        <f t="array" ref="S276">IF(SUMIF(Производство!$A$104:$A$145,Технологи!$B276,Производство!P$104:P$145)&gt;0,SUMIF(Производство!$A$104:$A$145,Технологи!$B276,Производство!P$104:P$145)*$F276+$G276,0)</f>
        <v>0</v>
      </c>
      <c r="T276" s="46">
        <f t="array" ref="T276">IF(SUMIF(Производство!$A$104:$A$145,Технологи!$B276,Производство!Q$104:Q$145)&gt;0,SUMIF(Производство!$A$104:$A$145,Технологи!$B276,Производство!Q$104:Q$145)*$F276+$G276,0)</f>
        <v>0</v>
      </c>
    </row>
    <row r="277" spans="1:20" x14ac:dyDescent="0.25">
      <c r="A277" s="34" t="s">
        <v>377</v>
      </c>
      <c r="B277" s="13" t="s">
        <v>47</v>
      </c>
      <c r="C277" s="19" t="s">
        <v>23</v>
      </c>
      <c r="D277" s="14">
        <v>7038</v>
      </c>
      <c r="E277" s="20"/>
      <c r="F277" s="24">
        <v>0</v>
      </c>
      <c r="G277" s="24">
        <v>0</v>
      </c>
      <c r="H277" s="23">
        <f t="shared" si="12"/>
        <v>0</v>
      </c>
      <c r="I277" s="46">
        <f t="array" ref="I277">IF(SUMIF(Производство!$A$104:$A$145,Технологи!$B277,Производство!F$104:F$145)&gt;0,SUMIF(Производство!$A$104:$A$145,Технологи!$B277,Производство!F$104:F$145)*$F277+$G277,0)</f>
        <v>0</v>
      </c>
      <c r="J277" s="46">
        <f t="array" ref="J277">IF(SUMIF(Производство!$A$104:$A$145,Технологи!$B277,Производство!G$104:G$145)&gt;0,SUMIF(Производство!$A$104:$A$145,Технологи!$B277,Производство!G$104:G$145)*$F277+$G277,0)</f>
        <v>0</v>
      </c>
      <c r="K277" s="46">
        <f t="array" ref="K277">IF(SUMIF(Производство!$A$104:$A$145,Технологи!$B277,Производство!H$104:H$145)&gt;0,SUMIF(Производство!$A$104:$A$145,Технологи!$B277,Производство!H$104:H$145)*$F277+$G277,0)</f>
        <v>0</v>
      </c>
      <c r="L277" s="46">
        <f t="array" ref="L277">IF(SUMIF(Производство!$A$104:$A$145,Технологи!$B277,Производство!I$104:I$145)&gt;0,SUMIF(Производство!$A$104:$A$145,Технологи!$B277,Производство!I$104:I$145)*$F277+$G277,0)</f>
        <v>0</v>
      </c>
      <c r="M277" s="46">
        <f t="array" ref="M277">IF(SUMIF(Производство!$A$104:$A$145,Технологи!$B277,Производство!J$104:J$145)&gt;0,SUMIF(Производство!$A$104:$A$145,Технологи!$B277,Производство!J$104:J$145)*$F277+$G277,0)</f>
        <v>0</v>
      </c>
      <c r="N277" s="46">
        <f t="array" ref="N277">IF(SUMIF(Производство!$A$104:$A$145,Технологи!$B277,Производство!K$104:K$145)&gt;0,SUMIF(Производство!$A$104:$A$145,Технологи!$B277,Производство!K$104:K$145)*$F277+$G277,0)</f>
        <v>0</v>
      </c>
      <c r="O277" s="46">
        <f t="array" ref="O277">IF(SUMIF(Производство!$A$104:$A$145,Технологи!$B277,Производство!L$104:L$145)&gt;0,SUMIF(Производство!$A$104:$A$145,Технологи!$B277,Производство!L$104:L$145)*$F277+$G277,0)</f>
        <v>0</v>
      </c>
      <c r="P277" s="46">
        <f t="array" ref="P277">IF(SUMIF(Производство!$A$104:$A$145,Технологи!$B277,Производство!M$104:M$145)&gt;0,SUMIF(Производство!$A$104:$A$145,Технологи!$B277,Производство!M$104:M$145)*$F277+$G277,0)</f>
        <v>0</v>
      </c>
      <c r="Q277" s="46">
        <f t="array" ref="Q277">IF(SUMIF(Производство!$A$104:$A$145,Технологи!$B277,Производство!N$104:N$145)&gt;0,SUMIF(Производство!$A$104:$A$145,Технологи!$B277,Производство!N$104:N$145)*$F277+$G277,0)</f>
        <v>0</v>
      </c>
      <c r="R277" s="46">
        <f t="array" ref="R277">IF(SUMIF(Производство!$A$104:$A$145,Технологи!$B277,Производство!O$104:O$145)&gt;0,SUMIF(Производство!$A$104:$A$145,Технологи!$B277,Производство!O$104:O$145)*$F277+$G277,0)</f>
        <v>0</v>
      </c>
      <c r="S277" s="46">
        <f t="array" ref="S277">IF(SUMIF(Производство!$A$104:$A$145,Технологи!$B277,Производство!P$104:P$145)&gt;0,SUMIF(Производство!$A$104:$A$145,Технологи!$B277,Производство!P$104:P$145)*$F277+$G277,0)</f>
        <v>0</v>
      </c>
      <c r="T277" s="46">
        <f t="array" ref="T277">IF(SUMIF(Производство!$A$104:$A$145,Технологи!$B277,Производство!Q$104:Q$145)&gt;0,SUMIF(Производство!$A$104:$A$145,Технологи!$B277,Производство!Q$104:Q$145)*$F277+$G277,0)</f>
        <v>0</v>
      </c>
    </row>
    <row r="278" spans="1:20" x14ac:dyDescent="0.25">
      <c r="A278" s="34" t="s">
        <v>377</v>
      </c>
      <c r="B278" s="13" t="s">
        <v>36</v>
      </c>
      <c r="C278" s="15" t="s">
        <v>11</v>
      </c>
      <c r="D278" s="14">
        <v>7038</v>
      </c>
      <c r="E278" s="16">
        <v>0.4</v>
      </c>
      <c r="F278" s="22">
        <f>SUM(F279:F290)</f>
        <v>0.40046119665551838</v>
      </c>
      <c r="G278" s="22">
        <f>SUM(G279:G290)</f>
        <v>32.168799999999997</v>
      </c>
      <c r="H278" s="23">
        <f t="shared" ref="H278:H302" si="13">F278*1000</f>
        <v>400.46119665551839</v>
      </c>
      <c r="I278" s="46">
        <f t="array" ref="I278">IF(SUMIF(Производство!$A$104:$A$145,Технологи!$B278,Производство!F$104:F$145)&gt;0,SUMIF(Производство!$A$104:$A$145,Технологи!$B278,Производство!F$104:F$145)*$F278+$G278,0)</f>
        <v>0</v>
      </c>
      <c r="J278" s="46">
        <f t="array" ref="J278">IF(SUMIF(Производство!$A$104:$A$145,Технологи!$B278,Производство!G$104:G$145)&gt;0,SUMIF(Производство!$A$104:$A$145,Технологи!$B278,Производство!G$104:G$145)*$F278+$G278,0)</f>
        <v>0</v>
      </c>
      <c r="K278" s="46">
        <f t="array" ref="K278">IF(SUMIF(Производство!$A$104:$A$145,Технологи!$B278,Производство!H$104:H$145)&gt;0,SUMIF(Производство!$A$104:$A$145,Технологи!$B278,Производство!H$104:H$145)*$F278+$G278,0)</f>
        <v>0</v>
      </c>
      <c r="L278" s="46">
        <f t="array" ref="L278">IF(SUMIF(Производство!$A$104:$A$145,Технологи!$B278,Производство!I$104:I$145)&gt;0,SUMIF(Производство!$A$104:$A$145,Технологи!$B278,Производство!I$104:I$145)*$F278+$G278,0)</f>
        <v>130.04952568654178</v>
      </c>
      <c r="M278" s="46">
        <f t="array" ref="M278">IF(SUMIF(Производство!$A$104:$A$145,Технологи!$B278,Производство!J$104:J$145)&gt;0,SUMIF(Производство!$A$104:$A$145,Технологи!$B278,Производство!J$104:J$145)*$F278+$G278,0)</f>
        <v>130.04952568654178</v>
      </c>
      <c r="N278" s="46">
        <f t="array" ref="N278">IF(SUMIF(Производство!$A$104:$A$145,Технологи!$B278,Производство!K$104:K$145)&gt;0,SUMIF(Производство!$A$104:$A$145,Технологи!$B278,Производство!K$104:K$145)*$F278+$G278,0)</f>
        <v>130.04952568654178</v>
      </c>
      <c r="O278" s="46">
        <f t="array" ref="O278">IF(SUMIF(Производство!$A$104:$A$145,Технологи!$B278,Производство!L$104:L$145)&gt;0,SUMIF(Производство!$A$104:$A$145,Технологи!$B278,Производство!L$104:L$145)*$F278+$G278,0)</f>
        <v>130.04952568654178</v>
      </c>
      <c r="P278" s="46">
        <f t="array" ref="P278">IF(SUMIF(Производство!$A$104:$A$145,Технологи!$B278,Производство!M$104:M$145)&gt;0,SUMIF(Производство!$A$104:$A$145,Технологи!$B278,Производство!M$104:M$145)*$F278+$G278,0)</f>
        <v>130.04952568654178</v>
      </c>
      <c r="Q278" s="46">
        <f t="array" ref="Q278">IF(SUMIF(Производство!$A$104:$A$145,Технологи!$B278,Производство!N$104:N$145)&gt;0,SUMIF(Производство!$A$104:$A$145,Технологи!$B278,Производство!N$104:N$145)*$F278+$G278,0)</f>
        <v>130.04952568654178</v>
      </c>
      <c r="R278" s="46">
        <f t="array" ref="R278">IF(SUMIF(Производство!$A$104:$A$145,Технологи!$B278,Производство!O$104:O$145)&gt;0,SUMIF(Производство!$A$104:$A$145,Технологи!$B278,Производство!O$104:O$145)*$F278+$G278,0)</f>
        <v>130.04952568654178</v>
      </c>
      <c r="S278" s="46">
        <f t="array" ref="S278">IF(SUMIF(Производство!$A$104:$A$145,Технологи!$B278,Производство!P$104:P$145)&gt;0,SUMIF(Производство!$A$104:$A$145,Технологи!$B278,Производство!P$104:P$145)*$F278+$G278,0)</f>
        <v>130.04952568654178</v>
      </c>
      <c r="T278" s="46">
        <f t="array" ref="T278">IF(SUMIF(Производство!$A$104:$A$145,Технологи!$B278,Производство!Q$104:Q$145)&gt;0,SUMIF(Производство!$A$104:$A$145,Технологи!$B278,Производство!Q$104:Q$145)*$F278+$G278,0)</f>
        <v>130.04952568654178</v>
      </c>
    </row>
    <row r="279" spans="1:20" x14ac:dyDescent="0.25">
      <c r="A279" s="34" t="s">
        <v>377</v>
      </c>
      <c r="B279" s="13" t="s">
        <v>36</v>
      </c>
      <c r="C279" s="19" t="s">
        <v>12</v>
      </c>
      <c r="D279" s="14">
        <v>7038</v>
      </c>
      <c r="E279" s="20"/>
      <c r="F279" s="24">
        <v>0.10446622073578592</v>
      </c>
      <c r="G279" s="24">
        <v>17.909996283909326</v>
      </c>
      <c r="H279" s="23">
        <f t="shared" si="13"/>
        <v>104.46622073578591</v>
      </c>
      <c r="I279" s="46">
        <f t="array" ref="I279">IF(SUMIF(Производство!$A$104:$A$145,Технологи!$B279,Производство!F$104:F$145)&gt;0,SUMIF(Производство!$A$104:$A$145,Технологи!$B279,Производство!F$104:F$145)*$F279+$G279,0)</f>
        <v>0</v>
      </c>
      <c r="J279" s="46">
        <f t="array" ref="J279">IF(SUMIF(Производство!$A$104:$A$145,Технологи!$B279,Производство!G$104:G$145)&gt;0,SUMIF(Производство!$A$104:$A$145,Технологи!$B279,Производство!G$104:G$145)*$F279+$G279,0)</f>
        <v>0</v>
      </c>
      <c r="K279" s="46">
        <f t="array" ref="K279">IF(SUMIF(Производство!$A$104:$A$145,Технологи!$B279,Производство!H$104:H$145)&gt;0,SUMIF(Производство!$A$104:$A$145,Технологи!$B279,Производство!H$104:H$145)*$F279+$G279,0)</f>
        <v>0</v>
      </c>
      <c r="L279" s="46">
        <f t="array" ref="L279">IF(SUMIF(Производство!$A$104:$A$145,Технологи!$B279,Производство!I$104:I$145)&gt;0,SUMIF(Производство!$A$104:$A$145,Технологи!$B279,Производство!I$104:I$145)*$F279+$G279,0)</f>
        <v>43.443629956150119</v>
      </c>
      <c r="M279" s="46">
        <f t="array" ref="M279">IF(SUMIF(Производство!$A$104:$A$145,Технологи!$B279,Производство!J$104:J$145)&gt;0,SUMIF(Производство!$A$104:$A$145,Технологи!$B279,Производство!J$104:J$145)*$F279+$G279,0)</f>
        <v>43.443629956150119</v>
      </c>
      <c r="N279" s="46">
        <f t="array" ref="N279">IF(SUMIF(Производство!$A$104:$A$145,Технологи!$B279,Производство!K$104:K$145)&gt;0,SUMIF(Производство!$A$104:$A$145,Технологи!$B279,Производство!K$104:K$145)*$F279+$G279,0)</f>
        <v>43.443629956150119</v>
      </c>
      <c r="O279" s="46">
        <f t="array" ref="O279">IF(SUMIF(Производство!$A$104:$A$145,Технологи!$B279,Производство!L$104:L$145)&gt;0,SUMIF(Производство!$A$104:$A$145,Технологи!$B279,Производство!L$104:L$145)*$F279+$G279,0)</f>
        <v>43.443629956150119</v>
      </c>
      <c r="P279" s="46">
        <f t="array" ref="P279">IF(SUMIF(Производство!$A$104:$A$145,Технологи!$B279,Производство!M$104:M$145)&gt;0,SUMIF(Производство!$A$104:$A$145,Технологи!$B279,Производство!M$104:M$145)*$F279+$G279,0)</f>
        <v>43.443629956150119</v>
      </c>
      <c r="Q279" s="46">
        <f t="array" ref="Q279">IF(SUMIF(Производство!$A$104:$A$145,Технологи!$B279,Производство!N$104:N$145)&gt;0,SUMIF(Производство!$A$104:$A$145,Технологи!$B279,Производство!N$104:N$145)*$F279+$G279,0)</f>
        <v>43.443629956150119</v>
      </c>
      <c r="R279" s="46">
        <f t="array" ref="R279">IF(SUMIF(Производство!$A$104:$A$145,Технологи!$B279,Производство!O$104:O$145)&gt;0,SUMIF(Производство!$A$104:$A$145,Технологи!$B279,Производство!O$104:O$145)*$F279+$G279,0)</f>
        <v>43.443629956150119</v>
      </c>
      <c r="S279" s="46">
        <f t="array" ref="S279">IF(SUMIF(Производство!$A$104:$A$145,Технологи!$B279,Производство!P$104:P$145)&gt;0,SUMIF(Производство!$A$104:$A$145,Технологи!$B279,Производство!P$104:P$145)*$F279+$G279,0)</f>
        <v>43.443629956150119</v>
      </c>
      <c r="T279" s="46">
        <f t="array" ref="T279">IF(SUMIF(Производство!$A$104:$A$145,Технологи!$B279,Производство!Q$104:Q$145)&gt;0,SUMIF(Производство!$A$104:$A$145,Технологи!$B279,Производство!Q$104:Q$145)*$F279+$G279,0)</f>
        <v>43.443629956150119</v>
      </c>
    </row>
    <row r="280" spans="1:20" x14ac:dyDescent="0.25">
      <c r="A280" s="34" t="s">
        <v>377</v>
      </c>
      <c r="B280" s="13" t="s">
        <v>36</v>
      </c>
      <c r="C280" s="19" t="s">
        <v>13</v>
      </c>
      <c r="D280" s="14">
        <v>7038</v>
      </c>
      <c r="E280" s="20"/>
      <c r="F280" s="24">
        <v>3.1495785953177244E-2</v>
      </c>
      <c r="G280" s="24">
        <v>5.3729988851727972</v>
      </c>
      <c r="H280" s="23">
        <f t="shared" si="13"/>
        <v>31.495785953177243</v>
      </c>
      <c r="I280" s="46">
        <f t="array" ref="I280">IF(SUMIF(Производство!$A$104:$A$145,Технологи!$B280,Производство!F$104:F$145)&gt;0,SUMIF(Производство!$A$104:$A$145,Технологи!$B280,Производство!F$104:F$145)*$F280+$G280,0)</f>
        <v>0</v>
      </c>
      <c r="J280" s="46">
        <f t="array" ref="J280">IF(SUMIF(Производство!$A$104:$A$145,Технологи!$B280,Производство!G$104:G$145)&gt;0,SUMIF(Производство!$A$104:$A$145,Технологи!$B280,Производство!G$104:G$145)*$F280+$G280,0)</f>
        <v>0</v>
      </c>
      <c r="K280" s="46">
        <f t="array" ref="K280">IF(SUMIF(Производство!$A$104:$A$145,Технологи!$B280,Производство!H$104:H$145)&gt;0,SUMIF(Производство!$A$104:$A$145,Технологи!$B280,Производство!H$104:H$145)*$F280+$G280,0)</f>
        <v>0</v>
      </c>
      <c r="L280" s="46">
        <f t="array" ref="L280">IF(SUMIF(Производство!$A$104:$A$145,Технологи!$B280,Производство!I$104:I$145)&gt;0,SUMIF(Производство!$A$104:$A$145,Технологи!$B280,Производство!I$104:I$145)*$F280+$G280,0)</f>
        <v>13.071198887848379</v>
      </c>
      <c r="M280" s="46">
        <f t="array" ref="M280">IF(SUMIF(Производство!$A$104:$A$145,Технологи!$B280,Производство!J$104:J$145)&gt;0,SUMIF(Производство!$A$104:$A$145,Технологи!$B280,Производство!J$104:J$145)*$F280+$G280,0)</f>
        <v>13.071198887848379</v>
      </c>
      <c r="N280" s="46">
        <f t="array" ref="N280">IF(SUMIF(Производство!$A$104:$A$145,Технологи!$B280,Производство!K$104:K$145)&gt;0,SUMIF(Производство!$A$104:$A$145,Технологи!$B280,Производство!K$104:K$145)*$F280+$G280,0)</f>
        <v>13.071198887848379</v>
      </c>
      <c r="O280" s="46">
        <f t="array" ref="O280">IF(SUMIF(Производство!$A$104:$A$145,Технологи!$B280,Производство!L$104:L$145)&gt;0,SUMIF(Производство!$A$104:$A$145,Технологи!$B280,Производство!L$104:L$145)*$F280+$G280,0)</f>
        <v>13.071198887848379</v>
      </c>
      <c r="P280" s="46">
        <f t="array" ref="P280">IF(SUMIF(Производство!$A$104:$A$145,Технологи!$B280,Производство!M$104:M$145)&gt;0,SUMIF(Производство!$A$104:$A$145,Технологи!$B280,Производство!M$104:M$145)*$F280+$G280,0)</f>
        <v>13.071198887848379</v>
      </c>
      <c r="Q280" s="46">
        <f t="array" ref="Q280">IF(SUMIF(Производство!$A$104:$A$145,Технологи!$B280,Производство!N$104:N$145)&gt;0,SUMIF(Производство!$A$104:$A$145,Технологи!$B280,Производство!N$104:N$145)*$F280+$G280,0)</f>
        <v>13.071198887848379</v>
      </c>
      <c r="R280" s="46">
        <f t="array" ref="R280">IF(SUMIF(Производство!$A$104:$A$145,Технологи!$B280,Производство!O$104:O$145)&gt;0,SUMIF(Производство!$A$104:$A$145,Технологи!$B280,Производство!O$104:O$145)*$F280+$G280,0)</f>
        <v>13.071198887848379</v>
      </c>
      <c r="S280" s="46">
        <f t="array" ref="S280">IF(SUMIF(Производство!$A$104:$A$145,Технологи!$B280,Производство!P$104:P$145)&gt;0,SUMIF(Производство!$A$104:$A$145,Технологи!$B280,Производство!P$104:P$145)*$F280+$G280,0)</f>
        <v>13.071198887848379</v>
      </c>
      <c r="T280" s="46">
        <f t="array" ref="T280">IF(SUMIF(Производство!$A$104:$A$145,Технологи!$B280,Производство!Q$104:Q$145)&gt;0,SUMIF(Производство!$A$104:$A$145,Технологи!$B280,Производство!Q$104:Q$145)*$F280+$G280,0)</f>
        <v>13.071198887848379</v>
      </c>
    </row>
    <row r="281" spans="1:20" x14ac:dyDescent="0.25">
      <c r="A281" s="34" t="s">
        <v>377</v>
      </c>
      <c r="B281" s="13" t="s">
        <v>36</v>
      </c>
      <c r="C281" s="19" t="s">
        <v>14</v>
      </c>
      <c r="D281" s="14">
        <v>7038</v>
      </c>
      <c r="E281" s="20"/>
      <c r="F281" s="24">
        <v>3.1495785953177246E-4</v>
      </c>
      <c r="G281" s="24">
        <v>5.3729988851727972E-2</v>
      </c>
      <c r="H281" s="23">
        <f t="shared" si="13"/>
        <v>0.31495785953177247</v>
      </c>
      <c r="I281" s="46">
        <f t="array" ref="I281">IF(SUMIF(Производство!$A$104:$A$145,Технологи!$B281,Производство!F$104:F$145)&gt;0,SUMIF(Производство!$A$104:$A$145,Технологи!$B281,Производство!F$104:F$145)*$F281+$G281,0)</f>
        <v>0</v>
      </c>
      <c r="J281" s="46">
        <f t="array" ref="J281">IF(SUMIF(Производство!$A$104:$A$145,Технологи!$B281,Производство!G$104:G$145)&gt;0,SUMIF(Производство!$A$104:$A$145,Технологи!$B281,Производство!G$104:G$145)*$F281+$G281,0)</f>
        <v>0</v>
      </c>
      <c r="K281" s="46">
        <f t="array" ref="K281">IF(SUMIF(Производство!$A$104:$A$145,Технологи!$B281,Производство!H$104:H$145)&gt;0,SUMIF(Производство!$A$104:$A$145,Технологи!$B281,Производство!H$104:H$145)*$F281+$G281,0)</f>
        <v>0</v>
      </c>
      <c r="L281" s="46">
        <f t="array" ref="L281">IF(SUMIF(Производство!$A$104:$A$145,Технологи!$B281,Производство!I$104:I$145)&gt;0,SUMIF(Производство!$A$104:$A$145,Технологи!$B281,Производство!I$104:I$145)*$F281+$G281,0)</f>
        <v>0.13071198887848379</v>
      </c>
      <c r="M281" s="46">
        <f t="array" ref="M281">IF(SUMIF(Производство!$A$104:$A$145,Технологи!$B281,Производство!J$104:J$145)&gt;0,SUMIF(Производство!$A$104:$A$145,Технологи!$B281,Производство!J$104:J$145)*$F281+$G281,0)</f>
        <v>0.13071198887848379</v>
      </c>
      <c r="N281" s="46">
        <f t="array" ref="N281">IF(SUMIF(Производство!$A$104:$A$145,Технологи!$B281,Производство!K$104:K$145)&gt;0,SUMIF(Производство!$A$104:$A$145,Технологи!$B281,Производство!K$104:K$145)*$F281+$G281,0)</f>
        <v>0.13071198887848379</v>
      </c>
      <c r="O281" s="46">
        <f t="array" ref="O281">IF(SUMIF(Производство!$A$104:$A$145,Технологи!$B281,Производство!L$104:L$145)&gt;0,SUMIF(Производство!$A$104:$A$145,Технологи!$B281,Производство!L$104:L$145)*$F281+$G281,0)</f>
        <v>0.13071198887848379</v>
      </c>
      <c r="P281" s="46">
        <f t="array" ref="P281">IF(SUMIF(Производство!$A$104:$A$145,Технологи!$B281,Производство!M$104:M$145)&gt;0,SUMIF(Производство!$A$104:$A$145,Технологи!$B281,Производство!M$104:M$145)*$F281+$G281,0)</f>
        <v>0.13071198887848379</v>
      </c>
      <c r="Q281" s="46">
        <f t="array" ref="Q281">IF(SUMIF(Производство!$A$104:$A$145,Технологи!$B281,Производство!N$104:N$145)&gt;0,SUMIF(Производство!$A$104:$A$145,Технологи!$B281,Производство!N$104:N$145)*$F281+$G281,0)</f>
        <v>0.13071198887848379</v>
      </c>
      <c r="R281" s="46">
        <f t="array" ref="R281">IF(SUMIF(Производство!$A$104:$A$145,Технологи!$B281,Производство!O$104:O$145)&gt;0,SUMIF(Производство!$A$104:$A$145,Технологи!$B281,Производство!O$104:O$145)*$F281+$G281,0)</f>
        <v>0.13071198887848379</v>
      </c>
      <c r="S281" s="46">
        <f t="array" ref="S281">IF(SUMIF(Производство!$A$104:$A$145,Технологи!$B281,Производство!P$104:P$145)&gt;0,SUMIF(Производство!$A$104:$A$145,Технологи!$B281,Производство!P$104:P$145)*$F281+$G281,0)</f>
        <v>0.13071198887848379</v>
      </c>
      <c r="T281" s="46">
        <f t="array" ref="T281">IF(SUMIF(Производство!$A$104:$A$145,Технологи!$B281,Производство!Q$104:Q$145)&gt;0,SUMIF(Производство!$A$104:$A$145,Технологи!$B281,Производство!Q$104:Q$145)*$F281+$G281,0)</f>
        <v>0.13071198887848379</v>
      </c>
    </row>
    <row r="282" spans="1:20" x14ac:dyDescent="0.25">
      <c r="A282" s="34" t="s">
        <v>377</v>
      </c>
      <c r="B282" s="13" t="s">
        <v>36</v>
      </c>
      <c r="C282" s="19" t="s">
        <v>15</v>
      </c>
      <c r="D282" s="14">
        <v>7038</v>
      </c>
      <c r="E282" s="20"/>
      <c r="F282" s="24">
        <v>1.5747892976588623E-4</v>
      </c>
      <c r="G282" s="24">
        <v>2.6864994425863986E-2</v>
      </c>
      <c r="H282" s="23">
        <f t="shared" si="13"/>
        <v>0.15747892976588623</v>
      </c>
      <c r="I282" s="46">
        <f t="array" ref="I282">IF(SUMIF(Производство!$A$104:$A$145,Технологи!$B282,Производство!F$104:F$145)&gt;0,SUMIF(Производство!$A$104:$A$145,Технологи!$B282,Производство!F$104:F$145)*$F282+$G282,0)</f>
        <v>0</v>
      </c>
      <c r="J282" s="46">
        <f t="array" ref="J282">IF(SUMIF(Производство!$A$104:$A$145,Технологи!$B282,Производство!G$104:G$145)&gt;0,SUMIF(Производство!$A$104:$A$145,Технологи!$B282,Производство!G$104:G$145)*$F282+$G282,0)</f>
        <v>0</v>
      </c>
      <c r="K282" s="46">
        <f t="array" ref="K282">IF(SUMIF(Производство!$A$104:$A$145,Технологи!$B282,Производство!H$104:H$145)&gt;0,SUMIF(Производство!$A$104:$A$145,Технологи!$B282,Производство!H$104:H$145)*$F282+$G282,0)</f>
        <v>0</v>
      </c>
      <c r="L282" s="46">
        <f t="array" ref="L282">IF(SUMIF(Производство!$A$104:$A$145,Технологи!$B282,Производство!I$104:I$145)&gt;0,SUMIF(Производство!$A$104:$A$145,Технологи!$B282,Производство!I$104:I$145)*$F282+$G282,0)</f>
        <v>6.5355994439241893E-2</v>
      </c>
      <c r="M282" s="46">
        <f t="array" ref="M282">IF(SUMIF(Производство!$A$104:$A$145,Технологи!$B282,Производство!J$104:J$145)&gt;0,SUMIF(Производство!$A$104:$A$145,Технологи!$B282,Производство!J$104:J$145)*$F282+$G282,0)</f>
        <v>6.5355994439241893E-2</v>
      </c>
      <c r="N282" s="46">
        <f t="array" ref="N282">IF(SUMIF(Производство!$A$104:$A$145,Технологи!$B282,Производство!K$104:K$145)&gt;0,SUMIF(Производство!$A$104:$A$145,Технологи!$B282,Производство!K$104:K$145)*$F282+$G282,0)</f>
        <v>6.5355994439241893E-2</v>
      </c>
      <c r="O282" s="46">
        <f t="array" ref="O282">IF(SUMIF(Производство!$A$104:$A$145,Технологи!$B282,Производство!L$104:L$145)&gt;0,SUMIF(Производство!$A$104:$A$145,Технологи!$B282,Производство!L$104:L$145)*$F282+$G282,0)</f>
        <v>6.5355994439241893E-2</v>
      </c>
      <c r="P282" s="46">
        <f t="array" ref="P282">IF(SUMIF(Производство!$A$104:$A$145,Технологи!$B282,Производство!M$104:M$145)&gt;0,SUMIF(Производство!$A$104:$A$145,Технологи!$B282,Производство!M$104:M$145)*$F282+$G282,0)</f>
        <v>6.5355994439241893E-2</v>
      </c>
      <c r="Q282" s="46">
        <f t="array" ref="Q282">IF(SUMIF(Производство!$A$104:$A$145,Технологи!$B282,Производство!N$104:N$145)&gt;0,SUMIF(Производство!$A$104:$A$145,Технологи!$B282,Производство!N$104:N$145)*$F282+$G282,0)</f>
        <v>6.5355994439241893E-2</v>
      </c>
      <c r="R282" s="46">
        <f t="array" ref="R282">IF(SUMIF(Производство!$A$104:$A$145,Технологи!$B282,Производство!O$104:O$145)&gt;0,SUMIF(Производство!$A$104:$A$145,Технологи!$B282,Производство!O$104:O$145)*$F282+$G282,0)</f>
        <v>6.5355994439241893E-2</v>
      </c>
      <c r="S282" s="46">
        <f t="array" ref="S282">IF(SUMIF(Производство!$A$104:$A$145,Технологи!$B282,Производство!P$104:P$145)&gt;0,SUMIF(Производство!$A$104:$A$145,Технологи!$B282,Производство!P$104:P$145)*$F282+$G282,0)</f>
        <v>6.5355994439241893E-2</v>
      </c>
      <c r="T282" s="46">
        <f t="array" ref="T282">IF(SUMIF(Производство!$A$104:$A$145,Технологи!$B282,Производство!Q$104:Q$145)&gt;0,SUMIF(Производство!$A$104:$A$145,Технологи!$B282,Производство!Q$104:Q$145)*$F282+$G282,0)</f>
        <v>6.5355994439241893E-2</v>
      </c>
    </row>
    <row r="283" spans="1:20" x14ac:dyDescent="0.25">
      <c r="A283" s="34" t="s">
        <v>377</v>
      </c>
      <c r="B283" s="13" t="s">
        <v>36</v>
      </c>
      <c r="C283" s="19" t="s">
        <v>16</v>
      </c>
      <c r="D283" s="14">
        <v>7038</v>
      </c>
      <c r="E283" s="20"/>
      <c r="F283" s="24">
        <v>2.089324414715718E-3</v>
      </c>
      <c r="G283" s="24">
        <v>0.35819992567818648</v>
      </c>
      <c r="H283" s="23">
        <f t="shared" si="13"/>
        <v>2.0893244147157182</v>
      </c>
      <c r="I283" s="46">
        <f t="array" ref="I283">IF(SUMIF(Производство!$A$104:$A$145,Технологи!$B283,Производство!F$104:F$145)&gt;0,SUMIF(Производство!$A$104:$A$145,Технологи!$B283,Производство!F$104:F$145)*$F283+$G283,0)</f>
        <v>0</v>
      </c>
      <c r="J283" s="46">
        <f t="array" ref="J283">IF(SUMIF(Производство!$A$104:$A$145,Технологи!$B283,Производство!G$104:G$145)&gt;0,SUMIF(Производство!$A$104:$A$145,Технологи!$B283,Производство!G$104:G$145)*$F283+$G283,0)</f>
        <v>0</v>
      </c>
      <c r="K283" s="46">
        <f t="array" ref="K283">IF(SUMIF(Производство!$A$104:$A$145,Технологи!$B283,Производство!H$104:H$145)&gt;0,SUMIF(Производство!$A$104:$A$145,Технологи!$B283,Производство!H$104:H$145)*$F283+$G283,0)</f>
        <v>0</v>
      </c>
      <c r="L283" s="46">
        <f t="array" ref="L283">IF(SUMIF(Производство!$A$104:$A$145,Технологи!$B283,Производство!I$104:I$145)&gt;0,SUMIF(Производство!$A$104:$A$145,Технологи!$B283,Производство!I$104:I$145)*$F283+$G283,0)</f>
        <v>0.86887259912300219</v>
      </c>
      <c r="M283" s="46">
        <f t="array" ref="M283">IF(SUMIF(Производство!$A$104:$A$145,Технологи!$B283,Производство!J$104:J$145)&gt;0,SUMIF(Производство!$A$104:$A$145,Технологи!$B283,Производство!J$104:J$145)*$F283+$G283,0)</f>
        <v>0.86887259912300219</v>
      </c>
      <c r="N283" s="46">
        <f t="array" ref="N283">IF(SUMIF(Производство!$A$104:$A$145,Технологи!$B283,Производство!K$104:K$145)&gt;0,SUMIF(Производство!$A$104:$A$145,Технологи!$B283,Производство!K$104:K$145)*$F283+$G283,0)</f>
        <v>0.86887259912300219</v>
      </c>
      <c r="O283" s="46">
        <f t="array" ref="O283">IF(SUMIF(Производство!$A$104:$A$145,Технологи!$B283,Производство!L$104:L$145)&gt;0,SUMIF(Производство!$A$104:$A$145,Технологи!$B283,Производство!L$104:L$145)*$F283+$G283,0)</f>
        <v>0.86887259912300219</v>
      </c>
      <c r="P283" s="46">
        <f t="array" ref="P283">IF(SUMIF(Производство!$A$104:$A$145,Технологи!$B283,Производство!M$104:M$145)&gt;0,SUMIF(Производство!$A$104:$A$145,Технологи!$B283,Производство!M$104:M$145)*$F283+$G283,0)</f>
        <v>0.86887259912300219</v>
      </c>
      <c r="Q283" s="46">
        <f t="array" ref="Q283">IF(SUMIF(Производство!$A$104:$A$145,Технологи!$B283,Производство!N$104:N$145)&gt;0,SUMIF(Производство!$A$104:$A$145,Технологи!$B283,Производство!N$104:N$145)*$F283+$G283,0)</f>
        <v>0.86887259912300219</v>
      </c>
      <c r="R283" s="46">
        <f t="array" ref="R283">IF(SUMIF(Производство!$A$104:$A$145,Технологи!$B283,Производство!O$104:O$145)&gt;0,SUMIF(Производство!$A$104:$A$145,Технологи!$B283,Производство!O$104:O$145)*$F283+$G283,0)</f>
        <v>0.86887259912300219</v>
      </c>
      <c r="S283" s="46">
        <f t="array" ref="S283">IF(SUMIF(Производство!$A$104:$A$145,Технологи!$B283,Производство!P$104:P$145)&gt;0,SUMIF(Производство!$A$104:$A$145,Технологи!$B283,Производство!P$104:P$145)*$F283+$G283,0)</f>
        <v>0.86887259912300219</v>
      </c>
      <c r="T283" s="46">
        <f t="array" ref="T283">IF(SUMIF(Производство!$A$104:$A$145,Технологи!$B283,Производство!Q$104:Q$145)&gt;0,SUMIF(Производство!$A$104:$A$145,Технологи!$B283,Производство!Q$104:Q$145)*$F283+$G283,0)</f>
        <v>0.86887259912300219</v>
      </c>
    </row>
    <row r="284" spans="1:20" x14ac:dyDescent="0.25">
      <c r="A284" s="34" t="s">
        <v>377</v>
      </c>
      <c r="B284" s="13" t="s">
        <v>36</v>
      </c>
      <c r="C284" s="19" t="s">
        <v>17</v>
      </c>
      <c r="D284" s="14">
        <v>7038</v>
      </c>
      <c r="E284" s="20"/>
      <c r="F284" s="24">
        <v>1.1548454849498327E-3</v>
      </c>
      <c r="G284" s="24">
        <v>0.19700995912300259</v>
      </c>
      <c r="H284" s="23">
        <f t="shared" si="13"/>
        <v>1.1548454849498326</v>
      </c>
      <c r="I284" s="46">
        <f t="array" ref="I284">IF(SUMIF(Производство!$A$104:$A$145,Технологи!$B284,Производство!F$104:F$145)&gt;0,SUMIF(Производство!$A$104:$A$145,Технологи!$B284,Производство!F$104:F$145)*$F284+$G284,0)</f>
        <v>0</v>
      </c>
      <c r="J284" s="46">
        <f t="array" ref="J284">IF(SUMIF(Производство!$A$104:$A$145,Технологи!$B284,Производство!G$104:G$145)&gt;0,SUMIF(Производство!$A$104:$A$145,Технологи!$B284,Производство!G$104:G$145)*$F284+$G284,0)</f>
        <v>0</v>
      </c>
      <c r="K284" s="46">
        <f t="array" ref="K284">IF(SUMIF(Производство!$A$104:$A$145,Технологи!$B284,Производство!H$104:H$145)&gt;0,SUMIF(Производство!$A$104:$A$145,Технологи!$B284,Производство!H$104:H$145)*$F284+$G284,0)</f>
        <v>0</v>
      </c>
      <c r="L284" s="46">
        <f t="array" ref="L284">IF(SUMIF(Производство!$A$104:$A$145,Технологи!$B284,Производство!I$104:I$145)&gt;0,SUMIF(Производство!$A$104:$A$145,Технологи!$B284,Производство!I$104:I$145)*$F284+$G284,0)</f>
        <v>0.47927729255444074</v>
      </c>
      <c r="M284" s="46">
        <f t="array" ref="M284">IF(SUMIF(Производство!$A$104:$A$145,Технологи!$B284,Производство!J$104:J$145)&gt;0,SUMIF(Производство!$A$104:$A$145,Технологи!$B284,Производство!J$104:J$145)*$F284+$G284,0)</f>
        <v>0.47927729255444074</v>
      </c>
      <c r="N284" s="46">
        <f t="array" ref="N284">IF(SUMIF(Производство!$A$104:$A$145,Технологи!$B284,Производство!K$104:K$145)&gt;0,SUMIF(Производство!$A$104:$A$145,Технологи!$B284,Производство!K$104:K$145)*$F284+$G284,0)</f>
        <v>0.47927729255444074</v>
      </c>
      <c r="O284" s="46">
        <f t="array" ref="O284">IF(SUMIF(Производство!$A$104:$A$145,Технологи!$B284,Производство!L$104:L$145)&gt;0,SUMIF(Производство!$A$104:$A$145,Технологи!$B284,Производство!L$104:L$145)*$F284+$G284,0)</f>
        <v>0.47927729255444074</v>
      </c>
      <c r="P284" s="46">
        <f t="array" ref="P284">IF(SUMIF(Производство!$A$104:$A$145,Технологи!$B284,Производство!M$104:M$145)&gt;0,SUMIF(Производство!$A$104:$A$145,Технологи!$B284,Производство!M$104:M$145)*$F284+$G284,0)</f>
        <v>0.47927729255444074</v>
      </c>
      <c r="Q284" s="46">
        <f t="array" ref="Q284">IF(SUMIF(Производство!$A$104:$A$145,Технологи!$B284,Производство!N$104:N$145)&gt;0,SUMIF(Производство!$A$104:$A$145,Технологи!$B284,Производство!N$104:N$145)*$F284+$G284,0)</f>
        <v>0.47927729255444074</v>
      </c>
      <c r="R284" s="46">
        <f t="array" ref="R284">IF(SUMIF(Производство!$A$104:$A$145,Технологи!$B284,Производство!O$104:O$145)&gt;0,SUMIF(Производство!$A$104:$A$145,Технологи!$B284,Производство!O$104:O$145)*$F284+$G284,0)</f>
        <v>0.47927729255444074</v>
      </c>
      <c r="S284" s="46">
        <f t="array" ref="S284">IF(SUMIF(Производство!$A$104:$A$145,Технологи!$B284,Производство!P$104:P$145)&gt;0,SUMIF(Производство!$A$104:$A$145,Технологи!$B284,Производство!P$104:P$145)*$F284+$G284,0)</f>
        <v>0.47927729255444074</v>
      </c>
      <c r="T284" s="46">
        <f t="array" ref="T284">IF(SUMIF(Производство!$A$104:$A$145,Технологи!$B284,Производство!Q$104:Q$145)&gt;0,SUMIF(Производство!$A$104:$A$145,Технологи!$B284,Производство!Q$104:Q$145)*$F284+$G284,0)</f>
        <v>0.47927729255444074</v>
      </c>
    </row>
    <row r="285" spans="1:20" x14ac:dyDescent="0.25">
      <c r="A285" s="34" t="s">
        <v>377</v>
      </c>
      <c r="B285" s="13" t="s">
        <v>36</v>
      </c>
      <c r="C285" s="19" t="s">
        <v>18</v>
      </c>
      <c r="D285" s="14">
        <v>7038</v>
      </c>
      <c r="E285" s="20"/>
      <c r="F285" s="24">
        <v>1.042583277591973E-3</v>
      </c>
      <c r="G285" s="24">
        <v>0.17909996283909324</v>
      </c>
      <c r="H285" s="23">
        <f t="shared" si="13"/>
        <v>1.042583277591973</v>
      </c>
      <c r="I285" s="46">
        <f t="array" ref="I285">IF(SUMIF(Производство!$A$104:$A$145,Технологи!$B285,Производство!F$104:F$145)&gt;0,SUMIF(Производство!$A$104:$A$145,Технологи!$B285,Производство!F$104:F$145)*$F285+$G285,0)</f>
        <v>0</v>
      </c>
      <c r="J285" s="46">
        <f t="array" ref="J285">IF(SUMIF(Производство!$A$104:$A$145,Технологи!$B285,Производство!G$104:G$145)&gt;0,SUMIF(Производство!$A$104:$A$145,Технологи!$B285,Производство!G$104:G$145)*$F285+$G285,0)</f>
        <v>0</v>
      </c>
      <c r="K285" s="46">
        <f t="array" ref="K285">IF(SUMIF(Производство!$A$104:$A$145,Технологи!$B285,Производство!H$104:H$145)&gt;0,SUMIF(Производство!$A$104:$A$145,Технологи!$B285,Производство!H$104:H$145)*$F285+$G285,0)</f>
        <v>0</v>
      </c>
      <c r="L285" s="46">
        <f t="array" ref="L285">IF(SUMIF(Производство!$A$104:$A$145,Технологи!$B285,Производство!I$104:I$145)&gt;0,SUMIF(Производство!$A$104:$A$145,Технологи!$B285,Производство!I$104:I$145)*$F285+$G285,0)</f>
        <v>0.43392816754812324</v>
      </c>
      <c r="M285" s="46">
        <f t="array" ref="M285">IF(SUMIF(Производство!$A$104:$A$145,Технологи!$B285,Производство!J$104:J$145)&gt;0,SUMIF(Производство!$A$104:$A$145,Технологи!$B285,Производство!J$104:J$145)*$F285+$G285,0)</f>
        <v>0.43392816754812324</v>
      </c>
      <c r="N285" s="46">
        <f t="array" ref="N285">IF(SUMIF(Производство!$A$104:$A$145,Технологи!$B285,Производство!K$104:K$145)&gt;0,SUMIF(Производство!$A$104:$A$145,Технологи!$B285,Производство!K$104:K$145)*$F285+$G285,0)</f>
        <v>0.43392816754812324</v>
      </c>
      <c r="O285" s="46">
        <f t="array" ref="O285">IF(SUMIF(Производство!$A$104:$A$145,Технологи!$B285,Производство!L$104:L$145)&gt;0,SUMIF(Производство!$A$104:$A$145,Технологи!$B285,Производство!L$104:L$145)*$F285+$G285,0)</f>
        <v>0.43392816754812324</v>
      </c>
      <c r="P285" s="46">
        <f t="array" ref="P285">IF(SUMIF(Производство!$A$104:$A$145,Технологи!$B285,Производство!M$104:M$145)&gt;0,SUMIF(Производство!$A$104:$A$145,Технологи!$B285,Производство!M$104:M$145)*$F285+$G285,0)</f>
        <v>0.43392816754812324</v>
      </c>
      <c r="Q285" s="46">
        <f t="array" ref="Q285">IF(SUMIF(Производство!$A$104:$A$145,Технологи!$B285,Производство!N$104:N$145)&gt;0,SUMIF(Производство!$A$104:$A$145,Технологи!$B285,Производство!N$104:N$145)*$F285+$G285,0)</f>
        <v>0.43392816754812324</v>
      </c>
      <c r="R285" s="46">
        <f t="array" ref="R285">IF(SUMIF(Производство!$A$104:$A$145,Технологи!$B285,Производство!O$104:O$145)&gt;0,SUMIF(Производство!$A$104:$A$145,Технологи!$B285,Производство!O$104:O$145)*$F285+$G285,0)</f>
        <v>0.43392816754812324</v>
      </c>
      <c r="S285" s="46">
        <f t="array" ref="S285">IF(SUMIF(Производство!$A$104:$A$145,Технологи!$B285,Производство!P$104:P$145)&gt;0,SUMIF(Производство!$A$104:$A$145,Технологи!$B285,Производство!P$104:P$145)*$F285+$G285,0)</f>
        <v>0.43392816754812324</v>
      </c>
      <c r="T285" s="46">
        <f t="array" ref="T285">IF(SUMIF(Производство!$A$104:$A$145,Технологи!$B285,Производство!Q$104:Q$145)&gt;0,SUMIF(Производство!$A$104:$A$145,Технологи!$B285,Производство!Q$104:Q$145)*$F285+$G285,0)</f>
        <v>0.43392816754812324</v>
      </c>
    </row>
    <row r="286" spans="1:20" x14ac:dyDescent="0.25">
      <c r="A286" s="34" t="s">
        <v>377</v>
      </c>
      <c r="B286" s="13" t="s">
        <v>36</v>
      </c>
      <c r="C286" s="19" t="s">
        <v>19</v>
      </c>
      <c r="D286" s="14">
        <v>7038</v>
      </c>
      <c r="E286" s="20"/>
      <c r="F286" s="24">
        <v>0.20874000000000001</v>
      </c>
      <c r="G286" s="24">
        <v>7.3059000000000003</v>
      </c>
      <c r="H286" s="23">
        <f t="shared" si="13"/>
        <v>208.74</v>
      </c>
      <c r="I286" s="46">
        <f t="array" ref="I286">IF(SUMIF(Производство!$A$104:$A$145,Технологи!$B286,Производство!F$104:F$145)&gt;0,SUMIF(Производство!$A$104:$A$145,Технологи!$B286,Производство!F$104:F$145)*$F286+$G286,0)</f>
        <v>0</v>
      </c>
      <c r="J286" s="46">
        <f t="array" ref="J286">IF(SUMIF(Производство!$A$104:$A$145,Технологи!$B286,Производство!G$104:G$145)&gt;0,SUMIF(Производство!$A$104:$A$145,Технологи!$B286,Производство!G$104:G$145)*$F286+$G286,0)</f>
        <v>0</v>
      </c>
      <c r="K286" s="46">
        <f t="array" ref="K286">IF(SUMIF(Производство!$A$104:$A$145,Технологи!$B286,Производство!H$104:H$145)&gt;0,SUMIF(Производство!$A$104:$A$145,Технологи!$B286,Производство!H$104:H$145)*$F286+$G286,0)</f>
        <v>0</v>
      </c>
      <c r="L286" s="46">
        <f t="array" ref="L286">IF(SUMIF(Производство!$A$104:$A$145,Технологи!$B286,Производство!I$104:I$145)&gt;0,SUMIF(Производство!$A$104:$A$145,Технологи!$B286,Производство!I$104:I$145)*$F286+$G286,0)</f>
        <v>58.326130800000001</v>
      </c>
      <c r="M286" s="46">
        <f t="array" ref="M286">IF(SUMIF(Производство!$A$104:$A$145,Технологи!$B286,Производство!J$104:J$145)&gt;0,SUMIF(Производство!$A$104:$A$145,Технологи!$B286,Производство!J$104:J$145)*$F286+$G286,0)</f>
        <v>58.326130800000001</v>
      </c>
      <c r="N286" s="46">
        <f t="array" ref="N286">IF(SUMIF(Производство!$A$104:$A$145,Технологи!$B286,Производство!K$104:K$145)&gt;0,SUMIF(Производство!$A$104:$A$145,Технологи!$B286,Производство!K$104:K$145)*$F286+$G286,0)</f>
        <v>58.326130800000001</v>
      </c>
      <c r="O286" s="46">
        <f t="array" ref="O286">IF(SUMIF(Производство!$A$104:$A$145,Технологи!$B286,Производство!L$104:L$145)&gt;0,SUMIF(Производство!$A$104:$A$145,Технологи!$B286,Производство!L$104:L$145)*$F286+$G286,0)</f>
        <v>58.326130800000001</v>
      </c>
      <c r="P286" s="46">
        <f t="array" ref="P286">IF(SUMIF(Производство!$A$104:$A$145,Технологи!$B286,Производство!M$104:M$145)&gt;0,SUMIF(Производство!$A$104:$A$145,Технологи!$B286,Производство!M$104:M$145)*$F286+$G286,0)</f>
        <v>58.326130800000001</v>
      </c>
      <c r="Q286" s="46">
        <f t="array" ref="Q286">IF(SUMIF(Производство!$A$104:$A$145,Технологи!$B286,Производство!N$104:N$145)&gt;0,SUMIF(Производство!$A$104:$A$145,Технологи!$B286,Производство!N$104:N$145)*$F286+$G286,0)</f>
        <v>58.326130800000001</v>
      </c>
      <c r="R286" s="46">
        <f t="array" ref="R286">IF(SUMIF(Производство!$A$104:$A$145,Технологи!$B286,Производство!O$104:O$145)&gt;0,SUMIF(Производство!$A$104:$A$145,Технологи!$B286,Производство!O$104:O$145)*$F286+$G286,0)</f>
        <v>58.326130800000001</v>
      </c>
      <c r="S286" s="46">
        <f t="array" ref="S286">IF(SUMIF(Производство!$A$104:$A$145,Технологи!$B286,Производство!P$104:P$145)&gt;0,SUMIF(Производство!$A$104:$A$145,Технологи!$B286,Производство!P$104:P$145)*$F286+$G286,0)</f>
        <v>58.326130800000001</v>
      </c>
      <c r="T286" s="46">
        <f t="array" ref="T286">IF(SUMIF(Производство!$A$104:$A$145,Технологи!$B286,Производство!Q$104:Q$145)&gt;0,SUMIF(Производство!$A$104:$A$145,Технологи!$B286,Производство!Q$104:Q$145)*$F286+$G286,0)</f>
        <v>58.326130800000001</v>
      </c>
    </row>
    <row r="287" spans="1:20" x14ac:dyDescent="0.25">
      <c r="A287" s="34" t="s">
        <v>377</v>
      </c>
      <c r="B287" s="13" t="s">
        <v>36</v>
      </c>
      <c r="C287" s="19" t="s">
        <v>20</v>
      </c>
      <c r="D287" s="14">
        <v>7038</v>
      </c>
      <c r="E287" s="20"/>
      <c r="F287" s="24">
        <v>2.4E-2</v>
      </c>
      <c r="G287" s="24">
        <v>0.36</v>
      </c>
      <c r="H287" s="23">
        <f t="shared" si="13"/>
        <v>24</v>
      </c>
      <c r="I287" s="46">
        <f t="array" ref="I287">IF(SUMIF(Производство!$A$104:$A$145,Технологи!$B287,Производство!F$104:F$145)&gt;0,SUMIF(Производство!$A$104:$A$145,Технологи!$B287,Производство!F$104:F$145)*$F287+$G287,0)</f>
        <v>0</v>
      </c>
      <c r="J287" s="46">
        <f t="array" ref="J287">IF(SUMIF(Производство!$A$104:$A$145,Технологи!$B287,Производство!G$104:G$145)&gt;0,SUMIF(Производство!$A$104:$A$145,Технологи!$B287,Производство!G$104:G$145)*$F287+$G287,0)</f>
        <v>0</v>
      </c>
      <c r="K287" s="46">
        <f t="array" ref="K287">IF(SUMIF(Производство!$A$104:$A$145,Технологи!$B287,Производство!H$104:H$145)&gt;0,SUMIF(Производство!$A$104:$A$145,Технологи!$B287,Производство!H$104:H$145)*$F287+$G287,0)</f>
        <v>0</v>
      </c>
      <c r="L287" s="46">
        <f t="array" ref="L287">IF(SUMIF(Производство!$A$104:$A$145,Технологи!$B287,Производство!I$104:I$145)&gt;0,SUMIF(Производство!$A$104:$A$145,Технологи!$B287,Производство!I$104:I$145)*$F287+$G287,0)</f>
        <v>6.2260800000000005</v>
      </c>
      <c r="M287" s="46">
        <f t="array" ref="M287">IF(SUMIF(Производство!$A$104:$A$145,Технологи!$B287,Производство!J$104:J$145)&gt;0,SUMIF(Производство!$A$104:$A$145,Технологи!$B287,Производство!J$104:J$145)*$F287+$G287,0)</f>
        <v>6.2260800000000005</v>
      </c>
      <c r="N287" s="46">
        <f t="array" ref="N287">IF(SUMIF(Производство!$A$104:$A$145,Технологи!$B287,Производство!K$104:K$145)&gt;0,SUMIF(Производство!$A$104:$A$145,Технологи!$B287,Производство!K$104:K$145)*$F287+$G287,0)</f>
        <v>6.2260800000000005</v>
      </c>
      <c r="O287" s="46">
        <f t="array" ref="O287">IF(SUMIF(Производство!$A$104:$A$145,Технологи!$B287,Производство!L$104:L$145)&gt;0,SUMIF(Производство!$A$104:$A$145,Технологи!$B287,Производство!L$104:L$145)*$F287+$G287,0)</f>
        <v>6.2260800000000005</v>
      </c>
      <c r="P287" s="46">
        <f t="array" ref="P287">IF(SUMIF(Производство!$A$104:$A$145,Технологи!$B287,Производство!M$104:M$145)&gt;0,SUMIF(Производство!$A$104:$A$145,Технологи!$B287,Производство!M$104:M$145)*$F287+$G287,0)</f>
        <v>6.2260800000000005</v>
      </c>
      <c r="Q287" s="46">
        <f t="array" ref="Q287">IF(SUMIF(Производство!$A$104:$A$145,Технологи!$B287,Производство!N$104:N$145)&gt;0,SUMIF(Производство!$A$104:$A$145,Технологи!$B287,Производство!N$104:N$145)*$F287+$G287,0)</f>
        <v>6.2260800000000005</v>
      </c>
      <c r="R287" s="46">
        <f t="array" ref="R287">IF(SUMIF(Производство!$A$104:$A$145,Технологи!$B287,Производство!O$104:O$145)&gt;0,SUMIF(Производство!$A$104:$A$145,Технологи!$B287,Производство!O$104:O$145)*$F287+$G287,0)</f>
        <v>6.2260800000000005</v>
      </c>
      <c r="S287" s="46">
        <f t="array" ref="S287">IF(SUMIF(Производство!$A$104:$A$145,Технологи!$B287,Производство!P$104:P$145)&gt;0,SUMIF(Производство!$A$104:$A$145,Технологи!$B287,Производство!P$104:P$145)*$F287+$G287,0)</f>
        <v>6.2260800000000005</v>
      </c>
      <c r="T287" s="46">
        <f t="array" ref="T287">IF(SUMIF(Производство!$A$104:$A$145,Технологи!$B287,Производство!Q$104:Q$145)&gt;0,SUMIF(Производство!$A$104:$A$145,Технологи!$B287,Производство!Q$104:Q$145)*$F287+$G287,0)</f>
        <v>6.2260800000000005</v>
      </c>
    </row>
    <row r="288" spans="1:20" x14ac:dyDescent="0.25">
      <c r="A288" s="34" t="s">
        <v>377</v>
      </c>
      <c r="B288" s="13" t="s">
        <v>36</v>
      </c>
      <c r="C288" s="19" t="s">
        <v>21</v>
      </c>
      <c r="D288" s="14">
        <v>7038</v>
      </c>
      <c r="E288" s="20"/>
      <c r="F288" s="24">
        <v>0</v>
      </c>
      <c r="G288" s="24">
        <v>0</v>
      </c>
      <c r="H288" s="23">
        <f t="shared" si="13"/>
        <v>0</v>
      </c>
      <c r="I288" s="46">
        <f t="array" ref="I288">IF(SUMIF(Производство!$A$104:$A$145,Технологи!$B288,Производство!F$104:F$145)&gt;0,SUMIF(Производство!$A$104:$A$145,Технологи!$B288,Производство!F$104:F$145)*$F288+$G288,0)</f>
        <v>0</v>
      </c>
      <c r="J288" s="46">
        <f t="array" ref="J288">IF(SUMIF(Производство!$A$104:$A$145,Технологи!$B288,Производство!G$104:G$145)&gt;0,SUMIF(Производство!$A$104:$A$145,Технологи!$B288,Производство!G$104:G$145)*$F288+$G288,0)</f>
        <v>0</v>
      </c>
      <c r="K288" s="46">
        <f t="array" ref="K288">IF(SUMIF(Производство!$A$104:$A$145,Технологи!$B288,Производство!H$104:H$145)&gt;0,SUMIF(Производство!$A$104:$A$145,Технологи!$B288,Производство!H$104:H$145)*$F288+$G288,0)</f>
        <v>0</v>
      </c>
      <c r="L288" s="46">
        <f t="array" ref="L288">IF(SUMIF(Производство!$A$104:$A$145,Технологи!$B288,Производство!I$104:I$145)&gt;0,SUMIF(Производство!$A$104:$A$145,Технологи!$B288,Производство!I$104:I$145)*$F288+$G288,0)</f>
        <v>0</v>
      </c>
      <c r="M288" s="46">
        <f t="array" ref="M288">IF(SUMIF(Производство!$A$104:$A$145,Технологи!$B288,Производство!J$104:J$145)&gt;0,SUMIF(Производство!$A$104:$A$145,Технологи!$B288,Производство!J$104:J$145)*$F288+$G288,0)</f>
        <v>0</v>
      </c>
      <c r="N288" s="46">
        <f t="array" ref="N288">IF(SUMIF(Производство!$A$104:$A$145,Технологи!$B288,Производство!K$104:K$145)&gt;0,SUMIF(Производство!$A$104:$A$145,Технологи!$B288,Производство!K$104:K$145)*$F288+$G288,0)</f>
        <v>0</v>
      </c>
      <c r="O288" s="46">
        <f t="array" ref="O288">IF(SUMIF(Производство!$A$104:$A$145,Технологи!$B288,Производство!L$104:L$145)&gt;0,SUMIF(Производство!$A$104:$A$145,Технологи!$B288,Производство!L$104:L$145)*$F288+$G288,0)</f>
        <v>0</v>
      </c>
      <c r="P288" s="46">
        <f t="array" ref="P288">IF(SUMIF(Производство!$A$104:$A$145,Технологи!$B288,Производство!M$104:M$145)&gt;0,SUMIF(Производство!$A$104:$A$145,Технологи!$B288,Производство!M$104:M$145)*$F288+$G288,0)</f>
        <v>0</v>
      </c>
      <c r="Q288" s="46">
        <f t="array" ref="Q288">IF(SUMIF(Производство!$A$104:$A$145,Технологи!$B288,Производство!N$104:N$145)&gt;0,SUMIF(Производство!$A$104:$A$145,Технологи!$B288,Производство!N$104:N$145)*$F288+$G288,0)</f>
        <v>0</v>
      </c>
      <c r="R288" s="46">
        <f t="array" ref="R288">IF(SUMIF(Производство!$A$104:$A$145,Технологи!$B288,Производство!O$104:O$145)&gt;0,SUMIF(Производство!$A$104:$A$145,Технологи!$B288,Производство!O$104:O$145)*$F288+$G288,0)</f>
        <v>0</v>
      </c>
      <c r="S288" s="46">
        <f t="array" ref="S288">IF(SUMIF(Производство!$A$104:$A$145,Технологи!$B288,Производство!P$104:P$145)&gt;0,SUMIF(Производство!$A$104:$A$145,Технологи!$B288,Производство!P$104:P$145)*$F288+$G288,0)</f>
        <v>0</v>
      </c>
      <c r="T288" s="46">
        <f t="array" ref="T288">IF(SUMIF(Производство!$A$104:$A$145,Технологи!$B288,Производство!Q$104:Q$145)&gt;0,SUMIF(Производство!$A$104:$A$145,Технологи!$B288,Производство!Q$104:Q$145)*$F288+$G288,0)</f>
        <v>0</v>
      </c>
    </row>
    <row r="289" spans="1:20" x14ac:dyDescent="0.25">
      <c r="A289" s="34" t="s">
        <v>377</v>
      </c>
      <c r="B289" s="13" t="s">
        <v>36</v>
      </c>
      <c r="C289" s="19" t="s">
        <v>22</v>
      </c>
      <c r="D289" s="14">
        <v>7038</v>
      </c>
      <c r="E289" s="20"/>
      <c r="F289" s="24">
        <v>2.7E-2</v>
      </c>
      <c r="G289" s="24">
        <v>0.40500000000000003</v>
      </c>
      <c r="H289" s="23">
        <f t="shared" si="13"/>
        <v>27</v>
      </c>
      <c r="I289" s="46">
        <f t="array" ref="I289">IF(SUMIF(Производство!$A$104:$A$145,Технологи!$B289,Производство!F$104:F$145)&gt;0,SUMIF(Производство!$A$104:$A$145,Технологи!$B289,Производство!F$104:F$145)*$F289+$G289,0)</f>
        <v>0</v>
      </c>
      <c r="J289" s="46">
        <f t="array" ref="J289">IF(SUMIF(Производство!$A$104:$A$145,Технологи!$B289,Производство!G$104:G$145)&gt;0,SUMIF(Производство!$A$104:$A$145,Технологи!$B289,Производство!G$104:G$145)*$F289+$G289,0)</f>
        <v>0</v>
      </c>
      <c r="K289" s="46">
        <f t="array" ref="K289">IF(SUMIF(Производство!$A$104:$A$145,Технологи!$B289,Производство!H$104:H$145)&gt;0,SUMIF(Производство!$A$104:$A$145,Технологи!$B289,Производство!H$104:H$145)*$F289+$G289,0)</f>
        <v>0</v>
      </c>
      <c r="L289" s="46">
        <f t="array" ref="L289">IF(SUMIF(Производство!$A$104:$A$145,Технологи!$B289,Производство!I$104:I$145)&gt;0,SUMIF(Производство!$A$104:$A$145,Технологи!$B289,Производство!I$104:I$145)*$F289+$G289,0)</f>
        <v>7.00434</v>
      </c>
      <c r="M289" s="46">
        <f t="array" ref="M289">IF(SUMIF(Производство!$A$104:$A$145,Технологи!$B289,Производство!J$104:J$145)&gt;0,SUMIF(Производство!$A$104:$A$145,Технологи!$B289,Производство!J$104:J$145)*$F289+$G289,0)</f>
        <v>7.00434</v>
      </c>
      <c r="N289" s="46">
        <f t="array" ref="N289">IF(SUMIF(Производство!$A$104:$A$145,Технологи!$B289,Производство!K$104:K$145)&gt;0,SUMIF(Производство!$A$104:$A$145,Технологи!$B289,Производство!K$104:K$145)*$F289+$G289,0)</f>
        <v>7.00434</v>
      </c>
      <c r="O289" s="46">
        <f t="array" ref="O289">IF(SUMIF(Производство!$A$104:$A$145,Технологи!$B289,Производство!L$104:L$145)&gt;0,SUMIF(Производство!$A$104:$A$145,Технологи!$B289,Производство!L$104:L$145)*$F289+$G289,0)</f>
        <v>7.00434</v>
      </c>
      <c r="P289" s="46">
        <f t="array" ref="P289">IF(SUMIF(Производство!$A$104:$A$145,Технологи!$B289,Производство!M$104:M$145)&gt;0,SUMIF(Производство!$A$104:$A$145,Технологи!$B289,Производство!M$104:M$145)*$F289+$G289,0)</f>
        <v>7.00434</v>
      </c>
      <c r="Q289" s="46">
        <f t="array" ref="Q289">IF(SUMIF(Производство!$A$104:$A$145,Технологи!$B289,Производство!N$104:N$145)&gt;0,SUMIF(Производство!$A$104:$A$145,Технологи!$B289,Производство!N$104:N$145)*$F289+$G289,0)</f>
        <v>7.00434</v>
      </c>
      <c r="R289" s="46">
        <f t="array" ref="R289">IF(SUMIF(Производство!$A$104:$A$145,Технологи!$B289,Производство!O$104:O$145)&gt;0,SUMIF(Производство!$A$104:$A$145,Технологи!$B289,Производство!O$104:O$145)*$F289+$G289,0)</f>
        <v>7.00434</v>
      </c>
      <c r="S289" s="46">
        <f t="array" ref="S289">IF(SUMIF(Производство!$A$104:$A$145,Технологи!$B289,Производство!P$104:P$145)&gt;0,SUMIF(Производство!$A$104:$A$145,Технологи!$B289,Производство!P$104:P$145)*$F289+$G289,0)</f>
        <v>7.00434</v>
      </c>
      <c r="T289" s="46">
        <f t="array" ref="T289">IF(SUMIF(Производство!$A$104:$A$145,Технологи!$B289,Производство!Q$104:Q$145)&gt;0,SUMIF(Производство!$A$104:$A$145,Технологи!$B289,Производство!Q$104:Q$145)*$F289+$G289,0)</f>
        <v>7.00434</v>
      </c>
    </row>
    <row r="290" spans="1:20" x14ac:dyDescent="0.25">
      <c r="A290" s="34" t="s">
        <v>377</v>
      </c>
      <c r="B290" s="13" t="s">
        <v>36</v>
      </c>
      <c r="C290" s="19" t="s">
        <v>23</v>
      </c>
      <c r="D290" s="14">
        <v>7038</v>
      </c>
      <c r="E290" s="20"/>
      <c r="F290" s="24">
        <v>0</v>
      </c>
      <c r="G290" s="24">
        <v>0</v>
      </c>
      <c r="H290" s="23">
        <f t="shared" si="13"/>
        <v>0</v>
      </c>
      <c r="I290" s="46">
        <f t="array" ref="I290">IF(SUMIF(Производство!$A$104:$A$145,Технологи!$B290,Производство!F$104:F$145)&gt;0,SUMIF(Производство!$A$104:$A$145,Технологи!$B290,Производство!F$104:F$145)*$F290+$G290,0)</f>
        <v>0</v>
      </c>
      <c r="J290" s="46">
        <f t="array" ref="J290">IF(SUMIF(Производство!$A$104:$A$145,Технологи!$B290,Производство!G$104:G$145)&gt;0,SUMIF(Производство!$A$104:$A$145,Технологи!$B290,Производство!G$104:G$145)*$F290+$G290,0)</f>
        <v>0</v>
      </c>
      <c r="K290" s="46">
        <f t="array" ref="K290">IF(SUMIF(Производство!$A$104:$A$145,Технологи!$B290,Производство!H$104:H$145)&gt;0,SUMIF(Производство!$A$104:$A$145,Технологи!$B290,Производство!H$104:H$145)*$F290+$G290,0)</f>
        <v>0</v>
      </c>
      <c r="L290" s="46">
        <f t="array" ref="L290">IF(SUMIF(Производство!$A$104:$A$145,Технологи!$B290,Производство!I$104:I$145)&gt;0,SUMIF(Производство!$A$104:$A$145,Технологи!$B290,Производство!I$104:I$145)*$F290+$G290,0)</f>
        <v>0</v>
      </c>
      <c r="M290" s="46">
        <f t="array" ref="M290">IF(SUMIF(Производство!$A$104:$A$145,Технологи!$B290,Производство!J$104:J$145)&gt;0,SUMIF(Производство!$A$104:$A$145,Технологи!$B290,Производство!J$104:J$145)*$F290+$G290,0)</f>
        <v>0</v>
      </c>
      <c r="N290" s="46">
        <f t="array" ref="N290">IF(SUMIF(Производство!$A$104:$A$145,Технологи!$B290,Производство!K$104:K$145)&gt;0,SUMIF(Производство!$A$104:$A$145,Технологи!$B290,Производство!K$104:K$145)*$F290+$G290,0)</f>
        <v>0</v>
      </c>
      <c r="O290" s="46">
        <f t="array" ref="O290">IF(SUMIF(Производство!$A$104:$A$145,Технологи!$B290,Производство!L$104:L$145)&gt;0,SUMIF(Производство!$A$104:$A$145,Технологи!$B290,Производство!L$104:L$145)*$F290+$G290,0)</f>
        <v>0</v>
      </c>
      <c r="P290" s="46">
        <f t="array" ref="P290">IF(SUMIF(Производство!$A$104:$A$145,Технологи!$B290,Производство!M$104:M$145)&gt;0,SUMIF(Производство!$A$104:$A$145,Технологи!$B290,Производство!M$104:M$145)*$F290+$G290,0)</f>
        <v>0</v>
      </c>
      <c r="Q290" s="46">
        <f t="array" ref="Q290">IF(SUMIF(Производство!$A$104:$A$145,Технологи!$B290,Производство!N$104:N$145)&gt;0,SUMIF(Производство!$A$104:$A$145,Технологи!$B290,Производство!N$104:N$145)*$F290+$G290,0)</f>
        <v>0</v>
      </c>
      <c r="R290" s="46">
        <f t="array" ref="R290">IF(SUMIF(Производство!$A$104:$A$145,Технологи!$B290,Производство!O$104:O$145)&gt;0,SUMIF(Производство!$A$104:$A$145,Технологи!$B290,Производство!O$104:O$145)*$F290+$G290,0)</f>
        <v>0</v>
      </c>
      <c r="S290" s="46">
        <f t="array" ref="S290">IF(SUMIF(Производство!$A$104:$A$145,Технологи!$B290,Производство!P$104:P$145)&gt;0,SUMIF(Производство!$A$104:$A$145,Технологи!$B290,Производство!P$104:P$145)*$F290+$G290,0)</f>
        <v>0</v>
      </c>
      <c r="T290" s="46">
        <f t="array" ref="T290">IF(SUMIF(Производство!$A$104:$A$145,Технологи!$B290,Производство!Q$104:Q$145)&gt;0,SUMIF(Производство!$A$104:$A$145,Технологи!$B290,Производство!Q$104:Q$145)*$F290+$G290,0)</f>
        <v>0</v>
      </c>
    </row>
    <row r="291" spans="1:20" x14ac:dyDescent="0.25">
      <c r="A291" s="34" t="s">
        <v>377</v>
      </c>
      <c r="B291" s="13" t="s">
        <v>37</v>
      </c>
      <c r="C291" s="15" t="s">
        <v>11</v>
      </c>
      <c r="D291" s="14">
        <v>7038</v>
      </c>
      <c r="E291" s="16">
        <v>0.50600000000000001</v>
      </c>
      <c r="F291" s="22">
        <f>SUM(F292:F303)</f>
        <v>0.50669465299052385</v>
      </c>
      <c r="G291" s="22">
        <f>SUM(G292:G303)</f>
        <v>35.064939999999993</v>
      </c>
      <c r="H291" s="23">
        <f t="shared" si="13"/>
        <v>506.69465299052388</v>
      </c>
      <c r="I291" s="46">
        <f t="array" ref="I291">IF(SUMIF(Производство!$A$104:$A$145,Технологи!$B291,Производство!F$104:F$145)&gt;0,SUMIF(Производство!$A$104:$A$145,Технологи!$B291,Производство!F$104:F$145)*$F291+$G291,0)</f>
        <v>0</v>
      </c>
      <c r="J291" s="46">
        <f t="array" ref="J291">IF(SUMIF(Производство!$A$104:$A$145,Технологи!$B291,Производство!G$104:G$145)&gt;0,SUMIF(Производство!$A$104:$A$145,Технологи!$B291,Производство!G$104:G$145)*$F291+$G291,0)</f>
        <v>0</v>
      </c>
      <c r="K291" s="46">
        <f t="array" ref="K291">IF(SUMIF(Производство!$A$104:$A$145,Технологи!$B291,Производство!H$104:H$145)&gt;0,SUMIF(Производство!$A$104:$A$145,Технологи!$B291,Производство!H$104:H$145)*$F291+$G291,0)</f>
        <v>0</v>
      </c>
      <c r="L291" s="46">
        <f t="array" ref="L291">IF(SUMIF(Производство!$A$104:$A$145,Технологи!$B291,Производство!I$104:I$145)&gt;0,SUMIF(Производство!$A$104:$A$145,Технологи!$B291,Производство!I$104:I$145)*$F291+$G291,0)</f>
        <v>0</v>
      </c>
      <c r="M291" s="46">
        <f t="array" ref="M291">IF(SUMIF(Производство!$A$104:$A$145,Технологи!$B291,Производство!J$104:J$145)&gt;0,SUMIF(Производство!$A$104:$A$145,Технологи!$B291,Производство!J$104:J$145)*$F291+$G291,0)</f>
        <v>0</v>
      </c>
      <c r="N291" s="46">
        <f t="array" ref="N291">IF(SUMIF(Производство!$A$104:$A$145,Технологи!$B291,Производство!K$104:K$145)&gt;0,SUMIF(Производство!$A$104:$A$145,Технологи!$B291,Производство!K$104:K$145)*$F291+$G291,0)</f>
        <v>0</v>
      </c>
      <c r="O291" s="46">
        <f t="array" ref="O291">IF(SUMIF(Производство!$A$104:$A$145,Технологи!$B291,Производство!L$104:L$145)&gt;0,SUMIF(Производство!$A$104:$A$145,Технологи!$B291,Производство!L$104:L$145)*$F291+$G291,0)</f>
        <v>0</v>
      </c>
      <c r="P291" s="46">
        <f t="array" ref="P291">IF(SUMIF(Производство!$A$104:$A$145,Технологи!$B291,Производство!M$104:M$145)&gt;0,SUMIF(Производство!$A$104:$A$145,Технологи!$B291,Производство!M$104:M$145)*$F291+$G291,0)</f>
        <v>0</v>
      </c>
      <c r="Q291" s="46">
        <f t="array" ref="Q291">IF(SUMIF(Производство!$A$104:$A$145,Технологи!$B291,Производство!N$104:N$145)&gt;0,SUMIF(Производство!$A$104:$A$145,Технологи!$B291,Производство!N$104:N$145)*$F291+$G291,0)</f>
        <v>0</v>
      </c>
      <c r="R291" s="46">
        <f t="array" ref="R291">IF(SUMIF(Производство!$A$104:$A$145,Технологи!$B291,Производство!O$104:O$145)&gt;0,SUMIF(Производство!$A$104:$A$145,Технологи!$B291,Производство!O$104:O$145)*$F291+$G291,0)</f>
        <v>0</v>
      </c>
      <c r="S291" s="46">
        <f t="array" ref="S291">IF(SUMIF(Производство!$A$104:$A$145,Технологи!$B291,Производство!P$104:P$145)&gt;0,SUMIF(Производство!$A$104:$A$145,Технологи!$B291,Производство!P$104:P$145)*$F291+$G291,0)</f>
        <v>0</v>
      </c>
      <c r="T291" s="46">
        <f t="array" ref="T291">IF(SUMIF(Производство!$A$104:$A$145,Технологи!$B291,Производство!Q$104:Q$145)&gt;0,SUMIF(Производство!$A$104:$A$145,Технологи!$B291,Производство!Q$104:Q$145)*$F291+$G291,0)</f>
        <v>0</v>
      </c>
    </row>
    <row r="292" spans="1:20" x14ac:dyDescent="0.25">
      <c r="A292" s="34" t="s">
        <v>377</v>
      </c>
      <c r="B292" s="13" t="s">
        <v>37</v>
      </c>
      <c r="C292" s="19" t="s">
        <v>12</v>
      </c>
      <c r="D292" s="14">
        <v>7038</v>
      </c>
      <c r="E292" s="20"/>
      <c r="F292" s="24">
        <v>0.13217878762541801</v>
      </c>
      <c r="G292" s="24">
        <v>18.323616685247114</v>
      </c>
      <c r="H292" s="23">
        <f t="shared" si="13"/>
        <v>132.17878762541801</v>
      </c>
      <c r="I292" s="46">
        <f t="array" ref="I292">IF(SUMIF(Производство!$A$104:$A$145,Технологи!$B292,Производство!F$104:F$145)&gt;0,SUMIF(Производство!$A$104:$A$145,Технологи!$B292,Производство!F$104:F$145)*$F292+$G292,0)</f>
        <v>0</v>
      </c>
      <c r="J292" s="46">
        <f t="array" ref="J292">IF(SUMIF(Производство!$A$104:$A$145,Технологи!$B292,Производство!G$104:G$145)&gt;0,SUMIF(Производство!$A$104:$A$145,Технологи!$B292,Производство!G$104:G$145)*$F292+$G292,0)</f>
        <v>0</v>
      </c>
      <c r="K292" s="46">
        <f t="array" ref="K292">IF(SUMIF(Производство!$A$104:$A$145,Технологи!$B292,Производство!H$104:H$145)&gt;0,SUMIF(Производство!$A$104:$A$145,Технологи!$B292,Производство!H$104:H$145)*$F292+$G292,0)</f>
        <v>0</v>
      </c>
      <c r="L292" s="46">
        <f t="array" ref="L292">IF(SUMIF(Производство!$A$104:$A$145,Технологи!$B292,Производство!I$104:I$145)&gt;0,SUMIF(Производство!$A$104:$A$145,Технологи!$B292,Производство!I$104:I$145)*$F292+$G292,0)</f>
        <v>0</v>
      </c>
      <c r="M292" s="46">
        <f t="array" ref="M292">IF(SUMIF(Производство!$A$104:$A$145,Технологи!$B292,Производство!J$104:J$145)&gt;0,SUMIF(Производство!$A$104:$A$145,Технологи!$B292,Производство!J$104:J$145)*$F292+$G292,0)</f>
        <v>0</v>
      </c>
      <c r="N292" s="46">
        <f t="array" ref="N292">IF(SUMIF(Производство!$A$104:$A$145,Технологи!$B292,Производство!K$104:K$145)&gt;0,SUMIF(Производство!$A$104:$A$145,Технологи!$B292,Производство!K$104:K$145)*$F292+$G292,0)</f>
        <v>0</v>
      </c>
      <c r="O292" s="46">
        <f t="array" ref="O292">IF(SUMIF(Производство!$A$104:$A$145,Технологи!$B292,Производство!L$104:L$145)&gt;0,SUMIF(Производство!$A$104:$A$145,Технологи!$B292,Производство!L$104:L$145)*$F292+$G292,0)</f>
        <v>0</v>
      </c>
      <c r="P292" s="46">
        <f t="array" ref="P292">IF(SUMIF(Производство!$A$104:$A$145,Технологи!$B292,Производство!M$104:M$145)&gt;0,SUMIF(Производство!$A$104:$A$145,Технологи!$B292,Производство!M$104:M$145)*$F292+$G292,0)</f>
        <v>0</v>
      </c>
      <c r="Q292" s="46">
        <f t="array" ref="Q292">IF(SUMIF(Производство!$A$104:$A$145,Технологи!$B292,Производство!N$104:N$145)&gt;0,SUMIF(Производство!$A$104:$A$145,Технологи!$B292,Производство!N$104:N$145)*$F292+$G292,0)</f>
        <v>0</v>
      </c>
      <c r="R292" s="46">
        <f t="array" ref="R292">IF(SUMIF(Производство!$A$104:$A$145,Технологи!$B292,Производство!O$104:O$145)&gt;0,SUMIF(Производство!$A$104:$A$145,Технологи!$B292,Производство!O$104:O$145)*$F292+$G292,0)</f>
        <v>0</v>
      </c>
      <c r="S292" s="46">
        <f t="array" ref="S292">IF(SUMIF(Производство!$A$104:$A$145,Технологи!$B292,Производство!P$104:P$145)&gt;0,SUMIF(Производство!$A$104:$A$145,Технологи!$B292,Производство!P$104:P$145)*$F292+$G292,0)</f>
        <v>0</v>
      </c>
      <c r="T292" s="46">
        <f t="array" ref="T292">IF(SUMIF(Производство!$A$104:$A$145,Технологи!$B292,Производство!Q$104:Q$145)&gt;0,SUMIF(Производство!$A$104:$A$145,Технологи!$B292,Производство!Q$104:Q$145)*$F292+$G292,0)</f>
        <v>0</v>
      </c>
    </row>
    <row r="293" spans="1:20" x14ac:dyDescent="0.25">
      <c r="A293" s="34" t="s">
        <v>377</v>
      </c>
      <c r="B293" s="13" t="s">
        <v>37</v>
      </c>
      <c r="C293" s="19" t="s">
        <v>13</v>
      </c>
      <c r="D293" s="14">
        <v>7038</v>
      </c>
      <c r="E293" s="20"/>
      <c r="F293" s="24">
        <v>3.9850918060200656E-2</v>
      </c>
      <c r="G293" s="24">
        <v>5.497085005574136</v>
      </c>
      <c r="H293" s="23">
        <f t="shared" si="13"/>
        <v>39.850918060200655</v>
      </c>
      <c r="I293" s="46">
        <f t="array" ref="I293">IF(SUMIF(Производство!$A$104:$A$145,Технологи!$B293,Производство!F$104:F$145)&gt;0,SUMIF(Производство!$A$104:$A$145,Технологи!$B293,Производство!F$104:F$145)*$F293+$G293,0)</f>
        <v>0</v>
      </c>
      <c r="J293" s="46">
        <f t="array" ref="J293">IF(SUMIF(Производство!$A$104:$A$145,Технологи!$B293,Производство!G$104:G$145)&gt;0,SUMIF(Производство!$A$104:$A$145,Технологи!$B293,Производство!G$104:G$145)*$F293+$G293,0)</f>
        <v>0</v>
      </c>
      <c r="K293" s="46">
        <f t="array" ref="K293">IF(SUMIF(Производство!$A$104:$A$145,Технологи!$B293,Производство!H$104:H$145)&gt;0,SUMIF(Производство!$A$104:$A$145,Технологи!$B293,Производство!H$104:H$145)*$F293+$G293,0)</f>
        <v>0</v>
      </c>
      <c r="L293" s="46">
        <f t="array" ref="L293">IF(SUMIF(Производство!$A$104:$A$145,Технологи!$B293,Производство!I$104:I$145)&gt;0,SUMIF(Производство!$A$104:$A$145,Технологи!$B293,Производство!I$104:I$145)*$F293+$G293,0)</f>
        <v>0</v>
      </c>
      <c r="M293" s="46">
        <f t="array" ref="M293">IF(SUMIF(Производство!$A$104:$A$145,Технологи!$B293,Производство!J$104:J$145)&gt;0,SUMIF(Производство!$A$104:$A$145,Технологи!$B293,Производство!J$104:J$145)*$F293+$G293,0)</f>
        <v>0</v>
      </c>
      <c r="N293" s="46">
        <f t="array" ref="N293">IF(SUMIF(Производство!$A$104:$A$145,Технологи!$B293,Производство!K$104:K$145)&gt;0,SUMIF(Производство!$A$104:$A$145,Технологи!$B293,Производство!K$104:K$145)*$F293+$G293,0)</f>
        <v>0</v>
      </c>
      <c r="O293" s="46">
        <f t="array" ref="O293">IF(SUMIF(Производство!$A$104:$A$145,Технологи!$B293,Производство!L$104:L$145)&gt;0,SUMIF(Производство!$A$104:$A$145,Технологи!$B293,Производство!L$104:L$145)*$F293+$G293,0)</f>
        <v>0</v>
      </c>
      <c r="P293" s="46">
        <f t="array" ref="P293">IF(SUMIF(Производство!$A$104:$A$145,Технологи!$B293,Производство!M$104:M$145)&gt;0,SUMIF(Производство!$A$104:$A$145,Технологи!$B293,Производство!M$104:M$145)*$F293+$G293,0)</f>
        <v>0</v>
      </c>
      <c r="Q293" s="46">
        <f t="array" ref="Q293">IF(SUMIF(Производство!$A$104:$A$145,Технологи!$B293,Производство!N$104:N$145)&gt;0,SUMIF(Производство!$A$104:$A$145,Технологи!$B293,Производство!N$104:N$145)*$F293+$G293,0)</f>
        <v>0</v>
      </c>
      <c r="R293" s="46">
        <f t="array" ref="R293">IF(SUMIF(Производство!$A$104:$A$145,Технологи!$B293,Производство!O$104:O$145)&gt;0,SUMIF(Производство!$A$104:$A$145,Технологи!$B293,Производство!O$104:O$145)*$F293+$G293,0)</f>
        <v>0</v>
      </c>
      <c r="S293" s="46">
        <f t="array" ref="S293">IF(SUMIF(Производство!$A$104:$A$145,Технологи!$B293,Производство!P$104:P$145)&gt;0,SUMIF(Производство!$A$104:$A$145,Технологи!$B293,Производство!P$104:P$145)*$F293+$G293,0)</f>
        <v>0</v>
      </c>
      <c r="T293" s="46">
        <f t="array" ref="T293">IF(SUMIF(Производство!$A$104:$A$145,Технологи!$B293,Производство!Q$104:Q$145)&gt;0,SUMIF(Производство!$A$104:$A$145,Технологи!$B293,Производство!Q$104:Q$145)*$F293+$G293,0)</f>
        <v>0</v>
      </c>
    </row>
    <row r="294" spans="1:20" x14ac:dyDescent="0.25">
      <c r="A294" s="34" t="s">
        <v>377</v>
      </c>
      <c r="B294" s="13" t="s">
        <v>37</v>
      </c>
      <c r="C294" s="19" t="s">
        <v>14</v>
      </c>
      <c r="D294" s="14">
        <v>7038</v>
      </c>
      <c r="E294" s="20"/>
      <c r="F294" s="24">
        <v>3.9850918060200656E-4</v>
      </c>
      <c r="G294" s="24">
        <v>5.4970850055741351E-2</v>
      </c>
      <c r="H294" s="23">
        <f t="shared" si="13"/>
        <v>0.39850918060200657</v>
      </c>
      <c r="I294" s="46">
        <f t="array" ref="I294">IF(SUMIF(Производство!$A$104:$A$145,Технологи!$B294,Производство!F$104:F$145)&gt;0,SUMIF(Производство!$A$104:$A$145,Технологи!$B294,Производство!F$104:F$145)*$F294+$G294,0)</f>
        <v>0</v>
      </c>
      <c r="J294" s="46">
        <f t="array" ref="J294">IF(SUMIF(Производство!$A$104:$A$145,Технологи!$B294,Производство!G$104:G$145)&gt;0,SUMIF(Производство!$A$104:$A$145,Технологи!$B294,Производство!G$104:G$145)*$F294+$G294,0)</f>
        <v>0</v>
      </c>
      <c r="K294" s="46">
        <f t="array" ref="K294">IF(SUMIF(Производство!$A$104:$A$145,Технологи!$B294,Производство!H$104:H$145)&gt;0,SUMIF(Производство!$A$104:$A$145,Технологи!$B294,Производство!H$104:H$145)*$F294+$G294,0)</f>
        <v>0</v>
      </c>
      <c r="L294" s="46">
        <f t="array" ref="L294">IF(SUMIF(Производство!$A$104:$A$145,Технологи!$B294,Производство!I$104:I$145)&gt;0,SUMIF(Производство!$A$104:$A$145,Технологи!$B294,Производство!I$104:I$145)*$F294+$G294,0)</f>
        <v>0</v>
      </c>
      <c r="M294" s="46">
        <f t="array" ref="M294">IF(SUMIF(Производство!$A$104:$A$145,Технологи!$B294,Производство!J$104:J$145)&gt;0,SUMIF(Производство!$A$104:$A$145,Технологи!$B294,Производство!J$104:J$145)*$F294+$G294,0)</f>
        <v>0</v>
      </c>
      <c r="N294" s="46">
        <f t="array" ref="N294">IF(SUMIF(Производство!$A$104:$A$145,Технологи!$B294,Производство!K$104:K$145)&gt;0,SUMIF(Производство!$A$104:$A$145,Технологи!$B294,Производство!K$104:K$145)*$F294+$G294,0)</f>
        <v>0</v>
      </c>
      <c r="O294" s="46">
        <f t="array" ref="O294">IF(SUMIF(Производство!$A$104:$A$145,Технологи!$B294,Производство!L$104:L$145)&gt;0,SUMIF(Производство!$A$104:$A$145,Технологи!$B294,Производство!L$104:L$145)*$F294+$G294,0)</f>
        <v>0</v>
      </c>
      <c r="P294" s="46">
        <f t="array" ref="P294">IF(SUMIF(Производство!$A$104:$A$145,Технологи!$B294,Производство!M$104:M$145)&gt;0,SUMIF(Производство!$A$104:$A$145,Технологи!$B294,Производство!M$104:M$145)*$F294+$G294,0)</f>
        <v>0</v>
      </c>
      <c r="Q294" s="46">
        <f t="array" ref="Q294">IF(SUMIF(Производство!$A$104:$A$145,Технологи!$B294,Производство!N$104:N$145)&gt;0,SUMIF(Производство!$A$104:$A$145,Технологи!$B294,Производство!N$104:N$145)*$F294+$G294,0)</f>
        <v>0</v>
      </c>
      <c r="R294" s="46">
        <f t="array" ref="R294">IF(SUMIF(Производство!$A$104:$A$145,Технологи!$B294,Производство!O$104:O$145)&gt;0,SUMIF(Производство!$A$104:$A$145,Технологи!$B294,Производство!O$104:O$145)*$F294+$G294,0)</f>
        <v>0</v>
      </c>
      <c r="S294" s="46">
        <f t="array" ref="S294">IF(SUMIF(Производство!$A$104:$A$145,Технологи!$B294,Производство!P$104:P$145)&gt;0,SUMIF(Производство!$A$104:$A$145,Технологи!$B294,Производство!P$104:P$145)*$F294+$G294,0)</f>
        <v>0</v>
      </c>
      <c r="T294" s="46">
        <f t="array" ref="T294">IF(SUMIF(Производство!$A$104:$A$145,Технологи!$B294,Производство!Q$104:Q$145)&gt;0,SUMIF(Производство!$A$104:$A$145,Технологи!$B294,Производство!Q$104:Q$145)*$F294+$G294,0)</f>
        <v>0</v>
      </c>
    </row>
    <row r="295" spans="1:20" x14ac:dyDescent="0.25">
      <c r="A295" s="34" t="s">
        <v>377</v>
      </c>
      <c r="B295" s="13" t="s">
        <v>37</v>
      </c>
      <c r="C295" s="19" t="s">
        <v>15</v>
      </c>
      <c r="D295" s="14">
        <v>7038</v>
      </c>
      <c r="E295" s="20"/>
      <c r="F295" s="24">
        <v>1.9925459030100328E-4</v>
      </c>
      <c r="G295" s="24">
        <v>2.7485425027870675E-2</v>
      </c>
      <c r="H295" s="23">
        <f t="shared" si="13"/>
        <v>0.19925459030100329</v>
      </c>
      <c r="I295" s="46">
        <f t="array" ref="I295">IF(SUMIF(Производство!$A$104:$A$145,Технологи!$B295,Производство!F$104:F$145)&gt;0,SUMIF(Производство!$A$104:$A$145,Технологи!$B295,Производство!F$104:F$145)*$F295+$G295,0)</f>
        <v>0</v>
      </c>
      <c r="J295" s="46">
        <f t="array" ref="J295">IF(SUMIF(Производство!$A$104:$A$145,Технологи!$B295,Производство!G$104:G$145)&gt;0,SUMIF(Производство!$A$104:$A$145,Технологи!$B295,Производство!G$104:G$145)*$F295+$G295,0)</f>
        <v>0</v>
      </c>
      <c r="K295" s="46">
        <f t="array" ref="K295">IF(SUMIF(Производство!$A$104:$A$145,Технологи!$B295,Производство!H$104:H$145)&gt;0,SUMIF(Производство!$A$104:$A$145,Технологи!$B295,Производство!H$104:H$145)*$F295+$G295,0)</f>
        <v>0</v>
      </c>
      <c r="L295" s="46">
        <f t="array" ref="L295">IF(SUMIF(Производство!$A$104:$A$145,Технологи!$B295,Производство!I$104:I$145)&gt;0,SUMIF(Производство!$A$104:$A$145,Технологи!$B295,Производство!I$104:I$145)*$F295+$G295,0)</f>
        <v>0</v>
      </c>
      <c r="M295" s="46">
        <f t="array" ref="M295">IF(SUMIF(Производство!$A$104:$A$145,Технологи!$B295,Производство!J$104:J$145)&gt;0,SUMIF(Производство!$A$104:$A$145,Технологи!$B295,Производство!J$104:J$145)*$F295+$G295,0)</f>
        <v>0</v>
      </c>
      <c r="N295" s="46">
        <f t="array" ref="N295">IF(SUMIF(Производство!$A$104:$A$145,Технологи!$B295,Производство!K$104:K$145)&gt;0,SUMIF(Производство!$A$104:$A$145,Технологи!$B295,Производство!K$104:K$145)*$F295+$G295,0)</f>
        <v>0</v>
      </c>
      <c r="O295" s="46">
        <f t="array" ref="O295">IF(SUMIF(Производство!$A$104:$A$145,Технологи!$B295,Производство!L$104:L$145)&gt;0,SUMIF(Производство!$A$104:$A$145,Технологи!$B295,Производство!L$104:L$145)*$F295+$G295,0)</f>
        <v>0</v>
      </c>
      <c r="P295" s="46">
        <f t="array" ref="P295">IF(SUMIF(Производство!$A$104:$A$145,Технологи!$B295,Производство!M$104:M$145)&gt;0,SUMIF(Производство!$A$104:$A$145,Технологи!$B295,Производство!M$104:M$145)*$F295+$G295,0)</f>
        <v>0</v>
      </c>
      <c r="Q295" s="46">
        <f t="array" ref="Q295">IF(SUMIF(Производство!$A$104:$A$145,Технологи!$B295,Производство!N$104:N$145)&gt;0,SUMIF(Производство!$A$104:$A$145,Технологи!$B295,Производство!N$104:N$145)*$F295+$G295,0)</f>
        <v>0</v>
      </c>
      <c r="R295" s="46">
        <f t="array" ref="R295">IF(SUMIF(Производство!$A$104:$A$145,Технологи!$B295,Производство!O$104:O$145)&gt;0,SUMIF(Производство!$A$104:$A$145,Технологи!$B295,Производство!O$104:O$145)*$F295+$G295,0)</f>
        <v>0</v>
      </c>
      <c r="S295" s="46">
        <f t="array" ref="S295">IF(SUMIF(Производство!$A$104:$A$145,Технологи!$B295,Производство!P$104:P$145)&gt;0,SUMIF(Производство!$A$104:$A$145,Технологи!$B295,Производство!P$104:P$145)*$F295+$G295,0)</f>
        <v>0</v>
      </c>
      <c r="T295" s="46">
        <f t="array" ref="T295">IF(SUMIF(Производство!$A$104:$A$145,Технологи!$B295,Производство!Q$104:Q$145)&gt;0,SUMIF(Производство!$A$104:$A$145,Технологи!$B295,Производство!Q$104:Q$145)*$F295+$G295,0)</f>
        <v>0</v>
      </c>
    </row>
    <row r="296" spans="1:20" x14ac:dyDescent="0.25">
      <c r="A296" s="34" t="s">
        <v>377</v>
      </c>
      <c r="B296" s="13" t="s">
        <v>37</v>
      </c>
      <c r="C296" s="19" t="s">
        <v>16</v>
      </c>
      <c r="D296" s="14">
        <v>7038</v>
      </c>
      <c r="E296" s="20"/>
      <c r="F296" s="24">
        <v>2.6435757525083608E-3</v>
      </c>
      <c r="G296" s="24">
        <v>0.36647233370494242</v>
      </c>
      <c r="H296" s="23">
        <f t="shared" si="13"/>
        <v>2.6435757525083607</v>
      </c>
      <c r="I296" s="46">
        <f t="array" ref="I296">IF(SUMIF(Производство!$A$104:$A$145,Технологи!$B296,Производство!F$104:F$145)&gt;0,SUMIF(Производство!$A$104:$A$145,Технологи!$B296,Производство!F$104:F$145)*$F296+$G296,0)</f>
        <v>0</v>
      </c>
      <c r="J296" s="46">
        <f t="array" ref="J296">IF(SUMIF(Производство!$A$104:$A$145,Технологи!$B296,Производство!G$104:G$145)&gt;0,SUMIF(Производство!$A$104:$A$145,Технологи!$B296,Производство!G$104:G$145)*$F296+$G296,0)</f>
        <v>0</v>
      </c>
      <c r="K296" s="46">
        <f t="array" ref="K296">IF(SUMIF(Производство!$A$104:$A$145,Технологи!$B296,Производство!H$104:H$145)&gt;0,SUMIF(Производство!$A$104:$A$145,Технологи!$B296,Производство!H$104:H$145)*$F296+$G296,0)</f>
        <v>0</v>
      </c>
      <c r="L296" s="46">
        <f t="array" ref="L296">IF(SUMIF(Производство!$A$104:$A$145,Технологи!$B296,Производство!I$104:I$145)&gt;0,SUMIF(Производство!$A$104:$A$145,Технологи!$B296,Производство!I$104:I$145)*$F296+$G296,0)</f>
        <v>0</v>
      </c>
      <c r="M296" s="46">
        <f t="array" ref="M296">IF(SUMIF(Производство!$A$104:$A$145,Технологи!$B296,Производство!J$104:J$145)&gt;0,SUMIF(Производство!$A$104:$A$145,Технологи!$B296,Производство!J$104:J$145)*$F296+$G296,0)</f>
        <v>0</v>
      </c>
      <c r="N296" s="46">
        <f t="array" ref="N296">IF(SUMIF(Производство!$A$104:$A$145,Технологи!$B296,Производство!K$104:K$145)&gt;0,SUMIF(Производство!$A$104:$A$145,Технологи!$B296,Производство!K$104:K$145)*$F296+$G296,0)</f>
        <v>0</v>
      </c>
      <c r="O296" s="46">
        <f t="array" ref="O296">IF(SUMIF(Производство!$A$104:$A$145,Технологи!$B296,Производство!L$104:L$145)&gt;0,SUMIF(Производство!$A$104:$A$145,Технологи!$B296,Производство!L$104:L$145)*$F296+$G296,0)</f>
        <v>0</v>
      </c>
      <c r="P296" s="46">
        <f t="array" ref="P296">IF(SUMIF(Производство!$A$104:$A$145,Технологи!$B296,Производство!M$104:M$145)&gt;0,SUMIF(Производство!$A$104:$A$145,Технологи!$B296,Производство!M$104:M$145)*$F296+$G296,0)</f>
        <v>0</v>
      </c>
      <c r="Q296" s="46">
        <f t="array" ref="Q296">IF(SUMIF(Производство!$A$104:$A$145,Технологи!$B296,Производство!N$104:N$145)&gt;0,SUMIF(Производство!$A$104:$A$145,Технологи!$B296,Производство!N$104:N$145)*$F296+$G296,0)</f>
        <v>0</v>
      </c>
      <c r="R296" s="46">
        <f t="array" ref="R296">IF(SUMIF(Производство!$A$104:$A$145,Технологи!$B296,Производство!O$104:O$145)&gt;0,SUMIF(Производство!$A$104:$A$145,Технологи!$B296,Производство!O$104:O$145)*$F296+$G296,0)</f>
        <v>0</v>
      </c>
      <c r="S296" s="46">
        <f t="array" ref="S296">IF(SUMIF(Производство!$A$104:$A$145,Технологи!$B296,Производство!P$104:P$145)&gt;0,SUMIF(Производство!$A$104:$A$145,Технологи!$B296,Производство!P$104:P$145)*$F296+$G296,0)</f>
        <v>0</v>
      </c>
      <c r="T296" s="46">
        <f t="array" ref="T296">IF(SUMIF(Производство!$A$104:$A$145,Технологи!$B296,Производство!Q$104:Q$145)&gt;0,SUMIF(Производство!$A$104:$A$145,Технологи!$B296,Производство!Q$104:Q$145)*$F296+$G296,0)</f>
        <v>0</v>
      </c>
    </row>
    <row r="297" spans="1:20" x14ac:dyDescent="0.25">
      <c r="A297" s="34" t="s">
        <v>377</v>
      </c>
      <c r="B297" s="13" t="s">
        <v>37</v>
      </c>
      <c r="C297" s="19" t="s">
        <v>17</v>
      </c>
      <c r="D297" s="14">
        <v>7038</v>
      </c>
      <c r="E297" s="20"/>
      <c r="F297" s="24">
        <v>1.4612003288740243E-3</v>
      </c>
      <c r="G297" s="24">
        <v>0.20155978353771831</v>
      </c>
      <c r="H297" s="23">
        <f t="shared" si="13"/>
        <v>1.4612003288740243</v>
      </c>
      <c r="I297" s="46">
        <f t="array" ref="I297">IF(SUMIF(Производство!$A$104:$A$145,Технологи!$B297,Производство!F$104:F$145)&gt;0,SUMIF(Производство!$A$104:$A$145,Технологи!$B297,Производство!F$104:F$145)*$F297+$G297,0)</f>
        <v>0</v>
      </c>
      <c r="J297" s="46">
        <f t="array" ref="J297">IF(SUMIF(Производство!$A$104:$A$145,Технологи!$B297,Производство!G$104:G$145)&gt;0,SUMIF(Производство!$A$104:$A$145,Технологи!$B297,Производство!G$104:G$145)*$F297+$G297,0)</f>
        <v>0</v>
      </c>
      <c r="K297" s="46">
        <f t="array" ref="K297">IF(SUMIF(Производство!$A$104:$A$145,Технологи!$B297,Производство!H$104:H$145)&gt;0,SUMIF(Производство!$A$104:$A$145,Технологи!$B297,Производство!H$104:H$145)*$F297+$G297,0)</f>
        <v>0</v>
      </c>
      <c r="L297" s="46">
        <f t="array" ref="L297">IF(SUMIF(Производство!$A$104:$A$145,Технологи!$B297,Производство!I$104:I$145)&gt;0,SUMIF(Производство!$A$104:$A$145,Технологи!$B297,Производство!I$104:I$145)*$F297+$G297,0)</f>
        <v>0</v>
      </c>
      <c r="M297" s="46">
        <f t="array" ref="M297">IF(SUMIF(Производство!$A$104:$A$145,Технологи!$B297,Производство!J$104:J$145)&gt;0,SUMIF(Производство!$A$104:$A$145,Технологи!$B297,Производство!J$104:J$145)*$F297+$G297,0)</f>
        <v>0</v>
      </c>
      <c r="N297" s="46">
        <f t="array" ref="N297">IF(SUMIF(Производство!$A$104:$A$145,Технологи!$B297,Производство!K$104:K$145)&gt;0,SUMIF(Производство!$A$104:$A$145,Технологи!$B297,Производство!K$104:K$145)*$F297+$G297,0)</f>
        <v>0</v>
      </c>
      <c r="O297" s="46">
        <f t="array" ref="O297">IF(SUMIF(Производство!$A$104:$A$145,Технологи!$B297,Производство!L$104:L$145)&gt;0,SUMIF(Производство!$A$104:$A$145,Технологи!$B297,Производство!L$104:L$145)*$F297+$G297,0)</f>
        <v>0</v>
      </c>
      <c r="P297" s="46">
        <f t="array" ref="P297">IF(SUMIF(Производство!$A$104:$A$145,Технологи!$B297,Производство!M$104:M$145)&gt;0,SUMIF(Производство!$A$104:$A$145,Технологи!$B297,Производство!M$104:M$145)*$F297+$G297,0)</f>
        <v>0</v>
      </c>
      <c r="Q297" s="46">
        <f t="array" ref="Q297">IF(SUMIF(Производство!$A$104:$A$145,Технологи!$B297,Производство!N$104:N$145)&gt;0,SUMIF(Производство!$A$104:$A$145,Технологи!$B297,Производство!N$104:N$145)*$F297+$G297,0)</f>
        <v>0</v>
      </c>
      <c r="R297" s="46">
        <f t="array" ref="R297">IF(SUMIF(Производство!$A$104:$A$145,Технологи!$B297,Производство!O$104:O$145)&gt;0,SUMIF(Производство!$A$104:$A$145,Технологи!$B297,Производство!O$104:O$145)*$F297+$G297,0)</f>
        <v>0</v>
      </c>
      <c r="S297" s="46">
        <f t="array" ref="S297">IF(SUMIF(Производство!$A$104:$A$145,Технологи!$B297,Производство!P$104:P$145)&gt;0,SUMIF(Производство!$A$104:$A$145,Технологи!$B297,Производство!P$104:P$145)*$F297+$G297,0)</f>
        <v>0</v>
      </c>
      <c r="T297" s="46">
        <f t="array" ref="T297">IF(SUMIF(Производство!$A$104:$A$145,Технологи!$B297,Производство!Q$104:Q$145)&gt;0,SUMIF(Производство!$A$104:$A$145,Технологи!$B297,Производство!Q$104:Q$145)*$F297+$G297,0)</f>
        <v>0</v>
      </c>
    </row>
    <row r="298" spans="1:20" x14ac:dyDescent="0.25">
      <c r="A298" s="34" t="s">
        <v>377</v>
      </c>
      <c r="B298" s="13" t="s">
        <v>37</v>
      </c>
      <c r="C298" s="19" t="s">
        <v>18</v>
      </c>
      <c r="D298" s="14">
        <v>7038</v>
      </c>
      <c r="E298" s="20"/>
      <c r="F298" s="24">
        <v>1.3191574526198438E-3</v>
      </c>
      <c r="G298" s="24">
        <v>0.18323616685247121</v>
      </c>
      <c r="H298" s="23">
        <f t="shared" si="13"/>
        <v>1.3191574526198437</v>
      </c>
      <c r="I298" s="46">
        <f t="array" ref="I298">IF(SUMIF(Производство!$A$104:$A$145,Технологи!$B298,Производство!F$104:F$145)&gt;0,SUMIF(Производство!$A$104:$A$145,Технологи!$B298,Производство!F$104:F$145)*$F298+$G298,0)</f>
        <v>0</v>
      </c>
      <c r="J298" s="46">
        <f t="array" ref="J298">IF(SUMIF(Производство!$A$104:$A$145,Технологи!$B298,Производство!G$104:G$145)&gt;0,SUMIF(Производство!$A$104:$A$145,Технологи!$B298,Производство!G$104:G$145)*$F298+$G298,0)</f>
        <v>0</v>
      </c>
      <c r="K298" s="46">
        <f t="array" ref="K298">IF(SUMIF(Производство!$A$104:$A$145,Технологи!$B298,Производство!H$104:H$145)&gt;0,SUMIF(Производство!$A$104:$A$145,Технологи!$B298,Производство!H$104:H$145)*$F298+$G298,0)</f>
        <v>0</v>
      </c>
      <c r="L298" s="46">
        <f t="array" ref="L298">IF(SUMIF(Производство!$A$104:$A$145,Технологи!$B298,Производство!I$104:I$145)&gt;0,SUMIF(Производство!$A$104:$A$145,Технологи!$B298,Производство!I$104:I$145)*$F298+$G298,0)</f>
        <v>0</v>
      </c>
      <c r="M298" s="46">
        <f t="array" ref="M298">IF(SUMIF(Производство!$A$104:$A$145,Технологи!$B298,Производство!J$104:J$145)&gt;0,SUMIF(Производство!$A$104:$A$145,Технологи!$B298,Производство!J$104:J$145)*$F298+$G298,0)</f>
        <v>0</v>
      </c>
      <c r="N298" s="46">
        <f t="array" ref="N298">IF(SUMIF(Производство!$A$104:$A$145,Технологи!$B298,Производство!K$104:K$145)&gt;0,SUMIF(Производство!$A$104:$A$145,Технологи!$B298,Производство!K$104:K$145)*$F298+$G298,0)</f>
        <v>0</v>
      </c>
      <c r="O298" s="46">
        <f t="array" ref="O298">IF(SUMIF(Производство!$A$104:$A$145,Технологи!$B298,Производство!L$104:L$145)&gt;0,SUMIF(Производство!$A$104:$A$145,Технологи!$B298,Производство!L$104:L$145)*$F298+$G298,0)</f>
        <v>0</v>
      </c>
      <c r="P298" s="46">
        <f t="array" ref="P298">IF(SUMIF(Производство!$A$104:$A$145,Технологи!$B298,Производство!M$104:M$145)&gt;0,SUMIF(Производство!$A$104:$A$145,Технологи!$B298,Производство!M$104:M$145)*$F298+$G298,0)</f>
        <v>0</v>
      </c>
      <c r="Q298" s="46">
        <f t="array" ref="Q298">IF(SUMIF(Производство!$A$104:$A$145,Технологи!$B298,Производство!N$104:N$145)&gt;0,SUMIF(Производство!$A$104:$A$145,Технологи!$B298,Производство!N$104:N$145)*$F298+$G298,0)</f>
        <v>0</v>
      </c>
      <c r="R298" s="46">
        <f t="array" ref="R298">IF(SUMIF(Производство!$A$104:$A$145,Технологи!$B298,Производство!O$104:O$145)&gt;0,SUMIF(Производство!$A$104:$A$145,Технологи!$B298,Производство!O$104:O$145)*$F298+$G298,0)</f>
        <v>0</v>
      </c>
      <c r="S298" s="46">
        <f t="array" ref="S298">IF(SUMIF(Производство!$A$104:$A$145,Технологи!$B298,Производство!P$104:P$145)&gt;0,SUMIF(Производство!$A$104:$A$145,Технологи!$B298,Производство!P$104:P$145)*$F298+$G298,0)</f>
        <v>0</v>
      </c>
      <c r="T298" s="46">
        <f t="array" ref="T298">IF(SUMIF(Производство!$A$104:$A$145,Технологи!$B298,Производство!Q$104:Q$145)&gt;0,SUMIF(Производство!$A$104:$A$145,Технологи!$B298,Производство!Q$104:Q$145)*$F298+$G298,0)</f>
        <v>0</v>
      </c>
    </row>
    <row r="299" spans="1:20" x14ac:dyDescent="0.25">
      <c r="A299" s="34" t="s">
        <v>377</v>
      </c>
      <c r="B299" s="13" t="s">
        <v>37</v>
      </c>
      <c r="C299" s="19" t="s">
        <v>19</v>
      </c>
      <c r="D299" s="14">
        <v>7038</v>
      </c>
      <c r="E299" s="20"/>
      <c r="F299" s="24">
        <v>0.27404324999999996</v>
      </c>
      <c r="G299" s="24">
        <v>9.591513749999999</v>
      </c>
      <c r="H299" s="23">
        <f t="shared" si="13"/>
        <v>274.04324999999994</v>
      </c>
      <c r="I299" s="46">
        <f t="array" ref="I299">IF(SUMIF(Производство!$A$104:$A$145,Технологи!$B299,Производство!F$104:F$145)&gt;0,SUMIF(Производство!$A$104:$A$145,Технологи!$B299,Производство!F$104:F$145)*$F299+$G299,0)</f>
        <v>0</v>
      </c>
      <c r="J299" s="46">
        <f t="array" ref="J299">IF(SUMIF(Производство!$A$104:$A$145,Технологи!$B299,Производство!G$104:G$145)&gt;0,SUMIF(Производство!$A$104:$A$145,Технологи!$B299,Производство!G$104:G$145)*$F299+$G299,0)</f>
        <v>0</v>
      </c>
      <c r="K299" s="46">
        <f t="array" ref="K299">IF(SUMIF(Производство!$A$104:$A$145,Технологи!$B299,Производство!H$104:H$145)&gt;0,SUMIF(Производство!$A$104:$A$145,Технологи!$B299,Производство!H$104:H$145)*$F299+$G299,0)</f>
        <v>0</v>
      </c>
      <c r="L299" s="46">
        <f t="array" ref="L299">IF(SUMIF(Производство!$A$104:$A$145,Технологи!$B299,Производство!I$104:I$145)&gt;0,SUMIF(Производство!$A$104:$A$145,Технологи!$B299,Производство!I$104:I$145)*$F299+$G299,0)</f>
        <v>0</v>
      </c>
      <c r="M299" s="46">
        <f t="array" ref="M299">IF(SUMIF(Производство!$A$104:$A$145,Технологи!$B299,Производство!J$104:J$145)&gt;0,SUMIF(Производство!$A$104:$A$145,Технологи!$B299,Производство!J$104:J$145)*$F299+$G299,0)</f>
        <v>0</v>
      </c>
      <c r="N299" s="46">
        <f t="array" ref="N299">IF(SUMIF(Производство!$A$104:$A$145,Технологи!$B299,Производство!K$104:K$145)&gt;0,SUMIF(Производство!$A$104:$A$145,Технологи!$B299,Производство!K$104:K$145)*$F299+$G299,0)</f>
        <v>0</v>
      </c>
      <c r="O299" s="46">
        <f t="array" ref="O299">IF(SUMIF(Производство!$A$104:$A$145,Технологи!$B299,Производство!L$104:L$145)&gt;0,SUMIF(Производство!$A$104:$A$145,Технологи!$B299,Производство!L$104:L$145)*$F299+$G299,0)</f>
        <v>0</v>
      </c>
      <c r="P299" s="46">
        <f t="array" ref="P299">IF(SUMIF(Производство!$A$104:$A$145,Технологи!$B299,Производство!M$104:M$145)&gt;0,SUMIF(Производство!$A$104:$A$145,Технологи!$B299,Производство!M$104:M$145)*$F299+$G299,0)</f>
        <v>0</v>
      </c>
      <c r="Q299" s="46">
        <f t="array" ref="Q299">IF(SUMIF(Производство!$A$104:$A$145,Технологи!$B299,Производство!N$104:N$145)&gt;0,SUMIF(Производство!$A$104:$A$145,Технологи!$B299,Производство!N$104:N$145)*$F299+$G299,0)</f>
        <v>0</v>
      </c>
      <c r="R299" s="46">
        <f t="array" ref="R299">IF(SUMIF(Производство!$A$104:$A$145,Технологи!$B299,Производство!O$104:O$145)&gt;0,SUMIF(Производство!$A$104:$A$145,Технологи!$B299,Производство!O$104:O$145)*$F299+$G299,0)</f>
        <v>0</v>
      </c>
      <c r="S299" s="46">
        <f t="array" ref="S299">IF(SUMIF(Производство!$A$104:$A$145,Технологи!$B299,Производство!P$104:P$145)&gt;0,SUMIF(Производство!$A$104:$A$145,Технологи!$B299,Производство!P$104:P$145)*$F299+$G299,0)</f>
        <v>0</v>
      </c>
      <c r="T299" s="46">
        <f t="array" ref="T299">IF(SUMIF(Производство!$A$104:$A$145,Технологи!$B299,Производство!Q$104:Q$145)&gt;0,SUMIF(Производство!$A$104:$A$145,Технологи!$B299,Производство!Q$104:Q$145)*$F299+$G299,0)</f>
        <v>0</v>
      </c>
    </row>
    <row r="300" spans="1:20" x14ac:dyDescent="0.25">
      <c r="A300" s="34" t="s">
        <v>377</v>
      </c>
      <c r="B300" s="13" t="s">
        <v>37</v>
      </c>
      <c r="C300" s="19" t="s">
        <v>20</v>
      </c>
      <c r="D300" s="14">
        <v>7038</v>
      </c>
      <c r="E300" s="20"/>
      <c r="F300" s="24">
        <v>2.76E-2</v>
      </c>
      <c r="G300" s="24">
        <v>0.41399999999999992</v>
      </c>
      <c r="H300" s="23">
        <f t="shared" si="13"/>
        <v>27.599999999999998</v>
      </c>
      <c r="I300" s="46">
        <f t="array" ref="I300">IF(SUMIF(Производство!$A$104:$A$145,Технологи!$B300,Производство!F$104:F$145)&gt;0,SUMIF(Производство!$A$104:$A$145,Технологи!$B300,Производство!F$104:F$145)*$F300+$G300,0)</f>
        <v>0</v>
      </c>
      <c r="J300" s="46">
        <f t="array" ref="J300">IF(SUMIF(Производство!$A$104:$A$145,Технологи!$B300,Производство!G$104:G$145)&gt;0,SUMIF(Производство!$A$104:$A$145,Технологи!$B300,Производство!G$104:G$145)*$F300+$G300,0)</f>
        <v>0</v>
      </c>
      <c r="K300" s="46">
        <f t="array" ref="K300">IF(SUMIF(Производство!$A$104:$A$145,Технологи!$B300,Производство!H$104:H$145)&gt;0,SUMIF(Производство!$A$104:$A$145,Технологи!$B300,Производство!H$104:H$145)*$F300+$G300,0)</f>
        <v>0</v>
      </c>
      <c r="L300" s="46">
        <f t="array" ref="L300">IF(SUMIF(Производство!$A$104:$A$145,Технологи!$B300,Производство!I$104:I$145)&gt;0,SUMIF(Производство!$A$104:$A$145,Технологи!$B300,Производство!I$104:I$145)*$F300+$G300,0)</f>
        <v>0</v>
      </c>
      <c r="M300" s="46">
        <f t="array" ref="M300">IF(SUMIF(Производство!$A$104:$A$145,Технологи!$B300,Производство!J$104:J$145)&gt;0,SUMIF(Производство!$A$104:$A$145,Технологи!$B300,Производство!J$104:J$145)*$F300+$G300,0)</f>
        <v>0</v>
      </c>
      <c r="N300" s="46">
        <f t="array" ref="N300">IF(SUMIF(Производство!$A$104:$A$145,Технологи!$B300,Производство!K$104:K$145)&gt;0,SUMIF(Производство!$A$104:$A$145,Технологи!$B300,Производство!K$104:K$145)*$F300+$G300,0)</f>
        <v>0</v>
      </c>
      <c r="O300" s="46">
        <f t="array" ref="O300">IF(SUMIF(Производство!$A$104:$A$145,Технологи!$B300,Производство!L$104:L$145)&gt;0,SUMIF(Производство!$A$104:$A$145,Технологи!$B300,Производство!L$104:L$145)*$F300+$G300,0)</f>
        <v>0</v>
      </c>
      <c r="P300" s="46">
        <f t="array" ref="P300">IF(SUMIF(Производство!$A$104:$A$145,Технологи!$B300,Производство!M$104:M$145)&gt;0,SUMIF(Производство!$A$104:$A$145,Технологи!$B300,Производство!M$104:M$145)*$F300+$G300,0)</f>
        <v>0</v>
      </c>
      <c r="Q300" s="46">
        <f t="array" ref="Q300">IF(SUMIF(Производство!$A$104:$A$145,Технологи!$B300,Производство!N$104:N$145)&gt;0,SUMIF(Производство!$A$104:$A$145,Технологи!$B300,Производство!N$104:N$145)*$F300+$G300,0)</f>
        <v>0</v>
      </c>
      <c r="R300" s="46">
        <f t="array" ref="R300">IF(SUMIF(Производство!$A$104:$A$145,Технологи!$B300,Производство!O$104:O$145)&gt;0,SUMIF(Производство!$A$104:$A$145,Технологи!$B300,Производство!O$104:O$145)*$F300+$G300,0)</f>
        <v>0</v>
      </c>
      <c r="S300" s="46">
        <f t="array" ref="S300">IF(SUMIF(Производство!$A$104:$A$145,Технологи!$B300,Производство!P$104:P$145)&gt;0,SUMIF(Производство!$A$104:$A$145,Технологи!$B300,Производство!P$104:P$145)*$F300+$G300,0)</f>
        <v>0</v>
      </c>
      <c r="T300" s="46">
        <f t="array" ref="T300">IF(SUMIF(Производство!$A$104:$A$145,Технологи!$B300,Производство!Q$104:Q$145)&gt;0,SUMIF(Производство!$A$104:$A$145,Технологи!$B300,Производство!Q$104:Q$145)*$F300+$G300,0)</f>
        <v>0</v>
      </c>
    </row>
    <row r="301" spans="1:20" x14ac:dyDescent="0.25">
      <c r="A301" s="34" t="s">
        <v>377</v>
      </c>
      <c r="B301" s="13" t="s">
        <v>37</v>
      </c>
      <c r="C301" s="19" t="s">
        <v>21</v>
      </c>
      <c r="D301" s="14">
        <v>7038</v>
      </c>
      <c r="E301" s="20"/>
      <c r="F301" s="24">
        <v>0</v>
      </c>
      <c r="G301" s="24">
        <v>0</v>
      </c>
      <c r="H301" s="23">
        <f t="shared" si="13"/>
        <v>0</v>
      </c>
      <c r="I301" s="46">
        <f t="array" ref="I301">IF(SUMIF(Производство!$A$104:$A$145,Технологи!$B301,Производство!F$104:F$145)&gt;0,SUMIF(Производство!$A$104:$A$145,Технологи!$B301,Производство!F$104:F$145)*$F301+$G301,0)</f>
        <v>0</v>
      </c>
      <c r="J301" s="46">
        <f t="array" ref="J301">IF(SUMIF(Производство!$A$104:$A$145,Технологи!$B301,Производство!G$104:G$145)&gt;0,SUMIF(Производство!$A$104:$A$145,Технологи!$B301,Производство!G$104:G$145)*$F301+$G301,0)</f>
        <v>0</v>
      </c>
      <c r="K301" s="46">
        <f t="array" ref="K301">IF(SUMIF(Производство!$A$104:$A$145,Технологи!$B301,Производство!H$104:H$145)&gt;0,SUMIF(Производство!$A$104:$A$145,Технологи!$B301,Производство!H$104:H$145)*$F301+$G301,0)</f>
        <v>0</v>
      </c>
      <c r="L301" s="46">
        <f t="array" ref="L301">IF(SUMIF(Производство!$A$104:$A$145,Технологи!$B301,Производство!I$104:I$145)&gt;0,SUMIF(Производство!$A$104:$A$145,Технологи!$B301,Производство!I$104:I$145)*$F301+$G301,0)</f>
        <v>0</v>
      </c>
      <c r="M301" s="46">
        <f t="array" ref="M301">IF(SUMIF(Производство!$A$104:$A$145,Технологи!$B301,Производство!J$104:J$145)&gt;0,SUMIF(Производство!$A$104:$A$145,Технологи!$B301,Производство!J$104:J$145)*$F301+$G301,0)</f>
        <v>0</v>
      </c>
      <c r="N301" s="46">
        <f t="array" ref="N301">IF(SUMIF(Производство!$A$104:$A$145,Технологи!$B301,Производство!K$104:K$145)&gt;0,SUMIF(Производство!$A$104:$A$145,Технологи!$B301,Производство!K$104:K$145)*$F301+$G301,0)</f>
        <v>0</v>
      </c>
      <c r="O301" s="46">
        <f t="array" ref="O301">IF(SUMIF(Производство!$A$104:$A$145,Технологи!$B301,Производство!L$104:L$145)&gt;0,SUMIF(Производство!$A$104:$A$145,Технологи!$B301,Производство!L$104:L$145)*$F301+$G301,0)</f>
        <v>0</v>
      </c>
      <c r="P301" s="46">
        <f t="array" ref="P301">IF(SUMIF(Производство!$A$104:$A$145,Технологи!$B301,Производство!M$104:M$145)&gt;0,SUMIF(Производство!$A$104:$A$145,Технологи!$B301,Производство!M$104:M$145)*$F301+$G301,0)</f>
        <v>0</v>
      </c>
      <c r="Q301" s="46">
        <f t="array" ref="Q301">IF(SUMIF(Производство!$A$104:$A$145,Технологи!$B301,Производство!N$104:N$145)&gt;0,SUMIF(Производство!$A$104:$A$145,Технологи!$B301,Производство!N$104:N$145)*$F301+$G301,0)</f>
        <v>0</v>
      </c>
      <c r="R301" s="46">
        <f t="array" ref="R301">IF(SUMIF(Производство!$A$104:$A$145,Технологи!$B301,Производство!O$104:O$145)&gt;0,SUMIF(Производство!$A$104:$A$145,Технологи!$B301,Производство!O$104:O$145)*$F301+$G301,0)</f>
        <v>0</v>
      </c>
      <c r="S301" s="46">
        <f t="array" ref="S301">IF(SUMIF(Производство!$A$104:$A$145,Технологи!$B301,Производство!P$104:P$145)&gt;0,SUMIF(Производство!$A$104:$A$145,Технологи!$B301,Производство!P$104:P$145)*$F301+$G301,0)</f>
        <v>0</v>
      </c>
      <c r="T301" s="46">
        <f t="array" ref="T301">IF(SUMIF(Производство!$A$104:$A$145,Технологи!$B301,Производство!Q$104:Q$145)&gt;0,SUMIF(Производство!$A$104:$A$145,Технологи!$B301,Производство!Q$104:Q$145)*$F301+$G301,0)</f>
        <v>0</v>
      </c>
    </row>
    <row r="302" spans="1:20" x14ac:dyDescent="0.25">
      <c r="A302" s="34" t="s">
        <v>377</v>
      </c>
      <c r="B302" s="13" t="s">
        <v>37</v>
      </c>
      <c r="C302" s="19" t="s">
        <v>22</v>
      </c>
      <c r="D302" s="14">
        <v>7038</v>
      </c>
      <c r="E302" s="20"/>
      <c r="F302" s="24">
        <v>2.7E-2</v>
      </c>
      <c r="G302" s="24">
        <v>0.40500000000000003</v>
      </c>
      <c r="H302" s="23">
        <f t="shared" si="13"/>
        <v>27</v>
      </c>
      <c r="I302" s="46">
        <f t="array" ref="I302">IF(SUMIF(Производство!$A$104:$A$145,Технологи!$B302,Производство!F$104:F$145)&gt;0,SUMIF(Производство!$A$104:$A$145,Технологи!$B302,Производство!F$104:F$145)*$F302+$G302,0)</f>
        <v>0</v>
      </c>
      <c r="J302" s="46">
        <f t="array" ref="J302">IF(SUMIF(Производство!$A$104:$A$145,Технологи!$B302,Производство!G$104:G$145)&gt;0,SUMIF(Производство!$A$104:$A$145,Технологи!$B302,Производство!G$104:G$145)*$F302+$G302,0)</f>
        <v>0</v>
      </c>
      <c r="K302" s="46">
        <f t="array" ref="K302">IF(SUMIF(Производство!$A$104:$A$145,Технологи!$B302,Производство!H$104:H$145)&gt;0,SUMIF(Производство!$A$104:$A$145,Технологи!$B302,Производство!H$104:H$145)*$F302+$G302,0)</f>
        <v>0</v>
      </c>
      <c r="L302" s="46">
        <f t="array" ref="L302">IF(SUMIF(Производство!$A$104:$A$145,Технологи!$B302,Производство!I$104:I$145)&gt;0,SUMIF(Производство!$A$104:$A$145,Технологи!$B302,Производство!I$104:I$145)*$F302+$G302,0)</f>
        <v>0</v>
      </c>
      <c r="M302" s="46">
        <f t="array" ref="M302">IF(SUMIF(Производство!$A$104:$A$145,Технологи!$B302,Производство!J$104:J$145)&gt;0,SUMIF(Производство!$A$104:$A$145,Технологи!$B302,Производство!J$104:J$145)*$F302+$G302,0)</f>
        <v>0</v>
      </c>
      <c r="N302" s="46">
        <f t="array" ref="N302">IF(SUMIF(Производство!$A$104:$A$145,Технологи!$B302,Производство!K$104:K$145)&gt;0,SUMIF(Производство!$A$104:$A$145,Технологи!$B302,Производство!K$104:K$145)*$F302+$G302,0)</f>
        <v>0</v>
      </c>
      <c r="O302" s="46">
        <f t="array" ref="O302">IF(SUMIF(Производство!$A$104:$A$145,Технологи!$B302,Производство!L$104:L$145)&gt;0,SUMIF(Производство!$A$104:$A$145,Технологи!$B302,Производство!L$104:L$145)*$F302+$G302,0)</f>
        <v>0</v>
      </c>
      <c r="P302" s="46">
        <f t="array" ref="P302">IF(SUMIF(Производство!$A$104:$A$145,Технологи!$B302,Производство!M$104:M$145)&gt;0,SUMIF(Производство!$A$104:$A$145,Технологи!$B302,Производство!M$104:M$145)*$F302+$G302,0)</f>
        <v>0</v>
      </c>
      <c r="Q302" s="46">
        <f t="array" ref="Q302">IF(SUMIF(Производство!$A$104:$A$145,Технологи!$B302,Производство!N$104:N$145)&gt;0,SUMIF(Производство!$A$104:$A$145,Технологи!$B302,Производство!N$104:N$145)*$F302+$G302,0)</f>
        <v>0</v>
      </c>
      <c r="R302" s="46">
        <f t="array" ref="R302">IF(SUMIF(Производство!$A$104:$A$145,Технологи!$B302,Производство!O$104:O$145)&gt;0,SUMIF(Производство!$A$104:$A$145,Технологи!$B302,Производство!O$104:O$145)*$F302+$G302,0)</f>
        <v>0</v>
      </c>
      <c r="S302" s="46">
        <f t="array" ref="S302">IF(SUMIF(Производство!$A$104:$A$145,Технологи!$B302,Производство!P$104:P$145)&gt;0,SUMIF(Производство!$A$104:$A$145,Технологи!$B302,Производство!P$104:P$145)*$F302+$G302,0)</f>
        <v>0</v>
      </c>
      <c r="T302" s="46">
        <f t="array" ref="T302">IF(SUMIF(Производство!$A$104:$A$145,Технологи!$B302,Производство!Q$104:Q$145)&gt;0,SUMIF(Производство!$A$104:$A$145,Технологи!$B302,Производство!Q$104:Q$145)*$F302+$G302,0)</f>
        <v>0</v>
      </c>
    </row>
    <row r="303" spans="1:20" x14ac:dyDescent="0.25">
      <c r="A303" s="34" t="s">
        <v>377</v>
      </c>
      <c r="B303" s="13" t="s">
        <v>37</v>
      </c>
      <c r="C303" s="19" t="s">
        <v>23</v>
      </c>
      <c r="D303" s="14">
        <v>7038</v>
      </c>
      <c r="E303" s="20"/>
      <c r="F303" s="24">
        <v>0</v>
      </c>
      <c r="G303" s="24">
        <v>0</v>
      </c>
      <c r="H303" s="23">
        <f t="shared" ref="H303:H316" si="14">F303*1000</f>
        <v>0</v>
      </c>
      <c r="I303" s="46">
        <f t="array" ref="I303">IF(SUMIF(Производство!$A$104:$A$145,Технологи!$B303,Производство!F$104:F$145)&gt;0,SUMIF(Производство!$A$104:$A$145,Технологи!$B303,Производство!F$104:F$145)*$F303+$G303,0)</f>
        <v>0</v>
      </c>
      <c r="J303" s="46">
        <f t="array" ref="J303">IF(SUMIF(Производство!$A$104:$A$145,Технологи!$B303,Производство!G$104:G$145)&gt;0,SUMIF(Производство!$A$104:$A$145,Технологи!$B303,Производство!G$104:G$145)*$F303+$G303,0)</f>
        <v>0</v>
      </c>
      <c r="K303" s="46">
        <f t="array" ref="K303">IF(SUMIF(Производство!$A$104:$A$145,Технологи!$B303,Производство!H$104:H$145)&gt;0,SUMIF(Производство!$A$104:$A$145,Технологи!$B303,Производство!H$104:H$145)*$F303+$G303,0)</f>
        <v>0</v>
      </c>
      <c r="L303" s="46">
        <f t="array" ref="L303">IF(SUMIF(Производство!$A$104:$A$145,Технологи!$B303,Производство!I$104:I$145)&gt;0,SUMIF(Производство!$A$104:$A$145,Технологи!$B303,Производство!I$104:I$145)*$F303+$G303,0)</f>
        <v>0</v>
      </c>
      <c r="M303" s="46">
        <f t="array" ref="M303">IF(SUMIF(Производство!$A$104:$A$145,Технологи!$B303,Производство!J$104:J$145)&gt;0,SUMIF(Производство!$A$104:$A$145,Технологи!$B303,Производство!J$104:J$145)*$F303+$G303,0)</f>
        <v>0</v>
      </c>
      <c r="N303" s="46">
        <f t="array" ref="N303">IF(SUMIF(Производство!$A$104:$A$145,Технологи!$B303,Производство!K$104:K$145)&gt;0,SUMIF(Производство!$A$104:$A$145,Технологи!$B303,Производство!K$104:K$145)*$F303+$G303,0)</f>
        <v>0</v>
      </c>
      <c r="O303" s="46">
        <f t="array" ref="O303">IF(SUMIF(Производство!$A$104:$A$145,Технологи!$B303,Производство!L$104:L$145)&gt;0,SUMIF(Производство!$A$104:$A$145,Технологи!$B303,Производство!L$104:L$145)*$F303+$G303,0)</f>
        <v>0</v>
      </c>
      <c r="P303" s="46">
        <f t="array" ref="P303">IF(SUMIF(Производство!$A$104:$A$145,Технологи!$B303,Производство!M$104:M$145)&gt;0,SUMIF(Производство!$A$104:$A$145,Технологи!$B303,Производство!M$104:M$145)*$F303+$G303,0)</f>
        <v>0</v>
      </c>
      <c r="Q303" s="46">
        <f t="array" ref="Q303">IF(SUMIF(Производство!$A$104:$A$145,Технологи!$B303,Производство!N$104:N$145)&gt;0,SUMIF(Производство!$A$104:$A$145,Технологи!$B303,Производство!N$104:N$145)*$F303+$G303,0)</f>
        <v>0</v>
      </c>
      <c r="R303" s="46">
        <f t="array" ref="R303">IF(SUMIF(Производство!$A$104:$A$145,Технологи!$B303,Производство!O$104:O$145)&gt;0,SUMIF(Производство!$A$104:$A$145,Технологи!$B303,Производство!O$104:O$145)*$F303+$G303,0)</f>
        <v>0</v>
      </c>
      <c r="S303" s="46">
        <f t="array" ref="S303">IF(SUMIF(Производство!$A$104:$A$145,Технологи!$B303,Производство!P$104:P$145)&gt;0,SUMIF(Производство!$A$104:$A$145,Технологи!$B303,Производство!P$104:P$145)*$F303+$G303,0)</f>
        <v>0</v>
      </c>
      <c r="T303" s="46">
        <f t="array" ref="T303">IF(SUMIF(Производство!$A$104:$A$145,Технологи!$B303,Производство!Q$104:Q$145)&gt;0,SUMIF(Производство!$A$104:$A$145,Технологи!$B303,Производство!Q$104:Q$145)*$F303+$G303,0)</f>
        <v>0</v>
      </c>
    </row>
    <row r="304" spans="1:20" x14ac:dyDescent="0.25">
      <c r="A304" s="34" t="s">
        <v>377</v>
      </c>
      <c r="B304" s="13" t="s">
        <v>38</v>
      </c>
      <c r="C304" s="15" t="s">
        <v>11</v>
      </c>
      <c r="D304" s="14">
        <v>7038</v>
      </c>
      <c r="E304" s="16">
        <v>0.61099999999999999</v>
      </c>
      <c r="F304" s="22">
        <f>SUM(F305:F316)</f>
        <v>0.61163031841044213</v>
      </c>
      <c r="G304" s="22">
        <f>SUM(G305:G316)</f>
        <v>37.876819999999988</v>
      </c>
      <c r="H304" s="23">
        <f t="shared" si="14"/>
        <v>611.6303184104421</v>
      </c>
      <c r="I304" s="46">
        <f t="array" ref="I304">IF(SUMIF(Производство!$A$104:$A$145,Технологи!$B304,Производство!F$104:F$145)&gt;0,SUMIF(Производство!$A$104:$A$145,Технологи!$B304,Производство!F$104:F$145)*$F304+$G304,0)</f>
        <v>0</v>
      </c>
      <c r="J304" s="46">
        <f t="array" ref="J304">IF(SUMIF(Производство!$A$104:$A$145,Технологи!$B304,Производство!G$104:G$145)&gt;0,SUMIF(Производство!$A$104:$A$145,Технологи!$B304,Производство!G$104:G$145)*$F304+$G304,0)</f>
        <v>0</v>
      </c>
      <c r="K304" s="46">
        <f t="array" ref="K304">IF(SUMIF(Производство!$A$104:$A$145,Технологи!$B304,Производство!H$104:H$145)&gt;0,SUMIF(Производство!$A$104:$A$145,Технологи!$B304,Производство!H$104:H$145)*$F304+$G304,0)</f>
        <v>10533.274397574512</v>
      </c>
      <c r="L304" s="46">
        <f t="array" ref="L304">IF(SUMIF(Производство!$A$104:$A$145,Технологи!$B304,Производство!I$104:I$145)&gt;0,SUMIF(Производство!$A$104:$A$145,Технологи!$B304,Производство!I$104:I$145)*$F304+$G304,0)</f>
        <v>10533.274397574512</v>
      </c>
      <c r="M304" s="46">
        <f t="array" ref="M304">IF(SUMIF(Производство!$A$104:$A$145,Технологи!$B304,Производство!J$104:J$145)&gt;0,SUMIF(Производство!$A$104:$A$145,Технологи!$B304,Производство!J$104:J$145)*$F304+$G304,0)</f>
        <v>8151.9657035029868</v>
      </c>
      <c r="N304" s="46">
        <f t="array" ref="N304">IF(SUMIF(Производство!$A$104:$A$145,Технологи!$B304,Производство!K$104:K$145)&gt;0,SUMIF(Производство!$A$104:$A$145,Технологи!$B304,Производство!K$104:K$145)*$F304+$G304,0)</f>
        <v>8151.9657035029868</v>
      </c>
      <c r="O304" s="46">
        <f t="array" ref="O304">IF(SUMIF(Производство!$A$104:$A$145,Технологи!$B304,Производство!L$104:L$145)&gt;0,SUMIF(Производство!$A$104:$A$145,Технологи!$B304,Производство!L$104:L$145)*$F304+$G304,0)</f>
        <v>8151.9657035029868</v>
      </c>
      <c r="P304" s="46">
        <f t="array" ref="P304">IF(SUMIF(Производство!$A$104:$A$145,Технологи!$B304,Производство!M$104:M$145)&gt;0,SUMIF(Производство!$A$104:$A$145,Технологи!$B304,Производство!M$104:M$145)*$F304+$G304,0)</f>
        <v>8151.9657035029868</v>
      </c>
      <c r="Q304" s="46">
        <f t="array" ref="Q304">IF(SUMIF(Производство!$A$104:$A$145,Технологи!$B304,Производство!N$104:N$145)&gt;0,SUMIF(Производство!$A$104:$A$145,Технологи!$B304,Производство!N$104:N$145)*$F304+$G304,0)</f>
        <v>8151.9657035029868</v>
      </c>
      <c r="R304" s="46">
        <f t="array" ref="R304">IF(SUMIF(Производство!$A$104:$A$145,Технологи!$B304,Производство!O$104:O$145)&gt;0,SUMIF(Производство!$A$104:$A$145,Технологи!$B304,Производство!O$104:O$145)*$F304+$G304,0)</f>
        <v>8151.9657035029868</v>
      </c>
      <c r="S304" s="46">
        <f t="array" ref="S304">IF(SUMIF(Производство!$A$104:$A$145,Технологи!$B304,Производство!P$104:P$145)&gt;0,SUMIF(Производство!$A$104:$A$145,Технологи!$B304,Производство!P$104:P$145)*$F304+$G304,0)</f>
        <v>8151.9657035029868</v>
      </c>
      <c r="T304" s="46">
        <f t="array" ref="T304">IF(SUMIF(Производство!$A$104:$A$145,Технологи!$B304,Производство!Q$104:Q$145)&gt;0,SUMIF(Производство!$A$104:$A$145,Технологи!$B304,Производство!Q$104:Q$145)*$F304+$G304,0)</f>
        <v>8151.9657035029868</v>
      </c>
    </row>
    <row r="305" spans="1:20" x14ac:dyDescent="0.25">
      <c r="A305" s="34" t="s">
        <v>377</v>
      </c>
      <c r="B305" s="13" t="s">
        <v>38</v>
      </c>
      <c r="C305" s="19" t="s">
        <v>12</v>
      </c>
      <c r="D305" s="14">
        <v>7038</v>
      </c>
      <c r="E305" s="20"/>
      <c r="F305" s="24">
        <v>0.15955280657748042</v>
      </c>
      <c r="G305" s="24">
        <v>18.732184132292822</v>
      </c>
      <c r="H305" s="23">
        <f t="shared" si="14"/>
        <v>159.55280657748042</v>
      </c>
      <c r="I305" s="46">
        <f t="array" ref="I305">IF(SUMIF(Производство!$A$104:$A$145,Технологи!$B305,Производство!F$104:F$145)&gt;0,SUMIF(Производство!$A$104:$A$145,Технологи!$B305,Производство!F$104:F$145)*$F305+$G305,0)</f>
        <v>0</v>
      </c>
      <c r="J305" s="46">
        <f t="array" ref="J305">IF(SUMIF(Производство!$A$104:$A$145,Технологи!$B305,Производство!G$104:G$145)&gt;0,SUMIF(Производство!$A$104:$A$145,Технологи!$B305,Производство!G$104:G$145)*$F305+$G305,0)</f>
        <v>0</v>
      </c>
      <c r="K305" s="46">
        <f t="array" ref="K305">IF(SUMIF(Производство!$A$104:$A$145,Технологи!$B305,Производство!H$104:H$145)&gt;0,SUMIF(Производство!$A$104:$A$145,Технологи!$B305,Производство!H$104:H$145)*$F305+$G305,0)</f>
        <v>2756.6117320273688</v>
      </c>
      <c r="L305" s="46">
        <f t="array" ref="L305">IF(SUMIF(Производство!$A$104:$A$145,Технологи!$B305,Производство!I$104:I$145)&gt;0,SUMIF(Производство!$A$104:$A$145,Технологи!$B305,Производство!I$104:I$145)*$F305+$G305,0)</f>
        <v>2756.6117320273688</v>
      </c>
      <c r="M305" s="46">
        <f t="array" ref="M305">IF(SUMIF(Производство!$A$104:$A$145,Технологи!$B305,Производство!J$104:J$145)&gt;0,SUMIF(Производство!$A$104:$A$145,Технологи!$B305,Производство!J$104:J$145)*$F305+$G305,0)</f>
        <v>2135.412170740251</v>
      </c>
      <c r="N305" s="46">
        <f t="array" ref="N305">IF(SUMIF(Производство!$A$104:$A$145,Технологи!$B305,Производство!K$104:K$145)&gt;0,SUMIF(Производство!$A$104:$A$145,Технологи!$B305,Производство!K$104:K$145)*$F305+$G305,0)</f>
        <v>2135.412170740251</v>
      </c>
      <c r="O305" s="46">
        <f t="array" ref="O305">IF(SUMIF(Производство!$A$104:$A$145,Технологи!$B305,Производство!L$104:L$145)&gt;0,SUMIF(Производство!$A$104:$A$145,Технологи!$B305,Производство!L$104:L$145)*$F305+$G305,0)</f>
        <v>2135.412170740251</v>
      </c>
      <c r="P305" s="46">
        <f t="array" ref="P305">IF(SUMIF(Производство!$A$104:$A$145,Технологи!$B305,Производство!M$104:M$145)&gt;0,SUMIF(Производство!$A$104:$A$145,Технологи!$B305,Производство!M$104:M$145)*$F305+$G305,0)</f>
        <v>2135.412170740251</v>
      </c>
      <c r="Q305" s="46">
        <f t="array" ref="Q305">IF(SUMIF(Производство!$A$104:$A$145,Технологи!$B305,Производство!N$104:N$145)&gt;0,SUMIF(Производство!$A$104:$A$145,Технологи!$B305,Производство!N$104:N$145)*$F305+$G305,0)</f>
        <v>2135.412170740251</v>
      </c>
      <c r="R305" s="46">
        <f t="array" ref="R305">IF(SUMIF(Производство!$A$104:$A$145,Технологи!$B305,Производство!O$104:O$145)&gt;0,SUMIF(Производство!$A$104:$A$145,Технологи!$B305,Производство!O$104:O$145)*$F305+$G305,0)</f>
        <v>2135.412170740251</v>
      </c>
      <c r="S305" s="46">
        <f t="array" ref="S305">IF(SUMIF(Производство!$A$104:$A$145,Технологи!$B305,Производство!P$104:P$145)&gt;0,SUMIF(Производство!$A$104:$A$145,Технологи!$B305,Производство!P$104:P$145)*$F305+$G305,0)</f>
        <v>2135.412170740251</v>
      </c>
      <c r="T305" s="46">
        <f t="array" ref="T305">IF(SUMIF(Производство!$A$104:$A$145,Технологи!$B305,Производство!Q$104:Q$145)&gt;0,SUMIF(Производство!$A$104:$A$145,Технологи!$B305,Производство!Q$104:Q$145)*$F305+$G305,0)</f>
        <v>2135.412170740251</v>
      </c>
    </row>
    <row r="306" spans="1:20" x14ac:dyDescent="0.25">
      <c r="A306" s="34" t="s">
        <v>377</v>
      </c>
      <c r="B306" s="13" t="s">
        <v>38</v>
      </c>
      <c r="C306" s="19" t="s">
        <v>13</v>
      </c>
      <c r="D306" s="14">
        <v>7038</v>
      </c>
      <c r="E306" s="20"/>
      <c r="F306" s="24">
        <v>4.8103980490523959E-2</v>
      </c>
      <c r="G306" s="24">
        <v>5.6196552396878481</v>
      </c>
      <c r="H306" s="23">
        <f t="shared" si="14"/>
        <v>48.103980490523959</v>
      </c>
      <c r="I306" s="46">
        <f t="array" ref="I306">IF(SUMIF(Производство!$A$104:$A$145,Технологи!$B306,Производство!F$104:F$145)&gt;0,SUMIF(Производство!$A$104:$A$145,Технологи!$B306,Производство!F$104:F$145)*$F306+$G306,0)</f>
        <v>0</v>
      </c>
      <c r="J306" s="46">
        <f t="array" ref="J306">IF(SUMIF(Производство!$A$104:$A$145,Технологи!$B306,Производство!G$104:G$145)&gt;0,SUMIF(Производство!$A$104:$A$145,Технологи!$B306,Производство!G$104:G$145)*$F306+$G306,0)</f>
        <v>0</v>
      </c>
      <c r="K306" s="46">
        <f t="array" ref="K306">IF(SUMIF(Производство!$A$104:$A$145,Технологи!$B306,Производство!H$104:H$145)&gt;0,SUMIF(Производство!$A$104:$A$145,Технологи!$B306,Производство!H$104:H$145)*$F306+$G306,0)</f>
        <v>831.06990699312894</v>
      </c>
      <c r="L306" s="46">
        <f t="array" ref="L306">IF(SUMIF(Производство!$A$104:$A$145,Технологи!$B306,Производство!I$104:I$145)&gt;0,SUMIF(Производство!$A$104:$A$145,Технологи!$B306,Производство!I$104:I$145)*$F306+$G306,0)</f>
        <v>831.06990699312894</v>
      </c>
      <c r="M306" s="46">
        <f t="array" ref="M306">IF(SUMIF(Производство!$A$104:$A$145,Технологи!$B306,Производство!J$104:J$145)&gt;0,SUMIF(Производство!$A$104:$A$145,Технологи!$B306,Производство!J$104:J$145)*$F306+$G306,0)</f>
        <v>643.78287508268443</v>
      </c>
      <c r="N306" s="46">
        <f t="array" ref="N306">IF(SUMIF(Производство!$A$104:$A$145,Технологи!$B306,Производство!K$104:K$145)&gt;0,SUMIF(Производство!$A$104:$A$145,Технологи!$B306,Производство!K$104:K$145)*$F306+$G306,0)</f>
        <v>643.78287508268443</v>
      </c>
      <c r="O306" s="46">
        <f t="array" ref="O306">IF(SUMIF(Производство!$A$104:$A$145,Технологи!$B306,Производство!L$104:L$145)&gt;0,SUMIF(Производство!$A$104:$A$145,Технологи!$B306,Производство!L$104:L$145)*$F306+$G306,0)</f>
        <v>643.78287508268443</v>
      </c>
      <c r="P306" s="46">
        <f t="array" ref="P306">IF(SUMIF(Производство!$A$104:$A$145,Технологи!$B306,Производство!M$104:M$145)&gt;0,SUMIF(Производство!$A$104:$A$145,Технологи!$B306,Производство!M$104:M$145)*$F306+$G306,0)</f>
        <v>643.78287508268443</v>
      </c>
      <c r="Q306" s="46">
        <f t="array" ref="Q306">IF(SUMIF(Производство!$A$104:$A$145,Технологи!$B306,Производство!N$104:N$145)&gt;0,SUMIF(Производство!$A$104:$A$145,Технологи!$B306,Производство!N$104:N$145)*$F306+$G306,0)</f>
        <v>643.78287508268443</v>
      </c>
      <c r="R306" s="46">
        <f t="array" ref="R306">IF(SUMIF(Производство!$A$104:$A$145,Технологи!$B306,Производство!O$104:O$145)&gt;0,SUMIF(Производство!$A$104:$A$145,Технологи!$B306,Производство!O$104:O$145)*$F306+$G306,0)</f>
        <v>643.78287508268443</v>
      </c>
      <c r="S306" s="46">
        <f t="array" ref="S306">IF(SUMIF(Производство!$A$104:$A$145,Технологи!$B306,Производство!P$104:P$145)&gt;0,SUMIF(Производство!$A$104:$A$145,Технологи!$B306,Производство!P$104:P$145)*$F306+$G306,0)</f>
        <v>643.78287508268443</v>
      </c>
      <c r="T306" s="46">
        <f t="array" ref="T306">IF(SUMIF(Производство!$A$104:$A$145,Технологи!$B306,Производство!Q$104:Q$145)&gt;0,SUMIF(Производство!$A$104:$A$145,Технологи!$B306,Производство!Q$104:Q$145)*$F306+$G306,0)</f>
        <v>643.78287508268443</v>
      </c>
    </row>
    <row r="307" spans="1:20" x14ac:dyDescent="0.25">
      <c r="A307" s="34" t="s">
        <v>377</v>
      </c>
      <c r="B307" s="13" t="s">
        <v>38</v>
      </c>
      <c r="C307" s="19" t="s">
        <v>14</v>
      </c>
      <c r="D307" s="14">
        <v>7038</v>
      </c>
      <c r="E307" s="20"/>
      <c r="F307" s="24">
        <v>4.8103980490523952E-4</v>
      </c>
      <c r="G307" s="24">
        <v>5.6196552396878471E-2</v>
      </c>
      <c r="H307" s="23">
        <f t="shared" si="14"/>
        <v>0.48103980490523951</v>
      </c>
      <c r="I307" s="46">
        <f t="array" ref="I307">IF(SUMIF(Производство!$A$104:$A$145,Технологи!$B307,Производство!F$104:F$145)&gt;0,SUMIF(Производство!$A$104:$A$145,Технологи!$B307,Производство!F$104:F$145)*$F307+$G307,0)</f>
        <v>0</v>
      </c>
      <c r="J307" s="46">
        <f t="array" ref="J307">IF(SUMIF(Производство!$A$104:$A$145,Технологи!$B307,Производство!G$104:G$145)&gt;0,SUMIF(Производство!$A$104:$A$145,Технологи!$B307,Производство!G$104:G$145)*$F307+$G307,0)</f>
        <v>0</v>
      </c>
      <c r="K307" s="46">
        <f t="array" ref="K307">IF(SUMIF(Производство!$A$104:$A$145,Технологи!$B307,Производство!H$104:H$145)&gt;0,SUMIF(Производство!$A$104:$A$145,Технологи!$B307,Производство!H$104:H$145)*$F307+$G307,0)</f>
        <v>8.3106990699312888</v>
      </c>
      <c r="L307" s="46">
        <f t="array" ref="L307">IF(SUMIF(Производство!$A$104:$A$145,Технологи!$B307,Производство!I$104:I$145)&gt;0,SUMIF(Производство!$A$104:$A$145,Технологи!$B307,Производство!I$104:I$145)*$F307+$G307,0)</f>
        <v>8.3106990699312888</v>
      </c>
      <c r="M307" s="46">
        <f t="array" ref="M307">IF(SUMIF(Производство!$A$104:$A$145,Технологи!$B307,Производство!J$104:J$145)&gt;0,SUMIF(Производство!$A$104:$A$145,Технологи!$B307,Производство!J$104:J$145)*$F307+$G307,0)</f>
        <v>6.437828750826843</v>
      </c>
      <c r="N307" s="46">
        <f t="array" ref="N307">IF(SUMIF(Производство!$A$104:$A$145,Технологи!$B307,Производство!K$104:K$145)&gt;0,SUMIF(Производство!$A$104:$A$145,Технологи!$B307,Производство!K$104:K$145)*$F307+$G307,0)</f>
        <v>6.437828750826843</v>
      </c>
      <c r="O307" s="46">
        <f t="array" ref="O307">IF(SUMIF(Производство!$A$104:$A$145,Технологи!$B307,Производство!L$104:L$145)&gt;0,SUMIF(Производство!$A$104:$A$145,Технологи!$B307,Производство!L$104:L$145)*$F307+$G307,0)</f>
        <v>6.437828750826843</v>
      </c>
      <c r="P307" s="46">
        <f t="array" ref="P307">IF(SUMIF(Производство!$A$104:$A$145,Технологи!$B307,Производство!M$104:M$145)&gt;0,SUMIF(Производство!$A$104:$A$145,Технологи!$B307,Производство!M$104:M$145)*$F307+$G307,0)</f>
        <v>6.437828750826843</v>
      </c>
      <c r="Q307" s="46">
        <f t="array" ref="Q307">IF(SUMIF(Производство!$A$104:$A$145,Технологи!$B307,Производство!N$104:N$145)&gt;0,SUMIF(Производство!$A$104:$A$145,Технологи!$B307,Производство!N$104:N$145)*$F307+$G307,0)</f>
        <v>6.437828750826843</v>
      </c>
      <c r="R307" s="46">
        <f t="array" ref="R307">IF(SUMIF(Производство!$A$104:$A$145,Технологи!$B307,Производство!O$104:O$145)&gt;0,SUMIF(Производство!$A$104:$A$145,Технологи!$B307,Производство!O$104:O$145)*$F307+$G307,0)</f>
        <v>6.437828750826843</v>
      </c>
      <c r="S307" s="46">
        <f t="array" ref="S307">IF(SUMIF(Производство!$A$104:$A$145,Технологи!$B307,Производство!P$104:P$145)&gt;0,SUMIF(Производство!$A$104:$A$145,Технологи!$B307,Производство!P$104:P$145)*$F307+$G307,0)</f>
        <v>6.437828750826843</v>
      </c>
      <c r="T307" s="46">
        <f t="array" ref="T307">IF(SUMIF(Производство!$A$104:$A$145,Технологи!$B307,Производство!Q$104:Q$145)&gt;0,SUMIF(Производство!$A$104:$A$145,Технологи!$B307,Производство!Q$104:Q$145)*$F307+$G307,0)</f>
        <v>6.437828750826843</v>
      </c>
    </row>
    <row r="308" spans="1:20" x14ac:dyDescent="0.25">
      <c r="A308" s="34" t="s">
        <v>377</v>
      </c>
      <c r="B308" s="13" t="s">
        <v>38</v>
      </c>
      <c r="C308" s="19" t="s">
        <v>15</v>
      </c>
      <c r="D308" s="14">
        <v>7038</v>
      </c>
      <c r="E308" s="20"/>
      <c r="F308" s="24">
        <v>2.4051990245261976E-4</v>
      </c>
      <c r="G308" s="24">
        <v>2.8098276198439236E-2</v>
      </c>
      <c r="H308" s="23">
        <f t="shared" si="14"/>
        <v>0.24051990245261975</v>
      </c>
      <c r="I308" s="46">
        <f t="array" ref="I308">IF(SUMIF(Производство!$A$104:$A$145,Технологи!$B308,Производство!F$104:F$145)&gt;0,SUMIF(Производство!$A$104:$A$145,Технологи!$B308,Производство!F$104:F$145)*$F308+$G308,0)</f>
        <v>0</v>
      </c>
      <c r="J308" s="46">
        <f t="array" ref="J308">IF(SUMIF(Производство!$A$104:$A$145,Технологи!$B308,Производство!G$104:G$145)&gt;0,SUMIF(Производство!$A$104:$A$145,Технологи!$B308,Производство!G$104:G$145)*$F308+$G308,0)</f>
        <v>0</v>
      </c>
      <c r="K308" s="46">
        <f t="array" ref="K308">IF(SUMIF(Производство!$A$104:$A$145,Технологи!$B308,Производство!H$104:H$145)&gt;0,SUMIF(Производство!$A$104:$A$145,Технологи!$B308,Производство!H$104:H$145)*$F308+$G308,0)</f>
        <v>4.1553495349656444</v>
      </c>
      <c r="L308" s="46">
        <f t="array" ref="L308">IF(SUMIF(Производство!$A$104:$A$145,Технологи!$B308,Производство!I$104:I$145)&gt;0,SUMIF(Производство!$A$104:$A$145,Технологи!$B308,Производство!I$104:I$145)*$F308+$G308,0)</f>
        <v>4.1553495349656444</v>
      </c>
      <c r="M308" s="46">
        <f t="array" ref="M308">IF(SUMIF(Производство!$A$104:$A$145,Технологи!$B308,Производство!J$104:J$145)&gt;0,SUMIF(Производство!$A$104:$A$145,Технологи!$B308,Производство!J$104:J$145)*$F308+$G308,0)</f>
        <v>3.2189143754134215</v>
      </c>
      <c r="N308" s="46">
        <f t="array" ref="N308">IF(SUMIF(Производство!$A$104:$A$145,Технологи!$B308,Производство!K$104:K$145)&gt;0,SUMIF(Производство!$A$104:$A$145,Технологи!$B308,Производство!K$104:K$145)*$F308+$G308,0)</f>
        <v>3.2189143754134215</v>
      </c>
      <c r="O308" s="46">
        <f t="array" ref="O308">IF(SUMIF(Производство!$A$104:$A$145,Технологи!$B308,Производство!L$104:L$145)&gt;0,SUMIF(Производство!$A$104:$A$145,Технологи!$B308,Производство!L$104:L$145)*$F308+$G308,0)</f>
        <v>3.2189143754134215</v>
      </c>
      <c r="P308" s="46">
        <f t="array" ref="P308">IF(SUMIF(Производство!$A$104:$A$145,Технологи!$B308,Производство!M$104:M$145)&gt;0,SUMIF(Производство!$A$104:$A$145,Технологи!$B308,Производство!M$104:M$145)*$F308+$G308,0)</f>
        <v>3.2189143754134215</v>
      </c>
      <c r="Q308" s="46">
        <f t="array" ref="Q308">IF(SUMIF(Производство!$A$104:$A$145,Технологи!$B308,Производство!N$104:N$145)&gt;0,SUMIF(Производство!$A$104:$A$145,Технологи!$B308,Производство!N$104:N$145)*$F308+$G308,0)</f>
        <v>3.2189143754134215</v>
      </c>
      <c r="R308" s="46">
        <f t="array" ref="R308">IF(SUMIF(Производство!$A$104:$A$145,Технологи!$B308,Производство!O$104:O$145)&gt;0,SUMIF(Производство!$A$104:$A$145,Технологи!$B308,Производство!O$104:O$145)*$F308+$G308,0)</f>
        <v>3.2189143754134215</v>
      </c>
      <c r="S308" s="46">
        <f t="array" ref="S308">IF(SUMIF(Производство!$A$104:$A$145,Технологи!$B308,Производство!P$104:P$145)&gt;0,SUMIF(Производство!$A$104:$A$145,Технологи!$B308,Производство!P$104:P$145)*$F308+$G308,0)</f>
        <v>3.2189143754134215</v>
      </c>
      <c r="T308" s="46">
        <f t="array" ref="T308">IF(SUMIF(Производство!$A$104:$A$145,Технологи!$B308,Производство!Q$104:Q$145)&gt;0,SUMIF(Производство!$A$104:$A$145,Технологи!$B308,Производство!Q$104:Q$145)*$F308+$G308,0)</f>
        <v>3.2189143754134215</v>
      </c>
    </row>
    <row r="309" spans="1:20" x14ac:dyDescent="0.25">
      <c r="A309" s="34" t="s">
        <v>377</v>
      </c>
      <c r="B309" s="13" t="s">
        <v>38</v>
      </c>
      <c r="C309" s="19" t="s">
        <v>16</v>
      </c>
      <c r="D309" s="14">
        <v>7038</v>
      </c>
      <c r="E309" s="20"/>
      <c r="F309" s="24">
        <v>3.1910561315496092E-3</v>
      </c>
      <c r="G309" s="24">
        <v>0.37464368264585651</v>
      </c>
      <c r="H309" s="23">
        <f t="shared" si="14"/>
        <v>3.1910561315496091</v>
      </c>
      <c r="I309" s="46">
        <f t="array" ref="I309">IF(SUMIF(Производство!$A$104:$A$145,Технологи!$B309,Производство!F$104:F$145)&gt;0,SUMIF(Производство!$A$104:$A$145,Технологи!$B309,Производство!F$104:F$145)*$F309+$G309,0)</f>
        <v>0</v>
      </c>
      <c r="J309" s="46">
        <f t="array" ref="J309">IF(SUMIF(Производство!$A$104:$A$145,Технологи!$B309,Производство!G$104:G$145)&gt;0,SUMIF(Производство!$A$104:$A$145,Технологи!$B309,Производство!G$104:G$145)*$F309+$G309,0)</f>
        <v>0</v>
      </c>
      <c r="K309" s="46">
        <f t="array" ref="K309">IF(SUMIF(Производство!$A$104:$A$145,Технологи!$B309,Производство!H$104:H$145)&gt;0,SUMIF(Производство!$A$104:$A$145,Технологи!$B309,Производство!H$104:H$145)*$F309+$G309,0)</f>
        <v>55.132234640547388</v>
      </c>
      <c r="L309" s="46">
        <f t="array" ref="L309">IF(SUMIF(Производство!$A$104:$A$145,Технологи!$B309,Производство!I$104:I$145)&gt;0,SUMIF(Производство!$A$104:$A$145,Технологи!$B309,Производство!I$104:I$145)*$F309+$G309,0)</f>
        <v>55.132234640547388</v>
      </c>
      <c r="M309" s="46">
        <f t="array" ref="M309">IF(SUMIF(Производство!$A$104:$A$145,Технологи!$B309,Производство!J$104:J$145)&gt;0,SUMIF(Производство!$A$104:$A$145,Технологи!$B309,Производство!J$104:J$145)*$F309+$G309,0)</f>
        <v>42.708243414805033</v>
      </c>
      <c r="N309" s="46">
        <f t="array" ref="N309">IF(SUMIF(Производство!$A$104:$A$145,Технологи!$B309,Производство!K$104:K$145)&gt;0,SUMIF(Производство!$A$104:$A$145,Технологи!$B309,Производство!K$104:K$145)*$F309+$G309,0)</f>
        <v>42.708243414805033</v>
      </c>
      <c r="O309" s="46">
        <f t="array" ref="O309">IF(SUMIF(Производство!$A$104:$A$145,Технологи!$B309,Производство!L$104:L$145)&gt;0,SUMIF(Производство!$A$104:$A$145,Технологи!$B309,Производство!L$104:L$145)*$F309+$G309,0)</f>
        <v>42.708243414805033</v>
      </c>
      <c r="P309" s="46">
        <f t="array" ref="P309">IF(SUMIF(Производство!$A$104:$A$145,Технологи!$B309,Производство!M$104:M$145)&gt;0,SUMIF(Производство!$A$104:$A$145,Технологи!$B309,Производство!M$104:M$145)*$F309+$G309,0)</f>
        <v>42.708243414805033</v>
      </c>
      <c r="Q309" s="46">
        <f t="array" ref="Q309">IF(SUMIF(Производство!$A$104:$A$145,Технологи!$B309,Производство!N$104:N$145)&gt;0,SUMIF(Производство!$A$104:$A$145,Технологи!$B309,Производство!N$104:N$145)*$F309+$G309,0)</f>
        <v>42.708243414805033</v>
      </c>
      <c r="R309" s="46">
        <f t="array" ref="R309">IF(SUMIF(Производство!$A$104:$A$145,Технологи!$B309,Производство!O$104:O$145)&gt;0,SUMIF(Производство!$A$104:$A$145,Технологи!$B309,Производство!O$104:O$145)*$F309+$G309,0)</f>
        <v>42.708243414805033</v>
      </c>
      <c r="S309" s="46">
        <f t="array" ref="S309">IF(SUMIF(Производство!$A$104:$A$145,Технологи!$B309,Производство!P$104:P$145)&gt;0,SUMIF(Производство!$A$104:$A$145,Технологи!$B309,Производство!P$104:P$145)*$F309+$G309,0)</f>
        <v>42.708243414805033</v>
      </c>
      <c r="T309" s="46">
        <f t="array" ref="T309">IF(SUMIF(Производство!$A$104:$A$145,Технологи!$B309,Производство!Q$104:Q$145)&gt;0,SUMIF(Производство!$A$104:$A$145,Технологи!$B309,Производство!Q$104:Q$145)*$F309+$G309,0)</f>
        <v>42.708243414805033</v>
      </c>
    </row>
    <row r="310" spans="1:20" x14ac:dyDescent="0.25">
      <c r="A310" s="34" t="s">
        <v>377</v>
      </c>
      <c r="B310" s="13" t="s">
        <v>38</v>
      </c>
      <c r="C310" s="19" t="s">
        <v>17</v>
      </c>
      <c r="D310" s="14">
        <v>7038</v>
      </c>
      <c r="E310" s="20"/>
      <c r="F310" s="24">
        <v>1.7638126179858786E-3</v>
      </c>
      <c r="G310" s="24">
        <v>0.20605402545522111</v>
      </c>
      <c r="H310" s="23">
        <f t="shared" si="14"/>
        <v>1.7638126179858786</v>
      </c>
      <c r="I310" s="46">
        <f t="array" ref="I310">IF(SUMIF(Производство!$A$104:$A$145,Технологи!$B310,Производство!F$104:F$145)&gt;0,SUMIF(Производство!$A$104:$A$145,Технологи!$B310,Производство!F$104:F$145)*$F310+$G310,0)</f>
        <v>0</v>
      </c>
      <c r="J310" s="46">
        <f t="array" ref="J310">IF(SUMIF(Производство!$A$104:$A$145,Технологи!$B310,Производство!G$104:G$145)&gt;0,SUMIF(Производство!$A$104:$A$145,Технологи!$B310,Производство!G$104:G$145)*$F310+$G310,0)</f>
        <v>0</v>
      </c>
      <c r="K310" s="46">
        <f t="array" ref="K310">IF(SUMIF(Производство!$A$104:$A$145,Технологи!$B310,Производство!H$104:H$145)&gt;0,SUMIF(Производство!$A$104:$A$145,Технологи!$B310,Производство!H$104:H$145)*$F310+$G310,0)</f>
        <v>30.47256325641473</v>
      </c>
      <c r="L310" s="46">
        <f t="array" ref="L310">IF(SUMIF(Производство!$A$104:$A$145,Технологи!$B310,Производство!I$104:I$145)&gt;0,SUMIF(Производство!$A$104:$A$145,Технологи!$B310,Производство!I$104:I$145)*$F310+$G310,0)</f>
        <v>30.47256325641473</v>
      </c>
      <c r="M310" s="46">
        <f t="array" ref="M310">IF(SUMIF(Производство!$A$104:$A$145,Технологи!$B310,Производство!J$104:J$145)&gt;0,SUMIF(Производство!$A$104:$A$145,Технологи!$B310,Производство!J$104:J$145)*$F310+$G310,0)</f>
        <v>23.605372086365097</v>
      </c>
      <c r="N310" s="46">
        <f t="array" ref="N310">IF(SUMIF(Производство!$A$104:$A$145,Технологи!$B310,Производство!K$104:K$145)&gt;0,SUMIF(Производство!$A$104:$A$145,Технологи!$B310,Производство!K$104:K$145)*$F310+$G310,0)</f>
        <v>23.605372086365097</v>
      </c>
      <c r="O310" s="46">
        <f t="array" ref="O310">IF(SUMIF(Производство!$A$104:$A$145,Технологи!$B310,Производство!L$104:L$145)&gt;0,SUMIF(Производство!$A$104:$A$145,Технологи!$B310,Производство!L$104:L$145)*$F310+$G310,0)</f>
        <v>23.605372086365097</v>
      </c>
      <c r="P310" s="46">
        <f t="array" ref="P310">IF(SUMIF(Производство!$A$104:$A$145,Технологи!$B310,Производство!M$104:M$145)&gt;0,SUMIF(Производство!$A$104:$A$145,Технологи!$B310,Производство!M$104:M$145)*$F310+$G310,0)</f>
        <v>23.605372086365097</v>
      </c>
      <c r="Q310" s="46">
        <f t="array" ref="Q310">IF(SUMIF(Производство!$A$104:$A$145,Технологи!$B310,Производство!N$104:N$145)&gt;0,SUMIF(Производство!$A$104:$A$145,Технологи!$B310,Производство!N$104:N$145)*$F310+$G310,0)</f>
        <v>23.605372086365097</v>
      </c>
      <c r="R310" s="46">
        <f t="array" ref="R310">IF(SUMIF(Производство!$A$104:$A$145,Технологи!$B310,Производство!O$104:O$145)&gt;0,SUMIF(Производство!$A$104:$A$145,Технологи!$B310,Производство!O$104:O$145)*$F310+$G310,0)</f>
        <v>23.605372086365097</v>
      </c>
      <c r="S310" s="46">
        <f t="array" ref="S310">IF(SUMIF(Производство!$A$104:$A$145,Технологи!$B310,Производство!P$104:P$145)&gt;0,SUMIF(Производство!$A$104:$A$145,Технологи!$B310,Производство!P$104:P$145)*$F310+$G310,0)</f>
        <v>23.605372086365097</v>
      </c>
      <c r="T310" s="46">
        <f t="array" ref="T310">IF(SUMIF(Производство!$A$104:$A$145,Технологи!$B310,Производство!Q$104:Q$145)&gt;0,SUMIF(Производство!$A$104:$A$145,Технологи!$B310,Производство!Q$104:Q$145)*$F310+$G310,0)</f>
        <v>23.605372086365097</v>
      </c>
    </row>
    <row r="311" spans="1:20" x14ac:dyDescent="0.25">
      <c r="A311" s="34" t="s">
        <v>377</v>
      </c>
      <c r="B311" s="13" t="s">
        <v>38</v>
      </c>
      <c r="C311" s="19" t="s">
        <v>18</v>
      </c>
      <c r="D311" s="14">
        <v>7038</v>
      </c>
      <c r="E311" s="20"/>
      <c r="F311" s="24">
        <v>1.5923528855444069E-3</v>
      </c>
      <c r="G311" s="24">
        <v>0.18732184132292826</v>
      </c>
      <c r="H311" s="23">
        <f t="shared" si="14"/>
        <v>1.5923528855444069</v>
      </c>
      <c r="I311" s="46">
        <f t="array" ref="I311">IF(SUMIF(Производство!$A$104:$A$145,Технологи!$B311,Производство!F$104:F$145)&gt;0,SUMIF(Производство!$A$104:$A$145,Технологи!$B311,Производство!F$104:F$145)*$F311+$G311,0)</f>
        <v>0</v>
      </c>
      <c r="J311" s="46">
        <f t="array" ref="J311">IF(SUMIF(Производство!$A$104:$A$145,Технологи!$B311,Производство!G$104:G$145)&gt;0,SUMIF(Производство!$A$104:$A$145,Технологи!$B311,Производство!G$104:G$145)*$F311+$G311,0)</f>
        <v>0</v>
      </c>
      <c r="K311" s="46">
        <f t="array" ref="K311">IF(SUMIF(Производство!$A$104:$A$145,Технологи!$B311,Производство!H$104:H$145)&gt;0,SUMIF(Производство!$A$104:$A$145,Технологи!$B311,Производство!H$104:H$145)*$F311+$G311,0)</f>
        <v>27.511632155141456</v>
      </c>
      <c r="L311" s="46">
        <f t="array" ref="L311">IF(SUMIF(Производство!$A$104:$A$145,Технологи!$B311,Производство!I$104:I$145)&gt;0,SUMIF(Производство!$A$104:$A$145,Технологи!$B311,Производство!I$104:I$145)*$F311+$G311,0)</f>
        <v>27.511632155141456</v>
      </c>
      <c r="M311" s="46">
        <f t="array" ref="M311">IF(SUMIF(Производство!$A$104:$A$145,Технологи!$B311,Производство!J$104:J$145)&gt;0,SUMIF(Производство!$A$104:$A$145,Технологи!$B311,Производство!J$104:J$145)*$F311+$G311,0)</f>
        <v>21.311998722594396</v>
      </c>
      <c r="N311" s="46">
        <f t="array" ref="N311">IF(SUMIF(Производство!$A$104:$A$145,Технологи!$B311,Производство!K$104:K$145)&gt;0,SUMIF(Производство!$A$104:$A$145,Технологи!$B311,Производство!K$104:K$145)*$F311+$G311,0)</f>
        <v>21.311998722594396</v>
      </c>
      <c r="O311" s="46">
        <f t="array" ref="O311">IF(SUMIF(Производство!$A$104:$A$145,Технологи!$B311,Производство!L$104:L$145)&gt;0,SUMIF(Производство!$A$104:$A$145,Технологи!$B311,Производство!L$104:L$145)*$F311+$G311,0)</f>
        <v>21.311998722594396</v>
      </c>
      <c r="P311" s="46">
        <f t="array" ref="P311">IF(SUMIF(Производство!$A$104:$A$145,Технологи!$B311,Производство!M$104:M$145)&gt;0,SUMIF(Производство!$A$104:$A$145,Технологи!$B311,Производство!M$104:M$145)*$F311+$G311,0)</f>
        <v>21.311998722594396</v>
      </c>
      <c r="Q311" s="46">
        <f t="array" ref="Q311">IF(SUMIF(Производство!$A$104:$A$145,Технологи!$B311,Производство!N$104:N$145)&gt;0,SUMIF(Производство!$A$104:$A$145,Технологи!$B311,Производство!N$104:N$145)*$F311+$G311,0)</f>
        <v>21.311998722594396</v>
      </c>
      <c r="R311" s="46">
        <f t="array" ref="R311">IF(SUMIF(Производство!$A$104:$A$145,Технологи!$B311,Производство!O$104:O$145)&gt;0,SUMIF(Производство!$A$104:$A$145,Технологи!$B311,Производство!O$104:O$145)*$F311+$G311,0)</f>
        <v>21.311998722594396</v>
      </c>
      <c r="S311" s="46">
        <f t="array" ref="S311">IF(SUMIF(Производство!$A$104:$A$145,Технологи!$B311,Производство!P$104:P$145)&gt;0,SUMIF(Производство!$A$104:$A$145,Технологи!$B311,Производство!P$104:P$145)*$F311+$G311,0)</f>
        <v>21.311998722594396</v>
      </c>
      <c r="T311" s="46">
        <f t="array" ref="T311">IF(SUMIF(Производство!$A$104:$A$145,Технологи!$B311,Производство!Q$104:Q$145)&gt;0,SUMIF(Производство!$A$104:$A$145,Технологи!$B311,Производство!Q$104:Q$145)*$F311+$G311,0)</f>
        <v>21.311998722594396</v>
      </c>
    </row>
    <row r="312" spans="1:20" x14ac:dyDescent="0.25">
      <c r="A312" s="34" t="s">
        <v>377</v>
      </c>
      <c r="B312" s="13" t="s">
        <v>38</v>
      </c>
      <c r="C312" s="19" t="s">
        <v>19</v>
      </c>
      <c r="D312" s="14">
        <v>7038</v>
      </c>
      <c r="E312" s="20"/>
      <c r="F312" s="24">
        <v>0.33610474999999995</v>
      </c>
      <c r="G312" s="24">
        <v>11.763666249999998</v>
      </c>
      <c r="H312" s="23">
        <f t="shared" si="14"/>
        <v>336.10474999999997</v>
      </c>
      <c r="I312" s="46">
        <f t="array" ref="I312">IF(SUMIF(Производство!$A$104:$A$145,Технологи!$B312,Производство!F$104:F$145)&gt;0,SUMIF(Производство!$A$104:$A$145,Технологи!$B312,Производство!F$104:F$145)*$F312+$G312,0)</f>
        <v>0</v>
      </c>
      <c r="J312" s="46">
        <f t="array" ref="J312">IF(SUMIF(Производство!$A$104:$A$145,Технологи!$B312,Производство!G$104:G$145)&gt;0,SUMIF(Производство!$A$104:$A$145,Технологи!$B312,Производство!G$104:G$145)*$F312+$G312,0)</f>
        <v>0</v>
      </c>
      <c r="K312" s="46">
        <f t="array" ref="K312">IF(SUMIF(Производство!$A$104:$A$145,Технологи!$B312,Производство!H$104:H$145)&gt;0,SUMIF(Производство!$A$104:$A$145,Технологи!$B312,Производство!H$104:H$145)*$F312+$G312,0)</f>
        <v>5779.222984043462</v>
      </c>
      <c r="L312" s="46">
        <f t="array" ref="L312">IF(SUMIF(Производство!$A$104:$A$145,Технологи!$B312,Производство!I$104:I$145)&gt;0,SUMIF(Производство!$A$104:$A$145,Технологи!$B312,Производство!I$104:I$145)*$F312+$G312,0)</f>
        <v>5779.222984043462</v>
      </c>
      <c r="M312" s="46">
        <f t="array" ref="M312">IF(SUMIF(Производство!$A$104:$A$145,Технологи!$B312,Производство!J$104:J$145)&gt;0,SUMIF(Производство!$A$104:$A$145,Технологи!$B312,Производство!J$104:J$145)*$F312+$G312,0)</f>
        <v>4470.6397774852821</v>
      </c>
      <c r="N312" s="46">
        <f t="array" ref="N312">IF(SUMIF(Производство!$A$104:$A$145,Технологи!$B312,Производство!K$104:K$145)&gt;0,SUMIF(Производство!$A$104:$A$145,Технологи!$B312,Производство!K$104:K$145)*$F312+$G312,0)</f>
        <v>4470.6397774852821</v>
      </c>
      <c r="O312" s="46">
        <f t="array" ref="O312">IF(SUMIF(Производство!$A$104:$A$145,Технологи!$B312,Производство!L$104:L$145)&gt;0,SUMIF(Производство!$A$104:$A$145,Технологи!$B312,Производство!L$104:L$145)*$F312+$G312,0)</f>
        <v>4470.6397774852821</v>
      </c>
      <c r="P312" s="46">
        <f t="array" ref="P312">IF(SUMIF(Производство!$A$104:$A$145,Технологи!$B312,Производство!M$104:M$145)&gt;0,SUMIF(Производство!$A$104:$A$145,Технологи!$B312,Производство!M$104:M$145)*$F312+$G312,0)</f>
        <v>4470.6397774852821</v>
      </c>
      <c r="Q312" s="46">
        <f t="array" ref="Q312">IF(SUMIF(Производство!$A$104:$A$145,Технологи!$B312,Производство!N$104:N$145)&gt;0,SUMIF(Производство!$A$104:$A$145,Технологи!$B312,Производство!N$104:N$145)*$F312+$G312,0)</f>
        <v>4470.6397774852821</v>
      </c>
      <c r="R312" s="46">
        <f t="array" ref="R312">IF(SUMIF(Производство!$A$104:$A$145,Технологи!$B312,Производство!O$104:O$145)&gt;0,SUMIF(Производство!$A$104:$A$145,Технологи!$B312,Производство!O$104:O$145)*$F312+$G312,0)</f>
        <v>4470.6397774852821</v>
      </c>
      <c r="S312" s="46">
        <f t="array" ref="S312">IF(SUMIF(Производство!$A$104:$A$145,Технологи!$B312,Производство!P$104:P$145)&gt;0,SUMIF(Производство!$A$104:$A$145,Технологи!$B312,Производство!P$104:P$145)*$F312+$G312,0)</f>
        <v>4470.6397774852821</v>
      </c>
      <c r="T312" s="46">
        <f t="array" ref="T312">IF(SUMIF(Производство!$A$104:$A$145,Технологи!$B312,Производство!Q$104:Q$145)&gt;0,SUMIF(Производство!$A$104:$A$145,Технологи!$B312,Производство!Q$104:Q$145)*$F312+$G312,0)</f>
        <v>4470.6397774852821</v>
      </c>
    </row>
    <row r="313" spans="1:20" x14ac:dyDescent="0.25">
      <c r="A313" s="34" t="s">
        <v>377</v>
      </c>
      <c r="B313" s="13" t="s">
        <v>38</v>
      </c>
      <c r="C313" s="19" t="s">
        <v>20</v>
      </c>
      <c r="D313" s="14">
        <v>7038</v>
      </c>
      <c r="E313" s="20"/>
      <c r="F313" s="24">
        <v>3.3600000000000005E-2</v>
      </c>
      <c r="G313" s="24">
        <v>0.504</v>
      </c>
      <c r="H313" s="23">
        <f t="shared" si="14"/>
        <v>33.6</v>
      </c>
      <c r="I313" s="46">
        <f t="array" ref="I313">IF(SUMIF(Производство!$A$104:$A$145,Технологи!$B313,Производство!F$104:F$145)&gt;0,SUMIF(Производство!$A$104:$A$145,Технологи!$B313,Производство!F$104:F$145)*$F313+$G313,0)</f>
        <v>0</v>
      </c>
      <c r="J313" s="46">
        <f t="array" ref="J313">IF(SUMIF(Производство!$A$104:$A$145,Технологи!$B313,Производство!G$104:G$145)&gt;0,SUMIF(Производство!$A$104:$A$145,Технологи!$B313,Производство!G$104:G$145)*$F313+$G313,0)</f>
        <v>0</v>
      </c>
      <c r="K313" s="46">
        <f t="array" ref="K313">IF(SUMIF(Производство!$A$104:$A$145,Технологи!$B313,Производство!H$104:H$145)&gt;0,SUMIF(Производство!$A$104:$A$145,Технологи!$B313,Производство!H$104:H$145)*$F313+$G313,0)</f>
        <v>577.07018383959291</v>
      </c>
      <c r="L313" s="46">
        <f t="array" ref="L313">IF(SUMIF(Производство!$A$104:$A$145,Технологи!$B313,Производство!I$104:I$145)&gt;0,SUMIF(Производство!$A$104:$A$145,Технологи!$B313,Производство!I$104:I$145)*$F313+$G313,0)</f>
        <v>577.07018383959291</v>
      </c>
      <c r="M313" s="46">
        <f t="array" ref="M313">IF(SUMIF(Производство!$A$104:$A$145,Технологи!$B313,Производство!J$104:J$145)&gt;0,SUMIF(Производство!$A$104:$A$145,Технологи!$B313,Производство!J$104:J$145)*$F313+$G313,0)</f>
        <v>446.25264632976933</v>
      </c>
      <c r="N313" s="46">
        <f t="array" ref="N313">IF(SUMIF(Производство!$A$104:$A$145,Технологи!$B313,Производство!K$104:K$145)&gt;0,SUMIF(Производство!$A$104:$A$145,Технологи!$B313,Производство!K$104:K$145)*$F313+$G313,0)</f>
        <v>446.25264632976933</v>
      </c>
      <c r="O313" s="46">
        <f t="array" ref="O313">IF(SUMIF(Производство!$A$104:$A$145,Технологи!$B313,Производство!L$104:L$145)&gt;0,SUMIF(Производство!$A$104:$A$145,Технологи!$B313,Производство!L$104:L$145)*$F313+$G313,0)</f>
        <v>446.25264632976933</v>
      </c>
      <c r="P313" s="46">
        <f t="array" ref="P313">IF(SUMIF(Производство!$A$104:$A$145,Технологи!$B313,Производство!M$104:M$145)&gt;0,SUMIF(Производство!$A$104:$A$145,Технологи!$B313,Производство!M$104:M$145)*$F313+$G313,0)</f>
        <v>446.25264632976933</v>
      </c>
      <c r="Q313" s="46">
        <f t="array" ref="Q313">IF(SUMIF(Производство!$A$104:$A$145,Технологи!$B313,Производство!N$104:N$145)&gt;0,SUMIF(Производство!$A$104:$A$145,Технологи!$B313,Производство!N$104:N$145)*$F313+$G313,0)</f>
        <v>446.25264632976933</v>
      </c>
      <c r="R313" s="46">
        <f t="array" ref="R313">IF(SUMIF(Производство!$A$104:$A$145,Технологи!$B313,Производство!O$104:O$145)&gt;0,SUMIF(Производство!$A$104:$A$145,Технологи!$B313,Производство!O$104:O$145)*$F313+$G313,0)</f>
        <v>446.25264632976933</v>
      </c>
      <c r="S313" s="46">
        <f t="array" ref="S313">IF(SUMIF(Производство!$A$104:$A$145,Технологи!$B313,Производство!P$104:P$145)&gt;0,SUMIF(Производство!$A$104:$A$145,Технологи!$B313,Производство!P$104:P$145)*$F313+$G313,0)</f>
        <v>446.25264632976933</v>
      </c>
      <c r="T313" s="46">
        <f t="array" ref="T313">IF(SUMIF(Производство!$A$104:$A$145,Технологи!$B313,Производство!Q$104:Q$145)&gt;0,SUMIF(Производство!$A$104:$A$145,Технологи!$B313,Производство!Q$104:Q$145)*$F313+$G313,0)</f>
        <v>446.25264632976933</v>
      </c>
    </row>
    <row r="314" spans="1:20" x14ac:dyDescent="0.25">
      <c r="A314" s="34" t="s">
        <v>377</v>
      </c>
      <c r="B314" s="13" t="s">
        <v>38</v>
      </c>
      <c r="C314" s="19" t="s">
        <v>21</v>
      </c>
      <c r="D314" s="14">
        <v>7038</v>
      </c>
      <c r="E314" s="20"/>
      <c r="F314" s="24">
        <v>0</v>
      </c>
      <c r="G314" s="24">
        <v>0</v>
      </c>
      <c r="H314" s="23">
        <f t="shared" si="14"/>
        <v>0</v>
      </c>
      <c r="I314" s="46">
        <f t="array" ref="I314">IF(SUMIF(Производство!$A$104:$A$145,Технологи!$B314,Производство!F$104:F$145)&gt;0,SUMIF(Производство!$A$104:$A$145,Технологи!$B314,Производство!F$104:F$145)*$F314+$G314,0)</f>
        <v>0</v>
      </c>
      <c r="J314" s="46">
        <f t="array" ref="J314">IF(SUMIF(Производство!$A$104:$A$145,Технологи!$B314,Производство!G$104:G$145)&gt;0,SUMIF(Производство!$A$104:$A$145,Технологи!$B314,Производство!G$104:G$145)*$F314+$G314,0)</f>
        <v>0</v>
      </c>
      <c r="K314" s="46">
        <f t="array" ref="K314">IF(SUMIF(Производство!$A$104:$A$145,Технологи!$B314,Производство!H$104:H$145)&gt;0,SUMIF(Производство!$A$104:$A$145,Технологи!$B314,Производство!H$104:H$145)*$F314+$G314,0)</f>
        <v>0</v>
      </c>
      <c r="L314" s="46">
        <f t="array" ref="L314">IF(SUMIF(Производство!$A$104:$A$145,Технологи!$B314,Производство!I$104:I$145)&gt;0,SUMIF(Производство!$A$104:$A$145,Технологи!$B314,Производство!I$104:I$145)*$F314+$G314,0)</f>
        <v>0</v>
      </c>
      <c r="M314" s="46">
        <f t="array" ref="M314">IF(SUMIF(Производство!$A$104:$A$145,Технологи!$B314,Производство!J$104:J$145)&gt;0,SUMIF(Производство!$A$104:$A$145,Технологи!$B314,Производство!J$104:J$145)*$F314+$G314,0)</f>
        <v>0</v>
      </c>
      <c r="N314" s="46">
        <f t="array" ref="N314">IF(SUMIF(Производство!$A$104:$A$145,Технологи!$B314,Производство!K$104:K$145)&gt;0,SUMIF(Производство!$A$104:$A$145,Технологи!$B314,Производство!K$104:K$145)*$F314+$G314,0)</f>
        <v>0</v>
      </c>
      <c r="O314" s="46">
        <f t="array" ref="O314">IF(SUMIF(Производство!$A$104:$A$145,Технологи!$B314,Производство!L$104:L$145)&gt;0,SUMIF(Производство!$A$104:$A$145,Технологи!$B314,Производство!L$104:L$145)*$F314+$G314,0)</f>
        <v>0</v>
      </c>
      <c r="P314" s="46">
        <f t="array" ref="P314">IF(SUMIF(Производство!$A$104:$A$145,Технологи!$B314,Производство!M$104:M$145)&gt;0,SUMIF(Производство!$A$104:$A$145,Технологи!$B314,Производство!M$104:M$145)*$F314+$G314,0)</f>
        <v>0</v>
      </c>
      <c r="Q314" s="46">
        <f t="array" ref="Q314">IF(SUMIF(Производство!$A$104:$A$145,Технологи!$B314,Производство!N$104:N$145)&gt;0,SUMIF(Производство!$A$104:$A$145,Технологи!$B314,Производство!N$104:N$145)*$F314+$G314,0)</f>
        <v>0</v>
      </c>
      <c r="R314" s="46">
        <f t="array" ref="R314">IF(SUMIF(Производство!$A$104:$A$145,Технологи!$B314,Производство!O$104:O$145)&gt;0,SUMIF(Производство!$A$104:$A$145,Технологи!$B314,Производство!O$104:O$145)*$F314+$G314,0)</f>
        <v>0</v>
      </c>
      <c r="S314" s="46">
        <f t="array" ref="S314">IF(SUMIF(Производство!$A$104:$A$145,Технологи!$B314,Производство!P$104:P$145)&gt;0,SUMIF(Производство!$A$104:$A$145,Технологи!$B314,Производство!P$104:P$145)*$F314+$G314,0)</f>
        <v>0</v>
      </c>
      <c r="T314" s="46">
        <f t="array" ref="T314">IF(SUMIF(Производство!$A$104:$A$145,Технологи!$B314,Производство!Q$104:Q$145)&gt;0,SUMIF(Производство!$A$104:$A$145,Технологи!$B314,Производство!Q$104:Q$145)*$F314+$G314,0)</f>
        <v>0</v>
      </c>
    </row>
    <row r="315" spans="1:20" x14ac:dyDescent="0.25">
      <c r="A315" s="34" t="s">
        <v>377</v>
      </c>
      <c r="B315" s="13" t="s">
        <v>38</v>
      </c>
      <c r="C315" s="19" t="s">
        <v>22</v>
      </c>
      <c r="D315" s="14">
        <v>7038</v>
      </c>
      <c r="E315" s="20"/>
      <c r="F315" s="24">
        <v>2.7E-2</v>
      </c>
      <c r="G315" s="24">
        <v>0.40500000000000003</v>
      </c>
      <c r="H315" s="23">
        <f t="shared" si="14"/>
        <v>27</v>
      </c>
      <c r="I315" s="46">
        <f t="array" ref="I315">IF(SUMIF(Производство!$A$104:$A$145,Технологи!$B315,Производство!F$104:F$145)&gt;0,SUMIF(Производство!$A$104:$A$145,Технологи!$B315,Производство!F$104:F$145)*$F315+$G315,0)</f>
        <v>0</v>
      </c>
      <c r="J315" s="46">
        <f t="array" ref="J315">IF(SUMIF(Производство!$A$104:$A$145,Технологи!$B315,Производство!G$104:G$145)&gt;0,SUMIF(Производство!$A$104:$A$145,Технологи!$B315,Производство!G$104:G$145)*$F315+$G315,0)</f>
        <v>0</v>
      </c>
      <c r="K315" s="46">
        <f t="array" ref="K315">IF(SUMIF(Производство!$A$104:$A$145,Технологи!$B315,Производство!H$104:H$145)&gt;0,SUMIF(Производство!$A$104:$A$145,Технологи!$B315,Производство!H$104:H$145)*$F315+$G315,0)</f>
        <v>463.71711201395846</v>
      </c>
      <c r="L315" s="46">
        <f t="array" ref="L315">IF(SUMIF(Производство!$A$104:$A$145,Технологи!$B315,Производство!I$104:I$145)&gt;0,SUMIF(Производство!$A$104:$A$145,Технологи!$B315,Производство!I$104:I$145)*$F315+$G315,0)</f>
        <v>463.71711201395846</v>
      </c>
      <c r="M315" s="46">
        <f t="array" ref="M315">IF(SUMIF(Производство!$A$104:$A$145,Технологи!$B315,Производство!J$104:J$145)&gt;0,SUMIF(Производство!$A$104:$A$145,Технологи!$B315,Производство!J$104:J$145)*$F315+$G315,0)</f>
        <v>358.59587651499311</v>
      </c>
      <c r="N315" s="46">
        <f t="array" ref="N315">IF(SUMIF(Производство!$A$104:$A$145,Технологи!$B315,Производство!K$104:K$145)&gt;0,SUMIF(Производство!$A$104:$A$145,Технологи!$B315,Производство!K$104:K$145)*$F315+$G315,0)</f>
        <v>358.59587651499311</v>
      </c>
      <c r="O315" s="46">
        <f t="array" ref="O315">IF(SUMIF(Производство!$A$104:$A$145,Технологи!$B315,Производство!L$104:L$145)&gt;0,SUMIF(Производство!$A$104:$A$145,Технологи!$B315,Производство!L$104:L$145)*$F315+$G315,0)</f>
        <v>358.59587651499311</v>
      </c>
      <c r="P315" s="46">
        <f t="array" ref="P315">IF(SUMIF(Производство!$A$104:$A$145,Технологи!$B315,Производство!M$104:M$145)&gt;0,SUMIF(Производство!$A$104:$A$145,Технологи!$B315,Производство!M$104:M$145)*$F315+$G315,0)</f>
        <v>358.59587651499311</v>
      </c>
      <c r="Q315" s="46">
        <f t="array" ref="Q315">IF(SUMIF(Производство!$A$104:$A$145,Технологи!$B315,Производство!N$104:N$145)&gt;0,SUMIF(Производство!$A$104:$A$145,Технологи!$B315,Производство!N$104:N$145)*$F315+$G315,0)</f>
        <v>358.59587651499311</v>
      </c>
      <c r="R315" s="46">
        <f t="array" ref="R315">IF(SUMIF(Производство!$A$104:$A$145,Технологи!$B315,Производство!O$104:O$145)&gt;0,SUMIF(Производство!$A$104:$A$145,Технологи!$B315,Производство!O$104:O$145)*$F315+$G315,0)</f>
        <v>358.59587651499311</v>
      </c>
      <c r="S315" s="46">
        <f t="array" ref="S315">IF(SUMIF(Производство!$A$104:$A$145,Технологи!$B315,Производство!P$104:P$145)&gt;0,SUMIF(Производство!$A$104:$A$145,Технологи!$B315,Производство!P$104:P$145)*$F315+$G315,0)</f>
        <v>358.59587651499311</v>
      </c>
      <c r="T315" s="46">
        <f t="array" ref="T315">IF(SUMIF(Производство!$A$104:$A$145,Технологи!$B315,Производство!Q$104:Q$145)&gt;0,SUMIF(Производство!$A$104:$A$145,Технологи!$B315,Производство!Q$104:Q$145)*$F315+$G315,0)</f>
        <v>358.59587651499311</v>
      </c>
    </row>
    <row r="316" spans="1:20" x14ac:dyDescent="0.25">
      <c r="A316" s="34" t="s">
        <v>377</v>
      </c>
      <c r="B316" s="13" t="s">
        <v>38</v>
      </c>
      <c r="C316" s="19" t="s">
        <v>23</v>
      </c>
      <c r="D316" s="14">
        <v>7038</v>
      </c>
      <c r="E316" s="20"/>
      <c r="F316" s="24">
        <v>0</v>
      </c>
      <c r="G316" s="24">
        <v>0</v>
      </c>
      <c r="H316" s="23">
        <f t="shared" si="14"/>
        <v>0</v>
      </c>
      <c r="I316" s="46">
        <f t="array" ref="I316">IF(SUMIF(Производство!$A$104:$A$145,Технологи!$B316,Производство!F$104:F$145)&gt;0,SUMIF(Производство!$A$104:$A$145,Технологи!$B316,Производство!F$104:F$145)*$F316+$G316,0)</f>
        <v>0</v>
      </c>
      <c r="J316" s="46">
        <f t="array" ref="J316">IF(SUMIF(Производство!$A$104:$A$145,Технологи!$B316,Производство!G$104:G$145)&gt;0,SUMIF(Производство!$A$104:$A$145,Технологи!$B316,Производство!G$104:G$145)*$F316+$G316,0)</f>
        <v>0</v>
      </c>
      <c r="K316" s="46">
        <f t="array" ref="K316">IF(SUMIF(Производство!$A$104:$A$145,Технологи!$B316,Производство!H$104:H$145)&gt;0,SUMIF(Производство!$A$104:$A$145,Технологи!$B316,Производство!H$104:H$145)*$F316+$G316,0)</f>
        <v>0</v>
      </c>
      <c r="L316" s="46">
        <f t="array" ref="L316">IF(SUMIF(Производство!$A$104:$A$145,Технологи!$B316,Производство!I$104:I$145)&gt;0,SUMIF(Производство!$A$104:$A$145,Технологи!$B316,Производство!I$104:I$145)*$F316+$G316,0)</f>
        <v>0</v>
      </c>
      <c r="M316" s="46">
        <f t="array" ref="M316">IF(SUMIF(Производство!$A$104:$A$145,Технологи!$B316,Производство!J$104:J$145)&gt;0,SUMIF(Производство!$A$104:$A$145,Технологи!$B316,Производство!J$104:J$145)*$F316+$G316,0)</f>
        <v>0</v>
      </c>
      <c r="N316" s="46">
        <f t="array" ref="N316">IF(SUMIF(Производство!$A$104:$A$145,Технологи!$B316,Производство!K$104:K$145)&gt;0,SUMIF(Производство!$A$104:$A$145,Технологи!$B316,Производство!K$104:K$145)*$F316+$G316,0)</f>
        <v>0</v>
      </c>
      <c r="O316" s="46">
        <f t="array" ref="O316">IF(SUMIF(Производство!$A$104:$A$145,Технологи!$B316,Производство!L$104:L$145)&gt;0,SUMIF(Производство!$A$104:$A$145,Технологи!$B316,Производство!L$104:L$145)*$F316+$G316,0)</f>
        <v>0</v>
      </c>
      <c r="P316" s="46">
        <f t="array" ref="P316">IF(SUMIF(Производство!$A$104:$A$145,Технологи!$B316,Производство!M$104:M$145)&gt;0,SUMIF(Производство!$A$104:$A$145,Технологи!$B316,Производство!M$104:M$145)*$F316+$G316,0)</f>
        <v>0</v>
      </c>
      <c r="Q316" s="46">
        <f t="array" ref="Q316">IF(SUMIF(Производство!$A$104:$A$145,Технологи!$B316,Производство!N$104:N$145)&gt;0,SUMIF(Производство!$A$104:$A$145,Технологи!$B316,Производство!N$104:N$145)*$F316+$G316,0)</f>
        <v>0</v>
      </c>
      <c r="R316" s="46">
        <f t="array" ref="R316">IF(SUMIF(Производство!$A$104:$A$145,Технологи!$B316,Производство!O$104:O$145)&gt;0,SUMIF(Производство!$A$104:$A$145,Технологи!$B316,Производство!O$104:O$145)*$F316+$G316,0)</f>
        <v>0</v>
      </c>
      <c r="S316" s="46">
        <f t="array" ref="S316">IF(SUMIF(Производство!$A$104:$A$145,Технологи!$B316,Производство!P$104:P$145)&gt;0,SUMIF(Производство!$A$104:$A$145,Технологи!$B316,Производство!P$104:P$145)*$F316+$G316,0)</f>
        <v>0</v>
      </c>
      <c r="T316" s="46">
        <f t="array" ref="T316">IF(SUMIF(Производство!$A$104:$A$145,Технологи!$B316,Производство!Q$104:Q$145)&gt;0,SUMIF(Производство!$A$104:$A$145,Технологи!$B316,Производство!Q$104:Q$145)*$F316+$G316,0)</f>
        <v>0</v>
      </c>
    </row>
    <row r="317" spans="1:20" x14ac:dyDescent="0.25">
      <c r="A317" s="34" t="s">
        <v>377</v>
      </c>
      <c r="B317" s="13" t="s">
        <v>45</v>
      </c>
      <c r="C317" s="15" t="s">
        <v>11</v>
      </c>
      <c r="D317" s="14">
        <v>7038</v>
      </c>
      <c r="E317" s="16">
        <v>2.3919999999999999</v>
      </c>
      <c r="F317" s="22">
        <f>SUM(F318:F329)</f>
        <v>2.3955976435184527</v>
      </c>
      <c r="G317" s="22">
        <f>SUM(G318:G329)</f>
        <v>118.8855475</v>
      </c>
      <c r="H317" s="23">
        <f t="shared" ref="H317:H342" si="15">F317*1000</f>
        <v>2395.5976435184525</v>
      </c>
      <c r="I317" s="46">
        <f t="array" ref="I317">IF(SUMIF(Производство!$A$104:$A$145,Технологи!$B317,Производство!F$104:F$145)&gt;0,SUMIF(Производство!$A$104:$A$145,Технологи!$B317,Производство!F$104:F$145)*$F317+$G317,0)</f>
        <v>0</v>
      </c>
      <c r="J317" s="46">
        <f t="array" ref="J317">IF(SUMIF(Производство!$A$104:$A$145,Технологи!$B317,Производство!G$104:G$145)&gt;0,SUMIF(Производство!$A$104:$A$145,Технологи!$B317,Производство!G$104:G$145)*$F317+$G317,0)</f>
        <v>0</v>
      </c>
      <c r="K317" s="46">
        <f t="array" ref="K317">IF(SUMIF(Производство!$A$104:$A$145,Технологи!$B317,Производство!H$104:H$145)&gt;0,SUMIF(Производство!$A$104:$A$145,Технологи!$B317,Производство!H$104:H$145)*$F317+$G317,0)</f>
        <v>0</v>
      </c>
      <c r="L317" s="46">
        <f t="array" ref="L317">IF(SUMIF(Производство!$A$104:$A$145,Технологи!$B317,Производство!I$104:I$145)&gt;0,SUMIF(Производство!$A$104:$A$145,Технологи!$B317,Производство!I$104:I$145)*$F317+$G317,0)</f>
        <v>0</v>
      </c>
      <c r="M317" s="46">
        <f t="array" ref="M317">IF(SUMIF(Производство!$A$104:$A$145,Технологи!$B317,Производство!J$104:J$145)&gt;0,SUMIF(Производство!$A$104:$A$145,Технологи!$B317,Производство!J$104:J$145)*$F317+$G317,0)</f>
        <v>0</v>
      </c>
      <c r="N317" s="46">
        <f t="array" ref="N317">IF(SUMIF(Производство!$A$104:$A$145,Технологи!$B317,Производство!K$104:K$145)&gt;0,SUMIF(Производство!$A$104:$A$145,Технологи!$B317,Производство!K$104:K$145)*$F317+$G317,0)</f>
        <v>0</v>
      </c>
      <c r="O317" s="46">
        <f t="array" ref="O317">IF(SUMIF(Производство!$A$104:$A$145,Технологи!$B317,Производство!L$104:L$145)&gt;0,SUMIF(Производство!$A$104:$A$145,Технологи!$B317,Производство!L$104:L$145)*$F317+$G317,0)</f>
        <v>0</v>
      </c>
      <c r="P317" s="46">
        <f t="array" ref="P317">IF(SUMIF(Производство!$A$104:$A$145,Технологи!$B317,Производство!M$104:M$145)&gt;0,SUMIF(Производство!$A$104:$A$145,Технологи!$B317,Производство!M$104:M$145)*$F317+$G317,0)</f>
        <v>0</v>
      </c>
      <c r="Q317" s="46">
        <f t="array" ref="Q317">IF(SUMIF(Производство!$A$104:$A$145,Технологи!$B317,Производство!N$104:N$145)&gt;0,SUMIF(Производство!$A$104:$A$145,Технологи!$B317,Производство!N$104:N$145)*$F317+$G317,0)</f>
        <v>0</v>
      </c>
      <c r="R317" s="46">
        <f t="array" ref="R317">IF(SUMIF(Производство!$A$104:$A$145,Технологи!$B317,Производство!O$104:O$145)&gt;0,SUMIF(Производство!$A$104:$A$145,Технологи!$B317,Производство!O$104:O$145)*$F317+$G317,0)</f>
        <v>0</v>
      </c>
      <c r="S317" s="46">
        <f t="array" ref="S317">IF(SUMIF(Производство!$A$104:$A$145,Технологи!$B317,Производство!P$104:P$145)&gt;0,SUMIF(Производство!$A$104:$A$145,Технологи!$B317,Производство!P$104:P$145)*$F317+$G317,0)</f>
        <v>0</v>
      </c>
      <c r="T317" s="46">
        <f t="array" ref="T317">IF(SUMIF(Производство!$A$104:$A$145,Технологи!$B317,Производство!Q$104:Q$145)&gt;0,SUMIF(Производство!$A$104:$A$145,Технологи!$B317,Производство!Q$104:Q$145)*$F317+$G317,0)</f>
        <v>0</v>
      </c>
    </row>
    <row r="318" spans="1:20" x14ac:dyDescent="0.25">
      <c r="A318" s="34" t="s">
        <v>377</v>
      </c>
      <c r="B318" s="13" t="s">
        <v>45</v>
      </c>
      <c r="C318" s="19" t="s">
        <v>12</v>
      </c>
      <c r="D318" s="14">
        <v>7038</v>
      </c>
      <c r="E318" s="20"/>
      <c r="F318" s="24">
        <v>0.60160108903618781</v>
      </c>
      <c r="G318" s="24">
        <v>35.635597533865884</v>
      </c>
      <c r="H318" s="23">
        <f t="shared" si="15"/>
        <v>601.60108903618777</v>
      </c>
      <c r="I318" s="46">
        <f t="array" ref="I318">IF(SUMIF(Производство!$A$104:$A$145,Технологи!$B318,Производство!F$104:F$145)&gt;0,SUMIF(Производство!$A$104:$A$145,Технологи!$B318,Производство!F$104:F$145)*$F318+$G318,0)</f>
        <v>0</v>
      </c>
      <c r="J318" s="46">
        <f t="array" ref="J318">IF(SUMIF(Производство!$A$104:$A$145,Технологи!$B318,Производство!G$104:G$145)&gt;0,SUMIF(Производство!$A$104:$A$145,Технологи!$B318,Производство!G$104:G$145)*$F318+$G318,0)</f>
        <v>0</v>
      </c>
      <c r="K318" s="46">
        <f t="array" ref="K318">IF(SUMIF(Производство!$A$104:$A$145,Технологи!$B318,Производство!H$104:H$145)&gt;0,SUMIF(Производство!$A$104:$A$145,Технологи!$B318,Производство!H$104:H$145)*$F318+$G318,0)</f>
        <v>0</v>
      </c>
      <c r="L318" s="46">
        <f t="array" ref="L318">IF(SUMIF(Производство!$A$104:$A$145,Технологи!$B318,Производство!I$104:I$145)&gt;0,SUMIF(Производство!$A$104:$A$145,Технологи!$B318,Производство!I$104:I$145)*$F318+$G318,0)</f>
        <v>0</v>
      </c>
      <c r="M318" s="46">
        <f t="array" ref="M318">IF(SUMIF(Производство!$A$104:$A$145,Технологи!$B318,Производство!J$104:J$145)&gt;0,SUMIF(Производство!$A$104:$A$145,Технологи!$B318,Производство!J$104:J$145)*$F318+$G318,0)</f>
        <v>0</v>
      </c>
      <c r="N318" s="46">
        <f t="array" ref="N318">IF(SUMIF(Производство!$A$104:$A$145,Технологи!$B318,Производство!K$104:K$145)&gt;0,SUMIF(Производство!$A$104:$A$145,Технологи!$B318,Производство!K$104:K$145)*$F318+$G318,0)</f>
        <v>0</v>
      </c>
      <c r="O318" s="46">
        <f t="array" ref="O318">IF(SUMIF(Производство!$A$104:$A$145,Технологи!$B318,Производство!L$104:L$145)&gt;0,SUMIF(Производство!$A$104:$A$145,Технологи!$B318,Производство!L$104:L$145)*$F318+$G318,0)</f>
        <v>0</v>
      </c>
      <c r="P318" s="46">
        <f t="array" ref="P318">IF(SUMIF(Производство!$A$104:$A$145,Технологи!$B318,Производство!M$104:M$145)&gt;0,SUMIF(Производство!$A$104:$A$145,Технологи!$B318,Производство!M$104:M$145)*$F318+$G318,0)</f>
        <v>0</v>
      </c>
      <c r="Q318" s="46">
        <f t="array" ref="Q318">IF(SUMIF(Производство!$A$104:$A$145,Технологи!$B318,Производство!N$104:N$145)&gt;0,SUMIF(Производство!$A$104:$A$145,Технологи!$B318,Производство!N$104:N$145)*$F318+$G318,0)</f>
        <v>0</v>
      </c>
      <c r="R318" s="46">
        <f t="array" ref="R318">IF(SUMIF(Производство!$A$104:$A$145,Технологи!$B318,Производство!O$104:O$145)&gt;0,SUMIF(Производство!$A$104:$A$145,Технологи!$B318,Производство!O$104:O$145)*$F318+$G318,0)</f>
        <v>0</v>
      </c>
      <c r="S318" s="46">
        <f t="array" ref="S318">IF(SUMIF(Производство!$A$104:$A$145,Технологи!$B318,Производство!P$104:P$145)&gt;0,SUMIF(Производство!$A$104:$A$145,Технологи!$B318,Производство!P$104:P$145)*$F318+$G318,0)</f>
        <v>0</v>
      </c>
      <c r="T318" s="46">
        <f t="array" ref="T318">IF(SUMIF(Производство!$A$104:$A$145,Технологи!$B318,Производство!Q$104:Q$145)&gt;0,SUMIF(Производство!$A$104:$A$145,Технологи!$B318,Производство!Q$104:Q$145)*$F318+$G318,0)</f>
        <v>0</v>
      </c>
    </row>
    <row r="319" spans="1:20" x14ac:dyDescent="0.25">
      <c r="A319" s="34" t="s">
        <v>377</v>
      </c>
      <c r="B319" s="13" t="s">
        <v>45</v>
      </c>
      <c r="C319" s="19" t="s">
        <v>13</v>
      </c>
      <c r="D319" s="14">
        <v>7038</v>
      </c>
      <c r="E319" s="20"/>
      <c r="F319" s="24">
        <v>0.21202989528842711</v>
      </c>
      <c r="G319" s="24">
        <v>11.320471028343212</v>
      </c>
      <c r="H319" s="23">
        <f t="shared" si="15"/>
        <v>212.0298952884271</v>
      </c>
      <c r="I319" s="46">
        <f t="array" ref="I319">IF(SUMIF(Производство!$A$104:$A$145,Технологи!$B319,Производство!F$104:F$145)&gt;0,SUMIF(Производство!$A$104:$A$145,Технологи!$B319,Производство!F$104:F$145)*$F319+$G319,0)</f>
        <v>0</v>
      </c>
      <c r="J319" s="46">
        <f t="array" ref="J319">IF(SUMIF(Производство!$A$104:$A$145,Технологи!$B319,Производство!G$104:G$145)&gt;0,SUMIF(Производство!$A$104:$A$145,Технологи!$B319,Производство!G$104:G$145)*$F319+$G319,0)</f>
        <v>0</v>
      </c>
      <c r="K319" s="46">
        <f t="array" ref="K319">IF(SUMIF(Производство!$A$104:$A$145,Технологи!$B319,Производство!H$104:H$145)&gt;0,SUMIF(Производство!$A$104:$A$145,Технологи!$B319,Производство!H$104:H$145)*$F319+$G319,0)</f>
        <v>0</v>
      </c>
      <c r="L319" s="46">
        <f t="array" ref="L319">IF(SUMIF(Производство!$A$104:$A$145,Технологи!$B319,Производство!I$104:I$145)&gt;0,SUMIF(Производство!$A$104:$A$145,Технологи!$B319,Производство!I$104:I$145)*$F319+$G319,0)</f>
        <v>0</v>
      </c>
      <c r="M319" s="46">
        <f t="array" ref="M319">IF(SUMIF(Производство!$A$104:$A$145,Технологи!$B319,Производство!J$104:J$145)&gt;0,SUMIF(Производство!$A$104:$A$145,Технологи!$B319,Производство!J$104:J$145)*$F319+$G319,0)</f>
        <v>0</v>
      </c>
      <c r="N319" s="46">
        <f t="array" ref="N319">IF(SUMIF(Производство!$A$104:$A$145,Технологи!$B319,Производство!K$104:K$145)&gt;0,SUMIF(Производство!$A$104:$A$145,Технологи!$B319,Производство!K$104:K$145)*$F319+$G319,0)</f>
        <v>0</v>
      </c>
      <c r="O319" s="46">
        <f t="array" ref="O319">IF(SUMIF(Производство!$A$104:$A$145,Технологи!$B319,Производство!L$104:L$145)&gt;0,SUMIF(Производство!$A$104:$A$145,Технологи!$B319,Производство!L$104:L$145)*$F319+$G319,0)</f>
        <v>0</v>
      </c>
      <c r="P319" s="46">
        <f t="array" ref="P319">IF(SUMIF(Производство!$A$104:$A$145,Технологи!$B319,Производство!M$104:M$145)&gt;0,SUMIF(Производство!$A$104:$A$145,Технологи!$B319,Производство!M$104:M$145)*$F319+$G319,0)</f>
        <v>0</v>
      </c>
      <c r="Q319" s="46">
        <f t="array" ref="Q319">IF(SUMIF(Производство!$A$104:$A$145,Технологи!$B319,Производство!N$104:N$145)&gt;0,SUMIF(Производство!$A$104:$A$145,Технологи!$B319,Производство!N$104:N$145)*$F319+$G319,0)</f>
        <v>0</v>
      </c>
      <c r="R319" s="46">
        <f t="array" ref="R319">IF(SUMIF(Производство!$A$104:$A$145,Технологи!$B319,Производство!O$104:O$145)&gt;0,SUMIF(Производство!$A$104:$A$145,Технологи!$B319,Производство!O$104:O$145)*$F319+$G319,0)</f>
        <v>0</v>
      </c>
      <c r="S319" s="46">
        <f t="array" ref="S319">IF(SUMIF(Производство!$A$104:$A$145,Технологи!$B319,Производство!P$104:P$145)&gt;0,SUMIF(Производство!$A$104:$A$145,Технологи!$B319,Производство!P$104:P$145)*$F319+$G319,0)</f>
        <v>0</v>
      </c>
      <c r="T319" s="46">
        <f t="array" ref="T319">IF(SUMIF(Производство!$A$104:$A$145,Технологи!$B319,Производство!Q$104:Q$145)&gt;0,SUMIF(Производство!$A$104:$A$145,Технологи!$B319,Производство!Q$104:Q$145)*$F319+$G319,0)</f>
        <v>0</v>
      </c>
    </row>
    <row r="320" spans="1:20" x14ac:dyDescent="0.25">
      <c r="A320" s="34" t="s">
        <v>377</v>
      </c>
      <c r="B320" s="13" t="s">
        <v>45</v>
      </c>
      <c r="C320" s="19" t="s">
        <v>14</v>
      </c>
      <c r="D320" s="14">
        <v>7038</v>
      </c>
      <c r="E320" s="20"/>
      <c r="F320" s="24">
        <v>1.8173991024722324E-3</v>
      </c>
      <c r="G320" s="24">
        <v>0.10690679260159766</v>
      </c>
      <c r="H320" s="23">
        <f t="shared" si="15"/>
        <v>1.8173991024722325</v>
      </c>
      <c r="I320" s="46">
        <f t="array" ref="I320">IF(SUMIF(Производство!$A$104:$A$145,Технологи!$B320,Производство!F$104:F$145)&gt;0,SUMIF(Производство!$A$104:$A$145,Технологи!$B320,Производство!F$104:F$145)*$F320+$G320,0)</f>
        <v>0</v>
      </c>
      <c r="J320" s="46">
        <f t="array" ref="J320">IF(SUMIF(Производство!$A$104:$A$145,Технологи!$B320,Производство!G$104:G$145)&gt;0,SUMIF(Производство!$A$104:$A$145,Технологи!$B320,Производство!G$104:G$145)*$F320+$G320,0)</f>
        <v>0</v>
      </c>
      <c r="K320" s="46">
        <f t="array" ref="K320">IF(SUMIF(Производство!$A$104:$A$145,Технологи!$B320,Производство!H$104:H$145)&gt;0,SUMIF(Производство!$A$104:$A$145,Технологи!$B320,Производство!H$104:H$145)*$F320+$G320,0)</f>
        <v>0</v>
      </c>
      <c r="L320" s="46">
        <f t="array" ref="L320">IF(SUMIF(Производство!$A$104:$A$145,Технологи!$B320,Производство!I$104:I$145)&gt;0,SUMIF(Производство!$A$104:$A$145,Технологи!$B320,Производство!I$104:I$145)*$F320+$G320,0)</f>
        <v>0</v>
      </c>
      <c r="M320" s="46">
        <f t="array" ref="M320">IF(SUMIF(Производство!$A$104:$A$145,Технологи!$B320,Производство!J$104:J$145)&gt;0,SUMIF(Производство!$A$104:$A$145,Технологи!$B320,Производство!J$104:J$145)*$F320+$G320,0)</f>
        <v>0</v>
      </c>
      <c r="N320" s="46">
        <f t="array" ref="N320">IF(SUMIF(Производство!$A$104:$A$145,Технологи!$B320,Производство!K$104:K$145)&gt;0,SUMIF(Производство!$A$104:$A$145,Технологи!$B320,Производство!K$104:K$145)*$F320+$G320,0)</f>
        <v>0</v>
      </c>
      <c r="O320" s="46">
        <f t="array" ref="O320">IF(SUMIF(Производство!$A$104:$A$145,Технологи!$B320,Производство!L$104:L$145)&gt;0,SUMIF(Производство!$A$104:$A$145,Технологи!$B320,Производство!L$104:L$145)*$F320+$G320,0)</f>
        <v>0</v>
      </c>
      <c r="P320" s="46">
        <f t="array" ref="P320">IF(SUMIF(Производство!$A$104:$A$145,Технологи!$B320,Производство!M$104:M$145)&gt;0,SUMIF(Производство!$A$104:$A$145,Технологи!$B320,Производство!M$104:M$145)*$F320+$G320,0)</f>
        <v>0</v>
      </c>
      <c r="Q320" s="46">
        <f t="array" ref="Q320">IF(SUMIF(Производство!$A$104:$A$145,Технологи!$B320,Производство!N$104:N$145)&gt;0,SUMIF(Производство!$A$104:$A$145,Технологи!$B320,Производство!N$104:N$145)*$F320+$G320,0)</f>
        <v>0</v>
      </c>
      <c r="R320" s="46">
        <f t="array" ref="R320">IF(SUMIF(Производство!$A$104:$A$145,Технологи!$B320,Производство!O$104:O$145)&gt;0,SUMIF(Производство!$A$104:$A$145,Технологи!$B320,Производство!O$104:O$145)*$F320+$G320,0)</f>
        <v>0</v>
      </c>
      <c r="S320" s="46">
        <f t="array" ref="S320">IF(SUMIF(Производство!$A$104:$A$145,Технологи!$B320,Производство!P$104:P$145)&gt;0,SUMIF(Производство!$A$104:$A$145,Технологи!$B320,Производство!P$104:P$145)*$F320+$G320,0)</f>
        <v>0</v>
      </c>
      <c r="T320" s="46">
        <f t="array" ref="T320">IF(SUMIF(Производство!$A$104:$A$145,Технологи!$B320,Производство!Q$104:Q$145)&gt;0,SUMIF(Производство!$A$104:$A$145,Технологи!$B320,Производство!Q$104:Q$145)*$F320+$G320,0)</f>
        <v>0</v>
      </c>
    </row>
    <row r="321" spans="1:20" x14ac:dyDescent="0.25">
      <c r="A321" s="34" t="s">
        <v>377</v>
      </c>
      <c r="B321" s="13" t="s">
        <v>45</v>
      </c>
      <c r="C321" s="19" t="s">
        <v>15</v>
      </c>
      <c r="D321" s="14">
        <v>7038</v>
      </c>
      <c r="E321" s="20"/>
      <c r="F321" s="24">
        <v>9.0869955123611622E-4</v>
      </c>
      <c r="G321" s="24">
        <v>5.3453396300798831E-2</v>
      </c>
      <c r="H321" s="23">
        <f t="shared" si="15"/>
        <v>0.90869955123611623</v>
      </c>
      <c r="I321" s="46">
        <f t="array" ref="I321">IF(SUMIF(Производство!$A$104:$A$145,Технологи!$B321,Производство!F$104:F$145)&gt;0,SUMIF(Производство!$A$104:$A$145,Технологи!$B321,Производство!F$104:F$145)*$F321+$G321,0)</f>
        <v>0</v>
      </c>
      <c r="J321" s="46">
        <f t="array" ref="J321">IF(SUMIF(Производство!$A$104:$A$145,Технологи!$B321,Производство!G$104:G$145)&gt;0,SUMIF(Производство!$A$104:$A$145,Технологи!$B321,Производство!G$104:G$145)*$F321+$G321,0)</f>
        <v>0</v>
      </c>
      <c r="K321" s="46">
        <f t="array" ref="K321">IF(SUMIF(Производство!$A$104:$A$145,Технологи!$B321,Производство!H$104:H$145)&gt;0,SUMIF(Производство!$A$104:$A$145,Технологи!$B321,Производство!H$104:H$145)*$F321+$G321,0)</f>
        <v>0</v>
      </c>
      <c r="L321" s="46">
        <f t="array" ref="L321">IF(SUMIF(Производство!$A$104:$A$145,Технологи!$B321,Производство!I$104:I$145)&gt;0,SUMIF(Производство!$A$104:$A$145,Технологи!$B321,Производство!I$104:I$145)*$F321+$G321,0)</f>
        <v>0</v>
      </c>
      <c r="M321" s="46">
        <f t="array" ref="M321">IF(SUMIF(Производство!$A$104:$A$145,Технологи!$B321,Производство!J$104:J$145)&gt;0,SUMIF(Производство!$A$104:$A$145,Технологи!$B321,Производство!J$104:J$145)*$F321+$G321,0)</f>
        <v>0</v>
      </c>
      <c r="N321" s="46">
        <f t="array" ref="N321">IF(SUMIF(Производство!$A$104:$A$145,Технологи!$B321,Производство!K$104:K$145)&gt;0,SUMIF(Производство!$A$104:$A$145,Технологи!$B321,Производство!K$104:K$145)*$F321+$G321,0)</f>
        <v>0</v>
      </c>
      <c r="O321" s="46">
        <f t="array" ref="O321">IF(SUMIF(Производство!$A$104:$A$145,Технологи!$B321,Производство!L$104:L$145)&gt;0,SUMIF(Производство!$A$104:$A$145,Технологи!$B321,Производство!L$104:L$145)*$F321+$G321,0)</f>
        <v>0</v>
      </c>
      <c r="P321" s="46">
        <f t="array" ref="P321">IF(SUMIF(Производство!$A$104:$A$145,Технологи!$B321,Производство!M$104:M$145)&gt;0,SUMIF(Производство!$A$104:$A$145,Технологи!$B321,Производство!M$104:M$145)*$F321+$G321,0)</f>
        <v>0</v>
      </c>
      <c r="Q321" s="46">
        <f t="array" ref="Q321">IF(SUMIF(Производство!$A$104:$A$145,Технологи!$B321,Производство!N$104:N$145)&gt;0,SUMIF(Производство!$A$104:$A$145,Технологи!$B321,Производство!N$104:N$145)*$F321+$G321,0)</f>
        <v>0</v>
      </c>
      <c r="R321" s="46">
        <f t="array" ref="R321">IF(SUMIF(Производство!$A$104:$A$145,Технологи!$B321,Производство!O$104:O$145)&gt;0,SUMIF(Производство!$A$104:$A$145,Технологи!$B321,Производство!O$104:O$145)*$F321+$G321,0)</f>
        <v>0</v>
      </c>
      <c r="S321" s="46">
        <f t="array" ref="S321">IF(SUMIF(Производство!$A$104:$A$145,Технологи!$B321,Производство!P$104:P$145)&gt;0,SUMIF(Производство!$A$104:$A$145,Технологи!$B321,Производство!P$104:P$145)*$F321+$G321,0)</f>
        <v>0</v>
      </c>
      <c r="T321" s="46">
        <f t="array" ref="T321">IF(SUMIF(Производство!$A$104:$A$145,Технологи!$B321,Производство!Q$104:Q$145)&gt;0,SUMIF(Производство!$A$104:$A$145,Технологи!$B321,Производство!Q$104:Q$145)*$F321+$G321,0)</f>
        <v>0</v>
      </c>
    </row>
    <row r="322" spans="1:20" x14ac:dyDescent="0.25">
      <c r="A322" s="34" t="s">
        <v>377</v>
      </c>
      <c r="B322" s="13" t="s">
        <v>45</v>
      </c>
      <c r="C322" s="19" t="s">
        <v>16</v>
      </c>
      <c r="D322" s="14">
        <v>7038</v>
      </c>
      <c r="E322" s="20"/>
      <c r="F322" s="24">
        <v>1.2056013848083127E-2</v>
      </c>
      <c r="G322" s="24">
        <v>0.71271195067731774</v>
      </c>
      <c r="H322" s="23">
        <f t="shared" si="15"/>
        <v>12.056013848083127</v>
      </c>
      <c r="I322" s="46">
        <f t="array" ref="I322">IF(SUMIF(Производство!$A$104:$A$145,Технологи!$B322,Производство!F$104:F$145)&gt;0,SUMIF(Производство!$A$104:$A$145,Технологи!$B322,Производство!F$104:F$145)*$F322+$G322,0)</f>
        <v>0</v>
      </c>
      <c r="J322" s="46">
        <f t="array" ref="J322">IF(SUMIF(Производство!$A$104:$A$145,Технологи!$B322,Производство!G$104:G$145)&gt;0,SUMIF(Производство!$A$104:$A$145,Технологи!$B322,Производство!G$104:G$145)*$F322+$G322,0)</f>
        <v>0</v>
      </c>
      <c r="K322" s="46">
        <f t="array" ref="K322">IF(SUMIF(Производство!$A$104:$A$145,Технологи!$B322,Производство!H$104:H$145)&gt;0,SUMIF(Производство!$A$104:$A$145,Технологи!$B322,Производство!H$104:H$145)*$F322+$G322,0)</f>
        <v>0</v>
      </c>
      <c r="L322" s="46">
        <f t="array" ref="L322">IF(SUMIF(Производство!$A$104:$A$145,Технологи!$B322,Производство!I$104:I$145)&gt;0,SUMIF(Производство!$A$104:$A$145,Технологи!$B322,Производство!I$104:I$145)*$F322+$G322,0)</f>
        <v>0</v>
      </c>
      <c r="M322" s="46">
        <f t="array" ref="M322">IF(SUMIF(Производство!$A$104:$A$145,Технологи!$B322,Производство!J$104:J$145)&gt;0,SUMIF(Производство!$A$104:$A$145,Технологи!$B322,Производство!J$104:J$145)*$F322+$G322,0)</f>
        <v>0</v>
      </c>
      <c r="N322" s="46">
        <f t="array" ref="N322">IF(SUMIF(Производство!$A$104:$A$145,Технологи!$B322,Производство!K$104:K$145)&gt;0,SUMIF(Производство!$A$104:$A$145,Технологи!$B322,Производство!K$104:K$145)*$F322+$G322,0)</f>
        <v>0</v>
      </c>
      <c r="O322" s="46">
        <f t="array" ref="O322">IF(SUMIF(Производство!$A$104:$A$145,Технологи!$B322,Производство!L$104:L$145)&gt;0,SUMIF(Производство!$A$104:$A$145,Технологи!$B322,Производство!L$104:L$145)*$F322+$G322,0)</f>
        <v>0</v>
      </c>
      <c r="P322" s="46">
        <f t="array" ref="P322">IF(SUMIF(Производство!$A$104:$A$145,Технологи!$B322,Производство!M$104:M$145)&gt;0,SUMIF(Производство!$A$104:$A$145,Технологи!$B322,Производство!M$104:M$145)*$F322+$G322,0)</f>
        <v>0</v>
      </c>
      <c r="Q322" s="46">
        <f t="array" ref="Q322">IF(SUMIF(Производство!$A$104:$A$145,Технологи!$B322,Производство!N$104:N$145)&gt;0,SUMIF(Производство!$A$104:$A$145,Технологи!$B322,Производство!N$104:N$145)*$F322+$G322,0)</f>
        <v>0</v>
      </c>
      <c r="R322" s="46">
        <f t="array" ref="R322">IF(SUMIF(Производство!$A$104:$A$145,Технологи!$B322,Производство!O$104:O$145)&gt;0,SUMIF(Производство!$A$104:$A$145,Технологи!$B322,Производство!O$104:O$145)*$F322+$G322,0)</f>
        <v>0</v>
      </c>
      <c r="S322" s="46">
        <f t="array" ref="S322">IF(SUMIF(Производство!$A$104:$A$145,Технологи!$B322,Производство!P$104:P$145)&gt;0,SUMIF(Производство!$A$104:$A$145,Технологи!$B322,Производство!P$104:P$145)*$F322+$G322,0)</f>
        <v>0</v>
      </c>
      <c r="T322" s="46">
        <f t="array" ref="T322">IF(SUMIF(Производство!$A$104:$A$145,Технологи!$B322,Производство!Q$104:Q$145)&gt;0,SUMIF(Производство!$A$104:$A$145,Технологи!$B322,Производство!Q$104:Q$145)*$F322+$G322,0)</f>
        <v>0</v>
      </c>
    </row>
    <row r="323" spans="1:20" x14ac:dyDescent="0.25">
      <c r="A323" s="34" t="s">
        <v>377</v>
      </c>
      <c r="B323" s="13" t="s">
        <v>45</v>
      </c>
      <c r="C323" s="19" t="s">
        <v>17</v>
      </c>
      <c r="D323" s="14">
        <v>7038</v>
      </c>
      <c r="E323" s="20"/>
      <c r="F323" s="24">
        <v>6.6967858016839851E-3</v>
      </c>
      <c r="G323" s="24">
        <v>0.39199157287252478</v>
      </c>
      <c r="H323" s="23">
        <f t="shared" si="15"/>
        <v>6.6967858016839852</v>
      </c>
      <c r="I323" s="46">
        <f t="array" ref="I323">IF(SUMIF(Производство!$A$104:$A$145,Технологи!$B323,Производство!F$104:F$145)&gt;0,SUMIF(Производство!$A$104:$A$145,Технологи!$B323,Производство!F$104:F$145)*$F323+$G323,0)</f>
        <v>0</v>
      </c>
      <c r="J323" s="46">
        <f t="array" ref="J323">IF(SUMIF(Производство!$A$104:$A$145,Технологи!$B323,Производство!G$104:G$145)&gt;0,SUMIF(Производство!$A$104:$A$145,Технологи!$B323,Производство!G$104:G$145)*$F323+$G323,0)</f>
        <v>0</v>
      </c>
      <c r="K323" s="46">
        <f t="array" ref="K323">IF(SUMIF(Производство!$A$104:$A$145,Технологи!$B323,Производство!H$104:H$145)&gt;0,SUMIF(Производство!$A$104:$A$145,Технологи!$B323,Производство!H$104:H$145)*$F323+$G323,0)</f>
        <v>0</v>
      </c>
      <c r="L323" s="46">
        <f t="array" ref="L323">IF(SUMIF(Производство!$A$104:$A$145,Технологи!$B323,Производство!I$104:I$145)&gt;0,SUMIF(Производство!$A$104:$A$145,Технологи!$B323,Производство!I$104:I$145)*$F323+$G323,0)</f>
        <v>0</v>
      </c>
      <c r="M323" s="46">
        <f t="array" ref="M323">IF(SUMIF(Производство!$A$104:$A$145,Технологи!$B323,Производство!J$104:J$145)&gt;0,SUMIF(Производство!$A$104:$A$145,Технологи!$B323,Производство!J$104:J$145)*$F323+$G323,0)</f>
        <v>0</v>
      </c>
      <c r="N323" s="46">
        <f t="array" ref="N323">IF(SUMIF(Производство!$A$104:$A$145,Технологи!$B323,Производство!K$104:K$145)&gt;0,SUMIF(Производство!$A$104:$A$145,Технологи!$B323,Производство!K$104:K$145)*$F323+$G323,0)</f>
        <v>0</v>
      </c>
      <c r="O323" s="46">
        <f t="array" ref="O323">IF(SUMIF(Производство!$A$104:$A$145,Технологи!$B323,Производство!L$104:L$145)&gt;0,SUMIF(Производство!$A$104:$A$145,Технологи!$B323,Производство!L$104:L$145)*$F323+$G323,0)</f>
        <v>0</v>
      </c>
      <c r="P323" s="46">
        <f t="array" ref="P323">IF(SUMIF(Производство!$A$104:$A$145,Технологи!$B323,Производство!M$104:M$145)&gt;0,SUMIF(Производство!$A$104:$A$145,Технологи!$B323,Производство!M$104:M$145)*$F323+$G323,0)</f>
        <v>0</v>
      </c>
      <c r="Q323" s="46">
        <f t="array" ref="Q323">IF(SUMIF(Производство!$A$104:$A$145,Технологи!$B323,Производство!N$104:N$145)&gt;0,SUMIF(Производство!$A$104:$A$145,Технологи!$B323,Производство!N$104:N$145)*$F323+$G323,0)</f>
        <v>0</v>
      </c>
      <c r="R323" s="46">
        <f t="array" ref="R323">IF(SUMIF(Производство!$A$104:$A$145,Технологи!$B323,Производство!O$104:O$145)&gt;0,SUMIF(Производство!$A$104:$A$145,Технологи!$B323,Производство!O$104:O$145)*$F323+$G323,0)</f>
        <v>0</v>
      </c>
      <c r="S323" s="46">
        <f t="array" ref="S323">IF(SUMIF(Производство!$A$104:$A$145,Технологи!$B323,Производство!P$104:P$145)&gt;0,SUMIF(Производство!$A$104:$A$145,Технологи!$B323,Производство!P$104:P$145)*$F323+$G323,0)</f>
        <v>0</v>
      </c>
      <c r="T323" s="46">
        <f t="array" ref="T323">IF(SUMIF(Производство!$A$104:$A$145,Технологи!$B323,Производство!Q$104:Q$145)&gt;0,SUMIF(Производство!$A$104:$A$145,Технологи!$B323,Производство!Q$104:Q$145)*$F323+$G323,0)</f>
        <v>0</v>
      </c>
    </row>
    <row r="324" spans="1:20" x14ac:dyDescent="0.25">
      <c r="A324" s="34" t="s">
        <v>377</v>
      </c>
      <c r="B324" s="13" t="s">
        <v>45</v>
      </c>
      <c r="C324" s="19" t="s">
        <v>18</v>
      </c>
      <c r="D324" s="14">
        <v>7038</v>
      </c>
      <c r="E324" s="20"/>
      <c r="F324" s="24">
        <v>6.0160108903618784E-3</v>
      </c>
      <c r="G324" s="24">
        <v>0.35635597533865887</v>
      </c>
      <c r="H324" s="23">
        <f t="shared" si="15"/>
        <v>6.0160108903618781</v>
      </c>
      <c r="I324" s="46">
        <f t="array" ref="I324">IF(SUMIF(Производство!$A$104:$A$145,Технологи!$B324,Производство!F$104:F$145)&gt;0,SUMIF(Производство!$A$104:$A$145,Технологи!$B324,Производство!F$104:F$145)*$F324+$G324,0)</f>
        <v>0</v>
      </c>
      <c r="J324" s="46">
        <f t="array" ref="J324">IF(SUMIF(Производство!$A$104:$A$145,Технологи!$B324,Производство!G$104:G$145)&gt;0,SUMIF(Производство!$A$104:$A$145,Технологи!$B324,Производство!G$104:G$145)*$F324+$G324,0)</f>
        <v>0</v>
      </c>
      <c r="K324" s="46">
        <f t="array" ref="K324">IF(SUMIF(Производство!$A$104:$A$145,Технологи!$B324,Производство!H$104:H$145)&gt;0,SUMIF(Производство!$A$104:$A$145,Технологи!$B324,Производство!H$104:H$145)*$F324+$G324,0)</f>
        <v>0</v>
      </c>
      <c r="L324" s="46">
        <f t="array" ref="L324">IF(SUMIF(Производство!$A$104:$A$145,Технологи!$B324,Производство!I$104:I$145)&gt;0,SUMIF(Производство!$A$104:$A$145,Технологи!$B324,Производство!I$104:I$145)*$F324+$G324,0)</f>
        <v>0</v>
      </c>
      <c r="M324" s="46">
        <f t="array" ref="M324">IF(SUMIF(Производство!$A$104:$A$145,Технологи!$B324,Производство!J$104:J$145)&gt;0,SUMIF(Производство!$A$104:$A$145,Технологи!$B324,Производство!J$104:J$145)*$F324+$G324,0)</f>
        <v>0</v>
      </c>
      <c r="N324" s="46">
        <f t="array" ref="N324">IF(SUMIF(Производство!$A$104:$A$145,Технологи!$B324,Производство!K$104:K$145)&gt;0,SUMIF(Производство!$A$104:$A$145,Технологи!$B324,Производство!K$104:K$145)*$F324+$G324,0)</f>
        <v>0</v>
      </c>
      <c r="O324" s="46">
        <f t="array" ref="O324">IF(SUMIF(Производство!$A$104:$A$145,Технологи!$B324,Производство!L$104:L$145)&gt;0,SUMIF(Производство!$A$104:$A$145,Технологи!$B324,Производство!L$104:L$145)*$F324+$G324,0)</f>
        <v>0</v>
      </c>
      <c r="P324" s="46">
        <f t="array" ref="P324">IF(SUMIF(Производство!$A$104:$A$145,Технологи!$B324,Производство!M$104:M$145)&gt;0,SUMIF(Производство!$A$104:$A$145,Технологи!$B324,Производство!M$104:M$145)*$F324+$G324,0)</f>
        <v>0</v>
      </c>
      <c r="Q324" s="46">
        <f t="array" ref="Q324">IF(SUMIF(Производство!$A$104:$A$145,Технологи!$B324,Производство!N$104:N$145)&gt;0,SUMIF(Производство!$A$104:$A$145,Технологи!$B324,Производство!N$104:N$145)*$F324+$G324,0)</f>
        <v>0</v>
      </c>
      <c r="R324" s="46">
        <f t="array" ref="R324">IF(SUMIF(Производство!$A$104:$A$145,Технологи!$B324,Производство!O$104:O$145)&gt;0,SUMIF(Производство!$A$104:$A$145,Технологи!$B324,Производство!O$104:O$145)*$F324+$G324,0)</f>
        <v>0</v>
      </c>
      <c r="S324" s="46">
        <f t="array" ref="S324">IF(SUMIF(Производство!$A$104:$A$145,Технологи!$B324,Производство!P$104:P$145)&gt;0,SUMIF(Производство!$A$104:$A$145,Технологи!$B324,Производство!P$104:P$145)*$F324+$G324,0)</f>
        <v>0</v>
      </c>
      <c r="T324" s="46">
        <f t="array" ref="T324">IF(SUMIF(Производство!$A$104:$A$145,Технологи!$B324,Производство!Q$104:Q$145)&gt;0,SUMIF(Производство!$A$104:$A$145,Технологи!$B324,Производство!Q$104:Q$145)*$F324+$G324,0)</f>
        <v>0</v>
      </c>
    </row>
    <row r="325" spans="1:20" x14ac:dyDescent="0.25">
      <c r="A325" s="34" t="s">
        <v>377</v>
      </c>
      <c r="B325" s="13" t="s">
        <v>45</v>
      </c>
      <c r="C325" s="19" t="s">
        <v>19</v>
      </c>
      <c r="D325" s="14">
        <v>7038</v>
      </c>
      <c r="E325" s="20"/>
      <c r="F325" s="24">
        <v>1.2554717500000003</v>
      </c>
      <c r="G325" s="24">
        <v>64.029059250000017</v>
      </c>
      <c r="H325" s="23">
        <f t="shared" si="15"/>
        <v>1255.4717500000004</v>
      </c>
      <c r="I325" s="46">
        <f t="array" ref="I325">IF(SUMIF(Производство!$A$104:$A$145,Технологи!$B325,Производство!F$104:F$145)&gt;0,SUMIF(Производство!$A$104:$A$145,Технологи!$B325,Производство!F$104:F$145)*$F325+$G325,0)</f>
        <v>0</v>
      </c>
      <c r="J325" s="46">
        <f t="array" ref="J325">IF(SUMIF(Производство!$A$104:$A$145,Технологи!$B325,Производство!G$104:G$145)&gt;0,SUMIF(Производство!$A$104:$A$145,Технологи!$B325,Производство!G$104:G$145)*$F325+$G325,0)</f>
        <v>0</v>
      </c>
      <c r="K325" s="46">
        <f t="array" ref="K325">IF(SUMIF(Производство!$A$104:$A$145,Технологи!$B325,Производство!H$104:H$145)&gt;0,SUMIF(Производство!$A$104:$A$145,Технологи!$B325,Производство!H$104:H$145)*$F325+$G325,0)</f>
        <v>0</v>
      </c>
      <c r="L325" s="46">
        <f t="array" ref="L325">IF(SUMIF(Производство!$A$104:$A$145,Технологи!$B325,Производство!I$104:I$145)&gt;0,SUMIF(Производство!$A$104:$A$145,Технологи!$B325,Производство!I$104:I$145)*$F325+$G325,0)</f>
        <v>0</v>
      </c>
      <c r="M325" s="46">
        <f t="array" ref="M325">IF(SUMIF(Производство!$A$104:$A$145,Технологи!$B325,Производство!J$104:J$145)&gt;0,SUMIF(Производство!$A$104:$A$145,Технологи!$B325,Производство!J$104:J$145)*$F325+$G325,0)</f>
        <v>0</v>
      </c>
      <c r="N325" s="46">
        <f t="array" ref="N325">IF(SUMIF(Производство!$A$104:$A$145,Технологи!$B325,Производство!K$104:K$145)&gt;0,SUMIF(Производство!$A$104:$A$145,Технологи!$B325,Производство!K$104:K$145)*$F325+$G325,0)</f>
        <v>0</v>
      </c>
      <c r="O325" s="46">
        <f t="array" ref="O325">IF(SUMIF(Производство!$A$104:$A$145,Технологи!$B325,Производство!L$104:L$145)&gt;0,SUMIF(Производство!$A$104:$A$145,Технологи!$B325,Производство!L$104:L$145)*$F325+$G325,0)</f>
        <v>0</v>
      </c>
      <c r="P325" s="46">
        <f t="array" ref="P325">IF(SUMIF(Производство!$A$104:$A$145,Технологи!$B325,Производство!M$104:M$145)&gt;0,SUMIF(Производство!$A$104:$A$145,Технологи!$B325,Производство!M$104:M$145)*$F325+$G325,0)</f>
        <v>0</v>
      </c>
      <c r="Q325" s="46">
        <f t="array" ref="Q325">IF(SUMIF(Производство!$A$104:$A$145,Технологи!$B325,Производство!N$104:N$145)&gt;0,SUMIF(Производство!$A$104:$A$145,Технологи!$B325,Производство!N$104:N$145)*$F325+$G325,0)</f>
        <v>0</v>
      </c>
      <c r="R325" s="46">
        <f t="array" ref="R325">IF(SUMIF(Производство!$A$104:$A$145,Технологи!$B325,Производство!O$104:O$145)&gt;0,SUMIF(Производство!$A$104:$A$145,Технологи!$B325,Производство!O$104:O$145)*$F325+$G325,0)</f>
        <v>0</v>
      </c>
      <c r="S325" s="46">
        <f t="array" ref="S325">IF(SUMIF(Производство!$A$104:$A$145,Технологи!$B325,Производство!P$104:P$145)&gt;0,SUMIF(Производство!$A$104:$A$145,Технологи!$B325,Производство!P$104:P$145)*$F325+$G325,0)</f>
        <v>0</v>
      </c>
      <c r="T325" s="46">
        <f t="array" ref="T325">IF(SUMIF(Производство!$A$104:$A$145,Технологи!$B325,Производство!Q$104:Q$145)&gt;0,SUMIF(Производство!$A$104:$A$145,Технологи!$B325,Производство!Q$104:Q$145)*$F325+$G325,0)</f>
        <v>0</v>
      </c>
    </row>
    <row r="326" spans="1:20" x14ac:dyDescent="0.25">
      <c r="A326" s="34" t="s">
        <v>377</v>
      </c>
      <c r="B326" s="13" t="s">
        <v>45</v>
      </c>
      <c r="C326" s="19" t="s">
        <v>20</v>
      </c>
      <c r="D326" s="14">
        <v>7038</v>
      </c>
      <c r="E326" s="20"/>
      <c r="F326" s="24">
        <v>0</v>
      </c>
      <c r="G326" s="24">
        <v>0</v>
      </c>
      <c r="H326" s="23">
        <f t="shared" si="15"/>
        <v>0</v>
      </c>
      <c r="I326" s="46">
        <f t="array" ref="I326">IF(SUMIF(Производство!$A$104:$A$145,Технологи!$B326,Производство!F$104:F$145)&gt;0,SUMIF(Производство!$A$104:$A$145,Технологи!$B326,Производство!F$104:F$145)*$F326+$G326,0)</f>
        <v>0</v>
      </c>
      <c r="J326" s="46">
        <f t="array" ref="J326">IF(SUMIF(Производство!$A$104:$A$145,Технологи!$B326,Производство!G$104:G$145)&gt;0,SUMIF(Производство!$A$104:$A$145,Технологи!$B326,Производство!G$104:G$145)*$F326+$G326,0)</f>
        <v>0</v>
      </c>
      <c r="K326" s="46">
        <f t="array" ref="K326">IF(SUMIF(Производство!$A$104:$A$145,Технологи!$B326,Производство!H$104:H$145)&gt;0,SUMIF(Производство!$A$104:$A$145,Технологи!$B326,Производство!H$104:H$145)*$F326+$G326,0)</f>
        <v>0</v>
      </c>
      <c r="L326" s="46">
        <f t="array" ref="L326">IF(SUMIF(Производство!$A$104:$A$145,Технологи!$B326,Производство!I$104:I$145)&gt;0,SUMIF(Производство!$A$104:$A$145,Технологи!$B326,Производство!I$104:I$145)*$F326+$G326,0)</f>
        <v>0</v>
      </c>
      <c r="M326" s="46">
        <f t="array" ref="M326">IF(SUMIF(Производство!$A$104:$A$145,Технологи!$B326,Производство!J$104:J$145)&gt;0,SUMIF(Производство!$A$104:$A$145,Технологи!$B326,Производство!J$104:J$145)*$F326+$G326,0)</f>
        <v>0</v>
      </c>
      <c r="N326" s="46">
        <f t="array" ref="N326">IF(SUMIF(Производство!$A$104:$A$145,Технологи!$B326,Производство!K$104:K$145)&gt;0,SUMIF(Производство!$A$104:$A$145,Технологи!$B326,Производство!K$104:K$145)*$F326+$G326,0)</f>
        <v>0</v>
      </c>
      <c r="O326" s="46">
        <f t="array" ref="O326">IF(SUMIF(Производство!$A$104:$A$145,Технологи!$B326,Производство!L$104:L$145)&gt;0,SUMIF(Производство!$A$104:$A$145,Технологи!$B326,Производство!L$104:L$145)*$F326+$G326,0)</f>
        <v>0</v>
      </c>
      <c r="P326" s="46">
        <f t="array" ref="P326">IF(SUMIF(Производство!$A$104:$A$145,Технологи!$B326,Производство!M$104:M$145)&gt;0,SUMIF(Производство!$A$104:$A$145,Технологи!$B326,Производство!M$104:M$145)*$F326+$G326,0)</f>
        <v>0</v>
      </c>
      <c r="Q326" s="46">
        <f t="array" ref="Q326">IF(SUMIF(Производство!$A$104:$A$145,Технологи!$B326,Производство!N$104:N$145)&gt;0,SUMIF(Производство!$A$104:$A$145,Технологи!$B326,Производство!N$104:N$145)*$F326+$G326,0)</f>
        <v>0</v>
      </c>
      <c r="R326" s="46">
        <f t="array" ref="R326">IF(SUMIF(Производство!$A$104:$A$145,Технологи!$B326,Производство!O$104:O$145)&gt;0,SUMIF(Производство!$A$104:$A$145,Технологи!$B326,Производство!O$104:O$145)*$F326+$G326,0)</f>
        <v>0</v>
      </c>
      <c r="S326" s="46">
        <f t="array" ref="S326">IF(SUMIF(Производство!$A$104:$A$145,Технологи!$B326,Производство!P$104:P$145)&gt;0,SUMIF(Производство!$A$104:$A$145,Технологи!$B326,Производство!P$104:P$145)*$F326+$G326,0)</f>
        <v>0</v>
      </c>
      <c r="T326" s="46">
        <f t="array" ref="T326">IF(SUMIF(Производство!$A$104:$A$145,Технологи!$B326,Производство!Q$104:Q$145)&gt;0,SUMIF(Производство!$A$104:$A$145,Технологи!$B326,Производство!Q$104:Q$145)*$F326+$G326,0)</f>
        <v>0</v>
      </c>
    </row>
    <row r="327" spans="1:20" x14ac:dyDescent="0.25">
      <c r="A327" s="34" t="s">
        <v>377</v>
      </c>
      <c r="B327" s="13" t="s">
        <v>45</v>
      </c>
      <c r="C327" s="19" t="s">
        <v>21</v>
      </c>
      <c r="D327" s="14">
        <v>7038</v>
      </c>
      <c r="E327" s="20"/>
      <c r="F327" s="24">
        <v>0.11899999999999999</v>
      </c>
      <c r="G327" s="24">
        <v>2.4990000000000001</v>
      </c>
      <c r="H327" s="23">
        <f t="shared" si="15"/>
        <v>119</v>
      </c>
      <c r="I327" s="46">
        <f t="array" ref="I327">IF(SUMIF(Производство!$A$104:$A$145,Технологи!$B327,Производство!F$104:F$145)&gt;0,SUMIF(Производство!$A$104:$A$145,Технологи!$B327,Производство!F$104:F$145)*$F327+$G327,0)</f>
        <v>0</v>
      </c>
      <c r="J327" s="46">
        <f t="array" ref="J327">IF(SUMIF(Производство!$A$104:$A$145,Технологи!$B327,Производство!G$104:G$145)&gt;0,SUMIF(Производство!$A$104:$A$145,Технологи!$B327,Производство!G$104:G$145)*$F327+$G327,0)</f>
        <v>0</v>
      </c>
      <c r="K327" s="46">
        <f t="array" ref="K327">IF(SUMIF(Производство!$A$104:$A$145,Технологи!$B327,Производство!H$104:H$145)&gt;0,SUMIF(Производство!$A$104:$A$145,Технологи!$B327,Производство!H$104:H$145)*$F327+$G327,0)</f>
        <v>0</v>
      </c>
      <c r="L327" s="46">
        <f t="array" ref="L327">IF(SUMIF(Производство!$A$104:$A$145,Технологи!$B327,Производство!I$104:I$145)&gt;0,SUMIF(Производство!$A$104:$A$145,Технологи!$B327,Производство!I$104:I$145)*$F327+$G327,0)</f>
        <v>0</v>
      </c>
      <c r="M327" s="46">
        <f t="array" ref="M327">IF(SUMIF(Производство!$A$104:$A$145,Технологи!$B327,Производство!J$104:J$145)&gt;0,SUMIF(Производство!$A$104:$A$145,Технологи!$B327,Производство!J$104:J$145)*$F327+$G327,0)</f>
        <v>0</v>
      </c>
      <c r="N327" s="46">
        <f t="array" ref="N327">IF(SUMIF(Производство!$A$104:$A$145,Технологи!$B327,Производство!K$104:K$145)&gt;0,SUMIF(Производство!$A$104:$A$145,Технологи!$B327,Производство!K$104:K$145)*$F327+$G327,0)</f>
        <v>0</v>
      </c>
      <c r="O327" s="46">
        <f t="array" ref="O327">IF(SUMIF(Производство!$A$104:$A$145,Технологи!$B327,Производство!L$104:L$145)&gt;0,SUMIF(Производство!$A$104:$A$145,Технологи!$B327,Производство!L$104:L$145)*$F327+$G327,0)</f>
        <v>0</v>
      </c>
      <c r="P327" s="46">
        <f t="array" ref="P327">IF(SUMIF(Производство!$A$104:$A$145,Технологи!$B327,Производство!M$104:M$145)&gt;0,SUMIF(Производство!$A$104:$A$145,Технологи!$B327,Производство!M$104:M$145)*$F327+$G327,0)</f>
        <v>0</v>
      </c>
      <c r="Q327" s="46">
        <f t="array" ref="Q327">IF(SUMIF(Производство!$A$104:$A$145,Технологи!$B327,Производство!N$104:N$145)&gt;0,SUMIF(Производство!$A$104:$A$145,Технологи!$B327,Производство!N$104:N$145)*$F327+$G327,0)</f>
        <v>0</v>
      </c>
      <c r="R327" s="46">
        <f t="array" ref="R327">IF(SUMIF(Производство!$A$104:$A$145,Технологи!$B327,Производство!O$104:O$145)&gt;0,SUMIF(Производство!$A$104:$A$145,Технологи!$B327,Производство!O$104:O$145)*$F327+$G327,0)</f>
        <v>0</v>
      </c>
      <c r="S327" s="46">
        <f t="array" ref="S327">IF(SUMIF(Производство!$A$104:$A$145,Технологи!$B327,Производство!P$104:P$145)&gt;0,SUMIF(Производство!$A$104:$A$145,Технологи!$B327,Производство!P$104:P$145)*$F327+$G327,0)</f>
        <v>0</v>
      </c>
      <c r="T327" s="46">
        <f t="array" ref="T327">IF(SUMIF(Производство!$A$104:$A$145,Технологи!$B327,Производство!Q$104:Q$145)&gt;0,SUMIF(Производство!$A$104:$A$145,Технологи!$B327,Производство!Q$104:Q$145)*$F327+$G327,0)</f>
        <v>0</v>
      </c>
    </row>
    <row r="328" spans="1:20" x14ac:dyDescent="0.25">
      <c r="A328" s="34" t="s">
        <v>377</v>
      </c>
      <c r="B328" s="13" t="s">
        <v>45</v>
      </c>
      <c r="C328" s="19" t="s">
        <v>22</v>
      </c>
      <c r="D328" s="14">
        <v>7038</v>
      </c>
      <c r="E328" s="20"/>
      <c r="F328" s="24">
        <v>0.18</v>
      </c>
      <c r="G328" s="24">
        <v>3.78</v>
      </c>
      <c r="H328" s="23">
        <f t="shared" si="15"/>
        <v>180</v>
      </c>
      <c r="I328" s="46">
        <f t="array" ref="I328">IF(SUMIF(Производство!$A$104:$A$145,Технологи!$B328,Производство!F$104:F$145)&gt;0,SUMIF(Производство!$A$104:$A$145,Технологи!$B328,Производство!F$104:F$145)*$F328+$G328,0)</f>
        <v>0</v>
      </c>
      <c r="J328" s="46">
        <f t="array" ref="J328">IF(SUMIF(Производство!$A$104:$A$145,Технологи!$B328,Производство!G$104:G$145)&gt;0,SUMIF(Производство!$A$104:$A$145,Технологи!$B328,Производство!G$104:G$145)*$F328+$G328,0)</f>
        <v>0</v>
      </c>
      <c r="K328" s="46">
        <f t="array" ref="K328">IF(SUMIF(Производство!$A$104:$A$145,Технологи!$B328,Производство!H$104:H$145)&gt;0,SUMIF(Производство!$A$104:$A$145,Технологи!$B328,Производство!H$104:H$145)*$F328+$G328,0)</f>
        <v>0</v>
      </c>
      <c r="L328" s="46">
        <f t="array" ref="L328">IF(SUMIF(Производство!$A$104:$A$145,Технологи!$B328,Производство!I$104:I$145)&gt;0,SUMIF(Производство!$A$104:$A$145,Технологи!$B328,Производство!I$104:I$145)*$F328+$G328,0)</f>
        <v>0</v>
      </c>
      <c r="M328" s="46">
        <f t="array" ref="M328">IF(SUMIF(Производство!$A$104:$A$145,Технологи!$B328,Производство!J$104:J$145)&gt;0,SUMIF(Производство!$A$104:$A$145,Технологи!$B328,Производство!J$104:J$145)*$F328+$G328,0)</f>
        <v>0</v>
      </c>
      <c r="N328" s="46">
        <f t="array" ref="N328">IF(SUMIF(Производство!$A$104:$A$145,Технологи!$B328,Производство!K$104:K$145)&gt;0,SUMIF(Производство!$A$104:$A$145,Технологи!$B328,Производство!K$104:K$145)*$F328+$G328,0)</f>
        <v>0</v>
      </c>
      <c r="O328" s="46">
        <f t="array" ref="O328">IF(SUMIF(Производство!$A$104:$A$145,Технологи!$B328,Производство!L$104:L$145)&gt;0,SUMIF(Производство!$A$104:$A$145,Технологи!$B328,Производство!L$104:L$145)*$F328+$G328,0)</f>
        <v>0</v>
      </c>
      <c r="P328" s="46">
        <f t="array" ref="P328">IF(SUMIF(Производство!$A$104:$A$145,Технологи!$B328,Производство!M$104:M$145)&gt;0,SUMIF(Производство!$A$104:$A$145,Технологи!$B328,Производство!M$104:M$145)*$F328+$G328,0)</f>
        <v>0</v>
      </c>
      <c r="Q328" s="46">
        <f t="array" ref="Q328">IF(SUMIF(Производство!$A$104:$A$145,Технологи!$B328,Производство!N$104:N$145)&gt;0,SUMIF(Производство!$A$104:$A$145,Технологи!$B328,Производство!N$104:N$145)*$F328+$G328,0)</f>
        <v>0</v>
      </c>
      <c r="R328" s="46">
        <f t="array" ref="R328">IF(SUMIF(Производство!$A$104:$A$145,Технологи!$B328,Производство!O$104:O$145)&gt;0,SUMIF(Производство!$A$104:$A$145,Технологи!$B328,Производство!O$104:O$145)*$F328+$G328,0)</f>
        <v>0</v>
      </c>
      <c r="S328" s="46">
        <f t="array" ref="S328">IF(SUMIF(Производство!$A$104:$A$145,Технологи!$B328,Производство!P$104:P$145)&gt;0,SUMIF(Производство!$A$104:$A$145,Технологи!$B328,Производство!P$104:P$145)*$F328+$G328,0)</f>
        <v>0</v>
      </c>
      <c r="T328" s="46">
        <f t="array" ref="T328">IF(SUMIF(Производство!$A$104:$A$145,Технологи!$B328,Производство!Q$104:Q$145)&gt;0,SUMIF(Производство!$A$104:$A$145,Технологи!$B328,Производство!Q$104:Q$145)*$F328+$G328,0)</f>
        <v>0</v>
      </c>
    </row>
    <row r="329" spans="1:20" x14ac:dyDescent="0.25">
      <c r="A329" s="34" t="s">
        <v>377</v>
      </c>
      <c r="B329" s="13" t="s">
        <v>45</v>
      </c>
      <c r="C329" s="19" t="s">
        <v>23</v>
      </c>
      <c r="D329" s="14">
        <v>7038</v>
      </c>
      <c r="E329" s="20"/>
      <c r="F329" s="24">
        <v>0</v>
      </c>
      <c r="G329" s="24">
        <v>0</v>
      </c>
      <c r="H329" s="23">
        <f t="shared" si="15"/>
        <v>0</v>
      </c>
      <c r="I329" s="46">
        <f t="array" ref="I329">IF(SUMIF(Производство!$A$104:$A$145,Технологи!$B329,Производство!F$104:F$145)&gt;0,SUMIF(Производство!$A$104:$A$145,Технологи!$B329,Производство!F$104:F$145)*$F329+$G329,0)</f>
        <v>0</v>
      </c>
      <c r="J329" s="46">
        <f t="array" ref="J329">IF(SUMIF(Производство!$A$104:$A$145,Технологи!$B329,Производство!G$104:G$145)&gt;0,SUMIF(Производство!$A$104:$A$145,Технологи!$B329,Производство!G$104:G$145)*$F329+$G329,0)</f>
        <v>0</v>
      </c>
      <c r="K329" s="46">
        <f t="array" ref="K329">IF(SUMIF(Производство!$A$104:$A$145,Технологи!$B329,Производство!H$104:H$145)&gt;0,SUMIF(Производство!$A$104:$A$145,Технологи!$B329,Производство!H$104:H$145)*$F329+$G329,0)</f>
        <v>0</v>
      </c>
      <c r="L329" s="46">
        <f t="array" ref="L329">IF(SUMIF(Производство!$A$104:$A$145,Технологи!$B329,Производство!I$104:I$145)&gt;0,SUMIF(Производство!$A$104:$A$145,Технологи!$B329,Производство!I$104:I$145)*$F329+$G329,0)</f>
        <v>0</v>
      </c>
      <c r="M329" s="46">
        <f t="array" ref="M329">IF(SUMIF(Производство!$A$104:$A$145,Технологи!$B329,Производство!J$104:J$145)&gt;0,SUMIF(Производство!$A$104:$A$145,Технологи!$B329,Производство!J$104:J$145)*$F329+$G329,0)</f>
        <v>0</v>
      </c>
      <c r="N329" s="46">
        <f t="array" ref="N329">IF(SUMIF(Производство!$A$104:$A$145,Технологи!$B329,Производство!K$104:K$145)&gt;0,SUMIF(Производство!$A$104:$A$145,Технологи!$B329,Производство!K$104:K$145)*$F329+$G329,0)</f>
        <v>0</v>
      </c>
      <c r="O329" s="46">
        <f t="array" ref="O329">IF(SUMIF(Производство!$A$104:$A$145,Технологи!$B329,Производство!L$104:L$145)&gt;0,SUMIF(Производство!$A$104:$A$145,Технологи!$B329,Производство!L$104:L$145)*$F329+$G329,0)</f>
        <v>0</v>
      </c>
      <c r="P329" s="46">
        <f t="array" ref="P329">IF(SUMIF(Производство!$A$104:$A$145,Технологи!$B329,Производство!M$104:M$145)&gt;0,SUMIF(Производство!$A$104:$A$145,Технологи!$B329,Производство!M$104:M$145)*$F329+$G329,0)</f>
        <v>0</v>
      </c>
      <c r="Q329" s="46">
        <f t="array" ref="Q329">IF(SUMIF(Производство!$A$104:$A$145,Технологи!$B329,Производство!N$104:N$145)&gt;0,SUMIF(Производство!$A$104:$A$145,Технологи!$B329,Производство!N$104:N$145)*$F329+$G329,0)</f>
        <v>0</v>
      </c>
      <c r="R329" s="46">
        <f t="array" ref="R329">IF(SUMIF(Производство!$A$104:$A$145,Технологи!$B329,Производство!O$104:O$145)&gt;0,SUMIF(Производство!$A$104:$A$145,Технологи!$B329,Производство!O$104:O$145)*$F329+$G329,0)</f>
        <v>0</v>
      </c>
      <c r="S329" s="46">
        <f t="array" ref="S329">IF(SUMIF(Производство!$A$104:$A$145,Технологи!$B329,Производство!P$104:P$145)&gt;0,SUMIF(Производство!$A$104:$A$145,Технологи!$B329,Производство!P$104:P$145)*$F329+$G329,0)</f>
        <v>0</v>
      </c>
      <c r="T329" s="46">
        <f t="array" ref="T329">IF(SUMIF(Производство!$A$104:$A$145,Технологи!$B329,Производство!Q$104:Q$145)&gt;0,SUMIF(Производство!$A$104:$A$145,Технологи!$B329,Производство!Q$104:Q$145)*$F329+$G329,0)</f>
        <v>0</v>
      </c>
    </row>
    <row r="330" spans="1:20" x14ac:dyDescent="0.25">
      <c r="A330" s="34" t="s">
        <v>377</v>
      </c>
      <c r="B330" s="13" t="s">
        <v>39</v>
      </c>
      <c r="C330" s="15" t="s">
        <v>11</v>
      </c>
      <c r="D330" s="14">
        <v>7038</v>
      </c>
      <c r="E330" s="16">
        <v>0.38</v>
      </c>
      <c r="F330" s="22">
        <f>SUM(F331:F342)</f>
        <v>0.38006733941843185</v>
      </c>
      <c r="G330" s="22">
        <f>SUM(G331:G342)</f>
        <v>31.658999999999995</v>
      </c>
      <c r="H330" s="23">
        <f t="shared" si="15"/>
        <v>380.06733941843186</v>
      </c>
      <c r="I330" s="46">
        <f t="array" ref="I330">IF(SUMIF(Производство!$A$104:$A$145,Технологи!$B330,Производство!F$104:F$145)&gt;0,SUMIF(Производство!$A$104:$A$145,Технологи!$B330,Производство!F$104:F$145)*$F330+$G330,0)</f>
        <v>601.76000912764778</v>
      </c>
      <c r="J330" s="46">
        <f t="array" ref="J330">IF(SUMIF(Производство!$A$104:$A$145,Технологи!$B330,Производство!G$104:G$145)&gt;0,SUMIF(Производство!$A$104:$A$145,Технологи!$B330,Производство!G$104:G$145)*$F330+$G330,0)</f>
        <v>601.76000912764778</v>
      </c>
      <c r="K330" s="46">
        <f t="array" ref="K330">IF(SUMIF(Производство!$A$104:$A$145,Технологи!$B330,Производство!H$104:H$145)&gt;0,SUMIF(Производство!$A$104:$A$145,Технологи!$B330,Производство!H$104:H$145)*$F330+$G330,0)</f>
        <v>601.76000912764778</v>
      </c>
      <c r="L330" s="46">
        <f t="array" ref="L330">IF(SUMIF(Производство!$A$104:$A$145,Технологи!$B330,Производство!I$104:I$145)&gt;0,SUMIF(Производство!$A$104:$A$145,Технологи!$B330,Производство!I$104:I$145)*$F330+$G330,0)</f>
        <v>601.76000912764778</v>
      </c>
      <c r="M330" s="46">
        <f t="array" ref="M330">IF(SUMIF(Производство!$A$104:$A$145,Технологи!$B330,Производство!J$104:J$145)&gt;0,SUMIF(Производство!$A$104:$A$145,Технологи!$B330,Производство!J$104:J$145)*$F330+$G330,0)</f>
        <v>601.76000912764778</v>
      </c>
      <c r="N330" s="46">
        <f t="array" ref="N330">IF(SUMIF(Производство!$A$104:$A$145,Технологи!$B330,Производство!K$104:K$145)&gt;0,SUMIF(Производство!$A$104:$A$145,Технологи!$B330,Производство!K$104:K$145)*$F330+$G330,0)</f>
        <v>601.76000912764778</v>
      </c>
      <c r="O330" s="46">
        <f t="array" ref="O330">IF(SUMIF(Производство!$A$104:$A$145,Технологи!$B330,Производство!L$104:L$145)&gt;0,SUMIF(Производство!$A$104:$A$145,Технологи!$B330,Производство!L$104:L$145)*$F330+$G330,0)</f>
        <v>601.76000912764778</v>
      </c>
      <c r="P330" s="46">
        <f t="array" ref="P330">IF(SUMIF(Производство!$A$104:$A$145,Технологи!$B330,Производство!M$104:M$145)&gt;0,SUMIF(Производство!$A$104:$A$145,Технологи!$B330,Производство!M$104:M$145)*$F330+$G330,0)</f>
        <v>601.76000912764778</v>
      </c>
      <c r="Q330" s="46">
        <f t="array" ref="Q330">IF(SUMIF(Производство!$A$104:$A$145,Технологи!$B330,Производство!N$104:N$145)&gt;0,SUMIF(Производство!$A$104:$A$145,Технологи!$B330,Производство!N$104:N$145)*$F330+$G330,0)</f>
        <v>601.76000912764778</v>
      </c>
      <c r="R330" s="46">
        <f t="array" ref="R330">IF(SUMIF(Производство!$A$104:$A$145,Технологи!$B330,Производство!O$104:O$145)&gt;0,SUMIF(Производство!$A$104:$A$145,Технологи!$B330,Производство!O$104:O$145)*$F330+$G330,0)</f>
        <v>601.76000912764778</v>
      </c>
      <c r="S330" s="46">
        <f t="array" ref="S330">IF(SUMIF(Производство!$A$104:$A$145,Технологи!$B330,Производство!P$104:P$145)&gt;0,SUMIF(Производство!$A$104:$A$145,Технологи!$B330,Производство!P$104:P$145)*$F330+$G330,0)</f>
        <v>601.76000912764778</v>
      </c>
      <c r="T330" s="46">
        <f t="array" ref="T330">IF(SUMIF(Производство!$A$104:$A$145,Технологи!$B330,Производство!Q$104:Q$145)&gt;0,SUMIF(Производство!$A$104:$A$145,Технологи!$B330,Производство!Q$104:Q$145)*$F330+$G330,0)</f>
        <v>601.76000912764778</v>
      </c>
    </row>
    <row r="331" spans="1:20" x14ac:dyDescent="0.25">
      <c r="A331" s="34" t="s">
        <v>377</v>
      </c>
      <c r="B331" s="13" t="s">
        <v>39</v>
      </c>
      <c r="C331" s="19" t="s">
        <v>12</v>
      </c>
      <c r="D331" s="14">
        <v>7038</v>
      </c>
      <c r="E331" s="20"/>
      <c r="F331" s="24">
        <v>9.914618171683387E-2</v>
      </c>
      <c r="G331" s="24">
        <v>17.830592716462277</v>
      </c>
      <c r="H331" s="23">
        <f t="shared" si="15"/>
        <v>99.146181716833865</v>
      </c>
      <c r="I331" s="46">
        <f t="array" ref="I331">IF(SUMIF(Производство!$A$104:$A$145,Технологи!$B331,Производство!F$104:F$145)&gt;0,SUMIF(Производство!$A$104:$A$145,Технологи!$B331,Производство!F$104:F$145)*$F331+$G331,0)</f>
        <v>166.5498652917131</v>
      </c>
      <c r="J331" s="46">
        <f t="array" ref="J331">IF(SUMIF(Производство!$A$104:$A$145,Технологи!$B331,Производство!G$104:G$145)&gt;0,SUMIF(Производство!$A$104:$A$145,Технологи!$B331,Производство!G$104:G$145)*$F331+$G331,0)</f>
        <v>166.5498652917131</v>
      </c>
      <c r="K331" s="46">
        <f t="array" ref="K331">IF(SUMIF(Производство!$A$104:$A$145,Технологи!$B331,Производство!H$104:H$145)&gt;0,SUMIF(Производство!$A$104:$A$145,Технологи!$B331,Производство!H$104:H$145)*$F331+$G331,0)</f>
        <v>166.5498652917131</v>
      </c>
      <c r="L331" s="46">
        <f t="array" ref="L331">IF(SUMIF(Производство!$A$104:$A$145,Технологи!$B331,Производство!I$104:I$145)&gt;0,SUMIF(Производство!$A$104:$A$145,Технологи!$B331,Производство!I$104:I$145)*$F331+$G331,0)</f>
        <v>166.5498652917131</v>
      </c>
      <c r="M331" s="46">
        <f t="array" ref="M331">IF(SUMIF(Производство!$A$104:$A$145,Технологи!$B331,Производство!J$104:J$145)&gt;0,SUMIF(Производство!$A$104:$A$145,Технологи!$B331,Производство!J$104:J$145)*$F331+$G331,0)</f>
        <v>166.5498652917131</v>
      </c>
      <c r="N331" s="46">
        <f t="array" ref="N331">IF(SUMIF(Производство!$A$104:$A$145,Технологи!$B331,Производство!K$104:K$145)&gt;0,SUMIF(Производство!$A$104:$A$145,Технологи!$B331,Производство!K$104:K$145)*$F331+$G331,0)</f>
        <v>166.5498652917131</v>
      </c>
      <c r="O331" s="46">
        <f t="array" ref="O331">IF(SUMIF(Производство!$A$104:$A$145,Технологи!$B331,Производство!L$104:L$145)&gt;0,SUMIF(Производство!$A$104:$A$145,Технологи!$B331,Производство!L$104:L$145)*$F331+$G331,0)</f>
        <v>166.5498652917131</v>
      </c>
      <c r="P331" s="46">
        <f t="array" ref="P331">IF(SUMIF(Производство!$A$104:$A$145,Технологи!$B331,Производство!M$104:M$145)&gt;0,SUMIF(Производство!$A$104:$A$145,Технологи!$B331,Производство!M$104:M$145)*$F331+$G331,0)</f>
        <v>166.5498652917131</v>
      </c>
      <c r="Q331" s="46">
        <f t="array" ref="Q331">IF(SUMIF(Производство!$A$104:$A$145,Технологи!$B331,Производство!N$104:N$145)&gt;0,SUMIF(Производство!$A$104:$A$145,Технологи!$B331,Производство!N$104:N$145)*$F331+$G331,0)</f>
        <v>166.5498652917131</v>
      </c>
      <c r="R331" s="46">
        <f t="array" ref="R331">IF(SUMIF(Производство!$A$104:$A$145,Технологи!$B331,Производство!O$104:O$145)&gt;0,SUMIF(Производство!$A$104:$A$145,Технологи!$B331,Производство!O$104:O$145)*$F331+$G331,0)</f>
        <v>166.5498652917131</v>
      </c>
      <c r="S331" s="46">
        <f t="array" ref="S331">IF(SUMIF(Производство!$A$104:$A$145,Технологи!$B331,Производство!P$104:P$145)&gt;0,SUMIF(Производство!$A$104:$A$145,Технологи!$B331,Производство!P$104:P$145)*$F331+$G331,0)</f>
        <v>166.5498652917131</v>
      </c>
      <c r="T331" s="46">
        <f t="array" ref="T331">IF(SUMIF(Производство!$A$104:$A$145,Технологи!$B331,Производство!Q$104:Q$145)&gt;0,SUMIF(Производство!$A$104:$A$145,Технологи!$B331,Производство!Q$104:Q$145)*$F331+$G331,0)</f>
        <v>166.5498652917131</v>
      </c>
    </row>
    <row r="332" spans="1:20" x14ac:dyDescent="0.25">
      <c r="A332" s="34" t="s">
        <v>377</v>
      </c>
      <c r="B332" s="13" t="s">
        <v>39</v>
      </c>
      <c r="C332" s="19" t="s">
        <v>13</v>
      </c>
      <c r="D332" s="14">
        <v>7038</v>
      </c>
      <c r="E332" s="20"/>
      <c r="F332" s="24">
        <v>2.9891833890746924E-2</v>
      </c>
      <c r="G332" s="24">
        <v>5.3491778149386846</v>
      </c>
      <c r="H332" s="23">
        <f t="shared" si="15"/>
        <v>29.891833890746923</v>
      </c>
      <c r="I332" s="46">
        <f t="array" ref="I332">IF(SUMIF(Производство!$A$104:$A$145,Технологи!$B332,Производство!F$104:F$145)&gt;0,SUMIF(Производство!$A$104:$A$145,Технологи!$B332,Производство!F$104:F$145)*$F332+$G332,0)</f>
        <v>50.18692865105907</v>
      </c>
      <c r="J332" s="46">
        <f t="array" ref="J332">IF(SUMIF(Производство!$A$104:$A$145,Технологи!$B332,Производство!G$104:G$145)&gt;0,SUMIF(Производство!$A$104:$A$145,Технологи!$B332,Производство!G$104:G$145)*$F332+$G332,0)</f>
        <v>50.18692865105907</v>
      </c>
      <c r="K332" s="46">
        <f t="array" ref="K332">IF(SUMIF(Производство!$A$104:$A$145,Технологи!$B332,Производство!H$104:H$145)&gt;0,SUMIF(Производство!$A$104:$A$145,Технологи!$B332,Производство!H$104:H$145)*$F332+$G332,0)</f>
        <v>50.18692865105907</v>
      </c>
      <c r="L332" s="46">
        <f t="array" ref="L332">IF(SUMIF(Производство!$A$104:$A$145,Технологи!$B332,Производство!I$104:I$145)&gt;0,SUMIF(Производство!$A$104:$A$145,Технологи!$B332,Производство!I$104:I$145)*$F332+$G332,0)</f>
        <v>50.18692865105907</v>
      </c>
      <c r="M332" s="46">
        <f t="array" ref="M332">IF(SUMIF(Производство!$A$104:$A$145,Технологи!$B332,Производство!J$104:J$145)&gt;0,SUMIF(Производство!$A$104:$A$145,Технологи!$B332,Производство!J$104:J$145)*$F332+$G332,0)</f>
        <v>50.18692865105907</v>
      </c>
      <c r="N332" s="46">
        <f t="array" ref="N332">IF(SUMIF(Производство!$A$104:$A$145,Технологи!$B332,Производство!K$104:K$145)&gt;0,SUMIF(Производство!$A$104:$A$145,Технологи!$B332,Производство!K$104:K$145)*$F332+$G332,0)</f>
        <v>50.18692865105907</v>
      </c>
      <c r="O332" s="46">
        <f t="array" ref="O332">IF(SUMIF(Производство!$A$104:$A$145,Технологи!$B332,Производство!L$104:L$145)&gt;0,SUMIF(Производство!$A$104:$A$145,Технологи!$B332,Производство!L$104:L$145)*$F332+$G332,0)</f>
        <v>50.18692865105907</v>
      </c>
      <c r="P332" s="46">
        <f t="array" ref="P332">IF(SUMIF(Производство!$A$104:$A$145,Технологи!$B332,Производство!M$104:M$145)&gt;0,SUMIF(Производство!$A$104:$A$145,Технологи!$B332,Производство!M$104:M$145)*$F332+$G332,0)</f>
        <v>50.18692865105907</v>
      </c>
      <c r="Q332" s="46">
        <f t="array" ref="Q332">IF(SUMIF(Производство!$A$104:$A$145,Технологи!$B332,Производство!N$104:N$145)&gt;0,SUMIF(Производство!$A$104:$A$145,Технологи!$B332,Производство!N$104:N$145)*$F332+$G332,0)</f>
        <v>50.18692865105907</v>
      </c>
      <c r="R332" s="46">
        <f t="array" ref="R332">IF(SUMIF(Производство!$A$104:$A$145,Технологи!$B332,Производство!O$104:O$145)&gt;0,SUMIF(Производство!$A$104:$A$145,Технологи!$B332,Производство!O$104:O$145)*$F332+$G332,0)</f>
        <v>50.18692865105907</v>
      </c>
      <c r="S332" s="46">
        <f t="array" ref="S332">IF(SUMIF(Производство!$A$104:$A$145,Технологи!$B332,Производство!P$104:P$145)&gt;0,SUMIF(Производство!$A$104:$A$145,Технологи!$B332,Производство!P$104:P$145)*$F332+$G332,0)</f>
        <v>50.18692865105907</v>
      </c>
      <c r="T332" s="46">
        <f t="array" ref="T332">IF(SUMIF(Производство!$A$104:$A$145,Технологи!$B332,Производство!Q$104:Q$145)&gt;0,SUMIF(Производство!$A$104:$A$145,Технологи!$B332,Производство!Q$104:Q$145)*$F332+$G332,0)</f>
        <v>50.18692865105907</v>
      </c>
    </row>
    <row r="333" spans="1:20" x14ac:dyDescent="0.25">
      <c r="A333" s="34" t="s">
        <v>377</v>
      </c>
      <c r="B333" s="13" t="s">
        <v>39</v>
      </c>
      <c r="C333" s="19" t="s">
        <v>14</v>
      </c>
      <c r="D333" s="14">
        <v>7038</v>
      </c>
      <c r="E333" s="20"/>
      <c r="F333" s="24">
        <v>2.9891833890746921E-4</v>
      </c>
      <c r="G333" s="24">
        <v>5.3491778149386833E-2</v>
      </c>
      <c r="H333" s="23">
        <f t="shared" si="15"/>
        <v>0.29891833890746922</v>
      </c>
      <c r="I333" s="46">
        <f t="array" ref="I333">IF(SUMIF(Производство!$A$104:$A$145,Технологи!$B333,Производство!F$104:F$145)&gt;0,SUMIF(Производство!$A$104:$A$145,Технологи!$B333,Производство!F$104:F$145)*$F333+$G333,0)</f>
        <v>0.50186928651059071</v>
      </c>
      <c r="J333" s="46">
        <f t="array" ref="J333">IF(SUMIF(Производство!$A$104:$A$145,Технологи!$B333,Производство!G$104:G$145)&gt;0,SUMIF(Производство!$A$104:$A$145,Технологи!$B333,Производство!G$104:G$145)*$F333+$G333,0)</f>
        <v>0.50186928651059071</v>
      </c>
      <c r="K333" s="46">
        <f t="array" ref="K333">IF(SUMIF(Производство!$A$104:$A$145,Технологи!$B333,Производство!H$104:H$145)&gt;0,SUMIF(Производство!$A$104:$A$145,Технологи!$B333,Производство!H$104:H$145)*$F333+$G333,0)</f>
        <v>0.50186928651059071</v>
      </c>
      <c r="L333" s="46">
        <f t="array" ref="L333">IF(SUMIF(Производство!$A$104:$A$145,Технологи!$B333,Производство!I$104:I$145)&gt;0,SUMIF(Производство!$A$104:$A$145,Технологи!$B333,Производство!I$104:I$145)*$F333+$G333,0)</f>
        <v>0.50186928651059071</v>
      </c>
      <c r="M333" s="46">
        <f t="array" ref="M333">IF(SUMIF(Производство!$A$104:$A$145,Технологи!$B333,Производство!J$104:J$145)&gt;0,SUMIF(Производство!$A$104:$A$145,Технологи!$B333,Производство!J$104:J$145)*$F333+$G333,0)</f>
        <v>0.50186928651059071</v>
      </c>
      <c r="N333" s="46">
        <f t="array" ref="N333">IF(SUMIF(Производство!$A$104:$A$145,Технологи!$B333,Производство!K$104:K$145)&gt;0,SUMIF(Производство!$A$104:$A$145,Технологи!$B333,Производство!K$104:K$145)*$F333+$G333,0)</f>
        <v>0.50186928651059071</v>
      </c>
      <c r="O333" s="46">
        <f t="array" ref="O333">IF(SUMIF(Производство!$A$104:$A$145,Технологи!$B333,Производство!L$104:L$145)&gt;0,SUMIF(Производство!$A$104:$A$145,Технологи!$B333,Производство!L$104:L$145)*$F333+$G333,0)</f>
        <v>0.50186928651059071</v>
      </c>
      <c r="P333" s="46">
        <f t="array" ref="P333">IF(SUMIF(Производство!$A$104:$A$145,Технологи!$B333,Производство!M$104:M$145)&gt;0,SUMIF(Производство!$A$104:$A$145,Технологи!$B333,Производство!M$104:M$145)*$F333+$G333,0)</f>
        <v>0.50186928651059071</v>
      </c>
      <c r="Q333" s="46">
        <f t="array" ref="Q333">IF(SUMIF(Производство!$A$104:$A$145,Технологи!$B333,Производство!N$104:N$145)&gt;0,SUMIF(Производство!$A$104:$A$145,Технологи!$B333,Производство!N$104:N$145)*$F333+$G333,0)</f>
        <v>0.50186928651059071</v>
      </c>
      <c r="R333" s="46">
        <f t="array" ref="R333">IF(SUMIF(Производство!$A$104:$A$145,Технологи!$B333,Производство!O$104:O$145)&gt;0,SUMIF(Производство!$A$104:$A$145,Технологи!$B333,Производство!O$104:O$145)*$F333+$G333,0)</f>
        <v>0.50186928651059071</v>
      </c>
      <c r="S333" s="46">
        <f t="array" ref="S333">IF(SUMIF(Производство!$A$104:$A$145,Технологи!$B333,Производство!P$104:P$145)&gt;0,SUMIF(Производство!$A$104:$A$145,Технологи!$B333,Производство!P$104:P$145)*$F333+$G333,0)</f>
        <v>0.50186928651059071</v>
      </c>
      <c r="T333" s="46">
        <f t="array" ref="T333">IF(SUMIF(Производство!$A$104:$A$145,Технологи!$B333,Производство!Q$104:Q$145)&gt;0,SUMIF(Производство!$A$104:$A$145,Технологи!$B333,Производство!Q$104:Q$145)*$F333+$G333,0)</f>
        <v>0.50186928651059071</v>
      </c>
    </row>
    <row r="334" spans="1:20" x14ac:dyDescent="0.25">
      <c r="A334" s="34" t="s">
        <v>377</v>
      </c>
      <c r="B334" s="13" t="s">
        <v>39</v>
      </c>
      <c r="C334" s="19" t="s">
        <v>15</v>
      </c>
      <c r="D334" s="14">
        <v>7038</v>
      </c>
      <c r="E334" s="20"/>
      <c r="F334" s="24">
        <v>1.4945916945373461E-4</v>
      </c>
      <c r="G334" s="24">
        <v>2.6745889074693417E-2</v>
      </c>
      <c r="H334" s="23">
        <f t="shared" si="15"/>
        <v>0.14945916945373461</v>
      </c>
      <c r="I334" s="46">
        <f t="array" ref="I334">IF(SUMIF(Производство!$A$104:$A$145,Технологи!$B334,Производство!F$104:F$145)&gt;0,SUMIF(Производство!$A$104:$A$145,Технологи!$B334,Производство!F$104:F$145)*$F334+$G334,0)</f>
        <v>0.25093464325529535</v>
      </c>
      <c r="J334" s="46">
        <f t="array" ref="J334">IF(SUMIF(Производство!$A$104:$A$145,Технологи!$B334,Производство!G$104:G$145)&gt;0,SUMIF(Производство!$A$104:$A$145,Технологи!$B334,Производство!G$104:G$145)*$F334+$G334,0)</f>
        <v>0.25093464325529535</v>
      </c>
      <c r="K334" s="46">
        <f t="array" ref="K334">IF(SUMIF(Производство!$A$104:$A$145,Технологи!$B334,Производство!H$104:H$145)&gt;0,SUMIF(Производство!$A$104:$A$145,Технологи!$B334,Производство!H$104:H$145)*$F334+$G334,0)</f>
        <v>0.25093464325529535</v>
      </c>
      <c r="L334" s="46">
        <f t="array" ref="L334">IF(SUMIF(Производство!$A$104:$A$145,Технологи!$B334,Производство!I$104:I$145)&gt;0,SUMIF(Производство!$A$104:$A$145,Технологи!$B334,Производство!I$104:I$145)*$F334+$G334,0)</f>
        <v>0.25093464325529535</v>
      </c>
      <c r="M334" s="46">
        <f t="array" ref="M334">IF(SUMIF(Производство!$A$104:$A$145,Технологи!$B334,Производство!J$104:J$145)&gt;0,SUMIF(Производство!$A$104:$A$145,Технологи!$B334,Производство!J$104:J$145)*$F334+$G334,0)</f>
        <v>0.25093464325529535</v>
      </c>
      <c r="N334" s="46">
        <f t="array" ref="N334">IF(SUMIF(Производство!$A$104:$A$145,Технологи!$B334,Производство!K$104:K$145)&gt;0,SUMIF(Производство!$A$104:$A$145,Технологи!$B334,Производство!K$104:K$145)*$F334+$G334,0)</f>
        <v>0.25093464325529535</v>
      </c>
      <c r="O334" s="46">
        <f t="array" ref="O334">IF(SUMIF(Производство!$A$104:$A$145,Технологи!$B334,Производство!L$104:L$145)&gt;0,SUMIF(Производство!$A$104:$A$145,Технологи!$B334,Производство!L$104:L$145)*$F334+$G334,0)</f>
        <v>0.25093464325529535</v>
      </c>
      <c r="P334" s="46">
        <f t="array" ref="P334">IF(SUMIF(Производство!$A$104:$A$145,Технологи!$B334,Производство!M$104:M$145)&gt;0,SUMIF(Производство!$A$104:$A$145,Технологи!$B334,Производство!M$104:M$145)*$F334+$G334,0)</f>
        <v>0.25093464325529535</v>
      </c>
      <c r="Q334" s="46">
        <f t="array" ref="Q334">IF(SUMIF(Производство!$A$104:$A$145,Технологи!$B334,Производство!N$104:N$145)&gt;0,SUMIF(Производство!$A$104:$A$145,Технологи!$B334,Производство!N$104:N$145)*$F334+$G334,0)</f>
        <v>0.25093464325529535</v>
      </c>
      <c r="R334" s="46">
        <f t="array" ref="R334">IF(SUMIF(Производство!$A$104:$A$145,Технологи!$B334,Производство!O$104:O$145)&gt;0,SUMIF(Производство!$A$104:$A$145,Технологи!$B334,Производство!O$104:O$145)*$F334+$G334,0)</f>
        <v>0.25093464325529535</v>
      </c>
      <c r="S334" s="46">
        <f t="array" ref="S334">IF(SUMIF(Производство!$A$104:$A$145,Технологи!$B334,Производство!P$104:P$145)&gt;0,SUMIF(Производство!$A$104:$A$145,Технологи!$B334,Производство!P$104:P$145)*$F334+$G334,0)</f>
        <v>0.25093464325529535</v>
      </c>
      <c r="T334" s="46">
        <f t="array" ref="T334">IF(SUMIF(Производство!$A$104:$A$145,Технологи!$B334,Производство!Q$104:Q$145)&gt;0,SUMIF(Производство!$A$104:$A$145,Технологи!$B334,Производство!Q$104:Q$145)*$F334+$G334,0)</f>
        <v>0.25093464325529535</v>
      </c>
    </row>
    <row r="335" spans="1:20" x14ac:dyDescent="0.25">
      <c r="A335" s="34" t="s">
        <v>377</v>
      </c>
      <c r="B335" s="13" t="s">
        <v>39</v>
      </c>
      <c r="C335" s="19" t="s">
        <v>16</v>
      </c>
      <c r="D335" s="14">
        <v>7038</v>
      </c>
      <c r="E335" s="20"/>
      <c r="F335" s="24">
        <v>1.9829236343366771E-3</v>
      </c>
      <c r="G335" s="24">
        <v>0.35661185432924558</v>
      </c>
      <c r="H335" s="23">
        <f t="shared" si="15"/>
        <v>1.9829236343366772</v>
      </c>
      <c r="I335" s="46">
        <f t="array" ref="I335">IF(SUMIF(Производство!$A$104:$A$145,Технологи!$B335,Производство!F$104:F$145)&gt;0,SUMIF(Производство!$A$104:$A$145,Технологи!$B335,Производство!F$104:F$145)*$F335+$G335,0)</f>
        <v>3.330997305834261</v>
      </c>
      <c r="J335" s="46">
        <f t="array" ref="J335">IF(SUMIF(Производство!$A$104:$A$145,Технологи!$B335,Производство!G$104:G$145)&gt;0,SUMIF(Производство!$A$104:$A$145,Технологи!$B335,Производство!G$104:G$145)*$F335+$G335,0)</f>
        <v>3.330997305834261</v>
      </c>
      <c r="K335" s="46">
        <f t="array" ref="K335">IF(SUMIF(Производство!$A$104:$A$145,Технологи!$B335,Производство!H$104:H$145)&gt;0,SUMIF(Производство!$A$104:$A$145,Технологи!$B335,Производство!H$104:H$145)*$F335+$G335,0)</f>
        <v>3.330997305834261</v>
      </c>
      <c r="L335" s="46">
        <f t="array" ref="L335">IF(SUMIF(Производство!$A$104:$A$145,Технологи!$B335,Производство!I$104:I$145)&gt;0,SUMIF(Производство!$A$104:$A$145,Технологи!$B335,Производство!I$104:I$145)*$F335+$G335,0)</f>
        <v>3.330997305834261</v>
      </c>
      <c r="M335" s="46">
        <f t="array" ref="M335">IF(SUMIF(Производство!$A$104:$A$145,Технологи!$B335,Производство!J$104:J$145)&gt;0,SUMIF(Производство!$A$104:$A$145,Технологи!$B335,Производство!J$104:J$145)*$F335+$G335,0)</f>
        <v>3.330997305834261</v>
      </c>
      <c r="N335" s="46">
        <f t="array" ref="N335">IF(SUMIF(Производство!$A$104:$A$145,Технологи!$B335,Производство!K$104:K$145)&gt;0,SUMIF(Производство!$A$104:$A$145,Технологи!$B335,Производство!K$104:K$145)*$F335+$G335,0)</f>
        <v>3.330997305834261</v>
      </c>
      <c r="O335" s="46">
        <f t="array" ref="O335">IF(SUMIF(Производство!$A$104:$A$145,Технологи!$B335,Производство!L$104:L$145)&gt;0,SUMIF(Производство!$A$104:$A$145,Технологи!$B335,Производство!L$104:L$145)*$F335+$G335,0)</f>
        <v>3.330997305834261</v>
      </c>
      <c r="P335" s="46">
        <f t="array" ref="P335">IF(SUMIF(Производство!$A$104:$A$145,Технологи!$B335,Производство!M$104:M$145)&gt;0,SUMIF(Производство!$A$104:$A$145,Технологи!$B335,Производство!M$104:M$145)*$F335+$G335,0)</f>
        <v>3.330997305834261</v>
      </c>
      <c r="Q335" s="46">
        <f t="array" ref="Q335">IF(SUMIF(Производство!$A$104:$A$145,Технологи!$B335,Производство!N$104:N$145)&gt;0,SUMIF(Производство!$A$104:$A$145,Технологи!$B335,Производство!N$104:N$145)*$F335+$G335,0)</f>
        <v>3.330997305834261</v>
      </c>
      <c r="R335" s="46">
        <f t="array" ref="R335">IF(SUMIF(Производство!$A$104:$A$145,Технологи!$B335,Производство!O$104:O$145)&gt;0,SUMIF(Производство!$A$104:$A$145,Технологи!$B335,Производство!O$104:O$145)*$F335+$G335,0)</f>
        <v>3.330997305834261</v>
      </c>
      <c r="S335" s="46">
        <f t="array" ref="S335">IF(SUMIF(Производство!$A$104:$A$145,Технологи!$B335,Производство!P$104:P$145)&gt;0,SUMIF(Производство!$A$104:$A$145,Технологи!$B335,Производство!P$104:P$145)*$F335+$G335,0)</f>
        <v>3.330997305834261</v>
      </c>
      <c r="T335" s="46">
        <f t="array" ref="T335">IF(SUMIF(Производство!$A$104:$A$145,Технологи!$B335,Производство!Q$104:Q$145)&gt;0,SUMIF(Производство!$A$104:$A$145,Технологи!$B335,Производство!Q$104:Q$145)*$F335+$G335,0)</f>
        <v>3.330997305834261</v>
      </c>
    </row>
    <row r="336" spans="1:20" x14ac:dyDescent="0.25">
      <c r="A336" s="34" t="s">
        <v>377</v>
      </c>
      <c r="B336" s="13" t="s">
        <v>39</v>
      </c>
      <c r="C336" s="19" t="s">
        <v>17</v>
      </c>
      <c r="D336" s="14">
        <v>7038</v>
      </c>
      <c r="E336" s="20"/>
      <c r="F336" s="24">
        <v>1.0960339093273874E-3</v>
      </c>
      <c r="G336" s="24">
        <v>0.1961365198810851</v>
      </c>
      <c r="H336" s="23">
        <f t="shared" si="15"/>
        <v>1.0960339093273874</v>
      </c>
      <c r="I336" s="46">
        <f t="array" ref="I336">IF(SUMIF(Производство!$A$104:$A$145,Технологи!$B336,Производство!F$104:F$145)&gt;0,SUMIF(Производство!$A$104:$A$145,Технологи!$B336,Производство!F$104:F$145)*$F336+$G336,0)</f>
        <v>1.8401873838721663</v>
      </c>
      <c r="J336" s="46">
        <f t="array" ref="J336">IF(SUMIF(Производство!$A$104:$A$145,Технологи!$B336,Производство!G$104:G$145)&gt;0,SUMIF(Производство!$A$104:$A$145,Технологи!$B336,Производство!G$104:G$145)*$F336+$G336,0)</f>
        <v>1.8401873838721663</v>
      </c>
      <c r="K336" s="46">
        <f t="array" ref="K336">IF(SUMIF(Производство!$A$104:$A$145,Технологи!$B336,Производство!H$104:H$145)&gt;0,SUMIF(Производство!$A$104:$A$145,Технологи!$B336,Производство!H$104:H$145)*$F336+$G336,0)</f>
        <v>1.8401873838721663</v>
      </c>
      <c r="L336" s="46">
        <f t="array" ref="L336">IF(SUMIF(Производство!$A$104:$A$145,Технологи!$B336,Производство!I$104:I$145)&gt;0,SUMIF(Производство!$A$104:$A$145,Технологи!$B336,Производство!I$104:I$145)*$F336+$G336,0)</f>
        <v>1.8401873838721663</v>
      </c>
      <c r="M336" s="46">
        <f t="array" ref="M336">IF(SUMIF(Производство!$A$104:$A$145,Технологи!$B336,Производство!J$104:J$145)&gt;0,SUMIF(Производство!$A$104:$A$145,Технологи!$B336,Производство!J$104:J$145)*$F336+$G336,0)</f>
        <v>1.8401873838721663</v>
      </c>
      <c r="N336" s="46">
        <f t="array" ref="N336">IF(SUMIF(Производство!$A$104:$A$145,Технологи!$B336,Производство!K$104:K$145)&gt;0,SUMIF(Производство!$A$104:$A$145,Технологи!$B336,Производство!K$104:K$145)*$F336+$G336,0)</f>
        <v>1.8401873838721663</v>
      </c>
      <c r="O336" s="46">
        <f t="array" ref="O336">IF(SUMIF(Производство!$A$104:$A$145,Технологи!$B336,Производство!L$104:L$145)&gt;0,SUMIF(Производство!$A$104:$A$145,Технологи!$B336,Производство!L$104:L$145)*$F336+$G336,0)</f>
        <v>1.8401873838721663</v>
      </c>
      <c r="P336" s="46">
        <f t="array" ref="P336">IF(SUMIF(Производство!$A$104:$A$145,Технологи!$B336,Производство!M$104:M$145)&gt;0,SUMIF(Производство!$A$104:$A$145,Технологи!$B336,Производство!M$104:M$145)*$F336+$G336,0)</f>
        <v>1.8401873838721663</v>
      </c>
      <c r="Q336" s="46">
        <f t="array" ref="Q336">IF(SUMIF(Производство!$A$104:$A$145,Технологи!$B336,Производство!N$104:N$145)&gt;0,SUMIF(Производство!$A$104:$A$145,Технологи!$B336,Производство!N$104:N$145)*$F336+$G336,0)</f>
        <v>1.8401873838721663</v>
      </c>
      <c r="R336" s="46">
        <f t="array" ref="R336">IF(SUMIF(Производство!$A$104:$A$145,Технологи!$B336,Производство!O$104:O$145)&gt;0,SUMIF(Производство!$A$104:$A$145,Технологи!$B336,Производство!O$104:O$145)*$F336+$G336,0)</f>
        <v>1.8401873838721663</v>
      </c>
      <c r="S336" s="46">
        <f t="array" ref="S336">IF(SUMIF(Производство!$A$104:$A$145,Технологи!$B336,Производство!P$104:P$145)&gt;0,SUMIF(Производство!$A$104:$A$145,Технологи!$B336,Производство!P$104:P$145)*$F336+$G336,0)</f>
        <v>1.8401873838721663</v>
      </c>
      <c r="T336" s="46">
        <f t="array" ref="T336">IF(SUMIF(Производство!$A$104:$A$145,Технологи!$B336,Производство!Q$104:Q$145)&gt;0,SUMIF(Производство!$A$104:$A$145,Технологи!$B336,Производство!Q$104:Q$145)*$F336+$G336,0)</f>
        <v>1.8401873838721663</v>
      </c>
    </row>
    <row r="337" spans="1:20" x14ac:dyDescent="0.25">
      <c r="A337" s="34" t="s">
        <v>377</v>
      </c>
      <c r="B337" s="13" t="s">
        <v>39</v>
      </c>
      <c r="C337" s="19" t="s">
        <v>18</v>
      </c>
      <c r="D337" s="14">
        <v>7038</v>
      </c>
      <c r="E337" s="20"/>
      <c r="F337" s="24">
        <v>9.8948875882571511E-4</v>
      </c>
      <c r="G337" s="24">
        <v>0.17830592716462279</v>
      </c>
      <c r="H337" s="23">
        <f t="shared" si="15"/>
        <v>0.98948875882571508</v>
      </c>
      <c r="I337" s="46">
        <f t="array" ref="I337">IF(SUMIF(Производство!$A$104:$A$145,Технологи!$B337,Производство!F$104:F$145)&gt;0,SUMIF(Производство!$A$104:$A$145,Технологи!$B337,Производство!F$104:F$145)*$F337+$G337,0)</f>
        <v>1.6625390654031955</v>
      </c>
      <c r="J337" s="46">
        <f t="array" ref="J337">IF(SUMIF(Производство!$A$104:$A$145,Технологи!$B337,Производство!G$104:G$145)&gt;0,SUMIF(Производство!$A$104:$A$145,Технологи!$B337,Производство!G$104:G$145)*$F337+$G337,0)</f>
        <v>1.6625390654031955</v>
      </c>
      <c r="K337" s="46">
        <f t="array" ref="K337">IF(SUMIF(Производство!$A$104:$A$145,Технологи!$B337,Производство!H$104:H$145)&gt;0,SUMIF(Производство!$A$104:$A$145,Технологи!$B337,Производство!H$104:H$145)*$F337+$G337,0)</f>
        <v>1.6625390654031955</v>
      </c>
      <c r="L337" s="46">
        <f t="array" ref="L337">IF(SUMIF(Производство!$A$104:$A$145,Технологи!$B337,Производство!I$104:I$145)&gt;0,SUMIF(Производство!$A$104:$A$145,Технологи!$B337,Производство!I$104:I$145)*$F337+$G337,0)</f>
        <v>1.6625390654031955</v>
      </c>
      <c r="M337" s="46">
        <f t="array" ref="M337">IF(SUMIF(Производство!$A$104:$A$145,Технологи!$B337,Производство!J$104:J$145)&gt;0,SUMIF(Производство!$A$104:$A$145,Технологи!$B337,Производство!J$104:J$145)*$F337+$G337,0)</f>
        <v>1.6625390654031955</v>
      </c>
      <c r="N337" s="46">
        <f t="array" ref="N337">IF(SUMIF(Производство!$A$104:$A$145,Технологи!$B337,Производство!K$104:K$145)&gt;0,SUMIF(Производство!$A$104:$A$145,Технологи!$B337,Производство!K$104:K$145)*$F337+$G337,0)</f>
        <v>1.6625390654031955</v>
      </c>
      <c r="O337" s="46">
        <f t="array" ref="O337">IF(SUMIF(Производство!$A$104:$A$145,Технологи!$B337,Производство!L$104:L$145)&gt;0,SUMIF(Производство!$A$104:$A$145,Технологи!$B337,Производство!L$104:L$145)*$F337+$G337,0)</f>
        <v>1.6625390654031955</v>
      </c>
      <c r="P337" s="46">
        <f t="array" ref="P337">IF(SUMIF(Производство!$A$104:$A$145,Технологи!$B337,Производство!M$104:M$145)&gt;0,SUMIF(Производство!$A$104:$A$145,Технологи!$B337,Производство!M$104:M$145)*$F337+$G337,0)</f>
        <v>1.6625390654031955</v>
      </c>
      <c r="Q337" s="46">
        <f t="array" ref="Q337">IF(SUMIF(Производство!$A$104:$A$145,Технологи!$B337,Производство!N$104:N$145)&gt;0,SUMIF(Производство!$A$104:$A$145,Технологи!$B337,Производство!N$104:N$145)*$F337+$G337,0)</f>
        <v>1.6625390654031955</v>
      </c>
      <c r="R337" s="46">
        <f t="array" ref="R337">IF(SUMIF(Производство!$A$104:$A$145,Технологи!$B337,Производство!O$104:O$145)&gt;0,SUMIF(Производство!$A$104:$A$145,Технологи!$B337,Производство!O$104:O$145)*$F337+$G337,0)</f>
        <v>1.6625390654031955</v>
      </c>
      <c r="S337" s="46">
        <f t="array" ref="S337">IF(SUMIF(Производство!$A$104:$A$145,Технологи!$B337,Производство!P$104:P$145)&gt;0,SUMIF(Производство!$A$104:$A$145,Технологи!$B337,Производство!P$104:P$145)*$F337+$G337,0)</f>
        <v>1.6625390654031955</v>
      </c>
      <c r="T337" s="46">
        <f t="array" ref="T337">IF(SUMIF(Производство!$A$104:$A$145,Технологи!$B337,Производство!Q$104:Q$145)&gt;0,SUMIF(Производство!$A$104:$A$145,Технологи!$B337,Производство!Q$104:Q$145)*$F337+$G337,0)</f>
        <v>1.6625390654031955</v>
      </c>
    </row>
    <row r="338" spans="1:20" x14ac:dyDescent="0.25">
      <c r="A338" s="34" t="s">
        <v>377</v>
      </c>
      <c r="B338" s="13" t="s">
        <v>39</v>
      </c>
      <c r="C338" s="19" t="s">
        <v>19</v>
      </c>
      <c r="D338" s="14">
        <v>7038</v>
      </c>
      <c r="E338" s="20"/>
      <c r="F338" s="24">
        <v>0.19851250000000001</v>
      </c>
      <c r="G338" s="24">
        <v>6.947937500000001</v>
      </c>
      <c r="H338" s="23">
        <f t="shared" si="15"/>
        <v>198.51250000000002</v>
      </c>
      <c r="I338" s="46">
        <f t="array" ref="I338">IF(SUMIF(Производство!$A$104:$A$145,Технологи!$B338,Производство!F$104:F$145)&gt;0,SUMIF(Производство!$A$104:$A$145,Технологи!$B338,Производство!F$104:F$145)*$F338+$G338,0)</f>
        <v>304.71668750000003</v>
      </c>
      <c r="J338" s="46">
        <f t="array" ref="J338">IF(SUMIF(Производство!$A$104:$A$145,Технологи!$B338,Производство!G$104:G$145)&gt;0,SUMIF(Производство!$A$104:$A$145,Технологи!$B338,Производство!G$104:G$145)*$F338+$G338,0)</f>
        <v>304.71668750000003</v>
      </c>
      <c r="K338" s="46">
        <f t="array" ref="K338">IF(SUMIF(Производство!$A$104:$A$145,Технологи!$B338,Производство!H$104:H$145)&gt;0,SUMIF(Производство!$A$104:$A$145,Технологи!$B338,Производство!H$104:H$145)*$F338+$G338,0)</f>
        <v>304.71668750000003</v>
      </c>
      <c r="L338" s="46">
        <f t="array" ref="L338">IF(SUMIF(Производство!$A$104:$A$145,Технологи!$B338,Производство!I$104:I$145)&gt;0,SUMIF(Производство!$A$104:$A$145,Технологи!$B338,Производство!I$104:I$145)*$F338+$G338,0)</f>
        <v>304.71668750000003</v>
      </c>
      <c r="M338" s="46">
        <f t="array" ref="M338">IF(SUMIF(Производство!$A$104:$A$145,Технологи!$B338,Производство!J$104:J$145)&gt;0,SUMIF(Производство!$A$104:$A$145,Технологи!$B338,Производство!J$104:J$145)*$F338+$G338,0)</f>
        <v>304.71668750000003</v>
      </c>
      <c r="N338" s="46">
        <f t="array" ref="N338">IF(SUMIF(Производство!$A$104:$A$145,Технологи!$B338,Производство!K$104:K$145)&gt;0,SUMIF(Производство!$A$104:$A$145,Технологи!$B338,Производство!K$104:K$145)*$F338+$G338,0)</f>
        <v>304.71668750000003</v>
      </c>
      <c r="O338" s="46">
        <f t="array" ref="O338">IF(SUMIF(Производство!$A$104:$A$145,Технологи!$B338,Производство!L$104:L$145)&gt;0,SUMIF(Производство!$A$104:$A$145,Технологи!$B338,Производство!L$104:L$145)*$F338+$G338,0)</f>
        <v>304.71668750000003</v>
      </c>
      <c r="P338" s="46">
        <f t="array" ref="P338">IF(SUMIF(Производство!$A$104:$A$145,Технологи!$B338,Производство!M$104:M$145)&gt;0,SUMIF(Производство!$A$104:$A$145,Технологи!$B338,Производство!M$104:M$145)*$F338+$G338,0)</f>
        <v>304.71668750000003</v>
      </c>
      <c r="Q338" s="46">
        <f t="array" ref="Q338">IF(SUMIF(Производство!$A$104:$A$145,Технологи!$B338,Производство!N$104:N$145)&gt;0,SUMIF(Производство!$A$104:$A$145,Технологи!$B338,Производство!N$104:N$145)*$F338+$G338,0)</f>
        <v>304.71668750000003</v>
      </c>
      <c r="R338" s="46">
        <f t="array" ref="R338">IF(SUMIF(Производство!$A$104:$A$145,Технологи!$B338,Производство!O$104:O$145)&gt;0,SUMIF(Производство!$A$104:$A$145,Технологи!$B338,Производство!O$104:O$145)*$F338+$G338,0)</f>
        <v>304.71668750000003</v>
      </c>
      <c r="S338" s="46">
        <f t="array" ref="S338">IF(SUMIF(Производство!$A$104:$A$145,Технологи!$B338,Производство!P$104:P$145)&gt;0,SUMIF(Производство!$A$104:$A$145,Технологи!$B338,Производство!P$104:P$145)*$F338+$G338,0)</f>
        <v>304.71668750000003</v>
      </c>
      <c r="T338" s="46">
        <f t="array" ref="T338">IF(SUMIF(Производство!$A$104:$A$145,Технологи!$B338,Производство!Q$104:Q$145)&gt;0,SUMIF(Производство!$A$104:$A$145,Технологи!$B338,Производство!Q$104:Q$145)*$F338+$G338,0)</f>
        <v>304.71668750000003</v>
      </c>
    </row>
    <row r="339" spans="1:20" x14ac:dyDescent="0.25">
      <c r="A339" s="34" t="s">
        <v>377</v>
      </c>
      <c r="B339" s="13" t="s">
        <v>39</v>
      </c>
      <c r="C339" s="19" t="s">
        <v>20</v>
      </c>
      <c r="D339" s="14">
        <v>7038</v>
      </c>
      <c r="E339" s="20"/>
      <c r="F339" s="24">
        <v>2.4E-2</v>
      </c>
      <c r="G339" s="24">
        <v>0.36</v>
      </c>
      <c r="H339" s="23">
        <f t="shared" si="15"/>
        <v>24</v>
      </c>
      <c r="I339" s="46">
        <f t="array" ref="I339">IF(SUMIF(Производство!$A$104:$A$145,Технологи!$B339,Производство!F$104:F$145)&gt;0,SUMIF(Производство!$A$104:$A$145,Технологи!$B339,Производство!F$104:F$145)*$F339+$G339,0)</f>
        <v>36.36</v>
      </c>
      <c r="J339" s="46">
        <f t="array" ref="J339">IF(SUMIF(Производство!$A$104:$A$145,Технологи!$B339,Производство!G$104:G$145)&gt;0,SUMIF(Производство!$A$104:$A$145,Технологи!$B339,Производство!G$104:G$145)*$F339+$G339,0)</f>
        <v>36.36</v>
      </c>
      <c r="K339" s="46">
        <f t="array" ref="K339">IF(SUMIF(Производство!$A$104:$A$145,Технологи!$B339,Производство!H$104:H$145)&gt;0,SUMIF(Производство!$A$104:$A$145,Технологи!$B339,Производство!H$104:H$145)*$F339+$G339,0)</f>
        <v>36.36</v>
      </c>
      <c r="L339" s="46">
        <f t="array" ref="L339">IF(SUMIF(Производство!$A$104:$A$145,Технологи!$B339,Производство!I$104:I$145)&gt;0,SUMIF(Производство!$A$104:$A$145,Технологи!$B339,Производство!I$104:I$145)*$F339+$G339,0)</f>
        <v>36.36</v>
      </c>
      <c r="M339" s="46">
        <f t="array" ref="M339">IF(SUMIF(Производство!$A$104:$A$145,Технологи!$B339,Производство!J$104:J$145)&gt;0,SUMIF(Производство!$A$104:$A$145,Технологи!$B339,Производство!J$104:J$145)*$F339+$G339,0)</f>
        <v>36.36</v>
      </c>
      <c r="N339" s="46">
        <f t="array" ref="N339">IF(SUMIF(Производство!$A$104:$A$145,Технологи!$B339,Производство!K$104:K$145)&gt;0,SUMIF(Производство!$A$104:$A$145,Технологи!$B339,Производство!K$104:K$145)*$F339+$G339,0)</f>
        <v>36.36</v>
      </c>
      <c r="O339" s="46">
        <f t="array" ref="O339">IF(SUMIF(Производство!$A$104:$A$145,Технологи!$B339,Производство!L$104:L$145)&gt;0,SUMIF(Производство!$A$104:$A$145,Технологи!$B339,Производство!L$104:L$145)*$F339+$G339,0)</f>
        <v>36.36</v>
      </c>
      <c r="P339" s="46">
        <f t="array" ref="P339">IF(SUMIF(Производство!$A$104:$A$145,Технологи!$B339,Производство!M$104:M$145)&gt;0,SUMIF(Производство!$A$104:$A$145,Технологи!$B339,Производство!M$104:M$145)*$F339+$G339,0)</f>
        <v>36.36</v>
      </c>
      <c r="Q339" s="46">
        <f t="array" ref="Q339">IF(SUMIF(Производство!$A$104:$A$145,Технологи!$B339,Производство!N$104:N$145)&gt;0,SUMIF(Производство!$A$104:$A$145,Технологи!$B339,Производство!N$104:N$145)*$F339+$G339,0)</f>
        <v>36.36</v>
      </c>
      <c r="R339" s="46">
        <f t="array" ref="R339">IF(SUMIF(Производство!$A$104:$A$145,Технологи!$B339,Производство!O$104:O$145)&gt;0,SUMIF(Производство!$A$104:$A$145,Технологи!$B339,Производство!O$104:O$145)*$F339+$G339,0)</f>
        <v>36.36</v>
      </c>
      <c r="S339" s="46">
        <f t="array" ref="S339">IF(SUMIF(Производство!$A$104:$A$145,Технологи!$B339,Производство!P$104:P$145)&gt;0,SUMIF(Производство!$A$104:$A$145,Технологи!$B339,Производство!P$104:P$145)*$F339+$G339,0)</f>
        <v>36.36</v>
      </c>
      <c r="T339" s="46">
        <f t="array" ref="T339">IF(SUMIF(Производство!$A$104:$A$145,Технологи!$B339,Производство!Q$104:Q$145)&gt;0,SUMIF(Производство!$A$104:$A$145,Технологи!$B339,Производство!Q$104:Q$145)*$F339+$G339,0)</f>
        <v>36.36</v>
      </c>
    </row>
    <row r="340" spans="1:20" x14ac:dyDescent="0.25">
      <c r="A340" s="34" t="s">
        <v>377</v>
      </c>
      <c r="B340" s="13" t="s">
        <v>39</v>
      </c>
      <c r="C340" s="19" t="s">
        <v>21</v>
      </c>
      <c r="D340" s="14">
        <v>7038</v>
      </c>
      <c r="E340" s="20"/>
      <c r="F340" s="24">
        <v>0</v>
      </c>
      <c r="G340" s="24">
        <v>0</v>
      </c>
      <c r="H340" s="23">
        <f t="shared" si="15"/>
        <v>0</v>
      </c>
      <c r="I340" s="46">
        <f t="array" ref="I340">IF(SUMIF(Производство!$A$104:$A$145,Технологи!$B340,Производство!F$104:F$145)&gt;0,SUMIF(Производство!$A$104:$A$145,Технологи!$B340,Производство!F$104:F$145)*$F340+$G340,0)</f>
        <v>0</v>
      </c>
      <c r="J340" s="46">
        <f t="array" ref="J340">IF(SUMIF(Производство!$A$104:$A$145,Технологи!$B340,Производство!G$104:G$145)&gt;0,SUMIF(Производство!$A$104:$A$145,Технологи!$B340,Производство!G$104:G$145)*$F340+$G340,0)</f>
        <v>0</v>
      </c>
      <c r="K340" s="46">
        <f t="array" ref="K340">IF(SUMIF(Производство!$A$104:$A$145,Технологи!$B340,Производство!H$104:H$145)&gt;0,SUMIF(Производство!$A$104:$A$145,Технологи!$B340,Производство!H$104:H$145)*$F340+$G340,0)</f>
        <v>0</v>
      </c>
      <c r="L340" s="46">
        <f t="array" ref="L340">IF(SUMIF(Производство!$A$104:$A$145,Технологи!$B340,Производство!I$104:I$145)&gt;0,SUMIF(Производство!$A$104:$A$145,Технологи!$B340,Производство!I$104:I$145)*$F340+$G340,0)</f>
        <v>0</v>
      </c>
      <c r="M340" s="46">
        <f t="array" ref="M340">IF(SUMIF(Производство!$A$104:$A$145,Технологи!$B340,Производство!J$104:J$145)&gt;0,SUMIF(Производство!$A$104:$A$145,Технологи!$B340,Производство!J$104:J$145)*$F340+$G340,0)</f>
        <v>0</v>
      </c>
      <c r="N340" s="46">
        <f t="array" ref="N340">IF(SUMIF(Производство!$A$104:$A$145,Технологи!$B340,Производство!K$104:K$145)&gt;0,SUMIF(Производство!$A$104:$A$145,Технологи!$B340,Производство!K$104:K$145)*$F340+$G340,0)</f>
        <v>0</v>
      </c>
      <c r="O340" s="46">
        <f t="array" ref="O340">IF(SUMIF(Производство!$A$104:$A$145,Технологи!$B340,Производство!L$104:L$145)&gt;0,SUMIF(Производство!$A$104:$A$145,Технологи!$B340,Производство!L$104:L$145)*$F340+$G340,0)</f>
        <v>0</v>
      </c>
      <c r="P340" s="46">
        <f t="array" ref="P340">IF(SUMIF(Производство!$A$104:$A$145,Технологи!$B340,Производство!M$104:M$145)&gt;0,SUMIF(Производство!$A$104:$A$145,Технологи!$B340,Производство!M$104:M$145)*$F340+$G340,0)</f>
        <v>0</v>
      </c>
      <c r="Q340" s="46">
        <f t="array" ref="Q340">IF(SUMIF(Производство!$A$104:$A$145,Технологи!$B340,Производство!N$104:N$145)&gt;0,SUMIF(Производство!$A$104:$A$145,Технологи!$B340,Производство!N$104:N$145)*$F340+$G340,0)</f>
        <v>0</v>
      </c>
      <c r="R340" s="46">
        <f t="array" ref="R340">IF(SUMIF(Производство!$A$104:$A$145,Технологи!$B340,Производство!O$104:O$145)&gt;0,SUMIF(Производство!$A$104:$A$145,Технологи!$B340,Производство!O$104:O$145)*$F340+$G340,0)</f>
        <v>0</v>
      </c>
      <c r="S340" s="46">
        <f t="array" ref="S340">IF(SUMIF(Производство!$A$104:$A$145,Технологи!$B340,Производство!P$104:P$145)&gt;0,SUMIF(Производство!$A$104:$A$145,Технологи!$B340,Производство!P$104:P$145)*$F340+$G340,0)</f>
        <v>0</v>
      </c>
      <c r="T340" s="46">
        <f t="array" ref="T340">IF(SUMIF(Производство!$A$104:$A$145,Технологи!$B340,Производство!Q$104:Q$145)&gt;0,SUMIF(Производство!$A$104:$A$145,Технологи!$B340,Производство!Q$104:Q$145)*$F340+$G340,0)</f>
        <v>0</v>
      </c>
    </row>
    <row r="341" spans="1:20" x14ac:dyDescent="0.25">
      <c r="A341" s="34" t="s">
        <v>377</v>
      </c>
      <c r="B341" s="13" t="s">
        <v>39</v>
      </c>
      <c r="C341" s="19" t="s">
        <v>22</v>
      </c>
      <c r="D341" s="14">
        <v>7038</v>
      </c>
      <c r="E341" s="20"/>
      <c r="F341" s="24">
        <v>2.4E-2</v>
      </c>
      <c r="G341" s="24">
        <v>0.36</v>
      </c>
      <c r="H341" s="23">
        <f t="shared" si="15"/>
        <v>24</v>
      </c>
      <c r="I341" s="46">
        <f t="array" ref="I341">IF(SUMIF(Производство!$A$104:$A$145,Технологи!$B341,Производство!F$104:F$145)&gt;0,SUMIF(Производство!$A$104:$A$145,Технологи!$B341,Производство!F$104:F$145)*$F341+$G341,0)</f>
        <v>36.36</v>
      </c>
      <c r="J341" s="46">
        <f t="array" ref="J341">IF(SUMIF(Производство!$A$104:$A$145,Технологи!$B341,Производство!G$104:G$145)&gt;0,SUMIF(Производство!$A$104:$A$145,Технологи!$B341,Производство!G$104:G$145)*$F341+$G341,0)</f>
        <v>36.36</v>
      </c>
      <c r="K341" s="46">
        <f t="array" ref="K341">IF(SUMIF(Производство!$A$104:$A$145,Технологи!$B341,Производство!H$104:H$145)&gt;0,SUMIF(Производство!$A$104:$A$145,Технологи!$B341,Производство!H$104:H$145)*$F341+$G341,0)</f>
        <v>36.36</v>
      </c>
      <c r="L341" s="46">
        <f t="array" ref="L341">IF(SUMIF(Производство!$A$104:$A$145,Технологи!$B341,Производство!I$104:I$145)&gt;0,SUMIF(Производство!$A$104:$A$145,Технологи!$B341,Производство!I$104:I$145)*$F341+$G341,0)</f>
        <v>36.36</v>
      </c>
      <c r="M341" s="46">
        <f t="array" ref="M341">IF(SUMIF(Производство!$A$104:$A$145,Технологи!$B341,Производство!J$104:J$145)&gt;0,SUMIF(Производство!$A$104:$A$145,Технологи!$B341,Производство!J$104:J$145)*$F341+$G341,0)</f>
        <v>36.36</v>
      </c>
      <c r="N341" s="46">
        <f t="array" ref="N341">IF(SUMIF(Производство!$A$104:$A$145,Технологи!$B341,Производство!K$104:K$145)&gt;0,SUMIF(Производство!$A$104:$A$145,Технологи!$B341,Производство!K$104:K$145)*$F341+$G341,0)</f>
        <v>36.36</v>
      </c>
      <c r="O341" s="46">
        <f t="array" ref="O341">IF(SUMIF(Производство!$A$104:$A$145,Технологи!$B341,Производство!L$104:L$145)&gt;0,SUMIF(Производство!$A$104:$A$145,Технологи!$B341,Производство!L$104:L$145)*$F341+$G341,0)</f>
        <v>36.36</v>
      </c>
      <c r="P341" s="46">
        <f t="array" ref="P341">IF(SUMIF(Производство!$A$104:$A$145,Технологи!$B341,Производство!M$104:M$145)&gt;0,SUMIF(Производство!$A$104:$A$145,Технологи!$B341,Производство!M$104:M$145)*$F341+$G341,0)</f>
        <v>36.36</v>
      </c>
      <c r="Q341" s="46">
        <f t="array" ref="Q341">IF(SUMIF(Производство!$A$104:$A$145,Технологи!$B341,Производство!N$104:N$145)&gt;0,SUMIF(Производство!$A$104:$A$145,Технологи!$B341,Производство!N$104:N$145)*$F341+$G341,0)</f>
        <v>36.36</v>
      </c>
      <c r="R341" s="46">
        <f t="array" ref="R341">IF(SUMIF(Производство!$A$104:$A$145,Технологи!$B341,Производство!O$104:O$145)&gt;0,SUMIF(Производство!$A$104:$A$145,Технологи!$B341,Производство!O$104:O$145)*$F341+$G341,0)</f>
        <v>36.36</v>
      </c>
      <c r="S341" s="46">
        <f t="array" ref="S341">IF(SUMIF(Производство!$A$104:$A$145,Технологи!$B341,Производство!P$104:P$145)&gt;0,SUMIF(Производство!$A$104:$A$145,Технологи!$B341,Производство!P$104:P$145)*$F341+$G341,0)</f>
        <v>36.36</v>
      </c>
      <c r="T341" s="46">
        <f t="array" ref="T341">IF(SUMIF(Производство!$A$104:$A$145,Технологи!$B341,Производство!Q$104:Q$145)&gt;0,SUMIF(Производство!$A$104:$A$145,Технологи!$B341,Производство!Q$104:Q$145)*$F341+$G341,0)</f>
        <v>36.36</v>
      </c>
    </row>
    <row r="342" spans="1:20" x14ac:dyDescent="0.25">
      <c r="A342" s="34" t="s">
        <v>377</v>
      </c>
      <c r="B342" s="13" t="s">
        <v>39</v>
      </c>
      <c r="C342" s="19" t="s">
        <v>23</v>
      </c>
      <c r="D342" s="14">
        <v>7038</v>
      </c>
      <c r="E342" s="20"/>
      <c r="F342" s="24">
        <v>0</v>
      </c>
      <c r="G342" s="24">
        <v>0</v>
      </c>
      <c r="H342" s="23">
        <f t="shared" si="15"/>
        <v>0</v>
      </c>
      <c r="I342" s="46">
        <f t="array" ref="I342">IF(SUMIF(Производство!$A$104:$A$145,Технологи!$B342,Производство!F$104:F$145)&gt;0,SUMIF(Производство!$A$104:$A$145,Технологи!$B342,Производство!F$104:F$145)*$F342+$G342,0)</f>
        <v>0</v>
      </c>
      <c r="J342" s="46">
        <f t="array" ref="J342">IF(SUMIF(Производство!$A$104:$A$145,Технологи!$B342,Производство!G$104:G$145)&gt;0,SUMIF(Производство!$A$104:$A$145,Технологи!$B342,Производство!G$104:G$145)*$F342+$G342,0)</f>
        <v>0</v>
      </c>
      <c r="K342" s="46">
        <f t="array" ref="K342">IF(SUMIF(Производство!$A$104:$A$145,Технологи!$B342,Производство!H$104:H$145)&gt;0,SUMIF(Производство!$A$104:$A$145,Технологи!$B342,Производство!H$104:H$145)*$F342+$G342,0)</f>
        <v>0</v>
      </c>
      <c r="L342" s="46">
        <f t="array" ref="L342">IF(SUMIF(Производство!$A$104:$A$145,Технологи!$B342,Производство!I$104:I$145)&gt;0,SUMIF(Производство!$A$104:$A$145,Технологи!$B342,Производство!I$104:I$145)*$F342+$G342,0)</f>
        <v>0</v>
      </c>
      <c r="M342" s="46">
        <f t="array" ref="M342">IF(SUMIF(Производство!$A$104:$A$145,Технологи!$B342,Производство!J$104:J$145)&gt;0,SUMIF(Производство!$A$104:$A$145,Технологи!$B342,Производство!J$104:J$145)*$F342+$G342,0)</f>
        <v>0</v>
      </c>
      <c r="N342" s="46">
        <f t="array" ref="N342">IF(SUMIF(Производство!$A$104:$A$145,Технологи!$B342,Производство!K$104:K$145)&gt;0,SUMIF(Производство!$A$104:$A$145,Технологи!$B342,Производство!K$104:K$145)*$F342+$G342,0)</f>
        <v>0</v>
      </c>
      <c r="O342" s="46">
        <f t="array" ref="O342">IF(SUMIF(Производство!$A$104:$A$145,Технологи!$B342,Производство!L$104:L$145)&gt;0,SUMIF(Производство!$A$104:$A$145,Технологи!$B342,Производство!L$104:L$145)*$F342+$G342,0)</f>
        <v>0</v>
      </c>
      <c r="P342" s="46">
        <f t="array" ref="P342">IF(SUMIF(Производство!$A$104:$A$145,Технологи!$B342,Производство!M$104:M$145)&gt;0,SUMIF(Производство!$A$104:$A$145,Технологи!$B342,Производство!M$104:M$145)*$F342+$G342,0)</f>
        <v>0</v>
      </c>
      <c r="Q342" s="46">
        <f t="array" ref="Q342">IF(SUMIF(Производство!$A$104:$A$145,Технологи!$B342,Производство!N$104:N$145)&gt;0,SUMIF(Производство!$A$104:$A$145,Технологи!$B342,Производство!N$104:N$145)*$F342+$G342,0)</f>
        <v>0</v>
      </c>
      <c r="R342" s="46">
        <f t="array" ref="R342">IF(SUMIF(Производство!$A$104:$A$145,Технологи!$B342,Производство!O$104:O$145)&gt;0,SUMIF(Производство!$A$104:$A$145,Технологи!$B342,Производство!O$104:O$145)*$F342+$G342,0)</f>
        <v>0</v>
      </c>
      <c r="S342" s="46">
        <f t="array" ref="S342">IF(SUMIF(Производство!$A$104:$A$145,Технологи!$B342,Производство!P$104:P$145)&gt;0,SUMIF(Производство!$A$104:$A$145,Технологи!$B342,Производство!P$104:P$145)*$F342+$G342,0)</f>
        <v>0</v>
      </c>
      <c r="T342" s="46">
        <f t="array" ref="T342">IF(SUMIF(Производство!$A$104:$A$145,Технологи!$B342,Производство!Q$104:Q$145)&gt;0,SUMIF(Производство!$A$104:$A$145,Технологи!$B342,Производство!Q$104:Q$145)*$F342+$G342,0)</f>
        <v>0</v>
      </c>
    </row>
    <row r="343" spans="1:20" x14ac:dyDescent="0.25">
      <c r="A343" s="34" t="s">
        <v>377</v>
      </c>
      <c r="B343" s="13" t="s">
        <v>40</v>
      </c>
      <c r="C343" s="15" t="s">
        <v>11</v>
      </c>
      <c r="D343" s="14">
        <v>7038</v>
      </c>
      <c r="E343" s="16">
        <v>0.59799999999999998</v>
      </c>
      <c r="F343" s="22">
        <f>SUM(F344:F355)</f>
        <v>0.59876421893534004</v>
      </c>
      <c r="G343" s="22">
        <f>SUM(G344:G355)</f>
        <v>37.578419999999994</v>
      </c>
      <c r="H343" s="23">
        <f t="shared" ref="H343:H364" si="16">F343*1000</f>
        <v>598.76421893534007</v>
      </c>
      <c r="I343" s="46">
        <f t="array" ref="I343">IF(SUMIF(Производство!$A$104:$A$145,Технологи!$B343,Производство!F$104:F$145)&gt;0,SUMIF(Производство!$A$104:$A$145,Технологи!$B343,Производство!F$104:F$145)*$F343+$G343,0)</f>
        <v>0</v>
      </c>
      <c r="J343" s="46">
        <f t="array" ref="J343">IF(SUMIF(Производство!$A$104:$A$145,Технологи!$B343,Производство!G$104:G$145)&gt;0,SUMIF(Производство!$A$104:$A$145,Технологи!$B343,Производство!G$104:G$145)*$F343+$G343,0)</f>
        <v>0</v>
      </c>
      <c r="K343" s="46">
        <f t="array" ref="K343">IF(SUMIF(Производство!$A$104:$A$145,Технологи!$B343,Производство!H$104:H$145)&gt;0,SUMIF(Производство!$A$104:$A$145,Технологи!$B343,Производство!H$104:H$145)*$F343+$G343,0)</f>
        <v>0</v>
      </c>
      <c r="L343" s="46">
        <f t="array" ref="L343">IF(SUMIF(Производство!$A$104:$A$145,Технологи!$B343,Производство!I$104:I$145)&gt;0,SUMIF(Производство!$A$104:$A$145,Технологи!$B343,Производство!I$104:I$145)*$F343+$G343,0)</f>
        <v>0</v>
      </c>
      <c r="M343" s="46">
        <f t="array" ref="M343">IF(SUMIF(Производство!$A$104:$A$145,Технологи!$B343,Производство!J$104:J$145)&gt;0,SUMIF(Производство!$A$104:$A$145,Технологи!$B343,Производство!J$104:J$145)*$F343+$G343,0)</f>
        <v>0</v>
      </c>
      <c r="N343" s="46">
        <f t="array" ref="N343">IF(SUMIF(Производство!$A$104:$A$145,Технологи!$B343,Производство!K$104:K$145)&gt;0,SUMIF(Производство!$A$104:$A$145,Технологи!$B343,Производство!K$104:K$145)*$F343+$G343,0)</f>
        <v>0</v>
      </c>
      <c r="O343" s="46">
        <f t="array" ref="O343">IF(SUMIF(Производство!$A$104:$A$145,Технологи!$B343,Производство!L$104:L$145)&gt;0,SUMIF(Производство!$A$104:$A$145,Технологи!$B343,Производство!L$104:L$145)*$F343+$G343,0)</f>
        <v>0</v>
      </c>
      <c r="P343" s="46">
        <f t="array" ref="P343">IF(SUMIF(Производство!$A$104:$A$145,Технологи!$B343,Производство!M$104:M$145)&gt;0,SUMIF(Производство!$A$104:$A$145,Технологи!$B343,Производство!M$104:M$145)*$F343+$G343,0)</f>
        <v>0</v>
      </c>
      <c r="Q343" s="46">
        <f t="array" ref="Q343">IF(SUMIF(Производство!$A$104:$A$145,Технологи!$B343,Производство!N$104:N$145)&gt;0,SUMIF(Производство!$A$104:$A$145,Технологи!$B343,Производство!N$104:N$145)*$F343+$G343,0)</f>
        <v>0</v>
      </c>
      <c r="R343" s="46">
        <f t="array" ref="R343">IF(SUMIF(Производство!$A$104:$A$145,Технологи!$B343,Производство!O$104:O$145)&gt;0,SUMIF(Производство!$A$104:$A$145,Технологи!$B343,Производство!O$104:O$145)*$F343+$G343,0)</f>
        <v>0</v>
      </c>
      <c r="S343" s="46">
        <f t="array" ref="S343">IF(SUMIF(Производство!$A$104:$A$145,Технологи!$B343,Производство!P$104:P$145)&gt;0,SUMIF(Производство!$A$104:$A$145,Технологи!$B343,Производство!P$104:P$145)*$F343+$G343,0)</f>
        <v>0</v>
      </c>
      <c r="T343" s="46">
        <f t="array" ref="T343">IF(SUMIF(Производство!$A$104:$A$145,Технологи!$B343,Производство!Q$104:Q$145)&gt;0,SUMIF(Производство!$A$104:$A$145,Технологи!$B343,Производство!Q$104:Q$145)*$F343+$G343,0)</f>
        <v>0</v>
      </c>
    </row>
    <row r="344" spans="1:20" x14ac:dyDescent="0.25">
      <c r="A344" s="34" t="s">
        <v>377</v>
      </c>
      <c r="B344" s="13" t="s">
        <v>40</v>
      </c>
      <c r="C344" s="19" t="s">
        <v>12</v>
      </c>
      <c r="D344" s="14">
        <v>7038</v>
      </c>
      <c r="E344" s="20"/>
      <c r="F344" s="24">
        <v>0.14728908026755852</v>
      </c>
      <c r="G344" s="24">
        <v>18.549143441099961</v>
      </c>
      <c r="H344" s="23">
        <f t="shared" si="16"/>
        <v>147.28908026755852</v>
      </c>
      <c r="I344" s="46">
        <f t="array" ref="I344">IF(SUMIF(Производство!$A$104:$A$145,Технологи!$B344,Производство!F$104:F$145)&gt;0,SUMIF(Производство!$A$104:$A$145,Технологи!$B344,Производство!F$104:F$145)*$F344+$G344,0)</f>
        <v>0</v>
      </c>
      <c r="J344" s="46">
        <f t="array" ref="J344">IF(SUMIF(Производство!$A$104:$A$145,Технологи!$B344,Производство!G$104:G$145)&gt;0,SUMIF(Производство!$A$104:$A$145,Технологи!$B344,Производство!G$104:G$145)*$F344+$G344,0)</f>
        <v>0</v>
      </c>
      <c r="K344" s="46">
        <f t="array" ref="K344">IF(SUMIF(Производство!$A$104:$A$145,Технологи!$B344,Производство!H$104:H$145)&gt;0,SUMIF(Производство!$A$104:$A$145,Технологи!$B344,Производство!H$104:H$145)*$F344+$G344,0)</f>
        <v>0</v>
      </c>
      <c r="L344" s="46">
        <f t="array" ref="L344">IF(SUMIF(Производство!$A$104:$A$145,Технологи!$B344,Производство!I$104:I$145)&gt;0,SUMIF(Производство!$A$104:$A$145,Технологи!$B344,Производство!I$104:I$145)*$F344+$G344,0)</f>
        <v>0</v>
      </c>
      <c r="M344" s="46">
        <f t="array" ref="M344">IF(SUMIF(Производство!$A$104:$A$145,Технологи!$B344,Производство!J$104:J$145)&gt;0,SUMIF(Производство!$A$104:$A$145,Технологи!$B344,Производство!J$104:J$145)*$F344+$G344,0)</f>
        <v>0</v>
      </c>
      <c r="N344" s="46">
        <f t="array" ref="N344">IF(SUMIF(Производство!$A$104:$A$145,Технологи!$B344,Производство!K$104:K$145)&gt;0,SUMIF(Производство!$A$104:$A$145,Технологи!$B344,Производство!K$104:K$145)*$F344+$G344,0)</f>
        <v>0</v>
      </c>
      <c r="O344" s="46">
        <f t="array" ref="O344">IF(SUMIF(Производство!$A$104:$A$145,Технологи!$B344,Производство!L$104:L$145)&gt;0,SUMIF(Производство!$A$104:$A$145,Технологи!$B344,Производство!L$104:L$145)*$F344+$G344,0)</f>
        <v>0</v>
      </c>
      <c r="P344" s="46">
        <f t="array" ref="P344">IF(SUMIF(Производство!$A$104:$A$145,Технологи!$B344,Производство!M$104:M$145)&gt;0,SUMIF(Производство!$A$104:$A$145,Технологи!$B344,Производство!M$104:M$145)*$F344+$G344,0)</f>
        <v>0</v>
      </c>
      <c r="Q344" s="46">
        <f t="array" ref="Q344">IF(SUMIF(Производство!$A$104:$A$145,Технологи!$B344,Производство!N$104:N$145)&gt;0,SUMIF(Производство!$A$104:$A$145,Технологи!$B344,Производство!N$104:N$145)*$F344+$G344,0)</f>
        <v>0</v>
      </c>
      <c r="R344" s="46">
        <f t="array" ref="R344">IF(SUMIF(Производство!$A$104:$A$145,Технологи!$B344,Производство!O$104:O$145)&gt;0,SUMIF(Производство!$A$104:$A$145,Технологи!$B344,Производство!O$104:O$145)*$F344+$G344,0)</f>
        <v>0</v>
      </c>
      <c r="S344" s="46">
        <f t="array" ref="S344">IF(SUMIF(Производство!$A$104:$A$145,Технологи!$B344,Производство!P$104:P$145)&gt;0,SUMIF(Производство!$A$104:$A$145,Технологи!$B344,Производство!P$104:P$145)*$F344+$G344,0)</f>
        <v>0</v>
      </c>
      <c r="T344" s="46">
        <f t="array" ref="T344">IF(SUMIF(Производство!$A$104:$A$145,Технологи!$B344,Производство!Q$104:Q$145)&gt;0,SUMIF(Производство!$A$104:$A$145,Технологи!$B344,Производство!Q$104:Q$145)*$F344+$G344,0)</f>
        <v>0</v>
      </c>
    </row>
    <row r="345" spans="1:20" x14ac:dyDescent="0.25">
      <c r="A345" s="34" t="s">
        <v>377</v>
      </c>
      <c r="B345" s="13" t="s">
        <v>40</v>
      </c>
      <c r="C345" s="19" t="s">
        <v>13</v>
      </c>
      <c r="D345" s="14">
        <v>7038</v>
      </c>
      <c r="E345" s="20"/>
      <c r="F345" s="24">
        <v>4.4406558528428099E-2</v>
      </c>
      <c r="G345" s="24">
        <v>5.5647430323299885</v>
      </c>
      <c r="H345" s="23">
        <f t="shared" si="16"/>
        <v>44.4065585284281</v>
      </c>
      <c r="I345" s="46">
        <f t="array" ref="I345">IF(SUMIF(Производство!$A$104:$A$145,Технологи!$B345,Производство!F$104:F$145)&gt;0,SUMIF(Производство!$A$104:$A$145,Технологи!$B345,Производство!F$104:F$145)*$F345+$G345,0)</f>
        <v>0</v>
      </c>
      <c r="J345" s="46">
        <f t="array" ref="J345">IF(SUMIF(Производство!$A$104:$A$145,Технологи!$B345,Производство!G$104:G$145)&gt;0,SUMIF(Производство!$A$104:$A$145,Технологи!$B345,Производство!G$104:G$145)*$F345+$G345,0)</f>
        <v>0</v>
      </c>
      <c r="K345" s="46">
        <f t="array" ref="K345">IF(SUMIF(Производство!$A$104:$A$145,Технологи!$B345,Производство!H$104:H$145)&gt;0,SUMIF(Производство!$A$104:$A$145,Технологи!$B345,Производство!H$104:H$145)*$F345+$G345,0)</f>
        <v>0</v>
      </c>
      <c r="L345" s="46">
        <f t="array" ref="L345">IF(SUMIF(Производство!$A$104:$A$145,Технологи!$B345,Производство!I$104:I$145)&gt;0,SUMIF(Производство!$A$104:$A$145,Технологи!$B345,Производство!I$104:I$145)*$F345+$G345,0)</f>
        <v>0</v>
      </c>
      <c r="M345" s="46">
        <f t="array" ref="M345">IF(SUMIF(Производство!$A$104:$A$145,Технологи!$B345,Производство!J$104:J$145)&gt;0,SUMIF(Производство!$A$104:$A$145,Технологи!$B345,Производство!J$104:J$145)*$F345+$G345,0)</f>
        <v>0</v>
      </c>
      <c r="N345" s="46">
        <f t="array" ref="N345">IF(SUMIF(Производство!$A$104:$A$145,Технологи!$B345,Производство!K$104:K$145)&gt;0,SUMIF(Производство!$A$104:$A$145,Технологи!$B345,Производство!K$104:K$145)*$F345+$G345,0)</f>
        <v>0</v>
      </c>
      <c r="O345" s="46">
        <f t="array" ref="O345">IF(SUMIF(Производство!$A$104:$A$145,Технологи!$B345,Производство!L$104:L$145)&gt;0,SUMIF(Производство!$A$104:$A$145,Технологи!$B345,Производство!L$104:L$145)*$F345+$G345,0)</f>
        <v>0</v>
      </c>
      <c r="P345" s="46">
        <f t="array" ref="P345">IF(SUMIF(Производство!$A$104:$A$145,Технологи!$B345,Производство!M$104:M$145)&gt;0,SUMIF(Производство!$A$104:$A$145,Технологи!$B345,Производство!M$104:M$145)*$F345+$G345,0)</f>
        <v>0</v>
      </c>
      <c r="Q345" s="46">
        <f t="array" ref="Q345">IF(SUMIF(Производство!$A$104:$A$145,Технологи!$B345,Производство!N$104:N$145)&gt;0,SUMIF(Производство!$A$104:$A$145,Технологи!$B345,Производство!N$104:N$145)*$F345+$G345,0)</f>
        <v>0</v>
      </c>
      <c r="R345" s="46">
        <f t="array" ref="R345">IF(SUMIF(Производство!$A$104:$A$145,Технологи!$B345,Производство!O$104:O$145)&gt;0,SUMIF(Производство!$A$104:$A$145,Технологи!$B345,Производство!O$104:O$145)*$F345+$G345,0)</f>
        <v>0</v>
      </c>
      <c r="S345" s="46">
        <f t="array" ref="S345">IF(SUMIF(Производство!$A$104:$A$145,Технологи!$B345,Производство!P$104:P$145)&gt;0,SUMIF(Производство!$A$104:$A$145,Технологи!$B345,Производство!P$104:P$145)*$F345+$G345,0)</f>
        <v>0</v>
      </c>
      <c r="T345" s="46">
        <f t="array" ref="T345">IF(SUMIF(Производство!$A$104:$A$145,Технологи!$B345,Производство!Q$104:Q$145)&gt;0,SUMIF(Производство!$A$104:$A$145,Технологи!$B345,Производство!Q$104:Q$145)*$F345+$G345,0)</f>
        <v>0</v>
      </c>
    </row>
    <row r="346" spans="1:20" x14ac:dyDescent="0.25">
      <c r="A346" s="34" t="s">
        <v>377</v>
      </c>
      <c r="B346" s="13" t="s">
        <v>40</v>
      </c>
      <c r="C346" s="19" t="s">
        <v>14</v>
      </c>
      <c r="D346" s="14">
        <v>7038</v>
      </c>
      <c r="E346" s="20"/>
      <c r="F346" s="24">
        <v>4.4406558528428084E-4</v>
      </c>
      <c r="G346" s="24">
        <v>5.5647430323299878E-2</v>
      </c>
      <c r="H346" s="23">
        <f t="shared" si="16"/>
        <v>0.44406558528428086</v>
      </c>
      <c r="I346" s="46">
        <f t="array" ref="I346">IF(SUMIF(Производство!$A$104:$A$145,Технологи!$B346,Производство!F$104:F$145)&gt;0,SUMIF(Производство!$A$104:$A$145,Технологи!$B346,Производство!F$104:F$145)*$F346+$G346,0)</f>
        <v>0</v>
      </c>
      <c r="J346" s="46">
        <f t="array" ref="J346">IF(SUMIF(Производство!$A$104:$A$145,Технологи!$B346,Производство!G$104:G$145)&gt;0,SUMIF(Производство!$A$104:$A$145,Технологи!$B346,Производство!G$104:G$145)*$F346+$G346,0)</f>
        <v>0</v>
      </c>
      <c r="K346" s="46">
        <f t="array" ref="K346">IF(SUMIF(Производство!$A$104:$A$145,Технологи!$B346,Производство!H$104:H$145)&gt;0,SUMIF(Производство!$A$104:$A$145,Технологи!$B346,Производство!H$104:H$145)*$F346+$G346,0)</f>
        <v>0</v>
      </c>
      <c r="L346" s="46">
        <f t="array" ref="L346">IF(SUMIF(Производство!$A$104:$A$145,Технологи!$B346,Производство!I$104:I$145)&gt;0,SUMIF(Производство!$A$104:$A$145,Технологи!$B346,Производство!I$104:I$145)*$F346+$G346,0)</f>
        <v>0</v>
      </c>
      <c r="M346" s="46">
        <f t="array" ref="M346">IF(SUMIF(Производство!$A$104:$A$145,Технологи!$B346,Производство!J$104:J$145)&gt;0,SUMIF(Производство!$A$104:$A$145,Технологи!$B346,Производство!J$104:J$145)*$F346+$G346,0)</f>
        <v>0</v>
      </c>
      <c r="N346" s="46">
        <f t="array" ref="N346">IF(SUMIF(Производство!$A$104:$A$145,Технологи!$B346,Производство!K$104:K$145)&gt;0,SUMIF(Производство!$A$104:$A$145,Технологи!$B346,Производство!K$104:K$145)*$F346+$G346,0)</f>
        <v>0</v>
      </c>
      <c r="O346" s="46">
        <f t="array" ref="O346">IF(SUMIF(Производство!$A$104:$A$145,Технологи!$B346,Производство!L$104:L$145)&gt;0,SUMIF(Производство!$A$104:$A$145,Технологи!$B346,Производство!L$104:L$145)*$F346+$G346,0)</f>
        <v>0</v>
      </c>
      <c r="P346" s="46">
        <f t="array" ref="P346">IF(SUMIF(Производство!$A$104:$A$145,Технологи!$B346,Производство!M$104:M$145)&gt;0,SUMIF(Производство!$A$104:$A$145,Технологи!$B346,Производство!M$104:M$145)*$F346+$G346,0)</f>
        <v>0</v>
      </c>
      <c r="Q346" s="46">
        <f t="array" ref="Q346">IF(SUMIF(Производство!$A$104:$A$145,Технологи!$B346,Производство!N$104:N$145)&gt;0,SUMIF(Производство!$A$104:$A$145,Технологи!$B346,Производство!N$104:N$145)*$F346+$G346,0)</f>
        <v>0</v>
      </c>
      <c r="R346" s="46">
        <f t="array" ref="R346">IF(SUMIF(Производство!$A$104:$A$145,Технологи!$B346,Производство!O$104:O$145)&gt;0,SUMIF(Производство!$A$104:$A$145,Технологи!$B346,Производство!O$104:O$145)*$F346+$G346,0)</f>
        <v>0</v>
      </c>
      <c r="S346" s="46">
        <f t="array" ref="S346">IF(SUMIF(Производство!$A$104:$A$145,Технологи!$B346,Производство!P$104:P$145)&gt;0,SUMIF(Производство!$A$104:$A$145,Технологи!$B346,Производство!P$104:P$145)*$F346+$G346,0)</f>
        <v>0</v>
      </c>
      <c r="T346" s="46">
        <f t="array" ref="T346">IF(SUMIF(Производство!$A$104:$A$145,Технологи!$B346,Производство!Q$104:Q$145)&gt;0,SUMIF(Производство!$A$104:$A$145,Технологи!$B346,Производство!Q$104:Q$145)*$F346+$G346,0)</f>
        <v>0</v>
      </c>
    </row>
    <row r="347" spans="1:20" x14ac:dyDescent="0.25">
      <c r="A347" s="34" t="s">
        <v>377</v>
      </c>
      <c r="B347" s="13" t="s">
        <v>40</v>
      </c>
      <c r="C347" s="19" t="s">
        <v>15</v>
      </c>
      <c r="D347" s="14">
        <v>7038</v>
      </c>
      <c r="E347" s="20"/>
      <c r="F347" s="24">
        <v>2.2203279264214042E-4</v>
      </c>
      <c r="G347" s="24">
        <v>2.7823715161649939E-2</v>
      </c>
      <c r="H347" s="23">
        <f t="shared" si="16"/>
        <v>0.22203279264214043</v>
      </c>
      <c r="I347" s="46">
        <f t="array" ref="I347">IF(SUMIF(Производство!$A$104:$A$145,Технологи!$B347,Производство!F$104:F$145)&gt;0,SUMIF(Производство!$A$104:$A$145,Технологи!$B347,Производство!F$104:F$145)*$F347+$G347,0)</f>
        <v>0</v>
      </c>
      <c r="J347" s="46">
        <f t="array" ref="J347">IF(SUMIF(Производство!$A$104:$A$145,Технологи!$B347,Производство!G$104:G$145)&gt;0,SUMIF(Производство!$A$104:$A$145,Технологи!$B347,Производство!G$104:G$145)*$F347+$G347,0)</f>
        <v>0</v>
      </c>
      <c r="K347" s="46">
        <f t="array" ref="K347">IF(SUMIF(Производство!$A$104:$A$145,Технологи!$B347,Производство!H$104:H$145)&gt;0,SUMIF(Производство!$A$104:$A$145,Технологи!$B347,Производство!H$104:H$145)*$F347+$G347,0)</f>
        <v>0</v>
      </c>
      <c r="L347" s="46">
        <f t="array" ref="L347">IF(SUMIF(Производство!$A$104:$A$145,Технологи!$B347,Производство!I$104:I$145)&gt;0,SUMIF(Производство!$A$104:$A$145,Технологи!$B347,Производство!I$104:I$145)*$F347+$G347,0)</f>
        <v>0</v>
      </c>
      <c r="M347" s="46">
        <f t="array" ref="M347">IF(SUMIF(Производство!$A$104:$A$145,Технологи!$B347,Производство!J$104:J$145)&gt;0,SUMIF(Производство!$A$104:$A$145,Технологи!$B347,Производство!J$104:J$145)*$F347+$G347,0)</f>
        <v>0</v>
      </c>
      <c r="N347" s="46">
        <f t="array" ref="N347">IF(SUMIF(Производство!$A$104:$A$145,Технологи!$B347,Производство!K$104:K$145)&gt;0,SUMIF(Производство!$A$104:$A$145,Технологи!$B347,Производство!K$104:K$145)*$F347+$G347,0)</f>
        <v>0</v>
      </c>
      <c r="O347" s="46">
        <f t="array" ref="O347">IF(SUMIF(Производство!$A$104:$A$145,Технологи!$B347,Производство!L$104:L$145)&gt;0,SUMIF(Производство!$A$104:$A$145,Технологи!$B347,Производство!L$104:L$145)*$F347+$G347,0)</f>
        <v>0</v>
      </c>
      <c r="P347" s="46">
        <f t="array" ref="P347">IF(SUMIF(Производство!$A$104:$A$145,Технологи!$B347,Производство!M$104:M$145)&gt;0,SUMIF(Производство!$A$104:$A$145,Технологи!$B347,Производство!M$104:M$145)*$F347+$G347,0)</f>
        <v>0</v>
      </c>
      <c r="Q347" s="46">
        <f t="array" ref="Q347">IF(SUMIF(Производство!$A$104:$A$145,Технологи!$B347,Производство!N$104:N$145)&gt;0,SUMIF(Производство!$A$104:$A$145,Технологи!$B347,Производство!N$104:N$145)*$F347+$G347,0)</f>
        <v>0</v>
      </c>
      <c r="R347" s="46">
        <f t="array" ref="R347">IF(SUMIF(Производство!$A$104:$A$145,Технологи!$B347,Производство!O$104:O$145)&gt;0,SUMIF(Производство!$A$104:$A$145,Технологи!$B347,Производство!O$104:O$145)*$F347+$G347,0)</f>
        <v>0</v>
      </c>
      <c r="S347" s="46">
        <f t="array" ref="S347">IF(SUMIF(Производство!$A$104:$A$145,Технологи!$B347,Производство!P$104:P$145)&gt;0,SUMIF(Производство!$A$104:$A$145,Технологи!$B347,Производство!P$104:P$145)*$F347+$G347,0)</f>
        <v>0</v>
      </c>
      <c r="T347" s="46">
        <f t="array" ref="T347">IF(SUMIF(Производство!$A$104:$A$145,Технологи!$B347,Производство!Q$104:Q$145)&gt;0,SUMIF(Производство!$A$104:$A$145,Технологи!$B347,Производство!Q$104:Q$145)*$F347+$G347,0)</f>
        <v>0</v>
      </c>
    </row>
    <row r="348" spans="1:20" x14ac:dyDescent="0.25">
      <c r="A348" s="34" t="s">
        <v>377</v>
      </c>
      <c r="B348" s="13" t="s">
        <v>40</v>
      </c>
      <c r="C348" s="19" t="s">
        <v>16</v>
      </c>
      <c r="D348" s="14">
        <v>7038</v>
      </c>
      <c r="E348" s="20"/>
      <c r="F348" s="24">
        <v>2.9457816053511708E-3</v>
      </c>
      <c r="G348" s="24">
        <v>0.37098286882199927</v>
      </c>
      <c r="H348" s="23">
        <f t="shared" si="16"/>
        <v>2.9457816053511707</v>
      </c>
      <c r="I348" s="46">
        <f t="array" ref="I348">IF(SUMIF(Производство!$A$104:$A$145,Технологи!$B348,Производство!F$104:F$145)&gt;0,SUMIF(Производство!$A$104:$A$145,Технологи!$B348,Производство!F$104:F$145)*$F348+$G348,0)</f>
        <v>0</v>
      </c>
      <c r="J348" s="46">
        <f t="array" ref="J348">IF(SUMIF(Производство!$A$104:$A$145,Технологи!$B348,Производство!G$104:G$145)&gt;0,SUMIF(Производство!$A$104:$A$145,Технологи!$B348,Производство!G$104:G$145)*$F348+$G348,0)</f>
        <v>0</v>
      </c>
      <c r="K348" s="46">
        <f t="array" ref="K348">IF(SUMIF(Производство!$A$104:$A$145,Технологи!$B348,Производство!H$104:H$145)&gt;0,SUMIF(Производство!$A$104:$A$145,Технологи!$B348,Производство!H$104:H$145)*$F348+$G348,0)</f>
        <v>0</v>
      </c>
      <c r="L348" s="46">
        <f t="array" ref="L348">IF(SUMIF(Производство!$A$104:$A$145,Технологи!$B348,Производство!I$104:I$145)&gt;0,SUMIF(Производство!$A$104:$A$145,Технологи!$B348,Производство!I$104:I$145)*$F348+$G348,0)</f>
        <v>0</v>
      </c>
      <c r="M348" s="46">
        <f t="array" ref="M348">IF(SUMIF(Производство!$A$104:$A$145,Технологи!$B348,Производство!J$104:J$145)&gt;0,SUMIF(Производство!$A$104:$A$145,Технологи!$B348,Производство!J$104:J$145)*$F348+$G348,0)</f>
        <v>0</v>
      </c>
      <c r="N348" s="46">
        <f t="array" ref="N348">IF(SUMIF(Производство!$A$104:$A$145,Технологи!$B348,Производство!K$104:K$145)&gt;0,SUMIF(Производство!$A$104:$A$145,Технологи!$B348,Производство!K$104:K$145)*$F348+$G348,0)</f>
        <v>0</v>
      </c>
      <c r="O348" s="46">
        <f t="array" ref="O348">IF(SUMIF(Производство!$A$104:$A$145,Технологи!$B348,Производство!L$104:L$145)&gt;0,SUMIF(Производство!$A$104:$A$145,Технологи!$B348,Производство!L$104:L$145)*$F348+$G348,0)</f>
        <v>0</v>
      </c>
      <c r="P348" s="46">
        <f t="array" ref="P348">IF(SUMIF(Производство!$A$104:$A$145,Технологи!$B348,Производство!M$104:M$145)&gt;0,SUMIF(Производство!$A$104:$A$145,Технологи!$B348,Производство!M$104:M$145)*$F348+$G348,0)</f>
        <v>0</v>
      </c>
      <c r="Q348" s="46">
        <f t="array" ref="Q348">IF(SUMIF(Производство!$A$104:$A$145,Технологи!$B348,Производство!N$104:N$145)&gt;0,SUMIF(Производство!$A$104:$A$145,Технологи!$B348,Производство!N$104:N$145)*$F348+$G348,0)</f>
        <v>0</v>
      </c>
      <c r="R348" s="46">
        <f t="array" ref="R348">IF(SUMIF(Производство!$A$104:$A$145,Технологи!$B348,Производство!O$104:O$145)&gt;0,SUMIF(Производство!$A$104:$A$145,Технологи!$B348,Производство!O$104:O$145)*$F348+$G348,0)</f>
        <v>0</v>
      </c>
      <c r="S348" s="46">
        <f t="array" ref="S348">IF(SUMIF(Производство!$A$104:$A$145,Технологи!$B348,Производство!P$104:P$145)&gt;0,SUMIF(Производство!$A$104:$A$145,Технологи!$B348,Производство!P$104:P$145)*$F348+$G348,0)</f>
        <v>0</v>
      </c>
      <c r="T348" s="46">
        <f t="array" ref="T348">IF(SUMIF(Производство!$A$104:$A$145,Технологи!$B348,Производство!Q$104:Q$145)&gt;0,SUMIF(Производство!$A$104:$A$145,Технологи!$B348,Производство!Q$104:Q$145)*$F348+$G348,0)</f>
        <v>0</v>
      </c>
    </row>
    <row r="349" spans="1:20" x14ac:dyDescent="0.25">
      <c r="A349" s="34" t="s">
        <v>377</v>
      </c>
      <c r="B349" s="13" t="s">
        <v>40</v>
      </c>
      <c r="C349" s="19" t="s">
        <v>17</v>
      </c>
      <c r="D349" s="14">
        <v>7038</v>
      </c>
      <c r="E349" s="20"/>
      <c r="F349" s="24">
        <v>1.6282404793756971E-3</v>
      </c>
      <c r="G349" s="24">
        <v>0.20404057785209961</v>
      </c>
      <c r="H349" s="23">
        <f t="shared" si="16"/>
        <v>1.628240479375697</v>
      </c>
      <c r="I349" s="46">
        <f t="array" ref="I349">IF(SUMIF(Производство!$A$104:$A$145,Технологи!$B349,Производство!F$104:F$145)&gt;0,SUMIF(Производство!$A$104:$A$145,Технологи!$B349,Производство!F$104:F$145)*$F349+$G349,0)</f>
        <v>0</v>
      </c>
      <c r="J349" s="46">
        <f t="array" ref="J349">IF(SUMIF(Производство!$A$104:$A$145,Технологи!$B349,Производство!G$104:G$145)&gt;0,SUMIF(Производство!$A$104:$A$145,Технологи!$B349,Производство!G$104:G$145)*$F349+$G349,0)</f>
        <v>0</v>
      </c>
      <c r="K349" s="46">
        <f t="array" ref="K349">IF(SUMIF(Производство!$A$104:$A$145,Технологи!$B349,Производство!H$104:H$145)&gt;0,SUMIF(Производство!$A$104:$A$145,Технологи!$B349,Производство!H$104:H$145)*$F349+$G349,0)</f>
        <v>0</v>
      </c>
      <c r="L349" s="46">
        <f t="array" ref="L349">IF(SUMIF(Производство!$A$104:$A$145,Технологи!$B349,Производство!I$104:I$145)&gt;0,SUMIF(Производство!$A$104:$A$145,Технологи!$B349,Производство!I$104:I$145)*$F349+$G349,0)</f>
        <v>0</v>
      </c>
      <c r="M349" s="46">
        <f t="array" ref="M349">IF(SUMIF(Производство!$A$104:$A$145,Технологи!$B349,Производство!J$104:J$145)&gt;0,SUMIF(Производство!$A$104:$A$145,Технологи!$B349,Производство!J$104:J$145)*$F349+$G349,0)</f>
        <v>0</v>
      </c>
      <c r="N349" s="46">
        <f t="array" ref="N349">IF(SUMIF(Производство!$A$104:$A$145,Технологи!$B349,Производство!K$104:K$145)&gt;0,SUMIF(Производство!$A$104:$A$145,Технологи!$B349,Производство!K$104:K$145)*$F349+$G349,0)</f>
        <v>0</v>
      </c>
      <c r="O349" s="46">
        <f t="array" ref="O349">IF(SUMIF(Производство!$A$104:$A$145,Технологи!$B349,Производство!L$104:L$145)&gt;0,SUMIF(Производство!$A$104:$A$145,Технологи!$B349,Производство!L$104:L$145)*$F349+$G349,0)</f>
        <v>0</v>
      </c>
      <c r="P349" s="46">
        <f t="array" ref="P349">IF(SUMIF(Производство!$A$104:$A$145,Технологи!$B349,Производство!M$104:M$145)&gt;0,SUMIF(Производство!$A$104:$A$145,Технологи!$B349,Производство!M$104:M$145)*$F349+$G349,0)</f>
        <v>0</v>
      </c>
      <c r="Q349" s="46">
        <f t="array" ref="Q349">IF(SUMIF(Производство!$A$104:$A$145,Технологи!$B349,Производство!N$104:N$145)&gt;0,SUMIF(Производство!$A$104:$A$145,Технологи!$B349,Производство!N$104:N$145)*$F349+$G349,0)</f>
        <v>0</v>
      </c>
      <c r="R349" s="46">
        <f t="array" ref="R349">IF(SUMIF(Производство!$A$104:$A$145,Технологи!$B349,Производство!O$104:O$145)&gt;0,SUMIF(Производство!$A$104:$A$145,Технологи!$B349,Производство!O$104:O$145)*$F349+$G349,0)</f>
        <v>0</v>
      </c>
      <c r="S349" s="46">
        <f t="array" ref="S349">IF(SUMIF(Производство!$A$104:$A$145,Технологи!$B349,Производство!P$104:P$145)&gt;0,SUMIF(Производство!$A$104:$A$145,Технологи!$B349,Производство!P$104:P$145)*$F349+$G349,0)</f>
        <v>0</v>
      </c>
      <c r="T349" s="46">
        <f t="array" ref="T349">IF(SUMIF(Производство!$A$104:$A$145,Технологи!$B349,Производство!Q$104:Q$145)&gt;0,SUMIF(Производство!$A$104:$A$145,Технологи!$B349,Производство!Q$104:Q$145)*$F349+$G349,0)</f>
        <v>0</v>
      </c>
    </row>
    <row r="350" spans="1:20" x14ac:dyDescent="0.25">
      <c r="A350" s="34" t="s">
        <v>377</v>
      </c>
      <c r="B350" s="13" t="s">
        <v>40</v>
      </c>
      <c r="C350" s="19" t="s">
        <v>18</v>
      </c>
      <c r="D350" s="14">
        <v>7038</v>
      </c>
      <c r="E350" s="20"/>
      <c r="F350" s="24">
        <v>1.4699596767001116E-3</v>
      </c>
      <c r="G350" s="24">
        <v>0.18549143441099963</v>
      </c>
      <c r="H350" s="23">
        <f t="shared" si="16"/>
        <v>1.4699596767001115</v>
      </c>
      <c r="I350" s="46">
        <f t="array" ref="I350">IF(SUMIF(Производство!$A$104:$A$145,Технологи!$B350,Производство!F$104:F$145)&gt;0,SUMIF(Производство!$A$104:$A$145,Технологи!$B350,Производство!F$104:F$145)*$F350+$G350,0)</f>
        <v>0</v>
      </c>
      <c r="J350" s="46">
        <f t="array" ref="J350">IF(SUMIF(Производство!$A$104:$A$145,Технологи!$B350,Производство!G$104:G$145)&gt;0,SUMIF(Производство!$A$104:$A$145,Технологи!$B350,Производство!G$104:G$145)*$F350+$G350,0)</f>
        <v>0</v>
      </c>
      <c r="K350" s="46">
        <f t="array" ref="K350">IF(SUMIF(Производство!$A$104:$A$145,Технологи!$B350,Производство!H$104:H$145)&gt;0,SUMIF(Производство!$A$104:$A$145,Технологи!$B350,Производство!H$104:H$145)*$F350+$G350,0)</f>
        <v>0</v>
      </c>
      <c r="L350" s="46">
        <f t="array" ref="L350">IF(SUMIF(Производство!$A$104:$A$145,Технологи!$B350,Производство!I$104:I$145)&gt;0,SUMIF(Производство!$A$104:$A$145,Технологи!$B350,Производство!I$104:I$145)*$F350+$G350,0)</f>
        <v>0</v>
      </c>
      <c r="M350" s="46">
        <f t="array" ref="M350">IF(SUMIF(Производство!$A$104:$A$145,Технологи!$B350,Производство!J$104:J$145)&gt;0,SUMIF(Производство!$A$104:$A$145,Технологи!$B350,Производство!J$104:J$145)*$F350+$G350,0)</f>
        <v>0</v>
      </c>
      <c r="N350" s="46">
        <f t="array" ref="N350">IF(SUMIF(Производство!$A$104:$A$145,Технологи!$B350,Производство!K$104:K$145)&gt;0,SUMIF(Производство!$A$104:$A$145,Технологи!$B350,Производство!K$104:K$145)*$F350+$G350,0)</f>
        <v>0</v>
      </c>
      <c r="O350" s="46">
        <f t="array" ref="O350">IF(SUMIF(Производство!$A$104:$A$145,Технологи!$B350,Производство!L$104:L$145)&gt;0,SUMIF(Производство!$A$104:$A$145,Технологи!$B350,Производство!L$104:L$145)*$F350+$G350,0)</f>
        <v>0</v>
      </c>
      <c r="P350" s="46">
        <f t="array" ref="P350">IF(SUMIF(Производство!$A$104:$A$145,Технологи!$B350,Производство!M$104:M$145)&gt;0,SUMIF(Производство!$A$104:$A$145,Технологи!$B350,Производство!M$104:M$145)*$F350+$G350,0)</f>
        <v>0</v>
      </c>
      <c r="Q350" s="46">
        <f t="array" ref="Q350">IF(SUMIF(Производство!$A$104:$A$145,Технологи!$B350,Производство!N$104:N$145)&gt;0,SUMIF(Производство!$A$104:$A$145,Технологи!$B350,Производство!N$104:N$145)*$F350+$G350,0)</f>
        <v>0</v>
      </c>
      <c r="R350" s="46">
        <f t="array" ref="R350">IF(SUMIF(Производство!$A$104:$A$145,Технологи!$B350,Производство!O$104:O$145)&gt;0,SUMIF(Производство!$A$104:$A$145,Технологи!$B350,Производство!O$104:O$145)*$F350+$G350,0)</f>
        <v>0</v>
      </c>
      <c r="S350" s="46">
        <f t="array" ref="S350">IF(SUMIF(Производство!$A$104:$A$145,Технологи!$B350,Производство!P$104:P$145)&gt;0,SUMIF(Производство!$A$104:$A$145,Технологи!$B350,Производство!P$104:P$145)*$F350+$G350,0)</f>
        <v>0</v>
      </c>
      <c r="T350" s="46">
        <f t="array" ref="T350">IF(SUMIF(Производство!$A$104:$A$145,Технологи!$B350,Производство!Q$104:Q$145)&gt;0,SUMIF(Производство!$A$104:$A$145,Технологи!$B350,Производство!Q$104:Q$145)*$F350+$G350,0)</f>
        <v>0</v>
      </c>
    </row>
    <row r="351" spans="1:20" x14ac:dyDescent="0.25">
      <c r="A351" s="34" t="s">
        <v>377</v>
      </c>
      <c r="B351" s="13" t="s">
        <v>40</v>
      </c>
      <c r="C351" s="19" t="s">
        <v>19</v>
      </c>
      <c r="D351" s="14">
        <v>7038</v>
      </c>
      <c r="E351" s="20"/>
      <c r="F351" s="24">
        <v>0.33075850000000001</v>
      </c>
      <c r="G351" s="24">
        <v>11.5765475</v>
      </c>
      <c r="H351" s="23">
        <f t="shared" si="16"/>
        <v>330.75850000000003</v>
      </c>
      <c r="I351" s="46">
        <f t="array" ref="I351">IF(SUMIF(Производство!$A$104:$A$145,Технологи!$B351,Производство!F$104:F$145)&gt;0,SUMIF(Производство!$A$104:$A$145,Технологи!$B351,Производство!F$104:F$145)*$F351+$G351,0)</f>
        <v>0</v>
      </c>
      <c r="J351" s="46">
        <f t="array" ref="J351">IF(SUMIF(Производство!$A$104:$A$145,Технологи!$B351,Производство!G$104:G$145)&gt;0,SUMIF(Производство!$A$104:$A$145,Технологи!$B351,Производство!G$104:G$145)*$F351+$G351,0)</f>
        <v>0</v>
      </c>
      <c r="K351" s="46">
        <f t="array" ref="K351">IF(SUMIF(Производство!$A$104:$A$145,Технологи!$B351,Производство!H$104:H$145)&gt;0,SUMIF(Производство!$A$104:$A$145,Технологи!$B351,Производство!H$104:H$145)*$F351+$G351,0)</f>
        <v>0</v>
      </c>
      <c r="L351" s="46">
        <f t="array" ref="L351">IF(SUMIF(Производство!$A$104:$A$145,Технологи!$B351,Производство!I$104:I$145)&gt;0,SUMIF(Производство!$A$104:$A$145,Технологи!$B351,Производство!I$104:I$145)*$F351+$G351,0)</f>
        <v>0</v>
      </c>
      <c r="M351" s="46">
        <f t="array" ref="M351">IF(SUMIF(Производство!$A$104:$A$145,Технологи!$B351,Производство!J$104:J$145)&gt;0,SUMIF(Производство!$A$104:$A$145,Технологи!$B351,Производство!J$104:J$145)*$F351+$G351,0)</f>
        <v>0</v>
      </c>
      <c r="N351" s="46">
        <f t="array" ref="N351">IF(SUMIF(Производство!$A$104:$A$145,Технологи!$B351,Производство!K$104:K$145)&gt;0,SUMIF(Производство!$A$104:$A$145,Технологи!$B351,Производство!K$104:K$145)*$F351+$G351,0)</f>
        <v>0</v>
      </c>
      <c r="O351" s="46">
        <f t="array" ref="O351">IF(SUMIF(Производство!$A$104:$A$145,Технологи!$B351,Производство!L$104:L$145)&gt;0,SUMIF(Производство!$A$104:$A$145,Технологи!$B351,Производство!L$104:L$145)*$F351+$G351,0)</f>
        <v>0</v>
      </c>
      <c r="P351" s="46">
        <f t="array" ref="P351">IF(SUMIF(Производство!$A$104:$A$145,Технологи!$B351,Производство!M$104:M$145)&gt;0,SUMIF(Производство!$A$104:$A$145,Технологи!$B351,Производство!M$104:M$145)*$F351+$G351,0)</f>
        <v>0</v>
      </c>
      <c r="Q351" s="46">
        <f t="array" ref="Q351">IF(SUMIF(Производство!$A$104:$A$145,Технологи!$B351,Производство!N$104:N$145)&gt;0,SUMIF(Производство!$A$104:$A$145,Технологи!$B351,Производство!N$104:N$145)*$F351+$G351,0)</f>
        <v>0</v>
      </c>
      <c r="R351" s="46">
        <f t="array" ref="R351">IF(SUMIF(Производство!$A$104:$A$145,Технологи!$B351,Производство!O$104:O$145)&gt;0,SUMIF(Производство!$A$104:$A$145,Технологи!$B351,Производство!O$104:O$145)*$F351+$G351,0)</f>
        <v>0</v>
      </c>
      <c r="S351" s="46">
        <f t="array" ref="S351">IF(SUMIF(Производство!$A$104:$A$145,Технологи!$B351,Производство!P$104:P$145)&gt;0,SUMIF(Производство!$A$104:$A$145,Технологи!$B351,Производство!P$104:P$145)*$F351+$G351,0)</f>
        <v>0</v>
      </c>
      <c r="T351" s="46">
        <f t="array" ref="T351">IF(SUMIF(Производство!$A$104:$A$145,Технологи!$B351,Производство!Q$104:Q$145)&gt;0,SUMIF(Производство!$A$104:$A$145,Технологи!$B351,Производство!Q$104:Q$145)*$F351+$G351,0)</f>
        <v>0</v>
      </c>
    </row>
    <row r="352" spans="1:20" x14ac:dyDescent="0.25">
      <c r="A352" s="34" t="s">
        <v>377</v>
      </c>
      <c r="B352" s="13" t="s">
        <v>40</v>
      </c>
      <c r="C352" s="19" t="s">
        <v>20</v>
      </c>
      <c r="D352" s="14">
        <v>7038</v>
      </c>
      <c r="E352" s="20"/>
      <c r="F352" s="24">
        <v>3.3600000000000005E-2</v>
      </c>
      <c r="G352" s="24">
        <v>0.504</v>
      </c>
      <c r="H352" s="23">
        <f t="shared" si="16"/>
        <v>33.6</v>
      </c>
      <c r="I352" s="46">
        <f t="array" ref="I352">IF(SUMIF(Производство!$A$104:$A$145,Технологи!$B352,Производство!F$104:F$145)&gt;0,SUMIF(Производство!$A$104:$A$145,Технологи!$B352,Производство!F$104:F$145)*$F352+$G352,0)</f>
        <v>0</v>
      </c>
      <c r="J352" s="46">
        <f t="array" ref="J352">IF(SUMIF(Производство!$A$104:$A$145,Технологи!$B352,Производство!G$104:G$145)&gt;0,SUMIF(Производство!$A$104:$A$145,Технологи!$B352,Производство!G$104:G$145)*$F352+$G352,0)</f>
        <v>0</v>
      </c>
      <c r="K352" s="46">
        <f t="array" ref="K352">IF(SUMIF(Производство!$A$104:$A$145,Технологи!$B352,Производство!H$104:H$145)&gt;0,SUMIF(Производство!$A$104:$A$145,Технологи!$B352,Производство!H$104:H$145)*$F352+$G352,0)</f>
        <v>0</v>
      </c>
      <c r="L352" s="46">
        <f t="array" ref="L352">IF(SUMIF(Производство!$A$104:$A$145,Технологи!$B352,Производство!I$104:I$145)&gt;0,SUMIF(Производство!$A$104:$A$145,Технологи!$B352,Производство!I$104:I$145)*$F352+$G352,0)</f>
        <v>0</v>
      </c>
      <c r="M352" s="46">
        <f t="array" ref="M352">IF(SUMIF(Производство!$A$104:$A$145,Технологи!$B352,Производство!J$104:J$145)&gt;0,SUMIF(Производство!$A$104:$A$145,Технологи!$B352,Производство!J$104:J$145)*$F352+$G352,0)</f>
        <v>0</v>
      </c>
      <c r="N352" s="46">
        <f t="array" ref="N352">IF(SUMIF(Производство!$A$104:$A$145,Технологи!$B352,Производство!K$104:K$145)&gt;0,SUMIF(Производство!$A$104:$A$145,Технологи!$B352,Производство!K$104:K$145)*$F352+$G352,0)</f>
        <v>0</v>
      </c>
      <c r="O352" s="46">
        <f t="array" ref="O352">IF(SUMIF(Производство!$A$104:$A$145,Технологи!$B352,Производство!L$104:L$145)&gt;0,SUMIF(Производство!$A$104:$A$145,Технологи!$B352,Производство!L$104:L$145)*$F352+$G352,0)</f>
        <v>0</v>
      </c>
      <c r="P352" s="46">
        <f t="array" ref="P352">IF(SUMIF(Производство!$A$104:$A$145,Технологи!$B352,Производство!M$104:M$145)&gt;0,SUMIF(Производство!$A$104:$A$145,Технологи!$B352,Производство!M$104:M$145)*$F352+$G352,0)</f>
        <v>0</v>
      </c>
      <c r="Q352" s="46">
        <f t="array" ref="Q352">IF(SUMIF(Производство!$A$104:$A$145,Технологи!$B352,Производство!N$104:N$145)&gt;0,SUMIF(Производство!$A$104:$A$145,Технологи!$B352,Производство!N$104:N$145)*$F352+$G352,0)</f>
        <v>0</v>
      </c>
      <c r="R352" s="46">
        <f t="array" ref="R352">IF(SUMIF(Производство!$A$104:$A$145,Технологи!$B352,Производство!O$104:O$145)&gt;0,SUMIF(Производство!$A$104:$A$145,Технологи!$B352,Производство!O$104:O$145)*$F352+$G352,0)</f>
        <v>0</v>
      </c>
      <c r="S352" s="46">
        <f t="array" ref="S352">IF(SUMIF(Производство!$A$104:$A$145,Технологи!$B352,Производство!P$104:P$145)&gt;0,SUMIF(Производство!$A$104:$A$145,Технологи!$B352,Производство!P$104:P$145)*$F352+$G352,0)</f>
        <v>0</v>
      </c>
      <c r="T352" s="46">
        <f t="array" ref="T352">IF(SUMIF(Производство!$A$104:$A$145,Технологи!$B352,Производство!Q$104:Q$145)&gt;0,SUMIF(Производство!$A$104:$A$145,Технологи!$B352,Производство!Q$104:Q$145)*$F352+$G352,0)</f>
        <v>0</v>
      </c>
    </row>
    <row r="353" spans="1:20" x14ac:dyDescent="0.25">
      <c r="A353" s="34" t="s">
        <v>377</v>
      </c>
      <c r="B353" s="13" t="s">
        <v>40</v>
      </c>
      <c r="C353" s="19" t="s">
        <v>21</v>
      </c>
      <c r="D353" s="14">
        <v>7038</v>
      </c>
      <c r="E353" s="20"/>
      <c r="F353" s="24">
        <v>0</v>
      </c>
      <c r="G353" s="24">
        <v>0</v>
      </c>
      <c r="H353" s="23">
        <f t="shared" si="16"/>
        <v>0</v>
      </c>
      <c r="I353" s="46">
        <f t="array" ref="I353">IF(SUMIF(Производство!$A$104:$A$145,Технологи!$B353,Производство!F$104:F$145)&gt;0,SUMIF(Производство!$A$104:$A$145,Технологи!$B353,Производство!F$104:F$145)*$F353+$G353,0)</f>
        <v>0</v>
      </c>
      <c r="J353" s="46">
        <f t="array" ref="J353">IF(SUMIF(Производство!$A$104:$A$145,Технологи!$B353,Производство!G$104:G$145)&gt;0,SUMIF(Производство!$A$104:$A$145,Технологи!$B353,Производство!G$104:G$145)*$F353+$G353,0)</f>
        <v>0</v>
      </c>
      <c r="K353" s="46">
        <f t="array" ref="K353">IF(SUMIF(Производство!$A$104:$A$145,Технологи!$B353,Производство!H$104:H$145)&gt;0,SUMIF(Производство!$A$104:$A$145,Технологи!$B353,Производство!H$104:H$145)*$F353+$G353,0)</f>
        <v>0</v>
      </c>
      <c r="L353" s="46">
        <f t="array" ref="L353">IF(SUMIF(Производство!$A$104:$A$145,Технологи!$B353,Производство!I$104:I$145)&gt;0,SUMIF(Производство!$A$104:$A$145,Технологи!$B353,Производство!I$104:I$145)*$F353+$G353,0)</f>
        <v>0</v>
      </c>
      <c r="M353" s="46">
        <f t="array" ref="M353">IF(SUMIF(Производство!$A$104:$A$145,Технологи!$B353,Производство!J$104:J$145)&gt;0,SUMIF(Производство!$A$104:$A$145,Технологи!$B353,Производство!J$104:J$145)*$F353+$G353,0)</f>
        <v>0</v>
      </c>
      <c r="N353" s="46">
        <f t="array" ref="N353">IF(SUMIF(Производство!$A$104:$A$145,Технологи!$B353,Производство!K$104:K$145)&gt;0,SUMIF(Производство!$A$104:$A$145,Технологи!$B353,Производство!K$104:K$145)*$F353+$G353,0)</f>
        <v>0</v>
      </c>
      <c r="O353" s="46">
        <f t="array" ref="O353">IF(SUMIF(Производство!$A$104:$A$145,Технологи!$B353,Производство!L$104:L$145)&gt;0,SUMIF(Производство!$A$104:$A$145,Технологи!$B353,Производство!L$104:L$145)*$F353+$G353,0)</f>
        <v>0</v>
      </c>
      <c r="P353" s="46">
        <f t="array" ref="P353">IF(SUMIF(Производство!$A$104:$A$145,Технологи!$B353,Производство!M$104:M$145)&gt;0,SUMIF(Производство!$A$104:$A$145,Технологи!$B353,Производство!M$104:M$145)*$F353+$G353,0)</f>
        <v>0</v>
      </c>
      <c r="Q353" s="46">
        <f t="array" ref="Q353">IF(SUMIF(Производство!$A$104:$A$145,Технологи!$B353,Производство!N$104:N$145)&gt;0,SUMIF(Производство!$A$104:$A$145,Технологи!$B353,Производство!N$104:N$145)*$F353+$G353,0)</f>
        <v>0</v>
      </c>
      <c r="R353" s="46">
        <f t="array" ref="R353">IF(SUMIF(Производство!$A$104:$A$145,Технологи!$B353,Производство!O$104:O$145)&gt;0,SUMIF(Производство!$A$104:$A$145,Технологи!$B353,Производство!O$104:O$145)*$F353+$G353,0)</f>
        <v>0</v>
      </c>
      <c r="S353" s="46">
        <f t="array" ref="S353">IF(SUMIF(Производство!$A$104:$A$145,Технологи!$B353,Производство!P$104:P$145)&gt;0,SUMIF(Производство!$A$104:$A$145,Технологи!$B353,Производство!P$104:P$145)*$F353+$G353,0)</f>
        <v>0</v>
      </c>
      <c r="T353" s="46">
        <f t="array" ref="T353">IF(SUMIF(Производство!$A$104:$A$145,Технологи!$B353,Производство!Q$104:Q$145)&gt;0,SUMIF(Производство!$A$104:$A$145,Технологи!$B353,Производство!Q$104:Q$145)*$F353+$G353,0)</f>
        <v>0</v>
      </c>
    </row>
    <row r="354" spans="1:20" x14ac:dyDescent="0.25">
      <c r="A354" s="34" t="s">
        <v>377</v>
      </c>
      <c r="B354" s="13" t="s">
        <v>40</v>
      </c>
      <c r="C354" s="19" t="s">
        <v>22</v>
      </c>
      <c r="D354" s="14">
        <v>7038</v>
      </c>
      <c r="E354" s="20"/>
      <c r="F354" s="24">
        <v>3.5999999999999997E-2</v>
      </c>
      <c r="G354" s="24">
        <v>0.54</v>
      </c>
      <c r="H354" s="23">
        <f t="shared" si="16"/>
        <v>36</v>
      </c>
      <c r="I354" s="46">
        <f t="array" ref="I354">IF(SUMIF(Производство!$A$104:$A$145,Технологи!$B354,Производство!F$104:F$145)&gt;0,SUMIF(Производство!$A$104:$A$145,Технологи!$B354,Производство!F$104:F$145)*$F354+$G354,0)</f>
        <v>0</v>
      </c>
      <c r="J354" s="46">
        <f t="array" ref="J354">IF(SUMIF(Производство!$A$104:$A$145,Технологи!$B354,Производство!G$104:G$145)&gt;0,SUMIF(Производство!$A$104:$A$145,Технологи!$B354,Производство!G$104:G$145)*$F354+$G354,0)</f>
        <v>0</v>
      </c>
      <c r="K354" s="46">
        <f t="array" ref="K354">IF(SUMIF(Производство!$A$104:$A$145,Технологи!$B354,Производство!H$104:H$145)&gt;0,SUMIF(Производство!$A$104:$A$145,Технологи!$B354,Производство!H$104:H$145)*$F354+$G354,0)</f>
        <v>0</v>
      </c>
      <c r="L354" s="46">
        <f t="array" ref="L354">IF(SUMIF(Производство!$A$104:$A$145,Технологи!$B354,Производство!I$104:I$145)&gt;0,SUMIF(Производство!$A$104:$A$145,Технологи!$B354,Производство!I$104:I$145)*$F354+$G354,0)</f>
        <v>0</v>
      </c>
      <c r="M354" s="46">
        <f t="array" ref="M354">IF(SUMIF(Производство!$A$104:$A$145,Технологи!$B354,Производство!J$104:J$145)&gt;0,SUMIF(Производство!$A$104:$A$145,Технологи!$B354,Производство!J$104:J$145)*$F354+$G354,0)</f>
        <v>0</v>
      </c>
      <c r="N354" s="46">
        <f t="array" ref="N354">IF(SUMIF(Производство!$A$104:$A$145,Технологи!$B354,Производство!K$104:K$145)&gt;0,SUMIF(Производство!$A$104:$A$145,Технологи!$B354,Производство!K$104:K$145)*$F354+$G354,0)</f>
        <v>0</v>
      </c>
      <c r="O354" s="46">
        <f t="array" ref="O354">IF(SUMIF(Производство!$A$104:$A$145,Технологи!$B354,Производство!L$104:L$145)&gt;0,SUMIF(Производство!$A$104:$A$145,Технологи!$B354,Производство!L$104:L$145)*$F354+$G354,0)</f>
        <v>0</v>
      </c>
      <c r="P354" s="46">
        <f t="array" ref="P354">IF(SUMIF(Производство!$A$104:$A$145,Технологи!$B354,Производство!M$104:M$145)&gt;0,SUMIF(Производство!$A$104:$A$145,Технологи!$B354,Производство!M$104:M$145)*$F354+$G354,0)</f>
        <v>0</v>
      </c>
      <c r="Q354" s="46">
        <f t="array" ref="Q354">IF(SUMIF(Производство!$A$104:$A$145,Технологи!$B354,Производство!N$104:N$145)&gt;0,SUMIF(Производство!$A$104:$A$145,Технологи!$B354,Производство!N$104:N$145)*$F354+$G354,0)</f>
        <v>0</v>
      </c>
      <c r="R354" s="46">
        <f t="array" ref="R354">IF(SUMIF(Производство!$A$104:$A$145,Технологи!$B354,Производство!O$104:O$145)&gt;0,SUMIF(Производство!$A$104:$A$145,Технологи!$B354,Производство!O$104:O$145)*$F354+$G354,0)</f>
        <v>0</v>
      </c>
      <c r="S354" s="46">
        <f t="array" ref="S354">IF(SUMIF(Производство!$A$104:$A$145,Технологи!$B354,Производство!P$104:P$145)&gt;0,SUMIF(Производство!$A$104:$A$145,Технологи!$B354,Производство!P$104:P$145)*$F354+$G354,0)</f>
        <v>0</v>
      </c>
      <c r="T354" s="46">
        <f t="array" ref="T354">IF(SUMIF(Производство!$A$104:$A$145,Технологи!$B354,Производство!Q$104:Q$145)&gt;0,SUMIF(Производство!$A$104:$A$145,Технологи!$B354,Производство!Q$104:Q$145)*$F354+$G354,0)</f>
        <v>0</v>
      </c>
    </row>
    <row r="355" spans="1:20" x14ac:dyDescent="0.25">
      <c r="A355" s="34" t="s">
        <v>377</v>
      </c>
      <c r="B355" s="13" t="s">
        <v>40</v>
      </c>
      <c r="C355" s="19" t="s">
        <v>23</v>
      </c>
      <c r="D355" s="14">
        <v>7038</v>
      </c>
      <c r="E355" s="20"/>
      <c r="F355" s="24">
        <v>0</v>
      </c>
      <c r="G355" s="24">
        <v>0</v>
      </c>
      <c r="H355" s="23">
        <f t="shared" si="16"/>
        <v>0</v>
      </c>
      <c r="I355" s="46">
        <f t="array" ref="I355">IF(SUMIF(Производство!$A$104:$A$145,Технологи!$B355,Производство!F$104:F$145)&gt;0,SUMIF(Производство!$A$104:$A$145,Технологи!$B355,Производство!F$104:F$145)*$F355+$G355,0)</f>
        <v>0</v>
      </c>
      <c r="J355" s="46">
        <f t="array" ref="J355">IF(SUMIF(Производство!$A$104:$A$145,Технологи!$B355,Производство!G$104:G$145)&gt;0,SUMIF(Производство!$A$104:$A$145,Технологи!$B355,Производство!G$104:G$145)*$F355+$G355,0)</f>
        <v>0</v>
      </c>
      <c r="K355" s="46">
        <f t="array" ref="K355">IF(SUMIF(Производство!$A$104:$A$145,Технологи!$B355,Производство!H$104:H$145)&gt;0,SUMIF(Производство!$A$104:$A$145,Технологи!$B355,Производство!H$104:H$145)*$F355+$G355,0)</f>
        <v>0</v>
      </c>
      <c r="L355" s="46">
        <f t="array" ref="L355">IF(SUMIF(Производство!$A$104:$A$145,Технологи!$B355,Производство!I$104:I$145)&gt;0,SUMIF(Производство!$A$104:$A$145,Технологи!$B355,Производство!I$104:I$145)*$F355+$G355,0)</f>
        <v>0</v>
      </c>
      <c r="M355" s="46">
        <f t="array" ref="M355">IF(SUMIF(Производство!$A$104:$A$145,Технологи!$B355,Производство!J$104:J$145)&gt;0,SUMIF(Производство!$A$104:$A$145,Технологи!$B355,Производство!J$104:J$145)*$F355+$G355,0)</f>
        <v>0</v>
      </c>
      <c r="N355" s="46">
        <f t="array" ref="N355">IF(SUMIF(Производство!$A$104:$A$145,Технологи!$B355,Производство!K$104:K$145)&gt;0,SUMIF(Производство!$A$104:$A$145,Технологи!$B355,Производство!K$104:K$145)*$F355+$G355,0)</f>
        <v>0</v>
      </c>
      <c r="O355" s="46">
        <f t="array" ref="O355">IF(SUMIF(Производство!$A$104:$A$145,Технологи!$B355,Производство!L$104:L$145)&gt;0,SUMIF(Производство!$A$104:$A$145,Технологи!$B355,Производство!L$104:L$145)*$F355+$G355,0)</f>
        <v>0</v>
      </c>
      <c r="P355" s="46">
        <f t="array" ref="P355">IF(SUMIF(Производство!$A$104:$A$145,Технологи!$B355,Производство!M$104:M$145)&gt;0,SUMIF(Производство!$A$104:$A$145,Технологи!$B355,Производство!M$104:M$145)*$F355+$G355,0)</f>
        <v>0</v>
      </c>
      <c r="Q355" s="46">
        <f t="array" ref="Q355">IF(SUMIF(Производство!$A$104:$A$145,Технологи!$B355,Производство!N$104:N$145)&gt;0,SUMIF(Производство!$A$104:$A$145,Технологи!$B355,Производство!N$104:N$145)*$F355+$G355,0)</f>
        <v>0</v>
      </c>
      <c r="R355" s="46">
        <f t="array" ref="R355">IF(SUMIF(Производство!$A$104:$A$145,Технологи!$B355,Производство!O$104:O$145)&gt;0,SUMIF(Производство!$A$104:$A$145,Технологи!$B355,Производство!O$104:O$145)*$F355+$G355,0)</f>
        <v>0</v>
      </c>
      <c r="S355" s="46">
        <f t="array" ref="S355">IF(SUMIF(Производство!$A$104:$A$145,Технологи!$B355,Производство!P$104:P$145)&gt;0,SUMIF(Производство!$A$104:$A$145,Технологи!$B355,Производство!P$104:P$145)*$F355+$G355,0)</f>
        <v>0</v>
      </c>
      <c r="T355" s="46">
        <f t="array" ref="T355">IF(SUMIF(Производство!$A$104:$A$145,Технологи!$B355,Производство!Q$104:Q$145)&gt;0,SUMIF(Производство!$A$104:$A$145,Технологи!$B355,Производство!Q$104:Q$145)*$F355+$G355,0)</f>
        <v>0</v>
      </c>
    </row>
    <row r="356" spans="1:20" x14ac:dyDescent="0.25">
      <c r="A356" s="34" t="s">
        <v>377</v>
      </c>
      <c r="B356" s="13" t="s">
        <v>41</v>
      </c>
      <c r="C356" s="15" t="s">
        <v>11</v>
      </c>
      <c r="D356" s="14">
        <v>7038</v>
      </c>
      <c r="E356" s="16">
        <v>0.65500000000000003</v>
      </c>
      <c r="F356" s="22">
        <f>SUM(F357:F368)</f>
        <v>0.65623075387959851</v>
      </c>
      <c r="G356" s="22">
        <f>SUM(G357:G368)</f>
        <v>39.207159999999988</v>
      </c>
      <c r="H356" s="23">
        <f t="shared" si="16"/>
        <v>656.23075387959852</v>
      </c>
      <c r="I356" s="46">
        <f t="array" ref="I356">IF(SUMIF(Производство!$A$104:$A$145,Технологи!$B356,Производство!F$104:F$145)&gt;0,SUMIF(Производство!$A$104:$A$145,Технологи!$B356,Производство!F$104:F$145)*$F356+$G356,0)</f>
        <v>4962.2502756047479</v>
      </c>
      <c r="J356" s="46">
        <f t="array" ref="J356">IF(SUMIF(Производство!$A$104:$A$145,Технологи!$B356,Производство!G$104:G$145)&gt;0,SUMIF(Производство!$A$104:$A$145,Технологи!$B356,Производство!G$104:G$145)*$F356+$G356,0)</f>
        <v>4962.2502756047479</v>
      </c>
      <c r="K356" s="46">
        <f t="array" ref="K356">IF(SUMIF(Производство!$A$104:$A$145,Технологи!$B356,Производство!H$104:H$145)&gt;0,SUMIF(Производство!$A$104:$A$145,Технологи!$B356,Производство!H$104:H$145)*$F356+$G356,0)</f>
        <v>4634.1348986649491</v>
      </c>
      <c r="L356" s="46">
        <f t="array" ref="L356">IF(SUMIF(Производство!$A$104:$A$145,Технологи!$B356,Производство!I$104:I$145)&gt;0,SUMIF(Производство!$A$104:$A$145,Технологи!$B356,Производство!I$104:I$145)*$F356+$G356,0)</f>
        <v>4962.2502756047479</v>
      </c>
      <c r="M356" s="46">
        <f t="array" ref="M356">IF(SUMIF(Производство!$A$104:$A$145,Технологи!$B356,Производство!J$104:J$145)&gt;0,SUMIF(Производство!$A$104:$A$145,Технологи!$B356,Производство!J$104:J$145)*$F356+$G356,0)</f>
        <v>4831.004124828828</v>
      </c>
      <c r="N356" s="46">
        <f t="array" ref="N356">IF(SUMIF(Производство!$A$104:$A$145,Технологи!$B356,Производство!K$104:K$145)&gt;0,SUMIF(Производство!$A$104:$A$145,Технологи!$B356,Производство!K$104:K$145)*$F356+$G356,0)</f>
        <v>4831.004124828828</v>
      </c>
      <c r="O356" s="46">
        <f t="array" ref="O356">IF(SUMIF(Производство!$A$104:$A$145,Технологи!$B356,Производство!L$104:L$145)&gt;0,SUMIF(Производство!$A$104:$A$145,Технологи!$B356,Производство!L$104:L$145)*$F356+$G356,0)</f>
        <v>4831.004124828828</v>
      </c>
      <c r="P356" s="46">
        <f t="array" ref="P356">IF(SUMIF(Производство!$A$104:$A$145,Технологи!$B356,Производство!M$104:M$145)&gt;0,SUMIF(Производство!$A$104:$A$145,Технологи!$B356,Производство!M$104:M$145)*$F356+$G356,0)</f>
        <v>4831.004124828828</v>
      </c>
      <c r="Q356" s="46">
        <f t="array" ref="Q356">IF(SUMIF(Производство!$A$104:$A$145,Технологи!$B356,Производство!N$104:N$145)&gt;0,SUMIF(Производство!$A$104:$A$145,Технологи!$B356,Производство!N$104:N$145)*$F356+$G356,0)</f>
        <v>4831.004124828828</v>
      </c>
      <c r="R356" s="46">
        <f t="array" ref="R356">IF(SUMIF(Производство!$A$104:$A$145,Технологи!$B356,Производство!O$104:O$145)&gt;0,SUMIF(Производство!$A$104:$A$145,Технологи!$B356,Производство!O$104:O$145)*$F356+$G356,0)</f>
        <v>4831.004124828828</v>
      </c>
      <c r="S356" s="46">
        <f t="array" ref="S356">IF(SUMIF(Производство!$A$104:$A$145,Технологи!$B356,Производство!P$104:P$145)&gt;0,SUMIF(Производство!$A$104:$A$145,Технологи!$B356,Производство!P$104:P$145)*$F356+$G356,0)</f>
        <v>4831.004124828828</v>
      </c>
      <c r="T356" s="46">
        <f t="array" ref="T356">IF(SUMIF(Производство!$A$104:$A$145,Технологи!$B356,Производство!Q$104:Q$145)&gt;0,SUMIF(Производство!$A$104:$A$145,Технологи!$B356,Производство!Q$104:Q$145)*$F356+$G356,0)</f>
        <v>4831.004124828828</v>
      </c>
    </row>
    <row r="357" spans="1:20" x14ac:dyDescent="0.25">
      <c r="A357" s="34" t="s">
        <v>377</v>
      </c>
      <c r="B357" s="13" t="s">
        <v>41</v>
      </c>
      <c r="C357" s="19" t="s">
        <v>12</v>
      </c>
      <c r="D357" s="14">
        <v>7038</v>
      </c>
      <c r="E357" s="20"/>
      <c r="F357" s="24">
        <v>0.16142518394648825</v>
      </c>
      <c r="G357" s="24">
        <v>18.760130063173534</v>
      </c>
      <c r="H357" s="23">
        <f t="shared" si="16"/>
        <v>161.42518394648826</v>
      </c>
      <c r="I357" s="46">
        <f t="array" ref="I357">IF(SUMIF(Производство!$A$104:$A$145,Технологи!$B357,Производство!F$104:F$145)&gt;0,SUMIF(Производство!$A$104:$A$145,Технологи!$B357,Производство!F$104:F$145)*$F357+$G357,0)</f>
        <v>1229.7718600297285</v>
      </c>
      <c r="J357" s="46">
        <f t="array" ref="J357">IF(SUMIF(Производство!$A$104:$A$145,Технологи!$B357,Производство!G$104:G$145)&gt;0,SUMIF(Производство!$A$104:$A$145,Технологи!$B357,Производство!G$104:G$145)*$F357+$G357,0)</f>
        <v>1229.7718600297285</v>
      </c>
      <c r="K357" s="46">
        <f t="array" ref="K357">IF(SUMIF(Производство!$A$104:$A$145,Технологи!$B357,Производство!H$104:H$145)&gt;0,SUMIF(Производство!$A$104:$A$145,Технологи!$B357,Производство!H$104:H$145)*$F357+$G357,0)</f>
        <v>1149.0592680564844</v>
      </c>
      <c r="L357" s="46">
        <f t="array" ref="L357">IF(SUMIF(Производство!$A$104:$A$145,Технологи!$B357,Производство!I$104:I$145)&gt;0,SUMIF(Производство!$A$104:$A$145,Технологи!$B357,Производство!I$104:I$145)*$F357+$G357,0)</f>
        <v>1229.7718600297285</v>
      </c>
      <c r="M357" s="46">
        <f t="array" ref="M357">IF(SUMIF(Производство!$A$104:$A$145,Технологи!$B357,Производство!J$104:J$145)&gt;0,SUMIF(Производство!$A$104:$A$145,Технологи!$B357,Производство!J$104:J$145)*$F357+$G357,0)</f>
        <v>1197.4868232404308</v>
      </c>
      <c r="N357" s="46">
        <f t="array" ref="N357">IF(SUMIF(Производство!$A$104:$A$145,Технологи!$B357,Производство!K$104:K$145)&gt;0,SUMIF(Производство!$A$104:$A$145,Технологи!$B357,Производство!K$104:K$145)*$F357+$G357,0)</f>
        <v>1197.4868232404308</v>
      </c>
      <c r="O357" s="46">
        <f t="array" ref="O357">IF(SUMIF(Производство!$A$104:$A$145,Технологи!$B357,Производство!L$104:L$145)&gt;0,SUMIF(Производство!$A$104:$A$145,Технологи!$B357,Производство!L$104:L$145)*$F357+$G357,0)</f>
        <v>1197.4868232404308</v>
      </c>
      <c r="P357" s="46">
        <f t="array" ref="P357">IF(SUMIF(Производство!$A$104:$A$145,Технологи!$B357,Производство!M$104:M$145)&gt;0,SUMIF(Производство!$A$104:$A$145,Технологи!$B357,Производство!M$104:M$145)*$F357+$G357,0)</f>
        <v>1197.4868232404308</v>
      </c>
      <c r="Q357" s="46">
        <f t="array" ref="Q357">IF(SUMIF(Производство!$A$104:$A$145,Технологи!$B357,Производство!N$104:N$145)&gt;0,SUMIF(Производство!$A$104:$A$145,Технологи!$B357,Производство!N$104:N$145)*$F357+$G357,0)</f>
        <v>1197.4868232404308</v>
      </c>
      <c r="R357" s="46">
        <f t="array" ref="R357">IF(SUMIF(Производство!$A$104:$A$145,Технологи!$B357,Производство!O$104:O$145)&gt;0,SUMIF(Производство!$A$104:$A$145,Технологи!$B357,Производство!O$104:O$145)*$F357+$G357,0)</f>
        <v>1197.4868232404308</v>
      </c>
      <c r="S357" s="46">
        <f t="array" ref="S357">IF(SUMIF(Производство!$A$104:$A$145,Технологи!$B357,Производство!P$104:P$145)&gt;0,SUMIF(Производство!$A$104:$A$145,Технологи!$B357,Производство!P$104:P$145)*$F357+$G357,0)</f>
        <v>1197.4868232404308</v>
      </c>
      <c r="T357" s="46">
        <f t="array" ref="T357">IF(SUMIF(Производство!$A$104:$A$145,Технологи!$B357,Производство!Q$104:Q$145)&gt;0,SUMIF(Производство!$A$104:$A$145,Технологи!$B357,Производство!Q$104:Q$145)*$F357+$G357,0)</f>
        <v>1197.4868232404308</v>
      </c>
    </row>
    <row r="358" spans="1:20" x14ac:dyDescent="0.25">
      <c r="A358" s="34" t="s">
        <v>377</v>
      </c>
      <c r="B358" s="13" t="s">
        <v>41</v>
      </c>
      <c r="C358" s="19" t="s">
        <v>13</v>
      </c>
      <c r="D358" s="14">
        <v>7038</v>
      </c>
      <c r="E358" s="20"/>
      <c r="F358" s="24">
        <v>4.8668488294314374E-2</v>
      </c>
      <c r="G358" s="24">
        <v>5.6280390189520624</v>
      </c>
      <c r="H358" s="23">
        <f t="shared" si="16"/>
        <v>48.668488294314372</v>
      </c>
      <c r="I358" s="46">
        <f t="array" ref="I358">IF(SUMIF(Производство!$A$104:$A$145,Технологи!$B358,Производство!F$104:F$145)&gt;0,SUMIF(Производство!$A$104:$A$145,Технологи!$B358,Производство!F$104:F$145)*$F358+$G358,0)</f>
        <v>370.73903820289848</v>
      </c>
      <c r="J358" s="46">
        <f t="array" ref="J358">IF(SUMIF(Производство!$A$104:$A$145,Технологи!$B358,Производство!G$104:G$145)&gt;0,SUMIF(Производство!$A$104:$A$145,Технологи!$B358,Производство!G$104:G$145)*$F358+$G358,0)</f>
        <v>370.73903820289848</v>
      </c>
      <c r="K358" s="46">
        <f t="array" ref="K358">IF(SUMIF(Производство!$A$104:$A$145,Технологи!$B358,Производство!H$104:H$145)&gt;0,SUMIF(Производство!$A$104:$A$145,Технологи!$B358,Производство!H$104:H$145)*$F358+$G358,0)</f>
        <v>346.40479405574132</v>
      </c>
      <c r="L358" s="46">
        <f t="array" ref="L358">IF(SUMIF(Производство!$A$104:$A$145,Технологи!$B358,Производство!I$104:I$145)&gt;0,SUMIF(Производство!$A$104:$A$145,Технологи!$B358,Производство!I$104:I$145)*$F358+$G358,0)</f>
        <v>370.73903820289848</v>
      </c>
      <c r="M358" s="46">
        <f t="array" ref="M358">IF(SUMIF(Производство!$A$104:$A$145,Технологи!$B358,Производство!J$104:J$145)&gt;0,SUMIF(Производство!$A$104:$A$145,Технологи!$B358,Производство!J$104:J$145)*$F358+$G358,0)</f>
        <v>361.00534054403562</v>
      </c>
      <c r="N358" s="46">
        <f t="array" ref="N358">IF(SUMIF(Производство!$A$104:$A$145,Технологи!$B358,Производство!K$104:K$145)&gt;0,SUMIF(Производство!$A$104:$A$145,Технологи!$B358,Производство!K$104:K$145)*$F358+$G358,0)</f>
        <v>361.00534054403562</v>
      </c>
      <c r="O358" s="46">
        <f t="array" ref="O358">IF(SUMIF(Производство!$A$104:$A$145,Технологи!$B358,Производство!L$104:L$145)&gt;0,SUMIF(Производство!$A$104:$A$145,Технологи!$B358,Производство!L$104:L$145)*$F358+$G358,0)</f>
        <v>361.00534054403562</v>
      </c>
      <c r="P358" s="46">
        <f t="array" ref="P358">IF(SUMIF(Производство!$A$104:$A$145,Технологи!$B358,Производство!M$104:M$145)&gt;0,SUMIF(Производство!$A$104:$A$145,Технологи!$B358,Производство!M$104:M$145)*$F358+$G358,0)</f>
        <v>361.00534054403562</v>
      </c>
      <c r="Q358" s="46">
        <f t="array" ref="Q358">IF(SUMIF(Производство!$A$104:$A$145,Технологи!$B358,Производство!N$104:N$145)&gt;0,SUMIF(Производство!$A$104:$A$145,Технологи!$B358,Производство!N$104:N$145)*$F358+$G358,0)</f>
        <v>361.00534054403562</v>
      </c>
      <c r="R358" s="46">
        <f t="array" ref="R358">IF(SUMIF(Производство!$A$104:$A$145,Технологи!$B358,Производство!O$104:O$145)&gt;0,SUMIF(Производство!$A$104:$A$145,Технологи!$B358,Производство!O$104:O$145)*$F358+$G358,0)</f>
        <v>361.00534054403562</v>
      </c>
      <c r="S358" s="46">
        <f t="array" ref="S358">IF(SUMIF(Производство!$A$104:$A$145,Технологи!$B358,Производство!P$104:P$145)&gt;0,SUMIF(Производство!$A$104:$A$145,Технологи!$B358,Производство!P$104:P$145)*$F358+$G358,0)</f>
        <v>361.00534054403562</v>
      </c>
      <c r="T358" s="46">
        <f t="array" ref="T358">IF(SUMIF(Производство!$A$104:$A$145,Технологи!$B358,Производство!Q$104:Q$145)&gt;0,SUMIF(Производство!$A$104:$A$145,Технологи!$B358,Производство!Q$104:Q$145)*$F358+$G358,0)</f>
        <v>361.00534054403562</v>
      </c>
    </row>
    <row r="359" spans="1:20" x14ac:dyDescent="0.25">
      <c r="A359" s="34" t="s">
        <v>377</v>
      </c>
      <c r="B359" s="13" t="s">
        <v>41</v>
      </c>
      <c r="C359" s="19" t="s">
        <v>14</v>
      </c>
      <c r="D359" s="14">
        <v>7038</v>
      </c>
      <c r="E359" s="20"/>
      <c r="F359" s="24">
        <v>4.8668488294314376E-4</v>
      </c>
      <c r="G359" s="24">
        <v>5.6280390189520614E-2</v>
      </c>
      <c r="H359" s="23">
        <f t="shared" si="16"/>
        <v>0.48668488294314377</v>
      </c>
      <c r="I359" s="46">
        <f t="array" ref="I359">IF(SUMIF(Производство!$A$104:$A$145,Технологи!$B359,Производство!F$104:F$145)&gt;0,SUMIF(Производство!$A$104:$A$145,Технологи!$B359,Производство!F$104:F$145)*$F359+$G359,0)</f>
        <v>3.7073903820289851</v>
      </c>
      <c r="J359" s="46">
        <f t="array" ref="J359">IF(SUMIF(Производство!$A$104:$A$145,Технологи!$B359,Производство!G$104:G$145)&gt;0,SUMIF(Производство!$A$104:$A$145,Технологи!$B359,Производство!G$104:G$145)*$F359+$G359,0)</f>
        <v>3.7073903820289851</v>
      </c>
      <c r="K359" s="46">
        <f t="array" ref="K359">IF(SUMIF(Производство!$A$104:$A$145,Технологи!$B359,Производство!H$104:H$145)&gt;0,SUMIF(Производство!$A$104:$A$145,Технологи!$B359,Производство!H$104:H$145)*$F359+$G359,0)</f>
        <v>3.4640479405574136</v>
      </c>
      <c r="L359" s="46">
        <f t="array" ref="L359">IF(SUMIF(Производство!$A$104:$A$145,Технологи!$B359,Производство!I$104:I$145)&gt;0,SUMIF(Производство!$A$104:$A$145,Технологи!$B359,Производство!I$104:I$145)*$F359+$G359,0)</f>
        <v>3.7073903820289851</v>
      </c>
      <c r="M359" s="46">
        <f t="array" ref="M359">IF(SUMIF(Производство!$A$104:$A$145,Технологи!$B359,Производство!J$104:J$145)&gt;0,SUMIF(Производство!$A$104:$A$145,Технологи!$B359,Производство!J$104:J$145)*$F359+$G359,0)</f>
        <v>3.6100534054403566</v>
      </c>
      <c r="N359" s="46">
        <f t="array" ref="N359">IF(SUMIF(Производство!$A$104:$A$145,Технологи!$B359,Производство!K$104:K$145)&gt;0,SUMIF(Производство!$A$104:$A$145,Технологи!$B359,Производство!K$104:K$145)*$F359+$G359,0)</f>
        <v>3.6100534054403566</v>
      </c>
      <c r="O359" s="46">
        <f t="array" ref="O359">IF(SUMIF(Производство!$A$104:$A$145,Технологи!$B359,Производство!L$104:L$145)&gt;0,SUMIF(Производство!$A$104:$A$145,Технологи!$B359,Производство!L$104:L$145)*$F359+$G359,0)</f>
        <v>3.6100534054403566</v>
      </c>
      <c r="P359" s="46">
        <f t="array" ref="P359">IF(SUMIF(Производство!$A$104:$A$145,Технологи!$B359,Производство!M$104:M$145)&gt;0,SUMIF(Производство!$A$104:$A$145,Технологи!$B359,Производство!M$104:M$145)*$F359+$G359,0)</f>
        <v>3.6100534054403566</v>
      </c>
      <c r="Q359" s="46">
        <f t="array" ref="Q359">IF(SUMIF(Производство!$A$104:$A$145,Технологи!$B359,Производство!N$104:N$145)&gt;0,SUMIF(Производство!$A$104:$A$145,Технологи!$B359,Производство!N$104:N$145)*$F359+$G359,0)</f>
        <v>3.6100534054403566</v>
      </c>
      <c r="R359" s="46">
        <f t="array" ref="R359">IF(SUMIF(Производство!$A$104:$A$145,Технологи!$B359,Производство!O$104:O$145)&gt;0,SUMIF(Производство!$A$104:$A$145,Технологи!$B359,Производство!O$104:O$145)*$F359+$G359,0)</f>
        <v>3.6100534054403566</v>
      </c>
      <c r="S359" s="46">
        <f t="array" ref="S359">IF(SUMIF(Производство!$A$104:$A$145,Технологи!$B359,Производство!P$104:P$145)&gt;0,SUMIF(Производство!$A$104:$A$145,Технологи!$B359,Производство!P$104:P$145)*$F359+$G359,0)</f>
        <v>3.6100534054403566</v>
      </c>
      <c r="T359" s="46">
        <f t="array" ref="T359">IF(SUMIF(Производство!$A$104:$A$145,Технологи!$B359,Производство!Q$104:Q$145)&gt;0,SUMIF(Производство!$A$104:$A$145,Технологи!$B359,Производство!Q$104:Q$145)*$F359+$G359,0)</f>
        <v>3.6100534054403566</v>
      </c>
    </row>
    <row r="360" spans="1:20" x14ac:dyDescent="0.25">
      <c r="A360" s="34" t="s">
        <v>377</v>
      </c>
      <c r="B360" s="13" t="s">
        <v>41</v>
      </c>
      <c r="C360" s="19" t="s">
        <v>15</v>
      </c>
      <c r="D360" s="14">
        <v>7038</v>
      </c>
      <c r="E360" s="20"/>
      <c r="F360" s="24">
        <v>2.4334244147157188E-4</v>
      </c>
      <c r="G360" s="24">
        <v>2.8140195094760307E-2</v>
      </c>
      <c r="H360" s="23">
        <f t="shared" si="16"/>
        <v>0.24334244147157189</v>
      </c>
      <c r="I360" s="46">
        <f t="array" ref="I360">IF(SUMIF(Производство!$A$104:$A$145,Технологи!$B360,Производство!F$104:F$145)&gt;0,SUMIF(Производство!$A$104:$A$145,Технологи!$B360,Производство!F$104:F$145)*$F360+$G360,0)</f>
        <v>1.8536951910144925</v>
      </c>
      <c r="J360" s="46">
        <f t="array" ref="J360">IF(SUMIF(Производство!$A$104:$A$145,Технологи!$B360,Производство!G$104:G$145)&gt;0,SUMIF(Производство!$A$104:$A$145,Технологи!$B360,Производство!G$104:G$145)*$F360+$G360,0)</f>
        <v>1.8536951910144925</v>
      </c>
      <c r="K360" s="46">
        <f t="array" ref="K360">IF(SUMIF(Производство!$A$104:$A$145,Технологи!$B360,Производство!H$104:H$145)&gt;0,SUMIF(Производство!$A$104:$A$145,Технологи!$B360,Производство!H$104:H$145)*$F360+$G360,0)</f>
        <v>1.7320239702787068</v>
      </c>
      <c r="L360" s="46">
        <f t="array" ref="L360">IF(SUMIF(Производство!$A$104:$A$145,Технологи!$B360,Производство!I$104:I$145)&gt;0,SUMIF(Производство!$A$104:$A$145,Технологи!$B360,Производство!I$104:I$145)*$F360+$G360,0)</f>
        <v>1.8536951910144925</v>
      </c>
      <c r="M360" s="46">
        <f t="array" ref="M360">IF(SUMIF(Производство!$A$104:$A$145,Технологи!$B360,Производство!J$104:J$145)&gt;0,SUMIF(Производство!$A$104:$A$145,Технологи!$B360,Производство!J$104:J$145)*$F360+$G360,0)</f>
        <v>1.8050267027201783</v>
      </c>
      <c r="N360" s="46">
        <f t="array" ref="N360">IF(SUMIF(Производство!$A$104:$A$145,Технологи!$B360,Производство!K$104:K$145)&gt;0,SUMIF(Производство!$A$104:$A$145,Технологи!$B360,Производство!K$104:K$145)*$F360+$G360,0)</f>
        <v>1.8050267027201783</v>
      </c>
      <c r="O360" s="46">
        <f t="array" ref="O360">IF(SUMIF(Производство!$A$104:$A$145,Технологи!$B360,Производство!L$104:L$145)&gt;0,SUMIF(Производство!$A$104:$A$145,Технологи!$B360,Производство!L$104:L$145)*$F360+$G360,0)</f>
        <v>1.8050267027201783</v>
      </c>
      <c r="P360" s="46">
        <f t="array" ref="P360">IF(SUMIF(Производство!$A$104:$A$145,Технологи!$B360,Производство!M$104:M$145)&gt;0,SUMIF(Производство!$A$104:$A$145,Технологи!$B360,Производство!M$104:M$145)*$F360+$G360,0)</f>
        <v>1.8050267027201783</v>
      </c>
      <c r="Q360" s="46">
        <f t="array" ref="Q360">IF(SUMIF(Производство!$A$104:$A$145,Технологи!$B360,Производство!N$104:N$145)&gt;0,SUMIF(Производство!$A$104:$A$145,Технологи!$B360,Производство!N$104:N$145)*$F360+$G360,0)</f>
        <v>1.8050267027201783</v>
      </c>
      <c r="R360" s="46">
        <f t="array" ref="R360">IF(SUMIF(Производство!$A$104:$A$145,Технологи!$B360,Производство!O$104:O$145)&gt;0,SUMIF(Производство!$A$104:$A$145,Технологи!$B360,Производство!O$104:O$145)*$F360+$G360,0)</f>
        <v>1.8050267027201783</v>
      </c>
      <c r="S360" s="46">
        <f t="array" ref="S360">IF(SUMIF(Производство!$A$104:$A$145,Технологи!$B360,Производство!P$104:P$145)&gt;0,SUMIF(Производство!$A$104:$A$145,Технологи!$B360,Производство!P$104:P$145)*$F360+$G360,0)</f>
        <v>1.8050267027201783</v>
      </c>
      <c r="T360" s="46">
        <f t="array" ref="T360">IF(SUMIF(Производство!$A$104:$A$145,Технологи!$B360,Производство!Q$104:Q$145)&gt;0,SUMIF(Производство!$A$104:$A$145,Технологи!$B360,Производство!Q$104:Q$145)*$F360+$G360,0)</f>
        <v>1.8050267027201783</v>
      </c>
    </row>
    <row r="361" spans="1:20" x14ac:dyDescent="0.25">
      <c r="A361" s="34" t="s">
        <v>377</v>
      </c>
      <c r="B361" s="13" t="s">
        <v>41</v>
      </c>
      <c r="C361" s="19" t="s">
        <v>16</v>
      </c>
      <c r="D361" s="14">
        <v>7038</v>
      </c>
      <c r="E361" s="20"/>
      <c r="F361" s="24">
        <v>3.2285036789297659E-3</v>
      </c>
      <c r="G361" s="24">
        <v>0.37520260126347077</v>
      </c>
      <c r="H361" s="23">
        <f t="shared" si="16"/>
        <v>3.2285036789297661</v>
      </c>
      <c r="I361" s="46">
        <f t="array" ref="I361">IF(SUMIF(Производство!$A$104:$A$145,Технологи!$B361,Производство!F$104:F$145)&gt;0,SUMIF(Производство!$A$104:$A$145,Технологи!$B361,Производство!F$104:F$145)*$F361+$G361,0)</f>
        <v>24.595437200594574</v>
      </c>
      <c r="J361" s="46">
        <f t="array" ref="J361">IF(SUMIF(Производство!$A$104:$A$145,Технологи!$B361,Производство!G$104:G$145)&gt;0,SUMIF(Производство!$A$104:$A$145,Технологи!$B361,Производство!G$104:G$145)*$F361+$G361,0)</f>
        <v>24.595437200594574</v>
      </c>
      <c r="K361" s="46">
        <f t="array" ref="K361">IF(SUMIF(Производство!$A$104:$A$145,Технологи!$B361,Производство!H$104:H$145)&gt;0,SUMIF(Производство!$A$104:$A$145,Технологи!$B361,Производство!H$104:H$145)*$F361+$G361,0)</f>
        <v>22.981185361129693</v>
      </c>
      <c r="L361" s="46">
        <f t="array" ref="L361">IF(SUMIF(Производство!$A$104:$A$145,Технологи!$B361,Производство!I$104:I$145)&gt;0,SUMIF(Производство!$A$104:$A$145,Технологи!$B361,Производство!I$104:I$145)*$F361+$G361,0)</f>
        <v>24.595437200594574</v>
      </c>
      <c r="M361" s="46">
        <f t="array" ref="M361">IF(SUMIF(Производство!$A$104:$A$145,Технологи!$B361,Производство!J$104:J$145)&gt;0,SUMIF(Производство!$A$104:$A$145,Технологи!$B361,Производство!J$104:J$145)*$F361+$G361,0)</f>
        <v>23.94973646480862</v>
      </c>
      <c r="N361" s="46">
        <f t="array" ref="N361">IF(SUMIF(Производство!$A$104:$A$145,Технологи!$B361,Производство!K$104:K$145)&gt;0,SUMIF(Производство!$A$104:$A$145,Технологи!$B361,Производство!K$104:K$145)*$F361+$G361,0)</f>
        <v>23.94973646480862</v>
      </c>
      <c r="O361" s="46">
        <f t="array" ref="O361">IF(SUMIF(Производство!$A$104:$A$145,Технологи!$B361,Производство!L$104:L$145)&gt;0,SUMIF(Производство!$A$104:$A$145,Технологи!$B361,Производство!L$104:L$145)*$F361+$G361,0)</f>
        <v>23.94973646480862</v>
      </c>
      <c r="P361" s="46">
        <f t="array" ref="P361">IF(SUMIF(Производство!$A$104:$A$145,Технологи!$B361,Производство!M$104:M$145)&gt;0,SUMIF(Производство!$A$104:$A$145,Технологи!$B361,Производство!M$104:M$145)*$F361+$G361,0)</f>
        <v>23.94973646480862</v>
      </c>
      <c r="Q361" s="46">
        <f t="array" ref="Q361">IF(SUMIF(Производство!$A$104:$A$145,Технологи!$B361,Производство!N$104:N$145)&gt;0,SUMIF(Производство!$A$104:$A$145,Технологи!$B361,Производство!N$104:N$145)*$F361+$G361,0)</f>
        <v>23.94973646480862</v>
      </c>
      <c r="R361" s="46">
        <f t="array" ref="R361">IF(SUMIF(Производство!$A$104:$A$145,Технологи!$B361,Производство!O$104:O$145)&gt;0,SUMIF(Производство!$A$104:$A$145,Технологи!$B361,Производство!O$104:O$145)*$F361+$G361,0)</f>
        <v>23.94973646480862</v>
      </c>
      <c r="S361" s="46">
        <f t="array" ref="S361">IF(SUMIF(Производство!$A$104:$A$145,Технологи!$B361,Производство!P$104:P$145)&gt;0,SUMIF(Производство!$A$104:$A$145,Технологи!$B361,Производство!P$104:P$145)*$F361+$G361,0)</f>
        <v>23.94973646480862</v>
      </c>
      <c r="T361" s="46">
        <f t="array" ref="T361">IF(SUMIF(Производство!$A$104:$A$145,Технологи!$B361,Производство!Q$104:Q$145)&gt;0,SUMIF(Производство!$A$104:$A$145,Технологи!$B361,Производство!Q$104:Q$145)*$F361+$G361,0)</f>
        <v>23.94973646480862</v>
      </c>
    </row>
    <row r="362" spans="1:20" x14ac:dyDescent="0.25">
      <c r="A362" s="34" t="s">
        <v>377</v>
      </c>
      <c r="B362" s="13" t="s">
        <v>41</v>
      </c>
      <c r="C362" s="19" t="s">
        <v>17</v>
      </c>
      <c r="D362" s="14">
        <v>7038</v>
      </c>
      <c r="E362" s="20"/>
      <c r="F362" s="24">
        <v>1.7845112374581936E-3</v>
      </c>
      <c r="G362" s="24">
        <v>0.20636143069490895</v>
      </c>
      <c r="H362" s="23">
        <f t="shared" si="16"/>
        <v>1.7845112374581937</v>
      </c>
      <c r="I362" s="46">
        <f t="array" ref="I362">IF(SUMIF(Производство!$A$104:$A$145,Технологи!$B362,Производство!F$104:F$145)&gt;0,SUMIF(Производство!$A$104:$A$145,Технологи!$B362,Производство!F$104:F$145)*$F362+$G362,0)</f>
        <v>13.593764734106276</v>
      </c>
      <c r="J362" s="46">
        <f t="array" ref="J362">IF(SUMIF(Производство!$A$104:$A$145,Технологи!$B362,Производство!G$104:G$145)&gt;0,SUMIF(Производство!$A$104:$A$145,Технологи!$B362,Производство!G$104:G$145)*$F362+$G362,0)</f>
        <v>13.593764734106276</v>
      </c>
      <c r="K362" s="46">
        <f t="array" ref="K362">IF(SUMIF(Производство!$A$104:$A$145,Технологи!$B362,Производство!H$104:H$145)&gt;0,SUMIF(Производство!$A$104:$A$145,Технологи!$B362,Производство!H$104:H$145)*$F362+$G362,0)</f>
        <v>12.70150911537718</v>
      </c>
      <c r="L362" s="46">
        <f t="array" ref="L362">IF(SUMIF(Производство!$A$104:$A$145,Технологи!$B362,Производство!I$104:I$145)&gt;0,SUMIF(Производство!$A$104:$A$145,Технологи!$B362,Производство!I$104:I$145)*$F362+$G362,0)</f>
        <v>13.593764734106276</v>
      </c>
      <c r="M362" s="46">
        <f t="array" ref="M362">IF(SUMIF(Производство!$A$104:$A$145,Технологи!$B362,Производство!J$104:J$145)&gt;0,SUMIF(Производство!$A$104:$A$145,Технологи!$B362,Производство!J$104:J$145)*$F362+$G362,0)</f>
        <v>13.236862486614639</v>
      </c>
      <c r="N362" s="46">
        <f t="array" ref="N362">IF(SUMIF(Производство!$A$104:$A$145,Технологи!$B362,Производство!K$104:K$145)&gt;0,SUMIF(Производство!$A$104:$A$145,Технологи!$B362,Производство!K$104:K$145)*$F362+$G362,0)</f>
        <v>13.236862486614639</v>
      </c>
      <c r="O362" s="46">
        <f t="array" ref="O362">IF(SUMIF(Производство!$A$104:$A$145,Технологи!$B362,Производство!L$104:L$145)&gt;0,SUMIF(Производство!$A$104:$A$145,Технологи!$B362,Производство!L$104:L$145)*$F362+$G362,0)</f>
        <v>13.236862486614639</v>
      </c>
      <c r="P362" s="46">
        <f t="array" ref="P362">IF(SUMIF(Производство!$A$104:$A$145,Технологи!$B362,Производство!M$104:M$145)&gt;0,SUMIF(Производство!$A$104:$A$145,Технологи!$B362,Производство!M$104:M$145)*$F362+$G362,0)</f>
        <v>13.236862486614639</v>
      </c>
      <c r="Q362" s="46">
        <f t="array" ref="Q362">IF(SUMIF(Производство!$A$104:$A$145,Технологи!$B362,Производство!N$104:N$145)&gt;0,SUMIF(Производство!$A$104:$A$145,Технологи!$B362,Производство!N$104:N$145)*$F362+$G362,0)</f>
        <v>13.236862486614639</v>
      </c>
      <c r="R362" s="46">
        <f t="array" ref="R362">IF(SUMIF(Производство!$A$104:$A$145,Технологи!$B362,Производство!O$104:O$145)&gt;0,SUMIF(Производство!$A$104:$A$145,Технологи!$B362,Производство!O$104:O$145)*$F362+$G362,0)</f>
        <v>13.236862486614639</v>
      </c>
      <c r="S362" s="46">
        <f t="array" ref="S362">IF(SUMIF(Производство!$A$104:$A$145,Технологи!$B362,Производство!P$104:P$145)&gt;0,SUMIF(Производство!$A$104:$A$145,Технологи!$B362,Производство!P$104:P$145)*$F362+$G362,0)</f>
        <v>13.236862486614639</v>
      </c>
      <c r="T362" s="46">
        <f t="array" ref="T362">IF(SUMIF(Производство!$A$104:$A$145,Технологи!$B362,Производство!Q$104:Q$145)&gt;0,SUMIF(Производство!$A$104:$A$145,Технологи!$B362,Производство!Q$104:Q$145)*$F362+$G362,0)</f>
        <v>13.236862486614639</v>
      </c>
    </row>
    <row r="363" spans="1:20" x14ac:dyDescent="0.25">
      <c r="A363" s="34" t="s">
        <v>377</v>
      </c>
      <c r="B363" s="13" t="s">
        <v>41</v>
      </c>
      <c r="C363" s="19" t="s">
        <v>18</v>
      </c>
      <c r="D363" s="14">
        <v>7038</v>
      </c>
      <c r="E363" s="20"/>
      <c r="F363" s="24">
        <v>1.6110393979933111E-3</v>
      </c>
      <c r="G363" s="24">
        <v>0.18760130063173538</v>
      </c>
      <c r="H363" s="23">
        <f t="shared" si="16"/>
        <v>1.6110393979933111</v>
      </c>
      <c r="I363" s="46">
        <f t="array" ref="I363">IF(SUMIF(Производство!$A$104:$A$145,Технологи!$B363,Производство!F$104:F$145)&gt;0,SUMIF(Производство!$A$104:$A$145,Технологи!$B363,Производство!F$104:F$145)*$F363+$G363,0)</f>
        <v>12.273618864377555</v>
      </c>
      <c r="J363" s="46">
        <f t="array" ref="J363">IF(SUMIF(Производство!$A$104:$A$145,Технологи!$B363,Производство!G$104:G$145)&gt;0,SUMIF(Производство!$A$104:$A$145,Технологи!$B363,Производство!G$104:G$145)*$F363+$G363,0)</f>
        <v>12.273618864377555</v>
      </c>
      <c r="K363" s="46">
        <f t="array" ref="K363">IF(SUMIF(Производство!$A$104:$A$145,Технологи!$B363,Производство!H$104:H$145)&gt;0,SUMIF(Производство!$A$104:$A$145,Технологи!$B363,Производство!H$104:H$145)*$F363+$G363,0)</f>
        <v>11.468099165380901</v>
      </c>
      <c r="L363" s="46">
        <f t="array" ref="L363">IF(SUMIF(Производство!$A$104:$A$145,Технологи!$B363,Производство!I$104:I$145)&gt;0,SUMIF(Производство!$A$104:$A$145,Технологи!$B363,Производство!I$104:I$145)*$F363+$G363,0)</f>
        <v>12.273618864377555</v>
      </c>
      <c r="M363" s="46">
        <f t="array" ref="M363">IF(SUMIF(Производство!$A$104:$A$145,Технологи!$B363,Производство!J$104:J$145)&gt;0,SUMIF(Производство!$A$104:$A$145,Технологи!$B363,Производство!J$104:J$145)*$F363+$G363,0)</f>
        <v>11.951410984778894</v>
      </c>
      <c r="N363" s="46">
        <f t="array" ref="N363">IF(SUMIF(Производство!$A$104:$A$145,Технологи!$B363,Производство!K$104:K$145)&gt;0,SUMIF(Производство!$A$104:$A$145,Технологи!$B363,Производство!K$104:K$145)*$F363+$G363,0)</f>
        <v>11.951410984778894</v>
      </c>
      <c r="O363" s="46">
        <f t="array" ref="O363">IF(SUMIF(Производство!$A$104:$A$145,Технологи!$B363,Производство!L$104:L$145)&gt;0,SUMIF(Производство!$A$104:$A$145,Технологи!$B363,Производство!L$104:L$145)*$F363+$G363,0)</f>
        <v>11.951410984778894</v>
      </c>
      <c r="P363" s="46">
        <f t="array" ref="P363">IF(SUMIF(Производство!$A$104:$A$145,Технологи!$B363,Производство!M$104:M$145)&gt;0,SUMIF(Производство!$A$104:$A$145,Технологи!$B363,Производство!M$104:M$145)*$F363+$G363,0)</f>
        <v>11.951410984778894</v>
      </c>
      <c r="Q363" s="46">
        <f t="array" ref="Q363">IF(SUMIF(Производство!$A$104:$A$145,Технологи!$B363,Производство!N$104:N$145)&gt;0,SUMIF(Производство!$A$104:$A$145,Технологи!$B363,Производство!N$104:N$145)*$F363+$G363,0)</f>
        <v>11.951410984778894</v>
      </c>
      <c r="R363" s="46">
        <f t="array" ref="R363">IF(SUMIF(Производство!$A$104:$A$145,Технологи!$B363,Производство!O$104:O$145)&gt;0,SUMIF(Производство!$A$104:$A$145,Технологи!$B363,Производство!O$104:O$145)*$F363+$G363,0)</f>
        <v>11.951410984778894</v>
      </c>
      <c r="S363" s="46">
        <f t="array" ref="S363">IF(SUMIF(Производство!$A$104:$A$145,Технологи!$B363,Производство!P$104:P$145)&gt;0,SUMIF(Производство!$A$104:$A$145,Технологи!$B363,Производство!P$104:P$145)*$F363+$G363,0)</f>
        <v>11.951410984778894</v>
      </c>
      <c r="T363" s="46">
        <f t="array" ref="T363">IF(SUMIF(Производство!$A$104:$A$145,Технологи!$B363,Производство!Q$104:Q$145)&gt;0,SUMIF(Производство!$A$104:$A$145,Технологи!$B363,Производство!Q$104:Q$145)*$F363+$G363,0)</f>
        <v>11.951410984778894</v>
      </c>
    </row>
    <row r="364" spans="1:20" x14ac:dyDescent="0.25">
      <c r="A364" s="34" t="s">
        <v>377</v>
      </c>
      <c r="B364" s="13" t="s">
        <v>41</v>
      </c>
      <c r="C364" s="19" t="s">
        <v>19</v>
      </c>
      <c r="D364" s="14">
        <v>7038</v>
      </c>
      <c r="E364" s="20"/>
      <c r="F364" s="24">
        <v>0.36918299999999998</v>
      </c>
      <c r="G364" s="24">
        <v>12.921404999999998</v>
      </c>
      <c r="H364" s="23">
        <f t="shared" si="16"/>
        <v>369.18299999999999</v>
      </c>
      <c r="I364" s="46">
        <f t="array" ref="I364">IF(SUMIF(Производство!$A$104:$A$145,Технологи!$B364,Производство!F$104:F$145)&gt;0,SUMIF(Производство!$A$104:$A$145,Технологи!$B364,Производство!F$104:F$145)*$F364+$G364,0)</f>
        <v>2782.532271</v>
      </c>
      <c r="J364" s="46">
        <f t="array" ref="J364">IF(SUMIF(Производство!$A$104:$A$145,Технологи!$B364,Производство!G$104:G$145)&gt;0,SUMIF(Производство!$A$104:$A$145,Технологи!$B364,Производство!G$104:G$145)*$F364+$G364,0)</f>
        <v>2782.532271</v>
      </c>
      <c r="K364" s="46">
        <f t="array" ref="K364">IF(SUMIF(Производство!$A$104:$A$145,Технологи!$B364,Производство!H$104:H$145)&gt;0,SUMIF(Производство!$A$104:$A$145,Технологи!$B364,Производство!H$104:H$145)*$F364+$G364,0)</f>
        <v>2597.940771</v>
      </c>
      <c r="L364" s="46">
        <f t="array" ref="L364">IF(SUMIF(Производство!$A$104:$A$145,Технологи!$B364,Производство!I$104:I$145)&gt;0,SUMIF(Производство!$A$104:$A$145,Технологи!$B364,Производство!I$104:I$145)*$F364+$G364,0)</f>
        <v>2782.532271</v>
      </c>
      <c r="M364" s="46">
        <f t="array" ref="M364">IF(SUMIF(Производство!$A$104:$A$145,Технологи!$B364,Производство!J$104:J$145)&gt;0,SUMIF(Производство!$A$104:$A$145,Технологи!$B364,Производство!J$104:J$145)*$F364+$G364,0)</f>
        <v>2708.6956709999999</v>
      </c>
      <c r="N364" s="46">
        <f t="array" ref="N364">IF(SUMIF(Производство!$A$104:$A$145,Технологи!$B364,Производство!K$104:K$145)&gt;0,SUMIF(Производство!$A$104:$A$145,Технологи!$B364,Производство!K$104:K$145)*$F364+$G364,0)</f>
        <v>2708.6956709999999</v>
      </c>
      <c r="O364" s="46">
        <f t="array" ref="O364">IF(SUMIF(Производство!$A$104:$A$145,Технологи!$B364,Производство!L$104:L$145)&gt;0,SUMIF(Производство!$A$104:$A$145,Технологи!$B364,Производство!L$104:L$145)*$F364+$G364,0)</f>
        <v>2708.6956709999999</v>
      </c>
      <c r="P364" s="46">
        <f t="array" ref="P364">IF(SUMIF(Производство!$A$104:$A$145,Технологи!$B364,Производство!M$104:M$145)&gt;0,SUMIF(Производство!$A$104:$A$145,Технологи!$B364,Производство!M$104:M$145)*$F364+$G364,0)</f>
        <v>2708.6956709999999</v>
      </c>
      <c r="Q364" s="46">
        <f t="array" ref="Q364">IF(SUMIF(Производство!$A$104:$A$145,Технологи!$B364,Производство!N$104:N$145)&gt;0,SUMIF(Производство!$A$104:$A$145,Технологи!$B364,Производство!N$104:N$145)*$F364+$G364,0)</f>
        <v>2708.6956709999999</v>
      </c>
      <c r="R364" s="46">
        <f t="array" ref="R364">IF(SUMIF(Производство!$A$104:$A$145,Технологи!$B364,Производство!O$104:O$145)&gt;0,SUMIF(Производство!$A$104:$A$145,Технологи!$B364,Производство!O$104:O$145)*$F364+$G364,0)</f>
        <v>2708.6956709999999</v>
      </c>
      <c r="S364" s="46">
        <f t="array" ref="S364">IF(SUMIF(Производство!$A$104:$A$145,Технологи!$B364,Производство!P$104:P$145)&gt;0,SUMIF(Производство!$A$104:$A$145,Технологи!$B364,Производство!P$104:P$145)*$F364+$G364,0)</f>
        <v>2708.6956709999999</v>
      </c>
      <c r="T364" s="46">
        <f t="array" ref="T364">IF(SUMIF(Производство!$A$104:$A$145,Технологи!$B364,Производство!Q$104:Q$145)&gt;0,SUMIF(Производство!$A$104:$A$145,Технологи!$B364,Производство!Q$104:Q$145)*$F364+$G364,0)</f>
        <v>2708.6956709999999</v>
      </c>
    </row>
    <row r="365" spans="1:20" x14ac:dyDescent="0.25">
      <c r="A365" s="34" t="s">
        <v>377</v>
      </c>
      <c r="B365" s="13" t="s">
        <v>41</v>
      </c>
      <c r="C365" s="19" t="s">
        <v>20</v>
      </c>
      <c r="D365" s="14">
        <v>7038</v>
      </c>
      <c r="E365" s="20"/>
      <c r="F365" s="24">
        <v>3.3600000000000005E-2</v>
      </c>
      <c r="G365" s="24">
        <v>0.504</v>
      </c>
      <c r="H365" s="23">
        <f t="shared" ref="H365:H381" si="17">F365*1000</f>
        <v>33.6</v>
      </c>
      <c r="I365" s="46">
        <f t="array" ref="I365">IF(SUMIF(Производство!$A$104:$A$145,Технологи!$B365,Производство!F$104:F$145)&gt;0,SUMIF(Производство!$A$104:$A$145,Технологи!$B365,Производство!F$104:F$145)*$F365+$G365,0)</f>
        <v>252.57120000000003</v>
      </c>
      <c r="J365" s="46">
        <f t="array" ref="J365">IF(SUMIF(Производство!$A$104:$A$145,Технологи!$B365,Производство!G$104:G$145)&gt;0,SUMIF(Производство!$A$104:$A$145,Технологи!$B365,Производство!G$104:G$145)*$F365+$G365,0)</f>
        <v>252.57120000000003</v>
      </c>
      <c r="K365" s="46">
        <f t="array" ref="K365">IF(SUMIF(Производство!$A$104:$A$145,Технологи!$B365,Производство!H$104:H$145)&gt;0,SUMIF(Производство!$A$104:$A$145,Технологи!$B365,Производство!H$104:H$145)*$F365+$G365,0)</f>
        <v>235.77120000000002</v>
      </c>
      <c r="L365" s="46">
        <f t="array" ref="L365">IF(SUMIF(Производство!$A$104:$A$145,Технологи!$B365,Производство!I$104:I$145)&gt;0,SUMIF(Производство!$A$104:$A$145,Технологи!$B365,Производство!I$104:I$145)*$F365+$G365,0)</f>
        <v>252.57120000000003</v>
      </c>
      <c r="M365" s="46">
        <f t="array" ref="M365">IF(SUMIF(Производство!$A$104:$A$145,Технологи!$B365,Производство!J$104:J$145)&gt;0,SUMIF(Производство!$A$104:$A$145,Технологи!$B365,Производство!J$104:J$145)*$F365+$G365,0)</f>
        <v>245.85120000000003</v>
      </c>
      <c r="N365" s="46">
        <f t="array" ref="N365">IF(SUMIF(Производство!$A$104:$A$145,Технологи!$B365,Производство!K$104:K$145)&gt;0,SUMIF(Производство!$A$104:$A$145,Технологи!$B365,Производство!K$104:K$145)*$F365+$G365,0)</f>
        <v>245.85120000000003</v>
      </c>
      <c r="O365" s="46">
        <f t="array" ref="O365">IF(SUMIF(Производство!$A$104:$A$145,Технологи!$B365,Производство!L$104:L$145)&gt;0,SUMIF(Производство!$A$104:$A$145,Технологи!$B365,Производство!L$104:L$145)*$F365+$G365,0)</f>
        <v>245.85120000000003</v>
      </c>
      <c r="P365" s="46">
        <f t="array" ref="P365">IF(SUMIF(Производство!$A$104:$A$145,Технологи!$B365,Производство!M$104:M$145)&gt;0,SUMIF(Производство!$A$104:$A$145,Технологи!$B365,Производство!M$104:M$145)*$F365+$G365,0)</f>
        <v>245.85120000000003</v>
      </c>
      <c r="Q365" s="46">
        <f t="array" ref="Q365">IF(SUMIF(Производство!$A$104:$A$145,Технологи!$B365,Производство!N$104:N$145)&gt;0,SUMIF(Производство!$A$104:$A$145,Технологи!$B365,Производство!N$104:N$145)*$F365+$G365,0)</f>
        <v>245.85120000000003</v>
      </c>
      <c r="R365" s="46">
        <f t="array" ref="R365">IF(SUMIF(Производство!$A$104:$A$145,Технологи!$B365,Производство!O$104:O$145)&gt;0,SUMIF(Производство!$A$104:$A$145,Технологи!$B365,Производство!O$104:O$145)*$F365+$G365,0)</f>
        <v>245.85120000000003</v>
      </c>
      <c r="S365" s="46">
        <f t="array" ref="S365">IF(SUMIF(Производство!$A$104:$A$145,Технологи!$B365,Производство!P$104:P$145)&gt;0,SUMIF(Производство!$A$104:$A$145,Технологи!$B365,Производство!P$104:P$145)*$F365+$G365,0)</f>
        <v>245.85120000000003</v>
      </c>
      <c r="T365" s="46">
        <f t="array" ref="T365">IF(SUMIF(Производство!$A$104:$A$145,Технологи!$B365,Производство!Q$104:Q$145)&gt;0,SUMIF(Производство!$A$104:$A$145,Технологи!$B365,Производство!Q$104:Q$145)*$F365+$G365,0)</f>
        <v>245.85120000000003</v>
      </c>
    </row>
    <row r="366" spans="1:20" x14ac:dyDescent="0.25">
      <c r="A366" s="34" t="s">
        <v>377</v>
      </c>
      <c r="B366" s="13" t="s">
        <v>41</v>
      </c>
      <c r="C366" s="19" t="s">
        <v>21</v>
      </c>
      <c r="D366" s="14">
        <v>7038</v>
      </c>
      <c r="E366" s="20"/>
      <c r="F366" s="24">
        <v>0</v>
      </c>
      <c r="G366" s="24">
        <v>0</v>
      </c>
      <c r="H366" s="23">
        <f t="shared" si="17"/>
        <v>0</v>
      </c>
      <c r="I366" s="46">
        <f t="array" ref="I366">IF(SUMIF(Производство!$A$104:$A$145,Технологи!$B366,Производство!F$104:F$145)&gt;0,SUMIF(Производство!$A$104:$A$145,Технологи!$B366,Производство!F$104:F$145)*$F366+$G366,0)</f>
        <v>0</v>
      </c>
      <c r="J366" s="46">
        <f t="array" ref="J366">IF(SUMIF(Производство!$A$104:$A$145,Технологи!$B366,Производство!G$104:G$145)&gt;0,SUMIF(Производство!$A$104:$A$145,Технологи!$B366,Производство!G$104:G$145)*$F366+$G366,0)</f>
        <v>0</v>
      </c>
      <c r="K366" s="46">
        <f t="array" ref="K366">IF(SUMIF(Производство!$A$104:$A$145,Технологи!$B366,Производство!H$104:H$145)&gt;0,SUMIF(Производство!$A$104:$A$145,Технологи!$B366,Производство!H$104:H$145)*$F366+$G366,0)</f>
        <v>0</v>
      </c>
      <c r="L366" s="46">
        <f t="array" ref="L366">IF(SUMIF(Производство!$A$104:$A$145,Технологи!$B366,Производство!I$104:I$145)&gt;0,SUMIF(Производство!$A$104:$A$145,Технологи!$B366,Производство!I$104:I$145)*$F366+$G366,0)</f>
        <v>0</v>
      </c>
      <c r="M366" s="46">
        <f t="array" ref="M366">IF(SUMIF(Производство!$A$104:$A$145,Технологи!$B366,Производство!J$104:J$145)&gt;0,SUMIF(Производство!$A$104:$A$145,Технологи!$B366,Производство!J$104:J$145)*$F366+$G366,0)</f>
        <v>0</v>
      </c>
      <c r="N366" s="46">
        <f t="array" ref="N366">IF(SUMIF(Производство!$A$104:$A$145,Технологи!$B366,Производство!K$104:K$145)&gt;0,SUMIF(Производство!$A$104:$A$145,Технологи!$B366,Производство!K$104:K$145)*$F366+$G366,0)</f>
        <v>0</v>
      </c>
      <c r="O366" s="46">
        <f t="array" ref="O366">IF(SUMIF(Производство!$A$104:$A$145,Технологи!$B366,Производство!L$104:L$145)&gt;0,SUMIF(Производство!$A$104:$A$145,Технологи!$B366,Производство!L$104:L$145)*$F366+$G366,0)</f>
        <v>0</v>
      </c>
      <c r="P366" s="46">
        <f t="array" ref="P366">IF(SUMIF(Производство!$A$104:$A$145,Технологи!$B366,Производство!M$104:M$145)&gt;0,SUMIF(Производство!$A$104:$A$145,Технологи!$B366,Производство!M$104:M$145)*$F366+$G366,0)</f>
        <v>0</v>
      </c>
      <c r="Q366" s="46">
        <f t="array" ref="Q366">IF(SUMIF(Производство!$A$104:$A$145,Технологи!$B366,Производство!N$104:N$145)&gt;0,SUMIF(Производство!$A$104:$A$145,Технологи!$B366,Производство!N$104:N$145)*$F366+$G366,0)</f>
        <v>0</v>
      </c>
      <c r="R366" s="46">
        <f t="array" ref="R366">IF(SUMIF(Производство!$A$104:$A$145,Технологи!$B366,Производство!O$104:O$145)&gt;0,SUMIF(Производство!$A$104:$A$145,Технологи!$B366,Производство!O$104:O$145)*$F366+$G366,0)</f>
        <v>0</v>
      </c>
      <c r="S366" s="46">
        <f t="array" ref="S366">IF(SUMIF(Производство!$A$104:$A$145,Технологи!$B366,Производство!P$104:P$145)&gt;0,SUMIF(Производство!$A$104:$A$145,Технологи!$B366,Производство!P$104:P$145)*$F366+$G366,0)</f>
        <v>0</v>
      </c>
      <c r="T366" s="46">
        <f t="array" ref="T366">IF(SUMIF(Производство!$A$104:$A$145,Технологи!$B366,Производство!Q$104:Q$145)&gt;0,SUMIF(Производство!$A$104:$A$145,Технологи!$B366,Производство!Q$104:Q$145)*$F366+$G366,0)</f>
        <v>0</v>
      </c>
    </row>
    <row r="367" spans="1:20" x14ac:dyDescent="0.25">
      <c r="A367" s="34" t="s">
        <v>377</v>
      </c>
      <c r="B367" s="13" t="s">
        <v>41</v>
      </c>
      <c r="C367" s="19" t="s">
        <v>22</v>
      </c>
      <c r="D367" s="14">
        <v>7038</v>
      </c>
      <c r="E367" s="20"/>
      <c r="F367" s="24">
        <v>3.5999999999999997E-2</v>
      </c>
      <c r="G367" s="24">
        <v>0.54</v>
      </c>
      <c r="H367" s="23">
        <f t="shared" si="17"/>
        <v>36</v>
      </c>
      <c r="I367" s="46">
        <f t="array" ref="I367">IF(SUMIF(Производство!$A$104:$A$145,Технологи!$B367,Производство!F$104:F$145)&gt;0,SUMIF(Производство!$A$104:$A$145,Технологи!$B367,Производство!F$104:F$145)*$F367+$G367,0)</f>
        <v>270.61200000000002</v>
      </c>
      <c r="J367" s="46">
        <f t="array" ref="J367">IF(SUMIF(Производство!$A$104:$A$145,Технологи!$B367,Производство!G$104:G$145)&gt;0,SUMIF(Производство!$A$104:$A$145,Технологи!$B367,Производство!G$104:G$145)*$F367+$G367,0)</f>
        <v>270.61200000000002</v>
      </c>
      <c r="K367" s="46">
        <f t="array" ref="K367">IF(SUMIF(Производство!$A$104:$A$145,Технологи!$B367,Производство!H$104:H$145)&gt;0,SUMIF(Производство!$A$104:$A$145,Технологи!$B367,Производство!H$104:H$145)*$F367+$G367,0)</f>
        <v>252.61199999999997</v>
      </c>
      <c r="L367" s="46">
        <f t="array" ref="L367">IF(SUMIF(Производство!$A$104:$A$145,Технологи!$B367,Производство!I$104:I$145)&gt;0,SUMIF(Производство!$A$104:$A$145,Технологи!$B367,Производство!I$104:I$145)*$F367+$G367,0)</f>
        <v>270.61200000000002</v>
      </c>
      <c r="M367" s="46">
        <f t="array" ref="M367">IF(SUMIF(Производство!$A$104:$A$145,Технологи!$B367,Производство!J$104:J$145)&gt;0,SUMIF(Производство!$A$104:$A$145,Технологи!$B367,Производство!J$104:J$145)*$F367+$G367,0)</f>
        <v>263.41199999999998</v>
      </c>
      <c r="N367" s="46">
        <f t="array" ref="N367">IF(SUMIF(Производство!$A$104:$A$145,Технологи!$B367,Производство!K$104:K$145)&gt;0,SUMIF(Производство!$A$104:$A$145,Технологи!$B367,Производство!K$104:K$145)*$F367+$G367,0)</f>
        <v>263.41199999999998</v>
      </c>
      <c r="O367" s="46">
        <f t="array" ref="O367">IF(SUMIF(Производство!$A$104:$A$145,Технологи!$B367,Производство!L$104:L$145)&gt;0,SUMIF(Производство!$A$104:$A$145,Технологи!$B367,Производство!L$104:L$145)*$F367+$G367,0)</f>
        <v>263.41199999999998</v>
      </c>
      <c r="P367" s="46">
        <f t="array" ref="P367">IF(SUMIF(Производство!$A$104:$A$145,Технологи!$B367,Производство!M$104:M$145)&gt;0,SUMIF(Производство!$A$104:$A$145,Технологи!$B367,Производство!M$104:M$145)*$F367+$G367,0)</f>
        <v>263.41199999999998</v>
      </c>
      <c r="Q367" s="46">
        <f t="array" ref="Q367">IF(SUMIF(Производство!$A$104:$A$145,Технологи!$B367,Производство!N$104:N$145)&gt;0,SUMIF(Производство!$A$104:$A$145,Технологи!$B367,Производство!N$104:N$145)*$F367+$G367,0)</f>
        <v>263.41199999999998</v>
      </c>
      <c r="R367" s="46">
        <f t="array" ref="R367">IF(SUMIF(Производство!$A$104:$A$145,Технологи!$B367,Производство!O$104:O$145)&gt;0,SUMIF(Производство!$A$104:$A$145,Технологи!$B367,Производство!O$104:O$145)*$F367+$G367,0)</f>
        <v>263.41199999999998</v>
      </c>
      <c r="S367" s="46">
        <f t="array" ref="S367">IF(SUMIF(Производство!$A$104:$A$145,Технологи!$B367,Производство!P$104:P$145)&gt;0,SUMIF(Производство!$A$104:$A$145,Технологи!$B367,Производство!P$104:P$145)*$F367+$G367,0)</f>
        <v>263.41199999999998</v>
      </c>
      <c r="T367" s="46">
        <f t="array" ref="T367">IF(SUMIF(Производство!$A$104:$A$145,Технологи!$B367,Производство!Q$104:Q$145)&gt;0,SUMIF(Производство!$A$104:$A$145,Технологи!$B367,Производство!Q$104:Q$145)*$F367+$G367,0)</f>
        <v>263.41199999999998</v>
      </c>
    </row>
    <row r="368" spans="1:20" x14ac:dyDescent="0.25">
      <c r="A368" s="34" t="s">
        <v>377</v>
      </c>
      <c r="B368" s="13" t="s">
        <v>41</v>
      </c>
      <c r="C368" s="19" t="s">
        <v>23</v>
      </c>
      <c r="D368" s="14">
        <v>7038</v>
      </c>
      <c r="E368" s="20"/>
      <c r="F368" s="24">
        <v>0</v>
      </c>
      <c r="G368" s="24">
        <v>0</v>
      </c>
      <c r="H368" s="23">
        <f t="shared" si="17"/>
        <v>0</v>
      </c>
      <c r="I368" s="46">
        <f t="array" ref="I368">IF(SUMIF(Производство!$A$104:$A$145,Технологи!$B368,Производство!F$104:F$145)&gt;0,SUMIF(Производство!$A$104:$A$145,Технологи!$B368,Производство!F$104:F$145)*$F368+$G368,0)</f>
        <v>0</v>
      </c>
      <c r="J368" s="46">
        <f t="array" ref="J368">IF(SUMIF(Производство!$A$104:$A$145,Технологи!$B368,Производство!G$104:G$145)&gt;0,SUMIF(Производство!$A$104:$A$145,Технологи!$B368,Производство!G$104:G$145)*$F368+$G368,0)</f>
        <v>0</v>
      </c>
      <c r="K368" s="46">
        <f t="array" ref="K368">IF(SUMIF(Производство!$A$104:$A$145,Технологи!$B368,Производство!H$104:H$145)&gt;0,SUMIF(Производство!$A$104:$A$145,Технологи!$B368,Производство!H$104:H$145)*$F368+$G368,0)</f>
        <v>0</v>
      </c>
      <c r="L368" s="46">
        <f t="array" ref="L368">IF(SUMIF(Производство!$A$104:$A$145,Технологи!$B368,Производство!I$104:I$145)&gt;0,SUMIF(Производство!$A$104:$A$145,Технологи!$B368,Производство!I$104:I$145)*$F368+$G368,0)</f>
        <v>0</v>
      </c>
      <c r="M368" s="46">
        <f t="array" ref="M368">IF(SUMIF(Производство!$A$104:$A$145,Технологи!$B368,Производство!J$104:J$145)&gt;0,SUMIF(Производство!$A$104:$A$145,Технологи!$B368,Производство!J$104:J$145)*$F368+$G368,0)</f>
        <v>0</v>
      </c>
      <c r="N368" s="46">
        <f t="array" ref="N368">IF(SUMIF(Производство!$A$104:$A$145,Технологи!$B368,Производство!K$104:K$145)&gt;0,SUMIF(Производство!$A$104:$A$145,Технологи!$B368,Производство!K$104:K$145)*$F368+$G368,0)</f>
        <v>0</v>
      </c>
      <c r="O368" s="46">
        <f t="array" ref="O368">IF(SUMIF(Производство!$A$104:$A$145,Технологи!$B368,Производство!L$104:L$145)&gt;0,SUMIF(Производство!$A$104:$A$145,Технологи!$B368,Производство!L$104:L$145)*$F368+$G368,0)</f>
        <v>0</v>
      </c>
      <c r="P368" s="46">
        <f t="array" ref="P368">IF(SUMIF(Производство!$A$104:$A$145,Технологи!$B368,Производство!M$104:M$145)&gt;0,SUMIF(Производство!$A$104:$A$145,Технологи!$B368,Производство!M$104:M$145)*$F368+$G368,0)</f>
        <v>0</v>
      </c>
      <c r="Q368" s="46">
        <f t="array" ref="Q368">IF(SUMIF(Производство!$A$104:$A$145,Технологи!$B368,Производство!N$104:N$145)&gt;0,SUMIF(Производство!$A$104:$A$145,Технологи!$B368,Производство!N$104:N$145)*$F368+$G368,0)</f>
        <v>0</v>
      </c>
      <c r="R368" s="46">
        <f t="array" ref="R368">IF(SUMIF(Производство!$A$104:$A$145,Технологи!$B368,Производство!O$104:O$145)&gt;0,SUMIF(Производство!$A$104:$A$145,Технологи!$B368,Производство!O$104:O$145)*$F368+$G368,0)</f>
        <v>0</v>
      </c>
      <c r="S368" s="46">
        <f t="array" ref="S368">IF(SUMIF(Производство!$A$104:$A$145,Технологи!$B368,Производство!P$104:P$145)&gt;0,SUMIF(Производство!$A$104:$A$145,Технологи!$B368,Производство!P$104:P$145)*$F368+$G368,0)</f>
        <v>0</v>
      </c>
      <c r="T368" s="46">
        <f t="array" ref="T368">IF(SUMIF(Производство!$A$104:$A$145,Технологи!$B368,Производство!Q$104:Q$145)&gt;0,SUMIF(Производство!$A$104:$A$145,Технологи!$B368,Производство!Q$104:Q$145)*$F368+$G368,0)</f>
        <v>0</v>
      </c>
    </row>
    <row r="369" spans="1:20" x14ac:dyDescent="0.25">
      <c r="A369" s="34" t="s">
        <v>377</v>
      </c>
      <c r="B369" s="13" t="s">
        <v>43</v>
      </c>
      <c r="C369" s="15" t="s">
        <v>11</v>
      </c>
      <c r="D369" s="14">
        <v>7038</v>
      </c>
      <c r="E369" s="16">
        <v>0.95699999999999996</v>
      </c>
      <c r="F369" s="22">
        <f>SUM(F370:F381)</f>
        <v>0.95802275029654405</v>
      </c>
      <c r="G369" s="22">
        <f>SUM(G370:G381)</f>
        <v>47.760671999999985</v>
      </c>
      <c r="H369" s="23">
        <f t="shared" si="17"/>
        <v>958.02275029654402</v>
      </c>
      <c r="I369" s="46">
        <f t="array" ref="I369">IF(SUMIF(Производство!$A$104:$A$145,Технологи!$B369,Производство!F$104:F$145)&gt;0,SUMIF(Производство!$A$104:$A$145,Технологи!$B369,Производство!F$104:F$145)*$F369+$G369,0)</f>
        <v>0</v>
      </c>
      <c r="J369" s="46">
        <f t="array" ref="J369">IF(SUMIF(Производство!$A$104:$A$145,Технологи!$B369,Производство!G$104:G$145)&gt;0,SUMIF(Производство!$A$104:$A$145,Технологи!$B369,Производство!G$104:G$145)*$F369+$G369,0)</f>
        <v>0</v>
      </c>
      <c r="K369" s="46">
        <f t="array" ref="K369">IF(SUMIF(Производство!$A$104:$A$145,Технологи!$B369,Производство!H$104:H$145)&gt;0,SUMIF(Производство!$A$104:$A$145,Технологи!$B369,Производство!H$104:H$145)*$F369+$G369,0)</f>
        <v>2732.7292906121575</v>
      </c>
      <c r="L369" s="46">
        <f t="array" ref="L369">IF(SUMIF(Производство!$A$104:$A$145,Технологи!$B369,Производство!I$104:I$145)&gt;0,SUMIF(Производство!$A$104:$A$145,Технологи!$B369,Производство!I$104:I$145)*$F369+$G369,0)</f>
        <v>2732.7292906121575</v>
      </c>
      <c r="M369" s="46">
        <f t="array" ref="M369">IF(SUMIF(Производство!$A$104:$A$145,Технологи!$B369,Производство!J$104:J$145)&gt;0,SUMIF(Производство!$A$104:$A$145,Технологи!$B369,Производство!J$104:J$145)*$F369+$G369,0)</f>
        <v>2123.5347300867102</v>
      </c>
      <c r="N369" s="46">
        <f t="array" ref="N369">IF(SUMIF(Производство!$A$104:$A$145,Технологи!$B369,Производство!K$104:K$145)&gt;0,SUMIF(Производство!$A$104:$A$145,Технологи!$B369,Производство!K$104:K$145)*$F369+$G369,0)</f>
        <v>2123.5347300867102</v>
      </c>
      <c r="O369" s="46">
        <f t="array" ref="O369">IF(SUMIF(Производство!$A$104:$A$145,Технологи!$B369,Производство!L$104:L$145)&gt;0,SUMIF(Производство!$A$104:$A$145,Технологи!$B369,Производство!L$104:L$145)*$F369+$G369,0)</f>
        <v>2123.5347300867102</v>
      </c>
      <c r="P369" s="46">
        <f t="array" ref="P369">IF(SUMIF(Производство!$A$104:$A$145,Технологи!$B369,Производство!M$104:M$145)&gt;0,SUMIF(Производство!$A$104:$A$145,Технологи!$B369,Производство!M$104:M$145)*$F369+$G369,0)</f>
        <v>2123.5347300867102</v>
      </c>
      <c r="Q369" s="46">
        <f t="array" ref="Q369">IF(SUMIF(Производство!$A$104:$A$145,Технологи!$B369,Производство!N$104:N$145)&gt;0,SUMIF(Производство!$A$104:$A$145,Технологи!$B369,Производство!N$104:N$145)*$F369+$G369,0)</f>
        <v>2123.5347300867102</v>
      </c>
      <c r="R369" s="46">
        <f t="array" ref="R369">IF(SUMIF(Производство!$A$104:$A$145,Технологи!$B369,Производство!O$104:O$145)&gt;0,SUMIF(Производство!$A$104:$A$145,Технологи!$B369,Производство!O$104:O$145)*$F369+$G369,0)</f>
        <v>2123.5347300867102</v>
      </c>
      <c r="S369" s="46">
        <f t="array" ref="S369">IF(SUMIF(Производство!$A$104:$A$145,Технологи!$B369,Производство!P$104:P$145)&gt;0,SUMIF(Производство!$A$104:$A$145,Технологи!$B369,Производство!P$104:P$145)*$F369+$G369,0)</f>
        <v>2123.5347300867102</v>
      </c>
      <c r="T369" s="46">
        <f t="array" ref="T369">IF(SUMIF(Производство!$A$104:$A$145,Технологи!$B369,Производство!Q$104:Q$145)&gt;0,SUMIF(Производство!$A$104:$A$145,Технологи!$B369,Производство!Q$104:Q$145)*$F369+$G369,0)</f>
        <v>2123.5347300867102</v>
      </c>
    </row>
    <row r="370" spans="1:20" x14ac:dyDescent="0.25">
      <c r="A370" s="34" t="s">
        <v>377</v>
      </c>
      <c r="B370" s="13" t="s">
        <v>43</v>
      </c>
      <c r="C370" s="19" t="s">
        <v>12</v>
      </c>
      <c r="D370" s="14">
        <v>7038</v>
      </c>
      <c r="E370" s="20"/>
      <c r="F370" s="24">
        <v>0.23566252842809357</v>
      </c>
      <c r="G370" s="24">
        <v>19.868150130063167</v>
      </c>
      <c r="H370" s="23">
        <f t="shared" si="17"/>
        <v>235.66252842809357</v>
      </c>
      <c r="I370" s="46">
        <f t="array" ref="I370">IF(SUMIF(Производство!$A$104:$A$145,Технологи!$B370,Производство!F$104:F$145)&gt;0,SUMIF(Производство!$A$104:$A$145,Технологи!$B370,Производство!F$104:F$145)*$F370+$G370,0)</f>
        <v>0</v>
      </c>
      <c r="J370" s="46">
        <f t="array" ref="J370">IF(SUMIF(Производство!$A$104:$A$145,Технологи!$B370,Производство!G$104:G$145)&gt;0,SUMIF(Производство!$A$104:$A$145,Технологи!$B370,Производство!G$104:G$145)*$F370+$G370,0)</f>
        <v>0</v>
      </c>
      <c r="K370" s="46">
        <f t="array" ref="K370">IF(SUMIF(Производство!$A$104:$A$145,Технологи!$B370,Производство!H$104:H$145)&gt;0,SUMIF(Производство!$A$104:$A$145,Технологи!$B370,Производство!H$104:H$145)*$F370+$G370,0)</f>
        <v>680.33941056345896</v>
      </c>
      <c r="L370" s="46">
        <f t="array" ref="L370">IF(SUMIF(Производство!$A$104:$A$145,Технологи!$B370,Производство!I$104:I$145)&gt;0,SUMIF(Производство!$A$104:$A$145,Технологи!$B370,Производство!I$104:I$145)*$F370+$G370,0)</f>
        <v>680.33941056345896</v>
      </c>
      <c r="M370" s="46">
        <f t="array" ref="M370">IF(SUMIF(Производство!$A$104:$A$145,Технологи!$B370,Производство!J$104:J$145)&gt;0,SUMIF(Производство!$A$104:$A$145,Технологи!$B370,Производство!J$104:J$145)*$F370+$G370,0)</f>
        <v>530.48458676764642</v>
      </c>
      <c r="N370" s="46">
        <f t="array" ref="N370">IF(SUMIF(Производство!$A$104:$A$145,Технологи!$B370,Производство!K$104:K$145)&gt;0,SUMIF(Производство!$A$104:$A$145,Технологи!$B370,Производство!K$104:K$145)*$F370+$G370,0)</f>
        <v>530.48458676764642</v>
      </c>
      <c r="O370" s="46">
        <f t="array" ref="O370">IF(SUMIF(Производство!$A$104:$A$145,Технологи!$B370,Производство!L$104:L$145)&gt;0,SUMIF(Производство!$A$104:$A$145,Технологи!$B370,Производство!L$104:L$145)*$F370+$G370,0)</f>
        <v>530.48458676764642</v>
      </c>
      <c r="P370" s="46">
        <f t="array" ref="P370">IF(SUMIF(Производство!$A$104:$A$145,Технологи!$B370,Производство!M$104:M$145)&gt;0,SUMIF(Производство!$A$104:$A$145,Технологи!$B370,Производство!M$104:M$145)*$F370+$G370,0)</f>
        <v>530.48458676764642</v>
      </c>
      <c r="Q370" s="46">
        <f t="array" ref="Q370">IF(SUMIF(Производство!$A$104:$A$145,Технологи!$B370,Производство!N$104:N$145)&gt;0,SUMIF(Производство!$A$104:$A$145,Технологи!$B370,Производство!N$104:N$145)*$F370+$G370,0)</f>
        <v>530.48458676764642</v>
      </c>
      <c r="R370" s="46">
        <f t="array" ref="R370">IF(SUMIF(Производство!$A$104:$A$145,Технологи!$B370,Производство!O$104:O$145)&gt;0,SUMIF(Производство!$A$104:$A$145,Технологи!$B370,Производство!O$104:O$145)*$F370+$G370,0)</f>
        <v>530.48458676764642</v>
      </c>
      <c r="S370" s="46">
        <f t="array" ref="S370">IF(SUMIF(Производство!$A$104:$A$145,Технологи!$B370,Производство!P$104:P$145)&gt;0,SUMIF(Производство!$A$104:$A$145,Технологи!$B370,Производство!P$104:P$145)*$F370+$G370,0)</f>
        <v>530.48458676764642</v>
      </c>
      <c r="T370" s="46">
        <f t="array" ref="T370">IF(SUMIF(Производство!$A$104:$A$145,Технологи!$B370,Производство!Q$104:Q$145)&gt;0,SUMIF(Производство!$A$104:$A$145,Технологи!$B370,Производство!Q$104:Q$145)*$F370+$G370,0)</f>
        <v>530.48458676764642</v>
      </c>
    </row>
    <row r="371" spans="1:20" x14ac:dyDescent="0.25">
      <c r="A371" s="34" t="s">
        <v>377</v>
      </c>
      <c r="B371" s="13" t="s">
        <v>43</v>
      </c>
      <c r="C371" s="19" t="s">
        <v>13</v>
      </c>
      <c r="D371" s="14">
        <v>7038</v>
      </c>
      <c r="E371" s="20"/>
      <c r="F371" s="24">
        <v>7.1050493645484936E-2</v>
      </c>
      <c r="G371" s="24">
        <v>5.9604450390189516</v>
      </c>
      <c r="H371" s="23">
        <f t="shared" si="17"/>
        <v>71.050493645484934</v>
      </c>
      <c r="I371" s="46">
        <f t="array" ref="I371">IF(SUMIF(Производство!$A$104:$A$145,Технологи!$B371,Производство!F$104:F$145)&gt;0,SUMIF(Производство!$A$104:$A$145,Технологи!$B371,Производство!F$104:F$145)*$F371+$G371,0)</f>
        <v>0</v>
      </c>
      <c r="J371" s="46">
        <f t="array" ref="J371">IF(SUMIF(Производство!$A$104:$A$145,Технологи!$B371,Производство!G$104:G$145)&gt;0,SUMIF(Производство!$A$104:$A$145,Технологи!$B371,Производство!G$104:G$145)*$F371+$G371,0)</f>
        <v>0</v>
      </c>
      <c r="K371" s="46">
        <f t="array" ref="K371">IF(SUMIF(Производство!$A$104:$A$145,Технологи!$B371,Производство!H$104:H$145)&gt;0,SUMIF(Производство!$A$104:$A$145,Технологи!$B371,Производство!H$104:H$145)*$F371+$G371,0)</f>
        <v>205.08760116968455</v>
      </c>
      <c r="L371" s="46">
        <f t="array" ref="L371">IF(SUMIF(Производство!$A$104:$A$145,Технологи!$B371,Производство!I$104:I$145)&gt;0,SUMIF(Производство!$A$104:$A$145,Технологи!$B371,Производство!I$104:I$145)*$F371+$G371,0)</f>
        <v>205.08760116968455</v>
      </c>
      <c r="M371" s="46">
        <f t="array" ref="M371">IF(SUMIF(Производство!$A$104:$A$145,Технологи!$B371,Производство!J$104:J$145)&gt;0,SUMIF(Производство!$A$104:$A$145,Технологи!$B371,Производство!J$104:J$145)*$F371+$G371,0)</f>
        <v>159.90749011482765</v>
      </c>
      <c r="N371" s="46">
        <f t="array" ref="N371">IF(SUMIF(Производство!$A$104:$A$145,Технологи!$B371,Производство!K$104:K$145)&gt;0,SUMIF(Производство!$A$104:$A$145,Технологи!$B371,Производство!K$104:K$145)*$F371+$G371,0)</f>
        <v>159.90749011482765</v>
      </c>
      <c r="O371" s="46">
        <f t="array" ref="O371">IF(SUMIF(Производство!$A$104:$A$145,Технологи!$B371,Производство!L$104:L$145)&gt;0,SUMIF(Производство!$A$104:$A$145,Технологи!$B371,Производство!L$104:L$145)*$F371+$G371,0)</f>
        <v>159.90749011482765</v>
      </c>
      <c r="P371" s="46">
        <f t="array" ref="P371">IF(SUMIF(Производство!$A$104:$A$145,Технологи!$B371,Производство!M$104:M$145)&gt;0,SUMIF(Производство!$A$104:$A$145,Технологи!$B371,Производство!M$104:M$145)*$F371+$G371,0)</f>
        <v>159.90749011482765</v>
      </c>
      <c r="Q371" s="46">
        <f t="array" ref="Q371">IF(SUMIF(Производство!$A$104:$A$145,Технологи!$B371,Производство!N$104:N$145)&gt;0,SUMIF(Производство!$A$104:$A$145,Технологи!$B371,Производство!N$104:N$145)*$F371+$G371,0)</f>
        <v>159.90749011482765</v>
      </c>
      <c r="R371" s="46">
        <f t="array" ref="R371">IF(SUMIF(Производство!$A$104:$A$145,Технологи!$B371,Производство!O$104:O$145)&gt;0,SUMIF(Производство!$A$104:$A$145,Технологи!$B371,Производство!O$104:O$145)*$F371+$G371,0)</f>
        <v>159.90749011482765</v>
      </c>
      <c r="S371" s="46">
        <f t="array" ref="S371">IF(SUMIF(Производство!$A$104:$A$145,Технологи!$B371,Производство!P$104:P$145)&gt;0,SUMIF(Производство!$A$104:$A$145,Технологи!$B371,Производство!P$104:P$145)*$F371+$G371,0)</f>
        <v>159.90749011482765</v>
      </c>
      <c r="T371" s="46">
        <f t="array" ref="T371">IF(SUMIF(Производство!$A$104:$A$145,Технологи!$B371,Производство!Q$104:Q$145)&gt;0,SUMIF(Производство!$A$104:$A$145,Технологи!$B371,Производство!Q$104:Q$145)*$F371+$G371,0)</f>
        <v>159.90749011482765</v>
      </c>
    </row>
    <row r="372" spans="1:20" x14ac:dyDescent="0.25">
      <c r="A372" s="34" t="s">
        <v>377</v>
      </c>
      <c r="B372" s="13" t="s">
        <v>43</v>
      </c>
      <c r="C372" s="19" t="s">
        <v>14</v>
      </c>
      <c r="D372" s="14">
        <v>7038</v>
      </c>
      <c r="E372" s="20"/>
      <c r="F372" s="24">
        <v>7.1050493645484936E-4</v>
      </c>
      <c r="G372" s="24">
        <v>5.9604450390189516E-2</v>
      </c>
      <c r="H372" s="23">
        <f t="shared" si="17"/>
        <v>0.71050493645484936</v>
      </c>
      <c r="I372" s="46">
        <f t="array" ref="I372">IF(SUMIF(Производство!$A$104:$A$145,Технологи!$B372,Производство!F$104:F$145)&gt;0,SUMIF(Производство!$A$104:$A$145,Технологи!$B372,Производство!F$104:F$145)*$F372+$G372,0)</f>
        <v>0</v>
      </c>
      <c r="J372" s="46">
        <f t="array" ref="J372">IF(SUMIF(Производство!$A$104:$A$145,Технологи!$B372,Производство!G$104:G$145)&gt;0,SUMIF(Производство!$A$104:$A$145,Технологи!$B372,Производство!G$104:G$145)*$F372+$G372,0)</f>
        <v>0</v>
      </c>
      <c r="K372" s="46">
        <f t="array" ref="K372">IF(SUMIF(Производство!$A$104:$A$145,Технологи!$B372,Производство!H$104:H$145)&gt;0,SUMIF(Производство!$A$104:$A$145,Технологи!$B372,Производство!H$104:H$145)*$F372+$G372,0)</f>
        <v>2.0508760116968454</v>
      </c>
      <c r="L372" s="46">
        <f t="array" ref="L372">IF(SUMIF(Производство!$A$104:$A$145,Технологи!$B372,Производство!I$104:I$145)&gt;0,SUMIF(Производство!$A$104:$A$145,Технологи!$B372,Производство!I$104:I$145)*$F372+$G372,0)</f>
        <v>2.0508760116968454</v>
      </c>
      <c r="M372" s="46">
        <f t="array" ref="M372">IF(SUMIF(Производство!$A$104:$A$145,Технологи!$B372,Производство!J$104:J$145)&gt;0,SUMIF(Производство!$A$104:$A$145,Технологи!$B372,Производство!J$104:J$145)*$F372+$G372,0)</f>
        <v>1.5990749011482766</v>
      </c>
      <c r="N372" s="46">
        <f t="array" ref="N372">IF(SUMIF(Производство!$A$104:$A$145,Технологи!$B372,Производство!K$104:K$145)&gt;0,SUMIF(Производство!$A$104:$A$145,Технологи!$B372,Производство!K$104:K$145)*$F372+$G372,0)</f>
        <v>1.5990749011482766</v>
      </c>
      <c r="O372" s="46">
        <f t="array" ref="O372">IF(SUMIF(Производство!$A$104:$A$145,Технологи!$B372,Производство!L$104:L$145)&gt;0,SUMIF(Производство!$A$104:$A$145,Технологи!$B372,Производство!L$104:L$145)*$F372+$G372,0)</f>
        <v>1.5990749011482766</v>
      </c>
      <c r="P372" s="46">
        <f t="array" ref="P372">IF(SUMIF(Производство!$A$104:$A$145,Технологи!$B372,Производство!M$104:M$145)&gt;0,SUMIF(Производство!$A$104:$A$145,Технологи!$B372,Производство!M$104:M$145)*$F372+$G372,0)</f>
        <v>1.5990749011482766</v>
      </c>
      <c r="Q372" s="46">
        <f t="array" ref="Q372">IF(SUMIF(Производство!$A$104:$A$145,Технологи!$B372,Производство!N$104:N$145)&gt;0,SUMIF(Производство!$A$104:$A$145,Технологи!$B372,Производство!N$104:N$145)*$F372+$G372,0)</f>
        <v>1.5990749011482766</v>
      </c>
      <c r="R372" s="46">
        <f t="array" ref="R372">IF(SUMIF(Производство!$A$104:$A$145,Технологи!$B372,Производство!O$104:O$145)&gt;0,SUMIF(Производство!$A$104:$A$145,Технологи!$B372,Производство!O$104:O$145)*$F372+$G372,0)</f>
        <v>1.5990749011482766</v>
      </c>
      <c r="S372" s="46">
        <f t="array" ref="S372">IF(SUMIF(Производство!$A$104:$A$145,Технологи!$B372,Производство!P$104:P$145)&gt;0,SUMIF(Производство!$A$104:$A$145,Технологи!$B372,Производство!P$104:P$145)*$F372+$G372,0)</f>
        <v>1.5990749011482766</v>
      </c>
      <c r="T372" s="46">
        <f t="array" ref="T372">IF(SUMIF(Производство!$A$104:$A$145,Технологи!$B372,Производство!Q$104:Q$145)&gt;0,SUMIF(Производство!$A$104:$A$145,Технологи!$B372,Производство!Q$104:Q$145)*$F372+$G372,0)</f>
        <v>1.5990749011482766</v>
      </c>
    </row>
    <row r="373" spans="1:20" x14ac:dyDescent="0.25">
      <c r="A373" s="34" t="s">
        <v>377</v>
      </c>
      <c r="B373" s="13" t="s">
        <v>43</v>
      </c>
      <c r="C373" s="19" t="s">
        <v>15</v>
      </c>
      <c r="D373" s="14">
        <v>7038</v>
      </c>
      <c r="E373" s="20"/>
      <c r="F373" s="24">
        <v>3.5525246822742468E-4</v>
      </c>
      <c r="G373" s="24">
        <v>2.9802225195094758E-2</v>
      </c>
      <c r="H373" s="23">
        <f t="shared" si="17"/>
        <v>0.35525246822742468</v>
      </c>
      <c r="I373" s="46">
        <f t="array" ref="I373">IF(SUMIF(Производство!$A$104:$A$145,Технологи!$B373,Производство!F$104:F$145)&gt;0,SUMIF(Производство!$A$104:$A$145,Технологи!$B373,Производство!F$104:F$145)*$F373+$G373,0)</f>
        <v>0</v>
      </c>
      <c r="J373" s="46">
        <f t="array" ref="J373">IF(SUMIF(Производство!$A$104:$A$145,Технологи!$B373,Производство!G$104:G$145)&gt;0,SUMIF(Производство!$A$104:$A$145,Технологи!$B373,Производство!G$104:G$145)*$F373+$G373,0)</f>
        <v>0</v>
      </c>
      <c r="K373" s="46">
        <f t="array" ref="K373">IF(SUMIF(Производство!$A$104:$A$145,Технологи!$B373,Производство!H$104:H$145)&gt;0,SUMIF(Производство!$A$104:$A$145,Технологи!$B373,Производство!H$104:H$145)*$F373+$G373,0)</f>
        <v>1.0254380058484227</v>
      </c>
      <c r="L373" s="46">
        <f t="array" ref="L373">IF(SUMIF(Производство!$A$104:$A$145,Технологи!$B373,Производство!I$104:I$145)&gt;0,SUMIF(Производство!$A$104:$A$145,Технологи!$B373,Производство!I$104:I$145)*$F373+$G373,0)</f>
        <v>1.0254380058484227</v>
      </c>
      <c r="M373" s="46">
        <f t="array" ref="M373">IF(SUMIF(Производство!$A$104:$A$145,Технологи!$B373,Производство!J$104:J$145)&gt;0,SUMIF(Производство!$A$104:$A$145,Технологи!$B373,Производство!J$104:J$145)*$F373+$G373,0)</f>
        <v>0.79953745057413828</v>
      </c>
      <c r="N373" s="46">
        <f t="array" ref="N373">IF(SUMIF(Производство!$A$104:$A$145,Технологи!$B373,Производство!K$104:K$145)&gt;0,SUMIF(Производство!$A$104:$A$145,Технологи!$B373,Производство!K$104:K$145)*$F373+$G373,0)</f>
        <v>0.79953745057413828</v>
      </c>
      <c r="O373" s="46">
        <f t="array" ref="O373">IF(SUMIF(Производство!$A$104:$A$145,Технологи!$B373,Производство!L$104:L$145)&gt;0,SUMIF(Производство!$A$104:$A$145,Технологи!$B373,Производство!L$104:L$145)*$F373+$G373,0)</f>
        <v>0.79953745057413828</v>
      </c>
      <c r="P373" s="46">
        <f t="array" ref="P373">IF(SUMIF(Производство!$A$104:$A$145,Технологи!$B373,Производство!M$104:M$145)&gt;0,SUMIF(Производство!$A$104:$A$145,Технологи!$B373,Производство!M$104:M$145)*$F373+$G373,0)</f>
        <v>0.79953745057413828</v>
      </c>
      <c r="Q373" s="46">
        <f t="array" ref="Q373">IF(SUMIF(Производство!$A$104:$A$145,Технологи!$B373,Производство!N$104:N$145)&gt;0,SUMIF(Производство!$A$104:$A$145,Технологи!$B373,Производство!N$104:N$145)*$F373+$G373,0)</f>
        <v>0.79953745057413828</v>
      </c>
      <c r="R373" s="46">
        <f t="array" ref="R373">IF(SUMIF(Производство!$A$104:$A$145,Технологи!$B373,Производство!O$104:O$145)&gt;0,SUMIF(Производство!$A$104:$A$145,Технологи!$B373,Производство!O$104:O$145)*$F373+$G373,0)</f>
        <v>0.79953745057413828</v>
      </c>
      <c r="S373" s="46">
        <f t="array" ref="S373">IF(SUMIF(Производство!$A$104:$A$145,Технологи!$B373,Производство!P$104:P$145)&gt;0,SUMIF(Производство!$A$104:$A$145,Технологи!$B373,Производство!P$104:P$145)*$F373+$G373,0)</f>
        <v>0.79953745057413828</v>
      </c>
      <c r="T373" s="46">
        <f t="array" ref="T373">IF(SUMIF(Производство!$A$104:$A$145,Технологи!$B373,Производство!Q$104:Q$145)&gt;0,SUMIF(Производство!$A$104:$A$145,Технологи!$B373,Производство!Q$104:Q$145)*$F373+$G373,0)</f>
        <v>0.79953745057413828</v>
      </c>
    </row>
    <row r="374" spans="1:20" x14ac:dyDescent="0.25">
      <c r="A374" s="34" t="s">
        <v>377</v>
      </c>
      <c r="B374" s="13" t="s">
        <v>43</v>
      </c>
      <c r="C374" s="19" t="s">
        <v>16</v>
      </c>
      <c r="D374" s="14">
        <v>7038</v>
      </c>
      <c r="E374" s="20"/>
      <c r="F374" s="24">
        <v>4.7132505685618725E-3</v>
      </c>
      <c r="G374" s="24">
        <v>0.39736300260126345</v>
      </c>
      <c r="H374" s="23">
        <f t="shared" si="17"/>
        <v>4.7132505685618726</v>
      </c>
      <c r="I374" s="46">
        <f t="array" ref="I374">IF(SUMIF(Производство!$A$104:$A$145,Технологи!$B374,Производство!F$104:F$145)&gt;0,SUMIF(Производство!$A$104:$A$145,Технологи!$B374,Производство!F$104:F$145)*$F374+$G374,0)</f>
        <v>0</v>
      </c>
      <c r="J374" s="46">
        <f t="array" ref="J374">IF(SUMIF(Производство!$A$104:$A$145,Технологи!$B374,Производство!G$104:G$145)&gt;0,SUMIF(Производство!$A$104:$A$145,Технологи!$B374,Производство!G$104:G$145)*$F374+$G374,0)</f>
        <v>0</v>
      </c>
      <c r="K374" s="46">
        <f t="array" ref="K374">IF(SUMIF(Производство!$A$104:$A$145,Технологи!$B374,Производство!H$104:H$145)&gt;0,SUMIF(Производство!$A$104:$A$145,Технологи!$B374,Производство!H$104:H$145)*$F374+$G374,0)</f>
        <v>13.60678821126918</v>
      </c>
      <c r="L374" s="46">
        <f t="array" ref="L374">IF(SUMIF(Производство!$A$104:$A$145,Технологи!$B374,Производство!I$104:I$145)&gt;0,SUMIF(Производство!$A$104:$A$145,Технологи!$B374,Производство!I$104:I$145)*$F374+$G374,0)</f>
        <v>13.60678821126918</v>
      </c>
      <c r="M374" s="46">
        <f t="array" ref="M374">IF(SUMIF(Производство!$A$104:$A$145,Технологи!$B374,Производство!J$104:J$145)&gt;0,SUMIF(Производство!$A$104:$A$145,Технологи!$B374,Производство!J$104:J$145)*$F374+$G374,0)</f>
        <v>10.60969173535293</v>
      </c>
      <c r="N374" s="46">
        <f t="array" ref="N374">IF(SUMIF(Производство!$A$104:$A$145,Технологи!$B374,Производство!K$104:K$145)&gt;0,SUMIF(Производство!$A$104:$A$145,Технологи!$B374,Производство!K$104:K$145)*$F374+$G374,0)</f>
        <v>10.60969173535293</v>
      </c>
      <c r="O374" s="46">
        <f t="array" ref="O374">IF(SUMIF(Производство!$A$104:$A$145,Технологи!$B374,Производство!L$104:L$145)&gt;0,SUMIF(Производство!$A$104:$A$145,Технологи!$B374,Производство!L$104:L$145)*$F374+$G374,0)</f>
        <v>10.60969173535293</v>
      </c>
      <c r="P374" s="46">
        <f t="array" ref="P374">IF(SUMIF(Производство!$A$104:$A$145,Технологи!$B374,Производство!M$104:M$145)&gt;0,SUMIF(Производство!$A$104:$A$145,Технологи!$B374,Производство!M$104:M$145)*$F374+$G374,0)</f>
        <v>10.60969173535293</v>
      </c>
      <c r="Q374" s="46">
        <f t="array" ref="Q374">IF(SUMIF(Производство!$A$104:$A$145,Технологи!$B374,Производство!N$104:N$145)&gt;0,SUMIF(Производство!$A$104:$A$145,Технологи!$B374,Производство!N$104:N$145)*$F374+$G374,0)</f>
        <v>10.60969173535293</v>
      </c>
      <c r="R374" s="46">
        <f t="array" ref="R374">IF(SUMIF(Производство!$A$104:$A$145,Технологи!$B374,Производство!O$104:O$145)&gt;0,SUMIF(Производство!$A$104:$A$145,Технологи!$B374,Производство!O$104:O$145)*$F374+$G374,0)</f>
        <v>10.60969173535293</v>
      </c>
      <c r="S374" s="46">
        <f t="array" ref="S374">IF(SUMIF(Производство!$A$104:$A$145,Технологи!$B374,Производство!P$104:P$145)&gt;0,SUMIF(Производство!$A$104:$A$145,Технологи!$B374,Производство!P$104:P$145)*$F374+$G374,0)</f>
        <v>10.60969173535293</v>
      </c>
      <c r="T374" s="46">
        <f t="array" ref="T374">IF(SUMIF(Производство!$A$104:$A$145,Технологи!$B374,Производство!Q$104:Q$145)&gt;0,SUMIF(Производство!$A$104:$A$145,Технологи!$B374,Производство!Q$104:Q$145)*$F374+$G374,0)</f>
        <v>10.60969173535293</v>
      </c>
    </row>
    <row r="375" spans="1:20" x14ac:dyDescent="0.25">
      <c r="A375" s="34" t="s">
        <v>377</v>
      </c>
      <c r="B375" s="13" t="s">
        <v>43</v>
      </c>
      <c r="C375" s="19" t="s">
        <v>17</v>
      </c>
      <c r="D375" s="14">
        <v>7038</v>
      </c>
      <c r="E375" s="20"/>
      <c r="F375" s="24">
        <v>2.6051847670011145E-3</v>
      </c>
      <c r="G375" s="24">
        <v>0.21854965143069494</v>
      </c>
      <c r="H375" s="23">
        <f t="shared" si="17"/>
        <v>2.6051847670011146</v>
      </c>
      <c r="I375" s="46">
        <f t="array" ref="I375">IF(SUMIF(Производство!$A$104:$A$145,Технологи!$B375,Производство!F$104:F$145)&gt;0,SUMIF(Производство!$A$104:$A$145,Технологи!$B375,Производство!F$104:F$145)*$F375+$G375,0)</f>
        <v>0</v>
      </c>
      <c r="J375" s="46">
        <f t="array" ref="J375">IF(SUMIF(Производство!$A$104:$A$145,Технологи!$B375,Производство!G$104:G$145)&gt;0,SUMIF(Производство!$A$104:$A$145,Технологи!$B375,Производство!G$104:G$145)*$F375+$G375,0)</f>
        <v>0</v>
      </c>
      <c r="K375" s="46">
        <f t="array" ref="K375">IF(SUMIF(Производство!$A$104:$A$145,Технологи!$B375,Производство!H$104:H$145)&gt;0,SUMIF(Производство!$A$104:$A$145,Технологи!$B375,Производство!H$104:H$145)*$F375+$G375,0)</f>
        <v>7.5198787095551003</v>
      </c>
      <c r="L375" s="46">
        <f t="array" ref="L375">IF(SUMIF(Производство!$A$104:$A$145,Технологи!$B375,Производство!I$104:I$145)&gt;0,SUMIF(Производство!$A$104:$A$145,Технологи!$B375,Производство!I$104:I$145)*$F375+$G375,0)</f>
        <v>7.5198787095551003</v>
      </c>
      <c r="M375" s="46">
        <f t="array" ref="M375">IF(SUMIF(Производство!$A$104:$A$145,Технологи!$B375,Производство!J$104:J$145)&gt;0,SUMIF(Производство!$A$104:$A$145,Технологи!$B375,Производство!J$104:J$145)*$F375+$G375,0)</f>
        <v>5.8632746375436806</v>
      </c>
      <c r="N375" s="46">
        <f t="array" ref="N375">IF(SUMIF(Производство!$A$104:$A$145,Технологи!$B375,Производство!K$104:K$145)&gt;0,SUMIF(Производство!$A$104:$A$145,Технологи!$B375,Производство!K$104:K$145)*$F375+$G375,0)</f>
        <v>5.8632746375436806</v>
      </c>
      <c r="O375" s="46">
        <f t="array" ref="O375">IF(SUMIF(Производство!$A$104:$A$145,Технологи!$B375,Производство!L$104:L$145)&gt;0,SUMIF(Производство!$A$104:$A$145,Технологи!$B375,Производство!L$104:L$145)*$F375+$G375,0)</f>
        <v>5.8632746375436806</v>
      </c>
      <c r="P375" s="46">
        <f t="array" ref="P375">IF(SUMIF(Производство!$A$104:$A$145,Технологи!$B375,Производство!M$104:M$145)&gt;0,SUMIF(Производство!$A$104:$A$145,Технологи!$B375,Производство!M$104:M$145)*$F375+$G375,0)</f>
        <v>5.8632746375436806</v>
      </c>
      <c r="Q375" s="46">
        <f t="array" ref="Q375">IF(SUMIF(Производство!$A$104:$A$145,Технологи!$B375,Производство!N$104:N$145)&gt;0,SUMIF(Производство!$A$104:$A$145,Технологи!$B375,Производство!N$104:N$145)*$F375+$G375,0)</f>
        <v>5.8632746375436806</v>
      </c>
      <c r="R375" s="46">
        <f t="array" ref="R375">IF(SUMIF(Производство!$A$104:$A$145,Технологи!$B375,Производство!O$104:O$145)&gt;0,SUMIF(Производство!$A$104:$A$145,Технологи!$B375,Производство!O$104:O$145)*$F375+$G375,0)</f>
        <v>5.8632746375436806</v>
      </c>
      <c r="S375" s="46">
        <f t="array" ref="S375">IF(SUMIF(Производство!$A$104:$A$145,Технологи!$B375,Производство!P$104:P$145)&gt;0,SUMIF(Производство!$A$104:$A$145,Технологи!$B375,Производство!P$104:P$145)*$F375+$G375,0)</f>
        <v>5.8632746375436806</v>
      </c>
      <c r="T375" s="46">
        <f t="array" ref="T375">IF(SUMIF(Производство!$A$104:$A$145,Технологи!$B375,Производство!Q$104:Q$145)&gt;0,SUMIF(Производство!$A$104:$A$145,Технологи!$B375,Производство!Q$104:Q$145)*$F375+$G375,0)</f>
        <v>5.8632746375436806</v>
      </c>
    </row>
    <row r="376" spans="1:20" x14ac:dyDescent="0.25">
      <c r="A376" s="34" t="s">
        <v>377</v>
      </c>
      <c r="B376" s="13" t="s">
        <v>43</v>
      </c>
      <c r="C376" s="19" t="s">
        <v>18</v>
      </c>
      <c r="D376" s="14">
        <v>7038</v>
      </c>
      <c r="E376" s="20"/>
      <c r="F376" s="24">
        <v>2.3519354827201784E-3</v>
      </c>
      <c r="G376" s="24">
        <v>0.19868150130063172</v>
      </c>
      <c r="H376" s="23">
        <f t="shared" si="17"/>
        <v>2.3519354827201782</v>
      </c>
      <c r="I376" s="46">
        <f t="array" ref="I376">IF(SUMIF(Производство!$A$104:$A$145,Технологи!$B376,Производство!F$104:F$145)&gt;0,SUMIF(Производство!$A$104:$A$145,Технологи!$B376,Производство!F$104:F$145)*$F376+$G376,0)</f>
        <v>0</v>
      </c>
      <c r="J376" s="46">
        <f t="array" ref="J376">IF(SUMIF(Производство!$A$104:$A$145,Технологи!$B376,Производство!G$104:G$145)&gt;0,SUMIF(Производство!$A$104:$A$145,Технологи!$B376,Производство!G$104:G$145)*$F376+$G376,0)</f>
        <v>0</v>
      </c>
      <c r="K376" s="46">
        <f t="array" ref="K376">IF(SUMIF(Производство!$A$104:$A$145,Технологи!$B376,Производство!H$104:H$145)&gt;0,SUMIF(Производство!$A$104:$A$145,Технологи!$B376,Производство!H$104:H$145)*$F376+$G376,0)</f>
        <v>6.7902503989592997</v>
      </c>
      <c r="L376" s="46">
        <f t="array" ref="L376">IF(SUMIF(Производство!$A$104:$A$145,Технологи!$B376,Производство!I$104:I$145)&gt;0,SUMIF(Производство!$A$104:$A$145,Технологи!$B376,Производство!I$104:I$145)*$F376+$G376,0)</f>
        <v>6.7902503989592997</v>
      </c>
      <c r="M376" s="46">
        <f t="array" ref="M376">IF(SUMIF(Производство!$A$104:$A$145,Технологи!$B376,Производство!J$104:J$145)&gt;0,SUMIF(Производство!$A$104:$A$145,Технологи!$B376,Производство!J$104:J$145)*$F376+$G376,0)</f>
        <v>5.2946843465493494</v>
      </c>
      <c r="N376" s="46">
        <f t="array" ref="N376">IF(SUMIF(Производство!$A$104:$A$145,Технологи!$B376,Производство!K$104:K$145)&gt;0,SUMIF(Производство!$A$104:$A$145,Технологи!$B376,Производство!K$104:K$145)*$F376+$G376,0)</f>
        <v>5.2946843465493494</v>
      </c>
      <c r="O376" s="46">
        <f t="array" ref="O376">IF(SUMIF(Производство!$A$104:$A$145,Технологи!$B376,Производство!L$104:L$145)&gt;0,SUMIF(Производство!$A$104:$A$145,Технологи!$B376,Производство!L$104:L$145)*$F376+$G376,0)</f>
        <v>5.2946843465493494</v>
      </c>
      <c r="P376" s="46">
        <f t="array" ref="P376">IF(SUMIF(Производство!$A$104:$A$145,Технологи!$B376,Производство!M$104:M$145)&gt;0,SUMIF(Производство!$A$104:$A$145,Технологи!$B376,Производство!M$104:M$145)*$F376+$G376,0)</f>
        <v>5.2946843465493494</v>
      </c>
      <c r="Q376" s="46">
        <f t="array" ref="Q376">IF(SUMIF(Производство!$A$104:$A$145,Технологи!$B376,Производство!N$104:N$145)&gt;0,SUMIF(Производство!$A$104:$A$145,Технологи!$B376,Производство!N$104:N$145)*$F376+$G376,0)</f>
        <v>5.2946843465493494</v>
      </c>
      <c r="R376" s="46">
        <f t="array" ref="R376">IF(SUMIF(Производство!$A$104:$A$145,Технологи!$B376,Производство!O$104:O$145)&gt;0,SUMIF(Производство!$A$104:$A$145,Технологи!$B376,Производство!O$104:O$145)*$F376+$G376,0)</f>
        <v>5.2946843465493494</v>
      </c>
      <c r="S376" s="46">
        <f t="array" ref="S376">IF(SUMIF(Производство!$A$104:$A$145,Технологи!$B376,Производство!P$104:P$145)&gt;0,SUMIF(Производство!$A$104:$A$145,Технологи!$B376,Производство!P$104:P$145)*$F376+$G376,0)</f>
        <v>5.2946843465493494</v>
      </c>
      <c r="T376" s="46">
        <f t="array" ref="T376">IF(SUMIF(Производство!$A$104:$A$145,Технологи!$B376,Производство!Q$104:Q$145)&gt;0,SUMIF(Производство!$A$104:$A$145,Технологи!$B376,Производство!Q$104:Q$145)*$F376+$G376,0)</f>
        <v>5.2946843465493494</v>
      </c>
    </row>
    <row r="377" spans="1:20" x14ac:dyDescent="0.25">
      <c r="A377" s="34" t="s">
        <v>377</v>
      </c>
      <c r="B377" s="13" t="s">
        <v>43</v>
      </c>
      <c r="C377" s="19" t="s">
        <v>19</v>
      </c>
      <c r="D377" s="14">
        <v>7038</v>
      </c>
      <c r="E377" s="20"/>
      <c r="F377" s="24">
        <v>0.57097360000000008</v>
      </c>
      <c r="G377" s="24">
        <v>19.984075999999998</v>
      </c>
      <c r="H377" s="23">
        <f t="shared" si="17"/>
        <v>570.97360000000003</v>
      </c>
      <c r="I377" s="46">
        <f t="array" ref="I377">IF(SUMIF(Производство!$A$104:$A$145,Технологи!$B377,Производство!F$104:F$145)&gt;0,SUMIF(Производство!$A$104:$A$145,Технологи!$B377,Производство!F$104:F$145)*$F377+$G377,0)</f>
        <v>0</v>
      </c>
      <c r="J377" s="46">
        <f t="array" ref="J377">IF(SUMIF(Производство!$A$104:$A$145,Технологи!$B377,Производство!G$104:G$145)&gt;0,SUMIF(Производство!$A$104:$A$145,Технологи!$B377,Производство!G$104:G$145)*$F377+$G377,0)</f>
        <v>0</v>
      </c>
      <c r="K377" s="46">
        <f t="array" ref="K377">IF(SUMIF(Производство!$A$104:$A$145,Технологи!$B377,Производство!H$104:H$145)&gt;0,SUMIF(Производство!$A$104:$A$145,Технологи!$B377,Производство!H$104:H$145)*$F377+$G377,0)</f>
        <v>1620.2030661873159</v>
      </c>
      <c r="L377" s="46">
        <f t="array" ref="L377">IF(SUMIF(Производство!$A$104:$A$145,Технологи!$B377,Производство!I$104:I$145)&gt;0,SUMIF(Производство!$A$104:$A$145,Технологи!$B377,Производство!I$104:I$145)*$F377+$G377,0)</f>
        <v>1620.2030661873159</v>
      </c>
      <c r="M377" s="46">
        <f t="array" ref="M377">IF(SUMIF(Производство!$A$104:$A$145,Технологи!$B377,Производство!J$104:J$145)&gt;0,SUMIF(Производство!$A$104:$A$145,Технологи!$B377,Производство!J$104:J$145)*$F377+$G377,0)</f>
        <v>1257.1281692540595</v>
      </c>
      <c r="N377" s="46">
        <f t="array" ref="N377">IF(SUMIF(Производство!$A$104:$A$145,Технологи!$B377,Производство!K$104:K$145)&gt;0,SUMIF(Производство!$A$104:$A$145,Технологи!$B377,Производство!K$104:K$145)*$F377+$G377,0)</f>
        <v>1257.1281692540595</v>
      </c>
      <c r="O377" s="46">
        <f t="array" ref="O377">IF(SUMIF(Производство!$A$104:$A$145,Технологи!$B377,Производство!L$104:L$145)&gt;0,SUMIF(Производство!$A$104:$A$145,Технологи!$B377,Производство!L$104:L$145)*$F377+$G377,0)</f>
        <v>1257.1281692540595</v>
      </c>
      <c r="P377" s="46">
        <f t="array" ref="P377">IF(SUMIF(Производство!$A$104:$A$145,Технологи!$B377,Производство!M$104:M$145)&gt;0,SUMIF(Производство!$A$104:$A$145,Технологи!$B377,Производство!M$104:M$145)*$F377+$G377,0)</f>
        <v>1257.1281692540595</v>
      </c>
      <c r="Q377" s="46">
        <f t="array" ref="Q377">IF(SUMIF(Производство!$A$104:$A$145,Технологи!$B377,Производство!N$104:N$145)&gt;0,SUMIF(Производство!$A$104:$A$145,Технологи!$B377,Производство!N$104:N$145)*$F377+$G377,0)</f>
        <v>1257.1281692540595</v>
      </c>
      <c r="R377" s="46">
        <f t="array" ref="R377">IF(SUMIF(Производство!$A$104:$A$145,Технологи!$B377,Производство!O$104:O$145)&gt;0,SUMIF(Производство!$A$104:$A$145,Технологи!$B377,Производство!O$104:O$145)*$F377+$G377,0)</f>
        <v>1257.1281692540595</v>
      </c>
      <c r="S377" s="46">
        <f t="array" ref="S377">IF(SUMIF(Производство!$A$104:$A$145,Технологи!$B377,Производство!P$104:P$145)&gt;0,SUMIF(Производство!$A$104:$A$145,Технологи!$B377,Производство!P$104:P$145)*$F377+$G377,0)</f>
        <v>1257.1281692540595</v>
      </c>
      <c r="T377" s="46">
        <f t="array" ref="T377">IF(SUMIF(Производство!$A$104:$A$145,Технологи!$B377,Производство!Q$104:Q$145)&gt;0,SUMIF(Производство!$A$104:$A$145,Технологи!$B377,Производство!Q$104:Q$145)*$F377+$G377,0)</f>
        <v>1257.1281692540595</v>
      </c>
    </row>
    <row r="378" spans="1:20" x14ac:dyDescent="0.25">
      <c r="A378" s="34" t="s">
        <v>377</v>
      </c>
      <c r="B378" s="13" t="s">
        <v>43</v>
      </c>
      <c r="C378" s="19" t="s">
        <v>20</v>
      </c>
      <c r="D378" s="14">
        <v>7038</v>
      </c>
      <c r="E378" s="20"/>
      <c r="F378" s="24">
        <v>3.3600000000000005E-2</v>
      </c>
      <c r="G378" s="24">
        <v>0.504</v>
      </c>
      <c r="H378" s="23">
        <f t="shared" si="17"/>
        <v>33.6</v>
      </c>
      <c r="I378" s="46">
        <f t="array" ref="I378">IF(SUMIF(Производство!$A$104:$A$145,Технологи!$B378,Производство!F$104:F$145)&gt;0,SUMIF(Производство!$A$104:$A$145,Технологи!$B378,Производство!F$104:F$145)*$F378+$G378,0)</f>
        <v>0</v>
      </c>
      <c r="J378" s="46">
        <f t="array" ref="J378">IF(SUMIF(Производство!$A$104:$A$145,Технологи!$B378,Производство!G$104:G$145)&gt;0,SUMIF(Производство!$A$104:$A$145,Технологи!$B378,Производство!G$104:G$145)*$F378+$G378,0)</f>
        <v>0</v>
      </c>
      <c r="K378" s="46">
        <f t="array" ref="K378">IF(SUMIF(Производство!$A$104:$A$145,Технологи!$B378,Производство!H$104:H$145)&gt;0,SUMIF(Производство!$A$104:$A$145,Технологи!$B378,Производство!H$104:H$145)*$F378+$G378,0)</f>
        <v>94.671853067626628</v>
      </c>
      <c r="L378" s="46">
        <f t="array" ref="L378">IF(SUMIF(Производство!$A$104:$A$145,Технологи!$B378,Производство!I$104:I$145)&gt;0,SUMIF(Производство!$A$104:$A$145,Технологи!$B378,Производство!I$104:I$145)*$F378+$G378,0)</f>
        <v>94.671853067626628</v>
      </c>
      <c r="M378" s="46">
        <f t="array" ref="M378">IF(SUMIF(Производство!$A$104:$A$145,Технологи!$B378,Производство!J$104:J$145)&gt;0,SUMIF(Производство!$A$104:$A$145,Технологи!$B378,Производство!J$104:J$145)*$F378+$G378,0)</f>
        <v>73.306037665728155</v>
      </c>
      <c r="N378" s="46">
        <f t="array" ref="N378">IF(SUMIF(Производство!$A$104:$A$145,Технологи!$B378,Производство!K$104:K$145)&gt;0,SUMIF(Производство!$A$104:$A$145,Технологи!$B378,Производство!K$104:K$145)*$F378+$G378,0)</f>
        <v>73.306037665728155</v>
      </c>
      <c r="O378" s="46">
        <f t="array" ref="O378">IF(SUMIF(Производство!$A$104:$A$145,Технологи!$B378,Производство!L$104:L$145)&gt;0,SUMIF(Производство!$A$104:$A$145,Технологи!$B378,Производство!L$104:L$145)*$F378+$G378,0)</f>
        <v>73.306037665728155</v>
      </c>
      <c r="P378" s="46">
        <f t="array" ref="P378">IF(SUMIF(Производство!$A$104:$A$145,Технологи!$B378,Производство!M$104:M$145)&gt;0,SUMIF(Производство!$A$104:$A$145,Технологи!$B378,Производство!M$104:M$145)*$F378+$G378,0)</f>
        <v>73.306037665728155</v>
      </c>
      <c r="Q378" s="46">
        <f t="array" ref="Q378">IF(SUMIF(Производство!$A$104:$A$145,Технологи!$B378,Производство!N$104:N$145)&gt;0,SUMIF(Производство!$A$104:$A$145,Технологи!$B378,Производство!N$104:N$145)*$F378+$G378,0)</f>
        <v>73.306037665728155</v>
      </c>
      <c r="R378" s="46">
        <f t="array" ref="R378">IF(SUMIF(Производство!$A$104:$A$145,Технологи!$B378,Производство!O$104:O$145)&gt;0,SUMIF(Производство!$A$104:$A$145,Технологи!$B378,Производство!O$104:O$145)*$F378+$G378,0)</f>
        <v>73.306037665728155</v>
      </c>
      <c r="S378" s="46">
        <f t="array" ref="S378">IF(SUMIF(Производство!$A$104:$A$145,Технологи!$B378,Производство!P$104:P$145)&gt;0,SUMIF(Производство!$A$104:$A$145,Технологи!$B378,Производство!P$104:P$145)*$F378+$G378,0)</f>
        <v>73.306037665728155</v>
      </c>
      <c r="T378" s="46">
        <f t="array" ref="T378">IF(SUMIF(Производство!$A$104:$A$145,Технологи!$B378,Производство!Q$104:Q$145)&gt;0,SUMIF(Производство!$A$104:$A$145,Технологи!$B378,Производство!Q$104:Q$145)*$F378+$G378,0)</f>
        <v>73.306037665728155</v>
      </c>
    </row>
    <row r="379" spans="1:20" x14ac:dyDescent="0.25">
      <c r="A379" s="34" t="s">
        <v>377</v>
      </c>
      <c r="B379" s="13" t="s">
        <v>43</v>
      </c>
      <c r="C379" s="19" t="s">
        <v>21</v>
      </c>
      <c r="D379" s="14">
        <v>7038</v>
      </c>
      <c r="E379" s="20"/>
      <c r="F379" s="24">
        <v>0</v>
      </c>
      <c r="G379" s="24">
        <v>0</v>
      </c>
      <c r="H379" s="23">
        <f t="shared" si="17"/>
        <v>0</v>
      </c>
      <c r="I379" s="46">
        <f t="array" ref="I379">IF(SUMIF(Производство!$A$104:$A$145,Технологи!$B379,Производство!F$104:F$145)&gt;0,SUMIF(Производство!$A$104:$A$145,Технологи!$B379,Производство!F$104:F$145)*$F379+$G379,0)</f>
        <v>0</v>
      </c>
      <c r="J379" s="46">
        <f t="array" ref="J379">IF(SUMIF(Производство!$A$104:$A$145,Технологи!$B379,Производство!G$104:G$145)&gt;0,SUMIF(Производство!$A$104:$A$145,Технологи!$B379,Производство!G$104:G$145)*$F379+$G379,0)</f>
        <v>0</v>
      </c>
      <c r="K379" s="46">
        <f t="array" ref="K379">IF(SUMIF(Производство!$A$104:$A$145,Технологи!$B379,Производство!H$104:H$145)&gt;0,SUMIF(Производство!$A$104:$A$145,Технологи!$B379,Производство!H$104:H$145)*$F379+$G379,0)</f>
        <v>0</v>
      </c>
      <c r="L379" s="46">
        <f t="array" ref="L379">IF(SUMIF(Производство!$A$104:$A$145,Технологи!$B379,Производство!I$104:I$145)&gt;0,SUMIF(Производство!$A$104:$A$145,Технологи!$B379,Производство!I$104:I$145)*$F379+$G379,0)</f>
        <v>0</v>
      </c>
      <c r="M379" s="46">
        <f t="array" ref="M379">IF(SUMIF(Производство!$A$104:$A$145,Технологи!$B379,Производство!J$104:J$145)&gt;0,SUMIF(Производство!$A$104:$A$145,Технологи!$B379,Производство!J$104:J$145)*$F379+$G379,0)</f>
        <v>0</v>
      </c>
      <c r="N379" s="46">
        <f t="array" ref="N379">IF(SUMIF(Производство!$A$104:$A$145,Технологи!$B379,Производство!K$104:K$145)&gt;0,SUMIF(Производство!$A$104:$A$145,Технологи!$B379,Производство!K$104:K$145)*$F379+$G379,0)</f>
        <v>0</v>
      </c>
      <c r="O379" s="46">
        <f t="array" ref="O379">IF(SUMIF(Производство!$A$104:$A$145,Технологи!$B379,Производство!L$104:L$145)&gt;0,SUMIF(Производство!$A$104:$A$145,Технологи!$B379,Производство!L$104:L$145)*$F379+$G379,0)</f>
        <v>0</v>
      </c>
      <c r="P379" s="46">
        <f t="array" ref="P379">IF(SUMIF(Производство!$A$104:$A$145,Технологи!$B379,Производство!M$104:M$145)&gt;0,SUMIF(Производство!$A$104:$A$145,Технологи!$B379,Производство!M$104:M$145)*$F379+$G379,0)</f>
        <v>0</v>
      </c>
      <c r="Q379" s="46">
        <f t="array" ref="Q379">IF(SUMIF(Производство!$A$104:$A$145,Технологи!$B379,Производство!N$104:N$145)&gt;0,SUMIF(Производство!$A$104:$A$145,Технологи!$B379,Производство!N$104:N$145)*$F379+$G379,0)</f>
        <v>0</v>
      </c>
      <c r="R379" s="46">
        <f t="array" ref="R379">IF(SUMIF(Производство!$A$104:$A$145,Технологи!$B379,Производство!O$104:O$145)&gt;0,SUMIF(Производство!$A$104:$A$145,Технологи!$B379,Производство!O$104:O$145)*$F379+$G379,0)</f>
        <v>0</v>
      </c>
      <c r="S379" s="46">
        <f t="array" ref="S379">IF(SUMIF(Производство!$A$104:$A$145,Технологи!$B379,Производство!P$104:P$145)&gt;0,SUMIF(Производство!$A$104:$A$145,Технологи!$B379,Производство!P$104:P$145)*$F379+$G379,0)</f>
        <v>0</v>
      </c>
      <c r="T379" s="46">
        <f t="array" ref="T379">IF(SUMIF(Производство!$A$104:$A$145,Технологи!$B379,Производство!Q$104:Q$145)&gt;0,SUMIF(Производство!$A$104:$A$145,Технологи!$B379,Производство!Q$104:Q$145)*$F379+$G379,0)</f>
        <v>0</v>
      </c>
    </row>
    <row r="380" spans="1:20" x14ac:dyDescent="0.25">
      <c r="A380" s="34" t="s">
        <v>377</v>
      </c>
      <c r="B380" s="13" t="s">
        <v>43</v>
      </c>
      <c r="C380" s="19" t="s">
        <v>22</v>
      </c>
      <c r="D380" s="14">
        <v>7038</v>
      </c>
      <c r="E380" s="20"/>
      <c r="F380" s="24">
        <v>3.5999999999999997E-2</v>
      </c>
      <c r="G380" s="24">
        <v>0.54</v>
      </c>
      <c r="H380" s="23">
        <f t="shared" si="17"/>
        <v>36</v>
      </c>
      <c r="I380" s="46">
        <f t="array" ref="I380">IF(SUMIF(Производство!$A$104:$A$145,Технологи!$B380,Производство!F$104:F$145)&gt;0,SUMIF(Производство!$A$104:$A$145,Технологи!$B380,Производство!F$104:F$145)*$F380+$G380,0)</f>
        <v>0</v>
      </c>
      <c r="J380" s="46">
        <f t="array" ref="J380">IF(SUMIF(Производство!$A$104:$A$145,Технологи!$B380,Производство!G$104:G$145)&gt;0,SUMIF(Производство!$A$104:$A$145,Технологи!$B380,Производство!G$104:G$145)*$F380+$G380,0)</f>
        <v>0</v>
      </c>
      <c r="K380" s="46">
        <f t="array" ref="K380">IF(SUMIF(Производство!$A$104:$A$145,Технологи!$B380,Производство!H$104:H$145)&gt;0,SUMIF(Производство!$A$104:$A$145,Технологи!$B380,Производство!H$104:H$145)*$F380+$G380,0)</f>
        <v>101.4341282867428</v>
      </c>
      <c r="L380" s="46">
        <f t="array" ref="L380">IF(SUMIF(Производство!$A$104:$A$145,Технологи!$B380,Производство!I$104:I$145)&gt;0,SUMIF(Производство!$A$104:$A$145,Технологи!$B380,Производство!I$104:I$145)*$F380+$G380,0)</f>
        <v>101.4341282867428</v>
      </c>
      <c r="M380" s="46">
        <f t="array" ref="M380">IF(SUMIF(Производство!$A$104:$A$145,Технологи!$B380,Производство!J$104:J$145)&gt;0,SUMIF(Производство!$A$104:$A$145,Технологи!$B380,Производство!J$104:J$145)*$F380+$G380,0)</f>
        <v>78.542183213280154</v>
      </c>
      <c r="N380" s="46">
        <f t="array" ref="N380">IF(SUMIF(Производство!$A$104:$A$145,Технологи!$B380,Производство!K$104:K$145)&gt;0,SUMIF(Производство!$A$104:$A$145,Технологи!$B380,Производство!K$104:K$145)*$F380+$G380,0)</f>
        <v>78.542183213280154</v>
      </c>
      <c r="O380" s="46">
        <f t="array" ref="O380">IF(SUMIF(Производство!$A$104:$A$145,Технологи!$B380,Производство!L$104:L$145)&gt;0,SUMIF(Производство!$A$104:$A$145,Технологи!$B380,Производство!L$104:L$145)*$F380+$G380,0)</f>
        <v>78.542183213280154</v>
      </c>
      <c r="P380" s="46">
        <f t="array" ref="P380">IF(SUMIF(Производство!$A$104:$A$145,Технологи!$B380,Производство!M$104:M$145)&gt;0,SUMIF(Производство!$A$104:$A$145,Технологи!$B380,Производство!M$104:M$145)*$F380+$G380,0)</f>
        <v>78.542183213280154</v>
      </c>
      <c r="Q380" s="46">
        <f t="array" ref="Q380">IF(SUMIF(Производство!$A$104:$A$145,Технологи!$B380,Производство!N$104:N$145)&gt;0,SUMIF(Производство!$A$104:$A$145,Технологи!$B380,Производство!N$104:N$145)*$F380+$G380,0)</f>
        <v>78.542183213280154</v>
      </c>
      <c r="R380" s="46">
        <f t="array" ref="R380">IF(SUMIF(Производство!$A$104:$A$145,Технологи!$B380,Производство!O$104:O$145)&gt;0,SUMIF(Производство!$A$104:$A$145,Технологи!$B380,Производство!O$104:O$145)*$F380+$G380,0)</f>
        <v>78.542183213280154</v>
      </c>
      <c r="S380" s="46">
        <f t="array" ref="S380">IF(SUMIF(Производство!$A$104:$A$145,Технологи!$B380,Производство!P$104:P$145)&gt;0,SUMIF(Производство!$A$104:$A$145,Технологи!$B380,Производство!P$104:P$145)*$F380+$G380,0)</f>
        <v>78.542183213280154</v>
      </c>
      <c r="T380" s="46">
        <f t="array" ref="T380">IF(SUMIF(Производство!$A$104:$A$145,Технологи!$B380,Производство!Q$104:Q$145)&gt;0,SUMIF(Производство!$A$104:$A$145,Технологи!$B380,Производство!Q$104:Q$145)*$F380+$G380,0)</f>
        <v>78.542183213280154</v>
      </c>
    </row>
    <row r="381" spans="1:20" x14ac:dyDescent="0.25">
      <c r="A381" s="34" t="s">
        <v>377</v>
      </c>
      <c r="B381" s="13" t="s">
        <v>43</v>
      </c>
      <c r="C381" s="19" t="s">
        <v>23</v>
      </c>
      <c r="D381" s="14">
        <v>7038</v>
      </c>
      <c r="E381" s="20"/>
      <c r="F381" s="24">
        <v>0</v>
      </c>
      <c r="G381" s="24">
        <v>0</v>
      </c>
      <c r="H381" s="23">
        <f t="shared" si="17"/>
        <v>0</v>
      </c>
      <c r="I381" s="46">
        <f t="array" ref="I381">IF(SUMIF(Производство!$A$104:$A$145,Технологи!$B381,Производство!F$104:F$145)&gt;0,SUMIF(Производство!$A$104:$A$145,Технологи!$B381,Производство!F$104:F$145)*$F381+$G381,0)</f>
        <v>0</v>
      </c>
      <c r="J381" s="46">
        <f t="array" ref="J381">IF(SUMIF(Производство!$A$104:$A$145,Технологи!$B381,Производство!G$104:G$145)&gt;0,SUMIF(Производство!$A$104:$A$145,Технологи!$B381,Производство!G$104:G$145)*$F381+$G381,0)</f>
        <v>0</v>
      </c>
      <c r="K381" s="46">
        <f t="array" ref="K381">IF(SUMIF(Производство!$A$104:$A$145,Технологи!$B381,Производство!H$104:H$145)&gt;0,SUMIF(Производство!$A$104:$A$145,Технологи!$B381,Производство!H$104:H$145)*$F381+$G381,0)</f>
        <v>0</v>
      </c>
      <c r="L381" s="46">
        <f t="array" ref="L381">IF(SUMIF(Производство!$A$104:$A$145,Технологи!$B381,Производство!I$104:I$145)&gt;0,SUMIF(Производство!$A$104:$A$145,Технологи!$B381,Производство!I$104:I$145)*$F381+$G381,0)</f>
        <v>0</v>
      </c>
      <c r="M381" s="46">
        <f t="array" ref="M381">IF(SUMIF(Производство!$A$104:$A$145,Технологи!$B381,Производство!J$104:J$145)&gt;0,SUMIF(Производство!$A$104:$A$145,Технологи!$B381,Производство!J$104:J$145)*$F381+$G381,0)</f>
        <v>0</v>
      </c>
      <c r="N381" s="46">
        <f t="array" ref="N381">IF(SUMIF(Производство!$A$104:$A$145,Технологи!$B381,Производство!K$104:K$145)&gt;0,SUMIF(Производство!$A$104:$A$145,Технологи!$B381,Производство!K$104:K$145)*$F381+$G381,0)</f>
        <v>0</v>
      </c>
      <c r="O381" s="46">
        <f t="array" ref="O381">IF(SUMIF(Производство!$A$104:$A$145,Технологи!$B381,Производство!L$104:L$145)&gt;0,SUMIF(Производство!$A$104:$A$145,Технологи!$B381,Производство!L$104:L$145)*$F381+$G381,0)</f>
        <v>0</v>
      </c>
      <c r="P381" s="46">
        <f t="array" ref="P381">IF(SUMIF(Производство!$A$104:$A$145,Технологи!$B381,Производство!M$104:M$145)&gt;0,SUMIF(Производство!$A$104:$A$145,Технологи!$B381,Производство!M$104:M$145)*$F381+$G381,0)</f>
        <v>0</v>
      </c>
      <c r="Q381" s="46">
        <f t="array" ref="Q381">IF(SUMIF(Производство!$A$104:$A$145,Технологи!$B381,Производство!N$104:N$145)&gt;0,SUMIF(Производство!$A$104:$A$145,Технологи!$B381,Производство!N$104:N$145)*$F381+$G381,0)</f>
        <v>0</v>
      </c>
      <c r="R381" s="46">
        <f t="array" ref="R381">IF(SUMIF(Производство!$A$104:$A$145,Технологи!$B381,Производство!O$104:O$145)&gt;0,SUMIF(Производство!$A$104:$A$145,Технологи!$B381,Производство!O$104:O$145)*$F381+$G381,0)</f>
        <v>0</v>
      </c>
      <c r="S381" s="46">
        <f t="array" ref="S381">IF(SUMIF(Производство!$A$104:$A$145,Технологи!$B381,Производство!P$104:P$145)&gt;0,SUMIF(Производство!$A$104:$A$145,Технологи!$B381,Производство!P$104:P$145)*$F381+$G381,0)</f>
        <v>0</v>
      </c>
      <c r="T381" s="46">
        <f t="array" ref="T381">IF(SUMIF(Производство!$A$104:$A$145,Технологи!$B381,Производство!Q$104:Q$145)&gt;0,SUMIF(Производство!$A$104:$A$145,Технологи!$B381,Производство!Q$104:Q$145)*$F381+$G381,0)</f>
        <v>0</v>
      </c>
    </row>
    <row r="382" spans="1:20" x14ac:dyDescent="0.25">
      <c r="A382" s="34" t="s">
        <v>377</v>
      </c>
      <c r="B382" s="13" t="s">
        <v>42</v>
      </c>
      <c r="C382" s="15" t="s">
        <v>11</v>
      </c>
      <c r="D382" s="14">
        <v>7038</v>
      </c>
      <c r="E382" s="16">
        <v>0.82199999999999995</v>
      </c>
      <c r="F382" s="22">
        <f>SUM(F383:F394)</f>
        <v>0.82317023756967678</v>
      </c>
      <c r="G382" s="22">
        <f>SUM(G383:G394)</f>
        <v>43.283199999999994</v>
      </c>
      <c r="H382" s="23">
        <f t="shared" ref="H382:H407" si="18">F382*1000</f>
        <v>823.17023756967683</v>
      </c>
      <c r="I382" s="46">
        <f t="array" ref="I382">IF(SUMIF(Производство!$A$104:$A$145,Технологи!$B382,Производство!F$104:F$145)&gt;0,SUMIF(Производство!$A$104:$A$145,Технологи!$B382,Производство!F$104:F$145)*$F382+$G382,0)</f>
        <v>2102.8551343993313</v>
      </c>
      <c r="J382" s="46">
        <f t="array" ref="J382">IF(SUMIF(Производство!$A$104:$A$145,Технологи!$B382,Производство!G$104:G$145)&gt;0,SUMIF(Производство!$A$104:$A$145,Технологи!$B382,Производство!G$104:G$145)*$F382+$G382,0)</f>
        <v>2102.8551343993313</v>
      </c>
      <c r="K382" s="46">
        <f t="array" ref="K382">IF(SUMIF(Производство!$A$104:$A$145,Технологи!$B382,Производство!H$104:H$145)&gt;0,SUMIF(Производство!$A$104:$A$145,Технологи!$B382,Производство!H$104:H$145)*$F382+$G382,0)</f>
        <v>2265.8428414381274</v>
      </c>
      <c r="L382" s="46">
        <f t="array" ref="L382">IF(SUMIF(Производство!$A$104:$A$145,Технологи!$B382,Производство!I$104:I$145)&gt;0,SUMIF(Производство!$A$104:$A$145,Технологи!$B382,Производство!I$104:I$145)*$F382+$G382,0)</f>
        <v>2102.8551343993313</v>
      </c>
      <c r="M382" s="46">
        <f t="array" ref="M382">IF(SUMIF(Производство!$A$104:$A$145,Технологи!$B382,Производство!J$104:J$145)&gt;0,SUMIF(Производство!$A$104:$A$145,Технологи!$B382,Производство!J$104:J$145)*$F382+$G382,0)</f>
        <v>2102.8551343993313</v>
      </c>
      <c r="N382" s="46">
        <f t="array" ref="N382">IF(SUMIF(Производство!$A$104:$A$145,Технологи!$B382,Производство!K$104:K$145)&gt;0,SUMIF(Производство!$A$104:$A$145,Технологи!$B382,Производство!K$104:K$145)*$F382+$G382,0)</f>
        <v>2102.8551343993313</v>
      </c>
      <c r="O382" s="46">
        <f t="array" ref="O382">IF(SUMIF(Производство!$A$104:$A$145,Технологи!$B382,Производство!L$104:L$145)&gt;0,SUMIF(Производство!$A$104:$A$145,Технологи!$B382,Производство!L$104:L$145)*$F382+$G382,0)</f>
        <v>2102.8551343993313</v>
      </c>
      <c r="P382" s="46">
        <f t="array" ref="P382">IF(SUMIF(Производство!$A$104:$A$145,Технологи!$B382,Производство!M$104:M$145)&gt;0,SUMIF(Производство!$A$104:$A$145,Технологи!$B382,Производство!M$104:M$145)*$F382+$G382,0)</f>
        <v>2102.8551343993313</v>
      </c>
      <c r="Q382" s="46">
        <f t="array" ref="Q382">IF(SUMIF(Производство!$A$104:$A$145,Технологи!$B382,Производство!N$104:N$145)&gt;0,SUMIF(Производство!$A$104:$A$145,Технологи!$B382,Производство!N$104:N$145)*$F382+$G382,0)</f>
        <v>2102.8551343993313</v>
      </c>
      <c r="R382" s="46">
        <f t="array" ref="R382">IF(SUMIF(Производство!$A$104:$A$145,Технологи!$B382,Производство!O$104:O$145)&gt;0,SUMIF(Производство!$A$104:$A$145,Технологи!$B382,Производство!O$104:O$145)*$F382+$G382,0)</f>
        <v>2102.8551343993313</v>
      </c>
      <c r="S382" s="46">
        <f t="array" ref="S382">IF(SUMIF(Производство!$A$104:$A$145,Технологи!$B382,Производство!P$104:P$145)&gt;0,SUMIF(Производство!$A$104:$A$145,Технологи!$B382,Производство!P$104:P$145)*$F382+$G382,0)</f>
        <v>2102.8551343993313</v>
      </c>
      <c r="T382" s="46">
        <f t="array" ref="T382">IF(SUMIF(Производство!$A$104:$A$145,Технологи!$B382,Производство!Q$104:Q$145)&gt;0,SUMIF(Производство!$A$104:$A$145,Технологи!$B382,Производство!Q$104:Q$145)*$F382+$G382,0)</f>
        <v>2102.8551343993313</v>
      </c>
    </row>
    <row r="383" spans="1:20" x14ac:dyDescent="0.25">
      <c r="A383" s="34" t="s">
        <v>377</v>
      </c>
      <c r="B383" s="13" t="s">
        <v>42</v>
      </c>
      <c r="C383" s="19" t="s">
        <v>12</v>
      </c>
      <c r="D383" s="14">
        <v>7038</v>
      </c>
      <c r="E383" s="20"/>
      <c r="F383" s="24">
        <v>0.2147361204013378</v>
      </c>
      <c r="G383" s="24">
        <v>19.555815681902633</v>
      </c>
      <c r="H383" s="23">
        <f t="shared" si="18"/>
        <v>214.73612040133779</v>
      </c>
      <c r="I383" s="46">
        <f t="array" ref="I383">IF(SUMIF(Производство!$A$104:$A$145,Технологи!$B383,Производство!F$104:F$145)&gt;0,SUMIF(Производство!$A$104:$A$145,Технологи!$B383,Производство!F$104:F$145)*$F383+$G383,0)</f>
        <v>556.82558892604982</v>
      </c>
      <c r="J383" s="46">
        <f t="array" ref="J383">IF(SUMIF(Производство!$A$104:$A$145,Технологи!$B383,Производство!G$104:G$145)&gt;0,SUMIF(Производство!$A$104:$A$145,Технологи!$B383,Производство!G$104:G$145)*$F383+$G383,0)</f>
        <v>556.82558892604982</v>
      </c>
      <c r="K383" s="46">
        <f t="array" ref="K383">IF(SUMIF(Производство!$A$104:$A$145,Технологи!$B383,Производство!H$104:H$145)&gt;0,SUMIF(Производство!$A$104:$A$145,Технологи!$B383,Производство!H$104:H$145)*$F383+$G383,0)</f>
        <v>599.34334076551488</v>
      </c>
      <c r="L383" s="46">
        <f t="array" ref="L383">IF(SUMIF(Производство!$A$104:$A$145,Технологи!$B383,Производство!I$104:I$145)&gt;0,SUMIF(Производство!$A$104:$A$145,Технологи!$B383,Производство!I$104:I$145)*$F383+$G383,0)</f>
        <v>556.82558892604982</v>
      </c>
      <c r="M383" s="46">
        <f t="array" ref="M383">IF(SUMIF(Производство!$A$104:$A$145,Технологи!$B383,Производство!J$104:J$145)&gt;0,SUMIF(Производство!$A$104:$A$145,Технологи!$B383,Производство!J$104:J$145)*$F383+$G383,0)</f>
        <v>556.82558892604982</v>
      </c>
      <c r="N383" s="46">
        <f t="array" ref="N383">IF(SUMIF(Производство!$A$104:$A$145,Технологи!$B383,Производство!K$104:K$145)&gt;0,SUMIF(Производство!$A$104:$A$145,Технологи!$B383,Производство!K$104:K$145)*$F383+$G383,0)</f>
        <v>556.82558892604982</v>
      </c>
      <c r="O383" s="46">
        <f t="array" ref="O383">IF(SUMIF(Производство!$A$104:$A$145,Технологи!$B383,Производство!L$104:L$145)&gt;0,SUMIF(Производство!$A$104:$A$145,Технологи!$B383,Производство!L$104:L$145)*$F383+$G383,0)</f>
        <v>556.82558892604982</v>
      </c>
      <c r="P383" s="46">
        <f t="array" ref="P383">IF(SUMIF(Производство!$A$104:$A$145,Технологи!$B383,Производство!M$104:M$145)&gt;0,SUMIF(Производство!$A$104:$A$145,Технологи!$B383,Производство!M$104:M$145)*$F383+$G383,0)</f>
        <v>556.82558892604982</v>
      </c>
      <c r="Q383" s="46">
        <f t="array" ref="Q383">IF(SUMIF(Производство!$A$104:$A$145,Технологи!$B383,Производство!N$104:N$145)&gt;0,SUMIF(Производство!$A$104:$A$145,Технологи!$B383,Производство!N$104:N$145)*$F383+$G383,0)</f>
        <v>556.82558892604982</v>
      </c>
      <c r="R383" s="46">
        <f t="array" ref="R383">IF(SUMIF(Производство!$A$104:$A$145,Технологи!$B383,Производство!O$104:O$145)&gt;0,SUMIF(Производство!$A$104:$A$145,Технологи!$B383,Производство!O$104:O$145)*$F383+$G383,0)</f>
        <v>556.82558892604982</v>
      </c>
      <c r="S383" s="46">
        <f t="array" ref="S383">IF(SUMIF(Производство!$A$104:$A$145,Технологи!$B383,Производство!P$104:P$145)&gt;0,SUMIF(Производство!$A$104:$A$145,Технологи!$B383,Производство!P$104:P$145)*$F383+$G383,0)</f>
        <v>556.82558892604982</v>
      </c>
      <c r="T383" s="46">
        <f t="array" ref="T383">IF(SUMIF(Производство!$A$104:$A$145,Технологи!$B383,Производство!Q$104:Q$145)&gt;0,SUMIF(Производство!$A$104:$A$145,Технологи!$B383,Производство!Q$104:Q$145)*$F383+$G383,0)</f>
        <v>556.82558892604982</v>
      </c>
    </row>
    <row r="384" spans="1:20" x14ac:dyDescent="0.25">
      <c r="A384" s="34" t="s">
        <v>377</v>
      </c>
      <c r="B384" s="13" t="s">
        <v>42</v>
      </c>
      <c r="C384" s="19" t="s">
        <v>13</v>
      </c>
      <c r="D384" s="14">
        <v>7038</v>
      </c>
      <c r="E384" s="20"/>
      <c r="F384" s="24">
        <v>6.4741337792642129E-2</v>
      </c>
      <c r="G384" s="24">
        <v>5.8667447045707917</v>
      </c>
      <c r="H384" s="23">
        <f t="shared" si="18"/>
        <v>64.741337792642128</v>
      </c>
      <c r="I384" s="46">
        <f t="array" ref="I384">IF(SUMIF(Производство!$A$104:$A$145,Технологи!$B384,Производство!F$104:F$145)&gt;0,SUMIF(Производство!$A$104:$A$145,Технологи!$B384,Производство!F$104:F$145)*$F384+$G384,0)</f>
        <v>167.84957186176138</v>
      </c>
      <c r="J384" s="46">
        <f t="array" ref="J384">IF(SUMIF(Производство!$A$104:$A$145,Технологи!$B384,Производство!G$104:G$145)&gt;0,SUMIF(Производство!$A$104:$A$145,Технологи!$B384,Производство!G$104:G$145)*$F384+$G384,0)</f>
        <v>167.84957186176138</v>
      </c>
      <c r="K384" s="46">
        <f t="array" ref="K384">IF(SUMIF(Производство!$A$104:$A$145,Технологи!$B384,Производство!H$104:H$145)&gt;0,SUMIF(Производство!$A$104:$A$145,Технологи!$B384,Производство!H$104:H$145)*$F384+$G384,0)</f>
        <v>180.66835674470457</v>
      </c>
      <c r="L384" s="46">
        <f t="array" ref="L384">IF(SUMIF(Производство!$A$104:$A$145,Технологи!$B384,Производство!I$104:I$145)&gt;0,SUMIF(Производство!$A$104:$A$145,Технологи!$B384,Производство!I$104:I$145)*$F384+$G384,0)</f>
        <v>167.84957186176138</v>
      </c>
      <c r="M384" s="46">
        <f t="array" ref="M384">IF(SUMIF(Производство!$A$104:$A$145,Технологи!$B384,Производство!J$104:J$145)&gt;0,SUMIF(Производство!$A$104:$A$145,Технологи!$B384,Производство!J$104:J$145)*$F384+$G384,0)</f>
        <v>167.84957186176138</v>
      </c>
      <c r="N384" s="46">
        <f t="array" ref="N384">IF(SUMIF(Производство!$A$104:$A$145,Технологи!$B384,Производство!K$104:K$145)&gt;0,SUMIF(Производство!$A$104:$A$145,Технологи!$B384,Производство!K$104:K$145)*$F384+$G384,0)</f>
        <v>167.84957186176138</v>
      </c>
      <c r="O384" s="46">
        <f t="array" ref="O384">IF(SUMIF(Производство!$A$104:$A$145,Технологи!$B384,Производство!L$104:L$145)&gt;0,SUMIF(Производство!$A$104:$A$145,Технологи!$B384,Производство!L$104:L$145)*$F384+$G384,0)</f>
        <v>167.84957186176138</v>
      </c>
      <c r="P384" s="46">
        <f t="array" ref="P384">IF(SUMIF(Производство!$A$104:$A$145,Технологи!$B384,Производство!M$104:M$145)&gt;0,SUMIF(Производство!$A$104:$A$145,Технологи!$B384,Производство!M$104:M$145)*$F384+$G384,0)</f>
        <v>167.84957186176138</v>
      </c>
      <c r="Q384" s="46">
        <f t="array" ref="Q384">IF(SUMIF(Производство!$A$104:$A$145,Технологи!$B384,Производство!N$104:N$145)&gt;0,SUMIF(Производство!$A$104:$A$145,Технологи!$B384,Производство!N$104:N$145)*$F384+$G384,0)</f>
        <v>167.84957186176138</v>
      </c>
      <c r="R384" s="46">
        <f t="array" ref="R384">IF(SUMIF(Производство!$A$104:$A$145,Технологи!$B384,Производство!O$104:O$145)&gt;0,SUMIF(Производство!$A$104:$A$145,Технологи!$B384,Производство!O$104:O$145)*$F384+$G384,0)</f>
        <v>167.84957186176138</v>
      </c>
      <c r="S384" s="46">
        <f t="array" ref="S384">IF(SUMIF(Производство!$A$104:$A$145,Технологи!$B384,Производство!P$104:P$145)&gt;0,SUMIF(Производство!$A$104:$A$145,Технологи!$B384,Производство!P$104:P$145)*$F384+$G384,0)</f>
        <v>167.84957186176138</v>
      </c>
      <c r="T384" s="46">
        <f t="array" ref="T384">IF(SUMIF(Производство!$A$104:$A$145,Технологи!$B384,Производство!Q$104:Q$145)&gt;0,SUMIF(Производство!$A$104:$A$145,Технологи!$B384,Производство!Q$104:Q$145)*$F384+$G384,0)</f>
        <v>167.84957186176138</v>
      </c>
    </row>
    <row r="385" spans="1:20" x14ac:dyDescent="0.25">
      <c r="A385" s="34" t="s">
        <v>377</v>
      </c>
      <c r="B385" s="13" t="s">
        <v>42</v>
      </c>
      <c r="C385" s="19" t="s">
        <v>14</v>
      </c>
      <c r="D385" s="14">
        <v>7038</v>
      </c>
      <c r="E385" s="20"/>
      <c r="F385" s="24">
        <v>6.4741337792642128E-4</v>
      </c>
      <c r="G385" s="24">
        <v>5.86674470457079E-2</v>
      </c>
      <c r="H385" s="23">
        <f t="shared" si="18"/>
        <v>0.64741337792642129</v>
      </c>
      <c r="I385" s="46">
        <f t="array" ref="I385">IF(SUMIF(Производство!$A$104:$A$145,Технологи!$B385,Производство!F$104:F$145)&gt;0,SUMIF(Производство!$A$104:$A$145,Технологи!$B385,Производство!F$104:F$145)*$F385+$G385,0)</f>
        <v>1.6784957186176139</v>
      </c>
      <c r="J385" s="46">
        <f t="array" ref="J385">IF(SUMIF(Производство!$A$104:$A$145,Технологи!$B385,Производство!G$104:G$145)&gt;0,SUMIF(Производство!$A$104:$A$145,Технологи!$B385,Производство!G$104:G$145)*$F385+$G385,0)</f>
        <v>1.6784957186176139</v>
      </c>
      <c r="K385" s="46">
        <f t="array" ref="K385">IF(SUMIF(Производство!$A$104:$A$145,Технологи!$B385,Производство!H$104:H$145)&gt;0,SUMIF(Производство!$A$104:$A$145,Технологи!$B385,Производство!H$104:H$145)*$F385+$G385,0)</f>
        <v>1.8066835674470456</v>
      </c>
      <c r="L385" s="46">
        <f t="array" ref="L385">IF(SUMIF(Производство!$A$104:$A$145,Технологи!$B385,Производство!I$104:I$145)&gt;0,SUMIF(Производство!$A$104:$A$145,Технологи!$B385,Производство!I$104:I$145)*$F385+$G385,0)</f>
        <v>1.6784957186176139</v>
      </c>
      <c r="M385" s="46">
        <f t="array" ref="M385">IF(SUMIF(Производство!$A$104:$A$145,Технологи!$B385,Производство!J$104:J$145)&gt;0,SUMIF(Производство!$A$104:$A$145,Технологи!$B385,Производство!J$104:J$145)*$F385+$G385,0)</f>
        <v>1.6784957186176139</v>
      </c>
      <c r="N385" s="46">
        <f t="array" ref="N385">IF(SUMIF(Производство!$A$104:$A$145,Технологи!$B385,Производство!K$104:K$145)&gt;0,SUMIF(Производство!$A$104:$A$145,Технологи!$B385,Производство!K$104:K$145)*$F385+$G385,0)</f>
        <v>1.6784957186176139</v>
      </c>
      <c r="O385" s="46">
        <f t="array" ref="O385">IF(SUMIF(Производство!$A$104:$A$145,Технологи!$B385,Производство!L$104:L$145)&gt;0,SUMIF(Производство!$A$104:$A$145,Технологи!$B385,Производство!L$104:L$145)*$F385+$G385,0)</f>
        <v>1.6784957186176139</v>
      </c>
      <c r="P385" s="46">
        <f t="array" ref="P385">IF(SUMIF(Производство!$A$104:$A$145,Технологи!$B385,Производство!M$104:M$145)&gt;0,SUMIF(Производство!$A$104:$A$145,Технологи!$B385,Производство!M$104:M$145)*$F385+$G385,0)</f>
        <v>1.6784957186176139</v>
      </c>
      <c r="Q385" s="46">
        <f t="array" ref="Q385">IF(SUMIF(Производство!$A$104:$A$145,Технологи!$B385,Производство!N$104:N$145)&gt;0,SUMIF(Производство!$A$104:$A$145,Технологи!$B385,Производство!N$104:N$145)*$F385+$G385,0)</f>
        <v>1.6784957186176139</v>
      </c>
      <c r="R385" s="46">
        <f t="array" ref="R385">IF(SUMIF(Производство!$A$104:$A$145,Технологи!$B385,Производство!O$104:O$145)&gt;0,SUMIF(Производство!$A$104:$A$145,Технологи!$B385,Производство!O$104:O$145)*$F385+$G385,0)</f>
        <v>1.6784957186176139</v>
      </c>
      <c r="S385" s="46">
        <f t="array" ref="S385">IF(SUMIF(Производство!$A$104:$A$145,Технологи!$B385,Производство!P$104:P$145)&gt;0,SUMIF(Производство!$A$104:$A$145,Технологи!$B385,Производство!P$104:P$145)*$F385+$G385,0)</f>
        <v>1.6784957186176139</v>
      </c>
      <c r="T385" s="46">
        <f t="array" ref="T385">IF(SUMIF(Производство!$A$104:$A$145,Технологи!$B385,Производство!Q$104:Q$145)&gt;0,SUMIF(Производство!$A$104:$A$145,Технологи!$B385,Производство!Q$104:Q$145)*$F385+$G385,0)</f>
        <v>1.6784957186176139</v>
      </c>
    </row>
    <row r="386" spans="1:20" x14ac:dyDescent="0.25">
      <c r="A386" s="34" t="s">
        <v>377</v>
      </c>
      <c r="B386" s="13" t="s">
        <v>42</v>
      </c>
      <c r="C386" s="19" t="s">
        <v>15</v>
      </c>
      <c r="D386" s="14">
        <v>7038</v>
      </c>
      <c r="E386" s="20"/>
      <c r="F386" s="24">
        <v>3.2370668896321064E-4</v>
      </c>
      <c r="G386" s="24">
        <v>2.933372352285395E-2</v>
      </c>
      <c r="H386" s="23">
        <f t="shared" si="18"/>
        <v>0.32370668896321064</v>
      </c>
      <c r="I386" s="46">
        <f t="array" ref="I386">IF(SUMIF(Производство!$A$104:$A$145,Технологи!$B386,Производство!F$104:F$145)&gt;0,SUMIF(Производство!$A$104:$A$145,Технологи!$B386,Производство!F$104:F$145)*$F386+$G386,0)</f>
        <v>0.83924785930880696</v>
      </c>
      <c r="J386" s="46">
        <f t="array" ref="J386">IF(SUMIF(Производство!$A$104:$A$145,Технологи!$B386,Производство!G$104:G$145)&gt;0,SUMIF(Производство!$A$104:$A$145,Технологи!$B386,Производство!G$104:G$145)*$F386+$G386,0)</f>
        <v>0.83924785930880696</v>
      </c>
      <c r="K386" s="46">
        <f t="array" ref="K386">IF(SUMIF(Производство!$A$104:$A$145,Технологи!$B386,Производство!H$104:H$145)&gt;0,SUMIF(Производство!$A$104:$A$145,Технологи!$B386,Производство!H$104:H$145)*$F386+$G386,0)</f>
        <v>0.90334178372352281</v>
      </c>
      <c r="L386" s="46">
        <f t="array" ref="L386">IF(SUMIF(Производство!$A$104:$A$145,Технологи!$B386,Производство!I$104:I$145)&gt;0,SUMIF(Производство!$A$104:$A$145,Технологи!$B386,Производство!I$104:I$145)*$F386+$G386,0)</f>
        <v>0.83924785930880696</v>
      </c>
      <c r="M386" s="46">
        <f t="array" ref="M386">IF(SUMIF(Производство!$A$104:$A$145,Технологи!$B386,Производство!J$104:J$145)&gt;0,SUMIF(Производство!$A$104:$A$145,Технологи!$B386,Производство!J$104:J$145)*$F386+$G386,0)</f>
        <v>0.83924785930880696</v>
      </c>
      <c r="N386" s="46">
        <f t="array" ref="N386">IF(SUMIF(Производство!$A$104:$A$145,Технологи!$B386,Производство!K$104:K$145)&gt;0,SUMIF(Производство!$A$104:$A$145,Технологи!$B386,Производство!K$104:K$145)*$F386+$G386,0)</f>
        <v>0.83924785930880696</v>
      </c>
      <c r="O386" s="46">
        <f t="array" ref="O386">IF(SUMIF(Производство!$A$104:$A$145,Технологи!$B386,Производство!L$104:L$145)&gt;0,SUMIF(Производство!$A$104:$A$145,Технологи!$B386,Производство!L$104:L$145)*$F386+$G386,0)</f>
        <v>0.83924785930880696</v>
      </c>
      <c r="P386" s="46">
        <f t="array" ref="P386">IF(SUMIF(Производство!$A$104:$A$145,Технологи!$B386,Производство!M$104:M$145)&gt;0,SUMIF(Производство!$A$104:$A$145,Технологи!$B386,Производство!M$104:M$145)*$F386+$G386,0)</f>
        <v>0.83924785930880696</v>
      </c>
      <c r="Q386" s="46">
        <f t="array" ref="Q386">IF(SUMIF(Производство!$A$104:$A$145,Технологи!$B386,Производство!N$104:N$145)&gt;0,SUMIF(Производство!$A$104:$A$145,Технологи!$B386,Производство!N$104:N$145)*$F386+$G386,0)</f>
        <v>0.83924785930880696</v>
      </c>
      <c r="R386" s="46">
        <f t="array" ref="R386">IF(SUMIF(Производство!$A$104:$A$145,Технологи!$B386,Производство!O$104:O$145)&gt;0,SUMIF(Производство!$A$104:$A$145,Технологи!$B386,Производство!O$104:O$145)*$F386+$G386,0)</f>
        <v>0.83924785930880696</v>
      </c>
      <c r="S386" s="46">
        <f t="array" ref="S386">IF(SUMIF(Производство!$A$104:$A$145,Технологи!$B386,Производство!P$104:P$145)&gt;0,SUMIF(Производство!$A$104:$A$145,Технологи!$B386,Производство!P$104:P$145)*$F386+$G386,0)</f>
        <v>0.83924785930880696</v>
      </c>
      <c r="T386" s="46">
        <f t="array" ref="T386">IF(SUMIF(Производство!$A$104:$A$145,Технологи!$B386,Производство!Q$104:Q$145)&gt;0,SUMIF(Производство!$A$104:$A$145,Технологи!$B386,Производство!Q$104:Q$145)*$F386+$G386,0)</f>
        <v>0.83924785930880696</v>
      </c>
    </row>
    <row r="387" spans="1:20" x14ac:dyDescent="0.25">
      <c r="A387" s="34" t="s">
        <v>377</v>
      </c>
      <c r="B387" s="13" t="s">
        <v>42</v>
      </c>
      <c r="C387" s="19" t="s">
        <v>16</v>
      </c>
      <c r="D387" s="14">
        <v>7038</v>
      </c>
      <c r="E387" s="20"/>
      <c r="F387" s="24">
        <v>4.2947224080267556E-3</v>
      </c>
      <c r="G387" s="24">
        <v>0.39111631363805277</v>
      </c>
      <c r="H387" s="23">
        <f t="shared" si="18"/>
        <v>4.2947224080267556</v>
      </c>
      <c r="I387" s="46">
        <f t="array" ref="I387">IF(SUMIF(Производство!$A$104:$A$145,Технологи!$B387,Производство!F$104:F$145)&gt;0,SUMIF(Производство!$A$104:$A$145,Технологи!$B387,Производство!F$104:F$145)*$F387+$G387,0)</f>
        <v>11.136511778520996</v>
      </c>
      <c r="J387" s="46">
        <f t="array" ref="J387">IF(SUMIF(Производство!$A$104:$A$145,Технологи!$B387,Производство!G$104:G$145)&gt;0,SUMIF(Производство!$A$104:$A$145,Технологи!$B387,Производство!G$104:G$145)*$F387+$G387,0)</f>
        <v>11.136511778520996</v>
      </c>
      <c r="K387" s="46">
        <f t="array" ref="K387">IF(SUMIF(Производство!$A$104:$A$145,Технологи!$B387,Производство!H$104:H$145)&gt;0,SUMIF(Производство!$A$104:$A$145,Технологи!$B387,Производство!H$104:H$145)*$F387+$G387,0)</f>
        <v>11.986866815310295</v>
      </c>
      <c r="L387" s="46">
        <f t="array" ref="L387">IF(SUMIF(Производство!$A$104:$A$145,Технологи!$B387,Производство!I$104:I$145)&gt;0,SUMIF(Производство!$A$104:$A$145,Технологи!$B387,Производство!I$104:I$145)*$F387+$G387,0)</f>
        <v>11.136511778520996</v>
      </c>
      <c r="M387" s="46">
        <f t="array" ref="M387">IF(SUMIF(Производство!$A$104:$A$145,Технологи!$B387,Производство!J$104:J$145)&gt;0,SUMIF(Производство!$A$104:$A$145,Технологи!$B387,Производство!J$104:J$145)*$F387+$G387,0)</f>
        <v>11.136511778520996</v>
      </c>
      <c r="N387" s="46">
        <f t="array" ref="N387">IF(SUMIF(Производство!$A$104:$A$145,Технологи!$B387,Производство!K$104:K$145)&gt;0,SUMIF(Производство!$A$104:$A$145,Технологи!$B387,Производство!K$104:K$145)*$F387+$G387,0)</f>
        <v>11.136511778520996</v>
      </c>
      <c r="O387" s="46">
        <f t="array" ref="O387">IF(SUMIF(Производство!$A$104:$A$145,Технологи!$B387,Производство!L$104:L$145)&gt;0,SUMIF(Производство!$A$104:$A$145,Технологи!$B387,Производство!L$104:L$145)*$F387+$G387,0)</f>
        <v>11.136511778520996</v>
      </c>
      <c r="P387" s="46">
        <f t="array" ref="P387">IF(SUMIF(Производство!$A$104:$A$145,Технологи!$B387,Производство!M$104:M$145)&gt;0,SUMIF(Производство!$A$104:$A$145,Технологи!$B387,Производство!M$104:M$145)*$F387+$G387,0)</f>
        <v>11.136511778520996</v>
      </c>
      <c r="Q387" s="46">
        <f t="array" ref="Q387">IF(SUMIF(Производство!$A$104:$A$145,Технологи!$B387,Производство!N$104:N$145)&gt;0,SUMIF(Производство!$A$104:$A$145,Технологи!$B387,Производство!N$104:N$145)*$F387+$G387,0)</f>
        <v>11.136511778520996</v>
      </c>
      <c r="R387" s="46">
        <f t="array" ref="R387">IF(SUMIF(Производство!$A$104:$A$145,Технологи!$B387,Производство!O$104:O$145)&gt;0,SUMIF(Производство!$A$104:$A$145,Технологи!$B387,Производство!O$104:O$145)*$F387+$G387,0)</f>
        <v>11.136511778520996</v>
      </c>
      <c r="S387" s="46">
        <f t="array" ref="S387">IF(SUMIF(Производство!$A$104:$A$145,Технологи!$B387,Производство!P$104:P$145)&gt;0,SUMIF(Производство!$A$104:$A$145,Технологи!$B387,Производство!P$104:P$145)*$F387+$G387,0)</f>
        <v>11.136511778520996</v>
      </c>
      <c r="T387" s="46">
        <f t="array" ref="T387">IF(SUMIF(Производство!$A$104:$A$145,Технологи!$B387,Производство!Q$104:Q$145)&gt;0,SUMIF(Производство!$A$104:$A$145,Технологи!$B387,Производство!Q$104:Q$145)*$F387+$G387,0)</f>
        <v>11.136511778520996</v>
      </c>
    </row>
    <row r="388" spans="1:20" x14ac:dyDescent="0.25">
      <c r="A388" s="34" t="s">
        <v>377</v>
      </c>
      <c r="B388" s="13" t="s">
        <v>42</v>
      </c>
      <c r="C388" s="19" t="s">
        <v>17</v>
      </c>
      <c r="D388" s="14">
        <v>7038</v>
      </c>
      <c r="E388" s="20"/>
      <c r="F388" s="24">
        <v>2.3738490523968789E-3</v>
      </c>
      <c r="G388" s="24">
        <v>0.21511397250092903</v>
      </c>
      <c r="H388" s="23">
        <f t="shared" si="18"/>
        <v>2.3738490523968787</v>
      </c>
      <c r="I388" s="46">
        <f t="array" ref="I388">IF(SUMIF(Производство!$A$104:$A$145,Технологи!$B388,Производство!F$104:F$145)&gt;0,SUMIF(Производство!$A$104:$A$145,Технологи!$B388,Производство!F$104:F$145)*$F388+$G388,0)</f>
        <v>6.15448430159792</v>
      </c>
      <c r="J388" s="46">
        <f t="array" ref="J388">IF(SUMIF(Производство!$A$104:$A$145,Технологи!$B388,Производство!G$104:G$145)&gt;0,SUMIF(Производство!$A$104:$A$145,Технологи!$B388,Производство!G$104:G$145)*$F388+$G388,0)</f>
        <v>6.15448430159792</v>
      </c>
      <c r="K388" s="46">
        <f t="array" ref="K388">IF(SUMIF(Производство!$A$104:$A$145,Технологи!$B388,Производство!H$104:H$145)&gt;0,SUMIF(Производство!$A$104:$A$145,Технологи!$B388,Производство!H$104:H$145)*$F388+$G388,0)</f>
        <v>6.6245064139725036</v>
      </c>
      <c r="L388" s="46">
        <f t="array" ref="L388">IF(SUMIF(Производство!$A$104:$A$145,Технологи!$B388,Производство!I$104:I$145)&gt;0,SUMIF(Производство!$A$104:$A$145,Технологи!$B388,Производство!I$104:I$145)*$F388+$G388,0)</f>
        <v>6.15448430159792</v>
      </c>
      <c r="M388" s="46">
        <f t="array" ref="M388">IF(SUMIF(Производство!$A$104:$A$145,Технологи!$B388,Производство!J$104:J$145)&gt;0,SUMIF(Производство!$A$104:$A$145,Технологи!$B388,Производство!J$104:J$145)*$F388+$G388,0)</f>
        <v>6.15448430159792</v>
      </c>
      <c r="N388" s="46">
        <f t="array" ref="N388">IF(SUMIF(Производство!$A$104:$A$145,Технологи!$B388,Производство!K$104:K$145)&gt;0,SUMIF(Производство!$A$104:$A$145,Технологи!$B388,Производство!K$104:K$145)*$F388+$G388,0)</f>
        <v>6.15448430159792</v>
      </c>
      <c r="O388" s="46">
        <f t="array" ref="O388">IF(SUMIF(Производство!$A$104:$A$145,Технологи!$B388,Производство!L$104:L$145)&gt;0,SUMIF(Производство!$A$104:$A$145,Технологи!$B388,Производство!L$104:L$145)*$F388+$G388,0)</f>
        <v>6.15448430159792</v>
      </c>
      <c r="P388" s="46">
        <f t="array" ref="P388">IF(SUMIF(Производство!$A$104:$A$145,Технологи!$B388,Производство!M$104:M$145)&gt;0,SUMIF(Производство!$A$104:$A$145,Технологи!$B388,Производство!M$104:M$145)*$F388+$G388,0)</f>
        <v>6.15448430159792</v>
      </c>
      <c r="Q388" s="46">
        <f t="array" ref="Q388">IF(SUMIF(Производство!$A$104:$A$145,Технологи!$B388,Производство!N$104:N$145)&gt;0,SUMIF(Производство!$A$104:$A$145,Технологи!$B388,Производство!N$104:N$145)*$F388+$G388,0)</f>
        <v>6.15448430159792</v>
      </c>
      <c r="R388" s="46">
        <f t="array" ref="R388">IF(SUMIF(Производство!$A$104:$A$145,Технологи!$B388,Производство!O$104:O$145)&gt;0,SUMIF(Производство!$A$104:$A$145,Технологи!$B388,Производство!O$104:O$145)*$F388+$G388,0)</f>
        <v>6.15448430159792</v>
      </c>
      <c r="S388" s="46">
        <f t="array" ref="S388">IF(SUMIF(Производство!$A$104:$A$145,Технологи!$B388,Производство!P$104:P$145)&gt;0,SUMIF(Производство!$A$104:$A$145,Технологи!$B388,Производство!P$104:P$145)*$F388+$G388,0)</f>
        <v>6.15448430159792</v>
      </c>
      <c r="T388" s="46">
        <f t="array" ref="T388">IF(SUMIF(Производство!$A$104:$A$145,Технологи!$B388,Производство!Q$104:Q$145)&gt;0,SUMIF(Производство!$A$104:$A$145,Технологи!$B388,Производство!Q$104:Q$145)*$F388+$G388,0)</f>
        <v>6.15448430159792</v>
      </c>
    </row>
    <row r="389" spans="1:20" x14ac:dyDescent="0.25">
      <c r="A389" s="34" t="s">
        <v>377</v>
      </c>
      <c r="B389" s="13" t="s">
        <v>42</v>
      </c>
      <c r="C389" s="19" t="s">
        <v>18</v>
      </c>
      <c r="D389" s="14">
        <v>7038</v>
      </c>
      <c r="E389" s="20"/>
      <c r="F389" s="24">
        <v>2.1430878483835007E-3</v>
      </c>
      <c r="G389" s="24">
        <v>0.19555815681902639</v>
      </c>
      <c r="H389" s="23">
        <f t="shared" si="18"/>
        <v>2.1430878483835007</v>
      </c>
      <c r="I389" s="46">
        <f t="array" ref="I389">IF(SUMIF(Производство!$A$104:$A$145,Технологи!$B389,Производство!F$104:F$145)&gt;0,SUMIF(Производство!$A$104:$A$145,Технологи!$B389,Производство!F$104:F$145)*$F389+$G389,0)</f>
        <v>5.5575639534745456</v>
      </c>
      <c r="J389" s="46">
        <f t="array" ref="J389">IF(SUMIF(Производство!$A$104:$A$145,Технологи!$B389,Производство!G$104:G$145)&gt;0,SUMIF(Производство!$A$104:$A$145,Технологи!$B389,Производство!G$104:G$145)*$F389+$G389,0)</f>
        <v>5.5575639534745456</v>
      </c>
      <c r="K389" s="46">
        <f t="array" ref="K389">IF(SUMIF(Производство!$A$104:$A$145,Технологи!$B389,Производство!H$104:H$145)&gt;0,SUMIF(Производство!$A$104:$A$145,Технологи!$B389,Производство!H$104:H$145)*$F389+$G389,0)</f>
        <v>5.9818953474544792</v>
      </c>
      <c r="L389" s="46">
        <f t="array" ref="L389">IF(SUMIF(Производство!$A$104:$A$145,Технологи!$B389,Производство!I$104:I$145)&gt;0,SUMIF(Производство!$A$104:$A$145,Технологи!$B389,Производство!I$104:I$145)*$F389+$G389,0)</f>
        <v>5.5575639534745456</v>
      </c>
      <c r="M389" s="46">
        <f t="array" ref="M389">IF(SUMIF(Производство!$A$104:$A$145,Технологи!$B389,Производство!J$104:J$145)&gt;0,SUMIF(Производство!$A$104:$A$145,Технологи!$B389,Производство!J$104:J$145)*$F389+$G389,0)</f>
        <v>5.5575639534745456</v>
      </c>
      <c r="N389" s="46">
        <f t="array" ref="N389">IF(SUMIF(Производство!$A$104:$A$145,Технологи!$B389,Производство!K$104:K$145)&gt;0,SUMIF(Производство!$A$104:$A$145,Технологи!$B389,Производство!K$104:K$145)*$F389+$G389,0)</f>
        <v>5.5575639534745456</v>
      </c>
      <c r="O389" s="46">
        <f t="array" ref="O389">IF(SUMIF(Производство!$A$104:$A$145,Технологи!$B389,Производство!L$104:L$145)&gt;0,SUMIF(Производство!$A$104:$A$145,Технологи!$B389,Производство!L$104:L$145)*$F389+$G389,0)</f>
        <v>5.5575639534745456</v>
      </c>
      <c r="P389" s="46">
        <f t="array" ref="P389">IF(SUMIF(Производство!$A$104:$A$145,Технологи!$B389,Производство!M$104:M$145)&gt;0,SUMIF(Производство!$A$104:$A$145,Технологи!$B389,Производство!M$104:M$145)*$F389+$G389,0)</f>
        <v>5.5575639534745456</v>
      </c>
      <c r="Q389" s="46">
        <f t="array" ref="Q389">IF(SUMIF(Производство!$A$104:$A$145,Технологи!$B389,Производство!N$104:N$145)&gt;0,SUMIF(Производство!$A$104:$A$145,Технологи!$B389,Производство!N$104:N$145)*$F389+$G389,0)</f>
        <v>5.5575639534745456</v>
      </c>
      <c r="R389" s="46">
        <f t="array" ref="R389">IF(SUMIF(Производство!$A$104:$A$145,Технологи!$B389,Производство!O$104:O$145)&gt;0,SUMIF(Производство!$A$104:$A$145,Технологи!$B389,Производство!O$104:O$145)*$F389+$G389,0)</f>
        <v>5.5575639534745456</v>
      </c>
      <c r="S389" s="46">
        <f t="array" ref="S389">IF(SUMIF(Производство!$A$104:$A$145,Технологи!$B389,Производство!P$104:P$145)&gt;0,SUMIF(Производство!$A$104:$A$145,Технологи!$B389,Производство!P$104:P$145)*$F389+$G389,0)</f>
        <v>5.5575639534745456</v>
      </c>
      <c r="T389" s="46">
        <f t="array" ref="T389">IF(SUMIF(Производство!$A$104:$A$145,Технологи!$B389,Производство!Q$104:Q$145)&gt;0,SUMIF(Производство!$A$104:$A$145,Технологи!$B389,Производство!Q$104:Q$145)*$F389+$G389,0)</f>
        <v>5.5575639534745456</v>
      </c>
    </row>
    <row r="390" spans="1:20" x14ac:dyDescent="0.25">
      <c r="A390" s="34" t="s">
        <v>377</v>
      </c>
      <c r="B390" s="13" t="s">
        <v>42</v>
      </c>
      <c r="C390" s="19" t="s">
        <v>19</v>
      </c>
      <c r="D390" s="14">
        <v>7038</v>
      </c>
      <c r="E390" s="20"/>
      <c r="F390" s="24">
        <v>0.44811000000000006</v>
      </c>
      <c r="G390" s="24">
        <v>15.683850000000001</v>
      </c>
      <c r="H390" s="23">
        <f t="shared" si="18"/>
        <v>448.11000000000007</v>
      </c>
      <c r="I390" s="46">
        <f t="array" ref="I390">IF(SUMIF(Производство!$A$104:$A$145,Технологи!$B390,Производство!F$104:F$145)&gt;0,SUMIF(Производство!$A$104:$A$145,Технологи!$B390,Производство!F$104:F$145)*$F390+$G390,0)</f>
        <v>1136.8550700000001</v>
      </c>
      <c r="J390" s="46">
        <f t="array" ref="J390">IF(SUMIF(Производство!$A$104:$A$145,Технологи!$B390,Производство!G$104:G$145)&gt;0,SUMIF(Производство!$A$104:$A$145,Технологи!$B390,Производство!G$104:G$145)*$F390+$G390,0)</f>
        <v>1136.8550700000001</v>
      </c>
      <c r="K390" s="46">
        <f t="array" ref="K390">IF(SUMIF(Производство!$A$104:$A$145,Технологи!$B390,Производство!H$104:H$145)&gt;0,SUMIF(Производство!$A$104:$A$145,Технологи!$B390,Производство!H$104:H$145)*$F390+$G390,0)</f>
        <v>1225.5808500000003</v>
      </c>
      <c r="L390" s="46">
        <f t="array" ref="L390">IF(SUMIF(Производство!$A$104:$A$145,Технологи!$B390,Производство!I$104:I$145)&gt;0,SUMIF(Производство!$A$104:$A$145,Технологи!$B390,Производство!I$104:I$145)*$F390+$G390,0)</f>
        <v>1136.8550700000001</v>
      </c>
      <c r="M390" s="46">
        <f t="array" ref="M390">IF(SUMIF(Производство!$A$104:$A$145,Технологи!$B390,Производство!J$104:J$145)&gt;0,SUMIF(Производство!$A$104:$A$145,Технологи!$B390,Производство!J$104:J$145)*$F390+$G390,0)</f>
        <v>1136.8550700000001</v>
      </c>
      <c r="N390" s="46">
        <f t="array" ref="N390">IF(SUMIF(Производство!$A$104:$A$145,Технологи!$B390,Производство!K$104:K$145)&gt;0,SUMIF(Производство!$A$104:$A$145,Технологи!$B390,Производство!K$104:K$145)*$F390+$G390,0)</f>
        <v>1136.8550700000001</v>
      </c>
      <c r="O390" s="46">
        <f t="array" ref="O390">IF(SUMIF(Производство!$A$104:$A$145,Технологи!$B390,Производство!L$104:L$145)&gt;0,SUMIF(Производство!$A$104:$A$145,Технологи!$B390,Производство!L$104:L$145)*$F390+$G390,0)</f>
        <v>1136.8550700000001</v>
      </c>
      <c r="P390" s="46">
        <f t="array" ref="P390">IF(SUMIF(Производство!$A$104:$A$145,Технологи!$B390,Производство!M$104:M$145)&gt;0,SUMIF(Производство!$A$104:$A$145,Технологи!$B390,Производство!M$104:M$145)*$F390+$G390,0)</f>
        <v>1136.8550700000001</v>
      </c>
      <c r="Q390" s="46">
        <f t="array" ref="Q390">IF(SUMIF(Производство!$A$104:$A$145,Технологи!$B390,Производство!N$104:N$145)&gt;0,SUMIF(Производство!$A$104:$A$145,Технологи!$B390,Производство!N$104:N$145)*$F390+$G390,0)</f>
        <v>1136.8550700000001</v>
      </c>
      <c r="R390" s="46">
        <f t="array" ref="R390">IF(SUMIF(Производство!$A$104:$A$145,Технологи!$B390,Производство!O$104:O$145)&gt;0,SUMIF(Производство!$A$104:$A$145,Технологи!$B390,Производство!O$104:O$145)*$F390+$G390,0)</f>
        <v>1136.8550700000001</v>
      </c>
      <c r="S390" s="46">
        <f t="array" ref="S390">IF(SUMIF(Производство!$A$104:$A$145,Технологи!$B390,Производство!P$104:P$145)&gt;0,SUMIF(Производство!$A$104:$A$145,Технологи!$B390,Производство!P$104:P$145)*$F390+$G390,0)</f>
        <v>1136.8550700000001</v>
      </c>
      <c r="T390" s="46">
        <f t="array" ref="T390">IF(SUMIF(Производство!$A$104:$A$145,Технологи!$B390,Производство!Q$104:Q$145)&gt;0,SUMIF(Производство!$A$104:$A$145,Технологи!$B390,Производство!Q$104:Q$145)*$F390+$G390,0)</f>
        <v>1136.8550700000001</v>
      </c>
    </row>
    <row r="391" spans="1:20" x14ac:dyDescent="0.25">
      <c r="A391" s="34" t="s">
        <v>377</v>
      </c>
      <c r="B391" s="13" t="s">
        <v>42</v>
      </c>
      <c r="C391" s="19" t="s">
        <v>20</v>
      </c>
      <c r="D391" s="14">
        <v>7038</v>
      </c>
      <c r="E391" s="20"/>
      <c r="F391" s="24">
        <v>4.0799999999999996E-2</v>
      </c>
      <c r="G391" s="24">
        <v>0.61199999999999999</v>
      </c>
      <c r="H391" s="23">
        <f t="shared" si="18"/>
        <v>40.799999999999997</v>
      </c>
      <c r="I391" s="46">
        <f t="array" ref="I391">IF(SUMIF(Производство!$A$104:$A$145,Технологи!$B391,Производство!F$104:F$145)&gt;0,SUMIF(Производство!$A$104:$A$145,Технологи!$B391,Производство!F$104:F$145)*$F391+$G391,0)</f>
        <v>102.69359999999999</v>
      </c>
      <c r="J391" s="46">
        <f t="array" ref="J391">IF(SUMIF(Производство!$A$104:$A$145,Технологи!$B391,Производство!G$104:G$145)&gt;0,SUMIF(Производство!$A$104:$A$145,Технологи!$B391,Производство!G$104:G$145)*$F391+$G391,0)</f>
        <v>102.69359999999999</v>
      </c>
      <c r="K391" s="46">
        <f t="array" ref="K391">IF(SUMIF(Производство!$A$104:$A$145,Технологи!$B391,Производство!H$104:H$145)&gt;0,SUMIF(Производство!$A$104:$A$145,Технологи!$B391,Производство!H$104:H$145)*$F391+$G391,0)</f>
        <v>110.77200000000001</v>
      </c>
      <c r="L391" s="46">
        <f t="array" ref="L391">IF(SUMIF(Производство!$A$104:$A$145,Технологи!$B391,Производство!I$104:I$145)&gt;0,SUMIF(Производство!$A$104:$A$145,Технологи!$B391,Производство!I$104:I$145)*$F391+$G391,0)</f>
        <v>102.69359999999999</v>
      </c>
      <c r="M391" s="46">
        <f t="array" ref="M391">IF(SUMIF(Производство!$A$104:$A$145,Технологи!$B391,Производство!J$104:J$145)&gt;0,SUMIF(Производство!$A$104:$A$145,Технологи!$B391,Производство!J$104:J$145)*$F391+$G391,0)</f>
        <v>102.69359999999999</v>
      </c>
      <c r="N391" s="46">
        <f t="array" ref="N391">IF(SUMIF(Производство!$A$104:$A$145,Технологи!$B391,Производство!K$104:K$145)&gt;0,SUMIF(Производство!$A$104:$A$145,Технологи!$B391,Производство!K$104:K$145)*$F391+$G391,0)</f>
        <v>102.69359999999999</v>
      </c>
      <c r="O391" s="46">
        <f t="array" ref="O391">IF(SUMIF(Производство!$A$104:$A$145,Технологи!$B391,Производство!L$104:L$145)&gt;0,SUMIF(Производство!$A$104:$A$145,Технологи!$B391,Производство!L$104:L$145)*$F391+$G391,0)</f>
        <v>102.69359999999999</v>
      </c>
      <c r="P391" s="46">
        <f t="array" ref="P391">IF(SUMIF(Производство!$A$104:$A$145,Технологи!$B391,Производство!M$104:M$145)&gt;0,SUMIF(Производство!$A$104:$A$145,Технологи!$B391,Производство!M$104:M$145)*$F391+$G391,0)</f>
        <v>102.69359999999999</v>
      </c>
      <c r="Q391" s="46">
        <f t="array" ref="Q391">IF(SUMIF(Производство!$A$104:$A$145,Технологи!$B391,Производство!N$104:N$145)&gt;0,SUMIF(Производство!$A$104:$A$145,Технологи!$B391,Производство!N$104:N$145)*$F391+$G391,0)</f>
        <v>102.69359999999999</v>
      </c>
      <c r="R391" s="46">
        <f t="array" ref="R391">IF(SUMIF(Производство!$A$104:$A$145,Технологи!$B391,Производство!O$104:O$145)&gt;0,SUMIF(Производство!$A$104:$A$145,Технологи!$B391,Производство!O$104:O$145)*$F391+$G391,0)</f>
        <v>102.69359999999999</v>
      </c>
      <c r="S391" s="46">
        <f t="array" ref="S391">IF(SUMIF(Производство!$A$104:$A$145,Технологи!$B391,Производство!P$104:P$145)&gt;0,SUMIF(Производство!$A$104:$A$145,Технологи!$B391,Производство!P$104:P$145)*$F391+$G391,0)</f>
        <v>102.69359999999999</v>
      </c>
      <c r="T391" s="46">
        <f t="array" ref="T391">IF(SUMIF(Производство!$A$104:$A$145,Технологи!$B391,Производство!Q$104:Q$145)&gt;0,SUMIF(Производство!$A$104:$A$145,Технологи!$B391,Производство!Q$104:Q$145)*$F391+$G391,0)</f>
        <v>102.69359999999999</v>
      </c>
    </row>
    <row r="392" spans="1:20" x14ac:dyDescent="0.25">
      <c r="A392" s="34" t="s">
        <v>377</v>
      </c>
      <c r="B392" s="13" t="s">
        <v>42</v>
      </c>
      <c r="C392" s="19" t="s">
        <v>21</v>
      </c>
      <c r="D392" s="14">
        <v>7038</v>
      </c>
      <c r="E392" s="20"/>
      <c r="F392" s="24">
        <v>0</v>
      </c>
      <c r="G392" s="24">
        <v>0</v>
      </c>
      <c r="H392" s="23">
        <f t="shared" si="18"/>
        <v>0</v>
      </c>
      <c r="I392" s="46">
        <f t="array" ref="I392">IF(SUMIF(Производство!$A$104:$A$145,Технологи!$B392,Производство!F$104:F$145)&gt;0,SUMIF(Производство!$A$104:$A$145,Технологи!$B392,Производство!F$104:F$145)*$F392+$G392,0)</f>
        <v>0</v>
      </c>
      <c r="J392" s="46">
        <f t="array" ref="J392">IF(SUMIF(Производство!$A$104:$A$145,Технологи!$B392,Производство!G$104:G$145)&gt;0,SUMIF(Производство!$A$104:$A$145,Технологи!$B392,Производство!G$104:G$145)*$F392+$G392,0)</f>
        <v>0</v>
      </c>
      <c r="K392" s="46">
        <f t="array" ref="K392">IF(SUMIF(Производство!$A$104:$A$145,Технологи!$B392,Производство!H$104:H$145)&gt;0,SUMIF(Производство!$A$104:$A$145,Технологи!$B392,Производство!H$104:H$145)*$F392+$G392,0)</f>
        <v>0</v>
      </c>
      <c r="L392" s="46">
        <f t="array" ref="L392">IF(SUMIF(Производство!$A$104:$A$145,Технологи!$B392,Производство!I$104:I$145)&gt;0,SUMIF(Производство!$A$104:$A$145,Технологи!$B392,Производство!I$104:I$145)*$F392+$G392,0)</f>
        <v>0</v>
      </c>
      <c r="M392" s="46">
        <f t="array" ref="M392">IF(SUMIF(Производство!$A$104:$A$145,Технологи!$B392,Производство!J$104:J$145)&gt;0,SUMIF(Производство!$A$104:$A$145,Технологи!$B392,Производство!J$104:J$145)*$F392+$G392,0)</f>
        <v>0</v>
      </c>
      <c r="N392" s="46">
        <f t="array" ref="N392">IF(SUMIF(Производство!$A$104:$A$145,Технологи!$B392,Производство!K$104:K$145)&gt;0,SUMIF(Производство!$A$104:$A$145,Технологи!$B392,Производство!K$104:K$145)*$F392+$G392,0)</f>
        <v>0</v>
      </c>
      <c r="O392" s="46">
        <f t="array" ref="O392">IF(SUMIF(Производство!$A$104:$A$145,Технологи!$B392,Производство!L$104:L$145)&gt;0,SUMIF(Производство!$A$104:$A$145,Технологи!$B392,Производство!L$104:L$145)*$F392+$G392,0)</f>
        <v>0</v>
      </c>
      <c r="P392" s="46">
        <f t="array" ref="P392">IF(SUMIF(Производство!$A$104:$A$145,Технологи!$B392,Производство!M$104:M$145)&gt;0,SUMIF(Производство!$A$104:$A$145,Технологи!$B392,Производство!M$104:M$145)*$F392+$G392,0)</f>
        <v>0</v>
      </c>
      <c r="Q392" s="46">
        <f t="array" ref="Q392">IF(SUMIF(Производство!$A$104:$A$145,Технологи!$B392,Производство!N$104:N$145)&gt;0,SUMIF(Производство!$A$104:$A$145,Технологи!$B392,Производство!N$104:N$145)*$F392+$G392,0)</f>
        <v>0</v>
      </c>
      <c r="R392" s="46">
        <f t="array" ref="R392">IF(SUMIF(Производство!$A$104:$A$145,Технологи!$B392,Производство!O$104:O$145)&gt;0,SUMIF(Производство!$A$104:$A$145,Технологи!$B392,Производство!O$104:O$145)*$F392+$G392,0)</f>
        <v>0</v>
      </c>
      <c r="S392" s="46">
        <f t="array" ref="S392">IF(SUMIF(Производство!$A$104:$A$145,Технологи!$B392,Производство!P$104:P$145)&gt;0,SUMIF(Производство!$A$104:$A$145,Технологи!$B392,Производство!P$104:P$145)*$F392+$G392,0)</f>
        <v>0</v>
      </c>
      <c r="T392" s="46">
        <f t="array" ref="T392">IF(SUMIF(Производство!$A$104:$A$145,Технологи!$B392,Производство!Q$104:Q$145)&gt;0,SUMIF(Производство!$A$104:$A$145,Технологи!$B392,Производство!Q$104:Q$145)*$F392+$G392,0)</f>
        <v>0</v>
      </c>
    </row>
    <row r="393" spans="1:20" x14ac:dyDescent="0.25">
      <c r="A393" s="34" t="s">
        <v>377</v>
      </c>
      <c r="B393" s="13" t="s">
        <v>42</v>
      </c>
      <c r="C393" s="19" t="s">
        <v>22</v>
      </c>
      <c r="D393" s="14">
        <v>7038</v>
      </c>
      <c r="E393" s="20"/>
      <c r="F393" s="24">
        <v>4.4999999999999998E-2</v>
      </c>
      <c r="G393" s="24">
        <v>0.67500000000000004</v>
      </c>
      <c r="H393" s="23">
        <f t="shared" si="18"/>
        <v>45</v>
      </c>
      <c r="I393" s="46">
        <f t="array" ref="I393">IF(SUMIF(Производство!$A$104:$A$145,Технологи!$B393,Производство!F$104:F$145)&gt;0,SUMIF(Производство!$A$104:$A$145,Технологи!$B393,Производство!F$104:F$145)*$F393+$G393,0)</f>
        <v>113.26499999999999</v>
      </c>
      <c r="J393" s="46">
        <f t="array" ref="J393">IF(SUMIF(Производство!$A$104:$A$145,Технологи!$B393,Производство!G$104:G$145)&gt;0,SUMIF(Производство!$A$104:$A$145,Технологи!$B393,Производство!G$104:G$145)*$F393+$G393,0)</f>
        <v>113.26499999999999</v>
      </c>
      <c r="K393" s="46">
        <f t="array" ref="K393">IF(SUMIF(Производство!$A$104:$A$145,Технологи!$B393,Производство!H$104:H$145)&gt;0,SUMIF(Производство!$A$104:$A$145,Технологи!$B393,Производство!H$104:H$145)*$F393+$G393,0)</f>
        <v>122.17500000000001</v>
      </c>
      <c r="L393" s="46">
        <f t="array" ref="L393">IF(SUMIF(Производство!$A$104:$A$145,Технологи!$B393,Производство!I$104:I$145)&gt;0,SUMIF(Производство!$A$104:$A$145,Технологи!$B393,Производство!I$104:I$145)*$F393+$G393,0)</f>
        <v>113.26499999999999</v>
      </c>
      <c r="M393" s="46">
        <f t="array" ref="M393">IF(SUMIF(Производство!$A$104:$A$145,Технологи!$B393,Производство!J$104:J$145)&gt;0,SUMIF(Производство!$A$104:$A$145,Технологи!$B393,Производство!J$104:J$145)*$F393+$G393,0)</f>
        <v>113.26499999999999</v>
      </c>
      <c r="N393" s="46">
        <f t="array" ref="N393">IF(SUMIF(Производство!$A$104:$A$145,Технологи!$B393,Производство!K$104:K$145)&gt;0,SUMIF(Производство!$A$104:$A$145,Технологи!$B393,Производство!K$104:K$145)*$F393+$G393,0)</f>
        <v>113.26499999999999</v>
      </c>
      <c r="O393" s="46">
        <f t="array" ref="O393">IF(SUMIF(Производство!$A$104:$A$145,Технологи!$B393,Производство!L$104:L$145)&gt;0,SUMIF(Производство!$A$104:$A$145,Технологи!$B393,Производство!L$104:L$145)*$F393+$G393,0)</f>
        <v>113.26499999999999</v>
      </c>
      <c r="P393" s="46">
        <f t="array" ref="P393">IF(SUMIF(Производство!$A$104:$A$145,Технологи!$B393,Производство!M$104:M$145)&gt;0,SUMIF(Производство!$A$104:$A$145,Технологи!$B393,Производство!M$104:M$145)*$F393+$G393,0)</f>
        <v>113.26499999999999</v>
      </c>
      <c r="Q393" s="46">
        <f t="array" ref="Q393">IF(SUMIF(Производство!$A$104:$A$145,Технологи!$B393,Производство!N$104:N$145)&gt;0,SUMIF(Производство!$A$104:$A$145,Технологи!$B393,Производство!N$104:N$145)*$F393+$G393,0)</f>
        <v>113.26499999999999</v>
      </c>
      <c r="R393" s="46">
        <f t="array" ref="R393">IF(SUMIF(Производство!$A$104:$A$145,Технологи!$B393,Производство!O$104:O$145)&gt;0,SUMIF(Производство!$A$104:$A$145,Технологи!$B393,Производство!O$104:O$145)*$F393+$G393,0)</f>
        <v>113.26499999999999</v>
      </c>
      <c r="S393" s="46">
        <f t="array" ref="S393">IF(SUMIF(Производство!$A$104:$A$145,Технологи!$B393,Производство!P$104:P$145)&gt;0,SUMIF(Производство!$A$104:$A$145,Технологи!$B393,Производство!P$104:P$145)*$F393+$G393,0)</f>
        <v>113.26499999999999</v>
      </c>
      <c r="T393" s="46">
        <f t="array" ref="T393">IF(SUMIF(Производство!$A$104:$A$145,Технологи!$B393,Производство!Q$104:Q$145)&gt;0,SUMIF(Производство!$A$104:$A$145,Технологи!$B393,Производство!Q$104:Q$145)*$F393+$G393,0)</f>
        <v>113.26499999999999</v>
      </c>
    </row>
    <row r="394" spans="1:20" x14ac:dyDescent="0.25">
      <c r="A394" s="34" t="s">
        <v>377</v>
      </c>
      <c r="B394" s="13" t="s">
        <v>42</v>
      </c>
      <c r="C394" s="19" t="s">
        <v>23</v>
      </c>
      <c r="D394" s="14">
        <v>7038</v>
      </c>
      <c r="E394" s="20"/>
      <c r="F394" s="24">
        <v>0</v>
      </c>
      <c r="G394" s="24">
        <v>0</v>
      </c>
      <c r="H394" s="23">
        <f t="shared" si="18"/>
        <v>0</v>
      </c>
      <c r="I394" s="46">
        <f t="array" ref="I394">IF(SUMIF(Производство!$A$104:$A$145,Технологи!$B394,Производство!F$104:F$145)&gt;0,SUMIF(Производство!$A$104:$A$145,Технологи!$B394,Производство!F$104:F$145)*$F394+$G394,0)</f>
        <v>0</v>
      </c>
      <c r="J394" s="46">
        <f t="array" ref="J394">IF(SUMIF(Производство!$A$104:$A$145,Технологи!$B394,Производство!G$104:G$145)&gt;0,SUMIF(Производство!$A$104:$A$145,Технологи!$B394,Производство!G$104:G$145)*$F394+$G394,0)</f>
        <v>0</v>
      </c>
      <c r="K394" s="46">
        <f t="array" ref="K394">IF(SUMIF(Производство!$A$104:$A$145,Технологи!$B394,Производство!H$104:H$145)&gt;0,SUMIF(Производство!$A$104:$A$145,Технологи!$B394,Производство!H$104:H$145)*$F394+$G394,0)</f>
        <v>0</v>
      </c>
      <c r="L394" s="46">
        <f t="array" ref="L394">IF(SUMIF(Производство!$A$104:$A$145,Технологи!$B394,Производство!I$104:I$145)&gt;0,SUMIF(Производство!$A$104:$A$145,Технологи!$B394,Производство!I$104:I$145)*$F394+$G394,0)</f>
        <v>0</v>
      </c>
      <c r="M394" s="46">
        <f t="array" ref="M394">IF(SUMIF(Производство!$A$104:$A$145,Технологи!$B394,Производство!J$104:J$145)&gt;0,SUMIF(Производство!$A$104:$A$145,Технологи!$B394,Производство!J$104:J$145)*$F394+$G394,0)</f>
        <v>0</v>
      </c>
      <c r="N394" s="46">
        <f t="array" ref="N394">IF(SUMIF(Производство!$A$104:$A$145,Технологи!$B394,Производство!K$104:K$145)&gt;0,SUMIF(Производство!$A$104:$A$145,Технологи!$B394,Производство!K$104:K$145)*$F394+$G394,0)</f>
        <v>0</v>
      </c>
      <c r="O394" s="46">
        <f t="array" ref="O394">IF(SUMIF(Производство!$A$104:$A$145,Технологи!$B394,Производство!L$104:L$145)&gt;0,SUMIF(Производство!$A$104:$A$145,Технологи!$B394,Производство!L$104:L$145)*$F394+$G394,0)</f>
        <v>0</v>
      </c>
      <c r="P394" s="46">
        <f t="array" ref="P394">IF(SUMIF(Производство!$A$104:$A$145,Технологи!$B394,Производство!M$104:M$145)&gt;0,SUMIF(Производство!$A$104:$A$145,Технологи!$B394,Производство!M$104:M$145)*$F394+$G394,0)</f>
        <v>0</v>
      </c>
      <c r="Q394" s="46">
        <f t="array" ref="Q394">IF(SUMIF(Производство!$A$104:$A$145,Технологи!$B394,Производство!N$104:N$145)&gt;0,SUMIF(Производство!$A$104:$A$145,Технологи!$B394,Производство!N$104:N$145)*$F394+$G394,0)</f>
        <v>0</v>
      </c>
      <c r="R394" s="46">
        <f t="array" ref="R394">IF(SUMIF(Производство!$A$104:$A$145,Технологи!$B394,Производство!O$104:O$145)&gt;0,SUMIF(Производство!$A$104:$A$145,Технологи!$B394,Производство!O$104:O$145)*$F394+$G394,0)</f>
        <v>0</v>
      </c>
      <c r="S394" s="46">
        <f t="array" ref="S394">IF(SUMIF(Производство!$A$104:$A$145,Технологи!$B394,Производство!P$104:P$145)&gt;0,SUMIF(Производство!$A$104:$A$145,Технологи!$B394,Производство!P$104:P$145)*$F394+$G394,0)</f>
        <v>0</v>
      </c>
      <c r="T394" s="46">
        <f t="array" ref="T394">IF(SUMIF(Производство!$A$104:$A$145,Технологи!$B394,Производство!Q$104:Q$145)&gt;0,SUMIF(Производство!$A$104:$A$145,Технологи!$B394,Производство!Q$104:Q$145)*$F394+$G394,0)</f>
        <v>0</v>
      </c>
    </row>
    <row r="395" spans="1:20" x14ac:dyDescent="0.25">
      <c r="A395" s="34" t="s">
        <v>377</v>
      </c>
      <c r="B395" s="13" t="s">
        <v>44</v>
      </c>
      <c r="C395" s="15" t="s">
        <v>11</v>
      </c>
      <c r="D395" s="14">
        <v>7038</v>
      </c>
      <c r="E395" s="16">
        <v>1.1789999999999998</v>
      </c>
      <c r="F395" s="22">
        <f>SUM(F396:F407)</f>
        <v>1.1809897327294687</v>
      </c>
      <c r="G395" s="22">
        <f>SUM(G396:G407)</f>
        <v>52.84859999999999</v>
      </c>
      <c r="H395" s="23">
        <f t="shared" si="18"/>
        <v>1180.9897327294686</v>
      </c>
      <c r="I395" s="46">
        <f t="array" ref="I395">IF(SUMIF(Производство!$A$104:$A$145,Технологи!$B395,Производство!F$104:F$145)&gt;0,SUMIF(Производство!$A$104:$A$145,Технологи!$B395,Производство!F$104:F$145)*$F395+$G395,0)</f>
        <v>648.06742529565224</v>
      </c>
      <c r="J395" s="46">
        <f t="array" ref="J395">IF(SUMIF(Производство!$A$104:$A$145,Технологи!$B395,Производство!G$104:G$145)&gt;0,SUMIF(Производство!$A$104:$A$145,Технологи!$B395,Производство!G$104:G$145)*$F395+$G395,0)</f>
        <v>648.06742529565224</v>
      </c>
      <c r="K395" s="46">
        <f t="array" ref="K395">IF(SUMIF(Производство!$A$104:$A$145,Технологи!$B395,Производство!H$104:H$145)&gt;0,SUMIF(Производство!$A$104:$A$145,Технологи!$B395,Производство!H$104:H$145)*$F395+$G395,0)</f>
        <v>648.06742529565224</v>
      </c>
      <c r="L395" s="46">
        <f t="array" ref="L395">IF(SUMIF(Производство!$A$104:$A$145,Технологи!$B395,Производство!I$104:I$145)&gt;0,SUMIF(Производство!$A$104:$A$145,Технологи!$B395,Производство!I$104:I$145)*$F395+$G395,0)</f>
        <v>648.06742529565224</v>
      </c>
      <c r="M395" s="46">
        <f t="array" ref="M395">IF(SUMIF(Производство!$A$104:$A$145,Технологи!$B395,Производство!J$104:J$145)&gt;0,SUMIF(Производство!$A$104:$A$145,Технологи!$B395,Производство!J$104:J$145)*$F395+$G395,0)</f>
        <v>648.06742529565224</v>
      </c>
      <c r="N395" s="46">
        <f t="array" ref="N395">IF(SUMIF(Производство!$A$104:$A$145,Технологи!$B395,Производство!K$104:K$145)&gt;0,SUMIF(Производство!$A$104:$A$145,Технологи!$B395,Производство!K$104:K$145)*$F395+$G395,0)</f>
        <v>648.06742529565224</v>
      </c>
      <c r="O395" s="46">
        <f t="array" ref="O395">IF(SUMIF(Производство!$A$104:$A$145,Технологи!$B395,Производство!L$104:L$145)&gt;0,SUMIF(Производство!$A$104:$A$145,Технологи!$B395,Производство!L$104:L$145)*$F395+$G395,0)</f>
        <v>648.06742529565224</v>
      </c>
      <c r="P395" s="46">
        <f t="array" ref="P395">IF(SUMIF(Производство!$A$104:$A$145,Технологи!$B395,Производство!M$104:M$145)&gt;0,SUMIF(Производство!$A$104:$A$145,Технологи!$B395,Производство!M$104:M$145)*$F395+$G395,0)</f>
        <v>648.06742529565224</v>
      </c>
      <c r="Q395" s="46">
        <f t="array" ref="Q395">IF(SUMIF(Производство!$A$104:$A$145,Технологи!$B395,Производство!N$104:N$145)&gt;0,SUMIF(Производство!$A$104:$A$145,Технологи!$B395,Производство!N$104:N$145)*$F395+$G395,0)</f>
        <v>648.06742529565224</v>
      </c>
      <c r="R395" s="46">
        <f t="array" ref="R395">IF(SUMIF(Производство!$A$104:$A$145,Технологи!$B395,Производство!O$104:O$145)&gt;0,SUMIF(Производство!$A$104:$A$145,Технологи!$B395,Производство!O$104:O$145)*$F395+$G395,0)</f>
        <v>648.06742529565224</v>
      </c>
      <c r="S395" s="46">
        <f t="array" ref="S395">IF(SUMIF(Производство!$A$104:$A$145,Технологи!$B395,Производство!P$104:P$145)&gt;0,SUMIF(Производство!$A$104:$A$145,Технологи!$B395,Производство!P$104:P$145)*$F395+$G395,0)</f>
        <v>648.06742529565224</v>
      </c>
      <c r="T395" s="46">
        <f t="array" ref="T395">IF(SUMIF(Производство!$A$104:$A$145,Технологи!$B395,Производство!Q$104:Q$145)&gt;0,SUMIF(Производство!$A$104:$A$145,Технологи!$B395,Производство!Q$104:Q$145)*$F395+$G395,0)</f>
        <v>648.06742529565224</v>
      </c>
    </row>
    <row r="396" spans="1:20" x14ac:dyDescent="0.25">
      <c r="A396" s="34" t="s">
        <v>377</v>
      </c>
      <c r="B396" s="13" t="s">
        <v>44</v>
      </c>
      <c r="C396" s="19" t="s">
        <v>12</v>
      </c>
      <c r="D396" s="14">
        <v>7038</v>
      </c>
      <c r="E396" s="20"/>
      <c r="F396" s="24">
        <v>0.30807862318840568</v>
      </c>
      <c r="G396" s="24">
        <v>20.948987365291707</v>
      </c>
      <c r="H396" s="23">
        <f t="shared" si="18"/>
        <v>308.07862318840569</v>
      </c>
      <c r="I396" s="46">
        <f t="array" ref="I396">IF(SUMIF(Производство!$A$104:$A$145,Технологи!$B396,Производство!F$104:F$145)&gt;0,SUMIF(Производство!$A$104:$A$145,Технологи!$B396,Производство!F$104:F$145)*$F396+$G396,0)</f>
        <v>176.22061345224819</v>
      </c>
      <c r="J396" s="46">
        <f t="array" ref="J396">IF(SUMIF(Производство!$A$104:$A$145,Технологи!$B396,Производство!G$104:G$145)&gt;0,SUMIF(Производство!$A$104:$A$145,Технологи!$B396,Производство!G$104:G$145)*$F396+$G396,0)</f>
        <v>176.22061345224819</v>
      </c>
      <c r="K396" s="46">
        <f t="array" ref="K396">IF(SUMIF(Производство!$A$104:$A$145,Технологи!$B396,Производство!H$104:H$145)&gt;0,SUMIF(Производство!$A$104:$A$145,Технологи!$B396,Производство!H$104:H$145)*$F396+$G396,0)</f>
        <v>176.22061345224819</v>
      </c>
      <c r="L396" s="46">
        <f t="array" ref="L396">IF(SUMIF(Производство!$A$104:$A$145,Технологи!$B396,Производство!I$104:I$145)&gt;0,SUMIF(Производство!$A$104:$A$145,Технологи!$B396,Производство!I$104:I$145)*$F396+$G396,0)</f>
        <v>176.22061345224819</v>
      </c>
      <c r="M396" s="46">
        <f t="array" ref="M396">IF(SUMIF(Производство!$A$104:$A$145,Технологи!$B396,Производство!J$104:J$145)&gt;0,SUMIF(Производство!$A$104:$A$145,Технологи!$B396,Производство!J$104:J$145)*$F396+$G396,0)</f>
        <v>176.22061345224819</v>
      </c>
      <c r="N396" s="46">
        <f t="array" ref="N396">IF(SUMIF(Производство!$A$104:$A$145,Технологи!$B396,Производство!K$104:K$145)&gt;0,SUMIF(Производство!$A$104:$A$145,Технологи!$B396,Производство!K$104:K$145)*$F396+$G396,0)</f>
        <v>176.22061345224819</v>
      </c>
      <c r="O396" s="46">
        <f t="array" ref="O396">IF(SUMIF(Производство!$A$104:$A$145,Технологи!$B396,Производство!L$104:L$145)&gt;0,SUMIF(Производство!$A$104:$A$145,Технологи!$B396,Производство!L$104:L$145)*$F396+$G396,0)</f>
        <v>176.22061345224819</v>
      </c>
      <c r="P396" s="46">
        <f t="array" ref="P396">IF(SUMIF(Производство!$A$104:$A$145,Технологи!$B396,Производство!M$104:M$145)&gt;0,SUMIF(Производство!$A$104:$A$145,Технологи!$B396,Производство!M$104:M$145)*$F396+$G396,0)</f>
        <v>176.22061345224819</v>
      </c>
      <c r="Q396" s="46">
        <f t="array" ref="Q396">IF(SUMIF(Производство!$A$104:$A$145,Технологи!$B396,Производство!N$104:N$145)&gt;0,SUMIF(Производство!$A$104:$A$145,Технологи!$B396,Производство!N$104:N$145)*$F396+$G396,0)</f>
        <v>176.22061345224819</v>
      </c>
      <c r="R396" s="46">
        <f t="array" ref="R396">IF(SUMIF(Производство!$A$104:$A$145,Технологи!$B396,Производство!O$104:O$145)&gt;0,SUMIF(Производство!$A$104:$A$145,Технологи!$B396,Производство!O$104:O$145)*$F396+$G396,0)</f>
        <v>176.22061345224819</v>
      </c>
      <c r="S396" s="46">
        <f t="array" ref="S396">IF(SUMIF(Производство!$A$104:$A$145,Технологи!$B396,Производство!P$104:P$145)&gt;0,SUMIF(Производство!$A$104:$A$145,Технологи!$B396,Производство!P$104:P$145)*$F396+$G396,0)</f>
        <v>176.22061345224819</v>
      </c>
      <c r="T396" s="46">
        <f t="array" ref="T396">IF(SUMIF(Производство!$A$104:$A$145,Технологи!$B396,Производство!Q$104:Q$145)&gt;0,SUMIF(Производство!$A$104:$A$145,Технологи!$B396,Производство!Q$104:Q$145)*$F396+$G396,0)</f>
        <v>176.22061345224819</v>
      </c>
    </row>
    <row r="397" spans="1:20" x14ac:dyDescent="0.25">
      <c r="A397" s="34" t="s">
        <v>377</v>
      </c>
      <c r="B397" s="13" t="s">
        <v>44</v>
      </c>
      <c r="C397" s="19" t="s">
        <v>13</v>
      </c>
      <c r="D397" s="14">
        <v>7038</v>
      </c>
      <c r="E397" s="20"/>
      <c r="F397" s="24">
        <v>9.2883405797101443E-2</v>
      </c>
      <c r="G397" s="24">
        <v>6.284696209587513</v>
      </c>
      <c r="H397" s="23">
        <f t="shared" si="18"/>
        <v>92.883405797101446</v>
      </c>
      <c r="I397" s="46">
        <f t="array" ref="I397">IF(SUMIF(Производство!$A$104:$A$145,Технологи!$B397,Производство!F$104:F$145)&gt;0,SUMIF(Производство!$A$104:$A$145,Технологи!$B397,Производство!F$104:F$145)*$F397+$G397,0)</f>
        <v>53.097932731326644</v>
      </c>
      <c r="J397" s="46">
        <f t="array" ref="J397">IF(SUMIF(Производство!$A$104:$A$145,Технологи!$B397,Производство!G$104:G$145)&gt;0,SUMIF(Производство!$A$104:$A$145,Технологи!$B397,Производство!G$104:G$145)*$F397+$G397,0)</f>
        <v>53.097932731326644</v>
      </c>
      <c r="K397" s="46">
        <f t="array" ref="K397">IF(SUMIF(Производство!$A$104:$A$145,Технологи!$B397,Производство!H$104:H$145)&gt;0,SUMIF(Производство!$A$104:$A$145,Технологи!$B397,Производство!H$104:H$145)*$F397+$G397,0)</f>
        <v>53.097932731326644</v>
      </c>
      <c r="L397" s="46">
        <f t="array" ref="L397">IF(SUMIF(Производство!$A$104:$A$145,Технологи!$B397,Производство!I$104:I$145)&gt;0,SUMIF(Производство!$A$104:$A$145,Технологи!$B397,Производство!I$104:I$145)*$F397+$G397,0)</f>
        <v>53.097932731326644</v>
      </c>
      <c r="M397" s="46">
        <f t="array" ref="M397">IF(SUMIF(Производство!$A$104:$A$145,Технологи!$B397,Производство!J$104:J$145)&gt;0,SUMIF(Производство!$A$104:$A$145,Технологи!$B397,Производство!J$104:J$145)*$F397+$G397,0)</f>
        <v>53.097932731326644</v>
      </c>
      <c r="N397" s="46">
        <f t="array" ref="N397">IF(SUMIF(Производство!$A$104:$A$145,Технологи!$B397,Производство!K$104:K$145)&gt;0,SUMIF(Производство!$A$104:$A$145,Технологи!$B397,Производство!K$104:K$145)*$F397+$G397,0)</f>
        <v>53.097932731326644</v>
      </c>
      <c r="O397" s="46">
        <f t="array" ref="O397">IF(SUMIF(Производство!$A$104:$A$145,Технологи!$B397,Производство!L$104:L$145)&gt;0,SUMIF(Производство!$A$104:$A$145,Технологи!$B397,Производство!L$104:L$145)*$F397+$G397,0)</f>
        <v>53.097932731326644</v>
      </c>
      <c r="P397" s="46">
        <f t="array" ref="P397">IF(SUMIF(Производство!$A$104:$A$145,Технологи!$B397,Производство!M$104:M$145)&gt;0,SUMIF(Производство!$A$104:$A$145,Технологи!$B397,Производство!M$104:M$145)*$F397+$G397,0)</f>
        <v>53.097932731326644</v>
      </c>
      <c r="Q397" s="46">
        <f t="array" ref="Q397">IF(SUMIF(Производство!$A$104:$A$145,Технологи!$B397,Производство!N$104:N$145)&gt;0,SUMIF(Производство!$A$104:$A$145,Технологи!$B397,Производство!N$104:N$145)*$F397+$G397,0)</f>
        <v>53.097932731326644</v>
      </c>
      <c r="R397" s="46">
        <f t="array" ref="R397">IF(SUMIF(Производство!$A$104:$A$145,Технологи!$B397,Производство!O$104:O$145)&gt;0,SUMIF(Производство!$A$104:$A$145,Технологи!$B397,Производство!O$104:O$145)*$F397+$G397,0)</f>
        <v>53.097932731326644</v>
      </c>
      <c r="S397" s="46">
        <f t="array" ref="S397">IF(SUMIF(Производство!$A$104:$A$145,Технологи!$B397,Производство!P$104:P$145)&gt;0,SUMIF(Производство!$A$104:$A$145,Технологи!$B397,Производство!P$104:P$145)*$F397+$G397,0)</f>
        <v>53.097932731326644</v>
      </c>
      <c r="T397" s="46">
        <f t="array" ref="T397">IF(SUMIF(Производство!$A$104:$A$145,Технологи!$B397,Производство!Q$104:Q$145)&gt;0,SUMIF(Производство!$A$104:$A$145,Технологи!$B397,Производство!Q$104:Q$145)*$F397+$G397,0)</f>
        <v>53.097932731326644</v>
      </c>
    </row>
    <row r="398" spans="1:20" x14ac:dyDescent="0.25">
      <c r="A398" s="34" t="s">
        <v>377</v>
      </c>
      <c r="B398" s="13" t="s">
        <v>44</v>
      </c>
      <c r="C398" s="19" t="s">
        <v>14</v>
      </c>
      <c r="D398" s="14">
        <v>7038</v>
      </c>
      <c r="E398" s="20"/>
      <c r="F398" s="24">
        <v>9.288340579710144E-4</v>
      </c>
      <c r="G398" s="24">
        <v>6.2846962095875133E-2</v>
      </c>
      <c r="H398" s="23">
        <f t="shared" si="18"/>
        <v>0.92883405797101437</v>
      </c>
      <c r="I398" s="46">
        <f t="array" ref="I398">IF(SUMIF(Производство!$A$104:$A$145,Технологи!$B398,Производство!F$104:F$145)&gt;0,SUMIF(Производство!$A$104:$A$145,Технологи!$B398,Производство!F$104:F$145)*$F398+$G398,0)</f>
        <v>0.53097932731326636</v>
      </c>
      <c r="J398" s="46">
        <f t="array" ref="J398">IF(SUMIF(Производство!$A$104:$A$145,Технологи!$B398,Производство!G$104:G$145)&gt;0,SUMIF(Производство!$A$104:$A$145,Технологи!$B398,Производство!G$104:G$145)*$F398+$G398,0)</f>
        <v>0.53097932731326636</v>
      </c>
      <c r="K398" s="46">
        <f t="array" ref="K398">IF(SUMIF(Производство!$A$104:$A$145,Технологи!$B398,Производство!H$104:H$145)&gt;0,SUMIF(Производство!$A$104:$A$145,Технологи!$B398,Производство!H$104:H$145)*$F398+$G398,0)</f>
        <v>0.53097932731326636</v>
      </c>
      <c r="L398" s="46">
        <f t="array" ref="L398">IF(SUMIF(Производство!$A$104:$A$145,Технологи!$B398,Производство!I$104:I$145)&gt;0,SUMIF(Производство!$A$104:$A$145,Технологи!$B398,Производство!I$104:I$145)*$F398+$G398,0)</f>
        <v>0.53097932731326636</v>
      </c>
      <c r="M398" s="46">
        <f t="array" ref="M398">IF(SUMIF(Производство!$A$104:$A$145,Технологи!$B398,Производство!J$104:J$145)&gt;0,SUMIF(Производство!$A$104:$A$145,Технологи!$B398,Производство!J$104:J$145)*$F398+$G398,0)</f>
        <v>0.53097932731326636</v>
      </c>
      <c r="N398" s="46">
        <f t="array" ref="N398">IF(SUMIF(Производство!$A$104:$A$145,Технологи!$B398,Производство!K$104:K$145)&gt;0,SUMIF(Производство!$A$104:$A$145,Технологи!$B398,Производство!K$104:K$145)*$F398+$G398,0)</f>
        <v>0.53097932731326636</v>
      </c>
      <c r="O398" s="46">
        <f t="array" ref="O398">IF(SUMIF(Производство!$A$104:$A$145,Технологи!$B398,Производство!L$104:L$145)&gt;0,SUMIF(Производство!$A$104:$A$145,Технологи!$B398,Производство!L$104:L$145)*$F398+$G398,0)</f>
        <v>0.53097932731326636</v>
      </c>
      <c r="P398" s="46">
        <f t="array" ref="P398">IF(SUMIF(Производство!$A$104:$A$145,Технологи!$B398,Производство!M$104:M$145)&gt;0,SUMIF(Производство!$A$104:$A$145,Технологи!$B398,Производство!M$104:M$145)*$F398+$G398,0)</f>
        <v>0.53097932731326636</v>
      </c>
      <c r="Q398" s="46">
        <f t="array" ref="Q398">IF(SUMIF(Производство!$A$104:$A$145,Технологи!$B398,Производство!N$104:N$145)&gt;0,SUMIF(Производство!$A$104:$A$145,Технологи!$B398,Производство!N$104:N$145)*$F398+$G398,0)</f>
        <v>0.53097932731326636</v>
      </c>
      <c r="R398" s="46">
        <f t="array" ref="R398">IF(SUMIF(Производство!$A$104:$A$145,Технологи!$B398,Производство!O$104:O$145)&gt;0,SUMIF(Производство!$A$104:$A$145,Технологи!$B398,Производство!O$104:O$145)*$F398+$G398,0)</f>
        <v>0.53097932731326636</v>
      </c>
      <c r="S398" s="46">
        <f t="array" ref="S398">IF(SUMIF(Производство!$A$104:$A$145,Технологи!$B398,Производство!P$104:P$145)&gt;0,SUMIF(Производство!$A$104:$A$145,Технологи!$B398,Производство!P$104:P$145)*$F398+$G398,0)</f>
        <v>0.53097932731326636</v>
      </c>
      <c r="T398" s="46">
        <f t="array" ref="T398">IF(SUMIF(Производство!$A$104:$A$145,Технологи!$B398,Производство!Q$104:Q$145)&gt;0,SUMIF(Производство!$A$104:$A$145,Технологи!$B398,Производство!Q$104:Q$145)*$F398+$G398,0)</f>
        <v>0.53097932731326636</v>
      </c>
    </row>
    <row r="399" spans="1:20" x14ac:dyDescent="0.25">
      <c r="A399" s="34" t="s">
        <v>377</v>
      </c>
      <c r="B399" s="13" t="s">
        <v>44</v>
      </c>
      <c r="C399" s="19" t="s">
        <v>15</v>
      </c>
      <c r="D399" s="14">
        <v>7038</v>
      </c>
      <c r="E399" s="20"/>
      <c r="F399" s="24">
        <v>4.644170289855072E-4</v>
      </c>
      <c r="G399" s="24">
        <v>3.1423481047937567E-2</v>
      </c>
      <c r="H399" s="23">
        <f t="shared" si="18"/>
        <v>0.46441702898550719</v>
      </c>
      <c r="I399" s="46">
        <f t="array" ref="I399">IF(SUMIF(Производство!$A$104:$A$145,Технологи!$B399,Производство!F$104:F$145)&gt;0,SUMIF(Производство!$A$104:$A$145,Технологи!$B399,Производство!F$104:F$145)*$F399+$G399,0)</f>
        <v>0.26548966365663318</v>
      </c>
      <c r="J399" s="46">
        <f t="array" ref="J399">IF(SUMIF(Производство!$A$104:$A$145,Технологи!$B399,Производство!G$104:G$145)&gt;0,SUMIF(Производство!$A$104:$A$145,Технологи!$B399,Производство!G$104:G$145)*$F399+$G399,0)</f>
        <v>0.26548966365663318</v>
      </c>
      <c r="K399" s="46">
        <f t="array" ref="K399">IF(SUMIF(Производство!$A$104:$A$145,Технологи!$B399,Производство!H$104:H$145)&gt;0,SUMIF(Производство!$A$104:$A$145,Технологи!$B399,Производство!H$104:H$145)*$F399+$G399,0)</f>
        <v>0.26548966365663318</v>
      </c>
      <c r="L399" s="46">
        <f t="array" ref="L399">IF(SUMIF(Производство!$A$104:$A$145,Технологи!$B399,Производство!I$104:I$145)&gt;0,SUMIF(Производство!$A$104:$A$145,Технологи!$B399,Производство!I$104:I$145)*$F399+$G399,0)</f>
        <v>0.26548966365663318</v>
      </c>
      <c r="M399" s="46">
        <f t="array" ref="M399">IF(SUMIF(Производство!$A$104:$A$145,Технологи!$B399,Производство!J$104:J$145)&gt;0,SUMIF(Производство!$A$104:$A$145,Технологи!$B399,Производство!J$104:J$145)*$F399+$G399,0)</f>
        <v>0.26548966365663318</v>
      </c>
      <c r="N399" s="46">
        <f t="array" ref="N399">IF(SUMIF(Производство!$A$104:$A$145,Технологи!$B399,Производство!K$104:K$145)&gt;0,SUMIF(Производство!$A$104:$A$145,Технологи!$B399,Производство!K$104:K$145)*$F399+$G399,0)</f>
        <v>0.26548966365663318</v>
      </c>
      <c r="O399" s="46">
        <f t="array" ref="O399">IF(SUMIF(Производство!$A$104:$A$145,Технологи!$B399,Производство!L$104:L$145)&gt;0,SUMIF(Производство!$A$104:$A$145,Технологи!$B399,Производство!L$104:L$145)*$F399+$G399,0)</f>
        <v>0.26548966365663318</v>
      </c>
      <c r="P399" s="46">
        <f t="array" ref="P399">IF(SUMIF(Производство!$A$104:$A$145,Технологи!$B399,Производство!M$104:M$145)&gt;0,SUMIF(Производство!$A$104:$A$145,Технологи!$B399,Производство!M$104:M$145)*$F399+$G399,0)</f>
        <v>0.26548966365663318</v>
      </c>
      <c r="Q399" s="46">
        <f t="array" ref="Q399">IF(SUMIF(Производство!$A$104:$A$145,Технологи!$B399,Производство!N$104:N$145)&gt;0,SUMIF(Производство!$A$104:$A$145,Технологи!$B399,Производство!N$104:N$145)*$F399+$G399,0)</f>
        <v>0.26548966365663318</v>
      </c>
      <c r="R399" s="46">
        <f t="array" ref="R399">IF(SUMIF(Производство!$A$104:$A$145,Технологи!$B399,Производство!O$104:O$145)&gt;0,SUMIF(Производство!$A$104:$A$145,Технологи!$B399,Производство!O$104:O$145)*$F399+$G399,0)</f>
        <v>0.26548966365663318</v>
      </c>
      <c r="S399" s="46">
        <f t="array" ref="S399">IF(SUMIF(Производство!$A$104:$A$145,Технологи!$B399,Производство!P$104:P$145)&gt;0,SUMIF(Производство!$A$104:$A$145,Технологи!$B399,Производство!P$104:P$145)*$F399+$G399,0)</f>
        <v>0.26548966365663318</v>
      </c>
      <c r="T399" s="46">
        <f t="array" ref="T399">IF(SUMIF(Производство!$A$104:$A$145,Технологи!$B399,Производство!Q$104:Q$145)&gt;0,SUMIF(Производство!$A$104:$A$145,Технологи!$B399,Производство!Q$104:Q$145)*$F399+$G399,0)</f>
        <v>0.26548966365663318</v>
      </c>
    </row>
    <row r="400" spans="1:20" x14ac:dyDescent="0.25">
      <c r="A400" s="34" t="s">
        <v>377</v>
      </c>
      <c r="B400" s="13" t="s">
        <v>44</v>
      </c>
      <c r="C400" s="19" t="s">
        <v>16</v>
      </c>
      <c r="D400" s="14">
        <v>7038</v>
      </c>
      <c r="E400" s="20"/>
      <c r="F400" s="24">
        <v>6.1615724637681148E-3</v>
      </c>
      <c r="G400" s="24">
        <v>0.4189797473058342</v>
      </c>
      <c r="H400" s="23">
        <f t="shared" si="18"/>
        <v>6.1615724637681151</v>
      </c>
      <c r="I400" s="46">
        <f t="array" ref="I400">IF(SUMIF(Производство!$A$104:$A$145,Технологи!$B400,Производство!F$104:F$145)&gt;0,SUMIF(Производство!$A$104:$A$145,Технологи!$B400,Производство!F$104:F$145)*$F400+$G400,0)</f>
        <v>3.524412269044964</v>
      </c>
      <c r="J400" s="46">
        <f t="array" ref="J400">IF(SUMIF(Производство!$A$104:$A$145,Технологи!$B400,Производство!G$104:G$145)&gt;0,SUMIF(Производство!$A$104:$A$145,Технологи!$B400,Производство!G$104:G$145)*$F400+$G400,0)</f>
        <v>3.524412269044964</v>
      </c>
      <c r="K400" s="46">
        <f t="array" ref="K400">IF(SUMIF(Производство!$A$104:$A$145,Технологи!$B400,Производство!H$104:H$145)&gt;0,SUMIF(Производство!$A$104:$A$145,Технологи!$B400,Производство!H$104:H$145)*$F400+$G400,0)</f>
        <v>3.524412269044964</v>
      </c>
      <c r="L400" s="46">
        <f t="array" ref="L400">IF(SUMIF(Производство!$A$104:$A$145,Технологи!$B400,Производство!I$104:I$145)&gt;0,SUMIF(Производство!$A$104:$A$145,Технологи!$B400,Производство!I$104:I$145)*$F400+$G400,0)</f>
        <v>3.524412269044964</v>
      </c>
      <c r="M400" s="46">
        <f t="array" ref="M400">IF(SUMIF(Производство!$A$104:$A$145,Технологи!$B400,Производство!J$104:J$145)&gt;0,SUMIF(Производство!$A$104:$A$145,Технологи!$B400,Производство!J$104:J$145)*$F400+$G400,0)</f>
        <v>3.524412269044964</v>
      </c>
      <c r="N400" s="46">
        <f t="array" ref="N400">IF(SUMIF(Производство!$A$104:$A$145,Технологи!$B400,Производство!K$104:K$145)&gt;0,SUMIF(Производство!$A$104:$A$145,Технологи!$B400,Производство!K$104:K$145)*$F400+$G400,0)</f>
        <v>3.524412269044964</v>
      </c>
      <c r="O400" s="46">
        <f t="array" ref="O400">IF(SUMIF(Производство!$A$104:$A$145,Технологи!$B400,Производство!L$104:L$145)&gt;0,SUMIF(Производство!$A$104:$A$145,Технологи!$B400,Производство!L$104:L$145)*$F400+$G400,0)</f>
        <v>3.524412269044964</v>
      </c>
      <c r="P400" s="46">
        <f t="array" ref="P400">IF(SUMIF(Производство!$A$104:$A$145,Технологи!$B400,Производство!M$104:M$145)&gt;0,SUMIF(Производство!$A$104:$A$145,Технологи!$B400,Производство!M$104:M$145)*$F400+$G400,0)</f>
        <v>3.524412269044964</v>
      </c>
      <c r="Q400" s="46">
        <f t="array" ref="Q400">IF(SUMIF(Производство!$A$104:$A$145,Технологи!$B400,Производство!N$104:N$145)&gt;0,SUMIF(Производство!$A$104:$A$145,Технологи!$B400,Производство!N$104:N$145)*$F400+$G400,0)</f>
        <v>3.524412269044964</v>
      </c>
      <c r="R400" s="46">
        <f t="array" ref="R400">IF(SUMIF(Производство!$A$104:$A$145,Технологи!$B400,Производство!O$104:O$145)&gt;0,SUMIF(Производство!$A$104:$A$145,Технологи!$B400,Производство!O$104:O$145)*$F400+$G400,0)</f>
        <v>3.524412269044964</v>
      </c>
      <c r="S400" s="46">
        <f t="array" ref="S400">IF(SUMIF(Производство!$A$104:$A$145,Технологи!$B400,Производство!P$104:P$145)&gt;0,SUMIF(Производство!$A$104:$A$145,Технологи!$B400,Производство!P$104:P$145)*$F400+$G400,0)</f>
        <v>3.524412269044964</v>
      </c>
      <c r="T400" s="46">
        <f t="array" ref="T400">IF(SUMIF(Производство!$A$104:$A$145,Технологи!$B400,Производство!Q$104:Q$145)&gt;0,SUMIF(Производство!$A$104:$A$145,Технологи!$B400,Производство!Q$104:Q$145)*$F400+$G400,0)</f>
        <v>3.524412269044964</v>
      </c>
    </row>
    <row r="401" spans="1:20" x14ac:dyDescent="0.25">
      <c r="A401" s="34" t="s">
        <v>377</v>
      </c>
      <c r="B401" s="13" t="s">
        <v>44</v>
      </c>
      <c r="C401" s="19" t="s">
        <v>17</v>
      </c>
      <c r="D401" s="14">
        <v>7038</v>
      </c>
      <c r="E401" s="20"/>
      <c r="F401" s="24">
        <v>3.4057248792270537E-3</v>
      </c>
      <c r="G401" s="24">
        <v>0.23043886101820885</v>
      </c>
      <c r="H401" s="23">
        <f t="shared" si="18"/>
        <v>3.4057248792270536</v>
      </c>
      <c r="I401" s="46">
        <f t="array" ref="I401">IF(SUMIF(Производство!$A$104:$A$145,Технологи!$B401,Производство!F$104:F$145)&gt;0,SUMIF(Производство!$A$104:$A$145,Технологи!$B401,Производство!F$104:F$145)*$F401+$G401,0)</f>
        <v>1.946924200148644</v>
      </c>
      <c r="J401" s="46">
        <f t="array" ref="J401">IF(SUMIF(Производство!$A$104:$A$145,Технологи!$B401,Производство!G$104:G$145)&gt;0,SUMIF(Производство!$A$104:$A$145,Технологи!$B401,Производство!G$104:G$145)*$F401+$G401,0)</f>
        <v>1.946924200148644</v>
      </c>
      <c r="K401" s="46">
        <f t="array" ref="K401">IF(SUMIF(Производство!$A$104:$A$145,Технологи!$B401,Производство!H$104:H$145)&gt;0,SUMIF(Производство!$A$104:$A$145,Технологи!$B401,Производство!H$104:H$145)*$F401+$G401,0)</f>
        <v>1.946924200148644</v>
      </c>
      <c r="L401" s="46">
        <f t="array" ref="L401">IF(SUMIF(Производство!$A$104:$A$145,Технологи!$B401,Производство!I$104:I$145)&gt;0,SUMIF(Производство!$A$104:$A$145,Технологи!$B401,Производство!I$104:I$145)*$F401+$G401,0)</f>
        <v>1.946924200148644</v>
      </c>
      <c r="M401" s="46">
        <f t="array" ref="M401">IF(SUMIF(Производство!$A$104:$A$145,Технологи!$B401,Производство!J$104:J$145)&gt;0,SUMIF(Производство!$A$104:$A$145,Технологи!$B401,Производство!J$104:J$145)*$F401+$G401,0)</f>
        <v>1.946924200148644</v>
      </c>
      <c r="N401" s="46">
        <f t="array" ref="N401">IF(SUMIF(Производство!$A$104:$A$145,Технологи!$B401,Производство!K$104:K$145)&gt;0,SUMIF(Производство!$A$104:$A$145,Технологи!$B401,Производство!K$104:K$145)*$F401+$G401,0)</f>
        <v>1.946924200148644</v>
      </c>
      <c r="O401" s="46">
        <f t="array" ref="O401">IF(SUMIF(Производство!$A$104:$A$145,Технологи!$B401,Производство!L$104:L$145)&gt;0,SUMIF(Производство!$A$104:$A$145,Технологи!$B401,Производство!L$104:L$145)*$F401+$G401,0)</f>
        <v>1.946924200148644</v>
      </c>
      <c r="P401" s="46">
        <f t="array" ref="P401">IF(SUMIF(Производство!$A$104:$A$145,Технологи!$B401,Производство!M$104:M$145)&gt;0,SUMIF(Производство!$A$104:$A$145,Технологи!$B401,Производство!M$104:M$145)*$F401+$G401,0)</f>
        <v>1.946924200148644</v>
      </c>
      <c r="Q401" s="46">
        <f t="array" ref="Q401">IF(SUMIF(Производство!$A$104:$A$145,Технологи!$B401,Производство!N$104:N$145)&gt;0,SUMIF(Производство!$A$104:$A$145,Технологи!$B401,Производство!N$104:N$145)*$F401+$G401,0)</f>
        <v>1.946924200148644</v>
      </c>
      <c r="R401" s="46">
        <f t="array" ref="R401">IF(SUMIF(Производство!$A$104:$A$145,Технологи!$B401,Производство!O$104:O$145)&gt;0,SUMIF(Производство!$A$104:$A$145,Технологи!$B401,Производство!O$104:O$145)*$F401+$G401,0)</f>
        <v>1.946924200148644</v>
      </c>
      <c r="S401" s="46">
        <f t="array" ref="S401">IF(SUMIF(Производство!$A$104:$A$145,Технологи!$B401,Производство!P$104:P$145)&gt;0,SUMIF(Производство!$A$104:$A$145,Технологи!$B401,Производство!P$104:P$145)*$F401+$G401,0)</f>
        <v>1.946924200148644</v>
      </c>
      <c r="T401" s="46">
        <f t="array" ref="T401">IF(SUMIF(Производство!$A$104:$A$145,Технологи!$B401,Производство!Q$104:Q$145)&gt;0,SUMIF(Производство!$A$104:$A$145,Технологи!$B401,Производство!Q$104:Q$145)*$F401+$G401,0)</f>
        <v>1.946924200148644</v>
      </c>
    </row>
    <row r="402" spans="1:20" x14ac:dyDescent="0.25">
      <c r="A402" s="34" t="s">
        <v>377</v>
      </c>
      <c r="B402" s="13" t="s">
        <v>44</v>
      </c>
      <c r="C402" s="19" t="s">
        <v>18</v>
      </c>
      <c r="D402" s="14">
        <v>7038</v>
      </c>
      <c r="E402" s="20"/>
      <c r="F402" s="24">
        <v>3.0746553140096619E-3</v>
      </c>
      <c r="G402" s="24">
        <v>0.2094898736529171</v>
      </c>
      <c r="H402" s="23">
        <f t="shared" si="18"/>
        <v>3.0746553140096617</v>
      </c>
      <c r="I402" s="46">
        <f t="array" ref="I402">IF(SUMIF(Производство!$A$104:$A$145,Технологи!$B402,Производство!F$104:F$145)&gt;0,SUMIF(Производство!$A$104:$A$145,Технологи!$B402,Производство!F$104:F$145)*$F402+$G402,0)</f>
        <v>1.7591161519137868</v>
      </c>
      <c r="J402" s="46">
        <f t="array" ref="J402">IF(SUMIF(Производство!$A$104:$A$145,Технологи!$B402,Производство!G$104:G$145)&gt;0,SUMIF(Производство!$A$104:$A$145,Технологи!$B402,Производство!G$104:G$145)*$F402+$G402,0)</f>
        <v>1.7591161519137868</v>
      </c>
      <c r="K402" s="46">
        <f t="array" ref="K402">IF(SUMIF(Производство!$A$104:$A$145,Технологи!$B402,Производство!H$104:H$145)&gt;0,SUMIF(Производство!$A$104:$A$145,Технологи!$B402,Производство!H$104:H$145)*$F402+$G402,0)</f>
        <v>1.7591161519137868</v>
      </c>
      <c r="L402" s="46">
        <f t="array" ref="L402">IF(SUMIF(Производство!$A$104:$A$145,Технологи!$B402,Производство!I$104:I$145)&gt;0,SUMIF(Производство!$A$104:$A$145,Технологи!$B402,Производство!I$104:I$145)*$F402+$G402,0)</f>
        <v>1.7591161519137868</v>
      </c>
      <c r="M402" s="46">
        <f t="array" ref="M402">IF(SUMIF(Производство!$A$104:$A$145,Технологи!$B402,Производство!J$104:J$145)&gt;0,SUMIF(Производство!$A$104:$A$145,Технологи!$B402,Производство!J$104:J$145)*$F402+$G402,0)</f>
        <v>1.7591161519137868</v>
      </c>
      <c r="N402" s="46">
        <f t="array" ref="N402">IF(SUMIF(Производство!$A$104:$A$145,Технологи!$B402,Производство!K$104:K$145)&gt;0,SUMIF(Производство!$A$104:$A$145,Технологи!$B402,Производство!K$104:K$145)*$F402+$G402,0)</f>
        <v>1.7591161519137868</v>
      </c>
      <c r="O402" s="46">
        <f t="array" ref="O402">IF(SUMIF(Производство!$A$104:$A$145,Технологи!$B402,Производство!L$104:L$145)&gt;0,SUMIF(Производство!$A$104:$A$145,Технологи!$B402,Производство!L$104:L$145)*$F402+$G402,0)</f>
        <v>1.7591161519137868</v>
      </c>
      <c r="P402" s="46">
        <f t="array" ref="P402">IF(SUMIF(Производство!$A$104:$A$145,Технологи!$B402,Производство!M$104:M$145)&gt;0,SUMIF(Производство!$A$104:$A$145,Технологи!$B402,Производство!M$104:M$145)*$F402+$G402,0)</f>
        <v>1.7591161519137868</v>
      </c>
      <c r="Q402" s="46">
        <f t="array" ref="Q402">IF(SUMIF(Производство!$A$104:$A$145,Технологи!$B402,Производство!N$104:N$145)&gt;0,SUMIF(Производство!$A$104:$A$145,Технологи!$B402,Производство!N$104:N$145)*$F402+$G402,0)</f>
        <v>1.7591161519137868</v>
      </c>
      <c r="R402" s="46">
        <f t="array" ref="R402">IF(SUMIF(Производство!$A$104:$A$145,Технологи!$B402,Производство!O$104:O$145)&gt;0,SUMIF(Производство!$A$104:$A$145,Технологи!$B402,Производство!O$104:O$145)*$F402+$G402,0)</f>
        <v>1.7591161519137868</v>
      </c>
      <c r="S402" s="46">
        <f t="array" ref="S402">IF(SUMIF(Производство!$A$104:$A$145,Технологи!$B402,Производство!P$104:P$145)&gt;0,SUMIF(Производство!$A$104:$A$145,Технологи!$B402,Производство!P$104:P$145)*$F402+$G402,0)</f>
        <v>1.7591161519137868</v>
      </c>
      <c r="T402" s="46">
        <f t="array" ref="T402">IF(SUMIF(Производство!$A$104:$A$145,Технологи!$B402,Производство!Q$104:Q$145)&gt;0,SUMIF(Производство!$A$104:$A$145,Технологи!$B402,Производство!Q$104:Q$145)*$F402+$G402,0)</f>
        <v>1.7591161519137868</v>
      </c>
    </row>
    <row r="403" spans="1:20" x14ac:dyDescent="0.25">
      <c r="A403" s="34" t="s">
        <v>377</v>
      </c>
      <c r="B403" s="13" t="s">
        <v>44</v>
      </c>
      <c r="C403" s="19" t="s">
        <v>19</v>
      </c>
      <c r="D403" s="14">
        <v>7038</v>
      </c>
      <c r="E403" s="20"/>
      <c r="F403" s="24">
        <v>0.65859250000000014</v>
      </c>
      <c r="G403" s="24">
        <v>23.050737500000004</v>
      </c>
      <c r="H403" s="23">
        <f t="shared" si="18"/>
        <v>658.59250000000009</v>
      </c>
      <c r="I403" s="46">
        <f t="array" ref="I403">IF(SUMIF(Производство!$A$104:$A$145,Технологи!$B403,Производство!F$104:F$145)&gt;0,SUMIF(Производство!$A$104:$A$145,Технологи!$B403,Производство!F$104:F$145)*$F403+$G403,0)</f>
        <v>354.98135750000012</v>
      </c>
      <c r="J403" s="46">
        <f t="array" ref="J403">IF(SUMIF(Производство!$A$104:$A$145,Технологи!$B403,Производство!G$104:G$145)&gt;0,SUMIF(Производство!$A$104:$A$145,Технологи!$B403,Производство!G$104:G$145)*$F403+$G403,0)</f>
        <v>354.98135750000012</v>
      </c>
      <c r="K403" s="46">
        <f t="array" ref="K403">IF(SUMIF(Производство!$A$104:$A$145,Технологи!$B403,Производство!H$104:H$145)&gt;0,SUMIF(Производство!$A$104:$A$145,Технологи!$B403,Производство!H$104:H$145)*$F403+$G403,0)</f>
        <v>354.98135750000012</v>
      </c>
      <c r="L403" s="46">
        <f t="array" ref="L403">IF(SUMIF(Производство!$A$104:$A$145,Технологи!$B403,Производство!I$104:I$145)&gt;0,SUMIF(Производство!$A$104:$A$145,Технологи!$B403,Производство!I$104:I$145)*$F403+$G403,0)</f>
        <v>354.98135750000012</v>
      </c>
      <c r="M403" s="46">
        <f t="array" ref="M403">IF(SUMIF(Производство!$A$104:$A$145,Технологи!$B403,Производство!J$104:J$145)&gt;0,SUMIF(Производство!$A$104:$A$145,Технологи!$B403,Производство!J$104:J$145)*$F403+$G403,0)</f>
        <v>354.98135750000012</v>
      </c>
      <c r="N403" s="46">
        <f t="array" ref="N403">IF(SUMIF(Производство!$A$104:$A$145,Технологи!$B403,Производство!K$104:K$145)&gt;0,SUMIF(Производство!$A$104:$A$145,Технологи!$B403,Производство!K$104:K$145)*$F403+$G403,0)</f>
        <v>354.98135750000012</v>
      </c>
      <c r="O403" s="46">
        <f t="array" ref="O403">IF(SUMIF(Производство!$A$104:$A$145,Технологи!$B403,Производство!L$104:L$145)&gt;0,SUMIF(Производство!$A$104:$A$145,Технологи!$B403,Производство!L$104:L$145)*$F403+$G403,0)</f>
        <v>354.98135750000012</v>
      </c>
      <c r="P403" s="46">
        <f t="array" ref="P403">IF(SUMIF(Производство!$A$104:$A$145,Технологи!$B403,Производство!M$104:M$145)&gt;0,SUMIF(Производство!$A$104:$A$145,Технологи!$B403,Производство!M$104:M$145)*$F403+$G403,0)</f>
        <v>354.98135750000012</v>
      </c>
      <c r="Q403" s="46">
        <f t="array" ref="Q403">IF(SUMIF(Производство!$A$104:$A$145,Технологи!$B403,Производство!N$104:N$145)&gt;0,SUMIF(Производство!$A$104:$A$145,Технологи!$B403,Производство!N$104:N$145)*$F403+$G403,0)</f>
        <v>354.98135750000012</v>
      </c>
      <c r="R403" s="46">
        <f t="array" ref="R403">IF(SUMIF(Производство!$A$104:$A$145,Технологи!$B403,Производство!O$104:O$145)&gt;0,SUMIF(Производство!$A$104:$A$145,Технологи!$B403,Производство!O$104:O$145)*$F403+$G403,0)</f>
        <v>354.98135750000012</v>
      </c>
      <c r="S403" s="46">
        <f t="array" ref="S403">IF(SUMIF(Производство!$A$104:$A$145,Технологи!$B403,Производство!P$104:P$145)&gt;0,SUMIF(Производство!$A$104:$A$145,Технологи!$B403,Производство!P$104:P$145)*$F403+$G403,0)</f>
        <v>354.98135750000012</v>
      </c>
      <c r="T403" s="46">
        <f t="array" ref="T403">IF(SUMIF(Производство!$A$104:$A$145,Технологи!$B403,Производство!Q$104:Q$145)&gt;0,SUMIF(Производство!$A$104:$A$145,Технологи!$B403,Производство!Q$104:Q$145)*$F403+$G403,0)</f>
        <v>354.98135750000012</v>
      </c>
    </row>
    <row r="404" spans="1:20" x14ac:dyDescent="0.25">
      <c r="A404" s="34" t="s">
        <v>377</v>
      </c>
      <c r="B404" s="13" t="s">
        <v>44</v>
      </c>
      <c r="C404" s="19" t="s">
        <v>20</v>
      </c>
      <c r="D404" s="14">
        <v>7038</v>
      </c>
      <c r="E404" s="20"/>
      <c r="F404" s="24">
        <v>5.04E-2</v>
      </c>
      <c r="G404" s="24">
        <v>0.75600000000000001</v>
      </c>
      <c r="H404" s="23">
        <f t="shared" si="18"/>
        <v>50.4</v>
      </c>
      <c r="I404" s="46">
        <f t="array" ref="I404">IF(SUMIF(Производство!$A$104:$A$145,Технологи!$B404,Производство!F$104:F$145)&gt;0,SUMIF(Производство!$A$104:$A$145,Технологи!$B404,Производство!F$104:F$145)*$F404+$G404,0)</f>
        <v>26.157600000000002</v>
      </c>
      <c r="J404" s="46">
        <f t="array" ref="J404">IF(SUMIF(Производство!$A$104:$A$145,Технологи!$B404,Производство!G$104:G$145)&gt;0,SUMIF(Производство!$A$104:$A$145,Технологи!$B404,Производство!G$104:G$145)*$F404+$G404,0)</f>
        <v>26.157600000000002</v>
      </c>
      <c r="K404" s="46">
        <f t="array" ref="K404">IF(SUMIF(Производство!$A$104:$A$145,Технологи!$B404,Производство!H$104:H$145)&gt;0,SUMIF(Производство!$A$104:$A$145,Технологи!$B404,Производство!H$104:H$145)*$F404+$G404,0)</f>
        <v>26.157600000000002</v>
      </c>
      <c r="L404" s="46">
        <f t="array" ref="L404">IF(SUMIF(Производство!$A$104:$A$145,Технологи!$B404,Производство!I$104:I$145)&gt;0,SUMIF(Производство!$A$104:$A$145,Технологи!$B404,Производство!I$104:I$145)*$F404+$G404,0)</f>
        <v>26.157600000000002</v>
      </c>
      <c r="M404" s="46">
        <f t="array" ref="M404">IF(SUMIF(Производство!$A$104:$A$145,Технологи!$B404,Производство!J$104:J$145)&gt;0,SUMIF(Производство!$A$104:$A$145,Технологи!$B404,Производство!J$104:J$145)*$F404+$G404,0)</f>
        <v>26.157600000000002</v>
      </c>
      <c r="N404" s="46">
        <f t="array" ref="N404">IF(SUMIF(Производство!$A$104:$A$145,Технологи!$B404,Производство!K$104:K$145)&gt;0,SUMIF(Производство!$A$104:$A$145,Технологи!$B404,Производство!K$104:K$145)*$F404+$G404,0)</f>
        <v>26.157600000000002</v>
      </c>
      <c r="O404" s="46">
        <f t="array" ref="O404">IF(SUMIF(Производство!$A$104:$A$145,Технологи!$B404,Производство!L$104:L$145)&gt;0,SUMIF(Производство!$A$104:$A$145,Технологи!$B404,Производство!L$104:L$145)*$F404+$G404,0)</f>
        <v>26.157600000000002</v>
      </c>
      <c r="P404" s="46">
        <f t="array" ref="P404">IF(SUMIF(Производство!$A$104:$A$145,Технологи!$B404,Производство!M$104:M$145)&gt;0,SUMIF(Производство!$A$104:$A$145,Технологи!$B404,Производство!M$104:M$145)*$F404+$G404,0)</f>
        <v>26.157600000000002</v>
      </c>
      <c r="Q404" s="46">
        <f t="array" ref="Q404">IF(SUMIF(Производство!$A$104:$A$145,Технологи!$B404,Производство!N$104:N$145)&gt;0,SUMIF(Производство!$A$104:$A$145,Технологи!$B404,Производство!N$104:N$145)*$F404+$G404,0)</f>
        <v>26.157600000000002</v>
      </c>
      <c r="R404" s="46">
        <f t="array" ref="R404">IF(SUMIF(Производство!$A$104:$A$145,Технологи!$B404,Производство!O$104:O$145)&gt;0,SUMIF(Производство!$A$104:$A$145,Технологи!$B404,Производство!O$104:O$145)*$F404+$G404,0)</f>
        <v>26.157600000000002</v>
      </c>
      <c r="S404" s="46">
        <f t="array" ref="S404">IF(SUMIF(Производство!$A$104:$A$145,Технологи!$B404,Производство!P$104:P$145)&gt;0,SUMIF(Производство!$A$104:$A$145,Технологи!$B404,Производство!P$104:P$145)*$F404+$G404,0)</f>
        <v>26.157600000000002</v>
      </c>
      <c r="T404" s="46">
        <f t="array" ref="T404">IF(SUMIF(Производство!$A$104:$A$145,Технологи!$B404,Производство!Q$104:Q$145)&gt;0,SUMIF(Производство!$A$104:$A$145,Технологи!$B404,Производство!Q$104:Q$145)*$F404+$G404,0)</f>
        <v>26.157600000000002</v>
      </c>
    </row>
    <row r="405" spans="1:20" x14ac:dyDescent="0.25">
      <c r="A405" s="34" t="s">
        <v>377</v>
      </c>
      <c r="B405" s="13" t="s">
        <v>44</v>
      </c>
      <c r="C405" s="19" t="s">
        <v>21</v>
      </c>
      <c r="D405" s="14">
        <v>7038</v>
      </c>
      <c r="E405" s="20"/>
      <c r="F405" s="24">
        <v>0</v>
      </c>
      <c r="G405" s="24">
        <v>0</v>
      </c>
      <c r="H405" s="23">
        <f t="shared" si="18"/>
        <v>0</v>
      </c>
      <c r="I405" s="46">
        <f t="array" ref="I405">IF(SUMIF(Производство!$A$104:$A$145,Технологи!$B405,Производство!F$104:F$145)&gt;0,SUMIF(Производство!$A$104:$A$145,Технологи!$B405,Производство!F$104:F$145)*$F405+$G405,0)</f>
        <v>0</v>
      </c>
      <c r="J405" s="46">
        <f t="array" ref="J405">IF(SUMIF(Производство!$A$104:$A$145,Технологи!$B405,Производство!G$104:G$145)&gt;0,SUMIF(Производство!$A$104:$A$145,Технологи!$B405,Производство!G$104:G$145)*$F405+$G405,0)</f>
        <v>0</v>
      </c>
      <c r="K405" s="46">
        <f t="array" ref="K405">IF(SUMIF(Производство!$A$104:$A$145,Технологи!$B405,Производство!H$104:H$145)&gt;0,SUMIF(Производство!$A$104:$A$145,Технологи!$B405,Производство!H$104:H$145)*$F405+$G405,0)</f>
        <v>0</v>
      </c>
      <c r="L405" s="46">
        <f t="array" ref="L405">IF(SUMIF(Производство!$A$104:$A$145,Технологи!$B405,Производство!I$104:I$145)&gt;0,SUMIF(Производство!$A$104:$A$145,Технологи!$B405,Производство!I$104:I$145)*$F405+$G405,0)</f>
        <v>0</v>
      </c>
      <c r="M405" s="46">
        <f t="array" ref="M405">IF(SUMIF(Производство!$A$104:$A$145,Технологи!$B405,Производство!J$104:J$145)&gt;0,SUMIF(Производство!$A$104:$A$145,Технологи!$B405,Производство!J$104:J$145)*$F405+$G405,0)</f>
        <v>0</v>
      </c>
      <c r="N405" s="46">
        <f t="array" ref="N405">IF(SUMIF(Производство!$A$104:$A$145,Технологи!$B405,Производство!K$104:K$145)&gt;0,SUMIF(Производство!$A$104:$A$145,Технологи!$B405,Производство!K$104:K$145)*$F405+$G405,0)</f>
        <v>0</v>
      </c>
      <c r="O405" s="46">
        <f t="array" ref="O405">IF(SUMIF(Производство!$A$104:$A$145,Технологи!$B405,Производство!L$104:L$145)&gt;0,SUMIF(Производство!$A$104:$A$145,Технологи!$B405,Производство!L$104:L$145)*$F405+$G405,0)</f>
        <v>0</v>
      </c>
      <c r="P405" s="46">
        <f t="array" ref="P405">IF(SUMIF(Производство!$A$104:$A$145,Технологи!$B405,Производство!M$104:M$145)&gt;0,SUMIF(Производство!$A$104:$A$145,Технологи!$B405,Производство!M$104:M$145)*$F405+$G405,0)</f>
        <v>0</v>
      </c>
      <c r="Q405" s="46">
        <f t="array" ref="Q405">IF(SUMIF(Производство!$A$104:$A$145,Технологи!$B405,Производство!N$104:N$145)&gt;0,SUMIF(Производство!$A$104:$A$145,Технологи!$B405,Производство!N$104:N$145)*$F405+$G405,0)</f>
        <v>0</v>
      </c>
      <c r="R405" s="46">
        <f t="array" ref="R405">IF(SUMIF(Производство!$A$104:$A$145,Технологи!$B405,Производство!O$104:O$145)&gt;0,SUMIF(Производство!$A$104:$A$145,Технологи!$B405,Производство!O$104:O$145)*$F405+$G405,0)</f>
        <v>0</v>
      </c>
      <c r="S405" s="46">
        <f t="array" ref="S405">IF(SUMIF(Производство!$A$104:$A$145,Технологи!$B405,Производство!P$104:P$145)&gt;0,SUMIF(Производство!$A$104:$A$145,Технологи!$B405,Производство!P$104:P$145)*$F405+$G405,0)</f>
        <v>0</v>
      </c>
      <c r="T405" s="46">
        <f t="array" ref="T405">IF(SUMIF(Производство!$A$104:$A$145,Технологи!$B405,Производство!Q$104:Q$145)&gt;0,SUMIF(Производство!$A$104:$A$145,Технологи!$B405,Производство!Q$104:Q$145)*$F405+$G405,0)</f>
        <v>0</v>
      </c>
    </row>
    <row r="406" spans="1:20" x14ac:dyDescent="0.25">
      <c r="A406" s="34" t="s">
        <v>377</v>
      </c>
      <c r="B406" s="13" t="s">
        <v>44</v>
      </c>
      <c r="C406" s="19" t="s">
        <v>22</v>
      </c>
      <c r="D406" s="14">
        <v>7038</v>
      </c>
      <c r="E406" s="20"/>
      <c r="F406" s="24">
        <v>5.7000000000000002E-2</v>
      </c>
      <c r="G406" s="24">
        <v>0.85499999999999998</v>
      </c>
      <c r="H406" s="23">
        <f t="shared" si="18"/>
        <v>57</v>
      </c>
      <c r="I406" s="46">
        <f t="array" ref="I406">IF(SUMIF(Производство!$A$104:$A$145,Технологи!$B406,Производство!F$104:F$145)&gt;0,SUMIF(Производство!$A$104:$A$145,Технологи!$B406,Производство!F$104:F$145)*$F406+$G406,0)</f>
        <v>29.583000000000002</v>
      </c>
      <c r="J406" s="46">
        <f t="array" ref="J406">IF(SUMIF(Производство!$A$104:$A$145,Технологи!$B406,Производство!G$104:G$145)&gt;0,SUMIF(Производство!$A$104:$A$145,Технологи!$B406,Производство!G$104:G$145)*$F406+$G406,0)</f>
        <v>29.583000000000002</v>
      </c>
      <c r="K406" s="46">
        <f t="array" ref="K406">IF(SUMIF(Производство!$A$104:$A$145,Технологи!$B406,Производство!H$104:H$145)&gt;0,SUMIF(Производство!$A$104:$A$145,Технологи!$B406,Производство!H$104:H$145)*$F406+$G406,0)</f>
        <v>29.583000000000002</v>
      </c>
      <c r="L406" s="46">
        <f t="array" ref="L406">IF(SUMIF(Производство!$A$104:$A$145,Технологи!$B406,Производство!I$104:I$145)&gt;0,SUMIF(Производство!$A$104:$A$145,Технологи!$B406,Производство!I$104:I$145)*$F406+$G406,0)</f>
        <v>29.583000000000002</v>
      </c>
      <c r="M406" s="46">
        <f t="array" ref="M406">IF(SUMIF(Производство!$A$104:$A$145,Технологи!$B406,Производство!J$104:J$145)&gt;0,SUMIF(Производство!$A$104:$A$145,Технологи!$B406,Производство!J$104:J$145)*$F406+$G406,0)</f>
        <v>29.583000000000002</v>
      </c>
      <c r="N406" s="46">
        <f t="array" ref="N406">IF(SUMIF(Производство!$A$104:$A$145,Технологи!$B406,Производство!K$104:K$145)&gt;0,SUMIF(Производство!$A$104:$A$145,Технологи!$B406,Производство!K$104:K$145)*$F406+$G406,0)</f>
        <v>29.583000000000002</v>
      </c>
      <c r="O406" s="46">
        <f t="array" ref="O406">IF(SUMIF(Производство!$A$104:$A$145,Технологи!$B406,Производство!L$104:L$145)&gt;0,SUMIF(Производство!$A$104:$A$145,Технологи!$B406,Производство!L$104:L$145)*$F406+$G406,0)</f>
        <v>29.583000000000002</v>
      </c>
      <c r="P406" s="46">
        <f t="array" ref="P406">IF(SUMIF(Производство!$A$104:$A$145,Технологи!$B406,Производство!M$104:M$145)&gt;0,SUMIF(Производство!$A$104:$A$145,Технологи!$B406,Производство!M$104:M$145)*$F406+$G406,0)</f>
        <v>29.583000000000002</v>
      </c>
      <c r="Q406" s="46">
        <f t="array" ref="Q406">IF(SUMIF(Производство!$A$104:$A$145,Технологи!$B406,Производство!N$104:N$145)&gt;0,SUMIF(Производство!$A$104:$A$145,Технологи!$B406,Производство!N$104:N$145)*$F406+$G406,0)</f>
        <v>29.583000000000002</v>
      </c>
      <c r="R406" s="46">
        <f t="array" ref="R406">IF(SUMIF(Производство!$A$104:$A$145,Технологи!$B406,Производство!O$104:O$145)&gt;0,SUMIF(Производство!$A$104:$A$145,Технологи!$B406,Производство!O$104:O$145)*$F406+$G406,0)</f>
        <v>29.583000000000002</v>
      </c>
      <c r="S406" s="46">
        <f t="array" ref="S406">IF(SUMIF(Производство!$A$104:$A$145,Технологи!$B406,Производство!P$104:P$145)&gt;0,SUMIF(Производство!$A$104:$A$145,Технологи!$B406,Производство!P$104:P$145)*$F406+$G406,0)</f>
        <v>29.583000000000002</v>
      </c>
      <c r="T406" s="46">
        <f t="array" ref="T406">IF(SUMIF(Производство!$A$104:$A$145,Технологи!$B406,Производство!Q$104:Q$145)&gt;0,SUMIF(Производство!$A$104:$A$145,Технологи!$B406,Производство!Q$104:Q$145)*$F406+$G406,0)</f>
        <v>29.583000000000002</v>
      </c>
    </row>
    <row r="407" spans="1:20" x14ac:dyDescent="0.25">
      <c r="A407" s="34" t="s">
        <v>377</v>
      </c>
      <c r="B407" s="13" t="s">
        <v>44</v>
      </c>
      <c r="C407" s="19" t="s">
        <v>23</v>
      </c>
      <c r="D407" s="14">
        <v>7038</v>
      </c>
      <c r="E407" s="20"/>
      <c r="F407" s="24">
        <v>0</v>
      </c>
      <c r="G407" s="24">
        <v>0</v>
      </c>
      <c r="H407" s="23">
        <f t="shared" si="18"/>
        <v>0</v>
      </c>
      <c r="I407" s="46">
        <f t="array" ref="I407">IF(SUMIF(Производство!$A$104:$A$145,Технологи!$B407,Производство!F$104:F$145)&gt;0,SUMIF(Производство!$A$104:$A$145,Технологи!$B407,Производство!F$104:F$145)*$F407+$G407,0)</f>
        <v>0</v>
      </c>
      <c r="J407" s="46">
        <f t="array" ref="J407">IF(SUMIF(Производство!$A$104:$A$145,Технологи!$B407,Производство!G$104:G$145)&gt;0,SUMIF(Производство!$A$104:$A$145,Технологи!$B407,Производство!G$104:G$145)*$F407+$G407,0)</f>
        <v>0</v>
      </c>
      <c r="K407" s="46">
        <f t="array" ref="K407">IF(SUMIF(Производство!$A$104:$A$145,Технологи!$B407,Производство!H$104:H$145)&gt;0,SUMIF(Производство!$A$104:$A$145,Технологи!$B407,Производство!H$104:H$145)*$F407+$G407,0)</f>
        <v>0</v>
      </c>
      <c r="L407" s="46">
        <f t="array" ref="L407">IF(SUMIF(Производство!$A$104:$A$145,Технологи!$B407,Производство!I$104:I$145)&gt;0,SUMIF(Производство!$A$104:$A$145,Технологи!$B407,Производство!I$104:I$145)*$F407+$G407,0)</f>
        <v>0</v>
      </c>
      <c r="M407" s="46">
        <f t="array" ref="M407">IF(SUMIF(Производство!$A$104:$A$145,Технологи!$B407,Производство!J$104:J$145)&gt;0,SUMIF(Производство!$A$104:$A$145,Технологи!$B407,Производство!J$104:J$145)*$F407+$G407,0)</f>
        <v>0</v>
      </c>
      <c r="N407" s="46">
        <f t="array" ref="N407">IF(SUMIF(Производство!$A$104:$A$145,Технологи!$B407,Производство!K$104:K$145)&gt;0,SUMIF(Производство!$A$104:$A$145,Технологи!$B407,Производство!K$104:K$145)*$F407+$G407,0)</f>
        <v>0</v>
      </c>
      <c r="O407" s="46">
        <f t="array" ref="O407">IF(SUMIF(Производство!$A$104:$A$145,Технологи!$B407,Производство!L$104:L$145)&gt;0,SUMIF(Производство!$A$104:$A$145,Технологи!$B407,Производство!L$104:L$145)*$F407+$G407,0)</f>
        <v>0</v>
      </c>
      <c r="P407" s="46">
        <f t="array" ref="P407">IF(SUMIF(Производство!$A$104:$A$145,Технологи!$B407,Производство!M$104:M$145)&gt;0,SUMIF(Производство!$A$104:$A$145,Технологи!$B407,Производство!M$104:M$145)*$F407+$G407,0)</f>
        <v>0</v>
      </c>
      <c r="Q407" s="46">
        <f t="array" ref="Q407">IF(SUMIF(Производство!$A$104:$A$145,Технологи!$B407,Производство!N$104:N$145)&gt;0,SUMIF(Производство!$A$104:$A$145,Технологи!$B407,Производство!N$104:N$145)*$F407+$G407,0)</f>
        <v>0</v>
      </c>
      <c r="R407" s="46">
        <f t="array" ref="R407">IF(SUMIF(Производство!$A$104:$A$145,Технологи!$B407,Производство!O$104:O$145)&gt;0,SUMIF(Производство!$A$104:$A$145,Технологи!$B407,Производство!O$104:O$145)*$F407+$G407,0)</f>
        <v>0</v>
      </c>
      <c r="S407" s="46">
        <f t="array" ref="S407">IF(SUMIF(Производство!$A$104:$A$145,Технологи!$B407,Производство!P$104:P$145)&gt;0,SUMIF(Производство!$A$104:$A$145,Технологи!$B407,Производство!P$104:P$145)*$F407+$G407,0)</f>
        <v>0</v>
      </c>
      <c r="T407" s="46">
        <f t="array" ref="T407">IF(SUMIF(Производство!$A$104:$A$145,Технологи!$B407,Производство!Q$104:Q$145)&gt;0,SUMIF(Производство!$A$104:$A$145,Технологи!$B407,Производство!Q$104:Q$145)*$F407+$G407,0)</f>
        <v>0</v>
      </c>
    </row>
    <row r="408" spans="1:20" x14ac:dyDescent="0.25">
      <c r="A408" s="34" t="s">
        <v>377</v>
      </c>
      <c r="B408" s="13" t="s">
        <v>48</v>
      </c>
      <c r="C408" s="15" t="s">
        <v>11</v>
      </c>
      <c r="D408" s="14">
        <v>7038</v>
      </c>
      <c r="E408" s="16">
        <v>0.67900000000000005</v>
      </c>
      <c r="F408" s="22">
        <f>SUM(F409:F420)</f>
        <v>0.67466587714325521</v>
      </c>
      <c r="G408" s="22">
        <f>SUM(G409:G420)</f>
        <v>39.63801999999999</v>
      </c>
      <c r="H408" s="23">
        <f t="shared" ref="H408:H426" si="19">F408*1000</f>
        <v>674.66587714325522</v>
      </c>
      <c r="I408" s="46">
        <f t="array" ref="I408">IF(SUMIF(Производство!$A$104:$A$145,Технологи!$B408,Производство!F$104:F$145)&gt;0,SUMIF(Производство!$A$104:$A$145,Технологи!$B408,Производство!F$104:F$145)*$F408+$G408,0)</f>
        <v>0</v>
      </c>
      <c r="J408" s="46">
        <f t="array" ref="J408">IF(SUMIF(Производство!$A$104:$A$145,Технологи!$B408,Производство!G$104:G$145)&gt;0,SUMIF(Производство!$A$104:$A$145,Технологи!$B408,Производство!G$104:G$145)*$F408+$G408,0)</f>
        <v>0</v>
      </c>
      <c r="K408" s="46">
        <f t="array" ref="K408">IF(SUMIF(Производство!$A$104:$A$145,Технологи!$B408,Производство!H$104:H$145)&gt;0,SUMIF(Производство!$A$104:$A$145,Технологи!$B408,Производство!H$104:H$145)*$F408+$G408,0)</f>
        <v>0</v>
      </c>
      <c r="L408" s="46">
        <f t="array" ref="L408">IF(SUMIF(Производство!$A$104:$A$145,Технологи!$B408,Производство!I$104:I$145)&gt;0,SUMIF(Производство!$A$104:$A$145,Технологи!$B408,Производство!I$104:I$145)*$F408+$G408,0)</f>
        <v>0</v>
      </c>
      <c r="M408" s="46">
        <f t="array" ref="M408">IF(SUMIF(Производство!$A$104:$A$145,Технологи!$B408,Производство!J$104:J$145)&gt;0,SUMIF(Производство!$A$104:$A$145,Технологи!$B408,Производство!J$104:J$145)*$F408+$G408,0)</f>
        <v>0</v>
      </c>
      <c r="N408" s="46">
        <f t="array" ref="N408">IF(SUMIF(Производство!$A$104:$A$145,Технологи!$B408,Производство!K$104:K$145)&gt;0,SUMIF(Производство!$A$104:$A$145,Технологи!$B408,Производство!K$104:K$145)*$F408+$G408,0)</f>
        <v>0</v>
      </c>
      <c r="O408" s="46">
        <f t="array" ref="O408">IF(SUMIF(Производство!$A$104:$A$145,Технологи!$B408,Производство!L$104:L$145)&gt;0,SUMIF(Производство!$A$104:$A$145,Технологи!$B408,Производство!L$104:L$145)*$F408+$G408,0)</f>
        <v>0</v>
      </c>
      <c r="P408" s="46">
        <f t="array" ref="P408">IF(SUMIF(Производство!$A$104:$A$145,Технологи!$B408,Производство!M$104:M$145)&gt;0,SUMIF(Производство!$A$104:$A$145,Технологи!$B408,Производство!M$104:M$145)*$F408+$G408,0)</f>
        <v>0</v>
      </c>
      <c r="Q408" s="46">
        <f t="array" ref="Q408">IF(SUMIF(Производство!$A$104:$A$145,Технологи!$B408,Производство!N$104:N$145)&gt;0,SUMIF(Производство!$A$104:$A$145,Технологи!$B408,Производство!N$104:N$145)*$F408+$G408,0)</f>
        <v>0</v>
      </c>
      <c r="R408" s="46">
        <f t="array" ref="R408">IF(SUMIF(Производство!$A$104:$A$145,Технологи!$B408,Производство!O$104:O$145)&gt;0,SUMIF(Производство!$A$104:$A$145,Технологи!$B408,Производство!O$104:O$145)*$F408+$G408,0)</f>
        <v>0</v>
      </c>
      <c r="S408" s="46">
        <f t="array" ref="S408">IF(SUMIF(Производство!$A$104:$A$145,Технологи!$B408,Производство!P$104:P$145)&gt;0,SUMIF(Производство!$A$104:$A$145,Технологи!$B408,Производство!P$104:P$145)*$F408+$G408,0)</f>
        <v>0</v>
      </c>
      <c r="T408" s="46">
        <f t="array" ref="T408">IF(SUMIF(Производство!$A$104:$A$145,Технологи!$B408,Производство!Q$104:Q$145)&gt;0,SUMIF(Производство!$A$104:$A$145,Технологи!$B408,Производство!Q$104:Q$145)*$F408+$G408,0)</f>
        <v>0</v>
      </c>
    </row>
    <row r="409" spans="1:20" x14ac:dyDescent="0.25">
      <c r="A409" s="34" t="s">
        <v>377</v>
      </c>
      <c r="B409" s="13" t="s">
        <v>48</v>
      </c>
      <c r="C409" s="19" t="s">
        <v>12</v>
      </c>
      <c r="D409" s="14">
        <v>7038</v>
      </c>
      <c r="E409" s="20"/>
      <c r="F409" s="24">
        <v>0.17599656354515048</v>
      </c>
      <c r="G409" s="24">
        <v>18.977613340765512</v>
      </c>
      <c r="H409" s="23">
        <f t="shared" si="19"/>
        <v>175.99656354515048</v>
      </c>
      <c r="I409" s="46">
        <f t="array" ref="I409">IF(SUMIF(Производство!$A$104:$A$145,Технологи!$B409,Производство!F$104:F$145)&gt;0,SUMIF(Производство!$A$104:$A$145,Технологи!$B409,Производство!F$104:F$145)*$F409+$G409,0)</f>
        <v>0</v>
      </c>
      <c r="J409" s="46">
        <f t="array" ref="J409">IF(SUMIF(Производство!$A$104:$A$145,Технологи!$B409,Производство!G$104:G$145)&gt;0,SUMIF(Производство!$A$104:$A$145,Технологи!$B409,Производство!G$104:G$145)*$F409+$G409,0)</f>
        <v>0</v>
      </c>
      <c r="K409" s="46">
        <f t="array" ref="K409">IF(SUMIF(Производство!$A$104:$A$145,Технологи!$B409,Производство!H$104:H$145)&gt;0,SUMIF(Производство!$A$104:$A$145,Технологи!$B409,Производство!H$104:H$145)*$F409+$G409,0)</f>
        <v>0</v>
      </c>
      <c r="L409" s="46">
        <f t="array" ref="L409">IF(SUMIF(Производство!$A$104:$A$145,Технологи!$B409,Производство!I$104:I$145)&gt;0,SUMIF(Производство!$A$104:$A$145,Технологи!$B409,Производство!I$104:I$145)*$F409+$G409,0)</f>
        <v>0</v>
      </c>
      <c r="M409" s="46">
        <f t="array" ref="M409">IF(SUMIF(Производство!$A$104:$A$145,Технологи!$B409,Производство!J$104:J$145)&gt;0,SUMIF(Производство!$A$104:$A$145,Технологи!$B409,Производство!J$104:J$145)*$F409+$G409,0)</f>
        <v>0</v>
      </c>
      <c r="N409" s="46">
        <f t="array" ref="N409">IF(SUMIF(Производство!$A$104:$A$145,Технологи!$B409,Производство!K$104:K$145)&gt;0,SUMIF(Производство!$A$104:$A$145,Технологи!$B409,Производство!K$104:K$145)*$F409+$G409,0)</f>
        <v>0</v>
      </c>
      <c r="O409" s="46">
        <f t="array" ref="O409">IF(SUMIF(Производство!$A$104:$A$145,Технологи!$B409,Производство!L$104:L$145)&gt;0,SUMIF(Производство!$A$104:$A$145,Технологи!$B409,Производство!L$104:L$145)*$F409+$G409,0)</f>
        <v>0</v>
      </c>
      <c r="P409" s="46">
        <f t="array" ref="P409">IF(SUMIF(Производство!$A$104:$A$145,Технологи!$B409,Производство!M$104:M$145)&gt;0,SUMIF(Производство!$A$104:$A$145,Технологи!$B409,Производство!M$104:M$145)*$F409+$G409,0)</f>
        <v>0</v>
      </c>
      <c r="Q409" s="46">
        <f t="array" ref="Q409">IF(SUMIF(Производство!$A$104:$A$145,Технологи!$B409,Производство!N$104:N$145)&gt;0,SUMIF(Производство!$A$104:$A$145,Технологи!$B409,Производство!N$104:N$145)*$F409+$G409,0)</f>
        <v>0</v>
      </c>
      <c r="R409" s="46">
        <f t="array" ref="R409">IF(SUMIF(Производство!$A$104:$A$145,Технологи!$B409,Производство!O$104:O$145)&gt;0,SUMIF(Производство!$A$104:$A$145,Технологи!$B409,Производство!O$104:O$145)*$F409+$G409,0)</f>
        <v>0</v>
      </c>
      <c r="S409" s="46">
        <f t="array" ref="S409">IF(SUMIF(Производство!$A$104:$A$145,Технологи!$B409,Производство!P$104:P$145)&gt;0,SUMIF(Производство!$A$104:$A$145,Технологи!$B409,Производство!P$104:P$145)*$F409+$G409,0)</f>
        <v>0</v>
      </c>
      <c r="T409" s="46">
        <f t="array" ref="T409">IF(SUMIF(Производство!$A$104:$A$145,Технологи!$B409,Производство!Q$104:Q$145)&gt;0,SUMIF(Производство!$A$104:$A$145,Технологи!$B409,Производство!Q$104:Q$145)*$F409+$G409,0)</f>
        <v>0</v>
      </c>
    </row>
    <row r="410" spans="1:20" x14ac:dyDescent="0.25">
      <c r="A410" s="34" t="s">
        <v>377</v>
      </c>
      <c r="B410" s="13" t="s">
        <v>48</v>
      </c>
      <c r="C410" s="19" t="s">
        <v>13</v>
      </c>
      <c r="D410" s="14">
        <v>7038</v>
      </c>
      <c r="E410" s="20"/>
      <c r="F410" s="24">
        <v>5.3061650501672233E-2</v>
      </c>
      <c r="G410" s="24">
        <v>5.693284002229654</v>
      </c>
      <c r="H410" s="23">
        <f t="shared" si="19"/>
        <v>53.061650501672233</v>
      </c>
      <c r="I410" s="46">
        <f t="array" ref="I410">IF(SUMIF(Производство!$A$104:$A$145,Технологи!$B410,Производство!F$104:F$145)&gt;0,SUMIF(Производство!$A$104:$A$145,Технологи!$B410,Производство!F$104:F$145)*$F410+$G410,0)</f>
        <v>0</v>
      </c>
      <c r="J410" s="46">
        <f t="array" ref="J410">IF(SUMIF(Производство!$A$104:$A$145,Технологи!$B410,Производство!G$104:G$145)&gt;0,SUMIF(Производство!$A$104:$A$145,Технологи!$B410,Производство!G$104:G$145)*$F410+$G410,0)</f>
        <v>0</v>
      </c>
      <c r="K410" s="46">
        <f t="array" ref="K410">IF(SUMIF(Производство!$A$104:$A$145,Технологи!$B410,Производство!H$104:H$145)&gt;0,SUMIF(Производство!$A$104:$A$145,Технологи!$B410,Производство!H$104:H$145)*$F410+$G410,0)</f>
        <v>0</v>
      </c>
      <c r="L410" s="46">
        <f t="array" ref="L410">IF(SUMIF(Производство!$A$104:$A$145,Технологи!$B410,Производство!I$104:I$145)&gt;0,SUMIF(Производство!$A$104:$A$145,Технологи!$B410,Производство!I$104:I$145)*$F410+$G410,0)</f>
        <v>0</v>
      </c>
      <c r="M410" s="46">
        <f t="array" ref="M410">IF(SUMIF(Производство!$A$104:$A$145,Технологи!$B410,Производство!J$104:J$145)&gt;0,SUMIF(Производство!$A$104:$A$145,Технологи!$B410,Производство!J$104:J$145)*$F410+$G410,0)</f>
        <v>0</v>
      </c>
      <c r="N410" s="46">
        <f t="array" ref="N410">IF(SUMIF(Производство!$A$104:$A$145,Технологи!$B410,Производство!K$104:K$145)&gt;0,SUMIF(Производство!$A$104:$A$145,Технологи!$B410,Производство!K$104:K$145)*$F410+$G410,0)</f>
        <v>0</v>
      </c>
      <c r="O410" s="46">
        <f t="array" ref="O410">IF(SUMIF(Производство!$A$104:$A$145,Технологи!$B410,Производство!L$104:L$145)&gt;0,SUMIF(Производство!$A$104:$A$145,Технологи!$B410,Производство!L$104:L$145)*$F410+$G410,0)</f>
        <v>0</v>
      </c>
      <c r="P410" s="46">
        <f t="array" ref="P410">IF(SUMIF(Производство!$A$104:$A$145,Технологи!$B410,Производство!M$104:M$145)&gt;0,SUMIF(Производство!$A$104:$A$145,Технологи!$B410,Производство!M$104:M$145)*$F410+$G410,0)</f>
        <v>0</v>
      </c>
      <c r="Q410" s="46">
        <f t="array" ref="Q410">IF(SUMIF(Производство!$A$104:$A$145,Технологи!$B410,Производство!N$104:N$145)&gt;0,SUMIF(Производство!$A$104:$A$145,Технологи!$B410,Производство!N$104:N$145)*$F410+$G410,0)</f>
        <v>0</v>
      </c>
      <c r="R410" s="46">
        <f t="array" ref="R410">IF(SUMIF(Производство!$A$104:$A$145,Технологи!$B410,Производство!O$104:O$145)&gt;0,SUMIF(Производство!$A$104:$A$145,Технологи!$B410,Производство!O$104:O$145)*$F410+$G410,0)</f>
        <v>0</v>
      </c>
      <c r="S410" s="46">
        <f t="array" ref="S410">IF(SUMIF(Производство!$A$104:$A$145,Технологи!$B410,Производство!P$104:P$145)&gt;0,SUMIF(Производство!$A$104:$A$145,Технологи!$B410,Производство!P$104:P$145)*$F410+$G410,0)</f>
        <v>0</v>
      </c>
      <c r="T410" s="46">
        <f t="array" ref="T410">IF(SUMIF(Производство!$A$104:$A$145,Технологи!$B410,Производство!Q$104:Q$145)&gt;0,SUMIF(Производство!$A$104:$A$145,Технологи!$B410,Производство!Q$104:Q$145)*$F410+$G410,0)</f>
        <v>0</v>
      </c>
    </row>
    <row r="411" spans="1:20" x14ac:dyDescent="0.25">
      <c r="A411" s="34" t="s">
        <v>377</v>
      </c>
      <c r="B411" s="13" t="s">
        <v>48</v>
      </c>
      <c r="C411" s="19" t="s">
        <v>14</v>
      </c>
      <c r="D411" s="14">
        <v>7038</v>
      </c>
      <c r="E411" s="20"/>
      <c r="F411" s="24">
        <v>5.3061650501672226E-4</v>
      </c>
      <c r="G411" s="24">
        <v>5.6932840022296531E-2</v>
      </c>
      <c r="H411" s="23">
        <f t="shared" si="19"/>
        <v>0.53061650501672231</v>
      </c>
      <c r="I411" s="46">
        <f t="array" ref="I411">IF(SUMIF(Производство!$A$104:$A$145,Технологи!$B411,Производство!F$104:F$145)&gt;0,SUMIF(Производство!$A$104:$A$145,Технологи!$B411,Производство!F$104:F$145)*$F411+$G411,0)</f>
        <v>0</v>
      </c>
      <c r="J411" s="46">
        <f t="array" ref="J411">IF(SUMIF(Производство!$A$104:$A$145,Технологи!$B411,Производство!G$104:G$145)&gt;0,SUMIF(Производство!$A$104:$A$145,Технологи!$B411,Производство!G$104:G$145)*$F411+$G411,0)</f>
        <v>0</v>
      </c>
      <c r="K411" s="46">
        <f t="array" ref="K411">IF(SUMIF(Производство!$A$104:$A$145,Технологи!$B411,Производство!H$104:H$145)&gt;0,SUMIF(Производство!$A$104:$A$145,Технологи!$B411,Производство!H$104:H$145)*$F411+$G411,0)</f>
        <v>0</v>
      </c>
      <c r="L411" s="46">
        <f t="array" ref="L411">IF(SUMIF(Производство!$A$104:$A$145,Технологи!$B411,Производство!I$104:I$145)&gt;0,SUMIF(Производство!$A$104:$A$145,Технологи!$B411,Производство!I$104:I$145)*$F411+$G411,0)</f>
        <v>0</v>
      </c>
      <c r="M411" s="46">
        <f t="array" ref="M411">IF(SUMIF(Производство!$A$104:$A$145,Технологи!$B411,Производство!J$104:J$145)&gt;0,SUMIF(Производство!$A$104:$A$145,Технологи!$B411,Производство!J$104:J$145)*$F411+$G411,0)</f>
        <v>0</v>
      </c>
      <c r="N411" s="46">
        <f t="array" ref="N411">IF(SUMIF(Производство!$A$104:$A$145,Технологи!$B411,Производство!K$104:K$145)&gt;0,SUMIF(Производство!$A$104:$A$145,Технологи!$B411,Производство!K$104:K$145)*$F411+$G411,0)</f>
        <v>0</v>
      </c>
      <c r="O411" s="46">
        <f t="array" ref="O411">IF(SUMIF(Производство!$A$104:$A$145,Технологи!$B411,Производство!L$104:L$145)&gt;0,SUMIF(Производство!$A$104:$A$145,Технологи!$B411,Производство!L$104:L$145)*$F411+$G411,0)</f>
        <v>0</v>
      </c>
      <c r="P411" s="46">
        <f t="array" ref="P411">IF(SUMIF(Производство!$A$104:$A$145,Технологи!$B411,Производство!M$104:M$145)&gt;0,SUMIF(Производство!$A$104:$A$145,Технологи!$B411,Производство!M$104:M$145)*$F411+$G411,0)</f>
        <v>0</v>
      </c>
      <c r="Q411" s="46">
        <f t="array" ref="Q411">IF(SUMIF(Производство!$A$104:$A$145,Технологи!$B411,Производство!N$104:N$145)&gt;0,SUMIF(Производство!$A$104:$A$145,Технологи!$B411,Производство!N$104:N$145)*$F411+$G411,0)</f>
        <v>0</v>
      </c>
      <c r="R411" s="46">
        <f t="array" ref="R411">IF(SUMIF(Производство!$A$104:$A$145,Технологи!$B411,Производство!O$104:O$145)&gt;0,SUMIF(Производство!$A$104:$A$145,Технологи!$B411,Производство!O$104:O$145)*$F411+$G411,0)</f>
        <v>0</v>
      </c>
      <c r="S411" s="46">
        <f t="array" ref="S411">IF(SUMIF(Производство!$A$104:$A$145,Технологи!$B411,Производство!P$104:P$145)&gt;0,SUMIF(Производство!$A$104:$A$145,Технологи!$B411,Производство!P$104:P$145)*$F411+$G411,0)</f>
        <v>0</v>
      </c>
      <c r="T411" s="46">
        <f t="array" ref="T411">IF(SUMIF(Производство!$A$104:$A$145,Технологи!$B411,Производство!Q$104:Q$145)&gt;0,SUMIF(Производство!$A$104:$A$145,Технологи!$B411,Производство!Q$104:Q$145)*$F411+$G411,0)</f>
        <v>0</v>
      </c>
    </row>
    <row r="412" spans="1:20" x14ac:dyDescent="0.25">
      <c r="A412" s="34" t="s">
        <v>377</v>
      </c>
      <c r="B412" s="13" t="s">
        <v>48</v>
      </c>
      <c r="C412" s="19" t="s">
        <v>15</v>
      </c>
      <c r="D412" s="14">
        <v>7038</v>
      </c>
      <c r="E412" s="20"/>
      <c r="F412" s="24">
        <v>2.6530825250836113E-4</v>
      </c>
      <c r="G412" s="24">
        <v>2.8466420011148266E-2</v>
      </c>
      <c r="H412" s="23">
        <f t="shared" si="19"/>
        <v>0.26530825250836115</v>
      </c>
      <c r="I412" s="46">
        <f t="array" ref="I412">IF(SUMIF(Производство!$A$104:$A$145,Технологи!$B412,Производство!F$104:F$145)&gt;0,SUMIF(Производство!$A$104:$A$145,Технологи!$B412,Производство!F$104:F$145)*$F412+$G412,0)</f>
        <v>0</v>
      </c>
      <c r="J412" s="46">
        <f t="array" ref="J412">IF(SUMIF(Производство!$A$104:$A$145,Технологи!$B412,Производство!G$104:G$145)&gt;0,SUMIF(Производство!$A$104:$A$145,Технологи!$B412,Производство!G$104:G$145)*$F412+$G412,0)</f>
        <v>0</v>
      </c>
      <c r="K412" s="46">
        <f t="array" ref="K412">IF(SUMIF(Производство!$A$104:$A$145,Технологи!$B412,Производство!H$104:H$145)&gt;0,SUMIF(Производство!$A$104:$A$145,Технологи!$B412,Производство!H$104:H$145)*$F412+$G412,0)</f>
        <v>0</v>
      </c>
      <c r="L412" s="46">
        <f t="array" ref="L412">IF(SUMIF(Производство!$A$104:$A$145,Технологи!$B412,Производство!I$104:I$145)&gt;0,SUMIF(Производство!$A$104:$A$145,Технологи!$B412,Производство!I$104:I$145)*$F412+$G412,0)</f>
        <v>0</v>
      </c>
      <c r="M412" s="46">
        <f t="array" ref="M412">IF(SUMIF(Производство!$A$104:$A$145,Технологи!$B412,Производство!J$104:J$145)&gt;0,SUMIF(Производство!$A$104:$A$145,Технологи!$B412,Производство!J$104:J$145)*$F412+$G412,0)</f>
        <v>0</v>
      </c>
      <c r="N412" s="46">
        <f t="array" ref="N412">IF(SUMIF(Производство!$A$104:$A$145,Технологи!$B412,Производство!K$104:K$145)&gt;0,SUMIF(Производство!$A$104:$A$145,Технологи!$B412,Производство!K$104:K$145)*$F412+$G412,0)</f>
        <v>0</v>
      </c>
      <c r="O412" s="46">
        <f t="array" ref="O412">IF(SUMIF(Производство!$A$104:$A$145,Технологи!$B412,Производство!L$104:L$145)&gt;0,SUMIF(Производство!$A$104:$A$145,Технологи!$B412,Производство!L$104:L$145)*$F412+$G412,0)</f>
        <v>0</v>
      </c>
      <c r="P412" s="46">
        <f t="array" ref="P412">IF(SUMIF(Производство!$A$104:$A$145,Технологи!$B412,Производство!M$104:M$145)&gt;0,SUMIF(Производство!$A$104:$A$145,Технологи!$B412,Производство!M$104:M$145)*$F412+$G412,0)</f>
        <v>0</v>
      </c>
      <c r="Q412" s="46">
        <f t="array" ref="Q412">IF(SUMIF(Производство!$A$104:$A$145,Технологи!$B412,Производство!N$104:N$145)&gt;0,SUMIF(Производство!$A$104:$A$145,Технологи!$B412,Производство!N$104:N$145)*$F412+$G412,0)</f>
        <v>0</v>
      </c>
      <c r="R412" s="46">
        <f t="array" ref="R412">IF(SUMIF(Производство!$A$104:$A$145,Технологи!$B412,Производство!O$104:O$145)&gt;0,SUMIF(Производство!$A$104:$A$145,Технологи!$B412,Производство!O$104:O$145)*$F412+$G412,0)</f>
        <v>0</v>
      </c>
      <c r="S412" s="46">
        <f t="array" ref="S412">IF(SUMIF(Производство!$A$104:$A$145,Технологи!$B412,Производство!P$104:P$145)&gt;0,SUMIF(Производство!$A$104:$A$145,Технологи!$B412,Производство!P$104:P$145)*$F412+$G412,0)</f>
        <v>0</v>
      </c>
      <c r="T412" s="46">
        <f t="array" ref="T412">IF(SUMIF(Производство!$A$104:$A$145,Технологи!$B412,Производство!Q$104:Q$145)&gt;0,SUMIF(Производство!$A$104:$A$145,Технологи!$B412,Производство!Q$104:Q$145)*$F412+$G412,0)</f>
        <v>0</v>
      </c>
    </row>
    <row r="413" spans="1:20" x14ac:dyDescent="0.25">
      <c r="A413" s="34" t="s">
        <v>377</v>
      </c>
      <c r="B413" s="13" t="s">
        <v>48</v>
      </c>
      <c r="C413" s="19" t="s">
        <v>16</v>
      </c>
      <c r="D413" s="14">
        <v>7038</v>
      </c>
      <c r="E413" s="20"/>
      <c r="F413" s="24">
        <v>3.5199312709030101E-3</v>
      </c>
      <c r="G413" s="24">
        <v>0.37955226681531029</v>
      </c>
      <c r="H413" s="23">
        <f t="shared" si="19"/>
        <v>3.5199312709030099</v>
      </c>
      <c r="I413" s="46">
        <f t="array" ref="I413">IF(SUMIF(Производство!$A$104:$A$145,Технологи!$B413,Производство!F$104:F$145)&gt;0,SUMIF(Производство!$A$104:$A$145,Технологи!$B413,Производство!F$104:F$145)*$F413+$G413,0)</f>
        <v>0</v>
      </c>
      <c r="J413" s="46">
        <f t="array" ref="J413">IF(SUMIF(Производство!$A$104:$A$145,Технологи!$B413,Производство!G$104:G$145)&gt;0,SUMIF(Производство!$A$104:$A$145,Технологи!$B413,Производство!G$104:G$145)*$F413+$G413,0)</f>
        <v>0</v>
      </c>
      <c r="K413" s="46">
        <f t="array" ref="K413">IF(SUMIF(Производство!$A$104:$A$145,Технологи!$B413,Производство!H$104:H$145)&gt;0,SUMIF(Производство!$A$104:$A$145,Технологи!$B413,Производство!H$104:H$145)*$F413+$G413,0)</f>
        <v>0</v>
      </c>
      <c r="L413" s="46">
        <f t="array" ref="L413">IF(SUMIF(Производство!$A$104:$A$145,Технологи!$B413,Производство!I$104:I$145)&gt;0,SUMIF(Производство!$A$104:$A$145,Технологи!$B413,Производство!I$104:I$145)*$F413+$G413,0)</f>
        <v>0</v>
      </c>
      <c r="M413" s="46">
        <f t="array" ref="M413">IF(SUMIF(Производство!$A$104:$A$145,Технологи!$B413,Производство!J$104:J$145)&gt;0,SUMIF(Производство!$A$104:$A$145,Технологи!$B413,Производство!J$104:J$145)*$F413+$G413,0)</f>
        <v>0</v>
      </c>
      <c r="N413" s="46">
        <f t="array" ref="N413">IF(SUMIF(Производство!$A$104:$A$145,Технологи!$B413,Производство!K$104:K$145)&gt;0,SUMIF(Производство!$A$104:$A$145,Технологи!$B413,Производство!K$104:K$145)*$F413+$G413,0)</f>
        <v>0</v>
      </c>
      <c r="O413" s="46">
        <f t="array" ref="O413">IF(SUMIF(Производство!$A$104:$A$145,Технологи!$B413,Производство!L$104:L$145)&gt;0,SUMIF(Производство!$A$104:$A$145,Технологи!$B413,Производство!L$104:L$145)*$F413+$G413,0)</f>
        <v>0</v>
      </c>
      <c r="P413" s="46">
        <f t="array" ref="P413">IF(SUMIF(Производство!$A$104:$A$145,Технологи!$B413,Производство!M$104:M$145)&gt;0,SUMIF(Производство!$A$104:$A$145,Технологи!$B413,Производство!M$104:M$145)*$F413+$G413,0)</f>
        <v>0</v>
      </c>
      <c r="Q413" s="46">
        <f t="array" ref="Q413">IF(SUMIF(Производство!$A$104:$A$145,Технологи!$B413,Производство!N$104:N$145)&gt;0,SUMIF(Производство!$A$104:$A$145,Технологи!$B413,Производство!N$104:N$145)*$F413+$G413,0)</f>
        <v>0</v>
      </c>
      <c r="R413" s="46">
        <f t="array" ref="R413">IF(SUMIF(Производство!$A$104:$A$145,Технологи!$B413,Производство!O$104:O$145)&gt;0,SUMIF(Производство!$A$104:$A$145,Технологи!$B413,Производство!O$104:O$145)*$F413+$G413,0)</f>
        <v>0</v>
      </c>
      <c r="S413" s="46">
        <f t="array" ref="S413">IF(SUMIF(Производство!$A$104:$A$145,Технологи!$B413,Производство!P$104:P$145)&gt;0,SUMIF(Производство!$A$104:$A$145,Технологи!$B413,Производство!P$104:P$145)*$F413+$G413,0)</f>
        <v>0</v>
      </c>
      <c r="T413" s="46">
        <f t="array" ref="T413">IF(SUMIF(Производство!$A$104:$A$145,Технологи!$B413,Производство!Q$104:Q$145)&gt;0,SUMIF(Производство!$A$104:$A$145,Технологи!$B413,Производство!Q$104:Q$145)*$F413+$G413,0)</f>
        <v>0</v>
      </c>
    </row>
    <row r="414" spans="1:20" x14ac:dyDescent="0.25">
      <c r="A414" s="34" t="s">
        <v>377</v>
      </c>
      <c r="B414" s="13" t="s">
        <v>48</v>
      </c>
      <c r="C414" s="19" t="s">
        <v>17</v>
      </c>
      <c r="D414" s="14">
        <v>7038</v>
      </c>
      <c r="E414" s="20"/>
      <c r="F414" s="24">
        <v>1.945593851727982E-3</v>
      </c>
      <c r="G414" s="24">
        <v>0.20875374674842068</v>
      </c>
      <c r="H414" s="23">
        <f t="shared" si="19"/>
        <v>1.945593851727982</v>
      </c>
      <c r="I414" s="46">
        <f t="array" ref="I414">IF(SUMIF(Производство!$A$104:$A$145,Технологи!$B414,Производство!F$104:F$145)&gt;0,SUMIF(Производство!$A$104:$A$145,Технологи!$B414,Производство!F$104:F$145)*$F414+$G414,0)</f>
        <v>0</v>
      </c>
      <c r="J414" s="46">
        <f t="array" ref="J414">IF(SUMIF(Производство!$A$104:$A$145,Технологи!$B414,Производство!G$104:G$145)&gt;0,SUMIF(Производство!$A$104:$A$145,Технологи!$B414,Производство!G$104:G$145)*$F414+$G414,0)</f>
        <v>0</v>
      </c>
      <c r="K414" s="46">
        <f t="array" ref="K414">IF(SUMIF(Производство!$A$104:$A$145,Технологи!$B414,Производство!H$104:H$145)&gt;0,SUMIF(Производство!$A$104:$A$145,Технологи!$B414,Производство!H$104:H$145)*$F414+$G414,0)</f>
        <v>0</v>
      </c>
      <c r="L414" s="46">
        <f t="array" ref="L414">IF(SUMIF(Производство!$A$104:$A$145,Технологи!$B414,Производство!I$104:I$145)&gt;0,SUMIF(Производство!$A$104:$A$145,Технологи!$B414,Производство!I$104:I$145)*$F414+$G414,0)</f>
        <v>0</v>
      </c>
      <c r="M414" s="46">
        <f t="array" ref="M414">IF(SUMIF(Производство!$A$104:$A$145,Технологи!$B414,Производство!J$104:J$145)&gt;0,SUMIF(Производство!$A$104:$A$145,Технологи!$B414,Производство!J$104:J$145)*$F414+$G414,0)</f>
        <v>0</v>
      </c>
      <c r="N414" s="46">
        <f t="array" ref="N414">IF(SUMIF(Производство!$A$104:$A$145,Технологи!$B414,Производство!K$104:K$145)&gt;0,SUMIF(Производство!$A$104:$A$145,Технологи!$B414,Производство!K$104:K$145)*$F414+$G414,0)</f>
        <v>0</v>
      </c>
      <c r="O414" s="46">
        <f t="array" ref="O414">IF(SUMIF(Производство!$A$104:$A$145,Технологи!$B414,Производство!L$104:L$145)&gt;0,SUMIF(Производство!$A$104:$A$145,Технологи!$B414,Производство!L$104:L$145)*$F414+$G414,0)</f>
        <v>0</v>
      </c>
      <c r="P414" s="46">
        <f t="array" ref="P414">IF(SUMIF(Производство!$A$104:$A$145,Технологи!$B414,Производство!M$104:M$145)&gt;0,SUMIF(Производство!$A$104:$A$145,Технологи!$B414,Производство!M$104:M$145)*$F414+$G414,0)</f>
        <v>0</v>
      </c>
      <c r="Q414" s="46">
        <f t="array" ref="Q414">IF(SUMIF(Производство!$A$104:$A$145,Технологи!$B414,Производство!N$104:N$145)&gt;0,SUMIF(Производство!$A$104:$A$145,Технологи!$B414,Производство!N$104:N$145)*$F414+$G414,0)</f>
        <v>0</v>
      </c>
      <c r="R414" s="46">
        <f t="array" ref="R414">IF(SUMIF(Производство!$A$104:$A$145,Технологи!$B414,Производство!O$104:O$145)&gt;0,SUMIF(Производство!$A$104:$A$145,Технологи!$B414,Производство!O$104:O$145)*$F414+$G414,0)</f>
        <v>0</v>
      </c>
      <c r="S414" s="46">
        <f t="array" ref="S414">IF(SUMIF(Производство!$A$104:$A$145,Технологи!$B414,Производство!P$104:P$145)&gt;0,SUMIF(Производство!$A$104:$A$145,Технологи!$B414,Производство!P$104:P$145)*$F414+$G414,0)</f>
        <v>0</v>
      </c>
      <c r="T414" s="46">
        <f t="array" ref="T414">IF(SUMIF(Производство!$A$104:$A$145,Технологи!$B414,Производство!Q$104:Q$145)&gt;0,SUMIF(Производство!$A$104:$A$145,Технологи!$B414,Производство!Q$104:Q$145)*$F414+$G414,0)</f>
        <v>0</v>
      </c>
    </row>
    <row r="415" spans="1:20" x14ac:dyDescent="0.25">
      <c r="A415" s="34" t="s">
        <v>377</v>
      </c>
      <c r="B415" s="13" t="s">
        <v>48</v>
      </c>
      <c r="C415" s="19" t="s">
        <v>18</v>
      </c>
      <c r="D415" s="14">
        <v>7038</v>
      </c>
      <c r="E415" s="20"/>
      <c r="F415" s="24">
        <v>1.7564632162764772E-3</v>
      </c>
      <c r="G415" s="24">
        <v>0.18977613340765515</v>
      </c>
      <c r="H415" s="23">
        <f t="shared" si="19"/>
        <v>1.7564632162764773</v>
      </c>
      <c r="I415" s="46">
        <f t="array" ref="I415">IF(SUMIF(Производство!$A$104:$A$145,Технологи!$B415,Производство!F$104:F$145)&gt;0,SUMIF(Производство!$A$104:$A$145,Технологи!$B415,Производство!F$104:F$145)*$F415+$G415,0)</f>
        <v>0</v>
      </c>
      <c r="J415" s="46">
        <f t="array" ref="J415">IF(SUMIF(Производство!$A$104:$A$145,Технологи!$B415,Производство!G$104:G$145)&gt;0,SUMIF(Производство!$A$104:$A$145,Технологи!$B415,Производство!G$104:G$145)*$F415+$G415,0)</f>
        <v>0</v>
      </c>
      <c r="K415" s="46">
        <f t="array" ref="K415">IF(SUMIF(Производство!$A$104:$A$145,Технологи!$B415,Производство!H$104:H$145)&gt;0,SUMIF(Производство!$A$104:$A$145,Технологи!$B415,Производство!H$104:H$145)*$F415+$G415,0)</f>
        <v>0</v>
      </c>
      <c r="L415" s="46">
        <f t="array" ref="L415">IF(SUMIF(Производство!$A$104:$A$145,Технологи!$B415,Производство!I$104:I$145)&gt;0,SUMIF(Производство!$A$104:$A$145,Технологи!$B415,Производство!I$104:I$145)*$F415+$G415,0)</f>
        <v>0</v>
      </c>
      <c r="M415" s="46">
        <f t="array" ref="M415">IF(SUMIF(Производство!$A$104:$A$145,Технологи!$B415,Производство!J$104:J$145)&gt;0,SUMIF(Производство!$A$104:$A$145,Технологи!$B415,Производство!J$104:J$145)*$F415+$G415,0)</f>
        <v>0</v>
      </c>
      <c r="N415" s="46">
        <f t="array" ref="N415">IF(SUMIF(Производство!$A$104:$A$145,Технологи!$B415,Производство!K$104:K$145)&gt;0,SUMIF(Производство!$A$104:$A$145,Технологи!$B415,Производство!K$104:K$145)*$F415+$G415,0)</f>
        <v>0</v>
      </c>
      <c r="O415" s="46">
        <f t="array" ref="O415">IF(SUMIF(Производство!$A$104:$A$145,Технологи!$B415,Производство!L$104:L$145)&gt;0,SUMIF(Производство!$A$104:$A$145,Технологи!$B415,Производство!L$104:L$145)*$F415+$G415,0)</f>
        <v>0</v>
      </c>
      <c r="P415" s="46">
        <f t="array" ref="P415">IF(SUMIF(Производство!$A$104:$A$145,Технологи!$B415,Производство!M$104:M$145)&gt;0,SUMIF(Производство!$A$104:$A$145,Технологи!$B415,Производство!M$104:M$145)*$F415+$G415,0)</f>
        <v>0</v>
      </c>
      <c r="Q415" s="46">
        <f t="array" ref="Q415">IF(SUMIF(Производство!$A$104:$A$145,Технологи!$B415,Производство!N$104:N$145)&gt;0,SUMIF(Производство!$A$104:$A$145,Технологи!$B415,Производство!N$104:N$145)*$F415+$G415,0)</f>
        <v>0</v>
      </c>
      <c r="R415" s="46">
        <f t="array" ref="R415">IF(SUMIF(Производство!$A$104:$A$145,Технологи!$B415,Производство!O$104:O$145)&gt;0,SUMIF(Производство!$A$104:$A$145,Технологи!$B415,Производство!O$104:O$145)*$F415+$G415,0)</f>
        <v>0</v>
      </c>
      <c r="S415" s="46">
        <f t="array" ref="S415">IF(SUMIF(Производство!$A$104:$A$145,Технологи!$B415,Производство!P$104:P$145)&gt;0,SUMIF(Производство!$A$104:$A$145,Технологи!$B415,Производство!P$104:P$145)*$F415+$G415,0)</f>
        <v>0</v>
      </c>
      <c r="T415" s="46">
        <f t="array" ref="T415">IF(SUMIF(Производство!$A$104:$A$145,Технологи!$B415,Производство!Q$104:Q$145)&gt;0,SUMIF(Производство!$A$104:$A$145,Технологи!$B415,Производство!Q$104:Q$145)*$F415+$G415,0)</f>
        <v>0</v>
      </c>
    </row>
    <row r="416" spans="1:20" x14ac:dyDescent="0.25">
      <c r="A416" s="34" t="s">
        <v>377</v>
      </c>
      <c r="B416" s="13" t="s">
        <v>48</v>
      </c>
      <c r="C416" s="19" t="s">
        <v>19</v>
      </c>
      <c r="D416" s="14">
        <v>7038</v>
      </c>
      <c r="E416" s="20"/>
      <c r="F416" s="24">
        <v>0.37698975000000001</v>
      </c>
      <c r="G416" s="24">
        <v>13.19464125</v>
      </c>
      <c r="H416" s="23">
        <f t="shared" si="19"/>
        <v>376.98975000000002</v>
      </c>
      <c r="I416" s="46">
        <f t="array" ref="I416">IF(SUMIF(Производство!$A$104:$A$145,Технологи!$B416,Производство!F$104:F$145)&gt;0,SUMIF(Производство!$A$104:$A$145,Технологи!$B416,Производство!F$104:F$145)*$F416+$G416,0)</f>
        <v>0</v>
      </c>
      <c r="J416" s="46">
        <f t="array" ref="J416">IF(SUMIF(Производство!$A$104:$A$145,Технологи!$B416,Производство!G$104:G$145)&gt;0,SUMIF(Производство!$A$104:$A$145,Технологи!$B416,Производство!G$104:G$145)*$F416+$G416,0)</f>
        <v>0</v>
      </c>
      <c r="K416" s="46">
        <f t="array" ref="K416">IF(SUMIF(Производство!$A$104:$A$145,Технологи!$B416,Производство!H$104:H$145)&gt;0,SUMIF(Производство!$A$104:$A$145,Технологи!$B416,Производство!H$104:H$145)*$F416+$G416,0)</f>
        <v>0</v>
      </c>
      <c r="L416" s="46">
        <f t="array" ref="L416">IF(SUMIF(Производство!$A$104:$A$145,Технологи!$B416,Производство!I$104:I$145)&gt;0,SUMIF(Производство!$A$104:$A$145,Технологи!$B416,Производство!I$104:I$145)*$F416+$G416,0)</f>
        <v>0</v>
      </c>
      <c r="M416" s="46">
        <f t="array" ref="M416">IF(SUMIF(Производство!$A$104:$A$145,Технологи!$B416,Производство!J$104:J$145)&gt;0,SUMIF(Производство!$A$104:$A$145,Технологи!$B416,Производство!J$104:J$145)*$F416+$G416,0)</f>
        <v>0</v>
      </c>
      <c r="N416" s="46">
        <f t="array" ref="N416">IF(SUMIF(Производство!$A$104:$A$145,Технологи!$B416,Производство!K$104:K$145)&gt;0,SUMIF(Производство!$A$104:$A$145,Технологи!$B416,Производство!K$104:K$145)*$F416+$G416,0)</f>
        <v>0</v>
      </c>
      <c r="O416" s="46">
        <f t="array" ref="O416">IF(SUMIF(Производство!$A$104:$A$145,Технологи!$B416,Производство!L$104:L$145)&gt;0,SUMIF(Производство!$A$104:$A$145,Технологи!$B416,Производство!L$104:L$145)*$F416+$G416,0)</f>
        <v>0</v>
      </c>
      <c r="P416" s="46">
        <f t="array" ref="P416">IF(SUMIF(Производство!$A$104:$A$145,Технологи!$B416,Производство!M$104:M$145)&gt;0,SUMIF(Производство!$A$104:$A$145,Технологи!$B416,Производство!M$104:M$145)*$F416+$G416,0)</f>
        <v>0</v>
      </c>
      <c r="Q416" s="46">
        <f t="array" ref="Q416">IF(SUMIF(Производство!$A$104:$A$145,Технологи!$B416,Производство!N$104:N$145)&gt;0,SUMIF(Производство!$A$104:$A$145,Технологи!$B416,Производство!N$104:N$145)*$F416+$G416,0)</f>
        <v>0</v>
      </c>
      <c r="R416" s="46">
        <f t="array" ref="R416">IF(SUMIF(Производство!$A$104:$A$145,Технологи!$B416,Производство!O$104:O$145)&gt;0,SUMIF(Производство!$A$104:$A$145,Технологи!$B416,Производство!O$104:O$145)*$F416+$G416,0)</f>
        <v>0</v>
      </c>
      <c r="S416" s="46">
        <f t="array" ref="S416">IF(SUMIF(Производство!$A$104:$A$145,Технологи!$B416,Производство!P$104:P$145)&gt;0,SUMIF(Производство!$A$104:$A$145,Технологи!$B416,Производство!P$104:P$145)*$F416+$G416,0)</f>
        <v>0</v>
      </c>
      <c r="T416" s="46">
        <f t="array" ref="T416">IF(SUMIF(Производство!$A$104:$A$145,Технологи!$B416,Производство!Q$104:Q$145)&gt;0,SUMIF(Производство!$A$104:$A$145,Технологи!$B416,Производство!Q$104:Q$145)*$F416+$G416,0)</f>
        <v>0</v>
      </c>
    </row>
    <row r="417" spans="1:20" x14ac:dyDescent="0.25">
      <c r="A417" s="34" t="s">
        <v>377</v>
      </c>
      <c r="B417" s="13" t="s">
        <v>48</v>
      </c>
      <c r="C417" s="19" t="s">
        <v>20</v>
      </c>
      <c r="D417" s="14">
        <v>7038</v>
      </c>
      <c r="E417" s="20"/>
      <c r="F417" s="24">
        <v>3.3600000000000005E-2</v>
      </c>
      <c r="G417" s="24">
        <v>0.504</v>
      </c>
      <c r="H417" s="23">
        <f t="shared" si="19"/>
        <v>33.6</v>
      </c>
      <c r="I417" s="46">
        <f t="array" ref="I417">IF(SUMIF(Производство!$A$104:$A$145,Технологи!$B417,Производство!F$104:F$145)&gt;0,SUMIF(Производство!$A$104:$A$145,Технологи!$B417,Производство!F$104:F$145)*$F417+$G417,0)</f>
        <v>0</v>
      </c>
      <c r="J417" s="46">
        <f t="array" ref="J417">IF(SUMIF(Производство!$A$104:$A$145,Технологи!$B417,Производство!G$104:G$145)&gt;0,SUMIF(Производство!$A$104:$A$145,Технологи!$B417,Производство!G$104:G$145)*$F417+$G417,0)</f>
        <v>0</v>
      </c>
      <c r="K417" s="46">
        <f t="array" ref="K417">IF(SUMIF(Производство!$A$104:$A$145,Технологи!$B417,Производство!H$104:H$145)&gt;0,SUMIF(Производство!$A$104:$A$145,Технологи!$B417,Производство!H$104:H$145)*$F417+$G417,0)</f>
        <v>0</v>
      </c>
      <c r="L417" s="46">
        <f t="array" ref="L417">IF(SUMIF(Производство!$A$104:$A$145,Технологи!$B417,Производство!I$104:I$145)&gt;0,SUMIF(Производство!$A$104:$A$145,Технологи!$B417,Производство!I$104:I$145)*$F417+$G417,0)</f>
        <v>0</v>
      </c>
      <c r="M417" s="46">
        <f t="array" ref="M417">IF(SUMIF(Производство!$A$104:$A$145,Технологи!$B417,Производство!J$104:J$145)&gt;0,SUMIF(Производство!$A$104:$A$145,Технологи!$B417,Производство!J$104:J$145)*$F417+$G417,0)</f>
        <v>0</v>
      </c>
      <c r="N417" s="46">
        <f t="array" ref="N417">IF(SUMIF(Производство!$A$104:$A$145,Технологи!$B417,Производство!K$104:K$145)&gt;0,SUMIF(Производство!$A$104:$A$145,Технологи!$B417,Производство!K$104:K$145)*$F417+$G417,0)</f>
        <v>0</v>
      </c>
      <c r="O417" s="46">
        <f t="array" ref="O417">IF(SUMIF(Производство!$A$104:$A$145,Технологи!$B417,Производство!L$104:L$145)&gt;0,SUMIF(Производство!$A$104:$A$145,Технологи!$B417,Производство!L$104:L$145)*$F417+$G417,0)</f>
        <v>0</v>
      </c>
      <c r="P417" s="46">
        <f t="array" ref="P417">IF(SUMIF(Производство!$A$104:$A$145,Технологи!$B417,Производство!M$104:M$145)&gt;0,SUMIF(Производство!$A$104:$A$145,Технологи!$B417,Производство!M$104:M$145)*$F417+$G417,0)</f>
        <v>0</v>
      </c>
      <c r="Q417" s="46">
        <f t="array" ref="Q417">IF(SUMIF(Производство!$A$104:$A$145,Технологи!$B417,Производство!N$104:N$145)&gt;0,SUMIF(Производство!$A$104:$A$145,Технологи!$B417,Производство!N$104:N$145)*$F417+$G417,0)</f>
        <v>0</v>
      </c>
      <c r="R417" s="46">
        <f t="array" ref="R417">IF(SUMIF(Производство!$A$104:$A$145,Технологи!$B417,Производство!O$104:O$145)&gt;0,SUMIF(Производство!$A$104:$A$145,Технологи!$B417,Производство!O$104:O$145)*$F417+$G417,0)</f>
        <v>0</v>
      </c>
      <c r="S417" s="46">
        <f t="array" ref="S417">IF(SUMIF(Производство!$A$104:$A$145,Технологи!$B417,Производство!P$104:P$145)&gt;0,SUMIF(Производство!$A$104:$A$145,Технологи!$B417,Производство!P$104:P$145)*$F417+$G417,0)</f>
        <v>0</v>
      </c>
      <c r="T417" s="46">
        <f t="array" ref="T417">IF(SUMIF(Производство!$A$104:$A$145,Технологи!$B417,Производство!Q$104:Q$145)&gt;0,SUMIF(Производство!$A$104:$A$145,Технологи!$B417,Производство!Q$104:Q$145)*$F417+$G417,0)</f>
        <v>0</v>
      </c>
    </row>
    <row r="418" spans="1:20" x14ac:dyDescent="0.25">
      <c r="A418" s="34" t="s">
        <v>377</v>
      </c>
      <c r="B418" s="13" t="s">
        <v>48</v>
      </c>
      <c r="C418" s="19" t="s">
        <v>21</v>
      </c>
      <c r="D418" s="14">
        <v>7038</v>
      </c>
      <c r="E418" s="20"/>
      <c r="F418" s="24">
        <v>0</v>
      </c>
      <c r="G418" s="24">
        <v>0</v>
      </c>
      <c r="H418" s="23">
        <f t="shared" si="19"/>
        <v>0</v>
      </c>
      <c r="I418" s="46">
        <f t="array" ref="I418">IF(SUMIF(Производство!$A$104:$A$145,Технологи!$B418,Производство!F$104:F$145)&gt;0,SUMIF(Производство!$A$104:$A$145,Технологи!$B418,Производство!F$104:F$145)*$F418+$G418,0)</f>
        <v>0</v>
      </c>
      <c r="J418" s="46">
        <f t="array" ref="J418">IF(SUMIF(Производство!$A$104:$A$145,Технологи!$B418,Производство!G$104:G$145)&gt;0,SUMIF(Производство!$A$104:$A$145,Технологи!$B418,Производство!G$104:G$145)*$F418+$G418,0)</f>
        <v>0</v>
      </c>
      <c r="K418" s="46">
        <f t="array" ref="K418">IF(SUMIF(Производство!$A$104:$A$145,Технологи!$B418,Производство!H$104:H$145)&gt;0,SUMIF(Производство!$A$104:$A$145,Технологи!$B418,Производство!H$104:H$145)*$F418+$G418,0)</f>
        <v>0</v>
      </c>
      <c r="L418" s="46">
        <f t="array" ref="L418">IF(SUMIF(Производство!$A$104:$A$145,Технологи!$B418,Производство!I$104:I$145)&gt;0,SUMIF(Производство!$A$104:$A$145,Технологи!$B418,Производство!I$104:I$145)*$F418+$G418,0)</f>
        <v>0</v>
      </c>
      <c r="M418" s="46">
        <f t="array" ref="M418">IF(SUMIF(Производство!$A$104:$A$145,Технологи!$B418,Производство!J$104:J$145)&gt;0,SUMIF(Производство!$A$104:$A$145,Технологи!$B418,Производство!J$104:J$145)*$F418+$G418,0)</f>
        <v>0</v>
      </c>
      <c r="N418" s="46">
        <f t="array" ref="N418">IF(SUMIF(Производство!$A$104:$A$145,Технологи!$B418,Производство!K$104:K$145)&gt;0,SUMIF(Производство!$A$104:$A$145,Технологи!$B418,Производство!K$104:K$145)*$F418+$G418,0)</f>
        <v>0</v>
      </c>
      <c r="O418" s="46">
        <f t="array" ref="O418">IF(SUMIF(Производство!$A$104:$A$145,Технологи!$B418,Производство!L$104:L$145)&gt;0,SUMIF(Производство!$A$104:$A$145,Технологи!$B418,Производство!L$104:L$145)*$F418+$G418,0)</f>
        <v>0</v>
      </c>
      <c r="P418" s="46">
        <f t="array" ref="P418">IF(SUMIF(Производство!$A$104:$A$145,Технологи!$B418,Производство!M$104:M$145)&gt;0,SUMIF(Производство!$A$104:$A$145,Технологи!$B418,Производство!M$104:M$145)*$F418+$G418,0)</f>
        <v>0</v>
      </c>
      <c r="Q418" s="46">
        <f t="array" ref="Q418">IF(SUMIF(Производство!$A$104:$A$145,Технологи!$B418,Производство!N$104:N$145)&gt;0,SUMIF(Производство!$A$104:$A$145,Технологи!$B418,Производство!N$104:N$145)*$F418+$G418,0)</f>
        <v>0</v>
      </c>
      <c r="R418" s="46">
        <f t="array" ref="R418">IF(SUMIF(Производство!$A$104:$A$145,Технологи!$B418,Производство!O$104:O$145)&gt;0,SUMIF(Производство!$A$104:$A$145,Технологи!$B418,Производство!O$104:O$145)*$F418+$G418,0)</f>
        <v>0</v>
      </c>
      <c r="S418" s="46">
        <f t="array" ref="S418">IF(SUMIF(Производство!$A$104:$A$145,Технологи!$B418,Производство!P$104:P$145)&gt;0,SUMIF(Производство!$A$104:$A$145,Технологи!$B418,Производство!P$104:P$145)*$F418+$G418,0)</f>
        <v>0</v>
      </c>
      <c r="T418" s="46">
        <f t="array" ref="T418">IF(SUMIF(Производство!$A$104:$A$145,Технологи!$B418,Производство!Q$104:Q$145)&gt;0,SUMIF(Производство!$A$104:$A$145,Технологи!$B418,Производство!Q$104:Q$145)*$F418+$G418,0)</f>
        <v>0</v>
      </c>
    </row>
    <row r="419" spans="1:20" x14ac:dyDescent="0.25">
      <c r="A419" s="34" t="s">
        <v>377</v>
      </c>
      <c r="B419" s="13" t="s">
        <v>48</v>
      </c>
      <c r="C419" s="19" t="s">
        <v>22</v>
      </c>
      <c r="D419" s="14">
        <v>7038</v>
      </c>
      <c r="E419" s="20"/>
      <c r="F419" s="24">
        <v>2.7E-2</v>
      </c>
      <c r="G419" s="24">
        <v>0.40500000000000003</v>
      </c>
      <c r="H419" s="23">
        <f t="shared" si="19"/>
        <v>27</v>
      </c>
      <c r="I419" s="46">
        <f t="array" ref="I419">IF(SUMIF(Производство!$A$104:$A$145,Технологи!$B419,Производство!F$104:F$145)&gt;0,SUMIF(Производство!$A$104:$A$145,Технологи!$B419,Производство!F$104:F$145)*$F419+$G419,0)</f>
        <v>0</v>
      </c>
      <c r="J419" s="46">
        <f t="array" ref="J419">IF(SUMIF(Производство!$A$104:$A$145,Технологи!$B419,Производство!G$104:G$145)&gt;0,SUMIF(Производство!$A$104:$A$145,Технологи!$B419,Производство!G$104:G$145)*$F419+$G419,0)</f>
        <v>0</v>
      </c>
      <c r="K419" s="46">
        <f t="array" ref="K419">IF(SUMIF(Производство!$A$104:$A$145,Технологи!$B419,Производство!H$104:H$145)&gt;0,SUMIF(Производство!$A$104:$A$145,Технологи!$B419,Производство!H$104:H$145)*$F419+$G419,0)</f>
        <v>0</v>
      </c>
      <c r="L419" s="46">
        <f t="array" ref="L419">IF(SUMIF(Производство!$A$104:$A$145,Технологи!$B419,Производство!I$104:I$145)&gt;0,SUMIF(Производство!$A$104:$A$145,Технологи!$B419,Производство!I$104:I$145)*$F419+$G419,0)</f>
        <v>0</v>
      </c>
      <c r="M419" s="46">
        <f t="array" ref="M419">IF(SUMIF(Производство!$A$104:$A$145,Технологи!$B419,Производство!J$104:J$145)&gt;0,SUMIF(Производство!$A$104:$A$145,Технологи!$B419,Производство!J$104:J$145)*$F419+$G419,0)</f>
        <v>0</v>
      </c>
      <c r="N419" s="46">
        <f t="array" ref="N419">IF(SUMIF(Производство!$A$104:$A$145,Технологи!$B419,Производство!K$104:K$145)&gt;0,SUMIF(Производство!$A$104:$A$145,Технологи!$B419,Производство!K$104:K$145)*$F419+$G419,0)</f>
        <v>0</v>
      </c>
      <c r="O419" s="46">
        <f t="array" ref="O419">IF(SUMIF(Производство!$A$104:$A$145,Технологи!$B419,Производство!L$104:L$145)&gt;0,SUMIF(Производство!$A$104:$A$145,Технологи!$B419,Производство!L$104:L$145)*$F419+$G419,0)</f>
        <v>0</v>
      </c>
      <c r="P419" s="46">
        <f t="array" ref="P419">IF(SUMIF(Производство!$A$104:$A$145,Технологи!$B419,Производство!M$104:M$145)&gt;0,SUMIF(Производство!$A$104:$A$145,Технологи!$B419,Производство!M$104:M$145)*$F419+$G419,0)</f>
        <v>0</v>
      </c>
      <c r="Q419" s="46">
        <f t="array" ref="Q419">IF(SUMIF(Производство!$A$104:$A$145,Технологи!$B419,Производство!N$104:N$145)&gt;0,SUMIF(Производство!$A$104:$A$145,Технологи!$B419,Производство!N$104:N$145)*$F419+$G419,0)</f>
        <v>0</v>
      </c>
      <c r="R419" s="46">
        <f t="array" ref="R419">IF(SUMIF(Производство!$A$104:$A$145,Технологи!$B419,Производство!O$104:O$145)&gt;0,SUMIF(Производство!$A$104:$A$145,Технологи!$B419,Производство!O$104:O$145)*$F419+$G419,0)</f>
        <v>0</v>
      </c>
      <c r="S419" s="46">
        <f t="array" ref="S419">IF(SUMIF(Производство!$A$104:$A$145,Технологи!$B419,Производство!P$104:P$145)&gt;0,SUMIF(Производство!$A$104:$A$145,Технологи!$B419,Производство!P$104:P$145)*$F419+$G419,0)</f>
        <v>0</v>
      </c>
      <c r="T419" s="46">
        <f t="array" ref="T419">IF(SUMIF(Производство!$A$104:$A$145,Технологи!$B419,Производство!Q$104:Q$145)&gt;0,SUMIF(Производство!$A$104:$A$145,Технологи!$B419,Производство!Q$104:Q$145)*$F419+$G419,0)</f>
        <v>0</v>
      </c>
    </row>
    <row r="420" spans="1:20" x14ac:dyDescent="0.25">
      <c r="A420" s="34" t="s">
        <v>377</v>
      </c>
      <c r="B420" s="13" t="s">
        <v>48</v>
      </c>
      <c r="C420" s="19" t="s">
        <v>23</v>
      </c>
      <c r="D420" s="14">
        <v>7038</v>
      </c>
      <c r="E420" s="20"/>
      <c r="F420" s="24">
        <v>0</v>
      </c>
      <c r="G420" s="24">
        <v>0</v>
      </c>
      <c r="H420" s="23">
        <f t="shared" si="19"/>
        <v>0</v>
      </c>
      <c r="I420" s="46">
        <f t="array" ref="I420">IF(SUMIF(Производство!$A$104:$A$145,Технологи!$B420,Производство!F$104:F$145)&gt;0,SUMIF(Производство!$A$104:$A$145,Технологи!$B420,Производство!F$104:F$145)*$F420+$G420,0)</f>
        <v>0</v>
      </c>
      <c r="J420" s="46">
        <f t="array" ref="J420">IF(SUMIF(Производство!$A$104:$A$145,Технологи!$B420,Производство!G$104:G$145)&gt;0,SUMIF(Производство!$A$104:$A$145,Технологи!$B420,Производство!G$104:G$145)*$F420+$G420,0)</f>
        <v>0</v>
      </c>
      <c r="K420" s="46">
        <f t="array" ref="K420">IF(SUMIF(Производство!$A$104:$A$145,Технологи!$B420,Производство!H$104:H$145)&gt;0,SUMIF(Производство!$A$104:$A$145,Технологи!$B420,Производство!H$104:H$145)*$F420+$G420,0)</f>
        <v>0</v>
      </c>
      <c r="L420" s="46">
        <f t="array" ref="L420">IF(SUMIF(Производство!$A$104:$A$145,Технологи!$B420,Производство!I$104:I$145)&gt;0,SUMIF(Производство!$A$104:$A$145,Технологи!$B420,Производство!I$104:I$145)*$F420+$G420,0)</f>
        <v>0</v>
      </c>
      <c r="M420" s="46">
        <f t="array" ref="M420">IF(SUMIF(Производство!$A$104:$A$145,Технологи!$B420,Производство!J$104:J$145)&gt;0,SUMIF(Производство!$A$104:$A$145,Технологи!$B420,Производство!J$104:J$145)*$F420+$G420,0)</f>
        <v>0</v>
      </c>
      <c r="N420" s="46">
        <f t="array" ref="N420">IF(SUMIF(Производство!$A$104:$A$145,Технологи!$B420,Производство!K$104:K$145)&gt;0,SUMIF(Производство!$A$104:$A$145,Технологи!$B420,Производство!K$104:K$145)*$F420+$G420,0)</f>
        <v>0</v>
      </c>
      <c r="O420" s="46">
        <f t="array" ref="O420">IF(SUMIF(Производство!$A$104:$A$145,Технологи!$B420,Производство!L$104:L$145)&gt;0,SUMIF(Производство!$A$104:$A$145,Технологи!$B420,Производство!L$104:L$145)*$F420+$G420,0)</f>
        <v>0</v>
      </c>
      <c r="P420" s="46">
        <f t="array" ref="P420">IF(SUMIF(Производство!$A$104:$A$145,Технологи!$B420,Производство!M$104:M$145)&gt;0,SUMIF(Производство!$A$104:$A$145,Технологи!$B420,Производство!M$104:M$145)*$F420+$G420,0)</f>
        <v>0</v>
      </c>
      <c r="Q420" s="46">
        <f t="array" ref="Q420">IF(SUMIF(Производство!$A$104:$A$145,Технологи!$B420,Производство!N$104:N$145)&gt;0,SUMIF(Производство!$A$104:$A$145,Технологи!$B420,Производство!N$104:N$145)*$F420+$G420,0)</f>
        <v>0</v>
      </c>
      <c r="R420" s="46">
        <f t="array" ref="R420">IF(SUMIF(Производство!$A$104:$A$145,Технологи!$B420,Производство!O$104:O$145)&gt;0,SUMIF(Производство!$A$104:$A$145,Технологи!$B420,Производство!O$104:O$145)*$F420+$G420,0)</f>
        <v>0</v>
      </c>
      <c r="S420" s="46">
        <f t="array" ref="S420">IF(SUMIF(Производство!$A$104:$A$145,Технологи!$B420,Производство!P$104:P$145)&gt;0,SUMIF(Производство!$A$104:$A$145,Технологи!$B420,Производство!P$104:P$145)*$F420+$G420,0)</f>
        <v>0</v>
      </c>
      <c r="T420" s="46">
        <f t="array" ref="T420">IF(SUMIF(Производство!$A$104:$A$145,Технологи!$B420,Производство!Q$104:Q$145)&gt;0,SUMIF(Производство!$A$104:$A$145,Технологи!$B420,Производство!Q$104:Q$145)*$F420+$G420,0)</f>
        <v>0</v>
      </c>
    </row>
    <row r="421" spans="1:20" x14ac:dyDescent="0.25">
      <c r="A421" s="34" t="s">
        <v>377</v>
      </c>
      <c r="B421" s="13" t="s">
        <v>28</v>
      </c>
      <c r="C421" s="15" t="s">
        <v>11</v>
      </c>
      <c r="D421" s="14">
        <v>7038</v>
      </c>
      <c r="E421" s="16">
        <v>1.1779999999999999</v>
      </c>
      <c r="F421" s="22">
        <f>SUM(F422:F433)</f>
        <v>1.180062739218692</v>
      </c>
      <c r="G421" s="22">
        <f>SUM(G422:G433)</f>
        <v>52.964700000000001</v>
      </c>
      <c r="H421" s="23">
        <f t="shared" si="19"/>
        <v>1180.0627392186921</v>
      </c>
      <c r="I421" s="46">
        <f t="array" ref="I421">IF(SUMIF(Производство!$A$104:$A$145,Технологи!$B421,Производство!F$104:F$145)&gt;0,SUMIF(Производство!$A$104:$A$145,Технологи!$B421,Производство!F$104:F$145)*$F421+$G421,0)</f>
        <v>0</v>
      </c>
      <c r="J421" s="46">
        <f t="array" ref="J421">IF(SUMIF(Производство!$A$104:$A$145,Технологи!$B421,Производство!G$104:G$145)&gt;0,SUMIF(Производство!$A$104:$A$145,Технологи!$B421,Производство!G$104:G$145)*$F421+$G421,0)</f>
        <v>0</v>
      </c>
      <c r="K421" s="46">
        <f t="array" ref="K421">IF(SUMIF(Производство!$A$104:$A$145,Технологи!$B421,Производство!H$104:H$145)&gt;0,SUMIF(Производство!$A$104:$A$145,Технологи!$B421,Производство!H$104:H$145)*$F421+$G421,0)</f>
        <v>0</v>
      </c>
      <c r="L421" s="46">
        <f t="array" ref="L421">IF(SUMIF(Производство!$A$104:$A$145,Технологи!$B421,Производство!I$104:I$145)&gt;0,SUMIF(Производство!$A$104:$A$145,Технологи!$B421,Производство!I$104:I$145)*$F421+$G421,0)</f>
        <v>0</v>
      </c>
      <c r="M421" s="46">
        <f t="array" ref="M421">IF(SUMIF(Производство!$A$104:$A$145,Технологи!$B421,Производство!J$104:J$145)&gt;0,SUMIF(Производство!$A$104:$A$145,Технологи!$B421,Производство!J$104:J$145)*$F421+$G421,0)</f>
        <v>0</v>
      </c>
      <c r="N421" s="46">
        <f t="array" ref="N421">IF(SUMIF(Производство!$A$104:$A$145,Технологи!$B421,Производство!K$104:K$145)&gt;0,SUMIF(Производство!$A$104:$A$145,Технологи!$B421,Производство!K$104:K$145)*$F421+$G421,0)</f>
        <v>0</v>
      </c>
      <c r="O421" s="46">
        <f t="array" ref="O421">IF(SUMIF(Производство!$A$104:$A$145,Технологи!$B421,Производство!L$104:L$145)&gt;0,SUMIF(Производство!$A$104:$A$145,Технологи!$B421,Производство!L$104:L$145)*$F421+$G421,0)</f>
        <v>0</v>
      </c>
      <c r="P421" s="46">
        <f t="array" ref="P421">IF(SUMIF(Производство!$A$104:$A$145,Технологи!$B421,Производство!M$104:M$145)&gt;0,SUMIF(Производство!$A$104:$A$145,Технологи!$B421,Производство!M$104:M$145)*$F421+$G421,0)</f>
        <v>0</v>
      </c>
      <c r="Q421" s="46">
        <f t="array" ref="Q421">IF(SUMIF(Производство!$A$104:$A$145,Технологи!$B421,Производство!N$104:N$145)&gt;0,SUMIF(Производство!$A$104:$A$145,Технологи!$B421,Производство!N$104:N$145)*$F421+$G421,0)</f>
        <v>0</v>
      </c>
      <c r="R421" s="46">
        <f t="array" ref="R421">IF(SUMIF(Производство!$A$104:$A$145,Технологи!$B421,Производство!O$104:O$145)&gt;0,SUMIF(Производство!$A$104:$A$145,Технологи!$B421,Производство!O$104:O$145)*$F421+$G421,0)</f>
        <v>0</v>
      </c>
      <c r="S421" s="46">
        <f t="array" ref="S421">IF(SUMIF(Производство!$A$104:$A$145,Технологи!$B421,Производство!P$104:P$145)&gt;0,SUMIF(Производство!$A$104:$A$145,Технологи!$B421,Производство!P$104:P$145)*$F421+$G421,0)</f>
        <v>0</v>
      </c>
      <c r="T421" s="46">
        <f t="array" ref="T421">IF(SUMIF(Производство!$A$104:$A$145,Технологи!$B421,Производство!Q$104:Q$145)&gt;0,SUMIF(Производство!$A$104:$A$145,Технологи!$B421,Производство!Q$104:Q$145)*$F421+$G421,0)</f>
        <v>0</v>
      </c>
    </row>
    <row r="422" spans="1:20" x14ac:dyDescent="0.25">
      <c r="A422" s="34" t="s">
        <v>377</v>
      </c>
      <c r="B422" s="13" t="s">
        <v>28</v>
      </c>
      <c r="C422" s="19" t="s">
        <v>12</v>
      </c>
      <c r="D422" s="14">
        <v>7038</v>
      </c>
      <c r="E422" s="20"/>
      <c r="F422" s="24">
        <v>0.30783680323299883</v>
      </c>
      <c r="G422" s="24">
        <v>20.945378112225935</v>
      </c>
      <c r="H422" s="23">
        <f t="shared" si="19"/>
        <v>307.83680323299882</v>
      </c>
      <c r="I422" s="46">
        <f t="array" ref="I422">IF(SUMIF(Производство!$A$104:$A$145,Технологи!$B422,Производство!F$104:F$145)&gt;0,SUMIF(Производство!$A$104:$A$145,Технологи!$B422,Производство!F$104:F$145)*$F422+$G422,0)</f>
        <v>0</v>
      </c>
      <c r="J422" s="46">
        <f t="array" ref="J422">IF(SUMIF(Производство!$A$104:$A$145,Технологи!$B422,Производство!G$104:G$145)&gt;0,SUMIF(Производство!$A$104:$A$145,Технологи!$B422,Производство!G$104:G$145)*$F422+$G422,0)</f>
        <v>0</v>
      </c>
      <c r="K422" s="46">
        <f t="array" ref="K422">IF(SUMIF(Производство!$A$104:$A$145,Технологи!$B422,Производство!H$104:H$145)&gt;0,SUMIF(Производство!$A$104:$A$145,Технологи!$B422,Производство!H$104:H$145)*$F422+$G422,0)</f>
        <v>0</v>
      </c>
      <c r="L422" s="46">
        <f t="array" ref="L422">IF(SUMIF(Производство!$A$104:$A$145,Технологи!$B422,Производство!I$104:I$145)&gt;0,SUMIF(Производство!$A$104:$A$145,Технологи!$B422,Производство!I$104:I$145)*$F422+$G422,0)</f>
        <v>0</v>
      </c>
      <c r="M422" s="46">
        <f t="array" ref="M422">IF(SUMIF(Производство!$A$104:$A$145,Технологи!$B422,Производство!J$104:J$145)&gt;0,SUMIF(Производство!$A$104:$A$145,Технологи!$B422,Производство!J$104:J$145)*$F422+$G422,0)</f>
        <v>0</v>
      </c>
      <c r="N422" s="46">
        <f t="array" ref="N422">IF(SUMIF(Производство!$A$104:$A$145,Технологи!$B422,Производство!K$104:K$145)&gt;0,SUMIF(Производство!$A$104:$A$145,Технологи!$B422,Производство!K$104:K$145)*$F422+$G422,0)</f>
        <v>0</v>
      </c>
      <c r="O422" s="46">
        <f t="array" ref="O422">IF(SUMIF(Производство!$A$104:$A$145,Технологи!$B422,Производство!L$104:L$145)&gt;0,SUMIF(Производство!$A$104:$A$145,Технологи!$B422,Производство!L$104:L$145)*$F422+$G422,0)</f>
        <v>0</v>
      </c>
      <c r="P422" s="46">
        <f t="array" ref="P422">IF(SUMIF(Производство!$A$104:$A$145,Технологи!$B422,Производство!M$104:M$145)&gt;0,SUMIF(Производство!$A$104:$A$145,Технологи!$B422,Производство!M$104:M$145)*$F422+$G422,0)</f>
        <v>0</v>
      </c>
      <c r="Q422" s="46">
        <f t="array" ref="Q422">IF(SUMIF(Производство!$A$104:$A$145,Технологи!$B422,Производство!N$104:N$145)&gt;0,SUMIF(Производство!$A$104:$A$145,Технологи!$B422,Производство!N$104:N$145)*$F422+$G422,0)</f>
        <v>0</v>
      </c>
      <c r="R422" s="46">
        <f t="array" ref="R422">IF(SUMIF(Производство!$A$104:$A$145,Технологи!$B422,Производство!O$104:O$145)&gt;0,SUMIF(Производство!$A$104:$A$145,Технологи!$B422,Производство!O$104:O$145)*$F422+$G422,0)</f>
        <v>0</v>
      </c>
      <c r="S422" s="46">
        <f t="array" ref="S422">IF(SUMIF(Производство!$A$104:$A$145,Технологи!$B422,Производство!P$104:P$145)&gt;0,SUMIF(Производство!$A$104:$A$145,Технологи!$B422,Производство!P$104:P$145)*$F422+$G422,0)</f>
        <v>0</v>
      </c>
      <c r="T422" s="46">
        <f t="array" ref="T422">IF(SUMIF(Производство!$A$104:$A$145,Технологи!$B422,Производство!Q$104:Q$145)&gt;0,SUMIF(Производство!$A$104:$A$145,Технологи!$B422,Производство!Q$104:Q$145)*$F422+$G422,0)</f>
        <v>0</v>
      </c>
    </row>
    <row r="423" spans="1:20" x14ac:dyDescent="0.25">
      <c r="A423" s="34" t="s">
        <v>377</v>
      </c>
      <c r="B423" s="13" t="s">
        <v>28</v>
      </c>
      <c r="C423" s="19" t="s">
        <v>13</v>
      </c>
      <c r="D423" s="14">
        <v>7038</v>
      </c>
      <c r="E423" s="20"/>
      <c r="F423" s="24">
        <v>9.2810498885172774E-2</v>
      </c>
      <c r="G423" s="24">
        <v>6.2836134336677816</v>
      </c>
      <c r="H423" s="23">
        <f t="shared" si="19"/>
        <v>92.810498885172777</v>
      </c>
      <c r="I423" s="46">
        <f t="array" ref="I423">IF(SUMIF(Производство!$A$104:$A$145,Технологи!$B423,Производство!F$104:F$145)&gt;0,SUMIF(Производство!$A$104:$A$145,Технологи!$B423,Производство!F$104:F$145)*$F423+$G423,0)</f>
        <v>0</v>
      </c>
      <c r="J423" s="46">
        <f t="array" ref="J423">IF(SUMIF(Производство!$A$104:$A$145,Технологи!$B423,Производство!G$104:G$145)&gt;0,SUMIF(Производство!$A$104:$A$145,Технологи!$B423,Производство!G$104:G$145)*$F423+$G423,0)</f>
        <v>0</v>
      </c>
      <c r="K423" s="46">
        <f t="array" ref="K423">IF(SUMIF(Производство!$A$104:$A$145,Технологи!$B423,Производство!H$104:H$145)&gt;0,SUMIF(Производство!$A$104:$A$145,Технологи!$B423,Производство!H$104:H$145)*$F423+$G423,0)</f>
        <v>0</v>
      </c>
      <c r="L423" s="46">
        <f t="array" ref="L423">IF(SUMIF(Производство!$A$104:$A$145,Технологи!$B423,Производство!I$104:I$145)&gt;0,SUMIF(Производство!$A$104:$A$145,Технологи!$B423,Производство!I$104:I$145)*$F423+$G423,0)</f>
        <v>0</v>
      </c>
      <c r="M423" s="46">
        <f t="array" ref="M423">IF(SUMIF(Производство!$A$104:$A$145,Технологи!$B423,Производство!J$104:J$145)&gt;0,SUMIF(Производство!$A$104:$A$145,Технологи!$B423,Производство!J$104:J$145)*$F423+$G423,0)</f>
        <v>0</v>
      </c>
      <c r="N423" s="46">
        <f t="array" ref="N423">IF(SUMIF(Производство!$A$104:$A$145,Технологи!$B423,Производство!K$104:K$145)&gt;0,SUMIF(Производство!$A$104:$A$145,Технологи!$B423,Производство!K$104:K$145)*$F423+$G423,0)</f>
        <v>0</v>
      </c>
      <c r="O423" s="46">
        <f t="array" ref="O423">IF(SUMIF(Производство!$A$104:$A$145,Технологи!$B423,Производство!L$104:L$145)&gt;0,SUMIF(Производство!$A$104:$A$145,Технологи!$B423,Производство!L$104:L$145)*$F423+$G423,0)</f>
        <v>0</v>
      </c>
      <c r="P423" s="46">
        <f t="array" ref="P423">IF(SUMIF(Производство!$A$104:$A$145,Технологи!$B423,Производство!M$104:M$145)&gt;0,SUMIF(Производство!$A$104:$A$145,Технологи!$B423,Производство!M$104:M$145)*$F423+$G423,0)</f>
        <v>0</v>
      </c>
      <c r="Q423" s="46">
        <f t="array" ref="Q423">IF(SUMIF(Производство!$A$104:$A$145,Технологи!$B423,Производство!N$104:N$145)&gt;0,SUMIF(Производство!$A$104:$A$145,Технологи!$B423,Производство!N$104:N$145)*$F423+$G423,0)</f>
        <v>0</v>
      </c>
      <c r="R423" s="46">
        <f t="array" ref="R423">IF(SUMIF(Производство!$A$104:$A$145,Технологи!$B423,Производство!O$104:O$145)&gt;0,SUMIF(Производство!$A$104:$A$145,Технологи!$B423,Производство!O$104:O$145)*$F423+$G423,0)</f>
        <v>0</v>
      </c>
      <c r="S423" s="46">
        <f t="array" ref="S423">IF(SUMIF(Производство!$A$104:$A$145,Технологи!$B423,Производство!P$104:P$145)&gt;0,SUMIF(Производство!$A$104:$A$145,Технологи!$B423,Производство!P$104:P$145)*$F423+$G423,0)</f>
        <v>0</v>
      </c>
      <c r="T423" s="46">
        <f t="array" ref="T423">IF(SUMIF(Производство!$A$104:$A$145,Технологи!$B423,Производство!Q$104:Q$145)&gt;0,SUMIF(Производство!$A$104:$A$145,Технологи!$B423,Производство!Q$104:Q$145)*$F423+$G423,0)</f>
        <v>0</v>
      </c>
    </row>
    <row r="424" spans="1:20" x14ac:dyDescent="0.25">
      <c r="A424" s="34" t="s">
        <v>377</v>
      </c>
      <c r="B424" s="13" t="s">
        <v>28</v>
      </c>
      <c r="C424" s="19" t="s">
        <v>14</v>
      </c>
      <c r="D424" s="14">
        <v>7038</v>
      </c>
      <c r="E424" s="20"/>
      <c r="F424" s="24">
        <v>9.2810498885172784E-4</v>
      </c>
      <c r="G424" s="24">
        <v>6.2836134336677799E-2</v>
      </c>
      <c r="H424" s="23">
        <f t="shared" si="19"/>
        <v>0.92810498885172787</v>
      </c>
      <c r="I424" s="46">
        <f t="array" ref="I424">IF(SUMIF(Производство!$A$104:$A$145,Технологи!$B424,Производство!F$104:F$145)&gt;0,SUMIF(Производство!$A$104:$A$145,Технологи!$B424,Производство!F$104:F$145)*$F424+$G424,0)</f>
        <v>0</v>
      </c>
      <c r="J424" s="46">
        <f t="array" ref="J424">IF(SUMIF(Производство!$A$104:$A$145,Технологи!$B424,Производство!G$104:G$145)&gt;0,SUMIF(Производство!$A$104:$A$145,Технологи!$B424,Производство!G$104:G$145)*$F424+$G424,0)</f>
        <v>0</v>
      </c>
      <c r="K424" s="46">
        <f t="array" ref="K424">IF(SUMIF(Производство!$A$104:$A$145,Технологи!$B424,Производство!H$104:H$145)&gt;0,SUMIF(Производство!$A$104:$A$145,Технологи!$B424,Производство!H$104:H$145)*$F424+$G424,0)</f>
        <v>0</v>
      </c>
      <c r="L424" s="46">
        <f t="array" ref="L424">IF(SUMIF(Производство!$A$104:$A$145,Технологи!$B424,Производство!I$104:I$145)&gt;0,SUMIF(Производство!$A$104:$A$145,Технологи!$B424,Производство!I$104:I$145)*$F424+$G424,0)</f>
        <v>0</v>
      </c>
      <c r="M424" s="46">
        <f t="array" ref="M424">IF(SUMIF(Производство!$A$104:$A$145,Технологи!$B424,Производство!J$104:J$145)&gt;0,SUMIF(Производство!$A$104:$A$145,Технологи!$B424,Производство!J$104:J$145)*$F424+$G424,0)</f>
        <v>0</v>
      </c>
      <c r="N424" s="46">
        <f t="array" ref="N424">IF(SUMIF(Производство!$A$104:$A$145,Технологи!$B424,Производство!K$104:K$145)&gt;0,SUMIF(Производство!$A$104:$A$145,Технологи!$B424,Производство!K$104:K$145)*$F424+$G424,0)</f>
        <v>0</v>
      </c>
      <c r="O424" s="46">
        <f t="array" ref="O424">IF(SUMIF(Производство!$A$104:$A$145,Технологи!$B424,Производство!L$104:L$145)&gt;0,SUMIF(Производство!$A$104:$A$145,Технологи!$B424,Производство!L$104:L$145)*$F424+$G424,0)</f>
        <v>0</v>
      </c>
      <c r="P424" s="46">
        <f t="array" ref="P424">IF(SUMIF(Производство!$A$104:$A$145,Технологи!$B424,Производство!M$104:M$145)&gt;0,SUMIF(Производство!$A$104:$A$145,Технологи!$B424,Производство!M$104:M$145)*$F424+$G424,0)</f>
        <v>0</v>
      </c>
      <c r="Q424" s="46">
        <f t="array" ref="Q424">IF(SUMIF(Производство!$A$104:$A$145,Технологи!$B424,Производство!N$104:N$145)&gt;0,SUMIF(Производство!$A$104:$A$145,Технологи!$B424,Производство!N$104:N$145)*$F424+$G424,0)</f>
        <v>0</v>
      </c>
      <c r="R424" s="46">
        <f t="array" ref="R424">IF(SUMIF(Производство!$A$104:$A$145,Технологи!$B424,Производство!O$104:O$145)&gt;0,SUMIF(Производство!$A$104:$A$145,Технологи!$B424,Производство!O$104:O$145)*$F424+$G424,0)</f>
        <v>0</v>
      </c>
      <c r="S424" s="46">
        <f t="array" ref="S424">IF(SUMIF(Производство!$A$104:$A$145,Технологи!$B424,Производство!P$104:P$145)&gt;0,SUMIF(Производство!$A$104:$A$145,Технологи!$B424,Производство!P$104:P$145)*$F424+$G424,0)</f>
        <v>0</v>
      </c>
      <c r="T424" s="46">
        <f t="array" ref="T424">IF(SUMIF(Производство!$A$104:$A$145,Технологи!$B424,Производство!Q$104:Q$145)&gt;0,SUMIF(Производство!$A$104:$A$145,Технологи!$B424,Производство!Q$104:Q$145)*$F424+$G424,0)</f>
        <v>0</v>
      </c>
    </row>
    <row r="425" spans="1:20" x14ac:dyDescent="0.25">
      <c r="A425" s="34" t="s">
        <v>377</v>
      </c>
      <c r="B425" s="13" t="s">
        <v>28</v>
      </c>
      <c r="C425" s="19" t="s">
        <v>15</v>
      </c>
      <c r="D425" s="14">
        <v>7038</v>
      </c>
      <c r="E425" s="20"/>
      <c r="F425" s="24">
        <v>4.6405249442586392E-4</v>
      </c>
      <c r="G425" s="24">
        <v>3.1418067168338899E-2</v>
      </c>
      <c r="H425" s="23">
        <f t="shared" si="19"/>
        <v>0.46405249442586394</v>
      </c>
      <c r="I425" s="46">
        <f t="array" ref="I425">IF(SUMIF(Производство!$A$104:$A$145,Технологи!$B425,Производство!F$104:F$145)&gt;0,SUMIF(Производство!$A$104:$A$145,Технологи!$B425,Производство!F$104:F$145)*$F425+$G425,0)</f>
        <v>0</v>
      </c>
      <c r="J425" s="46">
        <f t="array" ref="J425">IF(SUMIF(Производство!$A$104:$A$145,Технологи!$B425,Производство!G$104:G$145)&gt;0,SUMIF(Производство!$A$104:$A$145,Технологи!$B425,Производство!G$104:G$145)*$F425+$G425,0)</f>
        <v>0</v>
      </c>
      <c r="K425" s="46">
        <f t="array" ref="K425">IF(SUMIF(Производство!$A$104:$A$145,Технологи!$B425,Производство!H$104:H$145)&gt;0,SUMIF(Производство!$A$104:$A$145,Технологи!$B425,Производство!H$104:H$145)*$F425+$G425,0)</f>
        <v>0</v>
      </c>
      <c r="L425" s="46">
        <f t="array" ref="L425">IF(SUMIF(Производство!$A$104:$A$145,Технологи!$B425,Производство!I$104:I$145)&gt;0,SUMIF(Производство!$A$104:$A$145,Технологи!$B425,Производство!I$104:I$145)*$F425+$G425,0)</f>
        <v>0</v>
      </c>
      <c r="M425" s="46">
        <f t="array" ref="M425">IF(SUMIF(Производство!$A$104:$A$145,Технологи!$B425,Производство!J$104:J$145)&gt;0,SUMIF(Производство!$A$104:$A$145,Технологи!$B425,Производство!J$104:J$145)*$F425+$G425,0)</f>
        <v>0</v>
      </c>
      <c r="N425" s="46">
        <f t="array" ref="N425">IF(SUMIF(Производство!$A$104:$A$145,Технологи!$B425,Производство!K$104:K$145)&gt;0,SUMIF(Производство!$A$104:$A$145,Технологи!$B425,Производство!K$104:K$145)*$F425+$G425,0)</f>
        <v>0</v>
      </c>
      <c r="O425" s="46">
        <f t="array" ref="O425">IF(SUMIF(Производство!$A$104:$A$145,Технологи!$B425,Производство!L$104:L$145)&gt;0,SUMIF(Производство!$A$104:$A$145,Технологи!$B425,Производство!L$104:L$145)*$F425+$G425,0)</f>
        <v>0</v>
      </c>
      <c r="P425" s="46">
        <f t="array" ref="P425">IF(SUMIF(Производство!$A$104:$A$145,Технологи!$B425,Производство!M$104:M$145)&gt;0,SUMIF(Производство!$A$104:$A$145,Технологи!$B425,Производство!M$104:M$145)*$F425+$G425,0)</f>
        <v>0</v>
      </c>
      <c r="Q425" s="46">
        <f t="array" ref="Q425">IF(SUMIF(Производство!$A$104:$A$145,Технологи!$B425,Производство!N$104:N$145)&gt;0,SUMIF(Производство!$A$104:$A$145,Технологи!$B425,Производство!N$104:N$145)*$F425+$G425,0)</f>
        <v>0</v>
      </c>
      <c r="R425" s="46">
        <f t="array" ref="R425">IF(SUMIF(Производство!$A$104:$A$145,Технологи!$B425,Производство!O$104:O$145)&gt;0,SUMIF(Производство!$A$104:$A$145,Технологи!$B425,Производство!O$104:O$145)*$F425+$G425,0)</f>
        <v>0</v>
      </c>
      <c r="S425" s="46">
        <f t="array" ref="S425">IF(SUMIF(Производство!$A$104:$A$145,Технологи!$B425,Производство!P$104:P$145)&gt;0,SUMIF(Производство!$A$104:$A$145,Технологи!$B425,Производство!P$104:P$145)*$F425+$G425,0)</f>
        <v>0</v>
      </c>
      <c r="T425" s="46">
        <f t="array" ref="T425">IF(SUMIF(Производство!$A$104:$A$145,Технологи!$B425,Производство!Q$104:Q$145)&gt;0,SUMIF(Производство!$A$104:$A$145,Технологи!$B425,Производство!Q$104:Q$145)*$F425+$G425,0)</f>
        <v>0</v>
      </c>
    </row>
    <row r="426" spans="1:20" x14ac:dyDescent="0.25">
      <c r="A426" s="34" t="s">
        <v>377</v>
      </c>
      <c r="B426" s="13" t="s">
        <v>28</v>
      </c>
      <c r="C426" s="19" t="s">
        <v>16</v>
      </c>
      <c r="D426" s="14">
        <v>7038</v>
      </c>
      <c r="E426" s="20"/>
      <c r="F426" s="24">
        <v>6.1567360646599774E-3</v>
      </c>
      <c r="G426" s="24">
        <v>0.41890756224451875</v>
      </c>
      <c r="H426" s="23">
        <f t="shared" si="19"/>
        <v>6.1567360646599774</v>
      </c>
      <c r="I426" s="46">
        <f t="array" ref="I426">IF(SUMIF(Производство!$A$104:$A$145,Технологи!$B426,Производство!F$104:F$145)&gt;0,SUMIF(Производство!$A$104:$A$145,Технологи!$B426,Производство!F$104:F$145)*$F426+$G426,0)</f>
        <v>0</v>
      </c>
      <c r="J426" s="46">
        <f t="array" ref="J426">IF(SUMIF(Производство!$A$104:$A$145,Технологи!$B426,Производство!G$104:G$145)&gt;0,SUMIF(Производство!$A$104:$A$145,Технологи!$B426,Производство!G$104:G$145)*$F426+$G426,0)</f>
        <v>0</v>
      </c>
      <c r="K426" s="46">
        <f t="array" ref="K426">IF(SUMIF(Производство!$A$104:$A$145,Технологи!$B426,Производство!H$104:H$145)&gt;0,SUMIF(Производство!$A$104:$A$145,Технологи!$B426,Производство!H$104:H$145)*$F426+$G426,0)</f>
        <v>0</v>
      </c>
      <c r="L426" s="46">
        <f t="array" ref="L426">IF(SUMIF(Производство!$A$104:$A$145,Технологи!$B426,Производство!I$104:I$145)&gt;0,SUMIF(Производство!$A$104:$A$145,Технологи!$B426,Производство!I$104:I$145)*$F426+$G426,0)</f>
        <v>0</v>
      </c>
      <c r="M426" s="46">
        <f t="array" ref="M426">IF(SUMIF(Производство!$A$104:$A$145,Технологи!$B426,Производство!J$104:J$145)&gt;0,SUMIF(Производство!$A$104:$A$145,Технологи!$B426,Производство!J$104:J$145)*$F426+$G426,0)</f>
        <v>0</v>
      </c>
      <c r="N426" s="46">
        <f t="array" ref="N426">IF(SUMIF(Производство!$A$104:$A$145,Технологи!$B426,Производство!K$104:K$145)&gt;0,SUMIF(Производство!$A$104:$A$145,Технологи!$B426,Производство!K$104:K$145)*$F426+$G426,0)</f>
        <v>0</v>
      </c>
      <c r="O426" s="46">
        <f t="array" ref="O426">IF(SUMIF(Производство!$A$104:$A$145,Технологи!$B426,Производство!L$104:L$145)&gt;0,SUMIF(Производство!$A$104:$A$145,Технологи!$B426,Производство!L$104:L$145)*$F426+$G426,0)</f>
        <v>0</v>
      </c>
      <c r="P426" s="46">
        <f t="array" ref="P426">IF(SUMIF(Производство!$A$104:$A$145,Технологи!$B426,Производство!M$104:M$145)&gt;0,SUMIF(Производство!$A$104:$A$145,Технологи!$B426,Производство!M$104:M$145)*$F426+$G426,0)</f>
        <v>0</v>
      </c>
      <c r="Q426" s="46">
        <f t="array" ref="Q426">IF(SUMIF(Производство!$A$104:$A$145,Технологи!$B426,Производство!N$104:N$145)&gt;0,SUMIF(Производство!$A$104:$A$145,Технологи!$B426,Производство!N$104:N$145)*$F426+$G426,0)</f>
        <v>0</v>
      </c>
      <c r="R426" s="46">
        <f t="array" ref="R426">IF(SUMIF(Производство!$A$104:$A$145,Технологи!$B426,Производство!O$104:O$145)&gt;0,SUMIF(Производство!$A$104:$A$145,Технологи!$B426,Производство!O$104:O$145)*$F426+$G426,0)</f>
        <v>0</v>
      </c>
      <c r="S426" s="46">
        <f t="array" ref="S426">IF(SUMIF(Производство!$A$104:$A$145,Технологи!$B426,Производство!P$104:P$145)&gt;0,SUMIF(Производство!$A$104:$A$145,Технологи!$B426,Производство!P$104:P$145)*$F426+$G426,0)</f>
        <v>0</v>
      </c>
      <c r="T426" s="46">
        <f t="array" ref="T426">IF(SUMIF(Производство!$A$104:$A$145,Технологи!$B426,Производство!Q$104:Q$145)&gt;0,SUMIF(Производство!$A$104:$A$145,Технологи!$B426,Производство!Q$104:Q$145)*$F426+$G426,0)</f>
        <v>0</v>
      </c>
    </row>
    <row r="427" spans="1:20" x14ac:dyDescent="0.25">
      <c r="A427" s="34" t="s">
        <v>377</v>
      </c>
      <c r="B427" s="13" t="s">
        <v>28</v>
      </c>
      <c r="C427" s="19" t="s">
        <v>17</v>
      </c>
      <c r="D427" s="14">
        <v>7038</v>
      </c>
      <c r="E427" s="20"/>
      <c r="F427" s="24">
        <v>3.4030516257896695E-3</v>
      </c>
      <c r="G427" s="24">
        <v>0.23039915923448531</v>
      </c>
      <c r="H427" s="23">
        <f t="shared" ref="H427:H446" si="20">F427*1000</f>
        <v>3.4030516257896695</v>
      </c>
      <c r="I427" s="46">
        <f t="array" ref="I427">IF(SUMIF(Производство!$A$104:$A$145,Технологи!$B427,Производство!F$104:F$145)&gt;0,SUMIF(Производство!$A$104:$A$145,Технологи!$B427,Производство!F$104:F$145)*$F427+$G427,0)</f>
        <v>0</v>
      </c>
      <c r="J427" s="46">
        <f t="array" ref="J427">IF(SUMIF(Производство!$A$104:$A$145,Технологи!$B427,Производство!G$104:G$145)&gt;0,SUMIF(Производство!$A$104:$A$145,Технологи!$B427,Производство!G$104:G$145)*$F427+$G427,0)</f>
        <v>0</v>
      </c>
      <c r="K427" s="46">
        <f t="array" ref="K427">IF(SUMIF(Производство!$A$104:$A$145,Технологи!$B427,Производство!H$104:H$145)&gt;0,SUMIF(Производство!$A$104:$A$145,Технологи!$B427,Производство!H$104:H$145)*$F427+$G427,0)</f>
        <v>0</v>
      </c>
      <c r="L427" s="46">
        <f t="array" ref="L427">IF(SUMIF(Производство!$A$104:$A$145,Технологи!$B427,Производство!I$104:I$145)&gt;0,SUMIF(Производство!$A$104:$A$145,Технологи!$B427,Производство!I$104:I$145)*$F427+$G427,0)</f>
        <v>0</v>
      </c>
      <c r="M427" s="46">
        <f t="array" ref="M427">IF(SUMIF(Производство!$A$104:$A$145,Технологи!$B427,Производство!J$104:J$145)&gt;0,SUMIF(Производство!$A$104:$A$145,Технологи!$B427,Производство!J$104:J$145)*$F427+$G427,0)</f>
        <v>0</v>
      </c>
      <c r="N427" s="46">
        <f t="array" ref="N427">IF(SUMIF(Производство!$A$104:$A$145,Технологи!$B427,Производство!K$104:K$145)&gt;0,SUMIF(Производство!$A$104:$A$145,Технологи!$B427,Производство!K$104:K$145)*$F427+$G427,0)</f>
        <v>0</v>
      </c>
      <c r="O427" s="46">
        <f t="array" ref="O427">IF(SUMIF(Производство!$A$104:$A$145,Технологи!$B427,Производство!L$104:L$145)&gt;0,SUMIF(Производство!$A$104:$A$145,Технологи!$B427,Производство!L$104:L$145)*$F427+$G427,0)</f>
        <v>0</v>
      </c>
      <c r="P427" s="46">
        <f t="array" ref="P427">IF(SUMIF(Производство!$A$104:$A$145,Технологи!$B427,Производство!M$104:M$145)&gt;0,SUMIF(Производство!$A$104:$A$145,Технологи!$B427,Производство!M$104:M$145)*$F427+$G427,0)</f>
        <v>0</v>
      </c>
      <c r="Q427" s="46">
        <f t="array" ref="Q427">IF(SUMIF(Производство!$A$104:$A$145,Технологи!$B427,Производство!N$104:N$145)&gt;0,SUMIF(Производство!$A$104:$A$145,Технологи!$B427,Производство!N$104:N$145)*$F427+$G427,0)</f>
        <v>0</v>
      </c>
      <c r="R427" s="46">
        <f t="array" ref="R427">IF(SUMIF(Производство!$A$104:$A$145,Технологи!$B427,Производство!O$104:O$145)&gt;0,SUMIF(Производство!$A$104:$A$145,Технологи!$B427,Производство!O$104:O$145)*$F427+$G427,0)</f>
        <v>0</v>
      </c>
      <c r="S427" s="46">
        <f t="array" ref="S427">IF(SUMIF(Производство!$A$104:$A$145,Технологи!$B427,Производство!P$104:P$145)&gt;0,SUMIF(Производство!$A$104:$A$145,Технологи!$B427,Производство!P$104:P$145)*$F427+$G427,0)</f>
        <v>0</v>
      </c>
      <c r="T427" s="46">
        <f t="array" ref="T427">IF(SUMIF(Производство!$A$104:$A$145,Технологи!$B427,Производство!Q$104:Q$145)&gt;0,SUMIF(Производство!$A$104:$A$145,Технологи!$B427,Производство!Q$104:Q$145)*$F427+$G427,0)</f>
        <v>0</v>
      </c>
    </row>
    <row r="428" spans="1:20" x14ac:dyDescent="0.25">
      <c r="A428" s="34" t="s">
        <v>377</v>
      </c>
      <c r="B428" s="13" t="s">
        <v>28</v>
      </c>
      <c r="C428" s="19" t="s">
        <v>18</v>
      </c>
      <c r="D428" s="14">
        <v>7038</v>
      </c>
      <c r="E428" s="20"/>
      <c r="F428" s="24">
        <v>3.0722419267930133E-3</v>
      </c>
      <c r="G428" s="24">
        <v>0.20945378112225937</v>
      </c>
      <c r="H428" s="23">
        <f t="shared" si="20"/>
        <v>3.0722419267930134</v>
      </c>
      <c r="I428" s="46">
        <f t="array" ref="I428">IF(SUMIF(Производство!$A$104:$A$145,Технологи!$B428,Производство!F$104:F$145)&gt;0,SUMIF(Производство!$A$104:$A$145,Технологи!$B428,Производство!F$104:F$145)*$F428+$G428,0)</f>
        <v>0</v>
      </c>
      <c r="J428" s="46">
        <f t="array" ref="J428">IF(SUMIF(Производство!$A$104:$A$145,Технологи!$B428,Производство!G$104:G$145)&gt;0,SUMIF(Производство!$A$104:$A$145,Технологи!$B428,Производство!G$104:G$145)*$F428+$G428,0)</f>
        <v>0</v>
      </c>
      <c r="K428" s="46">
        <f t="array" ref="K428">IF(SUMIF(Производство!$A$104:$A$145,Технологи!$B428,Производство!H$104:H$145)&gt;0,SUMIF(Производство!$A$104:$A$145,Технологи!$B428,Производство!H$104:H$145)*$F428+$G428,0)</f>
        <v>0</v>
      </c>
      <c r="L428" s="46">
        <f t="array" ref="L428">IF(SUMIF(Производство!$A$104:$A$145,Технологи!$B428,Производство!I$104:I$145)&gt;0,SUMIF(Производство!$A$104:$A$145,Технологи!$B428,Производство!I$104:I$145)*$F428+$G428,0)</f>
        <v>0</v>
      </c>
      <c r="M428" s="46">
        <f t="array" ref="M428">IF(SUMIF(Производство!$A$104:$A$145,Технологи!$B428,Производство!J$104:J$145)&gt;0,SUMIF(Производство!$A$104:$A$145,Технологи!$B428,Производство!J$104:J$145)*$F428+$G428,0)</f>
        <v>0</v>
      </c>
      <c r="N428" s="46">
        <f t="array" ref="N428">IF(SUMIF(Производство!$A$104:$A$145,Технологи!$B428,Производство!K$104:K$145)&gt;0,SUMIF(Производство!$A$104:$A$145,Технологи!$B428,Производство!K$104:K$145)*$F428+$G428,0)</f>
        <v>0</v>
      </c>
      <c r="O428" s="46">
        <f t="array" ref="O428">IF(SUMIF(Производство!$A$104:$A$145,Технологи!$B428,Производство!L$104:L$145)&gt;0,SUMIF(Производство!$A$104:$A$145,Технологи!$B428,Производство!L$104:L$145)*$F428+$G428,0)</f>
        <v>0</v>
      </c>
      <c r="P428" s="46">
        <f t="array" ref="P428">IF(SUMIF(Производство!$A$104:$A$145,Технологи!$B428,Производство!M$104:M$145)&gt;0,SUMIF(Производство!$A$104:$A$145,Технологи!$B428,Производство!M$104:M$145)*$F428+$G428,0)</f>
        <v>0</v>
      </c>
      <c r="Q428" s="46">
        <f t="array" ref="Q428">IF(SUMIF(Производство!$A$104:$A$145,Технологи!$B428,Производство!N$104:N$145)&gt;0,SUMIF(Производство!$A$104:$A$145,Технологи!$B428,Производство!N$104:N$145)*$F428+$G428,0)</f>
        <v>0</v>
      </c>
      <c r="R428" s="46">
        <f t="array" ref="R428">IF(SUMIF(Производство!$A$104:$A$145,Технологи!$B428,Производство!O$104:O$145)&gt;0,SUMIF(Производство!$A$104:$A$145,Технологи!$B428,Производство!O$104:O$145)*$F428+$G428,0)</f>
        <v>0</v>
      </c>
      <c r="S428" s="46">
        <f t="array" ref="S428">IF(SUMIF(Производство!$A$104:$A$145,Технологи!$B428,Производство!P$104:P$145)&gt;0,SUMIF(Производство!$A$104:$A$145,Технологи!$B428,Производство!P$104:P$145)*$F428+$G428,0)</f>
        <v>0</v>
      </c>
      <c r="T428" s="46">
        <f t="array" ref="T428">IF(SUMIF(Производство!$A$104:$A$145,Технологи!$B428,Производство!Q$104:Q$145)&gt;0,SUMIF(Производство!$A$104:$A$145,Технологи!$B428,Производство!Q$104:Q$145)*$F428+$G428,0)</f>
        <v>0</v>
      </c>
    </row>
    <row r="429" spans="1:20" x14ac:dyDescent="0.25">
      <c r="A429" s="34" t="s">
        <v>377</v>
      </c>
      <c r="B429" s="13" t="s">
        <v>28</v>
      </c>
      <c r="C429" s="19" t="s">
        <v>19</v>
      </c>
      <c r="D429" s="14">
        <v>7038</v>
      </c>
      <c r="E429" s="20"/>
      <c r="F429" s="24">
        <v>0.66509125000000013</v>
      </c>
      <c r="G429" s="24">
        <v>23.278193750000007</v>
      </c>
      <c r="H429" s="23">
        <f t="shared" si="20"/>
        <v>665.09125000000017</v>
      </c>
      <c r="I429" s="46">
        <f t="array" ref="I429">IF(SUMIF(Производство!$A$104:$A$145,Технологи!$B429,Производство!F$104:F$145)&gt;0,SUMIF(Производство!$A$104:$A$145,Технологи!$B429,Производство!F$104:F$145)*$F429+$G429,0)</f>
        <v>0</v>
      </c>
      <c r="J429" s="46">
        <f t="array" ref="J429">IF(SUMIF(Производство!$A$104:$A$145,Технологи!$B429,Производство!G$104:G$145)&gt;0,SUMIF(Производство!$A$104:$A$145,Технологи!$B429,Производство!G$104:G$145)*$F429+$G429,0)</f>
        <v>0</v>
      </c>
      <c r="K429" s="46">
        <f t="array" ref="K429">IF(SUMIF(Производство!$A$104:$A$145,Технологи!$B429,Производство!H$104:H$145)&gt;0,SUMIF(Производство!$A$104:$A$145,Технологи!$B429,Производство!H$104:H$145)*$F429+$G429,0)</f>
        <v>0</v>
      </c>
      <c r="L429" s="46">
        <f t="array" ref="L429">IF(SUMIF(Производство!$A$104:$A$145,Технологи!$B429,Производство!I$104:I$145)&gt;0,SUMIF(Производство!$A$104:$A$145,Технологи!$B429,Производство!I$104:I$145)*$F429+$G429,0)</f>
        <v>0</v>
      </c>
      <c r="M429" s="46">
        <f t="array" ref="M429">IF(SUMIF(Производство!$A$104:$A$145,Технологи!$B429,Производство!J$104:J$145)&gt;0,SUMIF(Производство!$A$104:$A$145,Технологи!$B429,Производство!J$104:J$145)*$F429+$G429,0)</f>
        <v>0</v>
      </c>
      <c r="N429" s="46">
        <f t="array" ref="N429">IF(SUMIF(Производство!$A$104:$A$145,Технологи!$B429,Производство!K$104:K$145)&gt;0,SUMIF(Производство!$A$104:$A$145,Технологи!$B429,Производство!K$104:K$145)*$F429+$G429,0)</f>
        <v>0</v>
      </c>
      <c r="O429" s="46">
        <f t="array" ref="O429">IF(SUMIF(Производство!$A$104:$A$145,Технологи!$B429,Производство!L$104:L$145)&gt;0,SUMIF(Производство!$A$104:$A$145,Технологи!$B429,Производство!L$104:L$145)*$F429+$G429,0)</f>
        <v>0</v>
      </c>
      <c r="P429" s="46">
        <f t="array" ref="P429">IF(SUMIF(Производство!$A$104:$A$145,Технологи!$B429,Производство!M$104:M$145)&gt;0,SUMIF(Производство!$A$104:$A$145,Технологи!$B429,Производство!M$104:M$145)*$F429+$G429,0)</f>
        <v>0</v>
      </c>
      <c r="Q429" s="46">
        <f t="array" ref="Q429">IF(SUMIF(Производство!$A$104:$A$145,Технологи!$B429,Производство!N$104:N$145)&gt;0,SUMIF(Производство!$A$104:$A$145,Технологи!$B429,Производство!N$104:N$145)*$F429+$G429,0)</f>
        <v>0</v>
      </c>
      <c r="R429" s="46">
        <f t="array" ref="R429">IF(SUMIF(Производство!$A$104:$A$145,Технологи!$B429,Производство!O$104:O$145)&gt;0,SUMIF(Производство!$A$104:$A$145,Технологи!$B429,Производство!O$104:O$145)*$F429+$G429,0)</f>
        <v>0</v>
      </c>
      <c r="S429" s="46">
        <f t="array" ref="S429">IF(SUMIF(Производство!$A$104:$A$145,Технологи!$B429,Производство!P$104:P$145)&gt;0,SUMIF(Производство!$A$104:$A$145,Технологи!$B429,Производство!P$104:P$145)*$F429+$G429,0)</f>
        <v>0</v>
      </c>
      <c r="T429" s="46">
        <f t="array" ref="T429">IF(SUMIF(Производство!$A$104:$A$145,Технологи!$B429,Производство!Q$104:Q$145)&gt;0,SUMIF(Производство!$A$104:$A$145,Технологи!$B429,Производство!Q$104:Q$145)*$F429+$G429,0)</f>
        <v>0</v>
      </c>
    </row>
    <row r="430" spans="1:20" x14ac:dyDescent="0.25">
      <c r="A430" s="34" t="s">
        <v>377</v>
      </c>
      <c r="B430" s="13" t="s">
        <v>28</v>
      </c>
      <c r="C430" s="19" t="s">
        <v>20</v>
      </c>
      <c r="D430" s="14">
        <v>7038</v>
      </c>
      <c r="E430" s="20"/>
      <c r="F430" s="24">
        <v>4.0799999999999996E-2</v>
      </c>
      <c r="G430" s="24">
        <v>0.61199999999999999</v>
      </c>
      <c r="H430" s="23">
        <f t="shared" si="20"/>
        <v>40.799999999999997</v>
      </c>
      <c r="I430" s="46">
        <f t="array" ref="I430">IF(SUMIF(Производство!$A$104:$A$145,Технологи!$B430,Производство!F$104:F$145)&gt;0,SUMIF(Производство!$A$104:$A$145,Технологи!$B430,Производство!F$104:F$145)*$F430+$G430,0)</f>
        <v>0</v>
      </c>
      <c r="J430" s="46">
        <f t="array" ref="J430">IF(SUMIF(Производство!$A$104:$A$145,Технологи!$B430,Производство!G$104:G$145)&gt;0,SUMIF(Производство!$A$104:$A$145,Технологи!$B430,Производство!G$104:G$145)*$F430+$G430,0)</f>
        <v>0</v>
      </c>
      <c r="K430" s="46">
        <f t="array" ref="K430">IF(SUMIF(Производство!$A$104:$A$145,Технологи!$B430,Производство!H$104:H$145)&gt;0,SUMIF(Производство!$A$104:$A$145,Технологи!$B430,Производство!H$104:H$145)*$F430+$G430,0)</f>
        <v>0</v>
      </c>
      <c r="L430" s="46">
        <f t="array" ref="L430">IF(SUMIF(Производство!$A$104:$A$145,Технологи!$B430,Производство!I$104:I$145)&gt;0,SUMIF(Производство!$A$104:$A$145,Технологи!$B430,Производство!I$104:I$145)*$F430+$G430,0)</f>
        <v>0</v>
      </c>
      <c r="M430" s="46">
        <f t="array" ref="M430">IF(SUMIF(Производство!$A$104:$A$145,Технологи!$B430,Производство!J$104:J$145)&gt;0,SUMIF(Производство!$A$104:$A$145,Технологи!$B430,Производство!J$104:J$145)*$F430+$G430,0)</f>
        <v>0</v>
      </c>
      <c r="N430" s="46">
        <f t="array" ref="N430">IF(SUMIF(Производство!$A$104:$A$145,Технологи!$B430,Производство!K$104:K$145)&gt;0,SUMIF(Производство!$A$104:$A$145,Технологи!$B430,Производство!K$104:K$145)*$F430+$G430,0)</f>
        <v>0</v>
      </c>
      <c r="O430" s="46">
        <f t="array" ref="O430">IF(SUMIF(Производство!$A$104:$A$145,Технологи!$B430,Производство!L$104:L$145)&gt;0,SUMIF(Производство!$A$104:$A$145,Технологи!$B430,Производство!L$104:L$145)*$F430+$G430,0)</f>
        <v>0</v>
      </c>
      <c r="P430" s="46">
        <f t="array" ref="P430">IF(SUMIF(Производство!$A$104:$A$145,Технологи!$B430,Производство!M$104:M$145)&gt;0,SUMIF(Производство!$A$104:$A$145,Технологи!$B430,Производство!M$104:M$145)*$F430+$G430,0)</f>
        <v>0</v>
      </c>
      <c r="Q430" s="46">
        <f t="array" ref="Q430">IF(SUMIF(Производство!$A$104:$A$145,Технологи!$B430,Производство!N$104:N$145)&gt;0,SUMIF(Производство!$A$104:$A$145,Технологи!$B430,Производство!N$104:N$145)*$F430+$G430,0)</f>
        <v>0</v>
      </c>
      <c r="R430" s="46">
        <f t="array" ref="R430">IF(SUMIF(Производство!$A$104:$A$145,Технологи!$B430,Производство!O$104:O$145)&gt;0,SUMIF(Производство!$A$104:$A$145,Технологи!$B430,Производство!O$104:O$145)*$F430+$G430,0)</f>
        <v>0</v>
      </c>
      <c r="S430" s="46">
        <f t="array" ref="S430">IF(SUMIF(Производство!$A$104:$A$145,Технологи!$B430,Производство!P$104:P$145)&gt;0,SUMIF(Производство!$A$104:$A$145,Технологи!$B430,Производство!P$104:P$145)*$F430+$G430,0)</f>
        <v>0</v>
      </c>
      <c r="T430" s="46">
        <f t="array" ref="T430">IF(SUMIF(Производство!$A$104:$A$145,Технологи!$B430,Производство!Q$104:Q$145)&gt;0,SUMIF(Производство!$A$104:$A$145,Технологи!$B430,Производство!Q$104:Q$145)*$F430+$G430,0)</f>
        <v>0</v>
      </c>
    </row>
    <row r="431" spans="1:20" x14ac:dyDescent="0.25">
      <c r="A431" s="34" t="s">
        <v>377</v>
      </c>
      <c r="B431" s="13" t="s">
        <v>28</v>
      </c>
      <c r="C431" s="19" t="s">
        <v>21</v>
      </c>
      <c r="D431" s="14">
        <v>7038</v>
      </c>
      <c r="E431" s="20"/>
      <c r="F431" s="24">
        <v>5.9499999999999997E-2</v>
      </c>
      <c r="G431" s="24">
        <v>0.89249999999999996</v>
      </c>
      <c r="H431" s="23">
        <f t="shared" si="20"/>
        <v>59.5</v>
      </c>
      <c r="I431" s="46">
        <f t="array" ref="I431">IF(SUMIF(Производство!$A$104:$A$145,Технологи!$B431,Производство!F$104:F$145)&gt;0,SUMIF(Производство!$A$104:$A$145,Технологи!$B431,Производство!F$104:F$145)*$F431+$G431,0)</f>
        <v>0</v>
      </c>
      <c r="J431" s="46">
        <f t="array" ref="J431">IF(SUMIF(Производство!$A$104:$A$145,Технологи!$B431,Производство!G$104:G$145)&gt;0,SUMIF(Производство!$A$104:$A$145,Технологи!$B431,Производство!G$104:G$145)*$F431+$G431,0)</f>
        <v>0</v>
      </c>
      <c r="K431" s="46">
        <f t="array" ref="K431">IF(SUMIF(Производство!$A$104:$A$145,Технологи!$B431,Производство!H$104:H$145)&gt;0,SUMIF(Производство!$A$104:$A$145,Технологи!$B431,Производство!H$104:H$145)*$F431+$G431,0)</f>
        <v>0</v>
      </c>
      <c r="L431" s="46">
        <f t="array" ref="L431">IF(SUMIF(Производство!$A$104:$A$145,Технологи!$B431,Производство!I$104:I$145)&gt;0,SUMIF(Производство!$A$104:$A$145,Технологи!$B431,Производство!I$104:I$145)*$F431+$G431,0)</f>
        <v>0</v>
      </c>
      <c r="M431" s="46">
        <f t="array" ref="M431">IF(SUMIF(Производство!$A$104:$A$145,Технологи!$B431,Производство!J$104:J$145)&gt;0,SUMIF(Производство!$A$104:$A$145,Технологи!$B431,Производство!J$104:J$145)*$F431+$G431,0)</f>
        <v>0</v>
      </c>
      <c r="N431" s="46">
        <f t="array" ref="N431">IF(SUMIF(Производство!$A$104:$A$145,Технологи!$B431,Производство!K$104:K$145)&gt;0,SUMIF(Производство!$A$104:$A$145,Технологи!$B431,Производство!K$104:K$145)*$F431+$G431,0)</f>
        <v>0</v>
      </c>
      <c r="O431" s="46">
        <f t="array" ref="O431">IF(SUMIF(Производство!$A$104:$A$145,Технологи!$B431,Производство!L$104:L$145)&gt;0,SUMIF(Производство!$A$104:$A$145,Технологи!$B431,Производство!L$104:L$145)*$F431+$G431,0)</f>
        <v>0</v>
      </c>
      <c r="P431" s="46">
        <f t="array" ref="P431">IF(SUMIF(Производство!$A$104:$A$145,Технологи!$B431,Производство!M$104:M$145)&gt;0,SUMIF(Производство!$A$104:$A$145,Технологи!$B431,Производство!M$104:M$145)*$F431+$G431,0)</f>
        <v>0</v>
      </c>
      <c r="Q431" s="46">
        <f t="array" ref="Q431">IF(SUMIF(Производство!$A$104:$A$145,Технологи!$B431,Производство!N$104:N$145)&gt;0,SUMIF(Производство!$A$104:$A$145,Технологи!$B431,Производство!N$104:N$145)*$F431+$G431,0)</f>
        <v>0</v>
      </c>
      <c r="R431" s="46">
        <f t="array" ref="R431">IF(SUMIF(Производство!$A$104:$A$145,Технологи!$B431,Производство!O$104:O$145)&gt;0,SUMIF(Производство!$A$104:$A$145,Технологи!$B431,Производство!O$104:O$145)*$F431+$G431,0)</f>
        <v>0</v>
      </c>
      <c r="S431" s="46">
        <f t="array" ref="S431">IF(SUMIF(Производство!$A$104:$A$145,Технологи!$B431,Производство!P$104:P$145)&gt;0,SUMIF(Производство!$A$104:$A$145,Технологи!$B431,Производство!P$104:P$145)*$F431+$G431,0)</f>
        <v>0</v>
      </c>
      <c r="T431" s="46">
        <f t="array" ref="T431">IF(SUMIF(Производство!$A$104:$A$145,Технологи!$B431,Производство!Q$104:Q$145)&gt;0,SUMIF(Производство!$A$104:$A$145,Технологи!$B431,Производство!Q$104:Q$145)*$F431+$G431,0)</f>
        <v>0</v>
      </c>
    </row>
    <row r="432" spans="1:20" x14ac:dyDescent="0.25">
      <c r="A432" s="34" t="s">
        <v>377</v>
      </c>
      <c r="B432" s="13" t="s">
        <v>28</v>
      </c>
      <c r="C432" s="19" t="s">
        <v>22</v>
      </c>
      <c r="D432" s="14">
        <v>7038</v>
      </c>
      <c r="E432" s="20"/>
      <c r="F432" s="24">
        <v>0</v>
      </c>
      <c r="G432" s="24">
        <v>0</v>
      </c>
      <c r="H432" s="23">
        <f t="shared" si="20"/>
        <v>0</v>
      </c>
      <c r="I432" s="46">
        <f t="array" ref="I432">IF(SUMIF(Производство!$A$104:$A$145,Технологи!$B432,Производство!F$104:F$145)&gt;0,SUMIF(Производство!$A$104:$A$145,Технологи!$B432,Производство!F$104:F$145)*$F432+$G432,0)</f>
        <v>0</v>
      </c>
      <c r="J432" s="46">
        <f t="array" ref="J432">IF(SUMIF(Производство!$A$104:$A$145,Технологи!$B432,Производство!G$104:G$145)&gt;0,SUMIF(Производство!$A$104:$A$145,Технологи!$B432,Производство!G$104:G$145)*$F432+$G432,0)</f>
        <v>0</v>
      </c>
      <c r="K432" s="46">
        <f t="array" ref="K432">IF(SUMIF(Производство!$A$104:$A$145,Технологи!$B432,Производство!H$104:H$145)&gt;0,SUMIF(Производство!$A$104:$A$145,Технологи!$B432,Производство!H$104:H$145)*$F432+$G432,0)</f>
        <v>0</v>
      </c>
      <c r="L432" s="46">
        <f t="array" ref="L432">IF(SUMIF(Производство!$A$104:$A$145,Технологи!$B432,Производство!I$104:I$145)&gt;0,SUMIF(Производство!$A$104:$A$145,Технологи!$B432,Производство!I$104:I$145)*$F432+$G432,0)</f>
        <v>0</v>
      </c>
      <c r="M432" s="46">
        <f t="array" ref="M432">IF(SUMIF(Производство!$A$104:$A$145,Технологи!$B432,Производство!J$104:J$145)&gt;0,SUMIF(Производство!$A$104:$A$145,Технологи!$B432,Производство!J$104:J$145)*$F432+$G432,0)</f>
        <v>0</v>
      </c>
      <c r="N432" s="46">
        <f t="array" ref="N432">IF(SUMIF(Производство!$A$104:$A$145,Технологи!$B432,Производство!K$104:K$145)&gt;0,SUMIF(Производство!$A$104:$A$145,Технологи!$B432,Производство!K$104:K$145)*$F432+$G432,0)</f>
        <v>0</v>
      </c>
      <c r="O432" s="46">
        <f t="array" ref="O432">IF(SUMIF(Производство!$A$104:$A$145,Технологи!$B432,Производство!L$104:L$145)&gt;0,SUMIF(Производство!$A$104:$A$145,Технологи!$B432,Производство!L$104:L$145)*$F432+$G432,0)</f>
        <v>0</v>
      </c>
      <c r="P432" s="46">
        <f t="array" ref="P432">IF(SUMIF(Производство!$A$104:$A$145,Технологи!$B432,Производство!M$104:M$145)&gt;0,SUMIF(Производство!$A$104:$A$145,Технологи!$B432,Производство!M$104:M$145)*$F432+$G432,0)</f>
        <v>0</v>
      </c>
      <c r="Q432" s="46">
        <f t="array" ref="Q432">IF(SUMIF(Производство!$A$104:$A$145,Технологи!$B432,Производство!N$104:N$145)&gt;0,SUMIF(Производство!$A$104:$A$145,Технологи!$B432,Производство!N$104:N$145)*$F432+$G432,0)</f>
        <v>0</v>
      </c>
      <c r="R432" s="46">
        <f t="array" ref="R432">IF(SUMIF(Производство!$A$104:$A$145,Технологи!$B432,Производство!O$104:O$145)&gt;0,SUMIF(Производство!$A$104:$A$145,Технологи!$B432,Производство!O$104:O$145)*$F432+$G432,0)</f>
        <v>0</v>
      </c>
      <c r="S432" s="46">
        <f t="array" ref="S432">IF(SUMIF(Производство!$A$104:$A$145,Технологи!$B432,Производство!P$104:P$145)&gt;0,SUMIF(Производство!$A$104:$A$145,Технологи!$B432,Производство!P$104:P$145)*$F432+$G432,0)</f>
        <v>0</v>
      </c>
      <c r="T432" s="46">
        <f t="array" ref="T432">IF(SUMIF(Производство!$A$104:$A$145,Технологи!$B432,Производство!Q$104:Q$145)&gt;0,SUMIF(Производство!$A$104:$A$145,Технологи!$B432,Производство!Q$104:Q$145)*$F432+$G432,0)</f>
        <v>0</v>
      </c>
    </row>
    <row r="433" spans="1:20" x14ac:dyDescent="0.25">
      <c r="A433" s="34" t="s">
        <v>377</v>
      </c>
      <c r="B433" s="13" t="s">
        <v>28</v>
      </c>
      <c r="C433" s="19" t="s">
        <v>23</v>
      </c>
      <c r="D433" s="14">
        <v>7038</v>
      </c>
      <c r="E433" s="20"/>
      <c r="F433" s="24">
        <v>0</v>
      </c>
      <c r="G433" s="24">
        <v>0</v>
      </c>
      <c r="H433" s="23">
        <f t="shared" si="20"/>
        <v>0</v>
      </c>
      <c r="I433" s="46">
        <f t="array" ref="I433">IF(SUMIF(Производство!$A$104:$A$145,Технологи!$B433,Производство!F$104:F$145)&gt;0,SUMIF(Производство!$A$104:$A$145,Технологи!$B433,Производство!F$104:F$145)*$F433+$G433,0)</f>
        <v>0</v>
      </c>
      <c r="J433" s="46">
        <f t="array" ref="J433">IF(SUMIF(Производство!$A$104:$A$145,Технологи!$B433,Производство!G$104:G$145)&gt;0,SUMIF(Производство!$A$104:$A$145,Технологи!$B433,Производство!G$104:G$145)*$F433+$G433,0)</f>
        <v>0</v>
      </c>
      <c r="K433" s="46">
        <f t="array" ref="K433">IF(SUMIF(Производство!$A$104:$A$145,Технологи!$B433,Производство!H$104:H$145)&gt;0,SUMIF(Производство!$A$104:$A$145,Технологи!$B433,Производство!H$104:H$145)*$F433+$G433,0)</f>
        <v>0</v>
      </c>
      <c r="L433" s="46">
        <f t="array" ref="L433">IF(SUMIF(Производство!$A$104:$A$145,Технологи!$B433,Производство!I$104:I$145)&gt;0,SUMIF(Производство!$A$104:$A$145,Технологи!$B433,Производство!I$104:I$145)*$F433+$G433,0)</f>
        <v>0</v>
      </c>
      <c r="M433" s="46">
        <f t="array" ref="M433">IF(SUMIF(Производство!$A$104:$A$145,Технологи!$B433,Производство!J$104:J$145)&gt;0,SUMIF(Производство!$A$104:$A$145,Технологи!$B433,Производство!J$104:J$145)*$F433+$G433,0)</f>
        <v>0</v>
      </c>
      <c r="N433" s="46">
        <f t="array" ref="N433">IF(SUMIF(Производство!$A$104:$A$145,Технологи!$B433,Производство!K$104:K$145)&gt;0,SUMIF(Производство!$A$104:$A$145,Технологи!$B433,Производство!K$104:K$145)*$F433+$G433,0)</f>
        <v>0</v>
      </c>
      <c r="O433" s="46">
        <f t="array" ref="O433">IF(SUMIF(Производство!$A$104:$A$145,Технологи!$B433,Производство!L$104:L$145)&gt;0,SUMIF(Производство!$A$104:$A$145,Технологи!$B433,Производство!L$104:L$145)*$F433+$G433,0)</f>
        <v>0</v>
      </c>
      <c r="P433" s="46">
        <f t="array" ref="P433">IF(SUMIF(Производство!$A$104:$A$145,Технологи!$B433,Производство!M$104:M$145)&gt;0,SUMIF(Производство!$A$104:$A$145,Технологи!$B433,Производство!M$104:M$145)*$F433+$G433,0)</f>
        <v>0</v>
      </c>
      <c r="Q433" s="46">
        <f t="array" ref="Q433">IF(SUMIF(Производство!$A$104:$A$145,Технологи!$B433,Производство!N$104:N$145)&gt;0,SUMIF(Производство!$A$104:$A$145,Технологи!$B433,Производство!N$104:N$145)*$F433+$G433,0)</f>
        <v>0</v>
      </c>
      <c r="R433" s="46">
        <f t="array" ref="R433">IF(SUMIF(Производство!$A$104:$A$145,Технологи!$B433,Производство!O$104:O$145)&gt;0,SUMIF(Производство!$A$104:$A$145,Технологи!$B433,Производство!O$104:O$145)*$F433+$G433,0)</f>
        <v>0</v>
      </c>
      <c r="S433" s="46">
        <f t="array" ref="S433">IF(SUMIF(Производство!$A$104:$A$145,Технологи!$B433,Производство!P$104:P$145)&gt;0,SUMIF(Производство!$A$104:$A$145,Технологи!$B433,Производство!P$104:P$145)*$F433+$G433,0)</f>
        <v>0</v>
      </c>
      <c r="T433" s="46">
        <f t="array" ref="T433">IF(SUMIF(Производство!$A$104:$A$145,Технологи!$B433,Производство!Q$104:Q$145)&gt;0,SUMIF(Производство!$A$104:$A$145,Технологи!$B433,Производство!Q$104:Q$145)*$F433+$G433,0)</f>
        <v>0</v>
      </c>
    </row>
    <row r="434" spans="1:20" x14ac:dyDescent="0.25">
      <c r="A434" s="34" t="s">
        <v>377</v>
      </c>
      <c r="B434" s="13" t="s">
        <v>27</v>
      </c>
      <c r="C434" s="15" t="s">
        <v>11</v>
      </c>
      <c r="D434" s="14">
        <v>7038</v>
      </c>
      <c r="E434" s="16">
        <v>1.357</v>
      </c>
      <c r="F434" s="22">
        <f>SUM(F435:F446)</f>
        <v>1.3591578855007433</v>
      </c>
      <c r="G434" s="22">
        <f>SUM(G435:G446)</f>
        <v>57.614579999999997</v>
      </c>
      <c r="H434" s="23">
        <f t="shared" si="20"/>
        <v>1359.1578855007433</v>
      </c>
      <c r="I434" s="46">
        <f t="array" ref="I434">IF(SUMIF(Производство!$A$104:$A$145,Технологи!$B434,Производство!F$104:F$145)&gt;0,SUMIF(Производство!$A$104:$A$145,Технологи!$B434,Производство!F$104:F$145)*$F434+$G434,0)</f>
        <v>0</v>
      </c>
      <c r="J434" s="46">
        <f t="array" ref="J434">IF(SUMIF(Производство!$A$104:$A$145,Технологи!$B434,Производство!G$104:G$145)&gt;0,SUMIF(Производство!$A$104:$A$145,Технологи!$B434,Производство!G$104:G$145)*$F434+$G434,0)</f>
        <v>0</v>
      </c>
      <c r="K434" s="46">
        <f t="array" ref="K434">IF(SUMIF(Производство!$A$104:$A$145,Технологи!$B434,Производство!H$104:H$145)&gt;0,SUMIF(Производство!$A$104:$A$145,Технологи!$B434,Производство!H$104:H$145)*$F434+$G434,0)</f>
        <v>0</v>
      </c>
      <c r="L434" s="46">
        <f t="array" ref="L434">IF(SUMIF(Производство!$A$104:$A$145,Технологи!$B434,Производство!I$104:I$145)&gt;0,SUMIF(Производство!$A$104:$A$145,Технологи!$B434,Производство!I$104:I$145)*$F434+$G434,0)</f>
        <v>0</v>
      </c>
      <c r="M434" s="46">
        <f t="array" ref="M434">IF(SUMIF(Производство!$A$104:$A$145,Технологи!$B434,Производство!J$104:J$145)&gt;0,SUMIF(Производство!$A$104:$A$145,Технологи!$B434,Производство!J$104:J$145)*$F434+$G434,0)</f>
        <v>0</v>
      </c>
      <c r="N434" s="46">
        <f t="array" ref="N434">IF(SUMIF(Производство!$A$104:$A$145,Технологи!$B434,Производство!K$104:K$145)&gt;0,SUMIF(Производство!$A$104:$A$145,Технологи!$B434,Производство!K$104:K$145)*$F434+$G434,0)</f>
        <v>0</v>
      </c>
      <c r="O434" s="46">
        <f t="array" ref="O434">IF(SUMIF(Производство!$A$104:$A$145,Технологи!$B434,Производство!L$104:L$145)&gt;0,SUMIF(Производство!$A$104:$A$145,Технологи!$B434,Производство!L$104:L$145)*$F434+$G434,0)</f>
        <v>0</v>
      </c>
      <c r="P434" s="46">
        <f t="array" ref="P434">IF(SUMIF(Производство!$A$104:$A$145,Технологи!$B434,Производство!M$104:M$145)&gt;0,SUMIF(Производство!$A$104:$A$145,Технологи!$B434,Производство!M$104:M$145)*$F434+$G434,0)</f>
        <v>0</v>
      </c>
      <c r="Q434" s="46">
        <f t="array" ref="Q434">IF(SUMIF(Производство!$A$104:$A$145,Технологи!$B434,Производство!N$104:N$145)&gt;0,SUMIF(Производство!$A$104:$A$145,Технологи!$B434,Производство!N$104:N$145)*$F434+$G434,0)</f>
        <v>0</v>
      </c>
      <c r="R434" s="46">
        <f t="array" ref="R434">IF(SUMIF(Производство!$A$104:$A$145,Технологи!$B434,Производство!O$104:O$145)&gt;0,SUMIF(Производство!$A$104:$A$145,Технологи!$B434,Производство!O$104:O$145)*$F434+$G434,0)</f>
        <v>0</v>
      </c>
      <c r="S434" s="46">
        <f t="array" ref="S434">IF(SUMIF(Производство!$A$104:$A$145,Технологи!$B434,Производство!P$104:P$145)&gt;0,SUMIF(Производство!$A$104:$A$145,Технологи!$B434,Производство!P$104:P$145)*$F434+$G434,0)</f>
        <v>0</v>
      </c>
      <c r="T434" s="46">
        <f t="array" ref="T434">IF(SUMIF(Производство!$A$104:$A$145,Технологи!$B434,Производство!Q$104:Q$145)&gt;0,SUMIF(Производство!$A$104:$A$145,Технологи!$B434,Производство!Q$104:Q$145)*$F434+$G434,0)</f>
        <v>0</v>
      </c>
    </row>
    <row r="435" spans="1:20" x14ac:dyDescent="0.25">
      <c r="A435" s="34" t="s">
        <v>377</v>
      </c>
      <c r="B435" s="13" t="s">
        <v>27</v>
      </c>
      <c r="C435" s="19" t="s">
        <v>12</v>
      </c>
      <c r="D435" s="14">
        <v>7038</v>
      </c>
      <c r="E435" s="20"/>
      <c r="F435" s="24">
        <v>0.35455641861761422</v>
      </c>
      <c r="G435" s="24">
        <v>21.642685804533627</v>
      </c>
      <c r="H435" s="23">
        <f t="shared" si="20"/>
        <v>354.55641861761421</v>
      </c>
      <c r="I435" s="46">
        <f t="array" ref="I435">IF(SUMIF(Производство!$A$104:$A$145,Технологи!$B435,Производство!F$104:F$145)&gt;0,SUMIF(Производство!$A$104:$A$145,Технологи!$B435,Производство!F$104:F$145)*$F435+$G435,0)</f>
        <v>0</v>
      </c>
      <c r="J435" s="46">
        <f t="array" ref="J435">IF(SUMIF(Производство!$A$104:$A$145,Технологи!$B435,Производство!G$104:G$145)&gt;0,SUMIF(Производство!$A$104:$A$145,Технологи!$B435,Производство!G$104:G$145)*$F435+$G435,0)</f>
        <v>0</v>
      </c>
      <c r="K435" s="46">
        <f t="array" ref="K435">IF(SUMIF(Производство!$A$104:$A$145,Технологи!$B435,Производство!H$104:H$145)&gt;0,SUMIF(Производство!$A$104:$A$145,Технологи!$B435,Производство!H$104:H$145)*$F435+$G435,0)</f>
        <v>0</v>
      </c>
      <c r="L435" s="46">
        <f t="array" ref="L435">IF(SUMIF(Производство!$A$104:$A$145,Технологи!$B435,Производство!I$104:I$145)&gt;0,SUMIF(Производство!$A$104:$A$145,Технологи!$B435,Производство!I$104:I$145)*$F435+$G435,0)</f>
        <v>0</v>
      </c>
      <c r="M435" s="46">
        <f t="array" ref="M435">IF(SUMIF(Производство!$A$104:$A$145,Технологи!$B435,Производство!J$104:J$145)&gt;0,SUMIF(Производство!$A$104:$A$145,Технологи!$B435,Производство!J$104:J$145)*$F435+$G435,0)</f>
        <v>0</v>
      </c>
      <c r="N435" s="46">
        <f t="array" ref="N435">IF(SUMIF(Производство!$A$104:$A$145,Технологи!$B435,Производство!K$104:K$145)&gt;0,SUMIF(Производство!$A$104:$A$145,Технологи!$B435,Производство!K$104:K$145)*$F435+$G435,0)</f>
        <v>0</v>
      </c>
      <c r="O435" s="46">
        <f t="array" ref="O435">IF(SUMIF(Производство!$A$104:$A$145,Технологи!$B435,Производство!L$104:L$145)&gt;0,SUMIF(Производство!$A$104:$A$145,Технологи!$B435,Производство!L$104:L$145)*$F435+$G435,0)</f>
        <v>0</v>
      </c>
      <c r="P435" s="46">
        <f t="array" ref="P435">IF(SUMIF(Производство!$A$104:$A$145,Технологи!$B435,Производство!M$104:M$145)&gt;0,SUMIF(Производство!$A$104:$A$145,Технологи!$B435,Производство!M$104:M$145)*$F435+$G435,0)</f>
        <v>0</v>
      </c>
      <c r="Q435" s="46">
        <f t="array" ref="Q435">IF(SUMIF(Производство!$A$104:$A$145,Технологи!$B435,Производство!N$104:N$145)&gt;0,SUMIF(Производство!$A$104:$A$145,Технологи!$B435,Производство!N$104:N$145)*$F435+$G435,0)</f>
        <v>0</v>
      </c>
      <c r="R435" s="46">
        <f t="array" ref="R435">IF(SUMIF(Производство!$A$104:$A$145,Технологи!$B435,Производство!O$104:O$145)&gt;0,SUMIF(Производство!$A$104:$A$145,Технологи!$B435,Производство!O$104:O$145)*$F435+$G435,0)</f>
        <v>0</v>
      </c>
      <c r="S435" s="46">
        <f t="array" ref="S435">IF(SUMIF(Производство!$A$104:$A$145,Технологи!$B435,Производство!P$104:P$145)&gt;0,SUMIF(Производство!$A$104:$A$145,Технологи!$B435,Производство!P$104:P$145)*$F435+$G435,0)</f>
        <v>0</v>
      </c>
      <c r="T435" s="46">
        <f t="array" ref="T435">IF(SUMIF(Производство!$A$104:$A$145,Технологи!$B435,Производство!Q$104:Q$145)&gt;0,SUMIF(Производство!$A$104:$A$145,Технологи!$B435,Производство!Q$104:Q$145)*$F435+$G435,0)</f>
        <v>0</v>
      </c>
    </row>
    <row r="436" spans="1:20" x14ac:dyDescent="0.25">
      <c r="A436" s="34" t="s">
        <v>377</v>
      </c>
      <c r="B436" s="13" t="s">
        <v>27</v>
      </c>
      <c r="C436" s="19" t="s">
        <v>13</v>
      </c>
      <c r="D436" s="14">
        <v>7038</v>
      </c>
      <c r="E436" s="20"/>
      <c r="F436" s="24">
        <v>0.10689611426978816</v>
      </c>
      <c r="G436" s="24">
        <v>6.4928057413600895</v>
      </c>
      <c r="H436" s="23">
        <f t="shared" si="20"/>
        <v>106.89611426978817</v>
      </c>
      <c r="I436" s="46">
        <f t="array" ref="I436">IF(SUMIF(Производство!$A$104:$A$145,Технологи!$B436,Производство!F$104:F$145)&gt;0,SUMIF(Производство!$A$104:$A$145,Технологи!$B436,Производство!F$104:F$145)*$F436+$G436,0)</f>
        <v>0</v>
      </c>
      <c r="J436" s="46">
        <f t="array" ref="J436">IF(SUMIF(Производство!$A$104:$A$145,Технологи!$B436,Производство!G$104:G$145)&gt;0,SUMIF(Производство!$A$104:$A$145,Технологи!$B436,Производство!G$104:G$145)*$F436+$G436,0)</f>
        <v>0</v>
      </c>
      <c r="K436" s="46">
        <f t="array" ref="K436">IF(SUMIF(Производство!$A$104:$A$145,Технологи!$B436,Производство!H$104:H$145)&gt;0,SUMIF(Производство!$A$104:$A$145,Технологи!$B436,Производство!H$104:H$145)*$F436+$G436,0)</f>
        <v>0</v>
      </c>
      <c r="L436" s="46">
        <f t="array" ref="L436">IF(SUMIF(Производство!$A$104:$A$145,Технологи!$B436,Производство!I$104:I$145)&gt;0,SUMIF(Производство!$A$104:$A$145,Технологи!$B436,Производство!I$104:I$145)*$F436+$G436,0)</f>
        <v>0</v>
      </c>
      <c r="M436" s="46">
        <f t="array" ref="M436">IF(SUMIF(Производство!$A$104:$A$145,Технологи!$B436,Производство!J$104:J$145)&gt;0,SUMIF(Производство!$A$104:$A$145,Технологи!$B436,Производство!J$104:J$145)*$F436+$G436,0)</f>
        <v>0</v>
      </c>
      <c r="N436" s="46">
        <f t="array" ref="N436">IF(SUMIF(Производство!$A$104:$A$145,Технологи!$B436,Производство!K$104:K$145)&gt;0,SUMIF(Производство!$A$104:$A$145,Технологи!$B436,Производство!K$104:K$145)*$F436+$G436,0)</f>
        <v>0</v>
      </c>
      <c r="O436" s="46">
        <f t="array" ref="O436">IF(SUMIF(Производство!$A$104:$A$145,Технологи!$B436,Производство!L$104:L$145)&gt;0,SUMIF(Производство!$A$104:$A$145,Технологи!$B436,Производство!L$104:L$145)*$F436+$G436,0)</f>
        <v>0</v>
      </c>
      <c r="P436" s="46">
        <f t="array" ref="P436">IF(SUMIF(Производство!$A$104:$A$145,Технологи!$B436,Производство!M$104:M$145)&gt;0,SUMIF(Производство!$A$104:$A$145,Технологи!$B436,Производство!M$104:M$145)*$F436+$G436,0)</f>
        <v>0</v>
      </c>
      <c r="Q436" s="46">
        <f t="array" ref="Q436">IF(SUMIF(Производство!$A$104:$A$145,Технологи!$B436,Производство!N$104:N$145)&gt;0,SUMIF(Производство!$A$104:$A$145,Технологи!$B436,Производство!N$104:N$145)*$F436+$G436,0)</f>
        <v>0</v>
      </c>
      <c r="R436" s="46">
        <f t="array" ref="R436">IF(SUMIF(Производство!$A$104:$A$145,Технологи!$B436,Производство!O$104:O$145)&gt;0,SUMIF(Производство!$A$104:$A$145,Технологи!$B436,Производство!O$104:O$145)*$F436+$G436,0)</f>
        <v>0</v>
      </c>
      <c r="S436" s="46">
        <f t="array" ref="S436">IF(SUMIF(Производство!$A$104:$A$145,Технологи!$B436,Производство!P$104:P$145)&gt;0,SUMIF(Производство!$A$104:$A$145,Технологи!$B436,Производство!P$104:P$145)*$F436+$G436,0)</f>
        <v>0</v>
      </c>
      <c r="T436" s="46">
        <f t="array" ref="T436">IF(SUMIF(Производство!$A$104:$A$145,Технологи!$B436,Производство!Q$104:Q$145)&gt;0,SUMIF(Производство!$A$104:$A$145,Технологи!$B436,Производство!Q$104:Q$145)*$F436+$G436,0)</f>
        <v>0</v>
      </c>
    </row>
    <row r="437" spans="1:20" x14ac:dyDescent="0.25">
      <c r="A437" s="34" t="s">
        <v>377</v>
      </c>
      <c r="B437" s="13" t="s">
        <v>27</v>
      </c>
      <c r="C437" s="19" t="s">
        <v>14</v>
      </c>
      <c r="D437" s="14">
        <v>7038</v>
      </c>
      <c r="E437" s="20"/>
      <c r="F437" s="24">
        <v>1.0689611426978815E-3</v>
      </c>
      <c r="G437" s="24">
        <v>6.4928057413600887E-2</v>
      </c>
      <c r="H437" s="23">
        <f t="shared" si="20"/>
        <v>1.0689611426978816</v>
      </c>
      <c r="I437" s="46">
        <f t="array" ref="I437">IF(SUMIF(Производство!$A$104:$A$145,Технологи!$B437,Производство!F$104:F$145)&gt;0,SUMIF(Производство!$A$104:$A$145,Технологи!$B437,Производство!F$104:F$145)*$F437+$G437,0)</f>
        <v>0</v>
      </c>
      <c r="J437" s="46">
        <f t="array" ref="J437">IF(SUMIF(Производство!$A$104:$A$145,Технологи!$B437,Производство!G$104:G$145)&gt;0,SUMIF(Производство!$A$104:$A$145,Технологи!$B437,Производство!G$104:G$145)*$F437+$G437,0)</f>
        <v>0</v>
      </c>
      <c r="K437" s="46">
        <f t="array" ref="K437">IF(SUMIF(Производство!$A$104:$A$145,Технологи!$B437,Производство!H$104:H$145)&gt;0,SUMIF(Производство!$A$104:$A$145,Технологи!$B437,Производство!H$104:H$145)*$F437+$G437,0)</f>
        <v>0</v>
      </c>
      <c r="L437" s="46">
        <f t="array" ref="L437">IF(SUMIF(Производство!$A$104:$A$145,Технологи!$B437,Производство!I$104:I$145)&gt;0,SUMIF(Производство!$A$104:$A$145,Технологи!$B437,Производство!I$104:I$145)*$F437+$G437,0)</f>
        <v>0</v>
      </c>
      <c r="M437" s="46">
        <f t="array" ref="M437">IF(SUMIF(Производство!$A$104:$A$145,Технологи!$B437,Производство!J$104:J$145)&gt;0,SUMIF(Производство!$A$104:$A$145,Технологи!$B437,Производство!J$104:J$145)*$F437+$G437,0)</f>
        <v>0</v>
      </c>
      <c r="N437" s="46">
        <f t="array" ref="N437">IF(SUMIF(Производство!$A$104:$A$145,Технологи!$B437,Производство!K$104:K$145)&gt;0,SUMIF(Производство!$A$104:$A$145,Технологи!$B437,Производство!K$104:K$145)*$F437+$G437,0)</f>
        <v>0</v>
      </c>
      <c r="O437" s="46">
        <f t="array" ref="O437">IF(SUMIF(Производство!$A$104:$A$145,Технологи!$B437,Производство!L$104:L$145)&gt;0,SUMIF(Производство!$A$104:$A$145,Технологи!$B437,Производство!L$104:L$145)*$F437+$G437,0)</f>
        <v>0</v>
      </c>
      <c r="P437" s="46">
        <f t="array" ref="P437">IF(SUMIF(Производство!$A$104:$A$145,Технологи!$B437,Производство!M$104:M$145)&gt;0,SUMIF(Производство!$A$104:$A$145,Технологи!$B437,Производство!M$104:M$145)*$F437+$G437,0)</f>
        <v>0</v>
      </c>
      <c r="Q437" s="46">
        <f t="array" ref="Q437">IF(SUMIF(Производство!$A$104:$A$145,Технологи!$B437,Производство!N$104:N$145)&gt;0,SUMIF(Производство!$A$104:$A$145,Технологи!$B437,Производство!N$104:N$145)*$F437+$G437,0)</f>
        <v>0</v>
      </c>
      <c r="R437" s="46">
        <f t="array" ref="R437">IF(SUMIF(Производство!$A$104:$A$145,Технологи!$B437,Производство!O$104:O$145)&gt;0,SUMIF(Производство!$A$104:$A$145,Технологи!$B437,Производство!O$104:O$145)*$F437+$G437,0)</f>
        <v>0</v>
      </c>
      <c r="S437" s="46">
        <f t="array" ref="S437">IF(SUMIF(Производство!$A$104:$A$145,Технологи!$B437,Производство!P$104:P$145)&gt;0,SUMIF(Производство!$A$104:$A$145,Технологи!$B437,Производство!P$104:P$145)*$F437+$G437,0)</f>
        <v>0</v>
      </c>
      <c r="T437" s="46">
        <f t="array" ref="T437">IF(SUMIF(Производство!$A$104:$A$145,Технологи!$B437,Производство!Q$104:Q$145)&gt;0,SUMIF(Производство!$A$104:$A$145,Технологи!$B437,Производство!Q$104:Q$145)*$F437+$G437,0)</f>
        <v>0</v>
      </c>
    </row>
    <row r="438" spans="1:20" x14ac:dyDescent="0.25">
      <c r="A438" s="34" t="s">
        <v>377</v>
      </c>
      <c r="B438" s="13" t="s">
        <v>27</v>
      </c>
      <c r="C438" s="19" t="s">
        <v>15</v>
      </c>
      <c r="D438" s="14">
        <v>7038</v>
      </c>
      <c r="E438" s="20"/>
      <c r="F438" s="24">
        <v>5.3448057134894075E-4</v>
      </c>
      <c r="G438" s="24">
        <v>3.2464028706800444E-2</v>
      </c>
      <c r="H438" s="23">
        <f t="shared" si="20"/>
        <v>0.53448057134894078</v>
      </c>
      <c r="I438" s="46">
        <f t="array" ref="I438">IF(SUMIF(Производство!$A$104:$A$145,Технологи!$B438,Производство!F$104:F$145)&gt;0,SUMIF(Производство!$A$104:$A$145,Технологи!$B438,Производство!F$104:F$145)*$F438+$G438,0)</f>
        <v>0</v>
      </c>
      <c r="J438" s="46">
        <f t="array" ref="J438">IF(SUMIF(Производство!$A$104:$A$145,Технологи!$B438,Производство!G$104:G$145)&gt;0,SUMIF(Производство!$A$104:$A$145,Технологи!$B438,Производство!G$104:G$145)*$F438+$G438,0)</f>
        <v>0</v>
      </c>
      <c r="K438" s="46">
        <f t="array" ref="K438">IF(SUMIF(Производство!$A$104:$A$145,Технологи!$B438,Производство!H$104:H$145)&gt;0,SUMIF(Производство!$A$104:$A$145,Технологи!$B438,Производство!H$104:H$145)*$F438+$G438,0)</f>
        <v>0</v>
      </c>
      <c r="L438" s="46">
        <f t="array" ref="L438">IF(SUMIF(Производство!$A$104:$A$145,Технологи!$B438,Производство!I$104:I$145)&gt;0,SUMIF(Производство!$A$104:$A$145,Технологи!$B438,Производство!I$104:I$145)*$F438+$G438,0)</f>
        <v>0</v>
      </c>
      <c r="M438" s="46">
        <f t="array" ref="M438">IF(SUMIF(Производство!$A$104:$A$145,Технологи!$B438,Производство!J$104:J$145)&gt;0,SUMIF(Производство!$A$104:$A$145,Технологи!$B438,Производство!J$104:J$145)*$F438+$G438,0)</f>
        <v>0</v>
      </c>
      <c r="N438" s="46">
        <f t="array" ref="N438">IF(SUMIF(Производство!$A$104:$A$145,Технологи!$B438,Производство!K$104:K$145)&gt;0,SUMIF(Производство!$A$104:$A$145,Технологи!$B438,Производство!K$104:K$145)*$F438+$G438,0)</f>
        <v>0</v>
      </c>
      <c r="O438" s="46">
        <f t="array" ref="O438">IF(SUMIF(Производство!$A$104:$A$145,Технологи!$B438,Производство!L$104:L$145)&gt;0,SUMIF(Производство!$A$104:$A$145,Технологи!$B438,Производство!L$104:L$145)*$F438+$G438,0)</f>
        <v>0</v>
      </c>
      <c r="P438" s="46">
        <f t="array" ref="P438">IF(SUMIF(Производство!$A$104:$A$145,Технологи!$B438,Производство!M$104:M$145)&gt;0,SUMIF(Производство!$A$104:$A$145,Технологи!$B438,Производство!M$104:M$145)*$F438+$G438,0)</f>
        <v>0</v>
      </c>
      <c r="Q438" s="46">
        <f t="array" ref="Q438">IF(SUMIF(Производство!$A$104:$A$145,Технологи!$B438,Производство!N$104:N$145)&gt;0,SUMIF(Производство!$A$104:$A$145,Технологи!$B438,Производство!N$104:N$145)*$F438+$G438,0)</f>
        <v>0</v>
      </c>
      <c r="R438" s="46">
        <f t="array" ref="R438">IF(SUMIF(Производство!$A$104:$A$145,Технологи!$B438,Производство!O$104:O$145)&gt;0,SUMIF(Производство!$A$104:$A$145,Технологи!$B438,Производство!O$104:O$145)*$F438+$G438,0)</f>
        <v>0</v>
      </c>
      <c r="S438" s="46">
        <f t="array" ref="S438">IF(SUMIF(Производство!$A$104:$A$145,Технологи!$B438,Производство!P$104:P$145)&gt;0,SUMIF(Производство!$A$104:$A$145,Технологи!$B438,Производство!P$104:P$145)*$F438+$G438,0)</f>
        <v>0</v>
      </c>
      <c r="T438" s="46">
        <f t="array" ref="T438">IF(SUMIF(Производство!$A$104:$A$145,Технологи!$B438,Производство!Q$104:Q$145)&gt;0,SUMIF(Производство!$A$104:$A$145,Технологи!$B438,Производство!Q$104:Q$145)*$F438+$G438,0)</f>
        <v>0</v>
      </c>
    </row>
    <row r="439" spans="1:20" x14ac:dyDescent="0.25">
      <c r="A439" s="34" t="s">
        <v>377</v>
      </c>
      <c r="B439" s="13" t="s">
        <v>27</v>
      </c>
      <c r="C439" s="19" t="s">
        <v>16</v>
      </c>
      <c r="D439" s="14">
        <v>7038</v>
      </c>
      <c r="E439" s="20"/>
      <c r="F439" s="24">
        <v>7.0911283723522857E-3</v>
      </c>
      <c r="G439" s="24">
        <v>0.43285371609067258</v>
      </c>
      <c r="H439" s="23">
        <f t="shared" si="20"/>
        <v>7.0911283723522853</v>
      </c>
      <c r="I439" s="46">
        <f t="array" ref="I439">IF(SUMIF(Производство!$A$104:$A$145,Технологи!$B439,Производство!F$104:F$145)&gt;0,SUMIF(Производство!$A$104:$A$145,Технологи!$B439,Производство!F$104:F$145)*$F439+$G439,0)</f>
        <v>0</v>
      </c>
      <c r="J439" s="46">
        <f t="array" ref="J439">IF(SUMIF(Производство!$A$104:$A$145,Технологи!$B439,Производство!G$104:G$145)&gt;0,SUMIF(Производство!$A$104:$A$145,Технологи!$B439,Производство!G$104:G$145)*$F439+$G439,0)</f>
        <v>0</v>
      </c>
      <c r="K439" s="46">
        <f t="array" ref="K439">IF(SUMIF(Производство!$A$104:$A$145,Технологи!$B439,Производство!H$104:H$145)&gt;0,SUMIF(Производство!$A$104:$A$145,Технологи!$B439,Производство!H$104:H$145)*$F439+$G439,0)</f>
        <v>0</v>
      </c>
      <c r="L439" s="46">
        <f t="array" ref="L439">IF(SUMIF(Производство!$A$104:$A$145,Технологи!$B439,Производство!I$104:I$145)&gt;0,SUMIF(Производство!$A$104:$A$145,Технологи!$B439,Производство!I$104:I$145)*$F439+$G439,0)</f>
        <v>0</v>
      </c>
      <c r="M439" s="46">
        <f t="array" ref="M439">IF(SUMIF(Производство!$A$104:$A$145,Технологи!$B439,Производство!J$104:J$145)&gt;0,SUMIF(Производство!$A$104:$A$145,Технологи!$B439,Производство!J$104:J$145)*$F439+$G439,0)</f>
        <v>0</v>
      </c>
      <c r="N439" s="46">
        <f t="array" ref="N439">IF(SUMIF(Производство!$A$104:$A$145,Технологи!$B439,Производство!K$104:K$145)&gt;0,SUMIF(Производство!$A$104:$A$145,Технологи!$B439,Производство!K$104:K$145)*$F439+$G439,0)</f>
        <v>0</v>
      </c>
      <c r="O439" s="46">
        <f t="array" ref="O439">IF(SUMIF(Производство!$A$104:$A$145,Технологи!$B439,Производство!L$104:L$145)&gt;0,SUMIF(Производство!$A$104:$A$145,Технологи!$B439,Производство!L$104:L$145)*$F439+$G439,0)</f>
        <v>0</v>
      </c>
      <c r="P439" s="46">
        <f t="array" ref="P439">IF(SUMIF(Производство!$A$104:$A$145,Технологи!$B439,Производство!M$104:M$145)&gt;0,SUMIF(Производство!$A$104:$A$145,Технологи!$B439,Производство!M$104:M$145)*$F439+$G439,0)</f>
        <v>0</v>
      </c>
      <c r="Q439" s="46">
        <f t="array" ref="Q439">IF(SUMIF(Производство!$A$104:$A$145,Технологи!$B439,Производство!N$104:N$145)&gt;0,SUMIF(Производство!$A$104:$A$145,Технологи!$B439,Производство!N$104:N$145)*$F439+$G439,0)</f>
        <v>0</v>
      </c>
      <c r="R439" s="46">
        <f t="array" ref="R439">IF(SUMIF(Производство!$A$104:$A$145,Технологи!$B439,Производство!O$104:O$145)&gt;0,SUMIF(Производство!$A$104:$A$145,Технологи!$B439,Производство!O$104:O$145)*$F439+$G439,0)</f>
        <v>0</v>
      </c>
      <c r="S439" s="46">
        <f t="array" ref="S439">IF(SUMIF(Производство!$A$104:$A$145,Технологи!$B439,Производство!P$104:P$145)&gt;0,SUMIF(Производство!$A$104:$A$145,Технологи!$B439,Производство!P$104:P$145)*$F439+$G439,0)</f>
        <v>0</v>
      </c>
      <c r="T439" s="46">
        <f t="array" ref="T439">IF(SUMIF(Производство!$A$104:$A$145,Технологи!$B439,Производство!Q$104:Q$145)&gt;0,SUMIF(Производство!$A$104:$A$145,Технологи!$B439,Производство!Q$104:Q$145)*$F439+$G439,0)</f>
        <v>0</v>
      </c>
    </row>
    <row r="440" spans="1:20" x14ac:dyDescent="0.25">
      <c r="A440" s="34" t="s">
        <v>377</v>
      </c>
      <c r="B440" s="13" t="s">
        <v>27</v>
      </c>
      <c r="C440" s="19" t="s">
        <v>17</v>
      </c>
      <c r="D440" s="14">
        <v>7038</v>
      </c>
      <c r="E440" s="20"/>
      <c r="F440" s="24">
        <v>3.9195241898922336E-3</v>
      </c>
      <c r="G440" s="24">
        <v>0.23806954384986995</v>
      </c>
      <c r="H440" s="23">
        <f t="shared" si="20"/>
        <v>3.9195241898922335</v>
      </c>
      <c r="I440" s="46">
        <f t="array" ref="I440">IF(SUMIF(Производство!$A$104:$A$145,Технологи!$B440,Производство!F$104:F$145)&gt;0,SUMIF(Производство!$A$104:$A$145,Технологи!$B440,Производство!F$104:F$145)*$F440+$G440,0)</f>
        <v>0</v>
      </c>
      <c r="J440" s="46">
        <f t="array" ref="J440">IF(SUMIF(Производство!$A$104:$A$145,Технологи!$B440,Производство!G$104:G$145)&gt;0,SUMIF(Производство!$A$104:$A$145,Технологи!$B440,Производство!G$104:G$145)*$F440+$G440,0)</f>
        <v>0</v>
      </c>
      <c r="K440" s="46">
        <f t="array" ref="K440">IF(SUMIF(Производство!$A$104:$A$145,Технологи!$B440,Производство!H$104:H$145)&gt;0,SUMIF(Производство!$A$104:$A$145,Технологи!$B440,Производство!H$104:H$145)*$F440+$G440,0)</f>
        <v>0</v>
      </c>
      <c r="L440" s="46">
        <f t="array" ref="L440">IF(SUMIF(Производство!$A$104:$A$145,Технологи!$B440,Производство!I$104:I$145)&gt;0,SUMIF(Производство!$A$104:$A$145,Технологи!$B440,Производство!I$104:I$145)*$F440+$G440,0)</f>
        <v>0</v>
      </c>
      <c r="M440" s="46">
        <f t="array" ref="M440">IF(SUMIF(Производство!$A$104:$A$145,Технологи!$B440,Производство!J$104:J$145)&gt;0,SUMIF(Производство!$A$104:$A$145,Технологи!$B440,Производство!J$104:J$145)*$F440+$G440,0)</f>
        <v>0</v>
      </c>
      <c r="N440" s="46">
        <f t="array" ref="N440">IF(SUMIF(Производство!$A$104:$A$145,Технологи!$B440,Производство!K$104:K$145)&gt;0,SUMIF(Производство!$A$104:$A$145,Технологи!$B440,Производство!K$104:K$145)*$F440+$G440,0)</f>
        <v>0</v>
      </c>
      <c r="O440" s="46">
        <f t="array" ref="O440">IF(SUMIF(Производство!$A$104:$A$145,Технологи!$B440,Производство!L$104:L$145)&gt;0,SUMIF(Производство!$A$104:$A$145,Технологи!$B440,Производство!L$104:L$145)*$F440+$G440,0)</f>
        <v>0</v>
      </c>
      <c r="P440" s="46">
        <f t="array" ref="P440">IF(SUMIF(Производство!$A$104:$A$145,Технологи!$B440,Производство!M$104:M$145)&gt;0,SUMIF(Производство!$A$104:$A$145,Технологи!$B440,Производство!M$104:M$145)*$F440+$G440,0)</f>
        <v>0</v>
      </c>
      <c r="Q440" s="46">
        <f t="array" ref="Q440">IF(SUMIF(Производство!$A$104:$A$145,Технологи!$B440,Производство!N$104:N$145)&gt;0,SUMIF(Производство!$A$104:$A$145,Технологи!$B440,Производство!N$104:N$145)*$F440+$G440,0)</f>
        <v>0</v>
      </c>
      <c r="R440" s="46">
        <f t="array" ref="R440">IF(SUMIF(Производство!$A$104:$A$145,Технологи!$B440,Производство!O$104:O$145)&gt;0,SUMIF(Производство!$A$104:$A$145,Технологи!$B440,Производство!O$104:O$145)*$F440+$G440,0)</f>
        <v>0</v>
      </c>
      <c r="S440" s="46">
        <f t="array" ref="S440">IF(SUMIF(Производство!$A$104:$A$145,Технологи!$B440,Производство!P$104:P$145)&gt;0,SUMIF(Производство!$A$104:$A$145,Технологи!$B440,Производство!P$104:P$145)*$F440+$G440,0)</f>
        <v>0</v>
      </c>
      <c r="T440" s="46">
        <f t="array" ref="T440">IF(SUMIF(Производство!$A$104:$A$145,Технологи!$B440,Производство!Q$104:Q$145)&gt;0,SUMIF(Производство!$A$104:$A$145,Технологи!$B440,Производство!Q$104:Q$145)*$F440+$G440,0)</f>
        <v>0</v>
      </c>
    </row>
    <row r="441" spans="1:20" x14ac:dyDescent="0.25">
      <c r="A441" s="34" t="s">
        <v>377</v>
      </c>
      <c r="B441" s="13" t="s">
        <v>27</v>
      </c>
      <c r="C441" s="19" t="s">
        <v>18</v>
      </c>
      <c r="D441" s="14">
        <v>7038</v>
      </c>
      <c r="E441" s="20"/>
      <c r="F441" s="24">
        <v>3.5385083370494241E-3</v>
      </c>
      <c r="G441" s="24">
        <v>0.21642685804533629</v>
      </c>
      <c r="H441" s="23">
        <f t="shared" si="20"/>
        <v>3.5385083370494241</v>
      </c>
      <c r="I441" s="46">
        <f t="array" ref="I441">IF(SUMIF(Производство!$A$104:$A$145,Технологи!$B441,Производство!F$104:F$145)&gt;0,SUMIF(Производство!$A$104:$A$145,Технологи!$B441,Производство!F$104:F$145)*$F441+$G441,0)</f>
        <v>0</v>
      </c>
      <c r="J441" s="46">
        <f t="array" ref="J441">IF(SUMIF(Производство!$A$104:$A$145,Технологи!$B441,Производство!G$104:G$145)&gt;0,SUMIF(Производство!$A$104:$A$145,Технологи!$B441,Производство!G$104:G$145)*$F441+$G441,0)</f>
        <v>0</v>
      </c>
      <c r="K441" s="46">
        <f t="array" ref="K441">IF(SUMIF(Производство!$A$104:$A$145,Технологи!$B441,Производство!H$104:H$145)&gt;0,SUMIF(Производство!$A$104:$A$145,Технологи!$B441,Производство!H$104:H$145)*$F441+$G441,0)</f>
        <v>0</v>
      </c>
      <c r="L441" s="46">
        <f t="array" ref="L441">IF(SUMIF(Производство!$A$104:$A$145,Технологи!$B441,Производство!I$104:I$145)&gt;0,SUMIF(Производство!$A$104:$A$145,Технологи!$B441,Производство!I$104:I$145)*$F441+$G441,0)</f>
        <v>0</v>
      </c>
      <c r="M441" s="46">
        <f t="array" ref="M441">IF(SUMIF(Производство!$A$104:$A$145,Технологи!$B441,Производство!J$104:J$145)&gt;0,SUMIF(Производство!$A$104:$A$145,Технологи!$B441,Производство!J$104:J$145)*$F441+$G441,0)</f>
        <v>0</v>
      </c>
      <c r="N441" s="46">
        <f t="array" ref="N441">IF(SUMIF(Производство!$A$104:$A$145,Технологи!$B441,Производство!K$104:K$145)&gt;0,SUMIF(Производство!$A$104:$A$145,Технологи!$B441,Производство!K$104:K$145)*$F441+$G441,0)</f>
        <v>0</v>
      </c>
      <c r="O441" s="46">
        <f t="array" ref="O441">IF(SUMIF(Производство!$A$104:$A$145,Технологи!$B441,Производство!L$104:L$145)&gt;0,SUMIF(Производство!$A$104:$A$145,Технологи!$B441,Производство!L$104:L$145)*$F441+$G441,0)</f>
        <v>0</v>
      </c>
      <c r="P441" s="46">
        <f t="array" ref="P441">IF(SUMIF(Производство!$A$104:$A$145,Технологи!$B441,Производство!M$104:M$145)&gt;0,SUMIF(Производство!$A$104:$A$145,Технологи!$B441,Производство!M$104:M$145)*$F441+$G441,0)</f>
        <v>0</v>
      </c>
      <c r="Q441" s="46">
        <f t="array" ref="Q441">IF(SUMIF(Производство!$A$104:$A$145,Технологи!$B441,Производство!N$104:N$145)&gt;0,SUMIF(Производство!$A$104:$A$145,Технологи!$B441,Производство!N$104:N$145)*$F441+$G441,0)</f>
        <v>0</v>
      </c>
      <c r="R441" s="46">
        <f t="array" ref="R441">IF(SUMIF(Производство!$A$104:$A$145,Технологи!$B441,Производство!O$104:O$145)&gt;0,SUMIF(Производство!$A$104:$A$145,Технологи!$B441,Производство!O$104:O$145)*$F441+$G441,0)</f>
        <v>0</v>
      </c>
      <c r="S441" s="46">
        <f t="array" ref="S441">IF(SUMIF(Производство!$A$104:$A$145,Технологи!$B441,Производство!P$104:P$145)&gt;0,SUMIF(Производство!$A$104:$A$145,Технологи!$B441,Производство!P$104:P$145)*$F441+$G441,0)</f>
        <v>0</v>
      </c>
      <c r="T441" s="46">
        <f t="array" ref="T441">IF(SUMIF(Производство!$A$104:$A$145,Технологи!$B441,Производство!Q$104:Q$145)&gt;0,SUMIF(Производство!$A$104:$A$145,Технологи!$B441,Производство!Q$104:Q$145)*$F441+$G441,0)</f>
        <v>0</v>
      </c>
    </row>
    <row r="442" spans="1:20" x14ac:dyDescent="0.25">
      <c r="A442" s="34" t="s">
        <v>377</v>
      </c>
      <c r="B442" s="13" t="s">
        <v>27</v>
      </c>
      <c r="C442" s="19" t="s">
        <v>19</v>
      </c>
      <c r="D442" s="14">
        <v>7038</v>
      </c>
      <c r="E442" s="20"/>
      <c r="F442" s="24">
        <v>0.76355275000000011</v>
      </c>
      <c r="G442" s="24">
        <v>26.724346250000004</v>
      </c>
      <c r="H442" s="23">
        <f t="shared" si="20"/>
        <v>763.55275000000006</v>
      </c>
      <c r="I442" s="46">
        <f t="array" ref="I442">IF(SUMIF(Производство!$A$104:$A$145,Технологи!$B442,Производство!F$104:F$145)&gt;0,SUMIF(Производство!$A$104:$A$145,Технологи!$B442,Производство!F$104:F$145)*$F442+$G442,0)</f>
        <v>0</v>
      </c>
      <c r="J442" s="46">
        <f t="array" ref="J442">IF(SUMIF(Производство!$A$104:$A$145,Технологи!$B442,Производство!G$104:G$145)&gt;0,SUMIF(Производство!$A$104:$A$145,Технологи!$B442,Производство!G$104:G$145)*$F442+$G442,0)</f>
        <v>0</v>
      </c>
      <c r="K442" s="46">
        <f t="array" ref="K442">IF(SUMIF(Производство!$A$104:$A$145,Технологи!$B442,Производство!H$104:H$145)&gt;0,SUMIF(Производство!$A$104:$A$145,Технологи!$B442,Производство!H$104:H$145)*$F442+$G442,0)</f>
        <v>0</v>
      </c>
      <c r="L442" s="46">
        <f t="array" ref="L442">IF(SUMIF(Производство!$A$104:$A$145,Технологи!$B442,Производство!I$104:I$145)&gt;0,SUMIF(Производство!$A$104:$A$145,Технологи!$B442,Производство!I$104:I$145)*$F442+$G442,0)</f>
        <v>0</v>
      </c>
      <c r="M442" s="46">
        <f t="array" ref="M442">IF(SUMIF(Производство!$A$104:$A$145,Технологи!$B442,Производство!J$104:J$145)&gt;0,SUMIF(Производство!$A$104:$A$145,Технологи!$B442,Производство!J$104:J$145)*$F442+$G442,0)</f>
        <v>0</v>
      </c>
      <c r="N442" s="46">
        <f t="array" ref="N442">IF(SUMIF(Производство!$A$104:$A$145,Технологи!$B442,Производство!K$104:K$145)&gt;0,SUMIF(Производство!$A$104:$A$145,Технологи!$B442,Производство!K$104:K$145)*$F442+$G442,0)</f>
        <v>0</v>
      </c>
      <c r="O442" s="46">
        <f t="array" ref="O442">IF(SUMIF(Производство!$A$104:$A$145,Технологи!$B442,Производство!L$104:L$145)&gt;0,SUMIF(Производство!$A$104:$A$145,Технологи!$B442,Производство!L$104:L$145)*$F442+$G442,0)</f>
        <v>0</v>
      </c>
      <c r="P442" s="46">
        <f t="array" ref="P442">IF(SUMIF(Производство!$A$104:$A$145,Технологи!$B442,Производство!M$104:M$145)&gt;0,SUMIF(Производство!$A$104:$A$145,Технологи!$B442,Производство!M$104:M$145)*$F442+$G442,0)</f>
        <v>0</v>
      </c>
      <c r="Q442" s="46">
        <f t="array" ref="Q442">IF(SUMIF(Производство!$A$104:$A$145,Технологи!$B442,Производство!N$104:N$145)&gt;0,SUMIF(Производство!$A$104:$A$145,Технологи!$B442,Производство!N$104:N$145)*$F442+$G442,0)</f>
        <v>0</v>
      </c>
      <c r="R442" s="46">
        <f t="array" ref="R442">IF(SUMIF(Производство!$A$104:$A$145,Технологи!$B442,Производство!O$104:O$145)&gt;0,SUMIF(Производство!$A$104:$A$145,Технологи!$B442,Производство!O$104:O$145)*$F442+$G442,0)</f>
        <v>0</v>
      </c>
      <c r="S442" s="46">
        <f t="array" ref="S442">IF(SUMIF(Производство!$A$104:$A$145,Технологи!$B442,Производство!P$104:P$145)&gt;0,SUMIF(Производство!$A$104:$A$145,Технологи!$B442,Производство!P$104:P$145)*$F442+$G442,0)</f>
        <v>0</v>
      </c>
      <c r="T442" s="46">
        <f t="array" ref="T442">IF(SUMIF(Производство!$A$104:$A$145,Технологи!$B442,Производство!Q$104:Q$145)&gt;0,SUMIF(Производство!$A$104:$A$145,Технологи!$B442,Производство!Q$104:Q$145)*$F442+$G442,0)</f>
        <v>0</v>
      </c>
    </row>
    <row r="443" spans="1:20" x14ac:dyDescent="0.25">
      <c r="A443" s="34" t="s">
        <v>377</v>
      </c>
      <c r="B443" s="13" t="s">
        <v>27</v>
      </c>
      <c r="C443" s="19" t="s">
        <v>20</v>
      </c>
      <c r="D443" s="14">
        <v>7038</v>
      </c>
      <c r="E443" s="20"/>
      <c r="F443" s="24">
        <v>4.8000000000000001E-2</v>
      </c>
      <c r="G443" s="24">
        <v>0.72</v>
      </c>
      <c r="H443" s="23">
        <f t="shared" si="20"/>
        <v>48</v>
      </c>
      <c r="I443" s="46">
        <f t="array" ref="I443">IF(SUMIF(Производство!$A$104:$A$145,Технологи!$B443,Производство!F$104:F$145)&gt;0,SUMIF(Производство!$A$104:$A$145,Технологи!$B443,Производство!F$104:F$145)*$F443+$G443,0)</f>
        <v>0</v>
      </c>
      <c r="J443" s="46">
        <f t="array" ref="J443">IF(SUMIF(Производство!$A$104:$A$145,Технологи!$B443,Производство!G$104:G$145)&gt;0,SUMIF(Производство!$A$104:$A$145,Технологи!$B443,Производство!G$104:G$145)*$F443+$G443,0)</f>
        <v>0</v>
      </c>
      <c r="K443" s="46">
        <f t="array" ref="K443">IF(SUMIF(Производство!$A$104:$A$145,Технологи!$B443,Производство!H$104:H$145)&gt;0,SUMIF(Производство!$A$104:$A$145,Технологи!$B443,Производство!H$104:H$145)*$F443+$G443,0)</f>
        <v>0</v>
      </c>
      <c r="L443" s="46">
        <f t="array" ref="L443">IF(SUMIF(Производство!$A$104:$A$145,Технологи!$B443,Производство!I$104:I$145)&gt;0,SUMIF(Производство!$A$104:$A$145,Технологи!$B443,Производство!I$104:I$145)*$F443+$G443,0)</f>
        <v>0</v>
      </c>
      <c r="M443" s="46">
        <f t="array" ref="M443">IF(SUMIF(Производство!$A$104:$A$145,Технологи!$B443,Производство!J$104:J$145)&gt;0,SUMIF(Производство!$A$104:$A$145,Технологи!$B443,Производство!J$104:J$145)*$F443+$G443,0)</f>
        <v>0</v>
      </c>
      <c r="N443" s="46">
        <f t="array" ref="N443">IF(SUMIF(Производство!$A$104:$A$145,Технологи!$B443,Производство!K$104:K$145)&gt;0,SUMIF(Производство!$A$104:$A$145,Технологи!$B443,Производство!K$104:K$145)*$F443+$G443,0)</f>
        <v>0</v>
      </c>
      <c r="O443" s="46">
        <f t="array" ref="O443">IF(SUMIF(Производство!$A$104:$A$145,Технологи!$B443,Производство!L$104:L$145)&gt;0,SUMIF(Производство!$A$104:$A$145,Технологи!$B443,Производство!L$104:L$145)*$F443+$G443,0)</f>
        <v>0</v>
      </c>
      <c r="P443" s="46">
        <f t="array" ref="P443">IF(SUMIF(Производство!$A$104:$A$145,Технологи!$B443,Производство!M$104:M$145)&gt;0,SUMIF(Производство!$A$104:$A$145,Технологи!$B443,Производство!M$104:M$145)*$F443+$G443,0)</f>
        <v>0</v>
      </c>
      <c r="Q443" s="46">
        <f t="array" ref="Q443">IF(SUMIF(Производство!$A$104:$A$145,Технологи!$B443,Производство!N$104:N$145)&gt;0,SUMIF(Производство!$A$104:$A$145,Технологи!$B443,Производство!N$104:N$145)*$F443+$G443,0)</f>
        <v>0</v>
      </c>
      <c r="R443" s="46">
        <f t="array" ref="R443">IF(SUMIF(Производство!$A$104:$A$145,Технологи!$B443,Производство!O$104:O$145)&gt;0,SUMIF(Производство!$A$104:$A$145,Технологи!$B443,Производство!O$104:O$145)*$F443+$G443,0)</f>
        <v>0</v>
      </c>
      <c r="S443" s="46">
        <f t="array" ref="S443">IF(SUMIF(Производство!$A$104:$A$145,Технологи!$B443,Производство!P$104:P$145)&gt;0,SUMIF(Производство!$A$104:$A$145,Технологи!$B443,Производство!P$104:P$145)*$F443+$G443,0)</f>
        <v>0</v>
      </c>
      <c r="T443" s="46">
        <f t="array" ref="T443">IF(SUMIF(Производство!$A$104:$A$145,Технологи!$B443,Производство!Q$104:Q$145)&gt;0,SUMIF(Производство!$A$104:$A$145,Технологи!$B443,Производство!Q$104:Q$145)*$F443+$G443,0)</f>
        <v>0</v>
      </c>
    </row>
    <row r="444" spans="1:20" x14ac:dyDescent="0.25">
      <c r="A444" s="34" t="s">
        <v>377</v>
      </c>
      <c r="B444" s="13" t="s">
        <v>27</v>
      </c>
      <c r="C444" s="19" t="s">
        <v>21</v>
      </c>
      <c r="D444" s="14">
        <v>7038</v>
      </c>
      <c r="E444" s="20"/>
      <c r="F444" s="24">
        <v>7.0000000000000007E-2</v>
      </c>
      <c r="G444" s="24">
        <v>1.05</v>
      </c>
      <c r="H444" s="23">
        <f t="shared" si="20"/>
        <v>70</v>
      </c>
      <c r="I444" s="46">
        <f t="array" ref="I444">IF(SUMIF(Производство!$A$104:$A$145,Технологи!$B444,Производство!F$104:F$145)&gt;0,SUMIF(Производство!$A$104:$A$145,Технологи!$B444,Производство!F$104:F$145)*$F444+$G444,0)</f>
        <v>0</v>
      </c>
      <c r="J444" s="46">
        <f t="array" ref="J444">IF(SUMIF(Производство!$A$104:$A$145,Технологи!$B444,Производство!G$104:G$145)&gt;0,SUMIF(Производство!$A$104:$A$145,Технологи!$B444,Производство!G$104:G$145)*$F444+$G444,0)</f>
        <v>0</v>
      </c>
      <c r="K444" s="46">
        <f t="array" ref="K444">IF(SUMIF(Производство!$A$104:$A$145,Технологи!$B444,Производство!H$104:H$145)&gt;0,SUMIF(Производство!$A$104:$A$145,Технологи!$B444,Производство!H$104:H$145)*$F444+$G444,0)</f>
        <v>0</v>
      </c>
      <c r="L444" s="46">
        <f t="array" ref="L444">IF(SUMIF(Производство!$A$104:$A$145,Технологи!$B444,Производство!I$104:I$145)&gt;0,SUMIF(Производство!$A$104:$A$145,Технологи!$B444,Производство!I$104:I$145)*$F444+$G444,0)</f>
        <v>0</v>
      </c>
      <c r="M444" s="46">
        <f t="array" ref="M444">IF(SUMIF(Производство!$A$104:$A$145,Технологи!$B444,Производство!J$104:J$145)&gt;0,SUMIF(Производство!$A$104:$A$145,Технологи!$B444,Производство!J$104:J$145)*$F444+$G444,0)</f>
        <v>0</v>
      </c>
      <c r="N444" s="46">
        <f t="array" ref="N444">IF(SUMIF(Производство!$A$104:$A$145,Технологи!$B444,Производство!K$104:K$145)&gt;0,SUMIF(Производство!$A$104:$A$145,Технологи!$B444,Производство!K$104:K$145)*$F444+$G444,0)</f>
        <v>0</v>
      </c>
      <c r="O444" s="46">
        <f t="array" ref="O444">IF(SUMIF(Производство!$A$104:$A$145,Технологи!$B444,Производство!L$104:L$145)&gt;0,SUMIF(Производство!$A$104:$A$145,Технологи!$B444,Производство!L$104:L$145)*$F444+$G444,0)</f>
        <v>0</v>
      </c>
      <c r="P444" s="46">
        <f t="array" ref="P444">IF(SUMIF(Производство!$A$104:$A$145,Технологи!$B444,Производство!M$104:M$145)&gt;0,SUMIF(Производство!$A$104:$A$145,Технологи!$B444,Производство!M$104:M$145)*$F444+$G444,0)</f>
        <v>0</v>
      </c>
      <c r="Q444" s="46">
        <f t="array" ref="Q444">IF(SUMIF(Производство!$A$104:$A$145,Технологи!$B444,Производство!N$104:N$145)&gt;0,SUMIF(Производство!$A$104:$A$145,Технологи!$B444,Производство!N$104:N$145)*$F444+$G444,0)</f>
        <v>0</v>
      </c>
      <c r="R444" s="46">
        <f t="array" ref="R444">IF(SUMIF(Производство!$A$104:$A$145,Технологи!$B444,Производство!O$104:O$145)&gt;0,SUMIF(Производство!$A$104:$A$145,Технологи!$B444,Производство!O$104:O$145)*$F444+$G444,0)</f>
        <v>0</v>
      </c>
      <c r="S444" s="46">
        <f t="array" ref="S444">IF(SUMIF(Производство!$A$104:$A$145,Технологи!$B444,Производство!P$104:P$145)&gt;0,SUMIF(Производство!$A$104:$A$145,Технологи!$B444,Производство!P$104:P$145)*$F444+$G444,0)</f>
        <v>0</v>
      </c>
      <c r="T444" s="46">
        <f t="array" ref="T444">IF(SUMIF(Производство!$A$104:$A$145,Технологи!$B444,Производство!Q$104:Q$145)&gt;0,SUMIF(Производство!$A$104:$A$145,Технологи!$B444,Производство!Q$104:Q$145)*$F444+$G444,0)</f>
        <v>0</v>
      </c>
    </row>
    <row r="445" spans="1:20" x14ac:dyDescent="0.25">
      <c r="A445" s="34" t="s">
        <v>377</v>
      </c>
      <c r="B445" s="13" t="s">
        <v>27</v>
      </c>
      <c r="C445" s="19" t="s">
        <v>22</v>
      </c>
      <c r="D445" s="14">
        <v>7038</v>
      </c>
      <c r="E445" s="20"/>
      <c r="F445" s="24">
        <v>0</v>
      </c>
      <c r="G445" s="24">
        <v>0</v>
      </c>
      <c r="H445" s="23">
        <f t="shared" si="20"/>
        <v>0</v>
      </c>
      <c r="I445" s="46">
        <f t="array" ref="I445">IF(SUMIF(Производство!$A$104:$A$145,Технологи!$B445,Производство!F$104:F$145)&gt;0,SUMIF(Производство!$A$104:$A$145,Технологи!$B445,Производство!F$104:F$145)*$F445+$G445,0)</f>
        <v>0</v>
      </c>
      <c r="J445" s="46">
        <f t="array" ref="J445">IF(SUMIF(Производство!$A$104:$A$145,Технологи!$B445,Производство!G$104:G$145)&gt;0,SUMIF(Производство!$A$104:$A$145,Технологи!$B445,Производство!G$104:G$145)*$F445+$G445,0)</f>
        <v>0</v>
      </c>
      <c r="K445" s="46">
        <f t="array" ref="K445">IF(SUMIF(Производство!$A$104:$A$145,Технологи!$B445,Производство!H$104:H$145)&gt;0,SUMIF(Производство!$A$104:$A$145,Технологи!$B445,Производство!H$104:H$145)*$F445+$G445,0)</f>
        <v>0</v>
      </c>
      <c r="L445" s="46">
        <f t="array" ref="L445">IF(SUMIF(Производство!$A$104:$A$145,Технологи!$B445,Производство!I$104:I$145)&gt;0,SUMIF(Производство!$A$104:$A$145,Технологи!$B445,Производство!I$104:I$145)*$F445+$G445,0)</f>
        <v>0</v>
      </c>
      <c r="M445" s="46">
        <f t="array" ref="M445">IF(SUMIF(Производство!$A$104:$A$145,Технологи!$B445,Производство!J$104:J$145)&gt;0,SUMIF(Производство!$A$104:$A$145,Технологи!$B445,Производство!J$104:J$145)*$F445+$G445,0)</f>
        <v>0</v>
      </c>
      <c r="N445" s="46">
        <f t="array" ref="N445">IF(SUMIF(Производство!$A$104:$A$145,Технологи!$B445,Производство!K$104:K$145)&gt;0,SUMIF(Производство!$A$104:$A$145,Технологи!$B445,Производство!K$104:K$145)*$F445+$G445,0)</f>
        <v>0</v>
      </c>
      <c r="O445" s="46">
        <f t="array" ref="O445">IF(SUMIF(Производство!$A$104:$A$145,Технологи!$B445,Производство!L$104:L$145)&gt;0,SUMIF(Производство!$A$104:$A$145,Технологи!$B445,Производство!L$104:L$145)*$F445+$G445,0)</f>
        <v>0</v>
      </c>
      <c r="P445" s="46">
        <f t="array" ref="P445">IF(SUMIF(Производство!$A$104:$A$145,Технологи!$B445,Производство!M$104:M$145)&gt;0,SUMIF(Производство!$A$104:$A$145,Технологи!$B445,Производство!M$104:M$145)*$F445+$G445,0)</f>
        <v>0</v>
      </c>
      <c r="Q445" s="46">
        <f t="array" ref="Q445">IF(SUMIF(Производство!$A$104:$A$145,Технологи!$B445,Производство!N$104:N$145)&gt;0,SUMIF(Производство!$A$104:$A$145,Технологи!$B445,Производство!N$104:N$145)*$F445+$G445,0)</f>
        <v>0</v>
      </c>
      <c r="R445" s="46">
        <f t="array" ref="R445">IF(SUMIF(Производство!$A$104:$A$145,Технологи!$B445,Производство!O$104:O$145)&gt;0,SUMIF(Производство!$A$104:$A$145,Технологи!$B445,Производство!O$104:O$145)*$F445+$G445,0)</f>
        <v>0</v>
      </c>
      <c r="S445" s="46">
        <f t="array" ref="S445">IF(SUMIF(Производство!$A$104:$A$145,Технологи!$B445,Производство!P$104:P$145)&gt;0,SUMIF(Производство!$A$104:$A$145,Технологи!$B445,Производство!P$104:P$145)*$F445+$G445,0)</f>
        <v>0</v>
      </c>
      <c r="T445" s="46">
        <f t="array" ref="T445">IF(SUMIF(Производство!$A$104:$A$145,Технологи!$B445,Производство!Q$104:Q$145)&gt;0,SUMIF(Производство!$A$104:$A$145,Технологи!$B445,Производство!Q$104:Q$145)*$F445+$G445,0)</f>
        <v>0</v>
      </c>
    </row>
    <row r="446" spans="1:20" x14ac:dyDescent="0.25">
      <c r="A446" s="34" t="s">
        <v>377</v>
      </c>
      <c r="B446" s="13" t="s">
        <v>27</v>
      </c>
      <c r="C446" s="19" t="s">
        <v>23</v>
      </c>
      <c r="D446" s="14">
        <v>7038</v>
      </c>
      <c r="E446" s="20"/>
      <c r="F446" s="24">
        <v>0</v>
      </c>
      <c r="G446" s="24">
        <v>0</v>
      </c>
      <c r="H446" s="23">
        <f t="shared" si="20"/>
        <v>0</v>
      </c>
      <c r="I446" s="46">
        <f t="array" ref="I446">IF(SUMIF(Производство!$A$104:$A$145,Технологи!$B446,Производство!F$104:F$145)&gt;0,SUMIF(Производство!$A$104:$A$145,Технологи!$B446,Производство!F$104:F$145)*$F446+$G446,0)</f>
        <v>0</v>
      </c>
      <c r="J446" s="46">
        <f t="array" ref="J446">IF(SUMIF(Производство!$A$104:$A$145,Технологи!$B446,Производство!G$104:G$145)&gt;0,SUMIF(Производство!$A$104:$A$145,Технологи!$B446,Производство!G$104:G$145)*$F446+$G446,0)</f>
        <v>0</v>
      </c>
      <c r="K446" s="46">
        <f t="array" ref="K446">IF(SUMIF(Производство!$A$104:$A$145,Технологи!$B446,Производство!H$104:H$145)&gt;0,SUMIF(Производство!$A$104:$A$145,Технологи!$B446,Производство!H$104:H$145)*$F446+$G446,0)</f>
        <v>0</v>
      </c>
      <c r="L446" s="46">
        <f t="array" ref="L446">IF(SUMIF(Производство!$A$104:$A$145,Технологи!$B446,Производство!I$104:I$145)&gt;0,SUMIF(Производство!$A$104:$A$145,Технологи!$B446,Производство!I$104:I$145)*$F446+$G446,0)</f>
        <v>0</v>
      </c>
      <c r="M446" s="46">
        <f t="array" ref="M446">IF(SUMIF(Производство!$A$104:$A$145,Технологи!$B446,Производство!J$104:J$145)&gt;0,SUMIF(Производство!$A$104:$A$145,Технологи!$B446,Производство!J$104:J$145)*$F446+$G446,0)</f>
        <v>0</v>
      </c>
      <c r="N446" s="46">
        <f t="array" ref="N446">IF(SUMIF(Производство!$A$104:$A$145,Технологи!$B446,Производство!K$104:K$145)&gt;0,SUMIF(Производство!$A$104:$A$145,Технологи!$B446,Производство!K$104:K$145)*$F446+$G446,0)</f>
        <v>0</v>
      </c>
      <c r="O446" s="46">
        <f t="array" ref="O446">IF(SUMIF(Производство!$A$104:$A$145,Технологи!$B446,Производство!L$104:L$145)&gt;0,SUMIF(Производство!$A$104:$A$145,Технологи!$B446,Производство!L$104:L$145)*$F446+$G446,0)</f>
        <v>0</v>
      </c>
      <c r="P446" s="46">
        <f t="array" ref="P446">IF(SUMIF(Производство!$A$104:$A$145,Технологи!$B446,Производство!M$104:M$145)&gt;0,SUMIF(Производство!$A$104:$A$145,Технологи!$B446,Производство!M$104:M$145)*$F446+$G446,0)</f>
        <v>0</v>
      </c>
      <c r="Q446" s="46">
        <f t="array" ref="Q446">IF(SUMIF(Производство!$A$104:$A$145,Технологи!$B446,Производство!N$104:N$145)&gt;0,SUMIF(Производство!$A$104:$A$145,Технологи!$B446,Производство!N$104:N$145)*$F446+$G446,0)</f>
        <v>0</v>
      </c>
      <c r="R446" s="46">
        <f t="array" ref="R446">IF(SUMIF(Производство!$A$104:$A$145,Технологи!$B446,Производство!O$104:O$145)&gt;0,SUMIF(Производство!$A$104:$A$145,Технологи!$B446,Производство!O$104:O$145)*$F446+$G446,0)</f>
        <v>0</v>
      </c>
      <c r="S446" s="46">
        <f t="array" ref="S446">IF(SUMIF(Производство!$A$104:$A$145,Технологи!$B446,Производство!P$104:P$145)&gt;0,SUMIF(Производство!$A$104:$A$145,Технологи!$B446,Производство!P$104:P$145)*$F446+$G446,0)</f>
        <v>0</v>
      </c>
      <c r="T446" s="46">
        <f t="array" ref="T446">IF(SUMIF(Производство!$A$104:$A$145,Технологи!$B446,Производство!Q$104:Q$145)&gt;0,SUMIF(Производство!$A$104:$A$145,Технологи!$B446,Производство!Q$104:Q$145)*$F446+$G446,0)</f>
        <v>0</v>
      </c>
    </row>
    <row r="447" spans="1:20" x14ac:dyDescent="0.25">
      <c r="A447" s="34" t="s">
        <v>377</v>
      </c>
      <c r="B447" s="13" t="s">
        <v>10</v>
      </c>
      <c r="C447" s="15" t="s">
        <v>11</v>
      </c>
      <c r="D447" s="14">
        <v>7038</v>
      </c>
      <c r="E447" s="16">
        <v>0.26300000000000001</v>
      </c>
      <c r="F447" s="17">
        <f>SUM(F448:F459)</f>
        <v>0.26308075835841693</v>
      </c>
      <c r="G447" s="17">
        <f>SUM(G448:G459)</f>
        <v>29.000419999999998</v>
      </c>
      <c r="H447" s="18">
        <f t="shared" ref="H447:H472" si="21">F447*1000</f>
        <v>263.08075835841692</v>
      </c>
      <c r="I447" s="46">
        <f t="array" ref="I447">IF(SUMIF(Производство!$A$104:$A$145,Технологи!$B447,Производство!F$104:F$145)&gt;0,SUMIF(Производство!$A$104:$A$145,Технологи!$B447,Производство!F$104:F$145)*$F447+$G447,0)</f>
        <v>0</v>
      </c>
      <c r="J447" s="46">
        <f t="array" ref="J447">IF(SUMIF(Производство!$A$104:$A$145,Технологи!$B447,Производство!G$104:G$145)&gt;0,SUMIF(Производство!$A$104:$A$145,Технологи!$B447,Производство!G$104:G$145)*$F447+$G447,0)</f>
        <v>0</v>
      </c>
      <c r="K447" s="46">
        <f t="array" ref="K447">IF(SUMIF(Производство!$A$104:$A$145,Технологи!$B447,Производство!H$104:H$145)&gt;0,SUMIF(Производство!$A$104:$A$145,Технологи!$B447,Производство!H$104:H$145)*$F447+$G447,0)</f>
        <v>0</v>
      </c>
      <c r="L447" s="46">
        <f t="array" ref="L447">IF(SUMIF(Производство!$A$104:$A$145,Технологи!$B447,Производство!I$104:I$145)&gt;0,SUMIF(Производство!$A$104:$A$145,Технологи!$B447,Производство!I$104:I$145)*$F447+$G447,0)</f>
        <v>0</v>
      </c>
      <c r="M447" s="46">
        <f t="array" ref="M447">IF(SUMIF(Производство!$A$104:$A$145,Технологи!$B447,Производство!J$104:J$145)&gt;0,SUMIF(Производство!$A$104:$A$145,Технологи!$B447,Производство!J$104:J$145)*$F447+$G447,0)</f>
        <v>0</v>
      </c>
      <c r="N447" s="46">
        <f t="array" ref="N447">IF(SUMIF(Производство!$A$104:$A$145,Технологи!$B447,Производство!K$104:K$145)&gt;0,SUMIF(Производство!$A$104:$A$145,Технологи!$B447,Производство!K$104:K$145)*$F447+$G447,0)</f>
        <v>0</v>
      </c>
      <c r="O447" s="46">
        <f t="array" ref="O447">IF(SUMIF(Производство!$A$104:$A$145,Технологи!$B447,Производство!L$104:L$145)&gt;0,SUMIF(Производство!$A$104:$A$145,Технологи!$B447,Производство!L$104:L$145)*$F447+$G447,0)</f>
        <v>0</v>
      </c>
      <c r="P447" s="46">
        <f t="array" ref="P447">IF(SUMIF(Производство!$A$104:$A$145,Технологи!$B447,Производство!M$104:M$145)&gt;0,SUMIF(Производство!$A$104:$A$145,Технологи!$B447,Производство!M$104:M$145)*$F447+$G447,0)</f>
        <v>0</v>
      </c>
      <c r="Q447" s="46">
        <f t="array" ref="Q447">IF(SUMIF(Производство!$A$104:$A$145,Технологи!$B447,Производство!N$104:N$145)&gt;0,SUMIF(Производство!$A$104:$A$145,Технологи!$B447,Производство!N$104:N$145)*$F447+$G447,0)</f>
        <v>0</v>
      </c>
      <c r="R447" s="46">
        <f t="array" ref="R447">IF(SUMIF(Производство!$A$104:$A$145,Технологи!$B447,Производство!O$104:O$145)&gt;0,SUMIF(Производство!$A$104:$A$145,Технологи!$B447,Производство!O$104:O$145)*$F447+$G447,0)</f>
        <v>0</v>
      </c>
      <c r="S447" s="46">
        <f t="array" ref="S447">IF(SUMIF(Производство!$A$104:$A$145,Технологи!$B447,Производство!P$104:P$145)&gt;0,SUMIF(Производство!$A$104:$A$145,Технологи!$B447,Производство!P$104:P$145)*$F447+$G447,0)</f>
        <v>0</v>
      </c>
      <c r="T447" s="46">
        <f t="array" ref="T447">IF(SUMIF(Производство!$A$104:$A$145,Технологи!$B447,Производство!Q$104:Q$145)&gt;0,SUMIF(Производство!$A$104:$A$145,Технологи!$B447,Производство!Q$104:Q$145)*$F447+$G447,0)</f>
        <v>0</v>
      </c>
    </row>
    <row r="448" spans="1:20" x14ac:dyDescent="0.25">
      <c r="A448" s="34" t="s">
        <v>377</v>
      </c>
      <c r="B448" s="13" t="s">
        <v>10</v>
      </c>
      <c r="C448" s="19" t="s">
        <v>12</v>
      </c>
      <c r="D448" s="14">
        <v>7038</v>
      </c>
      <c r="E448" s="20"/>
      <c r="F448" s="21">
        <v>6.8628503344481576E-2</v>
      </c>
      <c r="G448" s="21">
        <v>17.375104979561495</v>
      </c>
      <c r="H448" s="18">
        <f t="shared" si="21"/>
        <v>68.628503344481572</v>
      </c>
      <c r="I448" s="46">
        <f t="array" ref="I448">IF(SUMIF(Производство!$A$104:$A$145,Технологи!$B448,Производство!F$104:F$145)&gt;0,SUMIF(Производство!$A$104:$A$145,Технологи!$B448,Производство!F$104:F$145)*$F448+$G448,0)</f>
        <v>0</v>
      </c>
      <c r="J448" s="46">
        <f t="array" ref="J448">IF(SUMIF(Производство!$A$104:$A$145,Технологи!$B448,Производство!G$104:G$145)&gt;0,SUMIF(Производство!$A$104:$A$145,Технологи!$B448,Производство!G$104:G$145)*$F448+$G448,0)</f>
        <v>0</v>
      </c>
      <c r="K448" s="46">
        <f t="array" ref="K448">IF(SUMIF(Производство!$A$104:$A$145,Технологи!$B448,Производство!H$104:H$145)&gt;0,SUMIF(Производство!$A$104:$A$145,Технологи!$B448,Производство!H$104:H$145)*$F448+$G448,0)</f>
        <v>0</v>
      </c>
      <c r="L448" s="46">
        <f t="array" ref="L448">IF(SUMIF(Производство!$A$104:$A$145,Технологи!$B448,Производство!I$104:I$145)&gt;0,SUMIF(Производство!$A$104:$A$145,Технологи!$B448,Производство!I$104:I$145)*$F448+$G448,0)</f>
        <v>0</v>
      </c>
      <c r="M448" s="46">
        <f t="array" ref="M448">IF(SUMIF(Производство!$A$104:$A$145,Технологи!$B448,Производство!J$104:J$145)&gt;0,SUMIF(Производство!$A$104:$A$145,Технологи!$B448,Производство!J$104:J$145)*$F448+$G448,0)</f>
        <v>0</v>
      </c>
      <c r="N448" s="46">
        <f t="array" ref="N448">IF(SUMIF(Производство!$A$104:$A$145,Технологи!$B448,Производство!K$104:K$145)&gt;0,SUMIF(Производство!$A$104:$A$145,Технологи!$B448,Производство!K$104:K$145)*$F448+$G448,0)</f>
        <v>0</v>
      </c>
      <c r="O448" s="46">
        <f t="array" ref="O448">IF(SUMIF(Производство!$A$104:$A$145,Технологи!$B448,Производство!L$104:L$145)&gt;0,SUMIF(Производство!$A$104:$A$145,Технологи!$B448,Производство!L$104:L$145)*$F448+$G448,0)</f>
        <v>0</v>
      </c>
      <c r="P448" s="46">
        <f t="array" ref="P448">IF(SUMIF(Производство!$A$104:$A$145,Технологи!$B448,Производство!M$104:M$145)&gt;0,SUMIF(Производство!$A$104:$A$145,Технологи!$B448,Производство!M$104:M$145)*$F448+$G448,0)</f>
        <v>0</v>
      </c>
      <c r="Q448" s="46">
        <f t="array" ref="Q448">IF(SUMIF(Производство!$A$104:$A$145,Технологи!$B448,Производство!N$104:N$145)&gt;0,SUMIF(Производство!$A$104:$A$145,Технологи!$B448,Производство!N$104:N$145)*$F448+$G448,0)</f>
        <v>0</v>
      </c>
      <c r="R448" s="46">
        <f t="array" ref="R448">IF(SUMIF(Производство!$A$104:$A$145,Технологи!$B448,Производство!O$104:O$145)&gt;0,SUMIF(Производство!$A$104:$A$145,Технологи!$B448,Производство!O$104:O$145)*$F448+$G448,0)</f>
        <v>0</v>
      </c>
      <c r="S448" s="46">
        <f t="array" ref="S448">IF(SUMIF(Производство!$A$104:$A$145,Технологи!$B448,Производство!P$104:P$145)&gt;0,SUMIF(Производство!$A$104:$A$145,Технологи!$B448,Производство!P$104:P$145)*$F448+$G448,0)</f>
        <v>0</v>
      </c>
      <c r="T448" s="46">
        <f t="array" ref="T448">IF(SUMIF(Производство!$A$104:$A$145,Технологи!$B448,Производство!Q$104:Q$145)&gt;0,SUMIF(Производство!$A$104:$A$145,Технологи!$B448,Производство!Q$104:Q$145)*$F448+$G448,0)</f>
        <v>0</v>
      </c>
    </row>
    <row r="449" spans="1:20" x14ac:dyDescent="0.25">
      <c r="A449" s="34" t="s">
        <v>377</v>
      </c>
      <c r="B449" s="13" t="s">
        <v>10</v>
      </c>
      <c r="C449" s="19" t="s">
        <v>13</v>
      </c>
      <c r="D449" s="14">
        <v>7038</v>
      </c>
      <c r="E449" s="20"/>
      <c r="F449" s="21">
        <v>2.0690981605351169E-2</v>
      </c>
      <c r="G449" s="21">
        <v>5.2125314938684504</v>
      </c>
      <c r="H449" s="18">
        <f t="shared" si="21"/>
        <v>20.690981605351169</v>
      </c>
      <c r="I449" s="46">
        <f t="array" ref="I449">IF(SUMIF(Производство!$A$104:$A$145,Технологи!$B449,Производство!F$104:F$145)&gt;0,SUMIF(Производство!$A$104:$A$145,Технологи!$B449,Производство!F$104:F$145)*$F449+$G449,0)</f>
        <v>0</v>
      </c>
      <c r="J449" s="46">
        <f t="array" ref="J449">IF(SUMIF(Производство!$A$104:$A$145,Технологи!$B449,Производство!G$104:G$145)&gt;0,SUMIF(Производство!$A$104:$A$145,Технологи!$B449,Производство!G$104:G$145)*$F449+$G449,0)</f>
        <v>0</v>
      </c>
      <c r="K449" s="46">
        <f t="array" ref="K449">IF(SUMIF(Производство!$A$104:$A$145,Технологи!$B449,Производство!H$104:H$145)&gt;0,SUMIF(Производство!$A$104:$A$145,Технологи!$B449,Производство!H$104:H$145)*$F449+$G449,0)</f>
        <v>0</v>
      </c>
      <c r="L449" s="46">
        <f t="array" ref="L449">IF(SUMIF(Производство!$A$104:$A$145,Технологи!$B449,Производство!I$104:I$145)&gt;0,SUMIF(Производство!$A$104:$A$145,Технологи!$B449,Производство!I$104:I$145)*$F449+$G449,0)</f>
        <v>0</v>
      </c>
      <c r="M449" s="46">
        <f t="array" ref="M449">IF(SUMIF(Производство!$A$104:$A$145,Технологи!$B449,Производство!J$104:J$145)&gt;0,SUMIF(Производство!$A$104:$A$145,Технологи!$B449,Производство!J$104:J$145)*$F449+$G449,0)</f>
        <v>0</v>
      </c>
      <c r="N449" s="46">
        <f t="array" ref="N449">IF(SUMIF(Производство!$A$104:$A$145,Технологи!$B449,Производство!K$104:K$145)&gt;0,SUMIF(Производство!$A$104:$A$145,Технологи!$B449,Производство!K$104:K$145)*$F449+$G449,0)</f>
        <v>0</v>
      </c>
      <c r="O449" s="46">
        <f t="array" ref="O449">IF(SUMIF(Производство!$A$104:$A$145,Технологи!$B449,Производство!L$104:L$145)&gt;0,SUMIF(Производство!$A$104:$A$145,Технологи!$B449,Производство!L$104:L$145)*$F449+$G449,0)</f>
        <v>0</v>
      </c>
      <c r="P449" s="46">
        <f t="array" ref="P449">IF(SUMIF(Производство!$A$104:$A$145,Технологи!$B449,Производство!M$104:M$145)&gt;0,SUMIF(Производство!$A$104:$A$145,Технологи!$B449,Производство!M$104:M$145)*$F449+$G449,0)</f>
        <v>0</v>
      </c>
      <c r="Q449" s="46">
        <f t="array" ref="Q449">IF(SUMIF(Производство!$A$104:$A$145,Технологи!$B449,Производство!N$104:N$145)&gt;0,SUMIF(Производство!$A$104:$A$145,Технологи!$B449,Производство!N$104:N$145)*$F449+$G449,0)</f>
        <v>0</v>
      </c>
      <c r="R449" s="46">
        <f t="array" ref="R449">IF(SUMIF(Производство!$A$104:$A$145,Технологи!$B449,Производство!O$104:O$145)&gt;0,SUMIF(Производство!$A$104:$A$145,Технологи!$B449,Производство!O$104:O$145)*$F449+$G449,0)</f>
        <v>0</v>
      </c>
      <c r="S449" s="46">
        <f t="array" ref="S449">IF(SUMIF(Производство!$A$104:$A$145,Технологи!$B449,Производство!P$104:P$145)&gt;0,SUMIF(Производство!$A$104:$A$145,Технологи!$B449,Производство!P$104:P$145)*$F449+$G449,0)</f>
        <v>0</v>
      </c>
      <c r="T449" s="46">
        <f t="array" ref="T449">IF(SUMIF(Производство!$A$104:$A$145,Технологи!$B449,Производство!Q$104:Q$145)&gt;0,SUMIF(Производство!$A$104:$A$145,Технологи!$B449,Производство!Q$104:Q$145)*$F449+$G449,0)</f>
        <v>0</v>
      </c>
    </row>
    <row r="450" spans="1:20" x14ac:dyDescent="0.25">
      <c r="A450" s="34" t="s">
        <v>377</v>
      </c>
      <c r="B450" s="13" t="s">
        <v>10</v>
      </c>
      <c r="C450" s="19" t="s">
        <v>14</v>
      </c>
      <c r="D450" s="14">
        <v>7038</v>
      </c>
      <c r="E450" s="20"/>
      <c r="F450" s="21">
        <v>2.0690981605351165E-4</v>
      </c>
      <c r="G450" s="21">
        <v>5.2125314938684497E-2</v>
      </c>
      <c r="H450" s="18">
        <f t="shared" si="21"/>
        <v>0.20690981605351166</v>
      </c>
      <c r="I450" s="46">
        <f t="array" ref="I450">IF(SUMIF(Производство!$A$104:$A$145,Технологи!$B450,Производство!F$104:F$145)&gt;0,SUMIF(Производство!$A$104:$A$145,Технологи!$B450,Производство!F$104:F$145)*$F450+$G450,0)</f>
        <v>0</v>
      </c>
      <c r="J450" s="46">
        <f t="array" ref="J450">IF(SUMIF(Производство!$A$104:$A$145,Технологи!$B450,Производство!G$104:G$145)&gt;0,SUMIF(Производство!$A$104:$A$145,Технологи!$B450,Производство!G$104:G$145)*$F450+$G450,0)</f>
        <v>0</v>
      </c>
      <c r="K450" s="46">
        <f t="array" ref="K450">IF(SUMIF(Производство!$A$104:$A$145,Технологи!$B450,Производство!H$104:H$145)&gt;0,SUMIF(Производство!$A$104:$A$145,Технологи!$B450,Производство!H$104:H$145)*$F450+$G450,0)</f>
        <v>0</v>
      </c>
      <c r="L450" s="46">
        <f t="array" ref="L450">IF(SUMIF(Производство!$A$104:$A$145,Технологи!$B450,Производство!I$104:I$145)&gt;0,SUMIF(Производство!$A$104:$A$145,Технологи!$B450,Производство!I$104:I$145)*$F450+$G450,0)</f>
        <v>0</v>
      </c>
      <c r="M450" s="46">
        <f t="array" ref="M450">IF(SUMIF(Производство!$A$104:$A$145,Технологи!$B450,Производство!J$104:J$145)&gt;0,SUMIF(Производство!$A$104:$A$145,Технологи!$B450,Производство!J$104:J$145)*$F450+$G450,0)</f>
        <v>0</v>
      </c>
      <c r="N450" s="46">
        <f t="array" ref="N450">IF(SUMIF(Производство!$A$104:$A$145,Технологи!$B450,Производство!K$104:K$145)&gt;0,SUMIF(Производство!$A$104:$A$145,Технологи!$B450,Производство!K$104:K$145)*$F450+$G450,0)</f>
        <v>0</v>
      </c>
      <c r="O450" s="46">
        <f t="array" ref="O450">IF(SUMIF(Производство!$A$104:$A$145,Технологи!$B450,Производство!L$104:L$145)&gt;0,SUMIF(Производство!$A$104:$A$145,Технологи!$B450,Производство!L$104:L$145)*$F450+$G450,0)</f>
        <v>0</v>
      </c>
      <c r="P450" s="46">
        <f t="array" ref="P450">IF(SUMIF(Производство!$A$104:$A$145,Технологи!$B450,Производство!M$104:M$145)&gt;0,SUMIF(Производство!$A$104:$A$145,Технологи!$B450,Производство!M$104:M$145)*$F450+$G450,0)</f>
        <v>0</v>
      </c>
      <c r="Q450" s="46">
        <f t="array" ref="Q450">IF(SUMIF(Производство!$A$104:$A$145,Технологи!$B450,Производство!N$104:N$145)&gt;0,SUMIF(Производство!$A$104:$A$145,Технологи!$B450,Производство!N$104:N$145)*$F450+$G450,0)</f>
        <v>0</v>
      </c>
      <c r="R450" s="46">
        <f t="array" ref="R450">IF(SUMIF(Производство!$A$104:$A$145,Технологи!$B450,Производство!O$104:O$145)&gt;0,SUMIF(Производство!$A$104:$A$145,Технологи!$B450,Производство!O$104:O$145)*$F450+$G450,0)</f>
        <v>0</v>
      </c>
      <c r="S450" s="46">
        <f t="array" ref="S450">IF(SUMIF(Производство!$A$104:$A$145,Технологи!$B450,Производство!P$104:P$145)&gt;0,SUMIF(Производство!$A$104:$A$145,Технологи!$B450,Производство!P$104:P$145)*$F450+$G450,0)</f>
        <v>0</v>
      </c>
      <c r="T450" s="46">
        <f t="array" ref="T450">IF(SUMIF(Производство!$A$104:$A$145,Технологи!$B450,Производство!Q$104:Q$145)&gt;0,SUMIF(Производство!$A$104:$A$145,Технологи!$B450,Производство!Q$104:Q$145)*$F450+$G450,0)</f>
        <v>0</v>
      </c>
    </row>
    <row r="451" spans="1:20" x14ac:dyDescent="0.25">
      <c r="A451" s="34" t="s">
        <v>377</v>
      </c>
      <c r="B451" s="13" t="s">
        <v>10</v>
      </c>
      <c r="C451" s="19" t="s">
        <v>15</v>
      </c>
      <c r="D451" s="14">
        <v>7038</v>
      </c>
      <c r="E451" s="20"/>
      <c r="F451" s="21">
        <v>1.0345490802675583E-4</v>
      </c>
      <c r="G451" s="21">
        <v>2.6062657469342249E-2</v>
      </c>
      <c r="H451" s="18">
        <f t="shared" si="21"/>
        <v>0.10345490802675583</v>
      </c>
      <c r="I451" s="46">
        <f t="array" ref="I451">IF(SUMIF(Производство!$A$104:$A$145,Технологи!$B451,Производство!F$104:F$145)&gt;0,SUMIF(Производство!$A$104:$A$145,Технологи!$B451,Производство!F$104:F$145)*$F451+$G451,0)</f>
        <v>0</v>
      </c>
      <c r="J451" s="46">
        <f t="array" ref="J451">IF(SUMIF(Производство!$A$104:$A$145,Технологи!$B451,Производство!G$104:G$145)&gt;0,SUMIF(Производство!$A$104:$A$145,Технологи!$B451,Производство!G$104:G$145)*$F451+$G451,0)</f>
        <v>0</v>
      </c>
      <c r="K451" s="46">
        <f t="array" ref="K451">IF(SUMIF(Производство!$A$104:$A$145,Технологи!$B451,Производство!H$104:H$145)&gt;0,SUMIF(Производство!$A$104:$A$145,Технологи!$B451,Производство!H$104:H$145)*$F451+$G451,0)</f>
        <v>0</v>
      </c>
      <c r="L451" s="46">
        <f t="array" ref="L451">IF(SUMIF(Производство!$A$104:$A$145,Технологи!$B451,Производство!I$104:I$145)&gt;0,SUMIF(Производство!$A$104:$A$145,Технологи!$B451,Производство!I$104:I$145)*$F451+$G451,0)</f>
        <v>0</v>
      </c>
      <c r="M451" s="46">
        <f t="array" ref="M451">IF(SUMIF(Производство!$A$104:$A$145,Технологи!$B451,Производство!J$104:J$145)&gt;0,SUMIF(Производство!$A$104:$A$145,Технологи!$B451,Производство!J$104:J$145)*$F451+$G451,0)</f>
        <v>0</v>
      </c>
      <c r="N451" s="46">
        <f t="array" ref="N451">IF(SUMIF(Производство!$A$104:$A$145,Технологи!$B451,Производство!K$104:K$145)&gt;0,SUMIF(Производство!$A$104:$A$145,Технологи!$B451,Производство!K$104:K$145)*$F451+$G451,0)</f>
        <v>0</v>
      </c>
      <c r="O451" s="46">
        <f t="array" ref="O451">IF(SUMIF(Производство!$A$104:$A$145,Технологи!$B451,Производство!L$104:L$145)&gt;0,SUMIF(Производство!$A$104:$A$145,Технологи!$B451,Производство!L$104:L$145)*$F451+$G451,0)</f>
        <v>0</v>
      </c>
      <c r="P451" s="46">
        <f t="array" ref="P451">IF(SUMIF(Производство!$A$104:$A$145,Технологи!$B451,Производство!M$104:M$145)&gt;0,SUMIF(Производство!$A$104:$A$145,Технологи!$B451,Производство!M$104:M$145)*$F451+$G451,0)</f>
        <v>0</v>
      </c>
      <c r="Q451" s="46">
        <f t="array" ref="Q451">IF(SUMIF(Производство!$A$104:$A$145,Технологи!$B451,Производство!N$104:N$145)&gt;0,SUMIF(Производство!$A$104:$A$145,Технологи!$B451,Производство!N$104:N$145)*$F451+$G451,0)</f>
        <v>0</v>
      </c>
      <c r="R451" s="46">
        <f t="array" ref="R451">IF(SUMIF(Производство!$A$104:$A$145,Технологи!$B451,Производство!O$104:O$145)&gt;0,SUMIF(Производство!$A$104:$A$145,Технологи!$B451,Производство!O$104:O$145)*$F451+$G451,0)</f>
        <v>0</v>
      </c>
      <c r="S451" s="46">
        <f t="array" ref="S451">IF(SUMIF(Производство!$A$104:$A$145,Технологи!$B451,Производство!P$104:P$145)&gt;0,SUMIF(Производство!$A$104:$A$145,Технологи!$B451,Производство!P$104:P$145)*$F451+$G451,0)</f>
        <v>0</v>
      </c>
      <c r="T451" s="46">
        <f t="array" ref="T451">IF(SUMIF(Производство!$A$104:$A$145,Технологи!$B451,Производство!Q$104:Q$145)&gt;0,SUMIF(Производство!$A$104:$A$145,Технологи!$B451,Производство!Q$104:Q$145)*$F451+$G451,0)</f>
        <v>0</v>
      </c>
    </row>
    <row r="452" spans="1:20" x14ac:dyDescent="0.25">
      <c r="A452" s="34" t="s">
        <v>377</v>
      </c>
      <c r="B452" s="13" t="s">
        <v>10</v>
      </c>
      <c r="C452" s="19" t="s">
        <v>16</v>
      </c>
      <c r="D452" s="14">
        <v>7038</v>
      </c>
      <c r="E452" s="20"/>
      <c r="F452" s="21">
        <v>1.3725700668896321E-3</v>
      </c>
      <c r="G452" s="21">
        <v>0.34750209959123002</v>
      </c>
      <c r="H452" s="18">
        <f t="shared" si="21"/>
        <v>1.3725700668896321</v>
      </c>
      <c r="I452" s="46">
        <f t="array" ref="I452">IF(SUMIF(Производство!$A$104:$A$145,Технологи!$B452,Производство!F$104:F$145)&gt;0,SUMIF(Производство!$A$104:$A$145,Технологи!$B452,Производство!F$104:F$145)*$F452+$G452,0)</f>
        <v>0</v>
      </c>
      <c r="J452" s="46">
        <f t="array" ref="J452">IF(SUMIF(Производство!$A$104:$A$145,Технологи!$B452,Производство!G$104:G$145)&gt;0,SUMIF(Производство!$A$104:$A$145,Технологи!$B452,Производство!G$104:G$145)*$F452+$G452,0)</f>
        <v>0</v>
      </c>
      <c r="K452" s="46">
        <f t="array" ref="K452">IF(SUMIF(Производство!$A$104:$A$145,Технологи!$B452,Производство!H$104:H$145)&gt;0,SUMIF(Производство!$A$104:$A$145,Технологи!$B452,Производство!H$104:H$145)*$F452+$G452,0)</f>
        <v>0</v>
      </c>
      <c r="L452" s="46">
        <f t="array" ref="L452">IF(SUMIF(Производство!$A$104:$A$145,Технологи!$B452,Производство!I$104:I$145)&gt;0,SUMIF(Производство!$A$104:$A$145,Технологи!$B452,Производство!I$104:I$145)*$F452+$G452,0)</f>
        <v>0</v>
      </c>
      <c r="M452" s="46">
        <f t="array" ref="M452">IF(SUMIF(Производство!$A$104:$A$145,Технологи!$B452,Производство!J$104:J$145)&gt;0,SUMIF(Производство!$A$104:$A$145,Технологи!$B452,Производство!J$104:J$145)*$F452+$G452,0)</f>
        <v>0</v>
      </c>
      <c r="N452" s="46">
        <f t="array" ref="N452">IF(SUMIF(Производство!$A$104:$A$145,Технологи!$B452,Производство!K$104:K$145)&gt;0,SUMIF(Производство!$A$104:$A$145,Технологи!$B452,Производство!K$104:K$145)*$F452+$G452,0)</f>
        <v>0</v>
      </c>
      <c r="O452" s="46">
        <f t="array" ref="O452">IF(SUMIF(Производство!$A$104:$A$145,Технологи!$B452,Производство!L$104:L$145)&gt;0,SUMIF(Производство!$A$104:$A$145,Технологи!$B452,Производство!L$104:L$145)*$F452+$G452,0)</f>
        <v>0</v>
      </c>
      <c r="P452" s="46">
        <f t="array" ref="P452">IF(SUMIF(Производство!$A$104:$A$145,Технологи!$B452,Производство!M$104:M$145)&gt;0,SUMIF(Производство!$A$104:$A$145,Технологи!$B452,Производство!M$104:M$145)*$F452+$G452,0)</f>
        <v>0</v>
      </c>
      <c r="Q452" s="46">
        <f t="array" ref="Q452">IF(SUMIF(Производство!$A$104:$A$145,Технологи!$B452,Производство!N$104:N$145)&gt;0,SUMIF(Производство!$A$104:$A$145,Технологи!$B452,Производство!N$104:N$145)*$F452+$G452,0)</f>
        <v>0</v>
      </c>
      <c r="R452" s="46">
        <f t="array" ref="R452">IF(SUMIF(Производство!$A$104:$A$145,Технологи!$B452,Производство!O$104:O$145)&gt;0,SUMIF(Производство!$A$104:$A$145,Технологи!$B452,Производство!O$104:O$145)*$F452+$G452,0)</f>
        <v>0</v>
      </c>
      <c r="S452" s="46">
        <f t="array" ref="S452">IF(SUMIF(Производство!$A$104:$A$145,Технологи!$B452,Производство!P$104:P$145)&gt;0,SUMIF(Производство!$A$104:$A$145,Технологи!$B452,Производство!P$104:P$145)*$F452+$G452,0)</f>
        <v>0</v>
      </c>
      <c r="T452" s="46">
        <f t="array" ref="T452">IF(SUMIF(Производство!$A$104:$A$145,Технологи!$B452,Производство!Q$104:Q$145)&gt;0,SUMIF(Производство!$A$104:$A$145,Технологи!$B452,Производство!Q$104:Q$145)*$F452+$G452,0)</f>
        <v>0</v>
      </c>
    </row>
    <row r="453" spans="1:20" x14ac:dyDescent="0.25">
      <c r="A453" s="34" t="s">
        <v>377</v>
      </c>
      <c r="B453" s="13" t="s">
        <v>10</v>
      </c>
      <c r="C453" s="19" t="s">
        <v>17</v>
      </c>
      <c r="D453" s="14">
        <v>7038</v>
      </c>
      <c r="E453" s="20"/>
      <c r="F453" s="21">
        <v>7.5866932552954289E-4</v>
      </c>
      <c r="G453" s="21">
        <v>0.19112615477517653</v>
      </c>
      <c r="H453" s="18">
        <f t="shared" si="21"/>
        <v>0.75866932552954292</v>
      </c>
      <c r="I453" s="46">
        <f t="array" ref="I453">IF(SUMIF(Производство!$A$104:$A$145,Технологи!$B453,Производство!F$104:F$145)&gt;0,SUMIF(Производство!$A$104:$A$145,Технологи!$B453,Производство!F$104:F$145)*$F453+$G453,0)</f>
        <v>0</v>
      </c>
      <c r="J453" s="46">
        <f t="array" ref="J453">IF(SUMIF(Производство!$A$104:$A$145,Технологи!$B453,Производство!G$104:G$145)&gt;0,SUMIF(Производство!$A$104:$A$145,Технологи!$B453,Производство!G$104:G$145)*$F453+$G453,0)</f>
        <v>0</v>
      </c>
      <c r="K453" s="46">
        <f t="array" ref="K453">IF(SUMIF(Производство!$A$104:$A$145,Технологи!$B453,Производство!H$104:H$145)&gt;0,SUMIF(Производство!$A$104:$A$145,Технологи!$B453,Производство!H$104:H$145)*$F453+$G453,0)</f>
        <v>0</v>
      </c>
      <c r="L453" s="46">
        <f t="array" ref="L453">IF(SUMIF(Производство!$A$104:$A$145,Технологи!$B453,Производство!I$104:I$145)&gt;0,SUMIF(Производство!$A$104:$A$145,Технологи!$B453,Производство!I$104:I$145)*$F453+$G453,0)</f>
        <v>0</v>
      </c>
      <c r="M453" s="46">
        <f t="array" ref="M453">IF(SUMIF(Производство!$A$104:$A$145,Технологи!$B453,Производство!J$104:J$145)&gt;0,SUMIF(Производство!$A$104:$A$145,Технологи!$B453,Производство!J$104:J$145)*$F453+$G453,0)</f>
        <v>0</v>
      </c>
      <c r="N453" s="46">
        <f t="array" ref="N453">IF(SUMIF(Производство!$A$104:$A$145,Технологи!$B453,Производство!K$104:K$145)&gt;0,SUMIF(Производство!$A$104:$A$145,Технологи!$B453,Производство!K$104:K$145)*$F453+$G453,0)</f>
        <v>0</v>
      </c>
      <c r="O453" s="46">
        <f t="array" ref="O453">IF(SUMIF(Производство!$A$104:$A$145,Технологи!$B453,Производство!L$104:L$145)&gt;0,SUMIF(Производство!$A$104:$A$145,Технологи!$B453,Производство!L$104:L$145)*$F453+$G453,0)</f>
        <v>0</v>
      </c>
      <c r="P453" s="46">
        <f t="array" ref="P453">IF(SUMIF(Производство!$A$104:$A$145,Технологи!$B453,Производство!M$104:M$145)&gt;0,SUMIF(Производство!$A$104:$A$145,Технологи!$B453,Производство!M$104:M$145)*$F453+$G453,0)</f>
        <v>0</v>
      </c>
      <c r="Q453" s="46">
        <f t="array" ref="Q453">IF(SUMIF(Производство!$A$104:$A$145,Технологи!$B453,Производство!N$104:N$145)&gt;0,SUMIF(Производство!$A$104:$A$145,Технологи!$B453,Производство!N$104:N$145)*$F453+$G453,0)</f>
        <v>0</v>
      </c>
      <c r="R453" s="46">
        <f t="array" ref="R453">IF(SUMIF(Производство!$A$104:$A$145,Технологи!$B453,Производство!O$104:O$145)&gt;0,SUMIF(Производство!$A$104:$A$145,Технологи!$B453,Производство!O$104:O$145)*$F453+$G453,0)</f>
        <v>0</v>
      </c>
      <c r="S453" s="46">
        <f t="array" ref="S453">IF(SUMIF(Производство!$A$104:$A$145,Технологи!$B453,Производство!P$104:P$145)&gt;0,SUMIF(Производство!$A$104:$A$145,Технологи!$B453,Производство!P$104:P$145)*$F453+$G453,0)</f>
        <v>0</v>
      </c>
      <c r="T453" s="46">
        <f t="array" ref="T453">IF(SUMIF(Производство!$A$104:$A$145,Технологи!$B453,Производство!Q$104:Q$145)&gt;0,SUMIF(Производство!$A$104:$A$145,Технологи!$B453,Производство!Q$104:Q$145)*$F453+$G453,0)</f>
        <v>0</v>
      </c>
    </row>
    <row r="454" spans="1:20" x14ac:dyDescent="0.25">
      <c r="A454" s="34" t="s">
        <v>377</v>
      </c>
      <c r="B454" s="13" t="s">
        <v>10</v>
      </c>
      <c r="C454" s="19" t="s">
        <v>18</v>
      </c>
      <c r="D454" s="14">
        <v>7038</v>
      </c>
      <c r="E454" s="20"/>
      <c r="F454" s="21">
        <v>6.8491929208472694E-4</v>
      </c>
      <c r="G454" s="21">
        <v>0.17375104979561501</v>
      </c>
      <c r="H454" s="18">
        <f t="shared" si="21"/>
        <v>0.68491929208472691</v>
      </c>
      <c r="I454" s="46">
        <f t="array" ref="I454">IF(SUMIF(Производство!$A$104:$A$145,Технологи!$B454,Производство!F$104:F$145)&gt;0,SUMIF(Производство!$A$104:$A$145,Технологи!$B454,Производство!F$104:F$145)*$F454+$G454,0)</f>
        <v>0</v>
      </c>
      <c r="J454" s="46">
        <f t="array" ref="J454">IF(SUMIF(Производство!$A$104:$A$145,Технологи!$B454,Производство!G$104:G$145)&gt;0,SUMIF(Производство!$A$104:$A$145,Технологи!$B454,Производство!G$104:G$145)*$F454+$G454,0)</f>
        <v>0</v>
      </c>
      <c r="K454" s="46">
        <f t="array" ref="K454">IF(SUMIF(Производство!$A$104:$A$145,Технологи!$B454,Производство!H$104:H$145)&gt;0,SUMIF(Производство!$A$104:$A$145,Технологи!$B454,Производство!H$104:H$145)*$F454+$G454,0)</f>
        <v>0</v>
      </c>
      <c r="L454" s="46">
        <f t="array" ref="L454">IF(SUMIF(Производство!$A$104:$A$145,Технологи!$B454,Производство!I$104:I$145)&gt;0,SUMIF(Производство!$A$104:$A$145,Технологи!$B454,Производство!I$104:I$145)*$F454+$G454,0)</f>
        <v>0</v>
      </c>
      <c r="M454" s="46">
        <f t="array" ref="M454">IF(SUMIF(Производство!$A$104:$A$145,Технологи!$B454,Производство!J$104:J$145)&gt;0,SUMIF(Производство!$A$104:$A$145,Технологи!$B454,Производство!J$104:J$145)*$F454+$G454,0)</f>
        <v>0</v>
      </c>
      <c r="N454" s="46">
        <f t="array" ref="N454">IF(SUMIF(Производство!$A$104:$A$145,Технологи!$B454,Производство!K$104:K$145)&gt;0,SUMIF(Производство!$A$104:$A$145,Технологи!$B454,Производство!K$104:K$145)*$F454+$G454,0)</f>
        <v>0</v>
      </c>
      <c r="O454" s="46">
        <f t="array" ref="O454">IF(SUMIF(Производство!$A$104:$A$145,Технологи!$B454,Производство!L$104:L$145)&gt;0,SUMIF(Производство!$A$104:$A$145,Технологи!$B454,Производство!L$104:L$145)*$F454+$G454,0)</f>
        <v>0</v>
      </c>
      <c r="P454" s="46">
        <f t="array" ref="P454">IF(SUMIF(Производство!$A$104:$A$145,Технологи!$B454,Производство!M$104:M$145)&gt;0,SUMIF(Производство!$A$104:$A$145,Технологи!$B454,Производство!M$104:M$145)*$F454+$G454,0)</f>
        <v>0</v>
      </c>
      <c r="Q454" s="46">
        <f t="array" ref="Q454">IF(SUMIF(Производство!$A$104:$A$145,Технологи!$B454,Производство!N$104:N$145)&gt;0,SUMIF(Производство!$A$104:$A$145,Технологи!$B454,Производство!N$104:N$145)*$F454+$G454,0)</f>
        <v>0</v>
      </c>
      <c r="R454" s="46">
        <f t="array" ref="R454">IF(SUMIF(Производство!$A$104:$A$145,Технологи!$B454,Производство!O$104:O$145)&gt;0,SUMIF(Производство!$A$104:$A$145,Технологи!$B454,Производство!O$104:O$145)*$F454+$G454,0)</f>
        <v>0</v>
      </c>
      <c r="S454" s="46">
        <f t="array" ref="S454">IF(SUMIF(Производство!$A$104:$A$145,Технологи!$B454,Производство!P$104:P$145)&gt;0,SUMIF(Производство!$A$104:$A$145,Технологи!$B454,Производство!P$104:P$145)*$F454+$G454,0)</f>
        <v>0</v>
      </c>
      <c r="T454" s="46">
        <f t="array" ref="T454">IF(SUMIF(Производство!$A$104:$A$145,Технологи!$B454,Производство!Q$104:Q$145)&gt;0,SUMIF(Производство!$A$104:$A$145,Технологи!$B454,Производство!Q$104:Q$145)*$F454+$G454,0)</f>
        <v>0</v>
      </c>
    </row>
    <row r="455" spans="1:20" x14ac:dyDescent="0.25">
      <c r="A455" s="34" t="s">
        <v>377</v>
      </c>
      <c r="B455" s="13" t="s">
        <v>10</v>
      </c>
      <c r="C455" s="19" t="s">
        <v>19</v>
      </c>
      <c r="D455" s="14">
        <v>7038</v>
      </c>
      <c r="E455" s="20"/>
      <c r="F455" s="21">
        <v>0.15313475000000001</v>
      </c>
      <c r="G455" s="21">
        <v>5.3597162500000017</v>
      </c>
      <c r="H455" s="18">
        <f t="shared" si="21"/>
        <v>153.13475000000003</v>
      </c>
      <c r="I455" s="46">
        <f t="array" ref="I455">IF(SUMIF(Производство!$A$104:$A$145,Технологи!$B455,Производство!F$104:F$145)&gt;0,SUMIF(Производство!$A$104:$A$145,Технологи!$B455,Производство!F$104:F$145)*$F455+$G455,0)</f>
        <v>0</v>
      </c>
      <c r="J455" s="46">
        <f t="array" ref="J455">IF(SUMIF(Производство!$A$104:$A$145,Технологи!$B455,Производство!G$104:G$145)&gt;0,SUMIF(Производство!$A$104:$A$145,Технологи!$B455,Производство!G$104:G$145)*$F455+$G455,0)</f>
        <v>0</v>
      </c>
      <c r="K455" s="46">
        <f t="array" ref="K455">IF(SUMIF(Производство!$A$104:$A$145,Технологи!$B455,Производство!H$104:H$145)&gt;0,SUMIF(Производство!$A$104:$A$145,Технологи!$B455,Производство!H$104:H$145)*$F455+$G455,0)</f>
        <v>0</v>
      </c>
      <c r="L455" s="46">
        <f t="array" ref="L455">IF(SUMIF(Производство!$A$104:$A$145,Технологи!$B455,Производство!I$104:I$145)&gt;0,SUMIF(Производство!$A$104:$A$145,Технологи!$B455,Производство!I$104:I$145)*$F455+$G455,0)</f>
        <v>0</v>
      </c>
      <c r="M455" s="46">
        <f t="array" ref="M455">IF(SUMIF(Производство!$A$104:$A$145,Технологи!$B455,Производство!J$104:J$145)&gt;0,SUMIF(Производство!$A$104:$A$145,Технологи!$B455,Производство!J$104:J$145)*$F455+$G455,0)</f>
        <v>0</v>
      </c>
      <c r="N455" s="46">
        <f t="array" ref="N455">IF(SUMIF(Производство!$A$104:$A$145,Технологи!$B455,Производство!K$104:K$145)&gt;0,SUMIF(Производство!$A$104:$A$145,Технологи!$B455,Производство!K$104:K$145)*$F455+$G455,0)</f>
        <v>0</v>
      </c>
      <c r="O455" s="46">
        <f t="array" ref="O455">IF(SUMIF(Производство!$A$104:$A$145,Технологи!$B455,Производство!L$104:L$145)&gt;0,SUMIF(Производство!$A$104:$A$145,Технологи!$B455,Производство!L$104:L$145)*$F455+$G455,0)</f>
        <v>0</v>
      </c>
      <c r="P455" s="46">
        <f t="array" ref="P455">IF(SUMIF(Производство!$A$104:$A$145,Технологи!$B455,Производство!M$104:M$145)&gt;0,SUMIF(Производство!$A$104:$A$145,Технологи!$B455,Производство!M$104:M$145)*$F455+$G455,0)</f>
        <v>0</v>
      </c>
      <c r="Q455" s="46">
        <f t="array" ref="Q455">IF(SUMIF(Производство!$A$104:$A$145,Технологи!$B455,Производство!N$104:N$145)&gt;0,SUMIF(Производство!$A$104:$A$145,Технологи!$B455,Производство!N$104:N$145)*$F455+$G455,0)</f>
        <v>0</v>
      </c>
      <c r="R455" s="46">
        <f t="array" ref="R455">IF(SUMIF(Производство!$A$104:$A$145,Технологи!$B455,Производство!O$104:O$145)&gt;0,SUMIF(Производство!$A$104:$A$145,Технологи!$B455,Производство!O$104:O$145)*$F455+$G455,0)</f>
        <v>0</v>
      </c>
      <c r="S455" s="46">
        <f t="array" ref="S455">IF(SUMIF(Производство!$A$104:$A$145,Технологи!$B455,Производство!P$104:P$145)&gt;0,SUMIF(Производство!$A$104:$A$145,Технологи!$B455,Производство!P$104:P$145)*$F455+$G455,0)</f>
        <v>0</v>
      </c>
      <c r="T455" s="46">
        <f t="array" ref="T455">IF(SUMIF(Производство!$A$104:$A$145,Технологи!$B455,Производство!Q$104:Q$145)&gt;0,SUMIF(Производство!$A$104:$A$145,Технологи!$B455,Производство!Q$104:Q$145)*$F455+$G455,0)</f>
        <v>0</v>
      </c>
    </row>
    <row r="456" spans="1:20" x14ac:dyDescent="0.25">
      <c r="A456" s="34" t="s">
        <v>377</v>
      </c>
      <c r="B456" s="13" t="s">
        <v>10</v>
      </c>
      <c r="C456" s="19" t="s">
        <v>20</v>
      </c>
      <c r="D456" s="14">
        <v>7038</v>
      </c>
      <c r="E456" s="20"/>
      <c r="F456" s="21">
        <v>0</v>
      </c>
      <c r="G456" s="21">
        <v>0</v>
      </c>
      <c r="H456" s="18">
        <f t="shared" si="21"/>
        <v>0</v>
      </c>
      <c r="I456" s="46">
        <f t="array" ref="I456">IF(SUMIF(Производство!$A$104:$A$145,Технологи!$B456,Производство!F$104:F$145)&gt;0,SUMIF(Производство!$A$104:$A$145,Технологи!$B456,Производство!F$104:F$145)*$F456+$G456,0)</f>
        <v>0</v>
      </c>
      <c r="J456" s="46">
        <f t="array" ref="J456">IF(SUMIF(Производство!$A$104:$A$145,Технологи!$B456,Производство!G$104:G$145)&gt;0,SUMIF(Производство!$A$104:$A$145,Технологи!$B456,Производство!G$104:G$145)*$F456+$G456,0)</f>
        <v>0</v>
      </c>
      <c r="K456" s="46">
        <f t="array" ref="K456">IF(SUMIF(Производство!$A$104:$A$145,Технологи!$B456,Производство!H$104:H$145)&gt;0,SUMIF(Производство!$A$104:$A$145,Технологи!$B456,Производство!H$104:H$145)*$F456+$G456,0)</f>
        <v>0</v>
      </c>
      <c r="L456" s="46">
        <f t="array" ref="L456">IF(SUMIF(Производство!$A$104:$A$145,Технологи!$B456,Производство!I$104:I$145)&gt;0,SUMIF(Производство!$A$104:$A$145,Технологи!$B456,Производство!I$104:I$145)*$F456+$G456,0)</f>
        <v>0</v>
      </c>
      <c r="M456" s="46">
        <f t="array" ref="M456">IF(SUMIF(Производство!$A$104:$A$145,Технологи!$B456,Производство!J$104:J$145)&gt;0,SUMIF(Производство!$A$104:$A$145,Технологи!$B456,Производство!J$104:J$145)*$F456+$G456,0)</f>
        <v>0</v>
      </c>
      <c r="N456" s="46">
        <f t="array" ref="N456">IF(SUMIF(Производство!$A$104:$A$145,Технологи!$B456,Производство!K$104:K$145)&gt;0,SUMIF(Производство!$A$104:$A$145,Технологи!$B456,Производство!K$104:K$145)*$F456+$G456,0)</f>
        <v>0</v>
      </c>
      <c r="O456" s="46">
        <f t="array" ref="O456">IF(SUMIF(Производство!$A$104:$A$145,Технологи!$B456,Производство!L$104:L$145)&gt;0,SUMIF(Производство!$A$104:$A$145,Технологи!$B456,Производство!L$104:L$145)*$F456+$G456,0)</f>
        <v>0</v>
      </c>
      <c r="P456" s="46">
        <f t="array" ref="P456">IF(SUMIF(Производство!$A$104:$A$145,Технологи!$B456,Производство!M$104:M$145)&gt;0,SUMIF(Производство!$A$104:$A$145,Технологи!$B456,Производство!M$104:M$145)*$F456+$G456,0)</f>
        <v>0</v>
      </c>
      <c r="Q456" s="46">
        <f t="array" ref="Q456">IF(SUMIF(Производство!$A$104:$A$145,Технологи!$B456,Производство!N$104:N$145)&gt;0,SUMIF(Производство!$A$104:$A$145,Технологи!$B456,Производство!N$104:N$145)*$F456+$G456,0)</f>
        <v>0</v>
      </c>
      <c r="R456" s="46">
        <f t="array" ref="R456">IF(SUMIF(Производство!$A$104:$A$145,Технологи!$B456,Производство!O$104:O$145)&gt;0,SUMIF(Производство!$A$104:$A$145,Технологи!$B456,Производство!O$104:O$145)*$F456+$G456,0)</f>
        <v>0</v>
      </c>
      <c r="S456" s="46">
        <f t="array" ref="S456">IF(SUMIF(Производство!$A$104:$A$145,Технологи!$B456,Производство!P$104:P$145)&gt;0,SUMIF(Производство!$A$104:$A$145,Технологи!$B456,Производство!P$104:P$145)*$F456+$G456,0)</f>
        <v>0</v>
      </c>
      <c r="T456" s="46">
        <f t="array" ref="T456">IF(SUMIF(Производство!$A$104:$A$145,Технологи!$B456,Производство!Q$104:Q$145)&gt;0,SUMIF(Производство!$A$104:$A$145,Технологи!$B456,Производство!Q$104:Q$145)*$F456+$G456,0)</f>
        <v>0</v>
      </c>
    </row>
    <row r="457" spans="1:20" x14ac:dyDescent="0.25">
      <c r="A457" s="34" t="s">
        <v>377</v>
      </c>
      <c r="B457" s="13" t="s">
        <v>10</v>
      </c>
      <c r="C457" s="19" t="s">
        <v>21</v>
      </c>
      <c r="D457" s="14">
        <v>7038</v>
      </c>
      <c r="E457" s="20"/>
      <c r="F457" s="21">
        <v>1.7500000000000002E-2</v>
      </c>
      <c r="G457" s="21">
        <v>0.26250000000000001</v>
      </c>
      <c r="H457" s="18">
        <f t="shared" si="21"/>
        <v>17.5</v>
      </c>
      <c r="I457" s="46">
        <f t="array" ref="I457">IF(SUMIF(Производство!$A$104:$A$145,Технологи!$B457,Производство!F$104:F$145)&gt;0,SUMIF(Производство!$A$104:$A$145,Технологи!$B457,Производство!F$104:F$145)*$F457+$G457,0)</f>
        <v>0</v>
      </c>
      <c r="J457" s="46">
        <f t="array" ref="J457">IF(SUMIF(Производство!$A$104:$A$145,Технологи!$B457,Производство!G$104:G$145)&gt;0,SUMIF(Производство!$A$104:$A$145,Технологи!$B457,Производство!G$104:G$145)*$F457+$G457,0)</f>
        <v>0</v>
      </c>
      <c r="K457" s="46">
        <f t="array" ref="K457">IF(SUMIF(Производство!$A$104:$A$145,Технологи!$B457,Производство!H$104:H$145)&gt;0,SUMIF(Производство!$A$104:$A$145,Технологи!$B457,Производство!H$104:H$145)*$F457+$G457,0)</f>
        <v>0</v>
      </c>
      <c r="L457" s="46">
        <f t="array" ref="L457">IF(SUMIF(Производство!$A$104:$A$145,Технологи!$B457,Производство!I$104:I$145)&gt;0,SUMIF(Производство!$A$104:$A$145,Технологи!$B457,Производство!I$104:I$145)*$F457+$G457,0)</f>
        <v>0</v>
      </c>
      <c r="M457" s="46">
        <f t="array" ref="M457">IF(SUMIF(Производство!$A$104:$A$145,Технологи!$B457,Производство!J$104:J$145)&gt;0,SUMIF(Производство!$A$104:$A$145,Технологи!$B457,Производство!J$104:J$145)*$F457+$G457,0)</f>
        <v>0</v>
      </c>
      <c r="N457" s="46">
        <f t="array" ref="N457">IF(SUMIF(Производство!$A$104:$A$145,Технологи!$B457,Производство!K$104:K$145)&gt;0,SUMIF(Производство!$A$104:$A$145,Технологи!$B457,Производство!K$104:K$145)*$F457+$G457,0)</f>
        <v>0</v>
      </c>
      <c r="O457" s="46">
        <f t="array" ref="O457">IF(SUMIF(Производство!$A$104:$A$145,Технологи!$B457,Производство!L$104:L$145)&gt;0,SUMIF(Производство!$A$104:$A$145,Технологи!$B457,Производство!L$104:L$145)*$F457+$G457,0)</f>
        <v>0</v>
      </c>
      <c r="P457" s="46">
        <f t="array" ref="P457">IF(SUMIF(Производство!$A$104:$A$145,Технологи!$B457,Производство!M$104:M$145)&gt;0,SUMIF(Производство!$A$104:$A$145,Технологи!$B457,Производство!M$104:M$145)*$F457+$G457,0)</f>
        <v>0</v>
      </c>
      <c r="Q457" s="46">
        <f t="array" ref="Q457">IF(SUMIF(Производство!$A$104:$A$145,Технологи!$B457,Производство!N$104:N$145)&gt;0,SUMIF(Производство!$A$104:$A$145,Технологи!$B457,Производство!N$104:N$145)*$F457+$G457,0)</f>
        <v>0</v>
      </c>
      <c r="R457" s="46">
        <f t="array" ref="R457">IF(SUMIF(Производство!$A$104:$A$145,Технологи!$B457,Производство!O$104:O$145)&gt;0,SUMIF(Производство!$A$104:$A$145,Технологи!$B457,Производство!O$104:O$145)*$F457+$G457,0)</f>
        <v>0</v>
      </c>
      <c r="S457" s="46">
        <f t="array" ref="S457">IF(SUMIF(Производство!$A$104:$A$145,Технологи!$B457,Производство!P$104:P$145)&gt;0,SUMIF(Производство!$A$104:$A$145,Технологи!$B457,Производство!P$104:P$145)*$F457+$G457,0)</f>
        <v>0</v>
      </c>
      <c r="T457" s="46">
        <f t="array" ref="T457">IF(SUMIF(Производство!$A$104:$A$145,Технологи!$B457,Производство!Q$104:Q$145)&gt;0,SUMIF(Производство!$A$104:$A$145,Технологи!$B457,Производство!Q$104:Q$145)*$F457+$G457,0)</f>
        <v>0</v>
      </c>
    </row>
    <row r="458" spans="1:20" x14ac:dyDescent="0.25">
      <c r="A458" s="34" t="s">
        <v>377</v>
      </c>
      <c r="B458" s="13" t="s">
        <v>10</v>
      </c>
      <c r="C458" s="19" t="s">
        <v>22</v>
      </c>
      <c r="D458" s="14">
        <v>7038</v>
      </c>
      <c r="E458" s="20"/>
      <c r="F458" s="21">
        <v>0</v>
      </c>
      <c r="G458" s="21">
        <v>0</v>
      </c>
      <c r="H458" s="18">
        <f t="shared" si="21"/>
        <v>0</v>
      </c>
      <c r="I458" s="46">
        <f t="array" ref="I458">IF(SUMIF(Производство!$A$104:$A$145,Технологи!$B458,Производство!F$104:F$145)&gt;0,SUMIF(Производство!$A$104:$A$145,Технологи!$B458,Производство!F$104:F$145)*$F458+$G458,0)</f>
        <v>0</v>
      </c>
      <c r="J458" s="46">
        <f t="array" ref="J458">IF(SUMIF(Производство!$A$104:$A$145,Технологи!$B458,Производство!G$104:G$145)&gt;0,SUMIF(Производство!$A$104:$A$145,Технологи!$B458,Производство!G$104:G$145)*$F458+$G458,0)</f>
        <v>0</v>
      </c>
      <c r="K458" s="46">
        <f t="array" ref="K458">IF(SUMIF(Производство!$A$104:$A$145,Технологи!$B458,Производство!H$104:H$145)&gt;0,SUMIF(Производство!$A$104:$A$145,Технологи!$B458,Производство!H$104:H$145)*$F458+$G458,0)</f>
        <v>0</v>
      </c>
      <c r="L458" s="46">
        <f t="array" ref="L458">IF(SUMIF(Производство!$A$104:$A$145,Технологи!$B458,Производство!I$104:I$145)&gt;0,SUMIF(Производство!$A$104:$A$145,Технологи!$B458,Производство!I$104:I$145)*$F458+$G458,0)</f>
        <v>0</v>
      </c>
      <c r="M458" s="46">
        <f t="array" ref="M458">IF(SUMIF(Производство!$A$104:$A$145,Технологи!$B458,Производство!J$104:J$145)&gt;0,SUMIF(Производство!$A$104:$A$145,Технологи!$B458,Производство!J$104:J$145)*$F458+$G458,0)</f>
        <v>0</v>
      </c>
      <c r="N458" s="46">
        <f t="array" ref="N458">IF(SUMIF(Производство!$A$104:$A$145,Технологи!$B458,Производство!K$104:K$145)&gt;0,SUMIF(Производство!$A$104:$A$145,Технологи!$B458,Производство!K$104:K$145)*$F458+$G458,0)</f>
        <v>0</v>
      </c>
      <c r="O458" s="46">
        <f t="array" ref="O458">IF(SUMIF(Производство!$A$104:$A$145,Технологи!$B458,Производство!L$104:L$145)&gt;0,SUMIF(Производство!$A$104:$A$145,Технологи!$B458,Производство!L$104:L$145)*$F458+$G458,0)</f>
        <v>0</v>
      </c>
      <c r="P458" s="46">
        <f t="array" ref="P458">IF(SUMIF(Производство!$A$104:$A$145,Технологи!$B458,Производство!M$104:M$145)&gt;0,SUMIF(Производство!$A$104:$A$145,Технологи!$B458,Производство!M$104:M$145)*$F458+$G458,0)</f>
        <v>0</v>
      </c>
      <c r="Q458" s="46">
        <f t="array" ref="Q458">IF(SUMIF(Производство!$A$104:$A$145,Технологи!$B458,Производство!N$104:N$145)&gt;0,SUMIF(Производство!$A$104:$A$145,Технологи!$B458,Производство!N$104:N$145)*$F458+$G458,0)</f>
        <v>0</v>
      </c>
      <c r="R458" s="46">
        <f t="array" ref="R458">IF(SUMIF(Производство!$A$104:$A$145,Технологи!$B458,Производство!O$104:O$145)&gt;0,SUMIF(Производство!$A$104:$A$145,Технологи!$B458,Производство!O$104:O$145)*$F458+$G458,0)</f>
        <v>0</v>
      </c>
      <c r="S458" s="46">
        <f t="array" ref="S458">IF(SUMIF(Производство!$A$104:$A$145,Технологи!$B458,Производство!P$104:P$145)&gt;0,SUMIF(Производство!$A$104:$A$145,Технологи!$B458,Производство!P$104:P$145)*$F458+$G458,0)</f>
        <v>0</v>
      </c>
      <c r="T458" s="46">
        <f t="array" ref="T458">IF(SUMIF(Производство!$A$104:$A$145,Технологи!$B458,Производство!Q$104:Q$145)&gt;0,SUMIF(Производство!$A$104:$A$145,Технологи!$B458,Производство!Q$104:Q$145)*$F458+$G458,0)</f>
        <v>0</v>
      </c>
    </row>
    <row r="459" spans="1:20" x14ac:dyDescent="0.25">
      <c r="A459" s="34" t="s">
        <v>377</v>
      </c>
      <c r="B459" s="13" t="s">
        <v>10</v>
      </c>
      <c r="C459" s="19" t="s">
        <v>23</v>
      </c>
      <c r="D459" s="14">
        <v>7038</v>
      </c>
      <c r="E459" s="20"/>
      <c r="F459" s="21">
        <v>0</v>
      </c>
      <c r="G459" s="21">
        <v>0</v>
      </c>
      <c r="H459" s="18">
        <f t="shared" si="21"/>
        <v>0</v>
      </c>
      <c r="I459" s="46">
        <f t="array" ref="I459">IF(SUMIF(Производство!$A$104:$A$145,Технологи!$B459,Производство!F$104:F$145)&gt;0,SUMIF(Производство!$A$104:$A$145,Технологи!$B459,Производство!F$104:F$145)*$F459+$G459,0)</f>
        <v>0</v>
      </c>
      <c r="J459" s="46">
        <f t="array" ref="J459">IF(SUMIF(Производство!$A$104:$A$145,Технологи!$B459,Производство!G$104:G$145)&gt;0,SUMIF(Производство!$A$104:$A$145,Технологи!$B459,Производство!G$104:G$145)*$F459+$G459,0)</f>
        <v>0</v>
      </c>
      <c r="K459" s="46">
        <f t="array" ref="K459">IF(SUMIF(Производство!$A$104:$A$145,Технологи!$B459,Производство!H$104:H$145)&gt;0,SUMIF(Производство!$A$104:$A$145,Технологи!$B459,Производство!H$104:H$145)*$F459+$G459,0)</f>
        <v>0</v>
      </c>
      <c r="L459" s="46">
        <f t="array" ref="L459">IF(SUMIF(Производство!$A$104:$A$145,Технологи!$B459,Производство!I$104:I$145)&gt;0,SUMIF(Производство!$A$104:$A$145,Технологи!$B459,Производство!I$104:I$145)*$F459+$G459,0)</f>
        <v>0</v>
      </c>
      <c r="M459" s="46">
        <f t="array" ref="M459">IF(SUMIF(Производство!$A$104:$A$145,Технологи!$B459,Производство!J$104:J$145)&gt;0,SUMIF(Производство!$A$104:$A$145,Технологи!$B459,Производство!J$104:J$145)*$F459+$G459,0)</f>
        <v>0</v>
      </c>
      <c r="N459" s="46">
        <f t="array" ref="N459">IF(SUMIF(Производство!$A$104:$A$145,Технологи!$B459,Производство!K$104:K$145)&gt;0,SUMIF(Производство!$A$104:$A$145,Технологи!$B459,Производство!K$104:K$145)*$F459+$G459,0)</f>
        <v>0</v>
      </c>
      <c r="O459" s="46">
        <f t="array" ref="O459">IF(SUMIF(Производство!$A$104:$A$145,Технологи!$B459,Производство!L$104:L$145)&gt;0,SUMIF(Производство!$A$104:$A$145,Технологи!$B459,Производство!L$104:L$145)*$F459+$G459,0)</f>
        <v>0</v>
      </c>
      <c r="P459" s="46">
        <f t="array" ref="P459">IF(SUMIF(Производство!$A$104:$A$145,Технологи!$B459,Производство!M$104:M$145)&gt;0,SUMIF(Производство!$A$104:$A$145,Технологи!$B459,Производство!M$104:M$145)*$F459+$G459,0)</f>
        <v>0</v>
      </c>
      <c r="Q459" s="46">
        <f t="array" ref="Q459">IF(SUMIF(Производство!$A$104:$A$145,Технологи!$B459,Производство!N$104:N$145)&gt;0,SUMIF(Производство!$A$104:$A$145,Технологи!$B459,Производство!N$104:N$145)*$F459+$G459,0)</f>
        <v>0</v>
      </c>
      <c r="R459" s="46">
        <f t="array" ref="R459">IF(SUMIF(Производство!$A$104:$A$145,Технологи!$B459,Производство!O$104:O$145)&gt;0,SUMIF(Производство!$A$104:$A$145,Технологи!$B459,Производство!O$104:O$145)*$F459+$G459,0)</f>
        <v>0</v>
      </c>
      <c r="S459" s="46">
        <f t="array" ref="S459">IF(SUMIF(Производство!$A$104:$A$145,Технологи!$B459,Производство!P$104:P$145)&gt;0,SUMIF(Производство!$A$104:$A$145,Технологи!$B459,Производство!P$104:P$145)*$F459+$G459,0)</f>
        <v>0</v>
      </c>
      <c r="T459" s="46">
        <f t="array" ref="T459">IF(SUMIF(Производство!$A$104:$A$145,Технологи!$B459,Производство!Q$104:Q$145)&gt;0,SUMIF(Производство!$A$104:$A$145,Технологи!$B459,Производство!Q$104:Q$145)*$F459+$G459,0)</f>
        <v>0</v>
      </c>
    </row>
    <row r="460" spans="1:20" x14ac:dyDescent="0.25">
      <c r="A460" s="34" t="s">
        <v>377</v>
      </c>
      <c r="B460" s="13" t="s">
        <v>24</v>
      </c>
      <c r="C460" s="15" t="s">
        <v>11</v>
      </c>
      <c r="D460" s="14">
        <v>7038</v>
      </c>
      <c r="E460" s="16">
        <v>1.0459999999999998</v>
      </c>
      <c r="F460" s="22">
        <f>SUM(F461:F472)</f>
        <v>1.0470431411680401</v>
      </c>
      <c r="G460" s="22">
        <f>SUM(G461:G472)</f>
        <v>48.456999999999994</v>
      </c>
      <c r="H460" s="23">
        <f t="shared" si="21"/>
        <v>1047.0431411680402</v>
      </c>
      <c r="I460" s="46">
        <f t="array" ref="I460">IF(SUMIF(Производство!$A$104:$A$145,Технологи!$B460,Производство!F$104:F$145)&gt;0,SUMIF(Производство!$A$104:$A$145,Технологи!$B460,Производство!F$104:F$145)*$F460+$G460,0)</f>
        <v>0</v>
      </c>
      <c r="J460" s="46">
        <f t="array" ref="J460">IF(SUMIF(Производство!$A$104:$A$145,Технологи!$B460,Производство!G$104:G$145)&gt;0,SUMIF(Производство!$A$104:$A$145,Технологи!$B460,Производство!G$104:G$145)*$F460+$G460,0)</f>
        <v>0</v>
      </c>
      <c r="K460" s="46">
        <f t="array" ref="K460">IF(SUMIF(Производство!$A$104:$A$145,Технологи!$B460,Производство!H$104:H$145)&gt;0,SUMIF(Производство!$A$104:$A$145,Технологи!$B460,Производство!H$104:H$145)*$F460+$G460,0)</f>
        <v>0</v>
      </c>
      <c r="L460" s="46">
        <f t="array" ref="L460">IF(SUMIF(Производство!$A$104:$A$145,Технологи!$B460,Производство!I$104:I$145)&gt;0,SUMIF(Производство!$A$104:$A$145,Технологи!$B460,Производство!I$104:I$145)*$F460+$G460,0)</f>
        <v>0</v>
      </c>
      <c r="M460" s="46">
        <f t="array" ref="M460">IF(SUMIF(Производство!$A$104:$A$145,Технологи!$B460,Производство!J$104:J$145)&gt;0,SUMIF(Производство!$A$104:$A$145,Технологи!$B460,Производство!J$104:J$145)*$F460+$G460,0)</f>
        <v>0</v>
      </c>
      <c r="N460" s="46">
        <f t="array" ref="N460">IF(SUMIF(Производство!$A$104:$A$145,Технологи!$B460,Производство!K$104:K$145)&gt;0,SUMIF(Производство!$A$104:$A$145,Технологи!$B460,Производство!K$104:K$145)*$F460+$G460,0)</f>
        <v>0</v>
      </c>
      <c r="O460" s="46">
        <f t="array" ref="O460">IF(SUMIF(Производство!$A$104:$A$145,Технологи!$B460,Производство!L$104:L$145)&gt;0,SUMIF(Производство!$A$104:$A$145,Технологи!$B460,Производство!L$104:L$145)*$F460+$G460,0)</f>
        <v>0</v>
      </c>
      <c r="P460" s="46">
        <f t="array" ref="P460">IF(SUMIF(Производство!$A$104:$A$145,Технологи!$B460,Производство!M$104:M$145)&gt;0,SUMIF(Производство!$A$104:$A$145,Технологи!$B460,Производство!M$104:M$145)*$F460+$G460,0)</f>
        <v>0</v>
      </c>
      <c r="Q460" s="46">
        <f t="array" ref="Q460">IF(SUMIF(Производство!$A$104:$A$145,Технологи!$B460,Производство!N$104:N$145)&gt;0,SUMIF(Производство!$A$104:$A$145,Технологи!$B460,Производство!N$104:N$145)*$F460+$G460,0)</f>
        <v>0</v>
      </c>
      <c r="R460" s="46">
        <f t="array" ref="R460">IF(SUMIF(Производство!$A$104:$A$145,Технологи!$B460,Производство!O$104:O$145)&gt;0,SUMIF(Производство!$A$104:$A$145,Технологи!$B460,Производство!O$104:O$145)*$F460+$G460,0)</f>
        <v>0</v>
      </c>
      <c r="S460" s="46">
        <f t="array" ref="S460">IF(SUMIF(Производство!$A$104:$A$145,Технологи!$B460,Производство!P$104:P$145)&gt;0,SUMIF(Производство!$A$104:$A$145,Технологи!$B460,Производство!P$104:P$145)*$F460+$G460,0)</f>
        <v>0</v>
      </c>
      <c r="T460" s="46">
        <f t="array" ref="T460">IF(SUMIF(Производство!$A$104:$A$145,Технологи!$B460,Производство!Q$104:Q$145)&gt;0,SUMIF(Производство!$A$104:$A$145,Технологи!$B460,Производство!Q$104:Q$145)*$F460+$G460,0)</f>
        <v>0</v>
      </c>
    </row>
    <row r="461" spans="1:20" x14ac:dyDescent="0.25">
      <c r="A461" s="34" t="s">
        <v>377</v>
      </c>
      <c r="B461" s="13" t="s">
        <v>24</v>
      </c>
      <c r="C461" s="19" t="s">
        <v>12</v>
      </c>
      <c r="D461" s="14">
        <v>7038</v>
      </c>
      <c r="E461" s="20"/>
      <c r="F461" s="24">
        <v>0.26294160695091362</v>
      </c>
      <c r="G461" s="24">
        <v>20.283126082389625</v>
      </c>
      <c r="H461" s="23">
        <f t="shared" si="21"/>
        <v>262.94160695091364</v>
      </c>
      <c r="I461" s="46">
        <f t="array" ref="I461">IF(SUMIF(Производство!$A$104:$A$145,Технологи!$B461,Производство!F$104:F$145)&gt;0,SUMIF(Производство!$A$104:$A$145,Технологи!$B461,Производство!F$104:F$145)*$F461+$G461,0)</f>
        <v>0</v>
      </c>
      <c r="J461" s="46">
        <f t="array" ref="J461">IF(SUMIF(Производство!$A$104:$A$145,Технологи!$B461,Производство!G$104:G$145)&gt;0,SUMIF(Производство!$A$104:$A$145,Технологи!$B461,Производство!G$104:G$145)*$F461+$G461,0)</f>
        <v>0</v>
      </c>
      <c r="K461" s="46">
        <f t="array" ref="K461">IF(SUMIF(Производство!$A$104:$A$145,Технологи!$B461,Производство!H$104:H$145)&gt;0,SUMIF(Производство!$A$104:$A$145,Технологи!$B461,Производство!H$104:H$145)*$F461+$G461,0)</f>
        <v>0</v>
      </c>
      <c r="L461" s="46">
        <f t="array" ref="L461">IF(SUMIF(Производство!$A$104:$A$145,Технологи!$B461,Производство!I$104:I$145)&gt;0,SUMIF(Производство!$A$104:$A$145,Технологи!$B461,Производство!I$104:I$145)*$F461+$G461,0)</f>
        <v>0</v>
      </c>
      <c r="M461" s="46">
        <f t="array" ref="M461">IF(SUMIF(Производство!$A$104:$A$145,Технологи!$B461,Производство!J$104:J$145)&gt;0,SUMIF(Производство!$A$104:$A$145,Технологи!$B461,Производство!J$104:J$145)*$F461+$G461,0)</f>
        <v>0</v>
      </c>
      <c r="N461" s="46">
        <f t="array" ref="N461">IF(SUMIF(Производство!$A$104:$A$145,Технологи!$B461,Производство!K$104:K$145)&gt;0,SUMIF(Производство!$A$104:$A$145,Технологи!$B461,Производство!K$104:K$145)*$F461+$G461,0)</f>
        <v>0</v>
      </c>
      <c r="O461" s="46">
        <f t="array" ref="O461">IF(SUMIF(Производство!$A$104:$A$145,Технологи!$B461,Производство!L$104:L$145)&gt;0,SUMIF(Производство!$A$104:$A$145,Технологи!$B461,Производство!L$104:L$145)*$F461+$G461,0)</f>
        <v>0</v>
      </c>
      <c r="P461" s="46">
        <f t="array" ref="P461">IF(SUMIF(Производство!$A$104:$A$145,Технологи!$B461,Производство!M$104:M$145)&gt;0,SUMIF(Производство!$A$104:$A$145,Технологи!$B461,Производство!M$104:M$145)*$F461+$G461,0)</f>
        <v>0</v>
      </c>
      <c r="Q461" s="46">
        <f t="array" ref="Q461">IF(SUMIF(Производство!$A$104:$A$145,Технологи!$B461,Производство!N$104:N$145)&gt;0,SUMIF(Производство!$A$104:$A$145,Технологи!$B461,Производство!N$104:N$145)*$F461+$G461,0)</f>
        <v>0</v>
      </c>
      <c r="R461" s="46">
        <f t="array" ref="R461">IF(SUMIF(Производство!$A$104:$A$145,Технологи!$B461,Производство!O$104:O$145)&gt;0,SUMIF(Производство!$A$104:$A$145,Технологи!$B461,Производство!O$104:O$145)*$F461+$G461,0)</f>
        <v>0</v>
      </c>
      <c r="S461" s="46">
        <f t="array" ref="S461">IF(SUMIF(Производство!$A$104:$A$145,Технологи!$B461,Производство!P$104:P$145)&gt;0,SUMIF(Производство!$A$104:$A$145,Технологи!$B461,Производство!P$104:P$145)*$F461+$G461,0)</f>
        <v>0</v>
      </c>
      <c r="T461" s="46">
        <f t="array" ref="T461">IF(SUMIF(Производство!$A$104:$A$145,Технологи!$B461,Производство!Q$104:Q$145)&gt;0,SUMIF(Производство!$A$104:$A$145,Технологи!$B461,Производство!Q$104:Q$145)*$F461+$G461,0)</f>
        <v>0</v>
      </c>
    </row>
    <row r="462" spans="1:20" x14ac:dyDescent="0.25">
      <c r="A462" s="34" t="s">
        <v>377</v>
      </c>
      <c r="B462" s="13" t="s">
        <v>24</v>
      </c>
      <c r="C462" s="19" t="s">
        <v>13</v>
      </c>
      <c r="D462" s="14">
        <v>7038</v>
      </c>
      <c r="E462" s="20"/>
      <c r="F462" s="24">
        <v>9.267184252955929E-2</v>
      </c>
      <c r="G462" s="24">
        <v>6.2815541808616402</v>
      </c>
      <c r="H462" s="23">
        <f t="shared" si="21"/>
        <v>92.671842529559285</v>
      </c>
      <c r="I462" s="46">
        <f t="array" ref="I462">IF(SUMIF(Производство!$A$104:$A$145,Технологи!$B462,Производство!F$104:F$145)&gt;0,SUMIF(Производство!$A$104:$A$145,Технологи!$B462,Производство!F$104:F$145)*$F462+$G462,0)</f>
        <v>0</v>
      </c>
      <c r="J462" s="46">
        <f t="array" ref="J462">IF(SUMIF(Производство!$A$104:$A$145,Технологи!$B462,Производство!G$104:G$145)&gt;0,SUMIF(Производство!$A$104:$A$145,Технологи!$B462,Производство!G$104:G$145)*$F462+$G462,0)</f>
        <v>0</v>
      </c>
      <c r="K462" s="46">
        <f t="array" ref="K462">IF(SUMIF(Производство!$A$104:$A$145,Технологи!$B462,Производство!H$104:H$145)&gt;0,SUMIF(Производство!$A$104:$A$145,Технологи!$B462,Производство!H$104:H$145)*$F462+$G462,0)</f>
        <v>0</v>
      </c>
      <c r="L462" s="46">
        <f t="array" ref="L462">IF(SUMIF(Производство!$A$104:$A$145,Технологи!$B462,Производство!I$104:I$145)&gt;0,SUMIF(Производство!$A$104:$A$145,Технологи!$B462,Производство!I$104:I$145)*$F462+$G462,0)</f>
        <v>0</v>
      </c>
      <c r="M462" s="46">
        <f t="array" ref="M462">IF(SUMIF(Производство!$A$104:$A$145,Технологи!$B462,Производство!J$104:J$145)&gt;0,SUMIF(Производство!$A$104:$A$145,Технологи!$B462,Производство!J$104:J$145)*$F462+$G462,0)</f>
        <v>0</v>
      </c>
      <c r="N462" s="46">
        <f t="array" ref="N462">IF(SUMIF(Производство!$A$104:$A$145,Технологи!$B462,Производство!K$104:K$145)&gt;0,SUMIF(Производство!$A$104:$A$145,Технологи!$B462,Производство!K$104:K$145)*$F462+$G462,0)</f>
        <v>0</v>
      </c>
      <c r="O462" s="46">
        <f t="array" ref="O462">IF(SUMIF(Производство!$A$104:$A$145,Технологи!$B462,Производство!L$104:L$145)&gt;0,SUMIF(Производство!$A$104:$A$145,Технологи!$B462,Производство!L$104:L$145)*$F462+$G462,0)</f>
        <v>0</v>
      </c>
      <c r="P462" s="46">
        <f t="array" ref="P462">IF(SUMIF(Производство!$A$104:$A$145,Технологи!$B462,Производство!M$104:M$145)&gt;0,SUMIF(Производство!$A$104:$A$145,Технологи!$B462,Производство!M$104:M$145)*$F462+$G462,0)</f>
        <v>0</v>
      </c>
      <c r="Q462" s="46">
        <f t="array" ref="Q462">IF(SUMIF(Производство!$A$104:$A$145,Технологи!$B462,Производство!N$104:N$145)&gt;0,SUMIF(Производство!$A$104:$A$145,Технологи!$B462,Производство!N$104:N$145)*$F462+$G462,0)</f>
        <v>0</v>
      </c>
      <c r="R462" s="46">
        <f t="array" ref="R462">IF(SUMIF(Производство!$A$104:$A$145,Технологи!$B462,Производство!O$104:O$145)&gt;0,SUMIF(Производство!$A$104:$A$145,Технологи!$B462,Производство!O$104:O$145)*$F462+$G462,0)</f>
        <v>0</v>
      </c>
      <c r="S462" s="46">
        <f t="array" ref="S462">IF(SUMIF(Производство!$A$104:$A$145,Технологи!$B462,Производство!P$104:P$145)&gt;0,SUMIF(Производство!$A$104:$A$145,Технологи!$B462,Производство!P$104:P$145)*$F462+$G462,0)</f>
        <v>0</v>
      </c>
      <c r="T462" s="46">
        <f t="array" ref="T462">IF(SUMIF(Производство!$A$104:$A$145,Технологи!$B462,Производство!Q$104:Q$145)&gt;0,SUMIF(Производство!$A$104:$A$145,Технологи!$B462,Производство!Q$104:Q$145)*$F462+$G462,0)</f>
        <v>0</v>
      </c>
    </row>
    <row r="463" spans="1:20" x14ac:dyDescent="0.25">
      <c r="A463" s="34" t="s">
        <v>377</v>
      </c>
      <c r="B463" s="13" t="s">
        <v>24</v>
      </c>
      <c r="C463" s="19" t="s">
        <v>14</v>
      </c>
      <c r="D463" s="14">
        <v>7038</v>
      </c>
      <c r="E463" s="20"/>
      <c r="F463" s="24">
        <v>7.9433007882479402E-4</v>
      </c>
      <c r="G463" s="24">
        <v>6.0849378247168885E-2</v>
      </c>
      <c r="H463" s="23">
        <f t="shared" si="21"/>
        <v>0.79433007882479401</v>
      </c>
      <c r="I463" s="46">
        <f t="array" ref="I463">IF(SUMIF(Производство!$A$104:$A$145,Технологи!$B463,Производство!F$104:F$145)&gt;0,SUMIF(Производство!$A$104:$A$145,Технологи!$B463,Производство!F$104:F$145)*$F463+$G463,0)</f>
        <v>0</v>
      </c>
      <c r="J463" s="46">
        <f t="array" ref="J463">IF(SUMIF(Производство!$A$104:$A$145,Технологи!$B463,Производство!G$104:G$145)&gt;0,SUMIF(Производство!$A$104:$A$145,Технологи!$B463,Производство!G$104:G$145)*$F463+$G463,0)</f>
        <v>0</v>
      </c>
      <c r="K463" s="46">
        <f t="array" ref="K463">IF(SUMIF(Производство!$A$104:$A$145,Технологи!$B463,Производство!H$104:H$145)&gt;0,SUMIF(Производство!$A$104:$A$145,Технологи!$B463,Производство!H$104:H$145)*$F463+$G463,0)</f>
        <v>0</v>
      </c>
      <c r="L463" s="46">
        <f t="array" ref="L463">IF(SUMIF(Производство!$A$104:$A$145,Технологи!$B463,Производство!I$104:I$145)&gt;0,SUMIF(Производство!$A$104:$A$145,Технологи!$B463,Производство!I$104:I$145)*$F463+$G463,0)</f>
        <v>0</v>
      </c>
      <c r="M463" s="46">
        <f t="array" ref="M463">IF(SUMIF(Производство!$A$104:$A$145,Технологи!$B463,Производство!J$104:J$145)&gt;0,SUMIF(Производство!$A$104:$A$145,Технологи!$B463,Производство!J$104:J$145)*$F463+$G463,0)</f>
        <v>0</v>
      </c>
      <c r="N463" s="46">
        <f t="array" ref="N463">IF(SUMIF(Производство!$A$104:$A$145,Технологи!$B463,Производство!K$104:K$145)&gt;0,SUMIF(Производство!$A$104:$A$145,Технологи!$B463,Производство!K$104:K$145)*$F463+$G463,0)</f>
        <v>0</v>
      </c>
      <c r="O463" s="46">
        <f t="array" ref="O463">IF(SUMIF(Производство!$A$104:$A$145,Технологи!$B463,Производство!L$104:L$145)&gt;0,SUMIF(Производство!$A$104:$A$145,Технологи!$B463,Производство!L$104:L$145)*$F463+$G463,0)</f>
        <v>0</v>
      </c>
      <c r="P463" s="46">
        <f t="array" ref="P463">IF(SUMIF(Производство!$A$104:$A$145,Технологи!$B463,Производство!M$104:M$145)&gt;0,SUMIF(Производство!$A$104:$A$145,Технологи!$B463,Производство!M$104:M$145)*$F463+$G463,0)</f>
        <v>0</v>
      </c>
      <c r="Q463" s="46">
        <f t="array" ref="Q463">IF(SUMIF(Производство!$A$104:$A$145,Технологи!$B463,Производство!N$104:N$145)&gt;0,SUMIF(Производство!$A$104:$A$145,Технологи!$B463,Производство!N$104:N$145)*$F463+$G463,0)</f>
        <v>0</v>
      </c>
      <c r="R463" s="46">
        <f t="array" ref="R463">IF(SUMIF(Производство!$A$104:$A$145,Технологи!$B463,Производство!O$104:O$145)&gt;0,SUMIF(Производство!$A$104:$A$145,Технологи!$B463,Производство!O$104:O$145)*$F463+$G463,0)</f>
        <v>0</v>
      </c>
      <c r="S463" s="46">
        <f t="array" ref="S463">IF(SUMIF(Производство!$A$104:$A$145,Технологи!$B463,Производство!P$104:P$145)&gt;0,SUMIF(Производство!$A$104:$A$145,Технологи!$B463,Производство!P$104:P$145)*$F463+$G463,0)</f>
        <v>0</v>
      </c>
      <c r="T463" s="46">
        <f t="array" ref="T463">IF(SUMIF(Производство!$A$104:$A$145,Технологи!$B463,Производство!Q$104:Q$145)&gt;0,SUMIF(Производство!$A$104:$A$145,Технологи!$B463,Производство!Q$104:Q$145)*$F463+$G463,0)</f>
        <v>0</v>
      </c>
    </row>
    <row r="464" spans="1:20" x14ac:dyDescent="0.25">
      <c r="A464" s="34" t="s">
        <v>377</v>
      </c>
      <c r="B464" s="13" t="s">
        <v>24</v>
      </c>
      <c r="C464" s="19" t="s">
        <v>15</v>
      </c>
      <c r="D464" s="14">
        <v>7038</v>
      </c>
      <c r="E464" s="20"/>
      <c r="F464" s="24">
        <v>3.9716503941239701E-4</v>
      </c>
      <c r="G464" s="24">
        <v>3.0424689123584443E-2</v>
      </c>
      <c r="H464" s="23">
        <f t="shared" si="21"/>
        <v>0.397165039412397</v>
      </c>
      <c r="I464" s="46">
        <f t="array" ref="I464">IF(SUMIF(Производство!$A$104:$A$145,Технологи!$B464,Производство!F$104:F$145)&gt;0,SUMIF(Производство!$A$104:$A$145,Технологи!$B464,Производство!F$104:F$145)*$F464+$G464,0)</f>
        <v>0</v>
      </c>
      <c r="J464" s="46">
        <f t="array" ref="J464">IF(SUMIF(Производство!$A$104:$A$145,Технологи!$B464,Производство!G$104:G$145)&gt;0,SUMIF(Производство!$A$104:$A$145,Технологи!$B464,Производство!G$104:G$145)*$F464+$G464,0)</f>
        <v>0</v>
      </c>
      <c r="K464" s="46">
        <f t="array" ref="K464">IF(SUMIF(Производство!$A$104:$A$145,Технологи!$B464,Производство!H$104:H$145)&gt;0,SUMIF(Производство!$A$104:$A$145,Технологи!$B464,Производство!H$104:H$145)*$F464+$G464,0)</f>
        <v>0</v>
      </c>
      <c r="L464" s="46">
        <f t="array" ref="L464">IF(SUMIF(Производство!$A$104:$A$145,Технологи!$B464,Производство!I$104:I$145)&gt;0,SUMIF(Производство!$A$104:$A$145,Технологи!$B464,Производство!I$104:I$145)*$F464+$G464,0)</f>
        <v>0</v>
      </c>
      <c r="M464" s="46">
        <f t="array" ref="M464">IF(SUMIF(Производство!$A$104:$A$145,Технологи!$B464,Производство!J$104:J$145)&gt;0,SUMIF(Производство!$A$104:$A$145,Технологи!$B464,Производство!J$104:J$145)*$F464+$G464,0)</f>
        <v>0</v>
      </c>
      <c r="N464" s="46">
        <f t="array" ref="N464">IF(SUMIF(Производство!$A$104:$A$145,Технологи!$B464,Производство!K$104:K$145)&gt;0,SUMIF(Производство!$A$104:$A$145,Технологи!$B464,Производство!K$104:K$145)*$F464+$G464,0)</f>
        <v>0</v>
      </c>
      <c r="O464" s="46">
        <f t="array" ref="O464">IF(SUMIF(Производство!$A$104:$A$145,Технологи!$B464,Производство!L$104:L$145)&gt;0,SUMIF(Производство!$A$104:$A$145,Технологи!$B464,Производство!L$104:L$145)*$F464+$G464,0)</f>
        <v>0</v>
      </c>
      <c r="P464" s="46">
        <f t="array" ref="P464">IF(SUMIF(Производство!$A$104:$A$145,Технологи!$B464,Производство!M$104:M$145)&gt;0,SUMIF(Производство!$A$104:$A$145,Технологи!$B464,Производство!M$104:M$145)*$F464+$G464,0)</f>
        <v>0</v>
      </c>
      <c r="Q464" s="46">
        <f t="array" ref="Q464">IF(SUMIF(Производство!$A$104:$A$145,Технологи!$B464,Производство!N$104:N$145)&gt;0,SUMIF(Производство!$A$104:$A$145,Технологи!$B464,Производство!N$104:N$145)*$F464+$G464,0)</f>
        <v>0</v>
      </c>
      <c r="R464" s="46">
        <f t="array" ref="R464">IF(SUMIF(Производство!$A$104:$A$145,Технологи!$B464,Производство!O$104:O$145)&gt;0,SUMIF(Производство!$A$104:$A$145,Технологи!$B464,Производство!O$104:O$145)*$F464+$G464,0)</f>
        <v>0</v>
      </c>
      <c r="S464" s="46">
        <f t="array" ref="S464">IF(SUMIF(Производство!$A$104:$A$145,Технологи!$B464,Производство!P$104:P$145)&gt;0,SUMIF(Производство!$A$104:$A$145,Технологи!$B464,Производство!P$104:P$145)*$F464+$G464,0)</f>
        <v>0</v>
      </c>
      <c r="T464" s="46">
        <f t="array" ref="T464">IF(SUMIF(Производство!$A$104:$A$145,Технологи!$B464,Производство!Q$104:Q$145)&gt;0,SUMIF(Производство!$A$104:$A$145,Технологи!$B464,Производство!Q$104:Q$145)*$F464+$G464,0)</f>
        <v>0</v>
      </c>
    </row>
    <row r="465" spans="1:20" x14ac:dyDescent="0.25">
      <c r="A465" s="34" t="s">
        <v>377</v>
      </c>
      <c r="B465" s="13" t="s">
        <v>24</v>
      </c>
      <c r="C465" s="19" t="s">
        <v>16</v>
      </c>
      <c r="D465" s="14">
        <v>7038</v>
      </c>
      <c r="E465" s="20"/>
      <c r="F465" s="24">
        <v>5.2693183446793261E-3</v>
      </c>
      <c r="G465" s="24">
        <v>0.40566252164779265</v>
      </c>
      <c r="H465" s="23">
        <f t="shared" si="21"/>
        <v>5.2693183446793261</v>
      </c>
      <c r="I465" s="46">
        <f t="array" ref="I465">IF(SUMIF(Производство!$A$104:$A$145,Технологи!$B465,Производство!F$104:F$145)&gt;0,SUMIF(Производство!$A$104:$A$145,Технологи!$B465,Производство!F$104:F$145)*$F465+$G465,0)</f>
        <v>0</v>
      </c>
      <c r="J465" s="46">
        <f t="array" ref="J465">IF(SUMIF(Производство!$A$104:$A$145,Технологи!$B465,Производство!G$104:G$145)&gt;0,SUMIF(Производство!$A$104:$A$145,Технологи!$B465,Производство!G$104:G$145)*$F465+$G465,0)</f>
        <v>0</v>
      </c>
      <c r="K465" s="46">
        <f t="array" ref="K465">IF(SUMIF(Производство!$A$104:$A$145,Технологи!$B465,Производство!H$104:H$145)&gt;0,SUMIF(Производство!$A$104:$A$145,Технологи!$B465,Производство!H$104:H$145)*$F465+$G465,0)</f>
        <v>0</v>
      </c>
      <c r="L465" s="46">
        <f t="array" ref="L465">IF(SUMIF(Производство!$A$104:$A$145,Технологи!$B465,Производство!I$104:I$145)&gt;0,SUMIF(Производство!$A$104:$A$145,Технологи!$B465,Производство!I$104:I$145)*$F465+$G465,0)</f>
        <v>0</v>
      </c>
      <c r="M465" s="46">
        <f t="array" ref="M465">IF(SUMIF(Производство!$A$104:$A$145,Технологи!$B465,Производство!J$104:J$145)&gt;0,SUMIF(Производство!$A$104:$A$145,Технологи!$B465,Производство!J$104:J$145)*$F465+$G465,0)</f>
        <v>0</v>
      </c>
      <c r="N465" s="46">
        <f t="array" ref="N465">IF(SUMIF(Производство!$A$104:$A$145,Технологи!$B465,Производство!K$104:K$145)&gt;0,SUMIF(Производство!$A$104:$A$145,Технологи!$B465,Производство!K$104:K$145)*$F465+$G465,0)</f>
        <v>0</v>
      </c>
      <c r="O465" s="46">
        <f t="array" ref="O465">IF(SUMIF(Производство!$A$104:$A$145,Технологи!$B465,Производство!L$104:L$145)&gt;0,SUMIF(Производство!$A$104:$A$145,Технологи!$B465,Производство!L$104:L$145)*$F465+$G465,0)</f>
        <v>0</v>
      </c>
      <c r="P465" s="46">
        <f t="array" ref="P465">IF(SUMIF(Производство!$A$104:$A$145,Технологи!$B465,Производство!M$104:M$145)&gt;0,SUMIF(Производство!$A$104:$A$145,Технологи!$B465,Производство!M$104:M$145)*$F465+$G465,0)</f>
        <v>0</v>
      </c>
      <c r="Q465" s="46">
        <f t="array" ref="Q465">IF(SUMIF(Производство!$A$104:$A$145,Технологи!$B465,Производство!N$104:N$145)&gt;0,SUMIF(Производство!$A$104:$A$145,Технологи!$B465,Производство!N$104:N$145)*$F465+$G465,0)</f>
        <v>0</v>
      </c>
      <c r="R465" s="46">
        <f t="array" ref="R465">IF(SUMIF(Производство!$A$104:$A$145,Технологи!$B465,Производство!O$104:O$145)&gt;0,SUMIF(Производство!$A$104:$A$145,Технологи!$B465,Производство!O$104:O$145)*$F465+$G465,0)</f>
        <v>0</v>
      </c>
      <c r="S465" s="46">
        <f t="array" ref="S465">IF(SUMIF(Производство!$A$104:$A$145,Технологи!$B465,Производство!P$104:P$145)&gt;0,SUMIF(Производство!$A$104:$A$145,Технологи!$B465,Производство!P$104:P$145)*$F465+$G465,0)</f>
        <v>0</v>
      </c>
      <c r="T465" s="46">
        <f t="array" ref="T465">IF(SUMIF(Производство!$A$104:$A$145,Технологи!$B465,Производство!Q$104:Q$145)&gt;0,SUMIF(Производство!$A$104:$A$145,Технологи!$B465,Производство!Q$104:Q$145)*$F465+$G465,0)</f>
        <v>0</v>
      </c>
    </row>
    <row r="466" spans="1:20" x14ac:dyDescent="0.25">
      <c r="A466" s="34" t="s">
        <v>377</v>
      </c>
      <c r="B466" s="13" t="s">
        <v>24</v>
      </c>
      <c r="C466" s="19" t="s">
        <v>17</v>
      </c>
      <c r="D466" s="14">
        <v>7038</v>
      </c>
      <c r="E466" s="20"/>
      <c r="F466" s="24">
        <v>2.9269621551415268E-3</v>
      </c>
      <c r="G466" s="24">
        <v>0.22311438690628596</v>
      </c>
      <c r="H466" s="23">
        <f t="shared" si="21"/>
        <v>2.9269621551415268</v>
      </c>
      <c r="I466" s="46">
        <f t="array" ref="I466">IF(SUMIF(Производство!$A$104:$A$145,Технологи!$B466,Производство!F$104:F$145)&gt;0,SUMIF(Производство!$A$104:$A$145,Технологи!$B466,Производство!F$104:F$145)*$F466+$G466,0)</f>
        <v>0</v>
      </c>
      <c r="J466" s="46">
        <f t="array" ref="J466">IF(SUMIF(Производство!$A$104:$A$145,Технологи!$B466,Производство!G$104:G$145)&gt;0,SUMIF(Производство!$A$104:$A$145,Технологи!$B466,Производство!G$104:G$145)*$F466+$G466,0)</f>
        <v>0</v>
      </c>
      <c r="K466" s="46">
        <f t="array" ref="K466">IF(SUMIF(Производство!$A$104:$A$145,Технологи!$B466,Производство!H$104:H$145)&gt;0,SUMIF(Производство!$A$104:$A$145,Технологи!$B466,Производство!H$104:H$145)*$F466+$G466,0)</f>
        <v>0</v>
      </c>
      <c r="L466" s="46">
        <f t="array" ref="L466">IF(SUMIF(Производство!$A$104:$A$145,Технологи!$B466,Производство!I$104:I$145)&gt;0,SUMIF(Производство!$A$104:$A$145,Технологи!$B466,Производство!I$104:I$145)*$F466+$G466,0)</f>
        <v>0</v>
      </c>
      <c r="M466" s="46">
        <f t="array" ref="M466">IF(SUMIF(Производство!$A$104:$A$145,Технологи!$B466,Производство!J$104:J$145)&gt;0,SUMIF(Производство!$A$104:$A$145,Технологи!$B466,Производство!J$104:J$145)*$F466+$G466,0)</f>
        <v>0</v>
      </c>
      <c r="N466" s="46">
        <f t="array" ref="N466">IF(SUMIF(Производство!$A$104:$A$145,Технологи!$B466,Производство!K$104:K$145)&gt;0,SUMIF(Производство!$A$104:$A$145,Технологи!$B466,Производство!K$104:K$145)*$F466+$G466,0)</f>
        <v>0</v>
      </c>
      <c r="O466" s="46">
        <f t="array" ref="O466">IF(SUMIF(Производство!$A$104:$A$145,Технологи!$B466,Производство!L$104:L$145)&gt;0,SUMIF(Производство!$A$104:$A$145,Технологи!$B466,Производство!L$104:L$145)*$F466+$G466,0)</f>
        <v>0</v>
      </c>
      <c r="P466" s="46">
        <f t="array" ref="P466">IF(SUMIF(Производство!$A$104:$A$145,Технологи!$B466,Производство!M$104:M$145)&gt;0,SUMIF(Производство!$A$104:$A$145,Технологи!$B466,Производство!M$104:M$145)*$F466+$G466,0)</f>
        <v>0</v>
      </c>
      <c r="Q466" s="46">
        <f t="array" ref="Q466">IF(SUMIF(Производство!$A$104:$A$145,Технологи!$B466,Производство!N$104:N$145)&gt;0,SUMIF(Производство!$A$104:$A$145,Технологи!$B466,Производство!N$104:N$145)*$F466+$G466,0)</f>
        <v>0</v>
      </c>
      <c r="R466" s="46">
        <f t="array" ref="R466">IF(SUMIF(Производство!$A$104:$A$145,Технологи!$B466,Производство!O$104:O$145)&gt;0,SUMIF(Производство!$A$104:$A$145,Технологи!$B466,Производство!O$104:O$145)*$F466+$G466,0)</f>
        <v>0</v>
      </c>
      <c r="S466" s="46">
        <f t="array" ref="S466">IF(SUMIF(Производство!$A$104:$A$145,Технологи!$B466,Производство!P$104:P$145)&gt;0,SUMIF(Производство!$A$104:$A$145,Технологи!$B466,Производство!P$104:P$145)*$F466+$G466,0)</f>
        <v>0</v>
      </c>
      <c r="T466" s="46">
        <f t="array" ref="T466">IF(SUMIF(Производство!$A$104:$A$145,Технологи!$B466,Производство!Q$104:Q$145)&gt;0,SUMIF(Производство!$A$104:$A$145,Технологи!$B466,Производство!Q$104:Q$145)*$F466+$G466,0)</f>
        <v>0</v>
      </c>
    </row>
    <row r="467" spans="1:20" x14ac:dyDescent="0.25">
      <c r="A467" s="34" t="s">
        <v>377</v>
      </c>
      <c r="B467" s="13" t="s">
        <v>24</v>
      </c>
      <c r="C467" s="19" t="s">
        <v>18</v>
      </c>
      <c r="D467" s="14">
        <v>7038</v>
      </c>
      <c r="E467" s="20"/>
      <c r="F467" s="24">
        <v>2.6294160695091362E-3</v>
      </c>
      <c r="G467" s="24">
        <v>0.20283126082389633</v>
      </c>
      <c r="H467" s="23">
        <f t="shared" si="21"/>
        <v>2.6294160695091362</v>
      </c>
      <c r="I467" s="46">
        <f t="array" ref="I467">IF(SUMIF(Производство!$A$104:$A$145,Технологи!$B467,Производство!F$104:F$145)&gt;0,SUMIF(Производство!$A$104:$A$145,Технологи!$B467,Производство!F$104:F$145)*$F467+$G467,0)</f>
        <v>0</v>
      </c>
      <c r="J467" s="46">
        <f t="array" ref="J467">IF(SUMIF(Производство!$A$104:$A$145,Технологи!$B467,Производство!G$104:G$145)&gt;0,SUMIF(Производство!$A$104:$A$145,Технологи!$B467,Производство!G$104:G$145)*$F467+$G467,0)</f>
        <v>0</v>
      </c>
      <c r="K467" s="46">
        <f t="array" ref="K467">IF(SUMIF(Производство!$A$104:$A$145,Технологи!$B467,Производство!H$104:H$145)&gt;0,SUMIF(Производство!$A$104:$A$145,Технологи!$B467,Производство!H$104:H$145)*$F467+$G467,0)</f>
        <v>0</v>
      </c>
      <c r="L467" s="46">
        <f t="array" ref="L467">IF(SUMIF(Производство!$A$104:$A$145,Технологи!$B467,Производство!I$104:I$145)&gt;0,SUMIF(Производство!$A$104:$A$145,Технологи!$B467,Производство!I$104:I$145)*$F467+$G467,0)</f>
        <v>0</v>
      </c>
      <c r="M467" s="46">
        <f t="array" ref="M467">IF(SUMIF(Производство!$A$104:$A$145,Технологи!$B467,Производство!J$104:J$145)&gt;0,SUMIF(Производство!$A$104:$A$145,Технологи!$B467,Производство!J$104:J$145)*$F467+$G467,0)</f>
        <v>0</v>
      </c>
      <c r="N467" s="46">
        <f t="array" ref="N467">IF(SUMIF(Производство!$A$104:$A$145,Технологи!$B467,Производство!K$104:K$145)&gt;0,SUMIF(Производство!$A$104:$A$145,Технологи!$B467,Производство!K$104:K$145)*$F467+$G467,0)</f>
        <v>0</v>
      </c>
      <c r="O467" s="46">
        <f t="array" ref="O467">IF(SUMIF(Производство!$A$104:$A$145,Технологи!$B467,Производство!L$104:L$145)&gt;0,SUMIF(Производство!$A$104:$A$145,Технологи!$B467,Производство!L$104:L$145)*$F467+$G467,0)</f>
        <v>0</v>
      </c>
      <c r="P467" s="46">
        <f t="array" ref="P467">IF(SUMIF(Производство!$A$104:$A$145,Технологи!$B467,Производство!M$104:M$145)&gt;0,SUMIF(Производство!$A$104:$A$145,Технологи!$B467,Производство!M$104:M$145)*$F467+$G467,0)</f>
        <v>0</v>
      </c>
      <c r="Q467" s="46">
        <f t="array" ref="Q467">IF(SUMIF(Производство!$A$104:$A$145,Технологи!$B467,Производство!N$104:N$145)&gt;0,SUMIF(Производство!$A$104:$A$145,Технологи!$B467,Производство!N$104:N$145)*$F467+$G467,0)</f>
        <v>0</v>
      </c>
      <c r="R467" s="46">
        <f t="array" ref="R467">IF(SUMIF(Производство!$A$104:$A$145,Технологи!$B467,Производство!O$104:O$145)&gt;0,SUMIF(Производство!$A$104:$A$145,Технологи!$B467,Производство!O$104:O$145)*$F467+$G467,0)</f>
        <v>0</v>
      </c>
      <c r="S467" s="46">
        <f t="array" ref="S467">IF(SUMIF(Производство!$A$104:$A$145,Технологи!$B467,Производство!P$104:P$145)&gt;0,SUMIF(Производство!$A$104:$A$145,Технологи!$B467,Производство!P$104:P$145)*$F467+$G467,0)</f>
        <v>0</v>
      </c>
      <c r="T467" s="46">
        <f t="array" ref="T467">IF(SUMIF(Производство!$A$104:$A$145,Технологи!$B467,Производство!Q$104:Q$145)&gt;0,SUMIF(Производство!$A$104:$A$145,Технологи!$B467,Производство!Q$104:Q$145)*$F467+$G467,0)</f>
        <v>0</v>
      </c>
    </row>
    <row r="468" spans="1:20" x14ac:dyDescent="0.25">
      <c r="A468" s="34" t="s">
        <v>377</v>
      </c>
      <c r="B468" s="13" t="s">
        <v>24</v>
      </c>
      <c r="C468" s="19" t="s">
        <v>19</v>
      </c>
      <c r="D468" s="14">
        <v>7038</v>
      </c>
      <c r="E468" s="20"/>
      <c r="F468" s="24">
        <v>0.53891250000000002</v>
      </c>
      <c r="G468" s="24">
        <v>18.8619375</v>
      </c>
      <c r="H468" s="23">
        <f t="shared" si="21"/>
        <v>538.91250000000002</v>
      </c>
      <c r="I468" s="46">
        <f t="array" ref="I468">IF(SUMIF(Производство!$A$104:$A$145,Технологи!$B468,Производство!F$104:F$145)&gt;0,SUMIF(Производство!$A$104:$A$145,Технологи!$B468,Производство!F$104:F$145)*$F468+$G468,0)</f>
        <v>0</v>
      </c>
      <c r="J468" s="46">
        <f t="array" ref="J468">IF(SUMIF(Производство!$A$104:$A$145,Технологи!$B468,Производство!G$104:G$145)&gt;0,SUMIF(Производство!$A$104:$A$145,Технологи!$B468,Производство!G$104:G$145)*$F468+$G468,0)</f>
        <v>0</v>
      </c>
      <c r="K468" s="46">
        <f t="array" ref="K468">IF(SUMIF(Производство!$A$104:$A$145,Технологи!$B468,Производство!H$104:H$145)&gt;0,SUMIF(Производство!$A$104:$A$145,Технологи!$B468,Производство!H$104:H$145)*$F468+$G468,0)</f>
        <v>0</v>
      </c>
      <c r="L468" s="46">
        <f t="array" ref="L468">IF(SUMIF(Производство!$A$104:$A$145,Технологи!$B468,Производство!I$104:I$145)&gt;0,SUMIF(Производство!$A$104:$A$145,Технологи!$B468,Производство!I$104:I$145)*$F468+$G468,0)</f>
        <v>0</v>
      </c>
      <c r="M468" s="46">
        <f t="array" ref="M468">IF(SUMIF(Производство!$A$104:$A$145,Технологи!$B468,Производство!J$104:J$145)&gt;0,SUMIF(Производство!$A$104:$A$145,Технологи!$B468,Производство!J$104:J$145)*$F468+$G468,0)</f>
        <v>0</v>
      </c>
      <c r="N468" s="46">
        <f t="array" ref="N468">IF(SUMIF(Производство!$A$104:$A$145,Технологи!$B468,Производство!K$104:K$145)&gt;0,SUMIF(Производство!$A$104:$A$145,Технологи!$B468,Производство!K$104:K$145)*$F468+$G468,0)</f>
        <v>0</v>
      </c>
      <c r="O468" s="46">
        <f t="array" ref="O468">IF(SUMIF(Производство!$A$104:$A$145,Технологи!$B468,Производство!L$104:L$145)&gt;0,SUMIF(Производство!$A$104:$A$145,Технологи!$B468,Производство!L$104:L$145)*$F468+$G468,0)</f>
        <v>0</v>
      </c>
      <c r="P468" s="46">
        <f t="array" ref="P468">IF(SUMIF(Производство!$A$104:$A$145,Технологи!$B468,Производство!M$104:M$145)&gt;0,SUMIF(Производство!$A$104:$A$145,Технологи!$B468,Производство!M$104:M$145)*$F468+$G468,0)</f>
        <v>0</v>
      </c>
      <c r="Q468" s="46">
        <f t="array" ref="Q468">IF(SUMIF(Производство!$A$104:$A$145,Технологи!$B468,Производство!N$104:N$145)&gt;0,SUMIF(Производство!$A$104:$A$145,Технологи!$B468,Производство!N$104:N$145)*$F468+$G468,0)</f>
        <v>0</v>
      </c>
      <c r="R468" s="46">
        <f t="array" ref="R468">IF(SUMIF(Производство!$A$104:$A$145,Технологи!$B468,Производство!O$104:O$145)&gt;0,SUMIF(Производство!$A$104:$A$145,Технологи!$B468,Производство!O$104:O$145)*$F468+$G468,0)</f>
        <v>0</v>
      </c>
      <c r="S468" s="46">
        <f t="array" ref="S468">IF(SUMIF(Производство!$A$104:$A$145,Технологи!$B468,Производство!P$104:P$145)&gt;0,SUMIF(Производство!$A$104:$A$145,Технологи!$B468,Производство!P$104:P$145)*$F468+$G468,0)</f>
        <v>0</v>
      </c>
      <c r="T468" s="46">
        <f t="array" ref="T468">IF(SUMIF(Производство!$A$104:$A$145,Технологи!$B468,Производство!Q$104:Q$145)&gt;0,SUMIF(Производство!$A$104:$A$145,Технологи!$B468,Производство!Q$104:Q$145)*$F468+$G468,0)</f>
        <v>0</v>
      </c>
    </row>
    <row r="469" spans="1:20" x14ac:dyDescent="0.25">
      <c r="A469" s="34" t="s">
        <v>377</v>
      </c>
      <c r="B469" s="13" t="s">
        <v>24</v>
      </c>
      <c r="C469" s="19" t="s">
        <v>20</v>
      </c>
      <c r="D469" s="14">
        <v>7038</v>
      </c>
      <c r="E469" s="20"/>
      <c r="F469" s="24">
        <v>0</v>
      </c>
      <c r="G469" s="24">
        <v>0</v>
      </c>
      <c r="H469" s="23">
        <f t="shared" si="21"/>
        <v>0</v>
      </c>
      <c r="I469" s="46">
        <f t="array" ref="I469">IF(SUMIF(Производство!$A$104:$A$145,Технологи!$B469,Производство!F$104:F$145)&gt;0,SUMIF(Производство!$A$104:$A$145,Технологи!$B469,Производство!F$104:F$145)*$F469+$G469,0)</f>
        <v>0</v>
      </c>
      <c r="J469" s="46">
        <f t="array" ref="J469">IF(SUMIF(Производство!$A$104:$A$145,Технологи!$B469,Производство!G$104:G$145)&gt;0,SUMIF(Производство!$A$104:$A$145,Технологи!$B469,Производство!G$104:G$145)*$F469+$G469,0)</f>
        <v>0</v>
      </c>
      <c r="K469" s="46">
        <f t="array" ref="K469">IF(SUMIF(Производство!$A$104:$A$145,Технологи!$B469,Производство!H$104:H$145)&gt;0,SUMIF(Производство!$A$104:$A$145,Технологи!$B469,Производство!H$104:H$145)*$F469+$G469,0)</f>
        <v>0</v>
      </c>
      <c r="L469" s="46">
        <f t="array" ref="L469">IF(SUMIF(Производство!$A$104:$A$145,Технологи!$B469,Производство!I$104:I$145)&gt;0,SUMIF(Производство!$A$104:$A$145,Технологи!$B469,Производство!I$104:I$145)*$F469+$G469,0)</f>
        <v>0</v>
      </c>
      <c r="M469" s="46">
        <f t="array" ref="M469">IF(SUMIF(Производство!$A$104:$A$145,Технологи!$B469,Производство!J$104:J$145)&gt;0,SUMIF(Производство!$A$104:$A$145,Технологи!$B469,Производство!J$104:J$145)*$F469+$G469,0)</f>
        <v>0</v>
      </c>
      <c r="N469" s="46">
        <f t="array" ref="N469">IF(SUMIF(Производство!$A$104:$A$145,Технологи!$B469,Производство!K$104:K$145)&gt;0,SUMIF(Производство!$A$104:$A$145,Технологи!$B469,Производство!K$104:K$145)*$F469+$G469,0)</f>
        <v>0</v>
      </c>
      <c r="O469" s="46">
        <f t="array" ref="O469">IF(SUMIF(Производство!$A$104:$A$145,Технологи!$B469,Производство!L$104:L$145)&gt;0,SUMIF(Производство!$A$104:$A$145,Технологи!$B469,Производство!L$104:L$145)*$F469+$G469,0)</f>
        <v>0</v>
      </c>
      <c r="P469" s="46">
        <f t="array" ref="P469">IF(SUMIF(Производство!$A$104:$A$145,Технологи!$B469,Производство!M$104:M$145)&gt;0,SUMIF(Производство!$A$104:$A$145,Технологи!$B469,Производство!M$104:M$145)*$F469+$G469,0)</f>
        <v>0</v>
      </c>
      <c r="Q469" s="46">
        <f t="array" ref="Q469">IF(SUMIF(Производство!$A$104:$A$145,Технологи!$B469,Производство!N$104:N$145)&gt;0,SUMIF(Производство!$A$104:$A$145,Технологи!$B469,Производство!N$104:N$145)*$F469+$G469,0)</f>
        <v>0</v>
      </c>
      <c r="R469" s="46">
        <f t="array" ref="R469">IF(SUMIF(Производство!$A$104:$A$145,Технологи!$B469,Производство!O$104:O$145)&gt;0,SUMIF(Производство!$A$104:$A$145,Технологи!$B469,Производство!O$104:O$145)*$F469+$G469,0)</f>
        <v>0</v>
      </c>
      <c r="S469" s="46">
        <f t="array" ref="S469">IF(SUMIF(Производство!$A$104:$A$145,Технологи!$B469,Производство!P$104:P$145)&gt;0,SUMIF(Производство!$A$104:$A$145,Технологи!$B469,Производство!P$104:P$145)*$F469+$G469,0)</f>
        <v>0</v>
      </c>
      <c r="T469" s="46">
        <f t="array" ref="T469">IF(SUMIF(Производство!$A$104:$A$145,Технологи!$B469,Производство!Q$104:Q$145)&gt;0,SUMIF(Производство!$A$104:$A$145,Технологи!$B469,Производство!Q$104:Q$145)*$F469+$G469,0)</f>
        <v>0</v>
      </c>
    </row>
    <row r="470" spans="1:20" x14ac:dyDescent="0.25">
      <c r="A470" s="34" t="s">
        <v>377</v>
      </c>
      <c r="B470" s="13" t="s">
        <v>24</v>
      </c>
      <c r="C470" s="19" t="s">
        <v>21</v>
      </c>
      <c r="D470" s="14">
        <v>7038</v>
      </c>
      <c r="E470" s="20"/>
      <c r="F470" s="24">
        <v>8.0500000000000002E-2</v>
      </c>
      <c r="G470" s="24">
        <v>1.2075</v>
      </c>
      <c r="H470" s="23">
        <f t="shared" si="21"/>
        <v>80.5</v>
      </c>
      <c r="I470" s="46">
        <f t="array" ref="I470">IF(SUMIF(Производство!$A$104:$A$145,Технологи!$B470,Производство!F$104:F$145)&gt;0,SUMIF(Производство!$A$104:$A$145,Технологи!$B470,Производство!F$104:F$145)*$F470+$G470,0)</f>
        <v>0</v>
      </c>
      <c r="J470" s="46">
        <f t="array" ref="J470">IF(SUMIF(Производство!$A$104:$A$145,Технологи!$B470,Производство!G$104:G$145)&gt;0,SUMIF(Производство!$A$104:$A$145,Технологи!$B470,Производство!G$104:G$145)*$F470+$G470,0)</f>
        <v>0</v>
      </c>
      <c r="K470" s="46">
        <f t="array" ref="K470">IF(SUMIF(Производство!$A$104:$A$145,Технологи!$B470,Производство!H$104:H$145)&gt;0,SUMIF(Производство!$A$104:$A$145,Технологи!$B470,Производство!H$104:H$145)*$F470+$G470,0)</f>
        <v>0</v>
      </c>
      <c r="L470" s="46">
        <f t="array" ref="L470">IF(SUMIF(Производство!$A$104:$A$145,Технологи!$B470,Производство!I$104:I$145)&gt;0,SUMIF(Производство!$A$104:$A$145,Технологи!$B470,Производство!I$104:I$145)*$F470+$G470,0)</f>
        <v>0</v>
      </c>
      <c r="M470" s="46">
        <f t="array" ref="M470">IF(SUMIF(Производство!$A$104:$A$145,Технологи!$B470,Производство!J$104:J$145)&gt;0,SUMIF(Производство!$A$104:$A$145,Технологи!$B470,Производство!J$104:J$145)*$F470+$G470,0)</f>
        <v>0</v>
      </c>
      <c r="N470" s="46">
        <f t="array" ref="N470">IF(SUMIF(Производство!$A$104:$A$145,Технологи!$B470,Производство!K$104:K$145)&gt;0,SUMIF(Производство!$A$104:$A$145,Технологи!$B470,Производство!K$104:K$145)*$F470+$G470,0)</f>
        <v>0</v>
      </c>
      <c r="O470" s="46">
        <f t="array" ref="O470">IF(SUMIF(Производство!$A$104:$A$145,Технологи!$B470,Производство!L$104:L$145)&gt;0,SUMIF(Производство!$A$104:$A$145,Технологи!$B470,Производство!L$104:L$145)*$F470+$G470,0)</f>
        <v>0</v>
      </c>
      <c r="P470" s="46">
        <f t="array" ref="P470">IF(SUMIF(Производство!$A$104:$A$145,Технологи!$B470,Производство!M$104:M$145)&gt;0,SUMIF(Производство!$A$104:$A$145,Технологи!$B470,Производство!M$104:M$145)*$F470+$G470,0)</f>
        <v>0</v>
      </c>
      <c r="Q470" s="46">
        <f t="array" ref="Q470">IF(SUMIF(Производство!$A$104:$A$145,Технологи!$B470,Производство!N$104:N$145)&gt;0,SUMIF(Производство!$A$104:$A$145,Технологи!$B470,Производство!N$104:N$145)*$F470+$G470,0)</f>
        <v>0</v>
      </c>
      <c r="R470" s="46">
        <f t="array" ref="R470">IF(SUMIF(Производство!$A$104:$A$145,Технологи!$B470,Производство!O$104:O$145)&gt;0,SUMIF(Производство!$A$104:$A$145,Технологи!$B470,Производство!O$104:O$145)*$F470+$G470,0)</f>
        <v>0</v>
      </c>
      <c r="S470" s="46">
        <f t="array" ref="S470">IF(SUMIF(Производство!$A$104:$A$145,Технологи!$B470,Производство!P$104:P$145)&gt;0,SUMIF(Производство!$A$104:$A$145,Технологи!$B470,Производство!P$104:P$145)*$F470+$G470,0)</f>
        <v>0</v>
      </c>
      <c r="T470" s="46">
        <f t="array" ref="T470">IF(SUMIF(Производство!$A$104:$A$145,Технологи!$B470,Производство!Q$104:Q$145)&gt;0,SUMIF(Производство!$A$104:$A$145,Технологи!$B470,Производство!Q$104:Q$145)*$F470+$G470,0)</f>
        <v>0</v>
      </c>
    </row>
    <row r="471" spans="1:20" x14ac:dyDescent="0.25">
      <c r="A471" s="34" t="s">
        <v>377</v>
      </c>
      <c r="B471" s="13" t="s">
        <v>24</v>
      </c>
      <c r="C471" s="19" t="s">
        <v>22</v>
      </c>
      <c r="D471" s="14">
        <v>7038</v>
      </c>
      <c r="E471" s="20"/>
      <c r="F471" s="24">
        <v>0.06</v>
      </c>
      <c r="G471" s="24">
        <v>0.9</v>
      </c>
      <c r="H471" s="23">
        <f t="shared" si="21"/>
        <v>60</v>
      </c>
      <c r="I471" s="46">
        <f t="array" ref="I471">IF(SUMIF(Производство!$A$104:$A$145,Технологи!$B471,Производство!F$104:F$145)&gt;0,SUMIF(Производство!$A$104:$A$145,Технологи!$B471,Производство!F$104:F$145)*$F471+$G471,0)</f>
        <v>0</v>
      </c>
      <c r="J471" s="46">
        <f t="array" ref="J471">IF(SUMIF(Производство!$A$104:$A$145,Технологи!$B471,Производство!G$104:G$145)&gt;0,SUMIF(Производство!$A$104:$A$145,Технологи!$B471,Производство!G$104:G$145)*$F471+$G471,0)</f>
        <v>0</v>
      </c>
      <c r="K471" s="46">
        <f t="array" ref="K471">IF(SUMIF(Производство!$A$104:$A$145,Технологи!$B471,Производство!H$104:H$145)&gt;0,SUMIF(Производство!$A$104:$A$145,Технологи!$B471,Производство!H$104:H$145)*$F471+$G471,0)</f>
        <v>0</v>
      </c>
      <c r="L471" s="46">
        <f t="array" ref="L471">IF(SUMIF(Производство!$A$104:$A$145,Технологи!$B471,Производство!I$104:I$145)&gt;0,SUMIF(Производство!$A$104:$A$145,Технологи!$B471,Производство!I$104:I$145)*$F471+$G471,0)</f>
        <v>0</v>
      </c>
      <c r="M471" s="46">
        <f t="array" ref="M471">IF(SUMIF(Производство!$A$104:$A$145,Технологи!$B471,Производство!J$104:J$145)&gt;0,SUMIF(Производство!$A$104:$A$145,Технологи!$B471,Производство!J$104:J$145)*$F471+$G471,0)</f>
        <v>0</v>
      </c>
      <c r="N471" s="46">
        <f t="array" ref="N471">IF(SUMIF(Производство!$A$104:$A$145,Технологи!$B471,Производство!K$104:K$145)&gt;0,SUMIF(Производство!$A$104:$A$145,Технологи!$B471,Производство!K$104:K$145)*$F471+$G471,0)</f>
        <v>0</v>
      </c>
      <c r="O471" s="46">
        <f t="array" ref="O471">IF(SUMIF(Производство!$A$104:$A$145,Технологи!$B471,Производство!L$104:L$145)&gt;0,SUMIF(Производство!$A$104:$A$145,Технологи!$B471,Производство!L$104:L$145)*$F471+$G471,0)</f>
        <v>0</v>
      </c>
      <c r="P471" s="46">
        <f t="array" ref="P471">IF(SUMIF(Производство!$A$104:$A$145,Технологи!$B471,Производство!M$104:M$145)&gt;0,SUMIF(Производство!$A$104:$A$145,Технологи!$B471,Производство!M$104:M$145)*$F471+$G471,0)</f>
        <v>0</v>
      </c>
      <c r="Q471" s="46">
        <f t="array" ref="Q471">IF(SUMIF(Производство!$A$104:$A$145,Технологи!$B471,Производство!N$104:N$145)&gt;0,SUMIF(Производство!$A$104:$A$145,Технологи!$B471,Производство!N$104:N$145)*$F471+$G471,0)</f>
        <v>0</v>
      </c>
      <c r="R471" s="46">
        <f t="array" ref="R471">IF(SUMIF(Производство!$A$104:$A$145,Технологи!$B471,Производство!O$104:O$145)&gt;0,SUMIF(Производство!$A$104:$A$145,Технологи!$B471,Производство!O$104:O$145)*$F471+$G471,0)</f>
        <v>0</v>
      </c>
      <c r="S471" s="46">
        <f t="array" ref="S471">IF(SUMIF(Производство!$A$104:$A$145,Технологи!$B471,Производство!P$104:P$145)&gt;0,SUMIF(Производство!$A$104:$A$145,Технологи!$B471,Производство!P$104:P$145)*$F471+$G471,0)</f>
        <v>0</v>
      </c>
      <c r="T471" s="46">
        <f t="array" ref="T471">IF(SUMIF(Производство!$A$104:$A$145,Технологи!$B471,Производство!Q$104:Q$145)&gt;0,SUMIF(Производство!$A$104:$A$145,Технологи!$B471,Производство!Q$104:Q$145)*$F471+$G471,0)</f>
        <v>0</v>
      </c>
    </row>
    <row r="472" spans="1:20" x14ac:dyDescent="0.25">
      <c r="A472" s="34" t="s">
        <v>377</v>
      </c>
      <c r="B472" s="13" t="s">
        <v>24</v>
      </c>
      <c r="C472" s="19" t="s">
        <v>23</v>
      </c>
      <c r="D472" s="14">
        <v>7038</v>
      </c>
      <c r="E472" s="20"/>
      <c r="F472" s="24">
        <v>0</v>
      </c>
      <c r="G472" s="24">
        <v>0</v>
      </c>
      <c r="H472" s="23">
        <f t="shared" si="21"/>
        <v>0</v>
      </c>
      <c r="I472" s="46">
        <f t="array" ref="I472">IF(SUMIF(Производство!$A$104:$A$145,Технологи!$B472,Производство!F$104:F$145)&gt;0,SUMIF(Производство!$A$104:$A$145,Технологи!$B472,Производство!F$104:F$145)*$F472+$G472,0)</f>
        <v>0</v>
      </c>
      <c r="J472" s="46">
        <f t="array" ref="J472">IF(SUMIF(Производство!$A$104:$A$145,Технологи!$B472,Производство!G$104:G$145)&gt;0,SUMIF(Производство!$A$104:$A$145,Технологи!$B472,Производство!G$104:G$145)*$F472+$G472,0)</f>
        <v>0</v>
      </c>
      <c r="K472" s="46">
        <f t="array" ref="K472">IF(SUMIF(Производство!$A$104:$A$145,Технологи!$B472,Производство!H$104:H$145)&gt;0,SUMIF(Производство!$A$104:$A$145,Технологи!$B472,Производство!H$104:H$145)*$F472+$G472,0)</f>
        <v>0</v>
      </c>
      <c r="L472" s="46">
        <f t="array" ref="L472">IF(SUMIF(Производство!$A$104:$A$145,Технологи!$B472,Производство!I$104:I$145)&gt;0,SUMIF(Производство!$A$104:$A$145,Технологи!$B472,Производство!I$104:I$145)*$F472+$G472,0)</f>
        <v>0</v>
      </c>
      <c r="M472" s="46">
        <f t="array" ref="M472">IF(SUMIF(Производство!$A$104:$A$145,Технологи!$B472,Производство!J$104:J$145)&gt;0,SUMIF(Производство!$A$104:$A$145,Технологи!$B472,Производство!J$104:J$145)*$F472+$G472,0)</f>
        <v>0</v>
      </c>
      <c r="N472" s="46">
        <f t="array" ref="N472">IF(SUMIF(Производство!$A$104:$A$145,Технологи!$B472,Производство!K$104:K$145)&gt;0,SUMIF(Производство!$A$104:$A$145,Технологи!$B472,Производство!K$104:K$145)*$F472+$G472,0)</f>
        <v>0</v>
      </c>
      <c r="O472" s="46">
        <f t="array" ref="O472">IF(SUMIF(Производство!$A$104:$A$145,Технологи!$B472,Производство!L$104:L$145)&gt;0,SUMIF(Производство!$A$104:$A$145,Технологи!$B472,Производство!L$104:L$145)*$F472+$G472,0)</f>
        <v>0</v>
      </c>
      <c r="P472" s="46">
        <f t="array" ref="P472">IF(SUMIF(Производство!$A$104:$A$145,Технологи!$B472,Производство!M$104:M$145)&gt;0,SUMIF(Производство!$A$104:$A$145,Технологи!$B472,Производство!M$104:M$145)*$F472+$G472,0)</f>
        <v>0</v>
      </c>
      <c r="Q472" s="46">
        <f t="array" ref="Q472">IF(SUMIF(Производство!$A$104:$A$145,Технологи!$B472,Производство!N$104:N$145)&gt;0,SUMIF(Производство!$A$104:$A$145,Технологи!$B472,Производство!N$104:N$145)*$F472+$G472,0)</f>
        <v>0</v>
      </c>
      <c r="R472" s="46">
        <f t="array" ref="R472">IF(SUMIF(Производство!$A$104:$A$145,Технологи!$B472,Производство!O$104:O$145)&gt;0,SUMIF(Производство!$A$104:$A$145,Технологи!$B472,Производство!O$104:O$145)*$F472+$G472,0)</f>
        <v>0</v>
      </c>
      <c r="S472" s="46">
        <f t="array" ref="S472">IF(SUMIF(Производство!$A$104:$A$145,Технологи!$B472,Производство!P$104:P$145)&gt;0,SUMIF(Производство!$A$104:$A$145,Технологи!$B472,Производство!P$104:P$145)*$F472+$G472,0)</f>
        <v>0</v>
      </c>
      <c r="T472" s="46">
        <f t="array" ref="T472">IF(SUMIF(Производство!$A$104:$A$145,Технологи!$B472,Производство!Q$104:Q$145)&gt;0,SUMIF(Производство!$A$104:$A$145,Технологи!$B472,Производство!Q$104:Q$145)*$F472+$G472,0)</f>
        <v>0</v>
      </c>
    </row>
    <row r="473" spans="1:20" x14ac:dyDescent="0.25">
      <c r="A473" s="34" t="s">
        <v>377</v>
      </c>
      <c r="B473" s="13" t="s">
        <v>25</v>
      </c>
      <c r="C473" s="15" t="s">
        <v>11</v>
      </c>
      <c r="D473" s="14">
        <v>7038</v>
      </c>
      <c r="E473" s="16">
        <v>1.121</v>
      </c>
      <c r="F473" s="22">
        <f>SUM(F474:F485)</f>
        <v>1.1222819934360446</v>
      </c>
      <c r="G473" s="22">
        <f>SUM(G474:G485)</f>
        <v>49.920079999999999</v>
      </c>
      <c r="H473" s="23">
        <f t="shared" ref="H473:H488" si="22">F473*1000</f>
        <v>1122.2819934360446</v>
      </c>
      <c r="I473" s="46">
        <f t="array" ref="I473">IF(SUMIF(Производство!$A$104:$A$145,Технологи!$B473,Производство!F$104:F$145)&gt;0,SUMIF(Производство!$A$104:$A$145,Технологи!$B473,Производство!F$104:F$145)*$F473+$G473,0)</f>
        <v>3160.2049881458961</v>
      </c>
      <c r="J473" s="46">
        <f t="array" ref="J473">IF(SUMIF(Производство!$A$104:$A$145,Технологи!$B473,Производство!G$104:G$145)&gt;0,SUMIF(Производство!$A$104:$A$145,Технологи!$B473,Производство!G$104:G$145)*$F473+$G473,0)</f>
        <v>0</v>
      </c>
      <c r="K473" s="46">
        <f t="array" ref="K473">IF(SUMIF(Производство!$A$104:$A$145,Технологи!$B473,Производство!H$104:H$145)&gt;0,SUMIF(Производство!$A$104:$A$145,Технологи!$B473,Производство!H$104:H$145)*$F473+$G473,0)</f>
        <v>1160.6038436203687</v>
      </c>
      <c r="L473" s="46">
        <f t="array" ref="L473">IF(SUMIF(Производство!$A$104:$A$145,Технологи!$B473,Производство!I$104:I$145)&gt;0,SUMIF(Производство!$A$104:$A$145,Технологи!$B473,Производство!I$104:I$145)*$F473+$G473,0)</f>
        <v>1160.6038436203687</v>
      </c>
      <c r="M473" s="46">
        <f t="array" ref="M473">IF(SUMIF(Производство!$A$104:$A$145,Технологи!$B473,Производство!J$104:J$145)&gt;0,SUMIF(Производство!$A$104:$A$145,Технологи!$B473,Производство!J$104:J$145)*$F473+$G473,0)</f>
        <v>908.59996447961282</v>
      </c>
      <c r="N473" s="46">
        <f t="array" ref="N473">IF(SUMIF(Производство!$A$104:$A$145,Технологи!$B473,Производство!K$104:K$145)&gt;0,SUMIF(Производство!$A$104:$A$145,Технологи!$B473,Производство!K$104:K$145)*$F473+$G473,0)</f>
        <v>908.59996447961282</v>
      </c>
      <c r="O473" s="46">
        <f t="array" ref="O473">IF(SUMIF(Производство!$A$104:$A$145,Технологи!$B473,Производство!L$104:L$145)&gt;0,SUMIF(Производство!$A$104:$A$145,Технологи!$B473,Производство!L$104:L$145)*$F473+$G473,0)</f>
        <v>908.59996447961282</v>
      </c>
      <c r="P473" s="46">
        <f t="array" ref="P473">IF(SUMIF(Производство!$A$104:$A$145,Технологи!$B473,Производство!M$104:M$145)&gt;0,SUMIF(Производство!$A$104:$A$145,Технологи!$B473,Производство!M$104:M$145)*$F473+$G473,0)</f>
        <v>908.59996447961282</v>
      </c>
      <c r="Q473" s="46">
        <f t="array" ref="Q473">IF(SUMIF(Производство!$A$104:$A$145,Технологи!$B473,Производство!N$104:N$145)&gt;0,SUMIF(Производство!$A$104:$A$145,Технологи!$B473,Производство!N$104:N$145)*$F473+$G473,0)</f>
        <v>908.59996447961282</v>
      </c>
      <c r="R473" s="46">
        <f t="array" ref="R473">IF(SUMIF(Производство!$A$104:$A$145,Технологи!$B473,Производство!O$104:O$145)&gt;0,SUMIF(Производство!$A$104:$A$145,Технологи!$B473,Производство!O$104:O$145)*$F473+$G473,0)</f>
        <v>908.59996447961282</v>
      </c>
      <c r="S473" s="46">
        <f t="array" ref="S473">IF(SUMIF(Производство!$A$104:$A$145,Технологи!$B473,Производство!P$104:P$145)&gt;0,SUMIF(Производство!$A$104:$A$145,Технологи!$B473,Производство!P$104:P$145)*$F473+$G473,0)</f>
        <v>908.59996447961282</v>
      </c>
      <c r="T473" s="46">
        <f t="array" ref="T473">IF(SUMIF(Производство!$A$104:$A$145,Технологи!$B473,Производство!Q$104:Q$145)&gt;0,SUMIF(Производство!$A$104:$A$145,Технологи!$B473,Производство!Q$104:Q$145)*$F473+$G473,0)</f>
        <v>908.59996447961282</v>
      </c>
    </row>
    <row r="474" spans="1:20" x14ac:dyDescent="0.25">
      <c r="A474" s="34" t="s">
        <v>377</v>
      </c>
      <c r="B474" s="13" t="s">
        <v>25</v>
      </c>
      <c r="C474" s="19" t="s">
        <v>12</v>
      </c>
      <c r="D474" s="14">
        <v>7038</v>
      </c>
      <c r="E474" s="20"/>
      <c r="F474" s="24">
        <v>0.28183617198136873</v>
      </c>
      <c r="G474" s="24">
        <v>20.56569684555695</v>
      </c>
      <c r="H474" s="23">
        <f t="shared" si="22"/>
        <v>281.83617198136875</v>
      </c>
      <c r="I474" s="46">
        <f t="array" ref="I474">IF(SUMIF(Производство!$A$104:$A$145,Технологи!$B474,Производство!F$104:F$145)&gt;0,SUMIF(Производство!$A$104:$A$145,Технологи!$B474,Производство!F$104:F$145)*$F474+$G474,0)</f>
        <v>801.64460340400626</v>
      </c>
      <c r="J474" s="46">
        <f t="array" ref="J474">IF(SUMIF(Производство!$A$104:$A$145,Технологи!$B474,Производство!G$104:G$145)&gt;0,SUMIF(Производство!$A$104:$A$145,Технологи!$B474,Производство!G$104:G$145)*$F474+$G474,0)</f>
        <v>0</v>
      </c>
      <c r="K474" s="46">
        <f t="array" ref="K474">IF(SUMIF(Производство!$A$104:$A$145,Технологи!$B474,Производство!H$104:H$145)&gt;0,SUMIF(Производство!$A$104:$A$145,Технологи!$B474,Производство!H$104:H$145)*$F474+$G474,0)</f>
        <v>299.48923126156444</v>
      </c>
      <c r="L474" s="46">
        <f t="array" ref="L474">IF(SUMIF(Производство!$A$104:$A$145,Технологи!$B474,Производство!I$104:I$145)&gt;0,SUMIF(Производство!$A$104:$A$145,Технологи!$B474,Производство!I$104:I$145)*$F474+$G474,0)</f>
        <v>299.48923126156444</v>
      </c>
      <c r="M474" s="46">
        <f t="array" ref="M474">IF(SUMIF(Производство!$A$104:$A$145,Технологи!$B474,Производство!J$104:J$145)&gt;0,SUMIF(Производство!$A$104:$A$145,Технологи!$B474,Производство!J$104:J$145)*$F474+$G474,0)</f>
        <v>236.20405958734429</v>
      </c>
      <c r="N474" s="46">
        <f t="array" ref="N474">IF(SUMIF(Производство!$A$104:$A$145,Технологи!$B474,Производство!K$104:K$145)&gt;0,SUMIF(Производство!$A$104:$A$145,Технологи!$B474,Производство!K$104:K$145)*$F474+$G474,0)</f>
        <v>236.20405958734429</v>
      </c>
      <c r="O474" s="46">
        <f t="array" ref="O474">IF(SUMIF(Производство!$A$104:$A$145,Технологи!$B474,Производство!L$104:L$145)&gt;0,SUMIF(Производство!$A$104:$A$145,Технологи!$B474,Производство!L$104:L$145)*$F474+$G474,0)</f>
        <v>236.20405958734429</v>
      </c>
      <c r="P474" s="46">
        <f t="array" ref="P474">IF(SUMIF(Производство!$A$104:$A$145,Технологи!$B474,Производство!M$104:M$145)&gt;0,SUMIF(Производство!$A$104:$A$145,Технологи!$B474,Производство!M$104:M$145)*$F474+$G474,0)</f>
        <v>236.20405958734429</v>
      </c>
      <c r="Q474" s="46">
        <f t="array" ref="Q474">IF(SUMIF(Производство!$A$104:$A$145,Технологи!$B474,Производство!N$104:N$145)&gt;0,SUMIF(Производство!$A$104:$A$145,Технологи!$B474,Производство!N$104:N$145)*$F474+$G474,0)</f>
        <v>236.20405958734429</v>
      </c>
      <c r="R474" s="46">
        <f t="array" ref="R474">IF(SUMIF(Производство!$A$104:$A$145,Технологи!$B474,Производство!O$104:O$145)&gt;0,SUMIF(Производство!$A$104:$A$145,Технологи!$B474,Производство!O$104:O$145)*$F474+$G474,0)</f>
        <v>236.20405958734429</v>
      </c>
      <c r="S474" s="46">
        <f t="array" ref="S474">IF(SUMIF(Производство!$A$104:$A$145,Технологи!$B474,Производство!P$104:P$145)&gt;0,SUMIF(Производство!$A$104:$A$145,Технологи!$B474,Производство!P$104:P$145)*$F474+$G474,0)</f>
        <v>236.20405958734429</v>
      </c>
      <c r="T474" s="46">
        <f t="array" ref="T474">IF(SUMIF(Производство!$A$104:$A$145,Технологи!$B474,Производство!Q$104:Q$145)&gt;0,SUMIF(Производство!$A$104:$A$145,Технологи!$B474,Производство!Q$104:Q$145)*$F474+$G474,0)</f>
        <v>236.20405958734429</v>
      </c>
    </row>
    <row r="475" spans="1:20" x14ac:dyDescent="0.25">
      <c r="A475" s="34" t="s">
        <v>377</v>
      </c>
      <c r="B475" s="13" t="s">
        <v>25</v>
      </c>
      <c r="C475" s="19" t="s">
        <v>13</v>
      </c>
      <c r="D475" s="14">
        <v>7038</v>
      </c>
      <c r="E475" s="20"/>
      <c r="F475" s="24">
        <v>9.933109351486924E-2</v>
      </c>
      <c r="G475" s="24">
        <v>6.3804539479702038</v>
      </c>
      <c r="H475" s="23">
        <f t="shared" si="22"/>
        <v>99.331093514869238</v>
      </c>
      <c r="I475" s="46">
        <f t="array" ref="I475">IF(SUMIF(Производство!$A$104:$A$145,Технологи!$B475,Производство!F$104:F$145)&gt;0,SUMIF(Производство!$A$104:$A$145,Технологи!$B475,Производство!F$104:F$145)*$F475+$G475,0)</f>
        <v>281.66599080580846</v>
      </c>
      <c r="J475" s="46">
        <f t="array" ref="J475">IF(SUMIF(Производство!$A$104:$A$145,Технологи!$B475,Производство!G$104:G$145)&gt;0,SUMIF(Производство!$A$104:$A$145,Технологи!$B475,Производство!G$104:G$145)*$F475+$G475,0)</f>
        <v>0</v>
      </c>
      <c r="K475" s="46">
        <f t="array" ref="K475">IF(SUMIF(Производство!$A$104:$A$145,Технологи!$B475,Производство!H$104:H$145)&gt;0,SUMIF(Производство!$A$104:$A$145,Технологи!$B475,Производство!H$104:H$145)*$F475+$G475,0)</f>
        <v>104.68500969678243</v>
      </c>
      <c r="L475" s="46">
        <f t="array" ref="L475">IF(SUMIF(Производство!$A$104:$A$145,Технологи!$B475,Производство!I$104:I$145)&gt;0,SUMIF(Производство!$A$104:$A$145,Технологи!$B475,Производство!I$104:I$145)*$F475+$G475,0)</f>
        <v>104.68500969678243</v>
      </c>
      <c r="M475" s="46">
        <f t="array" ref="M475">IF(SUMIF(Производство!$A$104:$A$145,Технологи!$B475,Производство!J$104:J$145)&gt;0,SUMIF(Производство!$A$104:$A$145,Технологи!$B475,Производство!J$104:J$145)*$F475+$G475,0)</f>
        <v>82.380614694951092</v>
      </c>
      <c r="N475" s="46">
        <f t="array" ref="N475">IF(SUMIF(Производство!$A$104:$A$145,Технологи!$B475,Производство!K$104:K$145)&gt;0,SUMIF(Производство!$A$104:$A$145,Технологи!$B475,Производство!K$104:K$145)*$F475+$G475,0)</f>
        <v>82.380614694951092</v>
      </c>
      <c r="O475" s="46">
        <f t="array" ref="O475">IF(SUMIF(Производство!$A$104:$A$145,Технологи!$B475,Производство!L$104:L$145)&gt;0,SUMIF(Производство!$A$104:$A$145,Технологи!$B475,Производство!L$104:L$145)*$F475+$G475,0)</f>
        <v>82.380614694951092</v>
      </c>
      <c r="P475" s="46">
        <f t="array" ref="P475">IF(SUMIF(Производство!$A$104:$A$145,Технологи!$B475,Производство!M$104:M$145)&gt;0,SUMIF(Производство!$A$104:$A$145,Технологи!$B475,Производство!M$104:M$145)*$F475+$G475,0)</f>
        <v>82.380614694951092</v>
      </c>
      <c r="Q475" s="46">
        <f t="array" ref="Q475">IF(SUMIF(Производство!$A$104:$A$145,Технологи!$B475,Производство!N$104:N$145)&gt;0,SUMIF(Производство!$A$104:$A$145,Технологи!$B475,Производство!N$104:N$145)*$F475+$G475,0)</f>
        <v>82.380614694951092</v>
      </c>
      <c r="R475" s="46">
        <f t="array" ref="R475">IF(SUMIF(Производство!$A$104:$A$145,Технологи!$B475,Производство!O$104:O$145)&gt;0,SUMIF(Производство!$A$104:$A$145,Технологи!$B475,Производство!O$104:O$145)*$F475+$G475,0)</f>
        <v>82.380614694951092</v>
      </c>
      <c r="S475" s="46">
        <f t="array" ref="S475">IF(SUMIF(Производство!$A$104:$A$145,Технологи!$B475,Производство!P$104:P$145)&gt;0,SUMIF(Производство!$A$104:$A$145,Технологи!$B475,Производство!P$104:P$145)*$F475+$G475,0)</f>
        <v>82.380614694951092</v>
      </c>
      <c r="T475" s="46">
        <f t="array" ref="T475">IF(SUMIF(Производство!$A$104:$A$145,Технологи!$B475,Производство!Q$104:Q$145)&gt;0,SUMIF(Производство!$A$104:$A$145,Технологи!$B475,Производство!Q$104:Q$145)*$F475+$G475,0)</f>
        <v>82.380614694951092</v>
      </c>
    </row>
    <row r="476" spans="1:20" x14ac:dyDescent="0.25">
      <c r="A476" s="34" t="s">
        <v>377</v>
      </c>
      <c r="B476" s="13" t="s">
        <v>25</v>
      </c>
      <c r="C476" s="19" t="s">
        <v>14</v>
      </c>
      <c r="D476" s="14">
        <v>7038</v>
      </c>
      <c r="E476" s="20"/>
      <c r="F476" s="24">
        <v>8.5140937298459353E-4</v>
      </c>
      <c r="G476" s="24">
        <v>6.1697090536670857E-2</v>
      </c>
      <c r="H476" s="23">
        <f t="shared" si="22"/>
        <v>0.85140937298459352</v>
      </c>
      <c r="I476" s="46">
        <f t="array" ref="I476">IF(SUMIF(Производство!$A$104:$A$145,Технологи!$B476,Производство!F$104:F$145)&gt;0,SUMIF(Производство!$A$104:$A$145,Технологи!$B476,Производство!F$104:F$145)*$F476+$G476,0)</f>
        <v>2.421287406460999</v>
      </c>
      <c r="J476" s="46">
        <f t="array" ref="J476">IF(SUMIF(Производство!$A$104:$A$145,Технологи!$B476,Производство!G$104:G$145)&gt;0,SUMIF(Производство!$A$104:$A$145,Технологи!$B476,Производство!G$104:G$145)*$F476+$G476,0)</f>
        <v>0</v>
      </c>
      <c r="K476" s="46">
        <f t="array" ref="K476">IF(SUMIF(Производство!$A$104:$A$145,Технологи!$B476,Производство!H$104:H$145)&gt;0,SUMIF(Производство!$A$104:$A$145,Технологи!$B476,Производство!H$104:H$145)*$F476+$G476,0)</f>
        <v>0.9043075683836328</v>
      </c>
      <c r="L476" s="46">
        <f t="array" ref="L476">IF(SUMIF(Производство!$A$104:$A$145,Технологи!$B476,Производство!I$104:I$145)&gt;0,SUMIF(Производство!$A$104:$A$145,Технологи!$B476,Производство!I$104:I$145)*$F476+$G476,0)</f>
        <v>0.9043075683836328</v>
      </c>
      <c r="M476" s="46">
        <f t="array" ref="M476">IF(SUMIF(Производство!$A$104:$A$145,Технологи!$B476,Производство!J$104:J$145)&gt;0,SUMIF(Производство!$A$104:$A$145,Технологи!$B476,Производство!J$104:J$145)*$F476+$G476,0)</f>
        <v>0.71312703979650705</v>
      </c>
      <c r="N476" s="46">
        <f t="array" ref="N476">IF(SUMIF(Производство!$A$104:$A$145,Технологи!$B476,Производство!K$104:K$145)&gt;0,SUMIF(Производство!$A$104:$A$145,Технологи!$B476,Производство!K$104:K$145)*$F476+$G476,0)</f>
        <v>0.71312703979650705</v>
      </c>
      <c r="O476" s="46">
        <f t="array" ref="O476">IF(SUMIF(Производство!$A$104:$A$145,Технологи!$B476,Производство!L$104:L$145)&gt;0,SUMIF(Производство!$A$104:$A$145,Технологи!$B476,Производство!L$104:L$145)*$F476+$G476,0)</f>
        <v>0.71312703979650705</v>
      </c>
      <c r="P476" s="46">
        <f t="array" ref="P476">IF(SUMIF(Производство!$A$104:$A$145,Технологи!$B476,Производство!M$104:M$145)&gt;0,SUMIF(Производство!$A$104:$A$145,Технологи!$B476,Производство!M$104:M$145)*$F476+$G476,0)</f>
        <v>0.71312703979650705</v>
      </c>
      <c r="Q476" s="46">
        <f t="array" ref="Q476">IF(SUMIF(Производство!$A$104:$A$145,Технологи!$B476,Производство!N$104:N$145)&gt;0,SUMIF(Производство!$A$104:$A$145,Технологи!$B476,Производство!N$104:N$145)*$F476+$G476,0)</f>
        <v>0.71312703979650705</v>
      </c>
      <c r="R476" s="46">
        <f t="array" ref="R476">IF(SUMIF(Производство!$A$104:$A$145,Технологи!$B476,Производство!O$104:O$145)&gt;0,SUMIF(Производство!$A$104:$A$145,Технологи!$B476,Производство!O$104:O$145)*$F476+$G476,0)</f>
        <v>0.71312703979650705</v>
      </c>
      <c r="S476" s="46">
        <f t="array" ref="S476">IF(SUMIF(Производство!$A$104:$A$145,Технологи!$B476,Производство!P$104:P$145)&gt;0,SUMIF(Производство!$A$104:$A$145,Технологи!$B476,Производство!P$104:P$145)*$F476+$G476,0)</f>
        <v>0.71312703979650705</v>
      </c>
      <c r="T476" s="46">
        <f t="array" ref="T476">IF(SUMIF(Производство!$A$104:$A$145,Технологи!$B476,Производство!Q$104:Q$145)&gt;0,SUMIF(Производство!$A$104:$A$145,Технологи!$B476,Производство!Q$104:Q$145)*$F476+$G476,0)</f>
        <v>0.71312703979650705</v>
      </c>
    </row>
    <row r="477" spans="1:20" x14ac:dyDescent="0.25">
      <c r="A477" s="34" t="s">
        <v>377</v>
      </c>
      <c r="B477" s="13" t="s">
        <v>25</v>
      </c>
      <c r="C477" s="19" t="s">
        <v>15</v>
      </c>
      <c r="D477" s="14">
        <v>7038</v>
      </c>
      <c r="E477" s="20"/>
      <c r="F477" s="24">
        <v>4.2570468649229677E-4</v>
      </c>
      <c r="G477" s="24">
        <v>3.0848545268335428E-2</v>
      </c>
      <c r="H477" s="23">
        <f t="shared" si="22"/>
        <v>0.42570468649229676</v>
      </c>
      <c r="I477" s="46">
        <f t="array" ref="I477">IF(SUMIF(Производство!$A$104:$A$145,Технологи!$B477,Производство!F$104:F$145)&gt;0,SUMIF(Производство!$A$104:$A$145,Технологи!$B477,Производство!F$104:F$145)*$F477+$G477,0)</f>
        <v>1.2106437032304995</v>
      </c>
      <c r="J477" s="46">
        <f t="array" ref="J477">IF(SUMIF(Производство!$A$104:$A$145,Технологи!$B477,Производство!G$104:G$145)&gt;0,SUMIF(Производство!$A$104:$A$145,Технологи!$B477,Производство!G$104:G$145)*$F477+$G477,0)</f>
        <v>0</v>
      </c>
      <c r="K477" s="46">
        <f t="array" ref="K477">IF(SUMIF(Производство!$A$104:$A$145,Технологи!$B477,Производство!H$104:H$145)&gt;0,SUMIF(Производство!$A$104:$A$145,Технологи!$B477,Производство!H$104:H$145)*$F477+$G477,0)</f>
        <v>0.4521537841918164</v>
      </c>
      <c r="L477" s="46">
        <f t="array" ref="L477">IF(SUMIF(Производство!$A$104:$A$145,Технологи!$B477,Производство!I$104:I$145)&gt;0,SUMIF(Производство!$A$104:$A$145,Технологи!$B477,Производство!I$104:I$145)*$F477+$G477,0)</f>
        <v>0.4521537841918164</v>
      </c>
      <c r="M477" s="46">
        <f t="array" ref="M477">IF(SUMIF(Производство!$A$104:$A$145,Технологи!$B477,Производство!J$104:J$145)&gt;0,SUMIF(Производство!$A$104:$A$145,Технологи!$B477,Производство!J$104:J$145)*$F477+$G477,0)</f>
        <v>0.35656351989825352</v>
      </c>
      <c r="N477" s="46">
        <f t="array" ref="N477">IF(SUMIF(Производство!$A$104:$A$145,Технологи!$B477,Производство!K$104:K$145)&gt;0,SUMIF(Производство!$A$104:$A$145,Технологи!$B477,Производство!K$104:K$145)*$F477+$G477,0)</f>
        <v>0.35656351989825352</v>
      </c>
      <c r="O477" s="46">
        <f t="array" ref="O477">IF(SUMIF(Производство!$A$104:$A$145,Технологи!$B477,Производство!L$104:L$145)&gt;0,SUMIF(Производство!$A$104:$A$145,Технологи!$B477,Производство!L$104:L$145)*$F477+$G477,0)</f>
        <v>0.35656351989825352</v>
      </c>
      <c r="P477" s="46">
        <f t="array" ref="P477">IF(SUMIF(Производство!$A$104:$A$145,Технологи!$B477,Производство!M$104:M$145)&gt;0,SUMIF(Производство!$A$104:$A$145,Технологи!$B477,Производство!M$104:M$145)*$F477+$G477,0)</f>
        <v>0.35656351989825352</v>
      </c>
      <c r="Q477" s="46">
        <f t="array" ref="Q477">IF(SUMIF(Производство!$A$104:$A$145,Технологи!$B477,Производство!N$104:N$145)&gt;0,SUMIF(Производство!$A$104:$A$145,Технологи!$B477,Производство!N$104:N$145)*$F477+$G477,0)</f>
        <v>0.35656351989825352</v>
      </c>
      <c r="R477" s="46">
        <f t="array" ref="R477">IF(SUMIF(Производство!$A$104:$A$145,Технологи!$B477,Производство!O$104:O$145)&gt;0,SUMIF(Производство!$A$104:$A$145,Технологи!$B477,Производство!O$104:O$145)*$F477+$G477,0)</f>
        <v>0.35656351989825352</v>
      </c>
      <c r="S477" s="46">
        <f t="array" ref="S477">IF(SUMIF(Производство!$A$104:$A$145,Технологи!$B477,Производство!P$104:P$145)&gt;0,SUMIF(Производство!$A$104:$A$145,Технологи!$B477,Производство!P$104:P$145)*$F477+$G477,0)</f>
        <v>0.35656351989825352</v>
      </c>
      <c r="T477" s="46">
        <f t="array" ref="T477">IF(SUMIF(Производство!$A$104:$A$145,Технологи!$B477,Производство!Q$104:Q$145)&gt;0,SUMIF(Производство!$A$104:$A$145,Технологи!$B477,Производство!Q$104:Q$145)*$F477+$G477,0)</f>
        <v>0.35656351989825352</v>
      </c>
    </row>
    <row r="478" spans="1:20" x14ac:dyDescent="0.25">
      <c r="A478" s="34" t="s">
        <v>377</v>
      </c>
      <c r="B478" s="13" t="s">
        <v>25</v>
      </c>
      <c r="C478" s="19" t="s">
        <v>16</v>
      </c>
      <c r="D478" s="14">
        <v>7038</v>
      </c>
      <c r="E478" s="20"/>
      <c r="F478" s="24">
        <v>5.6479631673235411E-3</v>
      </c>
      <c r="G478" s="24">
        <v>0.4113139369111391</v>
      </c>
      <c r="H478" s="23">
        <f t="shared" si="22"/>
        <v>5.6479631673235406</v>
      </c>
      <c r="I478" s="46">
        <f t="array" ref="I478">IF(SUMIF(Производство!$A$104:$A$145,Технологи!$B478,Производство!F$104:F$145)&gt;0,SUMIF(Производство!$A$104:$A$145,Технологи!$B478,Производство!F$104:F$145)*$F478+$G478,0)</f>
        <v>16.064041775221039</v>
      </c>
      <c r="J478" s="46">
        <f t="array" ref="J478">IF(SUMIF(Производство!$A$104:$A$145,Технологи!$B478,Производство!G$104:G$145)&gt;0,SUMIF(Производство!$A$104:$A$145,Технологи!$B478,Производство!G$104:G$145)*$F478+$G478,0)</f>
        <v>0</v>
      </c>
      <c r="K478" s="46">
        <f t="array" ref="K478">IF(SUMIF(Производство!$A$104:$A$145,Технологи!$B478,Производство!H$104:H$145)&gt;0,SUMIF(Производство!$A$104:$A$145,Технологи!$B478,Производство!H$104:H$145)*$F478+$G478,0)</f>
        <v>6.0009081958959358</v>
      </c>
      <c r="L478" s="46">
        <f t="array" ref="L478">IF(SUMIF(Производство!$A$104:$A$145,Технологи!$B478,Производство!I$104:I$145)&gt;0,SUMIF(Производство!$A$104:$A$145,Технологи!$B478,Производство!I$104:I$145)*$F478+$G478,0)</f>
        <v>6.0009081958959358</v>
      </c>
      <c r="M478" s="46">
        <f t="array" ref="M478">IF(SUMIF(Производство!$A$104:$A$145,Технологи!$B478,Производство!J$104:J$145)&gt;0,SUMIF(Производство!$A$104:$A$145,Технологи!$B478,Производство!J$104:J$145)*$F478+$G478,0)</f>
        <v>4.7326809270506462</v>
      </c>
      <c r="N478" s="46">
        <f t="array" ref="N478">IF(SUMIF(Производство!$A$104:$A$145,Технологи!$B478,Производство!K$104:K$145)&gt;0,SUMIF(Производство!$A$104:$A$145,Технологи!$B478,Производство!K$104:K$145)*$F478+$G478,0)</f>
        <v>4.7326809270506462</v>
      </c>
      <c r="O478" s="46">
        <f t="array" ref="O478">IF(SUMIF(Производство!$A$104:$A$145,Технологи!$B478,Производство!L$104:L$145)&gt;0,SUMIF(Производство!$A$104:$A$145,Технологи!$B478,Производство!L$104:L$145)*$F478+$G478,0)</f>
        <v>4.7326809270506462</v>
      </c>
      <c r="P478" s="46">
        <f t="array" ref="P478">IF(SUMIF(Производство!$A$104:$A$145,Технологи!$B478,Производство!M$104:M$145)&gt;0,SUMIF(Производство!$A$104:$A$145,Технологи!$B478,Производство!M$104:M$145)*$F478+$G478,0)</f>
        <v>4.7326809270506462</v>
      </c>
      <c r="Q478" s="46">
        <f t="array" ref="Q478">IF(SUMIF(Производство!$A$104:$A$145,Технологи!$B478,Производство!N$104:N$145)&gt;0,SUMIF(Производство!$A$104:$A$145,Технологи!$B478,Производство!N$104:N$145)*$F478+$G478,0)</f>
        <v>4.7326809270506462</v>
      </c>
      <c r="R478" s="46">
        <f t="array" ref="R478">IF(SUMIF(Производство!$A$104:$A$145,Технологи!$B478,Производство!O$104:O$145)&gt;0,SUMIF(Производство!$A$104:$A$145,Технологи!$B478,Производство!O$104:O$145)*$F478+$G478,0)</f>
        <v>4.7326809270506462</v>
      </c>
      <c r="S478" s="46">
        <f t="array" ref="S478">IF(SUMIF(Производство!$A$104:$A$145,Технологи!$B478,Производство!P$104:P$145)&gt;0,SUMIF(Производство!$A$104:$A$145,Технологи!$B478,Производство!P$104:P$145)*$F478+$G478,0)</f>
        <v>4.7326809270506462</v>
      </c>
      <c r="T478" s="46">
        <f t="array" ref="T478">IF(SUMIF(Производство!$A$104:$A$145,Технологи!$B478,Производство!Q$104:Q$145)&gt;0,SUMIF(Производство!$A$104:$A$145,Технологи!$B478,Производство!Q$104:Q$145)*$F478+$G478,0)</f>
        <v>4.7326809270506462</v>
      </c>
    </row>
    <row r="479" spans="1:20" x14ac:dyDescent="0.25">
      <c r="A479" s="34" t="s">
        <v>377</v>
      </c>
      <c r="B479" s="13" t="s">
        <v>25</v>
      </c>
      <c r="C479" s="19" t="s">
        <v>17</v>
      </c>
      <c r="D479" s="14">
        <v>7038</v>
      </c>
      <c r="E479" s="20"/>
      <c r="F479" s="24">
        <v>3.1372889931924049E-3</v>
      </c>
      <c r="G479" s="24">
        <v>0.2262226653011265</v>
      </c>
      <c r="H479" s="23">
        <f t="shared" si="22"/>
        <v>3.1372889931924051</v>
      </c>
      <c r="I479" s="46">
        <f t="array" ref="I479">IF(SUMIF(Производство!$A$104:$A$145,Технологи!$B479,Производство!F$104:F$145)&gt;0,SUMIF(Производство!$A$104:$A$145,Технологи!$B479,Производство!F$104:F$145)*$F479+$G479,0)</f>
        <v>8.9208846710090892</v>
      </c>
      <c r="J479" s="46">
        <f t="array" ref="J479">IF(SUMIF(Производство!$A$104:$A$145,Технологи!$B479,Производство!G$104:G$145)&gt;0,SUMIF(Производство!$A$104:$A$145,Технологи!$B479,Производство!G$104:G$145)*$F479+$G479,0)</f>
        <v>0</v>
      </c>
      <c r="K479" s="46">
        <f t="array" ref="K479">IF(SUMIF(Производство!$A$104:$A$145,Технологи!$B479,Производство!H$104:H$145)&gt;0,SUMIF(Производство!$A$104:$A$145,Технологи!$B479,Производство!H$104:H$145)*$F479+$G479,0)</f>
        <v>3.3310893270705426</v>
      </c>
      <c r="L479" s="46">
        <f t="array" ref="L479">IF(SUMIF(Производство!$A$104:$A$145,Технологи!$B479,Производство!I$104:I$145)&gt;0,SUMIF(Производство!$A$104:$A$145,Технологи!$B479,Производство!I$104:I$145)*$F479+$G479,0)</f>
        <v>3.3310893270705426</v>
      </c>
      <c r="M479" s="46">
        <f t="array" ref="M479">IF(SUMIF(Производство!$A$104:$A$145,Технологи!$B479,Производство!J$104:J$145)&gt;0,SUMIF(Производство!$A$104:$A$145,Технологи!$B479,Производство!J$104:J$145)*$F479+$G479,0)</f>
        <v>2.6266237819631963</v>
      </c>
      <c r="N479" s="46">
        <f t="array" ref="N479">IF(SUMIF(Производство!$A$104:$A$145,Технологи!$B479,Производство!K$104:K$145)&gt;0,SUMIF(Производство!$A$104:$A$145,Технологи!$B479,Производство!K$104:K$145)*$F479+$G479,0)</f>
        <v>2.6266237819631963</v>
      </c>
      <c r="O479" s="46">
        <f t="array" ref="O479">IF(SUMIF(Производство!$A$104:$A$145,Технологи!$B479,Производство!L$104:L$145)&gt;0,SUMIF(Производство!$A$104:$A$145,Технологи!$B479,Производство!L$104:L$145)*$F479+$G479,0)</f>
        <v>2.6266237819631963</v>
      </c>
      <c r="P479" s="46">
        <f t="array" ref="P479">IF(SUMIF(Производство!$A$104:$A$145,Технологи!$B479,Производство!M$104:M$145)&gt;0,SUMIF(Производство!$A$104:$A$145,Технологи!$B479,Производство!M$104:M$145)*$F479+$G479,0)</f>
        <v>2.6266237819631963</v>
      </c>
      <c r="Q479" s="46">
        <f t="array" ref="Q479">IF(SUMIF(Производство!$A$104:$A$145,Технологи!$B479,Производство!N$104:N$145)&gt;0,SUMIF(Производство!$A$104:$A$145,Технологи!$B479,Производство!N$104:N$145)*$F479+$G479,0)</f>
        <v>2.6266237819631963</v>
      </c>
      <c r="R479" s="46">
        <f t="array" ref="R479">IF(SUMIF(Производство!$A$104:$A$145,Технологи!$B479,Производство!O$104:O$145)&gt;0,SUMIF(Производство!$A$104:$A$145,Технологи!$B479,Производство!O$104:O$145)*$F479+$G479,0)</f>
        <v>2.6266237819631963</v>
      </c>
      <c r="S479" s="46">
        <f t="array" ref="S479">IF(SUMIF(Производство!$A$104:$A$145,Технологи!$B479,Производство!P$104:P$145)&gt;0,SUMIF(Производство!$A$104:$A$145,Технологи!$B479,Производство!P$104:P$145)*$F479+$G479,0)</f>
        <v>2.6266237819631963</v>
      </c>
      <c r="T479" s="46">
        <f t="array" ref="T479">IF(SUMIF(Производство!$A$104:$A$145,Технологи!$B479,Производство!Q$104:Q$145)&gt;0,SUMIF(Производство!$A$104:$A$145,Технологи!$B479,Производство!Q$104:Q$145)*$F479+$G479,0)</f>
        <v>2.6266237819631963</v>
      </c>
    </row>
    <row r="480" spans="1:20" x14ac:dyDescent="0.25">
      <c r="A480" s="34" t="s">
        <v>377</v>
      </c>
      <c r="B480" s="13" t="s">
        <v>25</v>
      </c>
      <c r="C480" s="19" t="s">
        <v>18</v>
      </c>
      <c r="D480" s="14">
        <v>7038</v>
      </c>
      <c r="E480" s="20"/>
      <c r="F480" s="24">
        <v>2.8183617198136871E-3</v>
      </c>
      <c r="G480" s="24">
        <v>0.20565696845556955</v>
      </c>
      <c r="H480" s="23">
        <f t="shared" si="22"/>
        <v>2.8183617198136872</v>
      </c>
      <c r="I480" s="46">
        <f t="array" ref="I480">IF(SUMIF(Производство!$A$104:$A$145,Технологи!$B480,Производство!F$104:F$145)&gt;0,SUMIF(Производство!$A$104:$A$145,Технологи!$B480,Производство!F$104:F$145)*$F480+$G480,0)</f>
        <v>8.0164460340400616</v>
      </c>
      <c r="J480" s="46">
        <f t="array" ref="J480">IF(SUMIF(Производство!$A$104:$A$145,Технологи!$B480,Производство!G$104:G$145)&gt;0,SUMIF(Производство!$A$104:$A$145,Технологи!$B480,Производство!G$104:G$145)*$F480+$G480,0)</f>
        <v>0</v>
      </c>
      <c r="K480" s="46">
        <f t="array" ref="K480">IF(SUMIF(Производство!$A$104:$A$145,Технологи!$B480,Производство!H$104:H$145)&gt;0,SUMIF(Производство!$A$104:$A$145,Технологи!$B480,Производство!H$104:H$145)*$F480+$G480,0)</f>
        <v>2.9948923126156441</v>
      </c>
      <c r="L480" s="46">
        <f t="array" ref="L480">IF(SUMIF(Производство!$A$104:$A$145,Технологи!$B480,Производство!I$104:I$145)&gt;0,SUMIF(Производство!$A$104:$A$145,Технологи!$B480,Производство!I$104:I$145)*$F480+$G480,0)</f>
        <v>2.9948923126156441</v>
      </c>
      <c r="M480" s="46">
        <f t="array" ref="M480">IF(SUMIF(Производство!$A$104:$A$145,Технологи!$B480,Производство!J$104:J$145)&gt;0,SUMIF(Производство!$A$104:$A$145,Технологи!$B480,Производство!J$104:J$145)*$F480+$G480,0)</f>
        <v>2.3620405958734425</v>
      </c>
      <c r="N480" s="46">
        <f t="array" ref="N480">IF(SUMIF(Производство!$A$104:$A$145,Технологи!$B480,Производство!K$104:K$145)&gt;0,SUMIF(Производство!$A$104:$A$145,Технологи!$B480,Производство!K$104:K$145)*$F480+$G480,0)</f>
        <v>2.3620405958734425</v>
      </c>
      <c r="O480" s="46">
        <f t="array" ref="O480">IF(SUMIF(Производство!$A$104:$A$145,Технологи!$B480,Производство!L$104:L$145)&gt;0,SUMIF(Производство!$A$104:$A$145,Технологи!$B480,Производство!L$104:L$145)*$F480+$G480,0)</f>
        <v>2.3620405958734425</v>
      </c>
      <c r="P480" s="46">
        <f t="array" ref="P480">IF(SUMIF(Производство!$A$104:$A$145,Технологи!$B480,Производство!M$104:M$145)&gt;0,SUMIF(Производство!$A$104:$A$145,Технологи!$B480,Производство!M$104:M$145)*$F480+$G480,0)</f>
        <v>2.3620405958734425</v>
      </c>
      <c r="Q480" s="46">
        <f t="array" ref="Q480">IF(SUMIF(Производство!$A$104:$A$145,Технологи!$B480,Производство!N$104:N$145)&gt;0,SUMIF(Производство!$A$104:$A$145,Технологи!$B480,Производство!N$104:N$145)*$F480+$G480,0)</f>
        <v>2.3620405958734425</v>
      </c>
      <c r="R480" s="46">
        <f t="array" ref="R480">IF(SUMIF(Производство!$A$104:$A$145,Технологи!$B480,Производство!O$104:O$145)&gt;0,SUMIF(Производство!$A$104:$A$145,Технологи!$B480,Производство!O$104:O$145)*$F480+$G480,0)</f>
        <v>2.3620405958734425</v>
      </c>
      <c r="S480" s="46">
        <f t="array" ref="S480">IF(SUMIF(Производство!$A$104:$A$145,Технологи!$B480,Производство!P$104:P$145)&gt;0,SUMIF(Производство!$A$104:$A$145,Технологи!$B480,Производство!P$104:P$145)*$F480+$G480,0)</f>
        <v>2.3620405958734425</v>
      </c>
      <c r="T480" s="46">
        <f t="array" ref="T480">IF(SUMIF(Производство!$A$104:$A$145,Технологи!$B480,Производство!Q$104:Q$145)&gt;0,SUMIF(Производство!$A$104:$A$145,Технологи!$B480,Производство!Q$104:Q$145)*$F480+$G480,0)</f>
        <v>2.3620405958734425</v>
      </c>
    </row>
    <row r="481" spans="1:20" x14ac:dyDescent="0.25">
      <c r="A481" s="34" t="s">
        <v>377</v>
      </c>
      <c r="B481" s="13" t="s">
        <v>25</v>
      </c>
      <c r="C481" s="19" t="s">
        <v>19</v>
      </c>
      <c r="D481" s="14">
        <v>7038</v>
      </c>
      <c r="E481" s="20"/>
      <c r="F481" s="24">
        <v>0.55573400000000017</v>
      </c>
      <c r="G481" s="24">
        <v>19.450690000000005</v>
      </c>
      <c r="H481" s="23">
        <f t="shared" si="22"/>
        <v>555.73400000000015</v>
      </c>
      <c r="I481" s="46">
        <f t="array" ref="I481">IF(SUMIF(Производство!$A$104:$A$145,Технологи!$B481,Производство!F$104:F$145)&gt;0,SUMIF(Производство!$A$104:$A$145,Технологи!$B481,Производство!F$104:F$145)*$F481+$G481,0)</f>
        <v>1559.6082290615525</v>
      </c>
      <c r="J481" s="46">
        <f t="array" ref="J481">IF(SUMIF(Производство!$A$104:$A$145,Технологи!$B481,Производство!G$104:G$145)&gt;0,SUMIF(Производство!$A$104:$A$145,Технологи!$B481,Производство!G$104:G$145)*$F481+$G481,0)</f>
        <v>0</v>
      </c>
      <c r="K481" s="46">
        <f t="array" ref="K481">IF(SUMIF(Производство!$A$104:$A$145,Технологи!$B481,Производство!H$104:H$145)&gt;0,SUMIF(Производство!$A$104:$A$145,Технологи!$B481,Производство!H$104:H$145)*$F481+$G481,0)</f>
        <v>569.44145373132335</v>
      </c>
      <c r="L481" s="46">
        <f t="array" ref="L481">IF(SUMIF(Производство!$A$104:$A$145,Технологи!$B481,Производство!I$104:I$145)&gt;0,SUMIF(Производство!$A$104:$A$145,Технологи!$B481,Производство!I$104:I$145)*$F481+$G481,0)</f>
        <v>569.44145373132335</v>
      </c>
      <c r="M481" s="46">
        <f t="array" ref="M481">IF(SUMIF(Производство!$A$104:$A$145,Технологи!$B481,Производство!J$104:J$145)&gt;0,SUMIF(Производство!$A$104:$A$145,Технологи!$B481,Производство!J$104:J$145)*$F481+$G481,0)</f>
        <v>444.65363338892229</v>
      </c>
      <c r="N481" s="46">
        <f t="array" ref="N481">IF(SUMIF(Производство!$A$104:$A$145,Технологи!$B481,Производство!K$104:K$145)&gt;0,SUMIF(Производство!$A$104:$A$145,Технологи!$B481,Производство!K$104:K$145)*$F481+$G481,0)</f>
        <v>444.65363338892229</v>
      </c>
      <c r="O481" s="46">
        <f t="array" ref="O481">IF(SUMIF(Производство!$A$104:$A$145,Технологи!$B481,Производство!L$104:L$145)&gt;0,SUMIF(Производство!$A$104:$A$145,Технологи!$B481,Производство!L$104:L$145)*$F481+$G481,0)</f>
        <v>444.65363338892229</v>
      </c>
      <c r="P481" s="46">
        <f t="array" ref="P481">IF(SUMIF(Производство!$A$104:$A$145,Технологи!$B481,Производство!M$104:M$145)&gt;0,SUMIF(Производство!$A$104:$A$145,Технологи!$B481,Производство!M$104:M$145)*$F481+$G481,0)</f>
        <v>444.65363338892229</v>
      </c>
      <c r="Q481" s="46">
        <f t="array" ref="Q481">IF(SUMIF(Производство!$A$104:$A$145,Технологи!$B481,Производство!N$104:N$145)&gt;0,SUMIF(Производство!$A$104:$A$145,Технологи!$B481,Производство!N$104:N$145)*$F481+$G481,0)</f>
        <v>444.65363338892229</v>
      </c>
      <c r="R481" s="46">
        <f t="array" ref="R481">IF(SUMIF(Производство!$A$104:$A$145,Технологи!$B481,Производство!O$104:O$145)&gt;0,SUMIF(Производство!$A$104:$A$145,Технологи!$B481,Производство!O$104:O$145)*$F481+$G481,0)</f>
        <v>444.65363338892229</v>
      </c>
      <c r="S481" s="46">
        <f t="array" ref="S481">IF(SUMIF(Производство!$A$104:$A$145,Технологи!$B481,Производство!P$104:P$145)&gt;0,SUMIF(Производство!$A$104:$A$145,Технологи!$B481,Производство!P$104:P$145)*$F481+$G481,0)</f>
        <v>444.65363338892229</v>
      </c>
      <c r="T481" s="46">
        <f t="array" ref="T481">IF(SUMIF(Производство!$A$104:$A$145,Технологи!$B481,Производство!Q$104:Q$145)&gt;0,SUMIF(Производство!$A$104:$A$145,Технологи!$B481,Производство!Q$104:Q$145)*$F481+$G481,0)</f>
        <v>444.65363338892229</v>
      </c>
    </row>
    <row r="482" spans="1:20" x14ac:dyDescent="0.25">
      <c r="A482" s="34" t="s">
        <v>377</v>
      </c>
      <c r="B482" s="13" t="s">
        <v>25</v>
      </c>
      <c r="C482" s="19" t="s">
        <v>20</v>
      </c>
      <c r="D482" s="14">
        <v>7038</v>
      </c>
      <c r="E482" s="20"/>
      <c r="F482" s="24">
        <v>0</v>
      </c>
      <c r="G482" s="24">
        <v>0</v>
      </c>
      <c r="H482" s="23">
        <f t="shared" si="22"/>
        <v>0</v>
      </c>
      <c r="I482" s="46">
        <f t="array" ref="I482">IF(SUMIF(Производство!$A$104:$A$145,Технологи!$B482,Производство!F$104:F$145)&gt;0,SUMIF(Производство!$A$104:$A$145,Технологи!$B482,Производство!F$104:F$145)*$F482+$G482,0)</f>
        <v>0</v>
      </c>
      <c r="J482" s="46">
        <f t="array" ref="J482">IF(SUMIF(Производство!$A$104:$A$145,Технологи!$B482,Производство!G$104:G$145)&gt;0,SUMIF(Производство!$A$104:$A$145,Технологи!$B482,Производство!G$104:G$145)*$F482+$G482,0)</f>
        <v>0</v>
      </c>
      <c r="K482" s="46">
        <f t="array" ref="K482">IF(SUMIF(Производство!$A$104:$A$145,Технологи!$B482,Производство!H$104:H$145)&gt;0,SUMIF(Производство!$A$104:$A$145,Технологи!$B482,Производство!H$104:H$145)*$F482+$G482,0)</f>
        <v>0</v>
      </c>
      <c r="L482" s="46">
        <f t="array" ref="L482">IF(SUMIF(Производство!$A$104:$A$145,Технологи!$B482,Производство!I$104:I$145)&gt;0,SUMIF(Производство!$A$104:$A$145,Технологи!$B482,Производство!I$104:I$145)*$F482+$G482,0)</f>
        <v>0</v>
      </c>
      <c r="M482" s="46">
        <f t="array" ref="M482">IF(SUMIF(Производство!$A$104:$A$145,Технологи!$B482,Производство!J$104:J$145)&gt;0,SUMIF(Производство!$A$104:$A$145,Технологи!$B482,Производство!J$104:J$145)*$F482+$G482,0)</f>
        <v>0</v>
      </c>
      <c r="N482" s="46">
        <f t="array" ref="N482">IF(SUMIF(Производство!$A$104:$A$145,Технологи!$B482,Производство!K$104:K$145)&gt;0,SUMIF(Производство!$A$104:$A$145,Технологи!$B482,Производство!K$104:K$145)*$F482+$G482,0)</f>
        <v>0</v>
      </c>
      <c r="O482" s="46">
        <f t="array" ref="O482">IF(SUMIF(Производство!$A$104:$A$145,Технологи!$B482,Производство!L$104:L$145)&gt;0,SUMIF(Производство!$A$104:$A$145,Технологи!$B482,Производство!L$104:L$145)*$F482+$G482,0)</f>
        <v>0</v>
      </c>
      <c r="P482" s="46">
        <f t="array" ref="P482">IF(SUMIF(Производство!$A$104:$A$145,Технологи!$B482,Производство!M$104:M$145)&gt;0,SUMIF(Производство!$A$104:$A$145,Технологи!$B482,Производство!M$104:M$145)*$F482+$G482,0)</f>
        <v>0</v>
      </c>
      <c r="Q482" s="46">
        <f t="array" ref="Q482">IF(SUMIF(Производство!$A$104:$A$145,Технологи!$B482,Производство!N$104:N$145)&gt;0,SUMIF(Производство!$A$104:$A$145,Технологи!$B482,Производство!N$104:N$145)*$F482+$G482,0)</f>
        <v>0</v>
      </c>
      <c r="R482" s="46">
        <f t="array" ref="R482">IF(SUMIF(Производство!$A$104:$A$145,Технологи!$B482,Производство!O$104:O$145)&gt;0,SUMIF(Производство!$A$104:$A$145,Технологи!$B482,Производство!O$104:O$145)*$F482+$G482,0)</f>
        <v>0</v>
      </c>
      <c r="S482" s="46">
        <f t="array" ref="S482">IF(SUMIF(Производство!$A$104:$A$145,Технологи!$B482,Производство!P$104:P$145)&gt;0,SUMIF(Производство!$A$104:$A$145,Технологи!$B482,Производство!P$104:P$145)*$F482+$G482,0)</f>
        <v>0</v>
      </c>
      <c r="T482" s="46">
        <f t="array" ref="T482">IF(SUMIF(Производство!$A$104:$A$145,Технологи!$B482,Производство!Q$104:Q$145)&gt;0,SUMIF(Производство!$A$104:$A$145,Технологи!$B482,Производство!Q$104:Q$145)*$F482+$G482,0)</f>
        <v>0</v>
      </c>
    </row>
    <row r="483" spans="1:20" x14ac:dyDescent="0.25">
      <c r="A483" s="34" t="s">
        <v>377</v>
      </c>
      <c r="B483" s="13" t="s">
        <v>25</v>
      </c>
      <c r="C483" s="19" t="s">
        <v>21</v>
      </c>
      <c r="D483" s="14">
        <v>7038</v>
      </c>
      <c r="E483" s="20"/>
      <c r="F483" s="24">
        <v>9.4500000000000001E-2</v>
      </c>
      <c r="G483" s="24">
        <v>1.4175</v>
      </c>
      <c r="H483" s="23">
        <f t="shared" si="22"/>
        <v>94.5</v>
      </c>
      <c r="I483" s="46">
        <f t="array" ref="I483">IF(SUMIF(Производство!$A$104:$A$145,Технологи!$B483,Производство!F$104:F$145)&gt;0,SUMIF(Производство!$A$104:$A$145,Технологи!$B483,Производство!F$104:F$145)*$F483+$G483,0)</f>
        <v>263.31417618198037</v>
      </c>
      <c r="J483" s="46">
        <f t="array" ref="J483">IF(SUMIF(Производство!$A$104:$A$145,Технологи!$B483,Производство!G$104:G$145)&gt;0,SUMIF(Производство!$A$104:$A$145,Технологи!$B483,Производство!G$104:G$145)*$F483+$G483,0)</f>
        <v>0</v>
      </c>
      <c r="K483" s="46">
        <f t="array" ref="K483">IF(SUMIF(Производство!$A$104:$A$145,Технологи!$B483,Производство!H$104:H$145)&gt;0,SUMIF(Производство!$A$104:$A$145,Технологи!$B483,Производство!H$104:H$145)*$F483+$G483,0)</f>
        <v>94.940889198087646</v>
      </c>
      <c r="L483" s="46">
        <f t="array" ref="L483">IF(SUMIF(Производство!$A$104:$A$145,Технологи!$B483,Производство!I$104:I$145)&gt;0,SUMIF(Производство!$A$104:$A$145,Технологи!$B483,Производство!I$104:I$145)*$F483+$G483,0)</f>
        <v>94.940889198087646</v>
      </c>
      <c r="M483" s="46">
        <f t="array" ref="M483">IF(SUMIF(Производство!$A$104:$A$145,Технологи!$B483,Производство!J$104:J$145)&gt;0,SUMIF(Производство!$A$104:$A$145,Технологи!$B483,Производство!J$104:J$145)*$F483+$G483,0)</f>
        <v>73.721296690958525</v>
      </c>
      <c r="N483" s="46">
        <f t="array" ref="N483">IF(SUMIF(Производство!$A$104:$A$145,Технологи!$B483,Производство!K$104:K$145)&gt;0,SUMIF(Производство!$A$104:$A$145,Технологи!$B483,Производство!K$104:K$145)*$F483+$G483,0)</f>
        <v>73.721296690958525</v>
      </c>
      <c r="O483" s="46">
        <f t="array" ref="O483">IF(SUMIF(Производство!$A$104:$A$145,Технологи!$B483,Производство!L$104:L$145)&gt;0,SUMIF(Производство!$A$104:$A$145,Технологи!$B483,Производство!L$104:L$145)*$F483+$G483,0)</f>
        <v>73.721296690958525</v>
      </c>
      <c r="P483" s="46">
        <f t="array" ref="P483">IF(SUMIF(Производство!$A$104:$A$145,Технологи!$B483,Производство!M$104:M$145)&gt;0,SUMIF(Производство!$A$104:$A$145,Технологи!$B483,Производство!M$104:M$145)*$F483+$G483,0)</f>
        <v>73.721296690958525</v>
      </c>
      <c r="Q483" s="46">
        <f t="array" ref="Q483">IF(SUMIF(Производство!$A$104:$A$145,Технологи!$B483,Производство!N$104:N$145)&gt;0,SUMIF(Производство!$A$104:$A$145,Технологи!$B483,Производство!N$104:N$145)*$F483+$G483,0)</f>
        <v>73.721296690958525</v>
      </c>
      <c r="R483" s="46">
        <f t="array" ref="R483">IF(SUMIF(Производство!$A$104:$A$145,Технологи!$B483,Производство!O$104:O$145)&gt;0,SUMIF(Производство!$A$104:$A$145,Технологи!$B483,Производство!O$104:O$145)*$F483+$G483,0)</f>
        <v>73.721296690958525</v>
      </c>
      <c r="S483" s="46">
        <f t="array" ref="S483">IF(SUMIF(Производство!$A$104:$A$145,Технологи!$B483,Производство!P$104:P$145)&gt;0,SUMIF(Производство!$A$104:$A$145,Технологи!$B483,Производство!P$104:P$145)*$F483+$G483,0)</f>
        <v>73.721296690958525</v>
      </c>
      <c r="T483" s="46">
        <f t="array" ref="T483">IF(SUMIF(Производство!$A$104:$A$145,Технологи!$B483,Производство!Q$104:Q$145)&gt;0,SUMIF(Производство!$A$104:$A$145,Технологи!$B483,Производство!Q$104:Q$145)*$F483+$G483,0)</f>
        <v>73.721296690958525</v>
      </c>
    </row>
    <row r="484" spans="1:20" x14ac:dyDescent="0.25">
      <c r="A484" s="34" t="s">
        <v>377</v>
      </c>
      <c r="B484" s="13" t="s">
        <v>25</v>
      </c>
      <c r="C484" s="19" t="s">
        <v>22</v>
      </c>
      <c r="D484" s="14">
        <v>7038</v>
      </c>
      <c r="E484" s="20"/>
      <c r="F484" s="24">
        <v>7.8E-2</v>
      </c>
      <c r="G484" s="24">
        <v>1.17</v>
      </c>
      <c r="H484" s="23">
        <f t="shared" si="22"/>
        <v>78</v>
      </c>
      <c r="I484" s="46">
        <f t="array" ref="I484">IF(SUMIF(Производство!$A$104:$A$145,Технологи!$B484,Производство!F$104:F$145)&gt;0,SUMIF(Производство!$A$104:$A$145,Технологи!$B484,Производство!F$104:F$145)*$F484+$G484,0)</f>
        <v>217.33868510258696</v>
      </c>
      <c r="J484" s="46">
        <f t="array" ref="J484">IF(SUMIF(Производство!$A$104:$A$145,Технологи!$B484,Производство!G$104:G$145)&gt;0,SUMIF(Производство!$A$104:$A$145,Технологи!$B484,Производство!G$104:G$145)*$F484+$G484,0)</f>
        <v>0</v>
      </c>
      <c r="K484" s="46">
        <f t="array" ref="K484">IF(SUMIF(Производство!$A$104:$A$145,Технологи!$B484,Производство!H$104:H$145)&gt;0,SUMIF(Производство!$A$104:$A$145,Технологи!$B484,Производство!H$104:H$145)*$F484+$G484,0)</f>
        <v>78.363908544453295</v>
      </c>
      <c r="L484" s="46">
        <f t="array" ref="L484">IF(SUMIF(Производство!$A$104:$A$145,Технологи!$B484,Производство!I$104:I$145)&gt;0,SUMIF(Производство!$A$104:$A$145,Технологи!$B484,Производство!I$104:I$145)*$F484+$G484,0)</f>
        <v>78.363908544453295</v>
      </c>
      <c r="M484" s="46">
        <f t="array" ref="M484">IF(SUMIF(Производство!$A$104:$A$145,Технологи!$B484,Производство!J$104:J$145)&gt;0,SUMIF(Производство!$A$104:$A$145,Технологи!$B484,Производство!J$104:J$145)*$F484+$G484,0)</f>
        <v>60.84932425285465</v>
      </c>
      <c r="N484" s="46">
        <f t="array" ref="N484">IF(SUMIF(Производство!$A$104:$A$145,Технологи!$B484,Производство!K$104:K$145)&gt;0,SUMIF(Производство!$A$104:$A$145,Технологи!$B484,Производство!K$104:K$145)*$F484+$G484,0)</f>
        <v>60.84932425285465</v>
      </c>
      <c r="O484" s="46">
        <f t="array" ref="O484">IF(SUMIF(Производство!$A$104:$A$145,Технологи!$B484,Производство!L$104:L$145)&gt;0,SUMIF(Производство!$A$104:$A$145,Технологи!$B484,Производство!L$104:L$145)*$F484+$G484,0)</f>
        <v>60.84932425285465</v>
      </c>
      <c r="P484" s="46">
        <f t="array" ref="P484">IF(SUMIF(Производство!$A$104:$A$145,Технологи!$B484,Производство!M$104:M$145)&gt;0,SUMIF(Производство!$A$104:$A$145,Технологи!$B484,Производство!M$104:M$145)*$F484+$G484,0)</f>
        <v>60.84932425285465</v>
      </c>
      <c r="Q484" s="46">
        <f t="array" ref="Q484">IF(SUMIF(Производство!$A$104:$A$145,Технологи!$B484,Производство!N$104:N$145)&gt;0,SUMIF(Производство!$A$104:$A$145,Технологи!$B484,Производство!N$104:N$145)*$F484+$G484,0)</f>
        <v>60.84932425285465</v>
      </c>
      <c r="R484" s="46">
        <f t="array" ref="R484">IF(SUMIF(Производство!$A$104:$A$145,Технологи!$B484,Производство!O$104:O$145)&gt;0,SUMIF(Производство!$A$104:$A$145,Технологи!$B484,Производство!O$104:O$145)*$F484+$G484,0)</f>
        <v>60.84932425285465</v>
      </c>
      <c r="S484" s="46">
        <f t="array" ref="S484">IF(SUMIF(Производство!$A$104:$A$145,Технологи!$B484,Производство!P$104:P$145)&gt;0,SUMIF(Производство!$A$104:$A$145,Технологи!$B484,Производство!P$104:P$145)*$F484+$G484,0)</f>
        <v>60.84932425285465</v>
      </c>
      <c r="T484" s="46">
        <f t="array" ref="T484">IF(SUMIF(Производство!$A$104:$A$145,Технологи!$B484,Производство!Q$104:Q$145)&gt;0,SUMIF(Производство!$A$104:$A$145,Технологи!$B484,Производство!Q$104:Q$145)*$F484+$G484,0)</f>
        <v>60.84932425285465</v>
      </c>
    </row>
    <row r="485" spans="1:20" x14ac:dyDescent="0.25">
      <c r="A485" s="34" t="s">
        <v>377</v>
      </c>
      <c r="B485" s="13" t="s">
        <v>25</v>
      </c>
      <c r="C485" s="19" t="s">
        <v>23</v>
      </c>
      <c r="D485" s="14">
        <v>7038</v>
      </c>
      <c r="E485" s="20"/>
      <c r="F485" s="24">
        <v>0</v>
      </c>
      <c r="G485" s="24">
        <v>0</v>
      </c>
      <c r="H485" s="23">
        <f t="shared" si="22"/>
        <v>0</v>
      </c>
      <c r="I485" s="46">
        <f t="array" ref="I485">IF(SUMIF(Производство!$A$104:$A$145,Технологи!$B485,Производство!F$104:F$145)&gt;0,SUMIF(Производство!$A$104:$A$145,Технологи!$B485,Производство!F$104:F$145)*$F485+$G485,0)</f>
        <v>0</v>
      </c>
      <c r="J485" s="46">
        <f t="array" ref="J485">IF(SUMIF(Производство!$A$104:$A$145,Технологи!$B485,Производство!G$104:G$145)&gt;0,SUMIF(Производство!$A$104:$A$145,Технологи!$B485,Производство!G$104:G$145)*$F485+$G485,0)</f>
        <v>0</v>
      </c>
      <c r="K485" s="46">
        <f t="array" ref="K485">IF(SUMIF(Производство!$A$104:$A$145,Технологи!$B485,Производство!H$104:H$145)&gt;0,SUMIF(Производство!$A$104:$A$145,Технологи!$B485,Производство!H$104:H$145)*$F485+$G485,0)</f>
        <v>0</v>
      </c>
      <c r="L485" s="46">
        <f t="array" ref="L485">IF(SUMIF(Производство!$A$104:$A$145,Технологи!$B485,Производство!I$104:I$145)&gt;0,SUMIF(Производство!$A$104:$A$145,Технологи!$B485,Производство!I$104:I$145)*$F485+$G485,0)</f>
        <v>0</v>
      </c>
      <c r="M485" s="46">
        <f t="array" ref="M485">IF(SUMIF(Производство!$A$104:$A$145,Технологи!$B485,Производство!J$104:J$145)&gt;0,SUMIF(Производство!$A$104:$A$145,Технологи!$B485,Производство!J$104:J$145)*$F485+$G485,0)</f>
        <v>0</v>
      </c>
      <c r="N485" s="46">
        <f t="array" ref="N485">IF(SUMIF(Производство!$A$104:$A$145,Технологи!$B485,Производство!K$104:K$145)&gt;0,SUMIF(Производство!$A$104:$A$145,Технологи!$B485,Производство!K$104:K$145)*$F485+$G485,0)</f>
        <v>0</v>
      </c>
      <c r="O485" s="46">
        <f t="array" ref="O485">IF(SUMIF(Производство!$A$104:$A$145,Технологи!$B485,Производство!L$104:L$145)&gt;0,SUMIF(Производство!$A$104:$A$145,Технологи!$B485,Производство!L$104:L$145)*$F485+$G485,0)</f>
        <v>0</v>
      </c>
      <c r="P485" s="46">
        <f t="array" ref="P485">IF(SUMIF(Производство!$A$104:$A$145,Технологи!$B485,Производство!M$104:M$145)&gt;0,SUMIF(Производство!$A$104:$A$145,Технологи!$B485,Производство!M$104:M$145)*$F485+$G485,0)</f>
        <v>0</v>
      </c>
      <c r="Q485" s="46">
        <f t="array" ref="Q485">IF(SUMIF(Производство!$A$104:$A$145,Технологи!$B485,Производство!N$104:N$145)&gt;0,SUMIF(Производство!$A$104:$A$145,Технологи!$B485,Производство!N$104:N$145)*$F485+$G485,0)</f>
        <v>0</v>
      </c>
      <c r="R485" s="46">
        <f t="array" ref="R485">IF(SUMIF(Производство!$A$104:$A$145,Технологи!$B485,Производство!O$104:O$145)&gt;0,SUMIF(Производство!$A$104:$A$145,Технологи!$B485,Производство!O$104:O$145)*$F485+$G485,0)</f>
        <v>0</v>
      </c>
      <c r="S485" s="46">
        <f t="array" ref="S485">IF(SUMIF(Производство!$A$104:$A$145,Технологи!$B485,Производство!P$104:P$145)&gt;0,SUMIF(Производство!$A$104:$A$145,Технологи!$B485,Производство!P$104:P$145)*$F485+$G485,0)</f>
        <v>0</v>
      </c>
      <c r="T485" s="46">
        <f t="array" ref="T485">IF(SUMIF(Производство!$A$104:$A$145,Технологи!$B485,Производство!Q$104:Q$145)&gt;0,SUMIF(Производство!$A$104:$A$145,Технологи!$B485,Производство!Q$104:Q$145)*$F485+$G485,0)</f>
        <v>0</v>
      </c>
    </row>
    <row r="486" spans="1:20" x14ac:dyDescent="0.25">
      <c r="A486" s="34" t="s">
        <v>377</v>
      </c>
      <c r="B486" s="13" t="s">
        <v>26</v>
      </c>
      <c r="C486" s="15" t="s">
        <v>11</v>
      </c>
      <c r="D486" s="14">
        <v>7038</v>
      </c>
      <c r="E486" s="16">
        <v>1.5999999999999999</v>
      </c>
      <c r="F486" s="22">
        <f>SUM(F487:F498)</f>
        <v>1.6022539820422792</v>
      </c>
      <c r="G486" s="22">
        <f>SUM(G487:G498)</f>
        <v>62.816280000000006</v>
      </c>
      <c r="H486" s="23">
        <f t="shared" si="22"/>
        <v>1602.2539820422792</v>
      </c>
      <c r="I486" s="46">
        <f t="array" ref="I486">IF(SUMIF(Производство!$A$104:$A$145,Технологи!$B486,Производство!F$104:F$145)&gt;0,SUMIF(Производство!$A$104:$A$145,Технологи!$B486,Производство!F$104:F$145)*$F486+$G486,0)</f>
        <v>263.09802775528487</v>
      </c>
      <c r="J486" s="46">
        <f t="array" ref="J486">IF(SUMIF(Производство!$A$104:$A$145,Технологи!$B486,Производство!G$104:G$145)&gt;0,SUMIF(Производство!$A$104:$A$145,Технологи!$B486,Производство!G$104:G$145)*$F486+$G486,0)</f>
        <v>0</v>
      </c>
      <c r="K486" s="46">
        <f t="array" ref="K486">IF(SUMIF(Производство!$A$104:$A$145,Технологи!$B486,Производство!H$104:H$145)&gt;0,SUMIF(Производство!$A$104:$A$145,Технологи!$B486,Производство!H$104:H$145)*$F486+$G486,0)</f>
        <v>0</v>
      </c>
      <c r="L486" s="46">
        <f t="array" ref="L486">IF(SUMIF(Производство!$A$104:$A$145,Технологи!$B486,Производство!I$104:I$145)&gt;0,SUMIF(Производство!$A$104:$A$145,Технологи!$B486,Производство!I$104:I$145)*$F486+$G486,0)</f>
        <v>0</v>
      </c>
      <c r="M486" s="46">
        <f t="array" ref="M486">IF(SUMIF(Производство!$A$104:$A$145,Технологи!$B486,Производство!J$104:J$145)&gt;0,SUMIF(Производство!$A$104:$A$145,Технологи!$B486,Производство!J$104:J$145)*$F486+$G486,0)</f>
        <v>0</v>
      </c>
      <c r="N486" s="46">
        <f t="array" ref="N486">IF(SUMIF(Производство!$A$104:$A$145,Технологи!$B486,Производство!K$104:K$145)&gt;0,SUMIF(Производство!$A$104:$A$145,Технологи!$B486,Производство!K$104:K$145)*$F486+$G486,0)</f>
        <v>0</v>
      </c>
      <c r="O486" s="46">
        <f t="array" ref="O486">IF(SUMIF(Производство!$A$104:$A$145,Технологи!$B486,Производство!L$104:L$145)&gt;0,SUMIF(Производство!$A$104:$A$145,Технологи!$B486,Производство!L$104:L$145)*$F486+$G486,0)</f>
        <v>0</v>
      </c>
      <c r="P486" s="46">
        <f t="array" ref="P486">IF(SUMIF(Производство!$A$104:$A$145,Технологи!$B486,Производство!M$104:M$145)&gt;0,SUMIF(Производство!$A$104:$A$145,Технологи!$B486,Производство!M$104:M$145)*$F486+$G486,0)</f>
        <v>0</v>
      </c>
      <c r="Q486" s="46">
        <f t="array" ref="Q486">IF(SUMIF(Производство!$A$104:$A$145,Технологи!$B486,Производство!N$104:N$145)&gt;0,SUMIF(Производство!$A$104:$A$145,Технологи!$B486,Производство!N$104:N$145)*$F486+$G486,0)</f>
        <v>0</v>
      </c>
      <c r="R486" s="46">
        <f t="array" ref="R486">IF(SUMIF(Производство!$A$104:$A$145,Технологи!$B486,Производство!O$104:O$145)&gt;0,SUMIF(Производство!$A$104:$A$145,Технологи!$B486,Производство!O$104:O$145)*$F486+$G486,0)</f>
        <v>0</v>
      </c>
      <c r="S486" s="46">
        <f t="array" ref="S486">IF(SUMIF(Производство!$A$104:$A$145,Технологи!$B486,Производство!P$104:P$145)&gt;0,SUMIF(Производство!$A$104:$A$145,Технологи!$B486,Производство!P$104:P$145)*$F486+$G486,0)</f>
        <v>0</v>
      </c>
      <c r="T486" s="46">
        <f t="array" ref="T486">IF(SUMIF(Производство!$A$104:$A$145,Технологи!$B486,Производство!Q$104:Q$145)&gt;0,SUMIF(Производство!$A$104:$A$145,Технологи!$B486,Производство!Q$104:Q$145)*$F486+$G486,0)</f>
        <v>0</v>
      </c>
    </row>
    <row r="487" spans="1:20" x14ac:dyDescent="0.25">
      <c r="A487" s="34" t="s">
        <v>377</v>
      </c>
      <c r="B487" s="13" t="s">
        <v>26</v>
      </c>
      <c r="C487" s="19" t="s">
        <v>12</v>
      </c>
      <c r="D487" s="14">
        <v>7038</v>
      </c>
      <c r="E487" s="20"/>
      <c r="F487" s="24">
        <v>0.40237046614116811</v>
      </c>
      <c r="G487" s="24">
        <v>22.368303438176085</v>
      </c>
      <c r="H487" s="23">
        <f t="shared" si="22"/>
        <v>402.37046614116809</v>
      </c>
      <c r="I487" s="46">
        <f t="array" ref="I487">IF(SUMIF(Производство!$A$104:$A$145,Технологи!$B487,Производство!F$104:F$145)&gt;0,SUMIF(Производство!$A$104:$A$145,Технологи!$B487,Производство!F$104:F$145)*$F487+$G487,0)</f>
        <v>72.664611705822097</v>
      </c>
      <c r="J487" s="46">
        <f t="array" ref="J487">IF(SUMIF(Производство!$A$104:$A$145,Технологи!$B487,Производство!G$104:G$145)&gt;0,SUMIF(Производство!$A$104:$A$145,Технологи!$B487,Производство!G$104:G$145)*$F487+$G487,0)</f>
        <v>0</v>
      </c>
      <c r="K487" s="46">
        <f t="array" ref="K487">IF(SUMIF(Производство!$A$104:$A$145,Технологи!$B487,Производство!H$104:H$145)&gt;0,SUMIF(Производство!$A$104:$A$145,Технологи!$B487,Производство!H$104:H$145)*$F487+$G487,0)</f>
        <v>0</v>
      </c>
      <c r="L487" s="46">
        <f t="array" ref="L487">IF(SUMIF(Производство!$A$104:$A$145,Технологи!$B487,Производство!I$104:I$145)&gt;0,SUMIF(Производство!$A$104:$A$145,Технологи!$B487,Производство!I$104:I$145)*$F487+$G487,0)</f>
        <v>0</v>
      </c>
      <c r="M487" s="46">
        <f t="array" ref="M487">IF(SUMIF(Производство!$A$104:$A$145,Технологи!$B487,Производство!J$104:J$145)&gt;0,SUMIF(Производство!$A$104:$A$145,Технологи!$B487,Производство!J$104:J$145)*$F487+$G487,0)</f>
        <v>0</v>
      </c>
      <c r="N487" s="46">
        <f t="array" ref="N487">IF(SUMIF(Производство!$A$104:$A$145,Технологи!$B487,Производство!K$104:K$145)&gt;0,SUMIF(Производство!$A$104:$A$145,Технологи!$B487,Производство!K$104:K$145)*$F487+$G487,0)</f>
        <v>0</v>
      </c>
      <c r="O487" s="46">
        <f t="array" ref="O487">IF(SUMIF(Производство!$A$104:$A$145,Технологи!$B487,Производство!L$104:L$145)&gt;0,SUMIF(Производство!$A$104:$A$145,Технологи!$B487,Производство!L$104:L$145)*$F487+$G487,0)</f>
        <v>0</v>
      </c>
      <c r="P487" s="46">
        <f t="array" ref="P487">IF(SUMIF(Производство!$A$104:$A$145,Технологи!$B487,Производство!M$104:M$145)&gt;0,SUMIF(Производство!$A$104:$A$145,Технологи!$B487,Производство!M$104:M$145)*$F487+$G487,0)</f>
        <v>0</v>
      </c>
      <c r="Q487" s="46">
        <f t="array" ref="Q487">IF(SUMIF(Производство!$A$104:$A$145,Технологи!$B487,Производство!N$104:N$145)&gt;0,SUMIF(Производство!$A$104:$A$145,Технологи!$B487,Производство!N$104:N$145)*$F487+$G487,0)</f>
        <v>0</v>
      </c>
      <c r="R487" s="46">
        <f t="array" ref="R487">IF(SUMIF(Производство!$A$104:$A$145,Технологи!$B487,Производство!O$104:O$145)&gt;0,SUMIF(Производство!$A$104:$A$145,Технологи!$B487,Производство!O$104:O$145)*$F487+$G487,0)</f>
        <v>0</v>
      </c>
      <c r="S487" s="46">
        <f t="array" ref="S487">IF(SUMIF(Производство!$A$104:$A$145,Технологи!$B487,Производство!P$104:P$145)&gt;0,SUMIF(Производство!$A$104:$A$145,Технологи!$B487,Производство!P$104:P$145)*$F487+$G487,0)</f>
        <v>0</v>
      </c>
      <c r="T487" s="46">
        <f t="array" ref="T487">IF(SUMIF(Производство!$A$104:$A$145,Технологи!$B487,Производство!Q$104:Q$145)&gt;0,SUMIF(Производство!$A$104:$A$145,Технологи!$B487,Производство!Q$104:Q$145)*$F487+$G487,0)</f>
        <v>0</v>
      </c>
    </row>
    <row r="488" spans="1:20" x14ac:dyDescent="0.25">
      <c r="A488" s="34" t="s">
        <v>377</v>
      </c>
      <c r="B488" s="13" t="s">
        <v>26</v>
      </c>
      <c r="C488" s="19" t="s">
        <v>13</v>
      </c>
      <c r="D488" s="14">
        <v>7038</v>
      </c>
      <c r="E488" s="20"/>
      <c r="F488" s="24">
        <v>0.14181252221426016</v>
      </c>
      <c r="G488" s="24">
        <v>7.0113662553868998</v>
      </c>
      <c r="H488" s="23">
        <f t="shared" si="22"/>
        <v>141.81252221426016</v>
      </c>
      <c r="I488" s="46">
        <f t="array" ref="I488">IF(SUMIF(Производство!$A$104:$A$145,Технологи!$B488,Производство!F$104:F$145)&gt;0,SUMIF(Производство!$A$104:$A$145,Технологи!$B488,Производство!F$104:F$145)*$F488+$G488,0)</f>
        <v>24.737931532169419</v>
      </c>
      <c r="J488" s="46">
        <f t="array" ref="J488">IF(SUMIF(Производство!$A$104:$A$145,Технологи!$B488,Производство!G$104:G$145)&gt;0,SUMIF(Производство!$A$104:$A$145,Технологи!$B488,Производство!G$104:G$145)*$F488+$G488,0)</f>
        <v>0</v>
      </c>
      <c r="K488" s="46">
        <f t="array" ref="K488">IF(SUMIF(Производство!$A$104:$A$145,Технологи!$B488,Производство!H$104:H$145)&gt;0,SUMIF(Производство!$A$104:$A$145,Технологи!$B488,Производство!H$104:H$145)*$F488+$G488,0)</f>
        <v>0</v>
      </c>
      <c r="L488" s="46">
        <f t="array" ref="L488">IF(SUMIF(Производство!$A$104:$A$145,Технологи!$B488,Производство!I$104:I$145)&gt;0,SUMIF(Производство!$A$104:$A$145,Технологи!$B488,Производство!I$104:I$145)*$F488+$G488,0)</f>
        <v>0</v>
      </c>
      <c r="M488" s="46">
        <f t="array" ref="M488">IF(SUMIF(Производство!$A$104:$A$145,Технологи!$B488,Производство!J$104:J$145)&gt;0,SUMIF(Производство!$A$104:$A$145,Технологи!$B488,Производство!J$104:J$145)*$F488+$G488,0)</f>
        <v>0</v>
      </c>
      <c r="N488" s="46">
        <f t="array" ref="N488">IF(SUMIF(Производство!$A$104:$A$145,Технологи!$B488,Производство!K$104:K$145)&gt;0,SUMIF(Производство!$A$104:$A$145,Технологи!$B488,Производство!K$104:K$145)*$F488+$G488,0)</f>
        <v>0</v>
      </c>
      <c r="O488" s="46">
        <f t="array" ref="O488">IF(SUMIF(Производство!$A$104:$A$145,Технологи!$B488,Производство!L$104:L$145)&gt;0,SUMIF(Производство!$A$104:$A$145,Технологи!$B488,Производство!L$104:L$145)*$F488+$G488,0)</f>
        <v>0</v>
      </c>
      <c r="P488" s="46">
        <f t="array" ref="P488">IF(SUMIF(Производство!$A$104:$A$145,Технологи!$B488,Производство!M$104:M$145)&gt;0,SUMIF(Производство!$A$104:$A$145,Технологи!$B488,Производство!M$104:M$145)*$F488+$G488,0)</f>
        <v>0</v>
      </c>
      <c r="Q488" s="46">
        <f t="array" ref="Q488">IF(SUMIF(Производство!$A$104:$A$145,Технологи!$B488,Производство!N$104:N$145)&gt;0,SUMIF(Производство!$A$104:$A$145,Технологи!$B488,Производство!N$104:N$145)*$F488+$G488,0)</f>
        <v>0</v>
      </c>
      <c r="R488" s="46">
        <f t="array" ref="R488">IF(SUMIF(Производство!$A$104:$A$145,Технологи!$B488,Производство!O$104:O$145)&gt;0,SUMIF(Производство!$A$104:$A$145,Технологи!$B488,Производство!O$104:O$145)*$F488+$G488,0)</f>
        <v>0</v>
      </c>
      <c r="S488" s="46">
        <f t="array" ref="S488">IF(SUMIF(Производство!$A$104:$A$145,Технологи!$B488,Производство!P$104:P$145)&gt;0,SUMIF(Производство!$A$104:$A$145,Технологи!$B488,Производство!P$104:P$145)*$F488+$G488,0)</f>
        <v>0</v>
      </c>
      <c r="T488" s="46">
        <f t="array" ref="T488">IF(SUMIF(Производство!$A$104:$A$145,Технологи!$B488,Производство!Q$104:Q$145)&gt;0,SUMIF(Производство!$A$104:$A$145,Технологи!$B488,Производство!Q$104:Q$145)*$F488+$G488,0)</f>
        <v>0</v>
      </c>
    </row>
    <row r="489" spans="1:20" x14ac:dyDescent="0.25">
      <c r="A489" s="34" t="s">
        <v>377</v>
      </c>
      <c r="B489" s="13" t="s">
        <v>26</v>
      </c>
      <c r="C489" s="19" t="s">
        <v>14</v>
      </c>
      <c r="D489" s="14">
        <v>7038</v>
      </c>
      <c r="E489" s="20"/>
      <c r="F489" s="24">
        <v>1.2155359046936585E-3</v>
      </c>
      <c r="G489" s="24">
        <v>6.7104910314528254E-2</v>
      </c>
      <c r="H489" s="23">
        <f t="shared" ref="H489:H511" si="23">F489*1000</f>
        <v>1.2155359046936585</v>
      </c>
      <c r="I489" s="46">
        <f t="array" ref="I489">IF(SUMIF(Производство!$A$104:$A$145,Технологи!$B489,Производство!F$104:F$145)&gt;0,SUMIF(Производство!$A$104:$A$145,Технологи!$B489,Производство!F$104:F$145)*$F489+$G489,0)</f>
        <v>0.21904689840123556</v>
      </c>
      <c r="J489" s="46">
        <f t="array" ref="J489">IF(SUMIF(Производство!$A$104:$A$145,Технологи!$B489,Производство!G$104:G$145)&gt;0,SUMIF(Производство!$A$104:$A$145,Технологи!$B489,Производство!G$104:G$145)*$F489+$G489,0)</f>
        <v>0</v>
      </c>
      <c r="K489" s="46">
        <f t="array" ref="K489">IF(SUMIF(Производство!$A$104:$A$145,Технологи!$B489,Производство!H$104:H$145)&gt;0,SUMIF(Производство!$A$104:$A$145,Технологи!$B489,Производство!H$104:H$145)*$F489+$G489,0)</f>
        <v>0</v>
      </c>
      <c r="L489" s="46">
        <f t="array" ref="L489">IF(SUMIF(Производство!$A$104:$A$145,Технологи!$B489,Производство!I$104:I$145)&gt;0,SUMIF(Производство!$A$104:$A$145,Технологи!$B489,Производство!I$104:I$145)*$F489+$G489,0)</f>
        <v>0</v>
      </c>
      <c r="M489" s="46">
        <f t="array" ref="M489">IF(SUMIF(Производство!$A$104:$A$145,Технологи!$B489,Производство!J$104:J$145)&gt;0,SUMIF(Производство!$A$104:$A$145,Технологи!$B489,Производство!J$104:J$145)*$F489+$G489,0)</f>
        <v>0</v>
      </c>
      <c r="N489" s="46">
        <f t="array" ref="N489">IF(SUMIF(Производство!$A$104:$A$145,Технологи!$B489,Производство!K$104:K$145)&gt;0,SUMIF(Производство!$A$104:$A$145,Технологи!$B489,Производство!K$104:K$145)*$F489+$G489,0)</f>
        <v>0</v>
      </c>
      <c r="O489" s="46">
        <f t="array" ref="O489">IF(SUMIF(Производство!$A$104:$A$145,Технологи!$B489,Производство!L$104:L$145)&gt;0,SUMIF(Производство!$A$104:$A$145,Технологи!$B489,Производство!L$104:L$145)*$F489+$G489,0)</f>
        <v>0</v>
      </c>
      <c r="P489" s="46">
        <f t="array" ref="P489">IF(SUMIF(Производство!$A$104:$A$145,Технологи!$B489,Производство!M$104:M$145)&gt;0,SUMIF(Производство!$A$104:$A$145,Технологи!$B489,Производство!M$104:M$145)*$F489+$G489,0)</f>
        <v>0</v>
      </c>
      <c r="Q489" s="46">
        <f t="array" ref="Q489">IF(SUMIF(Производство!$A$104:$A$145,Технологи!$B489,Производство!N$104:N$145)&gt;0,SUMIF(Производство!$A$104:$A$145,Технологи!$B489,Производство!N$104:N$145)*$F489+$G489,0)</f>
        <v>0</v>
      </c>
      <c r="R489" s="46">
        <f t="array" ref="R489">IF(SUMIF(Производство!$A$104:$A$145,Технологи!$B489,Производство!O$104:O$145)&gt;0,SUMIF(Производство!$A$104:$A$145,Технологи!$B489,Производство!O$104:O$145)*$F489+$G489,0)</f>
        <v>0</v>
      </c>
      <c r="S489" s="46">
        <f t="array" ref="S489">IF(SUMIF(Производство!$A$104:$A$145,Технологи!$B489,Производство!P$104:P$145)&gt;0,SUMIF(Производство!$A$104:$A$145,Технологи!$B489,Производство!P$104:P$145)*$F489+$G489,0)</f>
        <v>0</v>
      </c>
      <c r="T489" s="46">
        <f t="array" ref="T489">IF(SUMIF(Производство!$A$104:$A$145,Технологи!$B489,Производство!Q$104:Q$145)&gt;0,SUMIF(Производство!$A$104:$A$145,Технологи!$B489,Производство!Q$104:Q$145)*$F489+$G489,0)</f>
        <v>0</v>
      </c>
    </row>
    <row r="490" spans="1:20" x14ac:dyDescent="0.25">
      <c r="A490" s="34" t="s">
        <v>377</v>
      </c>
      <c r="B490" s="13" t="s">
        <v>26</v>
      </c>
      <c r="C490" s="19" t="s">
        <v>15</v>
      </c>
      <c r="D490" s="14">
        <v>7038</v>
      </c>
      <c r="E490" s="20"/>
      <c r="F490" s="24">
        <v>6.0776795234682927E-4</v>
      </c>
      <c r="G490" s="24">
        <v>3.3552455157264127E-2</v>
      </c>
      <c r="H490" s="23">
        <f t="shared" si="23"/>
        <v>0.60776795234682923</v>
      </c>
      <c r="I490" s="46">
        <f t="array" ref="I490">IF(SUMIF(Производство!$A$104:$A$145,Технологи!$B490,Производство!F$104:F$145)&gt;0,SUMIF(Производство!$A$104:$A$145,Технологи!$B490,Производство!F$104:F$145)*$F490+$G490,0)</f>
        <v>0.10952344920061778</v>
      </c>
      <c r="J490" s="46">
        <f t="array" ref="J490">IF(SUMIF(Производство!$A$104:$A$145,Технологи!$B490,Производство!G$104:G$145)&gt;0,SUMIF(Производство!$A$104:$A$145,Технологи!$B490,Производство!G$104:G$145)*$F490+$G490,0)</f>
        <v>0</v>
      </c>
      <c r="K490" s="46">
        <f t="array" ref="K490">IF(SUMIF(Производство!$A$104:$A$145,Технологи!$B490,Производство!H$104:H$145)&gt;0,SUMIF(Производство!$A$104:$A$145,Технологи!$B490,Производство!H$104:H$145)*$F490+$G490,0)</f>
        <v>0</v>
      </c>
      <c r="L490" s="46">
        <f t="array" ref="L490">IF(SUMIF(Производство!$A$104:$A$145,Технологи!$B490,Производство!I$104:I$145)&gt;0,SUMIF(Производство!$A$104:$A$145,Технологи!$B490,Производство!I$104:I$145)*$F490+$G490,0)</f>
        <v>0</v>
      </c>
      <c r="M490" s="46">
        <f t="array" ref="M490">IF(SUMIF(Производство!$A$104:$A$145,Технологи!$B490,Производство!J$104:J$145)&gt;0,SUMIF(Производство!$A$104:$A$145,Технологи!$B490,Производство!J$104:J$145)*$F490+$G490,0)</f>
        <v>0</v>
      </c>
      <c r="N490" s="46">
        <f t="array" ref="N490">IF(SUMIF(Производство!$A$104:$A$145,Технологи!$B490,Производство!K$104:K$145)&gt;0,SUMIF(Производство!$A$104:$A$145,Технологи!$B490,Производство!K$104:K$145)*$F490+$G490,0)</f>
        <v>0</v>
      </c>
      <c r="O490" s="46">
        <f t="array" ref="O490">IF(SUMIF(Производство!$A$104:$A$145,Технологи!$B490,Производство!L$104:L$145)&gt;0,SUMIF(Производство!$A$104:$A$145,Технологи!$B490,Производство!L$104:L$145)*$F490+$G490,0)</f>
        <v>0</v>
      </c>
      <c r="P490" s="46">
        <f t="array" ref="P490">IF(SUMIF(Производство!$A$104:$A$145,Технологи!$B490,Производство!M$104:M$145)&gt;0,SUMIF(Производство!$A$104:$A$145,Технологи!$B490,Производство!M$104:M$145)*$F490+$G490,0)</f>
        <v>0</v>
      </c>
      <c r="Q490" s="46">
        <f t="array" ref="Q490">IF(SUMIF(Производство!$A$104:$A$145,Технологи!$B490,Производство!N$104:N$145)&gt;0,SUMIF(Производство!$A$104:$A$145,Технологи!$B490,Производство!N$104:N$145)*$F490+$G490,0)</f>
        <v>0</v>
      </c>
      <c r="R490" s="46">
        <f t="array" ref="R490">IF(SUMIF(Производство!$A$104:$A$145,Технологи!$B490,Производство!O$104:O$145)&gt;0,SUMIF(Производство!$A$104:$A$145,Технологи!$B490,Производство!O$104:O$145)*$F490+$G490,0)</f>
        <v>0</v>
      </c>
      <c r="S490" s="46">
        <f t="array" ref="S490">IF(SUMIF(Производство!$A$104:$A$145,Технологи!$B490,Производство!P$104:P$145)&gt;0,SUMIF(Производство!$A$104:$A$145,Технологи!$B490,Производство!P$104:P$145)*$F490+$G490,0)</f>
        <v>0</v>
      </c>
      <c r="T490" s="46">
        <f t="array" ref="T490">IF(SUMIF(Производство!$A$104:$A$145,Технологи!$B490,Производство!Q$104:Q$145)&gt;0,SUMIF(Производство!$A$104:$A$145,Технологи!$B490,Производство!Q$104:Q$145)*$F490+$G490,0)</f>
        <v>0</v>
      </c>
    </row>
    <row r="491" spans="1:20" x14ac:dyDescent="0.25">
      <c r="A491" s="34" t="s">
        <v>377</v>
      </c>
      <c r="B491" s="13" t="s">
        <v>26</v>
      </c>
      <c r="C491" s="19" t="s">
        <v>16</v>
      </c>
      <c r="D491" s="14">
        <v>7038</v>
      </c>
      <c r="E491" s="20"/>
      <c r="F491" s="24">
        <v>8.0634560014331801E-3</v>
      </c>
      <c r="G491" s="24">
        <v>0.44736606876352175</v>
      </c>
      <c r="H491" s="23">
        <f t="shared" si="23"/>
        <v>8.0634560014331793</v>
      </c>
      <c r="I491" s="46">
        <f t="array" ref="I491">IF(SUMIF(Производство!$A$104:$A$145,Технологи!$B491,Производство!F$104:F$145)&gt;0,SUMIF(Производство!$A$104:$A$145,Технологи!$B491,Производство!F$104:F$145)*$F491+$G491,0)</f>
        <v>1.4552980689426691</v>
      </c>
      <c r="J491" s="46">
        <f t="array" ref="J491">IF(SUMIF(Производство!$A$104:$A$145,Технологи!$B491,Производство!G$104:G$145)&gt;0,SUMIF(Производство!$A$104:$A$145,Технологи!$B491,Производство!G$104:G$145)*$F491+$G491,0)</f>
        <v>0</v>
      </c>
      <c r="K491" s="46">
        <f t="array" ref="K491">IF(SUMIF(Производство!$A$104:$A$145,Технологи!$B491,Производство!H$104:H$145)&gt;0,SUMIF(Производство!$A$104:$A$145,Технологи!$B491,Производство!H$104:H$145)*$F491+$G491,0)</f>
        <v>0</v>
      </c>
      <c r="L491" s="46">
        <f t="array" ref="L491">IF(SUMIF(Производство!$A$104:$A$145,Технологи!$B491,Производство!I$104:I$145)&gt;0,SUMIF(Производство!$A$104:$A$145,Технологи!$B491,Производство!I$104:I$145)*$F491+$G491,0)</f>
        <v>0</v>
      </c>
      <c r="M491" s="46">
        <f t="array" ref="M491">IF(SUMIF(Производство!$A$104:$A$145,Технологи!$B491,Производство!J$104:J$145)&gt;0,SUMIF(Производство!$A$104:$A$145,Технологи!$B491,Производство!J$104:J$145)*$F491+$G491,0)</f>
        <v>0</v>
      </c>
      <c r="N491" s="46">
        <f t="array" ref="N491">IF(SUMIF(Производство!$A$104:$A$145,Технологи!$B491,Производство!K$104:K$145)&gt;0,SUMIF(Производство!$A$104:$A$145,Технологи!$B491,Производство!K$104:K$145)*$F491+$G491,0)</f>
        <v>0</v>
      </c>
      <c r="O491" s="46">
        <f t="array" ref="O491">IF(SUMIF(Производство!$A$104:$A$145,Технологи!$B491,Производство!L$104:L$145)&gt;0,SUMIF(Производство!$A$104:$A$145,Технологи!$B491,Производство!L$104:L$145)*$F491+$G491,0)</f>
        <v>0</v>
      </c>
      <c r="P491" s="46">
        <f t="array" ref="P491">IF(SUMIF(Производство!$A$104:$A$145,Технологи!$B491,Производство!M$104:M$145)&gt;0,SUMIF(Производство!$A$104:$A$145,Технологи!$B491,Производство!M$104:M$145)*$F491+$G491,0)</f>
        <v>0</v>
      </c>
      <c r="Q491" s="46">
        <f t="array" ref="Q491">IF(SUMIF(Производство!$A$104:$A$145,Технологи!$B491,Производство!N$104:N$145)&gt;0,SUMIF(Производство!$A$104:$A$145,Технологи!$B491,Производство!N$104:N$145)*$F491+$G491,0)</f>
        <v>0</v>
      </c>
      <c r="R491" s="46">
        <f t="array" ref="R491">IF(SUMIF(Производство!$A$104:$A$145,Технологи!$B491,Производство!O$104:O$145)&gt;0,SUMIF(Производство!$A$104:$A$145,Технологи!$B491,Производство!O$104:O$145)*$F491+$G491,0)</f>
        <v>0</v>
      </c>
      <c r="S491" s="46">
        <f t="array" ref="S491">IF(SUMIF(Производство!$A$104:$A$145,Технологи!$B491,Производство!P$104:P$145)&gt;0,SUMIF(Производство!$A$104:$A$145,Технологи!$B491,Производство!P$104:P$145)*$F491+$G491,0)</f>
        <v>0</v>
      </c>
      <c r="T491" s="46">
        <f t="array" ref="T491">IF(SUMIF(Производство!$A$104:$A$145,Технологи!$B491,Производство!Q$104:Q$145)&gt;0,SUMIF(Производство!$A$104:$A$145,Технологи!$B491,Производство!Q$104:Q$145)*$F491+$G491,0)</f>
        <v>0</v>
      </c>
    </row>
    <row r="492" spans="1:20" x14ac:dyDescent="0.25">
      <c r="A492" s="34" t="s">
        <v>377</v>
      </c>
      <c r="B492" s="13" t="s">
        <v>26</v>
      </c>
      <c r="C492" s="19" t="s">
        <v>17</v>
      </c>
      <c r="D492" s="14">
        <v>7038</v>
      </c>
      <c r="E492" s="20"/>
      <c r="F492" s="24">
        <v>4.479029166965247E-3</v>
      </c>
      <c r="G492" s="24">
        <v>0.24605133781993699</v>
      </c>
      <c r="H492" s="23">
        <f t="shared" si="23"/>
        <v>4.4790291669652467</v>
      </c>
      <c r="I492" s="46">
        <f t="array" ref="I492">IF(SUMIF(Производство!$A$104:$A$145,Технологи!$B492,Производство!F$104:F$145)&gt;0,SUMIF(Производство!$A$104:$A$145,Технологи!$B492,Производство!F$104:F$145)*$F492+$G492,0)</f>
        <v>0.80592998369059288</v>
      </c>
      <c r="J492" s="46">
        <f t="array" ref="J492">IF(SUMIF(Производство!$A$104:$A$145,Технологи!$B492,Производство!G$104:G$145)&gt;0,SUMIF(Производство!$A$104:$A$145,Технологи!$B492,Производство!G$104:G$145)*$F492+$G492,0)</f>
        <v>0</v>
      </c>
      <c r="K492" s="46">
        <f t="array" ref="K492">IF(SUMIF(Производство!$A$104:$A$145,Технологи!$B492,Производство!H$104:H$145)&gt;0,SUMIF(Производство!$A$104:$A$145,Технологи!$B492,Производство!H$104:H$145)*$F492+$G492,0)</f>
        <v>0</v>
      </c>
      <c r="L492" s="46">
        <f t="array" ref="L492">IF(SUMIF(Производство!$A$104:$A$145,Технологи!$B492,Производство!I$104:I$145)&gt;0,SUMIF(Производство!$A$104:$A$145,Технологи!$B492,Производство!I$104:I$145)*$F492+$G492,0)</f>
        <v>0</v>
      </c>
      <c r="M492" s="46">
        <f t="array" ref="M492">IF(SUMIF(Производство!$A$104:$A$145,Технологи!$B492,Производство!J$104:J$145)&gt;0,SUMIF(Производство!$A$104:$A$145,Технологи!$B492,Производство!J$104:J$145)*$F492+$G492,0)</f>
        <v>0</v>
      </c>
      <c r="N492" s="46">
        <f t="array" ref="N492">IF(SUMIF(Производство!$A$104:$A$145,Технологи!$B492,Производство!K$104:K$145)&gt;0,SUMIF(Производство!$A$104:$A$145,Технологи!$B492,Производство!K$104:K$145)*$F492+$G492,0)</f>
        <v>0</v>
      </c>
      <c r="O492" s="46">
        <f t="array" ref="O492">IF(SUMIF(Производство!$A$104:$A$145,Технологи!$B492,Производство!L$104:L$145)&gt;0,SUMIF(Производство!$A$104:$A$145,Технологи!$B492,Производство!L$104:L$145)*$F492+$G492,0)</f>
        <v>0</v>
      </c>
      <c r="P492" s="46">
        <f t="array" ref="P492">IF(SUMIF(Производство!$A$104:$A$145,Технологи!$B492,Производство!M$104:M$145)&gt;0,SUMIF(Производство!$A$104:$A$145,Технологи!$B492,Производство!M$104:M$145)*$F492+$G492,0)</f>
        <v>0</v>
      </c>
      <c r="Q492" s="46">
        <f t="array" ref="Q492">IF(SUMIF(Производство!$A$104:$A$145,Технологи!$B492,Производство!N$104:N$145)&gt;0,SUMIF(Производство!$A$104:$A$145,Технологи!$B492,Производство!N$104:N$145)*$F492+$G492,0)</f>
        <v>0</v>
      </c>
      <c r="R492" s="46">
        <f t="array" ref="R492">IF(SUMIF(Производство!$A$104:$A$145,Технологи!$B492,Производство!O$104:O$145)&gt;0,SUMIF(Производство!$A$104:$A$145,Технологи!$B492,Производство!O$104:O$145)*$F492+$G492,0)</f>
        <v>0</v>
      </c>
      <c r="S492" s="46">
        <f t="array" ref="S492">IF(SUMIF(Производство!$A$104:$A$145,Технологи!$B492,Производство!P$104:P$145)&gt;0,SUMIF(Производство!$A$104:$A$145,Технологи!$B492,Производство!P$104:P$145)*$F492+$G492,0)</f>
        <v>0</v>
      </c>
      <c r="T492" s="46">
        <f t="array" ref="T492">IF(SUMIF(Производство!$A$104:$A$145,Технологи!$B492,Производство!Q$104:Q$145)&gt;0,SUMIF(Производство!$A$104:$A$145,Технологи!$B492,Производство!Q$104:Q$145)*$F492+$G492,0)</f>
        <v>0</v>
      </c>
    </row>
    <row r="493" spans="1:20" x14ac:dyDescent="0.25">
      <c r="A493" s="34" t="s">
        <v>377</v>
      </c>
      <c r="B493" s="13" t="s">
        <v>26</v>
      </c>
      <c r="C493" s="19" t="s">
        <v>18</v>
      </c>
      <c r="D493" s="14">
        <v>7038</v>
      </c>
      <c r="E493" s="20"/>
      <c r="F493" s="24">
        <v>4.023704661411681E-3</v>
      </c>
      <c r="G493" s="24">
        <v>0.22368303438176088</v>
      </c>
      <c r="H493" s="23">
        <f t="shared" si="23"/>
        <v>4.0237046614116814</v>
      </c>
      <c r="I493" s="46">
        <f t="array" ref="I493">IF(SUMIF(Производство!$A$104:$A$145,Технологи!$B493,Производство!F$104:F$145)&gt;0,SUMIF(Производство!$A$104:$A$145,Технологи!$B493,Производство!F$104:F$145)*$F493+$G493,0)</f>
        <v>0.72664611705822102</v>
      </c>
      <c r="J493" s="46">
        <f t="array" ref="J493">IF(SUMIF(Производство!$A$104:$A$145,Технологи!$B493,Производство!G$104:G$145)&gt;0,SUMIF(Производство!$A$104:$A$145,Технологи!$B493,Производство!G$104:G$145)*$F493+$G493,0)</f>
        <v>0</v>
      </c>
      <c r="K493" s="46">
        <f t="array" ref="K493">IF(SUMIF(Производство!$A$104:$A$145,Технологи!$B493,Производство!H$104:H$145)&gt;0,SUMIF(Производство!$A$104:$A$145,Технологи!$B493,Производство!H$104:H$145)*$F493+$G493,0)</f>
        <v>0</v>
      </c>
      <c r="L493" s="46">
        <f t="array" ref="L493">IF(SUMIF(Производство!$A$104:$A$145,Технологи!$B493,Производство!I$104:I$145)&gt;0,SUMIF(Производство!$A$104:$A$145,Технологи!$B493,Производство!I$104:I$145)*$F493+$G493,0)</f>
        <v>0</v>
      </c>
      <c r="M493" s="46">
        <f t="array" ref="M493">IF(SUMIF(Производство!$A$104:$A$145,Технологи!$B493,Производство!J$104:J$145)&gt;0,SUMIF(Производство!$A$104:$A$145,Технологи!$B493,Производство!J$104:J$145)*$F493+$G493,0)</f>
        <v>0</v>
      </c>
      <c r="N493" s="46">
        <f t="array" ref="N493">IF(SUMIF(Производство!$A$104:$A$145,Технологи!$B493,Производство!K$104:K$145)&gt;0,SUMIF(Производство!$A$104:$A$145,Технологи!$B493,Производство!K$104:K$145)*$F493+$G493,0)</f>
        <v>0</v>
      </c>
      <c r="O493" s="46">
        <f t="array" ref="O493">IF(SUMIF(Производство!$A$104:$A$145,Технологи!$B493,Производство!L$104:L$145)&gt;0,SUMIF(Производство!$A$104:$A$145,Технологи!$B493,Производство!L$104:L$145)*$F493+$G493,0)</f>
        <v>0</v>
      </c>
      <c r="P493" s="46">
        <f t="array" ref="P493">IF(SUMIF(Производство!$A$104:$A$145,Технологи!$B493,Производство!M$104:M$145)&gt;0,SUMIF(Производство!$A$104:$A$145,Технологи!$B493,Производство!M$104:M$145)*$F493+$G493,0)</f>
        <v>0</v>
      </c>
      <c r="Q493" s="46">
        <f t="array" ref="Q493">IF(SUMIF(Производство!$A$104:$A$145,Технологи!$B493,Производство!N$104:N$145)&gt;0,SUMIF(Производство!$A$104:$A$145,Технологи!$B493,Производство!N$104:N$145)*$F493+$G493,0)</f>
        <v>0</v>
      </c>
      <c r="R493" s="46">
        <f t="array" ref="R493">IF(SUMIF(Производство!$A$104:$A$145,Технологи!$B493,Производство!O$104:O$145)&gt;0,SUMIF(Производство!$A$104:$A$145,Технологи!$B493,Производство!O$104:O$145)*$F493+$G493,0)</f>
        <v>0</v>
      </c>
      <c r="S493" s="46">
        <f t="array" ref="S493">IF(SUMIF(Производство!$A$104:$A$145,Технологи!$B493,Производство!P$104:P$145)&gt;0,SUMIF(Производство!$A$104:$A$145,Технологи!$B493,Производство!P$104:P$145)*$F493+$G493,0)</f>
        <v>0</v>
      </c>
      <c r="T493" s="46">
        <f t="array" ref="T493">IF(SUMIF(Производство!$A$104:$A$145,Технологи!$B493,Производство!Q$104:Q$145)&gt;0,SUMIF(Производство!$A$104:$A$145,Технологи!$B493,Производство!Q$104:Q$145)*$F493+$G493,0)</f>
        <v>0</v>
      </c>
    </row>
    <row r="494" spans="1:20" x14ac:dyDescent="0.25">
      <c r="A494" s="34" t="s">
        <v>377</v>
      </c>
      <c r="B494" s="13" t="s">
        <v>26</v>
      </c>
      <c r="C494" s="19" t="s">
        <v>19</v>
      </c>
      <c r="D494" s="14">
        <v>7038</v>
      </c>
      <c r="E494" s="20"/>
      <c r="F494" s="24">
        <v>0.84118150000000014</v>
      </c>
      <c r="G494" s="24">
        <v>29.441352500000008</v>
      </c>
      <c r="H494" s="23">
        <f t="shared" si="23"/>
        <v>841.18150000000014</v>
      </c>
      <c r="I494" s="46">
        <f t="array" ref="I494">IF(SUMIF(Производство!$A$104:$A$145,Технологи!$B494,Производство!F$104:F$145)&gt;0,SUMIF(Производство!$A$104:$A$145,Технологи!$B494,Производство!F$104:F$145)*$F494+$G494,0)</f>
        <v>134.58904000000001</v>
      </c>
      <c r="J494" s="46">
        <f t="array" ref="J494">IF(SUMIF(Производство!$A$104:$A$145,Технологи!$B494,Производство!G$104:G$145)&gt;0,SUMIF(Производство!$A$104:$A$145,Технологи!$B494,Производство!G$104:G$145)*$F494+$G494,0)</f>
        <v>0</v>
      </c>
      <c r="K494" s="46">
        <f t="array" ref="K494">IF(SUMIF(Производство!$A$104:$A$145,Технологи!$B494,Производство!H$104:H$145)&gt;0,SUMIF(Производство!$A$104:$A$145,Технологи!$B494,Производство!H$104:H$145)*$F494+$G494,0)</f>
        <v>0</v>
      </c>
      <c r="L494" s="46">
        <f t="array" ref="L494">IF(SUMIF(Производство!$A$104:$A$145,Технологи!$B494,Производство!I$104:I$145)&gt;0,SUMIF(Производство!$A$104:$A$145,Технологи!$B494,Производство!I$104:I$145)*$F494+$G494,0)</f>
        <v>0</v>
      </c>
      <c r="M494" s="46">
        <f t="array" ref="M494">IF(SUMIF(Производство!$A$104:$A$145,Технологи!$B494,Производство!J$104:J$145)&gt;0,SUMIF(Производство!$A$104:$A$145,Технологи!$B494,Производство!J$104:J$145)*$F494+$G494,0)</f>
        <v>0</v>
      </c>
      <c r="N494" s="46">
        <f t="array" ref="N494">IF(SUMIF(Производство!$A$104:$A$145,Технологи!$B494,Производство!K$104:K$145)&gt;0,SUMIF(Производство!$A$104:$A$145,Технологи!$B494,Производство!K$104:K$145)*$F494+$G494,0)</f>
        <v>0</v>
      </c>
      <c r="O494" s="46">
        <f t="array" ref="O494">IF(SUMIF(Производство!$A$104:$A$145,Технологи!$B494,Производство!L$104:L$145)&gt;0,SUMIF(Производство!$A$104:$A$145,Технологи!$B494,Производство!L$104:L$145)*$F494+$G494,0)</f>
        <v>0</v>
      </c>
      <c r="P494" s="46">
        <f t="array" ref="P494">IF(SUMIF(Производство!$A$104:$A$145,Технологи!$B494,Производство!M$104:M$145)&gt;0,SUMIF(Производство!$A$104:$A$145,Технологи!$B494,Производство!M$104:M$145)*$F494+$G494,0)</f>
        <v>0</v>
      </c>
      <c r="Q494" s="46">
        <f t="array" ref="Q494">IF(SUMIF(Производство!$A$104:$A$145,Технологи!$B494,Производство!N$104:N$145)&gt;0,SUMIF(Производство!$A$104:$A$145,Технологи!$B494,Производство!N$104:N$145)*$F494+$G494,0)</f>
        <v>0</v>
      </c>
      <c r="R494" s="46">
        <f t="array" ref="R494">IF(SUMIF(Производство!$A$104:$A$145,Технологи!$B494,Производство!O$104:O$145)&gt;0,SUMIF(Производство!$A$104:$A$145,Технологи!$B494,Производство!O$104:O$145)*$F494+$G494,0)</f>
        <v>0</v>
      </c>
      <c r="S494" s="46">
        <f t="array" ref="S494">IF(SUMIF(Производство!$A$104:$A$145,Технологи!$B494,Производство!P$104:P$145)&gt;0,SUMIF(Производство!$A$104:$A$145,Технологи!$B494,Производство!P$104:P$145)*$F494+$G494,0)</f>
        <v>0</v>
      </c>
      <c r="T494" s="46">
        <f t="array" ref="T494">IF(SUMIF(Производство!$A$104:$A$145,Технологи!$B494,Производство!Q$104:Q$145)&gt;0,SUMIF(Производство!$A$104:$A$145,Технологи!$B494,Производство!Q$104:Q$145)*$F494+$G494,0)</f>
        <v>0</v>
      </c>
    </row>
    <row r="495" spans="1:20" x14ac:dyDescent="0.25">
      <c r="A495" s="34" t="s">
        <v>377</v>
      </c>
      <c r="B495" s="13" t="s">
        <v>26</v>
      </c>
      <c r="C495" s="19" t="s">
        <v>20</v>
      </c>
      <c r="D495" s="14">
        <v>7038</v>
      </c>
      <c r="E495" s="20"/>
      <c r="F495" s="24">
        <v>0</v>
      </c>
      <c r="G495" s="24">
        <v>0</v>
      </c>
      <c r="H495" s="23">
        <f t="shared" si="23"/>
        <v>0</v>
      </c>
      <c r="I495" s="46">
        <f t="array" ref="I495">IF(SUMIF(Производство!$A$104:$A$145,Технологи!$B495,Производство!F$104:F$145)&gt;0,SUMIF(Производство!$A$104:$A$145,Технологи!$B495,Производство!F$104:F$145)*$F495+$G495,0)</f>
        <v>0</v>
      </c>
      <c r="J495" s="46">
        <f t="array" ref="J495">IF(SUMIF(Производство!$A$104:$A$145,Технологи!$B495,Производство!G$104:G$145)&gt;0,SUMIF(Производство!$A$104:$A$145,Технологи!$B495,Производство!G$104:G$145)*$F495+$G495,0)</f>
        <v>0</v>
      </c>
      <c r="K495" s="46">
        <f t="array" ref="K495">IF(SUMIF(Производство!$A$104:$A$145,Технологи!$B495,Производство!H$104:H$145)&gt;0,SUMIF(Производство!$A$104:$A$145,Технологи!$B495,Производство!H$104:H$145)*$F495+$G495,0)</f>
        <v>0</v>
      </c>
      <c r="L495" s="46">
        <f t="array" ref="L495">IF(SUMIF(Производство!$A$104:$A$145,Технологи!$B495,Производство!I$104:I$145)&gt;0,SUMIF(Производство!$A$104:$A$145,Технологи!$B495,Производство!I$104:I$145)*$F495+$G495,0)</f>
        <v>0</v>
      </c>
      <c r="M495" s="46">
        <f t="array" ref="M495">IF(SUMIF(Производство!$A$104:$A$145,Технологи!$B495,Производство!J$104:J$145)&gt;0,SUMIF(Производство!$A$104:$A$145,Технологи!$B495,Производство!J$104:J$145)*$F495+$G495,0)</f>
        <v>0</v>
      </c>
      <c r="N495" s="46">
        <f t="array" ref="N495">IF(SUMIF(Производство!$A$104:$A$145,Технологи!$B495,Производство!K$104:K$145)&gt;0,SUMIF(Производство!$A$104:$A$145,Технологи!$B495,Производство!K$104:K$145)*$F495+$G495,0)</f>
        <v>0</v>
      </c>
      <c r="O495" s="46">
        <f t="array" ref="O495">IF(SUMIF(Производство!$A$104:$A$145,Технологи!$B495,Производство!L$104:L$145)&gt;0,SUMIF(Производство!$A$104:$A$145,Технологи!$B495,Производство!L$104:L$145)*$F495+$G495,0)</f>
        <v>0</v>
      </c>
      <c r="P495" s="46">
        <f t="array" ref="P495">IF(SUMIF(Производство!$A$104:$A$145,Технологи!$B495,Производство!M$104:M$145)&gt;0,SUMIF(Производство!$A$104:$A$145,Технологи!$B495,Производство!M$104:M$145)*$F495+$G495,0)</f>
        <v>0</v>
      </c>
      <c r="Q495" s="46">
        <f t="array" ref="Q495">IF(SUMIF(Производство!$A$104:$A$145,Технологи!$B495,Производство!N$104:N$145)&gt;0,SUMIF(Производство!$A$104:$A$145,Технологи!$B495,Производство!N$104:N$145)*$F495+$G495,0)</f>
        <v>0</v>
      </c>
      <c r="R495" s="46">
        <f t="array" ref="R495">IF(SUMIF(Производство!$A$104:$A$145,Технологи!$B495,Производство!O$104:O$145)&gt;0,SUMIF(Производство!$A$104:$A$145,Технологи!$B495,Производство!O$104:O$145)*$F495+$G495,0)</f>
        <v>0</v>
      </c>
      <c r="S495" s="46">
        <f t="array" ref="S495">IF(SUMIF(Производство!$A$104:$A$145,Технологи!$B495,Производство!P$104:P$145)&gt;0,SUMIF(Производство!$A$104:$A$145,Технологи!$B495,Производство!P$104:P$145)*$F495+$G495,0)</f>
        <v>0</v>
      </c>
      <c r="T495" s="46">
        <f t="array" ref="T495">IF(SUMIF(Производство!$A$104:$A$145,Технологи!$B495,Производство!Q$104:Q$145)&gt;0,SUMIF(Производство!$A$104:$A$145,Технологи!$B495,Производство!Q$104:Q$145)*$F495+$G495,0)</f>
        <v>0</v>
      </c>
    </row>
    <row r="496" spans="1:20" x14ac:dyDescent="0.25">
      <c r="A496" s="34" t="s">
        <v>377</v>
      </c>
      <c r="B496" s="13" t="s">
        <v>26</v>
      </c>
      <c r="C496" s="19" t="s">
        <v>21</v>
      </c>
      <c r="D496" s="14">
        <v>7038</v>
      </c>
      <c r="E496" s="20"/>
      <c r="F496" s="24">
        <v>0.1085</v>
      </c>
      <c r="G496" s="24">
        <v>1.6274999999999999</v>
      </c>
      <c r="H496" s="23">
        <f t="shared" si="23"/>
        <v>108.5</v>
      </c>
      <c r="I496" s="46">
        <f t="array" ref="I496">IF(SUMIF(Производство!$A$104:$A$145,Технологи!$B496,Производство!F$104:F$145)&gt;0,SUMIF(Производство!$A$104:$A$145,Технологи!$B496,Производство!F$104:F$145)*$F496+$G496,0)</f>
        <v>15.19</v>
      </c>
      <c r="J496" s="46">
        <f t="array" ref="J496">IF(SUMIF(Производство!$A$104:$A$145,Технологи!$B496,Производство!G$104:G$145)&gt;0,SUMIF(Производство!$A$104:$A$145,Технологи!$B496,Производство!G$104:G$145)*$F496+$G496,0)</f>
        <v>0</v>
      </c>
      <c r="K496" s="46">
        <f t="array" ref="K496">IF(SUMIF(Производство!$A$104:$A$145,Технологи!$B496,Производство!H$104:H$145)&gt;0,SUMIF(Производство!$A$104:$A$145,Технологи!$B496,Производство!H$104:H$145)*$F496+$G496,0)</f>
        <v>0</v>
      </c>
      <c r="L496" s="46">
        <f t="array" ref="L496">IF(SUMIF(Производство!$A$104:$A$145,Технологи!$B496,Производство!I$104:I$145)&gt;0,SUMIF(Производство!$A$104:$A$145,Технологи!$B496,Производство!I$104:I$145)*$F496+$G496,0)</f>
        <v>0</v>
      </c>
      <c r="M496" s="46">
        <f t="array" ref="M496">IF(SUMIF(Производство!$A$104:$A$145,Технологи!$B496,Производство!J$104:J$145)&gt;0,SUMIF(Производство!$A$104:$A$145,Технологи!$B496,Производство!J$104:J$145)*$F496+$G496,0)</f>
        <v>0</v>
      </c>
      <c r="N496" s="46">
        <f t="array" ref="N496">IF(SUMIF(Производство!$A$104:$A$145,Технологи!$B496,Производство!K$104:K$145)&gt;0,SUMIF(Производство!$A$104:$A$145,Технологи!$B496,Производство!K$104:K$145)*$F496+$G496,0)</f>
        <v>0</v>
      </c>
      <c r="O496" s="46">
        <f t="array" ref="O496">IF(SUMIF(Производство!$A$104:$A$145,Технологи!$B496,Производство!L$104:L$145)&gt;0,SUMIF(Производство!$A$104:$A$145,Технологи!$B496,Производство!L$104:L$145)*$F496+$G496,0)</f>
        <v>0</v>
      </c>
      <c r="P496" s="46">
        <f t="array" ref="P496">IF(SUMIF(Производство!$A$104:$A$145,Технологи!$B496,Производство!M$104:M$145)&gt;0,SUMIF(Производство!$A$104:$A$145,Технологи!$B496,Производство!M$104:M$145)*$F496+$G496,0)</f>
        <v>0</v>
      </c>
      <c r="Q496" s="46">
        <f t="array" ref="Q496">IF(SUMIF(Производство!$A$104:$A$145,Технологи!$B496,Производство!N$104:N$145)&gt;0,SUMIF(Производство!$A$104:$A$145,Технологи!$B496,Производство!N$104:N$145)*$F496+$G496,0)</f>
        <v>0</v>
      </c>
      <c r="R496" s="46">
        <f t="array" ref="R496">IF(SUMIF(Производство!$A$104:$A$145,Технологи!$B496,Производство!O$104:O$145)&gt;0,SUMIF(Производство!$A$104:$A$145,Технологи!$B496,Производство!O$104:O$145)*$F496+$G496,0)</f>
        <v>0</v>
      </c>
      <c r="S496" s="46">
        <f t="array" ref="S496">IF(SUMIF(Производство!$A$104:$A$145,Технологи!$B496,Производство!P$104:P$145)&gt;0,SUMIF(Производство!$A$104:$A$145,Технологи!$B496,Производство!P$104:P$145)*$F496+$G496,0)</f>
        <v>0</v>
      </c>
      <c r="T496" s="46">
        <f t="array" ref="T496">IF(SUMIF(Производство!$A$104:$A$145,Технологи!$B496,Производство!Q$104:Q$145)&gt;0,SUMIF(Производство!$A$104:$A$145,Технологи!$B496,Производство!Q$104:Q$145)*$F496+$G496,0)</f>
        <v>0</v>
      </c>
    </row>
    <row r="497" spans="1:20" x14ac:dyDescent="0.25">
      <c r="A497" s="34" t="s">
        <v>377</v>
      </c>
      <c r="B497" s="13" t="s">
        <v>26</v>
      </c>
      <c r="C497" s="19" t="s">
        <v>22</v>
      </c>
      <c r="D497" s="14">
        <v>7038</v>
      </c>
      <c r="E497" s="20"/>
      <c r="F497" s="24">
        <v>0.09</v>
      </c>
      <c r="G497" s="24">
        <v>1.35</v>
      </c>
      <c r="H497" s="23">
        <f t="shared" si="23"/>
        <v>90</v>
      </c>
      <c r="I497" s="46">
        <f t="array" ref="I497">IF(SUMIF(Производство!$A$104:$A$145,Технологи!$B497,Производство!F$104:F$145)&gt;0,SUMIF(Производство!$A$104:$A$145,Технологи!$B497,Производство!F$104:F$145)*$F497+$G497,0)</f>
        <v>12.6</v>
      </c>
      <c r="J497" s="46">
        <f t="array" ref="J497">IF(SUMIF(Производство!$A$104:$A$145,Технологи!$B497,Производство!G$104:G$145)&gt;0,SUMIF(Производство!$A$104:$A$145,Технологи!$B497,Производство!G$104:G$145)*$F497+$G497,0)</f>
        <v>0</v>
      </c>
      <c r="K497" s="46">
        <f t="array" ref="K497">IF(SUMIF(Производство!$A$104:$A$145,Технологи!$B497,Производство!H$104:H$145)&gt;0,SUMIF(Производство!$A$104:$A$145,Технологи!$B497,Производство!H$104:H$145)*$F497+$G497,0)</f>
        <v>0</v>
      </c>
      <c r="L497" s="46">
        <f t="array" ref="L497">IF(SUMIF(Производство!$A$104:$A$145,Технологи!$B497,Производство!I$104:I$145)&gt;0,SUMIF(Производство!$A$104:$A$145,Технологи!$B497,Производство!I$104:I$145)*$F497+$G497,0)</f>
        <v>0</v>
      </c>
      <c r="M497" s="46">
        <f t="array" ref="M497">IF(SUMIF(Производство!$A$104:$A$145,Технологи!$B497,Производство!J$104:J$145)&gt;0,SUMIF(Производство!$A$104:$A$145,Технологи!$B497,Производство!J$104:J$145)*$F497+$G497,0)</f>
        <v>0</v>
      </c>
      <c r="N497" s="46">
        <f t="array" ref="N497">IF(SUMIF(Производство!$A$104:$A$145,Технологи!$B497,Производство!K$104:K$145)&gt;0,SUMIF(Производство!$A$104:$A$145,Технологи!$B497,Производство!K$104:K$145)*$F497+$G497,0)</f>
        <v>0</v>
      </c>
      <c r="O497" s="46">
        <f t="array" ref="O497">IF(SUMIF(Производство!$A$104:$A$145,Технологи!$B497,Производство!L$104:L$145)&gt;0,SUMIF(Производство!$A$104:$A$145,Технологи!$B497,Производство!L$104:L$145)*$F497+$G497,0)</f>
        <v>0</v>
      </c>
      <c r="P497" s="46">
        <f t="array" ref="P497">IF(SUMIF(Производство!$A$104:$A$145,Технологи!$B497,Производство!M$104:M$145)&gt;0,SUMIF(Производство!$A$104:$A$145,Технологи!$B497,Производство!M$104:M$145)*$F497+$G497,0)</f>
        <v>0</v>
      </c>
      <c r="Q497" s="46">
        <f t="array" ref="Q497">IF(SUMIF(Производство!$A$104:$A$145,Технологи!$B497,Производство!N$104:N$145)&gt;0,SUMIF(Производство!$A$104:$A$145,Технологи!$B497,Производство!N$104:N$145)*$F497+$G497,0)</f>
        <v>0</v>
      </c>
      <c r="R497" s="46">
        <f t="array" ref="R497">IF(SUMIF(Производство!$A$104:$A$145,Технологи!$B497,Производство!O$104:O$145)&gt;0,SUMIF(Производство!$A$104:$A$145,Технологи!$B497,Производство!O$104:O$145)*$F497+$G497,0)</f>
        <v>0</v>
      </c>
      <c r="S497" s="46">
        <f t="array" ref="S497">IF(SUMIF(Производство!$A$104:$A$145,Технологи!$B497,Производство!P$104:P$145)&gt;0,SUMIF(Производство!$A$104:$A$145,Технологи!$B497,Производство!P$104:P$145)*$F497+$G497,0)</f>
        <v>0</v>
      </c>
      <c r="T497" s="46">
        <f t="array" ref="T497">IF(SUMIF(Производство!$A$104:$A$145,Технологи!$B497,Производство!Q$104:Q$145)&gt;0,SUMIF(Производство!$A$104:$A$145,Технологи!$B497,Производство!Q$104:Q$145)*$F497+$G497,0)</f>
        <v>0</v>
      </c>
    </row>
    <row r="498" spans="1:20" x14ac:dyDescent="0.25">
      <c r="A498" s="34" t="s">
        <v>377</v>
      </c>
      <c r="B498" s="13" t="s">
        <v>26</v>
      </c>
      <c r="C498" s="19" t="s">
        <v>23</v>
      </c>
      <c r="D498" s="14">
        <v>7038</v>
      </c>
      <c r="E498" s="20"/>
      <c r="F498" s="24">
        <v>0</v>
      </c>
      <c r="G498" s="24">
        <v>0</v>
      </c>
      <c r="H498" s="23">
        <f t="shared" si="23"/>
        <v>0</v>
      </c>
      <c r="I498" s="46">
        <f t="array" ref="I498">IF(SUMIF(Производство!$A$104:$A$145,Технологи!$B498,Производство!F$104:F$145)&gt;0,SUMIF(Производство!$A$104:$A$145,Технологи!$B498,Производство!F$104:F$145)*$F498+$G498,0)</f>
        <v>0</v>
      </c>
      <c r="J498" s="46">
        <f t="array" ref="J498">IF(SUMIF(Производство!$A$104:$A$145,Технологи!$B498,Производство!G$104:G$145)&gt;0,SUMIF(Производство!$A$104:$A$145,Технологи!$B498,Производство!G$104:G$145)*$F498+$G498,0)</f>
        <v>0</v>
      </c>
      <c r="K498" s="46">
        <f t="array" ref="K498">IF(SUMIF(Производство!$A$104:$A$145,Технологи!$B498,Производство!H$104:H$145)&gt;0,SUMIF(Производство!$A$104:$A$145,Технологи!$B498,Производство!H$104:H$145)*$F498+$G498,0)</f>
        <v>0</v>
      </c>
      <c r="L498" s="46">
        <f t="array" ref="L498">IF(SUMIF(Производство!$A$104:$A$145,Технологи!$B498,Производство!I$104:I$145)&gt;0,SUMIF(Производство!$A$104:$A$145,Технологи!$B498,Производство!I$104:I$145)*$F498+$G498,0)</f>
        <v>0</v>
      </c>
      <c r="M498" s="46">
        <f t="array" ref="M498">IF(SUMIF(Производство!$A$104:$A$145,Технологи!$B498,Производство!J$104:J$145)&gt;0,SUMIF(Производство!$A$104:$A$145,Технологи!$B498,Производство!J$104:J$145)*$F498+$G498,0)</f>
        <v>0</v>
      </c>
      <c r="N498" s="46">
        <f t="array" ref="N498">IF(SUMIF(Производство!$A$104:$A$145,Технологи!$B498,Производство!K$104:K$145)&gt;0,SUMIF(Производство!$A$104:$A$145,Технологи!$B498,Производство!K$104:K$145)*$F498+$G498,0)</f>
        <v>0</v>
      </c>
      <c r="O498" s="46">
        <f t="array" ref="O498">IF(SUMIF(Производство!$A$104:$A$145,Технологи!$B498,Производство!L$104:L$145)&gt;0,SUMIF(Производство!$A$104:$A$145,Технологи!$B498,Производство!L$104:L$145)*$F498+$G498,0)</f>
        <v>0</v>
      </c>
      <c r="P498" s="46">
        <f t="array" ref="P498">IF(SUMIF(Производство!$A$104:$A$145,Технологи!$B498,Производство!M$104:M$145)&gt;0,SUMIF(Производство!$A$104:$A$145,Технологи!$B498,Производство!M$104:M$145)*$F498+$G498,0)</f>
        <v>0</v>
      </c>
      <c r="Q498" s="46">
        <f t="array" ref="Q498">IF(SUMIF(Производство!$A$104:$A$145,Технологи!$B498,Производство!N$104:N$145)&gt;0,SUMIF(Производство!$A$104:$A$145,Технологи!$B498,Производство!N$104:N$145)*$F498+$G498,0)</f>
        <v>0</v>
      </c>
      <c r="R498" s="46">
        <f t="array" ref="R498">IF(SUMIF(Производство!$A$104:$A$145,Технологи!$B498,Производство!O$104:O$145)&gt;0,SUMIF(Производство!$A$104:$A$145,Технологи!$B498,Производство!O$104:O$145)*$F498+$G498,0)</f>
        <v>0</v>
      </c>
      <c r="S498" s="46">
        <f t="array" ref="S498">IF(SUMIF(Производство!$A$104:$A$145,Технологи!$B498,Производство!P$104:P$145)&gt;0,SUMIF(Производство!$A$104:$A$145,Технологи!$B498,Производство!P$104:P$145)*$F498+$G498,0)</f>
        <v>0</v>
      </c>
      <c r="T498" s="46">
        <f t="array" ref="T498">IF(SUMIF(Производство!$A$104:$A$145,Технологи!$B498,Производство!Q$104:Q$145)&gt;0,SUMIF(Производство!$A$104:$A$145,Технологи!$B498,Производство!Q$104:Q$145)*$F498+$G498,0)</f>
        <v>0</v>
      </c>
    </row>
    <row r="499" spans="1:20" x14ac:dyDescent="0.25">
      <c r="A499" s="34" t="s">
        <v>377</v>
      </c>
      <c r="B499" s="13" t="s">
        <v>30</v>
      </c>
      <c r="C499" s="15" t="s">
        <v>11</v>
      </c>
      <c r="D499" s="14">
        <v>7038</v>
      </c>
      <c r="E499" s="16">
        <v>2.093</v>
      </c>
      <c r="F499" s="22">
        <f>SUM(F500:F511)</f>
        <v>2.0963100907774996</v>
      </c>
      <c r="G499" s="22">
        <f>SUM(G500:G511)</f>
        <v>107.64015999999999</v>
      </c>
      <c r="H499" s="23">
        <f t="shared" si="23"/>
        <v>2096.3100907774997</v>
      </c>
      <c r="I499" s="46">
        <f t="array" ref="I499">IF(SUMIF(Производство!$A$104:$A$145,Технологи!$B499,Производство!F$104:F$145)&gt;0,SUMIF(Производство!$A$104:$A$145,Технологи!$B499,Производство!F$104:F$145)*$F499+$G499,0)</f>
        <v>157.71923526940992</v>
      </c>
      <c r="J499" s="46">
        <f t="array" ref="J499">IF(SUMIF(Производство!$A$104:$A$145,Технологи!$B499,Производство!G$104:G$145)&gt;0,SUMIF(Производство!$A$104:$A$145,Технологи!$B499,Производство!G$104:G$145)*$F499+$G499,0)</f>
        <v>0</v>
      </c>
      <c r="K499" s="46">
        <f t="array" ref="K499">IF(SUMIF(Производство!$A$104:$A$145,Технологи!$B499,Производство!H$104:H$145)&gt;0,SUMIF(Производство!$A$104:$A$145,Технологи!$B499,Производство!H$104:H$145)*$F499+$G499,0)</f>
        <v>168.69343279028564</v>
      </c>
      <c r="L499" s="46">
        <f t="array" ref="L499">IF(SUMIF(Производство!$A$104:$A$145,Технологи!$B499,Производство!I$104:I$145)&gt;0,SUMIF(Производство!$A$104:$A$145,Технологи!$B499,Производство!I$104:I$145)*$F499+$G499,0)</f>
        <v>168.69343279028564</v>
      </c>
      <c r="M499" s="46">
        <f t="array" ref="M499">IF(SUMIF(Производство!$A$104:$A$145,Технологи!$B499,Производство!J$104:J$145)&gt;0,SUMIF(Производство!$A$104:$A$145,Технологи!$B499,Производство!J$104:J$145)*$F499+$G499,0)</f>
        <v>154.84100955215359</v>
      </c>
      <c r="N499" s="46">
        <f t="array" ref="N499">IF(SUMIF(Производство!$A$104:$A$145,Технологи!$B499,Производство!K$104:K$145)&gt;0,SUMIF(Производство!$A$104:$A$145,Технологи!$B499,Производство!K$104:K$145)*$F499+$G499,0)</f>
        <v>154.84100955215359</v>
      </c>
      <c r="O499" s="46">
        <f t="array" ref="O499">IF(SUMIF(Производство!$A$104:$A$145,Технологи!$B499,Производство!L$104:L$145)&gt;0,SUMIF(Производство!$A$104:$A$145,Технологи!$B499,Производство!L$104:L$145)*$F499+$G499,0)</f>
        <v>154.84100955215359</v>
      </c>
      <c r="P499" s="46">
        <f t="array" ref="P499">IF(SUMIF(Производство!$A$104:$A$145,Технологи!$B499,Производство!M$104:M$145)&gt;0,SUMIF(Производство!$A$104:$A$145,Технологи!$B499,Производство!M$104:M$145)*$F499+$G499,0)</f>
        <v>154.84100955215359</v>
      </c>
      <c r="Q499" s="46">
        <f t="array" ref="Q499">IF(SUMIF(Производство!$A$104:$A$145,Технологи!$B499,Производство!N$104:N$145)&gt;0,SUMIF(Производство!$A$104:$A$145,Технологи!$B499,Производство!N$104:N$145)*$F499+$G499,0)</f>
        <v>154.84100955215359</v>
      </c>
      <c r="R499" s="46">
        <f t="array" ref="R499">IF(SUMIF(Производство!$A$104:$A$145,Технологи!$B499,Производство!O$104:O$145)&gt;0,SUMIF(Производство!$A$104:$A$145,Технологи!$B499,Производство!O$104:O$145)*$F499+$G499,0)</f>
        <v>154.84100955215359</v>
      </c>
      <c r="S499" s="46">
        <f t="array" ref="S499">IF(SUMIF(Производство!$A$104:$A$145,Технологи!$B499,Производство!P$104:P$145)&gt;0,SUMIF(Производство!$A$104:$A$145,Технологи!$B499,Производство!P$104:P$145)*$F499+$G499,0)</f>
        <v>154.84100955215359</v>
      </c>
      <c r="T499" s="46">
        <f t="array" ref="T499">IF(SUMIF(Производство!$A$104:$A$145,Технологи!$B499,Производство!Q$104:Q$145)&gt;0,SUMIF(Производство!$A$104:$A$145,Технологи!$B499,Производство!Q$104:Q$145)*$F499+$G499,0)</f>
        <v>154.84100955215359</v>
      </c>
    </row>
    <row r="500" spans="1:20" x14ac:dyDescent="0.25">
      <c r="A500" s="34" t="s">
        <v>377</v>
      </c>
      <c r="B500" s="13" t="s">
        <v>30</v>
      </c>
      <c r="C500" s="19" t="s">
        <v>12</v>
      </c>
      <c r="D500" s="14">
        <v>7038</v>
      </c>
      <c r="E500" s="20"/>
      <c r="F500" s="24">
        <v>0.52644167395198849</v>
      </c>
      <c r="G500" s="24">
        <v>34.061970697606476</v>
      </c>
      <c r="H500" s="23">
        <f t="shared" si="23"/>
        <v>526.44167395198849</v>
      </c>
      <c r="I500" s="46">
        <f t="array" ref="I500">IF(SUMIF(Производство!$A$104:$A$145,Технологи!$B500,Производство!F$104:F$145)&gt;0,SUMIF(Производство!$A$104:$A$145,Технологи!$B500,Производство!F$104:F$145)*$F500+$G500,0)</f>
        <v>46.638217089197212</v>
      </c>
      <c r="J500" s="46">
        <f t="array" ref="J500">IF(SUMIF(Производство!$A$104:$A$145,Технологи!$B500,Производство!G$104:G$145)&gt;0,SUMIF(Производство!$A$104:$A$145,Технологи!$B500,Производство!G$104:G$145)*$F500+$G500,0)</f>
        <v>0</v>
      </c>
      <c r="K500" s="46">
        <f t="array" ref="K500">IF(SUMIF(Производство!$A$104:$A$145,Технологи!$B500,Производство!H$104:H$145)&gt;0,SUMIF(Производство!$A$104:$A$145,Технологи!$B500,Производство!H$104:H$145)*$F500+$G500,0)</f>
        <v>49.394142817259159</v>
      </c>
      <c r="L500" s="46">
        <f t="array" ref="L500">IF(SUMIF(Производство!$A$104:$A$145,Технологи!$B500,Производство!I$104:I$145)&gt;0,SUMIF(Производство!$A$104:$A$145,Технологи!$B500,Производство!I$104:I$145)*$F500+$G500,0)</f>
        <v>49.394142817259159</v>
      </c>
      <c r="M500" s="46">
        <f t="array" ref="M500">IF(SUMIF(Производство!$A$104:$A$145,Технологи!$B500,Производство!J$104:J$145)&gt;0,SUMIF(Производство!$A$104:$A$145,Технологи!$B500,Производство!J$104:J$145)*$F500+$G500,0)</f>
        <v>45.915414689270733</v>
      </c>
      <c r="N500" s="46">
        <f t="array" ref="N500">IF(SUMIF(Производство!$A$104:$A$145,Технологи!$B500,Производство!K$104:K$145)&gt;0,SUMIF(Производство!$A$104:$A$145,Технологи!$B500,Производство!K$104:K$145)*$F500+$G500,0)</f>
        <v>45.915414689270733</v>
      </c>
      <c r="O500" s="46">
        <f t="array" ref="O500">IF(SUMIF(Производство!$A$104:$A$145,Технологи!$B500,Производство!L$104:L$145)&gt;0,SUMIF(Производство!$A$104:$A$145,Технологи!$B500,Производство!L$104:L$145)*$F500+$G500,0)</f>
        <v>45.915414689270733</v>
      </c>
      <c r="P500" s="46">
        <f t="array" ref="P500">IF(SUMIF(Производство!$A$104:$A$145,Технологи!$B500,Производство!M$104:M$145)&gt;0,SUMIF(Производство!$A$104:$A$145,Технологи!$B500,Производство!M$104:M$145)*$F500+$G500,0)</f>
        <v>45.915414689270733</v>
      </c>
      <c r="Q500" s="46">
        <f t="array" ref="Q500">IF(SUMIF(Производство!$A$104:$A$145,Технологи!$B500,Производство!N$104:N$145)&gt;0,SUMIF(Производство!$A$104:$A$145,Технологи!$B500,Производство!N$104:N$145)*$F500+$G500,0)</f>
        <v>45.915414689270733</v>
      </c>
      <c r="R500" s="46">
        <f t="array" ref="R500">IF(SUMIF(Производство!$A$104:$A$145,Технологи!$B500,Производство!O$104:O$145)&gt;0,SUMIF(Производство!$A$104:$A$145,Технологи!$B500,Производство!O$104:O$145)*$F500+$G500,0)</f>
        <v>45.915414689270733</v>
      </c>
      <c r="S500" s="46">
        <f t="array" ref="S500">IF(SUMIF(Производство!$A$104:$A$145,Технологи!$B500,Производство!P$104:P$145)&gt;0,SUMIF(Производство!$A$104:$A$145,Технологи!$B500,Производство!P$104:P$145)*$F500+$G500,0)</f>
        <v>45.915414689270733</v>
      </c>
      <c r="T500" s="46">
        <f t="array" ref="T500">IF(SUMIF(Производство!$A$104:$A$145,Технологи!$B500,Производство!Q$104:Q$145)&gt;0,SUMIF(Производство!$A$104:$A$145,Технологи!$B500,Производство!Q$104:Q$145)*$F500+$G500,0)</f>
        <v>45.915414689270733</v>
      </c>
    </row>
    <row r="501" spans="1:20" x14ac:dyDescent="0.25">
      <c r="A501" s="34" t="s">
        <v>377</v>
      </c>
      <c r="B501" s="13" t="s">
        <v>30</v>
      </c>
      <c r="C501" s="19" t="s">
        <v>13</v>
      </c>
      <c r="D501" s="14">
        <v>7038</v>
      </c>
      <c r="E501" s="20"/>
      <c r="F501" s="24">
        <v>0.18554051021139376</v>
      </c>
      <c r="G501" s="24">
        <v>10.769701635652421</v>
      </c>
      <c r="H501" s="23">
        <f t="shared" si="23"/>
        <v>185.54051021139375</v>
      </c>
      <c r="I501" s="46">
        <f t="array" ref="I501">IF(SUMIF(Производство!$A$104:$A$145,Технологи!$B501,Производство!F$104:F$145)&gt;0,SUMIF(Производство!$A$104:$A$145,Технологи!$B501,Производство!F$104:F$145)*$F501+$G501,0)</f>
        <v>15.202107517434403</v>
      </c>
      <c r="J501" s="46">
        <f t="array" ref="J501">IF(SUMIF(Производство!$A$104:$A$145,Технологи!$B501,Производство!G$104:G$145)&gt;0,SUMIF(Производство!$A$104:$A$145,Технологи!$B501,Производство!G$104:G$145)*$F501+$G501,0)</f>
        <v>0</v>
      </c>
      <c r="K501" s="46">
        <f t="array" ref="K501">IF(SUMIF(Производство!$A$104:$A$145,Технологи!$B501,Производство!H$104:H$145)&gt;0,SUMIF(Производство!$A$104:$A$145,Технологи!$B501,Производство!H$104:H$145)*$F501+$G501,0)</f>
        <v>16.173413344822137</v>
      </c>
      <c r="L501" s="46">
        <f t="array" ref="L501">IF(SUMIF(Производство!$A$104:$A$145,Технологи!$B501,Производство!I$104:I$145)&gt;0,SUMIF(Производство!$A$104:$A$145,Технологи!$B501,Производство!I$104:I$145)*$F501+$G501,0)</f>
        <v>16.173413344822137</v>
      </c>
      <c r="M501" s="46">
        <f t="array" ref="M501">IF(SUMIF(Производство!$A$104:$A$145,Технологи!$B501,Производство!J$104:J$145)&gt;0,SUMIF(Производство!$A$104:$A$145,Технологи!$B501,Производство!J$104:J$145)*$F501+$G501,0)</f>
        <v>14.947361108287829</v>
      </c>
      <c r="N501" s="46">
        <f t="array" ref="N501">IF(SUMIF(Производство!$A$104:$A$145,Технологи!$B501,Производство!K$104:K$145)&gt;0,SUMIF(Производство!$A$104:$A$145,Технологи!$B501,Производство!K$104:K$145)*$F501+$G501,0)</f>
        <v>14.947361108287829</v>
      </c>
      <c r="O501" s="46">
        <f t="array" ref="O501">IF(SUMIF(Производство!$A$104:$A$145,Технологи!$B501,Производство!L$104:L$145)&gt;0,SUMIF(Производство!$A$104:$A$145,Технологи!$B501,Производство!L$104:L$145)*$F501+$G501,0)</f>
        <v>14.947361108287829</v>
      </c>
      <c r="P501" s="46">
        <f t="array" ref="P501">IF(SUMIF(Производство!$A$104:$A$145,Технологи!$B501,Производство!M$104:M$145)&gt;0,SUMIF(Производство!$A$104:$A$145,Технологи!$B501,Производство!M$104:M$145)*$F501+$G501,0)</f>
        <v>14.947361108287829</v>
      </c>
      <c r="Q501" s="46">
        <f t="array" ref="Q501">IF(SUMIF(Производство!$A$104:$A$145,Технологи!$B501,Производство!N$104:N$145)&gt;0,SUMIF(Производство!$A$104:$A$145,Технологи!$B501,Производство!N$104:N$145)*$F501+$G501,0)</f>
        <v>14.947361108287829</v>
      </c>
      <c r="R501" s="46">
        <f t="array" ref="R501">IF(SUMIF(Производство!$A$104:$A$145,Технологи!$B501,Производство!O$104:O$145)&gt;0,SUMIF(Производство!$A$104:$A$145,Технологи!$B501,Производство!O$104:O$145)*$F501+$G501,0)</f>
        <v>14.947361108287829</v>
      </c>
      <c r="S501" s="46">
        <f t="array" ref="S501">IF(SUMIF(Производство!$A$104:$A$145,Технологи!$B501,Производство!P$104:P$145)&gt;0,SUMIF(Производство!$A$104:$A$145,Технологи!$B501,Производство!P$104:P$145)*$F501+$G501,0)</f>
        <v>14.947361108287829</v>
      </c>
      <c r="T501" s="46">
        <f t="array" ref="T501">IF(SUMIF(Производство!$A$104:$A$145,Технологи!$B501,Производство!Q$104:Q$145)&gt;0,SUMIF(Производство!$A$104:$A$145,Технологи!$B501,Производство!Q$104:Q$145)*$F501+$G501,0)</f>
        <v>14.947361108287829</v>
      </c>
    </row>
    <row r="502" spans="1:20" x14ac:dyDescent="0.25">
      <c r="A502" s="34" t="s">
        <v>377</v>
      </c>
      <c r="B502" s="13" t="s">
        <v>30</v>
      </c>
      <c r="C502" s="19" t="s">
        <v>14</v>
      </c>
      <c r="D502" s="14">
        <v>7038</v>
      </c>
      <c r="E502" s="20"/>
      <c r="F502" s="24">
        <v>1.5903472303833749E-3</v>
      </c>
      <c r="G502" s="24">
        <v>0.10218591209281944</v>
      </c>
      <c r="H502" s="23">
        <f t="shared" si="23"/>
        <v>1.590347230383375</v>
      </c>
      <c r="I502" s="46">
        <f t="array" ref="I502">IF(SUMIF(Производство!$A$104:$A$145,Технологи!$B502,Производство!F$104:F$145)&gt;0,SUMIF(Производство!$A$104:$A$145,Технологи!$B502,Производство!F$104:F$145)*$F502+$G502,0)</f>
        <v>0.14017796250809356</v>
      </c>
      <c r="J502" s="46">
        <f t="array" ref="J502">IF(SUMIF(Производство!$A$104:$A$145,Технологи!$B502,Производство!G$104:G$145)&gt;0,SUMIF(Производство!$A$104:$A$145,Технологи!$B502,Производство!G$104:G$145)*$F502+$G502,0)</f>
        <v>0</v>
      </c>
      <c r="K502" s="46">
        <f t="array" ref="K502">IF(SUMIF(Производство!$A$104:$A$145,Технологи!$B502,Производство!H$104:H$145)&gt;0,SUMIF(Производство!$A$104:$A$145,Технологи!$B502,Производство!H$104:H$145)*$F502+$G502,0)</f>
        <v>0.14850344102855983</v>
      </c>
      <c r="L502" s="46">
        <f t="array" ref="L502">IF(SUMIF(Производство!$A$104:$A$145,Технологи!$B502,Производство!I$104:I$145)&gt;0,SUMIF(Производство!$A$104:$A$145,Технологи!$B502,Производство!I$104:I$145)*$F502+$G502,0)</f>
        <v>0.14850344102855983</v>
      </c>
      <c r="M502" s="46">
        <f t="array" ref="M502">IF(SUMIF(Производство!$A$104:$A$145,Технологи!$B502,Производство!J$104:J$145)&gt;0,SUMIF(Производство!$A$104:$A$145,Технологи!$B502,Производство!J$104:J$145)*$F502+$G502,0)</f>
        <v>0.1379944218582658</v>
      </c>
      <c r="N502" s="46">
        <f t="array" ref="N502">IF(SUMIF(Производство!$A$104:$A$145,Технологи!$B502,Производство!K$104:K$145)&gt;0,SUMIF(Производство!$A$104:$A$145,Технологи!$B502,Производство!K$104:K$145)*$F502+$G502,0)</f>
        <v>0.1379944218582658</v>
      </c>
      <c r="O502" s="46">
        <f t="array" ref="O502">IF(SUMIF(Производство!$A$104:$A$145,Технологи!$B502,Производство!L$104:L$145)&gt;0,SUMIF(Производство!$A$104:$A$145,Технологи!$B502,Производство!L$104:L$145)*$F502+$G502,0)</f>
        <v>0.1379944218582658</v>
      </c>
      <c r="P502" s="46">
        <f t="array" ref="P502">IF(SUMIF(Производство!$A$104:$A$145,Технологи!$B502,Производство!M$104:M$145)&gt;0,SUMIF(Производство!$A$104:$A$145,Технологи!$B502,Производство!M$104:M$145)*$F502+$G502,0)</f>
        <v>0.1379944218582658</v>
      </c>
      <c r="Q502" s="46">
        <f t="array" ref="Q502">IF(SUMIF(Производство!$A$104:$A$145,Технологи!$B502,Производство!N$104:N$145)&gt;0,SUMIF(Производство!$A$104:$A$145,Технологи!$B502,Производство!N$104:N$145)*$F502+$G502,0)</f>
        <v>0.1379944218582658</v>
      </c>
      <c r="R502" s="46">
        <f t="array" ref="R502">IF(SUMIF(Производство!$A$104:$A$145,Технологи!$B502,Производство!O$104:O$145)&gt;0,SUMIF(Производство!$A$104:$A$145,Технологи!$B502,Производство!O$104:O$145)*$F502+$G502,0)</f>
        <v>0.1379944218582658</v>
      </c>
      <c r="S502" s="46">
        <f t="array" ref="S502">IF(SUMIF(Производство!$A$104:$A$145,Технологи!$B502,Производство!P$104:P$145)&gt;0,SUMIF(Производство!$A$104:$A$145,Технологи!$B502,Производство!P$104:P$145)*$F502+$G502,0)</f>
        <v>0.1379944218582658</v>
      </c>
      <c r="T502" s="46">
        <f t="array" ref="T502">IF(SUMIF(Производство!$A$104:$A$145,Технологи!$B502,Производство!Q$104:Q$145)&gt;0,SUMIF(Производство!$A$104:$A$145,Технологи!$B502,Производство!Q$104:Q$145)*$F502+$G502,0)</f>
        <v>0.1379944218582658</v>
      </c>
    </row>
    <row r="503" spans="1:20" x14ac:dyDescent="0.25">
      <c r="A503" s="34" t="s">
        <v>377</v>
      </c>
      <c r="B503" s="13" t="s">
        <v>30</v>
      </c>
      <c r="C503" s="19" t="s">
        <v>15</v>
      </c>
      <c r="D503" s="14">
        <v>7038</v>
      </c>
      <c r="E503" s="20"/>
      <c r="F503" s="24">
        <v>7.9517361519168745E-4</v>
      </c>
      <c r="G503" s="24">
        <v>5.1092956046409718E-2</v>
      </c>
      <c r="H503" s="23">
        <f t="shared" si="23"/>
        <v>0.7951736151916875</v>
      </c>
      <c r="I503" s="46">
        <f t="array" ref="I503">IF(SUMIF(Производство!$A$104:$A$145,Технологи!$B503,Производство!F$104:F$145)&gt;0,SUMIF(Производство!$A$104:$A$145,Технологи!$B503,Производство!F$104:F$145)*$F503+$G503,0)</f>
        <v>7.0088981254046778E-2</v>
      </c>
      <c r="J503" s="46">
        <f t="array" ref="J503">IF(SUMIF(Производство!$A$104:$A$145,Технологи!$B503,Производство!G$104:G$145)&gt;0,SUMIF(Производство!$A$104:$A$145,Технологи!$B503,Производство!G$104:G$145)*$F503+$G503,0)</f>
        <v>0</v>
      </c>
      <c r="K503" s="46">
        <f t="array" ref="K503">IF(SUMIF(Производство!$A$104:$A$145,Технологи!$B503,Производство!H$104:H$145)&gt;0,SUMIF(Производство!$A$104:$A$145,Технологи!$B503,Производство!H$104:H$145)*$F503+$G503,0)</f>
        <v>7.4251720514279917E-2</v>
      </c>
      <c r="L503" s="46">
        <f t="array" ref="L503">IF(SUMIF(Производство!$A$104:$A$145,Технологи!$B503,Производство!I$104:I$145)&gt;0,SUMIF(Производство!$A$104:$A$145,Технологи!$B503,Производство!I$104:I$145)*$F503+$G503,0)</f>
        <v>7.4251720514279917E-2</v>
      </c>
      <c r="M503" s="46">
        <f t="array" ref="M503">IF(SUMIF(Производство!$A$104:$A$145,Технологи!$B503,Производство!J$104:J$145)&gt;0,SUMIF(Производство!$A$104:$A$145,Технологи!$B503,Производство!J$104:J$145)*$F503+$G503,0)</f>
        <v>6.8997210929132899E-2</v>
      </c>
      <c r="N503" s="46">
        <f t="array" ref="N503">IF(SUMIF(Производство!$A$104:$A$145,Технологи!$B503,Производство!K$104:K$145)&gt;0,SUMIF(Производство!$A$104:$A$145,Технологи!$B503,Производство!K$104:K$145)*$F503+$G503,0)</f>
        <v>6.8997210929132899E-2</v>
      </c>
      <c r="O503" s="46">
        <f t="array" ref="O503">IF(SUMIF(Производство!$A$104:$A$145,Технологи!$B503,Производство!L$104:L$145)&gt;0,SUMIF(Производство!$A$104:$A$145,Технологи!$B503,Производство!L$104:L$145)*$F503+$G503,0)</f>
        <v>6.8997210929132899E-2</v>
      </c>
      <c r="P503" s="46">
        <f t="array" ref="P503">IF(SUMIF(Производство!$A$104:$A$145,Технологи!$B503,Производство!M$104:M$145)&gt;0,SUMIF(Производство!$A$104:$A$145,Технологи!$B503,Производство!M$104:M$145)*$F503+$G503,0)</f>
        <v>6.8997210929132899E-2</v>
      </c>
      <c r="Q503" s="46">
        <f t="array" ref="Q503">IF(SUMIF(Производство!$A$104:$A$145,Технологи!$B503,Производство!N$104:N$145)&gt;0,SUMIF(Производство!$A$104:$A$145,Технологи!$B503,Производство!N$104:N$145)*$F503+$G503,0)</f>
        <v>6.8997210929132899E-2</v>
      </c>
      <c r="R503" s="46">
        <f t="array" ref="R503">IF(SUMIF(Производство!$A$104:$A$145,Технологи!$B503,Производство!O$104:O$145)&gt;0,SUMIF(Производство!$A$104:$A$145,Технологи!$B503,Производство!O$104:O$145)*$F503+$G503,0)</f>
        <v>6.8997210929132899E-2</v>
      </c>
      <c r="S503" s="46">
        <f t="array" ref="S503">IF(SUMIF(Производство!$A$104:$A$145,Технологи!$B503,Производство!P$104:P$145)&gt;0,SUMIF(Производство!$A$104:$A$145,Технологи!$B503,Производство!P$104:P$145)*$F503+$G503,0)</f>
        <v>6.8997210929132899E-2</v>
      </c>
      <c r="T503" s="46">
        <f t="array" ref="T503">IF(SUMIF(Производство!$A$104:$A$145,Технологи!$B503,Производство!Q$104:Q$145)&gt;0,SUMIF(Производство!$A$104:$A$145,Технологи!$B503,Производство!Q$104:Q$145)*$F503+$G503,0)</f>
        <v>6.8997210929132899E-2</v>
      </c>
    </row>
    <row r="504" spans="1:20" x14ac:dyDescent="0.25">
      <c r="A504" s="34" t="s">
        <v>377</v>
      </c>
      <c r="B504" s="13" t="s">
        <v>30</v>
      </c>
      <c r="C504" s="19" t="s">
        <v>16</v>
      </c>
      <c r="D504" s="14">
        <v>7038</v>
      </c>
      <c r="E504" s="20"/>
      <c r="F504" s="24">
        <v>1.0549828161949121E-2</v>
      </c>
      <c r="G504" s="24">
        <v>0.68123941395212961</v>
      </c>
      <c r="H504" s="23">
        <f t="shared" si="23"/>
        <v>10.549828161949122</v>
      </c>
      <c r="I504" s="46">
        <f t="array" ref="I504">IF(SUMIF(Производство!$A$104:$A$145,Технологи!$B504,Производство!F$104:F$145)&gt;0,SUMIF(Производство!$A$104:$A$145,Технологи!$B504,Производство!F$104:F$145)*$F504+$G504,0)</f>
        <v>0.93326588700394808</v>
      </c>
      <c r="J504" s="46">
        <f t="array" ref="J504">IF(SUMIF(Производство!$A$104:$A$145,Технологи!$B504,Производство!G$104:G$145)&gt;0,SUMIF(Производство!$A$104:$A$145,Технологи!$B504,Производство!G$104:G$145)*$F504+$G504,0)</f>
        <v>0</v>
      </c>
      <c r="K504" s="46">
        <f t="array" ref="K504">IF(SUMIF(Производство!$A$104:$A$145,Технологи!$B504,Производство!H$104:H$145)&gt;0,SUMIF(Производство!$A$104:$A$145,Технологи!$B504,Производство!H$104:H$145)*$F504+$G504,0)</f>
        <v>0.98849430887238776</v>
      </c>
      <c r="L504" s="46">
        <f t="array" ref="L504">IF(SUMIF(Производство!$A$104:$A$145,Технологи!$B504,Производство!I$104:I$145)&gt;0,SUMIF(Производство!$A$104:$A$145,Технологи!$B504,Производство!I$104:I$145)*$F504+$G504,0)</f>
        <v>0.98849430887238776</v>
      </c>
      <c r="M504" s="46">
        <f t="array" ref="M504">IF(SUMIF(Производство!$A$104:$A$145,Технологи!$B504,Производство!J$104:J$145)&gt;0,SUMIF(Производство!$A$104:$A$145,Технологи!$B504,Производство!J$104:J$145)*$F504+$G504,0)</f>
        <v>0.91878101338627871</v>
      </c>
      <c r="N504" s="46">
        <f t="array" ref="N504">IF(SUMIF(Производство!$A$104:$A$145,Технологи!$B504,Производство!K$104:K$145)&gt;0,SUMIF(Производство!$A$104:$A$145,Технологи!$B504,Производство!K$104:K$145)*$F504+$G504,0)</f>
        <v>0.91878101338627871</v>
      </c>
      <c r="O504" s="46">
        <f t="array" ref="O504">IF(SUMIF(Производство!$A$104:$A$145,Технологи!$B504,Производство!L$104:L$145)&gt;0,SUMIF(Производство!$A$104:$A$145,Технологи!$B504,Производство!L$104:L$145)*$F504+$G504,0)</f>
        <v>0.91878101338627871</v>
      </c>
      <c r="P504" s="46">
        <f t="array" ref="P504">IF(SUMIF(Производство!$A$104:$A$145,Технологи!$B504,Производство!M$104:M$145)&gt;0,SUMIF(Производство!$A$104:$A$145,Технологи!$B504,Производство!M$104:M$145)*$F504+$G504,0)</f>
        <v>0.91878101338627871</v>
      </c>
      <c r="Q504" s="46">
        <f t="array" ref="Q504">IF(SUMIF(Производство!$A$104:$A$145,Технологи!$B504,Производство!N$104:N$145)&gt;0,SUMIF(Производство!$A$104:$A$145,Технологи!$B504,Производство!N$104:N$145)*$F504+$G504,0)</f>
        <v>0.91878101338627871</v>
      </c>
      <c r="R504" s="46">
        <f t="array" ref="R504">IF(SUMIF(Производство!$A$104:$A$145,Технологи!$B504,Производство!O$104:O$145)&gt;0,SUMIF(Производство!$A$104:$A$145,Технологи!$B504,Производство!O$104:O$145)*$F504+$G504,0)</f>
        <v>0.91878101338627871</v>
      </c>
      <c r="S504" s="46">
        <f t="array" ref="S504">IF(SUMIF(Производство!$A$104:$A$145,Технологи!$B504,Производство!P$104:P$145)&gt;0,SUMIF(Производство!$A$104:$A$145,Технологи!$B504,Производство!P$104:P$145)*$F504+$G504,0)</f>
        <v>0.91878101338627871</v>
      </c>
      <c r="T504" s="46">
        <f t="array" ref="T504">IF(SUMIF(Производство!$A$104:$A$145,Технологи!$B504,Производство!Q$104:Q$145)&gt;0,SUMIF(Производство!$A$104:$A$145,Технологи!$B504,Производство!Q$104:Q$145)*$F504+$G504,0)</f>
        <v>0.91878101338627871</v>
      </c>
    </row>
    <row r="505" spans="1:20" x14ac:dyDescent="0.25">
      <c r="A505" s="34" t="s">
        <v>377</v>
      </c>
      <c r="B505" s="13" t="s">
        <v>30</v>
      </c>
      <c r="C505" s="19" t="s">
        <v>17</v>
      </c>
      <c r="D505" s="14">
        <v>7038</v>
      </c>
      <c r="E505" s="20"/>
      <c r="F505" s="24">
        <v>5.8601408670727337E-3</v>
      </c>
      <c r="G505" s="24">
        <v>0.37468167767367133</v>
      </c>
      <c r="H505" s="23">
        <f t="shared" si="23"/>
        <v>5.860140867072734</v>
      </c>
      <c r="I505" s="46">
        <f t="array" ref="I505">IF(SUMIF(Производство!$A$104:$A$145,Технологи!$B505,Производство!F$104:F$145)&gt;0,SUMIF(Производство!$A$104:$A$145,Технологи!$B505,Производство!F$104:F$145)*$F505+$G505,0)</f>
        <v>0.51467548720718148</v>
      </c>
      <c r="J505" s="46">
        <f t="array" ref="J505">IF(SUMIF(Производство!$A$104:$A$145,Технологи!$B505,Производство!G$104:G$145)&gt;0,SUMIF(Производство!$A$104:$A$145,Технологи!$B505,Производство!G$104:G$145)*$F505+$G505,0)</f>
        <v>0</v>
      </c>
      <c r="K505" s="46">
        <f t="array" ref="K505">IF(SUMIF(Производство!$A$104:$A$145,Технологи!$B505,Производство!H$104:H$145)&gt;0,SUMIF(Производство!$A$104:$A$145,Технологи!$B505,Производство!H$104:H$145)*$F505+$G505,0)</f>
        <v>0.54535336432962567</v>
      </c>
      <c r="L505" s="46">
        <f t="array" ref="L505">IF(SUMIF(Производство!$A$104:$A$145,Технологи!$B505,Производство!I$104:I$145)&gt;0,SUMIF(Производство!$A$104:$A$145,Технологи!$B505,Производство!I$104:I$145)*$F505+$G505,0)</f>
        <v>0.54535336432962567</v>
      </c>
      <c r="M505" s="46">
        <f t="array" ref="M505">IF(SUMIF(Производство!$A$104:$A$145,Технологи!$B505,Производство!J$104:J$145)&gt;0,SUMIF(Производство!$A$104:$A$145,Технологи!$B505,Производство!J$104:J$145)*$F505+$G505,0)</f>
        <v>0.50662953626482932</v>
      </c>
      <c r="N505" s="46">
        <f t="array" ref="N505">IF(SUMIF(Производство!$A$104:$A$145,Технологи!$B505,Производство!K$104:K$145)&gt;0,SUMIF(Производство!$A$104:$A$145,Технологи!$B505,Производство!K$104:K$145)*$F505+$G505,0)</f>
        <v>0.50662953626482932</v>
      </c>
      <c r="O505" s="46">
        <f t="array" ref="O505">IF(SUMIF(Производство!$A$104:$A$145,Технологи!$B505,Производство!L$104:L$145)&gt;0,SUMIF(Производство!$A$104:$A$145,Технологи!$B505,Производство!L$104:L$145)*$F505+$G505,0)</f>
        <v>0.50662953626482932</v>
      </c>
      <c r="P505" s="46">
        <f t="array" ref="P505">IF(SUMIF(Производство!$A$104:$A$145,Технологи!$B505,Производство!M$104:M$145)&gt;0,SUMIF(Производство!$A$104:$A$145,Технологи!$B505,Производство!M$104:M$145)*$F505+$G505,0)</f>
        <v>0.50662953626482932</v>
      </c>
      <c r="Q505" s="46">
        <f t="array" ref="Q505">IF(SUMIF(Производство!$A$104:$A$145,Технологи!$B505,Производство!N$104:N$145)&gt;0,SUMIF(Производство!$A$104:$A$145,Технологи!$B505,Производство!N$104:N$145)*$F505+$G505,0)</f>
        <v>0.50662953626482932</v>
      </c>
      <c r="R505" s="46">
        <f t="array" ref="R505">IF(SUMIF(Производство!$A$104:$A$145,Технологи!$B505,Производство!O$104:O$145)&gt;0,SUMIF(Производство!$A$104:$A$145,Технологи!$B505,Производство!O$104:O$145)*$F505+$G505,0)</f>
        <v>0.50662953626482932</v>
      </c>
      <c r="S505" s="46">
        <f t="array" ref="S505">IF(SUMIF(Производство!$A$104:$A$145,Технологи!$B505,Производство!P$104:P$145)&gt;0,SUMIF(Производство!$A$104:$A$145,Технологи!$B505,Производство!P$104:P$145)*$F505+$G505,0)</f>
        <v>0.50662953626482932</v>
      </c>
      <c r="T505" s="46">
        <f t="array" ref="T505">IF(SUMIF(Производство!$A$104:$A$145,Технологи!$B505,Производство!Q$104:Q$145)&gt;0,SUMIF(Производство!$A$104:$A$145,Технологи!$B505,Производство!Q$104:Q$145)*$F505+$G505,0)</f>
        <v>0.50662953626482932</v>
      </c>
    </row>
    <row r="506" spans="1:20" x14ac:dyDescent="0.25">
      <c r="A506" s="34" t="s">
        <v>377</v>
      </c>
      <c r="B506" s="13" t="s">
        <v>30</v>
      </c>
      <c r="C506" s="19" t="s">
        <v>18</v>
      </c>
      <c r="D506" s="14">
        <v>7038</v>
      </c>
      <c r="E506" s="20"/>
      <c r="F506" s="24">
        <v>5.2644167395198864E-3</v>
      </c>
      <c r="G506" s="24">
        <v>0.34061970697606481</v>
      </c>
      <c r="H506" s="23">
        <f t="shared" si="23"/>
        <v>5.264416739519886</v>
      </c>
      <c r="I506" s="46">
        <f t="array" ref="I506">IF(SUMIF(Производство!$A$104:$A$145,Технологи!$B506,Производство!F$104:F$145)&gt;0,SUMIF(Производство!$A$104:$A$145,Технологи!$B506,Производство!F$104:F$145)*$F506+$G506,0)</f>
        <v>0.46638217089197226</v>
      </c>
      <c r="J506" s="46">
        <f t="array" ref="J506">IF(SUMIF(Производство!$A$104:$A$145,Технологи!$B506,Производство!G$104:G$145)&gt;0,SUMIF(Производство!$A$104:$A$145,Технологи!$B506,Производство!G$104:G$145)*$F506+$G506,0)</f>
        <v>0</v>
      </c>
      <c r="K506" s="46">
        <f t="array" ref="K506">IF(SUMIF(Производство!$A$104:$A$145,Технологи!$B506,Производство!H$104:H$145)&gt;0,SUMIF(Производство!$A$104:$A$145,Технологи!$B506,Производство!H$104:H$145)*$F506+$G506,0)</f>
        <v>0.49394142817259168</v>
      </c>
      <c r="L506" s="46">
        <f t="array" ref="L506">IF(SUMIF(Производство!$A$104:$A$145,Технологи!$B506,Производство!I$104:I$145)&gt;0,SUMIF(Производство!$A$104:$A$145,Технологи!$B506,Производство!I$104:I$145)*$F506+$G506,0)</f>
        <v>0.49394142817259168</v>
      </c>
      <c r="M506" s="46">
        <f t="array" ref="M506">IF(SUMIF(Производство!$A$104:$A$145,Технологи!$B506,Производство!J$104:J$145)&gt;0,SUMIF(Производство!$A$104:$A$145,Технологи!$B506,Производство!J$104:J$145)*$F506+$G506,0)</f>
        <v>0.45915414689270739</v>
      </c>
      <c r="N506" s="46">
        <f t="array" ref="N506">IF(SUMIF(Производство!$A$104:$A$145,Технологи!$B506,Производство!K$104:K$145)&gt;0,SUMIF(Производство!$A$104:$A$145,Технологи!$B506,Производство!K$104:K$145)*$F506+$G506,0)</f>
        <v>0.45915414689270739</v>
      </c>
      <c r="O506" s="46">
        <f t="array" ref="O506">IF(SUMIF(Производство!$A$104:$A$145,Технологи!$B506,Производство!L$104:L$145)&gt;0,SUMIF(Производство!$A$104:$A$145,Технологи!$B506,Производство!L$104:L$145)*$F506+$G506,0)</f>
        <v>0.45915414689270739</v>
      </c>
      <c r="P506" s="46">
        <f t="array" ref="P506">IF(SUMIF(Производство!$A$104:$A$145,Технологи!$B506,Производство!M$104:M$145)&gt;0,SUMIF(Производство!$A$104:$A$145,Технологи!$B506,Производство!M$104:M$145)*$F506+$G506,0)</f>
        <v>0.45915414689270739</v>
      </c>
      <c r="Q506" s="46">
        <f t="array" ref="Q506">IF(SUMIF(Производство!$A$104:$A$145,Технологи!$B506,Производство!N$104:N$145)&gt;0,SUMIF(Производство!$A$104:$A$145,Технологи!$B506,Производство!N$104:N$145)*$F506+$G506,0)</f>
        <v>0.45915414689270739</v>
      </c>
      <c r="R506" s="46">
        <f t="array" ref="R506">IF(SUMIF(Производство!$A$104:$A$145,Технологи!$B506,Производство!O$104:O$145)&gt;0,SUMIF(Производство!$A$104:$A$145,Технологи!$B506,Производство!O$104:O$145)*$F506+$G506,0)</f>
        <v>0.45915414689270739</v>
      </c>
      <c r="S506" s="46">
        <f t="array" ref="S506">IF(SUMIF(Производство!$A$104:$A$145,Технологи!$B506,Производство!P$104:P$145)&gt;0,SUMIF(Производство!$A$104:$A$145,Технологи!$B506,Производство!P$104:P$145)*$F506+$G506,0)</f>
        <v>0.45915414689270739</v>
      </c>
      <c r="T506" s="46">
        <f t="array" ref="T506">IF(SUMIF(Производство!$A$104:$A$145,Технологи!$B506,Производство!Q$104:Q$145)&gt;0,SUMIF(Производство!$A$104:$A$145,Технологи!$B506,Производство!Q$104:Q$145)*$F506+$G506,0)</f>
        <v>0.45915414689270739</v>
      </c>
    </row>
    <row r="507" spans="1:20" x14ac:dyDescent="0.25">
      <c r="A507" s="34" t="s">
        <v>377</v>
      </c>
      <c r="B507" s="13" t="s">
        <v>30</v>
      </c>
      <c r="C507" s="19" t="s">
        <v>19</v>
      </c>
      <c r="D507" s="14">
        <v>7038</v>
      </c>
      <c r="E507" s="20"/>
      <c r="F507" s="24">
        <v>1.0897680000000003</v>
      </c>
      <c r="G507" s="24">
        <v>55.578168000000012</v>
      </c>
      <c r="H507" s="23">
        <f t="shared" si="23"/>
        <v>1089.7680000000003</v>
      </c>
      <c r="I507" s="46">
        <f t="array" ref="I507">IF(SUMIF(Производство!$A$104:$A$145,Технологи!$B507,Производство!F$104:F$145)&gt;0,SUMIF(Производство!$A$104:$A$145,Технологи!$B507,Производство!F$104:F$145)*$F507+$G507,0)</f>
        <v>81.611803929288115</v>
      </c>
      <c r="J507" s="46">
        <f t="array" ref="J507">IF(SUMIF(Производство!$A$104:$A$145,Технологи!$B507,Производство!G$104:G$145)&gt;0,SUMIF(Производство!$A$104:$A$145,Технологи!$B507,Производство!G$104:G$145)*$F507+$G507,0)</f>
        <v>0</v>
      </c>
      <c r="K507" s="46">
        <f t="array" ref="K507">IF(SUMIF(Производство!$A$104:$A$145,Технологи!$B507,Производство!H$104:H$145)&gt;0,SUMIF(Производство!$A$104:$A$145,Технологи!$B507,Производство!H$104:H$145)*$F507+$G507,0)</f>
        <v>87.31674678890775</v>
      </c>
      <c r="L507" s="46">
        <f t="array" ref="L507">IF(SUMIF(Производство!$A$104:$A$145,Технологи!$B507,Производство!I$104:I$145)&gt;0,SUMIF(Производство!$A$104:$A$145,Технологи!$B507,Производство!I$104:I$145)*$F507+$G507,0)</f>
        <v>87.31674678890775</v>
      </c>
      <c r="M507" s="46">
        <f t="array" ref="M507">IF(SUMIF(Производство!$A$104:$A$145,Технологи!$B507,Производство!J$104:J$145)&gt;0,SUMIF(Производство!$A$104:$A$145,Технологи!$B507,Производство!J$104:J$145)*$F507+$G507,0)</f>
        <v>80.115556643525323</v>
      </c>
      <c r="N507" s="46">
        <f t="array" ref="N507">IF(SUMIF(Производство!$A$104:$A$145,Технологи!$B507,Производство!K$104:K$145)&gt;0,SUMIF(Производство!$A$104:$A$145,Технологи!$B507,Производство!K$104:K$145)*$F507+$G507,0)</f>
        <v>80.115556643525323</v>
      </c>
      <c r="O507" s="46">
        <f t="array" ref="O507">IF(SUMIF(Производство!$A$104:$A$145,Технологи!$B507,Производство!L$104:L$145)&gt;0,SUMIF(Производство!$A$104:$A$145,Технологи!$B507,Производство!L$104:L$145)*$F507+$G507,0)</f>
        <v>80.115556643525323</v>
      </c>
      <c r="P507" s="46">
        <f t="array" ref="P507">IF(SUMIF(Производство!$A$104:$A$145,Технологи!$B507,Производство!M$104:M$145)&gt;0,SUMIF(Производство!$A$104:$A$145,Технологи!$B507,Производство!M$104:M$145)*$F507+$G507,0)</f>
        <v>80.115556643525323</v>
      </c>
      <c r="Q507" s="46">
        <f t="array" ref="Q507">IF(SUMIF(Производство!$A$104:$A$145,Технологи!$B507,Производство!N$104:N$145)&gt;0,SUMIF(Производство!$A$104:$A$145,Технологи!$B507,Производство!N$104:N$145)*$F507+$G507,0)</f>
        <v>80.115556643525323</v>
      </c>
      <c r="R507" s="46">
        <f t="array" ref="R507">IF(SUMIF(Производство!$A$104:$A$145,Технологи!$B507,Производство!O$104:O$145)&gt;0,SUMIF(Производство!$A$104:$A$145,Технологи!$B507,Производство!O$104:O$145)*$F507+$G507,0)</f>
        <v>80.115556643525323</v>
      </c>
      <c r="S507" s="46">
        <f t="array" ref="S507">IF(SUMIF(Производство!$A$104:$A$145,Технологи!$B507,Производство!P$104:P$145)&gt;0,SUMIF(Производство!$A$104:$A$145,Технологи!$B507,Производство!P$104:P$145)*$F507+$G507,0)</f>
        <v>80.115556643525323</v>
      </c>
      <c r="T507" s="46">
        <f t="array" ref="T507">IF(SUMIF(Производство!$A$104:$A$145,Технологи!$B507,Производство!Q$104:Q$145)&gt;0,SUMIF(Производство!$A$104:$A$145,Технологи!$B507,Производство!Q$104:Q$145)*$F507+$G507,0)</f>
        <v>80.115556643525323</v>
      </c>
    </row>
    <row r="508" spans="1:20" x14ac:dyDescent="0.25">
      <c r="A508" s="34" t="s">
        <v>377</v>
      </c>
      <c r="B508" s="13" t="s">
        <v>30</v>
      </c>
      <c r="C508" s="19" t="s">
        <v>20</v>
      </c>
      <c r="D508" s="14">
        <v>7038</v>
      </c>
      <c r="E508" s="20"/>
      <c r="F508" s="24">
        <v>0</v>
      </c>
      <c r="G508" s="24">
        <v>0</v>
      </c>
      <c r="H508" s="23">
        <f t="shared" si="23"/>
        <v>0</v>
      </c>
      <c r="I508" s="46">
        <f t="array" ref="I508">IF(SUMIF(Производство!$A$104:$A$145,Технологи!$B508,Производство!F$104:F$145)&gt;0,SUMIF(Производство!$A$104:$A$145,Технологи!$B508,Производство!F$104:F$145)*$F508+$G508,0)</f>
        <v>0</v>
      </c>
      <c r="J508" s="46">
        <f t="array" ref="J508">IF(SUMIF(Производство!$A$104:$A$145,Технологи!$B508,Производство!G$104:G$145)&gt;0,SUMIF(Производство!$A$104:$A$145,Технологи!$B508,Производство!G$104:G$145)*$F508+$G508,0)</f>
        <v>0</v>
      </c>
      <c r="K508" s="46">
        <f t="array" ref="K508">IF(SUMIF(Производство!$A$104:$A$145,Технологи!$B508,Производство!H$104:H$145)&gt;0,SUMIF(Производство!$A$104:$A$145,Технологи!$B508,Производство!H$104:H$145)*$F508+$G508,0)</f>
        <v>0</v>
      </c>
      <c r="L508" s="46">
        <f t="array" ref="L508">IF(SUMIF(Производство!$A$104:$A$145,Технологи!$B508,Производство!I$104:I$145)&gt;0,SUMIF(Производство!$A$104:$A$145,Технологи!$B508,Производство!I$104:I$145)*$F508+$G508,0)</f>
        <v>0</v>
      </c>
      <c r="M508" s="46">
        <f t="array" ref="M508">IF(SUMIF(Производство!$A$104:$A$145,Технологи!$B508,Производство!J$104:J$145)&gt;0,SUMIF(Производство!$A$104:$A$145,Технологи!$B508,Производство!J$104:J$145)*$F508+$G508,0)</f>
        <v>0</v>
      </c>
      <c r="N508" s="46">
        <f t="array" ref="N508">IF(SUMIF(Производство!$A$104:$A$145,Технологи!$B508,Производство!K$104:K$145)&gt;0,SUMIF(Производство!$A$104:$A$145,Технологи!$B508,Производство!K$104:K$145)*$F508+$G508,0)</f>
        <v>0</v>
      </c>
      <c r="O508" s="46">
        <f t="array" ref="O508">IF(SUMIF(Производство!$A$104:$A$145,Технологи!$B508,Производство!L$104:L$145)&gt;0,SUMIF(Производство!$A$104:$A$145,Технологи!$B508,Производство!L$104:L$145)*$F508+$G508,0)</f>
        <v>0</v>
      </c>
      <c r="P508" s="46">
        <f t="array" ref="P508">IF(SUMIF(Производство!$A$104:$A$145,Технологи!$B508,Производство!M$104:M$145)&gt;0,SUMIF(Производство!$A$104:$A$145,Технологи!$B508,Производство!M$104:M$145)*$F508+$G508,0)</f>
        <v>0</v>
      </c>
      <c r="Q508" s="46">
        <f t="array" ref="Q508">IF(SUMIF(Производство!$A$104:$A$145,Технологи!$B508,Производство!N$104:N$145)&gt;0,SUMIF(Производство!$A$104:$A$145,Технологи!$B508,Производство!N$104:N$145)*$F508+$G508,0)</f>
        <v>0</v>
      </c>
      <c r="R508" s="46">
        <f t="array" ref="R508">IF(SUMIF(Производство!$A$104:$A$145,Технологи!$B508,Производство!O$104:O$145)&gt;0,SUMIF(Производство!$A$104:$A$145,Технологи!$B508,Производство!O$104:O$145)*$F508+$G508,0)</f>
        <v>0</v>
      </c>
      <c r="S508" s="46">
        <f t="array" ref="S508">IF(SUMIF(Производство!$A$104:$A$145,Технологи!$B508,Производство!P$104:P$145)&gt;0,SUMIF(Производство!$A$104:$A$145,Технологи!$B508,Производство!P$104:P$145)*$F508+$G508,0)</f>
        <v>0</v>
      </c>
      <c r="T508" s="46">
        <f t="array" ref="T508">IF(SUMIF(Производство!$A$104:$A$145,Технологи!$B508,Производство!Q$104:Q$145)&gt;0,SUMIF(Производство!$A$104:$A$145,Технологи!$B508,Производство!Q$104:Q$145)*$F508+$G508,0)</f>
        <v>0</v>
      </c>
    </row>
    <row r="509" spans="1:20" x14ac:dyDescent="0.25">
      <c r="A509" s="34" t="s">
        <v>377</v>
      </c>
      <c r="B509" s="13" t="s">
        <v>30</v>
      </c>
      <c r="C509" s="19" t="s">
        <v>21</v>
      </c>
      <c r="D509" s="14">
        <v>7038</v>
      </c>
      <c r="E509" s="20"/>
      <c r="F509" s="24">
        <v>0.15049999999999999</v>
      </c>
      <c r="G509" s="24">
        <v>3.1604999999999999</v>
      </c>
      <c r="H509" s="23">
        <f t="shared" si="23"/>
        <v>150.5</v>
      </c>
      <c r="I509" s="46">
        <f t="array" ref="I509">IF(SUMIF(Производство!$A$104:$A$145,Технологи!$B509,Производство!F$104:F$145)&gt;0,SUMIF(Производство!$A$104:$A$145,Технологи!$B509,Производство!F$104:F$145)*$F509+$G509,0)</f>
        <v>6.7558177257525074</v>
      </c>
      <c r="J509" s="46">
        <f t="array" ref="J509">IF(SUMIF(Производство!$A$104:$A$145,Технологи!$B509,Производство!G$104:G$145)&gt;0,SUMIF(Производство!$A$104:$A$145,Технологи!$B509,Производство!G$104:G$145)*$F509+$G509,0)</f>
        <v>0</v>
      </c>
      <c r="K509" s="46">
        <f t="array" ref="K509">IF(SUMIF(Производство!$A$104:$A$145,Технологи!$B509,Производство!H$104:H$145)&gt;0,SUMIF(Производство!$A$104:$A$145,Технологи!$B509,Производство!H$104:H$145)*$F509+$G509,0)</f>
        <v>7.5436862448985602</v>
      </c>
      <c r="L509" s="46">
        <f t="array" ref="L509">IF(SUMIF(Производство!$A$104:$A$145,Технологи!$B509,Производство!I$104:I$145)&gt;0,SUMIF(Производство!$A$104:$A$145,Технологи!$B509,Производство!I$104:I$145)*$F509+$G509,0)</f>
        <v>7.5436862448985602</v>
      </c>
      <c r="M509" s="46">
        <f t="array" ref="M509">IF(SUMIF(Производство!$A$104:$A$145,Технологи!$B509,Производство!J$104:J$145)&gt;0,SUMIF(Производство!$A$104:$A$145,Технологи!$B509,Производство!J$104:J$145)*$F509+$G509,0)</f>
        <v>6.549181802778719</v>
      </c>
      <c r="N509" s="46">
        <f t="array" ref="N509">IF(SUMIF(Производство!$A$104:$A$145,Технологи!$B509,Производство!K$104:K$145)&gt;0,SUMIF(Производство!$A$104:$A$145,Технологи!$B509,Производство!K$104:K$145)*$F509+$G509,0)</f>
        <v>6.549181802778719</v>
      </c>
      <c r="O509" s="46">
        <f t="array" ref="O509">IF(SUMIF(Производство!$A$104:$A$145,Технологи!$B509,Производство!L$104:L$145)&gt;0,SUMIF(Производство!$A$104:$A$145,Технологи!$B509,Производство!L$104:L$145)*$F509+$G509,0)</f>
        <v>6.549181802778719</v>
      </c>
      <c r="P509" s="46">
        <f t="array" ref="P509">IF(SUMIF(Производство!$A$104:$A$145,Технологи!$B509,Производство!M$104:M$145)&gt;0,SUMIF(Производство!$A$104:$A$145,Технологи!$B509,Производство!M$104:M$145)*$F509+$G509,0)</f>
        <v>6.549181802778719</v>
      </c>
      <c r="Q509" s="46">
        <f t="array" ref="Q509">IF(SUMIF(Производство!$A$104:$A$145,Технологи!$B509,Производство!N$104:N$145)&gt;0,SUMIF(Производство!$A$104:$A$145,Технологи!$B509,Производство!N$104:N$145)*$F509+$G509,0)</f>
        <v>6.549181802778719</v>
      </c>
      <c r="R509" s="46">
        <f t="array" ref="R509">IF(SUMIF(Производство!$A$104:$A$145,Технологи!$B509,Производство!O$104:O$145)&gt;0,SUMIF(Производство!$A$104:$A$145,Технологи!$B509,Производство!O$104:O$145)*$F509+$G509,0)</f>
        <v>6.549181802778719</v>
      </c>
      <c r="S509" s="46">
        <f t="array" ref="S509">IF(SUMIF(Производство!$A$104:$A$145,Технологи!$B509,Производство!P$104:P$145)&gt;0,SUMIF(Производство!$A$104:$A$145,Технологи!$B509,Производство!P$104:P$145)*$F509+$G509,0)</f>
        <v>6.549181802778719</v>
      </c>
      <c r="T509" s="46">
        <f t="array" ref="T509">IF(SUMIF(Производство!$A$104:$A$145,Технологи!$B509,Производство!Q$104:Q$145)&gt;0,SUMIF(Производство!$A$104:$A$145,Технологи!$B509,Производство!Q$104:Q$145)*$F509+$G509,0)</f>
        <v>6.549181802778719</v>
      </c>
    </row>
    <row r="510" spans="1:20" x14ac:dyDescent="0.25">
      <c r="A510" s="34" t="s">
        <v>377</v>
      </c>
      <c r="B510" s="13" t="s">
        <v>30</v>
      </c>
      <c r="C510" s="19" t="s">
        <v>22</v>
      </c>
      <c r="D510" s="14">
        <v>7038</v>
      </c>
      <c r="E510" s="20"/>
      <c r="F510" s="24">
        <v>0.12</v>
      </c>
      <c r="G510" s="24">
        <v>2.52</v>
      </c>
      <c r="H510" s="23">
        <f t="shared" si="23"/>
        <v>120</v>
      </c>
      <c r="I510" s="46">
        <f t="array" ref="I510">IF(SUMIF(Производство!$A$104:$A$145,Технологи!$B510,Производство!F$104:F$145)&gt;0,SUMIF(Производство!$A$104:$A$145,Технологи!$B510,Производство!F$104:F$145)*$F510+$G510,0)</f>
        <v>5.3866985188724312</v>
      </c>
      <c r="J510" s="46">
        <f t="array" ref="J510">IF(SUMIF(Производство!$A$104:$A$145,Технологи!$B510,Производство!G$104:G$145)&gt;0,SUMIF(Производство!$A$104:$A$145,Технологи!$B510,Производство!G$104:G$145)*$F510+$G510,0)</f>
        <v>0</v>
      </c>
      <c r="K510" s="46">
        <f t="array" ref="K510">IF(SUMIF(Производство!$A$104:$A$145,Технологи!$B510,Производство!H$104:H$145)&gt;0,SUMIF(Производство!$A$104:$A$145,Технологи!$B510,Производство!H$104:H$145)*$F510+$G510,0)</f>
        <v>6.0148993314805796</v>
      </c>
      <c r="L510" s="46">
        <f t="array" ref="L510">IF(SUMIF(Производство!$A$104:$A$145,Технологи!$B510,Производство!I$104:I$145)&gt;0,SUMIF(Производство!$A$104:$A$145,Технологи!$B510,Производство!I$104:I$145)*$F510+$G510,0)</f>
        <v>6.0148993314805796</v>
      </c>
      <c r="M510" s="46">
        <f t="array" ref="M510">IF(SUMIF(Производство!$A$104:$A$145,Технологи!$B510,Производство!J$104:J$145)&gt;0,SUMIF(Производство!$A$104:$A$145,Технологи!$B510,Производство!J$104:J$145)*$F510+$G510,0)</f>
        <v>5.2219389789597752</v>
      </c>
      <c r="N510" s="46">
        <f t="array" ref="N510">IF(SUMIF(Производство!$A$104:$A$145,Технологи!$B510,Производство!K$104:K$145)&gt;0,SUMIF(Производство!$A$104:$A$145,Технологи!$B510,Производство!K$104:K$145)*$F510+$G510,0)</f>
        <v>5.2219389789597752</v>
      </c>
      <c r="O510" s="46">
        <f t="array" ref="O510">IF(SUMIF(Производство!$A$104:$A$145,Технологи!$B510,Производство!L$104:L$145)&gt;0,SUMIF(Производство!$A$104:$A$145,Технологи!$B510,Производство!L$104:L$145)*$F510+$G510,0)</f>
        <v>5.2219389789597752</v>
      </c>
      <c r="P510" s="46">
        <f t="array" ref="P510">IF(SUMIF(Производство!$A$104:$A$145,Технологи!$B510,Производство!M$104:M$145)&gt;0,SUMIF(Производство!$A$104:$A$145,Технологи!$B510,Производство!M$104:M$145)*$F510+$G510,0)</f>
        <v>5.2219389789597752</v>
      </c>
      <c r="Q510" s="46">
        <f t="array" ref="Q510">IF(SUMIF(Производство!$A$104:$A$145,Технологи!$B510,Производство!N$104:N$145)&gt;0,SUMIF(Производство!$A$104:$A$145,Технологи!$B510,Производство!N$104:N$145)*$F510+$G510,0)</f>
        <v>5.2219389789597752</v>
      </c>
      <c r="R510" s="46">
        <f t="array" ref="R510">IF(SUMIF(Производство!$A$104:$A$145,Технологи!$B510,Производство!O$104:O$145)&gt;0,SUMIF(Производство!$A$104:$A$145,Технологи!$B510,Производство!O$104:O$145)*$F510+$G510,0)</f>
        <v>5.2219389789597752</v>
      </c>
      <c r="S510" s="46">
        <f t="array" ref="S510">IF(SUMIF(Производство!$A$104:$A$145,Технологи!$B510,Производство!P$104:P$145)&gt;0,SUMIF(Производство!$A$104:$A$145,Технологи!$B510,Производство!P$104:P$145)*$F510+$G510,0)</f>
        <v>5.2219389789597752</v>
      </c>
      <c r="T510" s="46">
        <f t="array" ref="T510">IF(SUMIF(Производство!$A$104:$A$145,Технологи!$B510,Производство!Q$104:Q$145)&gt;0,SUMIF(Производство!$A$104:$A$145,Технологи!$B510,Производство!Q$104:Q$145)*$F510+$G510,0)</f>
        <v>5.2219389789597752</v>
      </c>
    </row>
    <row r="511" spans="1:20" x14ac:dyDescent="0.25">
      <c r="A511" s="34" t="s">
        <v>377</v>
      </c>
      <c r="B511" s="13" t="s">
        <v>30</v>
      </c>
      <c r="C511" s="19" t="s">
        <v>23</v>
      </c>
      <c r="D511" s="14">
        <v>7038</v>
      </c>
      <c r="E511" s="20"/>
      <c r="F511" s="24">
        <v>0</v>
      </c>
      <c r="G511" s="24">
        <v>0</v>
      </c>
      <c r="H511" s="23">
        <f t="shared" si="23"/>
        <v>0</v>
      </c>
      <c r="I511" s="46">
        <f t="array" ref="I511">IF(SUMIF(Производство!$A$104:$A$145,Технологи!$B511,Производство!F$104:F$145)&gt;0,SUMIF(Производство!$A$104:$A$145,Технологи!$B511,Производство!F$104:F$145)*$F511+$G511,0)</f>
        <v>0</v>
      </c>
      <c r="J511" s="46">
        <f t="array" ref="J511">IF(SUMIF(Производство!$A$104:$A$145,Технологи!$B511,Производство!G$104:G$145)&gt;0,SUMIF(Производство!$A$104:$A$145,Технологи!$B511,Производство!G$104:G$145)*$F511+$G511,0)</f>
        <v>0</v>
      </c>
      <c r="K511" s="46">
        <f t="array" ref="K511">IF(SUMIF(Производство!$A$104:$A$145,Технологи!$B511,Производство!H$104:H$145)&gt;0,SUMIF(Производство!$A$104:$A$145,Технологи!$B511,Производство!H$104:H$145)*$F511+$G511,0)</f>
        <v>0</v>
      </c>
      <c r="L511" s="46">
        <f t="array" ref="L511">IF(SUMIF(Производство!$A$104:$A$145,Технологи!$B511,Производство!I$104:I$145)&gt;0,SUMIF(Производство!$A$104:$A$145,Технологи!$B511,Производство!I$104:I$145)*$F511+$G511,0)</f>
        <v>0</v>
      </c>
      <c r="M511" s="46">
        <f t="array" ref="M511">IF(SUMIF(Производство!$A$104:$A$145,Технологи!$B511,Производство!J$104:J$145)&gt;0,SUMIF(Производство!$A$104:$A$145,Технологи!$B511,Производство!J$104:J$145)*$F511+$G511,0)</f>
        <v>0</v>
      </c>
      <c r="N511" s="46">
        <f t="array" ref="N511">IF(SUMIF(Производство!$A$104:$A$145,Технологи!$B511,Производство!K$104:K$145)&gt;0,SUMIF(Производство!$A$104:$A$145,Технологи!$B511,Производство!K$104:K$145)*$F511+$G511,0)</f>
        <v>0</v>
      </c>
      <c r="O511" s="46">
        <f t="array" ref="O511">IF(SUMIF(Производство!$A$104:$A$145,Технологи!$B511,Производство!L$104:L$145)&gt;0,SUMIF(Производство!$A$104:$A$145,Технологи!$B511,Производство!L$104:L$145)*$F511+$G511,0)</f>
        <v>0</v>
      </c>
      <c r="P511" s="46">
        <f t="array" ref="P511">IF(SUMIF(Производство!$A$104:$A$145,Технологи!$B511,Производство!M$104:M$145)&gt;0,SUMIF(Производство!$A$104:$A$145,Технологи!$B511,Производство!M$104:M$145)*$F511+$G511,0)</f>
        <v>0</v>
      </c>
      <c r="Q511" s="46">
        <f t="array" ref="Q511">IF(SUMIF(Производство!$A$104:$A$145,Технологи!$B511,Производство!N$104:N$145)&gt;0,SUMIF(Производство!$A$104:$A$145,Технологи!$B511,Производство!N$104:N$145)*$F511+$G511,0)</f>
        <v>0</v>
      </c>
      <c r="R511" s="46">
        <f t="array" ref="R511">IF(SUMIF(Производство!$A$104:$A$145,Технологи!$B511,Производство!O$104:O$145)&gt;0,SUMIF(Производство!$A$104:$A$145,Технологи!$B511,Производство!O$104:O$145)*$F511+$G511,0)</f>
        <v>0</v>
      </c>
      <c r="S511" s="46">
        <f t="array" ref="S511">IF(SUMIF(Производство!$A$104:$A$145,Технологи!$B511,Производство!P$104:P$145)&gt;0,SUMIF(Производство!$A$104:$A$145,Технологи!$B511,Производство!P$104:P$145)*$F511+$G511,0)</f>
        <v>0</v>
      </c>
      <c r="T511" s="46">
        <f t="array" ref="T511">IF(SUMIF(Производство!$A$104:$A$145,Технологи!$B511,Производство!Q$104:Q$145)&gt;0,SUMIF(Производство!$A$104:$A$145,Технологи!$B511,Производство!Q$104:Q$145)*$F511+$G511,0)</f>
        <v>0</v>
      </c>
    </row>
    <row r="512" spans="1:20" x14ac:dyDescent="0.25">
      <c r="A512" s="34" t="s">
        <v>377</v>
      </c>
      <c r="B512" s="13" t="s">
        <v>31</v>
      </c>
      <c r="C512" s="15" t="s">
        <v>11</v>
      </c>
      <c r="D512" s="14">
        <v>7038</v>
      </c>
      <c r="E512" s="16">
        <v>4.0650000000000004</v>
      </c>
      <c r="F512" s="22">
        <f>SUM(F513:F524)</f>
        <v>4.0712373041275534</v>
      </c>
      <c r="G512" s="22">
        <f>SUM(G513:G524)</f>
        <v>180.99273249999999</v>
      </c>
      <c r="H512" s="23">
        <f t="shared" ref="H512:H537" si="24">F512*1000</f>
        <v>4071.2373041275532</v>
      </c>
      <c r="I512" s="46">
        <f t="array" ref="I512">IF(SUMIF(Производство!$A$104:$A$145,Технологи!$B512,Производство!F$104:F$145)&gt;0,SUMIF(Производство!$A$104:$A$145,Технологи!$B512,Производство!F$104:F$145)*$F512+$G512,0)</f>
        <v>321.207547402302</v>
      </c>
      <c r="J512" s="46">
        <f t="array" ref="J512">IF(SUMIF(Производство!$A$104:$A$145,Технологи!$B512,Производство!G$104:G$145)&gt;0,SUMIF(Производство!$A$104:$A$145,Технологи!$B512,Производство!G$104:G$145)*$F512+$G512,0)</f>
        <v>0</v>
      </c>
      <c r="K512" s="46">
        <f t="array" ref="K512">IF(SUMIF(Производство!$A$104:$A$145,Технологи!$B512,Производство!H$104:H$145)&gt;0,SUMIF(Производство!$A$104:$A$145,Технологи!$B512,Производство!H$104:H$145)*$F512+$G512,0)</f>
        <v>39101.9324883628</v>
      </c>
      <c r="L512" s="46">
        <f t="array" ref="L512">IF(SUMIF(Производство!$A$104:$A$145,Технологи!$B512,Производство!I$104:I$145)&gt;0,SUMIF(Производство!$A$104:$A$145,Технологи!$B512,Производство!I$104:I$145)*$F512+$G512,0)</f>
        <v>39087.104063532148</v>
      </c>
      <c r="M512" s="46">
        <f t="array" ref="M512">IF(SUMIF(Производство!$A$104:$A$145,Технологи!$B512,Производство!J$104:J$145)&gt;0,SUMIF(Производство!$A$104:$A$145,Технологи!$B512,Производство!J$104:J$145)*$F512+$G512,0)</f>
        <v>30265.399034997208</v>
      </c>
      <c r="N512" s="46">
        <f t="array" ref="N512">IF(SUMIF(Производство!$A$104:$A$145,Технологи!$B512,Производство!K$104:K$145)&gt;0,SUMIF(Производство!$A$104:$A$145,Технологи!$B512,Производство!K$104:K$145)*$F512+$G512,0)</f>
        <v>30265.399034997208</v>
      </c>
      <c r="O512" s="46">
        <f t="array" ref="O512">IF(SUMIF(Производство!$A$104:$A$145,Технологи!$B512,Производство!L$104:L$145)&gt;0,SUMIF(Производство!$A$104:$A$145,Технологи!$B512,Производство!L$104:L$145)*$F512+$G512,0)</f>
        <v>30265.399034997208</v>
      </c>
      <c r="P512" s="46">
        <f t="array" ref="P512">IF(SUMIF(Производство!$A$104:$A$145,Технологи!$B512,Производство!M$104:M$145)&gt;0,SUMIF(Производство!$A$104:$A$145,Технологи!$B512,Производство!M$104:M$145)*$F512+$G512,0)</f>
        <v>30265.399034997208</v>
      </c>
      <c r="Q512" s="46">
        <f t="array" ref="Q512">IF(SUMIF(Производство!$A$104:$A$145,Технологи!$B512,Производство!N$104:N$145)&gt;0,SUMIF(Производство!$A$104:$A$145,Технологи!$B512,Производство!N$104:N$145)*$F512+$G512,0)</f>
        <v>30265.399034997208</v>
      </c>
      <c r="R512" s="46">
        <f t="array" ref="R512">IF(SUMIF(Производство!$A$104:$A$145,Технологи!$B512,Производство!O$104:O$145)&gt;0,SUMIF(Производство!$A$104:$A$145,Технологи!$B512,Производство!O$104:O$145)*$F512+$G512,0)</f>
        <v>30265.399034997208</v>
      </c>
      <c r="S512" s="46">
        <f t="array" ref="S512">IF(SUMIF(Производство!$A$104:$A$145,Технологи!$B512,Производство!P$104:P$145)&gt;0,SUMIF(Производство!$A$104:$A$145,Технологи!$B512,Производство!P$104:P$145)*$F512+$G512,0)</f>
        <v>30265.399034997208</v>
      </c>
      <c r="T512" s="46">
        <f t="array" ref="T512">IF(SUMIF(Производство!$A$104:$A$145,Технологи!$B512,Производство!Q$104:Q$145)&gt;0,SUMIF(Производство!$A$104:$A$145,Технологи!$B512,Производство!Q$104:Q$145)*$F512+$G512,0)</f>
        <v>30265.399034997208</v>
      </c>
    </row>
    <row r="513" spans="1:20" x14ac:dyDescent="0.25">
      <c r="A513" s="34" t="s">
        <v>377</v>
      </c>
      <c r="B513" s="13" t="s">
        <v>31</v>
      </c>
      <c r="C513" s="19" t="s">
        <v>12</v>
      </c>
      <c r="D513" s="14">
        <v>7038</v>
      </c>
      <c r="E513" s="20"/>
      <c r="F513" s="24">
        <v>1.0224007368326764</v>
      </c>
      <c r="G513" s="24">
        <v>44.445959053034642</v>
      </c>
      <c r="H513" s="23">
        <f t="shared" si="24"/>
        <v>1022.4007368326764</v>
      </c>
      <c r="I513" s="46">
        <f t="array" ref="I513">IF(SUMIF(Производство!$A$104:$A$145,Технологи!$B513,Производство!F$104:F$145)&gt;0,SUMIF(Производство!$A$104:$A$145,Технологи!$B513,Производство!F$104:F$145)*$F513+$G513,0)</f>
        <v>79.65779254788697</v>
      </c>
      <c r="J513" s="46">
        <f t="array" ref="J513">IF(SUMIF(Производство!$A$104:$A$145,Технологи!$B513,Производство!G$104:G$145)&gt;0,SUMIF(Производство!$A$104:$A$145,Технологи!$B513,Производство!G$104:G$145)*$F513+$G513,0)</f>
        <v>0</v>
      </c>
      <c r="K513" s="46">
        <f t="array" ref="K513">IF(SUMIF(Производство!$A$104:$A$145,Технологи!$B513,Производство!H$104:H$145)&gt;0,SUMIF(Производство!$A$104:$A$145,Технологи!$B513,Производство!H$104:H$145)*$F513+$G513,0)</f>
        <v>9818.5746850477335</v>
      </c>
      <c r="L513" s="46">
        <f t="array" ref="L513">IF(SUMIF(Производство!$A$104:$A$145,Технологи!$B513,Производство!I$104:I$145)&gt;0,SUMIF(Производство!$A$104:$A$145,Технологи!$B513,Производство!I$104:I$145)*$F513+$G513,0)</f>
        <v>9814.8508558183348</v>
      </c>
      <c r="M513" s="46">
        <f t="array" ref="M513">IF(SUMIF(Производство!$A$104:$A$145,Технологи!$B513,Производство!J$104:J$145)&gt;0,SUMIF(Производство!$A$104:$A$145,Технологи!$B513,Производство!J$104:J$145)*$F513+$G513,0)</f>
        <v>7599.4757628090019</v>
      </c>
      <c r="N513" s="46">
        <f t="array" ref="N513">IF(SUMIF(Производство!$A$104:$A$145,Технологи!$B513,Производство!K$104:K$145)&gt;0,SUMIF(Производство!$A$104:$A$145,Технологи!$B513,Производство!K$104:K$145)*$F513+$G513,0)</f>
        <v>7599.4757628090019</v>
      </c>
      <c r="O513" s="46">
        <f t="array" ref="O513">IF(SUMIF(Производство!$A$104:$A$145,Технологи!$B513,Производство!L$104:L$145)&gt;0,SUMIF(Производство!$A$104:$A$145,Технологи!$B513,Производство!L$104:L$145)*$F513+$G513,0)</f>
        <v>7599.4757628090019</v>
      </c>
      <c r="P513" s="46">
        <f t="array" ref="P513">IF(SUMIF(Производство!$A$104:$A$145,Технологи!$B513,Производство!M$104:M$145)&gt;0,SUMIF(Производство!$A$104:$A$145,Технологи!$B513,Производство!M$104:M$145)*$F513+$G513,0)</f>
        <v>7599.4757628090019</v>
      </c>
      <c r="Q513" s="46">
        <f t="array" ref="Q513">IF(SUMIF(Производство!$A$104:$A$145,Технологи!$B513,Производство!N$104:N$145)&gt;0,SUMIF(Производство!$A$104:$A$145,Технологи!$B513,Производство!N$104:N$145)*$F513+$G513,0)</f>
        <v>7599.4757628090019</v>
      </c>
      <c r="R513" s="46">
        <f t="array" ref="R513">IF(SUMIF(Производство!$A$104:$A$145,Технологи!$B513,Производство!O$104:O$145)&gt;0,SUMIF(Производство!$A$104:$A$145,Технологи!$B513,Производство!O$104:O$145)*$F513+$G513,0)</f>
        <v>7599.4757628090019</v>
      </c>
      <c r="S513" s="46">
        <f t="array" ref="S513">IF(SUMIF(Производство!$A$104:$A$145,Технологи!$B513,Производство!P$104:P$145)&gt;0,SUMIF(Производство!$A$104:$A$145,Технологи!$B513,Производство!P$104:P$145)*$F513+$G513,0)</f>
        <v>7599.4757628090019</v>
      </c>
      <c r="T513" s="46">
        <f t="array" ref="T513">IF(SUMIF(Производство!$A$104:$A$145,Технологи!$B513,Производство!Q$104:Q$145)&gt;0,SUMIF(Производство!$A$104:$A$145,Технологи!$B513,Производство!Q$104:Q$145)*$F513+$G513,0)</f>
        <v>7599.4757628090019</v>
      </c>
    </row>
    <row r="514" spans="1:20" x14ac:dyDescent="0.25">
      <c r="A514" s="34" t="s">
        <v>377</v>
      </c>
      <c r="B514" s="13" t="s">
        <v>31</v>
      </c>
      <c r="C514" s="19" t="s">
        <v>13</v>
      </c>
      <c r="D514" s="14">
        <v>7038</v>
      </c>
      <c r="E514" s="20"/>
      <c r="F514" s="24">
        <v>0.36033764752776781</v>
      </c>
      <c r="G514" s="24">
        <v>14.404097560052277</v>
      </c>
      <c r="H514" s="23">
        <f t="shared" si="24"/>
        <v>360.33764752776779</v>
      </c>
      <c r="I514" s="46">
        <f t="array" ref="I514">IF(SUMIF(Производство!$A$104:$A$145,Технологи!$B514,Производство!F$104:F$145)&gt;0,SUMIF(Производство!$A$104:$A$145,Технологи!$B514,Производство!F$104:F$145)*$F514+$G514,0)</f>
        <v>26.814250242435424</v>
      </c>
      <c r="J514" s="46">
        <f t="array" ref="J514">IF(SUMIF(Производство!$A$104:$A$145,Технологи!$B514,Производство!G$104:G$145)&gt;0,SUMIF(Производство!$A$104:$A$145,Технологи!$B514,Производство!G$104:G$145)*$F514+$G514,0)</f>
        <v>0</v>
      </c>
      <c r="K514" s="46">
        <f t="array" ref="K514">IF(SUMIF(Производство!$A$104:$A$145,Технологи!$B514,Производство!H$104:H$145)&gt;0,SUMIF(Производство!$A$104:$A$145,Технологи!$B514,Производство!H$104:H$145)*$F514+$G514,0)</f>
        <v>3459.2241420656615</v>
      </c>
      <c r="L514" s="46">
        <f t="array" ref="L514">IF(SUMIF(Производство!$A$104:$A$145,Технологи!$B514,Производство!I$104:I$145)&gt;0,SUMIF(Производство!$A$104:$A$145,Технологи!$B514,Производство!I$104:I$145)*$F514+$G514,0)</f>
        <v>3457.9117057420399</v>
      </c>
      <c r="M514" s="46">
        <f t="array" ref="M514">IF(SUMIF(Производство!$A$104:$A$145,Технологи!$B514,Производство!J$104:J$145)&gt;0,SUMIF(Производство!$A$104:$A$145,Технологи!$B514,Производство!J$104:J$145)*$F514+$G514,0)</f>
        <v>2677.1189885149224</v>
      </c>
      <c r="N514" s="46">
        <f t="array" ref="N514">IF(SUMIF(Производство!$A$104:$A$145,Технологи!$B514,Производство!K$104:K$145)&gt;0,SUMIF(Производство!$A$104:$A$145,Технологи!$B514,Производство!K$104:K$145)*$F514+$G514,0)</f>
        <v>2677.1189885149224</v>
      </c>
      <c r="O514" s="46">
        <f t="array" ref="O514">IF(SUMIF(Производство!$A$104:$A$145,Технологи!$B514,Производство!L$104:L$145)&gt;0,SUMIF(Производство!$A$104:$A$145,Технологи!$B514,Производство!L$104:L$145)*$F514+$G514,0)</f>
        <v>2677.1189885149224</v>
      </c>
      <c r="P514" s="46">
        <f t="array" ref="P514">IF(SUMIF(Производство!$A$104:$A$145,Технологи!$B514,Производство!M$104:M$145)&gt;0,SUMIF(Производство!$A$104:$A$145,Технологи!$B514,Производство!M$104:M$145)*$F514+$G514,0)</f>
        <v>2677.1189885149224</v>
      </c>
      <c r="Q514" s="46">
        <f t="array" ref="Q514">IF(SUMIF(Производство!$A$104:$A$145,Технологи!$B514,Производство!N$104:N$145)&gt;0,SUMIF(Производство!$A$104:$A$145,Технологи!$B514,Производство!N$104:N$145)*$F514+$G514,0)</f>
        <v>2677.1189885149224</v>
      </c>
      <c r="R514" s="46">
        <f t="array" ref="R514">IF(SUMIF(Производство!$A$104:$A$145,Технологи!$B514,Производство!O$104:O$145)&gt;0,SUMIF(Производство!$A$104:$A$145,Технологи!$B514,Производство!O$104:O$145)*$F514+$G514,0)</f>
        <v>2677.1189885149224</v>
      </c>
      <c r="S514" s="46">
        <f t="array" ref="S514">IF(SUMIF(Производство!$A$104:$A$145,Технологи!$B514,Производство!P$104:P$145)&gt;0,SUMIF(Производство!$A$104:$A$145,Технологи!$B514,Производство!P$104:P$145)*$F514+$G514,0)</f>
        <v>2677.1189885149224</v>
      </c>
      <c r="T514" s="46">
        <f t="array" ref="T514">IF(SUMIF(Производство!$A$104:$A$145,Технологи!$B514,Производство!Q$104:Q$145)&gt;0,SUMIF(Производство!$A$104:$A$145,Технологи!$B514,Производство!Q$104:Q$145)*$F514+$G514,0)</f>
        <v>2677.1189885149224</v>
      </c>
    </row>
    <row r="515" spans="1:20" x14ac:dyDescent="0.25">
      <c r="A515" s="34" t="s">
        <v>377</v>
      </c>
      <c r="B515" s="13" t="s">
        <v>31</v>
      </c>
      <c r="C515" s="19" t="s">
        <v>14</v>
      </c>
      <c r="D515" s="14">
        <v>7038</v>
      </c>
      <c r="E515" s="20"/>
      <c r="F515" s="24">
        <v>3.0886084073808674E-3</v>
      </c>
      <c r="G515" s="24">
        <v>0.13333787715910392</v>
      </c>
      <c r="H515" s="23">
        <f t="shared" si="24"/>
        <v>3.0886084073808675</v>
      </c>
      <c r="I515" s="46">
        <f t="array" ref="I515">IF(SUMIF(Производство!$A$104:$A$145,Технологи!$B515,Производство!F$104:F$145)&gt;0,SUMIF(Производство!$A$104:$A$145,Технологи!$B515,Производство!F$104:F$145)*$F515+$G515,0)</f>
        <v>0.23971061443667377</v>
      </c>
      <c r="J515" s="46">
        <f t="array" ref="J515">IF(SUMIF(Производство!$A$104:$A$145,Технологи!$B515,Производство!G$104:G$145)&gt;0,SUMIF(Производство!$A$104:$A$145,Технологи!$B515,Производство!G$104:G$145)*$F515+$G515,0)</f>
        <v>0</v>
      </c>
      <c r="K515" s="46">
        <f t="array" ref="K515">IF(SUMIF(Производство!$A$104:$A$145,Технологи!$B515,Производство!H$104:H$145)&gt;0,SUMIF(Производство!$A$104:$A$145,Технологи!$B515,Производство!H$104:H$145)*$F515+$G515,0)</f>
        <v>29.660366830064326</v>
      </c>
      <c r="L515" s="46">
        <f t="array" ref="L515">IF(SUMIF(Производство!$A$104:$A$145,Технологи!$B515,Производство!I$104:I$145)&gt;0,SUMIF(Производство!$A$104:$A$145,Технологи!$B515,Производство!I$104:I$145)*$F515+$G515,0)</f>
        <v>29.649117375861856</v>
      </c>
      <c r="M515" s="46">
        <f t="array" ref="M515">IF(SUMIF(Производство!$A$104:$A$145,Технологи!$B515,Производство!J$104:J$145)&gt;0,SUMIF(Производство!$A$104:$A$145,Технологи!$B515,Производство!J$104:J$145)*$F515+$G515,0)</f>
        <v>22.956608371057992</v>
      </c>
      <c r="N515" s="46">
        <f t="array" ref="N515">IF(SUMIF(Производство!$A$104:$A$145,Технологи!$B515,Производство!K$104:K$145)&gt;0,SUMIF(Производство!$A$104:$A$145,Технологи!$B515,Производство!K$104:K$145)*$F515+$G515,0)</f>
        <v>22.956608371057992</v>
      </c>
      <c r="O515" s="46">
        <f t="array" ref="O515">IF(SUMIF(Производство!$A$104:$A$145,Технологи!$B515,Производство!L$104:L$145)&gt;0,SUMIF(Производство!$A$104:$A$145,Технологи!$B515,Производство!L$104:L$145)*$F515+$G515,0)</f>
        <v>22.956608371057992</v>
      </c>
      <c r="P515" s="46">
        <f t="array" ref="P515">IF(SUMIF(Производство!$A$104:$A$145,Технологи!$B515,Производство!M$104:M$145)&gt;0,SUMIF(Производство!$A$104:$A$145,Технологи!$B515,Производство!M$104:M$145)*$F515+$G515,0)</f>
        <v>22.956608371057992</v>
      </c>
      <c r="Q515" s="46">
        <f t="array" ref="Q515">IF(SUMIF(Производство!$A$104:$A$145,Технологи!$B515,Производство!N$104:N$145)&gt;0,SUMIF(Производство!$A$104:$A$145,Технологи!$B515,Производство!N$104:N$145)*$F515+$G515,0)</f>
        <v>22.956608371057992</v>
      </c>
      <c r="R515" s="46">
        <f t="array" ref="R515">IF(SUMIF(Производство!$A$104:$A$145,Технологи!$B515,Производство!O$104:O$145)&gt;0,SUMIF(Производство!$A$104:$A$145,Технологи!$B515,Производство!O$104:O$145)*$F515+$G515,0)</f>
        <v>22.956608371057992</v>
      </c>
      <c r="S515" s="46">
        <f t="array" ref="S515">IF(SUMIF(Производство!$A$104:$A$145,Технологи!$B515,Производство!P$104:P$145)&gt;0,SUMIF(Производство!$A$104:$A$145,Технологи!$B515,Производство!P$104:P$145)*$F515+$G515,0)</f>
        <v>22.956608371057992</v>
      </c>
      <c r="T515" s="46">
        <f t="array" ref="T515">IF(SUMIF(Производство!$A$104:$A$145,Технологи!$B515,Производство!Q$104:Q$145)&gt;0,SUMIF(Производство!$A$104:$A$145,Технологи!$B515,Производство!Q$104:Q$145)*$F515+$G515,0)</f>
        <v>22.956608371057992</v>
      </c>
    </row>
    <row r="516" spans="1:20" x14ac:dyDescent="0.25">
      <c r="A516" s="34" t="s">
        <v>377</v>
      </c>
      <c r="B516" s="13" t="s">
        <v>31</v>
      </c>
      <c r="C516" s="19" t="s">
        <v>15</v>
      </c>
      <c r="D516" s="14">
        <v>7038</v>
      </c>
      <c r="E516" s="20"/>
      <c r="F516" s="24">
        <v>1.5443042036904337E-3</v>
      </c>
      <c r="G516" s="24">
        <v>6.6668938579551959E-2</v>
      </c>
      <c r="H516" s="23">
        <f t="shared" si="24"/>
        <v>1.5443042036904338</v>
      </c>
      <c r="I516" s="46">
        <f t="array" ref="I516">IF(SUMIF(Производство!$A$104:$A$145,Технологи!$B516,Производство!F$104:F$145)&gt;0,SUMIF(Производство!$A$104:$A$145,Технологи!$B516,Производство!F$104:F$145)*$F516+$G516,0)</f>
        <v>0.11985530721833688</v>
      </c>
      <c r="J516" s="46">
        <f t="array" ref="J516">IF(SUMIF(Производство!$A$104:$A$145,Технологи!$B516,Производство!G$104:G$145)&gt;0,SUMIF(Производство!$A$104:$A$145,Технологи!$B516,Производство!G$104:G$145)*$F516+$G516,0)</f>
        <v>0</v>
      </c>
      <c r="K516" s="46">
        <f t="array" ref="K516">IF(SUMIF(Производство!$A$104:$A$145,Технологи!$B516,Производство!H$104:H$145)&gt;0,SUMIF(Производство!$A$104:$A$145,Технологи!$B516,Производство!H$104:H$145)*$F516+$G516,0)</f>
        <v>14.830183415032163</v>
      </c>
      <c r="L516" s="46">
        <f t="array" ref="L516">IF(SUMIF(Производство!$A$104:$A$145,Технологи!$B516,Производство!I$104:I$145)&gt;0,SUMIF(Производство!$A$104:$A$145,Технологи!$B516,Производство!I$104:I$145)*$F516+$G516,0)</f>
        <v>14.824558687930928</v>
      </c>
      <c r="M516" s="46">
        <f t="array" ref="M516">IF(SUMIF(Производство!$A$104:$A$145,Технологи!$B516,Производство!J$104:J$145)&gt;0,SUMIF(Производство!$A$104:$A$145,Технологи!$B516,Производство!J$104:J$145)*$F516+$G516,0)</f>
        <v>11.478304185528996</v>
      </c>
      <c r="N516" s="46">
        <f t="array" ref="N516">IF(SUMIF(Производство!$A$104:$A$145,Технологи!$B516,Производство!K$104:K$145)&gt;0,SUMIF(Производство!$A$104:$A$145,Технологи!$B516,Производство!K$104:K$145)*$F516+$G516,0)</f>
        <v>11.478304185528996</v>
      </c>
      <c r="O516" s="46">
        <f t="array" ref="O516">IF(SUMIF(Производство!$A$104:$A$145,Технологи!$B516,Производство!L$104:L$145)&gt;0,SUMIF(Производство!$A$104:$A$145,Технологи!$B516,Производство!L$104:L$145)*$F516+$G516,0)</f>
        <v>11.478304185528996</v>
      </c>
      <c r="P516" s="46">
        <f t="array" ref="P516">IF(SUMIF(Производство!$A$104:$A$145,Технологи!$B516,Производство!M$104:M$145)&gt;0,SUMIF(Производство!$A$104:$A$145,Технологи!$B516,Производство!M$104:M$145)*$F516+$G516,0)</f>
        <v>11.478304185528996</v>
      </c>
      <c r="Q516" s="46">
        <f t="array" ref="Q516">IF(SUMIF(Производство!$A$104:$A$145,Технологи!$B516,Производство!N$104:N$145)&gt;0,SUMIF(Производство!$A$104:$A$145,Технологи!$B516,Производство!N$104:N$145)*$F516+$G516,0)</f>
        <v>11.478304185528996</v>
      </c>
      <c r="R516" s="46">
        <f t="array" ref="R516">IF(SUMIF(Производство!$A$104:$A$145,Технологи!$B516,Производство!O$104:O$145)&gt;0,SUMIF(Производство!$A$104:$A$145,Технологи!$B516,Производство!O$104:O$145)*$F516+$G516,0)</f>
        <v>11.478304185528996</v>
      </c>
      <c r="S516" s="46">
        <f t="array" ref="S516">IF(SUMIF(Производство!$A$104:$A$145,Технологи!$B516,Производство!P$104:P$145)&gt;0,SUMIF(Производство!$A$104:$A$145,Технологи!$B516,Производство!P$104:P$145)*$F516+$G516,0)</f>
        <v>11.478304185528996</v>
      </c>
      <c r="T516" s="46">
        <f t="array" ref="T516">IF(SUMIF(Производство!$A$104:$A$145,Технологи!$B516,Производство!Q$104:Q$145)&gt;0,SUMIF(Производство!$A$104:$A$145,Технологи!$B516,Производство!Q$104:Q$145)*$F516+$G516,0)</f>
        <v>11.478304185528996</v>
      </c>
    </row>
    <row r="517" spans="1:20" x14ac:dyDescent="0.25">
      <c r="A517" s="34" t="s">
        <v>377</v>
      </c>
      <c r="B517" s="13" t="s">
        <v>31</v>
      </c>
      <c r="C517" s="19" t="s">
        <v>16</v>
      </c>
      <c r="D517" s="14">
        <v>7038</v>
      </c>
      <c r="E517" s="20"/>
      <c r="F517" s="24">
        <v>2.048878844500179E-2</v>
      </c>
      <c r="G517" s="24">
        <v>0.88891918106069279</v>
      </c>
      <c r="H517" s="23">
        <f t="shared" si="24"/>
        <v>20.488788445001791</v>
      </c>
      <c r="I517" s="46">
        <f t="array" ref="I517">IF(SUMIF(Производство!$A$104:$A$145,Технологи!$B517,Производство!F$104:F$145)&gt;0,SUMIF(Производство!$A$104:$A$145,Технологи!$B517,Производство!F$104:F$145)*$F517+$G517,0)</f>
        <v>1.5945601115158592</v>
      </c>
      <c r="J517" s="46">
        <f t="array" ref="J517">IF(SUMIF(Производство!$A$104:$A$145,Технологи!$B517,Производство!G$104:G$145)&gt;0,SUMIF(Производство!$A$104:$A$145,Технологи!$B517,Производство!G$104:G$145)*$F517+$G517,0)</f>
        <v>0</v>
      </c>
      <c r="K517" s="46">
        <f t="array" ref="K517">IF(SUMIF(Производство!$A$104:$A$145,Технологи!$B517,Производство!H$104:H$145)&gt;0,SUMIF(Производство!$A$104:$A$145,Технологи!$B517,Производство!H$104:H$145)*$F517+$G517,0)</f>
        <v>196.76128946270916</v>
      </c>
      <c r="L517" s="46">
        <f t="array" ref="L517">IF(SUMIF(Производство!$A$104:$A$145,Технологи!$B517,Производство!I$104:I$145)&gt;0,SUMIF(Производство!$A$104:$A$145,Технологи!$B517,Производство!I$104:I$145)*$F517+$G517,0)</f>
        <v>196.68666437047494</v>
      </c>
      <c r="M517" s="46">
        <f t="array" ref="M517">IF(SUMIF(Производство!$A$104:$A$145,Технологи!$B517,Производство!J$104:J$145)&gt;0,SUMIF(Производство!$A$104:$A$145,Технологи!$B517,Производство!J$104:J$145)*$F517+$G517,0)</f>
        <v>152.29081255642953</v>
      </c>
      <c r="N517" s="46">
        <f t="array" ref="N517">IF(SUMIF(Производство!$A$104:$A$145,Технологи!$B517,Производство!K$104:K$145)&gt;0,SUMIF(Производство!$A$104:$A$145,Технологи!$B517,Производство!K$104:K$145)*$F517+$G517,0)</f>
        <v>152.29081255642953</v>
      </c>
      <c r="O517" s="46">
        <f t="array" ref="O517">IF(SUMIF(Производство!$A$104:$A$145,Технологи!$B517,Производство!L$104:L$145)&gt;0,SUMIF(Производство!$A$104:$A$145,Технологи!$B517,Производство!L$104:L$145)*$F517+$G517,0)</f>
        <v>152.29081255642953</v>
      </c>
      <c r="P517" s="46">
        <f t="array" ref="P517">IF(SUMIF(Производство!$A$104:$A$145,Технологи!$B517,Производство!M$104:M$145)&gt;0,SUMIF(Производство!$A$104:$A$145,Технологи!$B517,Производство!M$104:M$145)*$F517+$G517,0)</f>
        <v>152.29081255642953</v>
      </c>
      <c r="Q517" s="46">
        <f t="array" ref="Q517">IF(SUMIF(Производство!$A$104:$A$145,Технологи!$B517,Производство!N$104:N$145)&gt;0,SUMIF(Производство!$A$104:$A$145,Технологи!$B517,Производство!N$104:N$145)*$F517+$G517,0)</f>
        <v>152.29081255642953</v>
      </c>
      <c r="R517" s="46">
        <f t="array" ref="R517">IF(SUMIF(Производство!$A$104:$A$145,Технологи!$B517,Производство!O$104:O$145)&gt;0,SUMIF(Производство!$A$104:$A$145,Технологи!$B517,Производство!O$104:O$145)*$F517+$G517,0)</f>
        <v>152.29081255642953</v>
      </c>
      <c r="S517" s="46">
        <f t="array" ref="S517">IF(SUMIF(Производство!$A$104:$A$145,Технологи!$B517,Производство!P$104:P$145)&gt;0,SUMIF(Производство!$A$104:$A$145,Технологи!$B517,Производство!P$104:P$145)*$F517+$G517,0)</f>
        <v>152.29081255642953</v>
      </c>
      <c r="T517" s="46">
        <f t="array" ref="T517">IF(SUMIF(Производство!$A$104:$A$145,Технологи!$B517,Производство!Q$104:Q$145)&gt;0,SUMIF(Производство!$A$104:$A$145,Технологи!$B517,Производство!Q$104:Q$145)*$F517+$G517,0)</f>
        <v>152.29081255642953</v>
      </c>
    </row>
    <row r="518" spans="1:20" x14ac:dyDescent="0.25">
      <c r="A518" s="34" t="s">
        <v>377</v>
      </c>
      <c r="B518" s="13" t="s">
        <v>31</v>
      </c>
      <c r="C518" s="19" t="s">
        <v>17</v>
      </c>
      <c r="D518" s="14">
        <v>7038</v>
      </c>
      <c r="E518" s="20"/>
      <c r="F518" s="24">
        <v>1.1380961342708709E-2</v>
      </c>
      <c r="G518" s="24">
        <v>0.48890554958338112</v>
      </c>
      <c r="H518" s="23">
        <f t="shared" si="24"/>
        <v>11.380961342708709</v>
      </c>
      <c r="I518" s="46">
        <f t="array" ref="I518">IF(SUMIF(Производство!$A$104:$A$145,Технологи!$B518,Производство!F$104:F$145)&gt;0,SUMIF(Производство!$A$104:$A$145,Технологи!$B518,Производство!F$104:F$145)*$F518+$G518,0)</f>
        <v>0.88086977786855192</v>
      </c>
      <c r="J518" s="46">
        <f t="array" ref="J518">IF(SUMIF(Производство!$A$104:$A$145,Технологи!$B518,Производство!G$104:G$145)&gt;0,SUMIF(Производство!$A$104:$A$145,Технологи!$B518,Производство!G$104:G$145)*$F518+$G518,0)</f>
        <v>0</v>
      </c>
      <c r="K518" s="46">
        <f t="array" ref="K518">IF(SUMIF(Производство!$A$104:$A$145,Технологи!$B518,Производство!H$104:H$145)&gt;0,SUMIF(Производство!$A$104:$A$145,Технологи!$B518,Производство!H$104:H$145)*$F518+$G518,0)</f>
        <v>109.29064754931501</v>
      </c>
      <c r="L518" s="46">
        <f t="array" ref="L518">IF(SUMIF(Производство!$A$104:$A$145,Технологи!$B518,Производство!I$104:I$145)&gt;0,SUMIF(Производство!$A$104:$A$145,Технологи!$B518,Производство!I$104:I$145)*$F518+$G518,0)</f>
        <v>109.24919535255904</v>
      </c>
      <c r="M518" s="46">
        <f t="array" ref="M518">IF(SUMIF(Производство!$A$104:$A$145,Технологи!$B518,Производство!J$104:J$145)&gt;0,SUMIF(Производство!$A$104:$A$145,Технологи!$B518,Производство!J$104:J$145)*$F518+$G518,0)</f>
        <v>84.588514481722356</v>
      </c>
      <c r="N518" s="46">
        <f t="array" ref="N518">IF(SUMIF(Производство!$A$104:$A$145,Технологи!$B518,Производство!K$104:K$145)&gt;0,SUMIF(Производство!$A$104:$A$145,Технологи!$B518,Производство!K$104:K$145)*$F518+$G518,0)</f>
        <v>84.588514481722356</v>
      </c>
      <c r="O518" s="46">
        <f t="array" ref="O518">IF(SUMIF(Производство!$A$104:$A$145,Технологи!$B518,Производство!L$104:L$145)&gt;0,SUMIF(Производство!$A$104:$A$145,Технологи!$B518,Производство!L$104:L$145)*$F518+$G518,0)</f>
        <v>84.588514481722356</v>
      </c>
      <c r="P518" s="46">
        <f t="array" ref="P518">IF(SUMIF(Производство!$A$104:$A$145,Технологи!$B518,Производство!M$104:M$145)&gt;0,SUMIF(Производство!$A$104:$A$145,Технологи!$B518,Производство!M$104:M$145)*$F518+$G518,0)</f>
        <v>84.588514481722356</v>
      </c>
      <c r="Q518" s="46">
        <f t="array" ref="Q518">IF(SUMIF(Производство!$A$104:$A$145,Технологи!$B518,Производство!N$104:N$145)&gt;0,SUMIF(Производство!$A$104:$A$145,Технологи!$B518,Производство!N$104:N$145)*$F518+$G518,0)</f>
        <v>84.588514481722356</v>
      </c>
      <c r="R518" s="46">
        <f t="array" ref="R518">IF(SUMIF(Производство!$A$104:$A$145,Технологи!$B518,Производство!O$104:O$145)&gt;0,SUMIF(Производство!$A$104:$A$145,Технологи!$B518,Производство!O$104:O$145)*$F518+$G518,0)</f>
        <v>84.588514481722356</v>
      </c>
      <c r="S518" s="46">
        <f t="array" ref="S518">IF(SUMIF(Производство!$A$104:$A$145,Технологи!$B518,Производство!P$104:P$145)&gt;0,SUMIF(Производство!$A$104:$A$145,Технологи!$B518,Производство!P$104:P$145)*$F518+$G518,0)</f>
        <v>84.588514481722356</v>
      </c>
      <c r="T518" s="46">
        <f t="array" ref="T518">IF(SUMIF(Производство!$A$104:$A$145,Технологи!$B518,Производство!Q$104:Q$145)&gt;0,SUMIF(Производство!$A$104:$A$145,Технологи!$B518,Производство!Q$104:Q$145)*$F518+$G518,0)</f>
        <v>84.588514481722356</v>
      </c>
    </row>
    <row r="519" spans="1:20" x14ac:dyDescent="0.25">
      <c r="A519" s="34" t="s">
        <v>377</v>
      </c>
      <c r="B519" s="13" t="s">
        <v>31</v>
      </c>
      <c r="C519" s="19" t="s">
        <v>18</v>
      </c>
      <c r="D519" s="14">
        <v>7038</v>
      </c>
      <c r="E519" s="20"/>
      <c r="F519" s="24">
        <v>1.0224007368326763E-2</v>
      </c>
      <c r="G519" s="24">
        <v>0.44445959053034639</v>
      </c>
      <c r="H519" s="23">
        <f t="shared" si="24"/>
        <v>10.224007368326763</v>
      </c>
      <c r="I519" s="46">
        <f t="array" ref="I519">IF(SUMIF(Производство!$A$104:$A$145,Технологи!$B519,Производство!F$104:F$145)&gt;0,SUMIF(Производство!$A$104:$A$145,Технологи!$B519,Производство!F$104:F$145)*$F519+$G519,0)</f>
        <v>0.79657792547886963</v>
      </c>
      <c r="J519" s="46">
        <f t="array" ref="J519">IF(SUMIF(Производство!$A$104:$A$145,Технологи!$B519,Производство!G$104:G$145)&gt;0,SUMIF(Производство!$A$104:$A$145,Технологи!$B519,Производство!G$104:G$145)*$F519+$G519,0)</f>
        <v>0</v>
      </c>
      <c r="K519" s="46">
        <f t="array" ref="K519">IF(SUMIF(Производство!$A$104:$A$145,Технологи!$B519,Производство!H$104:H$145)&gt;0,SUMIF(Производство!$A$104:$A$145,Технологи!$B519,Производство!H$104:H$145)*$F519+$G519,0)</f>
        <v>98.185746850477315</v>
      </c>
      <c r="L519" s="46">
        <f t="array" ref="L519">IF(SUMIF(Производство!$A$104:$A$145,Технологи!$B519,Производство!I$104:I$145)&gt;0,SUMIF(Производство!$A$104:$A$145,Технологи!$B519,Производство!I$104:I$145)*$F519+$G519,0)</f>
        <v>98.148508558183323</v>
      </c>
      <c r="M519" s="46">
        <f t="array" ref="M519">IF(SUMIF(Производство!$A$104:$A$145,Технологи!$B519,Производство!J$104:J$145)&gt;0,SUMIF(Производство!$A$104:$A$145,Технологи!$B519,Производство!J$104:J$145)*$F519+$G519,0)</f>
        <v>75.994757628090014</v>
      </c>
      <c r="N519" s="46">
        <f t="array" ref="N519">IF(SUMIF(Производство!$A$104:$A$145,Технологи!$B519,Производство!K$104:K$145)&gt;0,SUMIF(Производство!$A$104:$A$145,Технологи!$B519,Производство!K$104:K$145)*$F519+$G519,0)</f>
        <v>75.994757628090014</v>
      </c>
      <c r="O519" s="46">
        <f t="array" ref="O519">IF(SUMIF(Производство!$A$104:$A$145,Технологи!$B519,Производство!L$104:L$145)&gt;0,SUMIF(Производство!$A$104:$A$145,Технологи!$B519,Производство!L$104:L$145)*$F519+$G519,0)</f>
        <v>75.994757628090014</v>
      </c>
      <c r="P519" s="46">
        <f t="array" ref="P519">IF(SUMIF(Производство!$A$104:$A$145,Технологи!$B519,Производство!M$104:M$145)&gt;0,SUMIF(Производство!$A$104:$A$145,Технологи!$B519,Производство!M$104:M$145)*$F519+$G519,0)</f>
        <v>75.994757628090014</v>
      </c>
      <c r="Q519" s="46">
        <f t="array" ref="Q519">IF(SUMIF(Производство!$A$104:$A$145,Технологи!$B519,Производство!N$104:N$145)&gt;0,SUMIF(Производство!$A$104:$A$145,Технологи!$B519,Производство!N$104:N$145)*$F519+$G519,0)</f>
        <v>75.994757628090014</v>
      </c>
      <c r="R519" s="46">
        <f t="array" ref="R519">IF(SUMIF(Производство!$A$104:$A$145,Технологи!$B519,Производство!O$104:O$145)&gt;0,SUMIF(Производство!$A$104:$A$145,Технологи!$B519,Производство!O$104:O$145)*$F519+$G519,0)</f>
        <v>75.994757628090014</v>
      </c>
      <c r="S519" s="46">
        <f t="array" ref="S519">IF(SUMIF(Производство!$A$104:$A$145,Технологи!$B519,Производство!P$104:P$145)&gt;0,SUMIF(Производство!$A$104:$A$145,Технологи!$B519,Производство!P$104:P$145)*$F519+$G519,0)</f>
        <v>75.994757628090014</v>
      </c>
      <c r="T519" s="46">
        <f t="array" ref="T519">IF(SUMIF(Производство!$A$104:$A$145,Технологи!$B519,Производство!Q$104:Q$145)&gt;0,SUMIF(Производство!$A$104:$A$145,Технологи!$B519,Производство!Q$104:Q$145)*$F519+$G519,0)</f>
        <v>75.994757628090014</v>
      </c>
    </row>
    <row r="520" spans="1:20" x14ac:dyDescent="0.25">
      <c r="A520" s="34" t="s">
        <v>377</v>
      </c>
      <c r="B520" s="13" t="s">
        <v>31</v>
      </c>
      <c r="C520" s="19" t="s">
        <v>19</v>
      </c>
      <c r="D520" s="14">
        <v>7038</v>
      </c>
      <c r="E520" s="20"/>
      <c r="F520" s="24">
        <v>2.1547722500000006</v>
      </c>
      <c r="G520" s="24">
        <v>109.89338475000002</v>
      </c>
      <c r="H520" s="23">
        <f t="shared" si="24"/>
        <v>2154.7722500000004</v>
      </c>
      <c r="I520" s="46">
        <f t="array" ref="I520">IF(SUMIF(Производство!$A$104:$A$145,Технологи!$B520,Производство!F$104:F$145)&gt;0,SUMIF(Производство!$A$104:$A$145,Технологи!$B520,Производство!F$104:F$145)*$F520+$G520,0)</f>
        <v>184.10448315098407</v>
      </c>
      <c r="J520" s="46">
        <f t="array" ref="J520">IF(SUMIF(Производство!$A$104:$A$145,Технологи!$B520,Производство!G$104:G$145)&gt;0,SUMIF(Производство!$A$104:$A$145,Технологи!$B520,Производство!G$104:G$145)*$F520+$G520,0)</f>
        <v>0</v>
      </c>
      <c r="K520" s="46">
        <f t="array" ref="K520">IF(SUMIF(Производство!$A$104:$A$145,Технологи!$B520,Производство!H$104:H$145)&gt;0,SUMIF(Производство!$A$104:$A$145,Технологи!$B520,Производство!H$104:H$145)*$F520+$G520,0)</f>
        <v>20709.469057931496</v>
      </c>
      <c r="L520" s="46">
        <f t="array" ref="L520">IF(SUMIF(Производство!$A$104:$A$145,Технологи!$B520,Производство!I$104:I$145)&gt;0,SUMIF(Производство!$A$104:$A$145,Технологи!$B520,Производство!I$104:I$145)*$F520+$G520,0)</f>
        <v>20701.620859472536</v>
      </c>
      <c r="M520" s="46">
        <f t="array" ref="M520">IF(SUMIF(Производство!$A$104:$A$145,Технологи!$B520,Производство!J$104:J$145)&gt;0,SUMIF(Производство!$A$104:$A$145,Технологи!$B520,Производство!J$104:J$145)*$F520+$G520,0)</f>
        <v>16032.581996544837</v>
      </c>
      <c r="N520" s="46">
        <f t="array" ref="N520">IF(SUMIF(Производство!$A$104:$A$145,Технологи!$B520,Производство!K$104:K$145)&gt;0,SUMIF(Производство!$A$104:$A$145,Технологи!$B520,Производство!K$104:K$145)*$F520+$G520,0)</f>
        <v>16032.581996544837</v>
      </c>
      <c r="O520" s="46">
        <f t="array" ref="O520">IF(SUMIF(Производство!$A$104:$A$145,Технологи!$B520,Производство!L$104:L$145)&gt;0,SUMIF(Производство!$A$104:$A$145,Технологи!$B520,Производство!L$104:L$145)*$F520+$G520,0)</f>
        <v>16032.581996544837</v>
      </c>
      <c r="P520" s="46">
        <f t="array" ref="P520">IF(SUMIF(Производство!$A$104:$A$145,Технологи!$B520,Производство!M$104:M$145)&gt;0,SUMIF(Производство!$A$104:$A$145,Технологи!$B520,Производство!M$104:M$145)*$F520+$G520,0)</f>
        <v>16032.581996544837</v>
      </c>
      <c r="Q520" s="46">
        <f t="array" ref="Q520">IF(SUMIF(Производство!$A$104:$A$145,Технологи!$B520,Производство!N$104:N$145)&gt;0,SUMIF(Производство!$A$104:$A$145,Технологи!$B520,Производство!N$104:N$145)*$F520+$G520,0)</f>
        <v>16032.581996544837</v>
      </c>
      <c r="R520" s="46">
        <f t="array" ref="R520">IF(SUMIF(Производство!$A$104:$A$145,Технологи!$B520,Производство!O$104:O$145)&gt;0,SUMIF(Производство!$A$104:$A$145,Технологи!$B520,Производство!O$104:O$145)*$F520+$G520,0)</f>
        <v>16032.581996544837</v>
      </c>
      <c r="S520" s="46">
        <f t="array" ref="S520">IF(SUMIF(Производство!$A$104:$A$145,Технологи!$B520,Производство!P$104:P$145)&gt;0,SUMIF(Производство!$A$104:$A$145,Технологи!$B520,Производство!P$104:P$145)*$F520+$G520,0)</f>
        <v>16032.581996544837</v>
      </c>
      <c r="T520" s="46">
        <f t="array" ref="T520">IF(SUMIF(Производство!$A$104:$A$145,Технологи!$B520,Производство!Q$104:Q$145)&gt;0,SUMIF(Производство!$A$104:$A$145,Технологи!$B520,Производство!Q$104:Q$145)*$F520+$G520,0)</f>
        <v>16032.581996544837</v>
      </c>
    </row>
    <row r="521" spans="1:20" x14ac:dyDescent="0.25">
      <c r="A521" s="34" t="s">
        <v>377</v>
      </c>
      <c r="B521" s="13" t="s">
        <v>31</v>
      </c>
      <c r="C521" s="19" t="s">
        <v>20</v>
      </c>
      <c r="D521" s="14">
        <v>7038</v>
      </c>
      <c r="E521" s="20"/>
      <c r="F521" s="24">
        <v>0</v>
      </c>
      <c r="G521" s="24">
        <v>0</v>
      </c>
      <c r="H521" s="23">
        <f t="shared" si="24"/>
        <v>0</v>
      </c>
      <c r="I521" s="46">
        <f t="array" ref="I521">IF(SUMIF(Производство!$A$104:$A$145,Технологи!$B521,Производство!F$104:F$145)&gt;0,SUMIF(Производство!$A$104:$A$145,Технологи!$B521,Производство!F$104:F$145)*$F521+$G521,0)</f>
        <v>0</v>
      </c>
      <c r="J521" s="46">
        <f t="array" ref="J521">IF(SUMIF(Производство!$A$104:$A$145,Технологи!$B521,Производство!G$104:G$145)&gt;0,SUMIF(Производство!$A$104:$A$145,Технологи!$B521,Производство!G$104:G$145)*$F521+$G521,0)</f>
        <v>0</v>
      </c>
      <c r="K521" s="46">
        <f t="array" ref="K521">IF(SUMIF(Производство!$A$104:$A$145,Технологи!$B521,Производство!H$104:H$145)&gt;0,SUMIF(Производство!$A$104:$A$145,Технологи!$B521,Производство!H$104:H$145)*$F521+$G521,0)</f>
        <v>0</v>
      </c>
      <c r="L521" s="46">
        <f t="array" ref="L521">IF(SUMIF(Производство!$A$104:$A$145,Технологи!$B521,Производство!I$104:I$145)&gt;0,SUMIF(Производство!$A$104:$A$145,Технологи!$B521,Производство!I$104:I$145)*$F521+$G521,0)</f>
        <v>0</v>
      </c>
      <c r="M521" s="46">
        <f t="array" ref="M521">IF(SUMIF(Производство!$A$104:$A$145,Технологи!$B521,Производство!J$104:J$145)&gt;0,SUMIF(Производство!$A$104:$A$145,Технологи!$B521,Производство!J$104:J$145)*$F521+$G521,0)</f>
        <v>0</v>
      </c>
      <c r="N521" s="46">
        <f t="array" ref="N521">IF(SUMIF(Производство!$A$104:$A$145,Технологи!$B521,Производство!K$104:K$145)&gt;0,SUMIF(Производство!$A$104:$A$145,Технологи!$B521,Производство!K$104:K$145)*$F521+$G521,0)</f>
        <v>0</v>
      </c>
      <c r="O521" s="46">
        <f t="array" ref="O521">IF(SUMIF(Производство!$A$104:$A$145,Технологи!$B521,Производство!L$104:L$145)&gt;0,SUMIF(Производство!$A$104:$A$145,Технологи!$B521,Производство!L$104:L$145)*$F521+$G521,0)</f>
        <v>0</v>
      </c>
      <c r="P521" s="46">
        <f t="array" ref="P521">IF(SUMIF(Производство!$A$104:$A$145,Технологи!$B521,Производство!M$104:M$145)&gt;0,SUMIF(Производство!$A$104:$A$145,Технологи!$B521,Производство!M$104:M$145)*$F521+$G521,0)</f>
        <v>0</v>
      </c>
      <c r="Q521" s="46">
        <f t="array" ref="Q521">IF(SUMIF(Производство!$A$104:$A$145,Технологи!$B521,Производство!N$104:N$145)&gt;0,SUMIF(Производство!$A$104:$A$145,Технологи!$B521,Производство!N$104:N$145)*$F521+$G521,0)</f>
        <v>0</v>
      </c>
      <c r="R521" s="46">
        <f t="array" ref="R521">IF(SUMIF(Производство!$A$104:$A$145,Технологи!$B521,Производство!O$104:O$145)&gt;0,SUMIF(Производство!$A$104:$A$145,Технологи!$B521,Производство!O$104:O$145)*$F521+$G521,0)</f>
        <v>0</v>
      </c>
      <c r="S521" s="46">
        <f t="array" ref="S521">IF(SUMIF(Производство!$A$104:$A$145,Технологи!$B521,Производство!P$104:P$145)&gt;0,SUMIF(Производство!$A$104:$A$145,Технологи!$B521,Производство!P$104:P$145)*$F521+$G521,0)</f>
        <v>0</v>
      </c>
      <c r="T521" s="46">
        <f t="array" ref="T521">IF(SUMIF(Производство!$A$104:$A$145,Технологи!$B521,Производство!Q$104:Q$145)&gt;0,SUMIF(Производство!$A$104:$A$145,Технологи!$B521,Производство!Q$104:Q$145)*$F521+$G521,0)</f>
        <v>0</v>
      </c>
    </row>
    <row r="522" spans="1:20" x14ac:dyDescent="0.25">
      <c r="A522" s="34" t="s">
        <v>377</v>
      </c>
      <c r="B522" s="13" t="s">
        <v>31</v>
      </c>
      <c r="C522" s="19" t="s">
        <v>21</v>
      </c>
      <c r="D522" s="14">
        <v>7038</v>
      </c>
      <c r="E522" s="20"/>
      <c r="F522" s="24">
        <v>0.217</v>
      </c>
      <c r="G522" s="24">
        <v>4.5570000000000004</v>
      </c>
      <c r="H522" s="23">
        <f t="shared" si="24"/>
        <v>217</v>
      </c>
      <c r="I522" s="46">
        <f t="array" ref="I522">IF(SUMIF(Производство!$A$104:$A$145,Технологи!$B522,Производство!F$104:F$145)&gt;0,SUMIF(Производство!$A$104:$A$145,Технологи!$B522,Производство!F$104:F$145)*$F522+$G522,0)</f>
        <v>12.030554735547357</v>
      </c>
      <c r="J522" s="46">
        <f t="array" ref="J522">IF(SUMIF(Производство!$A$104:$A$145,Технологи!$B522,Производство!G$104:G$145)&gt;0,SUMIF(Производство!$A$104:$A$145,Технологи!$B522,Производство!G$104:G$145)*$F522+$G522,0)</f>
        <v>0</v>
      </c>
      <c r="K522" s="46">
        <f t="array" ref="K522">IF(SUMIF(Производство!$A$104:$A$145,Технологи!$B522,Производство!H$104:H$145)&gt;0,SUMIF(Производство!$A$104:$A$145,Технологи!$B522,Производство!H$104:H$145)*$F522+$G522,0)</f>
        <v>2079.0722630772843</v>
      </c>
      <c r="L522" s="46">
        <f t="array" ref="L522">IF(SUMIF(Производство!$A$104:$A$145,Технологи!$B522,Производство!I$104:I$145)&gt;0,SUMIF(Производство!$A$104:$A$145,Технологи!$B522,Производство!I$104:I$145)*$F522+$G522,0)</f>
        <v>2078.281896918822</v>
      </c>
      <c r="M522" s="46">
        <f t="array" ref="M522">IF(SUMIF(Производство!$A$104:$A$145,Технологи!$B522,Производство!J$104:J$145)&gt;0,SUMIF(Производство!$A$104:$A$145,Технологи!$B522,Производство!J$104:J$145)*$F522+$G522,0)</f>
        <v>1608.0784063850501</v>
      </c>
      <c r="N522" s="46">
        <f t="array" ref="N522">IF(SUMIF(Производство!$A$104:$A$145,Технологи!$B522,Производство!K$104:K$145)&gt;0,SUMIF(Производство!$A$104:$A$145,Технологи!$B522,Производство!K$104:K$145)*$F522+$G522,0)</f>
        <v>1608.0784063850501</v>
      </c>
      <c r="O522" s="46">
        <f t="array" ref="O522">IF(SUMIF(Производство!$A$104:$A$145,Технологи!$B522,Производство!L$104:L$145)&gt;0,SUMIF(Производство!$A$104:$A$145,Технологи!$B522,Производство!L$104:L$145)*$F522+$G522,0)</f>
        <v>1608.0784063850501</v>
      </c>
      <c r="P522" s="46">
        <f t="array" ref="P522">IF(SUMIF(Производство!$A$104:$A$145,Технологи!$B522,Производство!M$104:M$145)&gt;0,SUMIF(Производство!$A$104:$A$145,Технологи!$B522,Производство!M$104:M$145)*$F522+$G522,0)</f>
        <v>1608.0784063850501</v>
      </c>
      <c r="Q522" s="46">
        <f t="array" ref="Q522">IF(SUMIF(Производство!$A$104:$A$145,Технологи!$B522,Производство!N$104:N$145)&gt;0,SUMIF(Производство!$A$104:$A$145,Технологи!$B522,Производство!N$104:N$145)*$F522+$G522,0)</f>
        <v>1608.0784063850501</v>
      </c>
      <c r="R522" s="46">
        <f t="array" ref="R522">IF(SUMIF(Производство!$A$104:$A$145,Технологи!$B522,Производство!O$104:O$145)&gt;0,SUMIF(Производство!$A$104:$A$145,Технологи!$B522,Производство!O$104:O$145)*$F522+$G522,0)</f>
        <v>1608.0784063850501</v>
      </c>
      <c r="S522" s="46">
        <f t="array" ref="S522">IF(SUMIF(Производство!$A$104:$A$145,Технологи!$B522,Производство!P$104:P$145)&gt;0,SUMIF(Производство!$A$104:$A$145,Технологи!$B522,Производство!P$104:P$145)*$F522+$G522,0)</f>
        <v>1608.0784063850501</v>
      </c>
      <c r="T522" s="46">
        <f t="array" ref="T522">IF(SUMIF(Производство!$A$104:$A$145,Технологи!$B522,Производство!Q$104:Q$145)&gt;0,SUMIF(Производство!$A$104:$A$145,Технологи!$B522,Производство!Q$104:Q$145)*$F522+$G522,0)</f>
        <v>1608.0784063850501</v>
      </c>
    </row>
    <row r="523" spans="1:20" x14ac:dyDescent="0.25">
      <c r="A523" s="34" t="s">
        <v>377</v>
      </c>
      <c r="B523" s="13" t="s">
        <v>31</v>
      </c>
      <c r="C523" s="19" t="s">
        <v>22</v>
      </c>
      <c r="D523" s="14">
        <v>7038</v>
      </c>
      <c r="E523" s="20"/>
      <c r="F523" s="24">
        <v>0</v>
      </c>
      <c r="G523" s="24">
        <v>0</v>
      </c>
      <c r="H523" s="23">
        <f t="shared" si="24"/>
        <v>0</v>
      </c>
      <c r="I523" s="46">
        <f t="array" ref="I523">IF(SUMIF(Производство!$A$104:$A$145,Технологи!$B523,Производство!F$104:F$145)&gt;0,SUMIF(Производство!$A$104:$A$145,Технологи!$B523,Производство!F$104:F$145)*$F523+$G523,0)</f>
        <v>0</v>
      </c>
      <c r="J523" s="46">
        <f t="array" ref="J523">IF(SUMIF(Производство!$A$104:$A$145,Технологи!$B523,Производство!G$104:G$145)&gt;0,SUMIF(Производство!$A$104:$A$145,Технологи!$B523,Производство!G$104:G$145)*$F523+$G523,0)</f>
        <v>0</v>
      </c>
      <c r="K523" s="46">
        <f t="array" ref="K523">IF(SUMIF(Производство!$A$104:$A$145,Технологи!$B523,Производство!H$104:H$145)&gt;0,SUMIF(Производство!$A$104:$A$145,Технологи!$B523,Производство!H$104:H$145)*$F523+$G523,0)</f>
        <v>0</v>
      </c>
      <c r="L523" s="46">
        <f t="array" ref="L523">IF(SUMIF(Производство!$A$104:$A$145,Технологи!$B523,Производство!I$104:I$145)&gt;0,SUMIF(Производство!$A$104:$A$145,Технологи!$B523,Производство!I$104:I$145)*$F523+$G523,0)</f>
        <v>0</v>
      </c>
      <c r="M523" s="46">
        <f t="array" ref="M523">IF(SUMIF(Производство!$A$104:$A$145,Технологи!$B523,Производство!J$104:J$145)&gt;0,SUMIF(Производство!$A$104:$A$145,Технологи!$B523,Производство!J$104:J$145)*$F523+$G523,0)</f>
        <v>0</v>
      </c>
      <c r="N523" s="46">
        <f t="array" ref="N523">IF(SUMIF(Производство!$A$104:$A$145,Технологи!$B523,Производство!K$104:K$145)&gt;0,SUMIF(Производство!$A$104:$A$145,Технологи!$B523,Производство!K$104:K$145)*$F523+$G523,0)</f>
        <v>0</v>
      </c>
      <c r="O523" s="46">
        <f t="array" ref="O523">IF(SUMIF(Производство!$A$104:$A$145,Технологи!$B523,Производство!L$104:L$145)&gt;0,SUMIF(Производство!$A$104:$A$145,Технологи!$B523,Производство!L$104:L$145)*$F523+$G523,0)</f>
        <v>0</v>
      </c>
      <c r="P523" s="46">
        <f t="array" ref="P523">IF(SUMIF(Производство!$A$104:$A$145,Технологи!$B523,Производство!M$104:M$145)&gt;0,SUMIF(Производство!$A$104:$A$145,Технологи!$B523,Производство!M$104:M$145)*$F523+$G523,0)</f>
        <v>0</v>
      </c>
      <c r="Q523" s="46">
        <f t="array" ref="Q523">IF(SUMIF(Производство!$A$104:$A$145,Технологи!$B523,Производство!N$104:N$145)&gt;0,SUMIF(Производство!$A$104:$A$145,Технологи!$B523,Производство!N$104:N$145)*$F523+$G523,0)</f>
        <v>0</v>
      </c>
      <c r="R523" s="46">
        <f t="array" ref="R523">IF(SUMIF(Производство!$A$104:$A$145,Технологи!$B523,Производство!O$104:O$145)&gt;0,SUMIF(Производство!$A$104:$A$145,Технологи!$B523,Производство!O$104:O$145)*$F523+$G523,0)</f>
        <v>0</v>
      </c>
      <c r="S523" s="46">
        <f t="array" ref="S523">IF(SUMIF(Производство!$A$104:$A$145,Технологи!$B523,Производство!P$104:P$145)&gt;0,SUMIF(Производство!$A$104:$A$145,Технологи!$B523,Производство!P$104:P$145)*$F523+$G523,0)</f>
        <v>0</v>
      </c>
      <c r="T523" s="46">
        <f t="array" ref="T523">IF(SUMIF(Производство!$A$104:$A$145,Технологи!$B523,Производство!Q$104:Q$145)&gt;0,SUMIF(Производство!$A$104:$A$145,Технологи!$B523,Производство!Q$104:Q$145)*$F523+$G523,0)</f>
        <v>0</v>
      </c>
    </row>
    <row r="524" spans="1:20" x14ac:dyDescent="0.25">
      <c r="A524" s="34" t="s">
        <v>377</v>
      </c>
      <c r="B524" s="13" t="s">
        <v>31</v>
      </c>
      <c r="C524" s="19" t="s">
        <v>23</v>
      </c>
      <c r="D524" s="14">
        <v>7038</v>
      </c>
      <c r="E524" s="20"/>
      <c r="F524" s="24">
        <v>0.27</v>
      </c>
      <c r="G524" s="24">
        <v>5.67</v>
      </c>
      <c r="H524" s="23">
        <f t="shared" si="24"/>
        <v>270</v>
      </c>
      <c r="I524" s="46">
        <f t="array" ref="I524">IF(SUMIF(Производство!$A$104:$A$145,Технологи!$B524,Производство!F$104:F$145)&gt;0,SUMIF(Производство!$A$104:$A$145,Технологи!$B524,Производство!F$104:F$145)*$F524+$G524,0)</f>
        <v>14.968892988929891</v>
      </c>
      <c r="J524" s="46">
        <f t="array" ref="J524">IF(SUMIF(Производство!$A$104:$A$145,Технологи!$B524,Производство!G$104:G$145)&gt;0,SUMIF(Производство!$A$104:$A$145,Технологи!$B524,Производство!G$104:G$145)*$F524+$G524,0)</f>
        <v>0</v>
      </c>
      <c r="K524" s="46">
        <f t="array" ref="K524">IF(SUMIF(Производство!$A$104:$A$145,Технологи!$B524,Производство!H$104:H$145)&gt;0,SUMIF(Производство!$A$104:$A$145,Технологи!$B524,Производство!H$104:H$145)*$F524+$G524,0)</f>
        <v>2586.8641061330272</v>
      </c>
      <c r="L524" s="46">
        <f t="array" ref="L524">IF(SUMIF(Производство!$A$104:$A$145,Технологи!$B524,Производство!I$104:I$145)&gt;0,SUMIF(Производство!$A$104:$A$145,Технологи!$B524,Производство!I$104:I$145)*$F524+$G524,0)</f>
        <v>2585.8807012354014</v>
      </c>
      <c r="M524" s="46">
        <f t="array" ref="M524">IF(SUMIF(Производство!$A$104:$A$145,Технологи!$B524,Производство!J$104:J$145)&gt;0,SUMIF(Производство!$A$104:$A$145,Технологи!$B524,Производство!J$104:J$145)*$F524+$G524,0)</f>
        <v>2000.8348835205695</v>
      </c>
      <c r="N524" s="46">
        <f t="array" ref="N524">IF(SUMIF(Производство!$A$104:$A$145,Технологи!$B524,Производство!K$104:K$145)&gt;0,SUMIF(Производство!$A$104:$A$145,Технологи!$B524,Производство!K$104:K$145)*$F524+$G524,0)</f>
        <v>2000.8348835205695</v>
      </c>
      <c r="O524" s="46">
        <f t="array" ref="O524">IF(SUMIF(Производство!$A$104:$A$145,Технологи!$B524,Производство!L$104:L$145)&gt;0,SUMIF(Производство!$A$104:$A$145,Технологи!$B524,Производство!L$104:L$145)*$F524+$G524,0)</f>
        <v>2000.8348835205695</v>
      </c>
      <c r="P524" s="46">
        <f t="array" ref="P524">IF(SUMIF(Производство!$A$104:$A$145,Технологи!$B524,Производство!M$104:M$145)&gt;0,SUMIF(Производство!$A$104:$A$145,Технологи!$B524,Производство!M$104:M$145)*$F524+$G524,0)</f>
        <v>2000.8348835205695</v>
      </c>
      <c r="Q524" s="46">
        <f t="array" ref="Q524">IF(SUMIF(Производство!$A$104:$A$145,Технологи!$B524,Производство!N$104:N$145)&gt;0,SUMIF(Производство!$A$104:$A$145,Технологи!$B524,Производство!N$104:N$145)*$F524+$G524,0)</f>
        <v>2000.8348835205695</v>
      </c>
      <c r="R524" s="46">
        <f t="array" ref="R524">IF(SUMIF(Производство!$A$104:$A$145,Технологи!$B524,Производство!O$104:O$145)&gt;0,SUMIF(Производство!$A$104:$A$145,Технологи!$B524,Производство!O$104:O$145)*$F524+$G524,0)</f>
        <v>2000.8348835205695</v>
      </c>
      <c r="S524" s="46">
        <f t="array" ref="S524">IF(SUMIF(Производство!$A$104:$A$145,Технологи!$B524,Производство!P$104:P$145)&gt;0,SUMIF(Производство!$A$104:$A$145,Технологи!$B524,Производство!P$104:P$145)*$F524+$G524,0)</f>
        <v>2000.8348835205695</v>
      </c>
      <c r="T524" s="46">
        <f t="array" ref="T524">IF(SUMIF(Производство!$A$104:$A$145,Технологи!$B524,Производство!Q$104:Q$145)&gt;0,SUMIF(Производство!$A$104:$A$145,Технологи!$B524,Производство!Q$104:Q$145)*$F524+$G524,0)</f>
        <v>2000.8348835205695</v>
      </c>
    </row>
    <row r="525" spans="1:20" x14ac:dyDescent="0.25">
      <c r="A525" s="34" t="s">
        <v>377</v>
      </c>
      <c r="B525" s="13" t="s">
        <v>32</v>
      </c>
      <c r="C525" s="15" t="s">
        <v>11</v>
      </c>
      <c r="D525" s="14">
        <v>7038</v>
      </c>
      <c r="E525" s="16">
        <v>7.0369999999999999</v>
      </c>
      <c r="F525" s="22">
        <f>SUM(F526:F537)</f>
        <v>7.0483608550770338</v>
      </c>
      <c r="G525" s="22">
        <f>SUM(G526:G537)</f>
        <v>191.76209000000003</v>
      </c>
      <c r="H525" s="23">
        <f t="shared" si="24"/>
        <v>7048.3608550770341</v>
      </c>
      <c r="I525" s="46">
        <f t="array" ref="I525">IF(SUMIF(Производство!$A$104:$A$145,Технологи!$B525,Производство!F$104:F$145)&gt;0,SUMIF(Производство!$A$104:$A$145,Технологи!$B525,Производство!F$104:F$145)*$F525+$G525,0)</f>
        <v>44683.47577232511</v>
      </c>
      <c r="J525" s="46">
        <f t="array" ref="J525">IF(SUMIF(Производство!$A$104:$A$145,Технологи!$B525,Производство!G$104:G$145)&gt;0,SUMIF(Производство!$A$104:$A$145,Технологи!$B525,Производство!G$104:G$145)*$F525+$G525,0)</f>
        <v>0</v>
      </c>
      <c r="K525" s="46">
        <f t="array" ref="K525">IF(SUMIF(Производство!$A$104:$A$145,Технологи!$B525,Производство!H$104:H$145)&gt;0,SUMIF(Производство!$A$104:$A$145,Технологи!$B525,Производство!H$104:H$145)*$F525+$G525,0)</f>
        <v>313.87265146901245</v>
      </c>
      <c r="L525" s="46">
        <f t="array" ref="L525">IF(SUMIF(Производство!$A$104:$A$145,Технологи!$B525,Производство!I$104:I$145)&gt;0,SUMIF(Производство!$A$104:$A$145,Технологи!$B525,Производство!I$104:I$145)*$F525+$G525,0)</f>
        <v>313.87265146901245</v>
      </c>
      <c r="M525" s="46">
        <f t="array" ref="M525">IF(SUMIF(Производство!$A$104:$A$145,Технологи!$B525,Производство!J$104:J$145)&gt;0,SUMIF(Производство!$A$104:$A$145,Технологи!$B525,Производство!J$104:J$145)*$F525+$G525,0)</f>
        <v>286.16689382478268</v>
      </c>
      <c r="N525" s="46">
        <f t="array" ref="N525">IF(SUMIF(Производство!$A$104:$A$145,Технологи!$B525,Производство!K$104:K$145)&gt;0,SUMIF(Производство!$A$104:$A$145,Технологи!$B525,Производство!K$104:K$145)*$F525+$G525,0)</f>
        <v>286.16689382478268</v>
      </c>
      <c r="O525" s="46">
        <f t="array" ref="O525">IF(SUMIF(Производство!$A$104:$A$145,Технологи!$B525,Производство!L$104:L$145)&gt;0,SUMIF(Производство!$A$104:$A$145,Технологи!$B525,Производство!L$104:L$145)*$F525+$G525,0)</f>
        <v>286.16689382478268</v>
      </c>
      <c r="P525" s="46">
        <f t="array" ref="P525">IF(SUMIF(Производство!$A$104:$A$145,Технологи!$B525,Производство!M$104:M$145)&gt;0,SUMIF(Производство!$A$104:$A$145,Технологи!$B525,Производство!M$104:M$145)*$F525+$G525,0)</f>
        <v>286.16689382478268</v>
      </c>
      <c r="Q525" s="46">
        <f t="array" ref="Q525">IF(SUMIF(Производство!$A$104:$A$145,Технологи!$B525,Производство!N$104:N$145)&gt;0,SUMIF(Производство!$A$104:$A$145,Технологи!$B525,Производство!N$104:N$145)*$F525+$G525,0)</f>
        <v>286.16689382478268</v>
      </c>
      <c r="R525" s="46">
        <f t="array" ref="R525">IF(SUMIF(Производство!$A$104:$A$145,Технологи!$B525,Производство!O$104:O$145)&gt;0,SUMIF(Производство!$A$104:$A$145,Технологи!$B525,Производство!O$104:O$145)*$F525+$G525,0)</f>
        <v>286.16689382478268</v>
      </c>
      <c r="S525" s="46">
        <f t="array" ref="S525">IF(SUMIF(Производство!$A$104:$A$145,Технологи!$B525,Производство!P$104:P$145)&gt;0,SUMIF(Производство!$A$104:$A$145,Технологи!$B525,Производство!P$104:P$145)*$F525+$G525,0)</f>
        <v>286.16689382478268</v>
      </c>
      <c r="T525" s="46">
        <f t="array" ref="T525">IF(SUMIF(Производство!$A$104:$A$145,Технологи!$B525,Производство!Q$104:Q$145)&gt;0,SUMIF(Производство!$A$104:$A$145,Технологи!$B525,Производство!Q$104:Q$145)*$F525+$G525,0)</f>
        <v>286.16689382478268</v>
      </c>
    </row>
    <row r="526" spans="1:20" x14ac:dyDescent="0.25">
      <c r="A526" s="34" t="s">
        <v>377</v>
      </c>
      <c r="B526" s="13" t="s">
        <v>32</v>
      </c>
      <c r="C526" s="19" t="s">
        <v>12</v>
      </c>
      <c r="D526" s="14">
        <v>7038</v>
      </c>
      <c r="E526" s="20"/>
      <c r="F526" s="24">
        <v>1.7700391289860262</v>
      </c>
      <c r="G526" s="24">
        <v>69.761240699354673</v>
      </c>
      <c r="H526" s="23">
        <f t="shared" si="24"/>
        <v>1770.0391289860263</v>
      </c>
      <c r="I526" s="46">
        <f t="array" ref="I526">IF(SUMIF(Производство!$A$104:$A$145,Технологи!$B526,Производство!F$104:F$145)&gt;0,SUMIF(Производство!$A$104:$A$145,Технологи!$B526,Производство!F$104:F$145)*$F526+$G526,0)</f>
        <v>11242.865988398557</v>
      </c>
      <c r="J526" s="46">
        <f t="array" ref="J526">IF(SUMIF(Производство!$A$104:$A$145,Технологи!$B526,Производство!G$104:G$145)&gt;0,SUMIF(Производство!$A$104:$A$145,Технологи!$B526,Производство!G$104:G$145)*$F526+$G526,0)</f>
        <v>0</v>
      </c>
      <c r="K526" s="46">
        <f t="array" ref="K526">IF(SUMIF(Производство!$A$104:$A$145,Технологи!$B526,Производство!H$104:H$145)&gt;0,SUMIF(Производство!$A$104:$A$145,Технологи!$B526,Производство!H$104:H$145)*$F526+$G526,0)</f>
        <v>100.42659343976047</v>
      </c>
      <c r="L526" s="46">
        <f t="array" ref="L526">IF(SUMIF(Производство!$A$104:$A$145,Технологи!$B526,Производство!I$104:I$145)&gt;0,SUMIF(Производство!$A$104:$A$145,Технологи!$B526,Производство!I$104:I$145)*$F526+$G526,0)</f>
        <v>100.42659343976047</v>
      </c>
      <c r="M526" s="46">
        <f t="array" ref="M526">IF(SUMIF(Производство!$A$104:$A$145,Технологи!$B526,Производство!J$104:J$145)&gt;0,SUMIF(Производство!$A$104:$A$145,Технологи!$B526,Производство!J$104:J$145)*$F526+$G526,0)</f>
        <v>93.468908364206186</v>
      </c>
      <c r="N526" s="46">
        <f t="array" ref="N526">IF(SUMIF(Производство!$A$104:$A$145,Технологи!$B526,Производство!K$104:K$145)&gt;0,SUMIF(Производство!$A$104:$A$145,Технологи!$B526,Производство!K$104:K$145)*$F526+$G526,0)</f>
        <v>93.468908364206186</v>
      </c>
      <c r="O526" s="46">
        <f t="array" ref="O526">IF(SUMIF(Производство!$A$104:$A$145,Технологи!$B526,Производство!L$104:L$145)&gt;0,SUMIF(Производство!$A$104:$A$145,Технологи!$B526,Производство!L$104:L$145)*$F526+$G526,0)</f>
        <v>93.468908364206186</v>
      </c>
      <c r="P526" s="46">
        <f t="array" ref="P526">IF(SUMIF(Производство!$A$104:$A$145,Технологи!$B526,Производство!M$104:M$145)&gt;0,SUMIF(Производство!$A$104:$A$145,Технологи!$B526,Производство!M$104:M$145)*$F526+$G526,0)</f>
        <v>93.468908364206186</v>
      </c>
      <c r="Q526" s="46">
        <f t="array" ref="Q526">IF(SUMIF(Производство!$A$104:$A$145,Технологи!$B526,Производство!N$104:N$145)&gt;0,SUMIF(Производство!$A$104:$A$145,Технологи!$B526,Производство!N$104:N$145)*$F526+$G526,0)</f>
        <v>93.468908364206186</v>
      </c>
      <c r="R526" s="46">
        <f t="array" ref="R526">IF(SUMIF(Производство!$A$104:$A$145,Технологи!$B526,Производство!O$104:O$145)&gt;0,SUMIF(Производство!$A$104:$A$145,Технологи!$B526,Производство!O$104:O$145)*$F526+$G526,0)</f>
        <v>93.468908364206186</v>
      </c>
      <c r="S526" s="46">
        <f t="array" ref="S526">IF(SUMIF(Производство!$A$104:$A$145,Технологи!$B526,Производство!P$104:P$145)&gt;0,SUMIF(Производство!$A$104:$A$145,Технологи!$B526,Производство!P$104:P$145)*$F526+$G526,0)</f>
        <v>93.468908364206186</v>
      </c>
      <c r="T526" s="46">
        <f t="array" ref="T526">IF(SUMIF(Производство!$A$104:$A$145,Технологи!$B526,Производство!Q$104:Q$145)&gt;0,SUMIF(Производство!$A$104:$A$145,Технологи!$B526,Производство!Q$104:Q$145)*$F526+$G526,0)</f>
        <v>93.468908364206186</v>
      </c>
    </row>
    <row r="527" spans="1:20" x14ac:dyDescent="0.25">
      <c r="A527" s="34" t="s">
        <v>377</v>
      </c>
      <c r="B527" s="13" t="s">
        <v>32</v>
      </c>
      <c r="C527" s="19" t="s">
        <v>13</v>
      </c>
      <c r="D527" s="14">
        <v>7038</v>
      </c>
      <c r="E527" s="20"/>
      <c r="F527" s="24">
        <v>0.6238373201361519</v>
      </c>
      <c r="G527" s="24">
        <v>22.781354348824678</v>
      </c>
      <c r="H527" s="23">
        <f t="shared" si="24"/>
        <v>623.8373201361519</v>
      </c>
      <c r="I527" s="46">
        <f t="array" ref="I527">IF(SUMIF(Производство!$A$104:$A$145,Технологи!$B527,Производство!F$104:F$145)&gt;0,SUMIF(Производство!$A$104:$A$145,Технологи!$B527,Производство!F$104:F$145)*$F527+$G527,0)</f>
        <v>3960.6602459855826</v>
      </c>
      <c r="J527" s="46">
        <f t="array" ref="J527">IF(SUMIF(Производство!$A$104:$A$145,Технологи!$B527,Производство!G$104:G$145)&gt;0,SUMIF(Производство!$A$104:$A$145,Технологи!$B527,Производство!G$104:G$145)*$F527+$G527,0)</f>
        <v>0</v>
      </c>
      <c r="K527" s="46">
        <f t="array" ref="K527">IF(SUMIF(Производство!$A$104:$A$145,Технологи!$B527,Производство!H$104:H$145)&gt;0,SUMIF(Производство!$A$104:$A$145,Технологи!$B527,Производство!H$104:H$145)*$F527+$G527,0)</f>
        <v>33.589133205986641</v>
      </c>
      <c r="L527" s="46">
        <f t="array" ref="L527">IF(SUMIF(Производство!$A$104:$A$145,Технологи!$B527,Производство!I$104:I$145)&gt;0,SUMIF(Производство!$A$104:$A$145,Технологи!$B527,Производство!I$104:I$145)*$F527+$G527,0)</f>
        <v>33.589133205986641</v>
      </c>
      <c r="M527" s="46">
        <f t="array" ref="M527">IF(SUMIF(Производство!$A$104:$A$145,Технологи!$B527,Производство!J$104:J$145)&gt;0,SUMIF(Производство!$A$104:$A$145,Технологи!$B527,Производство!J$104:J$145)*$F527+$G527,0)</f>
        <v>31.136948087134755</v>
      </c>
      <c r="N527" s="46">
        <f t="array" ref="N527">IF(SUMIF(Производство!$A$104:$A$145,Технологи!$B527,Производство!K$104:K$145)&gt;0,SUMIF(Производство!$A$104:$A$145,Технологи!$B527,Производство!K$104:K$145)*$F527+$G527,0)</f>
        <v>31.136948087134755</v>
      </c>
      <c r="O527" s="46">
        <f t="array" ref="O527">IF(SUMIF(Производство!$A$104:$A$145,Технологи!$B527,Производство!L$104:L$145)&gt;0,SUMIF(Производство!$A$104:$A$145,Технологи!$B527,Производство!L$104:L$145)*$F527+$G527,0)</f>
        <v>31.136948087134755</v>
      </c>
      <c r="P527" s="46">
        <f t="array" ref="P527">IF(SUMIF(Производство!$A$104:$A$145,Технологи!$B527,Производство!M$104:M$145)&gt;0,SUMIF(Производство!$A$104:$A$145,Технологи!$B527,Производство!M$104:M$145)*$F527+$G527,0)</f>
        <v>31.136948087134755</v>
      </c>
      <c r="Q527" s="46">
        <f t="array" ref="Q527">IF(SUMIF(Производство!$A$104:$A$145,Технологи!$B527,Производство!N$104:N$145)&gt;0,SUMIF(Производство!$A$104:$A$145,Технологи!$B527,Производство!N$104:N$145)*$F527+$G527,0)</f>
        <v>31.136948087134755</v>
      </c>
      <c r="R527" s="46">
        <f t="array" ref="R527">IF(SUMIF(Производство!$A$104:$A$145,Технологи!$B527,Производство!O$104:O$145)&gt;0,SUMIF(Производство!$A$104:$A$145,Технологи!$B527,Производство!O$104:O$145)*$F527+$G527,0)</f>
        <v>31.136948087134755</v>
      </c>
      <c r="S527" s="46">
        <f t="array" ref="S527">IF(SUMIF(Производство!$A$104:$A$145,Технологи!$B527,Производство!P$104:P$145)&gt;0,SUMIF(Производство!$A$104:$A$145,Технологи!$B527,Производство!P$104:P$145)*$F527+$G527,0)</f>
        <v>31.136948087134755</v>
      </c>
      <c r="T527" s="46">
        <f t="array" ref="T527">IF(SUMIF(Производство!$A$104:$A$145,Технологи!$B527,Производство!Q$104:Q$145)&gt;0,SUMIF(Производство!$A$104:$A$145,Технологи!$B527,Производство!Q$104:Q$145)*$F527+$G527,0)</f>
        <v>31.136948087134755</v>
      </c>
    </row>
    <row r="528" spans="1:20" x14ac:dyDescent="0.25">
      <c r="A528" s="34" t="s">
        <v>377</v>
      </c>
      <c r="B528" s="13" t="s">
        <v>32</v>
      </c>
      <c r="C528" s="19" t="s">
        <v>14</v>
      </c>
      <c r="D528" s="14">
        <v>7038</v>
      </c>
      <c r="E528" s="20"/>
      <c r="F528" s="24">
        <v>5.347177029738445E-3</v>
      </c>
      <c r="G528" s="24">
        <v>0.20928372209806406</v>
      </c>
      <c r="H528" s="23">
        <f t="shared" si="24"/>
        <v>5.3471770297384449</v>
      </c>
      <c r="I528" s="46">
        <f t="array" ref="I528">IF(SUMIF(Производство!$A$104:$A$145,Технологи!$B528,Производство!F$104:F$145)&gt;0,SUMIF(Производство!$A$104:$A$145,Технологи!$B528,Производство!F$104:F$145)*$F528+$G528,0)</f>
        <v>33.962531364698847</v>
      </c>
      <c r="J528" s="46">
        <f t="array" ref="J528">IF(SUMIF(Производство!$A$104:$A$145,Технологи!$B528,Производство!G$104:G$145)&gt;0,SUMIF(Производство!$A$104:$A$145,Технологи!$B528,Производство!G$104:G$145)*$F528+$G528,0)</f>
        <v>0</v>
      </c>
      <c r="K528" s="46">
        <f t="array" ref="K528">IF(SUMIF(Производство!$A$104:$A$145,Технологи!$B528,Производство!H$104:H$145)&gt;0,SUMIF(Производство!$A$104:$A$145,Технологи!$B528,Производство!H$104:H$145)*$F528+$G528,0)</f>
        <v>0.30192182658802375</v>
      </c>
      <c r="L528" s="46">
        <f t="array" ref="L528">IF(SUMIF(Производство!$A$104:$A$145,Технологи!$B528,Производство!I$104:I$145)&gt;0,SUMIF(Производство!$A$104:$A$145,Технологи!$B528,Производство!I$104:I$145)*$F528+$G528,0)</f>
        <v>0.30192182658802375</v>
      </c>
      <c r="M528" s="46">
        <f t="array" ref="M528">IF(SUMIF(Производство!$A$104:$A$145,Технологи!$B528,Производство!J$104:J$145)&gt;0,SUMIF(Производство!$A$104:$A$145,Технологи!$B528,Производство!J$104:J$145)*$F528+$G528,0)</f>
        <v>0.28090309699786475</v>
      </c>
      <c r="N528" s="46">
        <f t="array" ref="N528">IF(SUMIF(Производство!$A$104:$A$145,Технологи!$B528,Производство!K$104:K$145)&gt;0,SUMIF(Производство!$A$104:$A$145,Технологи!$B528,Производство!K$104:K$145)*$F528+$G528,0)</f>
        <v>0.28090309699786475</v>
      </c>
      <c r="O528" s="46">
        <f t="array" ref="O528">IF(SUMIF(Производство!$A$104:$A$145,Технологи!$B528,Производство!L$104:L$145)&gt;0,SUMIF(Производство!$A$104:$A$145,Технологи!$B528,Производство!L$104:L$145)*$F528+$G528,0)</f>
        <v>0.28090309699786475</v>
      </c>
      <c r="P528" s="46">
        <f t="array" ref="P528">IF(SUMIF(Производство!$A$104:$A$145,Технологи!$B528,Производство!M$104:M$145)&gt;0,SUMIF(Производство!$A$104:$A$145,Технологи!$B528,Производство!M$104:M$145)*$F528+$G528,0)</f>
        <v>0.28090309699786475</v>
      </c>
      <c r="Q528" s="46">
        <f t="array" ref="Q528">IF(SUMIF(Производство!$A$104:$A$145,Технологи!$B528,Производство!N$104:N$145)&gt;0,SUMIF(Производство!$A$104:$A$145,Технологи!$B528,Производство!N$104:N$145)*$F528+$G528,0)</f>
        <v>0.28090309699786475</v>
      </c>
      <c r="R528" s="46">
        <f t="array" ref="R528">IF(SUMIF(Производство!$A$104:$A$145,Технологи!$B528,Производство!O$104:O$145)&gt;0,SUMIF(Производство!$A$104:$A$145,Технологи!$B528,Производство!O$104:O$145)*$F528+$G528,0)</f>
        <v>0.28090309699786475</v>
      </c>
      <c r="S528" s="46">
        <f t="array" ref="S528">IF(SUMIF(Производство!$A$104:$A$145,Технологи!$B528,Производство!P$104:P$145)&gt;0,SUMIF(Производство!$A$104:$A$145,Технологи!$B528,Производство!P$104:P$145)*$F528+$G528,0)</f>
        <v>0.28090309699786475</v>
      </c>
      <c r="T528" s="46">
        <f t="array" ref="T528">IF(SUMIF(Производство!$A$104:$A$145,Технологи!$B528,Производство!Q$104:Q$145)&gt;0,SUMIF(Производство!$A$104:$A$145,Технологи!$B528,Производство!Q$104:Q$145)*$F528+$G528,0)</f>
        <v>0.28090309699786475</v>
      </c>
    </row>
    <row r="529" spans="1:20" x14ac:dyDescent="0.25">
      <c r="A529" s="34" t="s">
        <v>377</v>
      </c>
      <c r="B529" s="13" t="s">
        <v>32</v>
      </c>
      <c r="C529" s="19" t="s">
        <v>15</v>
      </c>
      <c r="D529" s="14">
        <v>7038</v>
      </c>
      <c r="E529" s="20"/>
      <c r="F529" s="24">
        <v>2.6735885148692225E-3</v>
      </c>
      <c r="G529" s="24">
        <v>0.10464186104903203</v>
      </c>
      <c r="H529" s="23">
        <f t="shared" si="24"/>
        <v>2.6735885148692224</v>
      </c>
      <c r="I529" s="46">
        <f t="array" ref="I529">IF(SUMIF(Производство!$A$104:$A$145,Технологи!$B529,Производство!F$104:F$145)&gt;0,SUMIF(Производство!$A$104:$A$145,Технологи!$B529,Производство!F$104:F$145)*$F529+$G529,0)</f>
        <v>16.981265682349424</v>
      </c>
      <c r="J529" s="46">
        <f t="array" ref="J529">IF(SUMIF(Производство!$A$104:$A$145,Технологи!$B529,Производство!G$104:G$145)&gt;0,SUMIF(Производство!$A$104:$A$145,Технологи!$B529,Производство!G$104:G$145)*$F529+$G529,0)</f>
        <v>0</v>
      </c>
      <c r="K529" s="46">
        <f t="array" ref="K529">IF(SUMIF(Производство!$A$104:$A$145,Технологи!$B529,Производство!H$104:H$145)&gt;0,SUMIF(Производство!$A$104:$A$145,Технологи!$B529,Производство!H$104:H$145)*$F529+$G529,0)</f>
        <v>0.15096091329401187</v>
      </c>
      <c r="L529" s="46">
        <f t="array" ref="L529">IF(SUMIF(Производство!$A$104:$A$145,Технологи!$B529,Производство!I$104:I$145)&gt;0,SUMIF(Производство!$A$104:$A$145,Технологи!$B529,Производство!I$104:I$145)*$F529+$G529,0)</f>
        <v>0.15096091329401187</v>
      </c>
      <c r="M529" s="46">
        <f t="array" ref="M529">IF(SUMIF(Производство!$A$104:$A$145,Технологи!$B529,Производство!J$104:J$145)&gt;0,SUMIF(Производство!$A$104:$A$145,Технологи!$B529,Производство!J$104:J$145)*$F529+$G529,0)</f>
        <v>0.14045154849893238</v>
      </c>
      <c r="N529" s="46">
        <f t="array" ref="N529">IF(SUMIF(Производство!$A$104:$A$145,Технологи!$B529,Производство!K$104:K$145)&gt;0,SUMIF(Производство!$A$104:$A$145,Технологи!$B529,Производство!K$104:K$145)*$F529+$G529,0)</f>
        <v>0.14045154849893238</v>
      </c>
      <c r="O529" s="46">
        <f t="array" ref="O529">IF(SUMIF(Производство!$A$104:$A$145,Технологи!$B529,Производство!L$104:L$145)&gt;0,SUMIF(Производство!$A$104:$A$145,Технологи!$B529,Производство!L$104:L$145)*$F529+$G529,0)</f>
        <v>0.14045154849893238</v>
      </c>
      <c r="P529" s="46">
        <f t="array" ref="P529">IF(SUMIF(Производство!$A$104:$A$145,Технологи!$B529,Производство!M$104:M$145)&gt;0,SUMIF(Производство!$A$104:$A$145,Технологи!$B529,Производство!M$104:M$145)*$F529+$G529,0)</f>
        <v>0.14045154849893238</v>
      </c>
      <c r="Q529" s="46">
        <f t="array" ref="Q529">IF(SUMIF(Производство!$A$104:$A$145,Технологи!$B529,Производство!N$104:N$145)&gt;0,SUMIF(Производство!$A$104:$A$145,Технологи!$B529,Производство!N$104:N$145)*$F529+$G529,0)</f>
        <v>0.14045154849893238</v>
      </c>
      <c r="R529" s="46">
        <f t="array" ref="R529">IF(SUMIF(Производство!$A$104:$A$145,Технологи!$B529,Производство!O$104:O$145)&gt;0,SUMIF(Производство!$A$104:$A$145,Технологи!$B529,Производство!O$104:O$145)*$F529+$G529,0)</f>
        <v>0.14045154849893238</v>
      </c>
      <c r="S529" s="46">
        <f t="array" ref="S529">IF(SUMIF(Производство!$A$104:$A$145,Технологи!$B529,Производство!P$104:P$145)&gt;0,SUMIF(Производство!$A$104:$A$145,Технологи!$B529,Производство!P$104:P$145)*$F529+$G529,0)</f>
        <v>0.14045154849893238</v>
      </c>
      <c r="T529" s="46">
        <f t="array" ref="T529">IF(SUMIF(Производство!$A$104:$A$145,Технологи!$B529,Производство!Q$104:Q$145)&gt;0,SUMIF(Производство!$A$104:$A$145,Технологи!$B529,Производство!Q$104:Q$145)*$F529+$G529,0)</f>
        <v>0.14045154849893238</v>
      </c>
    </row>
    <row r="530" spans="1:20" x14ac:dyDescent="0.25">
      <c r="A530" s="34" t="s">
        <v>377</v>
      </c>
      <c r="B530" s="13" t="s">
        <v>32</v>
      </c>
      <c r="C530" s="19" t="s">
        <v>16</v>
      </c>
      <c r="D530" s="14">
        <v>7038</v>
      </c>
      <c r="E530" s="20"/>
      <c r="F530" s="24">
        <v>3.5471372375492659E-2</v>
      </c>
      <c r="G530" s="24">
        <v>1.3952248139870935</v>
      </c>
      <c r="H530" s="23">
        <f t="shared" si="24"/>
        <v>35.471372375492656</v>
      </c>
      <c r="I530" s="46">
        <f t="array" ref="I530">IF(SUMIF(Производство!$A$104:$A$145,Технологи!$B530,Производство!F$104:F$145)&gt;0,SUMIF(Производство!$A$104:$A$145,Технологи!$B530,Производство!F$104:F$145)*$F530+$G530,0)</f>
        <v>225.30290719559628</v>
      </c>
      <c r="J530" s="46">
        <f t="array" ref="J530">IF(SUMIF(Производство!$A$104:$A$145,Технологи!$B530,Производство!G$104:G$145)&gt;0,SUMIF(Производство!$A$104:$A$145,Технологи!$B530,Производство!G$104:G$145)*$F530+$G530,0)</f>
        <v>0</v>
      </c>
      <c r="K530" s="46">
        <f t="array" ref="K530">IF(SUMIF(Производство!$A$104:$A$145,Технологи!$B530,Производство!H$104:H$145)&gt;0,SUMIF(Производство!$A$104:$A$145,Технологи!$B530,Производство!H$104:H$145)*$F530+$G530,0)</f>
        <v>2.0097548140690042</v>
      </c>
      <c r="L530" s="46">
        <f t="array" ref="L530">IF(SUMIF(Производство!$A$104:$A$145,Технологи!$B530,Производство!I$104:I$145)&gt;0,SUMIF(Производство!$A$104:$A$145,Технологи!$B530,Производство!I$104:I$145)*$F530+$G530,0)</f>
        <v>2.0097548140690042</v>
      </c>
      <c r="M530" s="46">
        <f t="array" ref="M530">IF(SUMIF(Производство!$A$104:$A$145,Технологи!$B530,Производство!J$104:J$145)&gt;0,SUMIF(Производство!$A$104:$A$145,Технологи!$B530,Производство!J$104:J$145)*$F530+$G530,0)</f>
        <v>1.8703236375798307</v>
      </c>
      <c r="N530" s="46">
        <f t="array" ref="N530">IF(SUMIF(Производство!$A$104:$A$145,Технологи!$B530,Производство!K$104:K$145)&gt;0,SUMIF(Производство!$A$104:$A$145,Технологи!$B530,Производство!K$104:K$145)*$F530+$G530,0)</f>
        <v>1.8703236375798307</v>
      </c>
      <c r="O530" s="46">
        <f t="array" ref="O530">IF(SUMIF(Производство!$A$104:$A$145,Технологи!$B530,Производство!L$104:L$145)&gt;0,SUMIF(Производство!$A$104:$A$145,Технологи!$B530,Производство!L$104:L$145)*$F530+$G530,0)</f>
        <v>1.8703236375798307</v>
      </c>
      <c r="P530" s="46">
        <f t="array" ref="P530">IF(SUMIF(Производство!$A$104:$A$145,Технологи!$B530,Производство!M$104:M$145)&gt;0,SUMIF(Производство!$A$104:$A$145,Технологи!$B530,Производство!M$104:M$145)*$F530+$G530,0)</f>
        <v>1.8703236375798307</v>
      </c>
      <c r="Q530" s="46">
        <f t="array" ref="Q530">IF(SUMIF(Производство!$A$104:$A$145,Технологи!$B530,Производство!N$104:N$145)&gt;0,SUMIF(Производство!$A$104:$A$145,Технологи!$B530,Производство!N$104:N$145)*$F530+$G530,0)</f>
        <v>1.8703236375798307</v>
      </c>
      <c r="R530" s="46">
        <f t="array" ref="R530">IF(SUMIF(Производство!$A$104:$A$145,Технологи!$B530,Производство!O$104:O$145)&gt;0,SUMIF(Производство!$A$104:$A$145,Технологи!$B530,Производство!O$104:O$145)*$F530+$G530,0)</f>
        <v>1.8703236375798307</v>
      </c>
      <c r="S530" s="46">
        <f t="array" ref="S530">IF(SUMIF(Производство!$A$104:$A$145,Технологи!$B530,Производство!P$104:P$145)&gt;0,SUMIF(Производство!$A$104:$A$145,Технологи!$B530,Производство!P$104:P$145)*$F530+$G530,0)</f>
        <v>1.8703236375798307</v>
      </c>
      <c r="T530" s="46">
        <f t="array" ref="T530">IF(SUMIF(Производство!$A$104:$A$145,Технологи!$B530,Производство!Q$104:Q$145)&gt;0,SUMIF(Производство!$A$104:$A$145,Технологи!$B530,Производство!Q$104:Q$145)*$F530+$G530,0)</f>
        <v>1.8703236375798307</v>
      </c>
    </row>
    <row r="531" spans="1:20" x14ac:dyDescent="0.25">
      <c r="A531" s="34" t="s">
        <v>377</v>
      </c>
      <c r="B531" s="13" t="s">
        <v>32</v>
      </c>
      <c r="C531" s="19" t="s">
        <v>17</v>
      </c>
      <c r="D531" s="14">
        <v>7038</v>
      </c>
      <c r="E531" s="20"/>
      <c r="F531" s="24">
        <v>1.9703376744894308E-2</v>
      </c>
      <c r="G531" s="24">
        <v>0.76737364769290162</v>
      </c>
      <c r="H531" s="23">
        <f t="shared" si="24"/>
        <v>19.703376744894307</v>
      </c>
      <c r="I531" s="46">
        <f t="array" ref="I531">IF(SUMIF(Производство!$A$104:$A$145,Технологи!$B531,Производство!F$104:F$145)&gt;0,SUMIF(Производство!$A$104:$A$145,Технологи!$B531,Производство!F$104:F$145)*$F531+$G531,0)</f>
        <v>125.14196438354698</v>
      </c>
      <c r="J531" s="46">
        <f t="array" ref="J531">IF(SUMIF(Производство!$A$104:$A$145,Технологи!$B531,Производство!G$104:G$145)&gt;0,SUMIF(Производство!$A$104:$A$145,Технологи!$B531,Производство!G$104:G$145)*$F531+$G531,0)</f>
        <v>0</v>
      </c>
      <c r="K531" s="46">
        <f t="array" ref="K531">IF(SUMIF(Производство!$A$104:$A$145,Технологи!$B531,Производство!H$104:H$145)&gt;0,SUMIF(Производство!$A$104:$A$145,Технологи!$B531,Производство!H$104:H$145)*$F531+$G531,0)</f>
        <v>1.1087282472408884</v>
      </c>
      <c r="L531" s="46">
        <f t="array" ref="L531">IF(SUMIF(Производство!$A$104:$A$145,Технологи!$B531,Производство!I$104:I$145)&gt;0,SUMIF(Производство!$A$104:$A$145,Технологи!$B531,Производство!I$104:I$145)*$F531+$G531,0)</f>
        <v>1.1087282472408884</v>
      </c>
      <c r="M531" s="46">
        <f t="array" ref="M531">IF(SUMIF(Производство!$A$104:$A$145,Технологи!$B531,Производство!J$104:J$145)&gt;0,SUMIF(Производство!$A$104:$A$145,Технологи!$B531,Производство!J$104:J$145)*$F531+$G531,0)</f>
        <v>1.0312780439821012</v>
      </c>
      <c r="N531" s="46">
        <f t="array" ref="N531">IF(SUMIF(Производство!$A$104:$A$145,Технологи!$B531,Производство!K$104:K$145)&gt;0,SUMIF(Производство!$A$104:$A$145,Технологи!$B531,Производство!K$104:K$145)*$F531+$G531,0)</f>
        <v>1.0312780439821012</v>
      </c>
      <c r="O531" s="46">
        <f t="array" ref="O531">IF(SUMIF(Производство!$A$104:$A$145,Технологи!$B531,Производство!L$104:L$145)&gt;0,SUMIF(Производство!$A$104:$A$145,Технологи!$B531,Производство!L$104:L$145)*$F531+$G531,0)</f>
        <v>1.0312780439821012</v>
      </c>
      <c r="P531" s="46">
        <f t="array" ref="P531">IF(SUMIF(Производство!$A$104:$A$145,Технологи!$B531,Производство!M$104:M$145)&gt;0,SUMIF(Производство!$A$104:$A$145,Технологи!$B531,Производство!M$104:M$145)*$F531+$G531,0)</f>
        <v>1.0312780439821012</v>
      </c>
      <c r="Q531" s="46">
        <f t="array" ref="Q531">IF(SUMIF(Производство!$A$104:$A$145,Технологи!$B531,Производство!N$104:N$145)&gt;0,SUMIF(Производство!$A$104:$A$145,Технологи!$B531,Производство!N$104:N$145)*$F531+$G531,0)</f>
        <v>1.0312780439821012</v>
      </c>
      <c r="R531" s="46">
        <f t="array" ref="R531">IF(SUMIF(Производство!$A$104:$A$145,Технологи!$B531,Производство!O$104:O$145)&gt;0,SUMIF(Производство!$A$104:$A$145,Технологи!$B531,Производство!O$104:O$145)*$F531+$G531,0)</f>
        <v>1.0312780439821012</v>
      </c>
      <c r="S531" s="46">
        <f t="array" ref="S531">IF(SUMIF(Производство!$A$104:$A$145,Технологи!$B531,Производство!P$104:P$145)&gt;0,SUMIF(Производство!$A$104:$A$145,Технологи!$B531,Производство!P$104:P$145)*$F531+$G531,0)</f>
        <v>1.0312780439821012</v>
      </c>
      <c r="T531" s="46">
        <f t="array" ref="T531">IF(SUMIF(Производство!$A$104:$A$145,Технологи!$B531,Производство!Q$104:Q$145)&gt;0,SUMIF(Производство!$A$104:$A$145,Технологи!$B531,Производство!Q$104:Q$145)*$F531+$G531,0)</f>
        <v>1.0312780439821012</v>
      </c>
    </row>
    <row r="532" spans="1:20" x14ac:dyDescent="0.25">
      <c r="A532" s="34" t="s">
        <v>377</v>
      </c>
      <c r="B532" s="13" t="s">
        <v>32</v>
      </c>
      <c r="C532" s="19" t="s">
        <v>18</v>
      </c>
      <c r="D532" s="14">
        <v>7038</v>
      </c>
      <c r="E532" s="20"/>
      <c r="F532" s="24">
        <v>1.7700391289860264E-2</v>
      </c>
      <c r="G532" s="24">
        <v>0.69761240699354676</v>
      </c>
      <c r="H532" s="23">
        <f t="shared" si="24"/>
        <v>17.700391289860264</v>
      </c>
      <c r="I532" s="46">
        <f t="array" ref="I532">IF(SUMIF(Производство!$A$104:$A$145,Технологи!$B532,Производство!F$104:F$145)&gt;0,SUMIF(Производство!$A$104:$A$145,Технологи!$B532,Производство!F$104:F$145)*$F532+$G532,0)</f>
        <v>112.42865988398557</v>
      </c>
      <c r="J532" s="46">
        <f t="array" ref="J532">IF(SUMIF(Производство!$A$104:$A$145,Технологи!$B532,Производство!G$104:G$145)&gt;0,SUMIF(Производство!$A$104:$A$145,Технологи!$B532,Производство!G$104:G$145)*$F532+$G532,0)</f>
        <v>0</v>
      </c>
      <c r="K532" s="46">
        <f t="array" ref="K532">IF(SUMIF(Производство!$A$104:$A$145,Технологи!$B532,Производство!H$104:H$145)&gt;0,SUMIF(Производство!$A$104:$A$145,Технологи!$B532,Производство!H$104:H$145)*$F532+$G532,0)</f>
        <v>1.0042659343976046</v>
      </c>
      <c r="L532" s="46">
        <f t="array" ref="L532">IF(SUMIF(Производство!$A$104:$A$145,Технологи!$B532,Производство!I$104:I$145)&gt;0,SUMIF(Производство!$A$104:$A$145,Технологи!$B532,Производство!I$104:I$145)*$F532+$G532,0)</f>
        <v>1.0042659343976046</v>
      </c>
      <c r="M532" s="46">
        <f t="array" ref="M532">IF(SUMIF(Производство!$A$104:$A$145,Технологи!$B532,Производство!J$104:J$145)&gt;0,SUMIF(Производство!$A$104:$A$145,Технологи!$B532,Производство!J$104:J$145)*$F532+$G532,0)</f>
        <v>0.93468908364206182</v>
      </c>
      <c r="N532" s="46">
        <f t="array" ref="N532">IF(SUMIF(Производство!$A$104:$A$145,Технологи!$B532,Производство!K$104:K$145)&gt;0,SUMIF(Производство!$A$104:$A$145,Технологи!$B532,Производство!K$104:K$145)*$F532+$G532,0)</f>
        <v>0.93468908364206182</v>
      </c>
      <c r="O532" s="46">
        <f t="array" ref="O532">IF(SUMIF(Производство!$A$104:$A$145,Технологи!$B532,Производство!L$104:L$145)&gt;0,SUMIF(Производство!$A$104:$A$145,Технологи!$B532,Производство!L$104:L$145)*$F532+$G532,0)</f>
        <v>0.93468908364206182</v>
      </c>
      <c r="P532" s="46">
        <f t="array" ref="P532">IF(SUMIF(Производство!$A$104:$A$145,Технологи!$B532,Производство!M$104:M$145)&gt;0,SUMIF(Производство!$A$104:$A$145,Технологи!$B532,Производство!M$104:M$145)*$F532+$G532,0)</f>
        <v>0.93468908364206182</v>
      </c>
      <c r="Q532" s="46">
        <f t="array" ref="Q532">IF(SUMIF(Производство!$A$104:$A$145,Технологи!$B532,Производство!N$104:N$145)&gt;0,SUMIF(Производство!$A$104:$A$145,Технологи!$B532,Производство!N$104:N$145)*$F532+$G532,0)</f>
        <v>0.93468908364206182</v>
      </c>
      <c r="R532" s="46">
        <f t="array" ref="R532">IF(SUMIF(Производство!$A$104:$A$145,Технологи!$B532,Производство!O$104:O$145)&gt;0,SUMIF(Производство!$A$104:$A$145,Технологи!$B532,Производство!O$104:O$145)*$F532+$G532,0)</f>
        <v>0.93468908364206182</v>
      </c>
      <c r="S532" s="46">
        <f t="array" ref="S532">IF(SUMIF(Производство!$A$104:$A$145,Технологи!$B532,Производство!P$104:P$145)&gt;0,SUMIF(Производство!$A$104:$A$145,Технологи!$B532,Производство!P$104:P$145)*$F532+$G532,0)</f>
        <v>0.93468908364206182</v>
      </c>
      <c r="T532" s="46">
        <f t="array" ref="T532">IF(SUMIF(Производство!$A$104:$A$145,Технологи!$B532,Производство!Q$104:Q$145)&gt;0,SUMIF(Производство!$A$104:$A$145,Технологи!$B532,Производство!Q$104:Q$145)*$F532+$G532,0)</f>
        <v>0.93468908364206182</v>
      </c>
    </row>
    <row r="533" spans="1:20" x14ac:dyDescent="0.25">
      <c r="A533" s="34" t="s">
        <v>377</v>
      </c>
      <c r="B533" s="13" t="s">
        <v>32</v>
      </c>
      <c r="C533" s="19" t="s">
        <v>19</v>
      </c>
      <c r="D533" s="14">
        <v>7038</v>
      </c>
      <c r="E533" s="20"/>
      <c r="F533" s="24">
        <v>3.914088500000001</v>
      </c>
      <c r="G533" s="24">
        <v>82.195858500000014</v>
      </c>
      <c r="H533" s="23">
        <f t="shared" si="24"/>
        <v>3914.0885000000007</v>
      </c>
      <c r="I533" s="46">
        <f t="array" ref="I533">IF(SUMIF(Производство!$A$104:$A$145,Технологи!$B533,Производство!F$104:F$145)&gt;0,SUMIF(Производство!$A$104:$A$145,Технологи!$B533,Производство!F$104:F$145)*$F533+$G533,0)</f>
        <v>24789.288535777254</v>
      </c>
      <c r="J533" s="46">
        <f t="array" ref="J533">IF(SUMIF(Производство!$A$104:$A$145,Технологи!$B533,Производство!G$104:G$145)&gt;0,SUMIF(Производство!$A$104:$A$145,Технологи!$B533,Производство!G$104:G$145)*$F533+$G533,0)</f>
        <v>0</v>
      </c>
      <c r="K533" s="46">
        <f t="array" ref="K533">IF(SUMIF(Производство!$A$104:$A$145,Технологи!$B533,Производство!H$104:H$145)&gt;0,SUMIF(Производство!$A$104:$A$145,Технологи!$B533,Производство!H$104:H$145)*$F533+$G533,0)</f>
        <v>150.00616989036104</v>
      </c>
      <c r="L533" s="46">
        <f t="array" ref="L533">IF(SUMIF(Производство!$A$104:$A$145,Технологи!$B533,Производство!I$104:I$145)&gt;0,SUMIF(Производство!$A$104:$A$145,Технологи!$B533,Производство!I$104:I$145)*$F533+$G533,0)</f>
        <v>150.00616989036104</v>
      </c>
      <c r="M533" s="46">
        <f t="array" ref="M533">IF(SUMIF(Производство!$A$104:$A$145,Технологи!$B533,Производство!J$104:J$145)&gt;0,SUMIF(Производство!$A$104:$A$145,Технологи!$B533,Производство!J$104:J$145)*$F533+$G533,0)</f>
        <v>134.62063705389249</v>
      </c>
      <c r="N533" s="46">
        <f t="array" ref="N533">IF(SUMIF(Производство!$A$104:$A$145,Технологи!$B533,Производство!K$104:K$145)&gt;0,SUMIF(Производство!$A$104:$A$145,Технологи!$B533,Производство!K$104:K$145)*$F533+$G533,0)</f>
        <v>134.62063705389249</v>
      </c>
      <c r="O533" s="46">
        <f t="array" ref="O533">IF(SUMIF(Производство!$A$104:$A$145,Технологи!$B533,Производство!L$104:L$145)&gt;0,SUMIF(Производство!$A$104:$A$145,Технологи!$B533,Производство!L$104:L$145)*$F533+$G533,0)</f>
        <v>134.62063705389249</v>
      </c>
      <c r="P533" s="46">
        <f t="array" ref="P533">IF(SUMIF(Производство!$A$104:$A$145,Технологи!$B533,Производство!M$104:M$145)&gt;0,SUMIF(Производство!$A$104:$A$145,Технологи!$B533,Производство!M$104:M$145)*$F533+$G533,0)</f>
        <v>134.62063705389249</v>
      </c>
      <c r="Q533" s="46">
        <f t="array" ref="Q533">IF(SUMIF(Производство!$A$104:$A$145,Технологи!$B533,Производство!N$104:N$145)&gt;0,SUMIF(Производство!$A$104:$A$145,Технологи!$B533,Производство!N$104:N$145)*$F533+$G533,0)</f>
        <v>134.62063705389249</v>
      </c>
      <c r="R533" s="46">
        <f t="array" ref="R533">IF(SUMIF(Производство!$A$104:$A$145,Технологи!$B533,Производство!O$104:O$145)&gt;0,SUMIF(Производство!$A$104:$A$145,Технологи!$B533,Производство!O$104:O$145)*$F533+$G533,0)</f>
        <v>134.62063705389249</v>
      </c>
      <c r="S533" s="46">
        <f t="array" ref="S533">IF(SUMIF(Производство!$A$104:$A$145,Технологи!$B533,Производство!P$104:P$145)&gt;0,SUMIF(Производство!$A$104:$A$145,Технологи!$B533,Производство!P$104:P$145)*$F533+$G533,0)</f>
        <v>134.62063705389249</v>
      </c>
      <c r="T533" s="46">
        <f t="array" ref="T533">IF(SUMIF(Производство!$A$104:$A$145,Технологи!$B533,Производство!Q$104:Q$145)&gt;0,SUMIF(Производство!$A$104:$A$145,Технологи!$B533,Производство!Q$104:Q$145)*$F533+$G533,0)</f>
        <v>134.62063705389249</v>
      </c>
    </row>
    <row r="534" spans="1:20" x14ac:dyDescent="0.25">
      <c r="A534" s="34" t="s">
        <v>377</v>
      </c>
      <c r="B534" s="13" t="s">
        <v>32</v>
      </c>
      <c r="C534" s="19" t="s">
        <v>20</v>
      </c>
      <c r="D534" s="14">
        <v>7038</v>
      </c>
      <c r="E534" s="20"/>
      <c r="F534" s="24">
        <v>0</v>
      </c>
      <c r="G534" s="24">
        <v>0</v>
      </c>
      <c r="H534" s="23">
        <f t="shared" si="24"/>
        <v>0</v>
      </c>
      <c r="I534" s="46">
        <f t="array" ref="I534">IF(SUMIF(Производство!$A$104:$A$145,Технологи!$B534,Производство!F$104:F$145)&gt;0,SUMIF(Производство!$A$104:$A$145,Технологи!$B534,Производство!F$104:F$145)*$F534+$G534,0)</f>
        <v>0</v>
      </c>
      <c r="J534" s="46">
        <f t="array" ref="J534">IF(SUMIF(Производство!$A$104:$A$145,Технологи!$B534,Производство!G$104:G$145)&gt;0,SUMIF(Производство!$A$104:$A$145,Технологи!$B534,Производство!G$104:G$145)*$F534+$G534,0)</f>
        <v>0</v>
      </c>
      <c r="K534" s="46">
        <f t="array" ref="K534">IF(SUMIF(Производство!$A$104:$A$145,Технологи!$B534,Производство!H$104:H$145)&gt;0,SUMIF(Производство!$A$104:$A$145,Технологи!$B534,Производство!H$104:H$145)*$F534+$G534,0)</f>
        <v>0</v>
      </c>
      <c r="L534" s="46">
        <f t="array" ref="L534">IF(SUMIF(Производство!$A$104:$A$145,Технологи!$B534,Производство!I$104:I$145)&gt;0,SUMIF(Производство!$A$104:$A$145,Технологи!$B534,Производство!I$104:I$145)*$F534+$G534,0)</f>
        <v>0</v>
      </c>
      <c r="M534" s="46">
        <f t="array" ref="M534">IF(SUMIF(Производство!$A$104:$A$145,Технологи!$B534,Производство!J$104:J$145)&gt;0,SUMIF(Производство!$A$104:$A$145,Технологи!$B534,Производство!J$104:J$145)*$F534+$G534,0)</f>
        <v>0</v>
      </c>
      <c r="N534" s="46">
        <f t="array" ref="N534">IF(SUMIF(Производство!$A$104:$A$145,Технологи!$B534,Производство!K$104:K$145)&gt;0,SUMIF(Производство!$A$104:$A$145,Технологи!$B534,Производство!K$104:K$145)*$F534+$G534,0)</f>
        <v>0</v>
      </c>
      <c r="O534" s="46">
        <f t="array" ref="O534">IF(SUMIF(Производство!$A$104:$A$145,Технологи!$B534,Производство!L$104:L$145)&gt;0,SUMIF(Производство!$A$104:$A$145,Технологи!$B534,Производство!L$104:L$145)*$F534+$G534,0)</f>
        <v>0</v>
      </c>
      <c r="P534" s="46">
        <f t="array" ref="P534">IF(SUMIF(Производство!$A$104:$A$145,Технологи!$B534,Производство!M$104:M$145)&gt;0,SUMIF(Производство!$A$104:$A$145,Технологи!$B534,Производство!M$104:M$145)*$F534+$G534,0)</f>
        <v>0</v>
      </c>
      <c r="Q534" s="46">
        <f t="array" ref="Q534">IF(SUMIF(Производство!$A$104:$A$145,Технологи!$B534,Производство!N$104:N$145)&gt;0,SUMIF(Производство!$A$104:$A$145,Технологи!$B534,Производство!N$104:N$145)*$F534+$G534,0)</f>
        <v>0</v>
      </c>
      <c r="R534" s="46">
        <f t="array" ref="R534">IF(SUMIF(Производство!$A$104:$A$145,Технологи!$B534,Производство!O$104:O$145)&gt;0,SUMIF(Производство!$A$104:$A$145,Технологи!$B534,Производство!O$104:O$145)*$F534+$G534,0)</f>
        <v>0</v>
      </c>
      <c r="S534" s="46">
        <f t="array" ref="S534">IF(SUMIF(Производство!$A$104:$A$145,Технологи!$B534,Производство!P$104:P$145)&gt;0,SUMIF(Производство!$A$104:$A$145,Технологи!$B534,Производство!P$104:P$145)*$F534+$G534,0)</f>
        <v>0</v>
      </c>
      <c r="T534" s="46">
        <f t="array" ref="T534">IF(SUMIF(Производство!$A$104:$A$145,Технологи!$B534,Производство!Q$104:Q$145)&gt;0,SUMIF(Производство!$A$104:$A$145,Технологи!$B534,Производство!Q$104:Q$145)*$F534+$G534,0)</f>
        <v>0</v>
      </c>
    </row>
    <row r="535" spans="1:20" x14ac:dyDescent="0.25">
      <c r="A535" s="34" t="s">
        <v>377</v>
      </c>
      <c r="B535" s="13" t="s">
        <v>32</v>
      </c>
      <c r="C535" s="19" t="s">
        <v>21</v>
      </c>
      <c r="D535" s="14">
        <v>7038</v>
      </c>
      <c r="E535" s="20"/>
      <c r="F535" s="24">
        <v>0.29049999999999998</v>
      </c>
      <c r="G535" s="24">
        <v>6.1005000000000003</v>
      </c>
      <c r="H535" s="23">
        <f t="shared" si="24"/>
        <v>290.5</v>
      </c>
      <c r="I535" s="46">
        <f t="array" ref="I535">IF(SUMIF(Производство!$A$104:$A$145,Технологи!$B535,Производство!F$104:F$145)&gt;0,SUMIF(Производство!$A$104:$A$145,Технологи!$B535,Производство!F$104:F$145)*$F535+$G535,0)</f>
        <v>1839.8378880915161</v>
      </c>
      <c r="J535" s="46">
        <f t="array" ref="J535">IF(SUMIF(Производство!$A$104:$A$145,Технологи!$B535,Производство!G$104:G$145)&gt;0,SUMIF(Производство!$A$104:$A$145,Технологи!$B535,Производство!G$104:G$145)*$F535+$G535,0)</f>
        <v>0</v>
      </c>
      <c r="K535" s="46">
        <f t="array" ref="K535">IF(SUMIF(Производство!$A$104:$A$145,Технологи!$B535,Производство!H$104:H$145)&gt;0,SUMIF(Производство!$A$104:$A$145,Технологи!$B535,Производство!H$104:H$145)*$F535+$G535,0)</f>
        <v>11.133318102835403</v>
      </c>
      <c r="L535" s="46">
        <f t="array" ref="L535">IF(SUMIF(Производство!$A$104:$A$145,Технологи!$B535,Производство!I$104:I$145)&gt;0,SUMIF(Производство!$A$104:$A$145,Технологи!$B535,Производство!I$104:I$145)*$F535+$G535,0)</f>
        <v>11.133318102835403</v>
      </c>
      <c r="M535" s="46">
        <f t="array" ref="M535">IF(SUMIF(Производство!$A$104:$A$145,Технологи!$B535,Производство!J$104:J$145)&gt;0,SUMIF(Производство!$A$104:$A$145,Технологи!$B535,Производство!J$104:J$145)*$F535+$G535,0)</f>
        <v>9.991418197150054</v>
      </c>
      <c r="N535" s="46">
        <f t="array" ref="N535">IF(SUMIF(Производство!$A$104:$A$145,Технологи!$B535,Производство!K$104:K$145)&gt;0,SUMIF(Производство!$A$104:$A$145,Технологи!$B535,Производство!K$104:K$145)*$F535+$G535,0)</f>
        <v>9.991418197150054</v>
      </c>
      <c r="O535" s="46">
        <f t="array" ref="O535">IF(SUMIF(Производство!$A$104:$A$145,Технологи!$B535,Производство!L$104:L$145)&gt;0,SUMIF(Производство!$A$104:$A$145,Технологи!$B535,Производство!L$104:L$145)*$F535+$G535,0)</f>
        <v>9.991418197150054</v>
      </c>
      <c r="P535" s="46">
        <f t="array" ref="P535">IF(SUMIF(Производство!$A$104:$A$145,Технологи!$B535,Производство!M$104:M$145)&gt;0,SUMIF(Производство!$A$104:$A$145,Технологи!$B535,Производство!M$104:M$145)*$F535+$G535,0)</f>
        <v>9.991418197150054</v>
      </c>
      <c r="Q535" s="46">
        <f t="array" ref="Q535">IF(SUMIF(Производство!$A$104:$A$145,Технологи!$B535,Производство!N$104:N$145)&gt;0,SUMIF(Производство!$A$104:$A$145,Технологи!$B535,Производство!N$104:N$145)*$F535+$G535,0)</f>
        <v>9.991418197150054</v>
      </c>
      <c r="R535" s="46">
        <f t="array" ref="R535">IF(SUMIF(Производство!$A$104:$A$145,Технологи!$B535,Производство!O$104:O$145)&gt;0,SUMIF(Производство!$A$104:$A$145,Технологи!$B535,Производство!O$104:O$145)*$F535+$G535,0)</f>
        <v>9.991418197150054</v>
      </c>
      <c r="S535" s="46">
        <f t="array" ref="S535">IF(SUMIF(Производство!$A$104:$A$145,Технологи!$B535,Производство!P$104:P$145)&gt;0,SUMIF(Производство!$A$104:$A$145,Технологи!$B535,Производство!P$104:P$145)*$F535+$G535,0)</f>
        <v>9.991418197150054</v>
      </c>
      <c r="T535" s="46">
        <f t="array" ref="T535">IF(SUMIF(Производство!$A$104:$A$145,Технологи!$B535,Производство!Q$104:Q$145)&gt;0,SUMIF(Производство!$A$104:$A$145,Технологи!$B535,Производство!Q$104:Q$145)*$F535+$G535,0)</f>
        <v>9.991418197150054</v>
      </c>
    </row>
    <row r="536" spans="1:20" x14ac:dyDescent="0.25">
      <c r="A536" s="34" t="s">
        <v>377</v>
      </c>
      <c r="B536" s="13" t="s">
        <v>32</v>
      </c>
      <c r="C536" s="19" t="s">
        <v>22</v>
      </c>
      <c r="D536" s="14">
        <v>7038</v>
      </c>
      <c r="E536" s="20"/>
      <c r="F536" s="24">
        <v>0</v>
      </c>
      <c r="G536" s="24">
        <v>0</v>
      </c>
      <c r="H536" s="23">
        <f t="shared" si="24"/>
        <v>0</v>
      </c>
      <c r="I536" s="46">
        <f t="array" ref="I536">IF(SUMIF(Производство!$A$104:$A$145,Технологи!$B536,Производство!F$104:F$145)&gt;0,SUMIF(Производство!$A$104:$A$145,Технологи!$B536,Производство!F$104:F$145)*$F536+$G536,0)</f>
        <v>0</v>
      </c>
      <c r="J536" s="46">
        <f t="array" ref="J536">IF(SUMIF(Производство!$A$104:$A$145,Технологи!$B536,Производство!G$104:G$145)&gt;0,SUMIF(Производство!$A$104:$A$145,Технологи!$B536,Производство!G$104:G$145)*$F536+$G536,0)</f>
        <v>0</v>
      </c>
      <c r="K536" s="46">
        <f t="array" ref="K536">IF(SUMIF(Производство!$A$104:$A$145,Технологи!$B536,Производство!H$104:H$145)&gt;0,SUMIF(Производство!$A$104:$A$145,Технологи!$B536,Производство!H$104:H$145)*$F536+$G536,0)</f>
        <v>0</v>
      </c>
      <c r="L536" s="46">
        <f t="array" ref="L536">IF(SUMIF(Производство!$A$104:$A$145,Технологи!$B536,Производство!I$104:I$145)&gt;0,SUMIF(Производство!$A$104:$A$145,Технологи!$B536,Производство!I$104:I$145)*$F536+$G536,0)</f>
        <v>0</v>
      </c>
      <c r="M536" s="46">
        <f t="array" ref="M536">IF(SUMIF(Производство!$A$104:$A$145,Технологи!$B536,Производство!J$104:J$145)&gt;0,SUMIF(Производство!$A$104:$A$145,Технологи!$B536,Производство!J$104:J$145)*$F536+$G536,0)</f>
        <v>0</v>
      </c>
      <c r="N536" s="46">
        <f t="array" ref="N536">IF(SUMIF(Производство!$A$104:$A$145,Технологи!$B536,Производство!K$104:K$145)&gt;0,SUMIF(Производство!$A$104:$A$145,Технологи!$B536,Производство!K$104:K$145)*$F536+$G536,0)</f>
        <v>0</v>
      </c>
      <c r="O536" s="46">
        <f t="array" ref="O536">IF(SUMIF(Производство!$A$104:$A$145,Технологи!$B536,Производство!L$104:L$145)&gt;0,SUMIF(Производство!$A$104:$A$145,Технологи!$B536,Производство!L$104:L$145)*$F536+$G536,0)</f>
        <v>0</v>
      </c>
      <c r="P536" s="46">
        <f t="array" ref="P536">IF(SUMIF(Производство!$A$104:$A$145,Технологи!$B536,Производство!M$104:M$145)&gt;0,SUMIF(Производство!$A$104:$A$145,Технологи!$B536,Производство!M$104:M$145)*$F536+$G536,0)</f>
        <v>0</v>
      </c>
      <c r="Q536" s="46">
        <f t="array" ref="Q536">IF(SUMIF(Производство!$A$104:$A$145,Технологи!$B536,Производство!N$104:N$145)&gt;0,SUMIF(Производство!$A$104:$A$145,Технологи!$B536,Производство!N$104:N$145)*$F536+$G536,0)</f>
        <v>0</v>
      </c>
      <c r="R536" s="46">
        <f t="array" ref="R536">IF(SUMIF(Производство!$A$104:$A$145,Технологи!$B536,Производство!O$104:O$145)&gt;0,SUMIF(Производство!$A$104:$A$145,Технологи!$B536,Производство!O$104:O$145)*$F536+$G536,0)</f>
        <v>0</v>
      </c>
      <c r="S536" s="46">
        <f t="array" ref="S536">IF(SUMIF(Производство!$A$104:$A$145,Технологи!$B536,Производство!P$104:P$145)&gt;0,SUMIF(Производство!$A$104:$A$145,Технологи!$B536,Производство!P$104:P$145)*$F536+$G536,0)</f>
        <v>0</v>
      </c>
      <c r="T536" s="46">
        <f t="array" ref="T536">IF(SUMIF(Производство!$A$104:$A$145,Технологи!$B536,Производство!Q$104:Q$145)&gt;0,SUMIF(Производство!$A$104:$A$145,Технологи!$B536,Производство!Q$104:Q$145)*$F536+$G536,0)</f>
        <v>0</v>
      </c>
    </row>
    <row r="537" spans="1:20" x14ac:dyDescent="0.25">
      <c r="A537" s="34" t="s">
        <v>377</v>
      </c>
      <c r="B537" s="13" t="s">
        <v>32</v>
      </c>
      <c r="C537" s="19" t="s">
        <v>23</v>
      </c>
      <c r="D537" s="14">
        <v>7038</v>
      </c>
      <c r="E537" s="20"/>
      <c r="F537" s="24">
        <v>0.36899999999999999</v>
      </c>
      <c r="G537" s="24">
        <v>7.7489999999999997</v>
      </c>
      <c r="H537" s="23">
        <f t="shared" si="24"/>
        <v>369</v>
      </c>
      <c r="I537" s="46">
        <f t="array" ref="I537">IF(SUMIF(Производство!$A$104:$A$145,Технологи!$B537,Производство!F$104:F$145)&gt;0,SUMIF(Производство!$A$104:$A$145,Технологи!$B537,Производство!F$104:F$145)*$F537+$G537,0)</f>
        <v>2337.0057855620289</v>
      </c>
      <c r="J537" s="46">
        <f t="array" ref="J537">IF(SUMIF(Производство!$A$104:$A$145,Технологи!$B537,Производство!G$104:G$145)&gt;0,SUMIF(Производство!$A$104:$A$145,Технологи!$B537,Производство!G$104:G$145)*$F537+$G537,0)</f>
        <v>0</v>
      </c>
      <c r="K537" s="46">
        <f t="array" ref="K537">IF(SUMIF(Производство!$A$104:$A$145,Технологи!$B537,Производство!H$104:H$145)&gt;0,SUMIF(Производство!$A$104:$A$145,Технологи!$B537,Производство!H$104:H$145)*$F537+$G537,0)</f>
        <v>14.141805094479393</v>
      </c>
      <c r="L537" s="46">
        <f t="array" ref="L537">IF(SUMIF(Производство!$A$104:$A$145,Технологи!$B537,Производство!I$104:I$145)&gt;0,SUMIF(Производство!$A$104:$A$145,Технологи!$B537,Производство!I$104:I$145)*$F537+$G537,0)</f>
        <v>14.141805094479393</v>
      </c>
      <c r="M537" s="46">
        <f t="array" ref="M537">IF(SUMIF(Производство!$A$104:$A$145,Технологи!$B537,Производство!J$104:J$145)&gt;0,SUMIF(Производство!$A$104:$A$145,Технологи!$B537,Производство!J$104:J$145)*$F537+$G537,0)</f>
        <v>12.691336711698348</v>
      </c>
      <c r="N537" s="46">
        <f t="array" ref="N537">IF(SUMIF(Производство!$A$104:$A$145,Технологи!$B537,Производство!K$104:K$145)&gt;0,SUMIF(Производство!$A$104:$A$145,Технологи!$B537,Производство!K$104:K$145)*$F537+$G537,0)</f>
        <v>12.691336711698348</v>
      </c>
      <c r="O537" s="46">
        <f t="array" ref="O537">IF(SUMIF(Производство!$A$104:$A$145,Технологи!$B537,Производство!L$104:L$145)&gt;0,SUMIF(Производство!$A$104:$A$145,Технологи!$B537,Производство!L$104:L$145)*$F537+$G537,0)</f>
        <v>12.691336711698348</v>
      </c>
      <c r="P537" s="46">
        <f t="array" ref="P537">IF(SUMIF(Производство!$A$104:$A$145,Технологи!$B537,Производство!M$104:M$145)&gt;0,SUMIF(Производство!$A$104:$A$145,Технологи!$B537,Производство!M$104:M$145)*$F537+$G537,0)</f>
        <v>12.691336711698348</v>
      </c>
      <c r="Q537" s="46">
        <f t="array" ref="Q537">IF(SUMIF(Производство!$A$104:$A$145,Технологи!$B537,Производство!N$104:N$145)&gt;0,SUMIF(Производство!$A$104:$A$145,Технологи!$B537,Производство!N$104:N$145)*$F537+$G537,0)</f>
        <v>12.691336711698348</v>
      </c>
      <c r="R537" s="46">
        <f t="array" ref="R537">IF(SUMIF(Производство!$A$104:$A$145,Технологи!$B537,Производство!O$104:O$145)&gt;0,SUMIF(Производство!$A$104:$A$145,Технологи!$B537,Производство!O$104:O$145)*$F537+$G537,0)</f>
        <v>12.691336711698348</v>
      </c>
      <c r="S537" s="46">
        <f t="array" ref="S537">IF(SUMIF(Производство!$A$104:$A$145,Технологи!$B537,Производство!P$104:P$145)&gt;0,SUMIF(Производство!$A$104:$A$145,Технологи!$B537,Производство!P$104:P$145)*$F537+$G537,0)</f>
        <v>12.691336711698348</v>
      </c>
      <c r="T537" s="46">
        <f t="array" ref="T537">IF(SUMIF(Производство!$A$104:$A$145,Технологи!$B537,Производство!Q$104:Q$145)&gt;0,SUMIF(Производство!$A$104:$A$145,Технологи!$B537,Производство!Q$104:Q$145)*$F537+$G537,0)</f>
        <v>12.691336711698348</v>
      </c>
    </row>
    <row r="538" spans="1:20" x14ac:dyDescent="0.25">
      <c r="A538" s="34" t="s">
        <v>377</v>
      </c>
      <c r="B538" s="13" t="s">
        <v>29</v>
      </c>
      <c r="C538" s="15" t="s">
        <v>11</v>
      </c>
      <c r="D538" s="14">
        <v>7038</v>
      </c>
      <c r="E538" s="16">
        <v>0.83</v>
      </c>
      <c r="F538" s="22">
        <f>SUM(F539:F550)</f>
        <v>0.83114840498029396</v>
      </c>
      <c r="G538" s="22">
        <f>SUM(G539:G550)</f>
        <v>42.4223</v>
      </c>
      <c r="H538" s="23">
        <f t="shared" ref="H538:H550" si="25">F538*1000</f>
        <v>831.148404980294</v>
      </c>
      <c r="I538" s="46">
        <f t="array" ref="I538">IF(SUMIF(Производство!$A$104:$A$145,Технологи!$B538,Производство!F$104:F$145)&gt;0,SUMIF(Производство!$A$104:$A$145,Технологи!$B538,Производство!F$104:F$145)*$F538+$G538,0)</f>
        <v>0</v>
      </c>
      <c r="J538" s="46">
        <f t="array" ref="J538">IF(SUMIF(Производство!$A$104:$A$145,Технологи!$B538,Производство!G$104:G$145)&gt;0,SUMIF(Производство!$A$104:$A$145,Технологи!$B538,Производство!G$104:G$145)*$F538+$G538,0)</f>
        <v>0</v>
      </c>
      <c r="K538" s="46">
        <f t="array" ref="K538">IF(SUMIF(Производство!$A$104:$A$145,Технологи!$B538,Производство!H$104:H$145)&gt;0,SUMIF(Производство!$A$104:$A$145,Технологи!$B538,Производство!H$104:H$145)*$F538+$G538,0)</f>
        <v>0</v>
      </c>
      <c r="L538" s="46">
        <f t="array" ref="L538">IF(SUMIF(Производство!$A$104:$A$145,Технологи!$B538,Производство!I$104:I$145)&gt;0,SUMIF(Производство!$A$104:$A$145,Технологи!$B538,Производство!I$104:I$145)*$F538+$G538,0)</f>
        <v>0</v>
      </c>
      <c r="M538" s="46">
        <f t="array" ref="M538">IF(SUMIF(Производство!$A$104:$A$145,Технологи!$B538,Производство!J$104:J$145)&gt;0,SUMIF(Производство!$A$104:$A$145,Технологи!$B538,Производство!J$104:J$145)*$F538+$G538,0)</f>
        <v>0</v>
      </c>
      <c r="N538" s="46">
        <f t="array" ref="N538">IF(SUMIF(Производство!$A$104:$A$145,Технологи!$B538,Производство!K$104:K$145)&gt;0,SUMIF(Производство!$A$104:$A$145,Технологи!$B538,Производство!K$104:K$145)*$F538+$G538,0)</f>
        <v>0</v>
      </c>
      <c r="O538" s="46">
        <f t="array" ref="O538">IF(SUMIF(Производство!$A$104:$A$145,Технологи!$B538,Производство!L$104:L$145)&gt;0,SUMIF(Производство!$A$104:$A$145,Технологи!$B538,Производство!L$104:L$145)*$F538+$G538,0)</f>
        <v>0</v>
      </c>
      <c r="P538" s="46">
        <f t="array" ref="P538">IF(SUMIF(Производство!$A$104:$A$145,Технологи!$B538,Производство!M$104:M$145)&gt;0,SUMIF(Производство!$A$104:$A$145,Технологи!$B538,Производство!M$104:M$145)*$F538+$G538,0)</f>
        <v>0</v>
      </c>
      <c r="Q538" s="46">
        <f t="array" ref="Q538">IF(SUMIF(Производство!$A$104:$A$145,Технологи!$B538,Производство!N$104:N$145)&gt;0,SUMIF(Производство!$A$104:$A$145,Технологи!$B538,Производство!N$104:N$145)*$F538+$G538,0)</f>
        <v>0</v>
      </c>
      <c r="R538" s="46">
        <f t="array" ref="R538">IF(SUMIF(Производство!$A$104:$A$145,Технологи!$B538,Производство!O$104:O$145)&gt;0,SUMIF(Производство!$A$104:$A$145,Технологи!$B538,Производство!O$104:O$145)*$F538+$G538,0)</f>
        <v>0</v>
      </c>
      <c r="S538" s="46">
        <f t="array" ref="S538">IF(SUMIF(Производство!$A$104:$A$145,Технологи!$B538,Производство!P$104:P$145)&gt;0,SUMIF(Производство!$A$104:$A$145,Технологи!$B538,Производство!P$104:P$145)*$F538+$G538,0)</f>
        <v>0</v>
      </c>
      <c r="T538" s="46">
        <f t="array" ref="T538">IF(SUMIF(Производство!$A$104:$A$145,Технологи!$B538,Производство!Q$104:Q$145)&gt;0,SUMIF(Производство!$A$104:$A$145,Технологи!$B538,Производство!Q$104:Q$145)*$F538+$G538,0)</f>
        <v>0</v>
      </c>
    </row>
    <row r="539" spans="1:20" x14ac:dyDescent="0.25">
      <c r="A539" s="34" t="s">
        <v>377</v>
      </c>
      <c r="B539" s="13" t="s">
        <v>29</v>
      </c>
      <c r="C539" s="19" t="s">
        <v>12</v>
      </c>
      <c r="D539" s="14">
        <v>7038</v>
      </c>
      <c r="E539" s="20"/>
      <c r="F539" s="24">
        <v>0.20872444374776064</v>
      </c>
      <c r="G539" s="24">
        <v>19.472301109261718</v>
      </c>
      <c r="H539" s="23">
        <f t="shared" si="25"/>
        <v>208.72444374776063</v>
      </c>
      <c r="I539" s="46">
        <f t="array" ref="I539">IF(SUMIF(Производство!$A$104:$A$145,Технологи!$B539,Производство!F$104:F$145)&gt;0,SUMIF(Производство!$A$104:$A$145,Технологи!$B539,Производство!F$104:F$145)*$F539+$G539,0)</f>
        <v>0</v>
      </c>
      <c r="J539" s="46">
        <f t="array" ref="J539">IF(SUMIF(Производство!$A$104:$A$145,Технологи!$B539,Производство!G$104:G$145)&gt;0,SUMIF(Производство!$A$104:$A$145,Технологи!$B539,Производство!G$104:G$145)*$F539+$G539,0)</f>
        <v>0</v>
      </c>
      <c r="K539" s="46">
        <f t="array" ref="K539">IF(SUMIF(Производство!$A$104:$A$145,Технологи!$B539,Производство!H$104:H$145)&gt;0,SUMIF(Производство!$A$104:$A$145,Технологи!$B539,Производство!H$104:H$145)*$F539+$G539,0)</f>
        <v>0</v>
      </c>
      <c r="L539" s="46">
        <f t="array" ref="L539">IF(SUMIF(Производство!$A$104:$A$145,Технологи!$B539,Производство!I$104:I$145)&gt;0,SUMIF(Производство!$A$104:$A$145,Технологи!$B539,Производство!I$104:I$145)*$F539+$G539,0)</f>
        <v>0</v>
      </c>
      <c r="M539" s="46">
        <f t="array" ref="M539">IF(SUMIF(Производство!$A$104:$A$145,Технологи!$B539,Производство!J$104:J$145)&gt;0,SUMIF(Производство!$A$104:$A$145,Технологи!$B539,Производство!J$104:J$145)*$F539+$G539,0)</f>
        <v>0</v>
      </c>
      <c r="N539" s="46">
        <f t="array" ref="N539">IF(SUMIF(Производство!$A$104:$A$145,Технологи!$B539,Производство!K$104:K$145)&gt;0,SUMIF(Производство!$A$104:$A$145,Технологи!$B539,Производство!K$104:K$145)*$F539+$G539,0)</f>
        <v>0</v>
      </c>
      <c r="O539" s="46">
        <f t="array" ref="O539">IF(SUMIF(Производство!$A$104:$A$145,Технологи!$B539,Производство!L$104:L$145)&gt;0,SUMIF(Производство!$A$104:$A$145,Технологи!$B539,Производство!L$104:L$145)*$F539+$G539,0)</f>
        <v>0</v>
      </c>
      <c r="P539" s="46">
        <f t="array" ref="P539">IF(SUMIF(Производство!$A$104:$A$145,Технологи!$B539,Производство!M$104:M$145)&gt;0,SUMIF(Производство!$A$104:$A$145,Технологи!$B539,Производство!M$104:M$145)*$F539+$G539,0)</f>
        <v>0</v>
      </c>
      <c r="Q539" s="46">
        <f t="array" ref="Q539">IF(SUMIF(Производство!$A$104:$A$145,Технологи!$B539,Производство!N$104:N$145)&gt;0,SUMIF(Производство!$A$104:$A$145,Технологи!$B539,Производство!N$104:N$145)*$F539+$G539,0)</f>
        <v>0</v>
      </c>
      <c r="R539" s="46">
        <f t="array" ref="R539">IF(SUMIF(Производство!$A$104:$A$145,Технологи!$B539,Производство!O$104:O$145)&gt;0,SUMIF(Производство!$A$104:$A$145,Технологи!$B539,Производство!O$104:O$145)*$F539+$G539,0)</f>
        <v>0</v>
      </c>
      <c r="S539" s="46">
        <f t="array" ref="S539">IF(SUMIF(Производство!$A$104:$A$145,Технологи!$B539,Производство!P$104:P$145)&gt;0,SUMIF(Производство!$A$104:$A$145,Технологи!$B539,Производство!P$104:P$145)*$F539+$G539,0)</f>
        <v>0</v>
      </c>
      <c r="T539" s="46">
        <f t="array" ref="T539">IF(SUMIF(Производство!$A$104:$A$145,Технологи!$B539,Производство!Q$104:Q$145)&gt;0,SUMIF(Производство!$A$104:$A$145,Технологи!$B539,Производство!Q$104:Q$145)*$F539+$G539,0)</f>
        <v>0</v>
      </c>
    </row>
    <row r="540" spans="1:20" x14ac:dyDescent="0.25">
      <c r="A540" s="34" t="s">
        <v>377</v>
      </c>
      <c r="B540" s="13" t="s">
        <v>29</v>
      </c>
      <c r="C540" s="19" t="s">
        <v>13</v>
      </c>
      <c r="D540" s="14">
        <v>7038</v>
      </c>
      <c r="E540" s="20"/>
      <c r="F540" s="24">
        <v>7.3563400662844849E-2</v>
      </c>
      <c r="G540" s="24">
        <v>5.9977654402668712</v>
      </c>
      <c r="H540" s="23">
        <f t="shared" si="25"/>
        <v>73.563400662844856</v>
      </c>
      <c r="I540" s="46">
        <f t="array" ref="I540">IF(SUMIF(Производство!$A$104:$A$145,Технологи!$B540,Производство!F$104:F$145)&gt;0,SUMIF(Производство!$A$104:$A$145,Технологи!$B540,Производство!F$104:F$145)*$F540+$G540,0)</f>
        <v>0</v>
      </c>
      <c r="J540" s="46">
        <f t="array" ref="J540">IF(SUMIF(Производство!$A$104:$A$145,Технологи!$B540,Производство!G$104:G$145)&gt;0,SUMIF(Производство!$A$104:$A$145,Технологи!$B540,Производство!G$104:G$145)*$F540+$G540,0)</f>
        <v>0</v>
      </c>
      <c r="K540" s="46">
        <f t="array" ref="K540">IF(SUMIF(Производство!$A$104:$A$145,Технологи!$B540,Производство!H$104:H$145)&gt;0,SUMIF(Производство!$A$104:$A$145,Технологи!$B540,Производство!H$104:H$145)*$F540+$G540,0)</f>
        <v>0</v>
      </c>
      <c r="L540" s="46">
        <f t="array" ref="L540">IF(SUMIF(Производство!$A$104:$A$145,Технологи!$B540,Производство!I$104:I$145)&gt;0,SUMIF(Производство!$A$104:$A$145,Технологи!$B540,Производство!I$104:I$145)*$F540+$G540,0)</f>
        <v>0</v>
      </c>
      <c r="M540" s="46">
        <f t="array" ref="M540">IF(SUMIF(Производство!$A$104:$A$145,Технологи!$B540,Производство!J$104:J$145)&gt;0,SUMIF(Производство!$A$104:$A$145,Технологи!$B540,Производство!J$104:J$145)*$F540+$G540,0)</f>
        <v>0</v>
      </c>
      <c r="N540" s="46">
        <f t="array" ref="N540">IF(SUMIF(Производство!$A$104:$A$145,Технологи!$B540,Производство!K$104:K$145)&gt;0,SUMIF(Производство!$A$104:$A$145,Технологи!$B540,Производство!K$104:K$145)*$F540+$G540,0)</f>
        <v>0</v>
      </c>
      <c r="O540" s="46">
        <f t="array" ref="O540">IF(SUMIF(Производство!$A$104:$A$145,Технологи!$B540,Производство!L$104:L$145)&gt;0,SUMIF(Производство!$A$104:$A$145,Технологи!$B540,Производство!L$104:L$145)*$F540+$G540,0)</f>
        <v>0</v>
      </c>
      <c r="P540" s="46">
        <f t="array" ref="P540">IF(SUMIF(Производство!$A$104:$A$145,Технологи!$B540,Производство!M$104:M$145)&gt;0,SUMIF(Производство!$A$104:$A$145,Технологи!$B540,Производство!M$104:M$145)*$F540+$G540,0)</f>
        <v>0</v>
      </c>
      <c r="Q540" s="46">
        <f t="array" ref="Q540">IF(SUMIF(Производство!$A$104:$A$145,Технологи!$B540,Производство!N$104:N$145)&gt;0,SUMIF(Производство!$A$104:$A$145,Технологи!$B540,Производство!N$104:N$145)*$F540+$G540,0)</f>
        <v>0</v>
      </c>
      <c r="R540" s="46">
        <f t="array" ref="R540">IF(SUMIF(Производство!$A$104:$A$145,Технологи!$B540,Производство!O$104:O$145)&gt;0,SUMIF(Производство!$A$104:$A$145,Технологи!$B540,Производство!O$104:O$145)*$F540+$G540,0)</f>
        <v>0</v>
      </c>
      <c r="S540" s="46">
        <f t="array" ref="S540">IF(SUMIF(Производство!$A$104:$A$145,Технологи!$B540,Производство!P$104:P$145)&gt;0,SUMIF(Производство!$A$104:$A$145,Технологи!$B540,Производство!P$104:P$145)*$F540+$G540,0)</f>
        <v>0</v>
      </c>
      <c r="T540" s="46">
        <f t="array" ref="T540">IF(SUMIF(Производство!$A$104:$A$145,Технологи!$B540,Производство!Q$104:Q$145)&gt;0,SUMIF(Производство!$A$104:$A$145,Технологи!$B540,Производство!Q$104:Q$145)*$F540+$G540,0)</f>
        <v>0</v>
      </c>
    </row>
    <row r="541" spans="1:20" x14ac:dyDescent="0.25">
      <c r="A541" s="34" t="s">
        <v>377</v>
      </c>
      <c r="B541" s="13" t="s">
        <v>29</v>
      </c>
      <c r="C541" s="19" t="s">
        <v>14</v>
      </c>
      <c r="D541" s="14">
        <v>7038</v>
      </c>
      <c r="E541" s="20"/>
      <c r="F541" s="24">
        <v>6.3054343425295587E-4</v>
      </c>
      <c r="G541" s="24">
        <v>5.8416903327785152E-2</v>
      </c>
      <c r="H541" s="23">
        <f t="shared" si="25"/>
        <v>0.63054343425295589</v>
      </c>
      <c r="I541" s="46">
        <f t="array" ref="I541">IF(SUMIF(Производство!$A$104:$A$145,Технологи!$B541,Производство!F$104:F$145)&gt;0,SUMIF(Производство!$A$104:$A$145,Технологи!$B541,Производство!F$104:F$145)*$F541+$G541,0)</f>
        <v>0</v>
      </c>
      <c r="J541" s="46">
        <f t="array" ref="J541">IF(SUMIF(Производство!$A$104:$A$145,Технологи!$B541,Производство!G$104:G$145)&gt;0,SUMIF(Производство!$A$104:$A$145,Технологи!$B541,Производство!G$104:G$145)*$F541+$G541,0)</f>
        <v>0</v>
      </c>
      <c r="K541" s="46">
        <f t="array" ref="K541">IF(SUMIF(Производство!$A$104:$A$145,Технологи!$B541,Производство!H$104:H$145)&gt;0,SUMIF(Производство!$A$104:$A$145,Технологи!$B541,Производство!H$104:H$145)*$F541+$G541,0)</f>
        <v>0</v>
      </c>
      <c r="L541" s="46">
        <f t="array" ref="L541">IF(SUMIF(Производство!$A$104:$A$145,Технологи!$B541,Производство!I$104:I$145)&gt;0,SUMIF(Производство!$A$104:$A$145,Технологи!$B541,Производство!I$104:I$145)*$F541+$G541,0)</f>
        <v>0</v>
      </c>
      <c r="M541" s="46">
        <f t="array" ref="M541">IF(SUMIF(Производство!$A$104:$A$145,Технологи!$B541,Производство!J$104:J$145)&gt;0,SUMIF(Производство!$A$104:$A$145,Технологи!$B541,Производство!J$104:J$145)*$F541+$G541,0)</f>
        <v>0</v>
      </c>
      <c r="N541" s="46">
        <f t="array" ref="N541">IF(SUMIF(Производство!$A$104:$A$145,Технологи!$B541,Производство!K$104:K$145)&gt;0,SUMIF(Производство!$A$104:$A$145,Технологи!$B541,Производство!K$104:K$145)*$F541+$G541,0)</f>
        <v>0</v>
      </c>
      <c r="O541" s="46">
        <f t="array" ref="O541">IF(SUMIF(Производство!$A$104:$A$145,Технологи!$B541,Производство!L$104:L$145)&gt;0,SUMIF(Производство!$A$104:$A$145,Технологи!$B541,Производство!L$104:L$145)*$F541+$G541,0)</f>
        <v>0</v>
      </c>
      <c r="P541" s="46">
        <f t="array" ref="P541">IF(SUMIF(Производство!$A$104:$A$145,Технологи!$B541,Производство!M$104:M$145)&gt;0,SUMIF(Производство!$A$104:$A$145,Технологи!$B541,Производство!M$104:M$145)*$F541+$G541,0)</f>
        <v>0</v>
      </c>
      <c r="Q541" s="46">
        <f t="array" ref="Q541">IF(SUMIF(Производство!$A$104:$A$145,Технологи!$B541,Производство!N$104:N$145)&gt;0,SUMIF(Производство!$A$104:$A$145,Технологи!$B541,Производство!N$104:N$145)*$F541+$G541,0)</f>
        <v>0</v>
      </c>
      <c r="R541" s="46">
        <f t="array" ref="R541">IF(SUMIF(Производство!$A$104:$A$145,Технологи!$B541,Производство!O$104:O$145)&gt;0,SUMIF(Производство!$A$104:$A$145,Технологи!$B541,Производство!O$104:O$145)*$F541+$G541,0)</f>
        <v>0</v>
      </c>
      <c r="S541" s="46">
        <f t="array" ref="S541">IF(SUMIF(Производство!$A$104:$A$145,Технологи!$B541,Производство!P$104:P$145)&gt;0,SUMIF(Производство!$A$104:$A$145,Технологи!$B541,Производство!P$104:P$145)*$F541+$G541,0)</f>
        <v>0</v>
      </c>
      <c r="T541" s="46">
        <f t="array" ref="T541">IF(SUMIF(Производство!$A$104:$A$145,Технологи!$B541,Производство!Q$104:Q$145)&gt;0,SUMIF(Производство!$A$104:$A$145,Технологи!$B541,Производство!Q$104:Q$145)*$F541+$G541,0)</f>
        <v>0</v>
      </c>
    </row>
    <row r="542" spans="1:20" x14ac:dyDescent="0.25">
      <c r="A542" s="34" t="s">
        <v>377</v>
      </c>
      <c r="B542" s="13" t="s">
        <v>29</v>
      </c>
      <c r="C542" s="19" t="s">
        <v>15</v>
      </c>
      <c r="D542" s="14">
        <v>7038</v>
      </c>
      <c r="E542" s="20"/>
      <c r="F542" s="24">
        <v>3.1527171712647794E-4</v>
      </c>
      <c r="G542" s="24">
        <v>2.9208451663892576E-2</v>
      </c>
      <c r="H542" s="23">
        <f t="shared" si="25"/>
        <v>0.31527171712647795</v>
      </c>
      <c r="I542" s="46">
        <f t="array" ref="I542">IF(SUMIF(Производство!$A$104:$A$145,Технологи!$B542,Производство!F$104:F$145)&gt;0,SUMIF(Производство!$A$104:$A$145,Технологи!$B542,Производство!F$104:F$145)*$F542+$G542,0)</f>
        <v>0</v>
      </c>
      <c r="J542" s="46">
        <f t="array" ref="J542">IF(SUMIF(Производство!$A$104:$A$145,Технологи!$B542,Производство!G$104:G$145)&gt;0,SUMIF(Производство!$A$104:$A$145,Технологи!$B542,Производство!G$104:G$145)*$F542+$G542,0)</f>
        <v>0</v>
      </c>
      <c r="K542" s="46">
        <f t="array" ref="K542">IF(SUMIF(Производство!$A$104:$A$145,Технологи!$B542,Производство!H$104:H$145)&gt;0,SUMIF(Производство!$A$104:$A$145,Технологи!$B542,Производство!H$104:H$145)*$F542+$G542,0)</f>
        <v>0</v>
      </c>
      <c r="L542" s="46">
        <f t="array" ref="L542">IF(SUMIF(Производство!$A$104:$A$145,Технологи!$B542,Производство!I$104:I$145)&gt;0,SUMIF(Производство!$A$104:$A$145,Технологи!$B542,Производство!I$104:I$145)*$F542+$G542,0)</f>
        <v>0</v>
      </c>
      <c r="M542" s="46">
        <f t="array" ref="M542">IF(SUMIF(Производство!$A$104:$A$145,Технологи!$B542,Производство!J$104:J$145)&gt;0,SUMIF(Производство!$A$104:$A$145,Технологи!$B542,Производство!J$104:J$145)*$F542+$G542,0)</f>
        <v>0</v>
      </c>
      <c r="N542" s="46">
        <f t="array" ref="N542">IF(SUMIF(Производство!$A$104:$A$145,Технологи!$B542,Производство!K$104:K$145)&gt;0,SUMIF(Производство!$A$104:$A$145,Технологи!$B542,Производство!K$104:K$145)*$F542+$G542,0)</f>
        <v>0</v>
      </c>
      <c r="O542" s="46">
        <f t="array" ref="O542">IF(SUMIF(Производство!$A$104:$A$145,Технологи!$B542,Производство!L$104:L$145)&gt;0,SUMIF(Производство!$A$104:$A$145,Технологи!$B542,Производство!L$104:L$145)*$F542+$G542,0)</f>
        <v>0</v>
      </c>
      <c r="P542" s="46">
        <f t="array" ref="P542">IF(SUMIF(Производство!$A$104:$A$145,Технологи!$B542,Производство!M$104:M$145)&gt;0,SUMIF(Производство!$A$104:$A$145,Технологи!$B542,Производство!M$104:M$145)*$F542+$G542,0)</f>
        <v>0</v>
      </c>
      <c r="Q542" s="46">
        <f t="array" ref="Q542">IF(SUMIF(Производство!$A$104:$A$145,Технологи!$B542,Производство!N$104:N$145)&gt;0,SUMIF(Производство!$A$104:$A$145,Технологи!$B542,Производство!N$104:N$145)*$F542+$G542,0)</f>
        <v>0</v>
      </c>
      <c r="R542" s="46">
        <f t="array" ref="R542">IF(SUMIF(Производство!$A$104:$A$145,Технологи!$B542,Производство!O$104:O$145)&gt;0,SUMIF(Производство!$A$104:$A$145,Технологи!$B542,Производство!O$104:O$145)*$F542+$G542,0)</f>
        <v>0</v>
      </c>
      <c r="S542" s="46">
        <f t="array" ref="S542">IF(SUMIF(Производство!$A$104:$A$145,Технологи!$B542,Производство!P$104:P$145)&gt;0,SUMIF(Производство!$A$104:$A$145,Технологи!$B542,Производство!P$104:P$145)*$F542+$G542,0)</f>
        <v>0</v>
      </c>
      <c r="T542" s="46">
        <f t="array" ref="T542">IF(SUMIF(Производство!$A$104:$A$145,Технологи!$B542,Производство!Q$104:Q$145)&gt;0,SUMIF(Производство!$A$104:$A$145,Технологи!$B542,Производство!Q$104:Q$145)*$F542+$G542,0)</f>
        <v>0</v>
      </c>
    </row>
    <row r="543" spans="1:20" x14ac:dyDescent="0.25">
      <c r="A543" s="34" t="s">
        <v>377</v>
      </c>
      <c r="B543" s="13" t="s">
        <v>29</v>
      </c>
      <c r="C543" s="19" t="s">
        <v>16</v>
      </c>
      <c r="D543" s="14">
        <v>7038</v>
      </c>
      <c r="E543" s="20"/>
      <c r="F543" s="24">
        <v>4.1828128806879247E-3</v>
      </c>
      <c r="G543" s="24">
        <v>0.38944602218523439</v>
      </c>
      <c r="H543" s="23">
        <f t="shared" si="25"/>
        <v>4.1828128806879246</v>
      </c>
      <c r="I543" s="46">
        <f t="array" ref="I543">IF(SUMIF(Производство!$A$104:$A$145,Технологи!$B543,Производство!F$104:F$145)&gt;0,SUMIF(Производство!$A$104:$A$145,Технологи!$B543,Производство!F$104:F$145)*$F543+$G543,0)</f>
        <v>0</v>
      </c>
      <c r="J543" s="46">
        <f t="array" ref="J543">IF(SUMIF(Производство!$A$104:$A$145,Технологи!$B543,Производство!G$104:G$145)&gt;0,SUMIF(Производство!$A$104:$A$145,Технологи!$B543,Производство!G$104:G$145)*$F543+$G543,0)</f>
        <v>0</v>
      </c>
      <c r="K543" s="46">
        <f t="array" ref="K543">IF(SUMIF(Производство!$A$104:$A$145,Технологи!$B543,Производство!H$104:H$145)&gt;0,SUMIF(Производство!$A$104:$A$145,Технологи!$B543,Производство!H$104:H$145)*$F543+$G543,0)</f>
        <v>0</v>
      </c>
      <c r="L543" s="46">
        <f t="array" ref="L543">IF(SUMIF(Производство!$A$104:$A$145,Технологи!$B543,Производство!I$104:I$145)&gt;0,SUMIF(Производство!$A$104:$A$145,Технологи!$B543,Производство!I$104:I$145)*$F543+$G543,0)</f>
        <v>0</v>
      </c>
      <c r="M543" s="46">
        <f t="array" ref="M543">IF(SUMIF(Производство!$A$104:$A$145,Технологи!$B543,Производство!J$104:J$145)&gt;0,SUMIF(Производство!$A$104:$A$145,Технологи!$B543,Производство!J$104:J$145)*$F543+$G543,0)</f>
        <v>0</v>
      </c>
      <c r="N543" s="46">
        <f t="array" ref="N543">IF(SUMIF(Производство!$A$104:$A$145,Технологи!$B543,Производство!K$104:K$145)&gt;0,SUMIF(Производство!$A$104:$A$145,Технологи!$B543,Производство!K$104:K$145)*$F543+$G543,0)</f>
        <v>0</v>
      </c>
      <c r="O543" s="46">
        <f t="array" ref="O543">IF(SUMIF(Производство!$A$104:$A$145,Технологи!$B543,Производство!L$104:L$145)&gt;0,SUMIF(Производство!$A$104:$A$145,Технологи!$B543,Производство!L$104:L$145)*$F543+$G543,0)</f>
        <v>0</v>
      </c>
      <c r="P543" s="46">
        <f t="array" ref="P543">IF(SUMIF(Производство!$A$104:$A$145,Технологи!$B543,Производство!M$104:M$145)&gt;0,SUMIF(Производство!$A$104:$A$145,Технологи!$B543,Производство!M$104:M$145)*$F543+$G543,0)</f>
        <v>0</v>
      </c>
      <c r="Q543" s="46">
        <f t="array" ref="Q543">IF(SUMIF(Производство!$A$104:$A$145,Технологи!$B543,Производство!N$104:N$145)&gt;0,SUMIF(Производство!$A$104:$A$145,Технологи!$B543,Производство!N$104:N$145)*$F543+$G543,0)</f>
        <v>0</v>
      </c>
      <c r="R543" s="46">
        <f t="array" ref="R543">IF(SUMIF(Производство!$A$104:$A$145,Технологи!$B543,Производство!O$104:O$145)&gt;0,SUMIF(Производство!$A$104:$A$145,Технологи!$B543,Производство!O$104:O$145)*$F543+$G543,0)</f>
        <v>0</v>
      </c>
      <c r="S543" s="46">
        <f t="array" ref="S543">IF(SUMIF(Производство!$A$104:$A$145,Технологи!$B543,Производство!P$104:P$145)&gt;0,SUMIF(Производство!$A$104:$A$145,Технологи!$B543,Производство!P$104:P$145)*$F543+$G543,0)</f>
        <v>0</v>
      </c>
      <c r="T543" s="46">
        <f t="array" ref="T543">IF(SUMIF(Производство!$A$104:$A$145,Технологи!$B543,Производство!Q$104:Q$145)&gt;0,SUMIF(Производство!$A$104:$A$145,Технологи!$B543,Производство!Q$104:Q$145)*$F543+$G543,0)</f>
        <v>0</v>
      </c>
    </row>
    <row r="544" spans="1:20" x14ac:dyDescent="0.25">
      <c r="A544" s="34" t="s">
        <v>377</v>
      </c>
      <c r="B544" s="13" t="s">
        <v>29</v>
      </c>
      <c r="C544" s="19" t="s">
        <v>17</v>
      </c>
      <c r="D544" s="14">
        <v>7038</v>
      </c>
      <c r="E544" s="20"/>
      <c r="F544" s="24">
        <v>2.3234381001433178E-3</v>
      </c>
      <c r="G544" s="24">
        <v>0.21419531220187896</v>
      </c>
      <c r="H544" s="23">
        <f t="shared" si="25"/>
        <v>2.323438100143318</v>
      </c>
      <c r="I544" s="46">
        <f t="array" ref="I544">IF(SUMIF(Производство!$A$104:$A$145,Технологи!$B544,Производство!F$104:F$145)&gt;0,SUMIF(Производство!$A$104:$A$145,Технологи!$B544,Производство!F$104:F$145)*$F544+$G544,0)</f>
        <v>0</v>
      </c>
      <c r="J544" s="46">
        <f t="array" ref="J544">IF(SUMIF(Производство!$A$104:$A$145,Технологи!$B544,Производство!G$104:G$145)&gt;0,SUMIF(Производство!$A$104:$A$145,Технологи!$B544,Производство!G$104:G$145)*$F544+$G544,0)</f>
        <v>0</v>
      </c>
      <c r="K544" s="46">
        <f t="array" ref="K544">IF(SUMIF(Производство!$A$104:$A$145,Технологи!$B544,Производство!H$104:H$145)&gt;0,SUMIF(Производство!$A$104:$A$145,Технологи!$B544,Производство!H$104:H$145)*$F544+$G544,0)</f>
        <v>0</v>
      </c>
      <c r="L544" s="46">
        <f t="array" ref="L544">IF(SUMIF(Производство!$A$104:$A$145,Технологи!$B544,Производство!I$104:I$145)&gt;0,SUMIF(Производство!$A$104:$A$145,Технологи!$B544,Производство!I$104:I$145)*$F544+$G544,0)</f>
        <v>0</v>
      </c>
      <c r="M544" s="46">
        <f t="array" ref="M544">IF(SUMIF(Производство!$A$104:$A$145,Технологи!$B544,Производство!J$104:J$145)&gt;0,SUMIF(Производство!$A$104:$A$145,Технологи!$B544,Производство!J$104:J$145)*$F544+$G544,0)</f>
        <v>0</v>
      </c>
      <c r="N544" s="46">
        <f t="array" ref="N544">IF(SUMIF(Производство!$A$104:$A$145,Технологи!$B544,Производство!K$104:K$145)&gt;0,SUMIF(Производство!$A$104:$A$145,Технологи!$B544,Производство!K$104:K$145)*$F544+$G544,0)</f>
        <v>0</v>
      </c>
      <c r="O544" s="46">
        <f t="array" ref="O544">IF(SUMIF(Производство!$A$104:$A$145,Технологи!$B544,Производство!L$104:L$145)&gt;0,SUMIF(Производство!$A$104:$A$145,Технологи!$B544,Производство!L$104:L$145)*$F544+$G544,0)</f>
        <v>0</v>
      </c>
      <c r="P544" s="46">
        <f t="array" ref="P544">IF(SUMIF(Производство!$A$104:$A$145,Технологи!$B544,Производство!M$104:M$145)&gt;0,SUMIF(Производство!$A$104:$A$145,Технологи!$B544,Производство!M$104:M$145)*$F544+$G544,0)</f>
        <v>0</v>
      </c>
      <c r="Q544" s="46">
        <f t="array" ref="Q544">IF(SUMIF(Производство!$A$104:$A$145,Технологи!$B544,Производство!N$104:N$145)&gt;0,SUMIF(Производство!$A$104:$A$145,Технологи!$B544,Производство!N$104:N$145)*$F544+$G544,0)</f>
        <v>0</v>
      </c>
      <c r="R544" s="46">
        <f t="array" ref="R544">IF(SUMIF(Производство!$A$104:$A$145,Технологи!$B544,Производство!O$104:O$145)&gt;0,SUMIF(Производство!$A$104:$A$145,Технологи!$B544,Производство!O$104:O$145)*$F544+$G544,0)</f>
        <v>0</v>
      </c>
      <c r="S544" s="46">
        <f t="array" ref="S544">IF(SUMIF(Производство!$A$104:$A$145,Технологи!$B544,Производство!P$104:P$145)&gt;0,SUMIF(Производство!$A$104:$A$145,Технологи!$B544,Производство!P$104:P$145)*$F544+$G544,0)</f>
        <v>0</v>
      </c>
      <c r="T544" s="46">
        <f t="array" ref="T544">IF(SUMIF(Производство!$A$104:$A$145,Технологи!$B544,Производство!Q$104:Q$145)&gt;0,SUMIF(Производство!$A$104:$A$145,Технологи!$B544,Производство!Q$104:Q$145)*$F544+$G544,0)</f>
        <v>0</v>
      </c>
    </row>
    <row r="545" spans="1:20" x14ac:dyDescent="0.25">
      <c r="A545" s="34" t="s">
        <v>377</v>
      </c>
      <c r="B545" s="13" t="s">
        <v>29</v>
      </c>
      <c r="C545" s="19" t="s">
        <v>18</v>
      </c>
      <c r="D545" s="14">
        <v>7038</v>
      </c>
      <c r="E545" s="20"/>
      <c r="F545" s="24">
        <v>2.087244437477606E-3</v>
      </c>
      <c r="G545" s="24">
        <v>0.19472301109261719</v>
      </c>
      <c r="H545" s="23">
        <f t="shared" si="25"/>
        <v>2.0872444374776062</v>
      </c>
      <c r="I545" s="46">
        <f t="array" ref="I545">IF(SUMIF(Производство!$A$104:$A$145,Технологи!$B545,Производство!F$104:F$145)&gt;0,SUMIF(Производство!$A$104:$A$145,Технологи!$B545,Производство!F$104:F$145)*$F545+$G545,0)</f>
        <v>0</v>
      </c>
      <c r="J545" s="46">
        <f t="array" ref="J545">IF(SUMIF(Производство!$A$104:$A$145,Технологи!$B545,Производство!G$104:G$145)&gt;0,SUMIF(Производство!$A$104:$A$145,Технологи!$B545,Производство!G$104:G$145)*$F545+$G545,0)</f>
        <v>0</v>
      </c>
      <c r="K545" s="46">
        <f t="array" ref="K545">IF(SUMIF(Производство!$A$104:$A$145,Технологи!$B545,Производство!H$104:H$145)&gt;0,SUMIF(Производство!$A$104:$A$145,Технологи!$B545,Производство!H$104:H$145)*$F545+$G545,0)</f>
        <v>0</v>
      </c>
      <c r="L545" s="46">
        <f t="array" ref="L545">IF(SUMIF(Производство!$A$104:$A$145,Технологи!$B545,Производство!I$104:I$145)&gt;0,SUMIF(Производство!$A$104:$A$145,Технологи!$B545,Производство!I$104:I$145)*$F545+$G545,0)</f>
        <v>0</v>
      </c>
      <c r="M545" s="46">
        <f t="array" ref="M545">IF(SUMIF(Производство!$A$104:$A$145,Технологи!$B545,Производство!J$104:J$145)&gt;0,SUMIF(Производство!$A$104:$A$145,Технологи!$B545,Производство!J$104:J$145)*$F545+$G545,0)</f>
        <v>0</v>
      </c>
      <c r="N545" s="46">
        <f t="array" ref="N545">IF(SUMIF(Производство!$A$104:$A$145,Технологи!$B545,Производство!K$104:K$145)&gt;0,SUMIF(Производство!$A$104:$A$145,Технологи!$B545,Производство!K$104:K$145)*$F545+$G545,0)</f>
        <v>0</v>
      </c>
      <c r="O545" s="46">
        <f t="array" ref="O545">IF(SUMIF(Производство!$A$104:$A$145,Технологи!$B545,Производство!L$104:L$145)&gt;0,SUMIF(Производство!$A$104:$A$145,Технологи!$B545,Производство!L$104:L$145)*$F545+$G545,0)</f>
        <v>0</v>
      </c>
      <c r="P545" s="46">
        <f t="array" ref="P545">IF(SUMIF(Производство!$A$104:$A$145,Технологи!$B545,Производство!M$104:M$145)&gt;0,SUMIF(Производство!$A$104:$A$145,Технологи!$B545,Производство!M$104:M$145)*$F545+$G545,0)</f>
        <v>0</v>
      </c>
      <c r="Q545" s="46">
        <f t="array" ref="Q545">IF(SUMIF(Производство!$A$104:$A$145,Технологи!$B545,Производство!N$104:N$145)&gt;0,SUMIF(Производство!$A$104:$A$145,Технологи!$B545,Производство!N$104:N$145)*$F545+$G545,0)</f>
        <v>0</v>
      </c>
      <c r="R545" s="46">
        <f t="array" ref="R545">IF(SUMIF(Производство!$A$104:$A$145,Технологи!$B545,Производство!O$104:O$145)&gt;0,SUMIF(Производство!$A$104:$A$145,Технологи!$B545,Производство!O$104:O$145)*$F545+$G545,0)</f>
        <v>0</v>
      </c>
      <c r="S545" s="46">
        <f t="array" ref="S545">IF(SUMIF(Производство!$A$104:$A$145,Технологи!$B545,Производство!P$104:P$145)&gt;0,SUMIF(Производство!$A$104:$A$145,Технологи!$B545,Производство!P$104:P$145)*$F545+$G545,0)</f>
        <v>0</v>
      </c>
      <c r="T545" s="46">
        <f t="array" ref="T545">IF(SUMIF(Производство!$A$104:$A$145,Технологи!$B545,Производство!Q$104:Q$145)&gt;0,SUMIF(Производство!$A$104:$A$145,Технологи!$B545,Производство!Q$104:Q$145)*$F545+$G545,0)</f>
        <v>0</v>
      </c>
    </row>
    <row r="546" spans="1:20" x14ac:dyDescent="0.25">
      <c r="A546" s="34" t="s">
        <v>377</v>
      </c>
      <c r="B546" s="13" t="s">
        <v>29</v>
      </c>
      <c r="C546" s="19" t="s">
        <v>19</v>
      </c>
      <c r="D546" s="14">
        <v>7038</v>
      </c>
      <c r="E546" s="20"/>
      <c r="F546" s="24">
        <v>0.39882125000000007</v>
      </c>
      <c r="G546" s="24">
        <v>13.958743750000002</v>
      </c>
      <c r="H546" s="23">
        <f t="shared" si="25"/>
        <v>398.82125000000008</v>
      </c>
      <c r="I546" s="46">
        <f t="array" ref="I546">IF(SUMIF(Производство!$A$104:$A$145,Технологи!$B546,Производство!F$104:F$145)&gt;0,SUMIF(Производство!$A$104:$A$145,Технологи!$B546,Производство!F$104:F$145)*$F546+$G546,0)</f>
        <v>0</v>
      </c>
      <c r="J546" s="46">
        <f t="array" ref="J546">IF(SUMIF(Производство!$A$104:$A$145,Технологи!$B546,Производство!G$104:G$145)&gt;0,SUMIF(Производство!$A$104:$A$145,Технологи!$B546,Производство!G$104:G$145)*$F546+$G546,0)</f>
        <v>0</v>
      </c>
      <c r="K546" s="46">
        <f t="array" ref="K546">IF(SUMIF(Производство!$A$104:$A$145,Технологи!$B546,Производство!H$104:H$145)&gt;0,SUMIF(Производство!$A$104:$A$145,Технологи!$B546,Производство!H$104:H$145)*$F546+$G546,0)</f>
        <v>0</v>
      </c>
      <c r="L546" s="46">
        <f t="array" ref="L546">IF(SUMIF(Производство!$A$104:$A$145,Технологи!$B546,Производство!I$104:I$145)&gt;0,SUMIF(Производство!$A$104:$A$145,Технологи!$B546,Производство!I$104:I$145)*$F546+$G546,0)</f>
        <v>0</v>
      </c>
      <c r="M546" s="46">
        <f t="array" ref="M546">IF(SUMIF(Производство!$A$104:$A$145,Технологи!$B546,Производство!J$104:J$145)&gt;0,SUMIF(Производство!$A$104:$A$145,Технологи!$B546,Производство!J$104:J$145)*$F546+$G546,0)</f>
        <v>0</v>
      </c>
      <c r="N546" s="46">
        <f t="array" ref="N546">IF(SUMIF(Производство!$A$104:$A$145,Технологи!$B546,Производство!K$104:K$145)&gt;0,SUMIF(Производство!$A$104:$A$145,Технологи!$B546,Производство!K$104:K$145)*$F546+$G546,0)</f>
        <v>0</v>
      </c>
      <c r="O546" s="46">
        <f t="array" ref="O546">IF(SUMIF(Производство!$A$104:$A$145,Технологи!$B546,Производство!L$104:L$145)&gt;0,SUMIF(Производство!$A$104:$A$145,Технологи!$B546,Производство!L$104:L$145)*$F546+$G546,0)</f>
        <v>0</v>
      </c>
      <c r="P546" s="46">
        <f t="array" ref="P546">IF(SUMIF(Производство!$A$104:$A$145,Технологи!$B546,Производство!M$104:M$145)&gt;0,SUMIF(Производство!$A$104:$A$145,Технологи!$B546,Производство!M$104:M$145)*$F546+$G546,0)</f>
        <v>0</v>
      </c>
      <c r="Q546" s="46">
        <f t="array" ref="Q546">IF(SUMIF(Производство!$A$104:$A$145,Технологи!$B546,Производство!N$104:N$145)&gt;0,SUMIF(Производство!$A$104:$A$145,Технологи!$B546,Производство!N$104:N$145)*$F546+$G546,0)</f>
        <v>0</v>
      </c>
      <c r="R546" s="46">
        <f t="array" ref="R546">IF(SUMIF(Производство!$A$104:$A$145,Технологи!$B546,Производство!O$104:O$145)&gt;0,SUMIF(Производство!$A$104:$A$145,Технологи!$B546,Производство!O$104:O$145)*$F546+$G546,0)</f>
        <v>0</v>
      </c>
      <c r="S546" s="46">
        <f t="array" ref="S546">IF(SUMIF(Производство!$A$104:$A$145,Технологи!$B546,Производство!P$104:P$145)&gt;0,SUMIF(Производство!$A$104:$A$145,Технологи!$B546,Производство!P$104:P$145)*$F546+$G546,0)</f>
        <v>0</v>
      </c>
      <c r="T546" s="46">
        <f t="array" ref="T546">IF(SUMIF(Производство!$A$104:$A$145,Технологи!$B546,Производство!Q$104:Q$145)&gt;0,SUMIF(Производство!$A$104:$A$145,Технологи!$B546,Производство!Q$104:Q$145)*$F546+$G546,0)</f>
        <v>0</v>
      </c>
    </row>
    <row r="547" spans="1:20" x14ac:dyDescent="0.25">
      <c r="A547" s="34" t="s">
        <v>377</v>
      </c>
      <c r="B547" s="13" t="s">
        <v>29</v>
      </c>
      <c r="C547" s="19" t="s">
        <v>20</v>
      </c>
      <c r="D547" s="14">
        <v>7038</v>
      </c>
      <c r="E547" s="20"/>
      <c r="F547" s="24">
        <v>0</v>
      </c>
      <c r="G547" s="24">
        <v>0</v>
      </c>
      <c r="H547" s="23">
        <f t="shared" si="25"/>
        <v>0</v>
      </c>
      <c r="I547" s="46">
        <f t="array" ref="I547">IF(SUMIF(Производство!$A$104:$A$145,Технологи!$B547,Производство!F$104:F$145)&gt;0,SUMIF(Производство!$A$104:$A$145,Технологи!$B547,Производство!F$104:F$145)*$F547+$G547,0)</f>
        <v>0</v>
      </c>
      <c r="J547" s="46">
        <f t="array" ref="J547">IF(SUMIF(Производство!$A$104:$A$145,Технологи!$B547,Производство!G$104:G$145)&gt;0,SUMIF(Производство!$A$104:$A$145,Технологи!$B547,Производство!G$104:G$145)*$F547+$G547,0)</f>
        <v>0</v>
      </c>
      <c r="K547" s="46">
        <f t="array" ref="K547">IF(SUMIF(Производство!$A$104:$A$145,Технологи!$B547,Производство!H$104:H$145)&gt;0,SUMIF(Производство!$A$104:$A$145,Технологи!$B547,Производство!H$104:H$145)*$F547+$G547,0)</f>
        <v>0</v>
      </c>
      <c r="L547" s="46">
        <f t="array" ref="L547">IF(SUMIF(Производство!$A$104:$A$145,Технологи!$B547,Производство!I$104:I$145)&gt;0,SUMIF(Производство!$A$104:$A$145,Технологи!$B547,Производство!I$104:I$145)*$F547+$G547,0)</f>
        <v>0</v>
      </c>
      <c r="M547" s="46">
        <f t="array" ref="M547">IF(SUMIF(Производство!$A$104:$A$145,Технологи!$B547,Производство!J$104:J$145)&gt;0,SUMIF(Производство!$A$104:$A$145,Технологи!$B547,Производство!J$104:J$145)*$F547+$G547,0)</f>
        <v>0</v>
      </c>
      <c r="N547" s="46">
        <f t="array" ref="N547">IF(SUMIF(Производство!$A$104:$A$145,Технологи!$B547,Производство!K$104:K$145)&gt;0,SUMIF(Производство!$A$104:$A$145,Технологи!$B547,Производство!K$104:K$145)*$F547+$G547,0)</f>
        <v>0</v>
      </c>
      <c r="O547" s="46">
        <f t="array" ref="O547">IF(SUMIF(Производство!$A$104:$A$145,Технологи!$B547,Производство!L$104:L$145)&gt;0,SUMIF(Производство!$A$104:$A$145,Технологи!$B547,Производство!L$104:L$145)*$F547+$G547,0)</f>
        <v>0</v>
      </c>
      <c r="P547" s="46">
        <f t="array" ref="P547">IF(SUMIF(Производство!$A$104:$A$145,Технологи!$B547,Производство!M$104:M$145)&gt;0,SUMIF(Производство!$A$104:$A$145,Технологи!$B547,Производство!M$104:M$145)*$F547+$G547,0)</f>
        <v>0</v>
      </c>
      <c r="Q547" s="46">
        <f t="array" ref="Q547">IF(SUMIF(Производство!$A$104:$A$145,Технологи!$B547,Производство!N$104:N$145)&gt;0,SUMIF(Производство!$A$104:$A$145,Технологи!$B547,Производство!N$104:N$145)*$F547+$G547,0)</f>
        <v>0</v>
      </c>
      <c r="R547" s="46">
        <f t="array" ref="R547">IF(SUMIF(Производство!$A$104:$A$145,Технологи!$B547,Производство!O$104:O$145)&gt;0,SUMIF(Производство!$A$104:$A$145,Технологи!$B547,Производство!O$104:O$145)*$F547+$G547,0)</f>
        <v>0</v>
      </c>
      <c r="S547" s="46">
        <f t="array" ref="S547">IF(SUMIF(Производство!$A$104:$A$145,Технологи!$B547,Производство!P$104:P$145)&gt;0,SUMIF(Производство!$A$104:$A$145,Технологи!$B547,Производство!P$104:P$145)*$F547+$G547,0)</f>
        <v>0</v>
      </c>
      <c r="T547" s="46">
        <f t="array" ref="T547">IF(SUMIF(Производство!$A$104:$A$145,Технологи!$B547,Производство!Q$104:Q$145)&gt;0,SUMIF(Производство!$A$104:$A$145,Технологи!$B547,Производство!Q$104:Q$145)*$F547+$G547,0)</f>
        <v>0</v>
      </c>
    </row>
    <row r="548" spans="1:20" x14ac:dyDescent="0.25">
      <c r="A548" s="34" t="s">
        <v>377</v>
      </c>
      <c r="B548" s="13" t="s">
        <v>29</v>
      </c>
      <c r="C548" s="19" t="s">
        <v>21</v>
      </c>
      <c r="D548" s="14">
        <v>7038</v>
      </c>
      <c r="E548" s="20"/>
      <c r="F548" s="24">
        <v>8.0500000000000002E-2</v>
      </c>
      <c r="G548" s="24">
        <v>1.2075</v>
      </c>
      <c r="H548" s="23">
        <f t="shared" si="25"/>
        <v>80.5</v>
      </c>
      <c r="I548" s="46">
        <f t="array" ref="I548">IF(SUMIF(Производство!$A$104:$A$145,Технологи!$B548,Производство!F$104:F$145)&gt;0,SUMIF(Производство!$A$104:$A$145,Технологи!$B548,Производство!F$104:F$145)*$F548+$G548,0)</f>
        <v>0</v>
      </c>
      <c r="J548" s="46">
        <f t="array" ref="J548">IF(SUMIF(Производство!$A$104:$A$145,Технологи!$B548,Производство!G$104:G$145)&gt;0,SUMIF(Производство!$A$104:$A$145,Технологи!$B548,Производство!G$104:G$145)*$F548+$G548,0)</f>
        <v>0</v>
      </c>
      <c r="K548" s="46">
        <f t="array" ref="K548">IF(SUMIF(Производство!$A$104:$A$145,Технологи!$B548,Производство!H$104:H$145)&gt;0,SUMIF(Производство!$A$104:$A$145,Технологи!$B548,Производство!H$104:H$145)*$F548+$G548,0)</f>
        <v>0</v>
      </c>
      <c r="L548" s="46">
        <f t="array" ref="L548">IF(SUMIF(Производство!$A$104:$A$145,Технологи!$B548,Производство!I$104:I$145)&gt;0,SUMIF(Производство!$A$104:$A$145,Технологи!$B548,Производство!I$104:I$145)*$F548+$G548,0)</f>
        <v>0</v>
      </c>
      <c r="M548" s="46">
        <f t="array" ref="M548">IF(SUMIF(Производство!$A$104:$A$145,Технологи!$B548,Производство!J$104:J$145)&gt;0,SUMIF(Производство!$A$104:$A$145,Технологи!$B548,Производство!J$104:J$145)*$F548+$G548,0)</f>
        <v>0</v>
      </c>
      <c r="N548" s="46">
        <f t="array" ref="N548">IF(SUMIF(Производство!$A$104:$A$145,Технологи!$B548,Производство!K$104:K$145)&gt;0,SUMIF(Производство!$A$104:$A$145,Технологи!$B548,Производство!K$104:K$145)*$F548+$G548,0)</f>
        <v>0</v>
      </c>
      <c r="O548" s="46">
        <f t="array" ref="O548">IF(SUMIF(Производство!$A$104:$A$145,Технологи!$B548,Производство!L$104:L$145)&gt;0,SUMIF(Производство!$A$104:$A$145,Технологи!$B548,Производство!L$104:L$145)*$F548+$G548,0)</f>
        <v>0</v>
      </c>
      <c r="P548" s="46">
        <f t="array" ref="P548">IF(SUMIF(Производство!$A$104:$A$145,Технологи!$B548,Производство!M$104:M$145)&gt;0,SUMIF(Производство!$A$104:$A$145,Технологи!$B548,Производство!M$104:M$145)*$F548+$G548,0)</f>
        <v>0</v>
      </c>
      <c r="Q548" s="46">
        <f t="array" ref="Q548">IF(SUMIF(Производство!$A$104:$A$145,Технологи!$B548,Производство!N$104:N$145)&gt;0,SUMIF(Производство!$A$104:$A$145,Технологи!$B548,Производство!N$104:N$145)*$F548+$G548,0)</f>
        <v>0</v>
      </c>
      <c r="R548" s="46">
        <f t="array" ref="R548">IF(SUMIF(Производство!$A$104:$A$145,Технологи!$B548,Производство!O$104:O$145)&gt;0,SUMIF(Производство!$A$104:$A$145,Технологи!$B548,Производство!O$104:O$145)*$F548+$G548,0)</f>
        <v>0</v>
      </c>
      <c r="S548" s="46">
        <f t="array" ref="S548">IF(SUMIF(Производство!$A$104:$A$145,Технологи!$B548,Производство!P$104:P$145)&gt;0,SUMIF(Производство!$A$104:$A$145,Технологи!$B548,Производство!P$104:P$145)*$F548+$G548,0)</f>
        <v>0</v>
      </c>
      <c r="T548" s="46">
        <f t="array" ref="T548">IF(SUMIF(Производство!$A$104:$A$145,Технологи!$B548,Производство!Q$104:Q$145)&gt;0,SUMIF(Производство!$A$104:$A$145,Технологи!$B548,Производство!Q$104:Q$145)*$F548+$G548,0)</f>
        <v>0</v>
      </c>
    </row>
    <row r="549" spans="1:20" x14ac:dyDescent="0.25">
      <c r="A549" s="34" t="s">
        <v>377</v>
      </c>
      <c r="B549" s="13" t="s">
        <v>29</v>
      </c>
      <c r="C549" s="19" t="s">
        <v>22</v>
      </c>
      <c r="D549" s="14">
        <v>7038</v>
      </c>
      <c r="E549" s="20"/>
      <c r="F549" s="24">
        <v>0.06</v>
      </c>
      <c r="G549" s="24">
        <v>0.9</v>
      </c>
      <c r="H549" s="23">
        <f t="shared" si="25"/>
        <v>60</v>
      </c>
      <c r="I549" s="46">
        <f t="array" ref="I549">IF(SUMIF(Производство!$A$104:$A$145,Технологи!$B549,Производство!F$104:F$145)&gt;0,SUMIF(Производство!$A$104:$A$145,Технологи!$B549,Производство!F$104:F$145)*$F549+$G549,0)</f>
        <v>0</v>
      </c>
      <c r="J549" s="46">
        <f t="array" ref="J549">IF(SUMIF(Производство!$A$104:$A$145,Технологи!$B549,Производство!G$104:G$145)&gt;0,SUMIF(Производство!$A$104:$A$145,Технологи!$B549,Производство!G$104:G$145)*$F549+$G549,0)</f>
        <v>0</v>
      </c>
      <c r="K549" s="46">
        <f t="array" ref="K549">IF(SUMIF(Производство!$A$104:$A$145,Технологи!$B549,Производство!H$104:H$145)&gt;0,SUMIF(Производство!$A$104:$A$145,Технологи!$B549,Производство!H$104:H$145)*$F549+$G549,0)</f>
        <v>0</v>
      </c>
      <c r="L549" s="46">
        <f t="array" ref="L549">IF(SUMIF(Производство!$A$104:$A$145,Технологи!$B549,Производство!I$104:I$145)&gt;0,SUMIF(Производство!$A$104:$A$145,Технологи!$B549,Производство!I$104:I$145)*$F549+$G549,0)</f>
        <v>0</v>
      </c>
      <c r="M549" s="46">
        <f t="array" ref="M549">IF(SUMIF(Производство!$A$104:$A$145,Технологи!$B549,Производство!J$104:J$145)&gt;0,SUMIF(Производство!$A$104:$A$145,Технологи!$B549,Производство!J$104:J$145)*$F549+$G549,0)</f>
        <v>0</v>
      </c>
      <c r="N549" s="46">
        <f t="array" ref="N549">IF(SUMIF(Производство!$A$104:$A$145,Технологи!$B549,Производство!K$104:K$145)&gt;0,SUMIF(Производство!$A$104:$A$145,Технологи!$B549,Производство!K$104:K$145)*$F549+$G549,0)</f>
        <v>0</v>
      </c>
      <c r="O549" s="46">
        <f t="array" ref="O549">IF(SUMIF(Производство!$A$104:$A$145,Технологи!$B549,Производство!L$104:L$145)&gt;0,SUMIF(Производство!$A$104:$A$145,Технологи!$B549,Производство!L$104:L$145)*$F549+$G549,0)</f>
        <v>0</v>
      </c>
      <c r="P549" s="46">
        <f t="array" ref="P549">IF(SUMIF(Производство!$A$104:$A$145,Технологи!$B549,Производство!M$104:M$145)&gt;0,SUMIF(Производство!$A$104:$A$145,Технологи!$B549,Производство!M$104:M$145)*$F549+$G549,0)</f>
        <v>0</v>
      </c>
      <c r="Q549" s="46">
        <f t="array" ref="Q549">IF(SUMIF(Производство!$A$104:$A$145,Технологи!$B549,Производство!N$104:N$145)&gt;0,SUMIF(Производство!$A$104:$A$145,Технологи!$B549,Производство!N$104:N$145)*$F549+$G549,0)</f>
        <v>0</v>
      </c>
      <c r="R549" s="46">
        <f t="array" ref="R549">IF(SUMIF(Производство!$A$104:$A$145,Технологи!$B549,Производство!O$104:O$145)&gt;0,SUMIF(Производство!$A$104:$A$145,Технологи!$B549,Производство!O$104:O$145)*$F549+$G549,0)</f>
        <v>0</v>
      </c>
      <c r="S549" s="46">
        <f t="array" ref="S549">IF(SUMIF(Производство!$A$104:$A$145,Технологи!$B549,Производство!P$104:P$145)&gt;0,SUMIF(Производство!$A$104:$A$145,Технологи!$B549,Производство!P$104:P$145)*$F549+$G549,0)</f>
        <v>0</v>
      </c>
      <c r="T549" s="46">
        <f t="array" ref="T549">IF(SUMIF(Производство!$A$104:$A$145,Технологи!$B549,Производство!Q$104:Q$145)&gt;0,SUMIF(Производство!$A$104:$A$145,Технологи!$B549,Производство!Q$104:Q$145)*$F549+$G549,0)</f>
        <v>0</v>
      </c>
    </row>
    <row r="550" spans="1:20" x14ac:dyDescent="0.25">
      <c r="A550" s="34" t="s">
        <v>377</v>
      </c>
      <c r="B550" s="13" t="s">
        <v>29</v>
      </c>
      <c r="C550" s="19" t="s">
        <v>23</v>
      </c>
      <c r="D550" s="14">
        <v>7038</v>
      </c>
      <c r="E550" s="20"/>
      <c r="F550" s="24">
        <v>0</v>
      </c>
      <c r="G550" s="24">
        <v>0</v>
      </c>
      <c r="H550" s="23">
        <f t="shared" si="25"/>
        <v>0</v>
      </c>
      <c r="I550" s="46">
        <f t="array" ref="I550">IF(SUMIF(Производство!$A$104:$A$145,Технологи!$B550,Производство!F$104:F$145)&gt;0,SUMIF(Производство!$A$104:$A$145,Технологи!$B550,Производство!F$104:F$145)*$F550+$G550,0)</f>
        <v>0</v>
      </c>
      <c r="J550" s="46">
        <f t="array" ref="J550">IF(SUMIF(Производство!$A$104:$A$145,Технологи!$B550,Производство!G$104:G$145)&gt;0,SUMIF(Производство!$A$104:$A$145,Технологи!$B550,Производство!G$104:G$145)*$F550+$G550,0)</f>
        <v>0</v>
      </c>
      <c r="K550" s="46">
        <f t="array" ref="K550">IF(SUMIF(Производство!$A$104:$A$145,Технологи!$B550,Производство!H$104:H$145)&gt;0,SUMIF(Производство!$A$104:$A$145,Технологи!$B550,Производство!H$104:H$145)*$F550+$G550,0)</f>
        <v>0</v>
      </c>
      <c r="L550" s="46">
        <f t="array" ref="L550">IF(SUMIF(Производство!$A$104:$A$145,Технологи!$B550,Производство!I$104:I$145)&gt;0,SUMIF(Производство!$A$104:$A$145,Технологи!$B550,Производство!I$104:I$145)*$F550+$G550,0)</f>
        <v>0</v>
      </c>
      <c r="M550" s="46">
        <f t="array" ref="M550">IF(SUMIF(Производство!$A$104:$A$145,Технологи!$B550,Производство!J$104:J$145)&gt;0,SUMIF(Производство!$A$104:$A$145,Технологи!$B550,Производство!J$104:J$145)*$F550+$G550,0)</f>
        <v>0</v>
      </c>
      <c r="N550" s="46">
        <f t="array" ref="N550">IF(SUMIF(Производство!$A$104:$A$145,Технологи!$B550,Производство!K$104:K$145)&gt;0,SUMIF(Производство!$A$104:$A$145,Технологи!$B550,Производство!K$104:K$145)*$F550+$G550,0)</f>
        <v>0</v>
      </c>
      <c r="O550" s="46">
        <f t="array" ref="O550">IF(SUMIF(Производство!$A$104:$A$145,Технологи!$B550,Производство!L$104:L$145)&gt;0,SUMIF(Производство!$A$104:$A$145,Технологи!$B550,Производство!L$104:L$145)*$F550+$G550,0)</f>
        <v>0</v>
      </c>
      <c r="P550" s="46">
        <f t="array" ref="P550">IF(SUMIF(Производство!$A$104:$A$145,Технологи!$B550,Производство!M$104:M$145)&gt;0,SUMIF(Производство!$A$104:$A$145,Технологи!$B550,Производство!M$104:M$145)*$F550+$G550,0)</f>
        <v>0</v>
      </c>
      <c r="Q550" s="46">
        <f t="array" ref="Q550">IF(SUMIF(Производство!$A$104:$A$145,Технологи!$B550,Производство!N$104:N$145)&gt;0,SUMIF(Производство!$A$104:$A$145,Технологи!$B550,Производство!N$104:N$145)*$F550+$G550,0)</f>
        <v>0</v>
      </c>
      <c r="R550" s="46">
        <f t="array" ref="R550">IF(SUMIF(Производство!$A$104:$A$145,Технологи!$B550,Производство!O$104:O$145)&gt;0,SUMIF(Производство!$A$104:$A$145,Технологи!$B550,Производство!O$104:O$145)*$F550+$G550,0)</f>
        <v>0</v>
      </c>
      <c r="S550" s="46">
        <f t="array" ref="S550">IF(SUMIF(Производство!$A$104:$A$145,Технологи!$B550,Производство!P$104:P$145)&gt;0,SUMIF(Производство!$A$104:$A$145,Технологи!$B550,Производство!P$104:P$145)*$F550+$G550,0)</f>
        <v>0</v>
      </c>
      <c r="T550" s="46">
        <f t="array" ref="T550">IF(SUMIF(Производство!$A$104:$A$145,Технологи!$B550,Производство!Q$104:Q$145)&gt;0,SUMIF(Производство!$A$104:$A$145,Технологи!$B550,Производство!Q$104:Q$145)*$F550+$G550,0)</f>
        <v>0</v>
      </c>
    </row>
    <row r="551" spans="1:20" x14ac:dyDescent="0.25">
      <c r="A551" s="34" t="s">
        <v>377</v>
      </c>
      <c r="B551" s="35"/>
      <c r="C551" s="35"/>
      <c r="D551" s="35"/>
      <c r="E551" s="36"/>
      <c r="F551" s="36"/>
      <c r="G551" s="36"/>
      <c r="H551" s="36"/>
      <c r="I551" s="46">
        <f t="array" ref="I551">IF(SUMIF(Производство!$A$104:$A$145,Технологи!$B551,Производство!F$104:F$145)&gt;0,SUMIF(Производство!$A$104:$A$145,Технологи!$B551,Производство!F$104:F$145)*$F551+$G551,0)</f>
        <v>0</v>
      </c>
      <c r="J551" s="46">
        <f t="array" ref="J551">IF(SUMIF(Производство!$A$104:$A$145,Технологи!$B551,Производство!G$104:G$145)&gt;0,SUMIF(Производство!$A$104:$A$145,Технологи!$B551,Производство!G$104:G$145)*$F551+$G551,0)</f>
        <v>0</v>
      </c>
      <c r="K551" s="46">
        <f t="array" ref="K551">IF(SUMIF(Производство!$A$104:$A$145,Технологи!$B551,Производство!H$104:H$145)&gt;0,SUMIF(Производство!$A$104:$A$145,Технологи!$B551,Производство!H$104:H$145)*$F551+$G551,0)</f>
        <v>0</v>
      </c>
      <c r="L551" s="46">
        <f t="array" ref="L551">IF(SUMIF(Производство!$A$104:$A$145,Технологи!$B551,Производство!I$104:I$145)&gt;0,SUMIF(Производство!$A$104:$A$145,Технологи!$B551,Производство!I$104:I$145)*$F551+$G551,0)</f>
        <v>0</v>
      </c>
      <c r="M551" s="46">
        <f t="array" ref="M551">IF(SUMIF(Производство!$A$104:$A$145,Технологи!$B551,Производство!J$104:J$145)&gt;0,SUMIF(Производство!$A$104:$A$145,Технологи!$B551,Производство!J$104:J$145)*$F551+$G551,0)</f>
        <v>0</v>
      </c>
      <c r="N551" s="46">
        <f t="array" ref="N551">IF(SUMIF(Производство!$A$104:$A$145,Технологи!$B551,Производство!K$104:K$145)&gt;0,SUMIF(Производство!$A$104:$A$145,Технологи!$B551,Производство!K$104:K$145)*$F551+$G551,0)</f>
        <v>0</v>
      </c>
      <c r="O551" s="46">
        <f t="array" ref="O551">IF(SUMIF(Производство!$A$104:$A$145,Технологи!$B551,Производство!L$104:L$145)&gt;0,SUMIF(Производство!$A$104:$A$145,Технологи!$B551,Производство!L$104:L$145)*$F551+$G551,0)</f>
        <v>0</v>
      </c>
      <c r="P551" s="46">
        <f t="array" ref="P551">IF(SUMIF(Производство!$A$104:$A$145,Технологи!$B551,Производство!M$104:M$145)&gt;0,SUMIF(Производство!$A$104:$A$145,Технологи!$B551,Производство!M$104:M$145)*$F551+$G551,0)</f>
        <v>0</v>
      </c>
      <c r="Q551" s="46">
        <f t="array" ref="Q551">IF(SUMIF(Производство!$A$104:$A$145,Технологи!$B551,Производство!N$104:N$145)&gt;0,SUMIF(Производство!$A$104:$A$145,Технологи!$B551,Производство!N$104:N$145)*$F551+$G551,0)</f>
        <v>0</v>
      </c>
      <c r="R551" s="46">
        <f t="array" ref="R551">IF(SUMIF(Производство!$A$104:$A$145,Технологи!$B551,Производство!O$104:O$145)&gt;0,SUMIF(Производство!$A$104:$A$145,Технологи!$B551,Производство!O$104:O$145)*$F551+$G551,0)</f>
        <v>0</v>
      </c>
      <c r="S551" s="46">
        <f t="array" ref="S551">IF(SUMIF(Производство!$A$104:$A$145,Технологи!$B551,Производство!P$104:P$145)&gt;0,SUMIF(Производство!$A$104:$A$145,Технологи!$B551,Производство!P$104:P$145)*$F551+$G551,0)</f>
        <v>0</v>
      </c>
      <c r="T551" s="46">
        <f t="array" ref="T551">IF(SUMIF(Производство!$A$104:$A$145,Технологи!$B551,Производство!Q$104:Q$145)&gt;0,SUMIF(Производство!$A$104:$A$145,Технологи!$B551,Производство!Q$104:Q$145)*$F551+$G551,0)</f>
        <v>0</v>
      </c>
    </row>
    <row r="552" spans="1:20" x14ac:dyDescent="0.25">
      <c r="A552" s="34" t="s">
        <v>377</v>
      </c>
      <c r="B552" s="35"/>
      <c r="C552" s="35"/>
      <c r="D552" s="35"/>
      <c r="E552" s="36"/>
      <c r="F552" s="36"/>
      <c r="G552" s="36"/>
      <c r="H552" s="36"/>
      <c r="I552" s="46">
        <f t="array" ref="I552">IF(SUMIF(Производство!$A$104:$A$145,Технологи!$B552,Производство!F$104:F$145)&gt;0,SUMIF(Производство!$A$104:$A$145,Технологи!$B552,Производство!F$104:F$145)*$F552+$G552,0)</f>
        <v>0</v>
      </c>
      <c r="J552" s="46">
        <f t="array" ref="J552">IF(SUMIF(Производство!$A$104:$A$145,Технологи!$B552,Производство!G$104:G$145)&gt;0,SUMIF(Производство!$A$104:$A$145,Технологи!$B552,Производство!G$104:G$145)*$F552+$G552,0)</f>
        <v>0</v>
      </c>
      <c r="K552" s="46">
        <f t="array" ref="K552">IF(SUMIF(Производство!$A$104:$A$145,Технологи!$B552,Производство!H$104:H$145)&gt;0,SUMIF(Производство!$A$104:$A$145,Технологи!$B552,Производство!H$104:H$145)*$F552+$G552,0)</f>
        <v>0</v>
      </c>
      <c r="L552" s="46">
        <f t="array" ref="L552">IF(SUMIF(Производство!$A$104:$A$145,Технологи!$B552,Производство!I$104:I$145)&gt;0,SUMIF(Производство!$A$104:$A$145,Технологи!$B552,Производство!I$104:I$145)*$F552+$G552,0)</f>
        <v>0</v>
      </c>
      <c r="M552" s="46">
        <f t="array" ref="M552">IF(SUMIF(Производство!$A$104:$A$145,Технологи!$B552,Производство!J$104:J$145)&gt;0,SUMIF(Производство!$A$104:$A$145,Технологи!$B552,Производство!J$104:J$145)*$F552+$G552,0)</f>
        <v>0</v>
      </c>
      <c r="N552" s="46">
        <f t="array" ref="N552">IF(SUMIF(Производство!$A$104:$A$145,Технологи!$B552,Производство!K$104:K$145)&gt;0,SUMIF(Производство!$A$104:$A$145,Технологи!$B552,Производство!K$104:K$145)*$F552+$G552,0)</f>
        <v>0</v>
      </c>
      <c r="O552" s="46">
        <f t="array" ref="O552">IF(SUMIF(Производство!$A$104:$A$145,Технологи!$B552,Производство!L$104:L$145)&gt;0,SUMIF(Производство!$A$104:$A$145,Технологи!$B552,Производство!L$104:L$145)*$F552+$G552,0)</f>
        <v>0</v>
      </c>
      <c r="P552" s="46">
        <f t="array" ref="P552">IF(SUMIF(Производство!$A$104:$A$145,Технологи!$B552,Производство!M$104:M$145)&gt;0,SUMIF(Производство!$A$104:$A$145,Технологи!$B552,Производство!M$104:M$145)*$F552+$G552,0)</f>
        <v>0</v>
      </c>
      <c r="Q552" s="46">
        <f t="array" ref="Q552">IF(SUMIF(Производство!$A$104:$A$145,Технологи!$B552,Производство!N$104:N$145)&gt;0,SUMIF(Производство!$A$104:$A$145,Технологи!$B552,Производство!N$104:N$145)*$F552+$G552,0)</f>
        <v>0</v>
      </c>
      <c r="R552" s="46">
        <f t="array" ref="R552">IF(SUMIF(Производство!$A$104:$A$145,Технологи!$B552,Производство!O$104:O$145)&gt;0,SUMIF(Производство!$A$104:$A$145,Технологи!$B552,Производство!O$104:O$145)*$F552+$G552,0)</f>
        <v>0</v>
      </c>
      <c r="S552" s="46">
        <f t="array" ref="S552">IF(SUMIF(Производство!$A$104:$A$145,Технологи!$B552,Производство!P$104:P$145)&gt;0,SUMIF(Производство!$A$104:$A$145,Технологи!$B552,Производство!P$104:P$145)*$F552+$G552,0)</f>
        <v>0</v>
      </c>
      <c r="T552" s="46">
        <f t="array" ref="T552">IF(SUMIF(Производство!$A$104:$A$145,Технологи!$B552,Производство!Q$104:Q$145)&gt;0,SUMIF(Производство!$A$104:$A$145,Технологи!$B552,Производство!Q$104:Q$145)*$F552+$G552,0)</f>
        <v>0</v>
      </c>
    </row>
  </sheetData>
  <sheetProtection algorithmName="SHA-512" hashValue="NLGvvj3qnTe7BIgj5zt43OOwciC7pVl624Df9qJvzz0gJnqNzTWSGxAzazw4e/PZcpUsx5lnCUGV/kJH+22Zuw==" saltValue="h423yc2bcu9YHspQEjzg3A==" spinCount="100000" sheet="1" objects="1" scenarios="1"/>
  <autoFilter ref="E4:T552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outlinePr summaryBelow="0" summaryRight="0"/>
  </sheetPr>
  <dimension ref="A1:AG238"/>
  <sheetViews>
    <sheetView topLeftCell="A151" zoomScale="55" zoomScaleNormal="55" workbookViewId="0">
      <selection activeCell="G153" sqref="G153"/>
    </sheetView>
  </sheetViews>
  <sheetFormatPr defaultRowHeight="15" outlineLevelRow="1" x14ac:dyDescent="0.25"/>
  <cols>
    <col min="1" max="1" width="2.140625" style="107" customWidth="1"/>
    <col min="2" max="2" width="22.85546875" style="107" customWidth="1"/>
    <col min="3" max="3" width="57.7109375" style="107" customWidth="1"/>
    <col min="4" max="15" width="20" style="134" customWidth="1"/>
    <col min="16" max="16" width="15" style="107" customWidth="1"/>
    <col min="17" max="17" width="5.42578125" style="107" customWidth="1"/>
    <col min="18" max="18" width="9.28515625" style="107" customWidth="1"/>
    <col min="19" max="19" width="11.7109375" style="107" customWidth="1"/>
    <col min="20" max="30" width="15" style="107" customWidth="1"/>
    <col min="31" max="32" width="13.42578125" style="107" customWidth="1"/>
    <col min="33" max="33" width="13.42578125" style="108" customWidth="1"/>
    <col min="34" max="42" width="13.42578125" style="107" customWidth="1"/>
    <col min="43" max="129" width="6.140625" style="107" customWidth="1"/>
    <col min="130" max="248" width="8.28515625" style="107" customWidth="1"/>
    <col min="249" max="16384" width="9.140625" style="107"/>
  </cols>
  <sheetData>
    <row r="1" spans="1:15" ht="21" collapsed="1" x14ac:dyDescent="0.35">
      <c r="B1" s="281" t="s">
        <v>529</v>
      </c>
    </row>
    <row r="2" spans="1:15" hidden="1" outlineLevel="1" x14ac:dyDescent="0.25">
      <c r="A2"/>
      <c r="B2" s="29"/>
      <c r="D2" s="43">
        <f>Продажи!F4</f>
        <v>2016</v>
      </c>
      <c r="E2" s="43">
        <f>Продажи!G4</f>
        <v>2016</v>
      </c>
      <c r="F2" s="43">
        <f>Продажи!H4</f>
        <v>2016</v>
      </c>
      <c r="G2" s="43">
        <f>Продажи!I4</f>
        <v>2016</v>
      </c>
      <c r="H2" s="43">
        <f>Продажи!J4</f>
        <v>2016</v>
      </c>
      <c r="I2" s="43">
        <f>Продажи!K4</f>
        <v>2017</v>
      </c>
      <c r="J2" s="43">
        <f>Продажи!L4</f>
        <v>2017</v>
      </c>
      <c r="K2" s="43">
        <f>Продажи!M4</f>
        <v>2017</v>
      </c>
      <c r="L2" s="43">
        <f>Продажи!N4</f>
        <v>2017</v>
      </c>
      <c r="M2" s="43">
        <f>Продажи!O4</f>
        <v>2017</v>
      </c>
      <c r="N2" s="43">
        <f>Продажи!P4</f>
        <v>2017</v>
      </c>
      <c r="O2" s="43">
        <f>Продажи!Q4</f>
        <v>2017</v>
      </c>
    </row>
    <row r="3" spans="1:15" hidden="1" outlineLevel="1" x14ac:dyDescent="0.25">
      <c r="A3"/>
      <c r="C3" s="280" t="s">
        <v>528</v>
      </c>
      <c r="D3" s="44">
        <f>Продажи!F3</f>
        <v>42583</v>
      </c>
      <c r="E3" s="44">
        <f>Продажи!G3</f>
        <v>42614</v>
      </c>
      <c r="F3" s="44">
        <f>Продажи!H3</f>
        <v>42644</v>
      </c>
      <c r="G3" s="44">
        <f>Продажи!I3</f>
        <v>42675</v>
      </c>
      <c r="H3" s="44">
        <f>Продажи!J3</f>
        <v>42705</v>
      </c>
      <c r="I3" s="44">
        <f>Продажи!K3</f>
        <v>42736</v>
      </c>
      <c r="J3" s="44">
        <f>Продажи!L3</f>
        <v>42767</v>
      </c>
      <c r="K3" s="44">
        <f>Продажи!M3</f>
        <v>42795</v>
      </c>
      <c r="L3" s="44">
        <f>Продажи!N3</f>
        <v>42826</v>
      </c>
      <c r="M3" s="44">
        <f>Продажи!O3</f>
        <v>42856</v>
      </c>
      <c r="N3" s="44">
        <f>Продажи!P3</f>
        <v>42887</v>
      </c>
      <c r="O3" s="44">
        <f>Продажи!Q3</f>
        <v>42917</v>
      </c>
    </row>
    <row r="4" spans="1:15" ht="15.75" hidden="1" outlineLevel="1" x14ac:dyDescent="0.25">
      <c r="A4" s="28" t="s">
        <v>70</v>
      </c>
      <c r="B4" s="31" t="s">
        <v>76</v>
      </c>
      <c r="C4" s="279"/>
      <c r="D4" s="45">
        <f>SUMIFS(Конструкторы!I$6:I$1277,Конструкторы!$C$6:$C$1277,Обеспечение!$B4)</f>
        <v>0</v>
      </c>
      <c r="E4" s="45">
        <f>SUMIFS(Конструкторы!J$6:J$1277,Конструкторы!$C$6:$C$1277,Обеспечение!$B4)</f>
        <v>100</v>
      </c>
      <c r="F4" s="45">
        <f>SUMIFS(Конструкторы!K$6:K$1277,Конструкторы!$C$6:$C$1277,Обеспечение!$B4)</f>
        <v>195</v>
      </c>
      <c r="G4" s="45">
        <f>SUMIFS(Конструкторы!L$6:L$1277,Конструкторы!$C$6:$C$1277,Обеспечение!$B4)</f>
        <v>2000</v>
      </c>
      <c r="H4" s="45">
        <f>SUMIFS(Конструкторы!M$6:M$1277,Конструкторы!$C$6:$C$1277,Обеспечение!$B4)</f>
        <v>0</v>
      </c>
      <c r="I4" s="45">
        <f>SUMIFS(Конструкторы!N$6:N$1277,Конструкторы!$C$6:$C$1277,Обеспечение!$B4)</f>
        <v>0</v>
      </c>
      <c r="J4" s="45">
        <f>SUMIFS(Конструкторы!O$6:O$1277,Конструкторы!$C$6:$C$1277,Обеспечение!$B4)</f>
        <v>0</v>
      </c>
      <c r="K4" s="45">
        <f>SUMIFS(Конструкторы!P$6:P$1277,Конструкторы!$C$6:$C$1277,Обеспечение!$B4)</f>
        <v>0</v>
      </c>
      <c r="L4" s="45">
        <f>SUMIFS(Конструкторы!Q$6:Q$1277,Конструкторы!$C$6:$C$1277,Обеспечение!$B4)</f>
        <v>0</v>
      </c>
      <c r="M4" s="45">
        <f>SUMIFS(Конструкторы!R$6:R$1277,Конструкторы!$C$6:$C$1277,Обеспечение!$B4)</f>
        <v>0</v>
      </c>
      <c r="N4" s="45">
        <f>SUMIFS(Конструкторы!S$6:S$1277,Конструкторы!$C$6:$C$1277,Обеспечение!$B4)</f>
        <v>0</v>
      </c>
      <c r="O4" s="45">
        <f>SUMIFS(Конструкторы!T$6:T$1277,Конструкторы!$C$6:$C$1277,Обеспечение!$B4)</f>
        <v>0</v>
      </c>
    </row>
    <row r="5" spans="1:15" ht="15.75" hidden="1" outlineLevel="1" x14ac:dyDescent="0.25">
      <c r="A5" s="28" t="s">
        <v>70</v>
      </c>
      <c r="B5" s="31" t="s">
        <v>75</v>
      </c>
      <c r="C5" s="279"/>
      <c r="D5" s="45">
        <f>SUMIFS(Конструкторы!I$6:I$1277,Конструкторы!$C$6:$C$1277,Обеспечение!$B5)</f>
        <v>504</v>
      </c>
      <c r="E5" s="45">
        <f>SUMIFS(Конструкторы!J$6:J$1277,Конструкторы!$C$6:$C$1277,Обеспечение!$B5)</f>
        <v>100</v>
      </c>
      <c r="F5" s="45">
        <f>SUMIFS(Конструкторы!K$6:K$1277,Конструкторы!$C$6:$C$1277,Обеспечение!$B5)</f>
        <v>195</v>
      </c>
      <c r="G5" s="45">
        <f>SUMIFS(Конструкторы!L$6:L$1277,Конструкторы!$C$6:$C$1277,Обеспечение!$B5)</f>
        <v>2000</v>
      </c>
      <c r="H5" s="45">
        <f>SUMIFS(Конструкторы!M$6:M$1277,Конструкторы!$C$6:$C$1277,Обеспечение!$B5)</f>
        <v>0</v>
      </c>
      <c r="I5" s="45">
        <f>SUMIFS(Конструкторы!N$6:N$1277,Конструкторы!$C$6:$C$1277,Обеспечение!$B5)</f>
        <v>0</v>
      </c>
      <c r="J5" s="45">
        <f>SUMIFS(Конструкторы!O$6:O$1277,Конструкторы!$C$6:$C$1277,Обеспечение!$B5)</f>
        <v>0</v>
      </c>
      <c r="K5" s="45">
        <f>SUMIFS(Конструкторы!P$6:P$1277,Конструкторы!$C$6:$C$1277,Обеспечение!$B5)</f>
        <v>0</v>
      </c>
      <c r="L5" s="45">
        <f>SUMIFS(Конструкторы!Q$6:Q$1277,Конструкторы!$C$6:$C$1277,Обеспечение!$B5)</f>
        <v>0</v>
      </c>
      <c r="M5" s="45">
        <f>SUMIFS(Конструкторы!R$6:R$1277,Конструкторы!$C$6:$C$1277,Обеспечение!$B5)</f>
        <v>0</v>
      </c>
      <c r="N5" s="45">
        <f>SUMIFS(Конструкторы!S$6:S$1277,Конструкторы!$C$6:$C$1277,Обеспечение!$B5)</f>
        <v>0</v>
      </c>
      <c r="O5" s="45">
        <f>SUMIFS(Конструкторы!T$6:T$1277,Конструкторы!$C$6:$C$1277,Обеспечение!$B5)</f>
        <v>0</v>
      </c>
    </row>
    <row r="6" spans="1:15" hidden="1" outlineLevel="1" x14ac:dyDescent="0.25">
      <c r="A6" s="28" t="s">
        <v>70</v>
      </c>
      <c r="B6" s="30" t="s">
        <v>69</v>
      </c>
      <c r="C6" s="279"/>
      <c r="D6" s="45">
        <f>SUMIFS(Конструкторы!I$6:I$1277,Конструкторы!$C$6:$C$1277,Обеспечение!$B6)</f>
        <v>1945</v>
      </c>
      <c r="E6" s="45">
        <f>SUMIFS(Конструкторы!J$6:J$1277,Конструкторы!$C$6:$C$1277,Обеспечение!$B6)</f>
        <v>0</v>
      </c>
      <c r="F6" s="45">
        <f>SUMIFS(Конструкторы!K$6:K$1277,Конструкторы!$C$6:$C$1277,Обеспечение!$B6)</f>
        <v>0</v>
      </c>
      <c r="G6" s="45">
        <f>SUMIFS(Конструкторы!L$6:L$1277,Конструкторы!$C$6:$C$1277,Обеспечение!$B6)</f>
        <v>0</v>
      </c>
      <c r="H6" s="45">
        <f>SUMIFS(Конструкторы!M$6:M$1277,Конструкторы!$C$6:$C$1277,Обеспечение!$B6)</f>
        <v>0</v>
      </c>
      <c r="I6" s="45">
        <f>SUMIFS(Конструкторы!N$6:N$1277,Конструкторы!$C$6:$C$1277,Обеспечение!$B6)</f>
        <v>0</v>
      </c>
      <c r="J6" s="45">
        <f>SUMIFS(Конструкторы!O$6:O$1277,Конструкторы!$C$6:$C$1277,Обеспечение!$B6)</f>
        <v>0</v>
      </c>
      <c r="K6" s="45">
        <f>SUMIFS(Конструкторы!P$6:P$1277,Конструкторы!$C$6:$C$1277,Обеспечение!$B6)</f>
        <v>0</v>
      </c>
      <c r="L6" s="45">
        <f>SUMIFS(Конструкторы!Q$6:Q$1277,Конструкторы!$C$6:$C$1277,Обеспечение!$B6)</f>
        <v>0</v>
      </c>
      <c r="M6" s="45">
        <f>SUMIFS(Конструкторы!R$6:R$1277,Конструкторы!$C$6:$C$1277,Обеспечение!$B6)</f>
        <v>0</v>
      </c>
      <c r="N6" s="45">
        <f>SUMIFS(Конструкторы!S$6:S$1277,Конструкторы!$C$6:$C$1277,Обеспечение!$B6)</f>
        <v>0</v>
      </c>
      <c r="O6" s="45">
        <f>SUMIFS(Конструкторы!T$6:T$1277,Конструкторы!$C$6:$C$1277,Обеспечение!$B6)</f>
        <v>0</v>
      </c>
    </row>
    <row r="7" spans="1:15" ht="15.75" hidden="1" outlineLevel="1" x14ac:dyDescent="0.25">
      <c r="A7" s="28" t="s">
        <v>70</v>
      </c>
      <c r="B7" s="31" t="s">
        <v>78</v>
      </c>
      <c r="C7" s="279"/>
      <c r="D7" s="45">
        <f>SUMIFS(Конструкторы!I$6:I$1277,Конструкторы!$C$6:$C$1277,Обеспечение!$B7)</f>
        <v>0</v>
      </c>
      <c r="E7" s="45">
        <f>SUMIFS(Конструкторы!J$6:J$1277,Конструкторы!$C$6:$C$1277,Обеспечение!$B7)</f>
        <v>0</v>
      </c>
      <c r="F7" s="45">
        <f>SUMIFS(Конструкторы!K$6:K$1277,Конструкторы!$C$6:$C$1277,Обеспечение!$B7)</f>
        <v>0</v>
      </c>
      <c r="G7" s="45">
        <f>SUMIFS(Конструкторы!L$6:L$1277,Конструкторы!$C$6:$C$1277,Обеспечение!$B7)</f>
        <v>0</v>
      </c>
      <c r="H7" s="45">
        <f>SUMIFS(Конструкторы!M$6:M$1277,Конструкторы!$C$6:$C$1277,Обеспечение!$B7)</f>
        <v>0</v>
      </c>
      <c r="I7" s="45">
        <f>SUMIFS(Конструкторы!N$6:N$1277,Конструкторы!$C$6:$C$1277,Обеспечение!$B7)</f>
        <v>0</v>
      </c>
      <c r="J7" s="45">
        <f>SUMIFS(Конструкторы!O$6:O$1277,Конструкторы!$C$6:$C$1277,Обеспечение!$B7)</f>
        <v>0</v>
      </c>
      <c r="K7" s="45">
        <f>SUMIFS(Конструкторы!P$6:P$1277,Конструкторы!$C$6:$C$1277,Обеспечение!$B7)</f>
        <v>0</v>
      </c>
      <c r="L7" s="45">
        <f>SUMIFS(Конструкторы!Q$6:Q$1277,Конструкторы!$C$6:$C$1277,Обеспечение!$B7)</f>
        <v>0</v>
      </c>
      <c r="M7" s="45">
        <f>SUMIFS(Конструкторы!R$6:R$1277,Конструкторы!$C$6:$C$1277,Обеспечение!$B7)</f>
        <v>0</v>
      </c>
      <c r="N7" s="45">
        <f>SUMIFS(Конструкторы!S$6:S$1277,Конструкторы!$C$6:$C$1277,Обеспечение!$B7)</f>
        <v>0</v>
      </c>
      <c r="O7" s="45">
        <f>SUMIFS(Конструкторы!T$6:T$1277,Конструкторы!$C$6:$C$1277,Обеспечение!$B7)</f>
        <v>0</v>
      </c>
    </row>
    <row r="8" spans="1:15" ht="15.75" hidden="1" outlineLevel="1" x14ac:dyDescent="0.25">
      <c r="A8" s="28" t="s">
        <v>70</v>
      </c>
      <c r="B8" s="31" t="s">
        <v>83</v>
      </c>
      <c r="C8" s="279"/>
      <c r="D8" s="45">
        <f>SUMIFS(Конструкторы!I$6:I$1277,Конструкторы!$C$6:$C$1277,Обеспечение!$B8)</f>
        <v>0</v>
      </c>
      <c r="E8" s="45">
        <f>SUMIFS(Конструкторы!J$6:J$1277,Конструкторы!$C$6:$C$1277,Обеспечение!$B8)</f>
        <v>0</v>
      </c>
      <c r="F8" s="45">
        <f>SUMIFS(Конструкторы!K$6:K$1277,Конструкторы!$C$6:$C$1277,Обеспечение!$B8)</f>
        <v>0</v>
      </c>
      <c r="G8" s="45">
        <f>SUMIFS(Конструкторы!L$6:L$1277,Конструкторы!$C$6:$C$1277,Обеспечение!$B8)</f>
        <v>0</v>
      </c>
      <c r="H8" s="45">
        <f>SUMIFS(Конструкторы!M$6:M$1277,Конструкторы!$C$6:$C$1277,Обеспечение!$B8)</f>
        <v>0</v>
      </c>
      <c r="I8" s="45">
        <f>SUMIFS(Конструкторы!N$6:N$1277,Конструкторы!$C$6:$C$1277,Обеспечение!$B8)</f>
        <v>0</v>
      </c>
      <c r="J8" s="45">
        <f>SUMIFS(Конструкторы!O$6:O$1277,Конструкторы!$C$6:$C$1277,Обеспечение!$B8)</f>
        <v>0</v>
      </c>
      <c r="K8" s="45">
        <f>SUMIFS(Конструкторы!P$6:P$1277,Конструкторы!$C$6:$C$1277,Обеспечение!$B8)</f>
        <v>0</v>
      </c>
      <c r="L8" s="45">
        <f>SUMIFS(Конструкторы!Q$6:Q$1277,Конструкторы!$C$6:$C$1277,Обеспечение!$B8)</f>
        <v>0</v>
      </c>
      <c r="M8" s="45">
        <f>SUMIFS(Конструкторы!R$6:R$1277,Конструкторы!$C$6:$C$1277,Обеспечение!$B8)</f>
        <v>0</v>
      </c>
      <c r="N8" s="45">
        <f>SUMIFS(Конструкторы!S$6:S$1277,Конструкторы!$C$6:$C$1277,Обеспечение!$B8)</f>
        <v>0</v>
      </c>
      <c r="O8" s="45">
        <f>SUMIFS(Конструкторы!T$6:T$1277,Конструкторы!$C$6:$C$1277,Обеспечение!$B8)</f>
        <v>0</v>
      </c>
    </row>
    <row r="9" spans="1:15" ht="15.75" hidden="1" outlineLevel="1" x14ac:dyDescent="0.25">
      <c r="A9" s="28" t="s">
        <v>70</v>
      </c>
      <c r="B9" s="31" t="s">
        <v>84</v>
      </c>
      <c r="C9" s="279"/>
      <c r="D9" s="45">
        <f>SUMIFS(Конструкторы!I$6:I$1277,Конструкторы!$C$6:$C$1277,Обеспечение!$B9)</f>
        <v>0</v>
      </c>
      <c r="E9" s="45">
        <f>SUMIFS(Конструкторы!J$6:J$1277,Конструкторы!$C$6:$C$1277,Обеспечение!$B9)</f>
        <v>0</v>
      </c>
      <c r="F9" s="45">
        <f>SUMIFS(Конструкторы!K$6:K$1277,Конструкторы!$C$6:$C$1277,Обеспечение!$B9)</f>
        <v>0</v>
      </c>
      <c r="G9" s="45">
        <f>SUMIFS(Конструкторы!L$6:L$1277,Конструкторы!$C$6:$C$1277,Обеспечение!$B9)</f>
        <v>0</v>
      </c>
      <c r="H9" s="45">
        <f>SUMIFS(Конструкторы!M$6:M$1277,Конструкторы!$C$6:$C$1277,Обеспечение!$B9)</f>
        <v>0</v>
      </c>
      <c r="I9" s="45">
        <f>SUMIFS(Конструкторы!N$6:N$1277,Конструкторы!$C$6:$C$1277,Обеспечение!$B9)</f>
        <v>0</v>
      </c>
      <c r="J9" s="45">
        <f>SUMIFS(Конструкторы!O$6:O$1277,Конструкторы!$C$6:$C$1277,Обеспечение!$B9)</f>
        <v>0</v>
      </c>
      <c r="K9" s="45">
        <f>SUMIFS(Конструкторы!P$6:P$1277,Конструкторы!$C$6:$C$1277,Обеспечение!$B9)</f>
        <v>0</v>
      </c>
      <c r="L9" s="45">
        <f>SUMIFS(Конструкторы!Q$6:Q$1277,Конструкторы!$C$6:$C$1277,Обеспечение!$B9)</f>
        <v>0</v>
      </c>
      <c r="M9" s="45">
        <f>SUMIFS(Конструкторы!R$6:R$1277,Конструкторы!$C$6:$C$1277,Обеспечение!$B9)</f>
        <v>0</v>
      </c>
      <c r="N9" s="45">
        <f>SUMIFS(Конструкторы!S$6:S$1277,Конструкторы!$C$6:$C$1277,Обеспечение!$B9)</f>
        <v>0</v>
      </c>
      <c r="O9" s="45">
        <f>SUMIFS(Конструкторы!T$6:T$1277,Конструкторы!$C$6:$C$1277,Обеспечение!$B9)</f>
        <v>0</v>
      </c>
    </row>
    <row r="10" spans="1:15" ht="15.75" hidden="1" outlineLevel="1" x14ac:dyDescent="0.25">
      <c r="A10" s="28" t="s">
        <v>70</v>
      </c>
      <c r="B10" s="31" t="s">
        <v>85</v>
      </c>
      <c r="C10" s="279"/>
      <c r="D10" s="45">
        <f>SUMIFS(Конструкторы!I$6:I$1277,Конструкторы!$C$6:$C$1277,Обеспечение!$B10)</f>
        <v>0</v>
      </c>
      <c r="E10" s="45">
        <f>SUMIFS(Конструкторы!J$6:J$1277,Конструкторы!$C$6:$C$1277,Обеспечение!$B10)</f>
        <v>0</v>
      </c>
      <c r="F10" s="45">
        <f>SUMIFS(Конструкторы!K$6:K$1277,Конструкторы!$C$6:$C$1277,Обеспечение!$B10)</f>
        <v>0</v>
      </c>
      <c r="G10" s="45">
        <f>SUMIFS(Конструкторы!L$6:L$1277,Конструкторы!$C$6:$C$1277,Обеспечение!$B10)</f>
        <v>0</v>
      </c>
      <c r="H10" s="45">
        <f>SUMIFS(Конструкторы!M$6:M$1277,Конструкторы!$C$6:$C$1277,Обеспечение!$B10)</f>
        <v>0</v>
      </c>
      <c r="I10" s="45">
        <f>SUMIFS(Конструкторы!N$6:N$1277,Конструкторы!$C$6:$C$1277,Обеспечение!$B10)</f>
        <v>0</v>
      </c>
      <c r="J10" s="45">
        <f>SUMIFS(Конструкторы!O$6:O$1277,Конструкторы!$C$6:$C$1277,Обеспечение!$B10)</f>
        <v>0</v>
      </c>
      <c r="K10" s="45">
        <f>SUMIFS(Конструкторы!P$6:P$1277,Конструкторы!$C$6:$C$1277,Обеспечение!$B10)</f>
        <v>0</v>
      </c>
      <c r="L10" s="45">
        <f>SUMIFS(Конструкторы!Q$6:Q$1277,Конструкторы!$C$6:$C$1277,Обеспечение!$B10)</f>
        <v>0</v>
      </c>
      <c r="M10" s="45">
        <f>SUMIFS(Конструкторы!R$6:R$1277,Конструкторы!$C$6:$C$1277,Обеспечение!$B10)</f>
        <v>0</v>
      </c>
      <c r="N10" s="45">
        <f>SUMIFS(Конструкторы!S$6:S$1277,Конструкторы!$C$6:$C$1277,Обеспечение!$B10)</f>
        <v>0</v>
      </c>
      <c r="O10" s="45">
        <f>SUMIFS(Конструкторы!T$6:T$1277,Конструкторы!$C$6:$C$1277,Обеспечение!$B10)</f>
        <v>0</v>
      </c>
    </row>
    <row r="11" spans="1:15" ht="15.75" hidden="1" outlineLevel="1" x14ac:dyDescent="0.25">
      <c r="A11" s="28" t="s">
        <v>70</v>
      </c>
      <c r="B11" s="31" t="s">
        <v>86</v>
      </c>
      <c r="C11" s="279"/>
      <c r="D11" s="45">
        <f>SUMIFS(Конструкторы!I$6:I$1277,Конструкторы!$C$6:$C$1277,Обеспечение!$B11)</f>
        <v>0</v>
      </c>
      <c r="E11" s="45">
        <f>SUMIFS(Конструкторы!J$6:J$1277,Конструкторы!$C$6:$C$1277,Обеспечение!$B11)</f>
        <v>0</v>
      </c>
      <c r="F11" s="45">
        <f>SUMIFS(Конструкторы!K$6:K$1277,Конструкторы!$C$6:$C$1277,Обеспечение!$B11)</f>
        <v>0</v>
      </c>
      <c r="G11" s="45">
        <f>SUMIFS(Конструкторы!L$6:L$1277,Конструкторы!$C$6:$C$1277,Обеспечение!$B11)</f>
        <v>0</v>
      </c>
      <c r="H11" s="45">
        <f>SUMIFS(Конструкторы!M$6:M$1277,Конструкторы!$C$6:$C$1277,Обеспечение!$B11)</f>
        <v>0</v>
      </c>
      <c r="I11" s="45">
        <f>SUMIFS(Конструкторы!N$6:N$1277,Конструкторы!$C$6:$C$1277,Обеспечение!$B11)</f>
        <v>0</v>
      </c>
      <c r="J11" s="45">
        <f>SUMIFS(Конструкторы!O$6:O$1277,Конструкторы!$C$6:$C$1277,Обеспечение!$B11)</f>
        <v>0</v>
      </c>
      <c r="K11" s="45">
        <f>SUMIFS(Конструкторы!P$6:P$1277,Конструкторы!$C$6:$C$1277,Обеспечение!$B11)</f>
        <v>0</v>
      </c>
      <c r="L11" s="45">
        <f>SUMIFS(Конструкторы!Q$6:Q$1277,Конструкторы!$C$6:$C$1277,Обеспечение!$B11)</f>
        <v>0</v>
      </c>
      <c r="M11" s="45">
        <f>SUMIFS(Конструкторы!R$6:R$1277,Конструкторы!$C$6:$C$1277,Обеспечение!$B11)</f>
        <v>0</v>
      </c>
      <c r="N11" s="45">
        <f>SUMIFS(Конструкторы!S$6:S$1277,Конструкторы!$C$6:$C$1277,Обеспечение!$B11)</f>
        <v>0</v>
      </c>
      <c r="O11" s="45">
        <f>SUMIFS(Конструкторы!T$6:T$1277,Конструкторы!$C$6:$C$1277,Обеспечение!$B11)</f>
        <v>0</v>
      </c>
    </row>
    <row r="12" spans="1:15" ht="15.75" hidden="1" outlineLevel="1" x14ac:dyDescent="0.25">
      <c r="A12" s="28" t="s">
        <v>70</v>
      </c>
      <c r="B12" s="31" t="s">
        <v>79</v>
      </c>
      <c r="C12" s="279"/>
      <c r="D12" s="45">
        <f>SUMIFS(Конструкторы!I$6:I$1277,Конструкторы!$C$6:$C$1277,Обеспечение!$B12)</f>
        <v>0</v>
      </c>
      <c r="E12" s="45">
        <f>SUMIFS(Конструкторы!J$6:J$1277,Конструкторы!$C$6:$C$1277,Обеспечение!$B12)</f>
        <v>0</v>
      </c>
      <c r="F12" s="45">
        <f>SUMIFS(Конструкторы!K$6:K$1277,Конструкторы!$C$6:$C$1277,Обеспечение!$B12)</f>
        <v>0</v>
      </c>
      <c r="G12" s="45">
        <f>SUMIFS(Конструкторы!L$6:L$1277,Конструкторы!$C$6:$C$1277,Обеспечение!$B12)</f>
        <v>0</v>
      </c>
      <c r="H12" s="45">
        <f>SUMIFS(Конструкторы!M$6:M$1277,Конструкторы!$C$6:$C$1277,Обеспечение!$B12)</f>
        <v>0</v>
      </c>
      <c r="I12" s="45">
        <f>SUMIFS(Конструкторы!N$6:N$1277,Конструкторы!$C$6:$C$1277,Обеспечение!$B12)</f>
        <v>0</v>
      </c>
      <c r="J12" s="45">
        <f>SUMIFS(Конструкторы!O$6:O$1277,Конструкторы!$C$6:$C$1277,Обеспечение!$B12)</f>
        <v>0</v>
      </c>
      <c r="K12" s="45">
        <f>SUMIFS(Конструкторы!P$6:P$1277,Конструкторы!$C$6:$C$1277,Обеспечение!$B12)</f>
        <v>0</v>
      </c>
      <c r="L12" s="45">
        <f>SUMIFS(Конструкторы!Q$6:Q$1277,Конструкторы!$C$6:$C$1277,Обеспечение!$B12)</f>
        <v>0</v>
      </c>
      <c r="M12" s="45">
        <f>SUMIFS(Конструкторы!R$6:R$1277,Конструкторы!$C$6:$C$1277,Обеспечение!$B12)</f>
        <v>0</v>
      </c>
      <c r="N12" s="45">
        <f>SUMIFS(Конструкторы!S$6:S$1277,Конструкторы!$C$6:$C$1277,Обеспечение!$B12)</f>
        <v>0</v>
      </c>
      <c r="O12" s="45">
        <f>SUMIFS(Конструкторы!T$6:T$1277,Конструкторы!$C$6:$C$1277,Обеспечение!$B12)</f>
        <v>0</v>
      </c>
    </row>
    <row r="13" spans="1:15" ht="15.75" hidden="1" outlineLevel="1" x14ac:dyDescent="0.25">
      <c r="A13" s="28" t="s">
        <v>70</v>
      </c>
      <c r="B13" s="31" t="s">
        <v>80</v>
      </c>
      <c r="C13" s="279"/>
      <c r="D13" s="45">
        <f>SUMIFS(Конструкторы!I$6:I$1277,Конструкторы!$C$6:$C$1277,Обеспечение!$B13)</f>
        <v>0</v>
      </c>
      <c r="E13" s="45">
        <f>SUMIFS(Конструкторы!J$6:J$1277,Конструкторы!$C$6:$C$1277,Обеспечение!$B13)</f>
        <v>0</v>
      </c>
      <c r="F13" s="45">
        <f>SUMIFS(Конструкторы!K$6:K$1277,Конструкторы!$C$6:$C$1277,Обеспечение!$B13)</f>
        <v>0</v>
      </c>
      <c r="G13" s="45">
        <f>SUMIFS(Конструкторы!L$6:L$1277,Конструкторы!$C$6:$C$1277,Обеспечение!$B13)</f>
        <v>0</v>
      </c>
      <c r="H13" s="45">
        <f>SUMIFS(Конструкторы!M$6:M$1277,Конструкторы!$C$6:$C$1277,Обеспечение!$B13)</f>
        <v>0</v>
      </c>
      <c r="I13" s="45">
        <f>SUMIFS(Конструкторы!N$6:N$1277,Конструкторы!$C$6:$C$1277,Обеспечение!$B13)</f>
        <v>0</v>
      </c>
      <c r="J13" s="45">
        <f>SUMIFS(Конструкторы!O$6:O$1277,Конструкторы!$C$6:$C$1277,Обеспечение!$B13)</f>
        <v>0</v>
      </c>
      <c r="K13" s="45">
        <f>SUMIFS(Конструкторы!P$6:P$1277,Конструкторы!$C$6:$C$1277,Обеспечение!$B13)</f>
        <v>0</v>
      </c>
      <c r="L13" s="45">
        <f>SUMIFS(Конструкторы!Q$6:Q$1277,Конструкторы!$C$6:$C$1277,Обеспечение!$B13)</f>
        <v>0</v>
      </c>
      <c r="M13" s="45">
        <f>SUMIFS(Конструкторы!R$6:R$1277,Конструкторы!$C$6:$C$1277,Обеспечение!$B13)</f>
        <v>0</v>
      </c>
      <c r="N13" s="45">
        <f>SUMIFS(Конструкторы!S$6:S$1277,Конструкторы!$C$6:$C$1277,Обеспечение!$B13)</f>
        <v>0</v>
      </c>
      <c r="O13" s="45">
        <f>SUMIFS(Конструкторы!T$6:T$1277,Конструкторы!$C$6:$C$1277,Обеспечение!$B13)</f>
        <v>0</v>
      </c>
    </row>
    <row r="14" spans="1:15" ht="15.75" hidden="1" outlineLevel="1" x14ac:dyDescent="0.25">
      <c r="A14" s="28" t="s">
        <v>70</v>
      </c>
      <c r="B14" s="31" t="s">
        <v>81</v>
      </c>
      <c r="C14" s="279"/>
      <c r="D14" s="45">
        <f>SUMIFS(Конструкторы!I$6:I$1277,Конструкторы!$C$6:$C$1277,Обеспечение!$B14)</f>
        <v>0</v>
      </c>
      <c r="E14" s="45">
        <f>SUMIFS(Конструкторы!J$6:J$1277,Конструкторы!$C$6:$C$1277,Обеспечение!$B14)</f>
        <v>0</v>
      </c>
      <c r="F14" s="45">
        <f>SUMIFS(Конструкторы!K$6:K$1277,Конструкторы!$C$6:$C$1277,Обеспечение!$B14)</f>
        <v>0</v>
      </c>
      <c r="G14" s="45">
        <f>SUMIFS(Конструкторы!L$6:L$1277,Конструкторы!$C$6:$C$1277,Обеспечение!$B14)</f>
        <v>0</v>
      </c>
      <c r="H14" s="45">
        <f>SUMIFS(Конструкторы!M$6:M$1277,Конструкторы!$C$6:$C$1277,Обеспечение!$B14)</f>
        <v>0</v>
      </c>
      <c r="I14" s="45">
        <f>SUMIFS(Конструкторы!N$6:N$1277,Конструкторы!$C$6:$C$1277,Обеспечение!$B14)</f>
        <v>0</v>
      </c>
      <c r="J14" s="45">
        <f>SUMIFS(Конструкторы!O$6:O$1277,Конструкторы!$C$6:$C$1277,Обеспечение!$B14)</f>
        <v>0</v>
      </c>
      <c r="K14" s="45">
        <f>SUMIFS(Конструкторы!P$6:P$1277,Конструкторы!$C$6:$C$1277,Обеспечение!$B14)</f>
        <v>0</v>
      </c>
      <c r="L14" s="45">
        <f>SUMIFS(Конструкторы!Q$6:Q$1277,Конструкторы!$C$6:$C$1277,Обеспечение!$B14)</f>
        <v>0</v>
      </c>
      <c r="M14" s="45">
        <f>SUMIFS(Конструкторы!R$6:R$1277,Конструкторы!$C$6:$C$1277,Обеспечение!$B14)</f>
        <v>0</v>
      </c>
      <c r="N14" s="45">
        <f>SUMIFS(Конструкторы!S$6:S$1277,Конструкторы!$C$6:$C$1277,Обеспечение!$B14)</f>
        <v>0</v>
      </c>
      <c r="O14" s="45">
        <f>SUMIFS(Конструкторы!T$6:T$1277,Конструкторы!$C$6:$C$1277,Обеспечение!$B14)</f>
        <v>0</v>
      </c>
    </row>
    <row r="15" spans="1:15" ht="15.75" hidden="1" outlineLevel="1" x14ac:dyDescent="0.25">
      <c r="A15" s="28" t="s">
        <v>70</v>
      </c>
      <c r="B15" s="31" t="s">
        <v>82</v>
      </c>
      <c r="C15" s="279"/>
      <c r="D15" s="45">
        <f>SUMIFS(Конструкторы!I$6:I$1277,Конструкторы!$C$6:$C$1277,Обеспечение!$B15)</f>
        <v>0</v>
      </c>
      <c r="E15" s="45">
        <f>SUMIFS(Конструкторы!J$6:J$1277,Конструкторы!$C$6:$C$1277,Обеспечение!$B15)</f>
        <v>0</v>
      </c>
      <c r="F15" s="45">
        <f>SUMIFS(Конструкторы!K$6:K$1277,Конструкторы!$C$6:$C$1277,Обеспечение!$B15)</f>
        <v>0</v>
      </c>
      <c r="G15" s="45">
        <f>SUMIFS(Конструкторы!L$6:L$1277,Конструкторы!$C$6:$C$1277,Обеспечение!$B15)</f>
        <v>0</v>
      </c>
      <c r="H15" s="45">
        <f>SUMIFS(Конструкторы!M$6:M$1277,Конструкторы!$C$6:$C$1277,Обеспечение!$B15)</f>
        <v>0</v>
      </c>
      <c r="I15" s="45">
        <f>SUMIFS(Конструкторы!N$6:N$1277,Конструкторы!$C$6:$C$1277,Обеспечение!$B15)</f>
        <v>0</v>
      </c>
      <c r="J15" s="45">
        <f>SUMIFS(Конструкторы!O$6:O$1277,Конструкторы!$C$6:$C$1277,Обеспечение!$B15)</f>
        <v>0</v>
      </c>
      <c r="K15" s="45">
        <f>SUMIFS(Конструкторы!P$6:P$1277,Конструкторы!$C$6:$C$1277,Обеспечение!$B15)</f>
        <v>0</v>
      </c>
      <c r="L15" s="45">
        <f>SUMIFS(Конструкторы!Q$6:Q$1277,Конструкторы!$C$6:$C$1277,Обеспечение!$B15)</f>
        <v>0</v>
      </c>
      <c r="M15" s="45">
        <f>SUMIFS(Конструкторы!R$6:R$1277,Конструкторы!$C$6:$C$1277,Обеспечение!$B15)</f>
        <v>0</v>
      </c>
      <c r="N15" s="45">
        <f>SUMIFS(Конструкторы!S$6:S$1277,Конструкторы!$C$6:$C$1277,Обеспечение!$B15)</f>
        <v>0</v>
      </c>
      <c r="O15" s="45">
        <f>SUMIFS(Конструкторы!T$6:T$1277,Конструкторы!$C$6:$C$1277,Обеспечение!$B15)</f>
        <v>0</v>
      </c>
    </row>
    <row r="16" spans="1:15" ht="15.75" hidden="1" outlineLevel="1" x14ac:dyDescent="0.25">
      <c r="A16" s="28" t="s">
        <v>70</v>
      </c>
      <c r="B16" s="31" t="s">
        <v>73</v>
      </c>
      <c r="C16" s="279"/>
      <c r="D16" s="45">
        <f>SUMIFS(Конструкторы!I$6:I$1277,Конструкторы!$C$6:$C$1277,Обеспечение!$B16)</f>
        <v>167</v>
      </c>
      <c r="E16" s="45">
        <f>SUMIFS(Конструкторы!J$6:J$1277,Конструкторы!$C$6:$C$1277,Обеспечение!$B16)</f>
        <v>0</v>
      </c>
      <c r="F16" s="45">
        <f>SUMIFS(Конструкторы!K$6:K$1277,Конструкторы!$C$6:$C$1277,Обеспечение!$B16)</f>
        <v>0</v>
      </c>
      <c r="G16" s="45">
        <f>SUMIFS(Конструкторы!L$6:L$1277,Конструкторы!$C$6:$C$1277,Обеспечение!$B16)</f>
        <v>0</v>
      </c>
      <c r="H16" s="45">
        <f>SUMIFS(Конструкторы!M$6:M$1277,Конструкторы!$C$6:$C$1277,Обеспечение!$B16)</f>
        <v>0</v>
      </c>
      <c r="I16" s="45">
        <f>SUMIFS(Конструкторы!N$6:N$1277,Конструкторы!$C$6:$C$1277,Обеспечение!$B16)</f>
        <v>0</v>
      </c>
      <c r="J16" s="45">
        <f>SUMIFS(Конструкторы!O$6:O$1277,Конструкторы!$C$6:$C$1277,Обеспечение!$B16)</f>
        <v>0</v>
      </c>
      <c r="K16" s="45">
        <f>SUMIFS(Конструкторы!P$6:P$1277,Конструкторы!$C$6:$C$1277,Обеспечение!$B16)</f>
        <v>0</v>
      </c>
      <c r="L16" s="45">
        <f>SUMIFS(Конструкторы!Q$6:Q$1277,Конструкторы!$C$6:$C$1277,Обеспечение!$B16)</f>
        <v>0</v>
      </c>
      <c r="M16" s="45">
        <f>SUMIFS(Конструкторы!R$6:R$1277,Конструкторы!$C$6:$C$1277,Обеспечение!$B16)</f>
        <v>0</v>
      </c>
      <c r="N16" s="45">
        <f>SUMIFS(Конструкторы!S$6:S$1277,Конструкторы!$C$6:$C$1277,Обеспечение!$B16)</f>
        <v>0</v>
      </c>
      <c r="O16" s="45">
        <f>SUMIFS(Конструкторы!T$6:T$1277,Конструкторы!$C$6:$C$1277,Обеспечение!$B16)</f>
        <v>0</v>
      </c>
    </row>
    <row r="17" spans="1:15" ht="15.75" hidden="1" outlineLevel="1" x14ac:dyDescent="0.25">
      <c r="A17" s="28" t="s">
        <v>70</v>
      </c>
      <c r="B17" s="31" t="s">
        <v>74</v>
      </c>
      <c r="C17" s="279"/>
      <c r="D17" s="45">
        <f>SUMIFS(Конструкторы!I$6:I$1277,Конструкторы!$C$6:$C$1277,Обеспечение!$B17)</f>
        <v>0</v>
      </c>
      <c r="E17" s="45">
        <f>SUMIFS(Конструкторы!J$6:J$1277,Конструкторы!$C$6:$C$1277,Обеспечение!$B17)</f>
        <v>0</v>
      </c>
      <c r="F17" s="45">
        <f>SUMIFS(Конструкторы!K$6:K$1277,Конструкторы!$C$6:$C$1277,Обеспечение!$B17)</f>
        <v>0</v>
      </c>
      <c r="G17" s="45">
        <f>SUMIFS(Конструкторы!L$6:L$1277,Конструкторы!$C$6:$C$1277,Обеспечение!$B17)</f>
        <v>0</v>
      </c>
      <c r="H17" s="45">
        <f>SUMIFS(Конструкторы!M$6:M$1277,Конструкторы!$C$6:$C$1277,Обеспечение!$B17)</f>
        <v>0</v>
      </c>
      <c r="I17" s="45">
        <f>SUMIFS(Конструкторы!N$6:N$1277,Конструкторы!$C$6:$C$1277,Обеспечение!$B17)</f>
        <v>0</v>
      </c>
      <c r="J17" s="45">
        <f>SUMIFS(Конструкторы!O$6:O$1277,Конструкторы!$C$6:$C$1277,Обеспечение!$B17)</f>
        <v>0</v>
      </c>
      <c r="K17" s="45">
        <f>SUMIFS(Конструкторы!P$6:P$1277,Конструкторы!$C$6:$C$1277,Обеспечение!$B17)</f>
        <v>0</v>
      </c>
      <c r="L17" s="45">
        <f>SUMIFS(Конструкторы!Q$6:Q$1277,Конструкторы!$C$6:$C$1277,Обеспечение!$B17)</f>
        <v>0</v>
      </c>
      <c r="M17" s="45">
        <f>SUMIFS(Конструкторы!R$6:R$1277,Конструкторы!$C$6:$C$1277,Обеспечение!$B17)</f>
        <v>0</v>
      </c>
      <c r="N17" s="45">
        <f>SUMIFS(Конструкторы!S$6:S$1277,Конструкторы!$C$6:$C$1277,Обеспечение!$B17)</f>
        <v>0</v>
      </c>
      <c r="O17" s="45">
        <f>SUMIFS(Конструкторы!T$6:T$1277,Конструкторы!$C$6:$C$1277,Обеспечение!$B17)</f>
        <v>0</v>
      </c>
    </row>
    <row r="18" spans="1:15" ht="15.75" hidden="1" outlineLevel="1" x14ac:dyDescent="0.25">
      <c r="A18" s="28" t="s">
        <v>70</v>
      </c>
      <c r="B18" s="31" t="s">
        <v>72</v>
      </c>
      <c r="C18" s="279"/>
      <c r="D18" s="45">
        <f>SUMIFS(Конструкторы!I$6:I$1277,Конструкторы!$C$6:$C$1277,Обеспечение!$B18)</f>
        <v>0</v>
      </c>
      <c r="E18" s="45">
        <f>SUMIFS(Конструкторы!J$6:J$1277,Конструкторы!$C$6:$C$1277,Обеспечение!$B18)</f>
        <v>0</v>
      </c>
      <c r="F18" s="45">
        <f>SUMIFS(Конструкторы!K$6:K$1277,Конструкторы!$C$6:$C$1277,Обеспечение!$B18)</f>
        <v>0</v>
      </c>
      <c r="G18" s="45">
        <f>SUMIFS(Конструкторы!L$6:L$1277,Конструкторы!$C$6:$C$1277,Обеспечение!$B18)</f>
        <v>0</v>
      </c>
      <c r="H18" s="45">
        <f>SUMIFS(Конструкторы!M$6:M$1277,Конструкторы!$C$6:$C$1277,Обеспечение!$B18)</f>
        <v>0</v>
      </c>
      <c r="I18" s="45">
        <f>SUMIFS(Конструкторы!N$6:N$1277,Конструкторы!$C$6:$C$1277,Обеспечение!$B18)</f>
        <v>0</v>
      </c>
      <c r="J18" s="45">
        <f>SUMIFS(Конструкторы!O$6:O$1277,Конструкторы!$C$6:$C$1277,Обеспечение!$B18)</f>
        <v>0</v>
      </c>
      <c r="K18" s="45">
        <f>SUMIFS(Конструкторы!P$6:P$1277,Конструкторы!$C$6:$C$1277,Обеспечение!$B18)</f>
        <v>0</v>
      </c>
      <c r="L18" s="45">
        <f>SUMIFS(Конструкторы!Q$6:Q$1277,Конструкторы!$C$6:$C$1277,Обеспечение!$B18)</f>
        <v>0</v>
      </c>
      <c r="M18" s="45">
        <f>SUMIFS(Конструкторы!R$6:R$1277,Конструкторы!$C$6:$C$1277,Обеспечение!$B18)</f>
        <v>0</v>
      </c>
      <c r="N18" s="45">
        <f>SUMIFS(Конструкторы!S$6:S$1277,Конструкторы!$C$6:$C$1277,Обеспечение!$B18)</f>
        <v>0</v>
      </c>
      <c r="O18" s="45">
        <f>SUMIFS(Конструкторы!T$6:T$1277,Конструкторы!$C$6:$C$1277,Обеспечение!$B18)</f>
        <v>0</v>
      </c>
    </row>
    <row r="19" spans="1:15" ht="15.75" hidden="1" outlineLevel="1" x14ac:dyDescent="0.25">
      <c r="A19" s="28" t="s">
        <v>70</v>
      </c>
      <c r="B19" s="31" t="s">
        <v>87</v>
      </c>
      <c r="C19" s="279"/>
      <c r="D19" s="45">
        <f>SUMIFS(Конструкторы!I$6:I$1277,Конструкторы!$C$6:$C$1277,Обеспечение!$B19)</f>
        <v>0</v>
      </c>
      <c r="E19" s="45">
        <f>SUMIFS(Конструкторы!J$6:J$1277,Конструкторы!$C$6:$C$1277,Обеспечение!$B19)</f>
        <v>0</v>
      </c>
      <c r="F19" s="45">
        <f>SUMIFS(Конструкторы!K$6:K$1277,Конструкторы!$C$6:$C$1277,Обеспечение!$B19)</f>
        <v>0</v>
      </c>
      <c r="G19" s="45">
        <f>SUMIFS(Конструкторы!L$6:L$1277,Конструкторы!$C$6:$C$1277,Обеспечение!$B19)</f>
        <v>0</v>
      </c>
      <c r="H19" s="45">
        <f>SUMIFS(Конструкторы!M$6:M$1277,Конструкторы!$C$6:$C$1277,Обеспечение!$B19)</f>
        <v>0</v>
      </c>
      <c r="I19" s="45">
        <f>SUMIFS(Конструкторы!N$6:N$1277,Конструкторы!$C$6:$C$1277,Обеспечение!$B19)</f>
        <v>0</v>
      </c>
      <c r="J19" s="45">
        <f>SUMIFS(Конструкторы!O$6:O$1277,Конструкторы!$C$6:$C$1277,Обеспечение!$B19)</f>
        <v>0</v>
      </c>
      <c r="K19" s="45">
        <f>SUMIFS(Конструкторы!P$6:P$1277,Конструкторы!$C$6:$C$1277,Обеспечение!$B19)</f>
        <v>0</v>
      </c>
      <c r="L19" s="45">
        <f>SUMIFS(Конструкторы!Q$6:Q$1277,Конструкторы!$C$6:$C$1277,Обеспечение!$B19)</f>
        <v>0</v>
      </c>
      <c r="M19" s="45">
        <f>SUMIFS(Конструкторы!R$6:R$1277,Конструкторы!$C$6:$C$1277,Обеспечение!$B19)</f>
        <v>0</v>
      </c>
      <c r="N19" s="45">
        <f>SUMIFS(Конструкторы!S$6:S$1277,Конструкторы!$C$6:$C$1277,Обеспечение!$B19)</f>
        <v>0</v>
      </c>
      <c r="O19" s="45">
        <f>SUMIFS(Конструкторы!T$6:T$1277,Конструкторы!$C$6:$C$1277,Обеспечение!$B19)</f>
        <v>0</v>
      </c>
    </row>
    <row r="20" spans="1:15" ht="15.75" hidden="1" outlineLevel="1" x14ac:dyDescent="0.25">
      <c r="A20" s="28" t="s">
        <v>70</v>
      </c>
      <c r="B20" s="31" t="s">
        <v>77</v>
      </c>
      <c r="C20" s="279"/>
      <c r="D20" s="45">
        <f>SUMIFS(Конструкторы!I$6:I$1277,Конструкторы!$C$6:$C$1277,Обеспечение!$B20)</f>
        <v>337</v>
      </c>
      <c r="E20" s="45">
        <f>SUMIFS(Конструкторы!J$6:J$1277,Конструкторы!$C$6:$C$1277,Обеспечение!$B20)</f>
        <v>0</v>
      </c>
      <c r="F20" s="45">
        <f>SUMIFS(Конструкторы!K$6:K$1277,Конструкторы!$C$6:$C$1277,Обеспечение!$B20)</f>
        <v>0</v>
      </c>
      <c r="G20" s="45">
        <f>SUMIFS(Конструкторы!L$6:L$1277,Конструкторы!$C$6:$C$1277,Обеспечение!$B20)</f>
        <v>0</v>
      </c>
      <c r="H20" s="45">
        <f>SUMIFS(Конструкторы!M$6:M$1277,Конструкторы!$C$6:$C$1277,Обеспечение!$B20)</f>
        <v>0</v>
      </c>
      <c r="I20" s="45">
        <f>SUMIFS(Конструкторы!N$6:N$1277,Конструкторы!$C$6:$C$1277,Обеспечение!$B20)</f>
        <v>0</v>
      </c>
      <c r="J20" s="45">
        <f>SUMIFS(Конструкторы!O$6:O$1277,Конструкторы!$C$6:$C$1277,Обеспечение!$B20)</f>
        <v>0</v>
      </c>
      <c r="K20" s="45">
        <f>SUMIFS(Конструкторы!P$6:P$1277,Конструкторы!$C$6:$C$1277,Обеспечение!$B20)</f>
        <v>0</v>
      </c>
      <c r="L20" s="45">
        <f>SUMIFS(Конструкторы!Q$6:Q$1277,Конструкторы!$C$6:$C$1277,Обеспечение!$B20)</f>
        <v>0</v>
      </c>
      <c r="M20" s="45">
        <f>SUMIFS(Конструкторы!R$6:R$1277,Конструкторы!$C$6:$C$1277,Обеспечение!$B20)</f>
        <v>0</v>
      </c>
      <c r="N20" s="45">
        <f>SUMIFS(Конструкторы!S$6:S$1277,Конструкторы!$C$6:$C$1277,Обеспечение!$B20)</f>
        <v>0</v>
      </c>
      <c r="O20" s="45">
        <f>SUMIFS(Конструкторы!T$6:T$1277,Конструкторы!$C$6:$C$1277,Обеспечение!$B20)</f>
        <v>0</v>
      </c>
    </row>
    <row r="21" spans="1:15" ht="15.75" hidden="1" outlineLevel="1" x14ac:dyDescent="0.25">
      <c r="A21" s="28" t="s">
        <v>70</v>
      </c>
      <c r="B21" s="31" t="s">
        <v>88</v>
      </c>
      <c r="C21" s="279"/>
      <c r="D21" s="45">
        <f>SUMIFS(Конструкторы!I$6:I$1277,Конструкторы!$C$6:$C$1277,Обеспечение!$B21)</f>
        <v>0</v>
      </c>
      <c r="E21" s="45">
        <f>SUMIFS(Конструкторы!J$6:J$1277,Конструкторы!$C$6:$C$1277,Обеспечение!$B21)</f>
        <v>0</v>
      </c>
      <c r="F21" s="45">
        <f>SUMIFS(Конструкторы!K$6:K$1277,Конструкторы!$C$6:$C$1277,Обеспечение!$B21)</f>
        <v>0</v>
      </c>
      <c r="G21" s="45">
        <f>SUMIFS(Конструкторы!L$6:L$1277,Конструкторы!$C$6:$C$1277,Обеспечение!$B21)</f>
        <v>0</v>
      </c>
      <c r="H21" s="45">
        <f>SUMIFS(Конструкторы!M$6:M$1277,Конструкторы!$C$6:$C$1277,Обеспечение!$B21)</f>
        <v>0</v>
      </c>
      <c r="I21" s="45">
        <f>SUMIFS(Конструкторы!N$6:N$1277,Конструкторы!$C$6:$C$1277,Обеспечение!$B21)</f>
        <v>0</v>
      </c>
      <c r="J21" s="45">
        <f>SUMIFS(Конструкторы!O$6:O$1277,Конструкторы!$C$6:$C$1277,Обеспечение!$B21)</f>
        <v>0</v>
      </c>
      <c r="K21" s="45">
        <f>SUMIFS(Конструкторы!P$6:P$1277,Конструкторы!$C$6:$C$1277,Обеспечение!$B21)</f>
        <v>0</v>
      </c>
      <c r="L21" s="45">
        <f>SUMIFS(Конструкторы!Q$6:Q$1277,Конструкторы!$C$6:$C$1277,Обеспечение!$B21)</f>
        <v>0</v>
      </c>
      <c r="M21" s="45">
        <f>SUMIFS(Конструкторы!R$6:R$1277,Конструкторы!$C$6:$C$1277,Обеспечение!$B21)</f>
        <v>0</v>
      </c>
      <c r="N21" s="45">
        <f>SUMIFS(Конструкторы!S$6:S$1277,Конструкторы!$C$6:$C$1277,Обеспечение!$B21)</f>
        <v>0</v>
      </c>
      <c r="O21" s="45">
        <f>SUMIFS(Конструкторы!T$6:T$1277,Конструкторы!$C$6:$C$1277,Обеспечение!$B21)</f>
        <v>0</v>
      </c>
    </row>
    <row r="22" spans="1:15" ht="15.75" hidden="1" outlineLevel="1" x14ac:dyDescent="0.25">
      <c r="A22" s="28" t="s">
        <v>70</v>
      </c>
      <c r="B22" s="31" t="s">
        <v>89</v>
      </c>
      <c r="C22" s="279"/>
      <c r="D22" s="45">
        <f>SUMIFS(Конструкторы!I$6:I$1277,Конструкторы!$C$6:$C$1277,Обеспечение!$B22)</f>
        <v>0</v>
      </c>
      <c r="E22" s="45">
        <f>SUMIFS(Конструкторы!J$6:J$1277,Конструкторы!$C$6:$C$1277,Обеспечение!$B22)</f>
        <v>0</v>
      </c>
      <c r="F22" s="45">
        <f>SUMIFS(Конструкторы!K$6:K$1277,Конструкторы!$C$6:$C$1277,Обеспечение!$B22)</f>
        <v>0</v>
      </c>
      <c r="G22" s="45">
        <f>SUMIFS(Конструкторы!L$6:L$1277,Конструкторы!$C$6:$C$1277,Обеспечение!$B22)</f>
        <v>0</v>
      </c>
      <c r="H22" s="45">
        <f>SUMIFS(Конструкторы!M$6:M$1277,Конструкторы!$C$6:$C$1277,Обеспечение!$B22)</f>
        <v>0</v>
      </c>
      <c r="I22" s="45">
        <f>SUMIFS(Конструкторы!N$6:N$1277,Конструкторы!$C$6:$C$1277,Обеспечение!$B22)</f>
        <v>0</v>
      </c>
      <c r="J22" s="45">
        <f>SUMIFS(Конструкторы!O$6:O$1277,Конструкторы!$C$6:$C$1277,Обеспечение!$B22)</f>
        <v>0</v>
      </c>
      <c r="K22" s="45">
        <f>SUMIFS(Конструкторы!P$6:P$1277,Конструкторы!$C$6:$C$1277,Обеспечение!$B22)</f>
        <v>0</v>
      </c>
      <c r="L22" s="45">
        <f>SUMIFS(Конструкторы!Q$6:Q$1277,Конструкторы!$C$6:$C$1277,Обеспечение!$B22)</f>
        <v>0</v>
      </c>
      <c r="M22" s="45">
        <f>SUMIFS(Конструкторы!R$6:R$1277,Конструкторы!$C$6:$C$1277,Обеспечение!$B22)</f>
        <v>0</v>
      </c>
      <c r="N22" s="45">
        <f>SUMIFS(Конструкторы!S$6:S$1277,Конструкторы!$C$6:$C$1277,Обеспечение!$B22)</f>
        <v>0</v>
      </c>
      <c r="O22" s="45">
        <f>SUMIFS(Конструкторы!T$6:T$1277,Конструкторы!$C$6:$C$1277,Обеспечение!$B22)</f>
        <v>0</v>
      </c>
    </row>
    <row r="23" spans="1:15" ht="15.75" hidden="1" outlineLevel="1" x14ac:dyDescent="0.25">
      <c r="A23" s="28" t="s">
        <v>70</v>
      </c>
      <c r="B23" s="32" t="s">
        <v>91</v>
      </c>
      <c r="C23" s="279"/>
      <c r="D23" s="45">
        <f>SUMIFS(Конструкторы!I$6:I$1277,Конструкторы!$C$6:$C$1277,Обеспечение!$B23)</f>
        <v>0</v>
      </c>
      <c r="E23" s="45">
        <f>SUMIFS(Конструкторы!J$6:J$1277,Конструкторы!$C$6:$C$1277,Обеспечение!$B23)</f>
        <v>1000</v>
      </c>
      <c r="F23" s="45">
        <f>SUMIFS(Конструкторы!K$6:K$1277,Конструкторы!$C$6:$C$1277,Обеспечение!$B23)</f>
        <v>0</v>
      </c>
      <c r="G23" s="45">
        <f>SUMIFS(Конструкторы!L$6:L$1277,Конструкторы!$C$6:$C$1277,Обеспечение!$B23)</f>
        <v>0</v>
      </c>
      <c r="H23" s="45">
        <f>SUMIFS(Конструкторы!M$6:M$1277,Конструкторы!$C$6:$C$1277,Обеспечение!$B23)</f>
        <v>0</v>
      </c>
      <c r="I23" s="45">
        <f>SUMIFS(Конструкторы!N$6:N$1277,Конструкторы!$C$6:$C$1277,Обеспечение!$B23)</f>
        <v>0</v>
      </c>
      <c r="J23" s="45">
        <f>SUMIFS(Конструкторы!O$6:O$1277,Конструкторы!$C$6:$C$1277,Обеспечение!$B23)</f>
        <v>0</v>
      </c>
      <c r="K23" s="45">
        <f>SUMIFS(Конструкторы!P$6:P$1277,Конструкторы!$C$6:$C$1277,Обеспечение!$B23)</f>
        <v>0</v>
      </c>
      <c r="L23" s="45">
        <f>SUMIFS(Конструкторы!Q$6:Q$1277,Конструкторы!$C$6:$C$1277,Обеспечение!$B23)</f>
        <v>0</v>
      </c>
      <c r="M23" s="45">
        <f>SUMIFS(Конструкторы!R$6:R$1277,Конструкторы!$C$6:$C$1277,Обеспечение!$B23)</f>
        <v>0</v>
      </c>
      <c r="N23" s="45">
        <f>SUMIFS(Конструкторы!S$6:S$1277,Конструкторы!$C$6:$C$1277,Обеспечение!$B23)</f>
        <v>0</v>
      </c>
      <c r="O23" s="45">
        <f>SUMIFS(Конструкторы!T$6:T$1277,Конструкторы!$C$6:$C$1277,Обеспечение!$B23)</f>
        <v>0</v>
      </c>
    </row>
    <row r="24" spans="1:15" ht="15.75" hidden="1" outlineLevel="1" x14ac:dyDescent="0.25">
      <c r="A24" s="28" t="s">
        <v>70</v>
      </c>
      <c r="B24" s="32" t="s">
        <v>92</v>
      </c>
      <c r="C24" s="279"/>
      <c r="D24" s="45">
        <f>SUMIFS(Конструкторы!I$6:I$1277,Конструкторы!$C$6:$C$1277,Обеспечение!$B24)</f>
        <v>0</v>
      </c>
      <c r="E24" s="45">
        <f>SUMIFS(Конструкторы!J$6:J$1277,Конструкторы!$C$6:$C$1277,Обеспечение!$B24)</f>
        <v>18000</v>
      </c>
      <c r="F24" s="45">
        <f>SUMIFS(Конструкторы!K$6:K$1277,Конструкторы!$C$6:$C$1277,Обеспечение!$B24)</f>
        <v>0</v>
      </c>
      <c r="G24" s="45">
        <f>SUMIFS(Конструкторы!L$6:L$1277,Конструкторы!$C$6:$C$1277,Обеспечение!$B24)</f>
        <v>0</v>
      </c>
      <c r="H24" s="45">
        <f>SUMIFS(Конструкторы!M$6:M$1277,Конструкторы!$C$6:$C$1277,Обеспечение!$B24)</f>
        <v>0</v>
      </c>
      <c r="I24" s="45">
        <f>SUMIFS(Конструкторы!N$6:N$1277,Конструкторы!$C$6:$C$1277,Обеспечение!$B24)</f>
        <v>0</v>
      </c>
      <c r="J24" s="45">
        <f>SUMIFS(Конструкторы!O$6:O$1277,Конструкторы!$C$6:$C$1277,Обеспечение!$B24)</f>
        <v>0</v>
      </c>
      <c r="K24" s="45">
        <f>SUMIFS(Конструкторы!P$6:P$1277,Конструкторы!$C$6:$C$1277,Обеспечение!$B24)</f>
        <v>0</v>
      </c>
      <c r="L24" s="45">
        <f>SUMIFS(Конструкторы!Q$6:Q$1277,Конструкторы!$C$6:$C$1277,Обеспечение!$B24)</f>
        <v>0</v>
      </c>
      <c r="M24" s="45">
        <f>SUMIFS(Конструкторы!R$6:R$1277,Конструкторы!$C$6:$C$1277,Обеспечение!$B24)</f>
        <v>0</v>
      </c>
      <c r="N24" s="45">
        <f>SUMIFS(Конструкторы!S$6:S$1277,Конструкторы!$C$6:$C$1277,Обеспечение!$B24)</f>
        <v>0</v>
      </c>
      <c r="O24" s="45">
        <f>SUMIFS(Конструкторы!T$6:T$1277,Конструкторы!$C$6:$C$1277,Обеспечение!$B24)</f>
        <v>0</v>
      </c>
    </row>
    <row r="25" spans="1:15" ht="15.75" hidden="1" outlineLevel="1" x14ac:dyDescent="0.25">
      <c r="A25" s="28" t="s">
        <v>70</v>
      </c>
      <c r="B25" s="32" t="s">
        <v>93</v>
      </c>
      <c r="C25" s="279"/>
      <c r="D25" s="45">
        <f>SUMIFS(Конструкторы!I$6:I$1277,Конструкторы!$C$6:$C$1277,Обеспечение!$B25)</f>
        <v>0</v>
      </c>
      <c r="E25" s="45">
        <f>SUMIFS(Конструкторы!J$6:J$1277,Конструкторы!$C$6:$C$1277,Обеспечение!$B25)</f>
        <v>18000</v>
      </c>
      <c r="F25" s="45">
        <f>SUMIFS(Конструкторы!K$6:K$1277,Конструкторы!$C$6:$C$1277,Обеспечение!$B25)</f>
        <v>0</v>
      </c>
      <c r="G25" s="45">
        <f>SUMIFS(Конструкторы!L$6:L$1277,Конструкторы!$C$6:$C$1277,Обеспечение!$B25)</f>
        <v>0</v>
      </c>
      <c r="H25" s="45">
        <f>SUMIFS(Конструкторы!M$6:M$1277,Конструкторы!$C$6:$C$1277,Обеспечение!$B25)</f>
        <v>0</v>
      </c>
      <c r="I25" s="45">
        <f>SUMIFS(Конструкторы!N$6:N$1277,Конструкторы!$C$6:$C$1277,Обеспечение!$B25)</f>
        <v>0</v>
      </c>
      <c r="J25" s="45">
        <f>SUMIFS(Конструкторы!O$6:O$1277,Конструкторы!$C$6:$C$1277,Обеспечение!$B25)</f>
        <v>0</v>
      </c>
      <c r="K25" s="45">
        <f>SUMIFS(Конструкторы!P$6:P$1277,Конструкторы!$C$6:$C$1277,Обеспечение!$B25)</f>
        <v>0</v>
      </c>
      <c r="L25" s="45">
        <f>SUMIFS(Конструкторы!Q$6:Q$1277,Конструкторы!$C$6:$C$1277,Обеспечение!$B25)</f>
        <v>0</v>
      </c>
      <c r="M25" s="45">
        <f>SUMIFS(Конструкторы!R$6:R$1277,Конструкторы!$C$6:$C$1277,Обеспечение!$B25)</f>
        <v>0</v>
      </c>
      <c r="N25" s="45">
        <f>SUMIFS(Конструкторы!S$6:S$1277,Конструкторы!$C$6:$C$1277,Обеспечение!$B25)</f>
        <v>0</v>
      </c>
      <c r="O25" s="45">
        <f>SUMIFS(Конструкторы!T$6:T$1277,Конструкторы!$C$6:$C$1277,Обеспечение!$B25)</f>
        <v>0</v>
      </c>
    </row>
    <row r="26" spans="1:15" ht="15.75" hidden="1" outlineLevel="1" x14ac:dyDescent="0.25">
      <c r="A26" s="28" t="s">
        <v>70</v>
      </c>
      <c r="B26" s="32" t="s">
        <v>94</v>
      </c>
      <c r="C26" s="279"/>
      <c r="D26" s="45">
        <f>SUMIFS(Конструкторы!I$6:I$1277,Конструкторы!$C$6:$C$1277,Обеспечение!$B26)</f>
        <v>0</v>
      </c>
      <c r="E26" s="45">
        <f>SUMIFS(Конструкторы!J$6:J$1277,Конструкторы!$C$6:$C$1277,Обеспечение!$B26)</f>
        <v>18000</v>
      </c>
      <c r="F26" s="45">
        <f>SUMIFS(Конструкторы!K$6:K$1277,Конструкторы!$C$6:$C$1277,Обеспечение!$B26)</f>
        <v>0</v>
      </c>
      <c r="G26" s="45">
        <f>SUMIFS(Конструкторы!L$6:L$1277,Конструкторы!$C$6:$C$1277,Обеспечение!$B26)</f>
        <v>0</v>
      </c>
      <c r="H26" s="45">
        <f>SUMIFS(Конструкторы!M$6:M$1277,Конструкторы!$C$6:$C$1277,Обеспечение!$B26)</f>
        <v>0</v>
      </c>
      <c r="I26" s="45">
        <f>SUMIFS(Конструкторы!N$6:N$1277,Конструкторы!$C$6:$C$1277,Обеспечение!$B26)</f>
        <v>0</v>
      </c>
      <c r="J26" s="45">
        <f>SUMIFS(Конструкторы!O$6:O$1277,Конструкторы!$C$6:$C$1277,Обеспечение!$B26)</f>
        <v>0</v>
      </c>
      <c r="K26" s="45">
        <f>SUMIFS(Конструкторы!P$6:P$1277,Конструкторы!$C$6:$C$1277,Обеспечение!$B26)</f>
        <v>0</v>
      </c>
      <c r="L26" s="45">
        <f>SUMIFS(Конструкторы!Q$6:Q$1277,Конструкторы!$C$6:$C$1277,Обеспечение!$B26)</f>
        <v>0</v>
      </c>
      <c r="M26" s="45">
        <f>SUMIFS(Конструкторы!R$6:R$1277,Конструкторы!$C$6:$C$1277,Обеспечение!$B26)</f>
        <v>0</v>
      </c>
      <c r="N26" s="45">
        <f>SUMIFS(Конструкторы!S$6:S$1277,Конструкторы!$C$6:$C$1277,Обеспечение!$B26)</f>
        <v>0</v>
      </c>
      <c r="O26" s="45">
        <f>SUMIFS(Конструкторы!T$6:T$1277,Конструкторы!$C$6:$C$1277,Обеспечение!$B26)</f>
        <v>0</v>
      </c>
    </row>
    <row r="27" spans="1:15" ht="31.5" hidden="1" outlineLevel="1" x14ac:dyDescent="0.25">
      <c r="A27" s="28" t="s">
        <v>70</v>
      </c>
      <c r="B27" s="33" t="s">
        <v>95</v>
      </c>
      <c r="C27" s="279"/>
      <c r="D27" s="45">
        <f>SUMIFS(Конструкторы!I$6:I$1277,Конструкторы!$C$6:$C$1277,Обеспечение!$B27)</f>
        <v>0</v>
      </c>
      <c r="E27" s="45">
        <f>SUMIFS(Конструкторы!J$6:J$1277,Конструкторы!$C$6:$C$1277,Обеспечение!$B27)</f>
        <v>9000</v>
      </c>
      <c r="F27" s="45">
        <f>SUMIFS(Конструкторы!K$6:K$1277,Конструкторы!$C$6:$C$1277,Обеспечение!$B27)</f>
        <v>0</v>
      </c>
      <c r="G27" s="45">
        <f>SUMIFS(Конструкторы!L$6:L$1277,Конструкторы!$C$6:$C$1277,Обеспечение!$B27)</f>
        <v>0</v>
      </c>
      <c r="H27" s="45">
        <f>SUMIFS(Конструкторы!M$6:M$1277,Конструкторы!$C$6:$C$1277,Обеспечение!$B27)</f>
        <v>0</v>
      </c>
      <c r="I27" s="45">
        <f>SUMIFS(Конструкторы!N$6:N$1277,Конструкторы!$C$6:$C$1277,Обеспечение!$B27)</f>
        <v>0</v>
      </c>
      <c r="J27" s="45">
        <f>SUMIFS(Конструкторы!O$6:O$1277,Конструкторы!$C$6:$C$1277,Обеспечение!$B27)</f>
        <v>0</v>
      </c>
      <c r="K27" s="45">
        <f>SUMIFS(Конструкторы!P$6:P$1277,Конструкторы!$C$6:$C$1277,Обеспечение!$B27)</f>
        <v>0</v>
      </c>
      <c r="L27" s="45">
        <f>SUMIFS(Конструкторы!Q$6:Q$1277,Конструкторы!$C$6:$C$1277,Обеспечение!$B27)</f>
        <v>0</v>
      </c>
      <c r="M27" s="45">
        <f>SUMIFS(Конструкторы!R$6:R$1277,Конструкторы!$C$6:$C$1277,Обеспечение!$B27)</f>
        <v>0</v>
      </c>
      <c r="N27" s="45">
        <f>SUMIFS(Конструкторы!S$6:S$1277,Конструкторы!$C$6:$C$1277,Обеспечение!$B27)</f>
        <v>0</v>
      </c>
      <c r="O27" s="45">
        <f>SUMIFS(Конструкторы!T$6:T$1277,Конструкторы!$C$6:$C$1277,Обеспечение!$B27)</f>
        <v>0</v>
      </c>
    </row>
    <row r="28" spans="1:15" ht="15.75" hidden="1" outlineLevel="1" x14ac:dyDescent="0.25">
      <c r="A28" s="28" t="s">
        <v>70</v>
      </c>
      <c r="B28" s="26" t="s">
        <v>96</v>
      </c>
      <c r="C28" s="279"/>
      <c r="D28" s="45">
        <f>SUMIFS(Конструкторы!I$6:I$1277,Конструкторы!$C$6:$C$1277,Обеспечение!$B28)</f>
        <v>0</v>
      </c>
      <c r="E28" s="45">
        <f>SUMIFS(Конструкторы!J$6:J$1277,Конструкторы!$C$6:$C$1277,Обеспечение!$B28)</f>
        <v>0</v>
      </c>
      <c r="F28" s="45">
        <f>SUMIFS(Конструкторы!K$6:K$1277,Конструкторы!$C$6:$C$1277,Обеспечение!$B28)</f>
        <v>0</v>
      </c>
      <c r="G28" s="45">
        <f>SUMIFS(Конструкторы!L$6:L$1277,Конструкторы!$C$6:$C$1277,Обеспечение!$B28)</f>
        <v>0</v>
      </c>
      <c r="H28" s="45">
        <f>SUMIFS(Конструкторы!M$6:M$1277,Конструкторы!$C$6:$C$1277,Обеспечение!$B28)</f>
        <v>0</v>
      </c>
      <c r="I28" s="45">
        <f>SUMIFS(Конструкторы!N$6:N$1277,Конструкторы!$C$6:$C$1277,Обеспечение!$B28)</f>
        <v>0</v>
      </c>
      <c r="J28" s="45">
        <f>SUMIFS(Конструкторы!O$6:O$1277,Конструкторы!$C$6:$C$1277,Обеспечение!$B28)</f>
        <v>0</v>
      </c>
      <c r="K28" s="45">
        <f>SUMIFS(Конструкторы!P$6:P$1277,Конструкторы!$C$6:$C$1277,Обеспечение!$B28)</f>
        <v>0</v>
      </c>
      <c r="L28" s="45">
        <f>SUMIFS(Конструкторы!Q$6:Q$1277,Конструкторы!$C$6:$C$1277,Обеспечение!$B28)</f>
        <v>0</v>
      </c>
      <c r="M28" s="45">
        <f>SUMIFS(Конструкторы!R$6:R$1277,Конструкторы!$C$6:$C$1277,Обеспечение!$B28)</f>
        <v>0</v>
      </c>
      <c r="N28" s="45">
        <f>SUMIFS(Конструкторы!S$6:S$1277,Конструкторы!$C$6:$C$1277,Обеспечение!$B28)</f>
        <v>0</v>
      </c>
      <c r="O28" s="45">
        <f>SUMIFS(Конструкторы!T$6:T$1277,Конструкторы!$C$6:$C$1277,Обеспечение!$B28)</f>
        <v>0</v>
      </c>
    </row>
    <row r="29" spans="1:15" ht="15.75" hidden="1" outlineLevel="1" x14ac:dyDescent="0.25">
      <c r="A29" s="28" t="s">
        <v>70</v>
      </c>
      <c r="B29" s="26" t="s">
        <v>98</v>
      </c>
      <c r="C29" s="279"/>
      <c r="D29" s="45">
        <f>SUMIFS(Конструкторы!I$6:I$1277,Конструкторы!$C$6:$C$1277,Обеспечение!$B29)</f>
        <v>0</v>
      </c>
      <c r="E29" s="45">
        <f>SUMIFS(Конструкторы!J$6:J$1277,Конструкторы!$C$6:$C$1277,Обеспечение!$B29)</f>
        <v>0</v>
      </c>
      <c r="F29" s="45">
        <f>SUMIFS(Конструкторы!K$6:K$1277,Конструкторы!$C$6:$C$1277,Обеспечение!$B29)</f>
        <v>0</v>
      </c>
      <c r="G29" s="45">
        <f>SUMIFS(Конструкторы!L$6:L$1277,Конструкторы!$C$6:$C$1277,Обеспечение!$B29)</f>
        <v>0</v>
      </c>
      <c r="H29" s="45">
        <f>SUMIFS(Конструкторы!M$6:M$1277,Конструкторы!$C$6:$C$1277,Обеспечение!$B29)</f>
        <v>0</v>
      </c>
      <c r="I29" s="45">
        <f>SUMIFS(Конструкторы!N$6:N$1277,Конструкторы!$C$6:$C$1277,Обеспечение!$B29)</f>
        <v>0</v>
      </c>
      <c r="J29" s="45">
        <f>SUMIFS(Конструкторы!O$6:O$1277,Конструкторы!$C$6:$C$1277,Обеспечение!$B29)</f>
        <v>0</v>
      </c>
      <c r="K29" s="45">
        <f>SUMIFS(Конструкторы!P$6:P$1277,Конструкторы!$C$6:$C$1277,Обеспечение!$B29)</f>
        <v>0</v>
      </c>
      <c r="L29" s="45">
        <f>SUMIFS(Конструкторы!Q$6:Q$1277,Конструкторы!$C$6:$C$1277,Обеспечение!$B29)</f>
        <v>0</v>
      </c>
      <c r="M29" s="45">
        <f>SUMIFS(Конструкторы!R$6:R$1277,Конструкторы!$C$6:$C$1277,Обеспечение!$B29)</f>
        <v>0</v>
      </c>
      <c r="N29" s="45">
        <f>SUMIFS(Конструкторы!S$6:S$1277,Конструкторы!$C$6:$C$1277,Обеспечение!$B29)</f>
        <v>0</v>
      </c>
      <c r="O29" s="45">
        <f>SUMIFS(Конструкторы!T$6:T$1277,Конструкторы!$C$6:$C$1277,Обеспечение!$B29)</f>
        <v>0</v>
      </c>
    </row>
    <row r="30" spans="1:15" ht="15.75" hidden="1" outlineLevel="1" x14ac:dyDescent="0.25">
      <c r="A30" s="28" t="s">
        <v>70</v>
      </c>
      <c r="B30" s="26" t="s">
        <v>99</v>
      </c>
      <c r="C30" s="279"/>
      <c r="D30" s="45">
        <f>SUMIFS(Конструкторы!I$6:I$1277,Конструкторы!$C$6:$C$1277,Обеспечение!$B30)</f>
        <v>0</v>
      </c>
      <c r="E30" s="45">
        <f>SUMIFS(Конструкторы!J$6:J$1277,Конструкторы!$C$6:$C$1277,Обеспечение!$B30)</f>
        <v>0</v>
      </c>
      <c r="F30" s="45">
        <f>SUMIFS(Конструкторы!K$6:K$1277,Конструкторы!$C$6:$C$1277,Обеспечение!$B30)</f>
        <v>0</v>
      </c>
      <c r="G30" s="45">
        <f>SUMIFS(Конструкторы!L$6:L$1277,Конструкторы!$C$6:$C$1277,Обеспечение!$B30)</f>
        <v>0</v>
      </c>
      <c r="H30" s="45">
        <f>SUMIFS(Конструкторы!M$6:M$1277,Конструкторы!$C$6:$C$1277,Обеспечение!$B30)</f>
        <v>0</v>
      </c>
      <c r="I30" s="45">
        <f>SUMIFS(Конструкторы!N$6:N$1277,Конструкторы!$C$6:$C$1277,Обеспечение!$B30)</f>
        <v>0</v>
      </c>
      <c r="J30" s="45">
        <f>SUMIFS(Конструкторы!O$6:O$1277,Конструкторы!$C$6:$C$1277,Обеспечение!$B30)</f>
        <v>0</v>
      </c>
      <c r="K30" s="45">
        <f>SUMIFS(Конструкторы!P$6:P$1277,Конструкторы!$C$6:$C$1277,Обеспечение!$B30)</f>
        <v>0</v>
      </c>
      <c r="L30" s="45">
        <f>SUMIFS(Конструкторы!Q$6:Q$1277,Конструкторы!$C$6:$C$1277,Обеспечение!$B30)</f>
        <v>0</v>
      </c>
      <c r="M30" s="45">
        <f>SUMIFS(Конструкторы!R$6:R$1277,Конструкторы!$C$6:$C$1277,Обеспечение!$B30)</f>
        <v>0</v>
      </c>
      <c r="N30" s="45">
        <f>SUMIFS(Конструкторы!S$6:S$1277,Конструкторы!$C$6:$C$1277,Обеспечение!$B30)</f>
        <v>0</v>
      </c>
      <c r="O30" s="45">
        <f>SUMIFS(Конструкторы!T$6:T$1277,Конструкторы!$C$6:$C$1277,Обеспечение!$B30)</f>
        <v>0</v>
      </c>
    </row>
    <row r="31" spans="1:15" ht="15.75" hidden="1" outlineLevel="1" x14ac:dyDescent="0.25">
      <c r="A31" s="28" t="s">
        <v>70</v>
      </c>
      <c r="B31" s="26" t="s">
        <v>100</v>
      </c>
      <c r="C31" s="279"/>
      <c r="D31" s="45">
        <f>SUMIFS(Конструкторы!I$6:I$1277,Конструкторы!$C$6:$C$1277,Обеспечение!$B31)</f>
        <v>0</v>
      </c>
      <c r="E31" s="45">
        <f>SUMIFS(Конструкторы!J$6:J$1277,Конструкторы!$C$6:$C$1277,Обеспечение!$B31)</f>
        <v>0</v>
      </c>
      <c r="F31" s="45">
        <f>SUMIFS(Конструкторы!K$6:K$1277,Конструкторы!$C$6:$C$1277,Обеспечение!$B31)</f>
        <v>0</v>
      </c>
      <c r="G31" s="45">
        <f>SUMIFS(Конструкторы!L$6:L$1277,Конструкторы!$C$6:$C$1277,Обеспечение!$B31)</f>
        <v>0</v>
      </c>
      <c r="H31" s="45">
        <f>SUMIFS(Конструкторы!M$6:M$1277,Конструкторы!$C$6:$C$1277,Обеспечение!$B31)</f>
        <v>0</v>
      </c>
      <c r="I31" s="45">
        <f>SUMIFS(Конструкторы!N$6:N$1277,Конструкторы!$C$6:$C$1277,Обеспечение!$B31)</f>
        <v>0</v>
      </c>
      <c r="J31" s="45">
        <f>SUMIFS(Конструкторы!O$6:O$1277,Конструкторы!$C$6:$C$1277,Обеспечение!$B31)</f>
        <v>0</v>
      </c>
      <c r="K31" s="45">
        <f>SUMIFS(Конструкторы!P$6:P$1277,Конструкторы!$C$6:$C$1277,Обеспечение!$B31)</f>
        <v>0</v>
      </c>
      <c r="L31" s="45">
        <f>SUMIFS(Конструкторы!Q$6:Q$1277,Конструкторы!$C$6:$C$1277,Обеспечение!$B31)</f>
        <v>0</v>
      </c>
      <c r="M31" s="45">
        <f>SUMIFS(Конструкторы!R$6:R$1277,Конструкторы!$C$6:$C$1277,Обеспечение!$B31)</f>
        <v>0</v>
      </c>
      <c r="N31" s="45">
        <f>SUMIFS(Конструкторы!S$6:S$1277,Конструкторы!$C$6:$C$1277,Обеспечение!$B31)</f>
        <v>0</v>
      </c>
      <c r="O31" s="45">
        <f>SUMIFS(Конструкторы!T$6:T$1277,Конструкторы!$C$6:$C$1277,Обеспечение!$B31)</f>
        <v>0</v>
      </c>
    </row>
    <row r="32" spans="1:15" ht="15.75" hidden="1" outlineLevel="1" x14ac:dyDescent="0.25">
      <c r="A32" s="28" t="s">
        <v>70</v>
      </c>
      <c r="B32" s="26" t="s">
        <v>97</v>
      </c>
      <c r="C32" s="279"/>
      <c r="D32" s="45">
        <f>SUMIFS(Конструкторы!I$6:I$1277,Конструкторы!$C$6:$C$1277,Обеспечение!$B32)</f>
        <v>0</v>
      </c>
      <c r="E32" s="45">
        <f>SUMIFS(Конструкторы!J$6:J$1277,Конструкторы!$C$6:$C$1277,Обеспечение!$B32)</f>
        <v>0</v>
      </c>
      <c r="F32" s="45">
        <f>SUMIFS(Конструкторы!K$6:K$1277,Конструкторы!$C$6:$C$1277,Обеспечение!$B32)</f>
        <v>0</v>
      </c>
      <c r="G32" s="45">
        <f>SUMIFS(Конструкторы!L$6:L$1277,Конструкторы!$C$6:$C$1277,Обеспечение!$B32)</f>
        <v>0</v>
      </c>
      <c r="H32" s="45">
        <f>SUMIFS(Конструкторы!M$6:M$1277,Конструкторы!$C$6:$C$1277,Обеспечение!$B32)</f>
        <v>0</v>
      </c>
      <c r="I32" s="45">
        <f>SUMIFS(Конструкторы!N$6:N$1277,Конструкторы!$C$6:$C$1277,Обеспечение!$B32)</f>
        <v>0</v>
      </c>
      <c r="J32" s="45">
        <f>SUMIFS(Конструкторы!O$6:O$1277,Конструкторы!$C$6:$C$1277,Обеспечение!$B32)</f>
        <v>0</v>
      </c>
      <c r="K32" s="45">
        <f>SUMIFS(Конструкторы!P$6:P$1277,Конструкторы!$C$6:$C$1277,Обеспечение!$B32)</f>
        <v>0</v>
      </c>
      <c r="L32" s="45">
        <f>SUMIFS(Конструкторы!Q$6:Q$1277,Конструкторы!$C$6:$C$1277,Обеспечение!$B32)</f>
        <v>0</v>
      </c>
      <c r="M32" s="45">
        <f>SUMIFS(Конструкторы!R$6:R$1277,Конструкторы!$C$6:$C$1277,Обеспечение!$B32)</f>
        <v>0</v>
      </c>
      <c r="N32" s="45">
        <f>SUMIFS(Конструкторы!S$6:S$1277,Конструкторы!$C$6:$C$1277,Обеспечение!$B32)</f>
        <v>0</v>
      </c>
      <c r="O32" s="45">
        <f>SUMIFS(Конструкторы!T$6:T$1277,Конструкторы!$C$6:$C$1277,Обеспечение!$B32)</f>
        <v>0</v>
      </c>
    </row>
    <row r="33" spans="1:25" hidden="1" outlineLevel="1" x14ac:dyDescent="0.25">
      <c r="A33" s="28" t="s">
        <v>465</v>
      </c>
      <c r="B33" s="38" t="s">
        <v>389</v>
      </c>
      <c r="C33" s="279"/>
      <c r="D33" s="45">
        <f>SUMIFS(Конструкторы!I$6:I$1277,Конструкторы!$C$6:$C$1277,Обеспечение!$B33)</f>
        <v>0</v>
      </c>
      <c r="E33" s="45">
        <f>SUMIFS(Конструкторы!J$6:J$1277,Конструкторы!$C$6:$C$1277,Обеспечение!$B33)</f>
        <v>0</v>
      </c>
      <c r="F33" s="45">
        <f>SUMIFS(Конструкторы!K$6:K$1277,Конструкторы!$C$6:$C$1277,Обеспечение!$B33)</f>
        <v>0</v>
      </c>
      <c r="G33" s="45">
        <f>SUMIFS(Конструкторы!L$6:L$1277,Конструкторы!$C$6:$C$1277,Обеспечение!$B33)</f>
        <v>25718.061674008812</v>
      </c>
      <c r="H33" s="45">
        <f>SUMIFS(Конструкторы!M$6:M$1277,Конструкторы!$C$6:$C$1277,Обеспечение!$B33)</f>
        <v>30502.817334289521</v>
      </c>
      <c r="I33" s="45">
        <f>SUMIFS(Конструкторы!N$6:N$1277,Конструкторы!$C$6:$C$1277,Обеспечение!$B33)</f>
        <v>27512.345046614075</v>
      </c>
      <c r="J33" s="45">
        <f>SUMIFS(Конструкторы!O$6:O$1277,Конструкторы!$C$6:$C$1277,Обеспечение!$B33)</f>
        <v>27512.345046614075</v>
      </c>
      <c r="K33" s="45">
        <f>SUMIFS(Конструкторы!P$6:P$1277,Конструкторы!$C$6:$C$1277,Обеспечение!$B33)</f>
        <v>27512.345046614075</v>
      </c>
      <c r="L33" s="45">
        <f>SUMIFS(Конструкторы!Q$6:Q$1277,Конструкторы!$C$6:$C$1277,Обеспечение!$B33)</f>
        <v>27512.345046614075</v>
      </c>
      <c r="M33" s="45">
        <f>SUMIFS(Конструкторы!R$6:R$1277,Конструкторы!$C$6:$C$1277,Обеспечение!$B33)</f>
        <v>27512.345046614075</v>
      </c>
      <c r="N33" s="45">
        <f>SUMIFS(Конструкторы!S$6:S$1277,Конструкторы!$C$6:$C$1277,Обеспечение!$B33)</f>
        <v>27512.345046614075</v>
      </c>
      <c r="O33" s="45">
        <f>SUMIFS(Конструкторы!T$6:T$1277,Конструкторы!$C$6:$C$1277,Обеспечение!$B33)</f>
        <v>27512.345046614075</v>
      </c>
    </row>
    <row r="34" spans="1:25" hidden="1" outlineLevel="1" x14ac:dyDescent="0.25">
      <c r="A34" s="28" t="s">
        <v>70</v>
      </c>
      <c r="B34" s="136" t="s">
        <v>453</v>
      </c>
      <c r="C34" s="279"/>
      <c r="D34" s="45">
        <f>SUMIFS(Конструкторы!I$6:I$1277,Конструкторы!$C$6:$C$1277,Обеспечение!$B34)</f>
        <v>0</v>
      </c>
      <c r="E34" s="45">
        <f>SUMIFS(Конструкторы!J$6:J$1277,Конструкторы!$C$6:$C$1277,Обеспечение!$B34)</f>
        <v>0</v>
      </c>
      <c r="F34" s="45">
        <f>SUMIFS(Конструкторы!K$6:K$1277,Конструкторы!$C$6:$C$1277,Обеспечение!$B34)</f>
        <v>0</v>
      </c>
      <c r="G34" s="45">
        <f>SUMIFS(Конструкторы!L$6:L$1277,Конструкторы!$C$6:$C$1277,Обеспечение!$B34)</f>
        <v>0</v>
      </c>
      <c r="H34" s="45">
        <f>SUMIFS(Конструкторы!M$6:M$1277,Конструкторы!$C$6:$C$1277,Обеспечение!$B34)</f>
        <v>0</v>
      </c>
      <c r="I34" s="45">
        <f>SUMIFS(Конструкторы!N$6:N$1277,Конструкторы!$C$6:$C$1277,Обеспечение!$B34)</f>
        <v>0</v>
      </c>
      <c r="J34" s="45">
        <f>SUMIFS(Конструкторы!O$6:O$1277,Конструкторы!$C$6:$C$1277,Обеспечение!$B34)</f>
        <v>0</v>
      </c>
      <c r="K34" s="45">
        <f>SUMIFS(Конструкторы!P$6:P$1277,Конструкторы!$C$6:$C$1277,Обеспечение!$B34)</f>
        <v>0</v>
      </c>
      <c r="L34" s="45">
        <f>SUMIFS(Конструкторы!Q$6:Q$1277,Конструкторы!$C$6:$C$1277,Обеспечение!$B34)</f>
        <v>0</v>
      </c>
      <c r="M34" s="45">
        <f>SUMIFS(Конструкторы!R$6:R$1277,Конструкторы!$C$6:$C$1277,Обеспечение!$B34)</f>
        <v>0</v>
      </c>
      <c r="N34" s="45">
        <f>SUMIFS(Конструкторы!S$6:S$1277,Конструкторы!$C$6:$C$1277,Обеспечение!$B34)</f>
        <v>0</v>
      </c>
      <c r="O34" s="45">
        <f>SUMIFS(Конструкторы!T$6:T$1277,Конструкторы!$C$6:$C$1277,Обеспечение!$B34)</f>
        <v>0</v>
      </c>
    </row>
    <row r="35" spans="1:25" hidden="1" outlineLevel="1" x14ac:dyDescent="0.25">
      <c r="A35" s="28" t="s">
        <v>70</v>
      </c>
      <c r="B35" s="136" t="s">
        <v>454</v>
      </c>
      <c r="C35" s="279"/>
      <c r="D35" s="45">
        <f>SUMIFS(Конструкторы!I$6:I$1277,Конструкторы!$C$6:$C$1277,Обеспечение!$B35)</f>
        <v>0</v>
      </c>
      <c r="E35" s="45">
        <f>SUMIFS(Конструкторы!J$6:J$1277,Конструкторы!$C$6:$C$1277,Обеспечение!$B35)</f>
        <v>0</v>
      </c>
      <c r="F35" s="45">
        <f>SUMIFS(Конструкторы!K$6:K$1277,Конструкторы!$C$6:$C$1277,Обеспечение!$B35)</f>
        <v>0</v>
      </c>
      <c r="G35" s="45">
        <f>SUMIFS(Конструкторы!L$6:L$1277,Конструкторы!$C$6:$C$1277,Обеспечение!$B35)</f>
        <v>0</v>
      </c>
      <c r="H35" s="45">
        <f>SUMIFS(Конструкторы!M$6:M$1277,Конструкторы!$C$6:$C$1277,Обеспечение!$B35)</f>
        <v>0</v>
      </c>
      <c r="I35" s="45">
        <f>SUMIFS(Конструкторы!N$6:N$1277,Конструкторы!$C$6:$C$1277,Обеспечение!$B35)</f>
        <v>0</v>
      </c>
      <c r="J35" s="45">
        <f>SUMIFS(Конструкторы!O$6:O$1277,Конструкторы!$C$6:$C$1277,Обеспечение!$B35)</f>
        <v>0</v>
      </c>
      <c r="K35" s="45">
        <f>SUMIFS(Конструкторы!P$6:P$1277,Конструкторы!$C$6:$C$1277,Обеспечение!$B35)</f>
        <v>0</v>
      </c>
      <c r="L35" s="45">
        <f>SUMIFS(Конструкторы!Q$6:Q$1277,Конструкторы!$C$6:$C$1277,Обеспечение!$B35)</f>
        <v>0</v>
      </c>
      <c r="M35" s="45">
        <f>SUMIFS(Конструкторы!R$6:R$1277,Конструкторы!$C$6:$C$1277,Обеспечение!$B35)</f>
        <v>0</v>
      </c>
      <c r="N35" s="45">
        <f>SUMIFS(Конструкторы!S$6:S$1277,Конструкторы!$C$6:$C$1277,Обеспечение!$B35)</f>
        <v>0</v>
      </c>
      <c r="O35" s="45">
        <f>SUMIFS(Конструкторы!T$6:T$1277,Конструкторы!$C$6:$C$1277,Обеспечение!$B35)</f>
        <v>0</v>
      </c>
    </row>
    <row r="36" spans="1:25" hidden="1" outlineLevel="1" x14ac:dyDescent="0.25">
      <c r="A36" s="28" t="s">
        <v>70</v>
      </c>
      <c r="B36" s="136" t="s">
        <v>455</v>
      </c>
      <c r="C36" s="279"/>
      <c r="D36" s="45">
        <f>SUMIFS(Конструкторы!I$6:I$1277,Конструкторы!$C$6:$C$1277,Обеспечение!$B36)</f>
        <v>0</v>
      </c>
      <c r="E36" s="45">
        <f>SUMIFS(Конструкторы!J$6:J$1277,Конструкторы!$C$6:$C$1277,Обеспечение!$B36)</f>
        <v>0</v>
      </c>
      <c r="F36" s="45">
        <f>SUMIFS(Конструкторы!K$6:K$1277,Конструкторы!$C$6:$C$1277,Обеспечение!$B36)</f>
        <v>0</v>
      </c>
      <c r="G36" s="45">
        <f>SUMIFS(Конструкторы!L$6:L$1277,Конструкторы!$C$6:$C$1277,Обеспечение!$B36)</f>
        <v>0</v>
      </c>
      <c r="H36" s="45">
        <f>SUMIFS(Конструкторы!M$6:M$1277,Конструкторы!$C$6:$C$1277,Обеспечение!$B36)</f>
        <v>0</v>
      </c>
      <c r="I36" s="45">
        <f>SUMIFS(Конструкторы!N$6:N$1277,Конструкторы!$C$6:$C$1277,Обеспечение!$B36)</f>
        <v>0</v>
      </c>
      <c r="J36" s="45">
        <f>SUMIFS(Конструкторы!O$6:O$1277,Конструкторы!$C$6:$C$1277,Обеспечение!$B36)</f>
        <v>0</v>
      </c>
      <c r="K36" s="45">
        <f>SUMIFS(Конструкторы!P$6:P$1277,Конструкторы!$C$6:$C$1277,Обеспечение!$B36)</f>
        <v>0</v>
      </c>
      <c r="L36" s="45">
        <f>SUMIFS(Конструкторы!Q$6:Q$1277,Конструкторы!$C$6:$C$1277,Обеспечение!$B36)</f>
        <v>0</v>
      </c>
      <c r="M36" s="45">
        <f>SUMIFS(Конструкторы!R$6:R$1277,Конструкторы!$C$6:$C$1277,Обеспечение!$B36)</f>
        <v>0</v>
      </c>
      <c r="N36" s="45">
        <f>SUMIFS(Конструкторы!S$6:S$1277,Конструкторы!$C$6:$C$1277,Обеспечение!$B36)</f>
        <v>0</v>
      </c>
      <c r="O36" s="45">
        <f>SUMIFS(Конструкторы!T$6:T$1277,Конструкторы!$C$6:$C$1277,Обеспечение!$B36)</f>
        <v>0</v>
      </c>
    </row>
    <row r="37" spans="1:25" hidden="1" outlineLevel="1" x14ac:dyDescent="0.25">
      <c r="A37" s="28" t="s">
        <v>70</v>
      </c>
      <c r="B37" s="136" t="s">
        <v>456</v>
      </c>
      <c r="C37" s="279"/>
      <c r="D37" s="45">
        <f>SUMIFS(Конструкторы!I$6:I$1277,Конструкторы!$C$6:$C$1277,Обеспечение!$B37)</f>
        <v>0</v>
      </c>
      <c r="E37" s="45">
        <f>SUMIFS(Конструкторы!J$6:J$1277,Конструкторы!$C$6:$C$1277,Обеспечение!$B37)</f>
        <v>0</v>
      </c>
      <c r="F37" s="45">
        <f>SUMIFS(Конструкторы!K$6:K$1277,Конструкторы!$C$6:$C$1277,Обеспечение!$B37)</f>
        <v>0</v>
      </c>
      <c r="G37" s="45">
        <f>SUMIFS(Конструкторы!L$6:L$1277,Конструкторы!$C$6:$C$1277,Обеспечение!$B37)</f>
        <v>0</v>
      </c>
      <c r="H37" s="45">
        <f>SUMIFS(Конструкторы!M$6:M$1277,Конструкторы!$C$6:$C$1277,Обеспечение!$B37)</f>
        <v>0</v>
      </c>
      <c r="I37" s="45">
        <f>SUMIFS(Конструкторы!N$6:N$1277,Конструкторы!$C$6:$C$1277,Обеспечение!$B37)</f>
        <v>0</v>
      </c>
      <c r="J37" s="45">
        <f>SUMIFS(Конструкторы!O$6:O$1277,Конструкторы!$C$6:$C$1277,Обеспечение!$B37)</f>
        <v>0</v>
      </c>
      <c r="K37" s="45">
        <f>SUMIFS(Конструкторы!P$6:P$1277,Конструкторы!$C$6:$C$1277,Обеспечение!$B37)</f>
        <v>0</v>
      </c>
      <c r="L37" s="45">
        <f>SUMIFS(Конструкторы!Q$6:Q$1277,Конструкторы!$C$6:$C$1277,Обеспечение!$B37)</f>
        <v>0</v>
      </c>
      <c r="M37" s="45">
        <f>SUMIFS(Конструкторы!R$6:R$1277,Конструкторы!$C$6:$C$1277,Обеспечение!$B37)</f>
        <v>0</v>
      </c>
      <c r="N37" s="45">
        <f>SUMIFS(Конструкторы!S$6:S$1277,Конструкторы!$C$6:$C$1277,Обеспечение!$B37)</f>
        <v>0</v>
      </c>
      <c r="O37" s="45">
        <f>SUMIFS(Конструкторы!T$6:T$1277,Конструкторы!$C$6:$C$1277,Обеспечение!$B37)</f>
        <v>0</v>
      </c>
    </row>
    <row r="38" spans="1:25" hidden="1" outlineLevel="1" x14ac:dyDescent="0.25">
      <c r="A38" s="28" t="s">
        <v>70</v>
      </c>
      <c r="B38" s="136" t="s">
        <v>457</v>
      </c>
      <c r="C38" s="279"/>
      <c r="D38" s="45">
        <f>SUMIFS(Конструкторы!I$6:I$1277,Конструкторы!$C$6:$C$1277,Обеспечение!$B38)</f>
        <v>0</v>
      </c>
      <c r="E38" s="45">
        <f>SUMIFS(Конструкторы!J$6:J$1277,Конструкторы!$C$6:$C$1277,Обеспечение!$B38)</f>
        <v>0</v>
      </c>
      <c r="F38" s="45">
        <f>SUMIFS(Конструкторы!K$6:K$1277,Конструкторы!$C$6:$C$1277,Обеспечение!$B38)</f>
        <v>0</v>
      </c>
      <c r="G38" s="45">
        <f>SUMIFS(Конструкторы!L$6:L$1277,Конструкторы!$C$6:$C$1277,Обеспечение!$B38)</f>
        <v>0</v>
      </c>
      <c r="H38" s="45">
        <f>SUMIFS(Конструкторы!M$6:M$1277,Конструкторы!$C$6:$C$1277,Обеспечение!$B38)</f>
        <v>0</v>
      </c>
      <c r="I38" s="45">
        <f>SUMIFS(Конструкторы!N$6:N$1277,Конструкторы!$C$6:$C$1277,Обеспечение!$B38)</f>
        <v>0</v>
      </c>
      <c r="J38" s="45">
        <f>SUMIFS(Конструкторы!O$6:O$1277,Конструкторы!$C$6:$C$1277,Обеспечение!$B38)</f>
        <v>0</v>
      </c>
      <c r="K38" s="45">
        <f>SUMIFS(Конструкторы!P$6:P$1277,Конструкторы!$C$6:$C$1277,Обеспечение!$B38)</f>
        <v>0</v>
      </c>
      <c r="L38" s="45">
        <f>SUMIFS(Конструкторы!Q$6:Q$1277,Конструкторы!$C$6:$C$1277,Обеспечение!$B38)</f>
        <v>0</v>
      </c>
      <c r="M38" s="45">
        <f>SUMIFS(Конструкторы!R$6:R$1277,Конструкторы!$C$6:$C$1277,Обеспечение!$B38)</f>
        <v>0</v>
      </c>
      <c r="N38" s="45">
        <f>SUMIFS(Конструкторы!S$6:S$1277,Конструкторы!$C$6:$C$1277,Обеспечение!$B38)</f>
        <v>0</v>
      </c>
      <c r="O38" s="45">
        <f>SUMIFS(Конструкторы!T$6:T$1277,Конструкторы!$C$6:$C$1277,Обеспечение!$B38)</f>
        <v>0</v>
      </c>
    </row>
    <row r="39" spans="1:25" hidden="1" outlineLevel="1" x14ac:dyDescent="0.25">
      <c r="A39" s="28" t="s">
        <v>70</v>
      </c>
      <c r="B39" s="136" t="s">
        <v>458</v>
      </c>
      <c r="C39" s="279"/>
      <c r="D39" s="45">
        <f>SUMIFS(Конструкторы!I$6:I$1277,Конструкторы!$C$6:$C$1277,Обеспечение!$B39)</f>
        <v>0</v>
      </c>
      <c r="E39" s="45">
        <f>SUMIFS(Конструкторы!J$6:J$1277,Конструкторы!$C$6:$C$1277,Обеспечение!$B39)</f>
        <v>0</v>
      </c>
      <c r="F39" s="45">
        <f>SUMIFS(Конструкторы!K$6:K$1277,Конструкторы!$C$6:$C$1277,Обеспечение!$B39)</f>
        <v>0</v>
      </c>
      <c r="G39" s="45">
        <f>SUMIFS(Конструкторы!L$6:L$1277,Конструкторы!$C$6:$C$1277,Обеспечение!$B39)</f>
        <v>0</v>
      </c>
      <c r="H39" s="45">
        <f>SUMIFS(Конструкторы!M$6:M$1277,Конструкторы!$C$6:$C$1277,Обеспечение!$B39)</f>
        <v>0</v>
      </c>
      <c r="I39" s="45">
        <f>SUMIFS(Конструкторы!N$6:N$1277,Конструкторы!$C$6:$C$1277,Обеспечение!$B39)</f>
        <v>0</v>
      </c>
      <c r="J39" s="45">
        <f>SUMIFS(Конструкторы!O$6:O$1277,Конструкторы!$C$6:$C$1277,Обеспечение!$B39)</f>
        <v>0</v>
      </c>
      <c r="K39" s="45">
        <f>SUMIFS(Конструкторы!P$6:P$1277,Конструкторы!$C$6:$C$1277,Обеспечение!$B39)</f>
        <v>0</v>
      </c>
      <c r="L39" s="45">
        <f>SUMIFS(Конструкторы!Q$6:Q$1277,Конструкторы!$C$6:$C$1277,Обеспечение!$B39)</f>
        <v>0</v>
      </c>
      <c r="M39" s="45">
        <f>SUMIFS(Конструкторы!R$6:R$1277,Конструкторы!$C$6:$C$1277,Обеспечение!$B39)</f>
        <v>0</v>
      </c>
      <c r="N39" s="45">
        <f>SUMIFS(Конструкторы!S$6:S$1277,Конструкторы!$C$6:$C$1277,Обеспечение!$B39)</f>
        <v>0</v>
      </c>
      <c r="O39" s="45">
        <f>SUMIFS(Конструкторы!T$6:T$1277,Конструкторы!$C$6:$C$1277,Обеспечение!$B39)</f>
        <v>0</v>
      </c>
    </row>
    <row r="40" spans="1:25" hidden="1" outlineLevel="1" x14ac:dyDescent="0.25">
      <c r="A40" s="28" t="s">
        <v>465</v>
      </c>
      <c r="B40" s="25" t="s">
        <v>466</v>
      </c>
      <c r="C40" s="279"/>
      <c r="D40" s="45">
        <f>SUMIFS(Конструкторы!I$6:I$1277,Конструкторы!$C$6:$C$1277,Обеспечение!$B40)</f>
        <v>0</v>
      </c>
      <c r="E40" s="45">
        <f>SUMIFS(Конструкторы!J$6:J$1277,Конструкторы!$C$6:$C$1277,Обеспечение!$B40)</f>
        <v>8600</v>
      </c>
      <c r="F40" s="45">
        <f>SUMIFS(Конструкторы!K$6:K$1277,Конструкторы!$C$6:$C$1277,Обеспечение!$B40)</f>
        <v>1700</v>
      </c>
      <c r="G40" s="45">
        <f>SUMIFS(Конструкторы!L$6:L$1277,Конструкторы!$C$6:$C$1277,Обеспечение!$B40)</f>
        <v>0</v>
      </c>
      <c r="H40" s="45">
        <f>SUMIFS(Конструкторы!M$6:M$1277,Конструкторы!$C$6:$C$1277,Обеспечение!$B40)</f>
        <v>0</v>
      </c>
      <c r="I40" s="45">
        <f>SUMIFS(Конструкторы!N$6:N$1277,Конструкторы!$C$6:$C$1277,Обеспечение!$B40)</f>
        <v>0</v>
      </c>
      <c r="J40" s="45">
        <f>SUMIFS(Конструкторы!O$6:O$1277,Конструкторы!$C$6:$C$1277,Обеспечение!$B40)</f>
        <v>0</v>
      </c>
      <c r="K40" s="45">
        <f>SUMIFS(Конструкторы!P$6:P$1277,Конструкторы!$C$6:$C$1277,Обеспечение!$B40)</f>
        <v>0</v>
      </c>
      <c r="L40" s="45">
        <f>SUMIFS(Конструкторы!Q$6:Q$1277,Конструкторы!$C$6:$C$1277,Обеспечение!$B40)</f>
        <v>0</v>
      </c>
      <c r="M40" s="45">
        <f>SUMIFS(Конструкторы!R$6:R$1277,Конструкторы!$C$6:$C$1277,Обеспечение!$B40)</f>
        <v>0</v>
      </c>
      <c r="N40" s="45">
        <f>SUMIFS(Конструкторы!S$6:S$1277,Конструкторы!$C$6:$C$1277,Обеспечение!$B40)</f>
        <v>0</v>
      </c>
      <c r="O40" s="45">
        <f>SUMIFS(Конструкторы!T$6:T$1277,Конструкторы!$C$6:$C$1277,Обеспечение!$B40)</f>
        <v>0</v>
      </c>
    </row>
    <row r="41" spans="1:25" hidden="1" outlineLevel="1" x14ac:dyDescent="0.25">
      <c r="A41" s="28" t="s">
        <v>465</v>
      </c>
      <c r="B41" s="25" t="s">
        <v>467</v>
      </c>
      <c r="C41" s="279"/>
      <c r="D41" s="45">
        <f>SUMIFS(Конструкторы!I$6:I$1277,Конструкторы!$C$6:$C$1277,Обеспечение!$B41)</f>
        <v>0</v>
      </c>
      <c r="E41" s="45">
        <f>SUMIFS(Конструкторы!J$6:J$1277,Конструкторы!$C$6:$C$1277,Обеспечение!$B41)</f>
        <v>0</v>
      </c>
      <c r="F41" s="45">
        <f>SUMIFS(Конструкторы!K$6:K$1277,Конструкторы!$C$6:$C$1277,Обеспечение!$B41)</f>
        <v>0</v>
      </c>
      <c r="G41" s="45">
        <f>SUMIFS(Конструкторы!L$6:L$1277,Конструкторы!$C$6:$C$1277,Обеспечение!$B41)</f>
        <v>0</v>
      </c>
      <c r="H41" s="45">
        <f>SUMIFS(Конструкторы!M$6:M$1277,Конструкторы!$C$6:$C$1277,Обеспечение!$B41)</f>
        <v>0</v>
      </c>
      <c r="I41" s="45">
        <f>SUMIFS(Конструкторы!N$6:N$1277,Конструкторы!$C$6:$C$1277,Обеспечение!$B41)</f>
        <v>0</v>
      </c>
      <c r="J41" s="45">
        <f>SUMIFS(Конструкторы!O$6:O$1277,Конструкторы!$C$6:$C$1277,Обеспечение!$B41)</f>
        <v>0</v>
      </c>
      <c r="K41" s="45">
        <f>SUMIFS(Конструкторы!P$6:P$1277,Конструкторы!$C$6:$C$1277,Обеспечение!$B41)</f>
        <v>0</v>
      </c>
      <c r="L41" s="45">
        <f>SUMIFS(Конструкторы!Q$6:Q$1277,Конструкторы!$C$6:$C$1277,Обеспечение!$B41)</f>
        <v>0</v>
      </c>
      <c r="M41" s="45">
        <f>SUMIFS(Конструкторы!R$6:R$1277,Конструкторы!$C$6:$C$1277,Обеспечение!$B41)</f>
        <v>0</v>
      </c>
      <c r="N41" s="45">
        <f>SUMIFS(Конструкторы!S$6:S$1277,Конструкторы!$C$6:$C$1277,Обеспечение!$B41)</f>
        <v>0</v>
      </c>
      <c r="O41" s="45">
        <f>SUMIFS(Конструкторы!T$6:T$1277,Конструкторы!$C$6:$C$1277,Обеспечение!$B41)</f>
        <v>0</v>
      </c>
    </row>
    <row r="42" spans="1:25" hidden="1" outlineLevel="1" x14ac:dyDescent="0.25"/>
    <row r="44" spans="1:25" ht="21" x14ac:dyDescent="0.35">
      <c r="B44" s="125" t="s">
        <v>442</v>
      </c>
      <c r="R44" s="119" t="s">
        <v>438</v>
      </c>
      <c r="T44" s="134"/>
      <c r="U44" s="134"/>
      <c r="V44" s="134"/>
      <c r="W44" s="134"/>
      <c r="X44" s="134"/>
      <c r="Y44" s="134"/>
    </row>
    <row r="45" spans="1:25" ht="66" x14ac:dyDescent="0.25">
      <c r="B45" s="117" t="s">
        <v>387</v>
      </c>
      <c r="C45" s="118" t="s">
        <v>4</v>
      </c>
      <c r="D45" s="315">
        <f>Продажи!F3</f>
        <v>42583</v>
      </c>
      <c r="E45" s="315">
        <f>Продажи!G3</f>
        <v>42614</v>
      </c>
      <c r="F45" s="315">
        <f>Продажи!H3</f>
        <v>42644</v>
      </c>
      <c r="G45" s="315">
        <f>Продажи!I3</f>
        <v>42675</v>
      </c>
      <c r="H45" s="315">
        <f>Продажи!J3</f>
        <v>42705</v>
      </c>
      <c r="I45" s="315">
        <f>Продажи!K3</f>
        <v>42736</v>
      </c>
      <c r="J45" s="315">
        <f>Продажи!L3</f>
        <v>42767</v>
      </c>
      <c r="K45" s="315">
        <f>Продажи!M3</f>
        <v>42795</v>
      </c>
      <c r="L45" s="315">
        <f>Продажи!N3</f>
        <v>42826</v>
      </c>
      <c r="M45" s="315">
        <f>Продажи!O3</f>
        <v>42856</v>
      </c>
      <c r="N45" s="315">
        <f>Продажи!P3</f>
        <v>42887</v>
      </c>
      <c r="O45" s="315">
        <f>Продажи!Q3</f>
        <v>42917</v>
      </c>
      <c r="P45" s="131" t="s">
        <v>441</v>
      </c>
      <c r="R45" s="117" t="s">
        <v>387</v>
      </c>
      <c r="S45" s="118" t="s">
        <v>4</v>
      </c>
      <c r="T45" s="117" t="s">
        <v>432</v>
      </c>
      <c r="U45" s="117" t="s">
        <v>431</v>
      </c>
      <c r="V45" s="118" t="s">
        <v>437</v>
      </c>
      <c r="W45" s="118" t="s">
        <v>436</v>
      </c>
      <c r="X45" s="117" t="s">
        <v>435</v>
      </c>
      <c r="Y45" s="117" t="s">
        <v>434</v>
      </c>
    </row>
    <row r="46" spans="1:25" ht="15.75" x14ac:dyDescent="0.25">
      <c r="B46" s="19" t="s">
        <v>12</v>
      </c>
      <c r="C46" s="129"/>
      <c r="D46" s="144">
        <f>SUMIFS(Технологи!I$5:I$552,Технологи!$C$5:$C$552,$B46)</f>
        <v>34641.79139575774</v>
      </c>
      <c r="E46" s="144">
        <f>SUMIFS(Технологи!J$5:J$552,Технологи!$C$5:$C$552,$B46)</f>
        <v>3369.3893751576002</v>
      </c>
      <c r="F46" s="144">
        <f>SUMIFS(Технологи!K$5:K$552,Технологи!$C$5:$C$552,$B46)</f>
        <v>23668.373696084989</v>
      </c>
      <c r="G46" s="144">
        <f>SUMIFS(Технологи!L$5:L$552,Технологи!$C$5:$C$552,$B46)</f>
        <v>28277.150694650452</v>
      </c>
      <c r="H46" s="144">
        <f>SUMIFS(Технологи!M$5:M$552,Технологи!$C$5:$C$552,$B46)</f>
        <v>19065.582820444954</v>
      </c>
      <c r="I46" s="144">
        <f>SUMIFS(Технологи!N$5:N$552,Технологи!$C$5:$C$552,$B46)</f>
        <v>19065.582820444954</v>
      </c>
      <c r="J46" s="144">
        <f>SUMIFS(Технологи!O$5:O$552,Технологи!$C$5:$C$552,$B46)</f>
        <v>19065.582820444954</v>
      </c>
      <c r="K46" s="144">
        <f>SUMIFS(Технологи!P$5:P$552,Технологи!$C$5:$C$552,$B46)</f>
        <v>19065.582820444954</v>
      </c>
      <c r="L46" s="144">
        <f>SUMIFS(Технологи!Q$5:Q$552,Технологи!$C$5:$C$552,$B46)</f>
        <v>19065.582820444954</v>
      </c>
      <c r="M46" s="144">
        <f>SUMIFS(Технологи!R$5:R$552,Технологи!$C$5:$C$552,$B46)</f>
        <v>19065.582820444954</v>
      </c>
      <c r="N46" s="144">
        <f>SUMIFS(Технологи!S$5:S$552,Технологи!$C$5:$C$552,$B46)</f>
        <v>19065.582820444954</v>
      </c>
      <c r="O46" s="144">
        <f>SUMIFS(Технологи!T$5:T$552,Технологи!$C$5:$C$552,$B46)</f>
        <v>19065.582820444954</v>
      </c>
      <c r="P46" s="128">
        <f t="shared" ref="P46:P57" si="0">SUM(D46:O46)</f>
        <v>242481.36772521038</v>
      </c>
      <c r="R46" s="19" t="s">
        <v>12</v>
      </c>
      <c r="S46" s="115"/>
      <c r="T46" s="113">
        <v>14</v>
      </c>
      <c r="U46" s="140">
        <v>1340</v>
      </c>
      <c r="V46" s="140"/>
      <c r="W46" s="141">
        <v>1000</v>
      </c>
      <c r="X46" s="283">
        <f t="shared" ref="X46:X53" si="1">(E46/30)*(T46+2)</f>
        <v>1797.0076667507201</v>
      </c>
      <c r="Y46" s="142">
        <v>5000</v>
      </c>
    </row>
    <row r="47" spans="1:25" ht="15.75" x14ac:dyDescent="0.25">
      <c r="B47" s="19" t="s">
        <v>13</v>
      </c>
      <c r="C47" s="129"/>
      <c r="D47" s="144">
        <f>SUMIFS(Технологи!I$5:I$552,Технологи!$C$5:$C$552,$B47)</f>
        <v>11754.61579907639</v>
      </c>
      <c r="E47" s="144">
        <f>SUMIFS(Технологи!J$5:J$552,Технологи!$C$5:$C$552,$B47)</f>
        <v>1020.453668464954</v>
      </c>
      <c r="F47" s="144">
        <f>SUMIFS(Технологи!K$5:K$552,Технологи!$C$5:$C$552,$B47)</f>
        <v>8040.6083755884893</v>
      </c>
      <c r="G47" s="144">
        <f>SUMIFS(Технологи!L$5:L$552,Технологи!$C$5:$C$552,$B47)</f>
        <v>9481.8391132976212</v>
      </c>
      <c r="H47" s="144">
        <f>SUMIFS(Технологи!M$5:M$552,Технологи!$C$5:$C$552,$B47)</f>
        <v>6454.4105016363974</v>
      </c>
      <c r="I47" s="144">
        <f>SUMIFS(Технологи!N$5:N$552,Технологи!$C$5:$C$552,$B47)</f>
        <v>6454.4105016363974</v>
      </c>
      <c r="J47" s="144">
        <f>SUMIFS(Технологи!O$5:O$552,Технологи!$C$5:$C$552,$B47)</f>
        <v>6454.4105016363974</v>
      </c>
      <c r="K47" s="144">
        <f>SUMIFS(Технологи!P$5:P$552,Технологи!$C$5:$C$552,$B47)</f>
        <v>6454.4105016363974</v>
      </c>
      <c r="L47" s="144">
        <f>SUMIFS(Технологи!Q$5:Q$552,Технологи!$C$5:$C$552,$B47)</f>
        <v>6454.4105016363974</v>
      </c>
      <c r="M47" s="144">
        <f>SUMIFS(Технологи!R$5:R$552,Технологи!$C$5:$C$552,$B47)</f>
        <v>6454.4105016363974</v>
      </c>
      <c r="N47" s="144">
        <f>SUMIFS(Технологи!S$5:S$552,Технологи!$C$5:$C$552,$B47)</f>
        <v>6454.4105016363974</v>
      </c>
      <c r="O47" s="144">
        <f>SUMIFS(Технологи!T$5:T$552,Технологи!$C$5:$C$552,$B47)</f>
        <v>6454.4105016363974</v>
      </c>
      <c r="P47" s="128">
        <f t="shared" si="0"/>
        <v>81932.800969518634</v>
      </c>
      <c r="R47" s="19" t="s">
        <v>13</v>
      </c>
      <c r="S47" s="115"/>
      <c r="T47" s="113">
        <v>30</v>
      </c>
      <c r="U47" s="140">
        <v>22735</v>
      </c>
      <c r="V47" s="140"/>
      <c r="W47" s="141">
        <v>19000</v>
      </c>
      <c r="X47" s="283">
        <f t="shared" si="1"/>
        <v>1088.4839130292844</v>
      </c>
      <c r="Y47" s="143">
        <v>19000</v>
      </c>
    </row>
    <row r="48" spans="1:25" ht="15.75" x14ac:dyDescent="0.25">
      <c r="B48" s="19" t="s">
        <v>14</v>
      </c>
      <c r="C48" s="130"/>
      <c r="D48" s="144">
        <f>SUMIFS(Технологи!I$5:I$552,Технологи!$C$5:$C$552,$B48)</f>
        <v>104.62124539206054</v>
      </c>
      <c r="E48" s="144">
        <f>SUMIFS(Технологи!J$5:J$552,Технологи!$C$5:$C$552,$B48)</f>
        <v>10.158551272166557</v>
      </c>
      <c r="F48" s="144">
        <f>SUMIFS(Технологи!K$5:K$552,Технологи!$C$5:$C$552,$B48)</f>
        <v>71.456435576568865</v>
      </c>
      <c r="G48" s="144">
        <f>SUMIFS(Технологи!L$5:L$552,Технологи!$C$5:$C$552,$B48)</f>
        <v>85.376023649078718</v>
      </c>
      <c r="H48" s="144">
        <f>SUMIFS(Технологи!M$5:M$552,Технологи!$C$5:$C$552,$B48)</f>
        <v>57.554255336854432</v>
      </c>
      <c r="I48" s="144">
        <f>SUMIFS(Технологи!N$5:N$552,Технологи!$C$5:$C$552,$B48)</f>
        <v>57.554255336854432</v>
      </c>
      <c r="J48" s="144">
        <f>SUMIFS(Технологи!O$5:O$552,Технологи!$C$5:$C$552,$B48)</f>
        <v>57.554255336854432</v>
      </c>
      <c r="K48" s="144">
        <f>SUMIFS(Технологи!P$5:P$552,Технологи!$C$5:$C$552,$B48)</f>
        <v>57.554255336854432</v>
      </c>
      <c r="L48" s="144">
        <f>SUMIFS(Технологи!Q$5:Q$552,Технологи!$C$5:$C$552,$B48)</f>
        <v>57.554255336854432</v>
      </c>
      <c r="M48" s="144">
        <f>SUMIFS(Технологи!R$5:R$552,Технологи!$C$5:$C$552,$B48)</f>
        <v>57.554255336854432</v>
      </c>
      <c r="N48" s="144">
        <f>SUMIFS(Технологи!S$5:S$552,Технологи!$C$5:$C$552,$B48)</f>
        <v>57.554255336854432</v>
      </c>
      <c r="O48" s="144">
        <f>SUMIFS(Технологи!T$5:T$552,Технологи!$C$5:$C$552,$B48)</f>
        <v>57.554255336854432</v>
      </c>
      <c r="P48" s="127">
        <f t="shared" si="0"/>
        <v>732.04629858471026</v>
      </c>
      <c r="R48" s="19" t="s">
        <v>14</v>
      </c>
      <c r="S48" s="116">
        <v>1018</v>
      </c>
      <c r="T48" s="113">
        <v>10</v>
      </c>
      <c r="U48" s="140">
        <v>520</v>
      </c>
      <c r="V48" s="140"/>
      <c r="W48" s="141">
        <v>30</v>
      </c>
      <c r="X48" s="145">
        <f t="shared" si="1"/>
        <v>4.0634205088666233</v>
      </c>
      <c r="Y48" s="143">
        <v>30</v>
      </c>
    </row>
    <row r="49" spans="2:33" ht="15.75" x14ac:dyDescent="0.25">
      <c r="B49" s="19" t="s">
        <v>15</v>
      </c>
      <c r="C49" s="130"/>
      <c r="D49" s="144">
        <f>SUMIFS(Технологи!I$5:I$552,Технологи!$C$5:$C$552,$B49)</f>
        <v>52.310622696030272</v>
      </c>
      <c r="E49" s="144">
        <f>SUMIFS(Технологи!J$5:J$552,Технологи!$C$5:$C$552,$B49)</f>
        <v>5.0792756360832785</v>
      </c>
      <c r="F49" s="144">
        <f>SUMIFS(Технологи!K$5:K$552,Технологи!$C$5:$C$552,$B49)</f>
        <v>35.728217788284432</v>
      </c>
      <c r="G49" s="144">
        <f>SUMIFS(Технологи!L$5:L$552,Технологи!$C$5:$C$552,$B49)</f>
        <v>42.688011824539359</v>
      </c>
      <c r="H49" s="144">
        <f>SUMIFS(Технологи!M$5:M$552,Технологи!$C$5:$C$552,$B49)</f>
        <v>28.777127668427216</v>
      </c>
      <c r="I49" s="144">
        <f>SUMIFS(Технологи!N$5:N$552,Технологи!$C$5:$C$552,$B49)</f>
        <v>28.777127668427216</v>
      </c>
      <c r="J49" s="144">
        <f>SUMIFS(Технологи!O$5:O$552,Технологи!$C$5:$C$552,$B49)</f>
        <v>28.777127668427216</v>
      </c>
      <c r="K49" s="144">
        <f>SUMIFS(Технологи!P$5:P$552,Технологи!$C$5:$C$552,$B49)</f>
        <v>28.777127668427216</v>
      </c>
      <c r="L49" s="144">
        <f>SUMIFS(Технологи!Q$5:Q$552,Технологи!$C$5:$C$552,$B49)</f>
        <v>28.777127668427216</v>
      </c>
      <c r="M49" s="144">
        <f>SUMIFS(Технологи!R$5:R$552,Технологи!$C$5:$C$552,$B49)</f>
        <v>28.777127668427216</v>
      </c>
      <c r="N49" s="144">
        <f>SUMIFS(Технологи!S$5:S$552,Технологи!$C$5:$C$552,$B49)</f>
        <v>28.777127668427216</v>
      </c>
      <c r="O49" s="144">
        <f>SUMIFS(Технологи!T$5:T$552,Технологи!$C$5:$C$552,$B49)</f>
        <v>28.777127668427216</v>
      </c>
      <c r="P49" s="127">
        <f t="shared" si="0"/>
        <v>366.02314929235513</v>
      </c>
      <c r="R49" s="19" t="s">
        <v>15</v>
      </c>
      <c r="S49" s="116">
        <v>2002</v>
      </c>
      <c r="T49" s="113">
        <v>14</v>
      </c>
      <c r="U49" s="140">
        <v>474</v>
      </c>
      <c r="V49" s="140"/>
      <c r="W49" s="141">
        <v>30</v>
      </c>
      <c r="X49" s="145">
        <f t="shared" si="1"/>
        <v>2.7089470059110821</v>
      </c>
      <c r="Y49" s="143">
        <v>30</v>
      </c>
    </row>
    <row r="50" spans="2:33" ht="15.75" x14ac:dyDescent="0.25">
      <c r="B50" s="19" t="s">
        <v>16</v>
      </c>
      <c r="C50" s="130"/>
      <c r="D50" s="144">
        <f>SUMIFS(Технологи!I$5:I$552,Технологи!$C$5:$C$552,$B50)</f>
        <v>694.0856230592683</v>
      </c>
      <c r="E50" s="144">
        <f>SUMIFS(Технологи!J$5:J$552,Технологи!$C$5:$C$552,$B50)</f>
        <v>67.41325706370263</v>
      </c>
      <c r="F50" s="144">
        <f>SUMIFS(Технологи!K$5:K$552,Технологи!$C$5:$C$552,$B50)</f>
        <v>474.0685444588924</v>
      </c>
      <c r="G50" s="144">
        <f>SUMIFS(Технологи!L$5:L$552,Технологи!$C$5:$C$552,$B50)</f>
        <v>566.4199052027019</v>
      </c>
      <c r="H50" s="144">
        <f>SUMIFS(Технологи!M$5:M$552,Технологи!$C$5:$C$552,$B50)</f>
        <v>381.85568862679918</v>
      </c>
      <c r="I50" s="144">
        <f>SUMIFS(Технологи!N$5:N$552,Технологи!$C$5:$C$552,$B50)</f>
        <v>381.85568862679918</v>
      </c>
      <c r="J50" s="144">
        <f>SUMIFS(Технологи!O$5:O$552,Технологи!$C$5:$C$552,$B50)</f>
        <v>381.85568862679918</v>
      </c>
      <c r="K50" s="144">
        <f>SUMIFS(Технологи!P$5:P$552,Технологи!$C$5:$C$552,$B50)</f>
        <v>381.85568862679918</v>
      </c>
      <c r="L50" s="144">
        <f>SUMIFS(Технологи!Q$5:Q$552,Технологи!$C$5:$C$552,$B50)</f>
        <v>381.85568862679918</v>
      </c>
      <c r="M50" s="144">
        <f>SUMIFS(Технологи!R$5:R$552,Технологи!$C$5:$C$552,$B50)</f>
        <v>381.85568862679918</v>
      </c>
      <c r="N50" s="144">
        <f>SUMIFS(Технологи!S$5:S$552,Технологи!$C$5:$C$552,$B50)</f>
        <v>381.85568862679918</v>
      </c>
      <c r="O50" s="144">
        <f>SUMIFS(Технологи!T$5:T$552,Технологи!$C$5:$C$552,$B50)</f>
        <v>381.85568862679918</v>
      </c>
      <c r="P50" s="127">
        <f t="shared" si="0"/>
        <v>4856.8328387989586</v>
      </c>
      <c r="R50" s="19" t="s">
        <v>16</v>
      </c>
      <c r="S50" s="116">
        <v>7038</v>
      </c>
      <c r="T50" s="113">
        <v>14</v>
      </c>
      <c r="U50" s="140">
        <v>141</v>
      </c>
      <c r="V50" s="140"/>
      <c r="W50" s="141">
        <v>25</v>
      </c>
      <c r="X50" s="145">
        <f t="shared" si="1"/>
        <v>35.953737100641405</v>
      </c>
      <c r="Y50" s="143">
        <v>30</v>
      </c>
    </row>
    <row r="51" spans="2:33" ht="15.75" x14ac:dyDescent="0.25">
      <c r="B51" s="19" t="s">
        <v>17</v>
      </c>
      <c r="C51" s="129"/>
      <c r="D51" s="144">
        <f>SUMIFS(Технологи!I$5:I$552,Технологи!$C$5:$C$552,$B51)</f>
        <v>385.32970142737827</v>
      </c>
      <c r="E51" s="144">
        <f>SUMIFS(Технологи!J$5:J$552,Технологи!$C$5:$C$552,$B51)</f>
        <v>37.283041977034479</v>
      </c>
      <c r="F51" s="144">
        <f>SUMIFS(Технологи!K$5:K$552,Технологи!$C$5:$C$552,$B51)</f>
        <v>262.97090243605908</v>
      </c>
      <c r="G51" s="144">
        <f>SUMIFS(Технологи!L$5:L$552,Технологи!$C$5:$C$552,$B51)</f>
        <v>314.25114559744975</v>
      </c>
      <c r="H51" s="144">
        <f>SUMIFS(Технологи!M$5:M$552,Технологи!$C$5:$C$552,$B51)</f>
        <v>211.78031386807893</v>
      </c>
      <c r="I51" s="144">
        <f>SUMIFS(Технологи!N$5:N$552,Технологи!$C$5:$C$552,$B51)</f>
        <v>211.78031386807893</v>
      </c>
      <c r="J51" s="144">
        <f>SUMIFS(Технологи!O$5:O$552,Технологи!$C$5:$C$552,$B51)</f>
        <v>211.78031386807893</v>
      </c>
      <c r="K51" s="144">
        <f>SUMIFS(Технологи!P$5:P$552,Технологи!$C$5:$C$552,$B51)</f>
        <v>211.78031386807893</v>
      </c>
      <c r="L51" s="144">
        <f>SUMIFS(Технологи!Q$5:Q$552,Технологи!$C$5:$C$552,$B51)</f>
        <v>211.78031386807893</v>
      </c>
      <c r="M51" s="144">
        <f>SUMIFS(Технологи!R$5:R$552,Технологи!$C$5:$C$552,$B51)</f>
        <v>211.78031386807893</v>
      </c>
      <c r="N51" s="144">
        <f>SUMIFS(Технологи!S$5:S$552,Технологи!$C$5:$C$552,$B51)</f>
        <v>211.78031386807893</v>
      </c>
      <c r="O51" s="144">
        <f>SUMIFS(Технологи!T$5:T$552,Технологи!$C$5:$C$552,$B51)</f>
        <v>211.78031386807893</v>
      </c>
      <c r="P51" s="128">
        <f t="shared" si="0"/>
        <v>2694.0773023825527</v>
      </c>
      <c r="R51" s="19" t="s">
        <v>17</v>
      </c>
      <c r="S51" s="115"/>
      <c r="T51" s="113">
        <v>30</v>
      </c>
      <c r="U51" s="140">
        <v>637</v>
      </c>
      <c r="V51" s="140"/>
      <c r="W51" s="141">
        <v>193</v>
      </c>
      <c r="X51" s="145">
        <f t="shared" si="1"/>
        <v>39.768578108836778</v>
      </c>
      <c r="Y51" s="143">
        <v>193</v>
      </c>
    </row>
    <row r="52" spans="2:33" ht="15.75" x14ac:dyDescent="0.25">
      <c r="B52" s="19" t="s">
        <v>18</v>
      </c>
      <c r="C52" s="129"/>
      <c r="D52" s="144">
        <f>SUMIFS(Технологи!I$5:I$552,Технологи!$C$5:$C$552,$B52)</f>
        <v>346.36494228540721</v>
      </c>
      <c r="E52" s="144">
        <f>SUMIFS(Технологи!J$5:J$552,Технологи!$C$5:$C$552,$B52)</f>
        <v>33.644544915036434</v>
      </c>
      <c r="F52" s="144">
        <f>SUMIFS(Технологи!K$5:K$552,Технологи!$C$5:$C$552,$B52)</f>
        <v>236.57273368579956</v>
      </c>
      <c r="G52" s="144">
        <f>SUMIFS(Технологи!L$5:L$552,Технологи!$C$5:$C$552,$B52)</f>
        <v>282.65923544311977</v>
      </c>
      <c r="H52" s="144">
        <f>SUMIFS(Технологи!M$5:M$552,Технологи!$C$5:$C$552,$B52)</f>
        <v>190.55997492295353</v>
      </c>
      <c r="I52" s="144">
        <f>SUMIFS(Технологи!N$5:N$552,Технологи!$C$5:$C$552,$B52)</f>
        <v>190.55997492295353</v>
      </c>
      <c r="J52" s="144">
        <f>SUMIFS(Технологи!O$5:O$552,Технологи!$C$5:$C$552,$B52)</f>
        <v>190.55997492295353</v>
      </c>
      <c r="K52" s="144">
        <f>SUMIFS(Технологи!P$5:P$552,Технологи!$C$5:$C$552,$B52)</f>
        <v>190.55997492295353</v>
      </c>
      <c r="L52" s="144">
        <f>SUMIFS(Технологи!Q$5:Q$552,Технологи!$C$5:$C$552,$B52)</f>
        <v>190.55997492295353</v>
      </c>
      <c r="M52" s="144">
        <f>SUMIFS(Технологи!R$5:R$552,Технологи!$C$5:$C$552,$B52)</f>
        <v>190.55997492295353</v>
      </c>
      <c r="N52" s="144">
        <f>SUMIFS(Технологи!S$5:S$552,Технологи!$C$5:$C$552,$B52)</f>
        <v>190.55997492295353</v>
      </c>
      <c r="O52" s="144">
        <f>SUMIFS(Технологи!T$5:T$552,Технологи!$C$5:$C$552,$B52)</f>
        <v>190.55997492295353</v>
      </c>
      <c r="P52" s="128">
        <f t="shared" si="0"/>
        <v>2423.7212557129919</v>
      </c>
      <c r="R52" s="19" t="s">
        <v>18</v>
      </c>
      <c r="S52" s="115"/>
      <c r="T52" s="113">
        <v>50</v>
      </c>
      <c r="U52" s="140">
        <v>5241</v>
      </c>
      <c r="V52" s="140">
        <v>800</v>
      </c>
      <c r="W52" s="141">
        <v>800</v>
      </c>
      <c r="X52" s="145">
        <f t="shared" si="1"/>
        <v>58.317211186063147</v>
      </c>
      <c r="Y52" s="143">
        <v>800</v>
      </c>
    </row>
    <row r="53" spans="2:33" ht="15.75" x14ac:dyDescent="0.25">
      <c r="B53" s="19" t="s">
        <v>19</v>
      </c>
      <c r="C53" s="129"/>
      <c r="D53" s="144">
        <f>SUMIFS(Технологи!I$5:I$552,Технологи!$C$5:$C$552,$B53)</f>
        <v>76900.144238363864</v>
      </c>
      <c r="E53" s="144">
        <f>SUMIFS(Технологи!J$5:J$552,Технологи!$C$5:$C$552,$B53)</f>
        <v>7204.9112027750007</v>
      </c>
      <c r="F53" s="144">
        <f>SUMIFS(Технологи!K$5:K$552,Технологи!$C$5:$C$552,$B53)</f>
        <v>51194.897257818229</v>
      </c>
      <c r="G53" s="144">
        <f>SUMIFS(Технологи!L$5:L$552,Технологи!$C$5:$C$552,$B53)</f>
        <v>61751.920719159258</v>
      </c>
      <c r="H53" s="144">
        <f>SUMIFS(Технологи!M$5:M$552,Технологи!$C$5:$C$552,$B53)</f>
        <v>41411.226471004331</v>
      </c>
      <c r="I53" s="144">
        <f>SUMIFS(Технологи!N$5:N$552,Технологи!$C$5:$C$552,$B53)</f>
        <v>41411.226471004331</v>
      </c>
      <c r="J53" s="144">
        <f>SUMIFS(Технологи!O$5:O$552,Технологи!$C$5:$C$552,$B53)</f>
        <v>41411.226471004331</v>
      </c>
      <c r="K53" s="144">
        <f>SUMIFS(Технологи!P$5:P$552,Технологи!$C$5:$C$552,$B53)</f>
        <v>41411.226471004331</v>
      </c>
      <c r="L53" s="144">
        <f>SUMIFS(Технологи!Q$5:Q$552,Технологи!$C$5:$C$552,$B53)</f>
        <v>41411.226471004331</v>
      </c>
      <c r="M53" s="144">
        <f>SUMIFS(Технологи!R$5:R$552,Технологи!$C$5:$C$552,$B53)</f>
        <v>41411.226471004331</v>
      </c>
      <c r="N53" s="144">
        <f>SUMIFS(Технологи!S$5:S$552,Технологи!$C$5:$C$552,$B53)</f>
        <v>41411.226471004331</v>
      </c>
      <c r="O53" s="144">
        <f>SUMIFS(Технологи!T$5:T$552,Технологи!$C$5:$C$552,$B53)</f>
        <v>41411.226471004331</v>
      </c>
      <c r="P53" s="128">
        <f t="shared" si="0"/>
        <v>528341.68518615095</v>
      </c>
      <c r="R53" s="19" t="s">
        <v>19</v>
      </c>
      <c r="S53" s="115"/>
      <c r="T53" s="113">
        <v>14</v>
      </c>
      <c r="U53" s="140">
        <v>21331</v>
      </c>
      <c r="V53" s="140"/>
      <c r="W53" s="141">
        <v>19000</v>
      </c>
      <c r="X53" s="283">
        <f t="shared" si="1"/>
        <v>3842.6193081466672</v>
      </c>
      <c r="Y53" s="143">
        <v>19000</v>
      </c>
    </row>
    <row r="54" spans="2:33" ht="15.75" x14ac:dyDescent="0.25">
      <c r="B54" s="19" t="s">
        <v>20</v>
      </c>
      <c r="C54" s="282">
        <f>P54/$P$58</f>
        <v>0.1315706687790861</v>
      </c>
      <c r="D54" s="144">
        <f>SUMIFS(Технологи!I$5:I$552,Технологи!$C$5:$C$552,$B54)</f>
        <v>1956.6506643839998</v>
      </c>
      <c r="E54" s="144">
        <f>SUMIFS(Технологи!J$5:J$552,Технологи!$C$5:$C$552,$B54)</f>
        <v>574.80600000000004</v>
      </c>
      <c r="F54" s="144">
        <f>SUMIFS(Технологи!K$5:K$552,Технологи!$C$5:$C$552,$B54)</f>
        <v>1095.7500369072195</v>
      </c>
      <c r="G54" s="144">
        <f>SUMIFS(Технологи!L$5:L$552,Технологи!$C$5:$C$552,$B54)</f>
        <v>1685.2097169072194</v>
      </c>
      <c r="H54" s="144">
        <f>SUMIFS(Технологи!M$5:M$552,Технологи!$C$5:$C$552,$B54)</f>
        <v>951.79436399549741</v>
      </c>
      <c r="I54" s="144">
        <f>SUMIFS(Технологи!N$5:N$552,Технологи!$C$5:$C$552,$B54)</f>
        <v>951.79436399549741</v>
      </c>
      <c r="J54" s="144">
        <f>SUMIFS(Технологи!O$5:O$552,Технологи!$C$5:$C$552,$B54)</f>
        <v>951.79436399549741</v>
      </c>
      <c r="K54" s="144">
        <f>SUMIFS(Технологи!P$5:P$552,Технологи!$C$5:$C$552,$B54)</f>
        <v>951.79436399549741</v>
      </c>
      <c r="L54" s="144">
        <f>SUMIFS(Технологи!Q$5:Q$552,Технологи!$C$5:$C$552,$B54)</f>
        <v>951.79436399549741</v>
      </c>
      <c r="M54" s="144">
        <f>SUMIFS(Технологи!R$5:R$552,Технологи!$C$5:$C$552,$B54)</f>
        <v>951.79436399549741</v>
      </c>
      <c r="N54" s="144">
        <f>SUMIFS(Технологи!S$5:S$552,Технологи!$C$5:$C$552,$B54)</f>
        <v>951.79436399549741</v>
      </c>
      <c r="O54" s="144">
        <f>SUMIFS(Технологи!T$5:T$552,Технологи!$C$5:$C$552,$B54)</f>
        <v>951.79436399549741</v>
      </c>
      <c r="P54" s="128">
        <f t="shared" si="0"/>
        <v>12926.771330162417</v>
      </c>
      <c r="R54" s="19" t="s">
        <v>20</v>
      </c>
      <c r="S54" s="115"/>
      <c r="T54" s="113">
        <v>50</v>
      </c>
      <c r="U54" s="140">
        <v>4718</v>
      </c>
      <c r="V54" s="140">
        <v>6520</v>
      </c>
      <c r="W54" s="141">
        <v>100</v>
      </c>
      <c r="X54" s="283">
        <f>(AVERAGE(D54:G54)/30)*(T54+2)</f>
        <v>2302.0471145526567</v>
      </c>
      <c r="Y54" s="143">
        <v>1000</v>
      </c>
    </row>
    <row r="55" spans="2:33" ht="15.75" x14ac:dyDescent="0.25">
      <c r="B55" s="19" t="s">
        <v>21</v>
      </c>
      <c r="C55" s="282">
        <f>P55/$P$58</f>
        <v>0.3054566599406115</v>
      </c>
      <c r="D55" s="144">
        <f>SUMIFS(Технологи!I$5:I$552,Технологи!$C$5:$C$552,$B55)</f>
        <v>4122.7968580099277</v>
      </c>
      <c r="E55" s="144">
        <f>SUMIFS(Технологи!J$5:J$552,Технологи!$C$5:$C$552,$B55)</f>
        <v>100.72824999999999</v>
      </c>
      <c r="F55" s="144">
        <f>SUMIFS(Технологи!K$5:K$552,Технологи!$C$5:$C$552,$B55)</f>
        <v>3107.0370522589951</v>
      </c>
      <c r="G55" s="144">
        <f>SUMIFS(Технологи!L$5:L$552,Технологи!$C$5:$C$552,$B55)</f>
        <v>3281.194186100533</v>
      </c>
      <c r="H55" s="144">
        <f>SUMIFS(Технологи!M$5:M$552,Технологи!$C$5:$C$552,$B55)</f>
        <v>2424.9064576851961</v>
      </c>
      <c r="I55" s="144">
        <f>SUMIFS(Технологи!N$5:N$552,Технологи!$C$5:$C$552,$B55)</f>
        <v>2424.9064576851961</v>
      </c>
      <c r="J55" s="144">
        <f>SUMIFS(Технологи!O$5:O$552,Технологи!$C$5:$C$552,$B55)</f>
        <v>2424.9064576851961</v>
      </c>
      <c r="K55" s="144">
        <f>SUMIFS(Технологи!P$5:P$552,Технологи!$C$5:$C$552,$B55)</f>
        <v>2424.9064576851961</v>
      </c>
      <c r="L55" s="144">
        <f>SUMIFS(Технологи!Q$5:Q$552,Технологи!$C$5:$C$552,$B55)</f>
        <v>2424.9064576851961</v>
      </c>
      <c r="M55" s="144">
        <f>SUMIFS(Технологи!R$5:R$552,Технологи!$C$5:$C$552,$B55)</f>
        <v>2424.9064576851961</v>
      </c>
      <c r="N55" s="144">
        <f>SUMIFS(Технологи!S$5:S$552,Технологи!$C$5:$C$552,$B55)</f>
        <v>2424.9064576851961</v>
      </c>
      <c r="O55" s="144">
        <f>SUMIFS(Технологи!T$5:T$552,Технологи!$C$5:$C$552,$B55)</f>
        <v>2424.9064576851961</v>
      </c>
      <c r="P55" s="128">
        <f t="shared" si="0"/>
        <v>30011.008007851022</v>
      </c>
      <c r="R55" s="19" t="s">
        <v>21</v>
      </c>
      <c r="S55" s="115"/>
      <c r="T55" s="113">
        <v>50</v>
      </c>
      <c r="U55" s="140">
        <v>5860</v>
      </c>
      <c r="V55" s="140">
        <v>7200</v>
      </c>
      <c r="W55" s="141">
        <v>100</v>
      </c>
      <c r="X55" s="283">
        <f t="shared" ref="X55:X57" si="2">(AVERAGE(D55:G55)/30)*(T55+2)</f>
        <v>4598.4277500934304</v>
      </c>
      <c r="Y55" s="143">
        <v>1000</v>
      </c>
    </row>
    <row r="56" spans="2:33" ht="15.75" x14ac:dyDescent="0.25">
      <c r="B56" s="19" t="s">
        <v>22</v>
      </c>
      <c r="C56" s="282">
        <f t="shared" ref="C56:C57" si="3">P56/$P$58</f>
        <v>0.12932642668128272</v>
      </c>
      <c r="D56" s="144">
        <f>SUMIFS(Технологи!I$5:I$552,Технологи!$C$5:$C$552,$B56)</f>
        <v>1637.4586036214596</v>
      </c>
      <c r="E56" s="144">
        <f>SUMIFS(Технологи!J$5:J$552,Технологи!$C$5:$C$552,$B56)</f>
        <v>552.52799999999991</v>
      </c>
      <c r="F56" s="144">
        <f>SUMIFS(Технологи!K$5:K$552,Технологи!$C$5:$C$552,$B56)</f>
        <v>1104.273048176635</v>
      </c>
      <c r="G56" s="144">
        <f>SUMIFS(Технологи!L$5:L$552,Технологи!$C$5:$C$552,$B56)</f>
        <v>1677.2423881766354</v>
      </c>
      <c r="H56" s="144">
        <f>SUMIFS(Технологи!M$5:M$552,Технологи!$C$5:$C$552,$B56)</f>
        <v>966.84666296008766</v>
      </c>
      <c r="I56" s="144">
        <f>SUMIFS(Технологи!N$5:N$552,Технологи!$C$5:$C$552,$B56)</f>
        <v>966.84666296008766</v>
      </c>
      <c r="J56" s="144">
        <f>SUMIFS(Технологи!O$5:O$552,Технологи!$C$5:$C$552,$B56)</f>
        <v>966.84666296008766</v>
      </c>
      <c r="K56" s="144">
        <f>SUMIFS(Технологи!P$5:P$552,Технологи!$C$5:$C$552,$B56)</f>
        <v>966.84666296008766</v>
      </c>
      <c r="L56" s="144">
        <f>SUMIFS(Технологи!Q$5:Q$552,Технологи!$C$5:$C$552,$B56)</f>
        <v>966.84666296008766</v>
      </c>
      <c r="M56" s="144">
        <f>SUMIFS(Технологи!R$5:R$552,Технологи!$C$5:$C$552,$B56)</f>
        <v>966.84666296008766</v>
      </c>
      <c r="N56" s="144">
        <f>SUMIFS(Технологи!S$5:S$552,Технологи!$C$5:$C$552,$B56)</f>
        <v>966.84666296008766</v>
      </c>
      <c r="O56" s="144">
        <f>SUMIFS(Технологи!T$5:T$552,Технологи!$C$5:$C$552,$B56)</f>
        <v>966.84666296008766</v>
      </c>
      <c r="P56" s="128">
        <f t="shared" si="0"/>
        <v>12706.275343655434</v>
      </c>
      <c r="R56" s="19" t="s">
        <v>22</v>
      </c>
      <c r="S56" s="114"/>
      <c r="T56" s="113">
        <v>50</v>
      </c>
      <c r="U56" s="140">
        <v>1830</v>
      </c>
      <c r="V56" s="140">
        <v>2280</v>
      </c>
      <c r="W56" s="141">
        <v>100</v>
      </c>
      <c r="X56" s="283">
        <f t="shared" si="2"/>
        <v>2154.3175506557163</v>
      </c>
      <c r="Y56" s="143">
        <v>1000</v>
      </c>
    </row>
    <row r="57" spans="2:33" ht="15.75" x14ac:dyDescent="0.25">
      <c r="B57" s="19" t="s">
        <v>23</v>
      </c>
      <c r="C57" s="282">
        <f t="shared" si="3"/>
        <v>0.43364624459901963</v>
      </c>
      <c r="D57" s="144">
        <f>SUMIFS(Технологи!I$5:I$552,Технологи!$C$5:$C$552,$B57)</f>
        <v>4543.261863657739</v>
      </c>
      <c r="E57" s="144">
        <f>SUMIFS(Технологи!J$5:J$552,Технологи!$C$5:$C$552,$B57)</f>
        <v>0</v>
      </c>
      <c r="F57" s="144">
        <f>SUMIFS(Технологи!K$5:K$552,Технологи!$C$5:$C$552,$B57)</f>
        <v>4599.1898241464833</v>
      </c>
      <c r="G57" s="144">
        <f>SUMIFS(Технологи!L$5:L$552,Технологи!$C$5:$C$552,$B57)</f>
        <v>4636.2764192488576</v>
      </c>
      <c r="H57" s="144">
        <f>SUMIFS(Технологи!M$5:M$552,Технологи!$C$5:$C$552,$B57)</f>
        <v>3603.357615093998</v>
      </c>
      <c r="I57" s="144">
        <f>SUMIFS(Технологи!N$5:N$552,Технологи!$C$5:$C$552,$B57)</f>
        <v>3603.357615093998</v>
      </c>
      <c r="J57" s="144">
        <f>SUMIFS(Технологи!O$5:O$552,Технологи!$C$5:$C$552,$B57)</f>
        <v>3603.357615093998</v>
      </c>
      <c r="K57" s="144">
        <f>SUMIFS(Технологи!P$5:P$552,Технологи!$C$5:$C$552,$B57)</f>
        <v>3603.357615093998</v>
      </c>
      <c r="L57" s="144">
        <f>SUMIFS(Технологи!Q$5:Q$552,Технологи!$C$5:$C$552,$B57)</f>
        <v>3603.357615093998</v>
      </c>
      <c r="M57" s="144">
        <f>SUMIFS(Технологи!R$5:R$552,Технологи!$C$5:$C$552,$B57)</f>
        <v>3603.357615093998</v>
      </c>
      <c r="N57" s="144">
        <f>SUMIFS(Технологи!S$5:S$552,Технологи!$C$5:$C$552,$B57)</f>
        <v>3603.357615093998</v>
      </c>
      <c r="O57" s="144">
        <f>SUMIFS(Технологи!T$5:T$552,Технологи!$C$5:$C$552,$B57)</f>
        <v>3603.357615093998</v>
      </c>
      <c r="P57" s="128">
        <f t="shared" si="0"/>
        <v>42605.589027805072</v>
      </c>
      <c r="R57" s="19" t="s">
        <v>23</v>
      </c>
      <c r="S57" s="114"/>
      <c r="T57" s="113">
        <v>50</v>
      </c>
      <c r="U57" s="140">
        <v>3470</v>
      </c>
      <c r="V57" s="140"/>
      <c r="W57" s="141">
        <v>100</v>
      </c>
      <c r="X57" s="283">
        <f t="shared" si="2"/>
        <v>5970.7821797230017</v>
      </c>
      <c r="Y57" s="143">
        <v>1000</v>
      </c>
    </row>
    <row r="58" spans="2:33" x14ac:dyDescent="0.25">
      <c r="B58" s="126" t="s">
        <v>433</v>
      </c>
      <c r="C58" s="126"/>
      <c r="D58" s="132">
        <f>SUM(D54:D57)</f>
        <v>12260.167989673126</v>
      </c>
      <c r="E58" s="132">
        <f>SUM(E54:E57)</f>
        <v>1228.0622499999999</v>
      </c>
      <c r="F58" s="132">
        <f t="shared" ref="F58:O58" si="4">SUM(F54:F57)</f>
        <v>9906.2499614893331</v>
      </c>
      <c r="G58" s="132">
        <f t="shared" si="4"/>
        <v>11279.922710433246</v>
      </c>
      <c r="H58" s="132">
        <f t="shared" si="4"/>
        <v>7946.9050997347795</v>
      </c>
      <c r="I58" s="132">
        <f t="shared" si="4"/>
        <v>7946.9050997347795</v>
      </c>
      <c r="J58" s="132">
        <f t="shared" si="4"/>
        <v>7946.9050997347795</v>
      </c>
      <c r="K58" s="132">
        <f t="shared" si="4"/>
        <v>7946.9050997347795</v>
      </c>
      <c r="L58" s="132">
        <f t="shared" si="4"/>
        <v>7946.9050997347795</v>
      </c>
      <c r="M58" s="132">
        <f t="shared" si="4"/>
        <v>7946.9050997347795</v>
      </c>
      <c r="N58" s="132">
        <f t="shared" si="4"/>
        <v>7946.9050997347795</v>
      </c>
      <c r="O58" s="132">
        <f t="shared" si="4"/>
        <v>7946.9050997347795</v>
      </c>
      <c r="P58" s="122">
        <f>SUM(P54:P57)</f>
        <v>98249.643709473952</v>
      </c>
      <c r="R58" s="112" t="s">
        <v>433</v>
      </c>
      <c r="S58" s="112"/>
      <c r="T58" s="110">
        <v>60</v>
      </c>
      <c r="U58" s="110">
        <f>SUM(U56:U57)</f>
        <v>5300</v>
      </c>
      <c r="V58" s="110"/>
      <c r="W58" s="111">
        <v>19900</v>
      </c>
      <c r="X58" s="110">
        <f>SUM(X54:X57)</f>
        <v>15025.574595024806</v>
      </c>
      <c r="Y58" s="110">
        <v>19000</v>
      </c>
    </row>
    <row r="60" spans="2:33" s="285" customFormat="1" ht="31.5" collapsed="1" x14ac:dyDescent="0.5">
      <c r="B60" s="304" t="s">
        <v>532</v>
      </c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T60" s="287" t="s">
        <v>530</v>
      </c>
      <c r="AG60" s="288"/>
    </row>
    <row r="61" spans="2:33" s="285" customFormat="1" hidden="1" outlineLevel="1" x14ac:dyDescent="0.25">
      <c r="B61" s="289" t="s">
        <v>20</v>
      </c>
      <c r="C61" s="290"/>
      <c r="D61" s="291">
        <f>IF(T67&lt;0,_xlfn.CEILING.MATH(ABS(T67),$W$54),0)</f>
        <v>0</v>
      </c>
      <c r="E61" s="291">
        <f t="shared" ref="E61:O61" si="5">IF(U67&lt;0,_xlfn.CEILING.MATH(ABS(U67),$W$54),0)</f>
        <v>0</v>
      </c>
      <c r="F61" s="291">
        <f t="shared" si="5"/>
        <v>0</v>
      </c>
      <c r="G61" s="291">
        <f t="shared" si="5"/>
        <v>0</v>
      </c>
      <c r="H61" s="291">
        <f t="shared" si="5"/>
        <v>0</v>
      </c>
      <c r="I61" s="291">
        <f t="shared" si="5"/>
        <v>0</v>
      </c>
      <c r="J61" s="291">
        <f t="shared" si="5"/>
        <v>0</v>
      </c>
      <c r="K61" s="291">
        <f t="shared" si="5"/>
        <v>0</v>
      </c>
      <c r="L61" s="291">
        <f t="shared" si="5"/>
        <v>0</v>
      </c>
      <c r="M61" s="291">
        <f t="shared" si="5"/>
        <v>0</v>
      </c>
      <c r="N61" s="291">
        <f t="shared" si="5"/>
        <v>0</v>
      </c>
      <c r="O61" s="291">
        <f t="shared" si="5"/>
        <v>0</v>
      </c>
      <c r="P61" s="292">
        <f>SUM(D61:O61)</f>
        <v>0</v>
      </c>
      <c r="T61" s="293">
        <f>SUM(U54,-D54,V54)</f>
        <v>9281.3493356159997</v>
      </c>
      <c r="U61" s="293">
        <f>T61+D82-E54</f>
        <v>10306.543335615999</v>
      </c>
      <c r="V61" s="293">
        <f>U61+E82-F54</f>
        <v>9210.7932987087806</v>
      </c>
      <c r="W61" s="293">
        <f>V61+F82-G54</f>
        <v>7525.5835818015612</v>
      </c>
      <c r="X61" s="293">
        <f t="shared" ref="X61:AE64" si="6">W61+G82-H54</f>
        <v>8473.7892178060647</v>
      </c>
      <c r="Y61" s="293">
        <f t="shared" si="6"/>
        <v>7521.9948538105673</v>
      </c>
      <c r="Z61" s="293">
        <f t="shared" si="6"/>
        <v>9070.2004898150699</v>
      </c>
      <c r="AA61" s="293">
        <f t="shared" si="6"/>
        <v>8118.4061258195725</v>
      </c>
      <c r="AB61" s="293">
        <f t="shared" si="6"/>
        <v>7166.6117618240751</v>
      </c>
      <c r="AC61" s="293">
        <f t="shared" si="6"/>
        <v>8414.8173978285777</v>
      </c>
      <c r="AD61" s="293">
        <f t="shared" si="6"/>
        <v>7463.0230338330803</v>
      </c>
      <c r="AE61" s="293">
        <f t="shared" si="6"/>
        <v>6511.2286698375829</v>
      </c>
      <c r="AG61" s="288"/>
    </row>
    <row r="62" spans="2:33" s="285" customFormat="1" hidden="1" outlineLevel="1" x14ac:dyDescent="0.25">
      <c r="B62" s="289" t="s">
        <v>21</v>
      </c>
      <c r="C62" s="290"/>
      <c r="D62" s="291">
        <f>IF(T68&lt;0,_xlfn.CEILING.MATH(ABS(T68),$W$55),0)</f>
        <v>0</v>
      </c>
      <c r="E62" s="291">
        <f t="shared" ref="E62:O62" si="7">IF(U68&lt;0,_xlfn.CEILING.MATH(ABS(U68),$W$55),0)</f>
        <v>0</v>
      </c>
      <c r="F62" s="291">
        <f t="shared" si="7"/>
        <v>0</v>
      </c>
      <c r="G62" s="291">
        <f t="shared" si="7"/>
        <v>0</v>
      </c>
      <c r="H62" s="291">
        <f t="shared" si="7"/>
        <v>0</v>
      </c>
      <c r="I62" s="291">
        <f t="shared" si="7"/>
        <v>0</v>
      </c>
      <c r="J62" s="291">
        <f t="shared" si="7"/>
        <v>0</v>
      </c>
      <c r="K62" s="291">
        <f t="shared" si="7"/>
        <v>0</v>
      </c>
      <c r="L62" s="291">
        <f t="shared" si="7"/>
        <v>100</v>
      </c>
      <c r="M62" s="291">
        <f t="shared" si="7"/>
        <v>0</v>
      </c>
      <c r="N62" s="291">
        <f t="shared" si="7"/>
        <v>0</v>
      </c>
      <c r="O62" s="291">
        <f t="shared" si="7"/>
        <v>2200</v>
      </c>
      <c r="P62" s="292">
        <f>SUM(D62:O62)</f>
        <v>2300</v>
      </c>
      <c r="T62" s="293">
        <f t="shared" ref="T62:T63" si="8">SUM(U55,-D55,V55)</f>
        <v>8937.2031419900723</v>
      </c>
      <c r="U62" s="293">
        <f t="shared" ref="U62:U64" si="9">T62+D83-E55</f>
        <v>12736.474891990072</v>
      </c>
      <c r="V62" s="293">
        <f t="shared" ref="V62:V64" si="10">U62+E83-F55</f>
        <v>9629.4378397310775</v>
      </c>
      <c r="W62" s="293">
        <f t="shared" ref="W62:W64" si="11">V62+F83-G55</f>
        <v>6348.2436536305449</v>
      </c>
      <c r="X62" s="293">
        <f t="shared" si="6"/>
        <v>8423.3371959453489</v>
      </c>
      <c r="Y62" s="293">
        <f t="shared" si="6"/>
        <v>5998.4307382601528</v>
      </c>
      <c r="Z62" s="293">
        <f t="shared" si="6"/>
        <v>9373.5242805749567</v>
      </c>
      <c r="AA62" s="293">
        <f t="shared" si="6"/>
        <v>6948.6178228897606</v>
      </c>
      <c r="AB62" s="293">
        <f t="shared" si="6"/>
        <v>4523.7113652045646</v>
      </c>
      <c r="AC62" s="293">
        <f t="shared" si="6"/>
        <v>7298.8049075193685</v>
      </c>
      <c r="AD62" s="293">
        <f t="shared" si="6"/>
        <v>4873.8984498341724</v>
      </c>
      <c r="AE62" s="293">
        <f t="shared" si="6"/>
        <v>2448.9919921489764</v>
      </c>
      <c r="AG62" s="288"/>
    </row>
    <row r="63" spans="2:33" s="285" customFormat="1" hidden="1" outlineLevel="1" x14ac:dyDescent="0.25">
      <c r="B63" s="289" t="s">
        <v>22</v>
      </c>
      <c r="C63" s="290"/>
      <c r="D63" s="291">
        <f>IF(T69&lt;0,_xlfn.CEILING.MATH(ABS(T69),$W$56),0)</f>
        <v>0</v>
      </c>
      <c r="E63" s="291">
        <f t="shared" ref="E63:O63" si="12">IF(U69&lt;0,_xlfn.CEILING.MATH(ABS(U69),$W$56),0)</f>
        <v>0</v>
      </c>
      <c r="F63" s="291">
        <f t="shared" si="12"/>
        <v>0</v>
      </c>
      <c r="G63" s="291">
        <f t="shared" si="12"/>
        <v>1500</v>
      </c>
      <c r="H63" s="291">
        <f t="shared" si="12"/>
        <v>0</v>
      </c>
      <c r="I63" s="291">
        <f t="shared" si="12"/>
        <v>0</v>
      </c>
      <c r="J63" s="291">
        <f t="shared" si="12"/>
        <v>0</v>
      </c>
      <c r="K63" s="291">
        <f t="shared" si="12"/>
        <v>0</v>
      </c>
      <c r="L63" s="291">
        <f t="shared" si="12"/>
        <v>500</v>
      </c>
      <c r="M63" s="291">
        <f t="shared" si="12"/>
        <v>0</v>
      </c>
      <c r="N63" s="291">
        <f t="shared" si="12"/>
        <v>0</v>
      </c>
      <c r="O63" s="291">
        <f t="shared" si="12"/>
        <v>800</v>
      </c>
      <c r="P63" s="292">
        <f>SUM(D63:O63)</f>
        <v>2800</v>
      </c>
      <c r="T63" s="293">
        <f t="shared" si="8"/>
        <v>2472.5413963785404</v>
      </c>
      <c r="U63" s="293">
        <f t="shared" si="9"/>
        <v>3520.0133963785406</v>
      </c>
      <c r="V63" s="293">
        <f t="shared" si="10"/>
        <v>2415.7403482019054</v>
      </c>
      <c r="W63" s="293">
        <f t="shared" si="11"/>
        <v>738.49796002527</v>
      </c>
      <c r="X63" s="293">
        <f t="shared" si="6"/>
        <v>3171.6512970651825</v>
      </c>
      <c r="Y63" s="293">
        <f t="shared" si="6"/>
        <v>2204.8046341050949</v>
      </c>
      <c r="Z63" s="293">
        <f t="shared" si="6"/>
        <v>3637.9579711450074</v>
      </c>
      <c r="AA63" s="293">
        <f t="shared" si="6"/>
        <v>2671.1113081849198</v>
      </c>
      <c r="AB63" s="293">
        <f t="shared" si="6"/>
        <v>1704.2646452248323</v>
      </c>
      <c r="AC63" s="293">
        <f t="shared" si="6"/>
        <v>3337.4179822647443</v>
      </c>
      <c r="AD63" s="293">
        <f t="shared" si="6"/>
        <v>2370.5713193046568</v>
      </c>
      <c r="AE63" s="293">
        <f t="shared" si="6"/>
        <v>1403.7246563445692</v>
      </c>
      <c r="AG63" s="288"/>
    </row>
    <row r="64" spans="2:33" s="285" customFormat="1" hidden="1" outlineLevel="1" x14ac:dyDescent="0.25">
      <c r="B64" s="289" t="s">
        <v>23</v>
      </c>
      <c r="C64" s="290"/>
      <c r="D64" s="291">
        <f>IF(T70&lt;0,_xlfn.CEILING.MATH(ABS(T70),$W$57),0)</f>
        <v>7100</v>
      </c>
      <c r="E64" s="291">
        <f t="shared" ref="E64:O64" si="13">IF(U70&lt;0,_xlfn.CEILING.MATH(ABS(U70),$W$57),0)</f>
        <v>0</v>
      </c>
      <c r="F64" s="291">
        <f t="shared" si="13"/>
        <v>0</v>
      </c>
      <c r="G64" s="291">
        <f t="shared" si="13"/>
        <v>3600</v>
      </c>
      <c r="H64" s="291">
        <f t="shared" si="13"/>
        <v>0</v>
      </c>
      <c r="I64" s="291">
        <f t="shared" si="13"/>
        <v>700</v>
      </c>
      <c r="J64" s="291">
        <f t="shared" si="13"/>
        <v>0</v>
      </c>
      <c r="K64" s="291">
        <f t="shared" si="13"/>
        <v>0</v>
      </c>
      <c r="L64" s="291">
        <f t="shared" si="13"/>
        <v>2400</v>
      </c>
      <c r="M64" s="291">
        <f t="shared" si="13"/>
        <v>0</v>
      </c>
      <c r="N64" s="291">
        <f t="shared" si="13"/>
        <v>0</v>
      </c>
      <c r="O64" s="291">
        <f t="shared" si="13"/>
        <v>3500</v>
      </c>
      <c r="P64" s="292">
        <f>SUM(D64:O64)</f>
        <v>17300</v>
      </c>
      <c r="T64" s="293">
        <f>SUM(U57,-D57,V57)</f>
        <v>-1073.261863657739</v>
      </c>
      <c r="U64" s="293">
        <f t="shared" si="9"/>
        <v>11626.738136342261</v>
      </c>
      <c r="V64" s="293">
        <f t="shared" si="10"/>
        <v>7027.5483121957777</v>
      </c>
      <c r="W64" s="293">
        <f t="shared" si="11"/>
        <v>2391.2718929469202</v>
      </c>
      <c r="X64" s="293">
        <f t="shared" si="6"/>
        <v>8887.9142778529203</v>
      </c>
      <c r="Y64" s="293">
        <f t="shared" si="6"/>
        <v>5284.5566627589224</v>
      </c>
      <c r="Z64" s="293">
        <f t="shared" si="6"/>
        <v>10781.199047664923</v>
      </c>
      <c r="AA64" s="293">
        <f t="shared" si="6"/>
        <v>7177.8414325709246</v>
      </c>
      <c r="AB64" s="293">
        <f t="shared" si="6"/>
        <v>3574.4838174769266</v>
      </c>
      <c r="AC64" s="293">
        <f t="shared" si="6"/>
        <v>9771.1262023829295</v>
      </c>
      <c r="AD64" s="293">
        <f t="shared" si="6"/>
        <v>6167.7685872889315</v>
      </c>
      <c r="AE64" s="293">
        <f t="shared" si="6"/>
        <v>2564.4109721949335</v>
      </c>
      <c r="AG64" s="288"/>
    </row>
    <row r="65" spans="2:33" s="285" customFormat="1" hidden="1" outlineLevel="1" x14ac:dyDescent="0.25">
      <c r="B65" s="290" t="s">
        <v>433</v>
      </c>
      <c r="C65" s="290"/>
      <c r="D65" s="294">
        <f>SUM(D61:D64)</f>
        <v>7100</v>
      </c>
      <c r="E65" s="294">
        <f>SUM(E61:E64)</f>
        <v>0</v>
      </c>
      <c r="F65" s="294">
        <f t="shared" ref="F65:N65" si="14">SUM(F61:F64)</f>
        <v>0</v>
      </c>
      <c r="G65" s="294">
        <f t="shared" si="14"/>
        <v>5100</v>
      </c>
      <c r="H65" s="294">
        <f t="shared" si="14"/>
        <v>0</v>
      </c>
      <c r="I65" s="294">
        <f t="shared" si="14"/>
        <v>700</v>
      </c>
      <c r="J65" s="294">
        <f t="shared" si="14"/>
        <v>0</v>
      </c>
      <c r="K65" s="294">
        <f t="shared" si="14"/>
        <v>0</v>
      </c>
      <c r="L65" s="294">
        <f t="shared" si="14"/>
        <v>3000</v>
      </c>
      <c r="M65" s="294">
        <f t="shared" si="14"/>
        <v>0</v>
      </c>
      <c r="N65" s="294">
        <f t="shared" si="14"/>
        <v>0</v>
      </c>
      <c r="O65" s="294">
        <f>SUM(O61:O64)</f>
        <v>6500</v>
      </c>
      <c r="P65" s="292">
        <f>SUM(D65:O65)</f>
        <v>22400</v>
      </c>
      <c r="AG65" s="288"/>
    </row>
    <row r="66" spans="2:33" s="285" customFormat="1" ht="18.75" hidden="1" outlineLevel="1" x14ac:dyDescent="0.3">
      <c r="D66" s="295">
        <f>IF(SUM(D61:D64)&gt;0,D65-$W$58,0)</f>
        <v>-12800</v>
      </c>
      <c r="E66" s="295">
        <f t="shared" ref="E66:F66" si="15">IF(SUM(E61:E64)&gt;0,E65-$W$58,0)</f>
        <v>0</v>
      </c>
      <c r="F66" s="295">
        <f t="shared" si="15"/>
        <v>0</v>
      </c>
      <c r="G66" s="295">
        <f>IF(SUM(G61:G64)&gt;0,G65-$W$58,0)</f>
        <v>-14800</v>
      </c>
      <c r="H66" s="295">
        <f t="shared" ref="H66:O66" si="16">IF(SUM(H61:H64)&gt;0,H65-$W$58,0)</f>
        <v>0</v>
      </c>
      <c r="I66" s="295">
        <f t="shared" si="16"/>
        <v>-19200</v>
      </c>
      <c r="J66" s="295">
        <f t="shared" si="16"/>
        <v>0</v>
      </c>
      <c r="K66" s="295">
        <f t="shared" si="16"/>
        <v>0</v>
      </c>
      <c r="L66" s="295">
        <f t="shared" si="16"/>
        <v>-16900</v>
      </c>
      <c r="M66" s="295">
        <f t="shared" si="16"/>
        <v>0</v>
      </c>
      <c r="N66" s="295">
        <f t="shared" si="16"/>
        <v>0</v>
      </c>
      <c r="O66" s="295">
        <f t="shared" si="16"/>
        <v>-13400</v>
      </c>
      <c r="T66" s="296" t="s">
        <v>531</v>
      </c>
      <c r="AG66" s="288"/>
    </row>
    <row r="67" spans="2:33" s="285" customFormat="1" hidden="1" outlineLevel="1" x14ac:dyDescent="0.25">
      <c r="C67" s="286"/>
      <c r="D67" s="291">
        <f>ABS(D$66)*$C$54</f>
        <v>1684.1045603723021</v>
      </c>
      <c r="E67" s="291">
        <f>ABS(E$66)*$C$54</f>
        <v>0</v>
      </c>
      <c r="F67" s="291">
        <f t="shared" ref="F67:O67" si="17">ABS(F$66)*$C$54</f>
        <v>0</v>
      </c>
      <c r="G67" s="291">
        <f t="shared" si="17"/>
        <v>1947.2458979304743</v>
      </c>
      <c r="H67" s="291">
        <f t="shared" si="17"/>
        <v>0</v>
      </c>
      <c r="I67" s="291">
        <f t="shared" si="17"/>
        <v>2526.156840558453</v>
      </c>
      <c r="J67" s="291">
        <f t="shared" si="17"/>
        <v>0</v>
      </c>
      <c r="K67" s="291">
        <f t="shared" si="17"/>
        <v>0</v>
      </c>
      <c r="L67" s="291">
        <f t="shared" si="17"/>
        <v>2223.5443023665553</v>
      </c>
      <c r="M67" s="291">
        <f t="shared" si="17"/>
        <v>0</v>
      </c>
      <c r="N67" s="291">
        <f t="shared" si="17"/>
        <v>0</v>
      </c>
      <c r="O67" s="291">
        <f t="shared" si="17"/>
        <v>1763.0469616397538</v>
      </c>
      <c r="T67" s="293">
        <f>T61-$X54</f>
        <v>6979.3022210633426</v>
      </c>
      <c r="U67" s="293">
        <f t="shared" ref="U67:AE67" si="18">U61-$X54</f>
        <v>8004.4962210633421</v>
      </c>
      <c r="V67" s="293">
        <f t="shared" si="18"/>
        <v>6908.7461841561235</v>
      </c>
      <c r="W67" s="293">
        <f t="shared" si="18"/>
        <v>5223.536467248905</v>
      </c>
      <c r="X67" s="293">
        <f t="shared" si="18"/>
        <v>6171.7421032534075</v>
      </c>
      <c r="Y67" s="293">
        <f t="shared" si="18"/>
        <v>5219.9477392579101</v>
      </c>
      <c r="Z67" s="293">
        <f t="shared" si="18"/>
        <v>6768.1533752624127</v>
      </c>
      <c r="AA67" s="293">
        <f t="shared" si="18"/>
        <v>5816.3590112669153</v>
      </c>
      <c r="AB67" s="293">
        <f t="shared" si="18"/>
        <v>4864.5646472714179</v>
      </c>
      <c r="AC67" s="293">
        <f t="shared" si="18"/>
        <v>6112.7702832759205</v>
      </c>
      <c r="AD67" s="293">
        <f t="shared" si="18"/>
        <v>5160.9759192804231</v>
      </c>
      <c r="AE67" s="293">
        <f t="shared" si="18"/>
        <v>4209.1815552849257</v>
      </c>
      <c r="AG67" s="288"/>
    </row>
    <row r="68" spans="2:33" s="285" customFormat="1" hidden="1" outlineLevel="1" x14ac:dyDescent="0.25">
      <c r="D68" s="291">
        <f>ABS(D$66)*$C$55</f>
        <v>3909.8452472398271</v>
      </c>
      <c r="E68" s="291">
        <f t="shared" ref="E68:O68" si="19">ABS(E$66)*$C$55</f>
        <v>0</v>
      </c>
      <c r="F68" s="291">
        <f t="shared" si="19"/>
        <v>0</v>
      </c>
      <c r="G68" s="291">
        <f t="shared" si="19"/>
        <v>4520.75856712105</v>
      </c>
      <c r="H68" s="291">
        <f t="shared" si="19"/>
        <v>0</v>
      </c>
      <c r="I68" s="291">
        <f t="shared" si="19"/>
        <v>5864.7678708597405</v>
      </c>
      <c r="J68" s="291">
        <f t="shared" si="19"/>
        <v>0</v>
      </c>
      <c r="K68" s="291">
        <f t="shared" si="19"/>
        <v>0</v>
      </c>
      <c r="L68" s="291">
        <f t="shared" si="19"/>
        <v>5162.2175529963342</v>
      </c>
      <c r="M68" s="291">
        <f t="shared" si="19"/>
        <v>0</v>
      </c>
      <c r="N68" s="291">
        <f t="shared" si="19"/>
        <v>0</v>
      </c>
      <c r="O68" s="291">
        <f t="shared" si="19"/>
        <v>4093.1192432041939</v>
      </c>
      <c r="T68" s="293">
        <f t="shared" ref="T68:AE70" si="20">T62-$X55</f>
        <v>4338.7753918966418</v>
      </c>
      <c r="U68" s="293">
        <f t="shared" si="20"/>
        <v>8138.0471418966417</v>
      </c>
      <c r="V68" s="293">
        <f t="shared" si="20"/>
        <v>5031.0100896376471</v>
      </c>
      <c r="W68" s="293">
        <f t="shared" si="20"/>
        <v>1749.8159035371145</v>
      </c>
      <c r="X68" s="293">
        <f t="shared" si="20"/>
        <v>3824.9094458519185</v>
      </c>
      <c r="Y68" s="293">
        <f t="shared" si="20"/>
        <v>1400.0029881667224</v>
      </c>
      <c r="Z68" s="293">
        <f t="shared" si="20"/>
        <v>4775.0965304815263</v>
      </c>
      <c r="AA68" s="293">
        <f t="shared" si="20"/>
        <v>2350.1900727963302</v>
      </c>
      <c r="AB68" s="293">
        <f t="shared" si="20"/>
        <v>-74.716384888865832</v>
      </c>
      <c r="AC68" s="293">
        <f t="shared" si="20"/>
        <v>2700.3771574259381</v>
      </c>
      <c r="AD68" s="293">
        <f t="shared" si="20"/>
        <v>275.47069974074202</v>
      </c>
      <c r="AE68" s="293">
        <f t="shared" si="20"/>
        <v>-2149.4357579444541</v>
      </c>
      <c r="AG68" s="288"/>
    </row>
    <row r="69" spans="2:33" s="285" customFormat="1" hidden="1" outlineLevel="1" x14ac:dyDescent="0.25">
      <c r="D69" s="291">
        <f>ABS(D$66)*$C$56</f>
        <v>1655.3782615204188</v>
      </c>
      <c r="E69" s="291">
        <f t="shared" ref="E69:O69" si="21">ABS(E$66)*$C$56</f>
        <v>0</v>
      </c>
      <c r="F69" s="291">
        <f t="shared" si="21"/>
        <v>0</v>
      </c>
      <c r="G69" s="291">
        <f t="shared" si="21"/>
        <v>1914.0311148829842</v>
      </c>
      <c r="H69" s="291">
        <f t="shared" si="21"/>
        <v>0</v>
      </c>
      <c r="I69" s="291">
        <f t="shared" si="21"/>
        <v>2483.0673922806282</v>
      </c>
      <c r="J69" s="291">
        <f t="shared" si="21"/>
        <v>0</v>
      </c>
      <c r="K69" s="291">
        <f t="shared" si="21"/>
        <v>0</v>
      </c>
      <c r="L69" s="291">
        <f t="shared" si="21"/>
        <v>2185.616610913678</v>
      </c>
      <c r="M69" s="291">
        <f t="shared" si="21"/>
        <v>0</v>
      </c>
      <c r="N69" s="291">
        <f t="shared" si="21"/>
        <v>0</v>
      </c>
      <c r="O69" s="291">
        <f t="shared" si="21"/>
        <v>1732.9741175291883</v>
      </c>
      <c r="T69" s="293">
        <f t="shared" si="20"/>
        <v>318.22384572282408</v>
      </c>
      <c r="U69" s="293">
        <f t="shared" si="20"/>
        <v>1365.6958457228243</v>
      </c>
      <c r="V69" s="293">
        <f t="shared" si="20"/>
        <v>261.42279754618903</v>
      </c>
      <c r="W69" s="293">
        <f t="shared" si="20"/>
        <v>-1415.8195906304463</v>
      </c>
      <c r="X69" s="293">
        <f t="shared" si="20"/>
        <v>1017.3337464094661</v>
      </c>
      <c r="Y69" s="293">
        <f t="shared" si="20"/>
        <v>50.487083449378588</v>
      </c>
      <c r="Z69" s="293">
        <f t="shared" si="20"/>
        <v>1483.640420489291</v>
      </c>
      <c r="AA69" s="293">
        <f t="shared" si="20"/>
        <v>516.7937575292035</v>
      </c>
      <c r="AB69" s="293">
        <f t="shared" si="20"/>
        <v>-450.05290543088404</v>
      </c>
      <c r="AC69" s="293">
        <f t="shared" si="20"/>
        <v>1183.100431609028</v>
      </c>
      <c r="AD69" s="293">
        <f t="shared" si="20"/>
        <v>216.25376864894042</v>
      </c>
      <c r="AE69" s="293">
        <f t="shared" si="20"/>
        <v>-750.59289431114712</v>
      </c>
      <c r="AG69" s="288"/>
    </row>
    <row r="70" spans="2:33" s="285" customFormat="1" ht="21" hidden="1" outlineLevel="1" x14ac:dyDescent="0.35">
      <c r="B70" s="297" t="s">
        <v>440</v>
      </c>
      <c r="D70" s="291">
        <f>ABS(D$66)*$C$57</f>
        <v>5550.671930867451</v>
      </c>
      <c r="E70" s="291">
        <f t="shared" ref="E70:O70" si="22">ABS(E$66)*$C$57</f>
        <v>0</v>
      </c>
      <c r="F70" s="291">
        <f t="shared" si="22"/>
        <v>0</v>
      </c>
      <c r="G70" s="291">
        <f t="shared" si="22"/>
        <v>6417.9644200654902</v>
      </c>
      <c r="H70" s="291">
        <f t="shared" si="22"/>
        <v>0</v>
      </c>
      <c r="I70" s="291">
        <f t="shared" si="22"/>
        <v>8326.0078963011765</v>
      </c>
      <c r="J70" s="291">
        <f t="shared" si="22"/>
        <v>0</v>
      </c>
      <c r="K70" s="291">
        <f t="shared" si="22"/>
        <v>0</v>
      </c>
      <c r="L70" s="291">
        <f t="shared" si="22"/>
        <v>7328.6215337234316</v>
      </c>
      <c r="M70" s="291">
        <f t="shared" si="22"/>
        <v>0</v>
      </c>
      <c r="N70" s="291">
        <f t="shared" si="22"/>
        <v>0</v>
      </c>
      <c r="O70" s="291">
        <f t="shared" si="22"/>
        <v>5810.8596776268632</v>
      </c>
      <c r="P70" s="298"/>
      <c r="T70" s="293">
        <f>T64-$X57</f>
        <v>-7044.0440433807407</v>
      </c>
      <c r="U70" s="293">
        <f t="shared" si="20"/>
        <v>5655.9559566192593</v>
      </c>
      <c r="V70" s="293">
        <f t="shared" si="20"/>
        <v>1056.766132472776</v>
      </c>
      <c r="W70" s="293">
        <f t="shared" si="20"/>
        <v>-3579.5102867760816</v>
      </c>
      <c r="X70" s="293">
        <f t="shared" si="20"/>
        <v>2917.1320981299186</v>
      </c>
      <c r="Y70" s="293">
        <f t="shared" si="20"/>
        <v>-686.22551696407936</v>
      </c>
      <c r="Z70" s="293">
        <f t="shared" si="20"/>
        <v>4810.4168679419208</v>
      </c>
      <c r="AA70" s="293">
        <f t="shared" si="20"/>
        <v>1207.0592528479228</v>
      </c>
      <c r="AB70" s="293">
        <f t="shared" si="20"/>
        <v>-2396.2983622460752</v>
      </c>
      <c r="AC70" s="293">
        <f t="shared" si="20"/>
        <v>3800.3440226599278</v>
      </c>
      <c r="AD70" s="293">
        <f t="shared" si="20"/>
        <v>196.98640756592977</v>
      </c>
      <c r="AE70" s="293">
        <f t="shared" si="20"/>
        <v>-3406.3712075280682</v>
      </c>
      <c r="AG70" s="288"/>
    </row>
    <row r="71" spans="2:33" s="285" customFormat="1" hidden="1" outlineLevel="1" x14ac:dyDescent="0.25"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T71" s="285" t="s">
        <v>478</v>
      </c>
      <c r="V71" s="288"/>
    </row>
    <row r="72" spans="2:33" s="285" customFormat="1" ht="21" hidden="1" outlineLevel="1" x14ac:dyDescent="0.35">
      <c r="B72" s="297" t="s">
        <v>440</v>
      </c>
      <c r="D72" s="299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98"/>
      <c r="T72" s="297" t="s">
        <v>439</v>
      </c>
      <c r="U72" s="288"/>
      <c r="V72" s="288"/>
    </row>
    <row r="73" spans="2:33" s="285" customFormat="1" ht="18.75" hidden="1" customHeight="1" outlineLevel="1" x14ac:dyDescent="0.25">
      <c r="B73" s="300" t="s">
        <v>387</v>
      </c>
      <c r="C73" s="301" t="s">
        <v>4</v>
      </c>
      <c r="D73" s="302">
        <f>D45</f>
        <v>42583</v>
      </c>
      <c r="E73" s="302">
        <f t="shared" ref="E73:O73" si="23">E45</f>
        <v>42614</v>
      </c>
      <c r="F73" s="302">
        <f t="shared" si="23"/>
        <v>42644</v>
      </c>
      <c r="G73" s="302">
        <f t="shared" si="23"/>
        <v>42675</v>
      </c>
      <c r="H73" s="302">
        <f t="shared" si="23"/>
        <v>42705</v>
      </c>
      <c r="I73" s="302">
        <f t="shared" si="23"/>
        <v>42736</v>
      </c>
      <c r="J73" s="302">
        <f t="shared" si="23"/>
        <v>42767</v>
      </c>
      <c r="K73" s="302">
        <f t="shared" si="23"/>
        <v>42795</v>
      </c>
      <c r="L73" s="302">
        <f t="shared" si="23"/>
        <v>42826</v>
      </c>
      <c r="M73" s="302">
        <f t="shared" si="23"/>
        <v>42856</v>
      </c>
      <c r="N73" s="302">
        <f t="shared" si="23"/>
        <v>42887</v>
      </c>
      <c r="O73" s="302">
        <f t="shared" si="23"/>
        <v>42917</v>
      </c>
      <c r="P73" s="298"/>
      <c r="T73" s="302">
        <f>D45</f>
        <v>42583</v>
      </c>
      <c r="U73" s="302">
        <f t="shared" ref="U73:AE73" si="24">E45</f>
        <v>42614</v>
      </c>
      <c r="V73" s="302">
        <f t="shared" si="24"/>
        <v>42644</v>
      </c>
      <c r="W73" s="302">
        <f t="shared" si="24"/>
        <v>42675</v>
      </c>
      <c r="X73" s="302">
        <f t="shared" si="24"/>
        <v>42705</v>
      </c>
      <c r="Y73" s="302">
        <f t="shared" si="24"/>
        <v>42736</v>
      </c>
      <c r="Z73" s="302">
        <f t="shared" si="24"/>
        <v>42767</v>
      </c>
      <c r="AA73" s="302">
        <f t="shared" si="24"/>
        <v>42795</v>
      </c>
      <c r="AB73" s="302">
        <f t="shared" si="24"/>
        <v>42826</v>
      </c>
      <c r="AC73" s="302">
        <f t="shared" si="24"/>
        <v>42856</v>
      </c>
      <c r="AD73" s="302">
        <f t="shared" si="24"/>
        <v>42887</v>
      </c>
      <c r="AE73" s="302">
        <f t="shared" si="24"/>
        <v>42917</v>
      </c>
    </row>
    <row r="74" spans="2:33" s="285" customFormat="1" hidden="1" outlineLevel="1" x14ac:dyDescent="0.25">
      <c r="B74" s="289" t="s">
        <v>12</v>
      </c>
      <c r="C74" s="290"/>
      <c r="D74" s="291">
        <f t="shared" ref="D74:O74" si="25">IF(T90&lt;0,_xlfn.CEILING.MATH(ABS(T90),$W$46),0)</f>
        <v>36000</v>
      </c>
      <c r="E74" s="291">
        <f t="shared" si="25"/>
        <v>3000</v>
      </c>
      <c r="F74" s="291">
        <f t="shared" si="25"/>
        <v>24000</v>
      </c>
      <c r="G74" s="291">
        <f t="shared" si="25"/>
        <v>28000</v>
      </c>
      <c r="H74" s="291">
        <f t="shared" si="25"/>
        <v>19000</v>
      </c>
      <c r="I74" s="291">
        <f t="shared" si="25"/>
        <v>19000</v>
      </c>
      <c r="J74" s="291">
        <f t="shared" si="25"/>
        <v>19000</v>
      </c>
      <c r="K74" s="291">
        <f t="shared" si="25"/>
        <v>19000</v>
      </c>
      <c r="L74" s="291">
        <f t="shared" si="25"/>
        <v>19000</v>
      </c>
      <c r="M74" s="291">
        <f t="shared" si="25"/>
        <v>19000</v>
      </c>
      <c r="N74" s="291">
        <f t="shared" si="25"/>
        <v>19000</v>
      </c>
      <c r="O74" s="291">
        <f t="shared" si="25"/>
        <v>19000</v>
      </c>
      <c r="P74" s="292">
        <f t="shared" ref="P74:P81" si="26">SUM(D74:O74)</f>
        <v>243000</v>
      </c>
      <c r="T74" s="293">
        <f>SUM(U46,-D46,V46)</f>
        <v>-33301.79139575774</v>
      </c>
      <c r="U74" s="293">
        <f>T74+D74-E46</f>
        <v>-671.18077091534042</v>
      </c>
      <c r="V74" s="293">
        <f t="shared" ref="V74:AE85" si="27">U74+E74-F46</f>
        <v>-21339.554467000329</v>
      </c>
      <c r="W74" s="293">
        <f t="shared" si="27"/>
        <v>-25616.705161650782</v>
      </c>
      <c r="X74" s="293">
        <f t="shared" si="27"/>
        <v>-16682.287982095735</v>
      </c>
      <c r="Y74" s="293">
        <f t="shared" si="27"/>
        <v>-16747.870802540689</v>
      </c>
      <c r="Z74" s="293">
        <f t="shared" si="27"/>
        <v>-16813.453622985642</v>
      </c>
      <c r="AA74" s="293">
        <f t="shared" si="27"/>
        <v>-16879.036443430596</v>
      </c>
      <c r="AB74" s="293">
        <f t="shared" si="27"/>
        <v>-16944.619263875549</v>
      </c>
      <c r="AC74" s="293">
        <f t="shared" si="27"/>
        <v>-17010.202084320503</v>
      </c>
      <c r="AD74" s="293">
        <f t="shared" si="27"/>
        <v>-17075.784904765456</v>
      </c>
      <c r="AE74" s="293">
        <f t="shared" si="27"/>
        <v>-17141.36772521041</v>
      </c>
    </row>
    <row r="75" spans="2:33" s="285" customFormat="1" hidden="1" outlineLevel="1" x14ac:dyDescent="0.25">
      <c r="B75" s="289" t="s">
        <v>13</v>
      </c>
      <c r="C75" s="290"/>
      <c r="D75" s="291">
        <f t="shared" ref="D75:O75" si="28">IF(T91&lt;0,_xlfn.CEILING.MATH(ABS(T91),$W$47),0)</f>
        <v>0</v>
      </c>
      <c r="E75" s="291">
        <f t="shared" si="28"/>
        <v>0</v>
      </c>
      <c r="F75" s="291">
        <f t="shared" si="28"/>
        <v>0</v>
      </c>
      <c r="G75" s="291">
        <f t="shared" si="28"/>
        <v>19000</v>
      </c>
      <c r="H75" s="291">
        <f t="shared" si="28"/>
        <v>0</v>
      </c>
      <c r="I75" s="291">
        <f t="shared" si="28"/>
        <v>19000</v>
      </c>
      <c r="J75" s="291">
        <f t="shared" si="28"/>
        <v>0</v>
      </c>
      <c r="K75" s="291">
        <f t="shared" si="28"/>
        <v>0</v>
      </c>
      <c r="L75" s="291">
        <f t="shared" si="28"/>
        <v>19000</v>
      </c>
      <c r="M75" s="291">
        <f t="shared" si="28"/>
        <v>0</v>
      </c>
      <c r="N75" s="291">
        <f t="shared" si="28"/>
        <v>0</v>
      </c>
      <c r="O75" s="291">
        <f t="shared" si="28"/>
        <v>19000</v>
      </c>
      <c r="P75" s="292">
        <f t="shared" si="26"/>
        <v>76000</v>
      </c>
      <c r="T75" s="293">
        <f t="shared" ref="T75:T85" si="29">SUM(U47,-D47,V47)</f>
        <v>10980.38420092361</v>
      </c>
      <c r="U75" s="293">
        <f t="shared" ref="U75:U85" si="30">T75+D75-E47</f>
        <v>9959.9305324586567</v>
      </c>
      <c r="V75" s="293">
        <f t="shared" si="27"/>
        <v>1919.3221568701674</v>
      </c>
      <c r="W75" s="293">
        <f t="shared" si="27"/>
        <v>-7562.5169564274538</v>
      </c>
      <c r="X75" s="293">
        <f t="shared" si="27"/>
        <v>4983.0725419361479</v>
      </c>
      <c r="Y75" s="293">
        <f t="shared" si="27"/>
        <v>-1471.3379597002495</v>
      </c>
      <c r="Z75" s="293">
        <f t="shared" si="27"/>
        <v>11074.251538663353</v>
      </c>
      <c r="AA75" s="293">
        <f t="shared" si="27"/>
        <v>4619.8410370269557</v>
      </c>
      <c r="AB75" s="293">
        <f t="shared" si="27"/>
        <v>-1834.5694646094416</v>
      </c>
      <c r="AC75" s="293">
        <f t="shared" si="27"/>
        <v>10711.020033754161</v>
      </c>
      <c r="AD75" s="293">
        <f t="shared" si="27"/>
        <v>4256.6095321177636</v>
      </c>
      <c r="AE75" s="293">
        <f t="shared" si="27"/>
        <v>-2197.8009695186338</v>
      </c>
    </row>
    <row r="76" spans="2:33" s="285" customFormat="1" hidden="1" outlineLevel="1" x14ac:dyDescent="0.25">
      <c r="B76" s="289" t="s">
        <v>14</v>
      </c>
      <c r="C76" s="303"/>
      <c r="D76" s="291">
        <f t="shared" ref="D76:O76" si="31">IF(T92&lt;0,_xlfn.CEILING.MATH(ABS(T92),$W$48),0)</f>
        <v>0</v>
      </c>
      <c r="E76" s="291">
        <f t="shared" si="31"/>
        <v>0</v>
      </c>
      <c r="F76" s="291">
        <f t="shared" si="31"/>
        <v>0</v>
      </c>
      <c r="G76" s="291">
        <f t="shared" si="31"/>
        <v>0</v>
      </c>
      <c r="H76" s="291">
        <f t="shared" si="31"/>
        <v>0</v>
      </c>
      <c r="I76" s="291">
        <f t="shared" si="31"/>
        <v>0</v>
      </c>
      <c r="J76" s="291">
        <f t="shared" si="31"/>
        <v>0</v>
      </c>
      <c r="K76" s="291">
        <f t="shared" si="31"/>
        <v>0</v>
      </c>
      <c r="L76" s="291">
        <f t="shared" si="31"/>
        <v>60</v>
      </c>
      <c r="M76" s="291">
        <f t="shared" si="31"/>
        <v>60</v>
      </c>
      <c r="N76" s="291">
        <f t="shared" si="31"/>
        <v>60</v>
      </c>
      <c r="O76" s="291">
        <f t="shared" si="31"/>
        <v>60</v>
      </c>
      <c r="P76" s="292">
        <f t="shared" si="26"/>
        <v>240</v>
      </c>
      <c r="T76" s="293">
        <f t="shared" si="29"/>
        <v>415.37875460793947</v>
      </c>
      <c r="U76" s="293">
        <f t="shared" si="30"/>
        <v>405.22020333577291</v>
      </c>
      <c r="V76" s="293">
        <f t="shared" si="27"/>
        <v>333.76376775920403</v>
      </c>
      <c r="W76" s="293">
        <f t="shared" si="27"/>
        <v>248.38774411012531</v>
      </c>
      <c r="X76" s="293">
        <f t="shared" si="27"/>
        <v>190.83348877327089</v>
      </c>
      <c r="Y76" s="293">
        <f t="shared" si="27"/>
        <v>133.27923343641646</v>
      </c>
      <c r="Z76" s="293">
        <f t="shared" si="27"/>
        <v>75.724978099562037</v>
      </c>
      <c r="AA76" s="293">
        <f t="shared" si="27"/>
        <v>18.170722762707605</v>
      </c>
      <c r="AB76" s="293">
        <f t="shared" si="27"/>
        <v>-39.383532574146827</v>
      </c>
      <c r="AC76" s="293">
        <f t="shared" si="27"/>
        <v>-36.937787911001259</v>
      </c>
      <c r="AD76" s="293">
        <f t="shared" si="27"/>
        <v>-34.49204324785569</v>
      </c>
      <c r="AE76" s="293">
        <f t="shared" si="27"/>
        <v>-32.046298584710122</v>
      </c>
    </row>
    <row r="77" spans="2:33" s="285" customFormat="1" hidden="1" outlineLevel="1" x14ac:dyDescent="0.25">
      <c r="B77" s="289" t="s">
        <v>15</v>
      </c>
      <c r="C77" s="303"/>
      <c r="D77" s="291">
        <f t="shared" ref="D77:O77" si="32">IF(T93&lt;0,_xlfn.CEILING.MATH(ABS(T93),$W$49),0)</f>
        <v>0</v>
      </c>
      <c r="E77" s="291">
        <f t="shared" si="32"/>
        <v>0</v>
      </c>
      <c r="F77" s="291">
        <f t="shared" si="32"/>
        <v>0</v>
      </c>
      <c r="G77" s="291">
        <f t="shared" si="32"/>
        <v>0</v>
      </c>
      <c r="H77" s="291">
        <f t="shared" si="32"/>
        <v>0</v>
      </c>
      <c r="I77" s="291">
        <f t="shared" si="32"/>
        <v>0</v>
      </c>
      <c r="J77" s="291">
        <f t="shared" si="32"/>
        <v>0</v>
      </c>
      <c r="K77" s="291">
        <f t="shared" si="32"/>
        <v>0</v>
      </c>
      <c r="L77" s="291">
        <f t="shared" si="32"/>
        <v>0</v>
      </c>
      <c r="M77" s="291">
        <f t="shared" si="32"/>
        <v>0</v>
      </c>
      <c r="N77" s="291">
        <f t="shared" si="32"/>
        <v>0</v>
      </c>
      <c r="O77" s="291">
        <f t="shared" si="32"/>
        <v>0</v>
      </c>
      <c r="P77" s="292">
        <f t="shared" si="26"/>
        <v>0</v>
      </c>
      <c r="T77" s="293">
        <f t="shared" si="29"/>
        <v>421.68937730396971</v>
      </c>
      <c r="U77" s="293">
        <f t="shared" si="30"/>
        <v>416.61010166788645</v>
      </c>
      <c r="V77" s="293">
        <f t="shared" si="27"/>
        <v>380.88188387960201</v>
      </c>
      <c r="W77" s="293">
        <f t="shared" si="27"/>
        <v>338.19387205506268</v>
      </c>
      <c r="X77" s="293">
        <f t="shared" si="27"/>
        <v>309.41674438663546</v>
      </c>
      <c r="Y77" s="293">
        <f t="shared" si="27"/>
        <v>280.63961671820823</v>
      </c>
      <c r="Z77" s="293">
        <f t="shared" si="27"/>
        <v>251.862489049781</v>
      </c>
      <c r="AA77" s="293">
        <f t="shared" si="27"/>
        <v>223.08536138135378</v>
      </c>
      <c r="AB77" s="293">
        <f t="shared" si="27"/>
        <v>194.30823371292655</v>
      </c>
      <c r="AC77" s="293">
        <f t="shared" si="27"/>
        <v>165.53110604449932</v>
      </c>
      <c r="AD77" s="293">
        <f t="shared" si="27"/>
        <v>136.7539783760721</v>
      </c>
      <c r="AE77" s="293">
        <f t="shared" si="27"/>
        <v>107.97685070764489</v>
      </c>
    </row>
    <row r="78" spans="2:33" s="285" customFormat="1" hidden="1" outlineLevel="1" x14ac:dyDescent="0.25">
      <c r="B78" s="289" t="s">
        <v>16</v>
      </c>
      <c r="C78" s="303"/>
      <c r="D78" s="291">
        <f t="shared" ref="D78:O78" si="33">IF(T94&lt;0,_xlfn.CEILING.MATH(ABS(T94),$W$50),0)</f>
        <v>600</v>
      </c>
      <c r="E78" s="291">
        <f t="shared" si="33"/>
        <v>75</v>
      </c>
      <c r="F78" s="291">
        <f t="shared" si="33"/>
        <v>475</v>
      </c>
      <c r="G78" s="291">
        <f t="shared" si="33"/>
        <v>550</v>
      </c>
      <c r="H78" s="291">
        <f t="shared" si="33"/>
        <v>400</v>
      </c>
      <c r="I78" s="291">
        <f t="shared" si="33"/>
        <v>375</v>
      </c>
      <c r="J78" s="291">
        <f t="shared" si="33"/>
        <v>375</v>
      </c>
      <c r="K78" s="291">
        <f t="shared" si="33"/>
        <v>375</v>
      </c>
      <c r="L78" s="291">
        <f t="shared" si="33"/>
        <v>400</v>
      </c>
      <c r="M78" s="291">
        <f t="shared" si="33"/>
        <v>375</v>
      </c>
      <c r="N78" s="291">
        <f t="shared" si="33"/>
        <v>375</v>
      </c>
      <c r="O78" s="291">
        <f t="shared" si="33"/>
        <v>400</v>
      </c>
      <c r="P78" s="292">
        <f t="shared" si="26"/>
        <v>4775</v>
      </c>
      <c r="T78" s="293">
        <f t="shared" si="29"/>
        <v>-553.0856230592683</v>
      </c>
      <c r="U78" s="293">
        <f t="shared" si="30"/>
        <v>-20.498880122970931</v>
      </c>
      <c r="V78" s="293">
        <f t="shared" si="27"/>
        <v>-419.56742458186335</v>
      </c>
      <c r="W78" s="293">
        <f t="shared" si="27"/>
        <v>-510.98732978456525</v>
      </c>
      <c r="X78" s="293">
        <f t="shared" si="27"/>
        <v>-342.84301841136443</v>
      </c>
      <c r="Y78" s="293">
        <f t="shared" si="27"/>
        <v>-324.6987070381636</v>
      </c>
      <c r="Z78" s="293">
        <f t="shared" si="27"/>
        <v>-331.55439566496278</v>
      </c>
      <c r="AA78" s="293">
        <f t="shared" si="27"/>
        <v>-338.41008429176196</v>
      </c>
      <c r="AB78" s="293">
        <f t="shared" si="27"/>
        <v>-345.26577291856114</v>
      </c>
      <c r="AC78" s="293">
        <f t="shared" si="27"/>
        <v>-327.12146154536032</v>
      </c>
      <c r="AD78" s="293">
        <f t="shared" si="27"/>
        <v>-333.9771501721595</v>
      </c>
      <c r="AE78" s="293">
        <f t="shared" si="27"/>
        <v>-340.83283879895868</v>
      </c>
    </row>
    <row r="79" spans="2:33" s="285" customFormat="1" hidden="1" outlineLevel="1" x14ac:dyDescent="0.25">
      <c r="B79" s="289" t="s">
        <v>17</v>
      </c>
      <c r="C79" s="290"/>
      <c r="D79" s="291">
        <f t="shared" ref="D79:O79" si="34">IF(T95&lt;0,_xlfn.CEILING.MATH(ABS(T95),$W$51),0)</f>
        <v>0</v>
      </c>
      <c r="E79" s="291">
        <f t="shared" si="34"/>
        <v>0</v>
      </c>
      <c r="F79" s="291">
        <f t="shared" si="34"/>
        <v>193</v>
      </c>
      <c r="G79" s="291">
        <f t="shared" si="34"/>
        <v>386</v>
      </c>
      <c r="H79" s="291">
        <f t="shared" si="34"/>
        <v>193</v>
      </c>
      <c r="I79" s="291">
        <f t="shared" si="34"/>
        <v>193</v>
      </c>
      <c r="J79" s="291">
        <f t="shared" si="34"/>
        <v>193</v>
      </c>
      <c r="K79" s="291">
        <f t="shared" si="34"/>
        <v>193</v>
      </c>
      <c r="L79" s="291">
        <f t="shared" si="34"/>
        <v>193</v>
      </c>
      <c r="M79" s="291">
        <f t="shared" si="34"/>
        <v>193</v>
      </c>
      <c r="N79" s="291">
        <f t="shared" si="34"/>
        <v>193</v>
      </c>
      <c r="O79" s="291">
        <f t="shared" si="34"/>
        <v>193</v>
      </c>
      <c r="P79" s="292">
        <f t="shared" si="26"/>
        <v>2123</v>
      </c>
      <c r="T79" s="293">
        <f t="shared" si="29"/>
        <v>251.67029857262173</v>
      </c>
      <c r="U79" s="293">
        <f t="shared" si="30"/>
        <v>214.38725659558725</v>
      </c>
      <c r="V79" s="293">
        <f t="shared" si="27"/>
        <v>-48.583645840471831</v>
      </c>
      <c r="W79" s="293">
        <f t="shared" si="27"/>
        <v>-169.83479143792158</v>
      </c>
      <c r="X79" s="293">
        <f t="shared" si="27"/>
        <v>4.3848946939994846</v>
      </c>
      <c r="Y79" s="293">
        <f t="shared" si="27"/>
        <v>-14.39541917407945</v>
      </c>
      <c r="Z79" s="293">
        <f t="shared" si="27"/>
        <v>-33.175733042158384</v>
      </c>
      <c r="AA79" s="293">
        <f t="shared" si="27"/>
        <v>-51.956046910237319</v>
      </c>
      <c r="AB79" s="293">
        <f t="shared" si="27"/>
        <v>-70.736360778316254</v>
      </c>
      <c r="AC79" s="293">
        <f t="shared" si="27"/>
        <v>-89.516674646395188</v>
      </c>
      <c r="AD79" s="293">
        <f t="shared" si="27"/>
        <v>-108.29698851447412</v>
      </c>
      <c r="AE79" s="293">
        <f t="shared" si="27"/>
        <v>-127.07730238255306</v>
      </c>
    </row>
    <row r="80" spans="2:33" s="285" customFormat="1" hidden="1" outlineLevel="1" x14ac:dyDescent="0.25">
      <c r="B80" s="289" t="s">
        <v>18</v>
      </c>
      <c r="C80" s="290"/>
      <c r="D80" s="291">
        <f t="shared" ref="D80:O80" si="35">IF(T96&lt;0,_xlfn.CEILING.MATH(ABS(T96),$W$52),0)</f>
        <v>0</v>
      </c>
      <c r="E80" s="291">
        <f t="shared" si="35"/>
        <v>0</v>
      </c>
      <c r="F80" s="291">
        <f t="shared" si="35"/>
        <v>0</v>
      </c>
      <c r="G80" s="291">
        <f t="shared" si="35"/>
        <v>0</v>
      </c>
      <c r="H80" s="291">
        <f t="shared" si="35"/>
        <v>0</v>
      </c>
      <c r="I80" s="291">
        <f t="shared" si="35"/>
        <v>0</v>
      </c>
      <c r="J80" s="291">
        <f t="shared" si="35"/>
        <v>0</v>
      </c>
      <c r="K80" s="291">
        <f t="shared" si="35"/>
        <v>0</v>
      </c>
      <c r="L80" s="291">
        <f t="shared" si="35"/>
        <v>0</v>
      </c>
      <c r="M80" s="291">
        <f t="shared" si="35"/>
        <v>0</v>
      </c>
      <c r="N80" s="291">
        <f t="shared" si="35"/>
        <v>0</v>
      </c>
      <c r="O80" s="291">
        <f t="shared" si="35"/>
        <v>0</v>
      </c>
      <c r="P80" s="292">
        <f t="shared" si="26"/>
        <v>0</v>
      </c>
      <c r="T80" s="293">
        <f t="shared" si="29"/>
        <v>5694.6350577145931</v>
      </c>
      <c r="U80" s="293">
        <f t="shared" si="30"/>
        <v>5660.9905127995571</v>
      </c>
      <c r="V80" s="293">
        <f t="shared" si="27"/>
        <v>5424.4177791137572</v>
      </c>
      <c r="W80" s="293">
        <f t="shared" si="27"/>
        <v>5141.7585436706377</v>
      </c>
      <c r="X80" s="293">
        <f t="shared" si="27"/>
        <v>4951.1985687476845</v>
      </c>
      <c r="Y80" s="293">
        <f t="shared" si="27"/>
        <v>4760.6385938247313</v>
      </c>
      <c r="Z80" s="293">
        <f t="shared" si="27"/>
        <v>4570.0786189017781</v>
      </c>
      <c r="AA80" s="293">
        <f t="shared" si="27"/>
        <v>4379.5186439788249</v>
      </c>
      <c r="AB80" s="293">
        <f t="shared" si="27"/>
        <v>4188.9586690558717</v>
      </c>
      <c r="AC80" s="293">
        <f t="shared" si="27"/>
        <v>3998.3986941329181</v>
      </c>
      <c r="AD80" s="293">
        <f t="shared" si="27"/>
        <v>3807.8387192099644</v>
      </c>
      <c r="AE80" s="293">
        <f t="shared" si="27"/>
        <v>3617.2787442870108</v>
      </c>
    </row>
    <row r="81" spans="2:31" s="285" customFormat="1" hidden="1" outlineLevel="1" x14ac:dyDescent="0.25">
      <c r="B81" s="289" t="s">
        <v>19</v>
      </c>
      <c r="C81" s="290"/>
      <c r="D81" s="291">
        <f t="shared" ref="D81:O81" si="36">IF(T97&lt;0,_xlfn.CEILING.MATH(ABS(T97),$W$53),0)</f>
        <v>76000</v>
      </c>
      <c r="E81" s="291">
        <f t="shared" si="36"/>
        <v>0</v>
      </c>
      <c r="F81" s="291">
        <f t="shared" si="36"/>
        <v>57000</v>
      </c>
      <c r="G81" s="291">
        <f t="shared" si="36"/>
        <v>57000</v>
      </c>
      <c r="H81" s="291">
        <f t="shared" si="36"/>
        <v>38000</v>
      </c>
      <c r="I81" s="291">
        <f t="shared" si="36"/>
        <v>38000</v>
      </c>
      <c r="J81" s="291">
        <f t="shared" si="36"/>
        <v>38000</v>
      </c>
      <c r="K81" s="291">
        <f t="shared" si="36"/>
        <v>57000</v>
      </c>
      <c r="L81" s="291">
        <f t="shared" si="36"/>
        <v>38000</v>
      </c>
      <c r="M81" s="291">
        <f t="shared" si="36"/>
        <v>38000</v>
      </c>
      <c r="N81" s="291">
        <f t="shared" si="36"/>
        <v>38000</v>
      </c>
      <c r="O81" s="291">
        <f t="shared" si="36"/>
        <v>38000</v>
      </c>
      <c r="P81" s="292">
        <f t="shared" si="26"/>
        <v>513000</v>
      </c>
      <c r="T81" s="293">
        <f t="shared" si="29"/>
        <v>-55569.144238363864</v>
      </c>
      <c r="U81" s="293">
        <f t="shared" si="30"/>
        <v>13225.944558861134</v>
      </c>
      <c r="V81" s="293">
        <f t="shared" si="27"/>
        <v>-37968.952698957095</v>
      </c>
      <c r="W81" s="293">
        <f t="shared" si="27"/>
        <v>-42720.873418116353</v>
      </c>
      <c r="X81" s="293">
        <f t="shared" si="27"/>
        <v>-27132.099889120684</v>
      </c>
      <c r="Y81" s="293">
        <f t="shared" si="27"/>
        <v>-30543.326360125015</v>
      </c>
      <c r="Z81" s="293">
        <f t="shared" si="27"/>
        <v>-33954.552831129346</v>
      </c>
      <c r="AA81" s="293">
        <f t="shared" si="27"/>
        <v>-37365.779302133677</v>
      </c>
      <c r="AB81" s="293">
        <f t="shared" si="27"/>
        <v>-21777.005773138007</v>
      </c>
      <c r="AC81" s="293">
        <f t="shared" si="27"/>
        <v>-25188.232244142338</v>
      </c>
      <c r="AD81" s="293">
        <f t="shared" si="27"/>
        <v>-28599.458715146669</v>
      </c>
      <c r="AE81" s="293">
        <f t="shared" si="27"/>
        <v>-32010.685186151</v>
      </c>
    </row>
    <row r="82" spans="2:31" s="285" customFormat="1" hidden="1" outlineLevel="1" x14ac:dyDescent="0.25">
      <c r="B82" s="289" t="s">
        <v>20</v>
      </c>
      <c r="C82" s="290"/>
      <c r="D82" s="291">
        <f>IF(D67=MAX(D$67:D$70),_xlfn.CEILING.MATH(D67,$W$54),_xlfn.FLOOR.MATH(D67,$W$54))+D61</f>
        <v>1600</v>
      </c>
      <c r="E82" s="291">
        <f>IF(E67=MAX(E$67:E$70),_xlfn.CEILING.MATH(E67,$W$54),_xlfn.FLOOR.MATH(E67,$W$54))+E61</f>
        <v>0</v>
      </c>
      <c r="F82" s="291">
        <f t="shared" ref="F82:O82" si="37">IF(F67=MAX(F$67:F$70),_xlfn.CEILING.MATH(F67,$W$54),_xlfn.FLOOR.MATH(F67,$W$54))+F61</f>
        <v>0</v>
      </c>
      <c r="G82" s="291">
        <f>IF(G67=MAX(G$67:G$70),_xlfn.CEILING.MATH(G67,$W$54),_xlfn.FLOOR.MATH(G67,$W$54))+G61</f>
        <v>1900</v>
      </c>
      <c r="H82" s="291">
        <f t="shared" si="37"/>
        <v>0</v>
      </c>
      <c r="I82" s="291">
        <f t="shared" si="37"/>
        <v>2500</v>
      </c>
      <c r="J82" s="291">
        <f t="shared" si="37"/>
        <v>0</v>
      </c>
      <c r="K82" s="291">
        <f t="shared" si="37"/>
        <v>0</v>
      </c>
      <c r="L82" s="291">
        <f t="shared" si="37"/>
        <v>2200</v>
      </c>
      <c r="M82" s="291">
        <f t="shared" si="37"/>
        <v>0</v>
      </c>
      <c r="N82" s="291">
        <f t="shared" si="37"/>
        <v>0</v>
      </c>
      <c r="O82" s="291">
        <f t="shared" si="37"/>
        <v>1700</v>
      </c>
      <c r="P82" s="292">
        <f>SUM(D82:O82)</f>
        <v>9900</v>
      </c>
      <c r="T82" s="293">
        <f>SUM(U54,-D54,V54)</f>
        <v>9281.3493356159997</v>
      </c>
      <c r="U82" s="293">
        <f>T82+D82-E54</f>
        <v>10306.543335615999</v>
      </c>
      <c r="V82" s="293">
        <f t="shared" si="27"/>
        <v>9210.7932987087806</v>
      </c>
      <c r="W82" s="293">
        <f t="shared" si="27"/>
        <v>7525.5835818015612</v>
      </c>
      <c r="X82" s="293">
        <f t="shared" si="27"/>
        <v>8473.7892178060647</v>
      </c>
      <c r="Y82" s="293">
        <f t="shared" si="27"/>
        <v>7521.9948538105673</v>
      </c>
      <c r="Z82" s="293">
        <f t="shared" si="27"/>
        <v>9070.2004898150699</v>
      </c>
      <c r="AA82" s="293">
        <f t="shared" si="27"/>
        <v>8118.4061258195725</v>
      </c>
      <c r="AB82" s="293">
        <f t="shared" si="27"/>
        <v>7166.6117618240751</v>
      </c>
      <c r="AC82" s="293">
        <f t="shared" si="27"/>
        <v>8414.8173978285777</v>
      </c>
      <c r="AD82" s="293">
        <f t="shared" si="27"/>
        <v>7463.0230338330803</v>
      </c>
      <c r="AE82" s="293">
        <f t="shared" si="27"/>
        <v>6511.2286698375829</v>
      </c>
    </row>
    <row r="83" spans="2:31" s="285" customFormat="1" hidden="1" outlineLevel="1" x14ac:dyDescent="0.25">
      <c r="B83" s="289" t="s">
        <v>21</v>
      </c>
      <c r="C83" s="290"/>
      <c r="D83" s="291">
        <f>IF(D68=MAX(D$67:D$70),_xlfn.CEILING.MATH(D68,$W$55),_xlfn.FLOOR.MATH(D68,$W$55))+D62</f>
        <v>3900</v>
      </c>
      <c r="E83" s="291">
        <f t="shared" ref="E83:O83" si="38">IF(E68=MAX(E$67:E$70),_xlfn.CEILING.MATH(E68,$W$55),_xlfn.FLOOR.MATH(E68,$W$55))+E62</f>
        <v>0</v>
      </c>
      <c r="F83" s="291">
        <f t="shared" si="38"/>
        <v>0</v>
      </c>
      <c r="G83" s="291">
        <f t="shared" si="38"/>
        <v>4500</v>
      </c>
      <c r="H83" s="291">
        <f t="shared" si="38"/>
        <v>0</v>
      </c>
      <c r="I83" s="291">
        <f t="shared" si="38"/>
        <v>5800</v>
      </c>
      <c r="J83" s="291">
        <f t="shared" si="38"/>
        <v>0</v>
      </c>
      <c r="K83" s="291">
        <f t="shared" si="38"/>
        <v>0</v>
      </c>
      <c r="L83" s="291">
        <f t="shared" si="38"/>
        <v>5200</v>
      </c>
      <c r="M83" s="291">
        <f t="shared" si="38"/>
        <v>0</v>
      </c>
      <c r="N83" s="291">
        <f t="shared" si="38"/>
        <v>0</v>
      </c>
      <c r="O83" s="291">
        <f t="shared" si="38"/>
        <v>6200</v>
      </c>
      <c r="P83" s="292">
        <f>SUM(D83:O83)</f>
        <v>25600</v>
      </c>
      <c r="T83" s="293">
        <f t="shared" si="29"/>
        <v>8937.2031419900723</v>
      </c>
      <c r="U83" s="293">
        <f t="shared" si="30"/>
        <v>12736.474891990072</v>
      </c>
      <c r="V83" s="293">
        <f t="shared" si="27"/>
        <v>9629.4378397310775</v>
      </c>
      <c r="W83" s="293">
        <f t="shared" si="27"/>
        <v>6348.2436536305449</v>
      </c>
      <c r="X83" s="293">
        <f t="shared" si="27"/>
        <v>8423.3371959453489</v>
      </c>
      <c r="Y83" s="293">
        <f t="shared" si="27"/>
        <v>5998.4307382601528</v>
      </c>
      <c r="Z83" s="293">
        <f t="shared" si="27"/>
        <v>9373.5242805749567</v>
      </c>
      <c r="AA83" s="293">
        <f t="shared" si="27"/>
        <v>6948.6178228897606</v>
      </c>
      <c r="AB83" s="293">
        <f t="shared" si="27"/>
        <v>4523.7113652045646</v>
      </c>
      <c r="AC83" s="293">
        <f t="shared" si="27"/>
        <v>7298.8049075193685</v>
      </c>
      <c r="AD83" s="293">
        <f t="shared" si="27"/>
        <v>4873.8984498341724</v>
      </c>
      <c r="AE83" s="293">
        <f t="shared" si="27"/>
        <v>2448.9919921489764</v>
      </c>
    </row>
    <row r="84" spans="2:31" s="285" customFormat="1" hidden="1" outlineLevel="1" x14ac:dyDescent="0.25">
      <c r="B84" s="289" t="s">
        <v>22</v>
      </c>
      <c r="C84" s="290"/>
      <c r="D84" s="291">
        <f>IF(D69=MAX(D$67:D$70),_xlfn.CEILING.MATH(D69,$W$56),_xlfn.FLOOR.MATH(D69,$W$56))+D63</f>
        <v>1600</v>
      </c>
      <c r="E84" s="291">
        <f t="shared" ref="E84:O84" si="39">IF(E69=MAX(E$67:E$70),_xlfn.CEILING.MATH(E69,$W$56),_xlfn.FLOOR.MATH(E69,$W$56))+E63</f>
        <v>0</v>
      </c>
      <c r="F84" s="291">
        <f t="shared" si="39"/>
        <v>0</v>
      </c>
      <c r="G84" s="291">
        <f>IF(G69=MAX(G$67:G$70),_xlfn.CEILING.MATH(G69,$W$56),_xlfn.FLOOR.MATH(G69,$W$56))+G63</f>
        <v>3400</v>
      </c>
      <c r="H84" s="291">
        <f t="shared" si="39"/>
        <v>0</v>
      </c>
      <c r="I84" s="291">
        <f t="shared" si="39"/>
        <v>2400</v>
      </c>
      <c r="J84" s="291">
        <f t="shared" si="39"/>
        <v>0</v>
      </c>
      <c r="K84" s="291">
        <f t="shared" si="39"/>
        <v>0</v>
      </c>
      <c r="L84" s="291">
        <f t="shared" si="39"/>
        <v>2600</v>
      </c>
      <c r="M84" s="291">
        <f t="shared" si="39"/>
        <v>0</v>
      </c>
      <c r="N84" s="291">
        <f t="shared" si="39"/>
        <v>0</v>
      </c>
      <c r="O84" s="291">
        <f t="shared" si="39"/>
        <v>2500</v>
      </c>
      <c r="P84" s="292">
        <f>SUM(D84:O84)</f>
        <v>12500</v>
      </c>
      <c r="T84" s="293">
        <f t="shared" si="29"/>
        <v>2472.5413963785404</v>
      </c>
      <c r="U84" s="293">
        <f t="shared" si="30"/>
        <v>3520.0133963785406</v>
      </c>
      <c r="V84" s="293">
        <f t="shared" si="27"/>
        <v>2415.7403482019054</v>
      </c>
      <c r="W84" s="293">
        <f t="shared" si="27"/>
        <v>738.49796002527</v>
      </c>
      <c r="X84" s="293">
        <f t="shared" si="27"/>
        <v>3171.6512970651825</v>
      </c>
      <c r="Y84" s="293">
        <f t="shared" si="27"/>
        <v>2204.8046341050949</v>
      </c>
      <c r="Z84" s="293">
        <f t="shared" si="27"/>
        <v>3637.9579711450074</v>
      </c>
      <c r="AA84" s="293">
        <f t="shared" si="27"/>
        <v>2671.1113081849198</v>
      </c>
      <c r="AB84" s="293">
        <f t="shared" si="27"/>
        <v>1704.2646452248323</v>
      </c>
      <c r="AC84" s="293">
        <f t="shared" si="27"/>
        <v>3337.4179822647443</v>
      </c>
      <c r="AD84" s="293">
        <f t="shared" si="27"/>
        <v>2370.5713193046568</v>
      </c>
      <c r="AE84" s="293">
        <f t="shared" si="27"/>
        <v>1403.7246563445692</v>
      </c>
    </row>
    <row r="85" spans="2:31" s="285" customFormat="1" hidden="1" outlineLevel="1" x14ac:dyDescent="0.25">
      <c r="B85" s="289" t="s">
        <v>23</v>
      </c>
      <c r="C85" s="290"/>
      <c r="D85" s="291">
        <f>IF(D70=MAX(D$67:D$70),_xlfn.CEILING.MATH(D70,$W$57),_xlfn.FLOOR.MATH(D70,$W$57))+D64</f>
        <v>12700</v>
      </c>
      <c r="E85" s="291">
        <f t="shared" ref="E85:O85" si="40">IF(E70=MAX(E$67:E$70),_xlfn.CEILING.MATH(E70,$W$57),_xlfn.FLOOR.MATH(E70,$W$57))+E64</f>
        <v>0</v>
      </c>
      <c r="F85" s="291">
        <f t="shared" si="40"/>
        <v>0</v>
      </c>
      <c r="G85" s="291">
        <f>IF(G70=MAX(G$67:G$70),_xlfn.CEILING.MATH(G70,$W$57),_xlfn.FLOOR.MATH(G70,$W$57))+G64</f>
        <v>10100</v>
      </c>
      <c r="H85" s="291">
        <f t="shared" si="40"/>
        <v>0</v>
      </c>
      <c r="I85" s="291">
        <f t="shared" si="40"/>
        <v>9100</v>
      </c>
      <c r="J85" s="291">
        <f t="shared" si="40"/>
        <v>0</v>
      </c>
      <c r="K85" s="291">
        <f t="shared" si="40"/>
        <v>0</v>
      </c>
      <c r="L85" s="291">
        <f t="shared" si="40"/>
        <v>9800</v>
      </c>
      <c r="M85" s="291">
        <f t="shared" si="40"/>
        <v>0</v>
      </c>
      <c r="N85" s="291">
        <f t="shared" si="40"/>
        <v>0</v>
      </c>
      <c r="O85" s="291">
        <f t="shared" si="40"/>
        <v>9400</v>
      </c>
      <c r="P85" s="292">
        <f>SUM(D85:O85)</f>
        <v>51100</v>
      </c>
      <c r="T85" s="293">
        <f t="shared" si="29"/>
        <v>-1073.261863657739</v>
      </c>
      <c r="U85" s="293">
        <f t="shared" si="30"/>
        <v>11626.738136342261</v>
      </c>
      <c r="V85" s="293">
        <f t="shared" si="27"/>
        <v>7027.5483121957777</v>
      </c>
      <c r="W85" s="293">
        <f t="shared" si="27"/>
        <v>2391.2718929469202</v>
      </c>
      <c r="X85" s="293">
        <f t="shared" si="27"/>
        <v>8887.9142778529203</v>
      </c>
      <c r="Y85" s="293">
        <f t="shared" si="27"/>
        <v>5284.5566627589224</v>
      </c>
      <c r="Z85" s="293">
        <f t="shared" si="27"/>
        <v>10781.199047664923</v>
      </c>
      <c r="AA85" s="293">
        <f t="shared" si="27"/>
        <v>7177.8414325709246</v>
      </c>
      <c r="AB85" s="293">
        <f t="shared" si="27"/>
        <v>3574.4838174769266</v>
      </c>
      <c r="AC85" s="293">
        <f t="shared" si="27"/>
        <v>9771.1262023829295</v>
      </c>
      <c r="AD85" s="293">
        <f t="shared" si="27"/>
        <v>6167.7685872889315</v>
      </c>
      <c r="AE85" s="293">
        <f t="shared" si="27"/>
        <v>2564.4109721949335</v>
      </c>
    </row>
    <row r="86" spans="2:31" s="285" customFormat="1" hidden="1" outlineLevel="1" x14ac:dyDescent="0.25">
      <c r="B86" s="290" t="s">
        <v>433</v>
      </c>
      <c r="C86" s="290"/>
      <c r="D86" s="294">
        <f>SUM(D82:D85)</f>
        <v>19800</v>
      </c>
      <c r="E86" s="294">
        <f>SUM(E82:E85)</f>
        <v>0</v>
      </c>
      <c r="F86" s="294">
        <f t="shared" ref="F86:O86" si="41">SUM(F82:F85)</f>
        <v>0</v>
      </c>
      <c r="G86" s="294">
        <f>SUM(G82:G85)</f>
        <v>19900</v>
      </c>
      <c r="H86" s="294">
        <f t="shared" si="41"/>
        <v>0</v>
      </c>
      <c r="I86" s="294">
        <f t="shared" si="41"/>
        <v>19800</v>
      </c>
      <c r="J86" s="294">
        <f t="shared" si="41"/>
        <v>0</v>
      </c>
      <c r="K86" s="294">
        <f t="shared" si="41"/>
        <v>0</v>
      </c>
      <c r="L86" s="294">
        <f t="shared" si="41"/>
        <v>19800</v>
      </c>
      <c r="M86" s="294">
        <f t="shared" si="41"/>
        <v>0</v>
      </c>
      <c r="N86" s="294">
        <f t="shared" si="41"/>
        <v>0</v>
      </c>
      <c r="O86" s="294">
        <f t="shared" si="41"/>
        <v>19800</v>
      </c>
      <c r="P86" s="292">
        <f>SUM(D86:O86)</f>
        <v>99100</v>
      </c>
      <c r="T86" s="293">
        <f>SUM(U58,D65,-D58)</f>
        <v>139.8320103268743</v>
      </c>
      <c r="U86" s="293">
        <f t="shared" ref="U86:AE86" si="42">SUM(T86,E65,-E58)</f>
        <v>-1088.2302396731257</v>
      </c>
      <c r="V86" s="293">
        <f t="shared" si="42"/>
        <v>-10994.48020116246</v>
      </c>
      <c r="W86" s="293">
        <f t="shared" si="42"/>
        <v>-17174.402911595706</v>
      </c>
      <c r="X86" s="293">
        <f t="shared" si="42"/>
        <v>-25121.308011330486</v>
      </c>
      <c r="Y86" s="293">
        <f t="shared" si="42"/>
        <v>-32368.213111065266</v>
      </c>
      <c r="Z86" s="293">
        <f t="shared" si="42"/>
        <v>-40315.118210800043</v>
      </c>
      <c r="AA86" s="293">
        <f t="shared" si="42"/>
        <v>-48262.023310534823</v>
      </c>
      <c r="AB86" s="293">
        <f t="shared" si="42"/>
        <v>-53208.928410269604</v>
      </c>
      <c r="AC86" s="293">
        <f t="shared" si="42"/>
        <v>-61155.833510004384</v>
      </c>
      <c r="AD86" s="293">
        <f t="shared" si="42"/>
        <v>-69102.738609739157</v>
      </c>
      <c r="AE86" s="293">
        <f t="shared" si="42"/>
        <v>-70549.643709473938</v>
      </c>
    </row>
    <row r="87" spans="2:31" s="285" customFormat="1" hidden="1" outlineLevel="1" x14ac:dyDescent="0.25">
      <c r="V87" s="288"/>
    </row>
    <row r="88" spans="2:31" s="285" customFormat="1" hidden="1" outlineLevel="1" x14ac:dyDescent="0.25">
      <c r="T88" s="285" t="s">
        <v>478</v>
      </c>
      <c r="V88" s="288"/>
    </row>
    <row r="89" spans="2:31" s="285" customFormat="1" ht="23.25" hidden="1" outlineLevel="1" x14ac:dyDescent="0.35">
      <c r="T89" s="287" t="s">
        <v>474</v>
      </c>
      <c r="V89" s="288"/>
    </row>
    <row r="90" spans="2:31" s="285" customFormat="1" hidden="1" outlineLevel="1" x14ac:dyDescent="0.25">
      <c r="T90" s="293">
        <f t="shared" ref="T90:AE90" si="43">T74-$X46</f>
        <v>-35098.799062508464</v>
      </c>
      <c r="U90" s="293">
        <f t="shared" si="43"/>
        <v>-2468.1884376660605</v>
      </c>
      <c r="V90" s="293">
        <f t="shared" si="43"/>
        <v>-23136.562133751049</v>
      </c>
      <c r="W90" s="293">
        <f t="shared" si="43"/>
        <v>-27413.712828401502</v>
      </c>
      <c r="X90" s="293">
        <f t="shared" si="43"/>
        <v>-18479.295648846455</v>
      </c>
      <c r="Y90" s="293">
        <f t="shared" si="43"/>
        <v>-18544.878469291409</v>
      </c>
      <c r="Z90" s="293">
        <f t="shared" si="43"/>
        <v>-18610.461289736362</v>
      </c>
      <c r="AA90" s="293">
        <f t="shared" si="43"/>
        <v>-18676.044110181316</v>
      </c>
      <c r="AB90" s="293">
        <f t="shared" si="43"/>
        <v>-18741.626930626269</v>
      </c>
      <c r="AC90" s="293">
        <f t="shared" si="43"/>
        <v>-18807.209751071223</v>
      </c>
      <c r="AD90" s="293">
        <f t="shared" si="43"/>
        <v>-18872.792571516176</v>
      </c>
      <c r="AE90" s="293">
        <f t="shared" si="43"/>
        <v>-18938.37539196113</v>
      </c>
    </row>
    <row r="91" spans="2:31" s="285" customFormat="1" hidden="1" outlineLevel="1" x14ac:dyDescent="0.25">
      <c r="T91" s="293">
        <f t="shared" ref="T91:AE91" si="44">T75-$X47</f>
        <v>9891.9002878943265</v>
      </c>
      <c r="U91" s="293">
        <f t="shared" si="44"/>
        <v>8871.4466194293727</v>
      </c>
      <c r="V91" s="293">
        <f t="shared" si="44"/>
        <v>830.83824384088302</v>
      </c>
      <c r="W91" s="293">
        <f t="shared" si="44"/>
        <v>-8651.0008694567387</v>
      </c>
      <c r="X91" s="293">
        <f t="shared" si="44"/>
        <v>3894.5886289068635</v>
      </c>
      <c r="Y91" s="293">
        <f t="shared" si="44"/>
        <v>-2559.8218727295339</v>
      </c>
      <c r="Z91" s="293">
        <f t="shared" si="44"/>
        <v>9985.7676256340692</v>
      </c>
      <c r="AA91" s="293">
        <f t="shared" si="44"/>
        <v>3531.3571239976714</v>
      </c>
      <c r="AB91" s="293">
        <f t="shared" si="44"/>
        <v>-2923.053377638726</v>
      </c>
      <c r="AC91" s="293">
        <f t="shared" si="44"/>
        <v>9622.536120724877</v>
      </c>
      <c r="AD91" s="293">
        <f t="shared" si="44"/>
        <v>3168.1256190884792</v>
      </c>
      <c r="AE91" s="293">
        <f t="shared" si="44"/>
        <v>-3286.2848825479182</v>
      </c>
    </row>
    <row r="92" spans="2:31" s="285" customFormat="1" hidden="1" outlineLevel="1" x14ac:dyDescent="0.25">
      <c r="T92" s="293">
        <f t="shared" ref="T92:AE92" si="45">T76-$X48</f>
        <v>411.31533409907286</v>
      </c>
      <c r="U92" s="293">
        <f t="shared" si="45"/>
        <v>401.15678282690629</v>
      </c>
      <c r="V92" s="293">
        <f t="shared" si="45"/>
        <v>329.70034725033742</v>
      </c>
      <c r="W92" s="293">
        <f t="shared" si="45"/>
        <v>244.3243236012587</v>
      </c>
      <c r="X92" s="293">
        <f t="shared" si="45"/>
        <v>186.77006826440427</v>
      </c>
      <c r="Y92" s="293">
        <f t="shared" si="45"/>
        <v>129.21581292754985</v>
      </c>
      <c r="Z92" s="293">
        <f t="shared" si="45"/>
        <v>71.661557590695409</v>
      </c>
      <c r="AA92" s="293">
        <f t="shared" si="45"/>
        <v>14.107302253840981</v>
      </c>
      <c r="AB92" s="293">
        <f t="shared" si="45"/>
        <v>-43.446953083013447</v>
      </c>
      <c r="AC92" s="293">
        <f t="shared" si="45"/>
        <v>-41.001208419867879</v>
      </c>
      <c r="AD92" s="293">
        <f t="shared" si="45"/>
        <v>-38.555463756722311</v>
      </c>
      <c r="AE92" s="293">
        <f t="shared" si="45"/>
        <v>-36.109719093576743</v>
      </c>
    </row>
    <row r="93" spans="2:31" s="285" customFormat="1" hidden="1" outlineLevel="1" x14ac:dyDescent="0.25">
      <c r="T93" s="293">
        <f t="shared" ref="T93:AE93" si="46">T77-$X49</f>
        <v>418.98043029805865</v>
      </c>
      <c r="U93" s="293">
        <f t="shared" si="46"/>
        <v>413.9011546619754</v>
      </c>
      <c r="V93" s="293">
        <f t="shared" si="46"/>
        <v>378.17293687369096</v>
      </c>
      <c r="W93" s="293">
        <f t="shared" si="46"/>
        <v>335.48492504915163</v>
      </c>
      <c r="X93" s="293">
        <f t="shared" si="46"/>
        <v>306.7077973807244</v>
      </c>
      <c r="Y93" s="293">
        <f t="shared" si="46"/>
        <v>277.93066971229717</v>
      </c>
      <c r="Z93" s="293">
        <f t="shared" si="46"/>
        <v>249.15354204386992</v>
      </c>
      <c r="AA93" s="293">
        <f t="shared" si="46"/>
        <v>220.37641437544269</v>
      </c>
      <c r="AB93" s="293">
        <f t="shared" si="46"/>
        <v>191.59928670701547</v>
      </c>
      <c r="AC93" s="293">
        <f t="shared" si="46"/>
        <v>162.82215903858824</v>
      </c>
      <c r="AD93" s="293">
        <f t="shared" si="46"/>
        <v>134.04503137016101</v>
      </c>
      <c r="AE93" s="293">
        <f t="shared" si="46"/>
        <v>105.2679037017338</v>
      </c>
    </row>
    <row r="94" spans="2:31" s="285" customFormat="1" hidden="1" outlineLevel="1" x14ac:dyDescent="0.25">
      <c r="T94" s="293">
        <f t="shared" ref="T94:AE94" si="47">T78-$X50</f>
        <v>-589.03936015990973</v>
      </c>
      <c r="U94" s="293">
        <f t="shared" si="47"/>
        <v>-56.452617223612336</v>
      </c>
      <c r="V94" s="293">
        <f t="shared" si="47"/>
        <v>-455.52116168250473</v>
      </c>
      <c r="W94" s="293">
        <f t="shared" si="47"/>
        <v>-546.94106688520662</v>
      </c>
      <c r="X94" s="293">
        <f t="shared" si="47"/>
        <v>-378.7967555120058</v>
      </c>
      <c r="Y94" s="293">
        <f t="shared" si="47"/>
        <v>-360.65244413880498</v>
      </c>
      <c r="Z94" s="293">
        <f t="shared" si="47"/>
        <v>-367.50813276560416</v>
      </c>
      <c r="AA94" s="293">
        <f t="shared" si="47"/>
        <v>-374.36382139240334</v>
      </c>
      <c r="AB94" s="293">
        <f t="shared" si="47"/>
        <v>-381.21951001920252</v>
      </c>
      <c r="AC94" s="293">
        <f t="shared" si="47"/>
        <v>-363.0751986460017</v>
      </c>
      <c r="AD94" s="293">
        <f t="shared" si="47"/>
        <v>-369.93088727280087</v>
      </c>
      <c r="AE94" s="293">
        <f t="shared" si="47"/>
        <v>-376.78657589960005</v>
      </c>
    </row>
    <row r="95" spans="2:31" s="285" customFormat="1" hidden="1" outlineLevel="1" x14ac:dyDescent="0.25">
      <c r="T95" s="293">
        <f t="shared" ref="T95:AE95" si="48">T79-$X51</f>
        <v>211.90172046378495</v>
      </c>
      <c r="U95" s="293">
        <f t="shared" si="48"/>
        <v>174.61867848675047</v>
      </c>
      <c r="V95" s="293">
        <f t="shared" si="48"/>
        <v>-88.352223949308609</v>
      </c>
      <c r="W95" s="293">
        <f t="shared" si="48"/>
        <v>-209.60336954675836</v>
      </c>
      <c r="X95" s="293">
        <f t="shared" si="48"/>
        <v>-35.383683414837293</v>
      </c>
      <c r="Y95" s="293">
        <f t="shared" si="48"/>
        <v>-54.163997282916228</v>
      </c>
      <c r="Z95" s="293">
        <f t="shared" si="48"/>
        <v>-72.944311150995162</v>
      </c>
      <c r="AA95" s="293">
        <f t="shared" si="48"/>
        <v>-91.724625019074097</v>
      </c>
      <c r="AB95" s="293">
        <f t="shared" si="48"/>
        <v>-110.50493888715303</v>
      </c>
      <c r="AC95" s="293">
        <f t="shared" si="48"/>
        <v>-129.28525275523197</v>
      </c>
      <c r="AD95" s="293">
        <f t="shared" si="48"/>
        <v>-148.0655666233109</v>
      </c>
      <c r="AE95" s="293">
        <f t="shared" si="48"/>
        <v>-166.84588049138983</v>
      </c>
    </row>
    <row r="96" spans="2:31" s="285" customFormat="1" hidden="1" outlineLevel="1" x14ac:dyDescent="0.25">
      <c r="T96" s="293">
        <f t="shared" ref="T96:AE96" si="49">T80-$X52</f>
        <v>5636.31784652853</v>
      </c>
      <c r="U96" s="293">
        <f t="shared" si="49"/>
        <v>5602.673301613494</v>
      </c>
      <c r="V96" s="293">
        <f t="shared" si="49"/>
        <v>5366.1005679276941</v>
      </c>
      <c r="W96" s="293">
        <f t="shared" si="49"/>
        <v>5083.4413324845746</v>
      </c>
      <c r="X96" s="293">
        <f t="shared" si="49"/>
        <v>4892.8813575616214</v>
      </c>
      <c r="Y96" s="293">
        <f t="shared" si="49"/>
        <v>4702.3213826386682</v>
      </c>
      <c r="Z96" s="293">
        <f t="shared" si="49"/>
        <v>4511.761407715715</v>
      </c>
      <c r="AA96" s="293">
        <f t="shared" si="49"/>
        <v>4321.2014327927618</v>
      </c>
      <c r="AB96" s="293">
        <f t="shared" si="49"/>
        <v>4130.6414578698086</v>
      </c>
      <c r="AC96" s="293">
        <f t="shared" si="49"/>
        <v>3940.081482946855</v>
      </c>
      <c r="AD96" s="293">
        <f t="shared" si="49"/>
        <v>3749.5215080239013</v>
      </c>
      <c r="AE96" s="293">
        <f t="shared" si="49"/>
        <v>3558.9615331009477</v>
      </c>
    </row>
    <row r="97" spans="2:33" s="285" customFormat="1" hidden="1" outlineLevel="1" x14ac:dyDescent="0.25">
      <c r="T97" s="293">
        <f t="shared" ref="T97:AE97" si="50">T81-$X53</f>
        <v>-59411.763546510534</v>
      </c>
      <c r="U97" s="293">
        <f t="shared" si="50"/>
        <v>9383.325250714468</v>
      </c>
      <c r="V97" s="293">
        <f t="shared" si="50"/>
        <v>-41811.572007103765</v>
      </c>
      <c r="W97" s="293">
        <f t="shared" si="50"/>
        <v>-46563.492726263023</v>
      </c>
      <c r="X97" s="293">
        <f t="shared" si="50"/>
        <v>-30974.71919726735</v>
      </c>
      <c r="Y97" s="293">
        <f t="shared" si="50"/>
        <v>-34385.945668271685</v>
      </c>
      <c r="Z97" s="293">
        <f t="shared" si="50"/>
        <v>-37797.172139276016</v>
      </c>
      <c r="AA97" s="293">
        <f t="shared" si="50"/>
        <v>-41208.398610280346</v>
      </c>
      <c r="AB97" s="293">
        <f t="shared" si="50"/>
        <v>-25619.625081284674</v>
      </c>
      <c r="AC97" s="293">
        <f t="shared" si="50"/>
        <v>-29030.851552289005</v>
      </c>
      <c r="AD97" s="293">
        <f t="shared" si="50"/>
        <v>-32442.078023293336</v>
      </c>
      <c r="AE97" s="293">
        <f t="shared" si="50"/>
        <v>-35853.30449429767</v>
      </c>
    </row>
    <row r="98" spans="2:33" s="285" customFormat="1" hidden="1" outlineLevel="1" x14ac:dyDescent="0.25"/>
    <row r="99" spans="2:33" s="285" customFormat="1" hidden="1" outlineLevel="1" x14ac:dyDescent="0.25"/>
    <row r="100" spans="2:33" s="285" customFormat="1" hidden="1" outlineLevel="1" x14ac:dyDescent="0.25"/>
    <row r="101" spans="2:33" x14ac:dyDescent="0.25"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AG101" s="107"/>
    </row>
    <row r="102" spans="2:33" x14ac:dyDescent="0.25"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V102" s="108"/>
      <c r="AG102" s="107"/>
    </row>
    <row r="103" spans="2:33" ht="26.25" x14ac:dyDescent="0.4">
      <c r="B103" s="312" t="s">
        <v>533</v>
      </c>
      <c r="C103" s="305"/>
      <c r="D103" s="319">
        <f>_xlfn.ISOWEEKNUM(D104)</f>
        <v>31</v>
      </c>
      <c r="E103" s="319">
        <f>_xlfn.ISOWEEKNUM(E104)</f>
        <v>35</v>
      </c>
      <c r="F103" s="319">
        <f t="shared" ref="F103:O103" si="51">_xlfn.ISOWEEKNUM(F104)</f>
        <v>39</v>
      </c>
      <c r="G103" s="319">
        <f t="shared" si="51"/>
        <v>44</v>
      </c>
      <c r="H103" s="319">
        <f t="shared" si="51"/>
        <v>48</v>
      </c>
      <c r="I103" s="319">
        <f t="shared" si="51"/>
        <v>52</v>
      </c>
      <c r="J103" s="319">
        <f t="shared" si="51"/>
        <v>5</v>
      </c>
      <c r="K103" s="319">
        <f t="shared" si="51"/>
        <v>9</v>
      </c>
      <c r="L103" s="319">
        <f t="shared" si="51"/>
        <v>13</v>
      </c>
      <c r="M103" s="319">
        <f t="shared" si="51"/>
        <v>18</v>
      </c>
      <c r="N103" s="319">
        <f t="shared" si="51"/>
        <v>22</v>
      </c>
      <c r="O103" s="319">
        <f t="shared" si="51"/>
        <v>26</v>
      </c>
      <c r="P103" s="306"/>
      <c r="V103" s="108"/>
      <c r="AG103" s="107"/>
    </row>
    <row r="104" spans="2:33" ht="18.75" x14ac:dyDescent="0.3">
      <c r="B104" s="307" t="s">
        <v>387</v>
      </c>
      <c r="C104" s="308" t="s">
        <v>4</v>
      </c>
      <c r="D104" s="315">
        <f>D73</f>
        <v>42583</v>
      </c>
      <c r="E104" s="315">
        <f t="shared" ref="E104:O104" si="52">E73</f>
        <v>42614</v>
      </c>
      <c r="F104" s="315">
        <f t="shared" si="52"/>
        <v>42644</v>
      </c>
      <c r="G104" s="315">
        <f t="shared" si="52"/>
        <v>42675</v>
      </c>
      <c r="H104" s="315">
        <f t="shared" si="52"/>
        <v>42705</v>
      </c>
      <c r="I104" s="315">
        <f t="shared" si="52"/>
        <v>42736</v>
      </c>
      <c r="J104" s="315">
        <f t="shared" si="52"/>
        <v>42767</v>
      </c>
      <c r="K104" s="315">
        <f t="shared" si="52"/>
        <v>42795</v>
      </c>
      <c r="L104" s="315">
        <f t="shared" si="52"/>
        <v>42826</v>
      </c>
      <c r="M104" s="315">
        <f t="shared" si="52"/>
        <v>42856</v>
      </c>
      <c r="N104" s="315">
        <f t="shared" si="52"/>
        <v>42887</v>
      </c>
      <c r="O104" s="315">
        <f t="shared" si="52"/>
        <v>42917</v>
      </c>
      <c r="P104" s="306"/>
      <c r="V104" s="108"/>
      <c r="AG104" s="107"/>
    </row>
    <row r="105" spans="2:33" ht="18.75" x14ac:dyDescent="0.25">
      <c r="B105" s="309" t="s">
        <v>12</v>
      </c>
      <c r="C105" s="310"/>
      <c r="D105" s="144">
        <f t="shared" ref="D105:O117" si="53">D74</f>
        <v>36000</v>
      </c>
      <c r="E105" s="144">
        <f t="shared" si="53"/>
        <v>3000</v>
      </c>
      <c r="F105" s="144">
        <f t="shared" si="53"/>
        <v>24000</v>
      </c>
      <c r="G105" s="144">
        <f t="shared" si="53"/>
        <v>28000</v>
      </c>
      <c r="H105" s="144">
        <f t="shared" si="53"/>
        <v>19000</v>
      </c>
      <c r="I105" s="144">
        <f t="shared" si="53"/>
        <v>19000</v>
      </c>
      <c r="J105" s="144">
        <f t="shared" si="53"/>
        <v>19000</v>
      </c>
      <c r="K105" s="144">
        <f t="shared" si="53"/>
        <v>19000</v>
      </c>
      <c r="L105" s="144">
        <f t="shared" si="53"/>
        <v>19000</v>
      </c>
      <c r="M105" s="144">
        <f t="shared" si="53"/>
        <v>19000</v>
      </c>
      <c r="N105" s="144">
        <f t="shared" si="53"/>
        <v>19000</v>
      </c>
      <c r="O105" s="144">
        <f t="shared" si="53"/>
        <v>19000</v>
      </c>
      <c r="P105" s="144">
        <f t="shared" ref="P105:P112" si="54">SUM(D105:O105)</f>
        <v>243000</v>
      </c>
      <c r="V105" s="108"/>
      <c r="AG105" s="107"/>
    </row>
    <row r="106" spans="2:33" ht="18.75" x14ac:dyDescent="0.25">
      <c r="B106" s="309" t="s">
        <v>13</v>
      </c>
      <c r="C106" s="310"/>
      <c r="D106" s="144">
        <f t="shared" si="53"/>
        <v>0</v>
      </c>
      <c r="E106" s="144">
        <f t="shared" si="53"/>
        <v>0</v>
      </c>
      <c r="F106" s="144">
        <f t="shared" si="53"/>
        <v>0</v>
      </c>
      <c r="G106" s="144">
        <f t="shared" si="53"/>
        <v>19000</v>
      </c>
      <c r="H106" s="144">
        <f t="shared" si="53"/>
        <v>0</v>
      </c>
      <c r="I106" s="144">
        <f t="shared" si="53"/>
        <v>19000</v>
      </c>
      <c r="J106" s="144">
        <f t="shared" si="53"/>
        <v>0</v>
      </c>
      <c r="K106" s="144">
        <f t="shared" si="53"/>
        <v>0</v>
      </c>
      <c r="L106" s="144">
        <f t="shared" si="53"/>
        <v>19000</v>
      </c>
      <c r="M106" s="144">
        <f t="shared" si="53"/>
        <v>0</v>
      </c>
      <c r="N106" s="144">
        <f t="shared" si="53"/>
        <v>0</v>
      </c>
      <c r="O106" s="144">
        <f t="shared" si="53"/>
        <v>19000</v>
      </c>
      <c r="P106" s="144">
        <f t="shared" si="54"/>
        <v>76000</v>
      </c>
      <c r="V106" s="108"/>
      <c r="AG106" s="107"/>
    </row>
    <row r="107" spans="2:33" ht="18.75" x14ac:dyDescent="0.25">
      <c r="B107" s="309" t="s">
        <v>14</v>
      </c>
      <c r="C107" s="311"/>
      <c r="D107" s="144">
        <f t="shared" si="53"/>
        <v>0</v>
      </c>
      <c r="E107" s="144">
        <f t="shared" si="53"/>
        <v>0</v>
      </c>
      <c r="F107" s="144">
        <f t="shared" si="53"/>
        <v>0</v>
      </c>
      <c r="G107" s="144">
        <f t="shared" si="53"/>
        <v>0</v>
      </c>
      <c r="H107" s="144">
        <f t="shared" si="53"/>
        <v>0</v>
      </c>
      <c r="I107" s="144">
        <f t="shared" si="53"/>
        <v>0</v>
      </c>
      <c r="J107" s="144">
        <f t="shared" si="53"/>
        <v>0</v>
      </c>
      <c r="K107" s="144">
        <f t="shared" si="53"/>
        <v>0</v>
      </c>
      <c r="L107" s="144">
        <f t="shared" si="53"/>
        <v>60</v>
      </c>
      <c r="M107" s="144">
        <f t="shared" si="53"/>
        <v>60</v>
      </c>
      <c r="N107" s="144">
        <f t="shared" si="53"/>
        <v>60</v>
      </c>
      <c r="O107" s="144">
        <f t="shared" si="53"/>
        <v>60</v>
      </c>
      <c r="P107" s="144">
        <f t="shared" si="54"/>
        <v>240</v>
      </c>
      <c r="V107" s="108"/>
      <c r="AG107" s="107"/>
    </row>
    <row r="108" spans="2:33" ht="18.75" x14ac:dyDescent="0.25">
      <c r="B108" s="309" t="s">
        <v>15</v>
      </c>
      <c r="C108" s="311"/>
      <c r="D108" s="144">
        <f t="shared" si="53"/>
        <v>0</v>
      </c>
      <c r="E108" s="144">
        <f t="shared" si="53"/>
        <v>0</v>
      </c>
      <c r="F108" s="144">
        <f t="shared" si="53"/>
        <v>0</v>
      </c>
      <c r="G108" s="144">
        <f t="shared" si="53"/>
        <v>0</v>
      </c>
      <c r="H108" s="144">
        <f t="shared" si="53"/>
        <v>0</v>
      </c>
      <c r="I108" s="144">
        <f t="shared" si="53"/>
        <v>0</v>
      </c>
      <c r="J108" s="144">
        <f t="shared" si="53"/>
        <v>0</v>
      </c>
      <c r="K108" s="144">
        <f t="shared" si="53"/>
        <v>0</v>
      </c>
      <c r="L108" s="144">
        <f t="shared" si="53"/>
        <v>0</v>
      </c>
      <c r="M108" s="144">
        <f t="shared" si="53"/>
        <v>0</v>
      </c>
      <c r="N108" s="144">
        <f t="shared" si="53"/>
        <v>0</v>
      </c>
      <c r="O108" s="144">
        <f t="shared" si="53"/>
        <v>0</v>
      </c>
      <c r="P108" s="144">
        <f t="shared" si="54"/>
        <v>0</v>
      </c>
      <c r="V108" s="108"/>
      <c r="AG108" s="107"/>
    </row>
    <row r="109" spans="2:33" ht="18.75" x14ac:dyDescent="0.25">
      <c r="B109" s="309" t="s">
        <v>16</v>
      </c>
      <c r="C109" s="311"/>
      <c r="D109" s="144">
        <f t="shared" si="53"/>
        <v>600</v>
      </c>
      <c r="E109" s="144">
        <f t="shared" si="53"/>
        <v>75</v>
      </c>
      <c r="F109" s="144">
        <f t="shared" si="53"/>
        <v>475</v>
      </c>
      <c r="G109" s="144">
        <f t="shared" si="53"/>
        <v>550</v>
      </c>
      <c r="H109" s="144">
        <f t="shared" si="53"/>
        <v>400</v>
      </c>
      <c r="I109" s="144">
        <f t="shared" si="53"/>
        <v>375</v>
      </c>
      <c r="J109" s="144">
        <f t="shared" si="53"/>
        <v>375</v>
      </c>
      <c r="K109" s="144">
        <f t="shared" si="53"/>
        <v>375</v>
      </c>
      <c r="L109" s="144">
        <f t="shared" si="53"/>
        <v>400</v>
      </c>
      <c r="M109" s="144">
        <f t="shared" si="53"/>
        <v>375</v>
      </c>
      <c r="N109" s="144">
        <f t="shared" si="53"/>
        <v>375</v>
      </c>
      <c r="O109" s="144">
        <f t="shared" si="53"/>
        <v>400</v>
      </c>
      <c r="P109" s="144">
        <f t="shared" si="54"/>
        <v>4775</v>
      </c>
      <c r="V109" s="108"/>
      <c r="AG109" s="107"/>
    </row>
    <row r="110" spans="2:33" ht="18.75" x14ac:dyDescent="0.25">
      <c r="B110" s="309" t="s">
        <v>17</v>
      </c>
      <c r="C110" s="310"/>
      <c r="D110" s="144">
        <f t="shared" si="53"/>
        <v>0</v>
      </c>
      <c r="E110" s="144">
        <f t="shared" si="53"/>
        <v>0</v>
      </c>
      <c r="F110" s="144">
        <f t="shared" si="53"/>
        <v>193</v>
      </c>
      <c r="G110" s="144">
        <f t="shared" si="53"/>
        <v>386</v>
      </c>
      <c r="H110" s="144">
        <f t="shared" si="53"/>
        <v>193</v>
      </c>
      <c r="I110" s="144">
        <f t="shared" si="53"/>
        <v>193</v>
      </c>
      <c r="J110" s="144">
        <f t="shared" si="53"/>
        <v>193</v>
      </c>
      <c r="K110" s="144">
        <f t="shared" si="53"/>
        <v>193</v>
      </c>
      <c r="L110" s="144">
        <f t="shared" si="53"/>
        <v>193</v>
      </c>
      <c r="M110" s="144">
        <f t="shared" si="53"/>
        <v>193</v>
      </c>
      <c r="N110" s="144">
        <f t="shared" si="53"/>
        <v>193</v>
      </c>
      <c r="O110" s="144">
        <f t="shared" si="53"/>
        <v>193</v>
      </c>
      <c r="P110" s="144">
        <f t="shared" si="54"/>
        <v>2123</v>
      </c>
      <c r="V110" s="108"/>
      <c r="AG110" s="107"/>
    </row>
    <row r="111" spans="2:33" ht="18.75" x14ac:dyDescent="0.25">
      <c r="B111" s="309" t="s">
        <v>18</v>
      </c>
      <c r="C111" s="310"/>
      <c r="D111" s="144">
        <f t="shared" si="53"/>
        <v>0</v>
      </c>
      <c r="E111" s="144">
        <f t="shared" si="53"/>
        <v>0</v>
      </c>
      <c r="F111" s="144">
        <f t="shared" si="53"/>
        <v>0</v>
      </c>
      <c r="G111" s="144">
        <f t="shared" si="53"/>
        <v>0</v>
      </c>
      <c r="H111" s="144">
        <f t="shared" si="53"/>
        <v>0</v>
      </c>
      <c r="I111" s="144">
        <f t="shared" si="53"/>
        <v>0</v>
      </c>
      <c r="J111" s="144">
        <f t="shared" si="53"/>
        <v>0</v>
      </c>
      <c r="K111" s="144">
        <f t="shared" si="53"/>
        <v>0</v>
      </c>
      <c r="L111" s="144">
        <f t="shared" si="53"/>
        <v>0</v>
      </c>
      <c r="M111" s="144">
        <f t="shared" si="53"/>
        <v>0</v>
      </c>
      <c r="N111" s="144">
        <f t="shared" si="53"/>
        <v>0</v>
      </c>
      <c r="O111" s="144">
        <f t="shared" si="53"/>
        <v>0</v>
      </c>
      <c r="P111" s="144">
        <f t="shared" si="54"/>
        <v>0</v>
      </c>
      <c r="V111" s="108"/>
      <c r="AG111" s="107"/>
    </row>
    <row r="112" spans="2:33" ht="18.75" x14ac:dyDescent="0.25">
      <c r="B112" s="309" t="s">
        <v>19</v>
      </c>
      <c r="C112" s="310"/>
      <c r="D112" s="144">
        <f t="shared" si="53"/>
        <v>76000</v>
      </c>
      <c r="E112" s="144">
        <f t="shared" si="53"/>
        <v>0</v>
      </c>
      <c r="F112" s="144">
        <f t="shared" si="53"/>
        <v>57000</v>
      </c>
      <c r="G112" s="144">
        <f t="shared" si="53"/>
        <v>57000</v>
      </c>
      <c r="H112" s="144">
        <f t="shared" si="53"/>
        <v>38000</v>
      </c>
      <c r="I112" s="144">
        <f t="shared" si="53"/>
        <v>38000</v>
      </c>
      <c r="J112" s="144">
        <f t="shared" si="53"/>
        <v>38000</v>
      </c>
      <c r="K112" s="144">
        <f t="shared" si="53"/>
        <v>57000</v>
      </c>
      <c r="L112" s="144">
        <f t="shared" si="53"/>
        <v>38000</v>
      </c>
      <c r="M112" s="144">
        <f t="shared" si="53"/>
        <v>38000</v>
      </c>
      <c r="N112" s="144">
        <f t="shared" si="53"/>
        <v>38000</v>
      </c>
      <c r="O112" s="144">
        <f t="shared" si="53"/>
        <v>38000</v>
      </c>
      <c r="P112" s="144">
        <f t="shared" si="54"/>
        <v>513000</v>
      </c>
      <c r="V112" s="108"/>
      <c r="AG112" s="107"/>
    </row>
    <row r="113" spans="2:33" ht="18.75" x14ac:dyDescent="0.25">
      <c r="B113" s="309" t="s">
        <v>20</v>
      </c>
      <c r="C113" s="310"/>
      <c r="D113" s="144">
        <f t="shared" si="53"/>
        <v>1600</v>
      </c>
      <c r="E113" s="144">
        <f t="shared" si="53"/>
        <v>0</v>
      </c>
      <c r="F113" s="144">
        <f t="shared" si="53"/>
        <v>0</v>
      </c>
      <c r="G113" s="144">
        <f t="shared" si="53"/>
        <v>1900</v>
      </c>
      <c r="H113" s="144">
        <f t="shared" si="53"/>
        <v>0</v>
      </c>
      <c r="I113" s="144">
        <f t="shared" si="53"/>
        <v>2500</v>
      </c>
      <c r="J113" s="144">
        <f t="shared" si="53"/>
        <v>0</v>
      </c>
      <c r="K113" s="144">
        <f t="shared" si="53"/>
        <v>0</v>
      </c>
      <c r="L113" s="144">
        <f t="shared" si="53"/>
        <v>2200</v>
      </c>
      <c r="M113" s="144">
        <f t="shared" si="53"/>
        <v>0</v>
      </c>
      <c r="N113" s="144">
        <f t="shared" si="53"/>
        <v>0</v>
      </c>
      <c r="O113" s="144">
        <f t="shared" si="53"/>
        <v>1700</v>
      </c>
      <c r="P113" s="144">
        <f>SUM(D113:O113)</f>
        <v>9900</v>
      </c>
      <c r="V113" s="108"/>
      <c r="AG113" s="107"/>
    </row>
    <row r="114" spans="2:33" ht="18.75" x14ac:dyDescent="0.25">
      <c r="B114" s="309" t="s">
        <v>21</v>
      </c>
      <c r="C114" s="310"/>
      <c r="D114" s="144">
        <f t="shared" si="53"/>
        <v>3900</v>
      </c>
      <c r="E114" s="144">
        <f t="shared" si="53"/>
        <v>0</v>
      </c>
      <c r="F114" s="144">
        <f t="shared" si="53"/>
        <v>0</v>
      </c>
      <c r="G114" s="144">
        <f t="shared" si="53"/>
        <v>4500</v>
      </c>
      <c r="H114" s="144">
        <f t="shared" si="53"/>
        <v>0</v>
      </c>
      <c r="I114" s="144">
        <f t="shared" si="53"/>
        <v>5800</v>
      </c>
      <c r="J114" s="144">
        <f t="shared" si="53"/>
        <v>0</v>
      </c>
      <c r="K114" s="144">
        <f t="shared" si="53"/>
        <v>0</v>
      </c>
      <c r="L114" s="144">
        <f t="shared" si="53"/>
        <v>5200</v>
      </c>
      <c r="M114" s="144">
        <f t="shared" si="53"/>
        <v>0</v>
      </c>
      <c r="N114" s="144">
        <f t="shared" si="53"/>
        <v>0</v>
      </c>
      <c r="O114" s="144">
        <f t="shared" si="53"/>
        <v>6200</v>
      </c>
      <c r="P114" s="144">
        <f>SUM(D114:O114)</f>
        <v>25600</v>
      </c>
      <c r="V114" s="108"/>
      <c r="AG114" s="107"/>
    </row>
    <row r="115" spans="2:33" ht="18.75" x14ac:dyDescent="0.25">
      <c r="B115" s="309" t="s">
        <v>22</v>
      </c>
      <c r="C115" s="310"/>
      <c r="D115" s="144">
        <f t="shared" si="53"/>
        <v>1600</v>
      </c>
      <c r="E115" s="144">
        <f t="shared" si="53"/>
        <v>0</v>
      </c>
      <c r="F115" s="144">
        <f t="shared" si="53"/>
        <v>0</v>
      </c>
      <c r="G115" s="144">
        <f t="shared" si="53"/>
        <v>3400</v>
      </c>
      <c r="H115" s="144">
        <f t="shared" si="53"/>
        <v>0</v>
      </c>
      <c r="I115" s="144">
        <f t="shared" si="53"/>
        <v>2400</v>
      </c>
      <c r="J115" s="144">
        <f t="shared" si="53"/>
        <v>0</v>
      </c>
      <c r="K115" s="144">
        <f t="shared" si="53"/>
        <v>0</v>
      </c>
      <c r="L115" s="144">
        <f t="shared" si="53"/>
        <v>2600</v>
      </c>
      <c r="M115" s="144">
        <f t="shared" si="53"/>
        <v>0</v>
      </c>
      <c r="N115" s="144">
        <f t="shared" si="53"/>
        <v>0</v>
      </c>
      <c r="O115" s="144">
        <f t="shared" si="53"/>
        <v>2500</v>
      </c>
      <c r="P115" s="144">
        <f>SUM(D115:O115)</f>
        <v>12500</v>
      </c>
      <c r="V115" s="108"/>
      <c r="AG115" s="107"/>
    </row>
    <row r="116" spans="2:33" ht="18.75" x14ac:dyDescent="0.25">
      <c r="B116" s="309" t="s">
        <v>23</v>
      </c>
      <c r="C116" s="310"/>
      <c r="D116" s="144">
        <f t="shared" si="53"/>
        <v>12700</v>
      </c>
      <c r="E116" s="144">
        <f t="shared" si="53"/>
        <v>0</v>
      </c>
      <c r="F116" s="144">
        <f t="shared" si="53"/>
        <v>0</v>
      </c>
      <c r="G116" s="144">
        <f t="shared" si="53"/>
        <v>10100</v>
      </c>
      <c r="H116" s="144">
        <f t="shared" si="53"/>
        <v>0</v>
      </c>
      <c r="I116" s="144">
        <f t="shared" si="53"/>
        <v>9100</v>
      </c>
      <c r="J116" s="144">
        <f t="shared" si="53"/>
        <v>0</v>
      </c>
      <c r="K116" s="144">
        <f t="shared" si="53"/>
        <v>0</v>
      </c>
      <c r="L116" s="144">
        <f t="shared" si="53"/>
        <v>9800</v>
      </c>
      <c r="M116" s="144">
        <f t="shared" si="53"/>
        <v>0</v>
      </c>
      <c r="N116" s="144">
        <f t="shared" si="53"/>
        <v>0</v>
      </c>
      <c r="O116" s="144">
        <f t="shared" si="53"/>
        <v>9400</v>
      </c>
      <c r="P116" s="144">
        <f>SUM(D116:O116)</f>
        <v>51100</v>
      </c>
      <c r="V116" s="108"/>
      <c r="AG116" s="107"/>
    </row>
    <row r="117" spans="2:33" ht="18.75" x14ac:dyDescent="0.25">
      <c r="B117" s="321" t="s">
        <v>433</v>
      </c>
      <c r="C117" s="321"/>
      <c r="D117" s="322">
        <f t="shared" si="53"/>
        <v>19800</v>
      </c>
      <c r="E117" s="322">
        <f t="shared" si="53"/>
        <v>0</v>
      </c>
      <c r="F117" s="322">
        <f t="shared" si="53"/>
        <v>0</v>
      </c>
      <c r="G117" s="322">
        <f t="shared" si="53"/>
        <v>19900</v>
      </c>
      <c r="H117" s="322">
        <f t="shared" si="53"/>
        <v>0</v>
      </c>
      <c r="I117" s="322">
        <f t="shared" si="53"/>
        <v>19800</v>
      </c>
      <c r="J117" s="322">
        <f t="shared" si="53"/>
        <v>0</v>
      </c>
      <c r="K117" s="322">
        <f t="shared" si="53"/>
        <v>0</v>
      </c>
      <c r="L117" s="322">
        <f t="shared" si="53"/>
        <v>19800</v>
      </c>
      <c r="M117" s="322">
        <f t="shared" si="53"/>
        <v>0</v>
      </c>
      <c r="N117" s="322">
        <f t="shared" si="53"/>
        <v>0</v>
      </c>
      <c r="O117" s="322">
        <f t="shared" si="53"/>
        <v>19800</v>
      </c>
      <c r="P117" s="322">
        <f>SUM(D117:O117)</f>
        <v>99100</v>
      </c>
      <c r="V117" s="108"/>
      <c r="AG117" s="107"/>
    </row>
    <row r="118" spans="2:33" x14ac:dyDescent="0.25"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V118" s="108"/>
      <c r="AG118" s="107"/>
    </row>
    <row r="119" spans="2:33" x14ac:dyDescent="0.25"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AG119" s="107"/>
    </row>
    <row r="120" spans="2:33" ht="21" x14ac:dyDescent="0.35">
      <c r="B120" s="125" t="s">
        <v>477</v>
      </c>
      <c r="E120" s="108"/>
      <c r="F120" s="108"/>
      <c r="G120" s="107"/>
      <c r="H120" s="107"/>
      <c r="I120" s="107"/>
      <c r="J120" s="107"/>
      <c r="K120" s="107"/>
      <c r="L120" s="107"/>
      <c r="M120" s="107"/>
      <c r="N120" s="107"/>
      <c r="O120" s="107"/>
      <c r="T120" s="125" t="s">
        <v>474</v>
      </c>
      <c r="V120" s="135"/>
      <c r="W120" s="134"/>
      <c r="X120" s="134"/>
      <c r="Y120" s="134"/>
      <c r="Z120" s="134"/>
      <c r="AA120" s="134"/>
      <c r="AB120" s="134"/>
      <c r="AC120" s="134"/>
      <c r="AD120" s="134"/>
      <c r="AE120" s="134"/>
      <c r="AG120" s="107"/>
    </row>
    <row r="121" spans="2:33" ht="18.75" x14ac:dyDescent="0.25">
      <c r="B121" s="117" t="s">
        <v>387</v>
      </c>
      <c r="C121" s="118" t="s">
        <v>4</v>
      </c>
      <c r="D121" s="315">
        <f>D73</f>
        <v>42583</v>
      </c>
      <c r="E121" s="315">
        <f t="shared" ref="E121:O121" si="55">E73</f>
        <v>42614</v>
      </c>
      <c r="F121" s="315">
        <f t="shared" si="55"/>
        <v>42644</v>
      </c>
      <c r="G121" s="315">
        <f t="shared" si="55"/>
        <v>42675</v>
      </c>
      <c r="H121" s="315">
        <f t="shared" si="55"/>
        <v>42705</v>
      </c>
      <c r="I121" s="315">
        <f t="shared" si="55"/>
        <v>42736</v>
      </c>
      <c r="J121" s="315">
        <f t="shared" si="55"/>
        <v>42767</v>
      </c>
      <c r="K121" s="315">
        <f t="shared" si="55"/>
        <v>42795</v>
      </c>
      <c r="L121" s="315">
        <f t="shared" si="55"/>
        <v>42826</v>
      </c>
      <c r="M121" s="315">
        <f t="shared" si="55"/>
        <v>42856</v>
      </c>
      <c r="N121" s="315">
        <f t="shared" si="55"/>
        <v>42887</v>
      </c>
      <c r="O121" s="315">
        <f t="shared" si="55"/>
        <v>42917</v>
      </c>
      <c r="T121" s="316">
        <f>D121</f>
        <v>42583</v>
      </c>
      <c r="U121" s="316">
        <f t="shared" ref="U121:AE121" si="56">E121</f>
        <v>42614</v>
      </c>
      <c r="V121" s="316">
        <f t="shared" si="56"/>
        <v>42644</v>
      </c>
      <c r="W121" s="316">
        <f t="shared" si="56"/>
        <v>42675</v>
      </c>
      <c r="X121" s="316">
        <f t="shared" si="56"/>
        <v>42705</v>
      </c>
      <c r="Y121" s="316">
        <f t="shared" si="56"/>
        <v>42736</v>
      </c>
      <c r="Z121" s="316">
        <f t="shared" si="56"/>
        <v>42767</v>
      </c>
      <c r="AA121" s="316">
        <f t="shared" si="56"/>
        <v>42795</v>
      </c>
      <c r="AB121" s="316">
        <f t="shared" si="56"/>
        <v>42826</v>
      </c>
      <c r="AC121" s="316">
        <f t="shared" si="56"/>
        <v>42856</v>
      </c>
      <c r="AD121" s="316">
        <f t="shared" si="56"/>
        <v>42887</v>
      </c>
      <c r="AE121" s="316">
        <f t="shared" si="56"/>
        <v>42917</v>
      </c>
      <c r="AG121" s="107"/>
    </row>
    <row r="122" spans="2:33" x14ac:dyDescent="0.25">
      <c r="B122" s="19" t="s">
        <v>12</v>
      </c>
      <c r="C122" s="115"/>
      <c r="D122" s="109">
        <f>U46+V46+D74-D46</f>
        <v>2698.2086042422598</v>
      </c>
      <c r="E122" s="109">
        <f t="shared" ref="E122:E133" si="57">D122-E46+E74</f>
        <v>2328.8192290846596</v>
      </c>
      <c r="F122" s="109">
        <f t="shared" ref="F122:O122" si="58">E122-F46+F74</f>
        <v>2660.4455329996708</v>
      </c>
      <c r="G122" s="109">
        <f t="shared" si="58"/>
        <v>2383.2948383492185</v>
      </c>
      <c r="H122" s="109">
        <f t="shared" si="58"/>
        <v>2317.7120179042649</v>
      </c>
      <c r="I122" s="109">
        <f t="shared" si="58"/>
        <v>2252.1291974593114</v>
      </c>
      <c r="J122" s="109">
        <f t="shared" si="58"/>
        <v>2186.5463770143579</v>
      </c>
      <c r="K122" s="109">
        <f t="shared" si="58"/>
        <v>2120.9635565694043</v>
      </c>
      <c r="L122" s="109">
        <f t="shared" si="58"/>
        <v>2055.3807361244508</v>
      </c>
      <c r="M122" s="109">
        <f t="shared" si="58"/>
        <v>1989.7979156794972</v>
      </c>
      <c r="N122" s="109">
        <f t="shared" si="58"/>
        <v>1924.2150952345437</v>
      </c>
      <c r="O122" s="109">
        <f t="shared" si="58"/>
        <v>1858.6322747895902</v>
      </c>
      <c r="T122" s="109">
        <f>D122-$X46</f>
        <v>901.20093749153966</v>
      </c>
      <c r="U122" s="109">
        <f t="shared" ref="U122:U133" si="59">E122-$X46</f>
        <v>531.81156233393949</v>
      </c>
      <c r="V122" s="109">
        <f t="shared" ref="V122:V133" si="60">F122-$X46</f>
        <v>863.43786624895074</v>
      </c>
      <c r="W122" s="109">
        <f t="shared" ref="W122:W133" si="61">G122-$X46</f>
        <v>586.28717159849839</v>
      </c>
      <c r="X122" s="109">
        <f t="shared" ref="X122:X133" si="62">H122-$X46</f>
        <v>520.70435115354485</v>
      </c>
      <c r="Y122" s="109">
        <f t="shared" ref="Y122:Y133" si="63">I122-$X46</f>
        <v>455.12153070859131</v>
      </c>
      <c r="Z122" s="109">
        <f t="shared" ref="Z122:Z133" si="64">J122-$X46</f>
        <v>389.53871026363777</v>
      </c>
      <c r="AA122" s="109">
        <f t="shared" ref="AA122:AA133" si="65">K122-$X46</f>
        <v>323.95588981868423</v>
      </c>
      <c r="AB122" s="109">
        <f t="shared" ref="AB122:AB133" si="66">L122-$X46</f>
        <v>258.37306937373069</v>
      </c>
      <c r="AC122" s="109">
        <f t="shared" ref="AC122:AC133" si="67">M122-$X46</f>
        <v>192.79024892877715</v>
      </c>
      <c r="AD122" s="109">
        <f t="shared" ref="AD122:AD133" si="68">N122-$X46</f>
        <v>127.20742848382361</v>
      </c>
      <c r="AE122" s="109">
        <f t="shared" ref="AE122:AE133" si="69">O122-$X46</f>
        <v>61.624608038870065</v>
      </c>
      <c r="AG122" s="107"/>
    </row>
    <row r="123" spans="2:33" x14ac:dyDescent="0.25">
      <c r="B123" s="19" t="s">
        <v>13</v>
      </c>
      <c r="C123" s="115"/>
      <c r="D123" s="109">
        <f t="shared" ref="D123:D133" si="70">U47+V47+D75-D47</f>
        <v>10980.38420092361</v>
      </c>
      <c r="E123" s="109">
        <f t="shared" si="57"/>
        <v>9959.9305324586567</v>
      </c>
      <c r="F123" s="109">
        <f t="shared" ref="F123:O123" si="71">E123-F47+F75</f>
        <v>1919.3221568701674</v>
      </c>
      <c r="G123" s="109">
        <f t="shared" si="71"/>
        <v>11437.483043572545</v>
      </c>
      <c r="H123" s="109">
        <f t="shared" si="71"/>
        <v>4983.0725419361479</v>
      </c>
      <c r="I123" s="109">
        <f t="shared" si="71"/>
        <v>17528.662040299751</v>
      </c>
      <c r="J123" s="109">
        <f t="shared" si="71"/>
        <v>11074.251538663353</v>
      </c>
      <c r="K123" s="109">
        <f t="shared" si="71"/>
        <v>4619.8410370269557</v>
      </c>
      <c r="L123" s="109">
        <f t="shared" si="71"/>
        <v>17165.430535390558</v>
      </c>
      <c r="M123" s="109">
        <f t="shared" si="71"/>
        <v>10711.020033754161</v>
      </c>
      <c r="N123" s="109">
        <f t="shared" si="71"/>
        <v>4256.6095321177636</v>
      </c>
      <c r="O123" s="109">
        <f t="shared" si="71"/>
        <v>16802.199030481366</v>
      </c>
      <c r="T123" s="109">
        <f t="shared" ref="T123:T133" si="72">D123-$X47</f>
        <v>9891.9002878943265</v>
      </c>
      <c r="U123" s="109">
        <f t="shared" si="59"/>
        <v>8871.4466194293727</v>
      </c>
      <c r="V123" s="109">
        <f t="shared" si="60"/>
        <v>830.83824384088302</v>
      </c>
      <c r="W123" s="109">
        <f t="shared" si="61"/>
        <v>10348.999130543261</v>
      </c>
      <c r="X123" s="109">
        <f t="shared" si="62"/>
        <v>3894.5886289068635</v>
      </c>
      <c r="Y123" s="109">
        <f t="shared" si="63"/>
        <v>16440.178127270465</v>
      </c>
      <c r="Z123" s="109">
        <f t="shared" si="64"/>
        <v>9985.7676256340692</v>
      </c>
      <c r="AA123" s="109">
        <f t="shared" si="65"/>
        <v>3531.3571239976714</v>
      </c>
      <c r="AB123" s="109">
        <f t="shared" si="66"/>
        <v>16076.946622361274</v>
      </c>
      <c r="AC123" s="109">
        <f t="shared" si="67"/>
        <v>9622.536120724877</v>
      </c>
      <c r="AD123" s="109">
        <f t="shared" si="68"/>
        <v>3168.1256190884792</v>
      </c>
      <c r="AE123" s="109">
        <f t="shared" si="69"/>
        <v>15713.715117452082</v>
      </c>
      <c r="AG123" s="107"/>
    </row>
    <row r="124" spans="2:33" x14ac:dyDescent="0.25">
      <c r="B124" s="19" t="s">
        <v>14</v>
      </c>
      <c r="C124" s="116"/>
      <c r="D124" s="109">
        <f t="shared" si="70"/>
        <v>415.37875460793947</v>
      </c>
      <c r="E124" s="109">
        <f t="shared" si="57"/>
        <v>405.22020333577291</v>
      </c>
      <c r="F124" s="109">
        <f t="shared" ref="F124:O124" si="73">E124-F48+F76</f>
        <v>333.76376775920403</v>
      </c>
      <c r="G124" s="109">
        <f t="shared" si="73"/>
        <v>248.38774411012531</v>
      </c>
      <c r="H124" s="109">
        <f t="shared" si="73"/>
        <v>190.83348877327089</v>
      </c>
      <c r="I124" s="109">
        <f t="shared" si="73"/>
        <v>133.27923343641646</v>
      </c>
      <c r="J124" s="109">
        <f t="shared" si="73"/>
        <v>75.724978099562037</v>
      </c>
      <c r="K124" s="109">
        <f t="shared" si="73"/>
        <v>18.170722762707605</v>
      </c>
      <c r="L124" s="109">
        <f t="shared" si="73"/>
        <v>20.616467425853173</v>
      </c>
      <c r="M124" s="109">
        <f t="shared" si="73"/>
        <v>23.062212088998741</v>
      </c>
      <c r="N124" s="109">
        <f t="shared" si="73"/>
        <v>25.50795675214431</v>
      </c>
      <c r="O124" s="109">
        <f t="shared" si="73"/>
        <v>27.953701415289878</v>
      </c>
      <c r="T124" s="109">
        <f t="shared" si="72"/>
        <v>411.31533409907286</v>
      </c>
      <c r="U124" s="109">
        <f t="shared" si="59"/>
        <v>401.15678282690629</v>
      </c>
      <c r="V124" s="109">
        <f t="shared" si="60"/>
        <v>329.70034725033742</v>
      </c>
      <c r="W124" s="109">
        <f t="shared" si="61"/>
        <v>244.3243236012587</v>
      </c>
      <c r="X124" s="109">
        <f t="shared" si="62"/>
        <v>186.77006826440427</v>
      </c>
      <c r="Y124" s="109">
        <f t="shared" si="63"/>
        <v>129.21581292754985</v>
      </c>
      <c r="Z124" s="109">
        <f t="shared" si="64"/>
        <v>71.661557590695409</v>
      </c>
      <c r="AA124" s="109">
        <f t="shared" si="65"/>
        <v>14.107302253840981</v>
      </c>
      <c r="AB124" s="109">
        <f t="shared" si="66"/>
        <v>16.553046916986549</v>
      </c>
      <c r="AC124" s="109">
        <f t="shared" si="67"/>
        <v>18.998791580132117</v>
      </c>
      <c r="AD124" s="109">
        <f t="shared" si="68"/>
        <v>21.444536243277685</v>
      </c>
      <c r="AE124" s="109">
        <f t="shared" si="69"/>
        <v>23.890280906423254</v>
      </c>
      <c r="AG124" s="107"/>
    </row>
    <row r="125" spans="2:33" x14ac:dyDescent="0.25">
      <c r="B125" s="19" t="s">
        <v>15</v>
      </c>
      <c r="C125" s="116"/>
      <c r="D125" s="109">
        <f t="shared" si="70"/>
        <v>421.68937730396971</v>
      </c>
      <c r="E125" s="109">
        <f t="shared" si="57"/>
        <v>416.61010166788645</v>
      </c>
      <c r="F125" s="109">
        <f t="shared" ref="F125:O125" si="74">E125-F49+F77</f>
        <v>380.88188387960201</v>
      </c>
      <c r="G125" s="109">
        <f t="shared" si="74"/>
        <v>338.19387205506268</v>
      </c>
      <c r="H125" s="109">
        <f t="shared" si="74"/>
        <v>309.41674438663546</v>
      </c>
      <c r="I125" s="109">
        <f t="shared" si="74"/>
        <v>280.63961671820823</v>
      </c>
      <c r="J125" s="109">
        <f t="shared" si="74"/>
        <v>251.862489049781</v>
      </c>
      <c r="K125" s="109">
        <f t="shared" si="74"/>
        <v>223.08536138135378</v>
      </c>
      <c r="L125" s="109">
        <f t="shared" si="74"/>
        <v>194.30823371292655</v>
      </c>
      <c r="M125" s="109">
        <f t="shared" si="74"/>
        <v>165.53110604449932</v>
      </c>
      <c r="N125" s="109">
        <f t="shared" si="74"/>
        <v>136.7539783760721</v>
      </c>
      <c r="O125" s="109">
        <f t="shared" si="74"/>
        <v>107.97685070764489</v>
      </c>
      <c r="T125" s="109">
        <f t="shared" si="72"/>
        <v>418.98043029805865</v>
      </c>
      <c r="U125" s="109">
        <f t="shared" si="59"/>
        <v>413.9011546619754</v>
      </c>
      <c r="V125" s="109">
        <f t="shared" si="60"/>
        <v>378.17293687369096</v>
      </c>
      <c r="W125" s="109">
        <f t="shared" si="61"/>
        <v>335.48492504915163</v>
      </c>
      <c r="X125" s="109">
        <f t="shared" si="62"/>
        <v>306.7077973807244</v>
      </c>
      <c r="Y125" s="109">
        <f t="shared" si="63"/>
        <v>277.93066971229717</v>
      </c>
      <c r="Z125" s="109">
        <f t="shared" si="64"/>
        <v>249.15354204386992</v>
      </c>
      <c r="AA125" s="109">
        <f t="shared" si="65"/>
        <v>220.37641437544269</v>
      </c>
      <c r="AB125" s="109">
        <f t="shared" si="66"/>
        <v>191.59928670701547</v>
      </c>
      <c r="AC125" s="109">
        <f t="shared" si="67"/>
        <v>162.82215903858824</v>
      </c>
      <c r="AD125" s="109">
        <f t="shared" si="68"/>
        <v>134.04503137016101</v>
      </c>
      <c r="AE125" s="109">
        <f t="shared" si="69"/>
        <v>105.2679037017338</v>
      </c>
      <c r="AG125" s="107"/>
    </row>
    <row r="126" spans="2:33" x14ac:dyDescent="0.25">
      <c r="B126" s="19" t="s">
        <v>16</v>
      </c>
      <c r="C126" s="116"/>
      <c r="D126" s="109">
        <f t="shared" si="70"/>
        <v>46.9143769407317</v>
      </c>
      <c r="E126" s="109">
        <f t="shared" si="57"/>
        <v>54.501119877029069</v>
      </c>
      <c r="F126" s="109">
        <f t="shared" ref="F126:O126" si="75">E126-F50+F78</f>
        <v>55.432575418136651</v>
      </c>
      <c r="G126" s="109">
        <f t="shared" si="75"/>
        <v>39.012670215434753</v>
      </c>
      <c r="H126" s="109">
        <f t="shared" si="75"/>
        <v>57.156981588635574</v>
      </c>
      <c r="I126" s="109">
        <f t="shared" si="75"/>
        <v>50.301292961836396</v>
      </c>
      <c r="J126" s="109">
        <f t="shared" si="75"/>
        <v>43.445604335037217</v>
      </c>
      <c r="K126" s="109">
        <f t="shared" si="75"/>
        <v>36.589915708238038</v>
      </c>
      <c r="L126" s="109">
        <f t="shared" si="75"/>
        <v>54.73422708143886</v>
      </c>
      <c r="M126" s="109">
        <f t="shared" si="75"/>
        <v>47.878538454639681</v>
      </c>
      <c r="N126" s="109">
        <f t="shared" si="75"/>
        <v>41.022849827840503</v>
      </c>
      <c r="O126" s="109">
        <f t="shared" si="75"/>
        <v>59.167161201041324</v>
      </c>
      <c r="T126" s="109">
        <f t="shared" si="72"/>
        <v>10.960639840090295</v>
      </c>
      <c r="U126" s="109">
        <f t="shared" si="59"/>
        <v>18.547382776387664</v>
      </c>
      <c r="V126" s="109">
        <f t="shared" si="60"/>
        <v>19.478838317495246</v>
      </c>
      <c r="W126" s="109">
        <f t="shared" si="61"/>
        <v>3.0589331147933478</v>
      </c>
      <c r="X126" s="109">
        <f t="shared" si="62"/>
        <v>21.203244487994169</v>
      </c>
      <c r="Y126" s="109">
        <f t="shared" si="63"/>
        <v>14.347555861194991</v>
      </c>
      <c r="Z126" s="109">
        <f t="shared" si="64"/>
        <v>7.4918672343958121</v>
      </c>
      <c r="AA126" s="109">
        <f t="shared" si="65"/>
        <v>0.63617860759663358</v>
      </c>
      <c r="AB126" s="109">
        <f t="shared" si="66"/>
        <v>18.780489980797455</v>
      </c>
      <c r="AC126" s="109">
        <f t="shared" si="67"/>
        <v>11.924801353998276</v>
      </c>
      <c r="AD126" s="109">
        <f t="shared" si="68"/>
        <v>5.0691127271990979</v>
      </c>
      <c r="AE126" s="109">
        <f t="shared" si="69"/>
        <v>23.213424100399919</v>
      </c>
      <c r="AG126" s="107"/>
    </row>
    <row r="127" spans="2:33" x14ac:dyDescent="0.25">
      <c r="B127" s="19" t="s">
        <v>17</v>
      </c>
      <c r="C127" s="115"/>
      <c r="D127" s="109">
        <f t="shared" si="70"/>
        <v>251.67029857262173</v>
      </c>
      <c r="E127" s="109">
        <f t="shared" si="57"/>
        <v>214.38725659558725</v>
      </c>
      <c r="F127" s="109">
        <f t="shared" ref="F127:O127" si="76">E127-F51+F79</f>
        <v>144.41635415952817</v>
      </c>
      <c r="G127" s="109">
        <f t="shared" si="76"/>
        <v>216.16520856207842</v>
      </c>
      <c r="H127" s="109">
        <f t="shared" si="76"/>
        <v>197.38489469399948</v>
      </c>
      <c r="I127" s="109">
        <f t="shared" si="76"/>
        <v>178.60458082592055</v>
      </c>
      <c r="J127" s="109">
        <f t="shared" si="76"/>
        <v>159.82426695784162</v>
      </c>
      <c r="K127" s="109">
        <f t="shared" si="76"/>
        <v>141.04395308976268</v>
      </c>
      <c r="L127" s="109">
        <f t="shared" si="76"/>
        <v>122.26363922168375</v>
      </c>
      <c r="M127" s="109">
        <f t="shared" si="76"/>
        <v>103.48332535360481</v>
      </c>
      <c r="N127" s="109">
        <f t="shared" si="76"/>
        <v>84.703011485525877</v>
      </c>
      <c r="O127" s="109">
        <f t="shared" si="76"/>
        <v>65.922697617446943</v>
      </c>
      <c r="T127" s="109">
        <f t="shared" si="72"/>
        <v>211.90172046378495</v>
      </c>
      <c r="U127" s="109">
        <f t="shared" si="59"/>
        <v>174.61867848675047</v>
      </c>
      <c r="V127" s="109">
        <f t="shared" si="60"/>
        <v>104.64777605069139</v>
      </c>
      <c r="W127" s="109">
        <f t="shared" si="61"/>
        <v>176.39663045324164</v>
      </c>
      <c r="X127" s="109">
        <f t="shared" si="62"/>
        <v>157.61631658516271</v>
      </c>
      <c r="Y127" s="109">
        <f t="shared" si="63"/>
        <v>138.83600271708377</v>
      </c>
      <c r="Z127" s="109">
        <f t="shared" si="64"/>
        <v>120.05568884900484</v>
      </c>
      <c r="AA127" s="109">
        <f t="shared" si="65"/>
        <v>101.2753749809259</v>
      </c>
      <c r="AB127" s="109">
        <f t="shared" si="66"/>
        <v>82.495061112846969</v>
      </c>
      <c r="AC127" s="109">
        <f t="shared" si="67"/>
        <v>63.714747244768034</v>
      </c>
      <c r="AD127" s="109">
        <f t="shared" si="68"/>
        <v>44.9344333766891</v>
      </c>
      <c r="AE127" s="109">
        <f t="shared" si="69"/>
        <v>26.154119508610165</v>
      </c>
      <c r="AG127" s="107"/>
    </row>
    <row r="128" spans="2:33" x14ac:dyDescent="0.25">
      <c r="B128" s="19" t="s">
        <v>18</v>
      </c>
      <c r="C128" s="115"/>
      <c r="D128" s="109">
        <f t="shared" si="70"/>
        <v>5694.6350577145931</v>
      </c>
      <c r="E128" s="109">
        <f t="shared" si="57"/>
        <v>5660.9905127995571</v>
      </c>
      <c r="F128" s="109">
        <f t="shared" ref="F128:O128" si="77">E128-F52+F80</f>
        <v>5424.4177791137572</v>
      </c>
      <c r="G128" s="109">
        <f t="shared" si="77"/>
        <v>5141.7585436706377</v>
      </c>
      <c r="H128" s="109">
        <f t="shared" si="77"/>
        <v>4951.1985687476845</v>
      </c>
      <c r="I128" s="109">
        <f t="shared" si="77"/>
        <v>4760.6385938247313</v>
      </c>
      <c r="J128" s="109">
        <f t="shared" si="77"/>
        <v>4570.0786189017781</v>
      </c>
      <c r="K128" s="109">
        <f t="shared" si="77"/>
        <v>4379.5186439788249</v>
      </c>
      <c r="L128" s="109">
        <f t="shared" si="77"/>
        <v>4188.9586690558717</v>
      </c>
      <c r="M128" s="109">
        <f t="shared" si="77"/>
        <v>3998.3986941329181</v>
      </c>
      <c r="N128" s="109">
        <f t="shared" si="77"/>
        <v>3807.8387192099644</v>
      </c>
      <c r="O128" s="109">
        <f t="shared" si="77"/>
        <v>3617.2787442870108</v>
      </c>
      <c r="T128" s="109">
        <f t="shared" si="72"/>
        <v>5636.31784652853</v>
      </c>
      <c r="U128" s="109">
        <f t="shared" si="59"/>
        <v>5602.673301613494</v>
      </c>
      <c r="V128" s="109">
        <f t="shared" si="60"/>
        <v>5366.1005679276941</v>
      </c>
      <c r="W128" s="109">
        <f t="shared" si="61"/>
        <v>5083.4413324845746</v>
      </c>
      <c r="X128" s="109">
        <f t="shared" si="62"/>
        <v>4892.8813575616214</v>
      </c>
      <c r="Y128" s="109">
        <f t="shared" si="63"/>
        <v>4702.3213826386682</v>
      </c>
      <c r="Z128" s="109">
        <f t="shared" si="64"/>
        <v>4511.761407715715</v>
      </c>
      <c r="AA128" s="109">
        <f t="shared" si="65"/>
        <v>4321.2014327927618</v>
      </c>
      <c r="AB128" s="109">
        <f t="shared" si="66"/>
        <v>4130.6414578698086</v>
      </c>
      <c r="AC128" s="109">
        <f t="shared" si="67"/>
        <v>3940.081482946855</v>
      </c>
      <c r="AD128" s="109">
        <f t="shared" si="68"/>
        <v>3749.5215080239013</v>
      </c>
      <c r="AE128" s="109">
        <f t="shared" si="69"/>
        <v>3558.9615331009477</v>
      </c>
      <c r="AG128" s="107"/>
    </row>
    <row r="129" spans="2:33" x14ac:dyDescent="0.25">
      <c r="B129" s="19" t="s">
        <v>19</v>
      </c>
      <c r="C129" s="115"/>
      <c r="D129" s="109">
        <f t="shared" si="70"/>
        <v>20430.855761636136</v>
      </c>
      <c r="E129" s="109">
        <f t="shared" si="57"/>
        <v>13225.944558861134</v>
      </c>
      <c r="F129" s="109">
        <f t="shared" ref="F129:O129" si="78">E129-F53+F81</f>
        <v>19031.047301042905</v>
      </c>
      <c r="G129" s="109">
        <f t="shared" si="78"/>
        <v>14279.126581883647</v>
      </c>
      <c r="H129" s="109">
        <f t="shared" si="78"/>
        <v>10867.900110879316</v>
      </c>
      <c r="I129" s="109">
        <f t="shared" si="78"/>
        <v>7456.6736398749854</v>
      </c>
      <c r="J129" s="109">
        <f t="shared" si="78"/>
        <v>4045.4471688706544</v>
      </c>
      <c r="K129" s="109">
        <f t="shared" si="78"/>
        <v>19634.220697866323</v>
      </c>
      <c r="L129" s="109">
        <f t="shared" si="78"/>
        <v>16222.994226861993</v>
      </c>
      <c r="M129" s="109">
        <f t="shared" si="78"/>
        <v>12811.767755857662</v>
      </c>
      <c r="N129" s="109">
        <f t="shared" si="78"/>
        <v>9400.5412848533306</v>
      </c>
      <c r="O129" s="109">
        <f t="shared" si="78"/>
        <v>5989.3148138489996</v>
      </c>
      <c r="T129" s="109">
        <f t="shared" si="72"/>
        <v>16588.23645348947</v>
      </c>
      <c r="U129" s="109">
        <f t="shared" si="59"/>
        <v>9383.325250714468</v>
      </c>
      <c r="V129" s="109">
        <f t="shared" si="60"/>
        <v>15188.427992896239</v>
      </c>
      <c r="W129" s="109">
        <f t="shared" si="61"/>
        <v>10436.507273736981</v>
      </c>
      <c r="X129" s="109">
        <f t="shared" si="62"/>
        <v>7025.2808027326491</v>
      </c>
      <c r="Y129" s="109">
        <f t="shared" si="63"/>
        <v>3614.0543317283182</v>
      </c>
      <c r="Z129" s="109">
        <f t="shared" si="64"/>
        <v>202.82786072398721</v>
      </c>
      <c r="AA129" s="109">
        <f t="shared" si="65"/>
        <v>15791.601389719657</v>
      </c>
      <c r="AB129" s="109">
        <f t="shared" si="66"/>
        <v>12380.374918715326</v>
      </c>
      <c r="AC129" s="109">
        <f t="shared" si="67"/>
        <v>8969.1484477109952</v>
      </c>
      <c r="AD129" s="109">
        <f t="shared" si="68"/>
        <v>5557.9219767066634</v>
      </c>
      <c r="AE129" s="109">
        <f t="shared" si="69"/>
        <v>2146.6955057023324</v>
      </c>
      <c r="AG129" s="107"/>
    </row>
    <row r="130" spans="2:33" x14ac:dyDescent="0.25">
      <c r="B130" s="19" t="s">
        <v>20</v>
      </c>
      <c r="C130" s="115"/>
      <c r="D130" s="109">
        <f t="shared" si="70"/>
        <v>10881.349335616</v>
      </c>
      <c r="E130" s="109">
        <f t="shared" si="57"/>
        <v>10306.543335615999</v>
      </c>
      <c r="F130" s="109">
        <f t="shared" ref="F130:O130" si="79">E130-F54+F82</f>
        <v>9210.7932987087806</v>
      </c>
      <c r="G130" s="109">
        <f t="shared" si="79"/>
        <v>9425.5835818015621</v>
      </c>
      <c r="H130" s="109">
        <f t="shared" si="79"/>
        <v>8473.7892178060647</v>
      </c>
      <c r="I130" s="109">
        <f t="shared" si="79"/>
        <v>10021.994853810567</v>
      </c>
      <c r="J130" s="109">
        <f t="shared" si="79"/>
        <v>9070.2004898150699</v>
      </c>
      <c r="K130" s="109">
        <f t="shared" si="79"/>
        <v>8118.4061258195725</v>
      </c>
      <c r="L130" s="109">
        <f t="shared" si="79"/>
        <v>9366.6117618240751</v>
      </c>
      <c r="M130" s="109">
        <f t="shared" si="79"/>
        <v>8414.8173978285777</v>
      </c>
      <c r="N130" s="109">
        <f t="shared" si="79"/>
        <v>7463.0230338330803</v>
      </c>
      <c r="O130" s="109">
        <f t="shared" si="79"/>
        <v>8211.2286698375829</v>
      </c>
      <c r="T130" s="109">
        <f t="shared" si="72"/>
        <v>8579.3022210633426</v>
      </c>
      <c r="U130" s="109">
        <f t="shared" si="59"/>
        <v>8004.4962210633421</v>
      </c>
      <c r="V130" s="109">
        <f t="shared" si="60"/>
        <v>6908.7461841561235</v>
      </c>
      <c r="W130" s="109">
        <f t="shared" si="61"/>
        <v>7123.536467248905</v>
      </c>
      <c r="X130" s="109">
        <f t="shared" si="62"/>
        <v>6171.7421032534075</v>
      </c>
      <c r="Y130" s="109">
        <f t="shared" si="63"/>
        <v>7719.9477392579101</v>
      </c>
      <c r="Z130" s="109">
        <f t="shared" si="64"/>
        <v>6768.1533752624127</v>
      </c>
      <c r="AA130" s="109">
        <f t="shared" si="65"/>
        <v>5816.3590112669153</v>
      </c>
      <c r="AB130" s="109">
        <f t="shared" si="66"/>
        <v>7064.5646472714179</v>
      </c>
      <c r="AC130" s="109">
        <f t="shared" si="67"/>
        <v>6112.7702832759205</v>
      </c>
      <c r="AD130" s="109">
        <f t="shared" si="68"/>
        <v>5160.9759192804231</v>
      </c>
      <c r="AE130" s="109">
        <f t="shared" si="69"/>
        <v>5909.1815552849257</v>
      </c>
      <c r="AG130" s="107"/>
    </row>
    <row r="131" spans="2:33" x14ac:dyDescent="0.25">
      <c r="B131" s="19" t="s">
        <v>21</v>
      </c>
      <c r="C131" s="115"/>
      <c r="D131" s="109">
        <f t="shared" si="70"/>
        <v>12837.203141990072</v>
      </c>
      <c r="E131" s="109">
        <f t="shared" si="57"/>
        <v>12736.474891990072</v>
      </c>
      <c r="F131" s="109">
        <f t="shared" ref="F131:O131" si="80">E131-F55+F83</f>
        <v>9629.4378397310775</v>
      </c>
      <c r="G131" s="109">
        <f t="shared" si="80"/>
        <v>10848.243653630545</v>
      </c>
      <c r="H131" s="109">
        <f t="shared" si="80"/>
        <v>8423.3371959453489</v>
      </c>
      <c r="I131" s="109">
        <f t="shared" si="80"/>
        <v>11798.430738260153</v>
      </c>
      <c r="J131" s="109">
        <f t="shared" si="80"/>
        <v>9373.5242805749567</v>
      </c>
      <c r="K131" s="109">
        <f t="shared" si="80"/>
        <v>6948.6178228897606</v>
      </c>
      <c r="L131" s="109">
        <f t="shared" si="80"/>
        <v>9723.7113652045646</v>
      </c>
      <c r="M131" s="109">
        <f t="shared" si="80"/>
        <v>7298.8049075193685</v>
      </c>
      <c r="N131" s="109">
        <f t="shared" si="80"/>
        <v>4873.8984498341724</v>
      </c>
      <c r="O131" s="109">
        <f t="shared" si="80"/>
        <v>8648.9919921489764</v>
      </c>
      <c r="T131" s="109">
        <f t="shared" si="72"/>
        <v>8238.7753918966409</v>
      </c>
      <c r="U131" s="109">
        <f t="shared" si="59"/>
        <v>8138.0471418966417</v>
      </c>
      <c r="V131" s="109">
        <f t="shared" si="60"/>
        <v>5031.0100896376471</v>
      </c>
      <c r="W131" s="109">
        <f t="shared" si="61"/>
        <v>6249.8159035371145</v>
      </c>
      <c r="X131" s="109">
        <f t="shared" si="62"/>
        <v>3824.9094458519185</v>
      </c>
      <c r="Y131" s="109">
        <f t="shared" si="63"/>
        <v>7200.0029881667224</v>
      </c>
      <c r="Z131" s="109">
        <f t="shared" si="64"/>
        <v>4775.0965304815263</v>
      </c>
      <c r="AA131" s="109">
        <f t="shared" si="65"/>
        <v>2350.1900727963302</v>
      </c>
      <c r="AB131" s="109">
        <f t="shared" si="66"/>
        <v>5125.2836151111342</v>
      </c>
      <c r="AC131" s="109">
        <f t="shared" si="67"/>
        <v>2700.3771574259381</v>
      </c>
      <c r="AD131" s="109">
        <f t="shared" si="68"/>
        <v>275.47069974074202</v>
      </c>
      <c r="AE131" s="109">
        <f t="shared" si="69"/>
        <v>4050.5642420555459</v>
      </c>
      <c r="AG131" s="107"/>
    </row>
    <row r="132" spans="2:33" x14ac:dyDescent="0.25">
      <c r="B132" s="19" t="s">
        <v>22</v>
      </c>
      <c r="C132" s="115"/>
      <c r="D132" s="109">
        <f t="shared" si="70"/>
        <v>4072.5413963785404</v>
      </c>
      <c r="E132" s="109">
        <f t="shared" si="57"/>
        <v>3520.0133963785406</v>
      </c>
      <c r="F132" s="109">
        <f t="shared" ref="F132:O132" si="81">E132-F56+F84</f>
        <v>2415.7403482019054</v>
      </c>
      <c r="G132" s="109">
        <f t="shared" si="81"/>
        <v>4138.49796002527</v>
      </c>
      <c r="H132" s="109">
        <f t="shared" si="81"/>
        <v>3171.6512970651825</v>
      </c>
      <c r="I132" s="109">
        <f t="shared" si="81"/>
        <v>4604.8046341050949</v>
      </c>
      <c r="J132" s="109">
        <f t="shared" si="81"/>
        <v>3637.9579711450074</v>
      </c>
      <c r="K132" s="109">
        <f t="shared" si="81"/>
        <v>2671.1113081849198</v>
      </c>
      <c r="L132" s="109">
        <f t="shared" si="81"/>
        <v>4304.2646452248318</v>
      </c>
      <c r="M132" s="109">
        <f t="shared" si="81"/>
        <v>3337.4179822647443</v>
      </c>
      <c r="N132" s="109">
        <f t="shared" si="81"/>
        <v>2370.5713193046568</v>
      </c>
      <c r="O132" s="109">
        <f t="shared" si="81"/>
        <v>3903.7246563445692</v>
      </c>
      <c r="T132" s="109">
        <f t="shared" si="72"/>
        <v>1918.2238457228241</v>
      </c>
      <c r="U132" s="109">
        <f t="shared" si="59"/>
        <v>1365.6958457228243</v>
      </c>
      <c r="V132" s="109">
        <f t="shared" si="60"/>
        <v>261.42279754618903</v>
      </c>
      <c r="W132" s="109">
        <f t="shared" si="61"/>
        <v>1984.1804093695537</v>
      </c>
      <c r="X132" s="109">
        <f t="shared" si="62"/>
        <v>1017.3337464094661</v>
      </c>
      <c r="Y132" s="109">
        <f t="shared" si="63"/>
        <v>2450.4870834493786</v>
      </c>
      <c r="Z132" s="109">
        <f t="shared" si="64"/>
        <v>1483.640420489291</v>
      </c>
      <c r="AA132" s="109">
        <f t="shared" si="65"/>
        <v>516.7937575292035</v>
      </c>
      <c r="AB132" s="109">
        <f t="shared" si="66"/>
        <v>2149.9470945691155</v>
      </c>
      <c r="AC132" s="109">
        <f t="shared" si="67"/>
        <v>1183.100431609028</v>
      </c>
      <c r="AD132" s="109">
        <f t="shared" si="68"/>
        <v>216.25376864894042</v>
      </c>
      <c r="AE132" s="109">
        <f t="shared" si="69"/>
        <v>1749.4071056888529</v>
      </c>
      <c r="AG132" s="107"/>
    </row>
    <row r="133" spans="2:33" x14ac:dyDescent="0.25">
      <c r="B133" s="19" t="s">
        <v>23</v>
      </c>
      <c r="C133" s="115"/>
      <c r="D133" s="109">
        <f t="shared" si="70"/>
        <v>11626.738136342261</v>
      </c>
      <c r="E133" s="109">
        <f t="shared" si="57"/>
        <v>11626.738136342261</v>
      </c>
      <c r="F133" s="109">
        <f t="shared" ref="F133:O133" si="82">E133-F57+F85</f>
        <v>7027.5483121957777</v>
      </c>
      <c r="G133" s="109">
        <f t="shared" si="82"/>
        <v>12491.271892946919</v>
      </c>
      <c r="H133" s="109">
        <f t="shared" si="82"/>
        <v>8887.9142778529203</v>
      </c>
      <c r="I133" s="109">
        <f t="shared" si="82"/>
        <v>14384.556662758921</v>
      </c>
      <c r="J133" s="109">
        <f t="shared" si="82"/>
        <v>10781.199047664923</v>
      </c>
      <c r="K133" s="109">
        <f t="shared" si="82"/>
        <v>7177.8414325709246</v>
      </c>
      <c r="L133" s="109">
        <f t="shared" si="82"/>
        <v>13374.483817476927</v>
      </c>
      <c r="M133" s="109">
        <f t="shared" si="82"/>
        <v>9771.1262023829295</v>
      </c>
      <c r="N133" s="109">
        <f t="shared" si="82"/>
        <v>6167.7685872889315</v>
      </c>
      <c r="O133" s="109">
        <f t="shared" si="82"/>
        <v>11964.410972194933</v>
      </c>
      <c r="T133" s="109">
        <f t="shared" si="72"/>
        <v>5655.9559566192593</v>
      </c>
      <c r="U133" s="109">
        <f t="shared" si="59"/>
        <v>5655.9559566192593</v>
      </c>
      <c r="V133" s="109">
        <f t="shared" si="60"/>
        <v>1056.766132472776</v>
      </c>
      <c r="W133" s="109">
        <f t="shared" si="61"/>
        <v>6520.4897132239175</v>
      </c>
      <c r="X133" s="109">
        <f t="shared" si="62"/>
        <v>2917.1320981299186</v>
      </c>
      <c r="Y133" s="109">
        <f t="shared" si="63"/>
        <v>8413.7744830359188</v>
      </c>
      <c r="Z133" s="109">
        <f t="shared" si="64"/>
        <v>4810.4168679419208</v>
      </c>
      <c r="AA133" s="109">
        <f t="shared" si="65"/>
        <v>1207.0592528479228</v>
      </c>
      <c r="AB133" s="109">
        <f t="shared" si="66"/>
        <v>7403.7016377539248</v>
      </c>
      <c r="AC133" s="109">
        <f t="shared" si="67"/>
        <v>3800.3440226599278</v>
      </c>
      <c r="AD133" s="109">
        <f t="shared" si="68"/>
        <v>196.98640756592977</v>
      </c>
      <c r="AE133" s="109">
        <f t="shared" si="69"/>
        <v>5993.6287924719318</v>
      </c>
      <c r="AG133" s="107"/>
    </row>
    <row r="134" spans="2:33" x14ac:dyDescent="0.25">
      <c r="AG134" s="107"/>
    </row>
    <row r="135" spans="2:33" x14ac:dyDescent="0.25">
      <c r="V135" s="108"/>
    </row>
    <row r="136" spans="2:33" ht="21" x14ac:dyDescent="0.35">
      <c r="B136" s="125" t="s">
        <v>475</v>
      </c>
      <c r="D136" s="135"/>
      <c r="P136" s="124"/>
      <c r="Q136" s="124"/>
      <c r="R136" s="124"/>
      <c r="S136" s="124"/>
      <c r="T136" s="125" t="s">
        <v>476</v>
      </c>
      <c r="U136" s="108"/>
      <c r="V136" s="108"/>
      <c r="AG136" s="107"/>
    </row>
    <row r="137" spans="2:33" ht="18.75" x14ac:dyDescent="0.25">
      <c r="B137" s="117" t="s">
        <v>387</v>
      </c>
      <c r="C137" s="118" t="s">
        <v>472</v>
      </c>
      <c r="D137" s="315">
        <f>D121</f>
        <v>42583</v>
      </c>
      <c r="E137" s="315">
        <f t="shared" ref="E137:O137" si="83">E121</f>
        <v>42614</v>
      </c>
      <c r="F137" s="315">
        <f t="shared" si="83"/>
        <v>42644</v>
      </c>
      <c r="G137" s="315">
        <f t="shared" si="83"/>
        <v>42675</v>
      </c>
      <c r="H137" s="315">
        <f t="shared" si="83"/>
        <v>42705</v>
      </c>
      <c r="I137" s="315">
        <f t="shared" si="83"/>
        <v>42736</v>
      </c>
      <c r="J137" s="315">
        <f t="shared" si="83"/>
        <v>42767</v>
      </c>
      <c r="K137" s="315">
        <f t="shared" si="83"/>
        <v>42795</v>
      </c>
      <c r="L137" s="315">
        <f t="shared" si="83"/>
        <v>42826</v>
      </c>
      <c r="M137" s="315">
        <f t="shared" si="83"/>
        <v>42856</v>
      </c>
      <c r="N137" s="315">
        <f t="shared" si="83"/>
        <v>42887</v>
      </c>
      <c r="O137" s="315">
        <f t="shared" si="83"/>
        <v>42917</v>
      </c>
      <c r="P137" s="124"/>
      <c r="Q137" s="124"/>
      <c r="R137" s="124"/>
      <c r="S137" s="124"/>
      <c r="T137" s="315">
        <f>T121</f>
        <v>42583</v>
      </c>
      <c r="U137" s="315">
        <f t="shared" ref="U137:AE137" si="84">U121</f>
        <v>42614</v>
      </c>
      <c r="V137" s="315">
        <f t="shared" si="84"/>
        <v>42644</v>
      </c>
      <c r="W137" s="315">
        <f t="shared" si="84"/>
        <v>42675</v>
      </c>
      <c r="X137" s="315">
        <f t="shared" si="84"/>
        <v>42705</v>
      </c>
      <c r="Y137" s="315">
        <f t="shared" si="84"/>
        <v>42736</v>
      </c>
      <c r="Z137" s="315">
        <f t="shared" si="84"/>
        <v>42767</v>
      </c>
      <c r="AA137" s="315">
        <f t="shared" si="84"/>
        <v>42795</v>
      </c>
      <c r="AB137" s="315">
        <f t="shared" si="84"/>
        <v>42826</v>
      </c>
      <c r="AC137" s="315">
        <f t="shared" si="84"/>
        <v>42856</v>
      </c>
      <c r="AD137" s="315">
        <f t="shared" si="84"/>
        <v>42887</v>
      </c>
      <c r="AE137" s="315">
        <f t="shared" si="84"/>
        <v>42917</v>
      </c>
      <c r="AG137" s="107"/>
    </row>
    <row r="138" spans="2:33" x14ac:dyDescent="0.25">
      <c r="B138" s="19" t="s">
        <v>12</v>
      </c>
      <c r="C138" s="284">
        <v>125</v>
      </c>
      <c r="D138" s="137">
        <f t="shared" ref="D138:D149" si="85">$C138*D74</f>
        <v>4500000</v>
      </c>
      <c r="E138" s="137">
        <f t="shared" ref="E138:O138" si="86">$C138*E74</f>
        <v>375000</v>
      </c>
      <c r="F138" s="137">
        <f t="shared" si="86"/>
        <v>3000000</v>
      </c>
      <c r="G138" s="137">
        <f t="shared" si="86"/>
        <v>3500000</v>
      </c>
      <c r="H138" s="137">
        <f t="shared" si="86"/>
        <v>2375000</v>
      </c>
      <c r="I138" s="137">
        <f t="shared" si="86"/>
        <v>2375000</v>
      </c>
      <c r="J138" s="137">
        <f t="shared" si="86"/>
        <v>2375000</v>
      </c>
      <c r="K138" s="137">
        <f t="shared" si="86"/>
        <v>2375000</v>
      </c>
      <c r="L138" s="137">
        <f t="shared" si="86"/>
        <v>2375000</v>
      </c>
      <c r="M138" s="137">
        <f t="shared" si="86"/>
        <v>2375000</v>
      </c>
      <c r="N138" s="137">
        <f t="shared" si="86"/>
        <v>2375000</v>
      </c>
      <c r="O138" s="137">
        <f t="shared" si="86"/>
        <v>2375000</v>
      </c>
      <c r="P138" s="123"/>
      <c r="Q138" s="123"/>
      <c r="R138" s="123"/>
      <c r="S138" s="123"/>
      <c r="T138" s="137">
        <f>$C138*D122</f>
        <v>337276.07553028245</v>
      </c>
      <c r="U138" s="137">
        <f t="shared" ref="U138:AE149" si="87">$C138*E122</f>
        <v>291102.40363558242</v>
      </c>
      <c r="V138" s="137">
        <f t="shared" si="87"/>
        <v>332555.69162495888</v>
      </c>
      <c r="W138" s="137">
        <f t="shared" si="87"/>
        <v>297911.85479365231</v>
      </c>
      <c r="X138" s="137">
        <f t="shared" si="87"/>
        <v>289714.00223803311</v>
      </c>
      <c r="Y138" s="137">
        <f t="shared" si="87"/>
        <v>281516.1496824139</v>
      </c>
      <c r="Z138" s="137">
        <f t="shared" si="87"/>
        <v>273318.29712679476</v>
      </c>
      <c r="AA138" s="137">
        <f t="shared" si="87"/>
        <v>265120.44457117555</v>
      </c>
      <c r="AB138" s="137">
        <f t="shared" si="87"/>
        <v>256922.59201555635</v>
      </c>
      <c r="AC138" s="137">
        <f t="shared" si="87"/>
        <v>248724.73945993715</v>
      </c>
      <c r="AD138" s="137">
        <f t="shared" si="87"/>
        <v>240526.88690431797</v>
      </c>
      <c r="AE138" s="137">
        <f t="shared" si="87"/>
        <v>232329.03434869877</v>
      </c>
      <c r="AG138" s="107"/>
    </row>
    <row r="139" spans="2:33" x14ac:dyDescent="0.25">
      <c r="B139" s="19" t="s">
        <v>13</v>
      </c>
      <c r="C139" s="284">
        <v>72.03</v>
      </c>
      <c r="D139" s="137">
        <f t="shared" si="85"/>
        <v>0</v>
      </c>
      <c r="E139" s="137">
        <f t="shared" ref="E139:O139" si="88">$C139*E75</f>
        <v>0</v>
      </c>
      <c r="F139" s="137">
        <f t="shared" si="88"/>
        <v>0</v>
      </c>
      <c r="G139" s="137">
        <f t="shared" si="88"/>
        <v>1368570</v>
      </c>
      <c r="H139" s="137">
        <f t="shared" si="88"/>
        <v>0</v>
      </c>
      <c r="I139" s="137">
        <f t="shared" si="88"/>
        <v>1368570</v>
      </c>
      <c r="J139" s="137">
        <f t="shared" si="88"/>
        <v>0</v>
      </c>
      <c r="K139" s="137">
        <f t="shared" si="88"/>
        <v>0</v>
      </c>
      <c r="L139" s="137">
        <f t="shared" si="88"/>
        <v>1368570</v>
      </c>
      <c r="M139" s="137">
        <f t="shared" si="88"/>
        <v>0</v>
      </c>
      <c r="N139" s="137">
        <f t="shared" si="88"/>
        <v>0</v>
      </c>
      <c r="O139" s="137">
        <f t="shared" si="88"/>
        <v>1368570</v>
      </c>
      <c r="P139" s="123"/>
      <c r="Q139" s="123"/>
      <c r="R139" s="123"/>
      <c r="S139" s="123"/>
      <c r="T139" s="137">
        <f t="shared" ref="T139:T149" si="89">$C139*D123</f>
        <v>790917.07399252767</v>
      </c>
      <c r="U139" s="137">
        <f t="shared" si="87"/>
        <v>717413.79625299701</v>
      </c>
      <c r="V139" s="137">
        <f t="shared" si="87"/>
        <v>138248.77495935815</v>
      </c>
      <c r="W139" s="137">
        <f t="shared" si="87"/>
        <v>823841.90362853045</v>
      </c>
      <c r="X139" s="137">
        <f t="shared" si="87"/>
        <v>358930.71519566071</v>
      </c>
      <c r="Y139" s="137">
        <f t="shared" si="87"/>
        <v>1262589.526762791</v>
      </c>
      <c r="Z139" s="137">
        <f t="shared" si="87"/>
        <v>797678.33832992136</v>
      </c>
      <c r="AA139" s="137">
        <f t="shared" si="87"/>
        <v>332767.14989705163</v>
      </c>
      <c r="AB139" s="137">
        <f t="shared" si="87"/>
        <v>1236425.961464182</v>
      </c>
      <c r="AC139" s="137">
        <f t="shared" si="87"/>
        <v>771514.77303131227</v>
      </c>
      <c r="AD139" s="137">
        <f t="shared" si="87"/>
        <v>306603.58459844254</v>
      </c>
      <c r="AE139" s="137">
        <f t="shared" si="87"/>
        <v>1210262.3961655728</v>
      </c>
      <c r="AG139" s="107"/>
    </row>
    <row r="140" spans="2:33" x14ac:dyDescent="0.25">
      <c r="B140" s="19" t="s">
        <v>14</v>
      </c>
      <c r="C140" s="284">
        <v>486.23</v>
      </c>
      <c r="D140" s="137">
        <f t="shared" si="85"/>
        <v>0</v>
      </c>
      <c r="E140" s="137">
        <f t="shared" ref="E140:O140" si="90">$C140*E76</f>
        <v>0</v>
      </c>
      <c r="F140" s="137">
        <f t="shared" si="90"/>
        <v>0</v>
      </c>
      <c r="G140" s="137">
        <f t="shared" si="90"/>
        <v>0</v>
      </c>
      <c r="H140" s="137">
        <f t="shared" si="90"/>
        <v>0</v>
      </c>
      <c r="I140" s="137">
        <f t="shared" si="90"/>
        <v>0</v>
      </c>
      <c r="J140" s="137">
        <f t="shared" si="90"/>
        <v>0</v>
      </c>
      <c r="K140" s="137">
        <f t="shared" si="90"/>
        <v>0</v>
      </c>
      <c r="L140" s="137">
        <f t="shared" si="90"/>
        <v>29173.800000000003</v>
      </c>
      <c r="M140" s="137">
        <f t="shared" si="90"/>
        <v>29173.800000000003</v>
      </c>
      <c r="N140" s="137">
        <f t="shared" si="90"/>
        <v>29173.800000000003</v>
      </c>
      <c r="O140" s="137">
        <f t="shared" si="90"/>
        <v>29173.800000000003</v>
      </c>
      <c r="P140" s="123"/>
      <c r="Q140" s="123"/>
      <c r="R140" s="123"/>
      <c r="S140" s="123"/>
      <c r="T140" s="137">
        <f t="shared" si="89"/>
        <v>201969.6118530184</v>
      </c>
      <c r="U140" s="137">
        <f t="shared" si="87"/>
        <v>197030.21946795288</v>
      </c>
      <c r="V140" s="137">
        <f t="shared" si="87"/>
        <v>162285.9567975578</v>
      </c>
      <c r="W140" s="137">
        <f t="shared" si="87"/>
        <v>120773.57281866623</v>
      </c>
      <c r="X140" s="137">
        <f t="shared" si="87"/>
        <v>92788.967246227505</v>
      </c>
      <c r="Y140" s="137">
        <f t="shared" si="87"/>
        <v>64804.361673788779</v>
      </c>
      <c r="Z140" s="137">
        <f t="shared" si="87"/>
        <v>36819.756101350053</v>
      </c>
      <c r="AA140" s="137">
        <f t="shared" si="87"/>
        <v>8835.1505289113193</v>
      </c>
      <c r="AB140" s="137">
        <f t="shared" si="87"/>
        <v>10024.344956472589</v>
      </c>
      <c r="AC140" s="137">
        <f t="shared" si="87"/>
        <v>11213.539384033858</v>
      </c>
      <c r="AD140" s="137">
        <f t="shared" si="87"/>
        <v>12402.733811595128</v>
      </c>
      <c r="AE140" s="137">
        <f t="shared" si="87"/>
        <v>13591.928239156397</v>
      </c>
      <c r="AG140" s="107"/>
    </row>
    <row r="141" spans="2:33" x14ac:dyDescent="0.25">
      <c r="B141" s="19" t="s">
        <v>15</v>
      </c>
      <c r="C141" s="284">
        <v>648.30999999999995</v>
      </c>
      <c r="D141" s="137">
        <f t="shared" si="85"/>
        <v>0</v>
      </c>
      <c r="E141" s="137">
        <f t="shared" ref="E141:O141" si="91">$C141*E77</f>
        <v>0</v>
      </c>
      <c r="F141" s="137">
        <f t="shared" si="91"/>
        <v>0</v>
      </c>
      <c r="G141" s="137">
        <f t="shared" si="91"/>
        <v>0</v>
      </c>
      <c r="H141" s="137">
        <f t="shared" si="91"/>
        <v>0</v>
      </c>
      <c r="I141" s="137">
        <f t="shared" si="91"/>
        <v>0</v>
      </c>
      <c r="J141" s="137">
        <f t="shared" si="91"/>
        <v>0</v>
      </c>
      <c r="K141" s="137">
        <f t="shared" si="91"/>
        <v>0</v>
      </c>
      <c r="L141" s="137">
        <f t="shared" si="91"/>
        <v>0</v>
      </c>
      <c r="M141" s="137">
        <f t="shared" si="91"/>
        <v>0</v>
      </c>
      <c r="N141" s="137">
        <f t="shared" si="91"/>
        <v>0</v>
      </c>
      <c r="O141" s="137">
        <f t="shared" si="91"/>
        <v>0</v>
      </c>
      <c r="P141" s="123"/>
      <c r="Q141" s="123"/>
      <c r="R141" s="123"/>
      <c r="S141" s="123"/>
      <c r="T141" s="137">
        <f t="shared" si="89"/>
        <v>273385.44019993657</v>
      </c>
      <c r="U141" s="137">
        <f t="shared" si="87"/>
        <v>270092.49501230742</v>
      </c>
      <c r="V141" s="137">
        <f t="shared" si="87"/>
        <v>246929.53413798477</v>
      </c>
      <c r="W141" s="137">
        <f t="shared" si="87"/>
        <v>219254.46919201768</v>
      </c>
      <c r="X141" s="137">
        <f t="shared" si="87"/>
        <v>200597.96955329963</v>
      </c>
      <c r="Y141" s="137">
        <f t="shared" si="87"/>
        <v>181941.46991458157</v>
      </c>
      <c r="Z141" s="137">
        <f t="shared" si="87"/>
        <v>163284.97027586351</v>
      </c>
      <c r="AA141" s="137">
        <f t="shared" si="87"/>
        <v>144628.47063714545</v>
      </c>
      <c r="AB141" s="137">
        <f t="shared" si="87"/>
        <v>125971.97099842741</v>
      </c>
      <c r="AC141" s="137">
        <f t="shared" si="87"/>
        <v>107315.47135970935</v>
      </c>
      <c r="AD141" s="137">
        <f t="shared" si="87"/>
        <v>88658.971720991292</v>
      </c>
      <c r="AE141" s="137">
        <f t="shared" si="87"/>
        <v>70002.472082273249</v>
      </c>
      <c r="AG141" s="107"/>
    </row>
    <row r="142" spans="2:33" x14ac:dyDescent="0.25">
      <c r="B142" s="19" t="s">
        <v>16</v>
      </c>
      <c r="C142" s="284">
        <v>800</v>
      </c>
      <c r="D142" s="137">
        <f t="shared" si="85"/>
        <v>480000</v>
      </c>
      <c r="E142" s="137">
        <f t="shared" ref="E142:O142" si="92">$C142*E78</f>
        <v>60000</v>
      </c>
      <c r="F142" s="137">
        <f t="shared" si="92"/>
        <v>380000</v>
      </c>
      <c r="G142" s="137">
        <f t="shared" si="92"/>
        <v>440000</v>
      </c>
      <c r="H142" s="137">
        <f t="shared" si="92"/>
        <v>320000</v>
      </c>
      <c r="I142" s="137">
        <f t="shared" si="92"/>
        <v>300000</v>
      </c>
      <c r="J142" s="137">
        <f t="shared" si="92"/>
        <v>300000</v>
      </c>
      <c r="K142" s="137">
        <f t="shared" si="92"/>
        <v>300000</v>
      </c>
      <c r="L142" s="137">
        <f t="shared" si="92"/>
        <v>320000</v>
      </c>
      <c r="M142" s="137">
        <f t="shared" si="92"/>
        <v>300000</v>
      </c>
      <c r="N142" s="137">
        <f t="shared" si="92"/>
        <v>300000</v>
      </c>
      <c r="O142" s="137">
        <f t="shared" si="92"/>
        <v>320000</v>
      </c>
      <c r="P142" s="123"/>
      <c r="Q142" s="123"/>
      <c r="R142" s="123"/>
      <c r="S142" s="123"/>
      <c r="T142" s="137">
        <f t="shared" si="89"/>
        <v>37531.50155258536</v>
      </c>
      <c r="U142" s="137">
        <f t="shared" si="87"/>
        <v>43600.895901623255</v>
      </c>
      <c r="V142" s="137">
        <f t="shared" si="87"/>
        <v>44346.060334509319</v>
      </c>
      <c r="W142" s="137">
        <f t="shared" si="87"/>
        <v>31210.136172347804</v>
      </c>
      <c r="X142" s="137">
        <f t="shared" si="87"/>
        <v>45725.585270908457</v>
      </c>
      <c r="Y142" s="137">
        <f t="shared" si="87"/>
        <v>40241.034369469118</v>
      </c>
      <c r="Z142" s="137">
        <f t="shared" si="87"/>
        <v>34756.483468029772</v>
      </c>
      <c r="AA142" s="137">
        <f t="shared" si="87"/>
        <v>29271.932566590433</v>
      </c>
      <c r="AB142" s="137">
        <f t="shared" si="87"/>
        <v>43787.381665151086</v>
      </c>
      <c r="AC142" s="137">
        <f t="shared" si="87"/>
        <v>38302.830763711747</v>
      </c>
      <c r="AD142" s="137">
        <f t="shared" si="87"/>
        <v>32818.2798622724</v>
      </c>
      <c r="AE142" s="137">
        <f t="shared" si="87"/>
        <v>47333.728960833061</v>
      </c>
      <c r="AG142" s="107"/>
    </row>
    <row r="143" spans="2:33" x14ac:dyDescent="0.25">
      <c r="B143" s="19" t="s">
        <v>17</v>
      </c>
      <c r="C143" s="284">
        <v>1667.19</v>
      </c>
      <c r="D143" s="137">
        <f t="shared" si="85"/>
        <v>0</v>
      </c>
      <c r="E143" s="137">
        <f t="shared" ref="E143:O143" si="93">$C143*E79</f>
        <v>0</v>
      </c>
      <c r="F143" s="137">
        <f t="shared" si="93"/>
        <v>321767.67</v>
      </c>
      <c r="G143" s="137">
        <f t="shared" si="93"/>
        <v>643535.34</v>
      </c>
      <c r="H143" s="137">
        <f t="shared" si="93"/>
        <v>321767.67</v>
      </c>
      <c r="I143" s="137">
        <f t="shared" si="93"/>
        <v>321767.67</v>
      </c>
      <c r="J143" s="137">
        <f t="shared" si="93"/>
        <v>321767.67</v>
      </c>
      <c r="K143" s="137">
        <f t="shared" si="93"/>
        <v>321767.67</v>
      </c>
      <c r="L143" s="137">
        <f t="shared" si="93"/>
        <v>321767.67</v>
      </c>
      <c r="M143" s="137">
        <f t="shared" si="93"/>
        <v>321767.67</v>
      </c>
      <c r="N143" s="137">
        <f t="shared" si="93"/>
        <v>321767.67</v>
      </c>
      <c r="O143" s="137">
        <f t="shared" si="93"/>
        <v>321767.67</v>
      </c>
      <c r="P143" s="123"/>
      <c r="Q143" s="123"/>
      <c r="R143" s="123"/>
      <c r="S143" s="123"/>
      <c r="T143" s="137">
        <f t="shared" si="89"/>
        <v>419582.20507728925</v>
      </c>
      <c r="U143" s="137">
        <f t="shared" si="87"/>
        <v>357424.29032359709</v>
      </c>
      <c r="V143" s="137">
        <f t="shared" si="87"/>
        <v>240769.50149122378</v>
      </c>
      <c r="W143" s="137">
        <f t="shared" si="87"/>
        <v>360388.47406261152</v>
      </c>
      <c r="X143" s="137">
        <f t="shared" si="87"/>
        <v>329078.122584889</v>
      </c>
      <c r="Y143" s="137">
        <f t="shared" si="87"/>
        <v>297767.77110716648</v>
      </c>
      <c r="Z143" s="137">
        <f t="shared" si="87"/>
        <v>266457.41962944396</v>
      </c>
      <c r="AA143" s="137">
        <f t="shared" si="87"/>
        <v>235147.06815172144</v>
      </c>
      <c r="AB143" s="137">
        <f t="shared" si="87"/>
        <v>203836.71667399892</v>
      </c>
      <c r="AC143" s="137">
        <f t="shared" si="87"/>
        <v>172526.3651962764</v>
      </c>
      <c r="AD143" s="137">
        <f t="shared" si="87"/>
        <v>141216.01371855391</v>
      </c>
      <c r="AE143" s="137">
        <f t="shared" si="87"/>
        <v>109905.66224083137</v>
      </c>
      <c r="AG143" s="107"/>
    </row>
    <row r="144" spans="2:33" x14ac:dyDescent="0.25">
      <c r="B144" s="19" t="s">
        <v>18</v>
      </c>
      <c r="C144" s="284">
        <v>616.14</v>
      </c>
      <c r="D144" s="137">
        <f t="shared" si="85"/>
        <v>0</v>
      </c>
      <c r="E144" s="137">
        <f t="shared" ref="E144:O144" si="94">$C144*E80</f>
        <v>0</v>
      </c>
      <c r="F144" s="137">
        <f t="shared" si="94"/>
        <v>0</v>
      </c>
      <c r="G144" s="137">
        <f t="shared" si="94"/>
        <v>0</v>
      </c>
      <c r="H144" s="137">
        <f t="shared" si="94"/>
        <v>0</v>
      </c>
      <c r="I144" s="137">
        <f t="shared" si="94"/>
        <v>0</v>
      </c>
      <c r="J144" s="137">
        <f t="shared" si="94"/>
        <v>0</v>
      </c>
      <c r="K144" s="137">
        <f t="shared" si="94"/>
        <v>0</v>
      </c>
      <c r="L144" s="137">
        <f t="shared" si="94"/>
        <v>0</v>
      </c>
      <c r="M144" s="137">
        <f t="shared" si="94"/>
        <v>0</v>
      </c>
      <c r="N144" s="137">
        <f t="shared" si="94"/>
        <v>0</v>
      </c>
      <c r="O144" s="137">
        <f t="shared" si="94"/>
        <v>0</v>
      </c>
      <c r="P144" s="123"/>
      <c r="Q144" s="123"/>
      <c r="R144" s="123"/>
      <c r="S144" s="123"/>
      <c r="T144" s="137">
        <f t="shared" si="89"/>
        <v>3508692.4444602695</v>
      </c>
      <c r="U144" s="137">
        <f t="shared" si="87"/>
        <v>3487962.6945563192</v>
      </c>
      <c r="V144" s="137">
        <f t="shared" si="87"/>
        <v>3342200.7704231502</v>
      </c>
      <c r="W144" s="137">
        <f t="shared" si="87"/>
        <v>3168043.1090972265</v>
      </c>
      <c r="X144" s="137">
        <f t="shared" si="87"/>
        <v>3050631.4861481981</v>
      </c>
      <c r="Y144" s="137">
        <f t="shared" si="87"/>
        <v>2933219.8631991697</v>
      </c>
      <c r="Z144" s="137">
        <f t="shared" si="87"/>
        <v>2815808.2402501414</v>
      </c>
      <c r="AA144" s="137">
        <f t="shared" si="87"/>
        <v>2698396.617301113</v>
      </c>
      <c r="AB144" s="137">
        <f t="shared" si="87"/>
        <v>2580984.9943520846</v>
      </c>
      <c r="AC144" s="137">
        <f t="shared" si="87"/>
        <v>2463573.3714030562</v>
      </c>
      <c r="AD144" s="137">
        <f t="shared" si="87"/>
        <v>2346161.7484540273</v>
      </c>
      <c r="AE144" s="137">
        <f t="shared" si="87"/>
        <v>2228750.125504999</v>
      </c>
      <c r="AG144" s="107"/>
    </row>
    <row r="145" spans="2:33" x14ac:dyDescent="0.25">
      <c r="B145" s="19" t="s">
        <v>19</v>
      </c>
      <c r="C145" s="284">
        <v>59</v>
      </c>
      <c r="D145" s="137">
        <f t="shared" si="85"/>
        <v>4484000</v>
      </c>
      <c r="E145" s="137">
        <f t="shared" ref="E145:O145" si="95">$C145*E81</f>
        <v>0</v>
      </c>
      <c r="F145" s="137">
        <f t="shared" si="95"/>
        <v>3363000</v>
      </c>
      <c r="G145" s="137">
        <f t="shared" si="95"/>
        <v>3363000</v>
      </c>
      <c r="H145" s="137">
        <f t="shared" si="95"/>
        <v>2242000</v>
      </c>
      <c r="I145" s="137">
        <f t="shared" si="95"/>
        <v>2242000</v>
      </c>
      <c r="J145" s="137">
        <f t="shared" si="95"/>
        <v>2242000</v>
      </c>
      <c r="K145" s="137">
        <f t="shared" si="95"/>
        <v>3363000</v>
      </c>
      <c r="L145" s="137">
        <f t="shared" si="95"/>
        <v>2242000</v>
      </c>
      <c r="M145" s="137">
        <f t="shared" si="95"/>
        <v>2242000</v>
      </c>
      <c r="N145" s="137">
        <f t="shared" si="95"/>
        <v>2242000</v>
      </c>
      <c r="O145" s="137">
        <f t="shared" si="95"/>
        <v>2242000</v>
      </c>
      <c r="P145" s="123"/>
      <c r="Q145" s="123"/>
      <c r="R145" s="123"/>
      <c r="S145" s="123"/>
      <c r="T145" s="137">
        <f t="shared" si="89"/>
        <v>1205420.489936532</v>
      </c>
      <c r="U145" s="137">
        <f t="shared" si="87"/>
        <v>780330.72897280694</v>
      </c>
      <c r="V145" s="137">
        <f t="shared" si="87"/>
        <v>1122831.7907615313</v>
      </c>
      <c r="W145" s="137">
        <f t="shared" si="87"/>
        <v>842468.46833113523</v>
      </c>
      <c r="X145" s="137">
        <f t="shared" si="87"/>
        <v>641206.10654187971</v>
      </c>
      <c r="Y145" s="137">
        <f t="shared" si="87"/>
        <v>439943.74475262413</v>
      </c>
      <c r="Z145" s="137">
        <f t="shared" si="87"/>
        <v>238681.38296336861</v>
      </c>
      <c r="AA145" s="137">
        <f t="shared" si="87"/>
        <v>1158419.021174113</v>
      </c>
      <c r="AB145" s="137">
        <f t="shared" si="87"/>
        <v>957156.65938485751</v>
      </c>
      <c r="AC145" s="137">
        <f t="shared" si="87"/>
        <v>755894.29759560199</v>
      </c>
      <c r="AD145" s="137">
        <f t="shared" si="87"/>
        <v>554631.93580634648</v>
      </c>
      <c r="AE145" s="137">
        <f t="shared" si="87"/>
        <v>353369.57401709096</v>
      </c>
      <c r="AG145" s="107"/>
    </row>
    <row r="146" spans="2:33" x14ac:dyDescent="0.25">
      <c r="B146" s="19" t="s">
        <v>20</v>
      </c>
      <c r="C146" s="284">
        <v>302.58999999999997</v>
      </c>
      <c r="D146" s="137">
        <f t="shared" si="85"/>
        <v>484143.99999999994</v>
      </c>
      <c r="E146" s="137">
        <f t="shared" ref="E146:O146" si="96">$C146*E82</f>
        <v>0</v>
      </c>
      <c r="F146" s="137">
        <f t="shared" si="96"/>
        <v>0</v>
      </c>
      <c r="G146" s="137">
        <f t="shared" si="96"/>
        <v>574921</v>
      </c>
      <c r="H146" s="137">
        <f t="shared" si="96"/>
        <v>0</v>
      </c>
      <c r="I146" s="137">
        <f t="shared" si="96"/>
        <v>756474.99999999988</v>
      </c>
      <c r="J146" s="137">
        <f t="shared" si="96"/>
        <v>0</v>
      </c>
      <c r="K146" s="137">
        <f t="shared" si="96"/>
        <v>0</v>
      </c>
      <c r="L146" s="137">
        <f t="shared" si="96"/>
        <v>665698</v>
      </c>
      <c r="M146" s="137">
        <f t="shared" si="96"/>
        <v>0</v>
      </c>
      <c r="N146" s="137">
        <f t="shared" si="96"/>
        <v>0</v>
      </c>
      <c r="O146" s="137">
        <f t="shared" si="96"/>
        <v>514402.99999999994</v>
      </c>
      <c r="P146" s="123"/>
      <c r="Q146" s="123"/>
      <c r="R146" s="123"/>
      <c r="S146" s="123"/>
      <c r="T146" s="137">
        <f t="shared" si="89"/>
        <v>3292587.4954640451</v>
      </c>
      <c r="U146" s="137">
        <f t="shared" si="87"/>
        <v>3118656.9479240449</v>
      </c>
      <c r="V146" s="137">
        <f t="shared" si="87"/>
        <v>2787093.9442562899</v>
      </c>
      <c r="W146" s="137">
        <f t="shared" si="87"/>
        <v>2852087.3360173344</v>
      </c>
      <c r="X146" s="137">
        <f t="shared" si="87"/>
        <v>2564083.8794159368</v>
      </c>
      <c r="Y146" s="137">
        <f t="shared" si="87"/>
        <v>3032555.4228145392</v>
      </c>
      <c r="Z146" s="137">
        <f t="shared" si="87"/>
        <v>2744551.9662131416</v>
      </c>
      <c r="AA146" s="137">
        <f t="shared" si="87"/>
        <v>2456548.5096117444</v>
      </c>
      <c r="AB146" s="137">
        <f t="shared" si="87"/>
        <v>2834243.0530103468</v>
      </c>
      <c r="AC146" s="137">
        <f t="shared" si="87"/>
        <v>2546239.5964089492</v>
      </c>
      <c r="AD146" s="137">
        <f t="shared" si="87"/>
        <v>2258236.1398075516</v>
      </c>
      <c r="AE146" s="137">
        <f t="shared" si="87"/>
        <v>2484635.683206154</v>
      </c>
      <c r="AG146" s="107"/>
    </row>
    <row r="147" spans="2:33" x14ac:dyDescent="0.25">
      <c r="B147" s="19" t="s">
        <v>21</v>
      </c>
      <c r="C147" s="284">
        <v>283.7</v>
      </c>
      <c r="D147" s="137">
        <f t="shared" si="85"/>
        <v>1106430</v>
      </c>
      <c r="E147" s="137">
        <f t="shared" ref="E147:O147" si="97">$C147*E83</f>
        <v>0</v>
      </c>
      <c r="F147" s="137">
        <f t="shared" si="97"/>
        <v>0</v>
      </c>
      <c r="G147" s="137">
        <f t="shared" si="97"/>
        <v>1276650</v>
      </c>
      <c r="H147" s="137">
        <f t="shared" si="97"/>
        <v>0</v>
      </c>
      <c r="I147" s="137">
        <f t="shared" si="97"/>
        <v>1645460</v>
      </c>
      <c r="J147" s="137">
        <f t="shared" si="97"/>
        <v>0</v>
      </c>
      <c r="K147" s="137">
        <f t="shared" si="97"/>
        <v>0</v>
      </c>
      <c r="L147" s="137">
        <f t="shared" si="97"/>
        <v>1475240</v>
      </c>
      <c r="M147" s="137">
        <f t="shared" si="97"/>
        <v>0</v>
      </c>
      <c r="N147" s="137">
        <f t="shared" si="97"/>
        <v>0</v>
      </c>
      <c r="O147" s="137">
        <f t="shared" si="97"/>
        <v>1758940</v>
      </c>
      <c r="P147" s="123"/>
      <c r="Q147" s="123"/>
      <c r="R147" s="123"/>
      <c r="S147" s="123"/>
      <c r="T147" s="137">
        <f t="shared" si="89"/>
        <v>3641914.5313825835</v>
      </c>
      <c r="U147" s="137">
        <f t="shared" si="87"/>
        <v>3613337.9268575832</v>
      </c>
      <c r="V147" s="137">
        <f t="shared" si="87"/>
        <v>2731871.5151317064</v>
      </c>
      <c r="W147" s="137">
        <f t="shared" si="87"/>
        <v>3077646.7245349856</v>
      </c>
      <c r="X147" s="137">
        <f t="shared" si="87"/>
        <v>2389700.7624896956</v>
      </c>
      <c r="Y147" s="137">
        <f t="shared" si="87"/>
        <v>3347214.8004444051</v>
      </c>
      <c r="Z147" s="137">
        <f t="shared" si="87"/>
        <v>2659268.838399115</v>
      </c>
      <c r="AA147" s="137">
        <f t="shared" si="87"/>
        <v>1971322.876353825</v>
      </c>
      <c r="AB147" s="137">
        <f t="shared" si="87"/>
        <v>2758616.9143085349</v>
      </c>
      <c r="AC147" s="137">
        <f t="shared" si="87"/>
        <v>2070670.9522632447</v>
      </c>
      <c r="AD147" s="137">
        <f t="shared" si="87"/>
        <v>1382724.9902179546</v>
      </c>
      <c r="AE147" s="137">
        <f t="shared" si="87"/>
        <v>2453719.0281726643</v>
      </c>
      <c r="AG147" s="107"/>
    </row>
    <row r="148" spans="2:33" x14ac:dyDescent="0.25">
      <c r="B148" s="19" t="s">
        <v>22</v>
      </c>
      <c r="C148" s="284">
        <v>137.58000000000001</v>
      </c>
      <c r="D148" s="137">
        <f t="shared" si="85"/>
        <v>220128.00000000003</v>
      </c>
      <c r="E148" s="137">
        <f t="shared" ref="E148:O148" si="98">$C148*E84</f>
        <v>0</v>
      </c>
      <c r="F148" s="137">
        <f t="shared" si="98"/>
        <v>0</v>
      </c>
      <c r="G148" s="137">
        <f t="shared" si="98"/>
        <v>467772.00000000006</v>
      </c>
      <c r="H148" s="137">
        <f t="shared" si="98"/>
        <v>0</v>
      </c>
      <c r="I148" s="137">
        <f t="shared" si="98"/>
        <v>330192.00000000006</v>
      </c>
      <c r="J148" s="137">
        <f t="shared" si="98"/>
        <v>0</v>
      </c>
      <c r="K148" s="137">
        <f t="shared" si="98"/>
        <v>0</v>
      </c>
      <c r="L148" s="137">
        <f t="shared" si="98"/>
        <v>357708.00000000006</v>
      </c>
      <c r="M148" s="137">
        <f t="shared" si="98"/>
        <v>0</v>
      </c>
      <c r="N148" s="137">
        <f t="shared" si="98"/>
        <v>0</v>
      </c>
      <c r="O148" s="137">
        <f t="shared" si="98"/>
        <v>343950.00000000006</v>
      </c>
      <c r="P148" s="123"/>
      <c r="Q148" s="123"/>
      <c r="R148" s="123"/>
      <c r="S148" s="123"/>
      <c r="T148" s="137">
        <f t="shared" si="89"/>
        <v>560300.24531375966</v>
      </c>
      <c r="U148" s="137">
        <f t="shared" si="87"/>
        <v>484283.44307375967</v>
      </c>
      <c r="V148" s="137">
        <f t="shared" si="87"/>
        <v>332357.55710561818</v>
      </c>
      <c r="W148" s="137">
        <f t="shared" si="87"/>
        <v>569374.54934027675</v>
      </c>
      <c r="X148" s="137">
        <f t="shared" si="87"/>
        <v>436355.78545022785</v>
      </c>
      <c r="Y148" s="137">
        <f t="shared" si="87"/>
        <v>633529.02156017907</v>
      </c>
      <c r="Z148" s="137">
        <f t="shared" si="87"/>
        <v>500510.25767013017</v>
      </c>
      <c r="AA148" s="137">
        <f t="shared" si="87"/>
        <v>367491.49378008128</v>
      </c>
      <c r="AB148" s="137">
        <f t="shared" si="87"/>
        <v>592180.72989003244</v>
      </c>
      <c r="AC148" s="137">
        <f t="shared" si="87"/>
        <v>459161.96599998354</v>
      </c>
      <c r="AD148" s="137">
        <f t="shared" si="87"/>
        <v>326143.2021099347</v>
      </c>
      <c r="AE148" s="137">
        <f t="shared" si="87"/>
        <v>537074.43821988592</v>
      </c>
      <c r="AG148" s="107"/>
    </row>
    <row r="149" spans="2:33" x14ac:dyDescent="0.25">
      <c r="B149" s="19" t="s">
        <v>23</v>
      </c>
      <c r="C149" s="284">
        <v>195.76</v>
      </c>
      <c r="D149" s="137">
        <f t="shared" si="85"/>
        <v>2486152</v>
      </c>
      <c r="E149" s="137">
        <f t="shared" ref="E149:O149" si="99">$C149*E85</f>
        <v>0</v>
      </c>
      <c r="F149" s="137">
        <f t="shared" si="99"/>
        <v>0</v>
      </c>
      <c r="G149" s="137">
        <f t="shared" si="99"/>
        <v>1977176</v>
      </c>
      <c r="H149" s="137">
        <f t="shared" si="99"/>
        <v>0</v>
      </c>
      <c r="I149" s="137">
        <f t="shared" si="99"/>
        <v>1781416</v>
      </c>
      <c r="J149" s="137">
        <f t="shared" si="99"/>
        <v>0</v>
      </c>
      <c r="K149" s="137">
        <f t="shared" si="99"/>
        <v>0</v>
      </c>
      <c r="L149" s="137">
        <f t="shared" si="99"/>
        <v>1918448</v>
      </c>
      <c r="M149" s="137">
        <f t="shared" si="99"/>
        <v>0</v>
      </c>
      <c r="N149" s="137">
        <f t="shared" si="99"/>
        <v>0</v>
      </c>
      <c r="O149" s="137">
        <f t="shared" si="99"/>
        <v>1840144</v>
      </c>
      <c r="P149" s="123"/>
      <c r="Q149" s="123"/>
      <c r="R149" s="123"/>
      <c r="S149" s="123"/>
      <c r="T149" s="137">
        <f t="shared" si="89"/>
        <v>2276050.2575703608</v>
      </c>
      <c r="U149" s="137">
        <f t="shared" si="87"/>
        <v>2276050.2575703608</v>
      </c>
      <c r="V149" s="137">
        <f t="shared" si="87"/>
        <v>1375712.8575954454</v>
      </c>
      <c r="W149" s="137">
        <f t="shared" si="87"/>
        <v>2445291.3857632889</v>
      </c>
      <c r="X149" s="137">
        <f t="shared" si="87"/>
        <v>1739898.0990324877</v>
      </c>
      <c r="Y149" s="137">
        <f t="shared" si="87"/>
        <v>2815920.8123016865</v>
      </c>
      <c r="Z149" s="137">
        <f t="shared" si="87"/>
        <v>2110527.5255708853</v>
      </c>
      <c r="AA149" s="137">
        <f t="shared" si="87"/>
        <v>1405134.2388400841</v>
      </c>
      <c r="AB149" s="137">
        <f t="shared" si="87"/>
        <v>2618188.9521092828</v>
      </c>
      <c r="AC149" s="137">
        <f t="shared" si="87"/>
        <v>1912795.6653784821</v>
      </c>
      <c r="AD149" s="137">
        <f t="shared" si="87"/>
        <v>1207402.3786476811</v>
      </c>
      <c r="AE149" s="137">
        <f t="shared" si="87"/>
        <v>2342153.0919168801</v>
      </c>
      <c r="AG149" s="107"/>
    </row>
    <row r="150" spans="2:33" x14ac:dyDescent="0.25">
      <c r="B150" s="138" t="s">
        <v>473</v>
      </c>
      <c r="C150" s="112"/>
      <c r="D150" s="139">
        <f>SUM(D138:D149)</f>
        <v>13760854</v>
      </c>
      <c r="E150" s="139">
        <f>SUM(E138:E149)</f>
        <v>435000</v>
      </c>
      <c r="F150" s="139">
        <f>SUM(F138:F149)</f>
        <v>7064767.6699999999</v>
      </c>
      <c r="G150" s="139">
        <f>SUM(G138:G149)</f>
        <v>13611624.34</v>
      </c>
      <c r="H150" s="139">
        <f>SUM(H138:H149)</f>
        <v>5258767.67</v>
      </c>
      <c r="I150" s="139">
        <f t="shared" ref="I150:O150" si="100">SUM(I138:I149)</f>
        <v>11120880.67</v>
      </c>
      <c r="J150" s="139">
        <f t="shared" si="100"/>
        <v>5238767.67</v>
      </c>
      <c r="K150" s="139">
        <f t="shared" si="100"/>
        <v>6359767.6699999999</v>
      </c>
      <c r="L150" s="139">
        <f t="shared" si="100"/>
        <v>11073605.469999999</v>
      </c>
      <c r="M150" s="139">
        <f t="shared" si="100"/>
        <v>5267941.47</v>
      </c>
      <c r="N150" s="139">
        <f t="shared" si="100"/>
        <v>5267941.47</v>
      </c>
      <c r="O150" s="139">
        <f t="shared" si="100"/>
        <v>11113948.469999999</v>
      </c>
      <c r="P150" s="121"/>
      <c r="Q150" s="121"/>
      <c r="R150" s="121"/>
      <c r="S150" s="121"/>
      <c r="T150" s="120">
        <f>SUM(T138:T149)</f>
        <v>16545627.372333191</v>
      </c>
      <c r="U150" s="120">
        <f t="shared" ref="U150:AE150" si="101">SUM(U138:U149)</f>
        <v>15637286.099548936</v>
      </c>
      <c r="V150" s="120">
        <f t="shared" si="101"/>
        <v>12857203.954619333</v>
      </c>
      <c r="W150" s="120">
        <f t="shared" si="101"/>
        <v>14808291.983752072</v>
      </c>
      <c r="X150" s="120">
        <f t="shared" si="101"/>
        <v>12138711.481167443</v>
      </c>
      <c r="Y150" s="120">
        <f t="shared" si="101"/>
        <v>15331243.978582814</v>
      </c>
      <c r="Z150" s="120">
        <f t="shared" si="101"/>
        <v>12641663.475998186</v>
      </c>
      <c r="AA150" s="120">
        <f t="shared" si="101"/>
        <v>11073082.973413559</v>
      </c>
      <c r="AB150" s="120">
        <f t="shared" si="101"/>
        <v>14218340.270828927</v>
      </c>
      <c r="AC150" s="120">
        <f t="shared" si="101"/>
        <v>11557933.568244297</v>
      </c>
      <c r="AD150" s="120">
        <f t="shared" si="101"/>
        <v>8897526.865659669</v>
      </c>
      <c r="AE150" s="120">
        <f t="shared" si="101"/>
        <v>12083127.163075039</v>
      </c>
      <c r="AG150" s="107"/>
    </row>
    <row r="152" spans="2:33" x14ac:dyDescent="0.25">
      <c r="D152" s="137">
        <v>30</v>
      </c>
    </row>
    <row r="154" spans="2:33" collapsed="1" x14ac:dyDescent="0.25">
      <c r="C154" s="107" t="s">
        <v>534</v>
      </c>
    </row>
    <row r="155" spans="2:33" hidden="1" outlineLevel="1" x14ac:dyDescent="0.25">
      <c r="D155" s="317">
        <v>29</v>
      </c>
      <c r="E155" s="317">
        <v>30</v>
      </c>
      <c r="F155" s="317">
        <v>31</v>
      </c>
      <c r="G155" s="317">
        <v>32</v>
      </c>
      <c r="H155" s="317">
        <v>33</v>
      </c>
      <c r="I155" s="317">
        <v>34</v>
      </c>
      <c r="J155" s="317">
        <v>35</v>
      </c>
      <c r="K155" s="317">
        <v>36</v>
      </c>
      <c r="L155" s="317">
        <v>37</v>
      </c>
      <c r="M155" s="317">
        <v>38</v>
      </c>
      <c r="N155" s="317">
        <v>39</v>
      </c>
      <c r="O155" s="317">
        <v>40</v>
      </c>
      <c r="P155" s="317">
        <v>41</v>
      </c>
      <c r="Q155" s="317">
        <v>42</v>
      </c>
      <c r="R155" s="317">
        <v>43</v>
      </c>
      <c r="S155" s="317">
        <v>44</v>
      </c>
      <c r="T155" s="317">
        <v>45</v>
      </c>
      <c r="U155" s="317">
        <v>46</v>
      </c>
      <c r="V155" s="317">
        <v>47</v>
      </c>
    </row>
    <row r="156" spans="2:33" ht="18.75" hidden="1" outlineLevel="1" x14ac:dyDescent="0.25">
      <c r="B156" s="117" t="s">
        <v>432</v>
      </c>
      <c r="C156" s="117" t="s">
        <v>387</v>
      </c>
      <c r="D156" s="315"/>
      <c r="E156" s="315"/>
      <c r="F156" s="315"/>
      <c r="G156" s="315"/>
      <c r="H156" s="315"/>
      <c r="I156" s="315"/>
      <c r="J156" s="315"/>
      <c r="K156" s="315"/>
      <c r="L156" s="315"/>
      <c r="M156" s="315"/>
      <c r="N156" s="315"/>
      <c r="O156" s="315"/>
    </row>
    <row r="157" spans="2:33" ht="18.75" hidden="1" outlineLevel="1" x14ac:dyDescent="0.25">
      <c r="B157" s="113">
        <v>14</v>
      </c>
      <c r="C157" s="309" t="s">
        <v>12</v>
      </c>
      <c r="D157" s="317">
        <f>IFERROR(INDEX($D$105:$O$117,MATCH($C157,$B$105:$B$117,0),MATCH(D$155,$D$103:$O$103,0)),0)</f>
        <v>0</v>
      </c>
      <c r="E157" s="317">
        <f t="shared" ref="E157:V169" si="102">IFERROR(INDEX($D$105:$O$117,MATCH($C157,$B$105:$B$117,0),MATCH(E$155,$D$103:$O$103,0)),0)</f>
        <v>0</v>
      </c>
      <c r="F157" s="317">
        <f t="shared" si="102"/>
        <v>36000</v>
      </c>
      <c r="G157" s="317">
        <f t="shared" si="102"/>
        <v>0</v>
      </c>
      <c r="H157" s="317">
        <f t="shared" si="102"/>
        <v>0</v>
      </c>
      <c r="I157" s="317">
        <f t="shared" si="102"/>
        <v>0</v>
      </c>
      <c r="J157" s="317">
        <f t="shared" si="102"/>
        <v>3000</v>
      </c>
      <c r="K157" s="317">
        <f t="shared" si="102"/>
        <v>0</v>
      </c>
      <c r="L157" s="317">
        <f t="shared" si="102"/>
        <v>0</v>
      </c>
      <c r="M157" s="317">
        <f t="shared" si="102"/>
        <v>0</v>
      </c>
      <c r="N157" s="317">
        <f t="shared" si="102"/>
        <v>24000</v>
      </c>
      <c r="O157" s="317">
        <f t="shared" si="102"/>
        <v>0</v>
      </c>
      <c r="P157" s="317">
        <f t="shared" si="102"/>
        <v>0</v>
      </c>
      <c r="Q157" s="317">
        <f t="shared" si="102"/>
        <v>0</v>
      </c>
      <c r="R157" s="317">
        <f t="shared" si="102"/>
        <v>0</v>
      </c>
      <c r="S157" s="317">
        <f t="shared" si="102"/>
        <v>28000</v>
      </c>
      <c r="T157" s="317">
        <f t="shared" si="102"/>
        <v>0</v>
      </c>
      <c r="U157" s="317">
        <f t="shared" si="102"/>
        <v>0</v>
      </c>
      <c r="V157" s="317">
        <f t="shared" si="102"/>
        <v>0</v>
      </c>
    </row>
    <row r="158" spans="2:33" ht="18.75" hidden="1" outlineLevel="1" x14ac:dyDescent="0.25">
      <c r="B158" s="113">
        <v>30</v>
      </c>
      <c r="C158" s="309" t="s">
        <v>13</v>
      </c>
      <c r="D158" s="317">
        <f t="shared" ref="D158:S169" si="103">IFERROR(INDEX($D$105:$O$117,MATCH($C158,$B$105:$B$117,0),MATCH(D$155,$D$103:$O$103,0)),0)</f>
        <v>0</v>
      </c>
      <c r="E158" s="317">
        <f t="shared" si="103"/>
        <v>0</v>
      </c>
      <c r="F158" s="317">
        <f t="shared" si="103"/>
        <v>0</v>
      </c>
      <c r="G158" s="317">
        <f t="shared" si="103"/>
        <v>0</v>
      </c>
      <c r="H158" s="317">
        <f t="shared" si="103"/>
        <v>0</v>
      </c>
      <c r="I158" s="317">
        <f t="shared" si="103"/>
        <v>0</v>
      </c>
      <c r="J158" s="317">
        <f t="shared" si="103"/>
        <v>0</v>
      </c>
      <c r="K158" s="317">
        <f t="shared" si="103"/>
        <v>0</v>
      </c>
      <c r="L158" s="317">
        <f t="shared" si="103"/>
        <v>0</v>
      </c>
      <c r="M158" s="317">
        <f t="shared" si="103"/>
        <v>0</v>
      </c>
      <c r="N158" s="317">
        <f t="shared" si="103"/>
        <v>0</v>
      </c>
      <c r="O158" s="317">
        <f t="shared" si="103"/>
        <v>0</v>
      </c>
      <c r="P158" s="317">
        <f t="shared" si="103"/>
        <v>0</v>
      </c>
      <c r="Q158" s="317">
        <f t="shared" si="103"/>
        <v>0</v>
      </c>
      <c r="R158" s="317">
        <f t="shared" si="103"/>
        <v>0</v>
      </c>
      <c r="S158" s="317">
        <f t="shared" si="103"/>
        <v>19000</v>
      </c>
      <c r="T158" s="317">
        <f t="shared" si="102"/>
        <v>0</v>
      </c>
      <c r="U158" s="317">
        <f t="shared" si="102"/>
        <v>0</v>
      </c>
      <c r="V158" s="317">
        <f t="shared" si="102"/>
        <v>0</v>
      </c>
    </row>
    <row r="159" spans="2:33" ht="18.75" hidden="1" outlineLevel="1" x14ac:dyDescent="0.25">
      <c r="B159" s="113">
        <v>14</v>
      </c>
      <c r="C159" s="309" t="s">
        <v>14</v>
      </c>
      <c r="D159" s="317">
        <f t="shared" si="103"/>
        <v>0</v>
      </c>
      <c r="E159" s="317">
        <f t="shared" si="102"/>
        <v>0</v>
      </c>
      <c r="F159" s="317">
        <f t="shared" si="102"/>
        <v>0</v>
      </c>
      <c r="G159" s="317">
        <f t="shared" si="102"/>
        <v>0</v>
      </c>
      <c r="H159" s="317">
        <f t="shared" si="102"/>
        <v>0</v>
      </c>
      <c r="I159" s="317">
        <f t="shared" si="102"/>
        <v>0</v>
      </c>
      <c r="J159" s="317">
        <f t="shared" si="102"/>
        <v>0</v>
      </c>
      <c r="K159" s="317">
        <f t="shared" si="102"/>
        <v>0</v>
      </c>
      <c r="L159" s="317">
        <f t="shared" si="102"/>
        <v>0</v>
      </c>
      <c r="M159" s="317">
        <f t="shared" si="102"/>
        <v>0</v>
      </c>
      <c r="N159" s="317">
        <f t="shared" si="102"/>
        <v>0</v>
      </c>
      <c r="O159" s="317">
        <f t="shared" si="102"/>
        <v>0</v>
      </c>
      <c r="P159" s="317">
        <f t="shared" si="102"/>
        <v>0</v>
      </c>
      <c r="Q159" s="317">
        <f t="shared" si="102"/>
        <v>0</v>
      </c>
      <c r="R159" s="317">
        <f t="shared" si="102"/>
        <v>0</v>
      </c>
      <c r="S159" s="317">
        <f t="shared" si="102"/>
        <v>0</v>
      </c>
      <c r="T159" s="317">
        <f t="shared" si="102"/>
        <v>0</v>
      </c>
      <c r="U159" s="317">
        <f t="shared" si="102"/>
        <v>0</v>
      </c>
      <c r="V159" s="317">
        <f t="shared" si="102"/>
        <v>0</v>
      </c>
    </row>
    <row r="160" spans="2:33" ht="18.75" hidden="1" outlineLevel="1" x14ac:dyDescent="0.25">
      <c r="B160" s="113">
        <v>14</v>
      </c>
      <c r="C160" s="309" t="s">
        <v>15</v>
      </c>
      <c r="D160" s="317">
        <f t="shared" si="103"/>
        <v>0</v>
      </c>
      <c r="E160" s="317">
        <f t="shared" si="102"/>
        <v>0</v>
      </c>
      <c r="F160" s="317">
        <f t="shared" si="102"/>
        <v>0</v>
      </c>
      <c r="G160" s="317">
        <f t="shared" si="102"/>
        <v>0</v>
      </c>
      <c r="H160" s="317">
        <f t="shared" si="102"/>
        <v>0</v>
      </c>
      <c r="I160" s="317">
        <f t="shared" si="102"/>
        <v>0</v>
      </c>
      <c r="J160" s="317">
        <f t="shared" si="102"/>
        <v>0</v>
      </c>
      <c r="K160" s="317">
        <f t="shared" si="102"/>
        <v>0</v>
      </c>
      <c r="L160" s="317">
        <f t="shared" si="102"/>
        <v>0</v>
      </c>
      <c r="M160" s="317">
        <f t="shared" si="102"/>
        <v>0</v>
      </c>
      <c r="N160" s="317">
        <f t="shared" si="102"/>
        <v>0</v>
      </c>
      <c r="O160" s="317">
        <f t="shared" si="102"/>
        <v>0</v>
      </c>
      <c r="P160" s="317">
        <f t="shared" si="102"/>
        <v>0</v>
      </c>
      <c r="Q160" s="317">
        <f t="shared" si="102"/>
        <v>0</v>
      </c>
      <c r="R160" s="317">
        <f t="shared" si="102"/>
        <v>0</v>
      </c>
      <c r="S160" s="317">
        <f t="shared" si="102"/>
        <v>0</v>
      </c>
      <c r="T160" s="317">
        <f t="shared" si="102"/>
        <v>0</v>
      </c>
      <c r="U160" s="317">
        <f t="shared" si="102"/>
        <v>0</v>
      </c>
      <c r="V160" s="317">
        <f t="shared" si="102"/>
        <v>0</v>
      </c>
    </row>
    <row r="161" spans="2:22" ht="18.75" hidden="1" outlineLevel="1" x14ac:dyDescent="0.25">
      <c r="B161" s="113">
        <v>14</v>
      </c>
      <c r="C161" s="309" t="s">
        <v>16</v>
      </c>
      <c r="D161" s="317">
        <f t="shared" si="103"/>
        <v>0</v>
      </c>
      <c r="E161" s="317">
        <f t="shared" si="102"/>
        <v>0</v>
      </c>
      <c r="F161" s="317">
        <f t="shared" si="102"/>
        <v>600</v>
      </c>
      <c r="G161" s="317">
        <f t="shared" si="102"/>
        <v>0</v>
      </c>
      <c r="H161" s="317">
        <f t="shared" si="102"/>
        <v>0</v>
      </c>
      <c r="I161" s="317">
        <f t="shared" si="102"/>
        <v>0</v>
      </c>
      <c r="J161" s="317">
        <f t="shared" si="102"/>
        <v>75</v>
      </c>
      <c r="K161" s="317">
        <f t="shared" si="102"/>
        <v>0</v>
      </c>
      <c r="L161" s="317">
        <f t="shared" si="102"/>
        <v>0</v>
      </c>
      <c r="M161" s="317">
        <f t="shared" si="102"/>
        <v>0</v>
      </c>
      <c r="N161" s="317">
        <f t="shared" si="102"/>
        <v>475</v>
      </c>
      <c r="O161" s="317">
        <f t="shared" si="102"/>
        <v>0</v>
      </c>
      <c r="P161" s="317">
        <f t="shared" si="102"/>
        <v>0</v>
      </c>
      <c r="Q161" s="317">
        <f t="shared" si="102"/>
        <v>0</v>
      </c>
      <c r="R161" s="317">
        <f t="shared" si="102"/>
        <v>0</v>
      </c>
      <c r="S161" s="317">
        <f t="shared" si="102"/>
        <v>550</v>
      </c>
      <c r="T161" s="317">
        <f t="shared" si="102"/>
        <v>0</v>
      </c>
      <c r="U161" s="317">
        <f t="shared" si="102"/>
        <v>0</v>
      </c>
      <c r="V161" s="317">
        <f t="shared" si="102"/>
        <v>0</v>
      </c>
    </row>
    <row r="162" spans="2:22" ht="18.75" hidden="1" outlineLevel="1" x14ac:dyDescent="0.25">
      <c r="B162" s="113">
        <v>30</v>
      </c>
      <c r="C162" s="309" t="s">
        <v>17</v>
      </c>
      <c r="D162" s="317">
        <f t="shared" si="103"/>
        <v>0</v>
      </c>
      <c r="E162" s="317">
        <f t="shared" si="102"/>
        <v>0</v>
      </c>
      <c r="F162" s="317">
        <f t="shared" si="102"/>
        <v>0</v>
      </c>
      <c r="G162" s="317">
        <f t="shared" si="102"/>
        <v>0</v>
      </c>
      <c r="H162" s="317">
        <f t="shared" si="102"/>
        <v>0</v>
      </c>
      <c r="I162" s="317">
        <f t="shared" si="102"/>
        <v>0</v>
      </c>
      <c r="J162" s="317">
        <f t="shared" si="102"/>
        <v>0</v>
      </c>
      <c r="K162" s="317">
        <f t="shared" si="102"/>
        <v>0</v>
      </c>
      <c r="L162" s="317">
        <f t="shared" si="102"/>
        <v>0</v>
      </c>
      <c r="M162" s="317">
        <f t="shared" si="102"/>
        <v>0</v>
      </c>
      <c r="N162" s="317">
        <f t="shared" si="102"/>
        <v>193</v>
      </c>
      <c r="O162" s="317">
        <f t="shared" si="102"/>
        <v>0</v>
      </c>
      <c r="P162" s="317">
        <f t="shared" si="102"/>
        <v>0</v>
      </c>
      <c r="Q162" s="317">
        <f t="shared" si="102"/>
        <v>0</v>
      </c>
      <c r="R162" s="317">
        <f t="shared" si="102"/>
        <v>0</v>
      </c>
      <c r="S162" s="317">
        <f t="shared" si="102"/>
        <v>386</v>
      </c>
      <c r="T162" s="317">
        <f t="shared" si="102"/>
        <v>0</v>
      </c>
      <c r="U162" s="317">
        <f t="shared" si="102"/>
        <v>0</v>
      </c>
      <c r="V162" s="317">
        <f t="shared" si="102"/>
        <v>0</v>
      </c>
    </row>
    <row r="163" spans="2:22" ht="18.75" hidden="1" outlineLevel="1" x14ac:dyDescent="0.25">
      <c r="B163" s="113">
        <v>50</v>
      </c>
      <c r="C163" s="309" t="s">
        <v>18</v>
      </c>
      <c r="D163" s="317">
        <f t="shared" si="103"/>
        <v>0</v>
      </c>
      <c r="E163" s="317">
        <f t="shared" si="102"/>
        <v>0</v>
      </c>
      <c r="F163" s="317">
        <f t="shared" si="102"/>
        <v>0</v>
      </c>
      <c r="G163" s="317">
        <f t="shared" si="102"/>
        <v>0</v>
      </c>
      <c r="H163" s="317">
        <f t="shared" si="102"/>
        <v>0</v>
      </c>
      <c r="I163" s="317">
        <f t="shared" si="102"/>
        <v>0</v>
      </c>
      <c r="J163" s="317">
        <f t="shared" si="102"/>
        <v>0</v>
      </c>
      <c r="K163" s="317">
        <f t="shared" si="102"/>
        <v>0</v>
      </c>
      <c r="L163" s="317">
        <f t="shared" si="102"/>
        <v>0</v>
      </c>
      <c r="M163" s="317">
        <f t="shared" si="102"/>
        <v>0</v>
      </c>
      <c r="N163" s="317">
        <f t="shared" si="102"/>
        <v>0</v>
      </c>
      <c r="O163" s="317">
        <f t="shared" si="102"/>
        <v>0</v>
      </c>
      <c r="P163" s="317">
        <f t="shared" si="102"/>
        <v>0</v>
      </c>
      <c r="Q163" s="317">
        <f t="shared" si="102"/>
        <v>0</v>
      </c>
      <c r="R163" s="317">
        <f t="shared" si="102"/>
        <v>0</v>
      </c>
      <c r="S163" s="317">
        <f t="shared" si="102"/>
        <v>0</v>
      </c>
      <c r="T163" s="317">
        <f t="shared" si="102"/>
        <v>0</v>
      </c>
      <c r="U163" s="317">
        <f t="shared" si="102"/>
        <v>0</v>
      </c>
      <c r="V163" s="317">
        <f t="shared" si="102"/>
        <v>0</v>
      </c>
    </row>
    <row r="164" spans="2:22" ht="18.75" hidden="1" outlineLevel="1" x14ac:dyDescent="0.25">
      <c r="B164" s="113">
        <v>14</v>
      </c>
      <c r="C164" s="309" t="s">
        <v>19</v>
      </c>
      <c r="D164" s="317">
        <f t="shared" si="103"/>
        <v>0</v>
      </c>
      <c r="E164" s="317">
        <f t="shared" si="102"/>
        <v>0</v>
      </c>
      <c r="F164" s="317">
        <f t="shared" si="102"/>
        <v>76000</v>
      </c>
      <c r="G164" s="317">
        <f t="shared" si="102"/>
        <v>0</v>
      </c>
      <c r="H164" s="317">
        <f t="shared" si="102"/>
        <v>0</v>
      </c>
      <c r="I164" s="317">
        <f t="shared" si="102"/>
        <v>0</v>
      </c>
      <c r="J164" s="317">
        <f t="shared" si="102"/>
        <v>0</v>
      </c>
      <c r="K164" s="317">
        <f t="shared" si="102"/>
        <v>0</v>
      </c>
      <c r="L164" s="317">
        <f t="shared" si="102"/>
        <v>0</v>
      </c>
      <c r="M164" s="317">
        <f t="shared" si="102"/>
        <v>0</v>
      </c>
      <c r="N164" s="317">
        <f t="shared" si="102"/>
        <v>57000</v>
      </c>
      <c r="O164" s="317">
        <f t="shared" si="102"/>
        <v>0</v>
      </c>
      <c r="P164" s="317">
        <f t="shared" si="102"/>
        <v>0</v>
      </c>
      <c r="Q164" s="317">
        <f t="shared" si="102"/>
        <v>0</v>
      </c>
      <c r="R164" s="317">
        <f t="shared" si="102"/>
        <v>0</v>
      </c>
      <c r="S164" s="317">
        <f t="shared" si="102"/>
        <v>57000</v>
      </c>
      <c r="T164" s="317">
        <f t="shared" si="102"/>
        <v>0</v>
      </c>
      <c r="U164" s="317">
        <f t="shared" si="102"/>
        <v>0</v>
      </c>
      <c r="V164" s="317">
        <f t="shared" si="102"/>
        <v>0</v>
      </c>
    </row>
    <row r="165" spans="2:22" ht="18.75" hidden="1" outlineLevel="1" x14ac:dyDescent="0.25">
      <c r="B165" s="113">
        <v>50</v>
      </c>
      <c r="C165" s="309" t="s">
        <v>20</v>
      </c>
      <c r="D165" s="317">
        <f t="shared" si="103"/>
        <v>0</v>
      </c>
      <c r="E165" s="317">
        <f t="shared" si="102"/>
        <v>0</v>
      </c>
      <c r="F165" s="317">
        <f t="shared" si="102"/>
        <v>1600</v>
      </c>
      <c r="G165" s="317">
        <f t="shared" si="102"/>
        <v>0</v>
      </c>
      <c r="H165" s="317">
        <f t="shared" si="102"/>
        <v>0</v>
      </c>
      <c r="I165" s="317">
        <f t="shared" si="102"/>
        <v>0</v>
      </c>
      <c r="J165" s="317">
        <f t="shared" si="102"/>
        <v>0</v>
      </c>
      <c r="K165" s="317">
        <f t="shared" si="102"/>
        <v>0</v>
      </c>
      <c r="L165" s="317">
        <f t="shared" si="102"/>
        <v>0</v>
      </c>
      <c r="M165" s="317">
        <f t="shared" si="102"/>
        <v>0</v>
      </c>
      <c r="N165" s="317">
        <f t="shared" si="102"/>
        <v>0</v>
      </c>
      <c r="O165" s="317">
        <f t="shared" si="102"/>
        <v>0</v>
      </c>
      <c r="P165" s="317">
        <f t="shared" si="102"/>
        <v>0</v>
      </c>
      <c r="Q165" s="317">
        <f t="shared" si="102"/>
        <v>0</v>
      </c>
      <c r="R165" s="317">
        <f t="shared" si="102"/>
        <v>0</v>
      </c>
      <c r="S165" s="317">
        <f t="shared" si="102"/>
        <v>1900</v>
      </c>
      <c r="T165" s="317">
        <f t="shared" si="102"/>
        <v>0</v>
      </c>
      <c r="U165" s="317">
        <f t="shared" si="102"/>
        <v>0</v>
      </c>
      <c r="V165" s="317">
        <f t="shared" si="102"/>
        <v>0</v>
      </c>
    </row>
    <row r="166" spans="2:22" ht="18.75" hidden="1" outlineLevel="1" x14ac:dyDescent="0.25">
      <c r="B166" s="113">
        <v>50</v>
      </c>
      <c r="C166" s="309" t="s">
        <v>21</v>
      </c>
      <c r="D166" s="317">
        <f t="shared" si="103"/>
        <v>0</v>
      </c>
      <c r="E166" s="317">
        <f t="shared" si="102"/>
        <v>0</v>
      </c>
      <c r="F166" s="317">
        <f t="shared" si="102"/>
        <v>3900</v>
      </c>
      <c r="G166" s="317">
        <f t="shared" si="102"/>
        <v>0</v>
      </c>
      <c r="H166" s="317">
        <f t="shared" si="102"/>
        <v>0</v>
      </c>
      <c r="I166" s="317">
        <f t="shared" si="102"/>
        <v>0</v>
      </c>
      <c r="J166" s="317">
        <f t="shared" si="102"/>
        <v>0</v>
      </c>
      <c r="K166" s="317">
        <f t="shared" si="102"/>
        <v>0</v>
      </c>
      <c r="L166" s="317">
        <f t="shared" si="102"/>
        <v>0</v>
      </c>
      <c r="M166" s="317">
        <f t="shared" si="102"/>
        <v>0</v>
      </c>
      <c r="N166" s="317">
        <f t="shared" si="102"/>
        <v>0</v>
      </c>
      <c r="O166" s="317">
        <f t="shared" si="102"/>
        <v>0</v>
      </c>
      <c r="P166" s="317">
        <f t="shared" si="102"/>
        <v>0</v>
      </c>
      <c r="Q166" s="317">
        <f t="shared" si="102"/>
        <v>0</v>
      </c>
      <c r="R166" s="317">
        <f t="shared" si="102"/>
        <v>0</v>
      </c>
      <c r="S166" s="317">
        <f t="shared" si="102"/>
        <v>4500</v>
      </c>
      <c r="T166" s="317">
        <f t="shared" si="102"/>
        <v>0</v>
      </c>
      <c r="U166" s="317">
        <f t="shared" si="102"/>
        <v>0</v>
      </c>
      <c r="V166" s="317">
        <f t="shared" si="102"/>
        <v>0</v>
      </c>
    </row>
    <row r="167" spans="2:22" ht="18.75" hidden="1" outlineLevel="1" x14ac:dyDescent="0.25">
      <c r="B167" s="113">
        <v>50</v>
      </c>
      <c r="C167" s="309" t="s">
        <v>22</v>
      </c>
      <c r="D167" s="317">
        <f t="shared" si="103"/>
        <v>0</v>
      </c>
      <c r="E167" s="317">
        <f t="shared" si="102"/>
        <v>0</v>
      </c>
      <c r="F167" s="317">
        <f t="shared" si="102"/>
        <v>1600</v>
      </c>
      <c r="G167" s="317">
        <f t="shared" si="102"/>
        <v>0</v>
      </c>
      <c r="H167" s="317">
        <f t="shared" si="102"/>
        <v>0</v>
      </c>
      <c r="I167" s="317">
        <f t="shared" si="102"/>
        <v>0</v>
      </c>
      <c r="J167" s="317">
        <f t="shared" si="102"/>
        <v>0</v>
      </c>
      <c r="K167" s="317">
        <f t="shared" si="102"/>
        <v>0</v>
      </c>
      <c r="L167" s="317">
        <f t="shared" si="102"/>
        <v>0</v>
      </c>
      <c r="M167" s="317">
        <f t="shared" si="102"/>
        <v>0</v>
      </c>
      <c r="N167" s="317">
        <f t="shared" si="102"/>
        <v>0</v>
      </c>
      <c r="O167" s="317">
        <f t="shared" si="102"/>
        <v>0</v>
      </c>
      <c r="P167" s="317">
        <f t="shared" si="102"/>
        <v>0</v>
      </c>
      <c r="Q167" s="317">
        <f t="shared" si="102"/>
        <v>0</v>
      </c>
      <c r="R167" s="317">
        <f t="shared" si="102"/>
        <v>0</v>
      </c>
      <c r="S167" s="317">
        <f t="shared" si="102"/>
        <v>3400</v>
      </c>
      <c r="T167" s="317">
        <f t="shared" si="102"/>
        <v>0</v>
      </c>
      <c r="U167" s="317">
        <f t="shared" si="102"/>
        <v>0</v>
      </c>
      <c r="V167" s="317">
        <f t="shared" si="102"/>
        <v>0</v>
      </c>
    </row>
    <row r="168" spans="2:22" ht="18.75" hidden="1" outlineLevel="1" x14ac:dyDescent="0.25">
      <c r="B168" s="113">
        <v>50</v>
      </c>
      <c r="C168" s="309" t="s">
        <v>23</v>
      </c>
      <c r="D168" s="317">
        <f t="shared" si="103"/>
        <v>0</v>
      </c>
      <c r="E168" s="317">
        <f t="shared" si="102"/>
        <v>0</v>
      </c>
      <c r="F168" s="317">
        <f t="shared" si="102"/>
        <v>12700</v>
      </c>
      <c r="G168" s="317">
        <f t="shared" si="102"/>
        <v>0</v>
      </c>
      <c r="H168" s="317">
        <f t="shared" si="102"/>
        <v>0</v>
      </c>
      <c r="I168" s="317">
        <f t="shared" si="102"/>
        <v>0</v>
      </c>
      <c r="J168" s="317">
        <f t="shared" si="102"/>
        <v>0</v>
      </c>
      <c r="K168" s="317">
        <f t="shared" si="102"/>
        <v>0</v>
      </c>
      <c r="L168" s="317">
        <f t="shared" si="102"/>
        <v>0</v>
      </c>
      <c r="M168" s="317">
        <f t="shared" si="102"/>
        <v>0</v>
      </c>
      <c r="N168" s="317">
        <f t="shared" si="102"/>
        <v>0</v>
      </c>
      <c r="O168" s="317">
        <f t="shared" si="102"/>
        <v>0</v>
      </c>
      <c r="P168" s="317">
        <f t="shared" si="102"/>
        <v>0</v>
      </c>
      <c r="Q168" s="317">
        <f t="shared" si="102"/>
        <v>0</v>
      </c>
      <c r="R168" s="317">
        <f t="shared" si="102"/>
        <v>0</v>
      </c>
      <c r="S168" s="317">
        <f t="shared" si="102"/>
        <v>10100</v>
      </c>
      <c r="T168" s="317">
        <f t="shared" si="102"/>
        <v>0</v>
      </c>
      <c r="U168" s="317">
        <f t="shared" si="102"/>
        <v>0</v>
      </c>
      <c r="V168" s="317">
        <f t="shared" si="102"/>
        <v>0</v>
      </c>
    </row>
    <row r="169" spans="2:22" ht="18.75" hidden="1" outlineLevel="1" x14ac:dyDescent="0.25">
      <c r="C169" s="310" t="s">
        <v>433</v>
      </c>
      <c r="D169" s="317">
        <f t="shared" si="103"/>
        <v>0</v>
      </c>
      <c r="E169" s="317">
        <f t="shared" si="102"/>
        <v>0</v>
      </c>
      <c r="F169" s="317">
        <f t="shared" si="102"/>
        <v>19800</v>
      </c>
      <c r="G169" s="317">
        <f t="shared" si="102"/>
        <v>0</v>
      </c>
      <c r="H169" s="317">
        <f t="shared" si="102"/>
        <v>0</v>
      </c>
      <c r="I169" s="317">
        <f t="shared" si="102"/>
        <v>0</v>
      </c>
      <c r="J169" s="317">
        <f t="shared" si="102"/>
        <v>0</v>
      </c>
      <c r="K169" s="317">
        <f t="shared" si="102"/>
        <v>0</v>
      </c>
      <c r="L169" s="317">
        <f t="shared" si="102"/>
        <v>0</v>
      </c>
      <c r="M169" s="317">
        <f t="shared" si="102"/>
        <v>0</v>
      </c>
      <c r="N169" s="317">
        <f t="shared" si="102"/>
        <v>0</v>
      </c>
      <c r="O169" s="317">
        <f t="shared" si="102"/>
        <v>0</v>
      </c>
      <c r="P169" s="317">
        <f t="shared" si="102"/>
        <v>0</v>
      </c>
      <c r="Q169" s="317">
        <f t="shared" si="102"/>
        <v>0</v>
      </c>
      <c r="R169" s="317">
        <f t="shared" si="102"/>
        <v>0</v>
      </c>
      <c r="S169" s="317">
        <f t="shared" si="102"/>
        <v>19900</v>
      </c>
      <c r="T169" s="317">
        <f t="shared" si="102"/>
        <v>0</v>
      </c>
      <c r="U169" s="317">
        <f t="shared" si="102"/>
        <v>0</v>
      </c>
      <c r="V169" s="317">
        <f t="shared" si="102"/>
        <v>0</v>
      </c>
    </row>
    <row r="170" spans="2:22" hidden="1" outlineLevel="1" x14ac:dyDescent="0.25">
      <c r="C170" s="107" t="s">
        <v>535</v>
      </c>
    </row>
    <row r="171" spans="2:22" hidden="1" outlineLevel="1" x14ac:dyDescent="0.25">
      <c r="C171" s="318">
        <f>_xlfn.ISOWEEKNUM(D171)</f>
        <v>29</v>
      </c>
      <c r="D171" s="134">
        <v>42569</v>
      </c>
    </row>
    <row r="172" spans="2:22" hidden="1" outlineLevel="1" x14ac:dyDescent="0.25">
      <c r="C172" s="318">
        <f t="shared" ref="C172:C180" si="104">_xlfn.ISOWEEKNUM(D172)</f>
        <v>29</v>
      </c>
      <c r="D172" s="134">
        <v>42570</v>
      </c>
    </row>
    <row r="173" spans="2:22" hidden="1" outlineLevel="1" x14ac:dyDescent="0.25">
      <c r="C173" s="318">
        <f t="shared" si="104"/>
        <v>29</v>
      </c>
      <c r="D173" s="134">
        <v>42571</v>
      </c>
    </row>
    <row r="174" spans="2:22" hidden="1" outlineLevel="1" x14ac:dyDescent="0.25">
      <c r="C174" s="318">
        <f t="shared" si="104"/>
        <v>29</v>
      </c>
      <c r="D174" s="134">
        <v>42572</v>
      </c>
    </row>
    <row r="175" spans="2:22" hidden="1" outlineLevel="1" x14ac:dyDescent="0.25">
      <c r="C175" s="318">
        <f t="shared" si="104"/>
        <v>29</v>
      </c>
      <c r="D175" s="134">
        <v>42573</v>
      </c>
    </row>
    <row r="176" spans="2:22" hidden="1" outlineLevel="1" x14ac:dyDescent="0.25">
      <c r="C176" s="318">
        <f t="shared" si="104"/>
        <v>29</v>
      </c>
      <c r="D176" s="134">
        <v>42574</v>
      </c>
    </row>
    <row r="177" spans="2:15" hidden="1" outlineLevel="1" x14ac:dyDescent="0.25">
      <c r="C177" s="318">
        <f t="shared" si="104"/>
        <v>29</v>
      </c>
      <c r="D177" s="134">
        <v>42575</v>
      </c>
    </row>
    <row r="178" spans="2:15" hidden="1" outlineLevel="1" x14ac:dyDescent="0.25">
      <c r="C178" s="318">
        <f t="shared" si="104"/>
        <v>30</v>
      </c>
      <c r="D178" s="134">
        <v>42576</v>
      </c>
    </row>
    <row r="179" spans="2:15" hidden="1" outlineLevel="1" x14ac:dyDescent="0.25">
      <c r="C179" s="318">
        <f t="shared" si="104"/>
        <v>30</v>
      </c>
      <c r="D179" s="134">
        <v>42577</v>
      </c>
    </row>
    <row r="180" spans="2:15" hidden="1" outlineLevel="1" x14ac:dyDescent="0.25">
      <c r="C180" s="318">
        <f t="shared" si="104"/>
        <v>30</v>
      </c>
      <c r="D180" s="134">
        <v>42578</v>
      </c>
    </row>
    <row r="181" spans="2:15" hidden="1" outlineLevel="1" x14ac:dyDescent="0.25"/>
    <row r="182" spans="2:15" x14ac:dyDescent="0.25">
      <c r="C182" s="107" t="s">
        <v>536</v>
      </c>
    </row>
    <row r="183" spans="2:15" ht="18.75" x14ac:dyDescent="0.25">
      <c r="B183" s="117" t="s">
        <v>432</v>
      </c>
      <c r="C183" s="117" t="s">
        <v>387</v>
      </c>
      <c r="D183" s="315">
        <f>D137</f>
        <v>42583</v>
      </c>
      <c r="E183" s="315">
        <f t="shared" ref="E183:O183" si="105">E137</f>
        <v>42614</v>
      </c>
      <c r="F183" s="315">
        <f t="shared" si="105"/>
        <v>42644</v>
      </c>
      <c r="G183" s="315">
        <f t="shared" si="105"/>
        <v>42675</v>
      </c>
      <c r="H183" s="315">
        <f t="shared" si="105"/>
        <v>42705</v>
      </c>
      <c r="I183" s="315">
        <f t="shared" si="105"/>
        <v>42736</v>
      </c>
      <c r="J183" s="315">
        <f t="shared" si="105"/>
        <v>42767</v>
      </c>
      <c r="K183" s="315">
        <f t="shared" si="105"/>
        <v>42795</v>
      </c>
      <c r="L183" s="315">
        <f t="shared" si="105"/>
        <v>42826</v>
      </c>
      <c r="M183" s="315">
        <f t="shared" si="105"/>
        <v>42856</v>
      </c>
      <c r="N183" s="315">
        <f t="shared" si="105"/>
        <v>42887</v>
      </c>
      <c r="O183" s="315">
        <f t="shared" si="105"/>
        <v>42917</v>
      </c>
    </row>
    <row r="184" spans="2:15" ht="18.75" x14ac:dyDescent="0.25">
      <c r="B184" s="113">
        <f>T46</f>
        <v>14</v>
      </c>
      <c r="C184" s="309" t="s">
        <v>12</v>
      </c>
      <c r="D184" s="320">
        <f>D$183-$B184</f>
        <v>42569</v>
      </c>
      <c r="E184" s="320">
        <f>E$183-$B184</f>
        <v>42600</v>
      </c>
      <c r="F184" s="320">
        <f t="shared" ref="F184:O184" si="106">F$183-$B184</f>
        <v>42630</v>
      </c>
      <c r="G184" s="320">
        <f t="shared" si="106"/>
        <v>42661</v>
      </c>
      <c r="H184" s="320">
        <f t="shared" si="106"/>
        <v>42691</v>
      </c>
      <c r="I184" s="320">
        <f t="shared" si="106"/>
        <v>42722</v>
      </c>
      <c r="J184" s="320">
        <f t="shared" si="106"/>
        <v>42753</v>
      </c>
      <c r="K184" s="320">
        <f t="shared" si="106"/>
        <v>42781</v>
      </c>
      <c r="L184" s="320">
        <f t="shared" si="106"/>
        <v>42812</v>
      </c>
      <c r="M184" s="320">
        <f t="shared" si="106"/>
        <v>42842</v>
      </c>
      <c r="N184" s="320">
        <f t="shared" si="106"/>
        <v>42873</v>
      </c>
      <c r="O184" s="320">
        <f t="shared" si="106"/>
        <v>42903</v>
      </c>
    </row>
    <row r="185" spans="2:15" ht="18.75" x14ac:dyDescent="0.25">
      <c r="B185" s="113">
        <f t="shared" ref="B185:B194" si="107">T47</f>
        <v>30</v>
      </c>
      <c r="C185" s="309" t="s">
        <v>13</v>
      </c>
      <c r="D185" s="320">
        <f t="shared" ref="D185:O195" si="108">D$183-$B185</f>
        <v>42553</v>
      </c>
      <c r="E185" s="320">
        <f t="shared" si="108"/>
        <v>42584</v>
      </c>
      <c r="F185" s="320">
        <f t="shared" si="108"/>
        <v>42614</v>
      </c>
      <c r="G185" s="320">
        <f t="shared" si="108"/>
        <v>42645</v>
      </c>
      <c r="H185" s="320">
        <f t="shared" si="108"/>
        <v>42675</v>
      </c>
      <c r="I185" s="320">
        <f t="shared" si="108"/>
        <v>42706</v>
      </c>
      <c r="J185" s="320">
        <f t="shared" si="108"/>
        <v>42737</v>
      </c>
      <c r="K185" s="320">
        <f t="shared" si="108"/>
        <v>42765</v>
      </c>
      <c r="L185" s="320">
        <f t="shared" si="108"/>
        <v>42796</v>
      </c>
      <c r="M185" s="320">
        <f t="shared" si="108"/>
        <v>42826</v>
      </c>
      <c r="N185" s="320">
        <f t="shared" si="108"/>
        <v>42857</v>
      </c>
      <c r="O185" s="320">
        <f t="shared" si="108"/>
        <v>42887</v>
      </c>
    </row>
    <row r="186" spans="2:15" ht="18.75" x14ac:dyDescent="0.25">
      <c r="B186" s="113">
        <f t="shared" si="107"/>
        <v>10</v>
      </c>
      <c r="C186" s="309" t="s">
        <v>14</v>
      </c>
      <c r="D186" s="320">
        <f t="shared" si="108"/>
        <v>42573</v>
      </c>
      <c r="E186" s="320">
        <f t="shared" si="108"/>
        <v>42604</v>
      </c>
      <c r="F186" s="320">
        <f t="shared" si="108"/>
        <v>42634</v>
      </c>
      <c r="G186" s="320">
        <f t="shared" si="108"/>
        <v>42665</v>
      </c>
      <c r="H186" s="320">
        <f t="shared" si="108"/>
        <v>42695</v>
      </c>
      <c r="I186" s="320">
        <f t="shared" si="108"/>
        <v>42726</v>
      </c>
      <c r="J186" s="320">
        <f t="shared" si="108"/>
        <v>42757</v>
      </c>
      <c r="K186" s="320">
        <f t="shared" si="108"/>
        <v>42785</v>
      </c>
      <c r="L186" s="320">
        <f t="shared" si="108"/>
        <v>42816</v>
      </c>
      <c r="M186" s="320">
        <f t="shared" si="108"/>
        <v>42846</v>
      </c>
      <c r="N186" s="320">
        <f t="shared" si="108"/>
        <v>42877</v>
      </c>
      <c r="O186" s="320">
        <f t="shared" si="108"/>
        <v>42907</v>
      </c>
    </row>
    <row r="187" spans="2:15" ht="18.75" x14ac:dyDescent="0.25">
      <c r="B187" s="113">
        <f t="shared" si="107"/>
        <v>14</v>
      </c>
      <c r="C187" s="309" t="s">
        <v>15</v>
      </c>
      <c r="D187" s="320">
        <f t="shared" si="108"/>
        <v>42569</v>
      </c>
      <c r="E187" s="320">
        <f t="shared" si="108"/>
        <v>42600</v>
      </c>
      <c r="F187" s="320">
        <f t="shared" si="108"/>
        <v>42630</v>
      </c>
      <c r="G187" s="320">
        <f t="shared" si="108"/>
        <v>42661</v>
      </c>
      <c r="H187" s="320">
        <f t="shared" si="108"/>
        <v>42691</v>
      </c>
      <c r="I187" s="320">
        <f t="shared" si="108"/>
        <v>42722</v>
      </c>
      <c r="J187" s="320">
        <f t="shared" si="108"/>
        <v>42753</v>
      </c>
      <c r="K187" s="320">
        <f t="shared" si="108"/>
        <v>42781</v>
      </c>
      <c r="L187" s="320">
        <f t="shared" si="108"/>
        <v>42812</v>
      </c>
      <c r="M187" s="320">
        <f t="shared" si="108"/>
        <v>42842</v>
      </c>
      <c r="N187" s="320">
        <f t="shared" si="108"/>
        <v>42873</v>
      </c>
      <c r="O187" s="320">
        <f t="shared" si="108"/>
        <v>42903</v>
      </c>
    </row>
    <row r="188" spans="2:15" ht="18.75" x14ac:dyDescent="0.25">
      <c r="B188" s="113">
        <f t="shared" si="107"/>
        <v>14</v>
      </c>
      <c r="C188" s="309" t="s">
        <v>16</v>
      </c>
      <c r="D188" s="320">
        <f t="shared" si="108"/>
        <v>42569</v>
      </c>
      <c r="E188" s="320">
        <f t="shared" si="108"/>
        <v>42600</v>
      </c>
      <c r="F188" s="320">
        <f t="shared" si="108"/>
        <v>42630</v>
      </c>
      <c r="G188" s="320">
        <f t="shared" si="108"/>
        <v>42661</v>
      </c>
      <c r="H188" s="320">
        <f t="shared" si="108"/>
        <v>42691</v>
      </c>
      <c r="I188" s="320">
        <f t="shared" si="108"/>
        <v>42722</v>
      </c>
      <c r="J188" s="320">
        <f t="shared" si="108"/>
        <v>42753</v>
      </c>
      <c r="K188" s="320">
        <f t="shared" si="108"/>
        <v>42781</v>
      </c>
      <c r="L188" s="320">
        <f t="shared" si="108"/>
        <v>42812</v>
      </c>
      <c r="M188" s="320">
        <f t="shared" si="108"/>
        <v>42842</v>
      </c>
      <c r="N188" s="320">
        <f t="shared" si="108"/>
        <v>42873</v>
      </c>
      <c r="O188" s="320">
        <f t="shared" si="108"/>
        <v>42903</v>
      </c>
    </row>
    <row r="189" spans="2:15" ht="18.75" x14ac:dyDescent="0.25">
      <c r="B189" s="113">
        <f t="shared" si="107"/>
        <v>30</v>
      </c>
      <c r="C189" s="309" t="s">
        <v>17</v>
      </c>
      <c r="D189" s="320">
        <f t="shared" si="108"/>
        <v>42553</v>
      </c>
      <c r="E189" s="320">
        <f t="shared" si="108"/>
        <v>42584</v>
      </c>
      <c r="F189" s="320">
        <f t="shared" si="108"/>
        <v>42614</v>
      </c>
      <c r="G189" s="320">
        <f t="shared" si="108"/>
        <v>42645</v>
      </c>
      <c r="H189" s="320">
        <f t="shared" si="108"/>
        <v>42675</v>
      </c>
      <c r="I189" s="320">
        <f t="shared" si="108"/>
        <v>42706</v>
      </c>
      <c r="J189" s="320">
        <f t="shared" si="108"/>
        <v>42737</v>
      </c>
      <c r="K189" s="320">
        <f t="shared" si="108"/>
        <v>42765</v>
      </c>
      <c r="L189" s="320">
        <f t="shared" si="108"/>
        <v>42796</v>
      </c>
      <c r="M189" s="320">
        <f t="shared" si="108"/>
        <v>42826</v>
      </c>
      <c r="N189" s="320">
        <f t="shared" si="108"/>
        <v>42857</v>
      </c>
      <c r="O189" s="320">
        <f t="shared" si="108"/>
        <v>42887</v>
      </c>
    </row>
    <row r="190" spans="2:15" ht="18.75" x14ac:dyDescent="0.25">
      <c r="B190" s="113">
        <f t="shared" si="107"/>
        <v>50</v>
      </c>
      <c r="C190" s="309" t="s">
        <v>18</v>
      </c>
      <c r="D190" s="320">
        <f t="shared" si="108"/>
        <v>42533</v>
      </c>
      <c r="E190" s="320">
        <f t="shared" si="108"/>
        <v>42564</v>
      </c>
      <c r="F190" s="320">
        <f t="shared" si="108"/>
        <v>42594</v>
      </c>
      <c r="G190" s="320">
        <f t="shared" si="108"/>
        <v>42625</v>
      </c>
      <c r="H190" s="320">
        <f t="shared" si="108"/>
        <v>42655</v>
      </c>
      <c r="I190" s="320">
        <f t="shared" si="108"/>
        <v>42686</v>
      </c>
      <c r="J190" s="320">
        <f t="shared" si="108"/>
        <v>42717</v>
      </c>
      <c r="K190" s="320">
        <f t="shared" si="108"/>
        <v>42745</v>
      </c>
      <c r="L190" s="320">
        <f t="shared" si="108"/>
        <v>42776</v>
      </c>
      <c r="M190" s="320">
        <f t="shared" si="108"/>
        <v>42806</v>
      </c>
      <c r="N190" s="320">
        <f t="shared" si="108"/>
        <v>42837</v>
      </c>
      <c r="O190" s="320">
        <f t="shared" si="108"/>
        <v>42867</v>
      </c>
    </row>
    <row r="191" spans="2:15" ht="18.75" x14ac:dyDescent="0.25">
      <c r="B191" s="113">
        <f t="shared" si="107"/>
        <v>14</v>
      </c>
      <c r="C191" s="309" t="s">
        <v>19</v>
      </c>
      <c r="D191" s="320">
        <f t="shared" si="108"/>
        <v>42569</v>
      </c>
      <c r="E191" s="320">
        <f t="shared" si="108"/>
        <v>42600</v>
      </c>
      <c r="F191" s="320">
        <f t="shared" si="108"/>
        <v>42630</v>
      </c>
      <c r="G191" s="320">
        <f t="shared" si="108"/>
        <v>42661</v>
      </c>
      <c r="H191" s="320">
        <f t="shared" si="108"/>
        <v>42691</v>
      </c>
      <c r="I191" s="320">
        <f t="shared" si="108"/>
        <v>42722</v>
      </c>
      <c r="J191" s="320">
        <f t="shared" si="108"/>
        <v>42753</v>
      </c>
      <c r="K191" s="320">
        <f t="shared" si="108"/>
        <v>42781</v>
      </c>
      <c r="L191" s="320">
        <f t="shared" si="108"/>
        <v>42812</v>
      </c>
      <c r="M191" s="320">
        <f t="shared" si="108"/>
        <v>42842</v>
      </c>
      <c r="N191" s="320">
        <f t="shared" si="108"/>
        <v>42873</v>
      </c>
      <c r="O191" s="320">
        <f t="shared" si="108"/>
        <v>42903</v>
      </c>
    </row>
    <row r="192" spans="2:15" ht="18.75" x14ac:dyDescent="0.25">
      <c r="B192" s="113">
        <f t="shared" si="107"/>
        <v>50</v>
      </c>
      <c r="C192" s="309" t="s">
        <v>20</v>
      </c>
      <c r="D192" s="320">
        <f t="shared" si="108"/>
        <v>42533</v>
      </c>
      <c r="E192" s="320">
        <f t="shared" si="108"/>
        <v>42564</v>
      </c>
      <c r="F192" s="320">
        <f t="shared" si="108"/>
        <v>42594</v>
      </c>
      <c r="G192" s="320">
        <f t="shared" si="108"/>
        <v>42625</v>
      </c>
      <c r="H192" s="320">
        <f t="shared" si="108"/>
        <v>42655</v>
      </c>
      <c r="I192" s="320">
        <f t="shared" si="108"/>
        <v>42686</v>
      </c>
      <c r="J192" s="320">
        <f t="shared" si="108"/>
        <v>42717</v>
      </c>
      <c r="K192" s="320">
        <f t="shared" si="108"/>
        <v>42745</v>
      </c>
      <c r="L192" s="320">
        <f t="shared" si="108"/>
        <v>42776</v>
      </c>
      <c r="M192" s="320">
        <f t="shared" si="108"/>
        <v>42806</v>
      </c>
      <c r="N192" s="320">
        <f t="shared" si="108"/>
        <v>42837</v>
      </c>
      <c r="O192" s="320">
        <f t="shared" si="108"/>
        <v>42867</v>
      </c>
    </row>
    <row r="193" spans="2:15" ht="18.75" x14ac:dyDescent="0.25">
      <c r="B193" s="113">
        <f t="shared" si="107"/>
        <v>50</v>
      </c>
      <c r="C193" s="309" t="s">
        <v>21</v>
      </c>
      <c r="D193" s="320">
        <f t="shared" si="108"/>
        <v>42533</v>
      </c>
      <c r="E193" s="320">
        <f t="shared" si="108"/>
        <v>42564</v>
      </c>
      <c r="F193" s="320">
        <f t="shared" si="108"/>
        <v>42594</v>
      </c>
      <c r="G193" s="320">
        <f t="shared" si="108"/>
        <v>42625</v>
      </c>
      <c r="H193" s="320">
        <f t="shared" si="108"/>
        <v>42655</v>
      </c>
      <c r="I193" s="320">
        <f t="shared" si="108"/>
        <v>42686</v>
      </c>
      <c r="J193" s="320">
        <f t="shared" si="108"/>
        <v>42717</v>
      </c>
      <c r="K193" s="320">
        <f t="shared" si="108"/>
        <v>42745</v>
      </c>
      <c r="L193" s="320">
        <f t="shared" si="108"/>
        <v>42776</v>
      </c>
      <c r="M193" s="320">
        <f t="shared" si="108"/>
        <v>42806</v>
      </c>
      <c r="N193" s="320">
        <f t="shared" si="108"/>
        <v>42837</v>
      </c>
      <c r="O193" s="320">
        <f t="shared" si="108"/>
        <v>42867</v>
      </c>
    </row>
    <row r="194" spans="2:15" ht="18.75" x14ac:dyDescent="0.25">
      <c r="B194" s="113">
        <f t="shared" si="107"/>
        <v>50</v>
      </c>
      <c r="C194" s="309" t="s">
        <v>22</v>
      </c>
      <c r="D194" s="320">
        <f t="shared" si="108"/>
        <v>42533</v>
      </c>
      <c r="E194" s="320">
        <f t="shared" si="108"/>
        <v>42564</v>
      </c>
      <c r="F194" s="320">
        <f t="shared" si="108"/>
        <v>42594</v>
      </c>
      <c r="G194" s="320">
        <f t="shared" si="108"/>
        <v>42625</v>
      </c>
      <c r="H194" s="320">
        <f t="shared" si="108"/>
        <v>42655</v>
      </c>
      <c r="I194" s="320">
        <f t="shared" si="108"/>
        <v>42686</v>
      </c>
      <c r="J194" s="320">
        <f t="shared" si="108"/>
        <v>42717</v>
      </c>
      <c r="K194" s="320">
        <f t="shared" si="108"/>
        <v>42745</v>
      </c>
      <c r="L194" s="320">
        <f t="shared" si="108"/>
        <v>42776</v>
      </c>
      <c r="M194" s="320">
        <f t="shared" si="108"/>
        <v>42806</v>
      </c>
      <c r="N194" s="320">
        <f t="shared" si="108"/>
        <v>42837</v>
      </c>
      <c r="O194" s="320">
        <f t="shared" si="108"/>
        <v>42867</v>
      </c>
    </row>
    <row r="195" spans="2:15" ht="18.75" x14ac:dyDescent="0.25">
      <c r="B195" s="113">
        <f>T57</f>
        <v>50</v>
      </c>
      <c r="C195" s="309" t="s">
        <v>23</v>
      </c>
      <c r="D195" s="320">
        <f t="shared" si="108"/>
        <v>42533</v>
      </c>
      <c r="E195" s="320">
        <f t="shared" si="108"/>
        <v>42564</v>
      </c>
      <c r="F195" s="320">
        <f t="shared" si="108"/>
        <v>42594</v>
      </c>
      <c r="G195" s="320">
        <f t="shared" si="108"/>
        <v>42625</v>
      </c>
      <c r="H195" s="320">
        <f t="shared" si="108"/>
        <v>42655</v>
      </c>
      <c r="I195" s="320">
        <f t="shared" si="108"/>
        <v>42686</v>
      </c>
      <c r="J195" s="320">
        <f t="shared" si="108"/>
        <v>42717</v>
      </c>
      <c r="K195" s="320">
        <f t="shared" si="108"/>
        <v>42745</v>
      </c>
      <c r="L195" s="320">
        <f t="shared" si="108"/>
        <v>42776</v>
      </c>
      <c r="M195" s="320">
        <f t="shared" si="108"/>
        <v>42806</v>
      </c>
      <c r="N195" s="320">
        <f t="shared" si="108"/>
        <v>42837</v>
      </c>
      <c r="O195" s="320">
        <f t="shared" si="108"/>
        <v>42867</v>
      </c>
    </row>
    <row r="200" spans="2:15" ht="18.75" x14ac:dyDescent="0.25">
      <c r="D200" s="315">
        <f>D183</f>
        <v>42583</v>
      </c>
      <c r="E200" s="315">
        <f t="shared" ref="E200:O200" si="109">E183</f>
        <v>42614</v>
      </c>
      <c r="F200" s="315">
        <f t="shared" si="109"/>
        <v>42644</v>
      </c>
      <c r="G200" s="315">
        <f t="shared" si="109"/>
        <v>42675</v>
      </c>
      <c r="H200" s="315">
        <f t="shared" si="109"/>
        <v>42705</v>
      </c>
      <c r="I200" s="315">
        <f t="shared" si="109"/>
        <v>42736</v>
      </c>
      <c r="J200" s="315">
        <f t="shared" si="109"/>
        <v>42767</v>
      </c>
      <c r="K200" s="315">
        <f t="shared" si="109"/>
        <v>42795</v>
      </c>
      <c r="L200" s="315">
        <f t="shared" si="109"/>
        <v>42826</v>
      </c>
      <c r="M200" s="315">
        <f t="shared" si="109"/>
        <v>42856</v>
      </c>
      <c r="N200" s="315">
        <f t="shared" si="109"/>
        <v>42887</v>
      </c>
      <c r="O200" s="315">
        <f t="shared" si="109"/>
        <v>42917</v>
      </c>
    </row>
    <row r="201" spans="2:15" ht="15.75" x14ac:dyDescent="0.25">
      <c r="C201" s="31" t="s">
        <v>76</v>
      </c>
      <c r="D201" s="137">
        <f ca="1">SUMIF(Конструкторы!$C$35:$C$1191,Обеспечение!$C201,Конструкторы!I$37:I$1191)</f>
        <v>1322</v>
      </c>
      <c r="E201" s="137">
        <f ca="1">SUMIF(Конструкторы!$C$35:$C$1191,Обеспечение!$C201,Конструкторы!J$37:J$1191)</f>
        <v>100</v>
      </c>
      <c r="F201" s="137">
        <f ca="1">SUMIF(Конструкторы!$C$35:$C$1191,Обеспечение!$C201,Конструкторы!K$37:K$1191)</f>
        <v>175</v>
      </c>
      <c r="G201" s="137">
        <f ca="1">SUMIF(Конструкторы!$C$35:$C$1191,Обеспечение!$C201,Конструкторы!L$37:L$1191)</f>
        <v>2000</v>
      </c>
      <c r="H201" s="137">
        <f ca="1">SUMIF(Конструкторы!$C$35:$C$1191,Обеспечение!$C201,Конструкторы!M$37:M$1191)</f>
        <v>0</v>
      </c>
      <c r="I201" s="137">
        <f ca="1">SUMIF(Конструкторы!$C$35:$C$1191,Обеспечение!$C201,Конструкторы!N$37:N$1191)</f>
        <v>0</v>
      </c>
      <c r="J201" s="137">
        <f ca="1">SUMIF(Конструкторы!$C$35:$C$1191,Обеспечение!$C201,Конструкторы!O$37:O$1191)</f>
        <v>0</v>
      </c>
      <c r="K201" s="137">
        <f ca="1">SUMIF(Конструкторы!$C$35:$C$1191,Обеспечение!$C201,Конструкторы!P$37:P$1191)</f>
        <v>0</v>
      </c>
      <c r="L201" s="137">
        <f ca="1">SUMIF(Конструкторы!$C$35:$C$1191,Обеспечение!$C201,Конструкторы!Q$37:Q$1191)</f>
        <v>0</v>
      </c>
      <c r="M201" s="137">
        <f ca="1">SUMIF(Конструкторы!$C$35:$C$1191,Обеспечение!$C201,Конструкторы!R$37:R$1191)</f>
        <v>0</v>
      </c>
      <c r="N201" s="137">
        <f ca="1">SUMIF(Конструкторы!$C$35:$C$1191,Обеспечение!$C201,Конструкторы!S$37:S$1191)</f>
        <v>0</v>
      </c>
      <c r="O201" s="137">
        <f ca="1">SUMIF(Конструкторы!$C$35:$C$1191,Обеспечение!$C201,Конструкторы!T$37:T$1191)</f>
        <v>0</v>
      </c>
    </row>
    <row r="202" spans="2:15" ht="15.75" x14ac:dyDescent="0.25">
      <c r="C202" s="31" t="s">
        <v>75</v>
      </c>
      <c r="D202" s="137">
        <f ca="1">SUMIF(Конструкторы!$C$35:$C$1191,Обеспечение!$C202,Конструкторы!I$37:I$1191)</f>
        <v>1826</v>
      </c>
      <c r="E202" s="137">
        <f ca="1">SUMIF(Конструкторы!$C$35:$C$1191,Обеспечение!$C202,Конструкторы!J$37:J$1191)</f>
        <v>100</v>
      </c>
      <c r="F202" s="137">
        <f ca="1">SUMIF(Конструкторы!$C$35:$C$1191,Обеспечение!$C202,Конструкторы!K$37:K$1191)</f>
        <v>175</v>
      </c>
      <c r="G202" s="137">
        <f ca="1">SUMIF(Конструкторы!$C$35:$C$1191,Обеспечение!$C202,Конструкторы!L$37:L$1191)</f>
        <v>22061.674008810573</v>
      </c>
      <c r="H202" s="137">
        <f ca="1">SUMIF(Конструкторы!$C$35:$C$1191,Обеспечение!$C202,Конструкторы!M$37:M$1191)</f>
        <v>23794.078475566028</v>
      </c>
      <c r="I202" s="137">
        <f ca="1">SUMIF(Конструкторы!$C$35:$C$1191,Обеспечение!$C202,Конструкторы!N$37:N$1191)</f>
        <v>21461.325683843868</v>
      </c>
      <c r="J202" s="137">
        <f ca="1">SUMIF(Конструкторы!$C$35:$C$1191,Обеспечение!$C202,Конструкторы!O$37:O$1191)</f>
        <v>21461.325683843868</v>
      </c>
      <c r="K202" s="137">
        <f ca="1">SUMIF(Конструкторы!$C$35:$C$1191,Обеспечение!$C202,Конструкторы!P$37:P$1191)</f>
        <v>21461.325683843868</v>
      </c>
      <c r="L202" s="137">
        <f ca="1">SUMIF(Конструкторы!$C$35:$C$1191,Обеспечение!$C202,Конструкторы!Q$37:Q$1191)</f>
        <v>21461.325683843868</v>
      </c>
      <c r="M202" s="137">
        <f ca="1">SUMIF(Конструкторы!$C$35:$C$1191,Обеспечение!$C202,Конструкторы!R$37:R$1191)</f>
        <v>21461.325683843868</v>
      </c>
      <c r="N202" s="137">
        <f ca="1">SUMIF(Конструкторы!$C$35:$C$1191,Обеспечение!$C202,Конструкторы!S$37:S$1191)</f>
        <v>21461.325683843868</v>
      </c>
      <c r="O202" s="137">
        <f ca="1">SUMIF(Конструкторы!$C$35:$C$1191,Обеспечение!$C202,Конструкторы!T$37:T$1191)</f>
        <v>21461.325683843868</v>
      </c>
    </row>
    <row r="203" spans="2:15" x14ac:dyDescent="0.25">
      <c r="C203" s="30" t="s">
        <v>69</v>
      </c>
      <c r="D203" s="137">
        <f ca="1">SUMIF(Конструкторы!$C$35:$C$1191,Обеспечение!$C203,Конструкторы!I$37:I$1191)</f>
        <v>557</v>
      </c>
      <c r="E203" s="137">
        <f ca="1">SUMIF(Конструкторы!$C$35:$C$1191,Обеспечение!$C203,Конструкторы!J$37:J$1191)</f>
        <v>0</v>
      </c>
      <c r="F203" s="137">
        <f ca="1">SUMIF(Конструкторы!$C$35:$C$1191,Обеспечение!$C203,Конструкторы!K$37:K$1191)</f>
        <v>280</v>
      </c>
      <c r="G203" s="137">
        <f ca="1">SUMIF(Конструкторы!$C$35:$C$1191,Обеспечение!$C203,Конструкторы!L$37:L$1191)</f>
        <v>0</v>
      </c>
      <c r="H203" s="137">
        <f ca="1">SUMIF(Конструкторы!$C$35:$C$1191,Обеспечение!$C203,Конструкторы!M$37:M$1191)</f>
        <v>0</v>
      </c>
      <c r="I203" s="137">
        <f ca="1">SUMIF(Конструкторы!$C$35:$C$1191,Обеспечение!$C203,Конструкторы!N$37:N$1191)</f>
        <v>0</v>
      </c>
      <c r="J203" s="137">
        <f ca="1">SUMIF(Конструкторы!$C$35:$C$1191,Обеспечение!$C203,Конструкторы!O$37:O$1191)</f>
        <v>0</v>
      </c>
      <c r="K203" s="137">
        <f ca="1">SUMIF(Конструкторы!$C$35:$C$1191,Обеспечение!$C203,Конструкторы!P$37:P$1191)</f>
        <v>0</v>
      </c>
      <c r="L203" s="137">
        <f ca="1">SUMIF(Конструкторы!$C$35:$C$1191,Обеспечение!$C203,Конструкторы!Q$37:Q$1191)</f>
        <v>0</v>
      </c>
      <c r="M203" s="137">
        <f ca="1">SUMIF(Конструкторы!$C$35:$C$1191,Обеспечение!$C203,Конструкторы!R$37:R$1191)</f>
        <v>0</v>
      </c>
      <c r="N203" s="137">
        <f ca="1">SUMIF(Конструкторы!$C$35:$C$1191,Обеспечение!$C203,Конструкторы!S$37:S$1191)</f>
        <v>0</v>
      </c>
      <c r="O203" s="137">
        <f ca="1">SUMIF(Конструкторы!$C$35:$C$1191,Обеспечение!$C203,Конструкторы!T$37:T$1191)</f>
        <v>0</v>
      </c>
    </row>
    <row r="204" spans="2:15" ht="15.75" x14ac:dyDescent="0.25">
      <c r="C204" s="31" t="s">
        <v>78</v>
      </c>
      <c r="D204" s="137">
        <f ca="1">SUMIF(Конструкторы!$C$35:$C$1191,Обеспечение!$C204,Конструкторы!I$37:I$1191)</f>
        <v>0</v>
      </c>
      <c r="E204" s="137">
        <f ca="1">SUMIF(Конструкторы!$C$35:$C$1191,Обеспечение!$C204,Конструкторы!J$37:J$1191)</f>
        <v>0</v>
      </c>
      <c r="F204" s="137">
        <f ca="1">SUMIF(Конструкторы!$C$35:$C$1191,Обеспечение!$C204,Конструкторы!K$37:K$1191)</f>
        <v>0</v>
      </c>
      <c r="G204" s="137">
        <f ca="1">SUMIF(Конструкторы!$C$35:$C$1191,Обеспечение!$C204,Конструкторы!L$37:L$1191)</f>
        <v>0</v>
      </c>
      <c r="H204" s="137">
        <f ca="1">SUMIF(Конструкторы!$C$35:$C$1191,Обеспечение!$C204,Конструкторы!M$37:M$1191)</f>
        <v>0</v>
      </c>
      <c r="I204" s="137">
        <f ca="1">SUMIF(Конструкторы!$C$35:$C$1191,Обеспечение!$C204,Конструкторы!N$37:N$1191)</f>
        <v>0</v>
      </c>
      <c r="J204" s="137">
        <f ca="1">SUMIF(Конструкторы!$C$35:$C$1191,Обеспечение!$C204,Конструкторы!O$37:O$1191)</f>
        <v>0</v>
      </c>
      <c r="K204" s="137">
        <f ca="1">SUMIF(Конструкторы!$C$35:$C$1191,Обеспечение!$C204,Конструкторы!P$37:P$1191)</f>
        <v>0</v>
      </c>
      <c r="L204" s="137">
        <f ca="1">SUMIF(Конструкторы!$C$35:$C$1191,Обеспечение!$C204,Конструкторы!Q$37:Q$1191)</f>
        <v>0</v>
      </c>
      <c r="M204" s="137">
        <f ca="1">SUMIF(Конструкторы!$C$35:$C$1191,Обеспечение!$C204,Конструкторы!R$37:R$1191)</f>
        <v>0</v>
      </c>
      <c r="N204" s="137">
        <f ca="1">SUMIF(Конструкторы!$C$35:$C$1191,Обеспечение!$C204,Конструкторы!S$37:S$1191)</f>
        <v>0</v>
      </c>
      <c r="O204" s="137">
        <f ca="1">SUMIF(Конструкторы!$C$35:$C$1191,Обеспечение!$C204,Конструкторы!T$37:T$1191)</f>
        <v>0</v>
      </c>
    </row>
    <row r="205" spans="2:15" ht="15.75" x14ac:dyDescent="0.25">
      <c r="C205" s="31" t="s">
        <v>83</v>
      </c>
      <c r="D205" s="137">
        <f ca="1">SUMIF(Конструкторы!$C$35:$C$1191,Обеспечение!$C205,Конструкторы!I$37:I$1191)</f>
        <v>0</v>
      </c>
      <c r="E205" s="137">
        <f ca="1">SUMIF(Конструкторы!$C$35:$C$1191,Обеспечение!$C205,Конструкторы!J$37:J$1191)</f>
        <v>0</v>
      </c>
      <c r="F205" s="137">
        <f ca="1">SUMIF(Конструкторы!$C$35:$C$1191,Обеспечение!$C205,Конструкторы!K$37:K$1191)</f>
        <v>0</v>
      </c>
      <c r="G205" s="137">
        <f ca="1">SUMIF(Конструкторы!$C$35:$C$1191,Обеспечение!$C205,Конструкторы!L$37:L$1191)</f>
        <v>0</v>
      </c>
      <c r="H205" s="137">
        <f ca="1">SUMIF(Конструкторы!$C$35:$C$1191,Обеспечение!$C205,Конструкторы!M$37:M$1191)</f>
        <v>0</v>
      </c>
      <c r="I205" s="137">
        <f ca="1">SUMIF(Конструкторы!$C$35:$C$1191,Обеспечение!$C205,Конструкторы!N$37:N$1191)</f>
        <v>0</v>
      </c>
      <c r="J205" s="137">
        <f ca="1">SUMIF(Конструкторы!$C$35:$C$1191,Обеспечение!$C205,Конструкторы!O$37:O$1191)</f>
        <v>0</v>
      </c>
      <c r="K205" s="137">
        <f ca="1">SUMIF(Конструкторы!$C$35:$C$1191,Обеспечение!$C205,Конструкторы!P$37:P$1191)</f>
        <v>0</v>
      </c>
      <c r="L205" s="137">
        <f ca="1">SUMIF(Конструкторы!$C$35:$C$1191,Обеспечение!$C205,Конструкторы!Q$37:Q$1191)</f>
        <v>0</v>
      </c>
      <c r="M205" s="137">
        <f ca="1">SUMIF(Конструкторы!$C$35:$C$1191,Обеспечение!$C205,Конструкторы!R$37:R$1191)</f>
        <v>0</v>
      </c>
      <c r="N205" s="137">
        <f ca="1">SUMIF(Конструкторы!$C$35:$C$1191,Обеспечение!$C205,Конструкторы!S$37:S$1191)</f>
        <v>0</v>
      </c>
      <c r="O205" s="137">
        <f ca="1">SUMIF(Конструкторы!$C$35:$C$1191,Обеспечение!$C205,Конструкторы!T$37:T$1191)</f>
        <v>0</v>
      </c>
    </row>
    <row r="206" spans="2:15" ht="15.75" x14ac:dyDescent="0.25">
      <c r="C206" s="31" t="s">
        <v>84</v>
      </c>
      <c r="D206" s="137">
        <f ca="1">SUMIF(Конструкторы!$C$35:$C$1191,Обеспечение!$C206,Конструкторы!I$37:I$1191)</f>
        <v>0</v>
      </c>
      <c r="E206" s="137">
        <f ca="1">SUMIF(Конструкторы!$C$35:$C$1191,Обеспечение!$C206,Конструкторы!J$37:J$1191)</f>
        <v>0</v>
      </c>
      <c r="F206" s="137">
        <f ca="1">SUMIF(Конструкторы!$C$35:$C$1191,Обеспечение!$C206,Конструкторы!K$37:K$1191)</f>
        <v>0</v>
      </c>
      <c r="G206" s="137">
        <f ca="1">SUMIF(Конструкторы!$C$35:$C$1191,Обеспечение!$C206,Конструкторы!L$37:L$1191)</f>
        <v>0</v>
      </c>
      <c r="H206" s="137">
        <f ca="1">SUMIF(Конструкторы!$C$35:$C$1191,Обеспечение!$C206,Конструкторы!M$37:M$1191)</f>
        <v>0</v>
      </c>
      <c r="I206" s="137">
        <f ca="1">SUMIF(Конструкторы!$C$35:$C$1191,Обеспечение!$C206,Конструкторы!N$37:N$1191)</f>
        <v>0</v>
      </c>
      <c r="J206" s="137">
        <f ca="1">SUMIF(Конструкторы!$C$35:$C$1191,Обеспечение!$C206,Конструкторы!O$37:O$1191)</f>
        <v>0</v>
      </c>
      <c r="K206" s="137">
        <f ca="1">SUMIF(Конструкторы!$C$35:$C$1191,Обеспечение!$C206,Конструкторы!P$37:P$1191)</f>
        <v>0</v>
      </c>
      <c r="L206" s="137">
        <f ca="1">SUMIF(Конструкторы!$C$35:$C$1191,Обеспечение!$C206,Конструкторы!Q$37:Q$1191)</f>
        <v>0</v>
      </c>
      <c r="M206" s="137">
        <f ca="1">SUMIF(Конструкторы!$C$35:$C$1191,Обеспечение!$C206,Конструкторы!R$37:R$1191)</f>
        <v>0</v>
      </c>
      <c r="N206" s="137">
        <f ca="1">SUMIF(Конструкторы!$C$35:$C$1191,Обеспечение!$C206,Конструкторы!S$37:S$1191)</f>
        <v>0</v>
      </c>
      <c r="O206" s="137">
        <f ca="1">SUMIF(Конструкторы!$C$35:$C$1191,Обеспечение!$C206,Конструкторы!T$37:T$1191)</f>
        <v>0</v>
      </c>
    </row>
    <row r="207" spans="2:15" ht="15.75" x14ac:dyDescent="0.25">
      <c r="C207" s="31" t="s">
        <v>85</v>
      </c>
      <c r="D207" s="137">
        <f ca="1">SUMIF(Конструкторы!$C$35:$C$1191,Обеспечение!$C207,Конструкторы!I$37:I$1191)</f>
        <v>0</v>
      </c>
      <c r="E207" s="137">
        <f ca="1">SUMIF(Конструкторы!$C$35:$C$1191,Обеспечение!$C207,Конструкторы!J$37:J$1191)</f>
        <v>0</v>
      </c>
      <c r="F207" s="137">
        <f ca="1">SUMIF(Конструкторы!$C$35:$C$1191,Обеспечение!$C207,Конструкторы!K$37:K$1191)</f>
        <v>0</v>
      </c>
      <c r="G207" s="137">
        <f ca="1">SUMIF(Конструкторы!$C$35:$C$1191,Обеспечение!$C207,Конструкторы!L$37:L$1191)</f>
        <v>0</v>
      </c>
      <c r="H207" s="137">
        <f ca="1">SUMIF(Конструкторы!$C$35:$C$1191,Обеспечение!$C207,Конструкторы!M$37:M$1191)</f>
        <v>0</v>
      </c>
      <c r="I207" s="137">
        <f ca="1">SUMIF(Конструкторы!$C$35:$C$1191,Обеспечение!$C207,Конструкторы!N$37:N$1191)</f>
        <v>0</v>
      </c>
      <c r="J207" s="137">
        <f ca="1">SUMIF(Конструкторы!$C$35:$C$1191,Обеспечение!$C207,Конструкторы!O$37:O$1191)</f>
        <v>0</v>
      </c>
      <c r="K207" s="137">
        <f ca="1">SUMIF(Конструкторы!$C$35:$C$1191,Обеспечение!$C207,Конструкторы!P$37:P$1191)</f>
        <v>0</v>
      </c>
      <c r="L207" s="137">
        <f ca="1">SUMIF(Конструкторы!$C$35:$C$1191,Обеспечение!$C207,Конструкторы!Q$37:Q$1191)</f>
        <v>0</v>
      </c>
      <c r="M207" s="137">
        <f ca="1">SUMIF(Конструкторы!$C$35:$C$1191,Обеспечение!$C207,Конструкторы!R$37:R$1191)</f>
        <v>0</v>
      </c>
      <c r="N207" s="137">
        <f ca="1">SUMIF(Конструкторы!$C$35:$C$1191,Обеспечение!$C207,Конструкторы!S$37:S$1191)</f>
        <v>0</v>
      </c>
      <c r="O207" s="137">
        <f ca="1">SUMIF(Конструкторы!$C$35:$C$1191,Обеспечение!$C207,Конструкторы!T$37:T$1191)</f>
        <v>0</v>
      </c>
    </row>
    <row r="208" spans="2:15" ht="15.75" x14ac:dyDescent="0.25">
      <c r="C208" s="31" t="s">
        <v>86</v>
      </c>
      <c r="D208" s="137">
        <f ca="1">SUMIF(Конструкторы!$C$35:$C$1191,Обеспечение!$C208,Конструкторы!I$37:I$1191)</f>
        <v>0</v>
      </c>
      <c r="E208" s="137">
        <f ca="1">SUMIF(Конструкторы!$C$35:$C$1191,Обеспечение!$C208,Конструкторы!J$37:J$1191)</f>
        <v>0</v>
      </c>
      <c r="F208" s="137">
        <f ca="1">SUMIF(Конструкторы!$C$35:$C$1191,Обеспечение!$C208,Конструкторы!K$37:K$1191)</f>
        <v>0</v>
      </c>
      <c r="G208" s="137">
        <f ca="1">SUMIF(Конструкторы!$C$35:$C$1191,Обеспечение!$C208,Конструкторы!L$37:L$1191)</f>
        <v>0</v>
      </c>
      <c r="H208" s="137">
        <f ca="1">SUMIF(Конструкторы!$C$35:$C$1191,Обеспечение!$C208,Конструкторы!M$37:M$1191)</f>
        <v>0</v>
      </c>
      <c r="I208" s="137">
        <f ca="1">SUMIF(Конструкторы!$C$35:$C$1191,Обеспечение!$C208,Конструкторы!N$37:N$1191)</f>
        <v>0</v>
      </c>
      <c r="J208" s="137">
        <f ca="1">SUMIF(Конструкторы!$C$35:$C$1191,Обеспечение!$C208,Конструкторы!O$37:O$1191)</f>
        <v>0</v>
      </c>
      <c r="K208" s="137">
        <f ca="1">SUMIF(Конструкторы!$C$35:$C$1191,Обеспечение!$C208,Конструкторы!P$37:P$1191)</f>
        <v>0</v>
      </c>
      <c r="L208" s="137">
        <f ca="1">SUMIF(Конструкторы!$C$35:$C$1191,Обеспечение!$C208,Конструкторы!Q$37:Q$1191)</f>
        <v>0</v>
      </c>
      <c r="M208" s="137">
        <f ca="1">SUMIF(Конструкторы!$C$35:$C$1191,Обеспечение!$C208,Конструкторы!R$37:R$1191)</f>
        <v>0</v>
      </c>
      <c r="N208" s="137">
        <f ca="1">SUMIF(Конструкторы!$C$35:$C$1191,Обеспечение!$C208,Конструкторы!S$37:S$1191)</f>
        <v>0</v>
      </c>
      <c r="O208" s="137">
        <f ca="1">SUMIF(Конструкторы!$C$35:$C$1191,Обеспечение!$C208,Конструкторы!T$37:T$1191)</f>
        <v>0</v>
      </c>
    </row>
    <row r="209" spans="3:15" ht="15.75" x14ac:dyDescent="0.25">
      <c r="C209" s="31" t="s">
        <v>79</v>
      </c>
      <c r="D209" s="137">
        <f ca="1">SUMIF(Конструкторы!$C$35:$C$1191,Обеспечение!$C209,Конструкторы!I$37:I$1191)</f>
        <v>0</v>
      </c>
      <c r="E209" s="137">
        <f ca="1">SUMIF(Конструкторы!$C$35:$C$1191,Обеспечение!$C209,Конструкторы!J$37:J$1191)</f>
        <v>0</v>
      </c>
      <c r="F209" s="137">
        <f ca="1">SUMIF(Конструкторы!$C$35:$C$1191,Обеспечение!$C209,Конструкторы!K$37:K$1191)</f>
        <v>0</v>
      </c>
      <c r="G209" s="137">
        <f ca="1">SUMIF(Конструкторы!$C$35:$C$1191,Обеспечение!$C209,Конструкторы!L$37:L$1191)</f>
        <v>0</v>
      </c>
      <c r="H209" s="137">
        <f ca="1">SUMIF(Конструкторы!$C$35:$C$1191,Обеспечение!$C209,Конструкторы!M$37:M$1191)</f>
        <v>0</v>
      </c>
      <c r="I209" s="137">
        <f ca="1">SUMIF(Конструкторы!$C$35:$C$1191,Обеспечение!$C209,Конструкторы!N$37:N$1191)</f>
        <v>0</v>
      </c>
      <c r="J209" s="137">
        <f ca="1">SUMIF(Конструкторы!$C$35:$C$1191,Обеспечение!$C209,Конструкторы!O$37:O$1191)</f>
        <v>0</v>
      </c>
      <c r="K209" s="137">
        <f ca="1">SUMIF(Конструкторы!$C$35:$C$1191,Обеспечение!$C209,Конструкторы!P$37:P$1191)</f>
        <v>0</v>
      </c>
      <c r="L209" s="137">
        <f ca="1">SUMIF(Конструкторы!$C$35:$C$1191,Обеспечение!$C209,Конструкторы!Q$37:Q$1191)</f>
        <v>0</v>
      </c>
      <c r="M209" s="137">
        <f ca="1">SUMIF(Конструкторы!$C$35:$C$1191,Обеспечение!$C209,Конструкторы!R$37:R$1191)</f>
        <v>0</v>
      </c>
      <c r="N209" s="137">
        <f ca="1">SUMIF(Конструкторы!$C$35:$C$1191,Обеспечение!$C209,Конструкторы!S$37:S$1191)</f>
        <v>0</v>
      </c>
      <c r="O209" s="137">
        <f ca="1">SUMIF(Конструкторы!$C$35:$C$1191,Обеспечение!$C209,Конструкторы!T$37:T$1191)</f>
        <v>0</v>
      </c>
    </row>
    <row r="210" spans="3:15" ht="15.75" x14ac:dyDescent="0.25">
      <c r="C210" s="31" t="s">
        <v>80</v>
      </c>
      <c r="D210" s="137">
        <f ca="1">SUMIF(Конструкторы!$C$35:$C$1191,Обеспечение!$C210,Конструкторы!I$37:I$1191)</f>
        <v>0</v>
      </c>
      <c r="E210" s="137">
        <f ca="1">SUMIF(Конструкторы!$C$35:$C$1191,Обеспечение!$C210,Конструкторы!J$37:J$1191)</f>
        <v>0</v>
      </c>
      <c r="F210" s="137">
        <f ca="1">SUMIF(Конструкторы!$C$35:$C$1191,Обеспечение!$C210,Конструкторы!K$37:K$1191)</f>
        <v>0</v>
      </c>
      <c r="G210" s="137">
        <f ca="1">SUMIF(Конструкторы!$C$35:$C$1191,Обеспечение!$C210,Конструкторы!L$37:L$1191)</f>
        <v>0</v>
      </c>
      <c r="H210" s="137">
        <f ca="1">SUMIF(Конструкторы!$C$35:$C$1191,Обеспечение!$C210,Конструкторы!M$37:M$1191)</f>
        <v>0</v>
      </c>
      <c r="I210" s="137">
        <f ca="1">SUMIF(Конструкторы!$C$35:$C$1191,Обеспечение!$C210,Конструкторы!N$37:N$1191)</f>
        <v>0</v>
      </c>
      <c r="J210" s="137">
        <f ca="1">SUMIF(Конструкторы!$C$35:$C$1191,Обеспечение!$C210,Конструкторы!O$37:O$1191)</f>
        <v>0</v>
      </c>
      <c r="K210" s="137">
        <f ca="1">SUMIF(Конструкторы!$C$35:$C$1191,Обеспечение!$C210,Конструкторы!P$37:P$1191)</f>
        <v>0</v>
      </c>
      <c r="L210" s="137">
        <f ca="1">SUMIF(Конструкторы!$C$35:$C$1191,Обеспечение!$C210,Конструкторы!Q$37:Q$1191)</f>
        <v>0</v>
      </c>
      <c r="M210" s="137">
        <f ca="1">SUMIF(Конструкторы!$C$35:$C$1191,Обеспечение!$C210,Конструкторы!R$37:R$1191)</f>
        <v>0</v>
      </c>
      <c r="N210" s="137">
        <f ca="1">SUMIF(Конструкторы!$C$35:$C$1191,Обеспечение!$C210,Конструкторы!S$37:S$1191)</f>
        <v>0</v>
      </c>
      <c r="O210" s="137">
        <f ca="1">SUMIF(Конструкторы!$C$35:$C$1191,Обеспечение!$C210,Конструкторы!T$37:T$1191)</f>
        <v>0</v>
      </c>
    </row>
    <row r="211" spans="3:15" ht="15.75" x14ac:dyDescent="0.25">
      <c r="C211" s="31" t="s">
        <v>81</v>
      </c>
      <c r="D211" s="137">
        <f ca="1">SUMIF(Конструкторы!$C$35:$C$1191,Обеспечение!$C211,Конструкторы!I$37:I$1191)</f>
        <v>0</v>
      </c>
      <c r="E211" s="137">
        <f ca="1">SUMIF(Конструкторы!$C$35:$C$1191,Обеспечение!$C211,Конструкторы!J$37:J$1191)</f>
        <v>0</v>
      </c>
      <c r="F211" s="137">
        <f ca="1">SUMIF(Конструкторы!$C$35:$C$1191,Обеспечение!$C211,Конструкторы!K$37:K$1191)</f>
        <v>0</v>
      </c>
      <c r="G211" s="137">
        <f ca="1">SUMIF(Конструкторы!$C$35:$C$1191,Обеспечение!$C211,Конструкторы!L$37:L$1191)</f>
        <v>0</v>
      </c>
      <c r="H211" s="137">
        <f ca="1">SUMIF(Конструкторы!$C$35:$C$1191,Обеспечение!$C211,Конструкторы!M$37:M$1191)</f>
        <v>0</v>
      </c>
      <c r="I211" s="137">
        <f ca="1">SUMIF(Конструкторы!$C$35:$C$1191,Обеспечение!$C211,Конструкторы!N$37:N$1191)</f>
        <v>0</v>
      </c>
      <c r="J211" s="137">
        <f ca="1">SUMIF(Конструкторы!$C$35:$C$1191,Обеспечение!$C211,Конструкторы!O$37:O$1191)</f>
        <v>0</v>
      </c>
      <c r="K211" s="137">
        <f ca="1">SUMIF(Конструкторы!$C$35:$C$1191,Обеспечение!$C211,Конструкторы!P$37:P$1191)</f>
        <v>0</v>
      </c>
      <c r="L211" s="137">
        <f ca="1">SUMIF(Конструкторы!$C$35:$C$1191,Обеспечение!$C211,Конструкторы!Q$37:Q$1191)</f>
        <v>0</v>
      </c>
      <c r="M211" s="137">
        <f ca="1">SUMIF(Конструкторы!$C$35:$C$1191,Обеспечение!$C211,Конструкторы!R$37:R$1191)</f>
        <v>0</v>
      </c>
      <c r="N211" s="137">
        <f ca="1">SUMIF(Конструкторы!$C$35:$C$1191,Обеспечение!$C211,Конструкторы!S$37:S$1191)</f>
        <v>0</v>
      </c>
      <c r="O211" s="137">
        <f ca="1">SUMIF(Конструкторы!$C$35:$C$1191,Обеспечение!$C211,Конструкторы!T$37:T$1191)</f>
        <v>0</v>
      </c>
    </row>
    <row r="212" spans="3:15" ht="15.75" x14ac:dyDescent="0.25">
      <c r="C212" s="31" t="s">
        <v>82</v>
      </c>
      <c r="D212" s="137">
        <f ca="1">SUMIF(Конструкторы!$C$35:$C$1191,Обеспечение!$C212,Конструкторы!I$37:I$1191)</f>
        <v>0</v>
      </c>
      <c r="E212" s="137">
        <f ca="1">SUMIF(Конструкторы!$C$35:$C$1191,Обеспечение!$C212,Конструкторы!J$37:J$1191)</f>
        <v>0</v>
      </c>
      <c r="F212" s="137">
        <f ca="1">SUMIF(Конструкторы!$C$35:$C$1191,Обеспечение!$C212,Конструкторы!K$37:K$1191)</f>
        <v>0</v>
      </c>
      <c r="G212" s="137">
        <f ca="1">SUMIF(Конструкторы!$C$35:$C$1191,Обеспечение!$C212,Конструкторы!L$37:L$1191)</f>
        <v>0</v>
      </c>
      <c r="H212" s="137">
        <f ca="1">SUMIF(Конструкторы!$C$35:$C$1191,Обеспечение!$C212,Конструкторы!M$37:M$1191)</f>
        <v>0</v>
      </c>
      <c r="I212" s="137">
        <f ca="1">SUMIF(Конструкторы!$C$35:$C$1191,Обеспечение!$C212,Конструкторы!N$37:N$1191)</f>
        <v>0</v>
      </c>
      <c r="J212" s="137">
        <f ca="1">SUMIF(Конструкторы!$C$35:$C$1191,Обеспечение!$C212,Конструкторы!O$37:O$1191)</f>
        <v>0</v>
      </c>
      <c r="K212" s="137">
        <f ca="1">SUMIF(Конструкторы!$C$35:$C$1191,Обеспечение!$C212,Конструкторы!P$37:P$1191)</f>
        <v>0</v>
      </c>
      <c r="L212" s="137">
        <f ca="1">SUMIF(Конструкторы!$C$35:$C$1191,Обеспечение!$C212,Конструкторы!Q$37:Q$1191)</f>
        <v>0</v>
      </c>
      <c r="M212" s="137">
        <f ca="1">SUMIF(Конструкторы!$C$35:$C$1191,Обеспечение!$C212,Конструкторы!R$37:R$1191)</f>
        <v>0</v>
      </c>
      <c r="N212" s="137">
        <f ca="1">SUMIF(Конструкторы!$C$35:$C$1191,Обеспечение!$C212,Конструкторы!S$37:S$1191)</f>
        <v>0</v>
      </c>
      <c r="O212" s="137">
        <f ca="1">SUMIF(Конструкторы!$C$35:$C$1191,Обеспечение!$C212,Конструкторы!T$37:T$1191)</f>
        <v>0</v>
      </c>
    </row>
    <row r="213" spans="3:15" ht="15.75" x14ac:dyDescent="0.25">
      <c r="C213" s="31" t="s">
        <v>73</v>
      </c>
      <c r="D213" s="137">
        <f ca="1">SUMIF(Конструкторы!$C$35:$C$1191,Обеспечение!$C213,Конструкторы!I$37:I$1191)</f>
        <v>204</v>
      </c>
      <c r="E213" s="137">
        <f ca="1">SUMIF(Конструкторы!$C$35:$C$1191,Обеспечение!$C213,Конструкторы!J$37:J$1191)</f>
        <v>0</v>
      </c>
      <c r="F213" s="137">
        <f ca="1">SUMIF(Конструкторы!$C$35:$C$1191,Обеспечение!$C213,Конструкторы!K$37:K$1191)</f>
        <v>0</v>
      </c>
      <c r="G213" s="137">
        <f ca="1">SUMIF(Конструкторы!$C$35:$C$1191,Обеспечение!$C213,Конструкторы!L$37:L$1191)</f>
        <v>0</v>
      </c>
      <c r="H213" s="137">
        <f ca="1">SUMIF(Конструкторы!$C$35:$C$1191,Обеспечение!$C213,Конструкторы!M$37:M$1191)</f>
        <v>0</v>
      </c>
      <c r="I213" s="137">
        <f ca="1">SUMIF(Конструкторы!$C$35:$C$1191,Обеспечение!$C213,Конструкторы!N$37:N$1191)</f>
        <v>0</v>
      </c>
      <c r="J213" s="137">
        <f ca="1">SUMIF(Конструкторы!$C$35:$C$1191,Обеспечение!$C213,Конструкторы!O$37:O$1191)</f>
        <v>0</v>
      </c>
      <c r="K213" s="137">
        <f ca="1">SUMIF(Конструкторы!$C$35:$C$1191,Обеспечение!$C213,Конструкторы!P$37:P$1191)</f>
        <v>0</v>
      </c>
      <c r="L213" s="137">
        <f ca="1">SUMIF(Конструкторы!$C$35:$C$1191,Обеспечение!$C213,Конструкторы!Q$37:Q$1191)</f>
        <v>0</v>
      </c>
      <c r="M213" s="137">
        <f ca="1">SUMIF(Конструкторы!$C$35:$C$1191,Обеспечение!$C213,Конструкторы!R$37:R$1191)</f>
        <v>0</v>
      </c>
      <c r="N213" s="137">
        <f ca="1">SUMIF(Конструкторы!$C$35:$C$1191,Обеспечение!$C213,Конструкторы!S$37:S$1191)</f>
        <v>0</v>
      </c>
      <c r="O213" s="137">
        <f ca="1">SUMIF(Конструкторы!$C$35:$C$1191,Обеспечение!$C213,Конструкторы!T$37:T$1191)</f>
        <v>0</v>
      </c>
    </row>
    <row r="214" spans="3:15" ht="15.75" x14ac:dyDescent="0.25">
      <c r="C214" s="31" t="s">
        <v>74</v>
      </c>
      <c r="D214" s="137">
        <f ca="1">SUMIF(Конструкторы!$C$35:$C$1191,Обеспечение!$C214,Конструкторы!I$37:I$1191)</f>
        <v>0</v>
      </c>
      <c r="E214" s="137">
        <f ca="1">SUMIF(Конструкторы!$C$35:$C$1191,Обеспечение!$C214,Конструкторы!J$37:J$1191)</f>
        <v>0</v>
      </c>
      <c r="F214" s="137">
        <f ca="1">SUMIF(Конструкторы!$C$35:$C$1191,Обеспечение!$C214,Конструкторы!K$37:K$1191)</f>
        <v>0</v>
      </c>
      <c r="G214" s="137">
        <f ca="1">SUMIF(Конструкторы!$C$35:$C$1191,Обеспечение!$C214,Конструкторы!L$37:L$1191)</f>
        <v>0</v>
      </c>
      <c r="H214" s="137">
        <f ca="1">SUMIF(Конструкторы!$C$35:$C$1191,Обеспечение!$C214,Конструкторы!M$37:M$1191)</f>
        <v>0</v>
      </c>
      <c r="I214" s="137">
        <f ca="1">SUMIF(Конструкторы!$C$35:$C$1191,Обеспечение!$C214,Конструкторы!N$37:N$1191)</f>
        <v>0</v>
      </c>
      <c r="J214" s="137">
        <f ca="1">SUMIF(Конструкторы!$C$35:$C$1191,Обеспечение!$C214,Конструкторы!O$37:O$1191)</f>
        <v>0</v>
      </c>
      <c r="K214" s="137">
        <f ca="1">SUMIF(Конструкторы!$C$35:$C$1191,Обеспечение!$C214,Конструкторы!P$37:P$1191)</f>
        <v>0</v>
      </c>
      <c r="L214" s="137">
        <f ca="1">SUMIF(Конструкторы!$C$35:$C$1191,Обеспечение!$C214,Конструкторы!Q$37:Q$1191)</f>
        <v>0</v>
      </c>
      <c r="M214" s="137">
        <f ca="1">SUMIF(Конструкторы!$C$35:$C$1191,Обеспечение!$C214,Конструкторы!R$37:R$1191)</f>
        <v>0</v>
      </c>
      <c r="N214" s="137">
        <f ca="1">SUMIF(Конструкторы!$C$35:$C$1191,Обеспечение!$C214,Конструкторы!S$37:S$1191)</f>
        <v>0</v>
      </c>
      <c r="O214" s="137">
        <f ca="1">SUMIF(Конструкторы!$C$35:$C$1191,Обеспечение!$C214,Конструкторы!T$37:T$1191)</f>
        <v>0</v>
      </c>
    </row>
    <row r="215" spans="3:15" ht="15.75" x14ac:dyDescent="0.25">
      <c r="C215" s="31" t="s">
        <v>72</v>
      </c>
      <c r="D215" s="137">
        <f ca="1">SUMIF(Конструкторы!$C$35:$C$1191,Обеспечение!$C215,Конструкторы!I$37:I$1191)</f>
        <v>0</v>
      </c>
      <c r="E215" s="137">
        <f ca="1">SUMIF(Конструкторы!$C$35:$C$1191,Обеспечение!$C215,Конструкторы!J$37:J$1191)</f>
        <v>0</v>
      </c>
      <c r="F215" s="137">
        <f ca="1">SUMIF(Конструкторы!$C$35:$C$1191,Обеспечение!$C215,Конструкторы!K$37:K$1191)</f>
        <v>0</v>
      </c>
      <c r="G215" s="137">
        <f ca="1">SUMIF(Конструкторы!$C$35:$C$1191,Обеспечение!$C215,Конструкторы!L$37:L$1191)</f>
        <v>0</v>
      </c>
      <c r="H215" s="137">
        <f ca="1">SUMIF(Конструкторы!$C$35:$C$1191,Обеспечение!$C215,Конструкторы!M$37:M$1191)</f>
        <v>0</v>
      </c>
      <c r="I215" s="137">
        <f ca="1">SUMIF(Конструкторы!$C$35:$C$1191,Обеспечение!$C215,Конструкторы!N$37:N$1191)</f>
        <v>0</v>
      </c>
      <c r="J215" s="137">
        <f ca="1">SUMIF(Конструкторы!$C$35:$C$1191,Обеспечение!$C215,Конструкторы!O$37:O$1191)</f>
        <v>0</v>
      </c>
      <c r="K215" s="137">
        <f ca="1">SUMIF(Конструкторы!$C$35:$C$1191,Обеспечение!$C215,Конструкторы!P$37:P$1191)</f>
        <v>0</v>
      </c>
      <c r="L215" s="137">
        <f ca="1">SUMIF(Конструкторы!$C$35:$C$1191,Обеспечение!$C215,Конструкторы!Q$37:Q$1191)</f>
        <v>0</v>
      </c>
      <c r="M215" s="137">
        <f ca="1">SUMIF(Конструкторы!$C$35:$C$1191,Обеспечение!$C215,Конструкторы!R$37:R$1191)</f>
        <v>0</v>
      </c>
      <c r="N215" s="137">
        <f ca="1">SUMIF(Конструкторы!$C$35:$C$1191,Обеспечение!$C215,Конструкторы!S$37:S$1191)</f>
        <v>0</v>
      </c>
      <c r="O215" s="137">
        <f ca="1">SUMIF(Конструкторы!$C$35:$C$1191,Обеспечение!$C215,Конструкторы!T$37:T$1191)</f>
        <v>0</v>
      </c>
    </row>
    <row r="216" spans="3:15" ht="15.75" x14ac:dyDescent="0.25">
      <c r="C216" s="31" t="s">
        <v>87</v>
      </c>
      <c r="D216" s="137">
        <f ca="1">SUMIF(Конструкторы!$C$35:$C$1191,Обеспечение!$C216,Конструкторы!I$37:I$1191)</f>
        <v>0</v>
      </c>
      <c r="E216" s="137">
        <f ca="1">SUMIF(Конструкторы!$C$35:$C$1191,Обеспечение!$C216,Конструкторы!J$37:J$1191)</f>
        <v>0</v>
      </c>
      <c r="F216" s="137">
        <f ca="1">SUMIF(Конструкторы!$C$35:$C$1191,Обеспечение!$C216,Конструкторы!K$37:K$1191)</f>
        <v>0</v>
      </c>
      <c r="G216" s="137">
        <f ca="1">SUMIF(Конструкторы!$C$35:$C$1191,Обеспечение!$C216,Конструкторы!L$37:L$1191)</f>
        <v>0</v>
      </c>
      <c r="H216" s="137">
        <f ca="1">SUMIF(Конструкторы!$C$35:$C$1191,Обеспечение!$C216,Конструкторы!M$37:M$1191)</f>
        <v>0</v>
      </c>
      <c r="I216" s="137">
        <f ca="1">SUMIF(Конструкторы!$C$35:$C$1191,Обеспечение!$C216,Конструкторы!N$37:N$1191)</f>
        <v>0</v>
      </c>
      <c r="J216" s="137">
        <f ca="1">SUMIF(Конструкторы!$C$35:$C$1191,Обеспечение!$C216,Конструкторы!O$37:O$1191)</f>
        <v>0</v>
      </c>
      <c r="K216" s="137">
        <f ca="1">SUMIF(Конструкторы!$C$35:$C$1191,Обеспечение!$C216,Конструкторы!P$37:P$1191)</f>
        <v>0</v>
      </c>
      <c r="L216" s="137">
        <f ca="1">SUMIF(Конструкторы!$C$35:$C$1191,Обеспечение!$C216,Конструкторы!Q$37:Q$1191)</f>
        <v>0</v>
      </c>
      <c r="M216" s="137">
        <f ca="1">SUMIF(Конструкторы!$C$35:$C$1191,Обеспечение!$C216,Конструкторы!R$37:R$1191)</f>
        <v>0</v>
      </c>
      <c r="N216" s="137">
        <f ca="1">SUMIF(Конструкторы!$C$35:$C$1191,Обеспечение!$C216,Конструкторы!S$37:S$1191)</f>
        <v>0</v>
      </c>
      <c r="O216" s="137">
        <f ca="1">SUMIF(Конструкторы!$C$35:$C$1191,Обеспечение!$C216,Конструкторы!T$37:T$1191)</f>
        <v>0</v>
      </c>
    </row>
    <row r="217" spans="3:15" ht="15.75" x14ac:dyDescent="0.25">
      <c r="C217" s="31" t="s">
        <v>77</v>
      </c>
      <c r="D217" s="137">
        <f ca="1">SUMIF(Конструкторы!$C$35:$C$1191,Обеспечение!$C217,Конструкторы!I$37:I$1191)</f>
        <v>366</v>
      </c>
      <c r="E217" s="137">
        <f ca="1">SUMIF(Конструкторы!$C$35:$C$1191,Обеспечение!$C217,Конструкторы!J$37:J$1191)</f>
        <v>0</v>
      </c>
      <c r="F217" s="137">
        <f ca="1">SUMIF(Конструкторы!$C$35:$C$1191,Обеспечение!$C217,Конструкторы!K$37:K$1191)</f>
        <v>0</v>
      </c>
      <c r="G217" s="137">
        <f ca="1">SUMIF(Конструкторы!$C$35:$C$1191,Обеспечение!$C217,Конструкторы!L$37:L$1191)</f>
        <v>0</v>
      </c>
      <c r="H217" s="137">
        <f ca="1">SUMIF(Конструкторы!$C$35:$C$1191,Обеспечение!$C217,Конструкторы!M$37:M$1191)</f>
        <v>0</v>
      </c>
      <c r="I217" s="137">
        <f ca="1">SUMIF(Конструкторы!$C$35:$C$1191,Обеспечение!$C217,Конструкторы!N$37:N$1191)</f>
        <v>0</v>
      </c>
      <c r="J217" s="137">
        <f ca="1">SUMIF(Конструкторы!$C$35:$C$1191,Обеспечение!$C217,Конструкторы!O$37:O$1191)</f>
        <v>0</v>
      </c>
      <c r="K217" s="137">
        <f ca="1">SUMIF(Конструкторы!$C$35:$C$1191,Обеспечение!$C217,Конструкторы!P$37:P$1191)</f>
        <v>0</v>
      </c>
      <c r="L217" s="137">
        <f ca="1">SUMIF(Конструкторы!$C$35:$C$1191,Обеспечение!$C217,Конструкторы!Q$37:Q$1191)</f>
        <v>0</v>
      </c>
      <c r="M217" s="137">
        <f ca="1">SUMIF(Конструкторы!$C$35:$C$1191,Обеспечение!$C217,Конструкторы!R$37:R$1191)</f>
        <v>0</v>
      </c>
      <c r="N217" s="137">
        <f ca="1">SUMIF(Конструкторы!$C$35:$C$1191,Обеспечение!$C217,Конструкторы!S$37:S$1191)</f>
        <v>0</v>
      </c>
      <c r="O217" s="137">
        <f ca="1">SUMIF(Конструкторы!$C$35:$C$1191,Обеспечение!$C217,Конструкторы!T$37:T$1191)</f>
        <v>0</v>
      </c>
    </row>
    <row r="218" spans="3:15" ht="15.75" x14ac:dyDescent="0.25">
      <c r="C218" s="31" t="s">
        <v>88</v>
      </c>
      <c r="D218" s="137">
        <f ca="1">SUMIF(Конструкторы!$C$35:$C$1191,Обеспечение!$C218,Конструкторы!I$37:I$1191)</f>
        <v>0</v>
      </c>
      <c r="E218" s="137">
        <f ca="1">SUMIF(Конструкторы!$C$35:$C$1191,Обеспечение!$C218,Конструкторы!J$37:J$1191)</f>
        <v>0</v>
      </c>
      <c r="F218" s="137">
        <f ca="1">SUMIF(Конструкторы!$C$35:$C$1191,Обеспечение!$C218,Конструкторы!K$37:K$1191)</f>
        <v>0</v>
      </c>
      <c r="G218" s="137">
        <f ca="1">SUMIF(Конструкторы!$C$35:$C$1191,Обеспечение!$C218,Конструкторы!L$37:L$1191)</f>
        <v>0</v>
      </c>
      <c r="H218" s="137">
        <f ca="1">SUMIF(Конструкторы!$C$35:$C$1191,Обеспечение!$C218,Конструкторы!M$37:M$1191)</f>
        <v>0</v>
      </c>
      <c r="I218" s="137">
        <f ca="1">SUMIF(Конструкторы!$C$35:$C$1191,Обеспечение!$C218,Конструкторы!N$37:N$1191)</f>
        <v>0</v>
      </c>
      <c r="J218" s="137">
        <f ca="1">SUMIF(Конструкторы!$C$35:$C$1191,Обеспечение!$C218,Конструкторы!O$37:O$1191)</f>
        <v>0</v>
      </c>
      <c r="K218" s="137">
        <f ca="1">SUMIF(Конструкторы!$C$35:$C$1191,Обеспечение!$C218,Конструкторы!P$37:P$1191)</f>
        <v>0</v>
      </c>
      <c r="L218" s="137">
        <f ca="1">SUMIF(Конструкторы!$C$35:$C$1191,Обеспечение!$C218,Конструкторы!Q$37:Q$1191)</f>
        <v>0</v>
      </c>
      <c r="M218" s="137">
        <f ca="1">SUMIF(Конструкторы!$C$35:$C$1191,Обеспечение!$C218,Конструкторы!R$37:R$1191)</f>
        <v>0</v>
      </c>
      <c r="N218" s="137">
        <f ca="1">SUMIF(Конструкторы!$C$35:$C$1191,Обеспечение!$C218,Конструкторы!S$37:S$1191)</f>
        <v>0</v>
      </c>
      <c r="O218" s="137">
        <f ca="1">SUMIF(Конструкторы!$C$35:$C$1191,Обеспечение!$C218,Конструкторы!T$37:T$1191)</f>
        <v>0</v>
      </c>
    </row>
    <row r="219" spans="3:15" ht="15.75" x14ac:dyDescent="0.25">
      <c r="C219" s="31" t="s">
        <v>89</v>
      </c>
      <c r="D219" s="137">
        <f ca="1">SUMIF(Конструкторы!$C$35:$C$1191,Обеспечение!$C219,Конструкторы!I$37:I$1191)</f>
        <v>0</v>
      </c>
      <c r="E219" s="137">
        <f ca="1">SUMIF(Конструкторы!$C$35:$C$1191,Обеспечение!$C219,Конструкторы!J$37:J$1191)</f>
        <v>0</v>
      </c>
      <c r="F219" s="137">
        <f ca="1">SUMIF(Конструкторы!$C$35:$C$1191,Обеспечение!$C219,Конструкторы!K$37:K$1191)</f>
        <v>0</v>
      </c>
      <c r="G219" s="137">
        <f ca="1">SUMIF(Конструкторы!$C$35:$C$1191,Обеспечение!$C219,Конструкторы!L$37:L$1191)</f>
        <v>0</v>
      </c>
      <c r="H219" s="137">
        <f ca="1">SUMIF(Конструкторы!$C$35:$C$1191,Обеспечение!$C219,Конструкторы!M$37:M$1191)</f>
        <v>0</v>
      </c>
      <c r="I219" s="137">
        <f ca="1">SUMIF(Конструкторы!$C$35:$C$1191,Обеспечение!$C219,Конструкторы!N$37:N$1191)</f>
        <v>0</v>
      </c>
      <c r="J219" s="137">
        <f ca="1">SUMIF(Конструкторы!$C$35:$C$1191,Обеспечение!$C219,Конструкторы!O$37:O$1191)</f>
        <v>0</v>
      </c>
      <c r="K219" s="137">
        <f ca="1">SUMIF(Конструкторы!$C$35:$C$1191,Обеспечение!$C219,Конструкторы!P$37:P$1191)</f>
        <v>0</v>
      </c>
      <c r="L219" s="137">
        <f ca="1">SUMIF(Конструкторы!$C$35:$C$1191,Обеспечение!$C219,Конструкторы!Q$37:Q$1191)</f>
        <v>0</v>
      </c>
      <c r="M219" s="137">
        <f ca="1">SUMIF(Конструкторы!$C$35:$C$1191,Обеспечение!$C219,Конструкторы!R$37:R$1191)</f>
        <v>0</v>
      </c>
      <c r="N219" s="137">
        <f ca="1">SUMIF(Конструкторы!$C$35:$C$1191,Обеспечение!$C219,Конструкторы!S$37:S$1191)</f>
        <v>0</v>
      </c>
      <c r="O219" s="137">
        <f ca="1">SUMIF(Конструкторы!$C$35:$C$1191,Обеспечение!$C219,Конструкторы!T$37:T$1191)</f>
        <v>0</v>
      </c>
    </row>
    <row r="220" spans="3:15" ht="15.75" x14ac:dyDescent="0.25">
      <c r="C220" s="32" t="s">
        <v>91</v>
      </c>
      <c r="D220" s="137">
        <f ca="1">SUMIF(Конструкторы!$C$35:$C$1191,Обеспечение!$C220,Конструкторы!I$37:I$1191)</f>
        <v>0</v>
      </c>
      <c r="E220" s="137">
        <f ca="1">SUMIF(Конструкторы!$C$35:$C$1191,Обеспечение!$C220,Конструкторы!J$37:J$1191)</f>
        <v>0</v>
      </c>
      <c r="F220" s="137">
        <f ca="1">SUMIF(Конструкторы!$C$35:$C$1191,Обеспечение!$C220,Конструкторы!K$37:K$1191)</f>
        <v>0</v>
      </c>
      <c r="G220" s="137">
        <f ca="1">SUMIF(Конструкторы!$C$35:$C$1191,Обеспечение!$C220,Конструкторы!L$37:L$1191)</f>
        <v>0</v>
      </c>
      <c r="H220" s="137">
        <f ca="1">SUMIF(Конструкторы!$C$35:$C$1191,Обеспечение!$C220,Конструкторы!M$37:M$1191)</f>
        <v>0</v>
      </c>
      <c r="I220" s="137">
        <f ca="1">SUMIF(Конструкторы!$C$35:$C$1191,Обеспечение!$C220,Конструкторы!N$37:N$1191)</f>
        <v>0</v>
      </c>
      <c r="J220" s="137">
        <f ca="1">SUMIF(Конструкторы!$C$35:$C$1191,Обеспечение!$C220,Конструкторы!O$37:O$1191)</f>
        <v>0</v>
      </c>
      <c r="K220" s="137">
        <f ca="1">SUMIF(Конструкторы!$C$35:$C$1191,Обеспечение!$C220,Конструкторы!P$37:P$1191)</f>
        <v>0</v>
      </c>
      <c r="L220" s="137">
        <f ca="1">SUMIF(Конструкторы!$C$35:$C$1191,Обеспечение!$C220,Конструкторы!Q$37:Q$1191)</f>
        <v>0</v>
      </c>
      <c r="M220" s="137">
        <f ca="1">SUMIF(Конструкторы!$C$35:$C$1191,Обеспечение!$C220,Конструкторы!R$37:R$1191)</f>
        <v>0</v>
      </c>
      <c r="N220" s="137">
        <f ca="1">SUMIF(Конструкторы!$C$35:$C$1191,Обеспечение!$C220,Конструкторы!S$37:S$1191)</f>
        <v>0</v>
      </c>
      <c r="O220" s="137">
        <f ca="1">SUMIF(Конструкторы!$C$35:$C$1191,Обеспечение!$C220,Конструкторы!T$37:T$1191)</f>
        <v>0</v>
      </c>
    </row>
    <row r="221" spans="3:15" ht="15.75" x14ac:dyDescent="0.25">
      <c r="C221" s="32" t="s">
        <v>92</v>
      </c>
      <c r="D221" s="137">
        <f ca="1">SUMIF(Конструкторы!$C$35:$C$1191,Обеспечение!$C221,Конструкторы!I$37:I$1191)</f>
        <v>0</v>
      </c>
      <c r="E221" s="137">
        <f ca="1">SUMIF(Конструкторы!$C$35:$C$1191,Обеспечение!$C221,Конструкторы!J$37:J$1191)</f>
        <v>0</v>
      </c>
      <c r="F221" s="137">
        <f ca="1">SUMIF(Конструкторы!$C$35:$C$1191,Обеспечение!$C221,Конструкторы!K$37:K$1191)</f>
        <v>0</v>
      </c>
      <c r="G221" s="137">
        <f ca="1">SUMIF(Конструкторы!$C$35:$C$1191,Обеспечение!$C221,Конструкторы!L$37:L$1191)</f>
        <v>0</v>
      </c>
      <c r="H221" s="137">
        <f ca="1">SUMIF(Конструкторы!$C$35:$C$1191,Обеспечение!$C221,Конструкторы!M$37:M$1191)</f>
        <v>0</v>
      </c>
      <c r="I221" s="137">
        <f ca="1">SUMIF(Конструкторы!$C$35:$C$1191,Обеспечение!$C221,Конструкторы!N$37:N$1191)</f>
        <v>0</v>
      </c>
      <c r="J221" s="137">
        <f ca="1">SUMIF(Конструкторы!$C$35:$C$1191,Обеспечение!$C221,Конструкторы!O$37:O$1191)</f>
        <v>0</v>
      </c>
      <c r="K221" s="137">
        <f ca="1">SUMIF(Конструкторы!$C$35:$C$1191,Обеспечение!$C221,Конструкторы!P$37:P$1191)</f>
        <v>0</v>
      </c>
      <c r="L221" s="137">
        <f ca="1">SUMIF(Конструкторы!$C$35:$C$1191,Обеспечение!$C221,Конструкторы!Q$37:Q$1191)</f>
        <v>0</v>
      </c>
      <c r="M221" s="137">
        <f ca="1">SUMIF(Конструкторы!$C$35:$C$1191,Обеспечение!$C221,Конструкторы!R$37:R$1191)</f>
        <v>0</v>
      </c>
      <c r="N221" s="137">
        <f ca="1">SUMIF(Конструкторы!$C$35:$C$1191,Обеспечение!$C221,Конструкторы!S$37:S$1191)</f>
        <v>0</v>
      </c>
      <c r="O221" s="137">
        <f ca="1">SUMIF(Конструкторы!$C$35:$C$1191,Обеспечение!$C221,Конструкторы!T$37:T$1191)</f>
        <v>0</v>
      </c>
    </row>
    <row r="222" spans="3:15" ht="15.75" x14ac:dyDescent="0.25">
      <c r="C222" s="32" t="s">
        <v>93</v>
      </c>
      <c r="D222" s="137">
        <f ca="1">SUMIF(Конструкторы!$C$35:$C$1191,Обеспечение!$C222,Конструкторы!I$37:I$1191)</f>
        <v>0</v>
      </c>
      <c r="E222" s="137">
        <f ca="1">SUMIF(Конструкторы!$C$35:$C$1191,Обеспечение!$C222,Конструкторы!J$37:J$1191)</f>
        <v>0</v>
      </c>
      <c r="F222" s="137">
        <f ca="1">SUMIF(Конструкторы!$C$35:$C$1191,Обеспечение!$C222,Конструкторы!K$37:K$1191)</f>
        <v>0</v>
      </c>
      <c r="G222" s="137">
        <f ca="1">SUMIF(Конструкторы!$C$35:$C$1191,Обеспечение!$C222,Конструкторы!L$37:L$1191)</f>
        <v>0</v>
      </c>
      <c r="H222" s="137">
        <f ca="1">SUMIF(Конструкторы!$C$35:$C$1191,Обеспечение!$C222,Конструкторы!M$37:M$1191)</f>
        <v>0</v>
      </c>
      <c r="I222" s="137">
        <f ca="1">SUMIF(Конструкторы!$C$35:$C$1191,Обеспечение!$C222,Конструкторы!N$37:N$1191)</f>
        <v>0</v>
      </c>
      <c r="J222" s="137">
        <f ca="1">SUMIF(Конструкторы!$C$35:$C$1191,Обеспечение!$C222,Конструкторы!O$37:O$1191)</f>
        <v>0</v>
      </c>
      <c r="K222" s="137">
        <f ca="1">SUMIF(Конструкторы!$C$35:$C$1191,Обеспечение!$C222,Конструкторы!P$37:P$1191)</f>
        <v>0</v>
      </c>
      <c r="L222" s="137">
        <f ca="1">SUMIF(Конструкторы!$C$35:$C$1191,Обеспечение!$C222,Конструкторы!Q$37:Q$1191)</f>
        <v>0</v>
      </c>
      <c r="M222" s="137">
        <f ca="1">SUMIF(Конструкторы!$C$35:$C$1191,Обеспечение!$C222,Конструкторы!R$37:R$1191)</f>
        <v>0</v>
      </c>
      <c r="N222" s="137">
        <f ca="1">SUMIF(Конструкторы!$C$35:$C$1191,Обеспечение!$C222,Конструкторы!S$37:S$1191)</f>
        <v>0</v>
      </c>
      <c r="O222" s="137">
        <f ca="1">SUMIF(Конструкторы!$C$35:$C$1191,Обеспечение!$C222,Конструкторы!T$37:T$1191)</f>
        <v>0</v>
      </c>
    </row>
    <row r="223" spans="3:15" ht="15.75" x14ac:dyDescent="0.25">
      <c r="C223" s="32" t="s">
        <v>94</v>
      </c>
      <c r="D223" s="137">
        <f ca="1">SUMIF(Конструкторы!$C$35:$C$1191,Обеспечение!$C223,Конструкторы!I$37:I$1191)</f>
        <v>0</v>
      </c>
      <c r="E223" s="137">
        <f ca="1">SUMIF(Конструкторы!$C$35:$C$1191,Обеспечение!$C223,Конструкторы!J$37:J$1191)</f>
        <v>0</v>
      </c>
      <c r="F223" s="137">
        <f ca="1">SUMIF(Конструкторы!$C$35:$C$1191,Обеспечение!$C223,Конструкторы!K$37:K$1191)</f>
        <v>0</v>
      </c>
      <c r="G223" s="137">
        <f ca="1">SUMIF(Конструкторы!$C$35:$C$1191,Обеспечение!$C223,Конструкторы!L$37:L$1191)</f>
        <v>0</v>
      </c>
      <c r="H223" s="137">
        <f ca="1">SUMIF(Конструкторы!$C$35:$C$1191,Обеспечение!$C223,Конструкторы!M$37:M$1191)</f>
        <v>0</v>
      </c>
      <c r="I223" s="137">
        <f ca="1">SUMIF(Конструкторы!$C$35:$C$1191,Обеспечение!$C223,Конструкторы!N$37:N$1191)</f>
        <v>0</v>
      </c>
      <c r="J223" s="137">
        <f ca="1">SUMIF(Конструкторы!$C$35:$C$1191,Обеспечение!$C223,Конструкторы!O$37:O$1191)</f>
        <v>0</v>
      </c>
      <c r="K223" s="137">
        <f ca="1">SUMIF(Конструкторы!$C$35:$C$1191,Обеспечение!$C223,Конструкторы!P$37:P$1191)</f>
        <v>0</v>
      </c>
      <c r="L223" s="137">
        <f ca="1">SUMIF(Конструкторы!$C$35:$C$1191,Обеспечение!$C223,Конструкторы!Q$37:Q$1191)</f>
        <v>0</v>
      </c>
      <c r="M223" s="137">
        <f ca="1">SUMIF(Конструкторы!$C$35:$C$1191,Обеспечение!$C223,Конструкторы!R$37:R$1191)</f>
        <v>0</v>
      </c>
      <c r="N223" s="137">
        <f ca="1">SUMIF(Конструкторы!$C$35:$C$1191,Обеспечение!$C223,Конструкторы!S$37:S$1191)</f>
        <v>0</v>
      </c>
      <c r="O223" s="137">
        <f ca="1">SUMIF(Конструкторы!$C$35:$C$1191,Обеспечение!$C223,Конструкторы!T$37:T$1191)</f>
        <v>0</v>
      </c>
    </row>
    <row r="224" spans="3:15" ht="47.25" x14ac:dyDescent="0.25">
      <c r="C224" s="33" t="s">
        <v>95</v>
      </c>
      <c r="D224" s="137">
        <f ca="1">SUMIF(Конструкторы!$C$35:$C$1191,Обеспечение!$C224,Конструкторы!I$37:I$1191)</f>
        <v>0</v>
      </c>
      <c r="E224" s="137">
        <f ca="1">SUMIF(Конструкторы!$C$35:$C$1191,Обеспечение!$C224,Конструкторы!J$37:J$1191)</f>
        <v>0</v>
      </c>
      <c r="F224" s="137">
        <f ca="1">SUMIF(Конструкторы!$C$35:$C$1191,Обеспечение!$C224,Конструкторы!K$37:K$1191)</f>
        <v>0</v>
      </c>
      <c r="G224" s="137">
        <f ca="1">SUMIF(Конструкторы!$C$35:$C$1191,Обеспечение!$C224,Конструкторы!L$37:L$1191)</f>
        <v>0</v>
      </c>
      <c r="H224" s="137">
        <f ca="1">SUMIF(Конструкторы!$C$35:$C$1191,Обеспечение!$C224,Конструкторы!M$37:M$1191)</f>
        <v>0</v>
      </c>
      <c r="I224" s="137">
        <f ca="1">SUMIF(Конструкторы!$C$35:$C$1191,Обеспечение!$C224,Конструкторы!N$37:N$1191)</f>
        <v>0</v>
      </c>
      <c r="J224" s="137">
        <f ca="1">SUMIF(Конструкторы!$C$35:$C$1191,Обеспечение!$C224,Конструкторы!O$37:O$1191)</f>
        <v>0</v>
      </c>
      <c r="K224" s="137">
        <f ca="1">SUMIF(Конструкторы!$C$35:$C$1191,Обеспечение!$C224,Конструкторы!P$37:P$1191)</f>
        <v>0</v>
      </c>
      <c r="L224" s="137">
        <f ca="1">SUMIF(Конструкторы!$C$35:$C$1191,Обеспечение!$C224,Конструкторы!Q$37:Q$1191)</f>
        <v>0</v>
      </c>
      <c r="M224" s="137">
        <f ca="1">SUMIF(Конструкторы!$C$35:$C$1191,Обеспечение!$C224,Конструкторы!R$37:R$1191)</f>
        <v>0</v>
      </c>
      <c r="N224" s="137">
        <f ca="1">SUMIF(Конструкторы!$C$35:$C$1191,Обеспечение!$C224,Конструкторы!S$37:S$1191)</f>
        <v>0</v>
      </c>
      <c r="O224" s="137">
        <f ca="1">SUMIF(Конструкторы!$C$35:$C$1191,Обеспечение!$C224,Конструкторы!T$37:T$1191)</f>
        <v>0</v>
      </c>
    </row>
    <row r="225" spans="3:15" ht="15.75" x14ac:dyDescent="0.25">
      <c r="C225" s="26" t="s">
        <v>96</v>
      </c>
      <c r="D225" s="137">
        <f ca="1">SUMIF(Конструкторы!$C$35:$C$1191,Обеспечение!$C225,Конструкторы!I$37:I$1191)</f>
        <v>0</v>
      </c>
      <c r="E225" s="137">
        <f ca="1">SUMIF(Конструкторы!$C$35:$C$1191,Обеспечение!$C225,Конструкторы!J$37:J$1191)</f>
        <v>0</v>
      </c>
      <c r="F225" s="137">
        <f ca="1">SUMIF(Конструкторы!$C$35:$C$1191,Обеспечение!$C225,Конструкторы!K$37:K$1191)</f>
        <v>0</v>
      </c>
      <c r="G225" s="137">
        <f ca="1">SUMIF(Конструкторы!$C$35:$C$1191,Обеспечение!$C225,Конструкторы!L$37:L$1191)</f>
        <v>0</v>
      </c>
      <c r="H225" s="137">
        <f ca="1">SUMIF(Конструкторы!$C$35:$C$1191,Обеспечение!$C225,Конструкторы!M$37:M$1191)</f>
        <v>0</v>
      </c>
      <c r="I225" s="137">
        <f ca="1">SUMIF(Конструкторы!$C$35:$C$1191,Обеспечение!$C225,Конструкторы!N$37:N$1191)</f>
        <v>0</v>
      </c>
      <c r="J225" s="137">
        <f ca="1">SUMIF(Конструкторы!$C$35:$C$1191,Обеспечение!$C225,Конструкторы!O$37:O$1191)</f>
        <v>0</v>
      </c>
      <c r="K225" s="137">
        <f ca="1">SUMIF(Конструкторы!$C$35:$C$1191,Обеспечение!$C225,Конструкторы!P$37:P$1191)</f>
        <v>0</v>
      </c>
      <c r="L225" s="137">
        <f ca="1">SUMIF(Конструкторы!$C$35:$C$1191,Обеспечение!$C225,Конструкторы!Q$37:Q$1191)</f>
        <v>0</v>
      </c>
      <c r="M225" s="137">
        <f ca="1">SUMIF(Конструкторы!$C$35:$C$1191,Обеспечение!$C225,Конструкторы!R$37:R$1191)</f>
        <v>0</v>
      </c>
      <c r="N225" s="137">
        <f ca="1">SUMIF(Конструкторы!$C$35:$C$1191,Обеспечение!$C225,Конструкторы!S$37:S$1191)</f>
        <v>0</v>
      </c>
      <c r="O225" s="137">
        <f ca="1">SUMIF(Конструкторы!$C$35:$C$1191,Обеспечение!$C225,Конструкторы!T$37:T$1191)</f>
        <v>0</v>
      </c>
    </row>
    <row r="226" spans="3:15" ht="15.75" x14ac:dyDescent="0.25">
      <c r="C226" s="26" t="s">
        <v>98</v>
      </c>
      <c r="D226" s="137">
        <f ca="1">SUMIF(Конструкторы!$C$35:$C$1191,Обеспечение!$C226,Конструкторы!I$37:I$1191)</f>
        <v>0</v>
      </c>
      <c r="E226" s="137">
        <f ca="1">SUMIF(Конструкторы!$C$35:$C$1191,Обеспечение!$C226,Конструкторы!J$37:J$1191)</f>
        <v>0</v>
      </c>
      <c r="F226" s="137">
        <f ca="1">SUMIF(Конструкторы!$C$35:$C$1191,Обеспечение!$C226,Конструкторы!K$37:K$1191)</f>
        <v>0</v>
      </c>
      <c r="G226" s="137">
        <f ca="1">SUMIF(Конструкторы!$C$35:$C$1191,Обеспечение!$C226,Конструкторы!L$37:L$1191)</f>
        <v>0</v>
      </c>
      <c r="H226" s="137">
        <f ca="1">SUMIF(Конструкторы!$C$35:$C$1191,Обеспечение!$C226,Конструкторы!M$37:M$1191)</f>
        <v>0</v>
      </c>
      <c r="I226" s="137">
        <f ca="1">SUMIF(Конструкторы!$C$35:$C$1191,Обеспечение!$C226,Конструкторы!N$37:N$1191)</f>
        <v>0</v>
      </c>
      <c r="J226" s="137">
        <f ca="1">SUMIF(Конструкторы!$C$35:$C$1191,Обеспечение!$C226,Конструкторы!O$37:O$1191)</f>
        <v>0</v>
      </c>
      <c r="K226" s="137">
        <f ca="1">SUMIF(Конструкторы!$C$35:$C$1191,Обеспечение!$C226,Конструкторы!P$37:P$1191)</f>
        <v>0</v>
      </c>
      <c r="L226" s="137">
        <f ca="1">SUMIF(Конструкторы!$C$35:$C$1191,Обеспечение!$C226,Конструкторы!Q$37:Q$1191)</f>
        <v>0</v>
      </c>
      <c r="M226" s="137">
        <f ca="1">SUMIF(Конструкторы!$C$35:$C$1191,Обеспечение!$C226,Конструкторы!R$37:R$1191)</f>
        <v>0</v>
      </c>
      <c r="N226" s="137">
        <f ca="1">SUMIF(Конструкторы!$C$35:$C$1191,Обеспечение!$C226,Конструкторы!S$37:S$1191)</f>
        <v>0</v>
      </c>
      <c r="O226" s="137">
        <f ca="1">SUMIF(Конструкторы!$C$35:$C$1191,Обеспечение!$C226,Конструкторы!T$37:T$1191)</f>
        <v>0</v>
      </c>
    </row>
    <row r="227" spans="3:15" ht="15.75" x14ac:dyDescent="0.25">
      <c r="C227" s="26" t="s">
        <v>99</v>
      </c>
      <c r="D227" s="137">
        <f ca="1">SUMIF(Конструкторы!$C$35:$C$1191,Обеспечение!$C227,Конструкторы!I$37:I$1191)</f>
        <v>0</v>
      </c>
      <c r="E227" s="137">
        <f ca="1">SUMIF(Конструкторы!$C$35:$C$1191,Обеспечение!$C227,Конструкторы!J$37:J$1191)</f>
        <v>0</v>
      </c>
      <c r="F227" s="137">
        <f ca="1">SUMIF(Конструкторы!$C$35:$C$1191,Обеспечение!$C227,Конструкторы!K$37:K$1191)</f>
        <v>0</v>
      </c>
      <c r="G227" s="137">
        <f ca="1">SUMIF(Конструкторы!$C$35:$C$1191,Обеспечение!$C227,Конструкторы!L$37:L$1191)</f>
        <v>0</v>
      </c>
      <c r="H227" s="137">
        <f ca="1">SUMIF(Конструкторы!$C$35:$C$1191,Обеспечение!$C227,Конструкторы!M$37:M$1191)</f>
        <v>0</v>
      </c>
      <c r="I227" s="137">
        <f ca="1">SUMIF(Конструкторы!$C$35:$C$1191,Обеспечение!$C227,Конструкторы!N$37:N$1191)</f>
        <v>0</v>
      </c>
      <c r="J227" s="137">
        <f ca="1">SUMIF(Конструкторы!$C$35:$C$1191,Обеспечение!$C227,Конструкторы!O$37:O$1191)</f>
        <v>0</v>
      </c>
      <c r="K227" s="137">
        <f ca="1">SUMIF(Конструкторы!$C$35:$C$1191,Обеспечение!$C227,Конструкторы!P$37:P$1191)</f>
        <v>0</v>
      </c>
      <c r="L227" s="137">
        <f ca="1">SUMIF(Конструкторы!$C$35:$C$1191,Обеспечение!$C227,Конструкторы!Q$37:Q$1191)</f>
        <v>0</v>
      </c>
      <c r="M227" s="137">
        <f ca="1">SUMIF(Конструкторы!$C$35:$C$1191,Обеспечение!$C227,Конструкторы!R$37:R$1191)</f>
        <v>0</v>
      </c>
      <c r="N227" s="137">
        <f ca="1">SUMIF(Конструкторы!$C$35:$C$1191,Обеспечение!$C227,Конструкторы!S$37:S$1191)</f>
        <v>0</v>
      </c>
      <c r="O227" s="137">
        <f ca="1">SUMIF(Конструкторы!$C$35:$C$1191,Обеспечение!$C227,Конструкторы!T$37:T$1191)</f>
        <v>0</v>
      </c>
    </row>
    <row r="228" spans="3:15" ht="15.75" x14ac:dyDescent="0.25">
      <c r="C228" s="26" t="s">
        <v>100</v>
      </c>
      <c r="D228" s="137">
        <f ca="1">SUMIF(Конструкторы!$C$35:$C$1191,Обеспечение!$C228,Конструкторы!I$37:I$1191)</f>
        <v>0</v>
      </c>
      <c r="E228" s="137">
        <f ca="1">SUMIF(Конструкторы!$C$35:$C$1191,Обеспечение!$C228,Конструкторы!J$37:J$1191)</f>
        <v>0</v>
      </c>
      <c r="F228" s="137">
        <f ca="1">SUMIF(Конструкторы!$C$35:$C$1191,Обеспечение!$C228,Конструкторы!K$37:K$1191)</f>
        <v>0</v>
      </c>
      <c r="G228" s="137">
        <f ca="1">SUMIF(Конструкторы!$C$35:$C$1191,Обеспечение!$C228,Конструкторы!L$37:L$1191)</f>
        <v>0</v>
      </c>
      <c r="H228" s="137">
        <f ca="1">SUMIF(Конструкторы!$C$35:$C$1191,Обеспечение!$C228,Конструкторы!M$37:M$1191)</f>
        <v>0</v>
      </c>
      <c r="I228" s="137">
        <f ca="1">SUMIF(Конструкторы!$C$35:$C$1191,Обеспечение!$C228,Конструкторы!N$37:N$1191)</f>
        <v>0</v>
      </c>
      <c r="J228" s="137">
        <f ca="1">SUMIF(Конструкторы!$C$35:$C$1191,Обеспечение!$C228,Конструкторы!O$37:O$1191)</f>
        <v>0</v>
      </c>
      <c r="K228" s="137">
        <f ca="1">SUMIF(Конструкторы!$C$35:$C$1191,Обеспечение!$C228,Конструкторы!P$37:P$1191)</f>
        <v>0</v>
      </c>
      <c r="L228" s="137">
        <f ca="1">SUMIF(Конструкторы!$C$35:$C$1191,Обеспечение!$C228,Конструкторы!Q$37:Q$1191)</f>
        <v>0</v>
      </c>
      <c r="M228" s="137">
        <f ca="1">SUMIF(Конструкторы!$C$35:$C$1191,Обеспечение!$C228,Конструкторы!R$37:R$1191)</f>
        <v>0</v>
      </c>
      <c r="N228" s="137">
        <f ca="1">SUMIF(Конструкторы!$C$35:$C$1191,Обеспечение!$C228,Конструкторы!S$37:S$1191)</f>
        <v>0</v>
      </c>
      <c r="O228" s="137">
        <f ca="1">SUMIF(Конструкторы!$C$35:$C$1191,Обеспечение!$C228,Конструкторы!T$37:T$1191)</f>
        <v>0</v>
      </c>
    </row>
    <row r="229" spans="3:15" ht="15.75" x14ac:dyDescent="0.25">
      <c r="C229" s="26" t="s">
        <v>97</v>
      </c>
      <c r="D229" s="137">
        <f ca="1">SUMIF(Конструкторы!$C$35:$C$1191,Обеспечение!$C229,Конструкторы!I$37:I$1191)</f>
        <v>0</v>
      </c>
      <c r="E229" s="137">
        <f ca="1">SUMIF(Конструкторы!$C$35:$C$1191,Обеспечение!$C229,Конструкторы!J$37:J$1191)</f>
        <v>0</v>
      </c>
      <c r="F229" s="137">
        <f ca="1">SUMIF(Конструкторы!$C$35:$C$1191,Обеспечение!$C229,Конструкторы!K$37:K$1191)</f>
        <v>0</v>
      </c>
      <c r="G229" s="137">
        <f ca="1">SUMIF(Конструкторы!$C$35:$C$1191,Обеспечение!$C229,Конструкторы!L$37:L$1191)</f>
        <v>0</v>
      </c>
      <c r="H229" s="137">
        <f ca="1">SUMIF(Конструкторы!$C$35:$C$1191,Обеспечение!$C229,Конструкторы!M$37:M$1191)</f>
        <v>0</v>
      </c>
      <c r="I229" s="137">
        <f ca="1">SUMIF(Конструкторы!$C$35:$C$1191,Обеспечение!$C229,Конструкторы!N$37:N$1191)</f>
        <v>0</v>
      </c>
      <c r="J229" s="137">
        <f ca="1">SUMIF(Конструкторы!$C$35:$C$1191,Обеспечение!$C229,Конструкторы!O$37:O$1191)</f>
        <v>0</v>
      </c>
      <c r="K229" s="137">
        <f ca="1">SUMIF(Конструкторы!$C$35:$C$1191,Обеспечение!$C229,Конструкторы!P$37:P$1191)</f>
        <v>0</v>
      </c>
      <c r="L229" s="137">
        <f ca="1">SUMIF(Конструкторы!$C$35:$C$1191,Обеспечение!$C229,Конструкторы!Q$37:Q$1191)</f>
        <v>0</v>
      </c>
      <c r="M229" s="137">
        <f ca="1">SUMIF(Конструкторы!$C$35:$C$1191,Обеспечение!$C229,Конструкторы!R$37:R$1191)</f>
        <v>0</v>
      </c>
      <c r="N229" s="137">
        <f ca="1">SUMIF(Конструкторы!$C$35:$C$1191,Обеспечение!$C229,Конструкторы!S$37:S$1191)</f>
        <v>0</v>
      </c>
      <c r="O229" s="137">
        <f ca="1">SUMIF(Конструкторы!$C$35:$C$1191,Обеспечение!$C229,Конструкторы!T$37:T$1191)</f>
        <v>0</v>
      </c>
    </row>
    <row r="230" spans="3:15" x14ac:dyDescent="0.25">
      <c r="C230" s="38" t="s">
        <v>389</v>
      </c>
      <c r="D230" s="137">
        <f ca="1">SUMIF(Конструкторы!$C$35:$C$1191,Обеспечение!$C230,Конструкторы!I$37:I$1191)</f>
        <v>0</v>
      </c>
      <c r="E230" s="137">
        <f ca="1">SUMIF(Конструкторы!$C$35:$C$1191,Обеспечение!$C230,Конструкторы!J$37:J$1191)</f>
        <v>0</v>
      </c>
      <c r="F230" s="137">
        <f ca="1">SUMIF(Конструкторы!$C$35:$C$1191,Обеспечение!$C230,Конструкторы!K$37:K$1191)</f>
        <v>0</v>
      </c>
      <c r="G230" s="137">
        <f ca="1">SUMIF(Конструкторы!$C$35:$C$1191,Обеспечение!$C230,Конструкторы!L$37:L$1191)</f>
        <v>0</v>
      </c>
      <c r="H230" s="137">
        <f ca="1">SUMIF(Конструкторы!$C$35:$C$1191,Обеспечение!$C230,Конструкторы!M$37:M$1191)</f>
        <v>0</v>
      </c>
      <c r="I230" s="137">
        <f ca="1">SUMIF(Конструкторы!$C$35:$C$1191,Обеспечение!$C230,Конструкторы!N$37:N$1191)</f>
        <v>0</v>
      </c>
      <c r="J230" s="137">
        <f ca="1">SUMIF(Конструкторы!$C$35:$C$1191,Обеспечение!$C230,Конструкторы!O$37:O$1191)</f>
        <v>0</v>
      </c>
      <c r="K230" s="137">
        <f ca="1">SUMIF(Конструкторы!$C$35:$C$1191,Обеспечение!$C230,Конструкторы!P$37:P$1191)</f>
        <v>0</v>
      </c>
      <c r="L230" s="137">
        <f ca="1">SUMIF(Конструкторы!$C$35:$C$1191,Обеспечение!$C230,Конструкторы!Q$37:Q$1191)</f>
        <v>0</v>
      </c>
      <c r="M230" s="137">
        <f ca="1">SUMIF(Конструкторы!$C$35:$C$1191,Обеспечение!$C230,Конструкторы!R$37:R$1191)</f>
        <v>0</v>
      </c>
      <c r="N230" s="137">
        <f ca="1">SUMIF(Конструкторы!$C$35:$C$1191,Обеспечение!$C230,Конструкторы!S$37:S$1191)</f>
        <v>0</v>
      </c>
      <c r="O230" s="137">
        <f ca="1">SUMIF(Конструкторы!$C$35:$C$1191,Обеспечение!$C230,Конструкторы!T$37:T$1191)</f>
        <v>0</v>
      </c>
    </row>
    <row r="231" spans="3:15" x14ac:dyDescent="0.25">
      <c r="C231" s="136" t="s">
        <v>453</v>
      </c>
      <c r="D231" s="137">
        <f ca="1">SUMIF(Конструкторы!$C$35:$C$1191,Обеспечение!$C231,Конструкторы!I$37:I$1191)</f>
        <v>0</v>
      </c>
      <c r="E231" s="137">
        <f ca="1">SUMIF(Конструкторы!$C$35:$C$1191,Обеспечение!$C231,Конструкторы!J$37:J$1191)</f>
        <v>0</v>
      </c>
      <c r="F231" s="137">
        <f ca="1">SUMIF(Конструкторы!$C$35:$C$1191,Обеспечение!$C231,Конструкторы!K$37:K$1191)</f>
        <v>0</v>
      </c>
      <c r="G231" s="137">
        <f ca="1">SUMIF(Конструкторы!$C$35:$C$1191,Обеспечение!$C231,Конструкторы!L$37:L$1191)</f>
        <v>0</v>
      </c>
      <c r="H231" s="137">
        <f ca="1">SUMIF(Конструкторы!$C$35:$C$1191,Обеспечение!$C231,Конструкторы!M$37:M$1191)</f>
        <v>0</v>
      </c>
      <c r="I231" s="137">
        <f ca="1">SUMIF(Конструкторы!$C$35:$C$1191,Обеспечение!$C231,Конструкторы!N$37:N$1191)</f>
        <v>0</v>
      </c>
      <c r="J231" s="137">
        <f ca="1">SUMIF(Конструкторы!$C$35:$C$1191,Обеспечение!$C231,Конструкторы!O$37:O$1191)</f>
        <v>0</v>
      </c>
      <c r="K231" s="137">
        <f ca="1">SUMIF(Конструкторы!$C$35:$C$1191,Обеспечение!$C231,Конструкторы!P$37:P$1191)</f>
        <v>0</v>
      </c>
      <c r="L231" s="137">
        <f ca="1">SUMIF(Конструкторы!$C$35:$C$1191,Обеспечение!$C231,Конструкторы!Q$37:Q$1191)</f>
        <v>0</v>
      </c>
      <c r="M231" s="137">
        <f ca="1">SUMIF(Конструкторы!$C$35:$C$1191,Обеспечение!$C231,Конструкторы!R$37:R$1191)</f>
        <v>0</v>
      </c>
      <c r="N231" s="137">
        <f ca="1">SUMIF(Конструкторы!$C$35:$C$1191,Обеспечение!$C231,Конструкторы!S$37:S$1191)</f>
        <v>0</v>
      </c>
      <c r="O231" s="137">
        <f ca="1">SUMIF(Конструкторы!$C$35:$C$1191,Обеспечение!$C231,Конструкторы!T$37:T$1191)</f>
        <v>0</v>
      </c>
    </row>
    <row r="232" spans="3:15" x14ac:dyDescent="0.25">
      <c r="C232" s="136" t="s">
        <v>454</v>
      </c>
      <c r="D232" s="137">
        <f ca="1">SUMIF(Конструкторы!$C$35:$C$1191,Обеспечение!$C232,Конструкторы!I$37:I$1191)</f>
        <v>0</v>
      </c>
      <c r="E232" s="137">
        <f ca="1">SUMIF(Конструкторы!$C$35:$C$1191,Обеспечение!$C232,Конструкторы!J$37:J$1191)</f>
        <v>0</v>
      </c>
      <c r="F232" s="137">
        <f ca="1">SUMIF(Конструкторы!$C$35:$C$1191,Обеспечение!$C232,Конструкторы!K$37:K$1191)</f>
        <v>0</v>
      </c>
      <c r="G232" s="137">
        <f ca="1">SUMIF(Конструкторы!$C$35:$C$1191,Обеспечение!$C232,Конструкторы!L$37:L$1191)</f>
        <v>0</v>
      </c>
      <c r="H232" s="137">
        <f ca="1">SUMIF(Конструкторы!$C$35:$C$1191,Обеспечение!$C232,Конструкторы!M$37:M$1191)</f>
        <v>0</v>
      </c>
      <c r="I232" s="137">
        <f ca="1">SUMIF(Конструкторы!$C$35:$C$1191,Обеспечение!$C232,Конструкторы!N$37:N$1191)</f>
        <v>0</v>
      </c>
      <c r="J232" s="137">
        <f ca="1">SUMIF(Конструкторы!$C$35:$C$1191,Обеспечение!$C232,Конструкторы!O$37:O$1191)</f>
        <v>0</v>
      </c>
      <c r="K232" s="137">
        <f ca="1">SUMIF(Конструкторы!$C$35:$C$1191,Обеспечение!$C232,Конструкторы!P$37:P$1191)</f>
        <v>0</v>
      </c>
      <c r="L232" s="137">
        <f ca="1">SUMIF(Конструкторы!$C$35:$C$1191,Обеспечение!$C232,Конструкторы!Q$37:Q$1191)</f>
        <v>0</v>
      </c>
      <c r="M232" s="137">
        <f ca="1">SUMIF(Конструкторы!$C$35:$C$1191,Обеспечение!$C232,Конструкторы!R$37:R$1191)</f>
        <v>0</v>
      </c>
      <c r="N232" s="137">
        <f ca="1">SUMIF(Конструкторы!$C$35:$C$1191,Обеспечение!$C232,Конструкторы!S$37:S$1191)</f>
        <v>0</v>
      </c>
      <c r="O232" s="137">
        <f ca="1">SUMIF(Конструкторы!$C$35:$C$1191,Обеспечение!$C232,Конструкторы!T$37:T$1191)</f>
        <v>0</v>
      </c>
    </row>
    <row r="233" spans="3:15" x14ac:dyDescent="0.25">
      <c r="C233" s="136" t="s">
        <v>455</v>
      </c>
      <c r="D233" s="137">
        <f ca="1">SUMIF(Конструкторы!$C$35:$C$1191,Обеспечение!$C233,Конструкторы!I$37:I$1191)</f>
        <v>0</v>
      </c>
      <c r="E233" s="137">
        <f ca="1">SUMIF(Конструкторы!$C$35:$C$1191,Обеспечение!$C233,Конструкторы!J$37:J$1191)</f>
        <v>0</v>
      </c>
      <c r="F233" s="137">
        <f ca="1">SUMIF(Конструкторы!$C$35:$C$1191,Обеспечение!$C233,Конструкторы!K$37:K$1191)</f>
        <v>0</v>
      </c>
      <c r="G233" s="137">
        <f ca="1">SUMIF(Конструкторы!$C$35:$C$1191,Обеспечение!$C233,Конструкторы!L$37:L$1191)</f>
        <v>0</v>
      </c>
      <c r="H233" s="137">
        <f ca="1">SUMIF(Конструкторы!$C$35:$C$1191,Обеспечение!$C233,Конструкторы!M$37:M$1191)</f>
        <v>0</v>
      </c>
      <c r="I233" s="137">
        <f ca="1">SUMIF(Конструкторы!$C$35:$C$1191,Обеспечение!$C233,Конструкторы!N$37:N$1191)</f>
        <v>0</v>
      </c>
      <c r="J233" s="137">
        <f ca="1">SUMIF(Конструкторы!$C$35:$C$1191,Обеспечение!$C233,Конструкторы!O$37:O$1191)</f>
        <v>0</v>
      </c>
      <c r="K233" s="137">
        <f ca="1">SUMIF(Конструкторы!$C$35:$C$1191,Обеспечение!$C233,Конструкторы!P$37:P$1191)</f>
        <v>0</v>
      </c>
      <c r="L233" s="137">
        <f ca="1">SUMIF(Конструкторы!$C$35:$C$1191,Обеспечение!$C233,Конструкторы!Q$37:Q$1191)</f>
        <v>0</v>
      </c>
      <c r="M233" s="137">
        <f ca="1">SUMIF(Конструкторы!$C$35:$C$1191,Обеспечение!$C233,Конструкторы!R$37:R$1191)</f>
        <v>0</v>
      </c>
      <c r="N233" s="137">
        <f ca="1">SUMIF(Конструкторы!$C$35:$C$1191,Обеспечение!$C233,Конструкторы!S$37:S$1191)</f>
        <v>0</v>
      </c>
      <c r="O233" s="137">
        <f ca="1">SUMIF(Конструкторы!$C$35:$C$1191,Обеспечение!$C233,Конструкторы!T$37:T$1191)</f>
        <v>0</v>
      </c>
    </row>
    <row r="234" spans="3:15" x14ac:dyDescent="0.25">
      <c r="C234" s="136" t="s">
        <v>456</v>
      </c>
      <c r="D234" s="137">
        <f ca="1">SUMIF(Конструкторы!$C$35:$C$1191,Обеспечение!$C234,Конструкторы!I$37:I$1191)</f>
        <v>0</v>
      </c>
      <c r="E234" s="137">
        <f ca="1">SUMIF(Конструкторы!$C$35:$C$1191,Обеспечение!$C234,Конструкторы!J$37:J$1191)</f>
        <v>0</v>
      </c>
      <c r="F234" s="137">
        <f ca="1">SUMIF(Конструкторы!$C$35:$C$1191,Обеспечение!$C234,Конструкторы!K$37:K$1191)</f>
        <v>0</v>
      </c>
      <c r="G234" s="137">
        <f ca="1">SUMIF(Конструкторы!$C$35:$C$1191,Обеспечение!$C234,Конструкторы!L$37:L$1191)</f>
        <v>0</v>
      </c>
      <c r="H234" s="137">
        <f ca="1">SUMIF(Конструкторы!$C$35:$C$1191,Обеспечение!$C234,Конструкторы!M$37:M$1191)</f>
        <v>0</v>
      </c>
      <c r="I234" s="137">
        <f ca="1">SUMIF(Конструкторы!$C$35:$C$1191,Обеспечение!$C234,Конструкторы!N$37:N$1191)</f>
        <v>0</v>
      </c>
      <c r="J234" s="137">
        <f ca="1">SUMIF(Конструкторы!$C$35:$C$1191,Обеспечение!$C234,Конструкторы!O$37:O$1191)</f>
        <v>0</v>
      </c>
      <c r="K234" s="137">
        <f ca="1">SUMIF(Конструкторы!$C$35:$C$1191,Обеспечение!$C234,Конструкторы!P$37:P$1191)</f>
        <v>0</v>
      </c>
      <c r="L234" s="137">
        <f ca="1">SUMIF(Конструкторы!$C$35:$C$1191,Обеспечение!$C234,Конструкторы!Q$37:Q$1191)</f>
        <v>0</v>
      </c>
      <c r="M234" s="137">
        <f ca="1">SUMIF(Конструкторы!$C$35:$C$1191,Обеспечение!$C234,Конструкторы!R$37:R$1191)</f>
        <v>0</v>
      </c>
      <c r="N234" s="137">
        <f ca="1">SUMIF(Конструкторы!$C$35:$C$1191,Обеспечение!$C234,Конструкторы!S$37:S$1191)</f>
        <v>0</v>
      </c>
      <c r="O234" s="137">
        <f ca="1">SUMIF(Конструкторы!$C$35:$C$1191,Обеспечение!$C234,Конструкторы!T$37:T$1191)</f>
        <v>0</v>
      </c>
    </row>
    <row r="235" spans="3:15" x14ac:dyDescent="0.25">
      <c r="C235" s="136" t="s">
        <v>457</v>
      </c>
      <c r="D235" s="137">
        <f ca="1">SUMIF(Конструкторы!$C$35:$C$1191,Обеспечение!$C235,Конструкторы!I$37:I$1191)</f>
        <v>0</v>
      </c>
      <c r="E235" s="137">
        <f ca="1">SUMIF(Конструкторы!$C$35:$C$1191,Обеспечение!$C235,Конструкторы!J$37:J$1191)</f>
        <v>0</v>
      </c>
      <c r="F235" s="137">
        <f ca="1">SUMIF(Конструкторы!$C$35:$C$1191,Обеспечение!$C235,Конструкторы!K$37:K$1191)</f>
        <v>0</v>
      </c>
      <c r="G235" s="137">
        <f ca="1">SUMIF(Конструкторы!$C$35:$C$1191,Обеспечение!$C235,Конструкторы!L$37:L$1191)</f>
        <v>0</v>
      </c>
      <c r="H235" s="137">
        <f ca="1">SUMIF(Конструкторы!$C$35:$C$1191,Обеспечение!$C235,Конструкторы!M$37:M$1191)</f>
        <v>0</v>
      </c>
      <c r="I235" s="137">
        <f ca="1">SUMIF(Конструкторы!$C$35:$C$1191,Обеспечение!$C235,Конструкторы!N$37:N$1191)</f>
        <v>0</v>
      </c>
      <c r="J235" s="137">
        <f ca="1">SUMIF(Конструкторы!$C$35:$C$1191,Обеспечение!$C235,Конструкторы!O$37:O$1191)</f>
        <v>0</v>
      </c>
      <c r="K235" s="137">
        <f ca="1">SUMIF(Конструкторы!$C$35:$C$1191,Обеспечение!$C235,Конструкторы!P$37:P$1191)</f>
        <v>0</v>
      </c>
      <c r="L235" s="137">
        <f ca="1">SUMIF(Конструкторы!$C$35:$C$1191,Обеспечение!$C235,Конструкторы!Q$37:Q$1191)</f>
        <v>0</v>
      </c>
      <c r="M235" s="137">
        <f ca="1">SUMIF(Конструкторы!$C$35:$C$1191,Обеспечение!$C235,Конструкторы!R$37:R$1191)</f>
        <v>0</v>
      </c>
      <c r="N235" s="137">
        <f ca="1">SUMIF(Конструкторы!$C$35:$C$1191,Обеспечение!$C235,Конструкторы!S$37:S$1191)</f>
        <v>0</v>
      </c>
      <c r="O235" s="137">
        <f ca="1">SUMIF(Конструкторы!$C$35:$C$1191,Обеспечение!$C235,Конструкторы!T$37:T$1191)</f>
        <v>0</v>
      </c>
    </row>
    <row r="236" spans="3:15" x14ac:dyDescent="0.25">
      <c r="C236" s="136" t="s">
        <v>458</v>
      </c>
      <c r="D236" s="137">
        <f ca="1">SUMIF(Конструкторы!$C$35:$C$1191,Обеспечение!$C236,Конструкторы!I$37:I$1191)</f>
        <v>0</v>
      </c>
      <c r="E236" s="137">
        <f ca="1">SUMIF(Конструкторы!$C$35:$C$1191,Обеспечение!$C236,Конструкторы!J$37:J$1191)</f>
        <v>0</v>
      </c>
      <c r="F236" s="137">
        <f ca="1">SUMIF(Конструкторы!$C$35:$C$1191,Обеспечение!$C236,Конструкторы!K$37:K$1191)</f>
        <v>0</v>
      </c>
      <c r="G236" s="137">
        <f ca="1">SUMIF(Конструкторы!$C$35:$C$1191,Обеспечение!$C236,Конструкторы!L$37:L$1191)</f>
        <v>0</v>
      </c>
      <c r="H236" s="137">
        <f ca="1">SUMIF(Конструкторы!$C$35:$C$1191,Обеспечение!$C236,Конструкторы!M$37:M$1191)</f>
        <v>0</v>
      </c>
      <c r="I236" s="137">
        <f ca="1">SUMIF(Конструкторы!$C$35:$C$1191,Обеспечение!$C236,Конструкторы!N$37:N$1191)</f>
        <v>0</v>
      </c>
      <c r="J236" s="137">
        <f ca="1">SUMIF(Конструкторы!$C$35:$C$1191,Обеспечение!$C236,Конструкторы!O$37:O$1191)</f>
        <v>0</v>
      </c>
      <c r="K236" s="137">
        <f ca="1">SUMIF(Конструкторы!$C$35:$C$1191,Обеспечение!$C236,Конструкторы!P$37:P$1191)</f>
        <v>0</v>
      </c>
      <c r="L236" s="137">
        <f ca="1">SUMIF(Конструкторы!$C$35:$C$1191,Обеспечение!$C236,Конструкторы!Q$37:Q$1191)</f>
        <v>0</v>
      </c>
      <c r="M236" s="137">
        <f ca="1">SUMIF(Конструкторы!$C$35:$C$1191,Обеспечение!$C236,Конструкторы!R$37:R$1191)</f>
        <v>0</v>
      </c>
      <c r="N236" s="137">
        <f ca="1">SUMIF(Конструкторы!$C$35:$C$1191,Обеспечение!$C236,Конструкторы!S$37:S$1191)</f>
        <v>0</v>
      </c>
      <c r="O236" s="137">
        <f ca="1">SUMIF(Конструкторы!$C$35:$C$1191,Обеспечение!$C236,Конструкторы!T$37:T$1191)</f>
        <v>0</v>
      </c>
    </row>
    <row r="237" spans="3:15" x14ac:dyDescent="0.25">
      <c r="C237" s="25" t="s">
        <v>466</v>
      </c>
      <c r="D237" s="137">
        <f ca="1">SUMIF(Конструкторы!$C$35:$C$1191,Обеспечение!$C237,Конструкторы!I$37:I$1191)</f>
        <v>0</v>
      </c>
      <c r="E237" s="137">
        <f ca="1">SUMIF(Конструкторы!$C$35:$C$1191,Обеспечение!$C237,Конструкторы!J$37:J$1191)</f>
        <v>0</v>
      </c>
      <c r="F237" s="137">
        <f ca="1">SUMIF(Конструкторы!$C$35:$C$1191,Обеспечение!$C237,Конструкторы!K$37:K$1191)</f>
        <v>0</v>
      </c>
      <c r="G237" s="137">
        <f ca="1">SUMIF(Конструкторы!$C$35:$C$1191,Обеспечение!$C237,Конструкторы!L$37:L$1191)</f>
        <v>0</v>
      </c>
      <c r="H237" s="137">
        <f ca="1">SUMIF(Конструкторы!$C$35:$C$1191,Обеспечение!$C237,Конструкторы!M$37:M$1191)</f>
        <v>0</v>
      </c>
      <c r="I237" s="137">
        <f ca="1">SUMIF(Конструкторы!$C$35:$C$1191,Обеспечение!$C237,Конструкторы!N$37:N$1191)</f>
        <v>0</v>
      </c>
      <c r="J237" s="137">
        <f ca="1">SUMIF(Конструкторы!$C$35:$C$1191,Обеспечение!$C237,Конструкторы!O$37:O$1191)</f>
        <v>0</v>
      </c>
      <c r="K237" s="137">
        <f ca="1">SUMIF(Конструкторы!$C$35:$C$1191,Обеспечение!$C237,Конструкторы!P$37:P$1191)</f>
        <v>0</v>
      </c>
      <c r="L237" s="137">
        <f ca="1">SUMIF(Конструкторы!$C$35:$C$1191,Обеспечение!$C237,Конструкторы!Q$37:Q$1191)</f>
        <v>0</v>
      </c>
      <c r="M237" s="137">
        <f ca="1">SUMIF(Конструкторы!$C$35:$C$1191,Обеспечение!$C237,Конструкторы!R$37:R$1191)</f>
        <v>0</v>
      </c>
      <c r="N237" s="137">
        <f ca="1">SUMIF(Конструкторы!$C$35:$C$1191,Обеспечение!$C237,Конструкторы!S$37:S$1191)</f>
        <v>0</v>
      </c>
      <c r="O237" s="137">
        <f ca="1">SUMIF(Конструкторы!$C$35:$C$1191,Обеспечение!$C237,Конструкторы!T$37:T$1191)</f>
        <v>0</v>
      </c>
    </row>
    <row r="238" spans="3:15" x14ac:dyDescent="0.25">
      <c r="C238" s="25" t="s">
        <v>467</v>
      </c>
      <c r="D238" s="137">
        <f ca="1">SUMIF(Конструкторы!$C$35:$C$1191,Обеспечение!$C238,Конструкторы!I$37:I$1191)</f>
        <v>0</v>
      </c>
      <c r="E238" s="137">
        <f ca="1">SUMIF(Конструкторы!$C$35:$C$1191,Обеспечение!$C238,Конструкторы!J$37:J$1191)</f>
        <v>0</v>
      </c>
      <c r="F238" s="137">
        <f ca="1">SUMIF(Конструкторы!$C$35:$C$1191,Обеспечение!$C238,Конструкторы!K$37:K$1191)</f>
        <v>0</v>
      </c>
      <c r="G238" s="137">
        <f ca="1">SUMIF(Конструкторы!$C$35:$C$1191,Обеспечение!$C238,Конструкторы!L$37:L$1191)</f>
        <v>0</v>
      </c>
      <c r="H238" s="137">
        <f ca="1">SUMIF(Конструкторы!$C$35:$C$1191,Обеспечение!$C238,Конструкторы!M$37:M$1191)</f>
        <v>0</v>
      </c>
      <c r="I238" s="137">
        <f ca="1">SUMIF(Конструкторы!$C$35:$C$1191,Обеспечение!$C238,Конструкторы!N$37:N$1191)</f>
        <v>0</v>
      </c>
      <c r="J238" s="137">
        <f ca="1">SUMIF(Конструкторы!$C$35:$C$1191,Обеспечение!$C238,Конструкторы!O$37:O$1191)</f>
        <v>0</v>
      </c>
      <c r="K238" s="137">
        <f ca="1">SUMIF(Конструкторы!$C$35:$C$1191,Обеспечение!$C238,Конструкторы!P$37:P$1191)</f>
        <v>0</v>
      </c>
      <c r="L238" s="137">
        <f ca="1">SUMIF(Конструкторы!$C$35:$C$1191,Обеспечение!$C238,Конструкторы!Q$37:Q$1191)</f>
        <v>0</v>
      </c>
      <c r="M238" s="137">
        <f ca="1">SUMIF(Конструкторы!$C$35:$C$1191,Обеспечение!$C238,Конструкторы!R$37:R$1191)</f>
        <v>0</v>
      </c>
      <c r="N238" s="137">
        <f ca="1">SUMIF(Конструкторы!$C$35:$C$1191,Обеспечение!$C238,Конструкторы!S$37:S$1191)</f>
        <v>0</v>
      </c>
      <c r="O238" s="137">
        <f ca="1">SUMIF(Конструкторы!$C$35:$C$1191,Обеспечение!$C238,Конструкторы!T$37:T$1191)</f>
        <v>0</v>
      </c>
    </row>
  </sheetData>
  <conditionalFormatting sqref="T67:AE70 T90:AE97">
    <cfRule type="cellIs" dxfId="2" priority="3" operator="lessThan">
      <formula>0</formula>
    </cfRule>
  </conditionalFormatting>
  <conditionalFormatting sqref="T122:AE133">
    <cfRule type="cellIs" dxfId="1" priority="2" operator="lessThan">
      <formula>0</formula>
    </cfRule>
  </conditionalFormatting>
  <conditionalFormatting sqref="D122:O122">
    <cfRule type="cellIs" dxfId="0" priority="1" operator="lessThan">
      <formula>$X$46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</sheetPr>
  <dimension ref="A1:CK46"/>
  <sheetViews>
    <sheetView tabSelected="1" workbookViewId="0">
      <selection activeCell="A7" sqref="A7"/>
    </sheetView>
  </sheetViews>
  <sheetFormatPr defaultRowHeight="15" outlineLevelCol="1" x14ac:dyDescent="0.25"/>
  <cols>
    <col min="1" max="1" width="51.5703125" customWidth="1"/>
    <col min="2" max="2" width="6.85546875" style="27" customWidth="1"/>
    <col min="3" max="3" width="9.140625" style="27"/>
    <col min="4" max="4" width="10.28515625" style="27" customWidth="1"/>
    <col min="5" max="5" width="11" style="27" customWidth="1"/>
    <col min="6" max="6" width="9.140625" customWidth="1"/>
    <col min="7" max="7" width="11.140625" customWidth="1" outlineLevel="1"/>
    <col min="8" max="17" width="9.140625" customWidth="1" outlineLevel="1"/>
    <col min="18" max="18" width="9.140625" customWidth="1" collapsed="1"/>
    <col min="19" max="19" width="11" hidden="1" customWidth="1" outlineLevel="1"/>
    <col min="20" max="29" width="9.140625" hidden="1" customWidth="1" outlineLevel="1"/>
    <col min="30" max="30" width="9" style="27" customWidth="1" collapsed="1"/>
    <col min="31" max="31" width="11" style="27" hidden="1" customWidth="1" outlineLevel="1"/>
    <col min="32" max="41" width="9" style="27" hidden="1" customWidth="1" outlineLevel="1"/>
    <col min="42" max="42" width="11.140625" customWidth="1" collapsed="1"/>
    <col min="43" max="53" width="11.140625" hidden="1" customWidth="1" outlineLevel="1"/>
    <col min="54" max="54" width="9.140625" style="27"/>
    <col min="55" max="65" width="9.140625" style="27" customWidth="1" outlineLevel="1"/>
    <col min="66" max="66" width="9.5703125" style="27" bestFit="1" customWidth="1"/>
    <col min="67" max="70" width="9.5703125" style="27" customWidth="1" outlineLevel="1"/>
    <col min="71" max="77" width="9.140625" style="27" customWidth="1" outlineLevel="1"/>
    <col min="78" max="78" width="9.140625" style="27"/>
    <col min="79" max="79" width="11.5703125" customWidth="1" outlineLevel="1"/>
    <col min="80" max="89" width="9.140625" customWidth="1" outlineLevel="1"/>
  </cols>
  <sheetData>
    <row r="1" spans="1:89" x14ac:dyDescent="0.25">
      <c r="A1" s="15" t="s">
        <v>11</v>
      </c>
      <c r="F1" s="27">
        <f>Продажи!F4</f>
        <v>2016</v>
      </c>
    </row>
    <row r="2" spans="1:89" ht="15.75" thickBot="1" x14ac:dyDescent="0.3">
      <c r="A2" t="s">
        <v>399</v>
      </c>
      <c r="F2" t="s">
        <v>402</v>
      </c>
      <c r="R2" s="37" t="s">
        <v>403</v>
      </c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37" t="s">
        <v>404</v>
      </c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37" t="s">
        <v>405</v>
      </c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37" t="s">
        <v>406</v>
      </c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37" t="s">
        <v>407</v>
      </c>
      <c r="BZ2" s="37" t="s">
        <v>408</v>
      </c>
    </row>
    <row r="3" spans="1:89" ht="45.75" thickBot="1" x14ac:dyDescent="0.3">
      <c r="B3" s="8" t="s">
        <v>388</v>
      </c>
      <c r="C3" s="68" t="s">
        <v>4</v>
      </c>
      <c r="D3" s="69" t="s">
        <v>400</v>
      </c>
      <c r="E3" s="67" t="s">
        <v>401</v>
      </c>
      <c r="F3" s="331">
        <f>Продажи!F3</f>
        <v>42583</v>
      </c>
      <c r="G3" s="331">
        <f>Продажи!G3</f>
        <v>42614</v>
      </c>
      <c r="H3" s="331">
        <f>Продажи!H3</f>
        <v>42644</v>
      </c>
      <c r="I3" s="331">
        <f>Продажи!I3</f>
        <v>42675</v>
      </c>
      <c r="J3" s="331">
        <f>Продажи!J3</f>
        <v>42705</v>
      </c>
      <c r="K3" s="331">
        <f>Продажи!K3</f>
        <v>42736</v>
      </c>
      <c r="L3" s="331">
        <f>Продажи!L3</f>
        <v>42767</v>
      </c>
      <c r="M3" s="331">
        <f>Продажи!M3</f>
        <v>42795</v>
      </c>
      <c r="N3" s="331">
        <f>Продажи!N3</f>
        <v>42826</v>
      </c>
      <c r="O3" s="331">
        <f>Продажи!O3</f>
        <v>42856</v>
      </c>
      <c r="P3" s="331">
        <f>Продажи!P3</f>
        <v>42887</v>
      </c>
      <c r="Q3" s="331">
        <f>Продажи!Q3</f>
        <v>42917</v>
      </c>
      <c r="R3" s="332">
        <f>Продажи!F3</f>
        <v>42583</v>
      </c>
      <c r="S3" s="332">
        <f>Продажи!G3</f>
        <v>42614</v>
      </c>
      <c r="T3" s="332">
        <f>Продажи!H3</f>
        <v>42644</v>
      </c>
      <c r="U3" s="332">
        <f>Продажи!I3</f>
        <v>42675</v>
      </c>
      <c r="V3" s="332">
        <f>Продажи!J3</f>
        <v>42705</v>
      </c>
      <c r="W3" s="332">
        <f>Продажи!K3</f>
        <v>42736</v>
      </c>
      <c r="X3" s="332">
        <f>Продажи!L3</f>
        <v>42767</v>
      </c>
      <c r="Y3" s="332">
        <f>Продажи!M3</f>
        <v>42795</v>
      </c>
      <c r="Z3" s="332">
        <f>Продажи!N3</f>
        <v>42826</v>
      </c>
      <c r="AA3" s="332">
        <f>Продажи!O3</f>
        <v>42856</v>
      </c>
      <c r="AB3" s="332">
        <f>Продажи!P3</f>
        <v>42887</v>
      </c>
      <c r="AC3" s="332">
        <f>Продажи!Q3</f>
        <v>42917</v>
      </c>
      <c r="AD3" s="333">
        <f>Продажи!F3</f>
        <v>42583</v>
      </c>
      <c r="AE3" s="333">
        <f>Продажи!G3</f>
        <v>42614</v>
      </c>
      <c r="AF3" s="333">
        <f>Продажи!H3</f>
        <v>42644</v>
      </c>
      <c r="AG3" s="333">
        <f>Продажи!I3</f>
        <v>42675</v>
      </c>
      <c r="AH3" s="333">
        <f>Продажи!J3</f>
        <v>42705</v>
      </c>
      <c r="AI3" s="333">
        <f>Продажи!K3</f>
        <v>42736</v>
      </c>
      <c r="AJ3" s="333">
        <f>Продажи!L3</f>
        <v>42767</v>
      </c>
      <c r="AK3" s="333">
        <f>Продажи!M3</f>
        <v>42795</v>
      </c>
      <c r="AL3" s="333">
        <f>Продажи!N3</f>
        <v>42826</v>
      </c>
      <c r="AM3" s="333">
        <f>Продажи!O3</f>
        <v>42856</v>
      </c>
      <c r="AN3" s="333">
        <f>Продажи!P3</f>
        <v>42887</v>
      </c>
      <c r="AO3" s="333">
        <f>Продажи!Q3</f>
        <v>42917</v>
      </c>
      <c r="AP3" s="334">
        <f>Продажи!F3</f>
        <v>42583</v>
      </c>
      <c r="AQ3" s="334">
        <f>Продажи!G3</f>
        <v>42614</v>
      </c>
      <c r="AR3" s="334">
        <f>Продажи!H3</f>
        <v>42644</v>
      </c>
      <c r="AS3" s="334">
        <f>Продажи!I3</f>
        <v>42675</v>
      </c>
      <c r="AT3" s="334">
        <f>Продажи!J3</f>
        <v>42705</v>
      </c>
      <c r="AU3" s="334">
        <f>Продажи!K3</f>
        <v>42736</v>
      </c>
      <c r="AV3" s="334">
        <f>Продажи!L3</f>
        <v>42767</v>
      </c>
      <c r="AW3" s="334">
        <f>Продажи!M3</f>
        <v>42795</v>
      </c>
      <c r="AX3" s="334">
        <f>Продажи!N3</f>
        <v>42826</v>
      </c>
      <c r="AY3" s="334">
        <f>Продажи!O3</f>
        <v>42856</v>
      </c>
      <c r="AZ3" s="334">
        <f>Продажи!P3</f>
        <v>42887</v>
      </c>
      <c r="BA3" s="334">
        <f>Продажи!Q3</f>
        <v>42917</v>
      </c>
      <c r="BB3" s="335">
        <f>AP3</f>
        <v>42583</v>
      </c>
      <c r="BC3" s="335">
        <f t="shared" ref="BC3:BM3" si="0">AQ3</f>
        <v>42614</v>
      </c>
      <c r="BD3" s="335">
        <f t="shared" si="0"/>
        <v>42644</v>
      </c>
      <c r="BE3" s="335">
        <f t="shared" si="0"/>
        <v>42675</v>
      </c>
      <c r="BF3" s="335">
        <f t="shared" si="0"/>
        <v>42705</v>
      </c>
      <c r="BG3" s="335">
        <f t="shared" si="0"/>
        <v>42736</v>
      </c>
      <c r="BH3" s="335">
        <f t="shared" si="0"/>
        <v>42767</v>
      </c>
      <c r="BI3" s="335">
        <f t="shared" si="0"/>
        <v>42795</v>
      </c>
      <c r="BJ3" s="335">
        <f t="shared" si="0"/>
        <v>42826</v>
      </c>
      <c r="BK3" s="335">
        <f t="shared" si="0"/>
        <v>42856</v>
      </c>
      <c r="BL3" s="335">
        <f t="shared" si="0"/>
        <v>42887</v>
      </c>
      <c r="BM3" s="335">
        <f t="shared" si="0"/>
        <v>42917</v>
      </c>
      <c r="BN3" s="336">
        <f>BB3</f>
        <v>42583</v>
      </c>
      <c r="BO3" s="336">
        <f t="shared" ref="BO3:BY3" si="1">BC3</f>
        <v>42614</v>
      </c>
      <c r="BP3" s="336">
        <f t="shared" si="1"/>
        <v>42644</v>
      </c>
      <c r="BQ3" s="336">
        <f t="shared" si="1"/>
        <v>42675</v>
      </c>
      <c r="BR3" s="336">
        <f t="shared" si="1"/>
        <v>42705</v>
      </c>
      <c r="BS3" s="336">
        <f t="shared" si="1"/>
        <v>42736</v>
      </c>
      <c r="BT3" s="336">
        <f t="shared" si="1"/>
        <v>42767</v>
      </c>
      <c r="BU3" s="336">
        <f t="shared" si="1"/>
        <v>42795</v>
      </c>
      <c r="BV3" s="336">
        <f t="shared" si="1"/>
        <v>42826</v>
      </c>
      <c r="BW3" s="336">
        <f t="shared" si="1"/>
        <v>42856</v>
      </c>
      <c r="BX3" s="336">
        <f t="shared" si="1"/>
        <v>42887</v>
      </c>
      <c r="BY3" s="336">
        <f t="shared" si="1"/>
        <v>42917</v>
      </c>
      <c r="BZ3" s="337">
        <f>BN3</f>
        <v>42583</v>
      </c>
      <c r="CA3" s="337">
        <f t="shared" ref="CA3:CK3" si="2">BO3</f>
        <v>42614</v>
      </c>
      <c r="CB3" s="337">
        <f t="shared" si="2"/>
        <v>42644</v>
      </c>
      <c r="CC3" s="337">
        <f t="shared" si="2"/>
        <v>42675</v>
      </c>
      <c r="CD3" s="337">
        <f t="shared" si="2"/>
        <v>42705</v>
      </c>
      <c r="CE3" s="337">
        <f t="shared" si="2"/>
        <v>42736</v>
      </c>
      <c r="CF3" s="337">
        <f t="shared" si="2"/>
        <v>42767</v>
      </c>
      <c r="CG3" s="337">
        <f t="shared" si="2"/>
        <v>42795</v>
      </c>
      <c r="CH3" s="337">
        <f t="shared" si="2"/>
        <v>42826</v>
      </c>
      <c r="CI3" s="337">
        <f t="shared" si="2"/>
        <v>42856</v>
      </c>
      <c r="CJ3" s="337">
        <f t="shared" si="2"/>
        <v>42887</v>
      </c>
      <c r="CK3" s="337">
        <f t="shared" si="2"/>
        <v>42917</v>
      </c>
    </row>
    <row r="4" spans="1:89" x14ac:dyDescent="0.25">
      <c r="F4" s="77">
        <v>1</v>
      </c>
      <c r="G4" s="77">
        <v>2</v>
      </c>
      <c r="H4" s="77">
        <v>3</v>
      </c>
      <c r="I4" s="77">
        <v>4</v>
      </c>
      <c r="J4" s="77">
        <v>5</v>
      </c>
      <c r="K4" s="77">
        <v>6</v>
      </c>
      <c r="L4" s="77">
        <v>7</v>
      </c>
      <c r="M4" s="77">
        <v>8</v>
      </c>
      <c r="N4" s="77">
        <v>9</v>
      </c>
      <c r="O4" s="77">
        <v>10</v>
      </c>
      <c r="P4" s="77">
        <v>11</v>
      </c>
      <c r="Q4" s="77">
        <v>12</v>
      </c>
      <c r="R4" s="48">
        <v>1</v>
      </c>
      <c r="S4" s="48">
        <v>2</v>
      </c>
      <c r="T4" s="48">
        <v>3</v>
      </c>
      <c r="U4" s="48">
        <v>4</v>
      </c>
      <c r="V4" s="48">
        <v>5</v>
      </c>
      <c r="W4" s="48">
        <v>6</v>
      </c>
      <c r="X4" s="48">
        <v>7</v>
      </c>
      <c r="Y4" s="48">
        <v>8</v>
      </c>
      <c r="Z4" s="48">
        <v>9</v>
      </c>
      <c r="AA4" s="48">
        <v>10</v>
      </c>
      <c r="AB4" s="48">
        <v>11</v>
      </c>
      <c r="AC4" s="48">
        <v>12</v>
      </c>
      <c r="AD4" s="78">
        <v>1</v>
      </c>
      <c r="AE4" s="78">
        <v>2</v>
      </c>
      <c r="AF4" s="78">
        <v>3</v>
      </c>
      <c r="AG4" s="78">
        <v>4</v>
      </c>
      <c r="AH4" s="78">
        <v>5</v>
      </c>
      <c r="AI4" s="78">
        <v>6</v>
      </c>
      <c r="AJ4" s="78">
        <v>7</v>
      </c>
      <c r="AK4" s="78">
        <v>8</v>
      </c>
      <c r="AL4" s="78">
        <v>9</v>
      </c>
      <c r="AM4" s="78">
        <v>10</v>
      </c>
      <c r="AN4" s="78">
        <v>11</v>
      </c>
      <c r="AO4" s="78">
        <v>12</v>
      </c>
      <c r="AP4" s="81">
        <v>1</v>
      </c>
      <c r="AQ4" s="81">
        <v>2</v>
      </c>
      <c r="AR4" s="81">
        <v>3</v>
      </c>
      <c r="AS4" s="81">
        <v>4</v>
      </c>
      <c r="AT4" s="81">
        <v>5</v>
      </c>
      <c r="AU4" s="81">
        <v>6</v>
      </c>
      <c r="AV4" s="81">
        <v>7</v>
      </c>
      <c r="AW4" s="81">
        <v>8</v>
      </c>
      <c r="AX4" s="81">
        <v>9</v>
      </c>
      <c r="AY4" s="81">
        <v>10</v>
      </c>
      <c r="AZ4" s="81">
        <v>11</v>
      </c>
      <c r="BA4" s="81">
        <v>12</v>
      </c>
      <c r="BB4" s="80">
        <v>1</v>
      </c>
      <c r="BC4" s="80">
        <v>2</v>
      </c>
      <c r="BD4" s="80">
        <v>3</v>
      </c>
      <c r="BE4" s="80">
        <v>4</v>
      </c>
      <c r="BF4" s="80">
        <v>5</v>
      </c>
      <c r="BG4" s="80">
        <v>6</v>
      </c>
      <c r="BH4" s="80">
        <v>7</v>
      </c>
      <c r="BI4" s="80">
        <v>8</v>
      </c>
      <c r="BJ4" s="80">
        <v>9</v>
      </c>
      <c r="BK4" s="80">
        <v>10</v>
      </c>
      <c r="BL4" s="80">
        <v>11</v>
      </c>
      <c r="BM4" s="80">
        <v>12</v>
      </c>
      <c r="BN4" s="83">
        <v>1</v>
      </c>
      <c r="BO4" s="83">
        <v>2</v>
      </c>
      <c r="BP4" s="83">
        <v>3</v>
      </c>
      <c r="BQ4" s="83">
        <v>4</v>
      </c>
      <c r="BR4" s="83">
        <v>5</v>
      </c>
      <c r="BS4" s="83">
        <v>6</v>
      </c>
      <c r="BT4" s="83">
        <v>7</v>
      </c>
      <c r="BU4" s="83">
        <v>8</v>
      </c>
      <c r="BV4" s="83">
        <v>9</v>
      </c>
      <c r="BW4" s="83">
        <v>10</v>
      </c>
      <c r="BX4" s="83">
        <v>11</v>
      </c>
      <c r="BY4" s="83">
        <v>12</v>
      </c>
      <c r="BZ4" s="79">
        <v>1</v>
      </c>
      <c r="CA4" s="79">
        <v>2</v>
      </c>
      <c r="CB4" s="79">
        <v>3</v>
      </c>
      <c r="CC4" s="79">
        <v>4</v>
      </c>
      <c r="CD4" s="79">
        <v>5</v>
      </c>
      <c r="CE4" s="79">
        <v>6</v>
      </c>
      <c r="CF4" s="79">
        <v>7</v>
      </c>
      <c r="CG4" s="79">
        <v>8</v>
      </c>
      <c r="CH4" s="79">
        <v>9</v>
      </c>
      <c r="CI4" s="79">
        <v>10</v>
      </c>
      <c r="CJ4" s="79">
        <v>11</v>
      </c>
      <c r="CK4" s="79">
        <v>12</v>
      </c>
    </row>
    <row r="5" spans="1:89" x14ac:dyDescent="0.25">
      <c r="A5" s="42" t="s">
        <v>53</v>
      </c>
      <c r="B5" s="70">
        <f t="array" ref="B5">INDEX(Технологи!$E$5:$E$552,MATCH(A5&amp;$A$1,Технологи!$B$5:$B$552&amp;Технологи!$C$5:$C$552,0))</f>
        <v>1.105</v>
      </c>
      <c r="C5" s="14">
        <v>1018</v>
      </c>
      <c r="D5" s="71">
        <v>9</v>
      </c>
      <c r="E5" s="71">
        <v>42</v>
      </c>
      <c r="F5" s="72">
        <f>SUMIFS(Продажи!F$5:F$360,Продажи!$D$5:$D$360,'Потребность профиль'!$A5,Продажи!$C$5:$C$360,"Профиль")</f>
        <v>0</v>
      </c>
      <c r="G5" s="72">
        <f>SUMIFS(Продажи!G$5:G$360,Продажи!$D$5:$D$360,'Потребность профиль'!$A5,Продажи!$C$5:$C$360,"Профиль")</f>
        <v>0</v>
      </c>
      <c r="H5" s="72">
        <f>SUMIFS(Продажи!H$5:H$360,Продажи!$D$5:$D$360,'Потребность профиль'!$A5,Продажи!$C$5:$C$360,"Профиль")</f>
        <v>0</v>
      </c>
      <c r="I5" s="72">
        <f>SUMIFS(Продажи!I$5:I$360,Продажи!$D$5:$D$360,'Потребность профиль'!$A5,Продажи!$C$5:$C$360,"Профиль")</f>
        <v>0</v>
      </c>
      <c r="J5" s="72">
        <f>SUMIFS(Продажи!J$5:J$360,Продажи!$D$5:$D$360,'Потребность профиль'!$A5,Продажи!$C$5:$C$360,"Профиль")</f>
        <v>0</v>
      </c>
      <c r="K5" s="72">
        <f>SUMIFS(Продажи!K$5:K$360,Продажи!$D$5:$D$360,'Потребность профиль'!$A5,Продажи!$C$5:$C$360,"Профиль")</f>
        <v>0</v>
      </c>
      <c r="L5" s="72">
        <f>SUMIFS(Продажи!L$5:L$360,Продажи!$D$5:$D$360,'Потребность профиль'!$A5,Продажи!$C$5:$C$360,"Профиль")</f>
        <v>0</v>
      </c>
      <c r="M5" s="72">
        <f>SUMIFS(Продажи!M$5:M$360,Продажи!$D$5:$D$360,'Потребность профиль'!$A5,Продажи!$C$5:$C$360,"Профиль")</f>
        <v>0</v>
      </c>
      <c r="N5" s="72">
        <f>SUMIFS(Продажи!N$5:N$360,Продажи!$D$5:$D$360,'Потребность профиль'!$A5,Продажи!$C$5:$C$360,"Профиль")</f>
        <v>0</v>
      </c>
      <c r="O5" s="72">
        <f>SUMIFS(Продажи!O$5:O$360,Продажи!$D$5:$D$360,'Потребность профиль'!$A5,Продажи!$C$5:$C$360,"Профиль")</f>
        <v>0</v>
      </c>
      <c r="P5" s="72">
        <f>SUMIFS(Продажи!P$5:P$360,Продажи!$D$5:$D$360,'Потребность профиль'!$A5,Продажи!$C$5:$C$360,"Профиль")</f>
        <v>0</v>
      </c>
      <c r="Q5" s="72">
        <f>SUMIFS(Продажи!Q$5:Q$360,Продажи!$D$5:$D$360,'Потребность профиль'!$A5,Продажи!$C$5:$C$360,"Профиль")</f>
        <v>0</v>
      </c>
      <c r="R5" s="73">
        <f>SUMIFS(Конструкторы!I$35:I$1191,Конструкторы!$C$35:$C$1191,$A5)</f>
        <v>1945</v>
      </c>
      <c r="S5" s="73">
        <f t="array" ref="S5">SUMIFS(Конструкторы!J$35:J$1191,Конструкторы!$C$35:$C$1191,$A5)</f>
        <v>100</v>
      </c>
      <c r="T5" s="73">
        <f>SUMIFS(Конструкторы!K$35:K$1191,Конструкторы!$C$35:$C$1191,$A5)</f>
        <v>195</v>
      </c>
      <c r="U5" s="73">
        <f t="array" ref="U5">SUMIFS(Конструкторы!L$35:L$1191,Конструкторы!$C$35:$C$1191,$A5)</f>
        <v>2000</v>
      </c>
      <c r="V5" s="73">
        <f t="array" ref="V5">SUMIFS(Конструкторы!M$35:M$1191,Конструкторы!$C$35:$C$1191,$A5)</f>
        <v>0</v>
      </c>
      <c r="W5" s="73">
        <f t="array" ref="W5">SUMIFS(Конструкторы!N$35:N$1191,Конструкторы!$C$35:$C$1191,$A5)</f>
        <v>0</v>
      </c>
      <c r="X5" s="73">
        <f t="array" ref="X5">SUMIFS(Конструкторы!O$35:O$1191,Конструкторы!$C$35:$C$1191,$A5)</f>
        <v>0</v>
      </c>
      <c r="Y5" s="73">
        <f t="array" ref="Y5">SUMIFS(Конструкторы!P$35:P$1191,Конструкторы!$C$35:$C$1191,$A5)</f>
        <v>0</v>
      </c>
      <c r="Z5" s="73">
        <f t="array" ref="Z5">SUMIFS(Конструкторы!Q$35:Q$1191,Конструкторы!$C$35:$C$1191,$A5)</f>
        <v>0</v>
      </c>
      <c r="AA5" s="73">
        <f t="array" ref="AA5">SUMIFS(Конструкторы!R$35:R$1191,Конструкторы!$C$35:$C$1191,$A5)</f>
        <v>0</v>
      </c>
      <c r="AB5" s="73">
        <f t="array" ref="AB5">SUMIFS(Конструкторы!S$35:S$1191,Конструкторы!$C$35:$C$1191,$A5)</f>
        <v>0</v>
      </c>
      <c r="AC5" s="73">
        <f t="array" ref="AC5">SUMIFS(Конструкторы!T$35:T$1191,Конструкторы!$C$35:$C$1191,$A5)</f>
        <v>0</v>
      </c>
      <c r="AD5" s="76">
        <f t="array" ref="AD5">SUMIFS(Конструкторы!I$6:I$33,Конструкторы!$C$6:$C$33,$A5)</f>
        <v>0</v>
      </c>
      <c r="AE5" s="76">
        <f t="array" ref="AE5">SUMIFS(Конструкторы!J$6:J$33,Конструкторы!$C$6:$C$33,$A5)</f>
        <v>0</v>
      </c>
      <c r="AF5" s="76">
        <f t="array" ref="AF5">SUMIFS(Конструкторы!K$6:K$33,Конструкторы!$C$6:$C$33,$A5)</f>
        <v>0</v>
      </c>
      <c r="AG5" s="76">
        <f t="array" ref="AG5">SUMIFS(Конструкторы!L$6:L$33,Конструкторы!$C$6:$C$33,$A5)</f>
        <v>0</v>
      </c>
      <c r="AH5" s="76">
        <f t="array" ref="AH5">SUMIFS(Конструкторы!M$6:M$33,Конструкторы!$C$6:$C$33,$A5)</f>
        <v>0</v>
      </c>
      <c r="AI5" s="76">
        <f t="array" ref="AI5">SUMIFS(Конструкторы!N$6:N$33,Конструкторы!$C$6:$C$33,$A5)</f>
        <v>0</v>
      </c>
      <c r="AJ5" s="76">
        <f t="array" ref="AJ5">SUMIFS(Конструкторы!O$6:O$33,Конструкторы!$C$6:$C$33,$A5)</f>
        <v>0</v>
      </c>
      <c r="AK5" s="76">
        <f t="array" ref="AK5">SUMIFS(Конструкторы!P$6:P$33,Конструкторы!$C$6:$C$33,$A5)</f>
        <v>0</v>
      </c>
      <c r="AL5" s="76">
        <f t="array" ref="AL5">SUMIFS(Конструкторы!Q$6:Q$33,Конструкторы!$C$6:$C$33,$A5)</f>
        <v>0</v>
      </c>
      <c r="AM5" s="76">
        <f t="array" ref="AM5">SUMIFS(Конструкторы!R$6:R$33,Конструкторы!$C$6:$C$33,$A5)</f>
        <v>0</v>
      </c>
      <c r="AN5" s="76">
        <f t="array" ref="AN5">SUMIFS(Конструкторы!S$6:S$33,Конструкторы!$C$6:$C$33,$A5)</f>
        <v>0</v>
      </c>
      <c r="AO5" s="76">
        <f t="array" ref="AO5">SUMIFS(Конструкторы!T$6:T$33,Конструкторы!$C$6:$C$33,$A5)</f>
        <v>0</v>
      </c>
      <c r="AP5" s="75">
        <f t="array" ref="AP5">SUMIFS(Конструкторы!I$1192:I$1277,Конструкторы!$C$1192:$C$1277,$A5)</f>
        <v>0</v>
      </c>
      <c r="AQ5" s="75">
        <f>SUMIFS(Конструкторы!J$1192:J$1277,Конструкторы!$C$1192:$C$1277,$A5)</f>
        <v>0</v>
      </c>
      <c r="AR5" s="75">
        <f t="array" ref="AR5">SUMIFS(Конструкторы!K$1192:K$1277,Конструкторы!$C$1192:$C$1277,$A5)</f>
        <v>0</v>
      </c>
      <c r="AS5" s="75">
        <f t="array" ref="AS5">SUMIFS(Конструкторы!L$1192:L$1277,Конструкторы!$C$1192:$C$1277,$A5)</f>
        <v>0</v>
      </c>
      <c r="AT5" s="75">
        <f t="array" ref="AT5">SUMIFS(Конструкторы!M$1192:M$1277,Конструкторы!$C$1192:$C$1277,$A5)</f>
        <v>0</v>
      </c>
      <c r="AU5" s="75">
        <f t="array" ref="AU5">SUMIFS(Конструкторы!N$1192:N$1277,Конструкторы!$C$1192:$C$1277,$A5)</f>
        <v>0</v>
      </c>
      <c r="AV5" s="75">
        <f t="array" ref="AV5">SUMIFS(Конструкторы!O$1192:O$1277,Конструкторы!$C$1192:$C$1277,$A5)</f>
        <v>0</v>
      </c>
      <c r="AW5" s="75">
        <f t="array" ref="AW5">SUMIFS(Конструкторы!P$1192:P$1277,Конструкторы!$C$1192:$C$1277,$A5)</f>
        <v>0</v>
      </c>
      <c r="AX5" s="75">
        <f t="array" ref="AX5">SUMIFS(Конструкторы!Q$1192:Q$1277,Конструкторы!$C$1192:$C$1277,$A5)</f>
        <v>0</v>
      </c>
      <c r="AY5" s="75">
        <f t="array" ref="AY5">SUMIFS(Конструкторы!R$1192:R$1277,Конструкторы!$C$1192:$C$1277,$A5)</f>
        <v>0</v>
      </c>
      <c r="AZ5" s="75">
        <f t="array" ref="AZ5">SUMIFS(Конструкторы!S$1192:S$1277,Конструкторы!$C$1192:$C$1277,$A5)</f>
        <v>0</v>
      </c>
      <c r="BA5" s="75">
        <f t="array" ref="BA5">SUMIFS(Конструкторы!T$1192:T$1277,Конструкторы!$C$1192:$C$1277,$A5)</f>
        <v>0</v>
      </c>
      <c r="BB5" s="80">
        <f>(F5+R5+AD5)*$B5+AQ5</f>
        <v>2149.2249999999999</v>
      </c>
      <c r="BC5" s="80">
        <f t="shared" ref="BC5:BL20" si="3">(G5+S5+AE5)*$B5+AR5</f>
        <v>110.5</v>
      </c>
      <c r="BD5" s="80">
        <f t="shared" si="3"/>
        <v>215.47499999999999</v>
      </c>
      <c r="BE5" s="80">
        <f t="shared" si="3"/>
        <v>2210</v>
      </c>
      <c r="BF5" s="80">
        <f t="shared" si="3"/>
        <v>0</v>
      </c>
      <c r="BG5" s="80">
        <f t="shared" si="3"/>
        <v>0</v>
      </c>
      <c r="BH5" s="80">
        <f t="shared" si="3"/>
        <v>0</v>
      </c>
      <c r="BI5" s="80">
        <f t="shared" si="3"/>
        <v>0</v>
      </c>
      <c r="BJ5" s="80">
        <f t="shared" si="3"/>
        <v>0</v>
      </c>
      <c r="BK5" s="80">
        <f t="shared" si="3"/>
        <v>0</v>
      </c>
      <c r="BL5" s="80">
        <f t="shared" si="3"/>
        <v>0</v>
      </c>
      <c r="BM5" s="80">
        <f t="shared" ref="BM5:BM20" si="4">(Q5+AC5+AO5)*$B5+BA5</f>
        <v>0</v>
      </c>
      <c r="BN5" s="84">
        <f>F5+R5+AD5+AQ5/$B5</f>
        <v>1945</v>
      </c>
      <c r="BO5" s="84">
        <f t="shared" ref="BO5:BS20" si="5">G5+S5+AE5+AR5/$B5</f>
        <v>100</v>
      </c>
      <c r="BP5" s="84">
        <f t="shared" si="5"/>
        <v>195</v>
      </c>
      <c r="BQ5" s="84">
        <f t="shared" si="5"/>
        <v>2000</v>
      </c>
      <c r="BR5" s="84">
        <f t="shared" si="5"/>
        <v>0</v>
      </c>
      <c r="BS5" s="84">
        <f t="shared" si="5"/>
        <v>0</v>
      </c>
      <c r="BT5" s="84">
        <f>L5+X5+AJ5+AW5/$B5</f>
        <v>0</v>
      </c>
      <c r="BU5" s="84">
        <f t="shared" ref="BU5:BU46" si="6">M5+Y5+AK5+AX5/$B5</f>
        <v>0</v>
      </c>
      <c r="BV5" s="84">
        <f t="shared" ref="BV5:BV46" si="7">N5+Z5+AL5+AY5/$B5</f>
        <v>0</v>
      </c>
      <c r="BW5" s="84">
        <f t="shared" ref="BW5:BW46" si="8">O5+AA5+AM5+AZ5/$B5</f>
        <v>0</v>
      </c>
      <c r="BX5" s="84">
        <f t="shared" ref="BX5:BX46" si="9">P5+AB5+AN5+BA5/$B5</f>
        <v>0</v>
      </c>
      <c r="BY5" s="83">
        <f t="shared" ref="BY5" si="10">Q5+AC5+AO5+BA5/$B5</f>
        <v>0</v>
      </c>
      <c r="BZ5" s="79">
        <f>BN5/$E5</f>
        <v>46.30952380952381</v>
      </c>
      <c r="CA5" s="79">
        <f>BO5/$E5</f>
        <v>2.3809523809523809</v>
      </c>
      <c r="CB5" s="79">
        <f t="shared" ref="CB5:CJ5" si="11">BP5/$E5</f>
        <v>4.6428571428571432</v>
      </c>
      <c r="CC5" s="79">
        <f t="shared" si="11"/>
        <v>47.61904761904762</v>
      </c>
      <c r="CD5" s="79">
        <f t="shared" si="11"/>
        <v>0</v>
      </c>
      <c r="CE5" s="79">
        <f t="shared" si="11"/>
        <v>0</v>
      </c>
      <c r="CF5" s="79">
        <f t="shared" si="11"/>
        <v>0</v>
      </c>
      <c r="CG5" s="79">
        <f t="shared" si="11"/>
        <v>0</v>
      </c>
      <c r="CH5" s="79">
        <f t="shared" si="11"/>
        <v>0</v>
      </c>
      <c r="CI5" s="79">
        <f t="shared" si="11"/>
        <v>0</v>
      </c>
      <c r="CJ5" s="79">
        <f t="shared" si="11"/>
        <v>0</v>
      </c>
      <c r="CK5" s="79">
        <f>BY5/$E5</f>
        <v>0</v>
      </c>
    </row>
    <row r="6" spans="1:89" x14ac:dyDescent="0.25">
      <c r="A6" s="42" t="s">
        <v>33</v>
      </c>
      <c r="B6" s="70">
        <f t="array" ref="B6">INDEX(Технологи!$E$5:$E$552,MATCH(A6&amp;$A$1,Технологи!$B$5:$B$552&amp;Технологи!$C$5:$C$552,0))</f>
        <v>8.661999999999999</v>
      </c>
      <c r="C6" s="14">
        <v>1018</v>
      </c>
      <c r="D6" s="71">
        <v>37</v>
      </c>
      <c r="E6" s="71">
        <v>9</v>
      </c>
      <c r="F6" s="72">
        <f>SUMIFS(Продажи!F$5:F$360,Продажи!$D$5:$D$360,'Потребность профиль'!$A6,Продажи!$C$5:$C$360,"Профиль")</f>
        <v>0</v>
      </c>
      <c r="G6" s="72">
        <f>SUMIFS(Продажи!G$5:G$360,Продажи!$D$5:$D$360,'Потребность профиль'!$A6,Продажи!$C$5:$C$360,"Профиль")</f>
        <v>0</v>
      </c>
      <c r="H6" s="72">
        <f>SUMIFS(Продажи!H$5:H$360,Продажи!$D$5:$D$360,'Потребность профиль'!$A6,Продажи!$C$5:$C$360,"Профиль")</f>
        <v>0</v>
      </c>
      <c r="I6" s="72">
        <f>SUMIFS(Продажи!I$5:I$360,Продажи!$D$5:$D$360,'Потребность профиль'!$A6,Продажи!$C$5:$C$360,"Профиль")</f>
        <v>0</v>
      </c>
      <c r="J6" s="72">
        <f>SUMIFS(Продажи!J$5:J$360,Продажи!$D$5:$D$360,'Потребность профиль'!$A6,Продажи!$C$5:$C$360,"Профиль")</f>
        <v>0</v>
      </c>
      <c r="K6" s="72">
        <f>SUMIFS(Продажи!K$5:K$360,Продажи!$D$5:$D$360,'Потребность профиль'!$A6,Продажи!$C$5:$C$360,"Профиль")</f>
        <v>24</v>
      </c>
      <c r="L6" s="72">
        <f>SUMIFS(Продажи!L$5:L$360,Продажи!$D$5:$D$360,'Потребность профиль'!$A6,Продажи!$C$5:$C$360,"Профиль")</f>
        <v>24</v>
      </c>
      <c r="M6" s="72">
        <f>SUMIFS(Продажи!M$5:M$360,Продажи!$D$5:$D$360,'Потребность профиль'!$A6,Продажи!$C$5:$C$360,"Профиль")</f>
        <v>24</v>
      </c>
      <c r="N6" s="72">
        <f>SUMIFS(Продажи!N$5:N$360,Продажи!$D$5:$D$360,'Потребность профиль'!$A6,Продажи!$C$5:$C$360,"Профиль")</f>
        <v>24</v>
      </c>
      <c r="O6" s="72">
        <f>SUMIFS(Продажи!O$5:O$360,Продажи!$D$5:$D$360,'Потребность профиль'!$A6,Продажи!$C$5:$C$360,"Профиль")</f>
        <v>24</v>
      </c>
      <c r="P6" s="72">
        <f>SUMIFS(Продажи!P$5:P$360,Продажи!$D$5:$D$360,'Потребность профиль'!$A6,Продажи!$C$5:$C$360,"Профиль")</f>
        <v>24</v>
      </c>
      <c r="Q6" s="72">
        <f>SUMIFS(Продажи!Q$5:Q$360,Продажи!$D$5:$D$360,'Потребность профиль'!$A6,Продажи!$C$5:$C$360,"Профиль")</f>
        <v>24</v>
      </c>
      <c r="R6" s="73">
        <f t="array" ref="R6">SUMIFS(Конструкторы!I$35:I$1191,Конструкторы!$C$35:$C$1191,$A6)</f>
        <v>0</v>
      </c>
      <c r="S6" s="73">
        <f t="array" ref="S6">SUMIFS(Конструкторы!J$35:J$1191,Конструкторы!$C$35:$C$1191,$A6)</f>
        <v>0</v>
      </c>
      <c r="T6" s="73">
        <f t="array" ref="T6">SUMIFS(Конструкторы!K$35:K$1191,Конструкторы!$C$35:$C$1191,$A6)</f>
        <v>0</v>
      </c>
      <c r="U6" s="73">
        <f t="array" ref="U6">SUMIFS(Конструкторы!L$35:L$1191,Конструкторы!$C$35:$C$1191,$A6)</f>
        <v>0</v>
      </c>
      <c r="V6" s="73">
        <f t="array" ref="V6">SUMIFS(Конструкторы!M$35:M$1191,Конструкторы!$C$35:$C$1191,$A6)</f>
        <v>0</v>
      </c>
      <c r="W6" s="73">
        <f t="array" ref="W6">SUMIFS(Конструкторы!N$35:N$1191,Конструкторы!$C$35:$C$1191,$A6)</f>
        <v>0</v>
      </c>
      <c r="X6" s="73">
        <f t="array" ref="X6">SUMIFS(Конструкторы!O$35:O$1191,Конструкторы!$C$35:$C$1191,$A6)</f>
        <v>0</v>
      </c>
      <c r="Y6" s="73">
        <f t="array" ref="Y6">SUMIFS(Конструкторы!P$35:P$1191,Конструкторы!$C$35:$C$1191,$A6)</f>
        <v>0</v>
      </c>
      <c r="Z6" s="73">
        <f t="array" ref="Z6">SUMIFS(Конструкторы!Q$35:Q$1191,Конструкторы!$C$35:$C$1191,$A6)</f>
        <v>0</v>
      </c>
      <c r="AA6" s="73">
        <f t="array" ref="AA6">SUMIFS(Конструкторы!R$35:R$1191,Конструкторы!$C$35:$C$1191,$A6)</f>
        <v>0</v>
      </c>
      <c r="AB6" s="73">
        <f t="array" ref="AB6">SUMIFS(Конструкторы!S$35:S$1191,Конструкторы!$C$35:$C$1191,$A6)</f>
        <v>0</v>
      </c>
      <c r="AC6" s="73">
        <f t="array" ref="AC6">SUMIFS(Конструкторы!T$35:T$1191,Конструкторы!$C$35:$C$1191,$A6)</f>
        <v>0</v>
      </c>
      <c r="AD6" s="76">
        <f t="array" ref="AD6">SUMIFS(Конструкторы!I$6:I$33,Конструкторы!$C$6:$C$33,$A6)</f>
        <v>0</v>
      </c>
      <c r="AE6" s="76">
        <f t="array" ref="AE6">SUMIFS(Конструкторы!J$6:J$33,Конструкторы!$C$6:$C$33,$A6)</f>
        <v>0</v>
      </c>
      <c r="AF6" s="76">
        <f t="array" ref="AF6">SUMIFS(Конструкторы!K$6:K$33,Конструкторы!$C$6:$C$33,$A6)</f>
        <v>0</v>
      </c>
      <c r="AG6" s="76">
        <f t="array" ref="AG6">SUMIFS(Конструкторы!L$6:L$33,Конструкторы!$C$6:$C$33,$A6)</f>
        <v>0</v>
      </c>
      <c r="AH6" s="76">
        <f t="array" ref="AH6">SUMIFS(Конструкторы!M$6:M$33,Конструкторы!$C$6:$C$33,$A6)</f>
        <v>0</v>
      </c>
      <c r="AI6" s="76">
        <f t="array" ref="AI6">SUMIFS(Конструкторы!N$6:N$33,Конструкторы!$C$6:$C$33,$A6)</f>
        <v>0</v>
      </c>
      <c r="AJ6" s="76">
        <f t="array" ref="AJ6">SUMIFS(Конструкторы!O$6:O$33,Конструкторы!$C$6:$C$33,$A6)</f>
        <v>0</v>
      </c>
      <c r="AK6" s="76">
        <f t="array" ref="AK6">SUMIFS(Конструкторы!P$6:P$33,Конструкторы!$C$6:$C$33,$A6)</f>
        <v>0</v>
      </c>
      <c r="AL6" s="76">
        <f t="array" ref="AL6">SUMIFS(Конструкторы!Q$6:Q$33,Конструкторы!$C$6:$C$33,$A6)</f>
        <v>0</v>
      </c>
      <c r="AM6" s="76">
        <f t="array" ref="AM6">SUMIFS(Конструкторы!R$6:R$33,Конструкторы!$C$6:$C$33,$A6)</f>
        <v>0</v>
      </c>
      <c r="AN6" s="76">
        <f t="array" ref="AN6">SUMIFS(Конструкторы!S$6:S$33,Конструкторы!$C$6:$C$33,$A6)</f>
        <v>0</v>
      </c>
      <c r="AO6" s="76">
        <f t="array" ref="AO6">SUMIFS(Конструкторы!T$6:T$33,Конструкторы!$C$6:$C$33,$A6)</f>
        <v>0</v>
      </c>
      <c r="AP6" s="75">
        <f t="array" ref="AP6">SUMIFS(Конструкторы!I$1192:I$1277,Конструкторы!$C$1192:$C$1277,$A6)</f>
        <v>0</v>
      </c>
      <c r="AQ6" s="75">
        <f t="array" ref="AQ6">SUMIFS(Конструкторы!J$1192:J$1277,Конструкторы!$C$1192:$C$1277,$A6)</f>
        <v>0</v>
      </c>
      <c r="AR6" s="75">
        <f t="array" ref="AR6">SUMIFS(Конструкторы!K$1192:K$1277,Конструкторы!$C$1192:$C$1277,$A6)</f>
        <v>0</v>
      </c>
      <c r="AS6" s="75">
        <f t="array" ref="AS6">SUMIFS(Конструкторы!L$1192:L$1277,Конструкторы!$C$1192:$C$1277,$A6)</f>
        <v>0</v>
      </c>
      <c r="AT6" s="75">
        <f t="array" ref="AT6">SUMIFS(Конструкторы!M$1192:M$1277,Конструкторы!$C$1192:$C$1277,$A6)</f>
        <v>0</v>
      </c>
      <c r="AU6" s="75">
        <f t="array" ref="AU6">SUMIFS(Конструкторы!N$1192:N$1277,Конструкторы!$C$1192:$C$1277,$A6)</f>
        <v>0</v>
      </c>
      <c r="AV6" s="75">
        <f t="array" ref="AV6">SUMIFS(Конструкторы!O$1192:O$1277,Конструкторы!$C$1192:$C$1277,$A6)</f>
        <v>0</v>
      </c>
      <c r="AW6" s="75">
        <f t="array" ref="AW6">SUMIFS(Конструкторы!P$1192:P$1277,Конструкторы!$C$1192:$C$1277,$A6)</f>
        <v>0</v>
      </c>
      <c r="AX6" s="75">
        <f t="array" ref="AX6">SUMIFS(Конструкторы!Q$1192:Q$1277,Конструкторы!$C$1192:$C$1277,$A6)</f>
        <v>0</v>
      </c>
      <c r="AY6" s="75">
        <f t="array" ref="AY6">SUMIFS(Конструкторы!R$1192:R$1277,Конструкторы!$C$1192:$C$1277,$A6)</f>
        <v>0</v>
      </c>
      <c r="AZ6" s="75">
        <f t="array" ref="AZ6">SUMIFS(Конструкторы!S$1192:S$1277,Конструкторы!$C$1192:$C$1277,$A6)</f>
        <v>0</v>
      </c>
      <c r="BA6" s="75">
        <f t="array" ref="BA6">SUMIFS(Конструкторы!T$1192:T$1277,Конструкторы!$C$1192:$C$1277,$A6)</f>
        <v>0</v>
      </c>
      <c r="BB6" s="80">
        <f t="shared" ref="BB6:BB45" si="12">(F6+R6+AD6)*$B6+AQ6</f>
        <v>0</v>
      </c>
      <c r="BC6" s="80">
        <f t="shared" si="3"/>
        <v>0</v>
      </c>
      <c r="BD6" s="80">
        <f t="shared" si="3"/>
        <v>0</v>
      </c>
      <c r="BE6" s="80">
        <f t="shared" si="3"/>
        <v>0</v>
      </c>
      <c r="BF6" s="80">
        <f t="shared" si="3"/>
        <v>0</v>
      </c>
      <c r="BG6" s="80">
        <f t="shared" si="3"/>
        <v>207.88799999999998</v>
      </c>
      <c r="BH6" s="80">
        <f t="shared" si="3"/>
        <v>207.88799999999998</v>
      </c>
      <c r="BI6" s="80">
        <f t="shared" si="3"/>
        <v>207.88799999999998</v>
      </c>
      <c r="BJ6" s="80">
        <f t="shared" si="3"/>
        <v>207.88799999999998</v>
      </c>
      <c r="BK6" s="80">
        <f t="shared" si="3"/>
        <v>207.88799999999998</v>
      </c>
      <c r="BL6" s="80">
        <f t="shared" si="3"/>
        <v>207.88799999999998</v>
      </c>
      <c r="BM6" s="80">
        <f t="shared" si="4"/>
        <v>207.88799999999998</v>
      </c>
      <c r="BN6" s="84">
        <f t="shared" ref="BN6:BN46" si="13">F6+R6+AD6+AQ6/$B6</f>
        <v>0</v>
      </c>
      <c r="BO6" s="84">
        <f t="shared" si="5"/>
        <v>0</v>
      </c>
      <c r="BP6" s="84">
        <f t="shared" si="5"/>
        <v>0</v>
      </c>
      <c r="BQ6" s="84">
        <f t="shared" si="5"/>
        <v>0</v>
      </c>
      <c r="BR6" s="84">
        <f t="shared" si="5"/>
        <v>0</v>
      </c>
      <c r="BS6" s="84">
        <f t="shared" si="5"/>
        <v>24</v>
      </c>
      <c r="BT6" s="84">
        <f t="shared" ref="BT6:BT46" si="14">L6+X6+AJ6+AW6/$B6</f>
        <v>24</v>
      </c>
      <c r="BU6" s="84">
        <f t="shared" si="6"/>
        <v>24</v>
      </c>
      <c r="BV6" s="84">
        <f t="shared" si="7"/>
        <v>24</v>
      </c>
      <c r="BW6" s="84">
        <f t="shared" si="8"/>
        <v>24</v>
      </c>
      <c r="BX6" s="84">
        <f t="shared" si="9"/>
        <v>24</v>
      </c>
      <c r="BY6" s="83">
        <f t="shared" ref="BY6:BY46" si="15">Q6+AC6+AO6+BA6/$B6</f>
        <v>24</v>
      </c>
      <c r="BZ6" s="79">
        <f t="shared" ref="BZ6:CJ46" si="16">BN6/$E6</f>
        <v>0</v>
      </c>
      <c r="CA6" s="79">
        <f t="shared" si="16"/>
        <v>0</v>
      </c>
      <c r="CB6" s="79">
        <f t="shared" si="16"/>
        <v>0</v>
      </c>
      <c r="CC6" s="79">
        <f t="shared" si="16"/>
        <v>0</v>
      </c>
      <c r="CD6" s="79">
        <f t="shared" si="16"/>
        <v>0</v>
      </c>
      <c r="CE6" s="79">
        <f t="shared" si="16"/>
        <v>2.6666666666666665</v>
      </c>
      <c r="CF6" s="79">
        <f t="shared" si="16"/>
        <v>2.6666666666666665</v>
      </c>
      <c r="CG6" s="79">
        <f t="shared" si="16"/>
        <v>2.6666666666666665</v>
      </c>
      <c r="CH6" s="79">
        <f t="shared" si="16"/>
        <v>2.6666666666666665</v>
      </c>
      <c r="CI6" s="79">
        <f t="shared" si="16"/>
        <v>2.6666666666666665</v>
      </c>
      <c r="CJ6" s="79">
        <f t="shared" si="16"/>
        <v>2.6666666666666665</v>
      </c>
      <c r="CK6" s="79">
        <f t="shared" ref="CK6:CK46" si="17">BY6/$E6</f>
        <v>2.6666666666666665</v>
      </c>
    </row>
    <row r="7" spans="1:89" x14ac:dyDescent="0.25">
      <c r="A7" s="42" t="s">
        <v>34</v>
      </c>
      <c r="B7" s="70">
        <f t="array" ref="B7">INDEX(Технологи!$E$5:$E$552,MATCH(A7&amp;$A$1,Технологи!$B$5:$B$552&amp;Технологи!$C$5:$C$552,0))</f>
        <v>16.061</v>
      </c>
      <c r="C7" s="14">
        <v>1018</v>
      </c>
      <c r="D7" s="71">
        <v>52</v>
      </c>
      <c r="E7" s="71">
        <v>6</v>
      </c>
      <c r="F7" s="72">
        <f>SUMIFS(Продажи!F$5:F$360,Продажи!$D$5:$D$360,'Потребность профиль'!$A7,Продажи!$C$5:$C$360,"Профиль")</f>
        <v>0</v>
      </c>
      <c r="G7" s="72">
        <f>SUMIFS(Продажи!G$5:G$360,Продажи!$D$5:$D$360,'Потребность профиль'!$A7,Продажи!$C$5:$C$360,"Профиль")</f>
        <v>0</v>
      </c>
      <c r="H7" s="72">
        <f>SUMIFS(Продажи!H$5:H$360,Продажи!$D$5:$D$360,'Потребность профиль'!$A7,Продажи!$C$5:$C$360,"Профиль")</f>
        <v>0</v>
      </c>
      <c r="I7" s="72">
        <f>SUMIFS(Продажи!I$5:I$360,Продажи!$D$5:$D$360,'Потребность профиль'!$A7,Продажи!$C$5:$C$360,"Профиль")</f>
        <v>0</v>
      </c>
      <c r="J7" s="72">
        <f>SUMIFS(Продажи!J$5:J$360,Продажи!$D$5:$D$360,'Потребность профиль'!$A7,Продажи!$C$5:$C$360,"Профиль")</f>
        <v>0</v>
      </c>
      <c r="K7" s="72">
        <f>SUMIFS(Продажи!K$5:K$360,Продажи!$D$5:$D$360,'Потребность профиль'!$A7,Продажи!$C$5:$C$360,"Профиль")</f>
        <v>0</v>
      </c>
      <c r="L7" s="72">
        <f>SUMIFS(Продажи!L$5:L$360,Продажи!$D$5:$D$360,'Потребность профиль'!$A7,Продажи!$C$5:$C$360,"Профиль")</f>
        <v>0</v>
      </c>
      <c r="M7" s="72">
        <f>SUMIFS(Продажи!M$5:M$360,Продажи!$D$5:$D$360,'Потребность профиль'!$A7,Продажи!$C$5:$C$360,"Профиль")</f>
        <v>0</v>
      </c>
      <c r="N7" s="72">
        <f>SUMIFS(Продажи!N$5:N$360,Продажи!$D$5:$D$360,'Потребность профиль'!$A7,Продажи!$C$5:$C$360,"Профиль")</f>
        <v>0</v>
      </c>
      <c r="O7" s="72">
        <f>SUMIFS(Продажи!O$5:O$360,Продажи!$D$5:$D$360,'Потребность профиль'!$A7,Продажи!$C$5:$C$360,"Профиль")</f>
        <v>0</v>
      </c>
      <c r="P7" s="72">
        <f>SUMIFS(Продажи!P$5:P$360,Продажи!$D$5:$D$360,'Потребность профиль'!$A7,Продажи!$C$5:$C$360,"Профиль")</f>
        <v>0</v>
      </c>
      <c r="Q7" s="72">
        <f>SUMIFS(Продажи!Q$5:Q$360,Продажи!$D$5:$D$360,'Потребность профиль'!$A7,Продажи!$C$5:$C$360,"Профиль")</f>
        <v>0</v>
      </c>
      <c r="R7" s="73">
        <f t="array" ref="R7">SUMIFS(Конструкторы!I$35:I$1191,Конструкторы!$C$35:$C$1191,$A7)</f>
        <v>0</v>
      </c>
      <c r="S7" s="73">
        <f t="array" ref="S7">SUMIFS(Конструкторы!J$35:J$1191,Конструкторы!$C$35:$C$1191,$A7)</f>
        <v>0</v>
      </c>
      <c r="T7" s="73">
        <f t="array" ref="T7">SUMIFS(Конструкторы!K$35:K$1191,Конструкторы!$C$35:$C$1191,$A7)</f>
        <v>0</v>
      </c>
      <c r="U7" s="73">
        <f t="array" ref="U7">SUMIFS(Конструкторы!L$35:L$1191,Конструкторы!$C$35:$C$1191,$A7)</f>
        <v>0</v>
      </c>
      <c r="V7" s="73">
        <f t="array" ref="V7">SUMIFS(Конструкторы!M$35:M$1191,Конструкторы!$C$35:$C$1191,$A7)</f>
        <v>0</v>
      </c>
      <c r="W7" s="73">
        <f t="array" ref="W7">SUMIFS(Конструкторы!N$35:N$1191,Конструкторы!$C$35:$C$1191,$A7)</f>
        <v>0</v>
      </c>
      <c r="X7" s="73">
        <f t="array" ref="X7">SUMIFS(Конструкторы!O$35:O$1191,Конструкторы!$C$35:$C$1191,$A7)</f>
        <v>0</v>
      </c>
      <c r="Y7" s="73">
        <f t="array" ref="Y7">SUMIFS(Конструкторы!P$35:P$1191,Конструкторы!$C$35:$C$1191,$A7)</f>
        <v>0</v>
      </c>
      <c r="Z7" s="73">
        <f t="array" ref="Z7">SUMIFS(Конструкторы!Q$35:Q$1191,Конструкторы!$C$35:$C$1191,$A7)</f>
        <v>0</v>
      </c>
      <c r="AA7" s="73">
        <f t="array" ref="AA7">SUMIFS(Конструкторы!R$35:R$1191,Конструкторы!$C$35:$C$1191,$A7)</f>
        <v>0</v>
      </c>
      <c r="AB7" s="73">
        <f t="array" ref="AB7">SUMIFS(Конструкторы!S$35:S$1191,Конструкторы!$C$35:$C$1191,$A7)</f>
        <v>0</v>
      </c>
      <c r="AC7" s="73">
        <f t="array" ref="AC7">SUMIFS(Конструкторы!T$35:T$1191,Конструкторы!$C$35:$C$1191,$A7)</f>
        <v>0</v>
      </c>
      <c r="AD7" s="76">
        <f t="array" ref="AD7">SUMIFS(Конструкторы!I$6:I$33,Конструкторы!$C$6:$C$33,$A7)</f>
        <v>0</v>
      </c>
      <c r="AE7" s="76">
        <f t="array" ref="AE7">SUMIFS(Конструкторы!J$6:J$33,Конструкторы!$C$6:$C$33,$A7)</f>
        <v>0</v>
      </c>
      <c r="AF7" s="76">
        <f t="array" ref="AF7">SUMIFS(Конструкторы!K$6:K$33,Конструкторы!$C$6:$C$33,$A7)</f>
        <v>0</v>
      </c>
      <c r="AG7" s="76">
        <f t="array" ref="AG7">SUMIFS(Конструкторы!L$6:L$33,Конструкторы!$C$6:$C$33,$A7)</f>
        <v>0</v>
      </c>
      <c r="AH7" s="76">
        <f t="array" ref="AH7">SUMIFS(Конструкторы!M$6:M$33,Конструкторы!$C$6:$C$33,$A7)</f>
        <v>0</v>
      </c>
      <c r="AI7" s="76">
        <f t="array" ref="AI7">SUMIFS(Конструкторы!N$6:N$33,Конструкторы!$C$6:$C$33,$A7)</f>
        <v>0</v>
      </c>
      <c r="AJ7" s="76">
        <f t="array" ref="AJ7">SUMIFS(Конструкторы!O$6:O$33,Конструкторы!$C$6:$C$33,$A7)</f>
        <v>0</v>
      </c>
      <c r="AK7" s="76">
        <f t="array" ref="AK7">SUMIFS(Конструкторы!P$6:P$33,Конструкторы!$C$6:$C$33,$A7)</f>
        <v>0</v>
      </c>
      <c r="AL7" s="76">
        <f t="array" ref="AL7">SUMIFS(Конструкторы!Q$6:Q$33,Конструкторы!$C$6:$C$33,$A7)</f>
        <v>0</v>
      </c>
      <c r="AM7" s="76">
        <f t="array" ref="AM7">SUMIFS(Конструкторы!R$6:R$33,Конструкторы!$C$6:$C$33,$A7)</f>
        <v>0</v>
      </c>
      <c r="AN7" s="76">
        <f t="array" ref="AN7">SUMIFS(Конструкторы!S$6:S$33,Конструкторы!$C$6:$C$33,$A7)</f>
        <v>0</v>
      </c>
      <c r="AO7" s="76">
        <f t="array" ref="AO7">SUMIFS(Конструкторы!T$6:T$33,Конструкторы!$C$6:$C$33,$A7)</f>
        <v>0</v>
      </c>
      <c r="AP7" s="75">
        <f t="array" ref="AP7">SUMIFS(Конструкторы!I$1192:I$1277,Конструкторы!$C$1192:$C$1277,$A7)</f>
        <v>0</v>
      </c>
      <c r="AQ7" s="75">
        <f t="array" ref="AQ7">SUMIFS(Конструкторы!J$1192:J$1277,Конструкторы!$C$1192:$C$1277,$A7)</f>
        <v>22770</v>
      </c>
      <c r="AR7" s="75">
        <f t="array" ref="AR7">SUMIFS(Конструкторы!K$1192:K$1277,Конструкторы!$C$1192:$C$1277,$A7)</f>
        <v>9480</v>
      </c>
      <c r="AS7" s="75">
        <f t="array" ref="AS7">SUMIFS(Конструкторы!L$1192:L$1277,Конструкторы!$C$1192:$C$1277,$A7)</f>
        <v>20061.674008810573</v>
      </c>
      <c r="AT7" s="75">
        <f t="array" ref="AT7">SUMIFS(Конструкторы!M$1192:M$1277,Конструкторы!$C$1192:$C$1277,$A7)</f>
        <v>23794.078475566028</v>
      </c>
      <c r="AU7" s="75">
        <f t="array" ref="AU7">SUMIFS(Конструкторы!N$1192:N$1277,Конструкторы!$C$1192:$C$1277,$A7)</f>
        <v>21461.325683843868</v>
      </c>
      <c r="AV7" s="75">
        <f t="array" ref="AV7">SUMIFS(Конструкторы!O$1192:O$1277,Конструкторы!$C$1192:$C$1277,$A7)</f>
        <v>21461.325683843868</v>
      </c>
      <c r="AW7" s="75">
        <f t="array" ref="AW7">SUMIFS(Конструкторы!P$1192:P$1277,Конструкторы!$C$1192:$C$1277,$A7)</f>
        <v>21461.325683843868</v>
      </c>
      <c r="AX7" s="75">
        <f t="array" ref="AX7">SUMIFS(Конструкторы!Q$1192:Q$1277,Конструкторы!$C$1192:$C$1277,$A7)</f>
        <v>21461.325683843868</v>
      </c>
      <c r="AY7" s="75">
        <f t="array" ref="AY7">SUMIFS(Конструкторы!R$1192:R$1277,Конструкторы!$C$1192:$C$1277,$A7)</f>
        <v>21461.325683843868</v>
      </c>
      <c r="AZ7" s="75">
        <f t="array" ref="AZ7">SUMIFS(Конструкторы!S$1192:S$1277,Конструкторы!$C$1192:$C$1277,$A7)</f>
        <v>21461.325683843868</v>
      </c>
      <c r="BA7" s="75">
        <f t="array" ref="BA7">SUMIFS(Конструкторы!T$1192:T$1277,Конструкторы!$C$1192:$C$1277,$A7)</f>
        <v>21461.325683843868</v>
      </c>
      <c r="BB7" s="80">
        <f t="shared" si="12"/>
        <v>22770</v>
      </c>
      <c r="BC7" s="80">
        <f t="shared" si="3"/>
        <v>9480</v>
      </c>
      <c r="BD7" s="80">
        <f t="shared" si="3"/>
        <v>20061.674008810573</v>
      </c>
      <c r="BE7" s="80">
        <f t="shared" si="3"/>
        <v>23794.078475566028</v>
      </c>
      <c r="BF7" s="80">
        <f t="shared" si="3"/>
        <v>21461.325683843868</v>
      </c>
      <c r="BG7" s="80">
        <f t="shared" si="3"/>
        <v>21461.325683843868</v>
      </c>
      <c r="BH7" s="80">
        <f t="shared" si="3"/>
        <v>21461.325683843868</v>
      </c>
      <c r="BI7" s="80">
        <f t="shared" si="3"/>
        <v>21461.325683843868</v>
      </c>
      <c r="BJ7" s="80">
        <f t="shared" si="3"/>
        <v>21461.325683843868</v>
      </c>
      <c r="BK7" s="80">
        <f t="shared" si="3"/>
        <v>21461.325683843868</v>
      </c>
      <c r="BL7" s="80">
        <f t="shared" si="3"/>
        <v>21461.325683843868</v>
      </c>
      <c r="BM7" s="80">
        <f t="shared" si="4"/>
        <v>21461.325683843868</v>
      </c>
      <c r="BN7" s="84">
        <f t="shared" si="13"/>
        <v>1417.7199427183862</v>
      </c>
      <c r="BO7" s="84">
        <f t="shared" si="5"/>
        <v>590.24967312122533</v>
      </c>
      <c r="BP7" s="84">
        <f t="shared" si="5"/>
        <v>1249.0924605448336</v>
      </c>
      <c r="BQ7" s="84">
        <f t="shared" si="5"/>
        <v>1481.4817555299189</v>
      </c>
      <c r="BR7" s="84">
        <f t="shared" si="5"/>
        <v>1336.2384461642407</v>
      </c>
      <c r="BS7" s="84">
        <f t="shared" si="5"/>
        <v>1336.2384461642407</v>
      </c>
      <c r="BT7" s="84">
        <f t="shared" si="14"/>
        <v>1336.2384461642407</v>
      </c>
      <c r="BU7" s="84">
        <f t="shared" si="6"/>
        <v>1336.2384461642407</v>
      </c>
      <c r="BV7" s="84">
        <f t="shared" si="7"/>
        <v>1336.2384461642407</v>
      </c>
      <c r="BW7" s="84">
        <f t="shared" si="8"/>
        <v>1336.2384461642407</v>
      </c>
      <c r="BX7" s="84">
        <f t="shared" si="9"/>
        <v>1336.2384461642407</v>
      </c>
      <c r="BY7" s="83">
        <f t="shared" si="15"/>
        <v>1336.2384461642407</v>
      </c>
      <c r="BZ7" s="79">
        <f t="shared" si="16"/>
        <v>236.28665711973102</v>
      </c>
      <c r="CA7" s="79">
        <f t="shared" si="16"/>
        <v>98.374945520204221</v>
      </c>
      <c r="CB7" s="79">
        <f t="shared" si="16"/>
        <v>208.18207675747226</v>
      </c>
      <c r="CC7" s="79">
        <f t="shared" si="16"/>
        <v>246.91362592165316</v>
      </c>
      <c r="CD7" s="79">
        <f t="shared" si="16"/>
        <v>222.70640769404011</v>
      </c>
      <c r="CE7" s="79">
        <f t="shared" si="16"/>
        <v>222.70640769404011</v>
      </c>
      <c r="CF7" s="79">
        <f t="shared" si="16"/>
        <v>222.70640769404011</v>
      </c>
      <c r="CG7" s="79">
        <f t="shared" si="16"/>
        <v>222.70640769404011</v>
      </c>
      <c r="CH7" s="79">
        <f t="shared" si="16"/>
        <v>222.70640769404011</v>
      </c>
      <c r="CI7" s="79">
        <f t="shared" si="16"/>
        <v>222.70640769404011</v>
      </c>
      <c r="CJ7" s="79">
        <f t="shared" si="16"/>
        <v>222.70640769404011</v>
      </c>
      <c r="CK7" s="79">
        <f t="shared" si="17"/>
        <v>222.70640769404011</v>
      </c>
    </row>
    <row r="8" spans="1:89" x14ac:dyDescent="0.25">
      <c r="A8" s="42" t="s">
        <v>56</v>
      </c>
      <c r="B8" s="70">
        <f t="array" ref="B8">INDEX(Технологи!$E$5:$E$552,MATCH(A8&amp;$A$1,Технологи!$B$5:$B$552&amp;Технологи!$C$5:$C$552,0))</f>
        <v>1.2739999999999998</v>
      </c>
      <c r="C8" s="14">
        <v>1018</v>
      </c>
      <c r="D8" s="71">
        <v>6.5</v>
      </c>
      <c r="E8" s="71">
        <v>21</v>
      </c>
      <c r="F8" s="72">
        <f>SUMIFS(Продажи!F$5:F$360,Продажи!$D$5:$D$360,'Потребность профиль'!$A8,Продажи!$C$5:$C$360,"Профиль")</f>
        <v>0</v>
      </c>
      <c r="G8" s="72">
        <f>SUMIFS(Продажи!G$5:G$360,Продажи!$D$5:$D$360,'Потребность профиль'!$A8,Продажи!$C$5:$C$360,"Профиль")</f>
        <v>0</v>
      </c>
      <c r="H8" s="72">
        <f>SUMIFS(Продажи!H$5:H$360,Продажи!$D$5:$D$360,'Потребность профиль'!$A8,Продажи!$C$5:$C$360,"Профиль")</f>
        <v>129</v>
      </c>
      <c r="I8" s="72">
        <f>SUMIFS(Продажи!I$5:I$360,Продажи!$D$5:$D$360,'Потребность профиль'!$A8,Продажи!$C$5:$C$360,"Профиль")</f>
        <v>0</v>
      </c>
      <c r="J8" s="72">
        <f>SUMIFS(Продажи!J$5:J$360,Продажи!$D$5:$D$360,'Потребность профиль'!$A8,Продажи!$C$5:$C$360,"Профиль")</f>
        <v>0</v>
      </c>
      <c r="K8" s="72">
        <f>SUMIFS(Продажи!K$5:K$360,Продажи!$D$5:$D$360,'Потребность профиль'!$A8,Продажи!$C$5:$C$360,"Профиль")</f>
        <v>0</v>
      </c>
      <c r="L8" s="72">
        <f>SUMIFS(Продажи!L$5:L$360,Продажи!$D$5:$D$360,'Потребность профиль'!$A8,Продажи!$C$5:$C$360,"Профиль")</f>
        <v>0</v>
      </c>
      <c r="M8" s="72">
        <f>SUMIFS(Продажи!M$5:M$360,Продажи!$D$5:$D$360,'Потребность профиль'!$A8,Продажи!$C$5:$C$360,"Профиль")</f>
        <v>0</v>
      </c>
      <c r="N8" s="72">
        <f>SUMIFS(Продажи!N$5:N$360,Продажи!$D$5:$D$360,'Потребность профиль'!$A8,Продажи!$C$5:$C$360,"Профиль")</f>
        <v>0</v>
      </c>
      <c r="O8" s="72">
        <f>SUMIFS(Продажи!O$5:O$360,Продажи!$D$5:$D$360,'Потребность профиль'!$A8,Продажи!$C$5:$C$360,"Профиль")</f>
        <v>0</v>
      </c>
      <c r="P8" s="72">
        <f>SUMIFS(Продажи!P$5:P$360,Продажи!$D$5:$D$360,'Потребность профиль'!$A8,Продажи!$C$5:$C$360,"Профиль")</f>
        <v>0</v>
      </c>
      <c r="Q8" s="72">
        <f>SUMIFS(Продажи!Q$5:Q$360,Продажи!$D$5:$D$360,'Потребность профиль'!$A8,Продажи!$C$5:$C$360,"Профиль")</f>
        <v>0</v>
      </c>
      <c r="R8" s="73">
        <f t="array" ref="R8">SUMIFS(Конструкторы!I$35:I$1191,Конструкторы!$C$35:$C$1191,$A8)</f>
        <v>0</v>
      </c>
      <c r="S8" s="73">
        <f t="array" ref="S8">SUMIFS(Конструкторы!J$35:J$1191,Конструкторы!$C$35:$C$1191,$A8)</f>
        <v>0</v>
      </c>
      <c r="T8" s="73">
        <f t="array" ref="T8">SUMIFS(Конструкторы!K$35:K$1191,Конструкторы!$C$35:$C$1191,$A8)</f>
        <v>850</v>
      </c>
      <c r="U8" s="73">
        <f t="array" ref="U8">SUMIFS(Конструкторы!L$35:L$1191,Конструкторы!$C$35:$C$1191,$A8)</f>
        <v>0</v>
      </c>
      <c r="V8" s="73">
        <f t="array" ref="V8">SUMIFS(Конструкторы!M$35:M$1191,Конструкторы!$C$35:$C$1191,$A8)</f>
        <v>0</v>
      </c>
      <c r="W8" s="73">
        <f t="array" ref="W8">SUMIFS(Конструкторы!N$35:N$1191,Конструкторы!$C$35:$C$1191,$A8)</f>
        <v>0</v>
      </c>
      <c r="X8" s="73">
        <f t="array" ref="X8">SUMIFS(Конструкторы!O$35:O$1191,Конструкторы!$C$35:$C$1191,$A8)</f>
        <v>0</v>
      </c>
      <c r="Y8" s="73">
        <f t="array" ref="Y8">SUMIFS(Конструкторы!P$35:P$1191,Конструкторы!$C$35:$C$1191,$A8)</f>
        <v>0</v>
      </c>
      <c r="Z8" s="73">
        <f t="array" ref="Z8">SUMIFS(Конструкторы!Q$35:Q$1191,Конструкторы!$C$35:$C$1191,$A8)</f>
        <v>0</v>
      </c>
      <c r="AA8" s="73">
        <f t="array" ref="AA8">SUMIFS(Конструкторы!R$35:R$1191,Конструкторы!$C$35:$C$1191,$A8)</f>
        <v>0</v>
      </c>
      <c r="AB8" s="73">
        <f t="array" ref="AB8">SUMIFS(Конструкторы!S$35:S$1191,Конструкторы!$C$35:$C$1191,$A8)</f>
        <v>0</v>
      </c>
      <c r="AC8" s="73">
        <f t="array" ref="AC8">SUMIFS(Конструкторы!T$35:T$1191,Конструкторы!$C$35:$C$1191,$A8)</f>
        <v>0</v>
      </c>
      <c r="AD8" s="76">
        <f t="array" ref="AD8">SUMIFS(Конструкторы!I$6:I$33,Конструкторы!$C$6:$C$33,$A8)</f>
        <v>0</v>
      </c>
      <c r="AE8" s="76">
        <f t="array" ref="AE8">SUMIFS(Конструкторы!J$6:J$33,Конструкторы!$C$6:$C$33,$A8)</f>
        <v>0</v>
      </c>
      <c r="AF8" s="76">
        <f t="array" ref="AF8">SUMIFS(Конструкторы!K$6:K$33,Конструкторы!$C$6:$C$33,$A8)</f>
        <v>0</v>
      </c>
      <c r="AG8" s="76">
        <f t="array" ref="AG8">SUMIFS(Конструкторы!L$6:L$33,Конструкторы!$C$6:$C$33,$A8)</f>
        <v>0</v>
      </c>
      <c r="AH8" s="76">
        <f t="array" ref="AH8">SUMIFS(Конструкторы!M$6:M$33,Конструкторы!$C$6:$C$33,$A8)</f>
        <v>0</v>
      </c>
      <c r="AI8" s="76">
        <f t="array" ref="AI8">SUMIFS(Конструкторы!N$6:N$33,Конструкторы!$C$6:$C$33,$A8)</f>
        <v>0</v>
      </c>
      <c r="AJ8" s="76">
        <f t="array" ref="AJ8">SUMIFS(Конструкторы!O$6:O$33,Конструкторы!$C$6:$C$33,$A8)</f>
        <v>0</v>
      </c>
      <c r="AK8" s="76">
        <f t="array" ref="AK8">SUMIFS(Конструкторы!P$6:P$33,Конструкторы!$C$6:$C$33,$A8)</f>
        <v>0</v>
      </c>
      <c r="AL8" s="76">
        <f t="array" ref="AL8">SUMIFS(Конструкторы!Q$6:Q$33,Конструкторы!$C$6:$C$33,$A8)</f>
        <v>0</v>
      </c>
      <c r="AM8" s="76">
        <f t="array" ref="AM8">SUMIFS(Конструкторы!R$6:R$33,Конструкторы!$C$6:$C$33,$A8)</f>
        <v>0</v>
      </c>
      <c r="AN8" s="76">
        <f t="array" ref="AN8">SUMIFS(Конструкторы!S$6:S$33,Конструкторы!$C$6:$C$33,$A8)</f>
        <v>0</v>
      </c>
      <c r="AO8" s="76">
        <f t="array" ref="AO8">SUMIFS(Конструкторы!T$6:T$33,Конструкторы!$C$6:$C$33,$A8)</f>
        <v>0</v>
      </c>
      <c r="AP8" s="75">
        <f t="array" ref="AP8">SUMIFS(Конструкторы!I$1192:I$1277,Конструкторы!$C$1192:$C$1277,$A8)</f>
        <v>0</v>
      </c>
      <c r="AQ8" s="75">
        <f t="array" ref="AQ8">SUMIFS(Конструкторы!J$1192:J$1277,Конструкторы!$C$1192:$C$1277,$A8)</f>
        <v>0</v>
      </c>
      <c r="AR8" s="75">
        <f t="array" ref="AR8">SUMIFS(Конструкторы!K$1192:K$1277,Конструкторы!$C$1192:$C$1277,$A8)</f>
        <v>0</v>
      </c>
      <c r="AS8" s="75">
        <f t="array" ref="AS8">SUMIFS(Конструкторы!L$1192:L$1277,Конструкторы!$C$1192:$C$1277,$A8)</f>
        <v>0</v>
      </c>
      <c r="AT8" s="75">
        <f t="array" ref="AT8">SUMIFS(Конструкторы!M$1192:M$1277,Конструкторы!$C$1192:$C$1277,$A8)</f>
        <v>0</v>
      </c>
      <c r="AU8" s="75">
        <f t="array" ref="AU8">SUMIFS(Конструкторы!N$1192:N$1277,Конструкторы!$C$1192:$C$1277,$A8)</f>
        <v>0</v>
      </c>
      <c r="AV8" s="75">
        <f t="array" ref="AV8">SUMIFS(Конструкторы!O$1192:O$1277,Конструкторы!$C$1192:$C$1277,$A8)</f>
        <v>0</v>
      </c>
      <c r="AW8" s="75">
        <f t="array" ref="AW8">SUMIFS(Конструкторы!P$1192:P$1277,Конструкторы!$C$1192:$C$1277,$A8)</f>
        <v>0</v>
      </c>
      <c r="AX8" s="75">
        <f t="array" ref="AX8">SUMIFS(Конструкторы!Q$1192:Q$1277,Конструкторы!$C$1192:$C$1277,$A8)</f>
        <v>0</v>
      </c>
      <c r="AY8" s="75">
        <f t="array" ref="AY8">SUMIFS(Конструкторы!R$1192:R$1277,Конструкторы!$C$1192:$C$1277,$A8)</f>
        <v>0</v>
      </c>
      <c r="AZ8" s="75">
        <f t="array" ref="AZ8">SUMIFS(Конструкторы!S$1192:S$1277,Конструкторы!$C$1192:$C$1277,$A8)</f>
        <v>0</v>
      </c>
      <c r="BA8" s="75">
        <f t="array" ref="BA8">SUMIFS(Конструкторы!T$1192:T$1277,Конструкторы!$C$1192:$C$1277,$A8)</f>
        <v>0</v>
      </c>
      <c r="BB8" s="80">
        <f t="shared" si="12"/>
        <v>0</v>
      </c>
      <c r="BC8" s="80">
        <f t="shared" si="3"/>
        <v>0</v>
      </c>
      <c r="BD8" s="80">
        <f t="shared" si="3"/>
        <v>1247.2459999999999</v>
      </c>
      <c r="BE8" s="80">
        <f t="shared" si="3"/>
        <v>0</v>
      </c>
      <c r="BF8" s="80">
        <f t="shared" si="3"/>
        <v>0</v>
      </c>
      <c r="BG8" s="80">
        <f t="shared" si="3"/>
        <v>0</v>
      </c>
      <c r="BH8" s="80">
        <f t="shared" si="3"/>
        <v>0</v>
      </c>
      <c r="BI8" s="80">
        <f t="shared" si="3"/>
        <v>0</v>
      </c>
      <c r="BJ8" s="80">
        <f t="shared" si="3"/>
        <v>0</v>
      </c>
      <c r="BK8" s="80">
        <f t="shared" si="3"/>
        <v>0</v>
      </c>
      <c r="BL8" s="80">
        <f t="shared" si="3"/>
        <v>0</v>
      </c>
      <c r="BM8" s="80">
        <f t="shared" si="4"/>
        <v>0</v>
      </c>
      <c r="BN8" s="84">
        <f t="shared" si="13"/>
        <v>0</v>
      </c>
      <c r="BO8" s="84">
        <f t="shared" si="5"/>
        <v>0</v>
      </c>
      <c r="BP8" s="84">
        <f t="shared" si="5"/>
        <v>979</v>
      </c>
      <c r="BQ8" s="84">
        <f t="shared" si="5"/>
        <v>0</v>
      </c>
      <c r="BR8" s="84">
        <f t="shared" si="5"/>
        <v>0</v>
      </c>
      <c r="BS8" s="84">
        <f t="shared" si="5"/>
        <v>0</v>
      </c>
      <c r="BT8" s="84">
        <f t="shared" si="14"/>
        <v>0</v>
      </c>
      <c r="BU8" s="84">
        <f t="shared" si="6"/>
        <v>0</v>
      </c>
      <c r="BV8" s="84">
        <f t="shared" si="7"/>
        <v>0</v>
      </c>
      <c r="BW8" s="84">
        <f t="shared" si="8"/>
        <v>0</v>
      </c>
      <c r="BX8" s="84">
        <f t="shared" si="9"/>
        <v>0</v>
      </c>
      <c r="BY8" s="83">
        <f t="shared" si="15"/>
        <v>0</v>
      </c>
      <c r="BZ8" s="79">
        <f t="shared" si="16"/>
        <v>0</v>
      </c>
      <c r="CA8" s="79">
        <f t="shared" si="16"/>
        <v>0</v>
      </c>
      <c r="CB8" s="79">
        <f t="shared" si="16"/>
        <v>46.61904761904762</v>
      </c>
      <c r="CC8" s="79">
        <f t="shared" si="16"/>
        <v>0</v>
      </c>
      <c r="CD8" s="79">
        <f t="shared" si="16"/>
        <v>0</v>
      </c>
      <c r="CE8" s="79">
        <f t="shared" si="16"/>
        <v>0</v>
      </c>
      <c r="CF8" s="79">
        <f t="shared" si="16"/>
        <v>0</v>
      </c>
      <c r="CG8" s="79">
        <f t="shared" si="16"/>
        <v>0</v>
      </c>
      <c r="CH8" s="79">
        <f t="shared" si="16"/>
        <v>0</v>
      </c>
      <c r="CI8" s="79">
        <f t="shared" si="16"/>
        <v>0</v>
      </c>
      <c r="CJ8" s="79">
        <f t="shared" si="16"/>
        <v>0</v>
      </c>
      <c r="CK8" s="79">
        <f t="shared" si="17"/>
        <v>0</v>
      </c>
    </row>
    <row r="9" spans="1:89" x14ac:dyDescent="0.25">
      <c r="A9" s="42" t="s">
        <v>57</v>
      </c>
      <c r="B9" s="70">
        <f t="array" ref="B9">INDEX(Технологи!$E$5:$E$552,MATCH(A9&amp;$A$1,Технологи!$B$5:$B$552&amp;Технологи!$C$5:$C$552,0))</f>
        <v>1.738</v>
      </c>
      <c r="C9" s="14">
        <v>1018</v>
      </c>
      <c r="D9" s="71">
        <v>6.5</v>
      </c>
      <c r="E9" s="71">
        <v>21</v>
      </c>
      <c r="F9" s="72">
        <f>SUMIFS(Продажи!F$5:F$360,Продажи!$D$5:$D$360,'Потребность профиль'!$A9,Продажи!$C$5:$C$360,"Профиль")</f>
        <v>42</v>
      </c>
      <c r="G9" s="72">
        <f>SUMIFS(Продажи!G$5:G$360,Продажи!$D$5:$D$360,'Потребность профиль'!$A9,Продажи!$C$5:$C$360,"Профиль")</f>
        <v>0</v>
      </c>
      <c r="H9" s="72">
        <f>SUMIFS(Продажи!H$5:H$360,Продажи!$D$5:$D$360,'Потребность профиль'!$A9,Продажи!$C$5:$C$360,"Профиль")</f>
        <v>1107</v>
      </c>
      <c r="I9" s="72">
        <f>SUMIFS(Продажи!I$5:I$360,Продажи!$D$5:$D$360,'Потребность профиль'!$A9,Продажи!$C$5:$C$360,"Профиль")</f>
        <v>0</v>
      </c>
      <c r="J9" s="72">
        <f>SUMIFS(Продажи!J$5:J$360,Продажи!$D$5:$D$360,'Потребность профиль'!$A9,Продажи!$C$5:$C$360,"Профиль")</f>
        <v>0</v>
      </c>
      <c r="K9" s="72">
        <f>SUMIFS(Продажи!K$5:K$360,Продажи!$D$5:$D$360,'Потребность профиль'!$A9,Продажи!$C$5:$C$360,"Профиль")</f>
        <v>0</v>
      </c>
      <c r="L9" s="72">
        <f>SUMIFS(Продажи!L$5:L$360,Продажи!$D$5:$D$360,'Потребность профиль'!$A9,Продажи!$C$5:$C$360,"Профиль")</f>
        <v>0</v>
      </c>
      <c r="M9" s="72">
        <f>SUMIFS(Продажи!M$5:M$360,Продажи!$D$5:$D$360,'Потребность профиль'!$A9,Продажи!$C$5:$C$360,"Профиль")</f>
        <v>0</v>
      </c>
      <c r="N9" s="72">
        <f>SUMIFS(Продажи!N$5:N$360,Продажи!$D$5:$D$360,'Потребность профиль'!$A9,Продажи!$C$5:$C$360,"Профиль")</f>
        <v>0</v>
      </c>
      <c r="O9" s="72">
        <f>SUMIFS(Продажи!O$5:O$360,Продажи!$D$5:$D$360,'Потребность профиль'!$A9,Продажи!$C$5:$C$360,"Профиль")</f>
        <v>0</v>
      </c>
      <c r="P9" s="72">
        <f>SUMIFS(Продажи!P$5:P$360,Продажи!$D$5:$D$360,'Потребность профиль'!$A9,Продажи!$C$5:$C$360,"Профиль")</f>
        <v>0</v>
      </c>
      <c r="Q9" s="72">
        <f>SUMIFS(Продажи!Q$5:Q$360,Продажи!$D$5:$D$360,'Потребность профиль'!$A9,Продажи!$C$5:$C$360,"Профиль")</f>
        <v>0</v>
      </c>
      <c r="R9" s="73">
        <f t="array" ref="R9">SUMIFS(Конструкторы!I$35:I$1191,Конструкторы!$C$35:$C$1191,$A9)</f>
        <v>0</v>
      </c>
      <c r="S9" s="73">
        <f t="array" ref="S9">SUMIFS(Конструкторы!J$35:J$1191,Конструкторы!$C$35:$C$1191,$A9)</f>
        <v>0</v>
      </c>
      <c r="T9" s="73">
        <f t="array" ref="T9">SUMIFS(Конструкторы!K$35:K$1191,Конструкторы!$C$35:$C$1191,$A9)</f>
        <v>260</v>
      </c>
      <c r="U9" s="73">
        <f t="array" ref="U9">SUMIFS(Конструкторы!L$35:L$1191,Конструкторы!$C$35:$C$1191,$A9)</f>
        <v>0</v>
      </c>
      <c r="V9" s="73">
        <f t="array" ref="V9">SUMIFS(Конструкторы!M$35:M$1191,Конструкторы!$C$35:$C$1191,$A9)</f>
        <v>0</v>
      </c>
      <c r="W9" s="73">
        <f t="array" ref="W9">SUMIFS(Конструкторы!N$35:N$1191,Конструкторы!$C$35:$C$1191,$A9)</f>
        <v>0</v>
      </c>
      <c r="X9" s="73">
        <f t="array" ref="X9">SUMIFS(Конструкторы!O$35:O$1191,Конструкторы!$C$35:$C$1191,$A9)</f>
        <v>0</v>
      </c>
      <c r="Y9" s="73">
        <f t="array" ref="Y9">SUMIFS(Конструкторы!P$35:P$1191,Конструкторы!$C$35:$C$1191,$A9)</f>
        <v>0</v>
      </c>
      <c r="Z9" s="73">
        <f t="array" ref="Z9">SUMIFS(Конструкторы!Q$35:Q$1191,Конструкторы!$C$35:$C$1191,$A9)</f>
        <v>0</v>
      </c>
      <c r="AA9" s="73">
        <f t="array" ref="AA9">SUMIFS(Конструкторы!R$35:R$1191,Конструкторы!$C$35:$C$1191,$A9)</f>
        <v>0</v>
      </c>
      <c r="AB9" s="73">
        <f t="array" ref="AB9">SUMIFS(Конструкторы!S$35:S$1191,Конструкторы!$C$35:$C$1191,$A9)</f>
        <v>0</v>
      </c>
      <c r="AC9" s="73">
        <f t="array" ref="AC9">SUMIFS(Конструкторы!T$35:T$1191,Конструкторы!$C$35:$C$1191,$A9)</f>
        <v>0</v>
      </c>
      <c r="AD9" s="76">
        <f t="array" ref="AD9">SUMIFS(Конструкторы!I$6:I$33,Конструкторы!$C$6:$C$33,$A9)</f>
        <v>0</v>
      </c>
      <c r="AE9" s="76">
        <f t="array" ref="AE9">SUMIFS(Конструкторы!J$6:J$33,Конструкторы!$C$6:$C$33,$A9)</f>
        <v>0</v>
      </c>
      <c r="AF9" s="76">
        <f t="array" ref="AF9">SUMIFS(Конструкторы!K$6:K$33,Конструкторы!$C$6:$C$33,$A9)</f>
        <v>0</v>
      </c>
      <c r="AG9" s="76">
        <f t="array" ref="AG9">SUMIFS(Конструкторы!L$6:L$33,Конструкторы!$C$6:$C$33,$A9)</f>
        <v>0</v>
      </c>
      <c r="AH9" s="76">
        <f t="array" ref="AH9">SUMIFS(Конструкторы!M$6:M$33,Конструкторы!$C$6:$C$33,$A9)</f>
        <v>0</v>
      </c>
      <c r="AI9" s="76">
        <f t="array" ref="AI9">SUMIFS(Конструкторы!N$6:N$33,Конструкторы!$C$6:$C$33,$A9)</f>
        <v>0</v>
      </c>
      <c r="AJ9" s="76">
        <f t="array" ref="AJ9">SUMIFS(Конструкторы!O$6:O$33,Конструкторы!$C$6:$C$33,$A9)</f>
        <v>0</v>
      </c>
      <c r="AK9" s="76">
        <f t="array" ref="AK9">SUMIFS(Конструкторы!P$6:P$33,Конструкторы!$C$6:$C$33,$A9)</f>
        <v>0</v>
      </c>
      <c r="AL9" s="76">
        <f t="array" ref="AL9">SUMIFS(Конструкторы!Q$6:Q$33,Конструкторы!$C$6:$C$33,$A9)</f>
        <v>0</v>
      </c>
      <c r="AM9" s="76">
        <f t="array" ref="AM9">SUMIFS(Конструкторы!R$6:R$33,Конструкторы!$C$6:$C$33,$A9)</f>
        <v>0</v>
      </c>
      <c r="AN9" s="76">
        <f t="array" ref="AN9">SUMIFS(Конструкторы!S$6:S$33,Конструкторы!$C$6:$C$33,$A9)</f>
        <v>0</v>
      </c>
      <c r="AO9" s="76">
        <f t="array" ref="AO9">SUMIFS(Конструкторы!T$6:T$33,Конструкторы!$C$6:$C$33,$A9)</f>
        <v>0</v>
      </c>
      <c r="AP9" s="75">
        <f t="array" ref="AP9">SUMIFS(Конструкторы!I$1192:I$1277,Конструкторы!$C$1192:$C$1277,$A9)</f>
        <v>0</v>
      </c>
      <c r="AQ9" s="75">
        <f t="array" ref="AQ9">SUMIFS(Конструкторы!J$1192:J$1277,Конструкторы!$C$1192:$C$1277,$A9)</f>
        <v>0</v>
      </c>
      <c r="AR9" s="75">
        <f t="array" ref="AR9">SUMIFS(Конструкторы!K$1192:K$1277,Конструкторы!$C$1192:$C$1277,$A9)</f>
        <v>0</v>
      </c>
      <c r="AS9" s="75">
        <f t="array" ref="AS9">SUMIFS(Конструкторы!L$1192:L$1277,Конструкторы!$C$1192:$C$1277,$A9)</f>
        <v>0</v>
      </c>
      <c r="AT9" s="75">
        <f t="array" ref="AT9">SUMIFS(Конструкторы!M$1192:M$1277,Конструкторы!$C$1192:$C$1277,$A9)</f>
        <v>0</v>
      </c>
      <c r="AU9" s="75">
        <f t="array" ref="AU9">SUMIFS(Конструкторы!N$1192:N$1277,Конструкторы!$C$1192:$C$1277,$A9)</f>
        <v>0</v>
      </c>
      <c r="AV9" s="75">
        <f t="array" ref="AV9">SUMIFS(Конструкторы!O$1192:O$1277,Конструкторы!$C$1192:$C$1277,$A9)</f>
        <v>0</v>
      </c>
      <c r="AW9" s="75">
        <f t="array" ref="AW9">SUMIFS(Конструкторы!P$1192:P$1277,Конструкторы!$C$1192:$C$1277,$A9)</f>
        <v>0</v>
      </c>
      <c r="AX9" s="75">
        <f t="array" ref="AX9">SUMIFS(Конструкторы!Q$1192:Q$1277,Конструкторы!$C$1192:$C$1277,$A9)</f>
        <v>0</v>
      </c>
      <c r="AY9" s="75">
        <f t="array" ref="AY9">SUMIFS(Конструкторы!R$1192:R$1277,Конструкторы!$C$1192:$C$1277,$A9)</f>
        <v>0</v>
      </c>
      <c r="AZ9" s="75">
        <f t="array" ref="AZ9">SUMIFS(Конструкторы!S$1192:S$1277,Конструкторы!$C$1192:$C$1277,$A9)</f>
        <v>0</v>
      </c>
      <c r="BA9" s="75">
        <f t="array" ref="BA9">SUMIFS(Конструкторы!T$1192:T$1277,Конструкторы!$C$1192:$C$1277,$A9)</f>
        <v>0</v>
      </c>
      <c r="BB9" s="80">
        <f t="shared" si="12"/>
        <v>72.995999999999995</v>
      </c>
      <c r="BC9" s="80">
        <f t="shared" si="3"/>
        <v>0</v>
      </c>
      <c r="BD9" s="80">
        <f t="shared" si="3"/>
        <v>2375.846</v>
      </c>
      <c r="BE9" s="80">
        <f t="shared" si="3"/>
        <v>0</v>
      </c>
      <c r="BF9" s="80">
        <f t="shared" si="3"/>
        <v>0</v>
      </c>
      <c r="BG9" s="80">
        <f t="shared" si="3"/>
        <v>0</v>
      </c>
      <c r="BH9" s="80">
        <f t="shared" si="3"/>
        <v>0</v>
      </c>
      <c r="BI9" s="80">
        <f t="shared" si="3"/>
        <v>0</v>
      </c>
      <c r="BJ9" s="80">
        <f t="shared" si="3"/>
        <v>0</v>
      </c>
      <c r="BK9" s="80">
        <f t="shared" si="3"/>
        <v>0</v>
      </c>
      <c r="BL9" s="80">
        <f t="shared" si="3"/>
        <v>0</v>
      </c>
      <c r="BM9" s="80">
        <f t="shared" si="4"/>
        <v>0</v>
      </c>
      <c r="BN9" s="84">
        <f t="shared" si="13"/>
        <v>42</v>
      </c>
      <c r="BO9" s="84">
        <f t="shared" si="5"/>
        <v>0</v>
      </c>
      <c r="BP9" s="84">
        <f t="shared" si="5"/>
        <v>1367</v>
      </c>
      <c r="BQ9" s="84">
        <f t="shared" si="5"/>
        <v>0</v>
      </c>
      <c r="BR9" s="84">
        <f t="shared" si="5"/>
        <v>0</v>
      </c>
      <c r="BS9" s="84">
        <f t="shared" si="5"/>
        <v>0</v>
      </c>
      <c r="BT9" s="84">
        <f t="shared" si="14"/>
        <v>0</v>
      </c>
      <c r="BU9" s="84">
        <f t="shared" si="6"/>
        <v>0</v>
      </c>
      <c r="BV9" s="84">
        <f t="shared" si="7"/>
        <v>0</v>
      </c>
      <c r="BW9" s="84">
        <f t="shared" si="8"/>
        <v>0</v>
      </c>
      <c r="BX9" s="84">
        <f t="shared" si="9"/>
        <v>0</v>
      </c>
      <c r="BY9" s="83">
        <f t="shared" si="15"/>
        <v>0</v>
      </c>
      <c r="BZ9" s="79">
        <f t="shared" si="16"/>
        <v>2</v>
      </c>
      <c r="CA9" s="79">
        <f t="shared" si="16"/>
        <v>0</v>
      </c>
      <c r="CB9" s="79">
        <f t="shared" si="16"/>
        <v>65.095238095238102</v>
      </c>
      <c r="CC9" s="79">
        <f t="shared" si="16"/>
        <v>0</v>
      </c>
      <c r="CD9" s="79">
        <f t="shared" si="16"/>
        <v>0</v>
      </c>
      <c r="CE9" s="79">
        <f t="shared" si="16"/>
        <v>0</v>
      </c>
      <c r="CF9" s="79">
        <f t="shared" si="16"/>
        <v>0</v>
      </c>
      <c r="CG9" s="79">
        <f t="shared" si="16"/>
        <v>0</v>
      </c>
      <c r="CH9" s="79">
        <f t="shared" si="16"/>
        <v>0</v>
      </c>
      <c r="CI9" s="79">
        <f t="shared" si="16"/>
        <v>0</v>
      </c>
      <c r="CJ9" s="79">
        <f t="shared" si="16"/>
        <v>0</v>
      </c>
      <c r="CK9" s="79">
        <f t="shared" si="17"/>
        <v>0</v>
      </c>
    </row>
    <row r="10" spans="1:89" x14ac:dyDescent="0.25">
      <c r="A10" s="42" t="s">
        <v>58</v>
      </c>
      <c r="B10" s="70">
        <f t="array" ref="B10">INDEX(Технологи!$E$5:$E$552,MATCH(A10&amp;$A$1,Технологи!$B$5:$B$552&amp;Технологи!$C$5:$C$552,0))</f>
        <v>3.4379999999999997</v>
      </c>
      <c r="C10" s="14">
        <v>1018</v>
      </c>
      <c r="D10" s="71">
        <v>8</v>
      </c>
      <c r="E10" s="71">
        <v>18</v>
      </c>
      <c r="F10" s="72">
        <f>SUMIFS(Продажи!F$5:F$360,Продажи!$D$5:$D$360,'Потребность профиль'!$A10,Продажи!$C$5:$C$360,"Профиль")</f>
        <v>0</v>
      </c>
      <c r="G10" s="72">
        <f>SUMIFS(Продажи!G$5:G$360,Продажи!$D$5:$D$360,'Потребность профиль'!$A10,Продажи!$C$5:$C$360,"Профиль")</f>
        <v>0</v>
      </c>
      <c r="H10" s="72">
        <f>SUMIFS(Продажи!H$5:H$360,Продажи!$D$5:$D$360,'Потребность профиль'!$A10,Продажи!$C$5:$C$360,"Профиль")</f>
        <v>357</v>
      </c>
      <c r="I10" s="72">
        <f>SUMIFS(Продажи!I$5:I$360,Продажи!$D$5:$D$360,'Потребность профиль'!$A10,Продажи!$C$5:$C$360,"Профиль")</f>
        <v>0</v>
      </c>
      <c r="J10" s="72">
        <f>SUMIFS(Продажи!J$5:J$360,Продажи!$D$5:$D$360,'Потребность профиль'!$A10,Продажи!$C$5:$C$360,"Профиль")</f>
        <v>0</v>
      </c>
      <c r="K10" s="72">
        <f>SUMIFS(Продажи!K$5:K$360,Продажи!$D$5:$D$360,'Потребность профиль'!$A10,Продажи!$C$5:$C$360,"Профиль")</f>
        <v>0</v>
      </c>
      <c r="L10" s="72">
        <f>SUMIFS(Продажи!L$5:L$360,Продажи!$D$5:$D$360,'Потребность профиль'!$A10,Продажи!$C$5:$C$360,"Профиль")</f>
        <v>0</v>
      </c>
      <c r="M10" s="72">
        <f>SUMIFS(Продажи!M$5:M$360,Продажи!$D$5:$D$360,'Потребность профиль'!$A10,Продажи!$C$5:$C$360,"Профиль")</f>
        <v>0</v>
      </c>
      <c r="N10" s="72">
        <f>SUMIFS(Продажи!N$5:N$360,Продажи!$D$5:$D$360,'Потребность профиль'!$A10,Продажи!$C$5:$C$360,"Профиль")</f>
        <v>0</v>
      </c>
      <c r="O10" s="72">
        <f>SUMIFS(Продажи!O$5:O$360,Продажи!$D$5:$D$360,'Потребность профиль'!$A10,Продажи!$C$5:$C$360,"Профиль")</f>
        <v>0</v>
      </c>
      <c r="P10" s="72">
        <f>SUMIFS(Продажи!P$5:P$360,Продажи!$D$5:$D$360,'Потребность профиль'!$A10,Продажи!$C$5:$C$360,"Профиль")</f>
        <v>0</v>
      </c>
      <c r="Q10" s="72">
        <f>SUMIFS(Продажи!Q$5:Q$360,Продажи!$D$5:$D$360,'Потребность профиль'!$A10,Продажи!$C$5:$C$360,"Профиль")</f>
        <v>0</v>
      </c>
      <c r="R10" s="73">
        <f t="array" ref="R10">SUMIFS(Конструкторы!I$35:I$1191,Конструкторы!$C$35:$C$1191,$A10)</f>
        <v>0</v>
      </c>
      <c r="S10" s="73">
        <f t="array" ref="S10">SUMIFS(Конструкторы!J$35:J$1191,Конструкторы!$C$35:$C$1191,$A10)</f>
        <v>0</v>
      </c>
      <c r="T10" s="73">
        <f t="array" ref="T10">SUMIFS(Конструкторы!K$35:K$1191,Конструкторы!$C$35:$C$1191,$A10)</f>
        <v>0</v>
      </c>
      <c r="U10" s="73">
        <f t="array" ref="U10">SUMIFS(Конструкторы!L$35:L$1191,Конструкторы!$C$35:$C$1191,$A10)</f>
        <v>0</v>
      </c>
      <c r="V10" s="73">
        <f t="array" ref="V10">SUMIFS(Конструкторы!M$35:M$1191,Конструкторы!$C$35:$C$1191,$A10)</f>
        <v>0</v>
      </c>
      <c r="W10" s="73">
        <f t="array" ref="W10">SUMIFS(Конструкторы!N$35:N$1191,Конструкторы!$C$35:$C$1191,$A10)</f>
        <v>0</v>
      </c>
      <c r="X10" s="73">
        <f t="array" ref="X10">SUMIFS(Конструкторы!O$35:O$1191,Конструкторы!$C$35:$C$1191,$A10)</f>
        <v>0</v>
      </c>
      <c r="Y10" s="73">
        <f t="array" ref="Y10">SUMIFS(Конструкторы!P$35:P$1191,Конструкторы!$C$35:$C$1191,$A10)</f>
        <v>0</v>
      </c>
      <c r="Z10" s="73">
        <f t="array" ref="Z10">SUMIFS(Конструкторы!Q$35:Q$1191,Конструкторы!$C$35:$C$1191,$A10)</f>
        <v>0</v>
      </c>
      <c r="AA10" s="73">
        <f t="array" ref="AA10">SUMIFS(Конструкторы!R$35:R$1191,Конструкторы!$C$35:$C$1191,$A10)</f>
        <v>0</v>
      </c>
      <c r="AB10" s="73">
        <f t="array" ref="AB10">SUMIFS(Конструкторы!S$35:S$1191,Конструкторы!$C$35:$C$1191,$A10)</f>
        <v>0</v>
      </c>
      <c r="AC10" s="73">
        <f t="array" ref="AC10">SUMIFS(Конструкторы!T$35:T$1191,Конструкторы!$C$35:$C$1191,$A10)</f>
        <v>0</v>
      </c>
      <c r="AD10" s="76">
        <f t="array" ref="AD10">SUMIFS(Конструкторы!I$6:I$33,Конструкторы!$C$6:$C$33,$A10)</f>
        <v>0</v>
      </c>
      <c r="AE10" s="76">
        <f t="array" ref="AE10">SUMIFS(Конструкторы!J$6:J$33,Конструкторы!$C$6:$C$33,$A10)</f>
        <v>0</v>
      </c>
      <c r="AF10" s="76">
        <f t="array" ref="AF10">SUMIFS(Конструкторы!K$6:K$33,Конструкторы!$C$6:$C$33,$A10)</f>
        <v>0</v>
      </c>
      <c r="AG10" s="76">
        <f t="array" ref="AG10">SUMIFS(Конструкторы!L$6:L$33,Конструкторы!$C$6:$C$33,$A10)</f>
        <v>0</v>
      </c>
      <c r="AH10" s="76">
        <f t="array" ref="AH10">SUMIFS(Конструкторы!M$6:M$33,Конструкторы!$C$6:$C$33,$A10)</f>
        <v>0</v>
      </c>
      <c r="AI10" s="76">
        <f t="array" ref="AI10">SUMIFS(Конструкторы!N$6:N$33,Конструкторы!$C$6:$C$33,$A10)</f>
        <v>0</v>
      </c>
      <c r="AJ10" s="76">
        <f t="array" ref="AJ10">SUMIFS(Конструкторы!O$6:O$33,Конструкторы!$C$6:$C$33,$A10)</f>
        <v>0</v>
      </c>
      <c r="AK10" s="76">
        <f t="array" ref="AK10">SUMIFS(Конструкторы!P$6:P$33,Конструкторы!$C$6:$C$33,$A10)</f>
        <v>0</v>
      </c>
      <c r="AL10" s="76">
        <f t="array" ref="AL10">SUMIFS(Конструкторы!Q$6:Q$33,Конструкторы!$C$6:$C$33,$A10)</f>
        <v>0</v>
      </c>
      <c r="AM10" s="76">
        <f t="array" ref="AM10">SUMIFS(Конструкторы!R$6:R$33,Конструкторы!$C$6:$C$33,$A10)</f>
        <v>0</v>
      </c>
      <c r="AN10" s="76">
        <f t="array" ref="AN10">SUMIFS(Конструкторы!S$6:S$33,Конструкторы!$C$6:$C$33,$A10)</f>
        <v>0</v>
      </c>
      <c r="AO10" s="76">
        <f t="array" ref="AO10">SUMIFS(Конструкторы!T$6:T$33,Конструкторы!$C$6:$C$33,$A10)</f>
        <v>0</v>
      </c>
      <c r="AP10" s="75">
        <f t="array" ref="AP10">SUMIFS(Конструкторы!I$1192:I$1277,Конструкторы!$C$1192:$C$1277,$A10)</f>
        <v>0</v>
      </c>
      <c r="AQ10" s="75">
        <f t="array" ref="AQ10">SUMIFS(Конструкторы!J$1192:J$1277,Конструкторы!$C$1192:$C$1277,$A10)</f>
        <v>0</v>
      </c>
      <c r="AR10" s="75">
        <f t="array" ref="AR10">SUMIFS(Конструкторы!K$1192:K$1277,Конструкторы!$C$1192:$C$1277,$A10)</f>
        <v>0</v>
      </c>
      <c r="AS10" s="75">
        <f t="array" ref="AS10">SUMIFS(Конструкторы!L$1192:L$1277,Конструкторы!$C$1192:$C$1277,$A10)</f>
        <v>0</v>
      </c>
      <c r="AT10" s="75">
        <f t="array" ref="AT10">SUMIFS(Конструкторы!M$1192:M$1277,Конструкторы!$C$1192:$C$1277,$A10)</f>
        <v>0</v>
      </c>
      <c r="AU10" s="75">
        <f t="array" ref="AU10">SUMIFS(Конструкторы!N$1192:N$1277,Конструкторы!$C$1192:$C$1277,$A10)</f>
        <v>0</v>
      </c>
      <c r="AV10" s="75">
        <f t="array" ref="AV10">SUMIFS(Конструкторы!O$1192:O$1277,Конструкторы!$C$1192:$C$1277,$A10)</f>
        <v>0</v>
      </c>
      <c r="AW10" s="75">
        <f t="array" ref="AW10">SUMIFS(Конструкторы!P$1192:P$1277,Конструкторы!$C$1192:$C$1277,$A10)</f>
        <v>0</v>
      </c>
      <c r="AX10" s="75">
        <f t="array" ref="AX10">SUMIFS(Конструкторы!Q$1192:Q$1277,Конструкторы!$C$1192:$C$1277,$A10)</f>
        <v>0</v>
      </c>
      <c r="AY10" s="75">
        <f t="array" ref="AY10">SUMIFS(Конструкторы!R$1192:R$1277,Конструкторы!$C$1192:$C$1277,$A10)</f>
        <v>0</v>
      </c>
      <c r="AZ10" s="75">
        <f t="array" ref="AZ10">SUMIFS(Конструкторы!S$1192:S$1277,Конструкторы!$C$1192:$C$1277,$A10)</f>
        <v>0</v>
      </c>
      <c r="BA10" s="75">
        <f t="array" ref="BA10">SUMIFS(Конструкторы!T$1192:T$1277,Конструкторы!$C$1192:$C$1277,$A10)</f>
        <v>0</v>
      </c>
      <c r="BB10" s="80">
        <f t="shared" si="12"/>
        <v>0</v>
      </c>
      <c r="BC10" s="80">
        <f t="shared" si="3"/>
        <v>0</v>
      </c>
      <c r="BD10" s="80">
        <f t="shared" si="3"/>
        <v>1227.366</v>
      </c>
      <c r="BE10" s="80">
        <f t="shared" si="3"/>
        <v>0</v>
      </c>
      <c r="BF10" s="80">
        <f t="shared" si="3"/>
        <v>0</v>
      </c>
      <c r="BG10" s="80">
        <f t="shared" si="3"/>
        <v>0</v>
      </c>
      <c r="BH10" s="80">
        <f t="shared" si="3"/>
        <v>0</v>
      </c>
      <c r="BI10" s="80">
        <f t="shared" si="3"/>
        <v>0</v>
      </c>
      <c r="BJ10" s="80">
        <f t="shared" si="3"/>
        <v>0</v>
      </c>
      <c r="BK10" s="80">
        <f t="shared" si="3"/>
        <v>0</v>
      </c>
      <c r="BL10" s="80">
        <f t="shared" si="3"/>
        <v>0</v>
      </c>
      <c r="BM10" s="80">
        <f t="shared" si="4"/>
        <v>0</v>
      </c>
      <c r="BN10" s="84">
        <f t="shared" si="13"/>
        <v>0</v>
      </c>
      <c r="BO10" s="84">
        <f t="shared" si="5"/>
        <v>0</v>
      </c>
      <c r="BP10" s="84">
        <f t="shared" si="5"/>
        <v>357</v>
      </c>
      <c r="BQ10" s="84">
        <f t="shared" si="5"/>
        <v>0</v>
      </c>
      <c r="BR10" s="84">
        <f t="shared" si="5"/>
        <v>0</v>
      </c>
      <c r="BS10" s="84">
        <f t="shared" si="5"/>
        <v>0</v>
      </c>
      <c r="BT10" s="84">
        <f t="shared" si="14"/>
        <v>0</v>
      </c>
      <c r="BU10" s="84">
        <f t="shared" si="6"/>
        <v>0</v>
      </c>
      <c r="BV10" s="84">
        <f t="shared" si="7"/>
        <v>0</v>
      </c>
      <c r="BW10" s="84">
        <f t="shared" si="8"/>
        <v>0</v>
      </c>
      <c r="BX10" s="84">
        <f t="shared" si="9"/>
        <v>0</v>
      </c>
      <c r="BY10" s="83">
        <f t="shared" si="15"/>
        <v>0</v>
      </c>
      <c r="BZ10" s="79">
        <f t="shared" si="16"/>
        <v>0</v>
      </c>
      <c r="CA10" s="79">
        <f t="shared" si="16"/>
        <v>0</v>
      </c>
      <c r="CB10" s="79">
        <f t="shared" si="16"/>
        <v>19.833333333333332</v>
      </c>
      <c r="CC10" s="79">
        <f t="shared" si="16"/>
        <v>0</v>
      </c>
      <c r="CD10" s="79">
        <f t="shared" si="16"/>
        <v>0</v>
      </c>
      <c r="CE10" s="79">
        <f t="shared" si="16"/>
        <v>0</v>
      </c>
      <c r="CF10" s="79">
        <f t="shared" si="16"/>
        <v>0</v>
      </c>
      <c r="CG10" s="79">
        <f t="shared" si="16"/>
        <v>0</v>
      </c>
      <c r="CH10" s="79">
        <f t="shared" si="16"/>
        <v>0</v>
      </c>
      <c r="CI10" s="79">
        <f t="shared" si="16"/>
        <v>0</v>
      </c>
      <c r="CJ10" s="79">
        <f t="shared" si="16"/>
        <v>0</v>
      </c>
      <c r="CK10" s="79">
        <f t="shared" si="17"/>
        <v>0</v>
      </c>
    </row>
    <row r="11" spans="1:89" x14ac:dyDescent="0.25">
      <c r="A11" s="42" t="s">
        <v>59</v>
      </c>
      <c r="B11" s="70">
        <f t="array" ref="B11">INDEX(Технологи!$E$5:$E$552,MATCH(A11&amp;$A$1,Технологи!$B$5:$B$552&amp;Технологи!$C$5:$C$552,0))</f>
        <v>4.1779999999999999</v>
      </c>
      <c r="C11" s="14">
        <v>1018</v>
      </c>
      <c r="D11" s="71">
        <v>8</v>
      </c>
      <c r="E11" s="71">
        <v>18</v>
      </c>
      <c r="F11" s="72">
        <f>SUMIFS(Продажи!F$5:F$360,Продажи!$D$5:$D$360,'Потребность профиль'!$A11,Продажи!$C$5:$C$360,"Профиль")</f>
        <v>0</v>
      </c>
      <c r="G11" s="72">
        <f>SUMIFS(Продажи!G$5:G$360,Продажи!$D$5:$D$360,'Потребность профиль'!$A11,Продажи!$C$5:$C$360,"Профиль")</f>
        <v>0</v>
      </c>
      <c r="H11" s="72">
        <f>SUMIFS(Продажи!H$5:H$360,Продажи!$D$5:$D$360,'Потребность профиль'!$A11,Продажи!$C$5:$C$360,"Профиль")</f>
        <v>2235</v>
      </c>
      <c r="I11" s="72">
        <f>SUMIFS(Продажи!I$5:I$360,Продажи!$D$5:$D$360,'Потребность профиль'!$A11,Продажи!$C$5:$C$360,"Профиль")</f>
        <v>0</v>
      </c>
      <c r="J11" s="72">
        <f>SUMIFS(Продажи!J$5:J$360,Продажи!$D$5:$D$360,'Потребность профиль'!$A11,Продажи!$C$5:$C$360,"Профиль")</f>
        <v>0</v>
      </c>
      <c r="K11" s="72">
        <f>SUMIFS(Продажи!K$5:K$360,Продажи!$D$5:$D$360,'Потребность профиль'!$A11,Продажи!$C$5:$C$360,"Профиль")</f>
        <v>0</v>
      </c>
      <c r="L11" s="72">
        <f>SUMIFS(Продажи!L$5:L$360,Продажи!$D$5:$D$360,'Потребность профиль'!$A11,Продажи!$C$5:$C$360,"Профиль")</f>
        <v>0</v>
      </c>
      <c r="M11" s="72">
        <f>SUMIFS(Продажи!M$5:M$360,Продажи!$D$5:$D$360,'Потребность профиль'!$A11,Продажи!$C$5:$C$360,"Профиль")</f>
        <v>0</v>
      </c>
      <c r="N11" s="72">
        <f>SUMIFS(Продажи!N$5:N$360,Продажи!$D$5:$D$360,'Потребность профиль'!$A11,Продажи!$C$5:$C$360,"Профиль")</f>
        <v>0</v>
      </c>
      <c r="O11" s="72">
        <f>SUMIFS(Продажи!O$5:O$360,Продажи!$D$5:$D$360,'Потребность профиль'!$A11,Продажи!$C$5:$C$360,"Профиль")</f>
        <v>0</v>
      </c>
      <c r="P11" s="72">
        <f>SUMIFS(Продажи!P$5:P$360,Продажи!$D$5:$D$360,'Потребность профиль'!$A11,Продажи!$C$5:$C$360,"Профиль")</f>
        <v>0</v>
      </c>
      <c r="Q11" s="72">
        <f>SUMIFS(Продажи!Q$5:Q$360,Продажи!$D$5:$D$360,'Потребность профиль'!$A11,Продажи!$C$5:$C$360,"Профиль")</f>
        <v>0</v>
      </c>
      <c r="R11" s="73">
        <f t="array" ref="R11">SUMIFS(Конструкторы!I$35:I$1191,Конструкторы!$C$35:$C$1191,$A11)</f>
        <v>0</v>
      </c>
      <c r="S11" s="73">
        <f t="array" ref="S11">SUMIFS(Конструкторы!J$35:J$1191,Конструкторы!$C$35:$C$1191,$A11)</f>
        <v>744</v>
      </c>
      <c r="T11" s="73">
        <f t="array" ref="T11">SUMIFS(Конструкторы!K$35:K$1191,Конструкторы!$C$35:$C$1191,$A11)</f>
        <v>52</v>
      </c>
      <c r="U11" s="73">
        <f t="array" ref="U11">SUMIFS(Конструкторы!L$35:L$1191,Конструкторы!$C$35:$C$1191,$A11)</f>
        <v>0</v>
      </c>
      <c r="V11" s="73">
        <f t="array" ref="V11">SUMIFS(Конструкторы!M$35:M$1191,Конструкторы!$C$35:$C$1191,$A11)</f>
        <v>0</v>
      </c>
      <c r="W11" s="73">
        <f t="array" ref="W11">SUMIFS(Конструкторы!N$35:N$1191,Конструкторы!$C$35:$C$1191,$A11)</f>
        <v>0</v>
      </c>
      <c r="X11" s="73">
        <f t="array" ref="X11">SUMIFS(Конструкторы!O$35:O$1191,Конструкторы!$C$35:$C$1191,$A11)</f>
        <v>0</v>
      </c>
      <c r="Y11" s="73">
        <f t="array" ref="Y11">SUMIFS(Конструкторы!P$35:P$1191,Конструкторы!$C$35:$C$1191,$A11)</f>
        <v>0</v>
      </c>
      <c r="Z11" s="73">
        <f t="array" ref="Z11">SUMIFS(Конструкторы!Q$35:Q$1191,Конструкторы!$C$35:$C$1191,$A11)</f>
        <v>0</v>
      </c>
      <c r="AA11" s="73">
        <f t="array" ref="AA11">SUMIFS(Конструкторы!R$35:R$1191,Конструкторы!$C$35:$C$1191,$A11)</f>
        <v>0</v>
      </c>
      <c r="AB11" s="73">
        <f t="array" ref="AB11">SUMIFS(Конструкторы!S$35:S$1191,Конструкторы!$C$35:$C$1191,$A11)</f>
        <v>0</v>
      </c>
      <c r="AC11" s="73">
        <f t="array" ref="AC11">SUMIFS(Конструкторы!T$35:T$1191,Конструкторы!$C$35:$C$1191,$A11)</f>
        <v>0</v>
      </c>
      <c r="AD11" s="76">
        <f t="array" ref="AD11">SUMIFS(Конструкторы!I$6:I$33,Конструкторы!$C$6:$C$33,$A11)</f>
        <v>0</v>
      </c>
      <c r="AE11" s="76">
        <f t="array" ref="AE11">SUMIFS(Конструкторы!J$6:J$33,Конструкторы!$C$6:$C$33,$A11)</f>
        <v>0</v>
      </c>
      <c r="AF11" s="76">
        <f t="array" ref="AF11">SUMIFS(Конструкторы!K$6:K$33,Конструкторы!$C$6:$C$33,$A11)</f>
        <v>0</v>
      </c>
      <c r="AG11" s="76">
        <f t="array" ref="AG11">SUMIFS(Конструкторы!L$6:L$33,Конструкторы!$C$6:$C$33,$A11)</f>
        <v>0</v>
      </c>
      <c r="AH11" s="76">
        <f t="array" ref="AH11">SUMIFS(Конструкторы!M$6:M$33,Конструкторы!$C$6:$C$33,$A11)</f>
        <v>0</v>
      </c>
      <c r="AI11" s="76">
        <f t="array" ref="AI11">SUMIFS(Конструкторы!N$6:N$33,Конструкторы!$C$6:$C$33,$A11)</f>
        <v>0</v>
      </c>
      <c r="AJ11" s="76">
        <f t="array" ref="AJ11">SUMIFS(Конструкторы!O$6:O$33,Конструкторы!$C$6:$C$33,$A11)</f>
        <v>0</v>
      </c>
      <c r="AK11" s="76">
        <f t="array" ref="AK11">SUMIFS(Конструкторы!P$6:P$33,Конструкторы!$C$6:$C$33,$A11)</f>
        <v>0</v>
      </c>
      <c r="AL11" s="76">
        <f t="array" ref="AL11">SUMIFS(Конструкторы!Q$6:Q$33,Конструкторы!$C$6:$C$33,$A11)</f>
        <v>0</v>
      </c>
      <c r="AM11" s="76">
        <f t="array" ref="AM11">SUMIFS(Конструкторы!R$6:R$33,Конструкторы!$C$6:$C$33,$A11)</f>
        <v>0</v>
      </c>
      <c r="AN11" s="76">
        <f t="array" ref="AN11">SUMIFS(Конструкторы!S$6:S$33,Конструкторы!$C$6:$C$33,$A11)</f>
        <v>0</v>
      </c>
      <c r="AO11" s="76">
        <f t="array" ref="AO11">SUMIFS(Конструкторы!T$6:T$33,Конструкторы!$C$6:$C$33,$A11)</f>
        <v>0</v>
      </c>
      <c r="AP11" s="75">
        <f t="array" ref="AP11">SUMIFS(Конструкторы!I$1192:I$1277,Конструкторы!$C$1192:$C$1277,$A11)</f>
        <v>0</v>
      </c>
      <c r="AQ11" s="75">
        <f t="array" ref="AQ11">SUMIFS(Конструкторы!J$1192:J$1277,Конструкторы!$C$1192:$C$1277,$A11)</f>
        <v>0</v>
      </c>
      <c r="AR11" s="75">
        <f t="array" ref="AR11">SUMIFS(Конструкторы!K$1192:K$1277,Конструкторы!$C$1192:$C$1277,$A11)</f>
        <v>0</v>
      </c>
      <c r="AS11" s="75">
        <f t="array" ref="AS11">SUMIFS(Конструкторы!L$1192:L$1277,Конструкторы!$C$1192:$C$1277,$A11)</f>
        <v>0</v>
      </c>
      <c r="AT11" s="75">
        <f t="array" ref="AT11">SUMIFS(Конструкторы!M$1192:M$1277,Конструкторы!$C$1192:$C$1277,$A11)</f>
        <v>0</v>
      </c>
      <c r="AU11" s="75">
        <f t="array" ref="AU11">SUMIFS(Конструкторы!N$1192:N$1277,Конструкторы!$C$1192:$C$1277,$A11)</f>
        <v>0</v>
      </c>
      <c r="AV11" s="75">
        <f t="array" ref="AV11">SUMIFS(Конструкторы!O$1192:O$1277,Конструкторы!$C$1192:$C$1277,$A11)</f>
        <v>0</v>
      </c>
      <c r="AW11" s="75">
        <f t="array" ref="AW11">SUMIFS(Конструкторы!P$1192:P$1277,Конструкторы!$C$1192:$C$1277,$A11)</f>
        <v>0</v>
      </c>
      <c r="AX11" s="75">
        <f t="array" ref="AX11">SUMIFS(Конструкторы!Q$1192:Q$1277,Конструкторы!$C$1192:$C$1277,$A11)</f>
        <v>0</v>
      </c>
      <c r="AY11" s="75">
        <f t="array" ref="AY11">SUMIFS(Конструкторы!R$1192:R$1277,Конструкторы!$C$1192:$C$1277,$A11)</f>
        <v>0</v>
      </c>
      <c r="AZ11" s="75">
        <f t="array" ref="AZ11">SUMIFS(Конструкторы!S$1192:S$1277,Конструкторы!$C$1192:$C$1277,$A11)</f>
        <v>0</v>
      </c>
      <c r="BA11" s="75">
        <f t="array" ref="BA11">SUMIFS(Конструкторы!T$1192:T$1277,Конструкторы!$C$1192:$C$1277,$A11)</f>
        <v>0</v>
      </c>
      <c r="BB11" s="80">
        <f t="shared" si="12"/>
        <v>0</v>
      </c>
      <c r="BC11" s="80">
        <f t="shared" si="3"/>
        <v>3108.4319999999998</v>
      </c>
      <c r="BD11" s="80">
        <f t="shared" si="3"/>
        <v>9555.0859999999993</v>
      </c>
      <c r="BE11" s="80">
        <f t="shared" si="3"/>
        <v>0</v>
      </c>
      <c r="BF11" s="80">
        <f t="shared" si="3"/>
        <v>0</v>
      </c>
      <c r="BG11" s="80">
        <f t="shared" si="3"/>
        <v>0</v>
      </c>
      <c r="BH11" s="80">
        <f t="shared" si="3"/>
        <v>0</v>
      </c>
      <c r="BI11" s="80">
        <f t="shared" si="3"/>
        <v>0</v>
      </c>
      <c r="BJ11" s="80">
        <f t="shared" si="3"/>
        <v>0</v>
      </c>
      <c r="BK11" s="80">
        <f t="shared" si="3"/>
        <v>0</v>
      </c>
      <c r="BL11" s="80">
        <f t="shared" si="3"/>
        <v>0</v>
      </c>
      <c r="BM11" s="80">
        <f t="shared" si="4"/>
        <v>0</v>
      </c>
      <c r="BN11" s="84">
        <f t="shared" si="13"/>
        <v>0</v>
      </c>
      <c r="BO11" s="84">
        <f t="shared" si="5"/>
        <v>744</v>
      </c>
      <c r="BP11" s="84">
        <f t="shared" si="5"/>
        <v>2287</v>
      </c>
      <c r="BQ11" s="84">
        <f t="shared" si="5"/>
        <v>0</v>
      </c>
      <c r="BR11" s="84">
        <f t="shared" si="5"/>
        <v>0</v>
      </c>
      <c r="BS11" s="84">
        <f t="shared" si="5"/>
        <v>0</v>
      </c>
      <c r="BT11" s="84">
        <f t="shared" si="14"/>
        <v>0</v>
      </c>
      <c r="BU11" s="84">
        <f t="shared" si="6"/>
        <v>0</v>
      </c>
      <c r="BV11" s="84">
        <f t="shared" si="7"/>
        <v>0</v>
      </c>
      <c r="BW11" s="84">
        <f t="shared" si="8"/>
        <v>0</v>
      </c>
      <c r="BX11" s="84">
        <f t="shared" si="9"/>
        <v>0</v>
      </c>
      <c r="BY11" s="83">
        <f t="shared" si="15"/>
        <v>0</v>
      </c>
      <c r="BZ11" s="79">
        <f t="shared" si="16"/>
        <v>0</v>
      </c>
      <c r="CA11" s="79">
        <f t="shared" si="16"/>
        <v>41.333333333333336</v>
      </c>
      <c r="CB11" s="79">
        <f t="shared" si="16"/>
        <v>127.05555555555556</v>
      </c>
      <c r="CC11" s="79">
        <f t="shared" si="16"/>
        <v>0</v>
      </c>
      <c r="CD11" s="79">
        <f t="shared" si="16"/>
        <v>0</v>
      </c>
      <c r="CE11" s="79">
        <f t="shared" si="16"/>
        <v>0</v>
      </c>
      <c r="CF11" s="79">
        <f t="shared" si="16"/>
        <v>0</v>
      </c>
      <c r="CG11" s="79">
        <f t="shared" si="16"/>
        <v>0</v>
      </c>
      <c r="CH11" s="79">
        <f t="shared" si="16"/>
        <v>0</v>
      </c>
      <c r="CI11" s="79">
        <f t="shared" si="16"/>
        <v>0</v>
      </c>
      <c r="CJ11" s="79">
        <f t="shared" si="16"/>
        <v>0</v>
      </c>
      <c r="CK11" s="79">
        <f t="shared" si="17"/>
        <v>0</v>
      </c>
    </row>
    <row r="12" spans="1:89" x14ac:dyDescent="0.25">
      <c r="A12" s="42" t="s">
        <v>60</v>
      </c>
      <c r="B12" s="70">
        <f t="array" ref="B12">INDEX(Технологи!$E$5:$E$552,MATCH(A12&amp;$A$1,Технологи!$B$5:$B$552&amp;Технологи!$C$5:$C$552,0))</f>
        <v>0.63800000000000001</v>
      </c>
      <c r="C12" s="14">
        <v>1018</v>
      </c>
      <c r="D12" s="71">
        <v>5.5</v>
      </c>
      <c r="E12" s="71">
        <v>21</v>
      </c>
      <c r="F12" s="72">
        <f>SUMIFS(Продажи!F$5:F$360,Продажи!$D$5:$D$360,'Потребность профиль'!$A12,Продажи!$C$5:$C$360,"Профиль")</f>
        <v>654</v>
      </c>
      <c r="G12" s="72">
        <f>SUMIFS(Продажи!G$5:G$360,Продажи!$D$5:$D$360,'Потребность профиль'!$A12,Продажи!$C$5:$C$360,"Профиль")</f>
        <v>0</v>
      </c>
      <c r="H12" s="72">
        <f>SUMIFS(Продажи!H$5:H$360,Продажи!$D$5:$D$360,'Потребность профиль'!$A12,Продажи!$C$5:$C$360,"Профиль")</f>
        <v>0</v>
      </c>
      <c r="I12" s="72">
        <f>SUMIFS(Продажи!I$5:I$360,Продажи!$D$5:$D$360,'Потребность профиль'!$A12,Продажи!$C$5:$C$360,"Профиль")</f>
        <v>0</v>
      </c>
      <c r="J12" s="72">
        <f>SUMIFS(Продажи!J$5:J$360,Продажи!$D$5:$D$360,'Потребность профиль'!$A12,Продажи!$C$5:$C$360,"Профиль")</f>
        <v>0</v>
      </c>
      <c r="K12" s="72">
        <f>SUMIFS(Продажи!K$5:K$360,Продажи!$D$5:$D$360,'Потребность профиль'!$A12,Продажи!$C$5:$C$360,"Профиль")</f>
        <v>0</v>
      </c>
      <c r="L12" s="72">
        <f>SUMIFS(Продажи!L$5:L$360,Продажи!$D$5:$D$360,'Потребность профиль'!$A12,Продажи!$C$5:$C$360,"Профиль")</f>
        <v>0</v>
      </c>
      <c r="M12" s="72">
        <f>SUMIFS(Продажи!M$5:M$360,Продажи!$D$5:$D$360,'Потребность профиль'!$A12,Продажи!$C$5:$C$360,"Профиль")</f>
        <v>0</v>
      </c>
      <c r="N12" s="72">
        <f>SUMIFS(Продажи!N$5:N$360,Продажи!$D$5:$D$360,'Потребность профиль'!$A12,Продажи!$C$5:$C$360,"Профиль")</f>
        <v>0</v>
      </c>
      <c r="O12" s="72">
        <f>SUMIFS(Продажи!O$5:O$360,Продажи!$D$5:$D$360,'Потребность профиль'!$A12,Продажи!$C$5:$C$360,"Профиль")</f>
        <v>0</v>
      </c>
      <c r="P12" s="72">
        <f>SUMIFS(Продажи!P$5:P$360,Продажи!$D$5:$D$360,'Потребность профиль'!$A12,Продажи!$C$5:$C$360,"Профиль")</f>
        <v>0</v>
      </c>
      <c r="Q12" s="72">
        <f>SUMIFS(Продажи!Q$5:Q$360,Продажи!$D$5:$D$360,'Потребность профиль'!$A12,Продажи!$C$5:$C$360,"Профиль")</f>
        <v>0</v>
      </c>
      <c r="R12" s="73">
        <f t="array" ref="R12">SUMIFS(Конструкторы!I$35:I$1191,Конструкторы!$C$35:$C$1191,$A12)</f>
        <v>0</v>
      </c>
      <c r="S12" s="73">
        <f t="array" ref="S12">SUMIFS(Конструкторы!J$35:J$1191,Конструкторы!$C$35:$C$1191,$A12)</f>
        <v>0</v>
      </c>
      <c r="T12" s="73">
        <f t="array" ref="T12">SUMIFS(Конструкторы!K$35:K$1191,Конструкторы!$C$35:$C$1191,$A12)</f>
        <v>0</v>
      </c>
      <c r="U12" s="73">
        <f t="array" ref="U12">SUMIFS(Конструкторы!L$35:L$1191,Конструкторы!$C$35:$C$1191,$A12)</f>
        <v>0</v>
      </c>
      <c r="V12" s="73">
        <f t="array" ref="V12">SUMIFS(Конструкторы!M$35:M$1191,Конструкторы!$C$35:$C$1191,$A12)</f>
        <v>0</v>
      </c>
      <c r="W12" s="73">
        <f t="array" ref="W12">SUMIFS(Конструкторы!N$35:N$1191,Конструкторы!$C$35:$C$1191,$A12)</f>
        <v>0</v>
      </c>
      <c r="X12" s="73">
        <f t="array" ref="X12">SUMIFS(Конструкторы!O$35:O$1191,Конструкторы!$C$35:$C$1191,$A12)</f>
        <v>0</v>
      </c>
      <c r="Y12" s="73">
        <f t="array" ref="Y12">SUMIFS(Конструкторы!P$35:P$1191,Конструкторы!$C$35:$C$1191,$A12)</f>
        <v>0</v>
      </c>
      <c r="Z12" s="73">
        <f t="array" ref="Z12">SUMIFS(Конструкторы!Q$35:Q$1191,Конструкторы!$C$35:$C$1191,$A12)</f>
        <v>0</v>
      </c>
      <c r="AA12" s="73">
        <f t="array" ref="AA12">SUMIFS(Конструкторы!R$35:R$1191,Конструкторы!$C$35:$C$1191,$A12)</f>
        <v>0</v>
      </c>
      <c r="AB12" s="73">
        <f t="array" ref="AB12">SUMIFS(Конструкторы!S$35:S$1191,Конструкторы!$C$35:$C$1191,$A12)</f>
        <v>0</v>
      </c>
      <c r="AC12" s="73">
        <f t="array" ref="AC12">SUMIFS(Конструкторы!T$35:T$1191,Конструкторы!$C$35:$C$1191,$A12)</f>
        <v>0</v>
      </c>
      <c r="AD12" s="76">
        <f t="array" ref="AD12">SUMIFS(Конструкторы!I$6:I$33,Конструкторы!$C$6:$C$33,$A12)</f>
        <v>0</v>
      </c>
      <c r="AE12" s="76">
        <f t="array" ref="AE12">SUMIFS(Конструкторы!J$6:J$33,Конструкторы!$C$6:$C$33,$A12)</f>
        <v>0</v>
      </c>
      <c r="AF12" s="76">
        <f t="array" ref="AF12">SUMIFS(Конструкторы!K$6:K$33,Конструкторы!$C$6:$C$33,$A12)</f>
        <v>0</v>
      </c>
      <c r="AG12" s="76">
        <f t="array" ref="AG12">SUMIFS(Конструкторы!L$6:L$33,Конструкторы!$C$6:$C$33,$A12)</f>
        <v>0</v>
      </c>
      <c r="AH12" s="76">
        <f t="array" ref="AH12">SUMIFS(Конструкторы!M$6:M$33,Конструкторы!$C$6:$C$33,$A12)</f>
        <v>0</v>
      </c>
      <c r="AI12" s="76">
        <f t="array" ref="AI12">SUMIFS(Конструкторы!N$6:N$33,Конструкторы!$C$6:$C$33,$A12)</f>
        <v>0</v>
      </c>
      <c r="AJ12" s="76">
        <f t="array" ref="AJ12">SUMIFS(Конструкторы!O$6:O$33,Конструкторы!$C$6:$C$33,$A12)</f>
        <v>0</v>
      </c>
      <c r="AK12" s="76">
        <f t="array" ref="AK12">SUMIFS(Конструкторы!P$6:P$33,Конструкторы!$C$6:$C$33,$A12)</f>
        <v>0</v>
      </c>
      <c r="AL12" s="76">
        <f t="array" ref="AL12">SUMIFS(Конструкторы!Q$6:Q$33,Конструкторы!$C$6:$C$33,$A12)</f>
        <v>0</v>
      </c>
      <c r="AM12" s="76">
        <f t="array" ref="AM12">SUMIFS(Конструкторы!R$6:R$33,Конструкторы!$C$6:$C$33,$A12)</f>
        <v>0</v>
      </c>
      <c r="AN12" s="76">
        <f t="array" ref="AN12">SUMIFS(Конструкторы!S$6:S$33,Конструкторы!$C$6:$C$33,$A12)</f>
        <v>0</v>
      </c>
      <c r="AO12" s="76">
        <f t="array" ref="AO12">SUMIFS(Конструкторы!T$6:T$33,Конструкторы!$C$6:$C$33,$A12)</f>
        <v>0</v>
      </c>
      <c r="AP12" s="75">
        <f t="array" ref="AP12">SUMIFS(Конструкторы!I$1192:I$1277,Конструкторы!$C$1192:$C$1277,$A12)</f>
        <v>0</v>
      </c>
      <c r="AQ12" s="75">
        <f t="array" ref="AQ12">SUMIFS(Конструкторы!J$1192:J$1277,Конструкторы!$C$1192:$C$1277,$A12)</f>
        <v>0</v>
      </c>
      <c r="AR12" s="75">
        <f t="array" ref="AR12">SUMIFS(Конструкторы!K$1192:K$1277,Конструкторы!$C$1192:$C$1277,$A12)</f>
        <v>0</v>
      </c>
      <c r="AS12" s="75">
        <f t="array" ref="AS12">SUMIFS(Конструкторы!L$1192:L$1277,Конструкторы!$C$1192:$C$1277,$A12)</f>
        <v>0</v>
      </c>
      <c r="AT12" s="75">
        <f t="array" ref="AT12">SUMIFS(Конструкторы!M$1192:M$1277,Конструкторы!$C$1192:$C$1277,$A12)</f>
        <v>0</v>
      </c>
      <c r="AU12" s="75">
        <f t="array" ref="AU12">SUMIFS(Конструкторы!N$1192:N$1277,Конструкторы!$C$1192:$C$1277,$A12)</f>
        <v>0</v>
      </c>
      <c r="AV12" s="75">
        <f t="array" ref="AV12">SUMIFS(Конструкторы!O$1192:O$1277,Конструкторы!$C$1192:$C$1277,$A12)</f>
        <v>0</v>
      </c>
      <c r="AW12" s="75">
        <f t="array" ref="AW12">SUMIFS(Конструкторы!P$1192:P$1277,Конструкторы!$C$1192:$C$1277,$A12)</f>
        <v>0</v>
      </c>
      <c r="AX12" s="75">
        <f t="array" ref="AX12">SUMIFS(Конструкторы!Q$1192:Q$1277,Конструкторы!$C$1192:$C$1277,$A12)</f>
        <v>0</v>
      </c>
      <c r="AY12" s="75">
        <f t="array" ref="AY12">SUMIFS(Конструкторы!R$1192:R$1277,Конструкторы!$C$1192:$C$1277,$A12)</f>
        <v>0</v>
      </c>
      <c r="AZ12" s="75">
        <f t="array" ref="AZ12">SUMIFS(Конструкторы!S$1192:S$1277,Конструкторы!$C$1192:$C$1277,$A12)</f>
        <v>0</v>
      </c>
      <c r="BA12" s="75">
        <f t="array" ref="BA12">SUMIFS(Конструкторы!T$1192:T$1277,Конструкторы!$C$1192:$C$1277,$A12)</f>
        <v>0</v>
      </c>
      <c r="BB12" s="80">
        <f t="shared" si="12"/>
        <v>417.25200000000001</v>
      </c>
      <c r="BC12" s="80">
        <f t="shared" si="3"/>
        <v>0</v>
      </c>
      <c r="BD12" s="80">
        <f t="shared" si="3"/>
        <v>0</v>
      </c>
      <c r="BE12" s="80">
        <f t="shared" si="3"/>
        <v>0</v>
      </c>
      <c r="BF12" s="80">
        <f t="shared" si="3"/>
        <v>0</v>
      </c>
      <c r="BG12" s="80">
        <f t="shared" si="3"/>
        <v>0</v>
      </c>
      <c r="BH12" s="80">
        <f t="shared" si="3"/>
        <v>0</v>
      </c>
      <c r="BI12" s="80">
        <f t="shared" si="3"/>
        <v>0</v>
      </c>
      <c r="BJ12" s="80">
        <f t="shared" si="3"/>
        <v>0</v>
      </c>
      <c r="BK12" s="80">
        <f t="shared" si="3"/>
        <v>0</v>
      </c>
      <c r="BL12" s="80">
        <f t="shared" si="3"/>
        <v>0</v>
      </c>
      <c r="BM12" s="80">
        <f t="shared" si="4"/>
        <v>0</v>
      </c>
      <c r="BN12" s="84">
        <f t="shared" si="13"/>
        <v>654</v>
      </c>
      <c r="BO12" s="84">
        <f t="shared" si="5"/>
        <v>0</v>
      </c>
      <c r="BP12" s="84">
        <f t="shared" si="5"/>
        <v>0</v>
      </c>
      <c r="BQ12" s="84">
        <f t="shared" si="5"/>
        <v>0</v>
      </c>
      <c r="BR12" s="84">
        <f t="shared" si="5"/>
        <v>0</v>
      </c>
      <c r="BS12" s="84">
        <f t="shared" si="5"/>
        <v>0</v>
      </c>
      <c r="BT12" s="84">
        <f t="shared" si="14"/>
        <v>0</v>
      </c>
      <c r="BU12" s="84">
        <f t="shared" si="6"/>
        <v>0</v>
      </c>
      <c r="BV12" s="84">
        <f t="shared" si="7"/>
        <v>0</v>
      </c>
      <c r="BW12" s="84">
        <f t="shared" si="8"/>
        <v>0</v>
      </c>
      <c r="BX12" s="84">
        <f t="shared" si="9"/>
        <v>0</v>
      </c>
      <c r="BY12" s="83">
        <f t="shared" si="15"/>
        <v>0</v>
      </c>
      <c r="BZ12" s="79">
        <f t="shared" si="16"/>
        <v>31.142857142857142</v>
      </c>
      <c r="CA12" s="79">
        <f t="shared" si="16"/>
        <v>0</v>
      </c>
      <c r="CB12" s="79">
        <f t="shared" si="16"/>
        <v>0</v>
      </c>
      <c r="CC12" s="79">
        <f t="shared" si="16"/>
        <v>0</v>
      </c>
      <c r="CD12" s="79">
        <f t="shared" si="16"/>
        <v>0</v>
      </c>
      <c r="CE12" s="79">
        <f t="shared" si="16"/>
        <v>0</v>
      </c>
      <c r="CF12" s="79">
        <f t="shared" si="16"/>
        <v>0</v>
      </c>
      <c r="CG12" s="79">
        <f t="shared" si="16"/>
        <v>0</v>
      </c>
      <c r="CH12" s="79">
        <f t="shared" si="16"/>
        <v>0</v>
      </c>
      <c r="CI12" s="79">
        <f t="shared" si="16"/>
        <v>0</v>
      </c>
      <c r="CJ12" s="79">
        <f t="shared" si="16"/>
        <v>0</v>
      </c>
      <c r="CK12" s="79">
        <f t="shared" si="17"/>
        <v>0</v>
      </c>
    </row>
    <row r="13" spans="1:89" x14ac:dyDescent="0.25">
      <c r="A13" s="42" t="s">
        <v>61</v>
      </c>
      <c r="B13" s="70">
        <f t="array" ref="B13">INDEX(Технологи!$E$5:$E$552,MATCH(A13&amp;$A$1,Технологи!$B$5:$B$552&amp;Технологи!$C$5:$C$552,0))</f>
        <v>1.115</v>
      </c>
      <c r="C13" s="14">
        <v>1018</v>
      </c>
      <c r="D13" s="71">
        <v>5.5</v>
      </c>
      <c r="E13" s="71">
        <v>21</v>
      </c>
      <c r="F13" s="72">
        <f>SUMIFS(Продажи!F$5:F$360,Продажи!$D$5:$D$360,'Потребность профиль'!$A13,Продажи!$C$5:$C$360,"Профиль")</f>
        <v>444</v>
      </c>
      <c r="G13" s="72">
        <f>SUMIFS(Продажи!G$5:G$360,Продажи!$D$5:$D$360,'Потребность профиль'!$A13,Продажи!$C$5:$C$360,"Профиль")</f>
        <v>0</v>
      </c>
      <c r="H13" s="72">
        <f>SUMIFS(Продажи!H$5:H$360,Продажи!$D$5:$D$360,'Потребность профиль'!$A13,Продажи!$C$5:$C$360,"Профиль")</f>
        <v>0</v>
      </c>
      <c r="I13" s="72">
        <f>SUMIFS(Продажи!I$5:I$360,Продажи!$D$5:$D$360,'Потребность профиль'!$A13,Продажи!$C$5:$C$360,"Профиль")</f>
        <v>0</v>
      </c>
      <c r="J13" s="72">
        <f>SUMIFS(Продажи!J$5:J$360,Продажи!$D$5:$D$360,'Потребность профиль'!$A13,Продажи!$C$5:$C$360,"Профиль")</f>
        <v>0</v>
      </c>
      <c r="K13" s="72">
        <f>SUMIFS(Продажи!K$5:K$360,Продажи!$D$5:$D$360,'Потребность профиль'!$A13,Продажи!$C$5:$C$360,"Профиль")</f>
        <v>0</v>
      </c>
      <c r="L13" s="72">
        <f>SUMIFS(Продажи!L$5:L$360,Продажи!$D$5:$D$360,'Потребность профиль'!$A13,Продажи!$C$5:$C$360,"Профиль")</f>
        <v>0</v>
      </c>
      <c r="M13" s="72">
        <f>SUMIFS(Продажи!M$5:M$360,Продажи!$D$5:$D$360,'Потребность профиль'!$A13,Продажи!$C$5:$C$360,"Профиль")</f>
        <v>0</v>
      </c>
      <c r="N13" s="72">
        <f>SUMIFS(Продажи!N$5:N$360,Продажи!$D$5:$D$360,'Потребность профиль'!$A13,Продажи!$C$5:$C$360,"Профиль")</f>
        <v>0</v>
      </c>
      <c r="O13" s="72">
        <f>SUMIFS(Продажи!O$5:O$360,Продажи!$D$5:$D$360,'Потребность профиль'!$A13,Продажи!$C$5:$C$360,"Профиль")</f>
        <v>0</v>
      </c>
      <c r="P13" s="72">
        <f>SUMIFS(Продажи!P$5:P$360,Продажи!$D$5:$D$360,'Потребность профиль'!$A13,Продажи!$C$5:$C$360,"Профиль")</f>
        <v>0</v>
      </c>
      <c r="Q13" s="72">
        <f>SUMIFS(Продажи!Q$5:Q$360,Продажи!$D$5:$D$360,'Потребность профиль'!$A13,Продажи!$C$5:$C$360,"Профиль")</f>
        <v>0</v>
      </c>
      <c r="R13" s="73">
        <f t="array" ref="R13">SUMIFS(Конструкторы!I$35:I$1191,Конструкторы!$C$35:$C$1191,$A13)</f>
        <v>0</v>
      </c>
      <c r="S13" s="73">
        <f t="array" ref="S13">SUMIFS(Конструкторы!J$35:J$1191,Конструкторы!$C$35:$C$1191,$A13)</f>
        <v>0</v>
      </c>
      <c r="T13" s="73">
        <f t="array" ref="T13">SUMIFS(Конструкторы!K$35:K$1191,Конструкторы!$C$35:$C$1191,$A13)</f>
        <v>0</v>
      </c>
      <c r="U13" s="73">
        <f t="array" ref="U13">SUMIFS(Конструкторы!L$35:L$1191,Конструкторы!$C$35:$C$1191,$A13)</f>
        <v>0</v>
      </c>
      <c r="V13" s="73">
        <f t="array" ref="V13">SUMIFS(Конструкторы!M$35:M$1191,Конструкторы!$C$35:$C$1191,$A13)</f>
        <v>0</v>
      </c>
      <c r="W13" s="73">
        <f t="array" ref="W13">SUMIFS(Конструкторы!N$35:N$1191,Конструкторы!$C$35:$C$1191,$A13)</f>
        <v>0</v>
      </c>
      <c r="X13" s="73">
        <f t="array" ref="X13">SUMIFS(Конструкторы!O$35:O$1191,Конструкторы!$C$35:$C$1191,$A13)</f>
        <v>0</v>
      </c>
      <c r="Y13" s="73">
        <f t="array" ref="Y13">SUMIFS(Конструкторы!P$35:P$1191,Конструкторы!$C$35:$C$1191,$A13)</f>
        <v>0</v>
      </c>
      <c r="Z13" s="73">
        <f t="array" ref="Z13">SUMIFS(Конструкторы!Q$35:Q$1191,Конструкторы!$C$35:$C$1191,$A13)</f>
        <v>0</v>
      </c>
      <c r="AA13" s="73">
        <f t="array" ref="AA13">SUMIFS(Конструкторы!R$35:R$1191,Конструкторы!$C$35:$C$1191,$A13)</f>
        <v>0</v>
      </c>
      <c r="AB13" s="73">
        <f t="array" ref="AB13">SUMIFS(Конструкторы!S$35:S$1191,Конструкторы!$C$35:$C$1191,$A13)</f>
        <v>0</v>
      </c>
      <c r="AC13" s="73">
        <f t="array" ref="AC13">SUMIFS(Конструкторы!T$35:T$1191,Конструкторы!$C$35:$C$1191,$A13)</f>
        <v>0</v>
      </c>
      <c r="AD13" s="76">
        <f t="array" ref="AD13">SUMIFS(Конструкторы!I$6:I$33,Конструкторы!$C$6:$C$33,$A13)</f>
        <v>0</v>
      </c>
      <c r="AE13" s="76">
        <f t="array" ref="AE13">SUMIFS(Конструкторы!J$6:J$33,Конструкторы!$C$6:$C$33,$A13)</f>
        <v>0</v>
      </c>
      <c r="AF13" s="76">
        <f t="array" ref="AF13">SUMIFS(Конструкторы!K$6:K$33,Конструкторы!$C$6:$C$33,$A13)</f>
        <v>0</v>
      </c>
      <c r="AG13" s="76">
        <f t="array" ref="AG13">SUMIFS(Конструкторы!L$6:L$33,Конструкторы!$C$6:$C$33,$A13)</f>
        <v>0</v>
      </c>
      <c r="AH13" s="76">
        <f t="array" ref="AH13">SUMIFS(Конструкторы!M$6:M$33,Конструкторы!$C$6:$C$33,$A13)</f>
        <v>0</v>
      </c>
      <c r="AI13" s="76">
        <f t="array" ref="AI13">SUMIFS(Конструкторы!N$6:N$33,Конструкторы!$C$6:$C$33,$A13)</f>
        <v>0</v>
      </c>
      <c r="AJ13" s="76">
        <f t="array" ref="AJ13">SUMIFS(Конструкторы!O$6:O$33,Конструкторы!$C$6:$C$33,$A13)</f>
        <v>0</v>
      </c>
      <c r="AK13" s="76">
        <f t="array" ref="AK13">SUMIFS(Конструкторы!P$6:P$33,Конструкторы!$C$6:$C$33,$A13)</f>
        <v>0</v>
      </c>
      <c r="AL13" s="76">
        <f t="array" ref="AL13">SUMIFS(Конструкторы!Q$6:Q$33,Конструкторы!$C$6:$C$33,$A13)</f>
        <v>0</v>
      </c>
      <c r="AM13" s="76">
        <f t="array" ref="AM13">SUMIFS(Конструкторы!R$6:R$33,Конструкторы!$C$6:$C$33,$A13)</f>
        <v>0</v>
      </c>
      <c r="AN13" s="76">
        <f t="array" ref="AN13">SUMIFS(Конструкторы!S$6:S$33,Конструкторы!$C$6:$C$33,$A13)</f>
        <v>0</v>
      </c>
      <c r="AO13" s="76">
        <f t="array" ref="AO13">SUMIFS(Конструкторы!T$6:T$33,Конструкторы!$C$6:$C$33,$A13)</f>
        <v>0</v>
      </c>
      <c r="AP13" s="75">
        <f t="array" ref="AP13">SUMIFS(Конструкторы!I$1192:I$1277,Конструкторы!$C$1192:$C$1277,$A13)</f>
        <v>0</v>
      </c>
      <c r="AQ13" s="75">
        <f t="array" ref="AQ13">SUMIFS(Конструкторы!J$1192:J$1277,Конструкторы!$C$1192:$C$1277,$A13)</f>
        <v>0</v>
      </c>
      <c r="AR13" s="75">
        <f t="array" ref="AR13">SUMIFS(Конструкторы!K$1192:K$1277,Конструкторы!$C$1192:$C$1277,$A13)</f>
        <v>0</v>
      </c>
      <c r="AS13" s="75">
        <f t="array" ref="AS13">SUMIFS(Конструкторы!L$1192:L$1277,Конструкторы!$C$1192:$C$1277,$A13)</f>
        <v>0</v>
      </c>
      <c r="AT13" s="75">
        <f t="array" ref="AT13">SUMIFS(Конструкторы!M$1192:M$1277,Конструкторы!$C$1192:$C$1277,$A13)</f>
        <v>0</v>
      </c>
      <c r="AU13" s="75">
        <f t="array" ref="AU13">SUMIFS(Конструкторы!N$1192:N$1277,Конструкторы!$C$1192:$C$1277,$A13)</f>
        <v>0</v>
      </c>
      <c r="AV13" s="75">
        <f t="array" ref="AV13">SUMIFS(Конструкторы!O$1192:O$1277,Конструкторы!$C$1192:$C$1277,$A13)</f>
        <v>0</v>
      </c>
      <c r="AW13" s="75">
        <f t="array" ref="AW13">SUMIFS(Конструкторы!P$1192:P$1277,Конструкторы!$C$1192:$C$1277,$A13)</f>
        <v>0</v>
      </c>
      <c r="AX13" s="75">
        <f t="array" ref="AX13">SUMIFS(Конструкторы!Q$1192:Q$1277,Конструкторы!$C$1192:$C$1277,$A13)</f>
        <v>0</v>
      </c>
      <c r="AY13" s="75">
        <f t="array" ref="AY13">SUMIFS(Конструкторы!R$1192:R$1277,Конструкторы!$C$1192:$C$1277,$A13)</f>
        <v>0</v>
      </c>
      <c r="AZ13" s="75">
        <f t="array" ref="AZ13">SUMIFS(Конструкторы!S$1192:S$1277,Конструкторы!$C$1192:$C$1277,$A13)</f>
        <v>0</v>
      </c>
      <c r="BA13" s="75">
        <f t="array" ref="BA13">SUMIFS(Конструкторы!T$1192:T$1277,Конструкторы!$C$1192:$C$1277,$A13)</f>
        <v>0</v>
      </c>
      <c r="BB13" s="80">
        <f t="shared" si="12"/>
        <v>495.06</v>
      </c>
      <c r="BC13" s="80">
        <f t="shared" si="3"/>
        <v>0</v>
      </c>
      <c r="BD13" s="80">
        <f t="shared" si="3"/>
        <v>0</v>
      </c>
      <c r="BE13" s="80">
        <f t="shared" si="3"/>
        <v>0</v>
      </c>
      <c r="BF13" s="80">
        <f t="shared" si="3"/>
        <v>0</v>
      </c>
      <c r="BG13" s="80">
        <f t="shared" si="3"/>
        <v>0</v>
      </c>
      <c r="BH13" s="80">
        <f t="shared" si="3"/>
        <v>0</v>
      </c>
      <c r="BI13" s="80">
        <f t="shared" si="3"/>
        <v>0</v>
      </c>
      <c r="BJ13" s="80">
        <f t="shared" si="3"/>
        <v>0</v>
      </c>
      <c r="BK13" s="80">
        <f t="shared" si="3"/>
        <v>0</v>
      </c>
      <c r="BL13" s="80">
        <f t="shared" si="3"/>
        <v>0</v>
      </c>
      <c r="BM13" s="80">
        <f t="shared" si="4"/>
        <v>0</v>
      </c>
      <c r="BN13" s="84">
        <f t="shared" si="13"/>
        <v>444</v>
      </c>
      <c r="BO13" s="84">
        <f t="shared" si="5"/>
        <v>0</v>
      </c>
      <c r="BP13" s="84">
        <f t="shared" si="5"/>
        <v>0</v>
      </c>
      <c r="BQ13" s="84">
        <f t="shared" si="5"/>
        <v>0</v>
      </c>
      <c r="BR13" s="84">
        <f t="shared" si="5"/>
        <v>0</v>
      </c>
      <c r="BS13" s="84">
        <f t="shared" si="5"/>
        <v>0</v>
      </c>
      <c r="BT13" s="84">
        <f t="shared" si="14"/>
        <v>0</v>
      </c>
      <c r="BU13" s="84">
        <f t="shared" si="6"/>
        <v>0</v>
      </c>
      <c r="BV13" s="84">
        <f t="shared" si="7"/>
        <v>0</v>
      </c>
      <c r="BW13" s="84">
        <f t="shared" si="8"/>
        <v>0</v>
      </c>
      <c r="BX13" s="84">
        <f t="shared" si="9"/>
        <v>0</v>
      </c>
      <c r="BY13" s="83">
        <f t="shared" si="15"/>
        <v>0</v>
      </c>
      <c r="BZ13" s="79">
        <f t="shared" si="16"/>
        <v>21.142857142857142</v>
      </c>
      <c r="CA13" s="79">
        <f t="shared" si="16"/>
        <v>0</v>
      </c>
      <c r="CB13" s="79">
        <f t="shared" si="16"/>
        <v>0</v>
      </c>
      <c r="CC13" s="79">
        <f t="shared" si="16"/>
        <v>0</v>
      </c>
      <c r="CD13" s="79">
        <f t="shared" si="16"/>
        <v>0</v>
      </c>
      <c r="CE13" s="79">
        <f t="shared" si="16"/>
        <v>0</v>
      </c>
      <c r="CF13" s="79">
        <f t="shared" si="16"/>
        <v>0</v>
      </c>
      <c r="CG13" s="79">
        <f t="shared" si="16"/>
        <v>0</v>
      </c>
      <c r="CH13" s="79">
        <f t="shared" si="16"/>
        <v>0</v>
      </c>
      <c r="CI13" s="79">
        <f t="shared" si="16"/>
        <v>0</v>
      </c>
      <c r="CJ13" s="79">
        <f t="shared" si="16"/>
        <v>0</v>
      </c>
      <c r="CK13" s="79">
        <f t="shared" si="17"/>
        <v>0</v>
      </c>
    </row>
    <row r="14" spans="1:89" x14ac:dyDescent="0.25">
      <c r="A14" s="42" t="s">
        <v>62</v>
      </c>
      <c r="B14" s="70">
        <f t="array" ref="B14">INDEX(Технологи!$E$5:$E$552,MATCH(A14&amp;$A$1,Технологи!$B$5:$B$552&amp;Технологи!$C$5:$C$552,0))</f>
        <v>2.367</v>
      </c>
      <c r="C14" s="14">
        <v>1018</v>
      </c>
      <c r="D14" s="71">
        <v>7</v>
      </c>
      <c r="E14" s="71">
        <v>18</v>
      </c>
      <c r="F14" s="72">
        <f>SUMIFS(Продажи!F$5:F$360,Продажи!$D$5:$D$360,'Потребность профиль'!$A14,Продажи!$C$5:$C$360,"Профиль")</f>
        <v>330</v>
      </c>
      <c r="G14" s="72">
        <f>SUMIFS(Продажи!G$5:G$360,Продажи!$D$5:$D$360,'Потребность профиль'!$A14,Продажи!$C$5:$C$360,"Профиль")</f>
        <v>0</v>
      </c>
      <c r="H14" s="72">
        <f>SUMIFS(Продажи!H$5:H$360,Продажи!$D$5:$D$360,'Потребность профиль'!$A14,Продажи!$C$5:$C$360,"Профиль")</f>
        <v>0</v>
      </c>
      <c r="I14" s="72">
        <f>SUMIFS(Продажи!I$5:I$360,Продажи!$D$5:$D$360,'Потребность профиль'!$A14,Продажи!$C$5:$C$360,"Профиль")</f>
        <v>0</v>
      </c>
      <c r="J14" s="72">
        <f>SUMIFS(Продажи!J$5:J$360,Продажи!$D$5:$D$360,'Потребность профиль'!$A14,Продажи!$C$5:$C$360,"Профиль")</f>
        <v>0</v>
      </c>
      <c r="K14" s="72">
        <f>SUMIFS(Продажи!K$5:K$360,Продажи!$D$5:$D$360,'Потребность профиль'!$A14,Продажи!$C$5:$C$360,"Профиль")</f>
        <v>0</v>
      </c>
      <c r="L14" s="72">
        <f>SUMIFS(Продажи!L$5:L$360,Продажи!$D$5:$D$360,'Потребность профиль'!$A14,Продажи!$C$5:$C$360,"Профиль")</f>
        <v>0</v>
      </c>
      <c r="M14" s="72">
        <f>SUMIFS(Продажи!M$5:M$360,Продажи!$D$5:$D$360,'Потребность профиль'!$A14,Продажи!$C$5:$C$360,"Профиль")</f>
        <v>0</v>
      </c>
      <c r="N14" s="72">
        <f>SUMIFS(Продажи!N$5:N$360,Продажи!$D$5:$D$360,'Потребность профиль'!$A14,Продажи!$C$5:$C$360,"Профиль")</f>
        <v>0</v>
      </c>
      <c r="O14" s="72">
        <f>SUMIFS(Продажи!O$5:O$360,Продажи!$D$5:$D$360,'Потребность профиль'!$A14,Продажи!$C$5:$C$360,"Профиль")</f>
        <v>0</v>
      </c>
      <c r="P14" s="72">
        <f>SUMIFS(Продажи!P$5:P$360,Продажи!$D$5:$D$360,'Потребность профиль'!$A14,Продажи!$C$5:$C$360,"Профиль")</f>
        <v>0</v>
      </c>
      <c r="Q14" s="72">
        <f>SUMIFS(Продажи!Q$5:Q$360,Продажи!$D$5:$D$360,'Потребность профиль'!$A14,Продажи!$C$5:$C$360,"Профиль")</f>
        <v>0</v>
      </c>
      <c r="R14" s="73">
        <f t="array" ref="R14">SUMIFS(Конструкторы!I$35:I$1191,Конструкторы!$C$35:$C$1191,$A14)</f>
        <v>0</v>
      </c>
      <c r="S14" s="73">
        <f t="array" ref="S14">SUMIFS(Конструкторы!J$35:J$1191,Конструкторы!$C$35:$C$1191,$A14)</f>
        <v>0</v>
      </c>
      <c r="T14" s="73">
        <f t="array" ref="T14">SUMIFS(Конструкторы!K$35:K$1191,Конструкторы!$C$35:$C$1191,$A14)</f>
        <v>0</v>
      </c>
      <c r="U14" s="73">
        <f t="array" ref="U14">SUMIFS(Конструкторы!L$35:L$1191,Конструкторы!$C$35:$C$1191,$A14)</f>
        <v>0</v>
      </c>
      <c r="V14" s="73">
        <f t="array" ref="V14">SUMIFS(Конструкторы!M$35:M$1191,Конструкторы!$C$35:$C$1191,$A14)</f>
        <v>0</v>
      </c>
      <c r="W14" s="73">
        <f t="array" ref="W14">SUMIFS(Конструкторы!N$35:N$1191,Конструкторы!$C$35:$C$1191,$A14)</f>
        <v>0</v>
      </c>
      <c r="X14" s="73">
        <f t="array" ref="X14">SUMIFS(Конструкторы!O$35:O$1191,Конструкторы!$C$35:$C$1191,$A14)</f>
        <v>0</v>
      </c>
      <c r="Y14" s="73">
        <f t="array" ref="Y14">SUMIFS(Конструкторы!P$35:P$1191,Конструкторы!$C$35:$C$1191,$A14)</f>
        <v>0</v>
      </c>
      <c r="Z14" s="73">
        <f t="array" ref="Z14">SUMIFS(Конструкторы!Q$35:Q$1191,Конструкторы!$C$35:$C$1191,$A14)</f>
        <v>0</v>
      </c>
      <c r="AA14" s="73">
        <f t="array" ref="AA14">SUMIFS(Конструкторы!R$35:R$1191,Конструкторы!$C$35:$C$1191,$A14)</f>
        <v>0</v>
      </c>
      <c r="AB14" s="73">
        <f t="array" ref="AB14">SUMIFS(Конструкторы!S$35:S$1191,Конструкторы!$C$35:$C$1191,$A14)</f>
        <v>0</v>
      </c>
      <c r="AC14" s="73">
        <f t="array" ref="AC14">SUMIFS(Конструкторы!T$35:T$1191,Конструкторы!$C$35:$C$1191,$A14)</f>
        <v>0</v>
      </c>
      <c r="AD14" s="76">
        <f t="array" ref="AD14">SUMIFS(Конструкторы!I$6:I$33,Конструкторы!$C$6:$C$33,$A14)</f>
        <v>0</v>
      </c>
      <c r="AE14" s="76">
        <f t="array" ref="AE14">SUMIFS(Конструкторы!J$6:J$33,Конструкторы!$C$6:$C$33,$A14)</f>
        <v>0</v>
      </c>
      <c r="AF14" s="76">
        <f t="array" ref="AF14">SUMIFS(Конструкторы!K$6:K$33,Конструкторы!$C$6:$C$33,$A14)</f>
        <v>0</v>
      </c>
      <c r="AG14" s="76">
        <f t="array" ref="AG14">SUMIFS(Конструкторы!L$6:L$33,Конструкторы!$C$6:$C$33,$A14)</f>
        <v>0</v>
      </c>
      <c r="AH14" s="76">
        <f t="array" ref="AH14">SUMIFS(Конструкторы!M$6:M$33,Конструкторы!$C$6:$C$33,$A14)</f>
        <v>0</v>
      </c>
      <c r="AI14" s="76">
        <f t="array" ref="AI14">SUMIFS(Конструкторы!N$6:N$33,Конструкторы!$C$6:$C$33,$A14)</f>
        <v>0</v>
      </c>
      <c r="AJ14" s="76">
        <f t="array" ref="AJ14">SUMIFS(Конструкторы!O$6:O$33,Конструкторы!$C$6:$C$33,$A14)</f>
        <v>0</v>
      </c>
      <c r="AK14" s="76">
        <f t="array" ref="AK14">SUMIFS(Конструкторы!P$6:P$33,Конструкторы!$C$6:$C$33,$A14)</f>
        <v>0</v>
      </c>
      <c r="AL14" s="76">
        <f t="array" ref="AL14">SUMIFS(Конструкторы!Q$6:Q$33,Конструкторы!$C$6:$C$33,$A14)</f>
        <v>0</v>
      </c>
      <c r="AM14" s="76">
        <f t="array" ref="AM14">SUMIFS(Конструкторы!R$6:R$33,Конструкторы!$C$6:$C$33,$A14)</f>
        <v>0</v>
      </c>
      <c r="AN14" s="76">
        <f t="array" ref="AN14">SUMIFS(Конструкторы!S$6:S$33,Конструкторы!$C$6:$C$33,$A14)</f>
        <v>0</v>
      </c>
      <c r="AO14" s="76">
        <f t="array" ref="AO14">SUMIFS(Конструкторы!T$6:T$33,Конструкторы!$C$6:$C$33,$A14)</f>
        <v>0</v>
      </c>
      <c r="AP14" s="75">
        <f t="array" ref="AP14">SUMIFS(Конструкторы!I$1192:I$1277,Конструкторы!$C$1192:$C$1277,$A14)</f>
        <v>0</v>
      </c>
      <c r="AQ14" s="75">
        <f t="array" ref="AQ14">SUMIFS(Конструкторы!J$1192:J$1277,Конструкторы!$C$1192:$C$1277,$A14)</f>
        <v>0</v>
      </c>
      <c r="AR14" s="75">
        <f t="array" ref="AR14">SUMIFS(Конструкторы!K$1192:K$1277,Конструкторы!$C$1192:$C$1277,$A14)</f>
        <v>0</v>
      </c>
      <c r="AS14" s="75">
        <f t="array" ref="AS14">SUMIFS(Конструкторы!L$1192:L$1277,Конструкторы!$C$1192:$C$1277,$A14)</f>
        <v>0</v>
      </c>
      <c r="AT14" s="75">
        <f t="array" ref="AT14">SUMIFS(Конструкторы!M$1192:M$1277,Конструкторы!$C$1192:$C$1277,$A14)</f>
        <v>0</v>
      </c>
      <c r="AU14" s="75">
        <f t="array" ref="AU14">SUMIFS(Конструкторы!N$1192:N$1277,Конструкторы!$C$1192:$C$1277,$A14)</f>
        <v>0</v>
      </c>
      <c r="AV14" s="75">
        <f t="array" ref="AV14">SUMIFS(Конструкторы!O$1192:O$1277,Конструкторы!$C$1192:$C$1277,$A14)</f>
        <v>0</v>
      </c>
      <c r="AW14" s="75">
        <f t="array" ref="AW14">SUMIFS(Конструкторы!P$1192:P$1277,Конструкторы!$C$1192:$C$1277,$A14)</f>
        <v>0</v>
      </c>
      <c r="AX14" s="75">
        <f t="array" ref="AX14">SUMIFS(Конструкторы!Q$1192:Q$1277,Конструкторы!$C$1192:$C$1277,$A14)</f>
        <v>0</v>
      </c>
      <c r="AY14" s="75">
        <f t="array" ref="AY14">SUMIFS(Конструкторы!R$1192:R$1277,Конструкторы!$C$1192:$C$1277,$A14)</f>
        <v>0</v>
      </c>
      <c r="AZ14" s="75">
        <f t="array" ref="AZ14">SUMIFS(Конструкторы!S$1192:S$1277,Конструкторы!$C$1192:$C$1277,$A14)</f>
        <v>0</v>
      </c>
      <c r="BA14" s="75">
        <f t="array" ref="BA14">SUMIFS(Конструкторы!T$1192:T$1277,Конструкторы!$C$1192:$C$1277,$A14)</f>
        <v>0</v>
      </c>
      <c r="BB14" s="80">
        <f t="shared" si="12"/>
        <v>781.11</v>
      </c>
      <c r="BC14" s="80">
        <f t="shared" si="3"/>
        <v>0</v>
      </c>
      <c r="BD14" s="80">
        <f t="shared" si="3"/>
        <v>0</v>
      </c>
      <c r="BE14" s="80">
        <f t="shared" si="3"/>
        <v>0</v>
      </c>
      <c r="BF14" s="80">
        <f t="shared" si="3"/>
        <v>0</v>
      </c>
      <c r="BG14" s="80">
        <f t="shared" si="3"/>
        <v>0</v>
      </c>
      <c r="BH14" s="80">
        <f t="shared" si="3"/>
        <v>0</v>
      </c>
      <c r="BI14" s="80">
        <f t="shared" si="3"/>
        <v>0</v>
      </c>
      <c r="BJ14" s="80">
        <f t="shared" si="3"/>
        <v>0</v>
      </c>
      <c r="BK14" s="80">
        <f t="shared" si="3"/>
        <v>0</v>
      </c>
      <c r="BL14" s="80">
        <f t="shared" si="3"/>
        <v>0</v>
      </c>
      <c r="BM14" s="80">
        <f t="shared" si="4"/>
        <v>0</v>
      </c>
      <c r="BN14" s="84">
        <f t="shared" si="13"/>
        <v>330</v>
      </c>
      <c r="BO14" s="84">
        <f t="shared" si="5"/>
        <v>0</v>
      </c>
      <c r="BP14" s="84">
        <f t="shared" si="5"/>
        <v>0</v>
      </c>
      <c r="BQ14" s="84">
        <f t="shared" si="5"/>
        <v>0</v>
      </c>
      <c r="BR14" s="84">
        <f t="shared" si="5"/>
        <v>0</v>
      </c>
      <c r="BS14" s="84">
        <f t="shared" si="5"/>
        <v>0</v>
      </c>
      <c r="BT14" s="84">
        <f t="shared" si="14"/>
        <v>0</v>
      </c>
      <c r="BU14" s="84">
        <f t="shared" si="6"/>
        <v>0</v>
      </c>
      <c r="BV14" s="84">
        <f t="shared" si="7"/>
        <v>0</v>
      </c>
      <c r="BW14" s="84">
        <f t="shared" si="8"/>
        <v>0</v>
      </c>
      <c r="BX14" s="84">
        <f t="shared" si="9"/>
        <v>0</v>
      </c>
      <c r="BY14" s="83">
        <f t="shared" si="15"/>
        <v>0</v>
      </c>
      <c r="BZ14" s="79">
        <f t="shared" si="16"/>
        <v>18.333333333333332</v>
      </c>
      <c r="CA14" s="79">
        <f t="shared" si="16"/>
        <v>0</v>
      </c>
      <c r="CB14" s="79">
        <f t="shared" si="16"/>
        <v>0</v>
      </c>
      <c r="CC14" s="79">
        <f t="shared" si="16"/>
        <v>0</v>
      </c>
      <c r="CD14" s="79">
        <f t="shared" si="16"/>
        <v>0</v>
      </c>
      <c r="CE14" s="79">
        <f t="shared" si="16"/>
        <v>0</v>
      </c>
      <c r="CF14" s="79">
        <f t="shared" si="16"/>
        <v>0</v>
      </c>
      <c r="CG14" s="79">
        <f t="shared" si="16"/>
        <v>0</v>
      </c>
      <c r="CH14" s="79">
        <f t="shared" si="16"/>
        <v>0</v>
      </c>
      <c r="CI14" s="79">
        <f t="shared" si="16"/>
        <v>0</v>
      </c>
      <c r="CJ14" s="79">
        <f t="shared" si="16"/>
        <v>0</v>
      </c>
      <c r="CK14" s="79">
        <f t="shared" si="17"/>
        <v>0</v>
      </c>
    </row>
    <row r="15" spans="1:89" x14ac:dyDescent="0.25">
      <c r="A15" s="42" t="s">
        <v>63</v>
      </c>
      <c r="B15" s="70">
        <f t="array" ref="B15">INDEX(Технологи!$E$5:$E$552,MATCH(A15&amp;$A$1,Технологи!$B$5:$B$552&amp;Технологи!$C$5:$C$552,0))</f>
        <v>3.1069999999999998</v>
      </c>
      <c r="C15" s="14">
        <v>1018</v>
      </c>
      <c r="D15" s="71">
        <v>8</v>
      </c>
      <c r="E15" s="71">
        <v>18</v>
      </c>
      <c r="F15" s="72">
        <f>SUMIFS(Продажи!F$5:F$360,Продажи!$D$5:$D$360,'Потребность профиль'!$A15,Продажи!$C$5:$C$360,"Профиль")</f>
        <v>396</v>
      </c>
      <c r="G15" s="72">
        <f>SUMIFS(Продажи!G$5:G$360,Продажи!$D$5:$D$360,'Потребность профиль'!$A15,Продажи!$C$5:$C$360,"Профиль")</f>
        <v>2232</v>
      </c>
      <c r="H15" s="72">
        <f>SUMIFS(Продажи!H$5:H$360,Продажи!$D$5:$D$360,'Потребность профиль'!$A15,Продажи!$C$5:$C$360,"Профиль")</f>
        <v>0</v>
      </c>
      <c r="I15" s="72">
        <f>SUMIFS(Продажи!I$5:I$360,Продажи!$D$5:$D$360,'Потребность профиль'!$A15,Продажи!$C$5:$C$360,"Профиль")</f>
        <v>0</v>
      </c>
      <c r="J15" s="72">
        <f>SUMIFS(Продажи!J$5:J$360,Продажи!$D$5:$D$360,'Потребность профиль'!$A15,Продажи!$C$5:$C$360,"Профиль")</f>
        <v>0</v>
      </c>
      <c r="K15" s="72">
        <f>SUMIFS(Продажи!K$5:K$360,Продажи!$D$5:$D$360,'Потребность профиль'!$A15,Продажи!$C$5:$C$360,"Профиль")</f>
        <v>0</v>
      </c>
      <c r="L15" s="72">
        <f>SUMIFS(Продажи!L$5:L$360,Продажи!$D$5:$D$360,'Потребность профиль'!$A15,Продажи!$C$5:$C$360,"Профиль")</f>
        <v>0</v>
      </c>
      <c r="M15" s="72">
        <f>SUMIFS(Продажи!M$5:M$360,Продажи!$D$5:$D$360,'Потребность профиль'!$A15,Продажи!$C$5:$C$360,"Профиль")</f>
        <v>0</v>
      </c>
      <c r="N15" s="72">
        <f>SUMIFS(Продажи!N$5:N$360,Продажи!$D$5:$D$360,'Потребность профиль'!$A15,Продажи!$C$5:$C$360,"Профиль")</f>
        <v>0</v>
      </c>
      <c r="O15" s="72">
        <f>SUMIFS(Продажи!O$5:O$360,Продажи!$D$5:$D$360,'Потребность профиль'!$A15,Продажи!$C$5:$C$360,"Профиль")</f>
        <v>0</v>
      </c>
      <c r="P15" s="72">
        <f>SUMIFS(Продажи!P$5:P$360,Продажи!$D$5:$D$360,'Потребность профиль'!$A15,Продажи!$C$5:$C$360,"Профиль")</f>
        <v>0</v>
      </c>
      <c r="Q15" s="72">
        <f>SUMIFS(Продажи!Q$5:Q$360,Продажи!$D$5:$D$360,'Потребность профиль'!$A15,Продажи!$C$5:$C$360,"Профиль")</f>
        <v>0</v>
      </c>
      <c r="R15" s="73">
        <f t="array" ref="R15">SUMIFS(Конструкторы!I$35:I$1191,Конструкторы!$C$35:$C$1191,$A15)</f>
        <v>0</v>
      </c>
      <c r="S15" s="73">
        <f t="array" ref="S15">SUMIFS(Конструкторы!J$35:J$1191,Конструкторы!$C$35:$C$1191,$A15)</f>
        <v>0</v>
      </c>
      <c r="T15" s="73">
        <f t="array" ref="T15">SUMIFS(Конструкторы!K$35:K$1191,Конструкторы!$C$35:$C$1191,$A15)</f>
        <v>0</v>
      </c>
      <c r="U15" s="73">
        <f t="array" ref="U15">SUMIFS(Конструкторы!L$35:L$1191,Конструкторы!$C$35:$C$1191,$A15)</f>
        <v>0</v>
      </c>
      <c r="V15" s="73">
        <f t="array" ref="V15">SUMIFS(Конструкторы!M$35:M$1191,Конструкторы!$C$35:$C$1191,$A15)</f>
        <v>0</v>
      </c>
      <c r="W15" s="73">
        <f t="array" ref="W15">SUMIFS(Конструкторы!N$35:N$1191,Конструкторы!$C$35:$C$1191,$A15)</f>
        <v>0</v>
      </c>
      <c r="X15" s="73">
        <f t="array" ref="X15">SUMIFS(Конструкторы!O$35:O$1191,Конструкторы!$C$35:$C$1191,$A15)</f>
        <v>0</v>
      </c>
      <c r="Y15" s="73">
        <f t="array" ref="Y15">SUMIFS(Конструкторы!P$35:P$1191,Конструкторы!$C$35:$C$1191,$A15)</f>
        <v>0</v>
      </c>
      <c r="Z15" s="73">
        <f t="array" ref="Z15">SUMIFS(Конструкторы!Q$35:Q$1191,Конструкторы!$C$35:$C$1191,$A15)</f>
        <v>0</v>
      </c>
      <c r="AA15" s="73">
        <f t="array" ref="AA15">SUMIFS(Конструкторы!R$35:R$1191,Конструкторы!$C$35:$C$1191,$A15)</f>
        <v>0</v>
      </c>
      <c r="AB15" s="73">
        <f t="array" ref="AB15">SUMIFS(Конструкторы!S$35:S$1191,Конструкторы!$C$35:$C$1191,$A15)</f>
        <v>0</v>
      </c>
      <c r="AC15" s="73">
        <f t="array" ref="AC15">SUMIFS(Конструкторы!T$35:T$1191,Конструкторы!$C$35:$C$1191,$A15)</f>
        <v>0</v>
      </c>
      <c r="AD15" s="76">
        <f t="array" ref="AD15">SUMIFS(Конструкторы!I$6:I$33,Конструкторы!$C$6:$C$33,$A15)</f>
        <v>0</v>
      </c>
      <c r="AE15" s="76">
        <f t="array" ref="AE15">SUMIFS(Конструкторы!J$6:J$33,Конструкторы!$C$6:$C$33,$A15)</f>
        <v>0</v>
      </c>
      <c r="AF15" s="76">
        <f t="array" ref="AF15">SUMIFS(Конструкторы!K$6:K$33,Конструкторы!$C$6:$C$33,$A15)</f>
        <v>0</v>
      </c>
      <c r="AG15" s="76">
        <f t="array" ref="AG15">SUMIFS(Конструкторы!L$6:L$33,Конструкторы!$C$6:$C$33,$A15)</f>
        <v>0</v>
      </c>
      <c r="AH15" s="76">
        <f t="array" ref="AH15">SUMIFS(Конструкторы!M$6:M$33,Конструкторы!$C$6:$C$33,$A15)</f>
        <v>0</v>
      </c>
      <c r="AI15" s="76">
        <f t="array" ref="AI15">SUMIFS(Конструкторы!N$6:N$33,Конструкторы!$C$6:$C$33,$A15)</f>
        <v>0</v>
      </c>
      <c r="AJ15" s="76">
        <f t="array" ref="AJ15">SUMIFS(Конструкторы!O$6:O$33,Конструкторы!$C$6:$C$33,$A15)</f>
        <v>0</v>
      </c>
      <c r="AK15" s="76">
        <f t="array" ref="AK15">SUMIFS(Конструкторы!P$6:P$33,Конструкторы!$C$6:$C$33,$A15)</f>
        <v>0</v>
      </c>
      <c r="AL15" s="76">
        <f t="array" ref="AL15">SUMIFS(Конструкторы!Q$6:Q$33,Конструкторы!$C$6:$C$33,$A15)</f>
        <v>0</v>
      </c>
      <c r="AM15" s="76">
        <f t="array" ref="AM15">SUMIFS(Конструкторы!R$6:R$33,Конструкторы!$C$6:$C$33,$A15)</f>
        <v>0</v>
      </c>
      <c r="AN15" s="76">
        <f t="array" ref="AN15">SUMIFS(Конструкторы!S$6:S$33,Конструкторы!$C$6:$C$33,$A15)</f>
        <v>0</v>
      </c>
      <c r="AO15" s="76">
        <f t="array" ref="AO15">SUMIFS(Конструкторы!T$6:T$33,Конструкторы!$C$6:$C$33,$A15)</f>
        <v>0</v>
      </c>
      <c r="AP15" s="75">
        <f t="array" ref="AP15">SUMIFS(Конструкторы!I$1192:I$1277,Конструкторы!$C$1192:$C$1277,$A15)</f>
        <v>0</v>
      </c>
      <c r="AQ15" s="75">
        <f t="array" ref="AQ15">SUMIFS(Конструкторы!J$1192:J$1277,Конструкторы!$C$1192:$C$1277,$A15)</f>
        <v>0</v>
      </c>
      <c r="AR15" s="75">
        <f t="array" ref="AR15">SUMIFS(Конструкторы!K$1192:K$1277,Конструкторы!$C$1192:$C$1277,$A15)</f>
        <v>0</v>
      </c>
      <c r="AS15" s="75">
        <f t="array" ref="AS15">SUMIFS(Конструкторы!L$1192:L$1277,Конструкторы!$C$1192:$C$1277,$A15)</f>
        <v>0</v>
      </c>
      <c r="AT15" s="75">
        <f t="array" ref="AT15">SUMIFS(Конструкторы!M$1192:M$1277,Конструкторы!$C$1192:$C$1277,$A15)</f>
        <v>0</v>
      </c>
      <c r="AU15" s="75">
        <f t="array" ref="AU15">SUMIFS(Конструкторы!N$1192:N$1277,Конструкторы!$C$1192:$C$1277,$A15)</f>
        <v>0</v>
      </c>
      <c r="AV15" s="75">
        <f t="array" ref="AV15">SUMIFS(Конструкторы!O$1192:O$1277,Конструкторы!$C$1192:$C$1277,$A15)</f>
        <v>0</v>
      </c>
      <c r="AW15" s="75">
        <f t="array" ref="AW15">SUMIFS(Конструкторы!P$1192:P$1277,Конструкторы!$C$1192:$C$1277,$A15)</f>
        <v>0</v>
      </c>
      <c r="AX15" s="75">
        <f t="array" ref="AX15">SUMIFS(Конструкторы!Q$1192:Q$1277,Конструкторы!$C$1192:$C$1277,$A15)</f>
        <v>0</v>
      </c>
      <c r="AY15" s="75">
        <f t="array" ref="AY15">SUMIFS(Конструкторы!R$1192:R$1277,Конструкторы!$C$1192:$C$1277,$A15)</f>
        <v>0</v>
      </c>
      <c r="AZ15" s="75">
        <f t="array" ref="AZ15">SUMIFS(Конструкторы!S$1192:S$1277,Конструкторы!$C$1192:$C$1277,$A15)</f>
        <v>0</v>
      </c>
      <c r="BA15" s="75">
        <f t="array" ref="BA15">SUMIFS(Конструкторы!T$1192:T$1277,Конструкторы!$C$1192:$C$1277,$A15)</f>
        <v>0</v>
      </c>
      <c r="BB15" s="80">
        <f t="shared" si="12"/>
        <v>1230.3719999999998</v>
      </c>
      <c r="BC15" s="80">
        <f t="shared" si="3"/>
        <v>6934.8239999999996</v>
      </c>
      <c r="BD15" s="80">
        <f t="shared" si="3"/>
        <v>0</v>
      </c>
      <c r="BE15" s="80">
        <f t="shared" si="3"/>
        <v>0</v>
      </c>
      <c r="BF15" s="80">
        <f t="shared" si="3"/>
        <v>0</v>
      </c>
      <c r="BG15" s="80">
        <f t="shared" si="3"/>
        <v>0</v>
      </c>
      <c r="BH15" s="80">
        <f t="shared" si="3"/>
        <v>0</v>
      </c>
      <c r="BI15" s="80">
        <f t="shared" si="3"/>
        <v>0</v>
      </c>
      <c r="BJ15" s="80">
        <f t="shared" si="3"/>
        <v>0</v>
      </c>
      <c r="BK15" s="80">
        <f t="shared" si="3"/>
        <v>0</v>
      </c>
      <c r="BL15" s="80">
        <f t="shared" si="3"/>
        <v>0</v>
      </c>
      <c r="BM15" s="80">
        <f t="shared" si="4"/>
        <v>0</v>
      </c>
      <c r="BN15" s="84">
        <f t="shared" si="13"/>
        <v>396</v>
      </c>
      <c r="BO15" s="84">
        <f t="shared" si="5"/>
        <v>2232</v>
      </c>
      <c r="BP15" s="84">
        <f t="shared" si="5"/>
        <v>0</v>
      </c>
      <c r="BQ15" s="84">
        <f t="shared" si="5"/>
        <v>0</v>
      </c>
      <c r="BR15" s="84">
        <f t="shared" si="5"/>
        <v>0</v>
      </c>
      <c r="BS15" s="84">
        <f t="shared" si="5"/>
        <v>0</v>
      </c>
      <c r="BT15" s="84">
        <f t="shared" si="14"/>
        <v>0</v>
      </c>
      <c r="BU15" s="84">
        <f t="shared" si="6"/>
        <v>0</v>
      </c>
      <c r="BV15" s="84">
        <f t="shared" si="7"/>
        <v>0</v>
      </c>
      <c r="BW15" s="84">
        <f t="shared" si="8"/>
        <v>0</v>
      </c>
      <c r="BX15" s="84">
        <f t="shared" si="9"/>
        <v>0</v>
      </c>
      <c r="BY15" s="83">
        <f t="shared" si="15"/>
        <v>0</v>
      </c>
      <c r="BZ15" s="79">
        <f>BN15/$E15</f>
        <v>22</v>
      </c>
      <c r="CA15" s="79">
        <f t="shared" si="16"/>
        <v>124</v>
      </c>
      <c r="CB15" s="79">
        <f t="shared" si="16"/>
        <v>0</v>
      </c>
      <c r="CC15" s="79">
        <f t="shared" si="16"/>
        <v>0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>
        <f t="shared" si="17"/>
        <v>0</v>
      </c>
    </row>
    <row r="16" spans="1:89" x14ac:dyDescent="0.25">
      <c r="A16" s="42" t="s">
        <v>64</v>
      </c>
      <c r="B16" s="70">
        <f t="array" ref="B16">INDEX(Технологи!$E$5:$E$552,MATCH(A16&amp;$A$1,Технологи!$B$5:$B$552&amp;Технологи!$C$5:$C$552,0))</f>
        <v>5.6950000000000003</v>
      </c>
      <c r="C16" s="14">
        <v>1018</v>
      </c>
      <c r="D16" s="71">
        <v>10</v>
      </c>
      <c r="E16" s="71">
        <v>15</v>
      </c>
      <c r="F16" s="72">
        <f>SUMIFS(Продажи!F$5:F$360,Продажи!$D$5:$D$360,'Потребность профиль'!$A16,Продажи!$C$5:$C$360,"Профиль")</f>
        <v>1140</v>
      </c>
      <c r="G16" s="72">
        <f>SUMIFS(Продажи!G$5:G$360,Продажи!$D$5:$D$360,'Потребность профиль'!$A16,Продажи!$C$5:$C$360,"Профиль")</f>
        <v>0</v>
      </c>
      <c r="H16" s="72">
        <f>SUMIFS(Продажи!H$5:H$360,Продажи!$D$5:$D$360,'Потребность профиль'!$A16,Продажи!$C$5:$C$360,"Профиль")</f>
        <v>0</v>
      </c>
      <c r="I16" s="72">
        <f>SUMIFS(Продажи!I$5:I$360,Продажи!$D$5:$D$360,'Потребность профиль'!$A16,Продажи!$C$5:$C$360,"Профиль")</f>
        <v>0</v>
      </c>
      <c r="J16" s="72">
        <f>SUMIFS(Продажи!J$5:J$360,Продажи!$D$5:$D$360,'Потребность профиль'!$A16,Продажи!$C$5:$C$360,"Профиль")</f>
        <v>0</v>
      </c>
      <c r="K16" s="72">
        <f>SUMIFS(Продажи!K$5:K$360,Продажи!$D$5:$D$360,'Потребность профиль'!$A16,Продажи!$C$5:$C$360,"Профиль")</f>
        <v>0</v>
      </c>
      <c r="L16" s="72">
        <f>SUMIFS(Продажи!L$5:L$360,Продажи!$D$5:$D$360,'Потребность профиль'!$A16,Продажи!$C$5:$C$360,"Профиль")</f>
        <v>0</v>
      </c>
      <c r="M16" s="72">
        <f>SUMIFS(Продажи!M$5:M$360,Продажи!$D$5:$D$360,'Потребность профиль'!$A16,Продажи!$C$5:$C$360,"Профиль")</f>
        <v>0</v>
      </c>
      <c r="N16" s="72">
        <f>SUMIFS(Продажи!N$5:N$360,Продажи!$D$5:$D$360,'Потребность профиль'!$A16,Продажи!$C$5:$C$360,"Профиль")</f>
        <v>0</v>
      </c>
      <c r="O16" s="72">
        <f>SUMIFS(Продажи!O$5:O$360,Продажи!$D$5:$D$360,'Потребность профиль'!$A16,Продажи!$C$5:$C$360,"Профиль")</f>
        <v>0</v>
      </c>
      <c r="P16" s="72">
        <f>SUMIFS(Продажи!P$5:P$360,Продажи!$D$5:$D$360,'Потребность профиль'!$A16,Продажи!$C$5:$C$360,"Профиль")</f>
        <v>0</v>
      </c>
      <c r="Q16" s="72">
        <f>SUMIFS(Продажи!Q$5:Q$360,Продажи!$D$5:$D$360,'Потребность профиль'!$A16,Продажи!$C$5:$C$360,"Профиль")</f>
        <v>0</v>
      </c>
      <c r="R16" s="73">
        <f t="array" ref="R16">SUMIFS(Конструкторы!I$35:I$1191,Конструкторы!$C$35:$C$1191,$A16)</f>
        <v>0</v>
      </c>
      <c r="S16" s="73">
        <f t="array" ref="S16">SUMIFS(Конструкторы!J$35:J$1191,Конструкторы!$C$35:$C$1191,$A16)</f>
        <v>0</v>
      </c>
      <c r="T16" s="73">
        <f t="array" ref="T16">SUMIFS(Конструкторы!K$35:K$1191,Конструкторы!$C$35:$C$1191,$A16)</f>
        <v>0</v>
      </c>
      <c r="U16" s="73">
        <f t="array" ref="U16">SUMIFS(Конструкторы!L$35:L$1191,Конструкторы!$C$35:$C$1191,$A16)</f>
        <v>0</v>
      </c>
      <c r="V16" s="73">
        <f t="array" ref="V16">SUMIFS(Конструкторы!M$35:M$1191,Конструкторы!$C$35:$C$1191,$A16)</f>
        <v>0</v>
      </c>
      <c r="W16" s="73">
        <f t="array" ref="W16">SUMIFS(Конструкторы!N$35:N$1191,Конструкторы!$C$35:$C$1191,$A16)</f>
        <v>0</v>
      </c>
      <c r="X16" s="73">
        <f t="array" ref="X16">SUMIFS(Конструкторы!O$35:O$1191,Конструкторы!$C$35:$C$1191,$A16)</f>
        <v>0</v>
      </c>
      <c r="Y16" s="73">
        <f t="array" ref="Y16">SUMIFS(Конструкторы!P$35:P$1191,Конструкторы!$C$35:$C$1191,$A16)</f>
        <v>0</v>
      </c>
      <c r="Z16" s="73">
        <f t="array" ref="Z16">SUMIFS(Конструкторы!Q$35:Q$1191,Конструкторы!$C$35:$C$1191,$A16)</f>
        <v>0</v>
      </c>
      <c r="AA16" s="73">
        <f t="array" ref="AA16">SUMIFS(Конструкторы!R$35:R$1191,Конструкторы!$C$35:$C$1191,$A16)</f>
        <v>0</v>
      </c>
      <c r="AB16" s="73">
        <f t="array" ref="AB16">SUMIFS(Конструкторы!S$35:S$1191,Конструкторы!$C$35:$C$1191,$A16)</f>
        <v>0</v>
      </c>
      <c r="AC16" s="73">
        <f t="array" ref="AC16">SUMIFS(Конструкторы!T$35:T$1191,Конструкторы!$C$35:$C$1191,$A16)</f>
        <v>0</v>
      </c>
      <c r="AD16" s="76">
        <f t="array" ref="AD16">SUMIFS(Конструкторы!I$6:I$33,Конструкторы!$C$6:$C$33,$A16)</f>
        <v>0</v>
      </c>
      <c r="AE16" s="76">
        <f t="array" ref="AE16">SUMIFS(Конструкторы!J$6:J$33,Конструкторы!$C$6:$C$33,$A16)</f>
        <v>0</v>
      </c>
      <c r="AF16" s="76">
        <f t="array" ref="AF16">SUMIFS(Конструкторы!K$6:K$33,Конструкторы!$C$6:$C$33,$A16)</f>
        <v>0</v>
      </c>
      <c r="AG16" s="76">
        <f t="array" ref="AG16">SUMIFS(Конструкторы!L$6:L$33,Конструкторы!$C$6:$C$33,$A16)</f>
        <v>0</v>
      </c>
      <c r="AH16" s="76">
        <f t="array" ref="AH16">SUMIFS(Конструкторы!M$6:M$33,Конструкторы!$C$6:$C$33,$A16)</f>
        <v>0</v>
      </c>
      <c r="AI16" s="76">
        <f t="array" ref="AI16">SUMIFS(Конструкторы!N$6:N$33,Конструкторы!$C$6:$C$33,$A16)</f>
        <v>0</v>
      </c>
      <c r="AJ16" s="76">
        <f t="array" ref="AJ16">SUMIFS(Конструкторы!O$6:O$33,Конструкторы!$C$6:$C$33,$A16)</f>
        <v>0</v>
      </c>
      <c r="AK16" s="76">
        <f t="array" ref="AK16">SUMIFS(Конструкторы!P$6:P$33,Конструкторы!$C$6:$C$33,$A16)</f>
        <v>0</v>
      </c>
      <c r="AL16" s="76">
        <f t="array" ref="AL16">SUMIFS(Конструкторы!Q$6:Q$33,Конструкторы!$C$6:$C$33,$A16)</f>
        <v>0</v>
      </c>
      <c r="AM16" s="76">
        <f t="array" ref="AM16">SUMIFS(Конструкторы!R$6:R$33,Конструкторы!$C$6:$C$33,$A16)</f>
        <v>0</v>
      </c>
      <c r="AN16" s="76">
        <f t="array" ref="AN16">SUMIFS(Конструкторы!S$6:S$33,Конструкторы!$C$6:$C$33,$A16)</f>
        <v>0</v>
      </c>
      <c r="AO16" s="76">
        <f t="array" ref="AO16">SUMIFS(Конструкторы!T$6:T$33,Конструкторы!$C$6:$C$33,$A16)</f>
        <v>0</v>
      </c>
      <c r="AP16" s="75">
        <f t="array" ref="AP16">SUMIFS(Конструкторы!I$1192:I$1277,Конструкторы!$C$1192:$C$1277,$A16)</f>
        <v>0</v>
      </c>
      <c r="AQ16" s="75">
        <f t="array" ref="AQ16">SUMIFS(Конструкторы!J$1192:J$1277,Конструкторы!$C$1192:$C$1277,$A16)</f>
        <v>0</v>
      </c>
      <c r="AR16" s="75">
        <f t="array" ref="AR16">SUMIFS(Конструкторы!K$1192:K$1277,Конструкторы!$C$1192:$C$1277,$A16)</f>
        <v>0</v>
      </c>
      <c r="AS16" s="75">
        <f t="array" ref="AS16">SUMIFS(Конструкторы!L$1192:L$1277,Конструкторы!$C$1192:$C$1277,$A16)</f>
        <v>0</v>
      </c>
      <c r="AT16" s="75">
        <f t="array" ref="AT16">SUMIFS(Конструкторы!M$1192:M$1277,Конструкторы!$C$1192:$C$1277,$A16)</f>
        <v>0</v>
      </c>
      <c r="AU16" s="75">
        <f t="array" ref="AU16">SUMIFS(Конструкторы!N$1192:N$1277,Конструкторы!$C$1192:$C$1277,$A16)</f>
        <v>0</v>
      </c>
      <c r="AV16" s="75">
        <f t="array" ref="AV16">SUMIFS(Конструкторы!O$1192:O$1277,Конструкторы!$C$1192:$C$1277,$A16)</f>
        <v>0</v>
      </c>
      <c r="AW16" s="75">
        <f t="array" ref="AW16">SUMIFS(Конструкторы!P$1192:P$1277,Конструкторы!$C$1192:$C$1277,$A16)</f>
        <v>0</v>
      </c>
      <c r="AX16" s="75">
        <f t="array" ref="AX16">SUMIFS(Конструкторы!Q$1192:Q$1277,Конструкторы!$C$1192:$C$1277,$A16)</f>
        <v>0</v>
      </c>
      <c r="AY16" s="75">
        <f t="array" ref="AY16">SUMIFS(Конструкторы!R$1192:R$1277,Конструкторы!$C$1192:$C$1277,$A16)</f>
        <v>0</v>
      </c>
      <c r="AZ16" s="75">
        <f t="array" ref="AZ16">SUMIFS(Конструкторы!S$1192:S$1277,Конструкторы!$C$1192:$C$1277,$A16)</f>
        <v>0</v>
      </c>
      <c r="BA16" s="75">
        <f t="array" ref="BA16">SUMIFS(Конструкторы!T$1192:T$1277,Конструкторы!$C$1192:$C$1277,$A16)</f>
        <v>0</v>
      </c>
      <c r="BB16" s="80">
        <f t="shared" si="12"/>
        <v>6492.3</v>
      </c>
      <c r="BC16" s="80">
        <f t="shared" si="3"/>
        <v>0</v>
      </c>
      <c r="BD16" s="80">
        <f t="shared" si="3"/>
        <v>0</v>
      </c>
      <c r="BE16" s="80">
        <f t="shared" si="3"/>
        <v>0</v>
      </c>
      <c r="BF16" s="80">
        <f t="shared" si="3"/>
        <v>0</v>
      </c>
      <c r="BG16" s="80">
        <f t="shared" si="3"/>
        <v>0</v>
      </c>
      <c r="BH16" s="80">
        <f t="shared" si="3"/>
        <v>0</v>
      </c>
      <c r="BI16" s="80">
        <f t="shared" si="3"/>
        <v>0</v>
      </c>
      <c r="BJ16" s="80">
        <f t="shared" si="3"/>
        <v>0</v>
      </c>
      <c r="BK16" s="80">
        <f t="shared" si="3"/>
        <v>0</v>
      </c>
      <c r="BL16" s="80">
        <f t="shared" si="3"/>
        <v>0</v>
      </c>
      <c r="BM16" s="80">
        <f t="shared" si="4"/>
        <v>0</v>
      </c>
      <c r="BN16" s="84">
        <f t="shared" si="13"/>
        <v>1140</v>
      </c>
      <c r="BO16" s="84">
        <f t="shared" si="5"/>
        <v>0</v>
      </c>
      <c r="BP16" s="84">
        <f t="shared" si="5"/>
        <v>0</v>
      </c>
      <c r="BQ16" s="84">
        <f t="shared" si="5"/>
        <v>0</v>
      </c>
      <c r="BR16" s="84">
        <f t="shared" si="5"/>
        <v>0</v>
      </c>
      <c r="BS16" s="84">
        <f t="shared" si="5"/>
        <v>0</v>
      </c>
      <c r="BT16" s="84">
        <f t="shared" si="14"/>
        <v>0</v>
      </c>
      <c r="BU16" s="84">
        <f t="shared" si="6"/>
        <v>0</v>
      </c>
      <c r="BV16" s="84">
        <f t="shared" si="7"/>
        <v>0</v>
      </c>
      <c r="BW16" s="84">
        <f t="shared" si="8"/>
        <v>0</v>
      </c>
      <c r="BX16" s="84">
        <f t="shared" si="9"/>
        <v>0</v>
      </c>
      <c r="BY16" s="83">
        <f t="shared" si="15"/>
        <v>0</v>
      </c>
      <c r="BZ16" s="79">
        <f>BN16/$E16</f>
        <v>76</v>
      </c>
      <c r="CA16" s="79">
        <f t="shared" si="16"/>
        <v>0</v>
      </c>
      <c r="CB16" s="79">
        <f t="shared" si="16"/>
        <v>0</v>
      </c>
      <c r="CC16" s="79">
        <f t="shared" si="16"/>
        <v>0</v>
      </c>
      <c r="CD16" s="79">
        <f t="shared" si="16"/>
        <v>0</v>
      </c>
      <c r="CE16" s="79">
        <f t="shared" si="16"/>
        <v>0</v>
      </c>
      <c r="CF16" s="79">
        <f t="shared" si="16"/>
        <v>0</v>
      </c>
      <c r="CG16" s="79">
        <f t="shared" si="16"/>
        <v>0</v>
      </c>
      <c r="CH16" s="79">
        <f t="shared" si="16"/>
        <v>0</v>
      </c>
      <c r="CI16" s="79">
        <f t="shared" si="16"/>
        <v>0</v>
      </c>
      <c r="CJ16" s="79">
        <f t="shared" si="16"/>
        <v>0</v>
      </c>
      <c r="CK16" s="79">
        <f t="shared" si="17"/>
        <v>0</v>
      </c>
    </row>
    <row r="17" spans="1:89" x14ac:dyDescent="0.25">
      <c r="A17" s="42" t="s">
        <v>35</v>
      </c>
      <c r="B17" s="70">
        <f t="array" ref="B17">INDEX(Технологи!$E$5:$E$552,MATCH(A17&amp;$A$1,Технологи!$B$5:$B$552&amp;Технологи!$C$5:$C$552,0))</f>
        <v>7.399</v>
      </c>
      <c r="C17" s="14">
        <v>1018</v>
      </c>
      <c r="D17" s="71">
        <v>19</v>
      </c>
      <c r="E17" s="71">
        <v>12</v>
      </c>
      <c r="F17" s="72">
        <f>SUMIFS(Продажи!F$5:F$360,Продажи!$D$5:$D$360,'Потребность профиль'!$A17,Продажи!$C$5:$C$360,"Профиль")</f>
        <v>0</v>
      </c>
      <c r="G17" s="72">
        <f>SUMIFS(Продажи!G$5:G$360,Продажи!$D$5:$D$360,'Потребность профиль'!$A17,Продажи!$C$5:$C$360,"Профиль")</f>
        <v>0</v>
      </c>
      <c r="H17" s="72">
        <f>SUMIFS(Продажи!H$5:H$360,Продажи!$D$5:$D$360,'Потребность профиль'!$A17,Продажи!$C$5:$C$360,"Профиль")</f>
        <v>0</v>
      </c>
      <c r="I17" s="72">
        <f>SUMIFS(Продажи!I$5:I$360,Продажи!$D$5:$D$360,'Потребность профиль'!$A17,Продажи!$C$5:$C$360,"Профиль")</f>
        <v>0</v>
      </c>
      <c r="J17" s="72">
        <f>SUMIFS(Продажи!J$5:J$360,Продажи!$D$5:$D$360,'Потребность профиль'!$A17,Продажи!$C$5:$C$360,"Профиль")</f>
        <v>0</v>
      </c>
      <c r="K17" s="72">
        <f>SUMIFS(Продажи!K$5:K$360,Продажи!$D$5:$D$360,'Потребность профиль'!$A17,Продажи!$C$5:$C$360,"Профиль")</f>
        <v>0</v>
      </c>
      <c r="L17" s="72">
        <f>SUMIFS(Продажи!L$5:L$360,Продажи!$D$5:$D$360,'Потребность профиль'!$A17,Продажи!$C$5:$C$360,"Профиль")</f>
        <v>0</v>
      </c>
      <c r="M17" s="72">
        <f>SUMIFS(Продажи!M$5:M$360,Продажи!$D$5:$D$360,'Потребность профиль'!$A17,Продажи!$C$5:$C$360,"Профиль")</f>
        <v>0</v>
      </c>
      <c r="N17" s="72">
        <f>SUMIFS(Продажи!N$5:N$360,Продажи!$D$5:$D$360,'Потребность профиль'!$A17,Продажи!$C$5:$C$360,"Профиль")</f>
        <v>0</v>
      </c>
      <c r="O17" s="72">
        <f>SUMIFS(Продажи!O$5:O$360,Продажи!$D$5:$D$360,'Потребность профиль'!$A17,Продажи!$C$5:$C$360,"Профиль")</f>
        <v>0</v>
      </c>
      <c r="P17" s="72">
        <f>SUMIFS(Продажи!P$5:P$360,Продажи!$D$5:$D$360,'Потребность профиль'!$A17,Продажи!$C$5:$C$360,"Профиль")</f>
        <v>0</v>
      </c>
      <c r="Q17" s="72">
        <f>SUMIFS(Продажи!Q$5:Q$360,Продажи!$D$5:$D$360,'Потребность профиль'!$A17,Продажи!$C$5:$C$360,"Профиль")</f>
        <v>0</v>
      </c>
      <c r="R17" s="73">
        <f t="array" ref="R17">SUMIFS(Конструкторы!I$35:I$1191,Конструкторы!$C$35:$C$1191,$A17)</f>
        <v>0</v>
      </c>
      <c r="S17" s="73">
        <f t="array" ref="S17">SUMIFS(Конструкторы!J$35:J$1191,Конструкторы!$C$35:$C$1191,$A17)</f>
        <v>0</v>
      </c>
      <c r="T17" s="73">
        <f t="array" ref="T17">SUMIFS(Конструкторы!K$35:K$1191,Конструкторы!$C$35:$C$1191,$A17)</f>
        <v>0</v>
      </c>
      <c r="U17" s="73">
        <f t="array" ref="U17">SUMIFS(Конструкторы!L$35:L$1191,Конструкторы!$C$35:$C$1191,$A17)</f>
        <v>0</v>
      </c>
      <c r="V17" s="73">
        <f t="array" ref="V17">SUMIFS(Конструкторы!M$35:M$1191,Конструкторы!$C$35:$C$1191,$A17)</f>
        <v>0</v>
      </c>
      <c r="W17" s="73">
        <f t="array" ref="W17">SUMIFS(Конструкторы!N$35:N$1191,Конструкторы!$C$35:$C$1191,$A17)</f>
        <v>0</v>
      </c>
      <c r="X17" s="73">
        <f t="array" ref="X17">SUMIFS(Конструкторы!O$35:O$1191,Конструкторы!$C$35:$C$1191,$A17)</f>
        <v>0</v>
      </c>
      <c r="Y17" s="73">
        <f t="array" ref="Y17">SUMIFS(Конструкторы!P$35:P$1191,Конструкторы!$C$35:$C$1191,$A17)</f>
        <v>0</v>
      </c>
      <c r="Z17" s="73">
        <f t="array" ref="Z17">SUMIFS(Конструкторы!Q$35:Q$1191,Конструкторы!$C$35:$C$1191,$A17)</f>
        <v>0</v>
      </c>
      <c r="AA17" s="73">
        <f t="array" ref="AA17">SUMIFS(Конструкторы!R$35:R$1191,Конструкторы!$C$35:$C$1191,$A17)</f>
        <v>0</v>
      </c>
      <c r="AB17" s="73">
        <f t="array" ref="AB17">SUMIFS(Конструкторы!S$35:S$1191,Конструкторы!$C$35:$C$1191,$A17)</f>
        <v>0</v>
      </c>
      <c r="AC17" s="73">
        <f t="array" ref="AC17">SUMIFS(Конструкторы!T$35:T$1191,Конструкторы!$C$35:$C$1191,$A17)</f>
        <v>0</v>
      </c>
      <c r="AD17" s="76">
        <f t="array" ref="AD17">SUMIFS(Конструкторы!I$6:I$33,Конструкторы!$C$6:$C$33,$A17)</f>
        <v>0</v>
      </c>
      <c r="AE17" s="76">
        <f t="array" ref="AE17">SUMIFS(Конструкторы!J$6:J$33,Конструкторы!$C$6:$C$33,$A17)</f>
        <v>0</v>
      </c>
      <c r="AF17" s="76">
        <f t="array" ref="AF17">SUMIFS(Конструкторы!K$6:K$33,Конструкторы!$C$6:$C$33,$A17)</f>
        <v>0</v>
      </c>
      <c r="AG17" s="76">
        <f t="array" ref="AG17">SUMIFS(Конструкторы!L$6:L$33,Конструкторы!$C$6:$C$33,$A17)</f>
        <v>0</v>
      </c>
      <c r="AH17" s="76">
        <f t="array" ref="AH17">SUMIFS(Конструкторы!M$6:M$33,Конструкторы!$C$6:$C$33,$A17)</f>
        <v>0</v>
      </c>
      <c r="AI17" s="76">
        <f t="array" ref="AI17">SUMIFS(Конструкторы!N$6:N$33,Конструкторы!$C$6:$C$33,$A17)</f>
        <v>0</v>
      </c>
      <c r="AJ17" s="76">
        <f t="array" ref="AJ17">SUMIFS(Конструкторы!O$6:O$33,Конструкторы!$C$6:$C$33,$A17)</f>
        <v>0</v>
      </c>
      <c r="AK17" s="76">
        <f t="array" ref="AK17">SUMIFS(Конструкторы!P$6:P$33,Конструкторы!$C$6:$C$33,$A17)</f>
        <v>0</v>
      </c>
      <c r="AL17" s="76">
        <f t="array" ref="AL17">SUMIFS(Конструкторы!Q$6:Q$33,Конструкторы!$C$6:$C$33,$A17)</f>
        <v>0</v>
      </c>
      <c r="AM17" s="76">
        <f t="array" ref="AM17">SUMIFS(Конструкторы!R$6:R$33,Конструкторы!$C$6:$C$33,$A17)</f>
        <v>0</v>
      </c>
      <c r="AN17" s="76">
        <f t="array" ref="AN17">SUMIFS(Конструкторы!S$6:S$33,Конструкторы!$C$6:$C$33,$A17)</f>
        <v>0</v>
      </c>
      <c r="AO17" s="76">
        <f t="array" ref="AO17">SUMIFS(Конструкторы!T$6:T$33,Конструкторы!$C$6:$C$33,$A17)</f>
        <v>0</v>
      </c>
      <c r="AP17" s="75">
        <f t="array" ref="AP17">SUMIFS(Конструкторы!I$1192:I$1277,Конструкторы!$C$1192:$C$1277,$A17)</f>
        <v>0</v>
      </c>
      <c r="AQ17" s="75">
        <f t="array" ref="AQ17">SUMIFS(Конструкторы!J$1192:J$1277,Конструкторы!$C$1192:$C$1277,$A17)</f>
        <v>1620</v>
      </c>
      <c r="AR17" s="75">
        <f t="array" ref="AR17">SUMIFS(Конструкторы!K$1192:K$1277,Конструкторы!$C$1192:$C$1277,$A17)</f>
        <v>350</v>
      </c>
      <c r="AS17" s="75">
        <f t="array" ref="AS17">SUMIFS(Конструкторы!L$1192:L$1277,Конструкторы!$C$1192:$C$1277,$A17)</f>
        <v>1427.3127753303963</v>
      </c>
      <c r="AT17" s="75">
        <f t="array" ref="AT17">SUMIFS(Конструкторы!M$1192:M$1277,Конструкторы!$C$1192:$C$1277,$A17)</f>
        <v>1692.8593381825631</v>
      </c>
      <c r="AU17" s="75">
        <f t="array" ref="AU17">SUMIFS(Конструкторы!N$1192:N$1277,Конструкторы!$C$1192:$C$1277,$A17)</f>
        <v>1526.8927363999589</v>
      </c>
      <c r="AV17" s="75">
        <f t="array" ref="AV17">SUMIFS(Конструкторы!O$1192:O$1277,Конструкторы!$C$1192:$C$1277,$A17)</f>
        <v>1526.8927363999589</v>
      </c>
      <c r="AW17" s="75">
        <f t="array" ref="AW17">SUMIFS(Конструкторы!P$1192:P$1277,Конструкторы!$C$1192:$C$1277,$A17)</f>
        <v>1526.8927363999589</v>
      </c>
      <c r="AX17" s="75">
        <f t="array" ref="AX17">SUMIFS(Конструкторы!Q$1192:Q$1277,Конструкторы!$C$1192:$C$1277,$A17)</f>
        <v>1526.8927363999589</v>
      </c>
      <c r="AY17" s="75">
        <f t="array" ref="AY17">SUMIFS(Конструкторы!R$1192:R$1277,Конструкторы!$C$1192:$C$1277,$A17)</f>
        <v>1526.8927363999589</v>
      </c>
      <c r="AZ17" s="75">
        <f t="array" ref="AZ17">SUMIFS(Конструкторы!S$1192:S$1277,Конструкторы!$C$1192:$C$1277,$A17)</f>
        <v>1526.8927363999589</v>
      </c>
      <c r="BA17" s="75">
        <f t="array" ref="BA17">SUMIFS(Конструкторы!T$1192:T$1277,Конструкторы!$C$1192:$C$1277,$A17)</f>
        <v>1526.8927363999589</v>
      </c>
      <c r="BB17" s="80">
        <f t="shared" si="12"/>
        <v>1620</v>
      </c>
      <c r="BC17" s="80">
        <f t="shared" si="3"/>
        <v>350</v>
      </c>
      <c r="BD17" s="80">
        <f t="shared" si="3"/>
        <v>1427.3127753303963</v>
      </c>
      <c r="BE17" s="80">
        <f t="shared" si="3"/>
        <v>1692.8593381825631</v>
      </c>
      <c r="BF17" s="80">
        <f t="shared" si="3"/>
        <v>1526.8927363999589</v>
      </c>
      <c r="BG17" s="80">
        <f t="shared" si="3"/>
        <v>1526.8927363999589</v>
      </c>
      <c r="BH17" s="80">
        <f t="shared" si="3"/>
        <v>1526.8927363999589</v>
      </c>
      <c r="BI17" s="80">
        <f t="shared" si="3"/>
        <v>1526.8927363999589</v>
      </c>
      <c r="BJ17" s="80">
        <f t="shared" si="3"/>
        <v>1526.8927363999589</v>
      </c>
      <c r="BK17" s="80">
        <f t="shared" si="3"/>
        <v>1526.8927363999589</v>
      </c>
      <c r="BL17" s="80">
        <f t="shared" si="3"/>
        <v>1526.8927363999589</v>
      </c>
      <c r="BM17" s="80">
        <f t="shared" si="4"/>
        <v>1526.8927363999589</v>
      </c>
      <c r="BN17" s="84">
        <f t="shared" si="13"/>
        <v>218.94850655493985</v>
      </c>
      <c r="BO17" s="84">
        <f t="shared" si="5"/>
        <v>47.303689687795647</v>
      </c>
      <c r="BP17" s="84">
        <f t="shared" si="5"/>
        <v>192.90617317615843</v>
      </c>
      <c r="BQ17" s="84">
        <f t="shared" si="5"/>
        <v>228.79569376707164</v>
      </c>
      <c r="BR17" s="84">
        <f t="shared" si="5"/>
        <v>206.36474339775091</v>
      </c>
      <c r="BS17" s="84">
        <f t="shared" si="5"/>
        <v>206.36474339775091</v>
      </c>
      <c r="BT17" s="84">
        <f t="shared" si="14"/>
        <v>206.36474339775091</v>
      </c>
      <c r="BU17" s="84">
        <f t="shared" si="6"/>
        <v>206.36474339775091</v>
      </c>
      <c r="BV17" s="84">
        <f t="shared" si="7"/>
        <v>206.36474339775091</v>
      </c>
      <c r="BW17" s="84">
        <f t="shared" si="8"/>
        <v>206.36474339775091</v>
      </c>
      <c r="BX17" s="84">
        <f t="shared" si="9"/>
        <v>206.36474339775091</v>
      </c>
      <c r="BY17" s="83">
        <f t="shared" si="15"/>
        <v>206.36474339775091</v>
      </c>
      <c r="BZ17" s="79">
        <f t="shared" si="16"/>
        <v>18.24570887957832</v>
      </c>
      <c r="CA17" s="79">
        <f t="shared" si="16"/>
        <v>3.9419741406496374</v>
      </c>
      <c r="CB17" s="79">
        <f t="shared" si="16"/>
        <v>16.075514431346537</v>
      </c>
      <c r="CC17" s="79">
        <f t="shared" si="16"/>
        <v>19.066307813922638</v>
      </c>
      <c r="CD17" s="79">
        <f t="shared" si="16"/>
        <v>17.197061949812575</v>
      </c>
      <c r="CE17" s="79">
        <f t="shared" si="16"/>
        <v>17.197061949812575</v>
      </c>
      <c r="CF17" s="79">
        <f t="shared" si="16"/>
        <v>17.197061949812575</v>
      </c>
      <c r="CG17" s="79">
        <f t="shared" si="16"/>
        <v>17.197061949812575</v>
      </c>
      <c r="CH17" s="79">
        <f t="shared" si="16"/>
        <v>17.197061949812575</v>
      </c>
      <c r="CI17" s="79">
        <f t="shared" si="16"/>
        <v>17.197061949812575</v>
      </c>
      <c r="CJ17" s="79">
        <f t="shared" si="16"/>
        <v>17.197061949812575</v>
      </c>
      <c r="CK17" s="79">
        <f t="shared" si="17"/>
        <v>17.197061949812575</v>
      </c>
    </row>
    <row r="18" spans="1:89" x14ac:dyDescent="0.25">
      <c r="A18" s="42" t="s">
        <v>55</v>
      </c>
      <c r="B18" s="70">
        <f t="array" ref="B18">INDEX(Технологи!$E$5:$E$552,MATCH(A18&amp;$A$1,Технологи!$B$5:$B$552&amp;Технологи!$C$5:$C$552,0))</f>
        <v>0.73</v>
      </c>
      <c r="C18" s="14">
        <v>1018</v>
      </c>
      <c r="D18" s="71">
        <v>5.5</v>
      </c>
      <c r="E18" s="71">
        <v>21</v>
      </c>
      <c r="F18" s="72">
        <f>SUMIFS(Продажи!F$5:F$360,Продажи!$D$5:$D$360,'Потребность профиль'!$A18,Продажи!$C$5:$C$360,"Профиль")</f>
        <v>0</v>
      </c>
      <c r="G18" s="72">
        <f>SUMIFS(Продажи!G$5:G$360,Продажи!$D$5:$D$360,'Потребность профиль'!$A18,Продажи!$C$5:$C$360,"Профиль")</f>
        <v>0</v>
      </c>
      <c r="H18" s="72">
        <f>SUMIFS(Продажи!H$5:H$360,Продажи!$D$5:$D$360,'Потребность профиль'!$A18,Продажи!$C$5:$C$360,"Профиль")</f>
        <v>0</v>
      </c>
      <c r="I18" s="72">
        <f>SUMIFS(Продажи!I$5:I$360,Продажи!$D$5:$D$360,'Потребность профиль'!$A18,Продажи!$C$5:$C$360,"Профиль")</f>
        <v>0</v>
      </c>
      <c r="J18" s="72">
        <f>SUMIFS(Продажи!J$5:J$360,Продажи!$D$5:$D$360,'Потребность профиль'!$A18,Продажи!$C$5:$C$360,"Профиль")</f>
        <v>0</v>
      </c>
      <c r="K18" s="72">
        <f>SUMIFS(Продажи!K$5:K$360,Продажи!$D$5:$D$360,'Потребность профиль'!$A18,Продажи!$C$5:$C$360,"Профиль")</f>
        <v>0</v>
      </c>
      <c r="L18" s="72">
        <f>SUMIFS(Продажи!L$5:L$360,Продажи!$D$5:$D$360,'Потребность профиль'!$A18,Продажи!$C$5:$C$360,"Профиль")</f>
        <v>0</v>
      </c>
      <c r="M18" s="72">
        <f>SUMIFS(Продажи!M$5:M$360,Продажи!$D$5:$D$360,'Потребность профиль'!$A18,Продажи!$C$5:$C$360,"Профиль")</f>
        <v>0</v>
      </c>
      <c r="N18" s="72">
        <f>SUMIFS(Продажи!N$5:N$360,Продажи!$D$5:$D$360,'Потребность профиль'!$A18,Продажи!$C$5:$C$360,"Профиль")</f>
        <v>0</v>
      </c>
      <c r="O18" s="72">
        <f>SUMIFS(Продажи!O$5:O$360,Продажи!$D$5:$D$360,'Потребность профиль'!$A18,Продажи!$C$5:$C$360,"Профиль")</f>
        <v>0</v>
      </c>
      <c r="P18" s="72">
        <f>SUMIFS(Продажи!P$5:P$360,Продажи!$D$5:$D$360,'Потребность профиль'!$A18,Продажи!$C$5:$C$360,"Профиль")</f>
        <v>0</v>
      </c>
      <c r="Q18" s="72">
        <f>SUMIFS(Продажи!Q$5:Q$360,Продажи!$D$5:$D$360,'Потребность профиль'!$A18,Продажи!$C$5:$C$360,"Профиль")</f>
        <v>0</v>
      </c>
      <c r="R18" s="73">
        <f t="array" ref="R18">SUMIFS(Конструкторы!I$35:I$1191,Конструкторы!$C$35:$C$1191,$A18)</f>
        <v>0</v>
      </c>
      <c r="S18" s="73">
        <f t="array" ref="S18">SUMIFS(Конструкторы!J$35:J$1191,Конструкторы!$C$35:$C$1191,$A18)</f>
        <v>0</v>
      </c>
      <c r="T18" s="73">
        <f t="array" ref="T18">SUMIFS(Конструкторы!K$35:K$1191,Конструкторы!$C$35:$C$1191,$A18)</f>
        <v>0</v>
      </c>
      <c r="U18" s="73">
        <f t="array" ref="U18">SUMIFS(Конструкторы!L$35:L$1191,Конструкторы!$C$35:$C$1191,$A18)</f>
        <v>0</v>
      </c>
      <c r="V18" s="73">
        <f t="array" ref="V18">SUMIFS(Конструкторы!M$35:M$1191,Конструкторы!$C$35:$C$1191,$A18)</f>
        <v>0</v>
      </c>
      <c r="W18" s="73">
        <f t="array" ref="W18">SUMIFS(Конструкторы!N$35:N$1191,Конструкторы!$C$35:$C$1191,$A18)</f>
        <v>0</v>
      </c>
      <c r="X18" s="73">
        <f t="array" ref="X18">SUMIFS(Конструкторы!O$35:O$1191,Конструкторы!$C$35:$C$1191,$A18)</f>
        <v>0</v>
      </c>
      <c r="Y18" s="73">
        <f t="array" ref="Y18">SUMIFS(Конструкторы!P$35:P$1191,Конструкторы!$C$35:$C$1191,$A18)</f>
        <v>0</v>
      </c>
      <c r="Z18" s="73">
        <f t="array" ref="Z18">SUMIFS(Конструкторы!Q$35:Q$1191,Конструкторы!$C$35:$C$1191,$A18)</f>
        <v>0</v>
      </c>
      <c r="AA18" s="73">
        <f t="array" ref="AA18">SUMIFS(Конструкторы!R$35:R$1191,Конструкторы!$C$35:$C$1191,$A18)</f>
        <v>0</v>
      </c>
      <c r="AB18" s="73">
        <f t="array" ref="AB18">SUMIFS(Конструкторы!S$35:S$1191,Конструкторы!$C$35:$C$1191,$A18)</f>
        <v>0</v>
      </c>
      <c r="AC18" s="73">
        <f t="array" ref="AC18">SUMIFS(Конструкторы!T$35:T$1191,Конструкторы!$C$35:$C$1191,$A18)</f>
        <v>0</v>
      </c>
      <c r="AD18" s="76">
        <f t="array" ref="AD18">SUMIFS(Конструкторы!I$6:I$33,Конструкторы!$C$6:$C$33,$A18)</f>
        <v>0</v>
      </c>
      <c r="AE18" s="76">
        <f t="array" ref="AE18">SUMIFS(Конструкторы!J$6:J$33,Конструкторы!$C$6:$C$33,$A18)</f>
        <v>0</v>
      </c>
      <c r="AF18" s="76">
        <f t="array" ref="AF18">SUMIFS(Конструкторы!K$6:K$33,Конструкторы!$C$6:$C$33,$A18)</f>
        <v>0</v>
      </c>
      <c r="AG18" s="76">
        <f t="array" ref="AG18">SUMIFS(Конструкторы!L$6:L$33,Конструкторы!$C$6:$C$33,$A18)</f>
        <v>0</v>
      </c>
      <c r="AH18" s="76">
        <f t="array" ref="AH18">SUMIFS(Конструкторы!M$6:M$33,Конструкторы!$C$6:$C$33,$A18)</f>
        <v>0</v>
      </c>
      <c r="AI18" s="76">
        <f t="array" ref="AI18">SUMIFS(Конструкторы!N$6:N$33,Конструкторы!$C$6:$C$33,$A18)</f>
        <v>0</v>
      </c>
      <c r="AJ18" s="76">
        <f t="array" ref="AJ18">SUMIFS(Конструкторы!O$6:O$33,Конструкторы!$C$6:$C$33,$A18)</f>
        <v>0</v>
      </c>
      <c r="AK18" s="76">
        <f t="array" ref="AK18">SUMIFS(Конструкторы!P$6:P$33,Конструкторы!$C$6:$C$33,$A18)</f>
        <v>0</v>
      </c>
      <c r="AL18" s="76">
        <f t="array" ref="AL18">SUMIFS(Конструкторы!Q$6:Q$33,Конструкторы!$C$6:$C$33,$A18)</f>
        <v>0</v>
      </c>
      <c r="AM18" s="76">
        <f t="array" ref="AM18">SUMIFS(Конструкторы!R$6:R$33,Конструкторы!$C$6:$C$33,$A18)</f>
        <v>0</v>
      </c>
      <c r="AN18" s="76">
        <f t="array" ref="AN18">SUMIFS(Конструкторы!S$6:S$33,Конструкторы!$C$6:$C$33,$A18)</f>
        <v>0</v>
      </c>
      <c r="AO18" s="76">
        <f t="array" ref="AO18">SUMIFS(Конструкторы!T$6:T$33,Конструкторы!$C$6:$C$33,$A18)</f>
        <v>0</v>
      </c>
      <c r="AP18" s="75">
        <f t="array" ref="AP18">SUMIFS(Конструкторы!I$1192:I$1277,Конструкторы!$C$1192:$C$1277,$A18)</f>
        <v>0</v>
      </c>
      <c r="AQ18" s="75">
        <f t="array" ref="AQ18">SUMIFS(Конструкторы!J$1192:J$1277,Конструкторы!$C$1192:$C$1277,$A18)</f>
        <v>300</v>
      </c>
      <c r="AR18" s="75">
        <f t="array" ref="AR18">SUMIFS(Конструкторы!K$1192:K$1277,Конструкторы!$C$1192:$C$1277,$A18)</f>
        <v>270</v>
      </c>
      <c r="AS18" s="75">
        <f t="array" ref="AS18">SUMIFS(Конструкторы!L$1192:L$1277,Конструкторы!$C$1192:$C$1277,$A18)</f>
        <v>264.31718061674007</v>
      </c>
      <c r="AT18" s="75">
        <f t="array" ref="AT18">SUMIFS(Конструкторы!M$1192:M$1277,Конструкторы!$C$1192:$C$1277,$A18)</f>
        <v>313.49247003380805</v>
      </c>
      <c r="AU18" s="75">
        <f t="array" ref="AU18">SUMIFS(Конструкторы!N$1192:N$1277,Конструкторы!$C$1192:$C$1277,$A18)</f>
        <v>282.75791414814057</v>
      </c>
      <c r="AV18" s="75">
        <f t="array" ref="AV18">SUMIFS(Конструкторы!O$1192:O$1277,Конструкторы!$C$1192:$C$1277,$A18)</f>
        <v>282.75791414814057</v>
      </c>
      <c r="AW18" s="75">
        <f t="array" ref="AW18">SUMIFS(Конструкторы!P$1192:P$1277,Конструкторы!$C$1192:$C$1277,$A18)</f>
        <v>282.75791414814057</v>
      </c>
      <c r="AX18" s="75">
        <f t="array" ref="AX18">SUMIFS(Конструкторы!Q$1192:Q$1277,Конструкторы!$C$1192:$C$1277,$A18)</f>
        <v>282.75791414814057</v>
      </c>
      <c r="AY18" s="75">
        <f t="array" ref="AY18">SUMIFS(Конструкторы!R$1192:R$1277,Конструкторы!$C$1192:$C$1277,$A18)</f>
        <v>282.75791414814057</v>
      </c>
      <c r="AZ18" s="75">
        <f t="array" ref="AZ18">SUMIFS(Конструкторы!S$1192:S$1277,Конструкторы!$C$1192:$C$1277,$A18)</f>
        <v>282.75791414814057</v>
      </c>
      <c r="BA18" s="75">
        <f t="array" ref="BA18">SUMIFS(Конструкторы!T$1192:T$1277,Конструкторы!$C$1192:$C$1277,$A18)</f>
        <v>282.75791414814057</v>
      </c>
      <c r="BB18" s="80">
        <f t="shared" si="12"/>
        <v>300</v>
      </c>
      <c r="BC18" s="80">
        <f t="shared" si="3"/>
        <v>270</v>
      </c>
      <c r="BD18" s="80">
        <f t="shared" si="3"/>
        <v>264.31718061674007</v>
      </c>
      <c r="BE18" s="80">
        <f t="shared" si="3"/>
        <v>313.49247003380805</v>
      </c>
      <c r="BF18" s="80">
        <f t="shared" si="3"/>
        <v>282.75791414814057</v>
      </c>
      <c r="BG18" s="80">
        <f t="shared" si="3"/>
        <v>282.75791414814057</v>
      </c>
      <c r="BH18" s="80">
        <f t="shared" si="3"/>
        <v>282.75791414814057</v>
      </c>
      <c r="BI18" s="80">
        <f t="shared" si="3"/>
        <v>282.75791414814057</v>
      </c>
      <c r="BJ18" s="80">
        <f t="shared" si="3"/>
        <v>282.75791414814057</v>
      </c>
      <c r="BK18" s="80">
        <f t="shared" si="3"/>
        <v>282.75791414814057</v>
      </c>
      <c r="BL18" s="80">
        <f t="shared" si="3"/>
        <v>282.75791414814057</v>
      </c>
      <c r="BM18" s="80">
        <f t="shared" si="4"/>
        <v>282.75791414814057</v>
      </c>
      <c r="BN18" s="84">
        <f t="shared" si="13"/>
        <v>410.95890410958907</v>
      </c>
      <c r="BO18" s="84">
        <f t="shared" si="5"/>
        <v>369.86301369863014</v>
      </c>
      <c r="BP18" s="84">
        <f t="shared" si="5"/>
        <v>362.07832961197272</v>
      </c>
      <c r="BQ18" s="84">
        <f t="shared" si="5"/>
        <v>429.44173977233982</v>
      </c>
      <c r="BR18" s="84">
        <f t="shared" si="5"/>
        <v>387.33960842211036</v>
      </c>
      <c r="BS18" s="84">
        <f t="shared" si="5"/>
        <v>387.33960842211036</v>
      </c>
      <c r="BT18" s="84">
        <f t="shared" si="14"/>
        <v>387.33960842211036</v>
      </c>
      <c r="BU18" s="84">
        <f t="shared" si="6"/>
        <v>387.33960842211036</v>
      </c>
      <c r="BV18" s="84">
        <f t="shared" si="7"/>
        <v>387.33960842211036</v>
      </c>
      <c r="BW18" s="84">
        <f t="shared" si="8"/>
        <v>387.33960842211036</v>
      </c>
      <c r="BX18" s="84">
        <f t="shared" si="9"/>
        <v>387.33960842211036</v>
      </c>
      <c r="BY18" s="83">
        <f t="shared" si="15"/>
        <v>387.33960842211036</v>
      </c>
      <c r="BZ18" s="79">
        <f t="shared" si="16"/>
        <v>19.569471624266146</v>
      </c>
      <c r="CA18" s="79">
        <f t="shared" si="16"/>
        <v>17.612524461839531</v>
      </c>
      <c r="CB18" s="79">
        <f t="shared" si="16"/>
        <v>17.241825219617748</v>
      </c>
      <c r="CC18" s="79">
        <f t="shared" si="16"/>
        <v>20.449606655825704</v>
      </c>
      <c r="CD18" s="79">
        <f t="shared" si="16"/>
        <v>18.444743258195732</v>
      </c>
      <c r="CE18" s="79">
        <f t="shared" si="16"/>
        <v>18.444743258195732</v>
      </c>
      <c r="CF18" s="79">
        <f t="shared" si="16"/>
        <v>18.444743258195732</v>
      </c>
      <c r="CG18" s="79">
        <f t="shared" si="16"/>
        <v>18.444743258195732</v>
      </c>
      <c r="CH18" s="79">
        <f t="shared" si="16"/>
        <v>18.444743258195732</v>
      </c>
      <c r="CI18" s="79">
        <f t="shared" si="16"/>
        <v>18.444743258195732</v>
      </c>
      <c r="CJ18" s="79">
        <f t="shared" si="16"/>
        <v>18.444743258195732</v>
      </c>
      <c r="CK18" s="79">
        <f t="shared" si="17"/>
        <v>18.444743258195732</v>
      </c>
    </row>
    <row r="19" spans="1:89" x14ac:dyDescent="0.25">
      <c r="A19" s="42" t="s">
        <v>54</v>
      </c>
      <c r="B19" s="70">
        <f t="array" ref="B19">INDEX(Технологи!$E$5:$E$552,MATCH(A19&amp;$A$1,Технологи!$B$5:$B$552&amp;Технологи!$C$5:$C$552,0))</f>
        <v>1.3419999999999999</v>
      </c>
      <c r="C19" s="14">
        <v>1018</v>
      </c>
      <c r="D19" s="71">
        <v>7</v>
      </c>
      <c r="E19" s="71">
        <v>21</v>
      </c>
      <c r="F19" s="72">
        <f>SUMIFS(Продажи!F$5:F$360,Продажи!$D$5:$D$360,'Потребность профиль'!$A19,Продажи!$C$5:$C$360,"Профиль")</f>
        <v>0</v>
      </c>
      <c r="G19" s="72">
        <f>SUMIFS(Продажи!G$5:G$360,Продажи!$D$5:$D$360,'Потребность профиль'!$A19,Продажи!$C$5:$C$360,"Профиль")</f>
        <v>0</v>
      </c>
      <c r="H19" s="72">
        <f>SUMIFS(Продажи!H$5:H$360,Продажи!$D$5:$D$360,'Потребность профиль'!$A19,Продажи!$C$5:$C$360,"Профиль")</f>
        <v>0</v>
      </c>
      <c r="I19" s="72">
        <f>SUMIFS(Продажи!I$5:I$360,Продажи!$D$5:$D$360,'Потребность профиль'!$A19,Продажи!$C$5:$C$360,"Профиль")</f>
        <v>0</v>
      </c>
      <c r="J19" s="72">
        <f>SUMIFS(Продажи!J$5:J$360,Продажи!$D$5:$D$360,'Потребность профиль'!$A19,Продажи!$C$5:$C$360,"Профиль")</f>
        <v>0</v>
      </c>
      <c r="K19" s="72">
        <f>SUMIFS(Продажи!K$5:K$360,Продажи!$D$5:$D$360,'Потребность профиль'!$A19,Продажи!$C$5:$C$360,"Профиль")</f>
        <v>0</v>
      </c>
      <c r="L19" s="72">
        <f>SUMIFS(Продажи!L$5:L$360,Продажи!$D$5:$D$360,'Потребность профиль'!$A19,Продажи!$C$5:$C$360,"Профиль")</f>
        <v>0</v>
      </c>
      <c r="M19" s="72">
        <f>SUMIFS(Продажи!M$5:M$360,Продажи!$D$5:$D$360,'Потребность профиль'!$A19,Продажи!$C$5:$C$360,"Профиль")</f>
        <v>0</v>
      </c>
      <c r="N19" s="72">
        <f>SUMIFS(Продажи!N$5:N$360,Продажи!$D$5:$D$360,'Потребность профиль'!$A19,Продажи!$C$5:$C$360,"Профиль")</f>
        <v>0</v>
      </c>
      <c r="O19" s="72">
        <f>SUMIFS(Продажи!O$5:O$360,Продажи!$D$5:$D$360,'Потребность профиль'!$A19,Продажи!$C$5:$C$360,"Профиль")</f>
        <v>0</v>
      </c>
      <c r="P19" s="72">
        <f>SUMIFS(Продажи!P$5:P$360,Продажи!$D$5:$D$360,'Потребность профиль'!$A19,Продажи!$C$5:$C$360,"Профиль")</f>
        <v>0</v>
      </c>
      <c r="Q19" s="72">
        <f>SUMIFS(Продажи!Q$5:Q$360,Продажи!$D$5:$D$360,'Потребность профиль'!$A19,Продажи!$C$5:$C$360,"Профиль")</f>
        <v>0</v>
      </c>
      <c r="R19" s="73">
        <f t="array" ref="R19">SUMIFS(Конструкторы!I$35:I$1191,Конструкторы!$C$35:$C$1191,$A19)</f>
        <v>0</v>
      </c>
      <c r="S19" s="73">
        <f t="array" ref="S19">SUMIFS(Конструкторы!J$35:J$1191,Конструкторы!$C$35:$C$1191,$A19)</f>
        <v>0</v>
      </c>
      <c r="T19" s="73">
        <f t="array" ref="T19">SUMIFS(Конструкторы!K$35:K$1191,Конструкторы!$C$35:$C$1191,$A19)</f>
        <v>0</v>
      </c>
      <c r="U19" s="73">
        <f t="array" ref="U19">SUMIFS(Конструкторы!L$35:L$1191,Конструкторы!$C$35:$C$1191,$A19)</f>
        <v>0</v>
      </c>
      <c r="V19" s="73">
        <f t="array" ref="V19">SUMIFS(Конструкторы!M$35:M$1191,Конструкторы!$C$35:$C$1191,$A19)</f>
        <v>0</v>
      </c>
      <c r="W19" s="73">
        <f t="array" ref="W19">SUMIFS(Конструкторы!N$35:N$1191,Конструкторы!$C$35:$C$1191,$A19)</f>
        <v>0</v>
      </c>
      <c r="X19" s="73">
        <f t="array" ref="X19">SUMIFS(Конструкторы!O$35:O$1191,Конструкторы!$C$35:$C$1191,$A19)</f>
        <v>0</v>
      </c>
      <c r="Y19" s="73">
        <f t="array" ref="Y19">SUMIFS(Конструкторы!P$35:P$1191,Конструкторы!$C$35:$C$1191,$A19)</f>
        <v>0</v>
      </c>
      <c r="Z19" s="73">
        <f t="array" ref="Z19">SUMIFS(Конструкторы!Q$35:Q$1191,Конструкторы!$C$35:$C$1191,$A19)</f>
        <v>0</v>
      </c>
      <c r="AA19" s="73">
        <f t="array" ref="AA19">SUMIFS(Конструкторы!R$35:R$1191,Конструкторы!$C$35:$C$1191,$A19)</f>
        <v>0</v>
      </c>
      <c r="AB19" s="73">
        <f t="array" ref="AB19">SUMIFS(Конструкторы!S$35:S$1191,Конструкторы!$C$35:$C$1191,$A19)</f>
        <v>0</v>
      </c>
      <c r="AC19" s="73">
        <f t="array" ref="AC19">SUMIFS(Конструкторы!T$35:T$1191,Конструкторы!$C$35:$C$1191,$A19)</f>
        <v>0</v>
      </c>
      <c r="AD19" s="76">
        <f t="array" ref="AD19">SUMIFS(Конструкторы!I$6:I$33,Конструкторы!$C$6:$C$33,$A19)</f>
        <v>0</v>
      </c>
      <c r="AE19" s="76">
        <f t="array" ref="AE19">SUMIFS(Конструкторы!J$6:J$33,Конструкторы!$C$6:$C$33,$A19)</f>
        <v>0</v>
      </c>
      <c r="AF19" s="76">
        <f t="array" ref="AF19">SUMIFS(Конструкторы!K$6:K$33,Конструкторы!$C$6:$C$33,$A19)</f>
        <v>0</v>
      </c>
      <c r="AG19" s="76">
        <f t="array" ref="AG19">SUMIFS(Конструкторы!L$6:L$33,Конструкторы!$C$6:$C$33,$A19)</f>
        <v>0</v>
      </c>
      <c r="AH19" s="76">
        <f t="array" ref="AH19">SUMIFS(Конструкторы!M$6:M$33,Конструкторы!$C$6:$C$33,$A19)</f>
        <v>0</v>
      </c>
      <c r="AI19" s="76">
        <f t="array" ref="AI19">SUMIFS(Конструкторы!N$6:N$33,Конструкторы!$C$6:$C$33,$A19)</f>
        <v>0</v>
      </c>
      <c r="AJ19" s="76">
        <f t="array" ref="AJ19">SUMIFS(Конструкторы!O$6:O$33,Конструкторы!$C$6:$C$33,$A19)</f>
        <v>0</v>
      </c>
      <c r="AK19" s="76">
        <f t="array" ref="AK19">SUMIFS(Конструкторы!P$6:P$33,Конструкторы!$C$6:$C$33,$A19)</f>
        <v>0</v>
      </c>
      <c r="AL19" s="76">
        <f t="array" ref="AL19">SUMIFS(Конструкторы!Q$6:Q$33,Конструкторы!$C$6:$C$33,$A19)</f>
        <v>0</v>
      </c>
      <c r="AM19" s="76">
        <f t="array" ref="AM19">SUMIFS(Конструкторы!R$6:R$33,Конструкторы!$C$6:$C$33,$A19)</f>
        <v>0</v>
      </c>
      <c r="AN19" s="76">
        <f t="array" ref="AN19">SUMIFS(Конструкторы!S$6:S$33,Конструкторы!$C$6:$C$33,$A19)</f>
        <v>0</v>
      </c>
      <c r="AO19" s="76">
        <f t="array" ref="AO19">SUMIFS(Конструкторы!T$6:T$33,Конструкторы!$C$6:$C$33,$A19)</f>
        <v>0</v>
      </c>
      <c r="AP19" s="75">
        <f t="array" ref="AP19">SUMIFS(Конструкторы!I$1192:I$1277,Конструкторы!$C$1192:$C$1277,$A19)</f>
        <v>0</v>
      </c>
      <c r="AQ19" s="75">
        <f t="array" ref="AQ19">SUMIFS(Конструкторы!J$1192:J$1277,Конструкторы!$C$1192:$C$1277,$A19)</f>
        <v>0</v>
      </c>
      <c r="AR19" s="75">
        <f t="array" ref="AR19">SUMIFS(Конструкторы!K$1192:K$1277,Конструкторы!$C$1192:$C$1277,$A19)</f>
        <v>0</v>
      </c>
      <c r="AS19" s="75">
        <f t="array" ref="AS19">SUMIFS(Конструкторы!L$1192:L$1277,Конструкторы!$C$1192:$C$1277,$A19)</f>
        <v>0</v>
      </c>
      <c r="AT19" s="75">
        <f t="array" ref="AT19">SUMIFS(Конструкторы!M$1192:M$1277,Конструкторы!$C$1192:$C$1277,$A19)</f>
        <v>0</v>
      </c>
      <c r="AU19" s="75">
        <f t="array" ref="AU19">SUMIFS(Конструкторы!N$1192:N$1277,Конструкторы!$C$1192:$C$1277,$A19)</f>
        <v>0</v>
      </c>
      <c r="AV19" s="75">
        <f t="array" ref="AV19">SUMIFS(Конструкторы!O$1192:O$1277,Конструкторы!$C$1192:$C$1277,$A19)</f>
        <v>0</v>
      </c>
      <c r="AW19" s="75">
        <f t="array" ref="AW19">SUMIFS(Конструкторы!P$1192:P$1277,Конструкторы!$C$1192:$C$1277,$A19)</f>
        <v>0</v>
      </c>
      <c r="AX19" s="75">
        <f t="array" ref="AX19">SUMIFS(Конструкторы!Q$1192:Q$1277,Конструкторы!$C$1192:$C$1277,$A19)</f>
        <v>0</v>
      </c>
      <c r="AY19" s="75">
        <f t="array" ref="AY19">SUMIFS(Конструкторы!R$1192:R$1277,Конструкторы!$C$1192:$C$1277,$A19)</f>
        <v>0</v>
      </c>
      <c r="AZ19" s="75">
        <f t="array" ref="AZ19">SUMIFS(Конструкторы!S$1192:S$1277,Конструкторы!$C$1192:$C$1277,$A19)</f>
        <v>0</v>
      </c>
      <c r="BA19" s="75">
        <f t="array" ref="BA19">SUMIFS(Конструкторы!T$1192:T$1277,Конструкторы!$C$1192:$C$1277,$A19)</f>
        <v>0</v>
      </c>
      <c r="BB19" s="80">
        <f t="shared" si="12"/>
        <v>0</v>
      </c>
      <c r="BC19" s="80">
        <f t="shared" si="3"/>
        <v>0</v>
      </c>
      <c r="BD19" s="80">
        <f t="shared" si="3"/>
        <v>0</v>
      </c>
      <c r="BE19" s="80">
        <f t="shared" si="3"/>
        <v>0</v>
      </c>
      <c r="BF19" s="80">
        <f t="shared" si="3"/>
        <v>0</v>
      </c>
      <c r="BG19" s="80">
        <f t="shared" si="3"/>
        <v>0</v>
      </c>
      <c r="BH19" s="80">
        <f t="shared" si="3"/>
        <v>0</v>
      </c>
      <c r="BI19" s="80">
        <f t="shared" si="3"/>
        <v>0</v>
      </c>
      <c r="BJ19" s="80">
        <f t="shared" si="3"/>
        <v>0</v>
      </c>
      <c r="BK19" s="80">
        <f t="shared" si="3"/>
        <v>0</v>
      </c>
      <c r="BL19" s="80">
        <f t="shared" si="3"/>
        <v>0</v>
      </c>
      <c r="BM19" s="80">
        <f t="shared" si="4"/>
        <v>0</v>
      </c>
      <c r="BN19" s="84">
        <f t="shared" si="13"/>
        <v>0</v>
      </c>
      <c r="BO19" s="84">
        <f t="shared" si="5"/>
        <v>0</v>
      </c>
      <c r="BP19" s="84">
        <f t="shared" si="5"/>
        <v>0</v>
      </c>
      <c r="BQ19" s="84">
        <f t="shared" si="5"/>
        <v>0</v>
      </c>
      <c r="BR19" s="84">
        <f t="shared" si="5"/>
        <v>0</v>
      </c>
      <c r="BS19" s="84">
        <f t="shared" si="5"/>
        <v>0</v>
      </c>
      <c r="BT19" s="84">
        <f t="shared" si="14"/>
        <v>0</v>
      </c>
      <c r="BU19" s="84">
        <f t="shared" si="6"/>
        <v>0</v>
      </c>
      <c r="BV19" s="84">
        <f t="shared" si="7"/>
        <v>0</v>
      </c>
      <c r="BW19" s="84">
        <f t="shared" si="8"/>
        <v>0</v>
      </c>
      <c r="BX19" s="84">
        <f t="shared" si="9"/>
        <v>0</v>
      </c>
      <c r="BY19" s="83">
        <f t="shared" si="15"/>
        <v>0</v>
      </c>
      <c r="BZ19" s="79">
        <f t="shared" si="16"/>
        <v>0</v>
      </c>
      <c r="CA19" s="79">
        <f t="shared" si="16"/>
        <v>0</v>
      </c>
      <c r="CB19" s="79">
        <f t="shared" si="16"/>
        <v>0</v>
      </c>
      <c r="CC19" s="79">
        <f t="shared" si="16"/>
        <v>0</v>
      </c>
      <c r="CD19" s="79">
        <f t="shared" si="16"/>
        <v>0</v>
      </c>
      <c r="CE19" s="79">
        <f t="shared" si="16"/>
        <v>0</v>
      </c>
      <c r="CF19" s="79">
        <f t="shared" si="16"/>
        <v>0</v>
      </c>
      <c r="CG19" s="79">
        <f t="shared" si="16"/>
        <v>0</v>
      </c>
      <c r="CH19" s="79">
        <f t="shared" si="16"/>
        <v>0</v>
      </c>
      <c r="CI19" s="79">
        <f t="shared" si="16"/>
        <v>0</v>
      </c>
      <c r="CJ19" s="79">
        <f t="shared" si="16"/>
        <v>0</v>
      </c>
      <c r="CK19" s="79">
        <f t="shared" si="17"/>
        <v>0</v>
      </c>
    </row>
    <row r="20" spans="1:89" x14ac:dyDescent="0.25">
      <c r="A20" s="42" t="s">
        <v>52</v>
      </c>
      <c r="B20" s="70">
        <f t="array" ref="B20">INDEX(Технологи!$E$5:$E$552,MATCH(A20&amp;$A$1,Технологи!$B$5:$B$552&amp;Технологи!$C$5:$C$552,0))</f>
        <v>0.82699999999999996</v>
      </c>
      <c r="C20" s="14">
        <v>1018</v>
      </c>
      <c r="D20" s="71">
        <v>9</v>
      </c>
      <c r="E20" s="71">
        <v>42</v>
      </c>
      <c r="F20" s="72">
        <f>SUMIFS(Продажи!F$5:F$360,Продажи!$D$5:$D$360,'Потребность профиль'!$A20,Продажи!$C$5:$C$360,"Профиль")</f>
        <v>0</v>
      </c>
      <c r="G20" s="72">
        <f>SUMIFS(Продажи!G$5:G$360,Продажи!$D$5:$D$360,'Потребность профиль'!$A20,Продажи!$C$5:$C$360,"Профиль")</f>
        <v>0</v>
      </c>
      <c r="H20" s="72">
        <f>SUMIFS(Продажи!H$5:H$360,Продажи!$D$5:$D$360,'Потребность профиль'!$A20,Продажи!$C$5:$C$360,"Профиль")</f>
        <v>0</v>
      </c>
      <c r="I20" s="72">
        <f>SUMIFS(Продажи!I$5:I$360,Продажи!$D$5:$D$360,'Потребность профиль'!$A20,Продажи!$C$5:$C$360,"Профиль")</f>
        <v>0</v>
      </c>
      <c r="J20" s="72">
        <f>SUMIFS(Продажи!J$5:J$360,Продажи!$D$5:$D$360,'Потребность профиль'!$A20,Продажи!$C$5:$C$360,"Профиль")</f>
        <v>0</v>
      </c>
      <c r="K20" s="72">
        <f>SUMIFS(Продажи!K$5:K$360,Продажи!$D$5:$D$360,'Потребность профиль'!$A20,Продажи!$C$5:$C$360,"Профиль")</f>
        <v>0</v>
      </c>
      <c r="L20" s="72">
        <f>SUMIFS(Продажи!L$5:L$360,Продажи!$D$5:$D$360,'Потребность профиль'!$A20,Продажи!$C$5:$C$360,"Профиль")</f>
        <v>0</v>
      </c>
      <c r="M20" s="72">
        <f>SUMIFS(Продажи!M$5:M$360,Продажи!$D$5:$D$360,'Потребность профиль'!$A20,Продажи!$C$5:$C$360,"Профиль")</f>
        <v>0</v>
      </c>
      <c r="N20" s="72">
        <f>SUMIFS(Продажи!N$5:N$360,Продажи!$D$5:$D$360,'Потребность профиль'!$A20,Продажи!$C$5:$C$360,"Профиль")</f>
        <v>0</v>
      </c>
      <c r="O20" s="72">
        <f>SUMIFS(Продажи!O$5:O$360,Продажи!$D$5:$D$360,'Потребность профиль'!$A20,Продажи!$C$5:$C$360,"Профиль")</f>
        <v>0</v>
      </c>
      <c r="P20" s="72">
        <f>SUMIFS(Продажи!P$5:P$360,Продажи!$D$5:$D$360,'Потребность профиль'!$A20,Продажи!$C$5:$C$360,"Профиль")</f>
        <v>0</v>
      </c>
      <c r="Q20" s="72">
        <f>SUMIFS(Продажи!Q$5:Q$360,Продажи!$D$5:$D$360,'Потребность профиль'!$A20,Продажи!$C$5:$C$360,"Профиль")</f>
        <v>0</v>
      </c>
      <c r="R20" s="73">
        <f t="array" ref="R20">SUMIFS(Конструкторы!I$35:I$1191,Конструкторы!$C$35:$C$1191,$A20)</f>
        <v>1945</v>
      </c>
      <c r="S20" s="73">
        <f t="array" ref="S20">SUMIFS(Конструкторы!J$35:J$1191,Конструкторы!$C$35:$C$1191,$A20)</f>
        <v>100</v>
      </c>
      <c r="T20" s="73">
        <f t="array" ref="T20">SUMIFS(Конструкторы!K$35:K$1191,Конструкторы!$C$35:$C$1191,$A20)</f>
        <v>195</v>
      </c>
      <c r="U20" s="73">
        <f t="array" ref="U20">SUMIFS(Конструкторы!L$35:L$1191,Конструкторы!$C$35:$C$1191,$A20)</f>
        <v>2000</v>
      </c>
      <c r="V20" s="73">
        <f t="array" ref="V20">SUMIFS(Конструкторы!M$35:M$1191,Конструкторы!$C$35:$C$1191,$A20)</f>
        <v>0</v>
      </c>
      <c r="W20" s="73">
        <f t="array" ref="W20">SUMIFS(Конструкторы!N$35:N$1191,Конструкторы!$C$35:$C$1191,$A20)</f>
        <v>0</v>
      </c>
      <c r="X20" s="73">
        <f t="array" ref="X20">SUMIFS(Конструкторы!O$35:O$1191,Конструкторы!$C$35:$C$1191,$A20)</f>
        <v>0</v>
      </c>
      <c r="Y20" s="73">
        <f t="array" ref="Y20">SUMIFS(Конструкторы!P$35:P$1191,Конструкторы!$C$35:$C$1191,$A20)</f>
        <v>0</v>
      </c>
      <c r="Z20" s="73">
        <f t="array" ref="Z20">SUMIFS(Конструкторы!Q$35:Q$1191,Конструкторы!$C$35:$C$1191,$A20)</f>
        <v>0</v>
      </c>
      <c r="AA20" s="73">
        <f t="array" ref="AA20">SUMIFS(Конструкторы!R$35:R$1191,Конструкторы!$C$35:$C$1191,$A20)</f>
        <v>0</v>
      </c>
      <c r="AB20" s="73">
        <f t="array" ref="AB20">SUMIFS(Конструкторы!S$35:S$1191,Конструкторы!$C$35:$C$1191,$A20)</f>
        <v>0</v>
      </c>
      <c r="AC20" s="73">
        <f t="array" ref="AC20">SUMIFS(Конструкторы!T$35:T$1191,Конструкторы!$C$35:$C$1191,$A20)</f>
        <v>0</v>
      </c>
      <c r="AD20" s="76">
        <f t="array" ref="AD20">SUMIFS(Конструкторы!I$6:I$33,Конструкторы!$C$6:$C$33,$A20)</f>
        <v>0</v>
      </c>
      <c r="AE20" s="76">
        <f t="array" ref="AE20">SUMIFS(Конструкторы!J$6:J$33,Конструкторы!$C$6:$C$33,$A20)</f>
        <v>0</v>
      </c>
      <c r="AF20" s="76">
        <f t="array" ref="AF20">SUMIFS(Конструкторы!K$6:K$33,Конструкторы!$C$6:$C$33,$A20)</f>
        <v>0</v>
      </c>
      <c r="AG20" s="76">
        <f t="array" ref="AG20">SUMIFS(Конструкторы!L$6:L$33,Конструкторы!$C$6:$C$33,$A20)</f>
        <v>0</v>
      </c>
      <c r="AH20" s="76">
        <f t="array" ref="AH20">SUMIFS(Конструкторы!M$6:M$33,Конструкторы!$C$6:$C$33,$A20)</f>
        <v>0</v>
      </c>
      <c r="AI20" s="76">
        <f t="array" ref="AI20">SUMIFS(Конструкторы!N$6:N$33,Конструкторы!$C$6:$C$33,$A20)</f>
        <v>0</v>
      </c>
      <c r="AJ20" s="76">
        <f t="array" ref="AJ20">SUMIFS(Конструкторы!O$6:O$33,Конструкторы!$C$6:$C$33,$A20)</f>
        <v>0</v>
      </c>
      <c r="AK20" s="76">
        <f t="array" ref="AK20">SUMIFS(Конструкторы!P$6:P$33,Конструкторы!$C$6:$C$33,$A20)</f>
        <v>0</v>
      </c>
      <c r="AL20" s="76">
        <f t="array" ref="AL20">SUMIFS(Конструкторы!Q$6:Q$33,Конструкторы!$C$6:$C$33,$A20)</f>
        <v>0</v>
      </c>
      <c r="AM20" s="76">
        <f t="array" ref="AM20">SUMIFS(Конструкторы!R$6:R$33,Конструкторы!$C$6:$C$33,$A20)</f>
        <v>0</v>
      </c>
      <c r="AN20" s="76">
        <f t="array" ref="AN20">SUMIFS(Конструкторы!S$6:S$33,Конструкторы!$C$6:$C$33,$A20)</f>
        <v>0</v>
      </c>
      <c r="AO20" s="76">
        <f t="array" ref="AO20">SUMIFS(Конструкторы!T$6:T$33,Конструкторы!$C$6:$C$33,$A20)</f>
        <v>0</v>
      </c>
      <c r="AP20" s="75">
        <f t="array" ref="AP20">SUMIFS(Конструкторы!I$1192:I$1277,Конструкторы!$C$1192:$C$1277,$A20)</f>
        <v>0</v>
      </c>
      <c r="AQ20" s="75">
        <f t="array" ref="AQ20">SUMIFS(Конструкторы!J$1192:J$1277,Конструкторы!$C$1192:$C$1277,$A20)</f>
        <v>0</v>
      </c>
      <c r="AR20" s="75">
        <f t="array" ref="AR20">SUMIFS(Конструкторы!K$1192:K$1277,Конструкторы!$C$1192:$C$1277,$A20)</f>
        <v>0</v>
      </c>
      <c r="AS20" s="75">
        <f t="array" ref="AS20">SUMIFS(Конструкторы!L$1192:L$1277,Конструкторы!$C$1192:$C$1277,$A20)</f>
        <v>0</v>
      </c>
      <c r="AT20" s="75">
        <f t="array" ref="AT20">SUMIFS(Конструкторы!M$1192:M$1277,Конструкторы!$C$1192:$C$1277,$A20)</f>
        <v>0</v>
      </c>
      <c r="AU20" s="75">
        <f t="array" ref="AU20">SUMIFS(Конструкторы!N$1192:N$1277,Конструкторы!$C$1192:$C$1277,$A20)</f>
        <v>0</v>
      </c>
      <c r="AV20" s="75">
        <f t="array" ref="AV20">SUMIFS(Конструкторы!O$1192:O$1277,Конструкторы!$C$1192:$C$1277,$A20)</f>
        <v>0</v>
      </c>
      <c r="AW20" s="75">
        <f t="array" ref="AW20">SUMIFS(Конструкторы!P$1192:P$1277,Конструкторы!$C$1192:$C$1277,$A20)</f>
        <v>0</v>
      </c>
      <c r="AX20" s="75">
        <f t="array" ref="AX20">SUMIFS(Конструкторы!Q$1192:Q$1277,Конструкторы!$C$1192:$C$1277,$A20)</f>
        <v>0</v>
      </c>
      <c r="AY20" s="75">
        <f t="array" ref="AY20">SUMIFS(Конструкторы!R$1192:R$1277,Конструкторы!$C$1192:$C$1277,$A20)</f>
        <v>0</v>
      </c>
      <c r="AZ20" s="75">
        <f t="array" ref="AZ20">SUMIFS(Конструкторы!S$1192:S$1277,Конструкторы!$C$1192:$C$1277,$A20)</f>
        <v>0</v>
      </c>
      <c r="BA20" s="75">
        <f t="array" ref="BA20">SUMIFS(Конструкторы!T$1192:T$1277,Конструкторы!$C$1192:$C$1277,$A20)</f>
        <v>0</v>
      </c>
      <c r="BB20" s="80">
        <f t="shared" si="12"/>
        <v>1608.5149999999999</v>
      </c>
      <c r="BC20" s="80">
        <f t="shared" si="3"/>
        <v>82.699999999999989</v>
      </c>
      <c r="BD20" s="80">
        <f t="shared" si="3"/>
        <v>161.26499999999999</v>
      </c>
      <c r="BE20" s="80">
        <f t="shared" si="3"/>
        <v>1654</v>
      </c>
      <c r="BF20" s="80">
        <f t="shared" si="3"/>
        <v>0</v>
      </c>
      <c r="BG20" s="80">
        <f t="shared" si="3"/>
        <v>0</v>
      </c>
      <c r="BH20" s="80">
        <f t="shared" si="3"/>
        <v>0</v>
      </c>
      <c r="BI20" s="80">
        <f t="shared" si="3"/>
        <v>0</v>
      </c>
      <c r="BJ20" s="80">
        <f t="shared" si="3"/>
        <v>0</v>
      </c>
      <c r="BK20" s="80">
        <f t="shared" si="3"/>
        <v>0</v>
      </c>
      <c r="BL20" s="80">
        <f t="shared" si="3"/>
        <v>0</v>
      </c>
      <c r="BM20" s="80">
        <f t="shared" si="4"/>
        <v>0</v>
      </c>
      <c r="BN20" s="84">
        <f t="shared" si="13"/>
        <v>1945</v>
      </c>
      <c r="BO20" s="84">
        <f t="shared" si="5"/>
        <v>100</v>
      </c>
      <c r="BP20" s="84">
        <f t="shared" si="5"/>
        <v>195</v>
      </c>
      <c r="BQ20" s="84">
        <f t="shared" si="5"/>
        <v>2000</v>
      </c>
      <c r="BR20" s="84">
        <f t="shared" si="5"/>
        <v>0</v>
      </c>
      <c r="BS20" s="84">
        <f t="shared" si="5"/>
        <v>0</v>
      </c>
      <c r="BT20" s="84">
        <f t="shared" si="14"/>
        <v>0</v>
      </c>
      <c r="BU20" s="84">
        <f t="shared" si="6"/>
        <v>0</v>
      </c>
      <c r="BV20" s="84">
        <f t="shared" si="7"/>
        <v>0</v>
      </c>
      <c r="BW20" s="84">
        <f t="shared" si="8"/>
        <v>0</v>
      </c>
      <c r="BX20" s="84">
        <f t="shared" si="9"/>
        <v>0</v>
      </c>
      <c r="BY20" s="83">
        <f t="shared" si="15"/>
        <v>0</v>
      </c>
      <c r="BZ20" s="79">
        <f t="shared" si="16"/>
        <v>46.30952380952381</v>
      </c>
      <c r="CA20" s="79">
        <f t="shared" si="16"/>
        <v>2.3809523809523809</v>
      </c>
      <c r="CB20" s="79">
        <f t="shared" si="16"/>
        <v>4.6428571428571432</v>
      </c>
      <c r="CC20" s="79">
        <f t="shared" si="16"/>
        <v>47.61904761904762</v>
      </c>
      <c r="CD20" s="79">
        <f t="shared" si="16"/>
        <v>0</v>
      </c>
      <c r="CE20" s="79">
        <f t="shared" si="16"/>
        <v>0</v>
      </c>
      <c r="CF20" s="79">
        <f t="shared" si="16"/>
        <v>0</v>
      </c>
      <c r="CG20" s="79">
        <f t="shared" si="16"/>
        <v>0</v>
      </c>
      <c r="CH20" s="79">
        <f t="shared" si="16"/>
        <v>0</v>
      </c>
      <c r="CI20" s="79">
        <f t="shared" si="16"/>
        <v>0</v>
      </c>
      <c r="CJ20" s="79">
        <f t="shared" si="16"/>
        <v>0</v>
      </c>
      <c r="CK20" s="79">
        <f t="shared" si="17"/>
        <v>0</v>
      </c>
    </row>
    <row r="21" spans="1:89" x14ac:dyDescent="0.25">
      <c r="A21" s="42" t="s">
        <v>50</v>
      </c>
      <c r="B21" s="70">
        <f t="array" ref="B21">INDEX(Технологи!$E$5:$E$552,MATCH(A21&amp;$A$1,Технологи!$B$5:$B$552&amp;Технологи!$C$5:$C$552,0))</f>
        <v>0.53100000000000003</v>
      </c>
      <c r="C21" s="14">
        <v>1018</v>
      </c>
      <c r="D21" s="71">
        <v>4</v>
      </c>
      <c r="E21" s="71">
        <v>24</v>
      </c>
      <c r="F21" s="72">
        <f>SUMIFS(Продажи!F$5:F$360,Продажи!$D$5:$D$360,'Потребность профиль'!$A21,Продажи!$C$5:$C$360,"Профиль")</f>
        <v>0</v>
      </c>
      <c r="G21" s="72">
        <f>SUMIFS(Продажи!G$5:G$360,Продажи!$D$5:$D$360,'Потребность профиль'!$A21,Продажи!$C$5:$C$360,"Профиль")</f>
        <v>504</v>
      </c>
      <c r="H21" s="72">
        <f>SUMIFS(Продажи!H$5:H$360,Продажи!$D$5:$D$360,'Потребность профиль'!$A21,Продажи!$C$5:$C$360,"Профиль")</f>
        <v>504</v>
      </c>
      <c r="I21" s="72">
        <f>SUMIFS(Продажи!I$5:I$360,Продажи!$D$5:$D$360,'Потребность профиль'!$A21,Продажи!$C$5:$C$360,"Профиль")</f>
        <v>504</v>
      </c>
      <c r="J21" s="72">
        <f>SUMIFS(Продажи!J$5:J$360,Продажи!$D$5:$D$360,'Потребность профиль'!$A21,Продажи!$C$5:$C$360,"Профиль")</f>
        <v>504</v>
      </c>
      <c r="K21" s="72">
        <f>SUMIFS(Продажи!K$5:K$360,Продажи!$D$5:$D$360,'Потребность профиль'!$A21,Продажи!$C$5:$C$360,"Профиль")</f>
        <v>504</v>
      </c>
      <c r="L21" s="72">
        <f>SUMIFS(Продажи!L$5:L$360,Продажи!$D$5:$D$360,'Потребность профиль'!$A21,Продажи!$C$5:$C$360,"Профиль")</f>
        <v>504</v>
      </c>
      <c r="M21" s="72">
        <f>SUMIFS(Продажи!M$5:M$360,Продажи!$D$5:$D$360,'Потребность профиль'!$A21,Продажи!$C$5:$C$360,"Профиль")</f>
        <v>504</v>
      </c>
      <c r="N21" s="72">
        <f>SUMIFS(Продажи!N$5:N$360,Продажи!$D$5:$D$360,'Потребность профиль'!$A21,Продажи!$C$5:$C$360,"Профиль")</f>
        <v>504</v>
      </c>
      <c r="O21" s="72">
        <f>SUMIFS(Продажи!O$5:O$360,Продажи!$D$5:$D$360,'Потребность профиль'!$A21,Продажи!$C$5:$C$360,"Профиль")</f>
        <v>504</v>
      </c>
      <c r="P21" s="72">
        <f>SUMIFS(Продажи!P$5:P$360,Продажи!$D$5:$D$360,'Потребность профиль'!$A21,Продажи!$C$5:$C$360,"Профиль")</f>
        <v>504</v>
      </c>
      <c r="Q21" s="72">
        <f>SUMIFS(Продажи!Q$5:Q$360,Продажи!$D$5:$D$360,'Потребность профиль'!$A21,Продажи!$C$5:$C$360,"Профиль")</f>
        <v>504</v>
      </c>
      <c r="R21" s="73">
        <f t="array" ref="R21">SUMIFS(Конструкторы!I$35:I$1191,Конструкторы!$C$35:$C$1191,$A21)</f>
        <v>0</v>
      </c>
      <c r="S21" s="73">
        <f t="array" ref="S21">SUMIFS(Конструкторы!J$35:J$1191,Конструкторы!$C$35:$C$1191,$A21)</f>
        <v>0</v>
      </c>
      <c r="T21" s="73">
        <f t="array" ref="T21">SUMIFS(Конструкторы!K$35:K$1191,Конструкторы!$C$35:$C$1191,$A21)</f>
        <v>0</v>
      </c>
      <c r="U21" s="73">
        <f t="array" ref="U21">SUMIFS(Конструкторы!L$35:L$1191,Конструкторы!$C$35:$C$1191,$A21)</f>
        <v>0</v>
      </c>
      <c r="V21" s="73">
        <f t="array" ref="V21">SUMIFS(Конструкторы!M$35:M$1191,Конструкторы!$C$35:$C$1191,$A21)</f>
        <v>0</v>
      </c>
      <c r="W21" s="73">
        <f t="array" ref="W21">SUMIFS(Конструкторы!N$35:N$1191,Конструкторы!$C$35:$C$1191,$A21)</f>
        <v>0</v>
      </c>
      <c r="X21" s="73">
        <f t="array" ref="X21">SUMIFS(Конструкторы!O$35:O$1191,Конструкторы!$C$35:$C$1191,$A21)</f>
        <v>0</v>
      </c>
      <c r="Y21" s="73">
        <f t="array" ref="Y21">SUMIFS(Конструкторы!P$35:P$1191,Конструкторы!$C$35:$C$1191,$A21)</f>
        <v>0</v>
      </c>
      <c r="Z21" s="73">
        <f t="array" ref="Z21">SUMIFS(Конструкторы!Q$35:Q$1191,Конструкторы!$C$35:$C$1191,$A21)</f>
        <v>0</v>
      </c>
      <c r="AA21" s="73">
        <f t="array" ref="AA21">SUMIFS(Конструкторы!R$35:R$1191,Конструкторы!$C$35:$C$1191,$A21)</f>
        <v>0</v>
      </c>
      <c r="AB21" s="73">
        <f t="array" ref="AB21">SUMIFS(Конструкторы!S$35:S$1191,Конструкторы!$C$35:$C$1191,$A21)</f>
        <v>0</v>
      </c>
      <c r="AC21" s="73">
        <f t="array" ref="AC21">SUMIFS(Конструкторы!T$35:T$1191,Конструкторы!$C$35:$C$1191,$A21)</f>
        <v>0</v>
      </c>
      <c r="AD21" s="76">
        <f t="array" ref="AD21">SUMIFS(Конструкторы!I$6:I$33,Конструкторы!$C$6:$C$33,$A21)</f>
        <v>0</v>
      </c>
      <c r="AE21" s="76">
        <f t="array" ref="AE21">SUMIFS(Конструкторы!J$6:J$33,Конструкторы!$C$6:$C$33,$A21)</f>
        <v>0</v>
      </c>
      <c r="AF21" s="76">
        <f t="array" ref="AF21">SUMIFS(Конструкторы!K$6:K$33,Конструкторы!$C$6:$C$33,$A21)</f>
        <v>0</v>
      </c>
      <c r="AG21" s="76">
        <f t="array" ref="AG21">SUMIFS(Конструкторы!L$6:L$33,Конструкторы!$C$6:$C$33,$A21)</f>
        <v>0</v>
      </c>
      <c r="AH21" s="76">
        <f t="array" ref="AH21">SUMIFS(Конструкторы!M$6:M$33,Конструкторы!$C$6:$C$33,$A21)</f>
        <v>0</v>
      </c>
      <c r="AI21" s="76">
        <f t="array" ref="AI21">SUMIFS(Конструкторы!N$6:N$33,Конструкторы!$C$6:$C$33,$A21)</f>
        <v>0</v>
      </c>
      <c r="AJ21" s="76">
        <f t="array" ref="AJ21">SUMIFS(Конструкторы!O$6:O$33,Конструкторы!$C$6:$C$33,$A21)</f>
        <v>0</v>
      </c>
      <c r="AK21" s="76">
        <f t="array" ref="AK21">SUMIFS(Конструкторы!P$6:P$33,Конструкторы!$C$6:$C$33,$A21)</f>
        <v>0</v>
      </c>
      <c r="AL21" s="76">
        <f t="array" ref="AL21">SUMIFS(Конструкторы!Q$6:Q$33,Конструкторы!$C$6:$C$33,$A21)</f>
        <v>0</v>
      </c>
      <c r="AM21" s="76">
        <f t="array" ref="AM21">SUMIFS(Конструкторы!R$6:R$33,Конструкторы!$C$6:$C$33,$A21)</f>
        <v>0</v>
      </c>
      <c r="AN21" s="76">
        <f t="array" ref="AN21">SUMIFS(Конструкторы!S$6:S$33,Конструкторы!$C$6:$C$33,$A21)</f>
        <v>0</v>
      </c>
      <c r="AO21" s="76">
        <f t="array" ref="AO21">SUMIFS(Конструкторы!T$6:T$33,Конструкторы!$C$6:$C$33,$A21)</f>
        <v>0</v>
      </c>
      <c r="AP21" s="75">
        <f t="array" ref="AP21">SUMIFS(Конструкторы!I$1192:I$1277,Конструкторы!$C$1192:$C$1277,$A21)</f>
        <v>0</v>
      </c>
      <c r="AQ21" s="75">
        <f t="array" ref="AQ21">SUMIFS(Конструкторы!J$1192:J$1277,Конструкторы!$C$1192:$C$1277,$A21)</f>
        <v>0</v>
      </c>
      <c r="AR21" s="75">
        <f t="array" ref="AR21">SUMIFS(Конструкторы!K$1192:K$1277,Конструкторы!$C$1192:$C$1277,$A21)</f>
        <v>0</v>
      </c>
      <c r="AS21" s="75">
        <f t="array" ref="AS21">SUMIFS(Конструкторы!L$1192:L$1277,Конструкторы!$C$1192:$C$1277,$A21)</f>
        <v>0</v>
      </c>
      <c r="AT21" s="75">
        <f t="array" ref="AT21">SUMIFS(Конструкторы!M$1192:M$1277,Конструкторы!$C$1192:$C$1277,$A21)</f>
        <v>0</v>
      </c>
      <c r="AU21" s="75">
        <f t="array" ref="AU21">SUMIFS(Конструкторы!N$1192:N$1277,Конструкторы!$C$1192:$C$1277,$A21)</f>
        <v>0</v>
      </c>
      <c r="AV21" s="75">
        <f t="array" ref="AV21">SUMIFS(Конструкторы!O$1192:O$1277,Конструкторы!$C$1192:$C$1277,$A21)</f>
        <v>0</v>
      </c>
      <c r="AW21" s="75">
        <f t="array" ref="AW21">SUMIFS(Конструкторы!P$1192:P$1277,Конструкторы!$C$1192:$C$1277,$A21)</f>
        <v>0</v>
      </c>
      <c r="AX21" s="75">
        <f t="array" ref="AX21">SUMIFS(Конструкторы!Q$1192:Q$1277,Конструкторы!$C$1192:$C$1277,$A21)</f>
        <v>0</v>
      </c>
      <c r="AY21" s="75">
        <f t="array" ref="AY21">SUMIFS(Конструкторы!R$1192:R$1277,Конструкторы!$C$1192:$C$1277,$A21)</f>
        <v>0</v>
      </c>
      <c r="AZ21" s="75">
        <f t="array" ref="AZ21">SUMIFS(Конструкторы!S$1192:S$1277,Конструкторы!$C$1192:$C$1277,$A21)</f>
        <v>0</v>
      </c>
      <c r="BA21" s="75">
        <f t="array" ref="BA21">SUMIFS(Конструкторы!T$1192:T$1277,Конструкторы!$C$1192:$C$1277,$A21)</f>
        <v>0</v>
      </c>
      <c r="BB21" s="80">
        <f t="shared" si="12"/>
        <v>0</v>
      </c>
      <c r="BC21" s="80">
        <f t="shared" ref="BC21:BC46" si="18">(G21+S21+AE21)*$B21+AR21</f>
        <v>267.62400000000002</v>
      </c>
      <c r="BD21" s="80">
        <f t="shared" ref="BD21:BD46" si="19">(H21+T21+AF21)*$B21+AS21</f>
        <v>267.62400000000002</v>
      </c>
      <c r="BE21" s="80">
        <f t="shared" ref="BE21:BE46" si="20">(I21+U21+AG21)*$B21+AT21</f>
        <v>267.62400000000002</v>
      </c>
      <c r="BF21" s="80">
        <f t="shared" ref="BF21:BF46" si="21">(J21+V21+AH21)*$B21+AU21</f>
        <v>267.62400000000002</v>
      </c>
      <c r="BG21" s="80">
        <f t="shared" ref="BG21:BG46" si="22">(K21+W21+AI21)*$B21+AV21</f>
        <v>267.62400000000002</v>
      </c>
      <c r="BH21" s="80">
        <f t="shared" ref="BH21:BH46" si="23">(L21+X21+AJ21)*$B21+AW21</f>
        <v>267.62400000000002</v>
      </c>
      <c r="BI21" s="80">
        <f t="shared" ref="BI21:BI46" si="24">(M21+Y21+AK21)*$B21+AX21</f>
        <v>267.62400000000002</v>
      </c>
      <c r="BJ21" s="80">
        <f t="shared" ref="BJ21:BJ46" si="25">(N21+Z21+AL21)*$B21+AY21</f>
        <v>267.62400000000002</v>
      </c>
      <c r="BK21" s="80">
        <f t="shared" ref="BK21:BK46" si="26">(O21+AA21+AM21)*$B21+AZ21</f>
        <v>267.62400000000002</v>
      </c>
      <c r="BL21" s="80">
        <f t="shared" ref="BL21:BL46" si="27">(P21+AB21+AN21)*$B21+BA21</f>
        <v>267.62400000000002</v>
      </c>
      <c r="BM21" s="80">
        <f t="shared" ref="BM21:BM46" si="28">(Q21+AC21+AO21)*$B21+BA21</f>
        <v>267.62400000000002</v>
      </c>
      <c r="BN21" s="84">
        <f t="shared" si="13"/>
        <v>0</v>
      </c>
      <c r="BO21" s="84">
        <f t="shared" ref="BO21:BO46" si="29">G21+S21+AE21+AR21/$B21</f>
        <v>504</v>
      </c>
      <c r="BP21" s="84">
        <f t="shared" ref="BP21:BP46" si="30">H21+T21+AF21+AS21/$B21</f>
        <v>504</v>
      </c>
      <c r="BQ21" s="84">
        <f t="shared" ref="BQ21:BQ46" si="31">I21+U21+AG21+AT21/$B21</f>
        <v>504</v>
      </c>
      <c r="BR21" s="84">
        <f t="shared" ref="BR21:BR46" si="32">J21+V21+AH21+AU21/$B21</f>
        <v>504</v>
      </c>
      <c r="BS21" s="84">
        <f t="shared" ref="BS21:BS46" si="33">K21+W21+AI21+AV21/$B21</f>
        <v>504</v>
      </c>
      <c r="BT21" s="84">
        <f t="shared" si="14"/>
        <v>504</v>
      </c>
      <c r="BU21" s="84">
        <f t="shared" si="6"/>
        <v>504</v>
      </c>
      <c r="BV21" s="84">
        <f t="shared" si="7"/>
        <v>504</v>
      </c>
      <c r="BW21" s="84">
        <f t="shared" si="8"/>
        <v>504</v>
      </c>
      <c r="BX21" s="84">
        <f t="shared" si="9"/>
        <v>504</v>
      </c>
      <c r="BY21" s="83">
        <f t="shared" si="15"/>
        <v>504</v>
      </c>
      <c r="BZ21" s="79">
        <f t="shared" si="16"/>
        <v>0</v>
      </c>
      <c r="CA21" s="79">
        <f t="shared" si="16"/>
        <v>21</v>
      </c>
      <c r="CB21" s="79">
        <f t="shared" si="16"/>
        <v>21</v>
      </c>
      <c r="CC21" s="79">
        <f t="shared" si="16"/>
        <v>21</v>
      </c>
      <c r="CD21" s="79">
        <f t="shared" si="16"/>
        <v>21</v>
      </c>
      <c r="CE21" s="79">
        <f t="shared" si="16"/>
        <v>21</v>
      </c>
      <c r="CF21" s="79">
        <f t="shared" si="16"/>
        <v>21</v>
      </c>
      <c r="CG21" s="79">
        <f t="shared" si="16"/>
        <v>21</v>
      </c>
      <c r="CH21" s="79">
        <f t="shared" si="16"/>
        <v>21</v>
      </c>
      <c r="CI21" s="79">
        <f t="shared" si="16"/>
        <v>21</v>
      </c>
      <c r="CJ21" s="79">
        <f t="shared" si="16"/>
        <v>21</v>
      </c>
      <c r="CK21" s="79">
        <f t="shared" si="17"/>
        <v>21</v>
      </c>
    </row>
    <row r="22" spans="1:89" x14ac:dyDescent="0.25">
      <c r="A22" s="42" t="s">
        <v>51</v>
      </c>
      <c r="B22" s="70">
        <f t="array" ref="B22">INDEX(Технологи!$E$5:$E$552,MATCH(A22&amp;$A$1,Технологи!$B$5:$B$552&amp;Технологи!$C$5:$C$552,0))</f>
        <v>0.78400000000000003</v>
      </c>
      <c r="C22" s="14">
        <v>1018</v>
      </c>
      <c r="D22" s="71">
        <v>4.5</v>
      </c>
      <c r="E22" s="71">
        <v>21</v>
      </c>
      <c r="F22" s="72">
        <f>SUMIFS(Продажи!F$5:F$360,Продажи!$D$5:$D$360,'Потребность профиль'!$A22,Продажи!$C$5:$C$360,"Профиль")</f>
        <v>0</v>
      </c>
      <c r="G22" s="72">
        <f>SUMIFS(Продажи!G$5:G$360,Продажи!$D$5:$D$360,'Потребность профиль'!$A22,Продажи!$C$5:$C$360,"Профиль")</f>
        <v>0</v>
      </c>
      <c r="H22" s="72">
        <f>SUMIFS(Продажи!H$5:H$360,Продажи!$D$5:$D$360,'Потребность профиль'!$A22,Продажи!$C$5:$C$360,"Профиль")</f>
        <v>0</v>
      </c>
      <c r="I22" s="72">
        <f>SUMIFS(Продажи!I$5:I$360,Продажи!$D$5:$D$360,'Потребность профиль'!$A22,Продажи!$C$5:$C$360,"Профиль")</f>
        <v>0</v>
      </c>
      <c r="J22" s="72">
        <f>SUMIFS(Продажи!J$5:J$360,Продажи!$D$5:$D$360,'Потребность профиль'!$A22,Продажи!$C$5:$C$360,"Профиль")</f>
        <v>0</v>
      </c>
      <c r="K22" s="72">
        <f>SUMIFS(Продажи!K$5:K$360,Продажи!$D$5:$D$360,'Потребность профиль'!$A22,Продажи!$C$5:$C$360,"Профиль")</f>
        <v>0</v>
      </c>
      <c r="L22" s="72">
        <f>SUMIFS(Продажи!L$5:L$360,Продажи!$D$5:$D$360,'Потребность профиль'!$A22,Продажи!$C$5:$C$360,"Профиль")</f>
        <v>0</v>
      </c>
      <c r="M22" s="72">
        <f>SUMIFS(Продажи!M$5:M$360,Продажи!$D$5:$D$360,'Потребность профиль'!$A22,Продажи!$C$5:$C$360,"Профиль")</f>
        <v>0</v>
      </c>
      <c r="N22" s="72">
        <f>SUMIFS(Продажи!N$5:N$360,Продажи!$D$5:$D$360,'Потребность профиль'!$A22,Продажи!$C$5:$C$360,"Профиль")</f>
        <v>0</v>
      </c>
      <c r="O22" s="72">
        <f>SUMIFS(Продажи!O$5:O$360,Продажи!$D$5:$D$360,'Потребность профиль'!$A22,Продажи!$C$5:$C$360,"Профиль")</f>
        <v>0</v>
      </c>
      <c r="P22" s="72">
        <f>SUMIFS(Продажи!P$5:P$360,Продажи!$D$5:$D$360,'Потребность профиль'!$A22,Продажи!$C$5:$C$360,"Профиль")</f>
        <v>0</v>
      </c>
      <c r="Q22" s="72">
        <f>SUMIFS(Продажи!Q$5:Q$360,Продажи!$D$5:$D$360,'Потребность профиль'!$A22,Продажи!$C$5:$C$360,"Профиль")</f>
        <v>0</v>
      </c>
      <c r="R22" s="73">
        <f t="array" ref="R22">SUMIFS(Конструкторы!I$35:I$1191,Конструкторы!$C$35:$C$1191,$A22)</f>
        <v>0</v>
      </c>
      <c r="S22" s="73">
        <f t="array" ref="S22">SUMIFS(Конструкторы!J$35:J$1191,Конструкторы!$C$35:$C$1191,$A22)</f>
        <v>0</v>
      </c>
      <c r="T22" s="73">
        <f t="array" ref="T22">SUMIFS(Конструкторы!K$35:K$1191,Конструкторы!$C$35:$C$1191,$A22)</f>
        <v>0</v>
      </c>
      <c r="U22" s="73">
        <f t="array" ref="U22">SUMIFS(Конструкторы!L$35:L$1191,Конструкторы!$C$35:$C$1191,$A22)</f>
        <v>0</v>
      </c>
      <c r="V22" s="73">
        <f t="array" ref="V22">SUMIFS(Конструкторы!M$35:M$1191,Конструкторы!$C$35:$C$1191,$A22)</f>
        <v>0</v>
      </c>
      <c r="W22" s="73">
        <f t="array" ref="W22">SUMIFS(Конструкторы!N$35:N$1191,Конструкторы!$C$35:$C$1191,$A22)</f>
        <v>0</v>
      </c>
      <c r="X22" s="73">
        <f t="array" ref="X22">SUMIFS(Конструкторы!O$35:O$1191,Конструкторы!$C$35:$C$1191,$A22)</f>
        <v>0</v>
      </c>
      <c r="Y22" s="73">
        <f t="array" ref="Y22">SUMIFS(Конструкторы!P$35:P$1191,Конструкторы!$C$35:$C$1191,$A22)</f>
        <v>0</v>
      </c>
      <c r="Z22" s="73">
        <f t="array" ref="Z22">SUMIFS(Конструкторы!Q$35:Q$1191,Конструкторы!$C$35:$C$1191,$A22)</f>
        <v>0</v>
      </c>
      <c r="AA22" s="73">
        <f t="array" ref="AA22">SUMIFS(Конструкторы!R$35:R$1191,Конструкторы!$C$35:$C$1191,$A22)</f>
        <v>0</v>
      </c>
      <c r="AB22" s="73">
        <f t="array" ref="AB22">SUMIFS(Конструкторы!S$35:S$1191,Конструкторы!$C$35:$C$1191,$A22)</f>
        <v>0</v>
      </c>
      <c r="AC22" s="73">
        <f t="array" ref="AC22">SUMIFS(Конструкторы!T$35:T$1191,Конструкторы!$C$35:$C$1191,$A22)</f>
        <v>0</v>
      </c>
      <c r="AD22" s="76">
        <f t="array" ref="AD22">SUMIFS(Конструкторы!I$6:I$33,Конструкторы!$C$6:$C$33,$A22)</f>
        <v>0</v>
      </c>
      <c r="AE22" s="76">
        <f t="array" ref="AE22">SUMIFS(Конструкторы!J$6:J$33,Конструкторы!$C$6:$C$33,$A22)</f>
        <v>0</v>
      </c>
      <c r="AF22" s="76">
        <f t="array" ref="AF22">SUMIFS(Конструкторы!K$6:K$33,Конструкторы!$C$6:$C$33,$A22)</f>
        <v>0</v>
      </c>
      <c r="AG22" s="76">
        <f t="array" ref="AG22">SUMIFS(Конструкторы!L$6:L$33,Конструкторы!$C$6:$C$33,$A22)</f>
        <v>0</v>
      </c>
      <c r="AH22" s="76">
        <f t="array" ref="AH22">SUMIFS(Конструкторы!M$6:M$33,Конструкторы!$C$6:$C$33,$A22)</f>
        <v>0</v>
      </c>
      <c r="AI22" s="76">
        <f t="array" ref="AI22">SUMIFS(Конструкторы!N$6:N$33,Конструкторы!$C$6:$C$33,$A22)</f>
        <v>0</v>
      </c>
      <c r="AJ22" s="76">
        <f t="array" ref="AJ22">SUMIFS(Конструкторы!O$6:O$33,Конструкторы!$C$6:$C$33,$A22)</f>
        <v>0</v>
      </c>
      <c r="AK22" s="76">
        <f t="array" ref="AK22">SUMIFS(Конструкторы!P$6:P$33,Конструкторы!$C$6:$C$33,$A22)</f>
        <v>0</v>
      </c>
      <c r="AL22" s="76">
        <f t="array" ref="AL22">SUMIFS(Конструкторы!Q$6:Q$33,Конструкторы!$C$6:$C$33,$A22)</f>
        <v>0</v>
      </c>
      <c r="AM22" s="76">
        <f t="array" ref="AM22">SUMIFS(Конструкторы!R$6:R$33,Конструкторы!$C$6:$C$33,$A22)</f>
        <v>0</v>
      </c>
      <c r="AN22" s="76">
        <f t="array" ref="AN22">SUMIFS(Конструкторы!S$6:S$33,Конструкторы!$C$6:$C$33,$A22)</f>
        <v>0</v>
      </c>
      <c r="AO22" s="76">
        <f t="array" ref="AO22">SUMIFS(Конструкторы!T$6:T$33,Конструкторы!$C$6:$C$33,$A22)</f>
        <v>0</v>
      </c>
      <c r="AP22" s="75">
        <f t="array" ref="AP22">SUMIFS(Конструкторы!I$1192:I$1277,Конструкторы!$C$1192:$C$1277,$A22)</f>
        <v>0</v>
      </c>
      <c r="AQ22" s="75">
        <f t="array" ref="AQ22">SUMIFS(Конструкторы!J$1192:J$1277,Конструкторы!$C$1192:$C$1277,$A22)</f>
        <v>0</v>
      </c>
      <c r="AR22" s="75">
        <f t="array" ref="AR22">SUMIFS(Конструкторы!K$1192:K$1277,Конструкторы!$C$1192:$C$1277,$A22)</f>
        <v>0</v>
      </c>
      <c r="AS22" s="75">
        <f t="array" ref="AS22">SUMIFS(Конструкторы!L$1192:L$1277,Конструкторы!$C$1192:$C$1277,$A22)</f>
        <v>0</v>
      </c>
      <c r="AT22" s="75">
        <f t="array" ref="AT22">SUMIFS(Конструкторы!M$1192:M$1277,Конструкторы!$C$1192:$C$1277,$A22)</f>
        <v>0</v>
      </c>
      <c r="AU22" s="75">
        <f t="array" ref="AU22">SUMIFS(Конструкторы!N$1192:N$1277,Конструкторы!$C$1192:$C$1277,$A22)</f>
        <v>0</v>
      </c>
      <c r="AV22" s="75">
        <f t="array" ref="AV22">SUMIFS(Конструкторы!O$1192:O$1277,Конструкторы!$C$1192:$C$1277,$A22)</f>
        <v>0</v>
      </c>
      <c r="AW22" s="75">
        <f t="array" ref="AW22">SUMIFS(Конструкторы!P$1192:P$1277,Конструкторы!$C$1192:$C$1277,$A22)</f>
        <v>0</v>
      </c>
      <c r="AX22" s="75">
        <f t="array" ref="AX22">SUMIFS(Конструкторы!Q$1192:Q$1277,Конструкторы!$C$1192:$C$1277,$A22)</f>
        <v>0</v>
      </c>
      <c r="AY22" s="75">
        <f t="array" ref="AY22">SUMIFS(Конструкторы!R$1192:R$1277,Конструкторы!$C$1192:$C$1277,$A22)</f>
        <v>0</v>
      </c>
      <c r="AZ22" s="75">
        <f t="array" ref="AZ22">SUMIFS(Конструкторы!S$1192:S$1277,Конструкторы!$C$1192:$C$1277,$A22)</f>
        <v>0</v>
      </c>
      <c r="BA22" s="75">
        <f t="array" ref="BA22">SUMIFS(Конструкторы!T$1192:T$1277,Конструкторы!$C$1192:$C$1277,$A22)</f>
        <v>0</v>
      </c>
      <c r="BB22" s="80">
        <f t="shared" si="12"/>
        <v>0</v>
      </c>
      <c r="BC22" s="80">
        <f t="shared" si="18"/>
        <v>0</v>
      </c>
      <c r="BD22" s="80">
        <f t="shared" si="19"/>
        <v>0</v>
      </c>
      <c r="BE22" s="80">
        <f t="shared" si="20"/>
        <v>0</v>
      </c>
      <c r="BF22" s="80">
        <f t="shared" si="21"/>
        <v>0</v>
      </c>
      <c r="BG22" s="80">
        <f t="shared" si="22"/>
        <v>0</v>
      </c>
      <c r="BH22" s="80">
        <f t="shared" si="23"/>
        <v>0</v>
      </c>
      <c r="BI22" s="80">
        <f t="shared" si="24"/>
        <v>0</v>
      </c>
      <c r="BJ22" s="80">
        <f t="shared" si="25"/>
        <v>0</v>
      </c>
      <c r="BK22" s="80">
        <f t="shared" si="26"/>
        <v>0</v>
      </c>
      <c r="BL22" s="80">
        <f t="shared" si="27"/>
        <v>0</v>
      </c>
      <c r="BM22" s="80">
        <f t="shared" si="28"/>
        <v>0</v>
      </c>
      <c r="BN22" s="84">
        <f t="shared" si="13"/>
        <v>0</v>
      </c>
      <c r="BO22" s="84">
        <f t="shared" si="29"/>
        <v>0</v>
      </c>
      <c r="BP22" s="84">
        <f t="shared" si="30"/>
        <v>0</v>
      </c>
      <c r="BQ22" s="84">
        <f t="shared" si="31"/>
        <v>0</v>
      </c>
      <c r="BR22" s="84">
        <f t="shared" si="32"/>
        <v>0</v>
      </c>
      <c r="BS22" s="84">
        <f t="shared" si="33"/>
        <v>0</v>
      </c>
      <c r="BT22" s="84">
        <f t="shared" si="14"/>
        <v>0</v>
      </c>
      <c r="BU22" s="84">
        <f t="shared" si="6"/>
        <v>0</v>
      </c>
      <c r="BV22" s="84">
        <f t="shared" si="7"/>
        <v>0</v>
      </c>
      <c r="BW22" s="84">
        <f t="shared" si="8"/>
        <v>0</v>
      </c>
      <c r="BX22" s="84">
        <f t="shared" si="9"/>
        <v>0</v>
      </c>
      <c r="BY22" s="83">
        <f t="shared" si="15"/>
        <v>0</v>
      </c>
      <c r="BZ22" s="79">
        <f t="shared" si="16"/>
        <v>0</v>
      </c>
      <c r="CA22" s="79">
        <f t="shared" si="16"/>
        <v>0</v>
      </c>
      <c r="CB22" s="79">
        <f t="shared" si="16"/>
        <v>0</v>
      </c>
      <c r="CC22" s="79">
        <f t="shared" si="16"/>
        <v>0</v>
      </c>
      <c r="CD22" s="79">
        <f t="shared" si="16"/>
        <v>0</v>
      </c>
      <c r="CE22" s="79">
        <f t="shared" si="16"/>
        <v>0</v>
      </c>
      <c r="CF22" s="79">
        <f t="shared" si="16"/>
        <v>0</v>
      </c>
      <c r="CG22" s="79">
        <f t="shared" si="16"/>
        <v>0</v>
      </c>
      <c r="CH22" s="79">
        <f t="shared" si="16"/>
        <v>0</v>
      </c>
      <c r="CI22" s="79">
        <f t="shared" si="16"/>
        <v>0</v>
      </c>
      <c r="CJ22" s="79">
        <f t="shared" si="16"/>
        <v>0</v>
      </c>
      <c r="CK22" s="79">
        <f t="shared" si="17"/>
        <v>0</v>
      </c>
    </row>
    <row r="23" spans="1:89" x14ac:dyDescent="0.25">
      <c r="A23" s="42" t="s">
        <v>49</v>
      </c>
      <c r="B23" s="70">
        <f t="array" ref="B23">INDEX(Технологи!$E$5:$E$552,MATCH(A23&amp;$A$1,Технологи!$B$5:$B$552&amp;Технологи!$C$5:$C$552,0))</f>
        <v>0.871</v>
      </c>
      <c r="C23" s="14">
        <v>1018</v>
      </c>
      <c r="D23" s="71">
        <v>5</v>
      </c>
      <c r="E23" s="71">
        <v>21</v>
      </c>
      <c r="F23" s="72">
        <f>SUMIFS(Продажи!F$5:F$360,Продажи!$D$5:$D$360,'Потребность профиль'!$A23,Продажи!$C$5:$C$360,"Профиль")</f>
        <v>0</v>
      </c>
      <c r="G23" s="72">
        <f>SUMIFS(Продажи!G$5:G$360,Продажи!$D$5:$D$360,'Потребность профиль'!$A23,Продажи!$C$5:$C$360,"Профиль")</f>
        <v>0</v>
      </c>
      <c r="H23" s="72">
        <f>SUMIFS(Продажи!H$5:H$360,Продажи!$D$5:$D$360,'Потребность профиль'!$A23,Продажи!$C$5:$C$360,"Профиль")</f>
        <v>600</v>
      </c>
      <c r="I23" s="72">
        <f>SUMIFS(Продажи!I$5:I$360,Продажи!$D$5:$D$360,'Потребность профиль'!$A23,Продажи!$C$5:$C$360,"Профиль")</f>
        <v>0</v>
      </c>
      <c r="J23" s="72">
        <f>SUMIFS(Продажи!J$5:J$360,Продажи!$D$5:$D$360,'Потребность профиль'!$A23,Продажи!$C$5:$C$360,"Профиль")</f>
        <v>0</v>
      </c>
      <c r="K23" s="72">
        <f>SUMIFS(Продажи!K$5:K$360,Продажи!$D$5:$D$360,'Потребность профиль'!$A23,Продажи!$C$5:$C$360,"Профиль")</f>
        <v>0</v>
      </c>
      <c r="L23" s="72">
        <f>SUMIFS(Продажи!L$5:L$360,Продажи!$D$5:$D$360,'Потребность профиль'!$A23,Продажи!$C$5:$C$360,"Профиль")</f>
        <v>0</v>
      </c>
      <c r="M23" s="72">
        <f>SUMIFS(Продажи!M$5:M$360,Продажи!$D$5:$D$360,'Потребность профиль'!$A23,Продажи!$C$5:$C$360,"Профиль")</f>
        <v>0</v>
      </c>
      <c r="N23" s="72">
        <f>SUMIFS(Продажи!N$5:N$360,Продажи!$D$5:$D$360,'Потребность профиль'!$A23,Продажи!$C$5:$C$360,"Профиль")</f>
        <v>0</v>
      </c>
      <c r="O23" s="72">
        <f>SUMIFS(Продажи!O$5:O$360,Продажи!$D$5:$D$360,'Потребность профиль'!$A23,Продажи!$C$5:$C$360,"Профиль")</f>
        <v>0</v>
      </c>
      <c r="P23" s="72">
        <f>SUMIFS(Продажи!P$5:P$360,Продажи!$D$5:$D$360,'Потребность профиль'!$A23,Продажи!$C$5:$C$360,"Профиль")</f>
        <v>0</v>
      </c>
      <c r="Q23" s="72">
        <f>SUMIFS(Продажи!Q$5:Q$360,Продажи!$D$5:$D$360,'Потребность профиль'!$A23,Продажи!$C$5:$C$360,"Профиль")</f>
        <v>0</v>
      </c>
      <c r="R23" s="73">
        <f t="array" ref="R23">SUMIFS(Конструкторы!I$35:I$1191,Конструкторы!$C$35:$C$1191,$A23)</f>
        <v>0</v>
      </c>
      <c r="S23" s="73">
        <f t="array" ref="S23">SUMIFS(Конструкторы!J$35:J$1191,Конструкторы!$C$35:$C$1191,$A23)</f>
        <v>0</v>
      </c>
      <c r="T23" s="73">
        <f t="array" ref="T23">SUMIFS(Конструкторы!K$35:K$1191,Конструкторы!$C$35:$C$1191,$A23)</f>
        <v>0</v>
      </c>
      <c r="U23" s="73">
        <f t="array" ref="U23">SUMIFS(Конструкторы!L$35:L$1191,Конструкторы!$C$35:$C$1191,$A23)</f>
        <v>0</v>
      </c>
      <c r="V23" s="73">
        <f t="array" ref="V23">SUMIFS(Конструкторы!M$35:M$1191,Конструкторы!$C$35:$C$1191,$A23)</f>
        <v>0</v>
      </c>
      <c r="W23" s="73">
        <f t="array" ref="W23">SUMIFS(Конструкторы!N$35:N$1191,Конструкторы!$C$35:$C$1191,$A23)</f>
        <v>0</v>
      </c>
      <c r="X23" s="73">
        <f t="array" ref="X23">SUMIFS(Конструкторы!O$35:O$1191,Конструкторы!$C$35:$C$1191,$A23)</f>
        <v>0</v>
      </c>
      <c r="Y23" s="73">
        <f t="array" ref="Y23">SUMIFS(Конструкторы!P$35:P$1191,Конструкторы!$C$35:$C$1191,$A23)</f>
        <v>0</v>
      </c>
      <c r="Z23" s="73">
        <f t="array" ref="Z23">SUMIFS(Конструкторы!Q$35:Q$1191,Конструкторы!$C$35:$C$1191,$A23)</f>
        <v>0</v>
      </c>
      <c r="AA23" s="73">
        <f t="array" ref="AA23">SUMIFS(Конструкторы!R$35:R$1191,Конструкторы!$C$35:$C$1191,$A23)</f>
        <v>0</v>
      </c>
      <c r="AB23" s="73">
        <f t="array" ref="AB23">SUMIFS(Конструкторы!S$35:S$1191,Конструкторы!$C$35:$C$1191,$A23)</f>
        <v>0</v>
      </c>
      <c r="AC23" s="73">
        <f t="array" ref="AC23">SUMIFS(Конструкторы!T$35:T$1191,Конструкторы!$C$35:$C$1191,$A23)</f>
        <v>0</v>
      </c>
      <c r="AD23" s="76">
        <f t="array" ref="AD23">SUMIFS(Конструкторы!I$6:I$33,Конструкторы!$C$6:$C$33,$A23)</f>
        <v>0</v>
      </c>
      <c r="AE23" s="76">
        <f t="array" ref="AE23">SUMIFS(Конструкторы!J$6:J$33,Конструкторы!$C$6:$C$33,$A23)</f>
        <v>0</v>
      </c>
      <c r="AF23" s="76">
        <f t="array" ref="AF23">SUMIFS(Конструкторы!K$6:K$33,Конструкторы!$C$6:$C$33,$A23)</f>
        <v>0</v>
      </c>
      <c r="AG23" s="76">
        <f t="array" ref="AG23">SUMIFS(Конструкторы!L$6:L$33,Конструкторы!$C$6:$C$33,$A23)</f>
        <v>0</v>
      </c>
      <c r="AH23" s="76">
        <f t="array" ref="AH23">SUMIFS(Конструкторы!M$6:M$33,Конструкторы!$C$6:$C$33,$A23)</f>
        <v>0</v>
      </c>
      <c r="AI23" s="76">
        <f t="array" ref="AI23">SUMIFS(Конструкторы!N$6:N$33,Конструкторы!$C$6:$C$33,$A23)</f>
        <v>0</v>
      </c>
      <c r="AJ23" s="76">
        <f t="array" ref="AJ23">SUMIFS(Конструкторы!O$6:O$33,Конструкторы!$C$6:$C$33,$A23)</f>
        <v>0</v>
      </c>
      <c r="AK23" s="76">
        <f t="array" ref="AK23">SUMIFS(Конструкторы!P$6:P$33,Конструкторы!$C$6:$C$33,$A23)</f>
        <v>0</v>
      </c>
      <c r="AL23" s="76">
        <f t="array" ref="AL23">SUMIFS(Конструкторы!Q$6:Q$33,Конструкторы!$C$6:$C$33,$A23)</f>
        <v>0</v>
      </c>
      <c r="AM23" s="76">
        <f t="array" ref="AM23">SUMIFS(Конструкторы!R$6:R$33,Конструкторы!$C$6:$C$33,$A23)</f>
        <v>0</v>
      </c>
      <c r="AN23" s="76">
        <f t="array" ref="AN23">SUMIFS(Конструкторы!S$6:S$33,Конструкторы!$C$6:$C$33,$A23)</f>
        <v>0</v>
      </c>
      <c r="AO23" s="76">
        <f t="array" ref="AO23">SUMIFS(Конструкторы!T$6:T$33,Конструкторы!$C$6:$C$33,$A23)</f>
        <v>0</v>
      </c>
      <c r="AP23" s="75">
        <f t="array" ref="AP23">SUMIFS(Конструкторы!I$1192:I$1277,Конструкторы!$C$1192:$C$1277,$A23)</f>
        <v>0</v>
      </c>
      <c r="AQ23" s="75">
        <f t="array" ref="AQ23">SUMIFS(Конструкторы!J$1192:J$1277,Конструкторы!$C$1192:$C$1277,$A23)</f>
        <v>0</v>
      </c>
      <c r="AR23" s="75">
        <f t="array" ref="AR23">SUMIFS(Конструкторы!K$1192:K$1277,Конструкторы!$C$1192:$C$1277,$A23)</f>
        <v>0</v>
      </c>
      <c r="AS23" s="75">
        <f t="array" ref="AS23">SUMIFS(Конструкторы!L$1192:L$1277,Конструкторы!$C$1192:$C$1277,$A23)</f>
        <v>0</v>
      </c>
      <c r="AT23" s="75">
        <f t="array" ref="AT23">SUMIFS(Конструкторы!M$1192:M$1277,Конструкторы!$C$1192:$C$1277,$A23)</f>
        <v>0</v>
      </c>
      <c r="AU23" s="75">
        <f t="array" ref="AU23">SUMIFS(Конструкторы!N$1192:N$1277,Конструкторы!$C$1192:$C$1277,$A23)</f>
        <v>0</v>
      </c>
      <c r="AV23" s="75">
        <f t="array" ref="AV23">SUMIFS(Конструкторы!O$1192:O$1277,Конструкторы!$C$1192:$C$1277,$A23)</f>
        <v>0</v>
      </c>
      <c r="AW23" s="75">
        <f t="array" ref="AW23">SUMIFS(Конструкторы!P$1192:P$1277,Конструкторы!$C$1192:$C$1277,$A23)</f>
        <v>0</v>
      </c>
      <c r="AX23" s="75">
        <f t="array" ref="AX23">SUMIFS(Конструкторы!Q$1192:Q$1277,Конструкторы!$C$1192:$C$1277,$A23)</f>
        <v>0</v>
      </c>
      <c r="AY23" s="75">
        <f t="array" ref="AY23">SUMIFS(Конструкторы!R$1192:R$1277,Конструкторы!$C$1192:$C$1277,$A23)</f>
        <v>0</v>
      </c>
      <c r="AZ23" s="75">
        <f t="array" ref="AZ23">SUMIFS(Конструкторы!S$1192:S$1277,Конструкторы!$C$1192:$C$1277,$A23)</f>
        <v>0</v>
      </c>
      <c r="BA23" s="75">
        <f t="array" ref="BA23">SUMIFS(Конструкторы!T$1192:T$1277,Конструкторы!$C$1192:$C$1277,$A23)</f>
        <v>0</v>
      </c>
      <c r="BB23" s="80">
        <f t="shared" si="12"/>
        <v>0</v>
      </c>
      <c r="BC23" s="80">
        <f t="shared" si="18"/>
        <v>0</v>
      </c>
      <c r="BD23" s="80">
        <f t="shared" si="19"/>
        <v>522.6</v>
      </c>
      <c r="BE23" s="80">
        <f t="shared" si="20"/>
        <v>0</v>
      </c>
      <c r="BF23" s="80">
        <f t="shared" si="21"/>
        <v>0</v>
      </c>
      <c r="BG23" s="80">
        <f t="shared" si="22"/>
        <v>0</v>
      </c>
      <c r="BH23" s="80">
        <f t="shared" si="23"/>
        <v>0</v>
      </c>
      <c r="BI23" s="80">
        <f t="shared" si="24"/>
        <v>0</v>
      </c>
      <c r="BJ23" s="80">
        <f t="shared" si="25"/>
        <v>0</v>
      </c>
      <c r="BK23" s="80">
        <f t="shared" si="26"/>
        <v>0</v>
      </c>
      <c r="BL23" s="80">
        <f t="shared" si="27"/>
        <v>0</v>
      </c>
      <c r="BM23" s="80">
        <f t="shared" si="28"/>
        <v>0</v>
      </c>
      <c r="BN23" s="84">
        <f t="shared" si="13"/>
        <v>0</v>
      </c>
      <c r="BO23" s="84">
        <f t="shared" si="29"/>
        <v>0</v>
      </c>
      <c r="BP23" s="84">
        <f t="shared" si="30"/>
        <v>600</v>
      </c>
      <c r="BQ23" s="84">
        <f t="shared" si="31"/>
        <v>0</v>
      </c>
      <c r="BR23" s="84">
        <f t="shared" si="32"/>
        <v>0</v>
      </c>
      <c r="BS23" s="84">
        <f t="shared" si="33"/>
        <v>0</v>
      </c>
      <c r="BT23" s="84">
        <f t="shared" si="14"/>
        <v>0</v>
      </c>
      <c r="BU23" s="84">
        <f t="shared" si="6"/>
        <v>0</v>
      </c>
      <c r="BV23" s="84">
        <f t="shared" si="7"/>
        <v>0</v>
      </c>
      <c r="BW23" s="84">
        <f t="shared" si="8"/>
        <v>0</v>
      </c>
      <c r="BX23" s="84">
        <f t="shared" si="9"/>
        <v>0</v>
      </c>
      <c r="BY23" s="83">
        <f t="shared" si="15"/>
        <v>0</v>
      </c>
      <c r="BZ23" s="79">
        <f t="shared" si="16"/>
        <v>0</v>
      </c>
      <c r="CA23" s="79">
        <f t="shared" si="16"/>
        <v>0</v>
      </c>
      <c r="CB23" s="79">
        <f t="shared" si="16"/>
        <v>28.571428571428573</v>
      </c>
      <c r="CC23" s="79">
        <f t="shared" si="16"/>
        <v>0</v>
      </c>
      <c r="CD23" s="79">
        <f t="shared" si="16"/>
        <v>0</v>
      </c>
      <c r="CE23" s="79">
        <f t="shared" si="16"/>
        <v>0</v>
      </c>
      <c r="CF23" s="79">
        <f t="shared" si="16"/>
        <v>0</v>
      </c>
      <c r="CG23" s="79">
        <f t="shared" si="16"/>
        <v>0</v>
      </c>
      <c r="CH23" s="79">
        <f t="shared" si="16"/>
        <v>0</v>
      </c>
      <c r="CI23" s="79">
        <f t="shared" si="16"/>
        <v>0</v>
      </c>
      <c r="CJ23" s="79">
        <f t="shared" si="16"/>
        <v>0</v>
      </c>
      <c r="CK23" s="79">
        <f t="shared" si="17"/>
        <v>0</v>
      </c>
    </row>
    <row r="24" spans="1:89" x14ac:dyDescent="0.25">
      <c r="A24" s="42" t="s">
        <v>46</v>
      </c>
      <c r="B24" s="70">
        <f t="array" ref="B24">INDEX(Технологи!$E$5:$E$552,MATCH(A24&amp;$A$1,Технологи!$B$5:$B$552&amp;Технологи!$C$5:$C$552,0))</f>
        <v>1.665</v>
      </c>
      <c r="C24" s="14">
        <v>1018</v>
      </c>
      <c r="D24" s="71">
        <v>12.5</v>
      </c>
      <c r="E24" s="71">
        <v>36</v>
      </c>
      <c r="F24" s="72">
        <f>SUMIFS(Продажи!F$5:F$360,Продажи!$D$5:$D$360,'Потребность профиль'!$A24,Продажи!$C$5:$C$360,"Профиль")</f>
        <v>1983</v>
      </c>
      <c r="G24" s="72">
        <f>SUMIFS(Продажи!G$5:G$360,Продажи!$D$5:$D$360,'Потребность профиль'!$A24,Продажи!$C$5:$C$360,"Профиль")</f>
        <v>2820</v>
      </c>
      <c r="H24" s="72">
        <f>SUMIFS(Продажи!H$5:H$360,Продажи!$D$5:$D$360,'Потребность профиль'!$A24,Продажи!$C$5:$C$360,"Профиль")</f>
        <v>1200</v>
      </c>
      <c r="I24" s="72">
        <f>SUMIFS(Продажи!I$5:I$360,Продажи!$D$5:$D$360,'Потребность профиль'!$A24,Продажи!$C$5:$C$360,"Профиль")</f>
        <v>300</v>
      </c>
      <c r="J24" s="72">
        <f>SUMIFS(Продажи!J$5:J$360,Продажи!$D$5:$D$360,'Потребность профиль'!$A24,Продажи!$C$5:$C$360,"Профиль")</f>
        <v>0</v>
      </c>
      <c r="K24" s="72">
        <f>SUMIFS(Продажи!K$5:K$360,Продажи!$D$5:$D$360,'Потребность профиль'!$A24,Продажи!$C$5:$C$360,"Профиль")</f>
        <v>0</v>
      </c>
      <c r="L24" s="72">
        <f>SUMIFS(Продажи!L$5:L$360,Продажи!$D$5:$D$360,'Потребность профиль'!$A24,Продажи!$C$5:$C$360,"Профиль")</f>
        <v>0</v>
      </c>
      <c r="M24" s="72">
        <f>SUMIFS(Продажи!M$5:M$360,Продажи!$D$5:$D$360,'Потребность профиль'!$A24,Продажи!$C$5:$C$360,"Профиль")</f>
        <v>0</v>
      </c>
      <c r="N24" s="72">
        <f>SUMIFS(Продажи!N$5:N$360,Продажи!$D$5:$D$360,'Потребность профиль'!$A24,Продажи!$C$5:$C$360,"Профиль")</f>
        <v>0</v>
      </c>
      <c r="O24" s="72">
        <f>SUMIFS(Продажи!O$5:O$360,Продажи!$D$5:$D$360,'Потребность профиль'!$A24,Продажи!$C$5:$C$360,"Профиль")</f>
        <v>0</v>
      </c>
      <c r="P24" s="72">
        <f>SUMIFS(Продажи!P$5:P$360,Продажи!$D$5:$D$360,'Потребность профиль'!$A24,Продажи!$C$5:$C$360,"Профиль")</f>
        <v>0</v>
      </c>
      <c r="Q24" s="72">
        <f>SUMIFS(Продажи!Q$5:Q$360,Продажи!$D$5:$D$360,'Потребность профиль'!$A24,Продажи!$C$5:$C$360,"Профиль")</f>
        <v>0</v>
      </c>
      <c r="R24" s="73">
        <f t="array" ref="R24">SUMIFS(Конструкторы!I$35:I$1191,Конструкторы!$C$35:$C$1191,$A24)</f>
        <v>0</v>
      </c>
      <c r="S24" s="73">
        <f t="array" ref="S24">SUMIFS(Конструкторы!J$35:J$1191,Конструкторы!$C$35:$C$1191,$A24)</f>
        <v>0</v>
      </c>
      <c r="T24" s="73">
        <f t="array" ref="T24">SUMIFS(Конструкторы!K$35:K$1191,Конструкторы!$C$35:$C$1191,$A24)</f>
        <v>0</v>
      </c>
      <c r="U24" s="73">
        <f t="array" ref="U24">SUMIFS(Конструкторы!L$35:L$1191,Конструкторы!$C$35:$C$1191,$A24)</f>
        <v>0</v>
      </c>
      <c r="V24" s="73">
        <f t="array" ref="V24">SUMIFS(Конструкторы!M$35:M$1191,Конструкторы!$C$35:$C$1191,$A24)</f>
        <v>0</v>
      </c>
      <c r="W24" s="73">
        <f t="array" ref="W24">SUMIFS(Конструкторы!N$35:N$1191,Конструкторы!$C$35:$C$1191,$A24)</f>
        <v>0</v>
      </c>
      <c r="X24" s="73">
        <f t="array" ref="X24">SUMIFS(Конструкторы!O$35:O$1191,Конструкторы!$C$35:$C$1191,$A24)</f>
        <v>0</v>
      </c>
      <c r="Y24" s="73">
        <f t="array" ref="Y24">SUMIFS(Конструкторы!P$35:P$1191,Конструкторы!$C$35:$C$1191,$A24)</f>
        <v>0</v>
      </c>
      <c r="Z24" s="73">
        <f t="array" ref="Z24">SUMIFS(Конструкторы!Q$35:Q$1191,Конструкторы!$C$35:$C$1191,$A24)</f>
        <v>0</v>
      </c>
      <c r="AA24" s="73">
        <f t="array" ref="AA24">SUMIFS(Конструкторы!R$35:R$1191,Конструкторы!$C$35:$C$1191,$A24)</f>
        <v>0</v>
      </c>
      <c r="AB24" s="73">
        <f t="array" ref="AB24">SUMIFS(Конструкторы!S$35:S$1191,Конструкторы!$C$35:$C$1191,$A24)</f>
        <v>0</v>
      </c>
      <c r="AC24" s="73">
        <f t="array" ref="AC24">SUMIFS(Конструкторы!T$35:T$1191,Конструкторы!$C$35:$C$1191,$A24)</f>
        <v>0</v>
      </c>
      <c r="AD24" s="76">
        <f t="array" ref="AD24">SUMIFS(Конструкторы!I$6:I$33,Конструкторы!$C$6:$C$33,$A24)</f>
        <v>0</v>
      </c>
      <c r="AE24" s="76">
        <f t="array" ref="AE24">SUMIFS(Конструкторы!J$6:J$33,Конструкторы!$C$6:$C$33,$A24)</f>
        <v>0</v>
      </c>
      <c r="AF24" s="76">
        <f t="array" ref="AF24">SUMIFS(Конструкторы!K$6:K$33,Конструкторы!$C$6:$C$33,$A24)</f>
        <v>0</v>
      </c>
      <c r="AG24" s="76">
        <f t="array" ref="AG24">SUMIFS(Конструкторы!L$6:L$33,Конструкторы!$C$6:$C$33,$A24)</f>
        <v>0</v>
      </c>
      <c r="AH24" s="76">
        <f t="array" ref="AH24">SUMIFS(Конструкторы!M$6:M$33,Конструкторы!$C$6:$C$33,$A24)</f>
        <v>0</v>
      </c>
      <c r="AI24" s="76">
        <f t="array" ref="AI24">SUMIFS(Конструкторы!N$6:N$33,Конструкторы!$C$6:$C$33,$A24)</f>
        <v>0</v>
      </c>
      <c r="AJ24" s="76">
        <f t="array" ref="AJ24">SUMIFS(Конструкторы!O$6:O$33,Конструкторы!$C$6:$C$33,$A24)</f>
        <v>0</v>
      </c>
      <c r="AK24" s="76">
        <f t="array" ref="AK24">SUMIFS(Конструкторы!P$6:P$33,Конструкторы!$C$6:$C$33,$A24)</f>
        <v>0</v>
      </c>
      <c r="AL24" s="76">
        <f t="array" ref="AL24">SUMIFS(Конструкторы!Q$6:Q$33,Конструкторы!$C$6:$C$33,$A24)</f>
        <v>0</v>
      </c>
      <c r="AM24" s="76">
        <f t="array" ref="AM24">SUMIFS(Конструкторы!R$6:R$33,Конструкторы!$C$6:$C$33,$A24)</f>
        <v>0</v>
      </c>
      <c r="AN24" s="76">
        <f t="array" ref="AN24">SUMIFS(Конструкторы!S$6:S$33,Конструкторы!$C$6:$C$33,$A24)</f>
        <v>0</v>
      </c>
      <c r="AO24" s="76">
        <f t="array" ref="AO24">SUMIFS(Конструкторы!T$6:T$33,Конструкторы!$C$6:$C$33,$A24)</f>
        <v>0</v>
      </c>
      <c r="AP24" s="75">
        <f t="array" ref="AP24">SUMIFS(Конструкторы!I$1192:I$1277,Конструкторы!$C$1192:$C$1277,$A24)</f>
        <v>0</v>
      </c>
      <c r="AQ24" s="75">
        <f t="array" ref="AQ24">SUMIFS(Конструкторы!J$1192:J$1277,Конструкторы!$C$1192:$C$1277,$A24)</f>
        <v>2200</v>
      </c>
      <c r="AR24" s="75">
        <f t="array" ref="AR24">SUMIFS(Конструкторы!K$1192:K$1277,Конструкторы!$C$1192:$C$1277,$A24)</f>
        <v>1500</v>
      </c>
      <c r="AS24" s="75">
        <f t="array" ref="AS24">SUMIFS(Конструкторы!L$1192:L$1277,Конструкторы!$C$1192:$C$1277,$A24)</f>
        <v>0</v>
      </c>
      <c r="AT24" s="75">
        <f t="array" ref="AT24">SUMIFS(Конструкторы!M$1192:M$1277,Конструкторы!$C$1192:$C$1277,$A24)</f>
        <v>0</v>
      </c>
      <c r="AU24" s="75">
        <f t="array" ref="AU24">SUMIFS(Конструкторы!N$1192:N$1277,Конструкторы!$C$1192:$C$1277,$A24)</f>
        <v>0</v>
      </c>
      <c r="AV24" s="75">
        <f t="array" ref="AV24">SUMIFS(Конструкторы!O$1192:O$1277,Конструкторы!$C$1192:$C$1277,$A24)</f>
        <v>0</v>
      </c>
      <c r="AW24" s="75">
        <f t="array" ref="AW24">SUMIFS(Конструкторы!P$1192:P$1277,Конструкторы!$C$1192:$C$1277,$A24)</f>
        <v>0</v>
      </c>
      <c r="AX24" s="75">
        <f t="array" ref="AX24">SUMIFS(Конструкторы!Q$1192:Q$1277,Конструкторы!$C$1192:$C$1277,$A24)</f>
        <v>0</v>
      </c>
      <c r="AY24" s="75">
        <f t="array" ref="AY24">SUMIFS(Конструкторы!R$1192:R$1277,Конструкторы!$C$1192:$C$1277,$A24)</f>
        <v>0</v>
      </c>
      <c r="AZ24" s="75">
        <f t="array" ref="AZ24">SUMIFS(Конструкторы!S$1192:S$1277,Конструкторы!$C$1192:$C$1277,$A24)</f>
        <v>0</v>
      </c>
      <c r="BA24" s="75">
        <f t="array" ref="BA24">SUMIFS(Конструкторы!T$1192:T$1277,Конструкторы!$C$1192:$C$1277,$A24)</f>
        <v>0</v>
      </c>
      <c r="BB24" s="80">
        <f t="shared" si="12"/>
        <v>5501.6949999999997</v>
      </c>
      <c r="BC24" s="80">
        <f t="shared" si="18"/>
        <v>6195.3</v>
      </c>
      <c r="BD24" s="80">
        <f t="shared" si="19"/>
        <v>1998</v>
      </c>
      <c r="BE24" s="80">
        <f t="shared" si="20"/>
        <v>499.5</v>
      </c>
      <c r="BF24" s="80">
        <f t="shared" si="21"/>
        <v>0</v>
      </c>
      <c r="BG24" s="80">
        <f t="shared" si="22"/>
        <v>0</v>
      </c>
      <c r="BH24" s="80">
        <f t="shared" si="23"/>
        <v>0</v>
      </c>
      <c r="BI24" s="80">
        <f t="shared" si="24"/>
        <v>0</v>
      </c>
      <c r="BJ24" s="80">
        <f t="shared" si="25"/>
        <v>0</v>
      </c>
      <c r="BK24" s="80">
        <f t="shared" si="26"/>
        <v>0</v>
      </c>
      <c r="BL24" s="80">
        <f t="shared" si="27"/>
        <v>0</v>
      </c>
      <c r="BM24" s="80">
        <f t="shared" si="28"/>
        <v>0</v>
      </c>
      <c r="BN24" s="84">
        <f t="shared" si="13"/>
        <v>3304.3213213213212</v>
      </c>
      <c r="BO24" s="84">
        <f t="shared" si="29"/>
        <v>3720.900900900901</v>
      </c>
      <c r="BP24" s="84">
        <f t="shared" si="30"/>
        <v>1200</v>
      </c>
      <c r="BQ24" s="84">
        <f t="shared" si="31"/>
        <v>300</v>
      </c>
      <c r="BR24" s="84">
        <f t="shared" si="32"/>
        <v>0</v>
      </c>
      <c r="BS24" s="84">
        <f t="shared" si="33"/>
        <v>0</v>
      </c>
      <c r="BT24" s="84">
        <f t="shared" si="14"/>
        <v>0</v>
      </c>
      <c r="BU24" s="84">
        <f t="shared" si="6"/>
        <v>0</v>
      </c>
      <c r="BV24" s="84">
        <f t="shared" si="7"/>
        <v>0</v>
      </c>
      <c r="BW24" s="84">
        <f t="shared" si="8"/>
        <v>0</v>
      </c>
      <c r="BX24" s="84">
        <f t="shared" si="9"/>
        <v>0</v>
      </c>
      <c r="BY24" s="83">
        <f t="shared" si="15"/>
        <v>0</v>
      </c>
      <c r="BZ24" s="79">
        <f t="shared" si="16"/>
        <v>91.786703370036705</v>
      </c>
      <c r="CA24" s="79">
        <f t="shared" si="16"/>
        <v>103.35835835835836</v>
      </c>
      <c r="CB24" s="79">
        <f t="shared" si="16"/>
        <v>33.333333333333336</v>
      </c>
      <c r="CC24" s="79">
        <f t="shared" si="16"/>
        <v>8.3333333333333339</v>
      </c>
      <c r="CD24" s="79">
        <f t="shared" si="16"/>
        <v>0</v>
      </c>
      <c r="CE24" s="79">
        <f t="shared" si="16"/>
        <v>0</v>
      </c>
      <c r="CF24" s="79">
        <f t="shared" si="16"/>
        <v>0</v>
      </c>
      <c r="CG24" s="79">
        <f t="shared" si="16"/>
        <v>0</v>
      </c>
      <c r="CH24" s="79">
        <f t="shared" si="16"/>
        <v>0</v>
      </c>
      <c r="CI24" s="79">
        <f t="shared" si="16"/>
        <v>0</v>
      </c>
      <c r="CJ24" s="79">
        <f t="shared" si="16"/>
        <v>0</v>
      </c>
      <c r="CK24" s="79">
        <f t="shared" si="17"/>
        <v>0</v>
      </c>
    </row>
    <row r="25" spans="1:89" x14ac:dyDescent="0.25">
      <c r="A25" s="42" t="s">
        <v>47</v>
      </c>
      <c r="B25" s="70">
        <f t="array" ref="B25">INDEX(Технологи!$E$5:$E$552,MATCH(A25&amp;$A$1,Технологи!$B$5:$B$552&amp;Технологи!$C$5:$C$552,0))</f>
        <v>2.0350000000000001</v>
      </c>
      <c r="C25" s="14">
        <v>1018</v>
      </c>
      <c r="D25" s="71">
        <v>12.5</v>
      </c>
      <c r="E25" s="71">
        <v>36</v>
      </c>
      <c r="F25" s="72">
        <f>SUMIFS(Продажи!F$5:F$360,Продажи!$D$5:$D$360,'Потребность профиль'!$A25,Продажи!$C$5:$C$360,"Профиль")</f>
        <v>723</v>
      </c>
      <c r="G25" s="72">
        <f>SUMIFS(Продажи!G$5:G$360,Продажи!$D$5:$D$360,'Потребность профиль'!$A25,Продажи!$C$5:$C$360,"Профиль")</f>
        <v>1320</v>
      </c>
      <c r="H25" s="72">
        <f>SUMIFS(Продажи!H$5:H$360,Продажи!$D$5:$D$360,'Потребность профиль'!$A25,Продажи!$C$5:$C$360,"Профиль")</f>
        <v>660</v>
      </c>
      <c r="I25" s="72">
        <f>SUMIFS(Продажи!I$5:I$360,Продажи!$D$5:$D$360,'Потребность профиль'!$A25,Продажи!$C$5:$C$360,"Профиль")</f>
        <v>360</v>
      </c>
      <c r="J25" s="72">
        <f>SUMIFS(Продажи!J$5:J$360,Продажи!$D$5:$D$360,'Потребность профиль'!$A25,Продажи!$C$5:$C$360,"Профиль")</f>
        <v>0</v>
      </c>
      <c r="K25" s="72">
        <f>SUMIFS(Продажи!K$5:K$360,Продажи!$D$5:$D$360,'Потребность профиль'!$A25,Продажи!$C$5:$C$360,"Профиль")</f>
        <v>0</v>
      </c>
      <c r="L25" s="72">
        <f>SUMIFS(Продажи!L$5:L$360,Продажи!$D$5:$D$360,'Потребность профиль'!$A25,Продажи!$C$5:$C$360,"Профиль")</f>
        <v>0</v>
      </c>
      <c r="M25" s="72">
        <f>SUMIFS(Продажи!M$5:M$360,Продажи!$D$5:$D$360,'Потребность профиль'!$A25,Продажи!$C$5:$C$360,"Профиль")</f>
        <v>0</v>
      </c>
      <c r="N25" s="72">
        <f>SUMIFS(Продажи!N$5:N$360,Продажи!$D$5:$D$360,'Потребность профиль'!$A25,Продажи!$C$5:$C$360,"Профиль")</f>
        <v>0</v>
      </c>
      <c r="O25" s="72">
        <f>SUMIFS(Продажи!O$5:O$360,Продажи!$D$5:$D$360,'Потребность профиль'!$A25,Продажи!$C$5:$C$360,"Профиль")</f>
        <v>0</v>
      </c>
      <c r="P25" s="72">
        <f>SUMIFS(Продажи!P$5:P$360,Продажи!$D$5:$D$360,'Потребность профиль'!$A25,Продажи!$C$5:$C$360,"Профиль")</f>
        <v>0</v>
      </c>
      <c r="Q25" s="72">
        <f>SUMIFS(Продажи!Q$5:Q$360,Продажи!$D$5:$D$360,'Потребность профиль'!$A25,Продажи!$C$5:$C$360,"Профиль")</f>
        <v>0</v>
      </c>
      <c r="R25" s="73">
        <f t="array" ref="R25">SUMIFS(Конструкторы!I$35:I$1191,Конструкторы!$C$35:$C$1191,$A25)</f>
        <v>0</v>
      </c>
      <c r="S25" s="73">
        <f t="array" ref="S25">SUMIFS(Конструкторы!J$35:J$1191,Конструкторы!$C$35:$C$1191,$A25)</f>
        <v>0</v>
      </c>
      <c r="T25" s="73">
        <f t="array" ref="T25">SUMIFS(Конструкторы!K$35:K$1191,Конструкторы!$C$35:$C$1191,$A25)</f>
        <v>0</v>
      </c>
      <c r="U25" s="73">
        <f t="array" ref="U25">SUMIFS(Конструкторы!L$35:L$1191,Конструкторы!$C$35:$C$1191,$A25)</f>
        <v>0</v>
      </c>
      <c r="V25" s="73">
        <f t="array" ref="V25">SUMIFS(Конструкторы!M$35:M$1191,Конструкторы!$C$35:$C$1191,$A25)</f>
        <v>0</v>
      </c>
      <c r="W25" s="73">
        <f t="array" ref="W25">SUMIFS(Конструкторы!N$35:N$1191,Конструкторы!$C$35:$C$1191,$A25)</f>
        <v>0</v>
      </c>
      <c r="X25" s="73">
        <f t="array" ref="X25">SUMIFS(Конструкторы!O$35:O$1191,Конструкторы!$C$35:$C$1191,$A25)</f>
        <v>0</v>
      </c>
      <c r="Y25" s="73">
        <f t="array" ref="Y25">SUMIFS(Конструкторы!P$35:P$1191,Конструкторы!$C$35:$C$1191,$A25)</f>
        <v>0</v>
      </c>
      <c r="Z25" s="73">
        <f t="array" ref="Z25">SUMIFS(Конструкторы!Q$35:Q$1191,Конструкторы!$C$35:$C$1191,$A25)</f>
        <v>0</v>
      </c>
      <c r="AA25" s="73">
        <f t="array" ref="AA25">SUMIFS(Конструкторы!R$35:R$1191,Конструкторы!$C$35:$C$1191,$A25)</f>
        <v>0</v>
      </c>
      <c r="AB25" s="73">
        <f t="array" ref="AB25">SUMIFS(Конструкторы!S$35:S$1191,Конструкторы!$C$35:$C$1191,$A25)</f>
        <v>0</v>
      </c>
      <c r="AC25" s="73">
        <f t="array" ref="AC25">SUMIFS(Конструкторы!T$35:T$1191,Конструкторы!$C$35:$C$1191,$A25)</f>
        <v>0</v>
      </c>
      <c r="AD25" s="76">
        <f t="array" ref="AD25">SUMIFS(Конструкторы!I$6:I$33,Конструкторы!$C$6:$C$33,$A25)</f>
        <v>0</v>
      </c>
      <c r="AE25" s="76">
        <f t="array" ref="AE25">SUMIFS(Конструкторы!J$6:J$33,Конструкторы!$C$6:$C$33,$A25)</f>
        <v>0</v>
      </c>
      <c r="AF25" s="76">
        <f t="array" ref="AF25">SUMIFS(Конструкторы!K$6:K$33,Конструкторы!$C$6:$C$33,$A25)</f>
        <v>0</v>
      </c>
      <c r="AG25" s="76">
        <f t="array" ref="AG25">SUMIFS(Конструкторы!L$6:L$33,Конструкторы!$C$6:$C$33,$A25)</f>
        <v>0</v>
      </c>
      <c r="AH25" s="76">
        <f t="array" ref="AH25">SUMIFS(Конструкторы!M$6:M$33,Конструкторы!$C$6:$C$33,$A25)</f>
        <v>0</v>
      </c>
      <c r="AI25" s="76">
        <f t="array" ref="AI25">SUMIFS(Конструкторы!N$6:N$33,Конструкторы!$C$6:$C$33,$A25)</f>
        <v>0</v>
      </c>
      <c r="AJ25" s="76">
        <f t="array" ref="AJ25">SUMIFS(Конструкторы!O$6:O$33,Конструкторы!$C$6:$C$33,$A25)</f>
        <v>0</v>
      </c>
      <c r="AK25" s="76">
        <f t="array" ref="AK25">SUMIFS(Конструкторы!P$6:P$33,Конструкторы!$C$6:$C$33,$A25)</f>
        <v>0</v>
      </c>
      <c r="AL25" s="76">
        <f t="array" ref="AL25">SUMIFS(Конструкторы!Q$6:Q$33,Конструкторы!$C$6:$C$33,$A25)</f>
        <v>0</v>
      </c>
      <c r="AM25" s="76">
        <f t="array" ref="AM25">SUMIFS(Конструкторы!R$6:R$33,Конструкторы!$C$6:$C$33,$A25)</f>
        <v>0</v>
      </c>
      <c r="AN25" s="76">
        <f t="array" ref="AN25">SUMIFS(Конструкторы!S$6:S$33,Конструкторы!$C$6:$C$33,$A25)</f>
        <v>0</v>
      </c>
      <c r="AO25" s="76">
        <f t="array" ref="AO25">SUMIFS(Конструкторы!T$6:T$33,Конструкторы!$C$6:$C$33,$A25)</f>
        <v>0</v>
      </c>
      <c r="AP25" s="75">
        <f t="array" ref="AP25">SUMIFS(Конструкторы!I$1192:I$1277,Конструкторы!$C$1192:$C$1277,$A25)</f>
        <v>0</v>
      </c>
      <c r="AQ25" s="75">
        <f t="array" ref="AQ25">SUMIFS(Конструкторы!J$1192:J$1277,Конструкторы!$C$1192:$C$1277,$A25)</f>
        <v>0</v>
      </c>
      <c r="AR25" s="75">
        <f t="array" ref="AR25">SUMIFS(Конструкторы!K$1192:K$1277,Конструкторы!$C$1192:$C$1277,$A25)</f>
        <v>0</v>
      </c>
      <c r="AS25" s="75">
        <f t="array" ref="AS25">SUMIFS(Конструкторы!L$1192:L$1277,Конструкторы!$C$1192:$C$1277,$A25)</f>
        <v>0</v>
      </c>
      <c r="AT25" s="75">
        <f t="array" ref="AT25">SUMIFS(Конструкторы!M$1192:M$1277,Конструкторы!$C$1192:$C$1277,$A25)</f>
        <v>0</v>
      </c>
      <c r="AU25" s="75">
        <f t="array" ref="AU25">SUMIFS(Конструкторы!N$1192:N$1277,Конструкторы!$C$1192:$C$1277,$A25)</f>
        <v>0</v>
      </c>
      <c r="AV25" s="75">
        <f t="array" ref="AV25">SUMIFS(Конструкторы!O$1192:O$1277,Конструкторы!$C$1192:$C$1277,$A25)</f>
        <v>0</v>
      </c>
      <c r="AW25" s="75">
        <f t="array" ref="AW25">SUMIFS(Конструкторы!P$1192:P$1277,Конструкторы!$C$1192:$C$1277,$A25)</f>
        <v>0</v>
      </c>
      <c r="AX25" s="75">
        <f t="array" ref="AX25">SUMIFS(Конструкторы!Q$1192:Q$1277,Конструкторы!$C$1192:$C$1277,$A25)</f>
        <v>0</v>
      </c>
      <c r="AY25" s="75">
        <f t="array" ref="AY25">SUMIFS(Конструкторы!R$1192:R$1277,Конструкторы!$C$1192:$C$1277,$A25)</f>
        <v>0</v>
      </c>
      <c r="AZ25" s="75">
        <f t="array" ref="AZ25">SUMIFS(Конструкторы!S$1192:S$1277,Конструкторы!$C$1192:$C$1277,$A25)</f>
        <v>0</v>
      </c>
      <c r="BA25" s="75">
        <f t="array" ref="BA25">SUMIFS(Конструкторы!T$1192:T$1277,Конструкторы!$C$1192:$C$1277,$A25)</f>
        <v>0</v>
      </c>
      <c r="BB25" s="80">
        <f t="shared" si="12"/>
        <v>1471.3050000000001</v>
      </c>
      <c r="BC25" s="80">
        <f t="shared" si="18"/>
        <v>2686.2000000000003</v>
      </c>
      <c r="BD25" s="80">
        <f t="shared" si="19"/>
        <v>1343.1000000000001</v>
      </c>
      <c r="BE25" s="80">
        <f t="shared" si="20"/>
        <v>732.6</v>
      </c>
      <c r="BF25" s="80">
        <f t="shared" si="21"/>
        <v>0</v>
      </c>
      <c r="BG25" s="80">
        <f t="shared" si="22"/>
        <v>0</v>
      </c>
      <c r="BH25" s="80">
        <f t="shared" si="23"/>
        <v>0</v>
      </c>
      <c r="BI25" s="80">
        <f t="shared" si="24"/>
        <v>0</v>
      </c>
      <c r="BJ25" s="80">
        <f t="shared" si="25"/>
        <v>0</v>
      </c>
      <c r="BK25" s="80">
        <f t="shared" si="26"/>
        <v>0</v>
      </c>
      <c r="BL25" s="80">
        <f t="shared" si="27"/>
        <v>0</v>
      </c>
      <c r="BM25" s="80">
        <f t="shared" si="28"/>
        <v>0</v>
      </c>
      <c r="BN25" s="84">
        <f t="shared" si="13"/>
        <v>723</v>
      </c>
      <c r="BO25" s="84">
        <f t="shared" si="29"/>
        <v>1320</v>
      </c>
      <c r="BP25" s="84">
        <f t="shared" si="30"/>
        <v>660</v>
      </c>
      <c r="BQ25" s="84">
        <f t="shared" si="31"/>
        <v>360</v>
      </c>
      <c r="BR25" s="84">
        <f t="shared" si="32"/>
        <v>0</v>
      </c>
      <c r="BS25" s="84">
        <f t="shared" si="33"/>
        <v>0</v>
      </c>
      <c r="BT25" s="84">
        <f t="shared" si="14"/>
        <v>0</v>
      </c>
      <c r="BU25" s="84">
        <f t="shared" si="6"/>
        <v>0</v>
      </c>
      <c r="BV25" s="84">
        <f t="shared" si="7"/>
        <v>0</v>
      </c>
      <c r="BW25" s="84">
        <f t="shared" si="8"/>
        <v>0</v>
      </c>
      <c r="BX25" s="84">
        <f t="shared" si="9"/>
        <v>0</v>
      </c>
      <c r="BY25" s="83">
        <f t="shared" si="15"/>
        <v>0</v>
      </c>
      <c r="BZ25" s="79">
        <f t="shared" si="16"/>
        <v>20.083333333333332</v>
      </c>
      <c r="CA25" s="79">
        <f t="shared" si="16"/>
        <v>36.666666666666664</v>
      </c>
      <c r="CB25" s="79">
        <f t="shared" si="16"/>
        <v>18.333333333333332</v>
      </c>
      <c r="CC25" s="79">
        <f t="shared" si="16"/>
        <v>10</v>
      </c>
      <c r="CD25" s="79">
        <f t="shared" si="16"/>
        <v>0</v>
      </c>
      <c r="CE25" s="79">
        <f t="shared" si="16"/>
        <v>0</v>
      </c>
      <c r="CF25" s="79">
        <f t="shared" si="16"/>
        <v>0</v>
      </c>
      <c r="CG25" s="79">
        <f t="shared" si="16"/>
        <v>0</v>
      </c>
      <c r="CH25" s="79">
        <f t="shared" si="16"/>
        <v>0</v>
      </c>
      <c r="CI25" s="79">
        <f t="shared" si="16"/>
        <v>0</v>
      </c>
      <c r="CJ25" s="79">
        <f t="shared" si="16"/>
        <v>0</v>
      </c>
      <c r="CK25" s="79">
        <f t="shared" si="17"/>
        <v>0</v>
      </c>
    </row>
    <row r="26" spans="1:89" x14ac:dyDescent="0.25">
      <c r="A26" s="42" t="s">
        <v>36</v>
      </c>
      <c r="B26" s="70">
        <f t="array" ref="B26">INDEX(Технологи!$E$5:$E$552,MATCH(A26&amp;$A$1,Технологи!$B$5:$B$552&amp;Технологи!$C$5:$C$552,0))</f>
        <v>0.4</v>
      </c>
      <c r="C26" s="14">
        <v>1018</v>
      </c>
      <c r="D26" s="71">
        <v>6.75</v>
      </c>
      <c r="E26" s="71">
        <v>48</v>
      </c>
      <c r="F26" s="72">
        <f>SUMIFS(Продажи!F$5:F$360,Продажи!$D$5:$D$360,'Потребность профиль'!$A26,Продажи!$C$5:$C$360,"Профиль")</f>
        <v>0</v>
      </c>
      <c r="G26" s="72">
        <f>SUMIFS(Продажи!G$5:G$360,Продажи!$D$5:$D$360,'Потребность профиль'!$A26,Продажи!$C$5:$C$360,"Профиль")</f>
        <v>0</v>
      </c>
      <c r="H26" s="72">
        <f>SUMIFS(Продажи!H$5:H$360,Продажи!$D$5:$D$360,'Потребность профиль'!$A26,Продажи!$C$5:$C$360,"Профиль")</f>
        <v>0</v>
      </c>
      <c r="I26" s="72">
        <f>SUMIFS(Продажи!I$5:I$360,Продажи!$D$5:$D$360,'Потребность профиль'!$A26,Продажи!$C$5:$C$360,"Профиль")</f>
        <v>244.42</v>
      </c>
      <c r="J26" s="72">
        <f>SUMIFS(Продажи!J$5:J$360,Продажи!$D$5:$D$360,'Потребность профиль'!$A26,Продажи!$C$5:$C$360,"Профиль")</f>
        <v>244.42</v>
      </c>
      <c r="K26" s="72">
        <f>SUMIFS(Продажи!K$5:K$360,Продажи!$D$5:$D$360,'Потребность профиль'!$A26,Продажи!$C$5:$C$360,"Профиль")</f>
        <v>244.42</v>
      </c>
      <c r="L26" s="72">
        <f>SUMIFS(Продажи!L$5:L$360,Продажи!$D$5:$D$360,'Потребность профиль'!$A26,Продажи!$C$5:$C$360,"Профиль")</f>
        <v>244.42</v>
      </c>
      <c r="M26" s="72">
        <f>SUMIFS(Продажи!M$5:M$360,Продажи!$D$5:$D$360,'Потребность профиль'!$A26,Продажи!$C$5:$C$360,"Профиль")</f>
        <v>244.42</v>
      </c>
      <c r="N26" s="72">
        <f>SUMIFS(Продажи!N$5:N$360,Продажи!$D$5:$D$360,'Потребность профиль'!$A26,Продажи!$C$5:$C$360,"Профиль")</f>
        <v>244.42</v>
      </c>
      <c r="O26" s="72">
        <f>SUMIFS(Продажи!O$5:O$360,Продажи!$D$5:$D$360,'Потребность профиль'!$A26,Продажи!$C$5:$C$360,"Профиль")</f>
        <v>244.42</v>
      </c>
      <c r="P26" s="72">
        <f>SUMIFS(Продажи!P$5:P$360,Продажи!$D$5:$D$360,'Потребность профиль'!$A26,Продажи!$C$5:$C$360,"Профиль")</f>
        <v>244.42</v>
      </c>
      <c r="Q26" s="72">
        <f>SUMIFS(Продажи!Q$5:Q$360,Продажи!$D$5:$D$360,'Потребность профиль'!$A26,Продажи!$C$5:$C$360,"Профиль")</f>
        <v>244.42</v>
      </c>
      <c r="R26" s="73">
        <f t="array" ref="R26">SUMIFS(Конструкторы!I$35:I$1191,Конструкторы!$C$35:$C$1191,$A26)</f>
        <v>0</v>
      </c>
      <c r="S26" s="73">
        <f t="array" ref="S26">SUMIFS(Конструкторы!J$35:J$1191,Конструкторы!$C$35:$C$1191,$A26)</f>
        <v>0</v>
      </c>
      <c r="T26" s="73">
        <f t="array" ref="T26">SUMIFS(Конструкторы!K$35:K$1191,Конструкторы!$C$35:$C$1191,$A26)</f>
        <v>0</v>
      </c>
      <c r="U26" s="73">
        <f t="array" ref="U26">SUMIFS(Конструкторы!L$35:L$1191,Конструкторы!$C$35:$C$1191,$A26)</f>
        <v>0</v>
      </c>
      <c r="V26" s="73">
        <f t="array" ref="V26">SUMIFS(Конструкторы!M$35:M$1191,Конструкторы!$C$35:$C$1191,$A26)</f>
        <v>0</v>
      </c>
      <c r="W26" s="73">
        <f t="array" ref="W26">SUMIFS(Конструкторы!N$35:N$1191,Конструкторы!$C$35:$C$1191,$A26)</f>
        <v>0</v>
      </c>
      <c r="X26" s="73">
        <f t="array" ref="X26">SUMIFS(Конструкторы!O$35:O$1191,Конструкторы!$C$35:$C$1191,$A26)</f>
        <v>0</v>
      </c>
      <c r="Y26" s="73">
        <f t="array" ref="Y26">SUMIFS(Конструкторы!P$35:P$1191,Конструкторы!$C$35:$C$1191,$A26)</f>
        <v>0</v>
      </c>
      <c r="Z26" s="73">
        <f t="array" ref="Z26">SUMIFS(Конструкторы!Q$35:Q$1191,Конструкторы!$C$35:$C$1191,$A26)</f>
        <v>0</v>
      </c>
      <c r="AA26" s="73">
        <f t="array" ref="AA26">SUMIFS(Конструкторы!R$35:R$1191,Конструкторы!$C$35:$C$1191,$A26)</f>
        <v>0</v>
      </c>
      <c r="AB26" s="73">
        <f t="array" ref="AB26">SUMIFS(Конструкторы!S$35:S$1191,Конструкторы!$C$35:$C$1191,$A26)</f>
        <v>0</v>
      </c>
      <c r="AC26" s="73">
        <f t="array" ref="AC26">SUMIFS(Конструкторы!T$35:T$1191,Конструкторы!$C$35:$C$1191,$A26)</f>
        <v>0</v>
      </c>
      <c r="AD26" s="76">
        <f t="array" ref="AD26">SUMIFS(Конструкторы!I$6:I$33,Конструкторы!$C$6:$C$33,$A26)</f>
        <v>0</v>
      </c>
      <c r="AE26" s="76">
        <f t="array" ref="AE26">SUMIFS(Конструкторы!J$6:J$33,Конструкторы!$C$6:$C$33,$A26)</f>
        <v>0</v>
      </c>
      <c r="AF26" s="76">
        <f t="array" ref="AF26">SUMIFS(Конструкторы!K$6:K$33,Конструкторы!$C$6:$C$33,$A26)</f>
        <v>0</v>
      </c>
      <c r="AG26" s="76">
        <f t="array" ref="AG26">SUMIFS(Конструкторы!L$6:L$33,Конструкторы!$C$6:$C$33,$A26)</f>
        <v>0</v>
      </c>
      <c r="AH26" s="76">
        <f t="array" ref="AH26">SUMIFS(Конструкторы!M$6:M$33,Конструкторы!$C$6:$C$33,$A26)</f>
        <v>0</v>
      </c>
      <c r="AI26" s="76">
        <f t="array" ref="AI26">SUMIFS(Конструкторы!N$6:N$33,Конструкторы!$C$6:$C$33,$A26)</f>
        <v>0</v>
      </c>
      <c r="AJ26" s="76">
        <f t="array" ref="AJ26">SUMIFS(Конструкторы!O$6:O$33,Конструкторы!$C$6:$C$33,$A26)</f>
        <v>0</v>
      </c>
      <c r="AK26" s="76">
        <f t="array" ref="AK26">SUMIFS(Конструкторы!P$6:P$33,Конструкторы!$C$6:$C$33,$A26)</f>
        <v>0</v>
      </c>
      <c r="AL26" s="76">
        <f t="array" ref="AL26">SUMIFS(Конструкторы!Q$6:Q$33,Конструкторы!$C$6:$C$33,$A26)</f>
        <v>0</v>
      </c>
      <c r="AM26" s="76">
        <f t="array" ref="AM26">SUMIFS(Конструкторы!R$6:R$33,Конструкторы!$C$6:$C$33,$A26)</f>
        <v>0</v>
      </c>
      <c r="AN26" s="76">
        <f t="array" ref="AN26">SUMIFS(Конструкторы!S$6:S$33,Конструкторы!$C$6:$C$33,$A26)</f>
        <v>0</v>
      </c>
      <c r="AO26" s="76">
        <f t="array" ref="AO26">SUMIFS(Конструкторы!T$6:T$33,Конструкторы!$C$6:$C$33,$A26)</f>
        <v>0</v>
      </c>
      <c r="AP26" s="75">
        <f t="array" ref="AP26">SUMIFS(Конструкторы!I$1192:I$1277,Конструкторы!$C$1192:$C$1277,$A26)</f>
        <v>0</v>
      </c>
      <c r="AQ26" s="75">
        <f t="array" ref="AQ26">SUMIFS(Конструкторы!J$1192:J$1277,Конструкторы!$C$1192:$C$1277,$A26)</f>
        <v>0</v>
      </c>
      <c r="AR26" s="75">
        <f t="array" ref="AR26">SUMIFS(Конструкторы!K$1192:K$1277,Конструкторы!$C$1192:$C$1277,$A26)</f>
        <v>0</v>
      </c>
      <c r="AS26" s="75">
        <f t="array" ref="AS26">SUMIFS(Конструкторы!L$1192:L$1277,Конструкторы!$C$1192:$C$1277,$A26)</f>
        <v>0</v>
      </c>
      <c r="AT26" s="75">
        <f t="array" ref="AT26">SUMIFS(Конструкторы!M$1192:M$1277,Конструкторы!$C$1192:$C$1277,$A26)</f>
        <v>0</v>
      </c>
      <c r="AU26" s="75">
        <f t="array" ref="AU26">SUMIFS(Конструкторы!N$1192:N$1277,Конструкторы!$C$1192:$C$1277,$A26)</f>
        <v>0</v>
      </c>
      <c r="AV26" s="75">
        <f t="array" ref="AV26">SUMIFS(Конструкторы!O$1192:O$1277,Конструкторы!$C$1192:$C$1277,$A26)</f>
        <v>0</v>
      </c>
      <c r="AW26" s="75">
        <f t="array" ref="AW26">SUMIFS(Конструкторы!P$1192:P$1277,Конструкторы!$C$1192:$C$1277,$A26)</f>
        <v>0</v>
      </c>
      <c r="AX26" s="75">
        <f t="array" ref="AX26">SUMIFS(Конструкторы!Q$1192:Q$1277,Конструкторы!$C$1192:$C$1277,$A26)</f>
        <v>0</v>
      </c>
      <c r="AY26" s="75">
        <f t="array" ref="AY26">SUMIFS(Конструкторы!R$1192:R$1277,Конструкторы!$C$1192:$C$1277,$A26)</f>
        <v>0</v>
      </c>
      <c r="AZ26" s="75">
        <f t="array" ref="AZ26">SUMIFS(Конструкторы!S$1192:S$1277,Конструкторы!$C$1192:$C$1277,$A26)</f>
        <v>0</v>
      </c>
      <c r="BA26" s="75">
        <f t="array" ref="BA26">SUMIFS(Конструкторы!T$1192:T$1277,Конструкторы!$C$1192:$C$1277,$A26)</f>
        <v>0</v>
      </c>
      <c r="BB26" s="80">
        <f t="shared" si="12"/>
        <v>0</v>
      </c>
      <c r="BC26" s="80">
        <f t="shared" si="18"/>
        <v>0</v>
      </c>
      <c r="BD26" s="80">
        <f t="shared" si="19"/>
        <v>0</v>
      </c>
      <c r="BE26" s="80">
        <f t="shared" si="20"/>
        <v>97.768000000000001</v>
      </c>
      <c r="BF26" s="80">
        <f t="shared" si="21"/>
        <v>97.768000000000001</v>
      </c>
      <c r="BG26" s="80">
        <f t="shared" si="22"/>
        <v>97.768000000000001</v>
      </c>
      <c r="BH26" s="80">
        <f t="shared" si="23"/>
        <v>97.768000000000001</v>
      </c>
      <c r="BI26" s="80">
        <f t="shared" si="24"/>
        <v>97.768000000000001</v>
      </c>
      <c r="BJ26" s="80">
        <f t="shared" si="25"/>
        <v>97.768000000000001</v>
      </c>
      <c r="BK26" s="80">
        <f t="shared" si="26"/>
        <v>97.768000000000001</v>
      </c>
      <c r="BL26" s="80">
        <f t="shared" si="27"/>
        <v>97.768000000000001</v>
      </c>
      <c r="BM26" s="80">
        <f t="shared" si="28"/>
        <v>97.768000000000001</v>
      </c>
      <c r="BN26" s="84">
        <f t="shared" si="13"/>
        <v>0</v>
      </c>
      <c r="BO26" s="84">
        <f t="shared" si="29"/>
        <v>0</v>
      </c>
      <c r="BP26" s="84">
        <f t="shared" si="30"/>
        <v>0</v>
      </c>
      <c r="BQ26" s="84">
        <f t="shared" si="31"/>
        <v>244.42</v>
      </c>
      <c r="BR26" s="84">
        <f t="shared" si="32"/>
        <v>244.42</v>
      </c>
      <c r="BS26" s="84">
        <f t="shared" si="33"/>
        <v>244.42</v>
      </c>
      <c r="BT26" s="84">
        <f t="shared" si="14"/>
        <v>244.42</v>
      </c>
      <c r="BU26" s="84">
        <f t="shared" si="6"/>
        <v>244.42</v>
      </c>
      <c r="BV26" s="84">
        <f t="shared" si="7"/>
        <v>244.42</v>
      </c>
      <c r="BW26" s="84">
        <f t="shared" si="8"/>
        <v>244.42</v>
      </c>
      <c r="BX26" s="84">
        <f t="shared" si="9"/>
        <v>244.42</v>
      </c>
      <c r="BY26" s="83">
        <f t="shared" si="15"/>
        <v>244.42</v>
      </c>
      <c r="BZ26" s="79">
        <f t="shared" si="16"/>
        <v>0</v>
      </c>
      <c r="CA26" s="79">
        <f t="shared" si="16"/>
        <v>0</v>
      </c>
      <c r="CB26" s="79">
        <f t="shared" si="16"/>
        <v>0</v>
      </c>
      <c r="CC26" s="79">
        <f t="shared" si="16"/>
        <v>5.0920833333333331</v>
      </c>
      <c r="CD26" s="79">
        <f t="shared" si="16"/>
        <v>5.0920833333333331</v>
      </c>
      <c r="CE26" s="79">
        <f t="shared" si="16"/>
        <v>5.0920833333333331</v>
      </c>
      <c r="CF26" s="79">
        <f t="shared" si="16"/>
        <v>5.0920833333333331</v>
      </c>
      <c r="CG26" s="79">
        <f t="shared" si="16"/>
        <v>5.0920833333333331</v>
      </c>
      <c r="CH26" s="79">
        <f t="shared" si="16"/>
        <v>5.0920833333333331</v>
      </c>
      <c r="CI26" s="79">
        <f t="shared" si="16"/>
        <v>5.0920833333333331</v>
      </c>
      <c r="CJ26" s="79">
        <f t="shared" si="16"/>
        <v>5.0920833333333331</v>
      </c>
      <c r="CK26" s="79">
        <f t="shared" si="17"/>
        <v>5.0920833333333331</v>
      </c>
    </row>
    <row r="27" spans="1:89" x14ac:dyDescent="0.25">
      <c r="A27" s="42" t="s">
        <v>37</v>
      </c>
      <c r="B27" s="70">
        <f t="array" ref="B27">INDEX(Технологи!$E$5:$E$552,MATCH(A27&amp;$A$1,Технологи!$B$5:$B$552&amp;Технологи!$C$5:$C$552,0))</f>
        <v>0.50600000000000001</v>
      </c>
      <c r="C27" s="14">
        <v>1018</v>
      </c>
      <c r="D27" s="71">
        <v>6.75</v>
      </c>
      <c r="E27" s="71">
        <v>48</v>
      </c>
      <c r="F27" s="72">
        <f>SUMIFS(Продажи!F$5:F$360,Продажи!$D$5:$D$360,'Потребность профиль'!$A27,Продажи!$C$5:$C$360,"Профиль")</f>
        <v>8812.7999999999993</v>
      </c>
      <c r="G27" s="72">
        <f>SUMIFS(Продажи!G$5:G$360,Продажи!$D$5:$D$360,'Потребность профиль'!$A27,Продажи!$C$5:$C$360,"Профиль")</f>
        <v>3780</v>
      </c>
      <c r="H27" s="72">
        <f>SUMIFS(Продажи!H$5:H$360,Продажи!$D$5:$D$360,'Потребность профиль'!$A27,Продажи!$C$5:$C$360,"Профиль")</f>
        <v>1890</v>
      </c>
      <c r="I27" s="72">
        <f>SUMIFS(Продажи!I$5:I$360,Продажи!$D$5:$D$360,'Потребность профиль'!$A27,Продажи!$C$5:$C$360,"Профиль")</f>
        <v>900</v>
      </c>
      <c r="J27" s="72">
        <f>SUMIFS(Продажи!J$5:J$360,Продажи!$D$5:$D$360,'Потребность профиль'!$A27,Продажи!$C$5:$C$360,"Профиль")</f>
        <v>0</v>
      </c>
      <c r="K27" s="72">
        <f>SUMIFS(Продажи!K$5:K$360,Продажи!$D$5:$D$360,'Потребность профиль'!$A27,Продажи!$C$5:$C$360,"Профиль")</f>
        <v>0</v>
      </c>
      <c r="L27" s="72">
        <f>SUMIFS(Продажи!L$5:L$360,Продажи!$D$5:$D$360,'Потребность профиль'!$A27,Продажи!$C$5:$C$360,"Профиль")</f>
        <v>0</v>
      </c>
      <c r="M27" s="72">
        <f>SUMIFS(Продажи!M$5:M$360,Продажи!$D$5:$D$360,'Потребность профиль'!$A27,Продажи!$C$5:$C$360,"Профиль")</f>
        <v>0</v>
      </c>
      <c r="N27" s="72">
        <f>SUMIFS(Продажи!N$5:N$360,Продажи!$D$5:$D$360,'Потребность профиль'!$A27,Продажи!$C$5:$C$360,"Профиль")</f>
        <v>0</v>
      </c>
      <c r="O27" s="72">
        <f>SUMIFS(Продажи!O$5:O$360,Продажи!$D$5:$D$360,'Потребность профиль'!$A27,Продажи!$C$5:$C$360,"Профиль")</f>
        <v>0</v>
      </c>
      <c r="P27" s="72">
        <f>SUMIFS(Продажи!P$5:P$360,Продажи!$D$5:$D$360,'Потребность профиль'!$A27,Продажи!$C$5:$C$360,"Профиль")</f>
        <v>0</v>
      </c>
      <c r="Q27" s="72">
        <f>SUMIFS(Продажи!Q$5:Q$360,Продажи!$D$5:$D$360,'Потребность профиль'!$A27,Продажи!$C$5:$C$360,"Профиль")</f>
        <v>0</v>
      </c>
      <c r="R27" s="73">
        <f t="array" ref="R27">SUMIFS(Конструкторы!I$35:I$1191,Конструкторы!$C$35:$C$1191,$A27)</f>
        <v>0</v>
      </c>
      <c r="S27" s="73">
        <f t="array" ref="S27">SUMIFS(Конструкторы!J$35:J$1191,Конструкторы!$C$35:$C$1191,$A27)</f>
        <v>0</v>
      </c>
      <c r="T27" s="73">
        <f t="array" ref="T27">SUMIFS(Конструкторы!K$35:K$1191,Конструкторы!$C$35:$C$1191,$A27)</f>
        <v>0</v>
      </c>
      <c r="U27" s="73">
        <f t="array" ref="U27">SUMIFS(Конструкторы!L$35:L$1191,Конструкторы!$C$35:$C$1191,$A27)</f>
        <v>0</v>
      </c>
      <c r="V27" s="73">
        <f t="array" ref="V27">SUMIFS(Конструкторы!M$35:M$1191,Конструкторы!$C$35:$C$1191,$A27)</f>
        <v>0</v>
      </c>
      <c r="W27" s="73">
        <f t="array" ref="W27">SUMIFS(Конструкторы!N$35:N$1191,Конструкторы!$C$35:$C$1191,$A27)</f>
        <v>0</v>
      </c>
      <c r="X27" s="73">
        <f t="array" ref="X27">SUMIFS(Конструкторы!O$35:O$1191,Конструкторы!$C$35:$C$1191,$A27)</f>
        <v>0</v>
      </c>
      <c r="Y27" s="73">
        <f t="array" ref="Y27">SUMIFS(Конструкторы!P$35:P$1191,Конструкторы!$C$35:$C$1191,$A27)</f>
        <v>0</v>
      </c>
      <c r="Z27" s="73">
        <f t="array" ref="Z27">SUMIFS(Конструкторы!Q$35:Q$1191,Конструкторы!$C$35:$C$1191,$A27)</f>
        <v>0</v>
      </c>
      <c r="AA27" s="73">
        <f t="array" ref="AA27">SUMIFS(Конструкторы!R$35:R$1191,Конструкторы!$C$35:$C$1191,$A27)</f>
        <v>0</v>
      </c>
      <c r="AB27" s="73">
        <f t="array" ref="AB27">SUMIFS(Конструкторы!S$35:S$1191,Конструкторы!$C$35:$C$1191,$A27)</f>
        <v>0</v>
      </c>
      <c r="AC27" s="73">
        <f t="array" ref="AC27">SUMIFS(Конструкторы!T$35:T$1191,Конструкторы!$C$35:$C$1191,$A27)</f>
        <v>0</v>
      </c>
      <c r="AD27" s="76">
        <f t="array" ref="AD27">SUMIFS(Конструкторы!I$6:I$33,Конструкторы!$C$6:$C$33,$A27)</f>
        <v>0</v>
      </c>
      <c r="AE27" s="76">
        <f t="array" ref="AE27">SUMIFS(Конструкторы!J$6:J$33,Конструкторы!$C$6:$C$33,$A27)</f>
        <v>0</v>
      </c>
      <c r="AF27" s="76">
        <f t="array" ref="AF27">SUMIFS(Конструкторы!K$6:K$33,Конструкторы!$C$6:$C$33,$A27)</f>
        <v>0</v>
      </c>
      <c r="AG27" s="76">
        <f t="array" ref="AG27">SUMIFS(Конструкторы!L$6:L$33,Конструкторы!$C$6:$C$33,$A27)</f>
        <v>0</v>
      </c>
      <c r="AH27" s="76">
        <f t="array" ref="AH27">SUMIFS(Конструкторы!M$6:M$33,Конструкторы!$C$6:$C$33,$A27)</f>
        <v>0</v>
      </c>
      <c r="AI27" s="76">
        <f t="array" ref="AI27">SUMIFS(Конструкторы!N$6:N$33,Конструкторы!$C$6:$C$33,$A27)</f>
        <v>0</v>
      </c>
      <c r="AJ27" s="76">
        <f t="array" ref="AJ27">SUMIFS(Конструкторы!O$6:O$33,Конструкторы!$C$6:$C$33,$A27)</f>
        <v>0</v>
      </c>
      <c r="AK27" s="76">
        <f t="array" ref="AK27">SUMIFS(Конструкторы!P$6:P$33,Конструкторы!$C$6:$C$33,$A27)</f>
        <v>0</v>
      </c>
      <c r="AL27" s="76">
        <f t="array" ref="AL27">SUMIFS(Конструкторы!Q$6:Q$33,Конструкторы!$C$6:$C$33,$A27)</f>
        <v>0</v>
      </c>
      <c r="AM27" s="76">
        <f t="array" ref="AM27">SUMIFS(Конструкторы!R$6:R$33,Конструкторы!$C$6:$C$33,$A27)</f>
        <v>0</v>
      </c>
      <c r="AN27" s="76">
        <f t="array" ref="AN27">SUMIFS(Конструкторы!S$6:S$33,Конструкторы!$C$6:$C$33,$A27)</f>
        <v>0</v>
      </c>
      <c r="AO27" s="76">
        <f t="array" ref="AO27">SUMIFS(Конструкторы!T$6:T$33,Конструкторы!$C$6:$C$33,$A27)</f>
        <v>0</v>
      </c>
      <c r="AP27" s="75">
        <f t="array" ref="AP27">SUMIFS(Конструкторы!I$1192:I$1277,Конструкторы!$C$1192:$C$1277,$A27)</f>
        <v>0</v>
      </c>
      <c r="AQ27" s="75">
        <f t="array" ref="AQ27">SUMIFS(Конструкторы!J$1192:J$1277,Конструкторы!$C$1192:$C$1277,$A27)</f>
        <v>0</v>
      </c>
      <c r="AR27" s="75">
        <f t="array" ref="AR27">SUMIFS(Конструкторы!K$1192:K$1277,Конструкторы!$C$1192:$C$1277,$A27)</f>
        <v>0</v>
      </c>
      <c r="AS27" s="75">
        <f t="array" ref="AS27">SUMIFS(Конструкторы!L$1192:L$1277,Конструкторы!$C$1192:$C$1277,$A27)</f>
        <v>0</v>
      </c>
      <c r="AT27" s="75">
        <f t="array" ref="AT27">SUMIFS(Конструкторы!M$1192:M$1277,Конструкторы!$C$1192:$C$1277,$A27)</f>
        <v>0</v>
      </c>
      <c r="AU27" s="75">
        <f t="array" ref="AU27">SUMIFS(Конструкторы!N$1192:N$1277,Конструкторы!$C$1192:$C$1277,$A27)</f>
        <v>0</v>
      </c>
      <c r="AV27" s="75">
        <f t="array" ref="AV27">SUMIFS(Конструкторы!O$1192:O$1277,Конструкторы!$C$1192:$C$1277,$A27)</f>
        <v>0</v>
      </c>
      <c r="AW27" s="75">
        <f t="array" ref="AW27">SUMIFS(Конструкторы!P$1192:P$1277,Конструкторы!$C$1192:$C$1277,$A27)</f>
        <v>0</v>
      </c>
      <c r="AX27" s="75">
        <f t="array" ref="AX27">SUMIFS(Конструкторы!Q$1192:Q$1277,Конструкторы!$C$1192:$C$1277,$A27)</f>
        <v>0</v>
      </c>
      <c r="AY27" s="75">
        <f t="array" ref="AY27">SUMIFS(Конструкторы!R$1192:R$1277,Конструкторы!$C$1192:$C$1277,$A27)</f>
        <v>0</v>
      </c>
      <c r="AZ27" s="75">
        <f t="array" ref="AZ27">SUMIFS(Конструкторы!S$1192:S$1277,Конструкторы!$C$1192:$C$1277,$A27)</f>
        <v>0</v>
      </c>
      <c r="BA27" s="75">
        <f t="array" ref="BA27">SUMIFS(Конструкторы!T$1192:T$1277,Конструкторы!$C$1192:$C$1277,$A27)</f>
        <v>0</v>
      </c>
      <c r="BB27" s="80">
        <f t="shared" si="12"/>
        <v>4459.2767999999996</v>
      </c>
      <c r="BC27" s="80">
        <f t="shared" si="18"/>
        <v>1912.68</v>
      </c>
      <c r="BD27" s="80">
        <f t="shared" si="19"/>
        <v>956.34</v>
      </c>
      <c r="BE27" s="80">
        <f t="shared" si="20"/>
        <v>455.4</v>
      </c>
      <c r="BF27" s="80">
        <f t="shared" si="21"/>
        <v>0</v>
      </c>
      <c r="BG27" s="80">
        <f t="shared" si="22"/>
        <v>0</v>
      </c>
      <c r="BH27" s="80">
        <f t="shared" si="23"/>
        <v>0</v>
      </c>
      <c r="BI27" s="80">
        <f t="shared" si="24"/>
        <v>0</v>
      </c>
      <c r="BJ27" s="80">
        <f t="shared" si="25"/>
        <v>0</v>
      </c>
      <c r="BK27" s="80">
        <f t="shared" si="26"/>
        <v>0</v>
      </c>
      <c r="BL27" s="80">
        <f t="shared" si="27"/>
        <v>0</v>
      </c>
      <c r="BM27" s="80">
        <f t="shared" si="28"/>
        <v>0</v>
      </c>
      <c r="BN27" s="84">
        <f t="shared" si="13"/>
        <v>8812.7999999999993</v>
      </c>
      <c r="BO27" s="84">
        <f t="shared" si="29"/>
        <v>3780</v>
      </c>
      <c r="BP27" s="84">
        <f t="shared" si="30"/>
        <v>1890</v>
      </c>
      <c r="BQ27" s="84">
        <f t="shared" si="31"/>
        <v>900</v>
      </c>
      <c r="BR27" s="84">
        <f t="shared" si="32"/>
        <v>0</v>
      </c>
      <c r="BS27" s="84">
        <f t="shared" si="33"/>
        <v>0</v>
      </c>
      <c r="BT27" s="84">
        <f t="shared" si="14"/>
        <v>0</v>
      </c>
      <c r="BU27" s="84">
        <f t="shared" si="6"/>
        <v>0</v>
      </c>
      <c r="BV27" s="84">
        <f t="shared" si="7"/>
        <v>0</v>
      </c>
      <c r="BW27" s="84">
        <f t="shared" si="8"/>
        <v>0</v>
      </c>
      <c r="BX27" s="84">
        <f t="shared" si="9"/>
        <v>0</v>
      </c>
      <c r="BY27" s="83">
        <f t="shared" si="15"/>
        <v>0</v>
      </c>
      <c r="BZ27" s="79">
        <f t="shared" si="16"/>
        <v>183.6</v>
      </c>
      <c r="CA27" s="79">
        <f t="shared" si="16"/>
        <v>78.75</v>
      </c>
      <c r="CB27" s="79">
        <f t="shared" si="16"/>
        <v>39.375</v>
      </c>
      <c r="CC27" s="79">
        <f t="shared" si="16"/>
        <v>18.75</v>
      </c>
      <c r="CD27" s="79">
        <f t="shared" si="16"/>
        <v>0</v>
      </c>
      <c r="CE27" s="79">
        <f t="shared" ref="CA27:CJ42" si="34">BS27/$E27</f>
        <v>0</v>
      </c>
      <c r="CF27" s="79">
        <f t="shared" si="34"/>
        <v>0</v>
      </c>
      <c r="CG27" s="79">
        <f t="shared" si="34"/>
        <v>0</v>
      </c>
      <c r="CH27" s="79">
        <f t="shared" si="34"/>
        <v>0</v>
      </c>
      <c r="CI27" s="79">
        <f t="shared" si="34"/>
        <v>0</v>
      </c>
      <c r="CJ27" s="79">
        <f t="shared" si="34"/>
        <v>0</v>
      </c>
      <c r="CK27" s="79">
        <f t="shared" si="17"/>
        <v>0</v>
      </c>
    </row>
    <row r="28" spans="1:89" x14ac:dyDescent="0.25">
      <c r="A28" s="42" t="s">
        <v>38</v>
      </c>
      <c r="B28" s="70">
        <f t="array" ref="B28">INDEX(Технологи!$E$5:$E$552,MATCH(A28&amp;$A$1,Технологи!$B$5:$B$552&amp;Технологи!$C$5:$C$552,0))</f>
        <v>0.61099999999999999</v>
      </c>
      <c r="C28" s="14">
        <v>1018</v>
      </c>
      <c r="D28" s="71">
        <v>5</v>
      </c>
      <c r="E28" s="71">
        <v>24</v>
      </c>
      <c r="F28" s="72">
        <f>SUMIFS(Продажи!F$5:F$360,Продажи!$D$5:$D$360,'Потребность профиль'!$A28,Продажи!$C$5:$C$360,"Профиль")</f>
        <v>0</v>
      </c>
      <c r="G28" s="72">
        <f>SUMIFS(Продажи!G$5:G$360,Продажи!$D$5:$D$360,'Потребность профиль'!$A28,Продажи!$C$5:$C$360,"Профиль")</f>
        <v>0</v>
      </c>
      <c r="H28" s="72">
        <f>SUMIFS(Продажи!H$5:H$360,Продажи!$D$5:$D$360,'Потребность профиль'!$A28,Продажи!$C$5:$C$360,"Профиль")</f>
        <v>0</v>
      </c>
      <c r="I28" s="72">
        <f>SUMIFS(Продажи!I$5:I$360,Продажи!$D$5:$D$360,'Потребность профиль'!$A28,Продажи!$C$5:$C$360,"Профиль")</f>
        <v>0</v>
      </c>
      <c r="J28" s="72">
        <f>SUMIFS(Продажи!J$5:J$360,Продажи!$D$5:$D$360,'Потребность профиль'!$A28,Продажи!$C$5:$C$360,"Профиль")</f>
        <v>0</v>
      </c>
      <c r="K28" s="72">
        <f>SUMIFS(Продажи!K$5:K$360,Продажи!$D$5:$D$360,'Потребность профиль'!$A28,Продажи!$C$5:$C$360,"Профиль")</f>
        <v>0</v>
      </c>
      <c r="L28" s="72">
        <f>SUMIFS(Продажи!L$5:L$360,Продажи!$D$5:$D$360,'Потребность профиль'!$A28,Продажи!$C$5:$C$360,"Профиль")</f>
        <v>0</v>
      </c>
      <c r="M28" s="72">
        <f>SUMIFS(Продажи!M$5:M$360,Продажи!$D$5:$D$360,'Потребность профиль'!$A28,Продажи!$C$5:$C$360,"Профиль")</f>
        <v>0</v>
      </c>
      <c r="N28" s="72">
        <f>SUMIFS(Продажи!N$5:N$360,Продажи!$D$5:$D$360,'Потребность профиль'!$A28,Продажи!$C$5:$C$360,"Профиль")</f>
        <v>0</v>
      </c>
      <c r="O28" s="72">
        <f>SUMIFS(Продажи!O$5:O$360,Продажи!$D$5:$D$360,'Потребность профиль'!$A28,Продажи!$C$5:$C$360,"Профиль")</f>
        <v>0</v>
      </c>
      <c r="P28" s="72">
        <f>SUMIFS(Продажи!P$5:P$360,Продажи!$D$5:$D$360,'Потребность профиль'!$A28,Продажи!$C$5:$C$360,"Профиль")</f>
        <v>0</v>
      </c>
      <c r="Q28" s="72">
        <f>SUMIFS(Продажи!Q$5:Q$360,Продажи!$D$5:$D$360,'Потребность профиль'!$A28,Продажи!$C$5:$C$360,"Профиль")</f>
        <v>0</v>
      </c>
      <c r="R28" s="73">
        <f t="array" ref="R28">SUMIFS(Конструкторы!I$35:I$1191,Конструкторы!$C$35:$C$1191,$A28)</f>
        <v>0</v>
      </c>
      <c r="S28" s="73">
        <f t="array" ref="S28">SUMIFS(Конструкторы!J$35:J$1191,Конструкторы!$C$35:$C$1191,$A28)</f>
        <v>0</v>
      </c>
      <c r="T28" s="73">
        <f t="array" ref="T28">SUMIFS(Конструкторы!K$35:K$1191,Конструкторы!$C$35:$C$1191,$A28)</f>
        <v>0</v>
      </c>
      <c r="U28" s="73">
        <f t="array" ref="U28">SUMIFS(Конструкторы!L$35:L$1191,Конструкторы!$C$35:$C$1191,$A28)</f>
        <v>0</v>
      </c>
      <c r="V28" s="73">
        <f t="array" ref="V28">SUMIFS(Конструкторы!M$35:M$1191,Конструкторы!$C$35:$C$1191,$A28)</f>
        <v>0</v>
      </c>
      <c r="W28" s="73">
        <f t="array" ref="W28">SUMIFS(Конструкторы!N$35:N$1191,Конструкторы!$C$35:$C$1191,$A28)</f>
        <v>0</v>
      </c>
      <c r="X28" s="73">
        <f t="array" ref="X28">SUMIFS(Конструкторы!O$35:O$1191,Конструкторы!$C$35:$C$1191,$A28)</f>
        <v>0</v>
      </c>
      <c r="Y28" s="73">
        <f t="array" ref="Y28">SUMIFS(Конструкторы!P$35:P$1191,Конструкторы!$C$35:$C$1191,$A28)</f>
        <v>0</v>
      </c>
      <c r="Z28" s="73">
        <f t="array" ref="Z28">SUMIFS(Конструкторы!Q$35:Q$1191,Конструкторы!$C$35:$C$1191,$A28)</f>
        <v>0</v>
      </c>
      <c r="AA28" s="73">
        <f t="array" ref="AA28">SUMIFS(Конструкторы!R$35:R$1191,Конструкторы!$C$35:$C$1191,$A28)</f>
        <v>0</v>
      </c>
      <c r="AB28" s="73">
        <f t="array" ref="AB28">SUMIFS(Конструкторы!S$35:S$1191,Конструкторы!$C$35:$C$1191,$A28)</f>
        <v>0</v>
      </c>
      <c r="AC28" s="73">
        <f t="array" ref="AC28">SUMIFS(Конструкторы!T$35:T$1191,Конструкторы!$C$35:$C$1191,$A28)</f>
        <v>0</v>
      </c>
      <c r="AD28" s="76">
        <f t="array" ref="AD28">SUMIFS(Конструкторы!I$6:I$33,Конструкторы!$C$6:$C$33,$A28)</f>
        <v>0</v>
      </c>
      <c r="AE28" s="76">
        <f t="array" ref="AE28">SUMIFS(Конструкторы!J$6:J$33,Конструкторы!$C$6:$C$33,$A28)</f>
        <v>0</v>
      </c>
      <c r="AF28" s="76">
        <f t="array" ref="AF28">SUMIFS(Конструкторы!K$6:K$33,Конструкторы!$C$6:$C$33,$A28)</f>
        <v>0</v>
      </c>
      <c r="AG28" s="76">
        <f t="array" ref="AG28">SUMIFS(Конструкторы!L$6:L$33,Конструкторы!$C$6:$C$33,$A28)</f>
        <v>0</v>
      </c>
      <c r="AH28" s="76">
        <f t="array" ref="AH28">SUMIFS(Конструкторы!M$6:M$33,Конструкторы!$C$6:$C$33,$A28)</f>
        <v>0</v>
      </c>
      <c r="AI28" s="76">
        <f t="array" ref="AI28">SUMIFS(Конструкторы!N$6:N$33,Конструкторы!$C$6:$C$33,$A28)</f>
        <v>0</v>
      </c>
      <c r="AJ28" s="76">
        <f t="array" ref="AJ28">SUMIFS(Конструкторы!O$6:O$33,Конструкторы!$C$6:$C$33,$A28)</f>
        <v>0</v>
      </c>
      <c r="AK28" s="76">
        <f t="array" ref="AK28">SUMIFS(Конструкторы!P$6:P$33,Конструкторы!$C$6:$C$33,$A28)</f>
        <v>0</v>
      </c>
      <c r="AL28" s="76">
        <f t="array" ref="AL28">SUMIFS(Конструкторы!Q$6:Q$33,Конструкторы!$C$6:$C$33,$A28)</f>
        <v>0</v>
      </c>
      <c r="AM28" s="76">
        <f t="array" ref="AM28">SUMIFS(Конструкторы!R$6:R$33,Конструкторы!$C$6:$C$33,$A28)</f>
        <v>0</v>
      </c>
      <c r="AN28" s="76">
        <f t="array" ref="AN28">SUMIFS(Конструкторы!S$6:S$33,Конструкторы!$C$6:$C$33,$A28)</f>
        <v>0</v>
      </c>
      <c r="AO28" s="76">
        <f t="array" ref="AO28">SUMIFS(Конструкторы!T$6:T$33,Конструкторы!$C$6:$C$33,$A28)</f>
        <v>0</v>
      </c>
      <c r="AP28" s="75">
        <f t="array" ref="AP28">SUMIFS(Конструкторы!I$1192:I$1277,Конструкторы!$C$1192:$C$1277,$A28)</f>
        <v>0</v>
      </c>
      <c r="AQ28" s="75">
        <f t="array" ref="AQ28">SUMIFS(Конструкторы!J$1192:J$1277,Конструкторы!$C$1192:$C$1277,$A28)</f>
        <v>0</v>
      </c>
      <c r="AR28" s="75">
        <f t="array" ref="AR28">SUMIFS(Конструкторы!K$1192:K$1277,Конструкторы!$C$1192:$C$1277,$A28)</f>
        <v>0</v>
      </c>
      <c r="AS28" s="75">
        <f t="array" ref="AS28">SUMIFS(Конструкторы!L$1192:L$1277,Конструкторы!$C$1192:$C$1277,$A28)</f>
        <v>7577.0925110132166</v>
      </c>
      <c r="AT28" s="75">
        <f t="array" ref="AT28">SUMIFS(Конструкторы!M$1192:M$1277,Конструкторы!$C$1192:$C$1277,$A28)</f>
        <v>8986.7841409691628</v>
      </c>
      <c r="AU28" s="75">
        <f t="array" ref="AU28">SUMIFS(Конструкторы!N$1192:N$1277,Конструкторы!$C$1192:$C$1277,$A28)</f>
        <v>8105.7268722466961</v>
      </c>
      <c r="AV28" s="75">
        <f t="array" ref="AV28">SUMIFS(Конструкторы!O$1192:O$1277,Конструкторы!$C$1192:$C$1277,$A28)</f>
        <v>8105.7268722466961</v>
      </c>
      <c r="AW28" s="75">
        <f t="array" ref="AW28">SUMIFS(Конструкторы!P$1192:P$1277,Конструкторы!$C$1192:$C$1277,$A28)</f>
        <v>8105.7268722466961</v>
      </c>
      <c r="AX28" s="75">
        <f t="array" ref="AX28">SUMIFS(Конструкторы!Q$1192:Q$1277,Конструкторы!$C$1192:$C$1277,$A28)</f>
        <v>8105.7268722466961</v>
      </c>
      <c r="AY28" s="75">
        <f t="array" ref="AY28">SUMIFS(Конструкторы!R$1192:R$1277,Конструкторы!$C$1192:$C$1277,$A28)</f>
        <v>8105.7268722466961</v>
      </c>
      <c r="AZ28" s="75">
        <f t="array" ref="AZ28">SUMIFS(Конструкторы!S$1192:S$1277,Конструкторы!$C$1192:$C$1277,$A28)</f>
        <v>8105.7268722466961</v>
      </c>
      <c r="BA28" s="75">
        <f t="array" ref="BA28">SUMIFS(Конструкторы!T$1192:T$1277,Конструкторы!$C$1192:$C$1277,$A28)</f>
        <v>8105.7268722466961</v>
      </c>
      <c r="BB28" s="80">
        <f t="shared" si="12"/>
        <v>0</v>
      </c>
      <c r="BC28" s="80">
        <f t="shared" si="18"/>
        <v>0</v>
      </c>
      <c r="BD28" s="80">
        <f t="shared" si="19"/>
        <v>7577.0925110132166</v>
      </c>
      <c r="BE28" s="80">
        <f t="shared" si="20"/>
        <v>8986.7841409691628</v>
      </c>
      <c r="BF28" s="80">
        <f t="shared" si="21"/>
        <v>8105.7268722466961</v>
      </c>
      <c r="BG28" s="80">
        <f t="shared" si="22"/>
        <v>8105.7268722466961</v>
      </c>
      <c r="BH28" s="80">
        <f t="shared" si="23"/>
        <v>8105.7268722466961</v>
      </c>
      <c r="BI28" s="80">
        <f t="shared" si="24"/>
        <v>8105.7268722466961</v>
      </c>
      <c r="BJ28" s="80">
        <f t="shared" si="25"/>
        <v>8105.7268722466961</v>
      </c>
      <c r="BK28" s="80">
        <f t="shared" si="26"/>
        <v>8105.7268722466961</v>
      </c>
      <c r="BL28" s="80">
        <f t="shared" si="27"/>
        <v>8105.7268722466961</v>
      </c>
      <c r="BM28" s="80">
        <f t="shared" si="28"/>
        <v>8105.7268722466961</v>
      </c>
      <c r="BN28" s="84">
        <f t="shared" si="13"/>
        <v>0</v>
      </c>
      <c r="BO28" s="84">
        <f t="shared" si="29"/>
        <v>0</v>
      </c>
      <c r="BP28" s="84">
        <f t="shared" si="30"/>
        <v>12401.133405913612</v>
      </c>
      <c r="BQ28" s="84">
        <f t="shared" si="31"/>
        <v>14708.321016316142</v>
      </c>
      <c r="BR28" s="84">
        <f t="shared" si="32"/>
        <v>13266.32875981456</v>
      </c>
      <c r="BS28" s="84">
        <f t="shared" si="33"/>
        <v>13266.32875981456</v>
      </c>
      <c r="BT28" s="84">
        <f t="shared" si="14"/>
        <v>13266.32875981456</v>
      </c>
      <c r="BU28" s="84">
        <f t="shared" si="6"/>
        <v>13266.32875981456</v>
      </c>
      <c r="BV28" s="84">
        <f t="shared" si="7"/>
        <v>13266.32875981456</v>
      </c>
      <c r="BW28" s="84">
        <f t="shared" si="8"/>
        <v>13266.32875981456</v>
      </c>
      <c r="BX28" s="84">
        <f t="shared" si="9"/>
        <v>13266.32875981456</v>
      </c>
      <c r="BY28" s="83">
        <f t="shared" si="15"/>
        <v>13266.32875981456</v>
      </c>
      <c r="BZ28" s="79">
        <f t="shared" si="16"/>
        <v>0</v>
      </c>
      <c r="CA28" s="79">
        <f t="shared" si="34"/>
        <v>0</v>
      </c>
      <c r="CB28" s="79">
        <f t="shared" si="34"/>
        <v>516.71389191306719</v>
      </c>
      <c r="CC28" s="79">
        <f t="shared" si="34"/>
        <v>612.84670901317259</v>
      </c>
      <c r="CD28" s="79">
        <f t="shared" si="34"/>
        <v>552.7636983256067</v>
      </c>
      <c r="CE28" s="79">
        <f t="shared" si="34"/>
        <v>552.7636983256067</v>
      </c>
      <c r="CF28" s="79">
        <f t="shared" si="34"/>
        <v>552.7636983256067</v>
      </c>
      <c r="CG28" s="79">
        <f t="shared" si="34"/>
        <v>552.7636983256067</v>
      </c>
      <c r="CH28" s="79">
        <f t="shared" si="34"/>
        <v>552.7636983256067</v>
      </c>
      <c r="CI28" s="79">
        <f t="shared" si="34"/>
        <v>552.7636983256067</v>
      </c>
      <c r="CJ28" s="79">
        <f t="shared" si="34"/>
        <v>552.7636983256067</v>
      </c>
      <c r="CK28" s="79">
        <f t="shared" si="17"/>
        <v>552.7636983256067</v>
      </c>
    </row>
    <row r="29" spans="1:89" x14ac:dyDescent="0.25">
      <c r="A29" s="42" t="s">
        <v>45</v>
      </c>
      <c r="B29" s="70">
        <f t="array" ref="B29">INDEX(Технологи!$E$5:$E$552,MATCH(A29&amp;$A$1,Технологи!$B$5:$B$552&amp;Технологи!$C$5:$C$552,0))</f>
        <v>2.3919999999999999</v>
      </c>
      <c r="C29" s="14">
        <v>1018</v>
      </c>
      <c r="D29" s="71">
        <v>11.5</v>
      </c>
      <c r="E29" s="71">
        <v>18</v>
      </c>
      <c r="F29" s="72">
        <f>SUMIFS(Продажи!F$5:F$360,Продажи!$D$5:$D$360,'Потребность профиль'!$A29,Продажи!$C$5:$C$360,"Профиль")</f>
        <v>0</v>
      </c>
      <c r="G29" s="72">
        <f>SUMIFS(Продажи!G$5:G$360,Продажи!$D$5:$D$360,'Потребность профиль'!$A29,Продажи!$C$5:$C$360,"Профиль")</f>
        <v>0</v>
      </c>
      <c r="H29" s="72">
        <f>SUMIFS(Продажи!H$5:H$360,Продажи!$D$5:$D$360,'Потребность профиль'!$A29,Продажи!$C$5:$C$360,"Профиль")</f>
        <v>0</v>
      </c>
      <c r="I29" s="72">
        <f>SUMIFS(Продажи!I$5:I$360,Продажи!$D$5:$D$360,'Потребность профиль'!$A29,Продажи!$C$5:$C$360,"Профиль")</f>
        <v>0</v>
      </c>
      <c r="J29" s="72">
        <f>SUMIFS(Продажи!J$5:J$360,Продажи!$D$5:$D$360,'Потребность профиль'!$A29,Продажи!$C$5:$C$360,"Профиль")</f>
        <v>0</v>
      </c>
      <c r="K29" s="72">
        <f>SUMIFS(Продажи!K$5:K$360,Продажи!$D$5:$D$360,'Потребность профиль'!$A29,Продажи!$C$5:$C$360,"Профиль")</f>
        <v>0</v>
      </c>
      <c r="L29" s="72">
        <f>SUMIFS(Продажи!L$5:L$360,Продажи!$D$5:$D$360,'Потребность профиль'!$A29,Продажи!$C$5:$C$360,"Профиль")</f>
        <v>0</v>
      </c>
      <c r="M29" s="72">
        <f>SUMIFS(Продажи!M$5:M$360,Продажи!$D$5:$D$360,'Потребность профиль'!$A29,Продажи!$C$5:$C$360,"Профиль")</f>
        <v>0</v>
      </c>
      <c r="N29" s="72">
        <f>SUMIFS(Продажи!N$5:N$360,Продажи!$D$5:$D$360,'Потребность профиль'!$A29,Продажи!$C$5:$C$360,"Профиль")</f>
        <v>0</v>
      </c>
      <c r="O29" s="72">
        <f>SUMIFS(Продажи!O$5:O$360,Продажи!$D$5:$D$360,'Потребность профиль'!$A29,Продажи!$C$5:$C$360,"Профиль")</f>
        <v>0</v>
      </c>
      <c r="P29" s="72">
        <f>SUMIFS(Продажи!P$5:P$360,Продажи!$D$5:$D$360,'Потребность профиль'!$A29,Продажи!$C$5:$C$360,"Профиль")</f>
        <v>0</v>
      </c>
      <c r="Q29" s="72">
        <f>SUMIFS(Продажи!Q$5:Q$360,Продажи!$D$5:$D$360,'Потребность профиль'!$A29,Продажи!$C$5:$C$360,"Профиль")</f>
        <v>0</v>
      </c>
      <c r="R29" s="73">
        <f t="array" ref="R29">SUMIFS(Конструкторы!I$35:I$1191,Конструкторы!$C$35:$C$1191,$A29)</f>
        <v>0</v>
      </c>
      <c r="S29" s="73">
        <f t="array" ref="S29">SUMIFS(Конструкторы!J$35:J$1191,Конструкторы!$C$35:$C$1191,$A29)</f>
        <v>0</v>
      </c>
      <c r="T29" s="73">
        <f t="array" ref="T29">SUMIFS(Конструкторы!K$35:K$1191,Конструкторы!$C$35:$C$1191,$A29)</f>
        <v>0</v>
      </c>
      <c r="U29" s="73">
        <f t="array" ref="U29">SUMIFS(Конструкторы!L$35:L$1191,Конструкторы!$C$35:$C$1191,$A29)</f>
        <v>0</v>
      </c>
      <c r="V29" s="73">
        <f t="array" ref="V29">SUMIFS(Конструкторы!M$35:M$1191,Конструкторы!$C$35:$C$1191,$A29)</f>
        <v>0</v>
      </c>
      <c r="W29" s="73">
        <f t="array" ref="W29">SUMIFS(Конструкторы!N$35:N$1191,Конструкторы!$C$35:$C$1191,$A29)</f>
        <v>0</v>
      </c>
      <c r="X29" s="73">
        <f t="array" ref="X29">SUMIFS(Конструкторы!O$35:O$1191,Конструкторы!$C$35:$C$1191,$A29)</f>
        <v>0</v>
      </c>
      <c r="Y29" s="73">
        <f t="array" ref="Y29">SUMIFS(Конструкторы!P$35:P$1191,Конструкторы!$C$35:$C$1191,$A29)</f>
        <v>0</v>
      </c>
      <c r="Z29" s="73">
        <f t="array" ref="Z29">SUMIFS(Конструкторы!Q$35:Q$1191,Конструкторы!$C$35:$C$1191,$A29)</f>
        <v>0</v>
      </c>
      <c r="AA29" s="73">
        <f t="array" ref="AA29">SUMIFS(Конструкторы!R$35:R$1191,Конструкторы!$C$35:$C$1191,$A29)</f>
        <v>0</v>
      </c>
      <c r="AB29" s="73">
        <f t="array" ref="AB29">SUMIFS(Конструкторы!S$35:S$1191,Конструкторы!$C$35:$C$1191,$A29)</f>
        <v>0</v>
      </c>
      <c r="AC29" s="73">
        <f t="array" ref="AC29">SUMIFS(Конструкторы!T$35:T$1191,Конструкторы!$C$35:$C$1191,$A29)</f>
        <v>0</v>
      </c>
      <c r="AD29" s="76">
        <f t="array" ref="AD29">SUMIFS(Конструкторы!I$6:I$33,Конструкторы!$C$6:$C$33,$A29)</f>
        <v>0</v>
      </c>
      <c r="AE29" s="76">
        <f t="array" ref="AE29">SUMIFS(Конструкторы!J$6:J$33,Конструкторы!$C$6:$C$33,$A29)</f>
        <v>0</v>
      </c>
      <c r="AF29" s="76">
        <f t="array" ref="AF29">SUMIFS(Конструкторы!K$6:K$33,Конструкторы!$C$6:$C$33,$A29)</f>
        <v>0</v>
      </c>
      <c r="AG29" s="76">
        <f t="array" ref="AG29">SUMIFS(Конструкторы!L$6:L$33,Конструкторы!$C$6:$C$33,$A29)</f>
        <v>0</v>
      </c>
      <c r="AH29" s="76">
        <f t="array" ref="AH29">SUMIFS(Конструкторы!M$6:M$33,Конструкторы!$C$6:$C$33,$A29)</f>
        <v>0</v>
      </c>
      <c r="AI29" s="76">
        <f t="array" ref="AI29">SUMIFS(Конструкторы!N$6:N$33,Конструкторы!$C$6:$C$33,$A29)</f>
        <v>0</v>
      </c>
      <c r="AJ29" s="76">
        <f t="array" ref="AJ29">SUMIFS(Конструкторы!O$6:O$33,Конструкторы!$C$6:$C$33,$A29)</f>
        <v>0</v>
      </c>
      <c r="AK29" s="76">
        <f t="array" ref="AK29">SUMIFS(Конструкторы!P$6:P$33,Конструкторы!$C$6:$C$33,$A29)</f>
        <v>0</v>
      </c>
      <c r="AL29" s="76">
        <f t="array" ref="AL29">SUMIFS(Конструкторы!Q$6:Q$33,Конструкторы!$C$6:$C$33,$A29)</f>
        <v>0</v>
      </c>
      <c r="AM29" s="76">
        <f t="array" ref="AM29">SUMIFS(Конструкторы!R$6:R$33,Конструкторы!$C$6:$C$33,$A29)</f>
        <v>0</v>
      </c>
      <c r="AN29" s="76">
        <f t="array" ref="AN29">SUMIFS(Конструкторы!S$6:S$33,Конструкторы!$C$6:$C$33,$A29)</f>
        <v>0</v>
      </c>
      <c r="AO29" s="76">
        <f t="array" ref="AO29">SUMIFS(Конструкторы!T$6:T$33,Конструкторы!$C$6:$C$33,$A29)</f>
        <v>0</v>
      </c>
      <c r="AP29" s="75">
        <f t="array" ref="AP29">SUMIFS(Конструкторы!I$1192:I$1277,Конструкторы!$C$1192:$C$1277,$A29)</f>
        <v>0</v>
      </c>
      <c r="AQ29" s="75">
        <f t="array" ref="AQ29">SUMIFS(Конструкторы!J$1192:J$1277,Конструкторы!$C$1192:$C$1277,$A29)</f>
        <v>0</v>
      </c>
      <c r="AR29" s="75">
        <f t="array" ref="AR29">SUMIFS(Конструкторы!K$1192:K$1277,Конструкторы!$C$1192:$C$1277,$A29)</f>
        <v>0</v>
      </c>
      <c r="AS29" s="75">
        <f t="array" ref="AS29">SUMIFS(Конструкторы!L$1192:L$1277,Конструкторы!$C$1192:$C$1277,$A29)</f>
        <v>0</v>
      </c>
      <c r="AT29" s="75">
        <f t="array" ref="AT29">SUMIFS(Конструкторы!M$1192:M$1277,Конструкторы!$C$1192:$C$1277,$A29)</f>
        <v>0</v>
      </c>
      <c r="AU29" s="75">
        <f t="array" ref="AU29">SUMIFS(Конструкторы!N$1192:N$1277,Конструкторы!$C$1192:$C$1277,$A29)</f>
        <v>0</v>
      </c>
      <c r="AV29" s="75">
        <f t="array" ref="AV29">SUMIFS(Конструкторы!O$1192:O$1277,Конструкторы!$C$1192:$C$1277,$A29)</f>
        <v>0</v>
      </c>
      <c r="AW29" s="75">
        <f t="array" ref="AW29">SUMIFS(Конструкторы!P$1192:P$1277,Конструкторы!$C$1192:$C$1277,$A29)</f>
        <v>0</v>
      </c>
      <c r="AX29" s="75">
        <f t="array" ref="AX29">SUMIFS(Конструкторы!Q$1192:Q$1277,Конструкторы!$C$1192:$C$1277,$A29)</f>
        <v>0</v>
      </c>
      <c r="AY29" s="75">
        <f t="array" ref="AY29">SUMIFS(Конструкторы!R$1192:R$1277,Конструкторы!$C$1192:$C$1277,$A29)</f>
        <v>0</v>
      </c>
      <c r="AZ29" s="75">
        <f t="array" ref="AZ29">SUMIFS(Конструкторы!S$1192:S$1277,Конструкторы!$C$1192:$C$1277,$A29)</f>
        <v>0</v>
      </c>
      <c r="BA29" s="75">
        <f t="array" ref="BA29">SUMIFS(Конструкторы!T$1192:T$1277,Конструкторы!$C$1192:$C$1277,$A29)</f>
        <v>0</v>
      </c>
      <c r="BB29" s="80">
        <f t="shared" si="12"/>
        <v>0</v>
      </c>
      <c r="BC29" s="80">
        <f t="shared" si="18"/>
        <v>0</v>
      </c>
      <c r="BD29" s="80">
        <f t="shared" si="19"/>
        <v>0</v>
      </c>
      <c r="BE29" s="80">
        <f t="shared" si="20"/>
        <v>0</v>
      </c>
      <c r="BF29" s="80">
        <f t="shared" si="21"/>
        <v>0</v>
      </c>
      <c r="BG29" s="80">
        <f t="shared" si="22"/>
        <v>0</v>
      </c>
      <c r="BH29" s="80">
        <f t="shared" si="23"/>
        <v>0</v>
      </c>
      <c r="BI29" s="80">
        <f t="shared" si="24"/>
        <v>0</v>
      </c>
      <c r="BJ29" s="80">
        <f t="shared" si="25"/>
        <v>0</v>
      </c>
      <c r="BK29" s="80">
        <f t="shared" si="26"/>
        <v>0</v>
      </c>
      <c r="BL29" s="80">
        <f t="shared" si="27"/>
        <v>0</v>
      </c>
      <c r="BM29" s="80">
        <f t="shared" si="28"/>
        <v>0</v>
      </c>
      <c r="BN29" s="84">
        <f t="shared" si="13"/>
        <v>0</v>
      </c>
      <c r="BO29" s="84">
        <f t="shared" si="29"/>
        <v>0</v>
      </c>
      <c r="BP29" s="84">
        <f t="shared" si="30"/>
        <v>0</v>
      </c>
      <c r="BQ29" s="84">
        <f t="shared" si="31"/>
        <v>0</v>
      </c>
      <c r="BR29" s="84">
        <f t="shared" si="32"/>
        <v>0</v>
      </c>
      <c r="BS29" s="84">
        <f t="shared" si="33"/>
        <v>0</v>
      </c>
      <c r="BT29" s="84">
        <f t="shared" si="14"/>
        <v>0</v>
      </c>
      <c r="BU29" s="84">
        <f t="shared" si="6"/>
        <v>0</v>
      </c>
      <c r="BV29" s="84">
        <f t="shared" si="7"/>
        <v>0</v>
      </c>
      <c r="BW29" s="84">
        <f t="shared" si="8"/>
        <v>0</v>
      </c>
      <c r="BX29" s="84">
        <f t="shared" si="9"/>
        <v>0</v>
      </c>
      <c r="BY29" s="83">
        <f t="shared" si="15"/>
        <v>0</v>
      </c>
      <c r="BZ29" s="79">
        <f t="shared" si="16"/>
        <v>0</v>
      </c>
      <c r="CA29" s="79">
        <f t="shared" si="34"/>
        <v>0</v>
      </c>
      <c r="CB29" s="79">
        <f t="shared" si="34"/>
        <v>0</v>
      </c>
      <c r="CC29" s="79">
        <f t="shared" si="34"/>
        <v>0</v>
      </c>
      <c r="CD29" s="79">
        <f t="shared" si="34"/>
        <v>0</v>
      </c>
      <c r="CE29" s="79">
        <f t="shared" si="34"/>
        <v>0</v>
      </c>
      <c r="CF29" s="79">
        <f t="shared" si="34"/>
        <v>0</v>
      </c>
      <c r="CG29" s="79">
        <f t="shared" si="34"/>
        <v>0</v>
      </c>
      <c r="CH29" s="79">
        <f t="shared" si="34"/>
        <v>0</v>
      </c>
      <c r="CI29" s="79">
        <f t="shared" si="34"/>
        <v>0</v>
      </c>
      <c r="CJ29" s="79">
        <f t="shared" si="34"/>
        <v>0</v>
      </c>
      <c r="CK29" s="79">
        <f t="shared" si="17"/>
        <v>0</v>
      </c>
    </row>
    <row r="30" spans="1:89" x14ac:dyDescent="0.25">
      <c r="A30" s="42" t="s">
        <v>39</v>
      </c>
      <c r="B30" s="70">
        <f t="array" ref="B30">INDEX(Технологи!$E$5:$E$552,MATCH(A30&amp;$A$1,Технологи!$B$5:$B$552&amp;Технологи!$C$5:$C$552,0))</f>
        <v>0.38</v>
      </c>
      <c r="C30" s="14">
        <v>1018</v>
      </c>
      <c r="D30" s="71">
        <v>7.75</v>
      </c>
      <c r="E30" s="71">
        <v>48</v>
      </c>
      <c r="F30" s="72">
        <f>SUMIFS(Продажи!F$5:F$360,Продажи!$D$5:$D$360,'Потребность профиль'!$A30,Продажи!$C$5:$C$360,"Профиль")</f>
        <v>0</v>
      </c>
      <c r="G30" s="72">
        <f>SUMIFS(Продажи!G$5:G$360,Продажи!$D$5:$D$360,'Потребность профиль'!$A30,Продажи!$C$5:$C$360,"Профиль")</f>
        <v>1500</v>
      </c>
      <c r="H30" s="72">
        <f>SUMIFS(Продажи!H$5:H$360,Продажи!$D$5:$D$360,'Потребность профиль'!$A30,Продажи!$C$5:$C$360,"Профиль")</f>
        <v>1500</v>
      </c>
      <c r="I30" s="72">
        <f>SUMIFS(Продажи!I$5:I$360,Продажи!$D$5:$D$360,'Потребность профиль'!$A30,Продажи!$C$5:$C$360,"Профиль")</f>
        <v>1500</v>
      </c>
      <c r="J30" s="72">
        <f>SUMIFS(Продажи!J$5:J$360,Продажи!$D$5:$D$360,'Потребность профиль'!$A30,Продажи!$C$5:$C$360,"Профиль")</f>
        <v>1500</v>
      </c>
      <c r="K30" s="72">
        <f>SUMIFS(Продажи!K$5:K$360,Продажи!$D$5:$D$360,'Потребность профиль'!$A30,Продажи!$C$5:$C$360,"Профиль")</f>
        <v>1500</v>
      </c>
      <c r="L30" s="72">
        <f>SUMIFS(Продажи!L$5:L$360,Продажи!$D$5:$D$360,'Потребность профиль'!$A30,Продажи!$C$5:$C$360,"Профиль")</f>
        <v>1500</v>
      </c>
      <c r="M30" s="72">
        <f>SUMIFS(Продажи!M$5:M$360,Продажи!$D$5:$D$360,'Потребность профиль'!$A30,Продажи!$C$5:$C$360,"Профиль")</f>
        <v>1500</v>
      </c>
      <c r="N30" s="72">
        <f>SUMIFS(Продажи!N$5:N$360,Продажи!$D$5:$D$360,'Потребность профиль'!$A30,Продажи!$C$5:$C$360,"Профиль")</f>
        <v>1500</v>
      </c>
      <c r="O30" s="72">
        <f>SUMIFS(Продажи!O$5:O$360,Продажи!$D$5:$D$360,'Потребность профиль'!$A30,Продажи!$C$5:$C$360,"Профиль")</f>
        <v>1500</v>
      </c>
      <c r="P30" s="72">
        <f>SUMIFS(Продажи!P$5:P$360,Продажи!$D$5:$D$360,'Потребность профиль'!$A30,Продажи!$C$5:$C$360,"Профиль")</f>
        <v>1500</v>
      </c>
      <c r="Q30" s="72">
        <f>SUMIFS(Продажи!Q$5:Q$360,Продажи!$D$5:$D$360,'Потребность профиль'!$A30,Продажи!$C$5:$C$360,"Профиль")</f>
        <v>1500</v>
      </c>
      <c r="R30" s="73">
        <f t="array" ref="R30">SUMIFS(Конструкторы!I$35:I$1191,Конструкторы!$C$35:$C$1191,$A30)</f>
        <v>0</v>
      </c>
      <c r="S30" s="73">
        <f t="array" ref="S30">SUMIFS(Конструкторы!J$35:J$1191,Конструкторы!$C$35:$C$1191,$A30)</f>
        <v>0</v>
      </c>
      <c r="T30" s="73">
        <f t="array" ref="T30">SUMIFS(Конструкторы!K$35:K$1191,Конструкторы!$C$35:$C$1191,$A30)</f>
        <v>0</v>
      </c>
      <c r="U30" s="73">
        <f t="array" ref="U30">SUMIFS(Конструкторы!L$35:L$1191,Конструкторы!$C$35:$C$1191,$A30)</f>
        <v>0</v>
      </c>
      <c r="V30" s="73">
        <f t="array" ref="V30">SUMIFS(Конструкторы!M$35:M$1191,Конструкторы!$C$35:$C$1191,$A30)</f>
        <v>0</v>
      </c>
      <c r="W30" s="73">
        <f t="array" ref="W30">SUMIFS(Конструкторы!N$35:N$1191,Конструкторы!$C$35:$C$1191,$A30)</f>
        <v>0</v>
      </c>
      <c r="X30" s="73">
        <f t="array" ref="X30">SUMIFS(Конструкторы!O$35:O$1191,Конструкторы!$C$35:$C$1191,$A30)</f>
        <v>0</v>
      </c>
      <c r="Y30" s="73">
        <f t="array" ref="Y30">SUMIFS(Конструкторы!P$35:P$1191,Конструкторы!$C$35:$C$1191,$A30)</f>
        <v>0</v>
      </c>
      <c r="Z30" s="73">
        <f t="array" ref="Z30">SUMIFS(Конструкторы!Q$35:Q$1191,Конструкторы!$C$35:$C$1191,$A30)</f>
        <v>0</v>
      </c>
      <c r="AA30" s="73">
        <f t="array" ref="AA30">SUMIFS(Конструкторы!R$35:R$1191,Конструкторы!$C$35:$C$1191,$A30)</f>
        <v>0</v>
      </c>
      <c r="AB30" s="73">
        <f t="array" ref="AB30">SUMIFS(Конструкторы!S$35:S$1191,Конструкторы!$C$35:$C$1191,$A30)</f>
        <v>0</v>
      </c>
      <c r="AC30" s="73">
        <f t="array" ref="AC30">SUMIFS(Конструкторы!T$35:T$1191,Конструкторы!$C$35:$C$1191,$A30)</f>
        <v>0</v>
      </c>
      <c r="AD30" s="76">
        <f t="array" ref="AD30">SUMIFS(Конструкторы!I$6:I$33,Конструкторы!$C$6:$C$33,$A30)</f>
        <v>0</v>
      </c>
      <c r="AE30" s="76">
        <f t="array" ref="AE30">SUMIFS(Конструкторы!J$6:J$33,Конструкторы!$C$6:$C$33,$A30)</f>
        <v>0</v>
      </c>
      <c r="AF30" s="76">
        <f t="array" ref="AF30">SUMIFS(Конструкторы!K$6:K$33,Конструкторы!$C$6:$C$33,$A30)</f>
        <v>0</v>
      </c>
      <c r="AG30" s="76">
        <f t="array" ref="AG30">SUMIFS(Конструкторы!L$6:L$33,Конструкторы!$C$6:$C$33,$A30)</f>
        <v>0</v>
      </c>
      <c r="AH30" s="76">
        <f t="array" ref="AH30">SUMIFS(Конструкторы!M$6:M$33,Конструкторы!$C$6:$C$33,$A30)</f>
        <v>0</v>
      </c>
      <c r="AI30" s="76">
        <f t="array" ref="AI30">SUMIFS(Конструкторы!N$6:N$33,Конструкторы!$C$6:$C$33,$A30)</f>
        <v>0</v>
      </c>
      <c r="AJ30" s="76">
        <f t="array" ref="AJ30">SUMIFS(Конструкторы!O$6:O$33,Конструкторы!$C$6:$C$33,$A30)</f>
        <v>0</v>
      </c>
      <c r="AK30" s="76">
        <f t="array" ref="AK30">SUMIFS(Конструкторы!P$6:P$33,Конструкторы!$C$6:$C$33,$A30)</f>
        <v>0</v>
      </c>
      <c r="AL30" s="76">
        <f t="array" ref="AL30">SUMIFS(Конструкторы!Q$6:Q$33,Конструкторы!$C$6:$C$33,$A30)</f>
        <v>0</v>
      </c>
      <c r="AM30" s="76">
        <f t="array" ref="AM30">SUMIFS(Конструкторы!R$6:R$33,Конструкторы!$C$6:$C$33,$A30)</f>
        <v>0</v>
      </c>
      <c r="AN30" s="76">
        <f t="array" ref="AN30">SUMIFS(Конструкторы!S$6:S$33,Конструкторы!$C$6:$C$33,$A30)</f>
        <v>0</v>
      </c>
      <c r="AO30" s="76">
        <f t="array" ref="AO30">SUMIFS(Конструкторы!T$6:T$33,Конструкторы!$C$6:$C$33,$A30)</f>
        <v>0</v>
      </c>
      <c r="AP30" s="75">
        <f t="array" ref="AP30">SUMIFS(Конструкторы!I$1192:I$1277,Конструкторы!$C$1192:$C$1277,$A30)</f>
        <v>0</v>
      </c>
      <c r="AQ30" s="75">
        <f t="array" ref="AQ30">SUMIFS(Конструкторы!J$1192:J$1277,Конструкторы!$C$1192:$C$1277,$A30)</f>
        <v>0</v>
      </c>
      <c r="AR30" s="75">
        <f t="array" ref="AR30">SUMIFS(Конструкторы!K$1192:K$1277,Конструкторы!$C$1192:$C$1277,$A30)</f>
        <v>0</v>
      </c>
      <c r="AS30" s="75">
        <f t="array" ref="AS30">SUMIFS(Конструкторы!L$1192:L$1277,Конструкторы!$C$1192:$C$1277,$A30)</f>
        <v>0</v>
      </c>
      <c r="AT30" s="75">
        <f t="array" ref="AT30">SUMIFS(Конструкторы!M$1192:M$1277,Конструкторы!$C$1192:$C$1277,$A30)</f>
        <v>0</v>
      </c>
      <c r="AU30" s="75">
        <f t="array" ref="AU30">SUMIFS(Конструкторы!N$1192:N$1277,Конструкторы!$C$1192:$C$1277,$A30)</f>
        <v>0</v>
      </c>
      <c r="AV30" s="75">
        <f t="array" ref="AV30">SUMIFS(Конструкторы!O$1192:O$1277,Конструкторы!$C$1192:$C$1277,$A30)</f>
        <v>0</v>
      </c>
      <c r="AW30" s="75">
        <f t="array" ref="AW30">SUMIFS(Конструкторы!P$1192:P$1277,Конструкторы!$C$1192:$C$1277,$A30)</f>
        <v>0</v>
      </c>
      <c r="AX30" s="75">
        <f t="array" ref="AX30">SUMIFS(Конструкторы!Q$1192:Q$1277,Конструкторы!$C$1192:$C$1277,$A30)</f>
        <v>0</v>
      </c>
      <c r="AY30" s="75">
        <f t="array" ref="AY30">SUMIFS(Конструкторы!R$1192:R$1277,Конструкторы!$C$1192:$C$1277,$A30)</f>
        <v>0</v>
      </c>
      <c r="AZ30" s="75">
        <f t="array" ref="AZ30">SUMIFS(Конструкторы!S$1192:S$1277,Конструкторы!$C$1192:$C$1277,$A30)</f>
        <v>0</v>
      </c>
      <c r="BA30" s="75">
        <f t="array" ref="BA30">SUMIFS(Конструкторы!T$1192:T$1277,Конструкторы!$C$1192:$C$1277,$A30)</f>
        <v>0</v>
      </c>
      <c r="BB30" s="80">
        <f t="shared" si="12"/>
        <v>0</v>
      </c>
      <c r="BC30" s="80">
        <f t="shared" si="18"/>
        <v>570</v>
      </c>
      <c r="BD30" s="80">
        <f t="shared" si="19"/>
        <v>570</v>
      </c>
      <c r="BE30" s="80">
        <f t="shared" si="20"/>
        <v>570</v>
      </c>
      <c r="BF30" s="80">
        <f t="shared" si="21"/>
        <v>570</v>
      </c>
      <c r="BG30" s="80">
        <f t="shared" si="22"/>
        <v>570</v>
      </c>
      <c r="BH30" s="80">
        <f t="shared" si="23"/>
        <v>570</v>
      </c>
      <c r="BI30" s="80">
        <f t="shared" si="24"/>
        <v>570</v>
      </c>
      <c r="BJ30" s="80">
        <f t="shared" si="25"/>
        <v>570</v>
      </c>
      <c r="BK30" s="80">
        <f t="shared" si="26"/>
        <v>570</v>
      </c>
      <c r="BL30" s="80">
        <f t="shared" si="27"/>
        <v>570</v>
      </c>
      <c r="BM30" s="80">
        <f t="shared" si="28"/>
        <v>570</v>
      </c>
      <c r="BN30" s="84">
        <f t="shared" si="13"/>
        <v>0</v>
      </c>
      <c r="BO30" s="84">
        <f t="shared" si="29"/>
        <v>1500</v>
      </c>
      <c r="BP30" s="84">
        <f t="shared" si="30"/>
        <v>1500</v>
      </c>
      <c r="BQ30" s="84">
        <f t="shared" si="31"/>
        <v>1500</v>
      </c>
      <c r="BR30" s="84">
        <f t="shared" si="32"/>
        <v>1500</v>
      </c>
      <c r="BS30" s="84">
        <f t="shared" si="33"/>
        <v>1500</v>
      </c>
      <c r="BT30" s="84">
        <f t="shared" si="14"/>
        <v>1500</v>
      </c>
      <c r="BU30" s="84">
        <f t="shared" si="6"/>
        <v>1500</v>
      </c>
      <c r="BV30" s="84">
        <f t="shared" si="7"/>
        <v>1500</v>
      </c>
      <c r="BW30" s="84">
        <f t="shared" si="8"/>
        <v>1500</v>
      </c>
      <c r="BX30" s="84">
        <f t="shared" si="9"/>
        <v>1500</v>
      </c>
      <c r="BY30" s="83">
        <f t="shared" si="15"/>
        <v>1500</v>
      </c>
      <c r="BZ30" s="79">
        <f t="shared" si="16"/>
        <v>0</v>
      </c>
      <c r="CA30" s="79">
        <f t="shared" si="34"/>
        <v>31.25</v>
      </c>
      <c r="CB30" s="79">
        <f t="shared" si="34"/>
        <v>31.25</v>
      </c>
      <c r="CC30" s="79">
        <f t="shared" si="34"/>
        <v>31.25</v>
      </c>
      <c r="CD30" s="79">
        <f t="shared" si="34"/>
        <v>31.25</v>
      </c>
      <c r="CE30" s="79">
        <f t="shared" si="34"/>
        <v>31.25</v>
      </c>
      <c r="CF30" s="79">
        <f t="shared" si="34"/>
        <v>31.25</v>
      </c>
      <c r="CG30" s="79">
        <f t="shared" si="34"/>
        <v>31.25</v>
      </c>
      <c r="CH30" s="79">
        <f t="shared" si="34"/>
        <v>31.25</v>
      </c>
      <c r="CI30" s="79">
        <f t="shared" si="34"/>
        <v>31.25</v>
      </c>
      <c r="CJ30" s="79">
        <f t="shared" si="34"/>
        <v>31.25</v>
      </c>
      <c r="CK30" s="79">
        <f t="shared" si="17"/>
        <v>31.25</v>
      </c>
    </row>
    <row r="31" spans="1:89" x14ac:dyDescent="0.25">
      <c r="A31" s="42" t="s">
        <v>40</v>
      </c>
      <c r="B31" s="70">
        <f t="array" ref="B31">INDEX(Технологи!$E$5:$E$552,MATCH(A31&amp;$A$1,Технологи!$B$5:$B$552&amp;Технологи!$C$5:$C$552,0))</f>
        <v>0.59799999999999998</v>
      </c>
      <c r="C31" s="14">
        <v>1018</v>
      </c>
      <c r="D31" s="71">
        <v>10.5</v>
      </c>
      <c r="E31" s="71">
        <v>48</v>
      </c>
      <c r="F31" s="72">
        <f>SUMIFS(Продажи!F$5:F$360,Продажи!$D$5:$D$360,'Потребность профиль'!$A31,Продажи!$C$5:$C$360,"Профиль")</f>
        <v>0</v>
      </c>
      <c r="G31" s="72">
        <f>SUMIFS(Продажи!G$5:G$360,Продажи!$D$5:$D$360,'Потребность профиль'!$A31,Продажи!$C$5:$C$360,"Профиль")</f>
        <v>0</v>
      </c>
      <c r="H31" s="72">
        <f>SUMIFS(Продажи!H$5:H$360,Продажи!$D$5:$D$360,'Потребность профиль'!$A31,Продажи!$C$5:$C$360,"Профиль")</f>
        <v>0</v>
      </c>
      <c r="I31" s="72">
        <f>SUMIFS(Продажи!I$5:I$360,Продажи!$D$5:$D$360,'Потребность профиль'!$A31,Продажи!$C$5:$C$360,"Профиль")</f>
        <v>0</v>
      </c>
      <c r="J31" s="72">
        <f>SUMIFS(Продажи!J$5:J$360,Продажи!$D$5:$D$360,'Потребность профиль'!$A31,Продажи!$C$5:$C$360,"Профиль")</f>
        <v>0</v>
      </c>
      <c r="K31" s="72">
        <f>SUMIFS(Продажи!K$5:K$360,Продажи!$D$5:$D$360,'Потребность профиль'!$A31,Продажи!$C$5:$C$360,"Профиль")</f>
        <v>0</v>
      </c>
      <c r="L31" s="72">
        <f>SUMIFS(Продажи!L$5:L$360,Продажи!$D$5:$D$360,'Потребность профиль'!$A31,Продажи!$C$5:$C$360,"Профиль")</f>
        <v>0</v>
      </c>
      <c r="M31" s="72">
        <f>SUMIFS(Продажи!M$5:M$360,Продажи!$D$5:$D$360,'Потребность профиль'!$A31,Продажи!$C$5:$C$360,"Профиль")</f>
        <v>0</v>
      </c>
      <c r="N31" s="72">
        <f>SUMIFS(Продажи!N$5:N$360,Продажи!$D$5:$D$360,'Потребность профиль'!$A31,Продажи!$C$5:$C$360,"Профиль")</f>
        <v>0</v>
      </c>
      <c r="O31" s="72">
        <f>SUMIFS(Продажи!O$5:O$360,Продажи!$D$5:$D$360,'Потребность профиль'!$A31,Продажи!$C$5:$C$360,"Профиль")</f>
        <v>0</v>
      </c>
      <c r="P31" s="72">
        <f>SUMIFS(Продажи!P$5:P$360,Продажи!$D$5:$D$360,'Потребность профиль'!$A31,Продажи!$C$5:$C$360,"Профиль")</f>
        <v>0</v>
      </c>
      <c r="Q31" s="72">
        <f>SUMIFS(Продажи!Q$5:Q$360,Продажи!$D$5:$D$360,'Потребность профиль'!$A31,Продажи!$C$5:$C$360,"Профиль")</f>
        <v>0</v>
      </c>
      <c r="R31" s="73">
        <f t="array" ref="R31">SUMIFS(Конструкторы!I$35:I$1191,Конструкторы!$C$35:$C$1191,$A31)</f>
        <v>0</v>
      </c>
      <c r="S31" s="73">
        <f t="array" ref="S31">SUMIFS(Конструкторы!J$35:J$1191,Конструкторы!$C$35:$C$1191,$A31)</f>
        <v>0</v>
      </c>
      <c r="T31" s="73">
        <f t="array" ref="T31">SUMIFS(Конструкторы!K$35:K$1191,Конструкторы!$C$35:$C$1191,$A31)</f>
        <v>0</v>
      </c>
      <c r="U31" s="73">
        <f t="array" ref="U31">SUMIFS(Конструкторы!L$35:L$1191,Конструкторы!$C$35:$C$1191,$A31)</f>
        <v>0</v>
      </c>
      <c r="V31" s="73">
        <f t="array" ref="V31">SUMIFS(Конструкторы!M$35:M$1191,Конструкторы!$C$35:$C$1191,$A31)</f>
        <v>0</v>
      </c>
      <c r="W31" s="73">
        <f t="array" ref="W31">SUMIFS(Конструкторы!N$35:N$1191,Конструкторы!$C$35:$C$1191,$A31)</f>
        <v>0</v>
      </c>
      <c r="X31" s="73">
        <f t="array" ref="X31">SUMIFS(Конструкторы!O$35:O$1191,Конструкторы!$C$35:$C$1191,$A31)</f>
        <v>0</v>
      </c>
      <c r="Y31" s="73">
        <f t="array" ref="Y31">SUMIFS(Конструкторы!P$35:P$1191,Конструкторы!$C$35:$C$1191,$A31)</f>
        <v>0</v>
      </c>
      <c r="Z31" s="73">
        <f t="array" ref="Z31">SUMIFS(Конструкторы!Q$35:Q$1191,Конструкторы!$C$35:$C$1191,$A31)</f>
        <v>0</v>
      </c>
      <c r="AA31" s="73">
        <f t="array" ref="AA31">SUMIFS(Конструкторы!R$35:R$1191,Конструкторы!$C$35:$C$1191,$A31)</f>
        <v>0</v>
      </c>
      <c r="AB31" s="73">
        <f t="array" ref="AB31">SUMIFS(Конструкторы!S$35:S$1191,Конструкторы!$C$35:$C$1191,$A31)</f>
        <v>0</v>
      </c>
      <c r="AC31" s="73">
        <f t="array" ref="AC31">SUMIFS(Конструкторы!T$35:T$1191,Конструкторы!$C$35:$C$1191,$A31)</f>
        <v>0</v>
      </c>
      <c r="AD31" s="76">
        <f t="array" ref="AD31">SUMIFS(Конструкторы!I$6:I$33,Конструкторы!$C$6:$C$33,$A31)</f>
        <v>0</v>
      </c>
      <c r="AE31" s="76">
        <f t="array" ref="AE31">SUMIFS(Конструкторы!J$6:J$33,Конструкторы!$C$6:$C$33,$A31)</f>
        <v>0</v>
      </c>
      <c r="AF31" s="76">
        <f t="array" ref="AF31">SUMIFS(Конструкторы!K$6:K$33,Конструкторы!$C$6:$C$33,$A31)</f>
        <v>0</v>
      </c>
      <c r="AG31" s="76">
        <f t="array" ref="AG31">SUMIFS(Конструкторы!L$6:L$33,Конструкторы!$C$6:$C$33,$A31)</f>
        <v>0</v>
      </c>
      <c r="AH31" s="76">
        <f t="array" ref="AH31">SUMIFS(Конструкторы!M$6:M$33,Конструкторы!$C$6:$C$33,$A31)</f>
        <v>0</v>
      </c>
      <c r="AI31" s="76">
        <f t="array" ref="AI31">SUMIFS(Конструкторы!N$6:N$33,Конструкторы!$C$6:$C$33,$A31)</f>
        <v>0</v>
      </c>
      <c r="AJ31" s="76">
        <f t="array" ref="AJ31">SUMIFS(Конструкторы!O$6:O$33,Конструкторы!$C$6:$C$33,$A31)</f>
        <v>0</v>
      </c>
      <c r="AK31" s="76">
        <f t="array" ref="AK31">SUMIFS(Конструкторы!P$6:P$33,Конструкторы!$C$6:$C$33,$A31)</f>
        <v>0</v>
      </c>
      <c r="AL31" s="76">
        <f t="array" ref="AL31">SUMIFS(Конструкторы!Q$6:Q$33,Конструкторы!$C$6:$C$33,$A31)</f>
        <v>0</v>
      </c>
      <c r="AM31" s="76">
        <f t="array" ref="AM31">SUMIFS(Конструкторы!R$6:R$33,Конструкторы!$C$6:$C$33,$A31)</f>
        <v>0</v>
      </c>
      <c r="AN31" s="76">
        <f t="array" ref="AN31">SUMIFS(Конструкторы!S$6:S$33,Конструкторы!$C$6:$C$33,$A31)</f>
        <v>0</v>
      </c>
      <c r="AO31" s="76">
        <f t="array" ref="AO31">SUMIFS(Конструкторы!T$6:T$33,Конструкторы!$C$6:$C$33,$A31)</f>
        <v>0</v>
      </c>
      <c r="AP31" s="75">
        <f t="array" ref="AP31">SUMIFS(Конструкторы!I$1192:I$1277,Конструкторы!$C$1192:$C$1277,$A31)</f>
        <v>0</v>
      </c>
      <c r="AQ31" s="75">
        <f t="array" ref="AQ31">SUMIFS(Конструкторы!J$1192:J$1277,Конструкторы!$C$1192:$C$1277,$A31)</f>
        <v>0</v>
      </c>
      <c r="AR31" s="75">
        <f t="array" ref="AR31">SUMIFS(Конструкторы!K$1192:K$1277,Конструкторы!$C$1192:$C$1277,$A31)</f>
        <v>0</v>
      </c>
      <c r="AS31" s="75">
        <f t="array" ref="AS31">SUMIFS(Конструкторы!L$1192:L$1277,Конструкторы!$C$1192:$C$1277,$A31)</f>
        <v>0</v>
      </c>
      <c r="AT31" s="75">
        <f t="array" ref="AT31">SUMIFS(Конструкторы!M$1192:M$1277,Конструкторы!$C$1192:$C$1277,$A31)</f>
        <v>0</v>
      </c>
      <c r="AU31" s="75">
        <f t="array" ref="AU31">SUMIFS(Конструкторы!N$1192:N$1277,Конструкторы!$C$1192:$C$1277,$A31)</f>
        <v>0</v>
      </c>
      <c r="AV31" s="75">
        <f t="array" ref="AV31">SUMIFS(Конструкторы!O$1192:O$1277,Конструкторы!$C$1192:$C$1277,$A31)</f>
        <v>0</v>
      </c>
      <c r="AW31" s="75">
        <f t="array" ref="AW31">SUMIFS(Конструкторы!P$1192:P$1277,Конструкторы!$C$1192:$C$1277,$A31)</f>
        <v>0</v>
      </c>
      <c r="AX31" s="75">
        <f t="array" ref="AX31">SUMIFS(Конструкторы!Q$1192:Q$1277,Конструкторы!$C$1192:$C$1277,$A31)</f>
        <v>0</v>
      </c>
      <c r="AY31" s="75">
        <f t="array" ref="AY31">SUMIFS(Конструкторы!R$1192:R$1277,Конструкторы!$C$1192:$C$1277,$A31)</f>
        <v>0</v>
      </c>
      <c r="AZ31" s="75">
        <f t="array" ref="AZ31">SUMIFS(Конструкторы!S$1192:S$1277,Конструкторы!$C$1192:$C$1277,$A31)</f>
        <v>0</v>
      </c>
      <c r="BA31" s="75">
        <f t="array" ref="BA31">SUMIFS(Конструкторы!T$1192:T$1277,Конструкторы!$C$1192:$C$1277,$A31)</f>
        <v>0</v>
      </c>
      <c r="BB31" s="80">
        <f t="shared" si="12"/>
        <v>0</v>
      </c>
      <c r="BC31" s="80">
        <f t="shared" si="18"/>
        <v>0</v>
      </c>
      <c r="BD31" s="80">
        <f t="shared" si="19"/>
        <v>0</v>
      </c>
      <c r="BE31" s="80">
        <f t="shared" si="20"/>
        <v>0</v>
      </c>
      <c r="BF31" s="80">
        <f t="shared" si="21"/>
        <v>0</v>
      </c>
      <c r="BG31" s="80">
        <f t="shared" si="22"/>
        <v>0</v>
      </c>
      <c r="BH31" s="80">
        <f t="shared" si="23"/>
        <v>0</v>
      </c>
      <c r="BI31" s="80">
        <f t="shared" si="24"/>
        <v>0</v>
      </c>
      <c r="BJ31" s="80">
        <f t="shared" si="25"/>
        <v>0</v>
      </c>
      <c r="BK31" s="80">
        <f t="shared" si="26"/>
        <v>0</v>
      </c>
      <c r="BL31" s="80">
        <f t="shared" si="27"/>
        <v>0</v>
      </c>
      <c r="BM31" s="80">
        <f t="shared" si="28"/>
        <v>0</v>
      </c>
      <c r="BN31" s="84">
        <f t="shared" si="13"/>
        <v>0</v>
      </c>
      <c r="BO31" s="84">
        <f t="shared" si="29"/>
        <v>0</v>
      </c>
      <c r="BP31" s="84">
        <f t="shared" si="30"/>
        <v>0</v>
      </c>
      <c r="BQ31" s="84">
        <f t="shared" si="31"/>
        <v>0</v>
      </c>
      <c r="BR31" s="84">
        <f t="shared" si="32"/>
        <v>0</v>
      </c>
      <c r="BS31" s="84">
        <f t="shared" si="33"/>
        <v>0</v>
      </c>
      <c r="BT31" s="84">
        <f t="shared" si="14"/>
        <v>0</v>
      </c>
      <c r="BU31" s="84">
        <f t="shared" si="6"/>
        <v>0</v>
      </c>
      <c r="BV31" s="84">
        <f t="shared" si="7"/>
        <v>0</v>
      </c>
      <c r="BW31" s="84">
        <f t="shared" si="8"/>
        <v>0</v>
      </c>
      <c r="BX31" s="84">
        <f t="shared" si="9"/>
        <v>0</v>
      </c>
      <c r="BY31" s="83">
        <f t="shared" si="15"/>
        <v>0</v>
      </c>
      <c r="BZ31" s="79">
        <f t="shared" si="16"/>
        <v>0</v>
      </c>
      <c r="CA31" s="79">
        <f t="shared" si="34"/>
        <v>0</v>
      </c>
      <c r="CB31" s="79">
        <f t="shared" si="34"/>
        <v>0</v>
      </c>
      <c r="CC31" s="79">
        <f t="shared" si="34"/>
        <v>0</v>
      </c>
      <c r="CD31" s="79">
        <f t="shared" si="34"/>
        <v>0</v>
      </c>
      <c r="CE31" s="79">
        <f t="shared" si="34"/>
        <v>0</v>
      </c>
      <c r="CF31" s="79">
        <f t="shared" si="34"/>
        <v>0</v>
      </c>
      <c r="CG31" s="79">
        <f t="shared" si="34"/>
        <v>0</v>
      </c>
      <c r="CH31" s="79">
        <f t="shared" si="34"/>
        <v>0</v>
      </c>
      <c r="CI31" s="79">
        <f t="shared" si="34"/>
        <v>0</v>
      </c>
      <c r="CJ31" s="79">
        <f t="shared" si="34"/>
        <v>0</v>
      </c>
      <c r="CK31" s="79">
        <f t="shared" si="17"/>
        <v>0</v>
      </c>
    </row>
    <row r="32" spans="1:89" x14ac:dyDescent="0.25">
      <c r="A32" s="42" t="s">
        <v>41</v>
      </c>
      <c r="B32" s="70">
        <f t="array" ref="B32">INDEX(Технологи!$E$5:$E$552,MATCH(A32&amp;$A$1,Технологи!$B$5:$B$552&amp;Технологи!$C$5:$C$552,0))</f>
        <v>0.65500000000000003</v>
      </c>
      <c r="C32" s="14">
        <v>1018</v>
      </c>
      <c r="D32" s="71">
        <v>10.5</v>
      </c>
      <c r="E32" s="71">
        <v>48</v>
      </c>
      <c r="F32" s="72">
        <f>SUMIFS(Продажи!F$5:F$360,Продажи!$D$5:$D$360,'Потребность профиль'!$A32,Продажи!$C$5:$C$360,"Профиль")</f>
        <v>3000</v>
      </c>
      <c r="G32" s="72">
        <f>SUMIFS(Продажи!G$5:G$360,Продажи!$D$5:$D$360,'Потребность профиль'!$A32,Продажи!$C$5:$C$360,"Профиль")</f>
        <v>7002</v>
      </c>
      <c r="H32" s="72">
        <f>SUMIFS(Продажи!H$5:H$360,Продажи!$D$5:$D$360,'Потребность профиль'!$A32,Продажи!$C$5:$C$360,"Профиль")</f>
        <v>9402</v>
      </c>
      <c r="I32" s="72">
        <f>SUMIFS(Продажи!I$5:I$360,Продажи!$D$5:$D$360,'Потребность профиль'!$A32,Продажи!$C$5:$C$360,"Профиль")</f>
        <v>7002</v>
      </c>
      <c r="J32" s="72">
        <f>SUMIFS(Продажи!J$5:J$360,Продажи!$D$5:$D$360,'Потребность профиль'!$A32,Продажи!$C$5:$C$360,"Профиль")</f>
        <v>7002</v>
      </c>
      <c r="K32" s="72">
        <f>SUMIFS(Продажи!K$5:K$360,Продажи!$D$5:$D$360,'Потребность профиль'!$A32,Продажи!$C$5:$C$360,"Профиль")</f>
        <v>7002</v>
      </c>
      <c r="L32" s="72">
        <f>SUMIFS(Продажи!L$5:L$360,Продажи!$D$5:$D$360,'Потребность профиль'!$A32,Продажи!$C$5:$C$360,"Профиль")</f>
        <v>7002</v>
      </c>
      <c r="M32" s="72">
        <f>SUMIFS(Продажи!M$5:M$360,Продажи!$D$5:$D$360,'Потребность профиль'!$A32,Продажи!$C$5:$C$360,"Профиль")</f>
        <v>7002</v>
      </c>
      <c r="N32" s="72">
        <f>SUMIFS(Продажи!N$5:N$360,Продажи!$D$5:$D$360,'Потребность профиль'!$A32,Продажи!$C$5:$C$360,"Профиль")</f>
        <v>7002</v>
      </c>
      <c r="O32" s="72">
        <f>SUMIFS(Продажи!O$5:O$360,Продажи!$D$5:$D$360,'Потребность профиль'!$A32,Продажи!$C$5:$C$360,"Профиль")</f>
        <v>7002</v>
      </c>
      <c r="P32" s="72">
        <f>SUMIFS(Продажи!P$5:P$360,Продажи!$D$5:$D$360,'Потребность профиль'!$A32,Продажи!$C$5:$C$360,"Профиль")</f>
        <v>7002</v>
      </c>
      <c r="Q32" s="72">
        <f>SUMIFS(Продажи!Q$5:Q$360,Продажи!$D$5:$D$360,'Потребность профиль'!$A32,Продажи!$C$5:$C$360,"Профиль")</f>
        <v>7002</v>
      </c>
      <c r="R32" s="73">
        <f t="array" ref="R32">SUMIFS(Конструкторы!I$35:I$1191,Конструкторы!$C$35:$C$1191,$A32)</f>
        <v>0</v>
      </c>
      <c r="S32" s="73">
        <f t="array" ref="S32">SUMIFS(Конструкторы!J$35:J$1191,Конструкторы!$C$35:$C$1191,$A32)</f>
        <v>0</v>
      </c>
      <c r="T32" s="73">
        <f t="array" ref="T32">SUMIFS(Конструкторы!K$35:K$1191,Конструкторы!$C$35:$C$1191,$A32)</f>
        <v>0</v>
      </c>
      <c r="U32" s="73">
        <f t="array" ref="U32">SUMIFS(Конструкторы!L$35:L$1191,Конструкторы!$C$35:$C$1191,$A32)</f>
        <v>0</v>
      </c>
      <c r="V32" s="73">
        <f t="array" ref="V32">SUMIFS(Конструкторы!M$35:M$1191,Конструкторы!$C$35:$C$1191,$A32)</f>
        <v>0</v>
      </c>
      <c r="W32" s="73">
        <f t="array" ref="W32">SUMIFS(Конструкторы!N$35:N$1191,Конструкторы!$C$35:$C$1191,$A32)</f>
        <v>0</v>
      </c>
      <c r="X32" s="73">
        <f t="array" ref="X32">SUMIFS(Конструкторы!O$35:O$1191,Конструкторы!$C$35:$C$1191,$A32)</f>
        <v>0</v>
      </c>
      <c r="Y32" s="73">
        <f t="array" ref="Y32">SUMIFS(Конструкторы!P$35:P$1191,Конструкторы!$C$35:$C$1191,$A32)</f>
        <v>0</v>
      </c>
      <c r="Z32" s="73">
        <f t="array" ref="Z32">SUMIFS(Конструкторы!Q$35:Q$1191,Конструкторы!$C$35:$C$1191,$A32)</f>
        <v>0</v>
      </c>
      <c r="AA32" s="73">
        <f t="array" ref="AA32">SUMIFS(Конструкторы!R$35:R$1191,Конструкторы!$C$35:$C$1191,$A32)</f>
        <v>0</v>
      </c>
      <c r="AB32" s="73">
        <f t="array" ref="AB32">SUMIFS(Конструкторы!S$35:S$1191,Конструкторы!$C$35:$C$1191,$A32)</f>
        <v>0</v>
      </c>
      <c r="AC32" s="73">
        <f t="array" ref="AC32">SUMIFS(Конструкторы!T$35:T$1191,Конструкторы!$C$35:$C$1191,$A32)</f>
        <v>0</v>
      </c>
      <c r="AD32" s="76">
        <f t="array" ref="AD32">SUMIFS(Конструкторы!I$6:I$33,Конструкторы!$C$6:$C$33,$A32)</f>
        <v>0</v>
      </c>
      <c r="AE32" s="76">
        <f t="array" ref="AE32">SUMIFS(Конструкторы!J$6:J$33,Конструкторы!$C$6:$C$33,$A32)</f>
        <v>500</v>
      </c>
      <c r="AF32" s="76">
        <f t="array" ref="AF32">SUMIFS(Конструкторы!K$6:K$33,Конструкторы!$C$6:$C$33,$A32)</f>
        <v>0</v>
      </c>
      <c r="AG32" s="76">
        <f t="array" ref="AG32">SUMIFS(Конструкторы!L$6:L$33,Конструкторы!$C$6:$C$33,$A32)</f>
        <v>500</v>
      </c>
      <c r="AH32" s="76">
        <f t="array" ref="AH32">SUMIFS(Конструкторы!M$6:M$33,Конструкторы!$C$6:$C$33,$A32)</f>
        <v>300</v>
      </c>
      <c r="AI32" s="76">
        <f t="array" ref="AI32">SUMIFS(Конструкторы!N$6:N$33,Конструкторы!$C$6:$C$33,$A32)</f>
        <v>300</v>
      </c>
      <c r="AJ32" s="76">
        <f t="array" ref="AJ32">SUMIFS(Конструкторы!O$6:O$33,Конструкторы!$C$6:$C$33,$A32)</f>
        <v>300</v>
      </c>
      <c r="AK32" s="76">
        <f t="array" ref="AK32">SUMIFS(Конструкторы!P$6:P$33,Конструкторы!$C$6:$C$33,$A32)</f>
        <v>300</v>
      </c>
      <c r="AL32" s="76">
        <f t="array" ref="AL32">SUMIFS(Конструкторы!Q$6:Q$33,Конструкторы!$C$6:$C$33,$A32)</f>
        <v>300</v>
      </c>
      <c r="AM32" s="76">
        <f t="array" ref="AM32">SUMIFS(Конструкторы!R$6:R$33,Конструкторы!$C$6:$C$33,$A32)</f>
        <v>300</v>
      </c>
      <c r="AN32" s="76">
        <f t="array" ref="AN32">SUMIFS(Конструкторы!S$6:S$33,Конструкторы!$C$6:$C$33,$A32)</f>
        <v>300</v>
      </c>
      <c r="AO32" s="76">
        <f t="array" ref="AO32">SUMIFS(Конструкторы!T$6:T$33,Конструкторы!$C$6:$C$33,$A32)</f>
        <v>300</v>
      </c>
      <c r="AP32" s="75">
        <f t="array" ref="AP32">SUMIFS(Конструкторы!I$1192:I$1277,Конструкторы!$C$1192:$C$1277,$A32)</f>
        <v>0</v>
      </c>
      <c r="AQ32" s="75">
        <f t="array" ref="AQ32">SUMIFS(Конструкторы!J$1192:J$1277,Конструкторы!$C$1192:$C$1277,$A32)</f>
        <v>0</v>
      </c>
      <c r="AR32" s="75">
        <f t="array" ref="AR32">SUMIFS(Конструкторы!K$1192:K$1277,Конструкторы!$C$1192:$C$1277,$A32)</f>
        <v>0</v>
      </c>
      <c r="AS32" s="75">
        <f t="array" ref="AS32">SUMIFS(Конструкторы!L$1192:L$1277,Конструкторы!$C$1192:$C$1277,$A32)</f>
        <v>0</v>
      </c>
      <c r="AT32" s="75">
        <f t="array" ref="AT32">SUMIFS(Конструкторы!M$1192:M$1277,Конструкторы!$C$1192:$C$1277,$A32)</f>
        <v>0</v>
      </c>
      <c r="AU32" s="75">
        <f t="array" ref="AU32">SUMIFS(Конструкторы!N$1192:N$1277,Конструкторы!$C$1192:$C$1277,$A32)</f>
        <v>0</v>
      </c>
      <c r="AV32" s="75">
        <f t="array" ref="AV32">SUMIFS(Конструкторы!O$1192:O$1277,Конструкторы!$C$1192:$C$1277,$A32)</f>
        <v>0</v>
      </c>
      <c r="AW32" s="75">
        <f t="array" ref="AW32">SUMIFS(Конструкторы!P$1192:P$1277,Конструкторы!$C$1192:$C$1277,$A32)</f>
        <v>0</v>
      </c>
      <c r="AX32" s="75">
        <f t="array" ref="AX32">SUMIFS(Конструкторы!Q$1192:Q$1277,Конструкторы!$C$1192:$C$1277,$A32)</f>
        <v>0</v>
      </c>
      <c r="AY32" s="75">
        <f t="array" ref="AY32">SUMIFS(Конструкторы!R$1192:R$1277,Конструкторы!$C$1192:$C$1277,$A32)</f>
        <v>0</v>
      </c>
      <c r="AZ32" s="75">
        <f t="array" ref="AZ32">SUMIFS(Конструкторы!S$1192:S$1277,Конструкторы!$C$1192:$C$1277,$A32)</f>
        <v>0</v>
      </c>
      <c r="BA32" s="75">
        <f t="array" ref="BA32">SUMIFS(Конструкторы!T$1192:T$1277,Конструкторы!$C$1192:$C$1277,$A32)</f>
        <v>0</v>
      </c>
      <c r="BB32" s="80">
        <f t="shared" si="12"/>
        <v>1965</v>
      </c>
      <c r="BC32" s="80">
        <f t="shared" si="18"/>
        <v>4913.8100000000004</v>
      </c>
      <c r="BD32" s="80">
        <f t="shared" si="19"/>
        <v>6158.31</v>
      </c>
      <c r="BE32" s="80">
        <f t="shared" si="20"/>
        <v>4913.8100000000004</v>
      </c>
      <c r="BF32" s="80">
        <f t="shared" si="21"/>
        <v>4782.8100000000004</v>
      </c>
      <c r="BG32" s="80">
        <f t="shared" si="22"/>
        <v>4782.8100000000004</v>
      </c>
      <c r="BH32" s="80">
        <f t="shared" si="23"/>
        <v>4782.8100000000004</v>
      </c>
      <c r="BI32" s="80">
        <f t="shared" si="24"/>
        <v>4782.8100000000004</v>
      </c>
      <c r="BJ32" s="80">
        <f t="shared" si="25"/>
        <v>4782.8100000000004</v>
      </c>
      <c r="BK32" s="80">
        <f t="shared" si="26"/>
        <v>4782.8100000000004</v>
      </c>
      <c r="BL32" s="80">
        <f t="shared" si="27"/>
        <v>4782.8100000000004</v>
      </c>
      <c r="BM32" s="80">
        <f t="shared" si="28"/>
        <v>4782.8100000000004</v>
      </c>
      <c r="BN32" s="84">
        <f t="shared" si="13"/>
        <v>3000</v>
      </c>
      <c r="BO32" s="84">
        <f t="shared" si="29"/>
        <v>7502</v>
      </c>
      <c r="BP32" s="84">
        <f t="shared" si="30"/>
        <v>9402</v>
      </c>
      <c r="BQ32" s="84">
        <f t="shared" si="31"/>
        <v>7502</v>
      </c>
      <c r="BR32" s="84">
        <f t="shared" si="32"/>
        <v>7302</v>
      </c>
      <c r="BS32" s="84">
        <f t="shared" si="33"/>
        <v>7302</v>
      </c>
      <c r="BT32" s="84">
        <f t="shared" si="14"/>
        <v>7302</v>
      </c>
      <c r="BU32" s="84">
        <f t="shared" si="6"/>
        <v>7302</v>
      </c>
      <c r="BV32" s="84">
        <f t="shared" si="7"/>
        <v>7302</v>
      </c>
      <c r="BW32" s="84">
        <f t="shared" si="8"/>
        <v>7302</v>
      </c>
      <c r="BX32" s="84">
        <f t="shared" si="9"/>
        <v>7302</v>
      </c>
      <c r="BY32" s="83">
        <f t="shared" si="15"/>
        <v>7302</v>
      </c>
      <c r="BZ32" s="79">
        <f t="shared" si="16"/>
        <v>62.5</v>
      </c>
      <c r="CA32" s="79">
        <f t="shared" si="34"/>
        <v>156.29166666666666</v>
      </c>
      <c r="CB32" s="79">
        <f t="shared" si="34"/>
        <v>195.875</v>
      </c>
      <c r="CC32" s="79">
        <f t="shared" si="34"/>
        <v>156.29166666666666</v>
      </c>
      <c r="CD32" s="79">
        <f t="shared" si="34"/>
        <v>152.125</v>
      </c>
      <c r="CE32" s="79">
        <f t="shared" si="34"/>
        <v>152.125</v>
      </c>
      <c r="CF32" s="79">
        <f t="shared" si="34"/>
        <v>152.125</v>
      </c>
      <c r="CG32" s="79">
        <f t="shared" si="34"/>
        <v>152.125</v>
      </c>
      <c r="CH32" s="79">
        <f t="shared" si="34"/>
        <v>152.125</v>
      </c>
      <c r="CI32" s="79">
        <f t="shared" si="34"/>
        <v>152.125</v>
      </c>
      <c r="CJ32" s="79">
        <f t="shared" si="34"/>
        <v>152.125</v>
      </c>
      <c r="CK32" s="79">
        <f t="shared" si="17"/>
        <v>152.125</v>
      </c>
    </row>
    <row r="33" spans="1:89" x14ac:dyDescent="0.25">
      <c r="A33" s="42" t="s">
        <v>43</v>
      </c>
      <c r="B33" s="70">
        <f t="array" ref="B33">INDEX(Технологи!$E$5:$E$552,MATCH(A33&amp;$A$1,Технологи!$B$5:$B$552&amp;Технологи!$C$5:$C$552,0))</f>
        <v>0.95699999999999996</v>
      </c>
      <c r="C33" s="14">
        <v>1018</v>
      </c>
      <c r="D33" s="71">
        <v>10.5</v>
      </c>
      <c r="E33" s="71">
        <v>42</v>
      </c>
      <c r="F33" s="72">
        <f>SUMIFS(Продажи!F$5:F$360,Продажи!$D$5:$D$360,'Потребность профиль'!$A33,Продажи!$C$5:$C$360,"Профиль")</f>
        <v>252</v>
      </c>
      <c r="G33" s="72">
        <f>SUMIFS(Продажи!G$5:G$360,Продажи!$D$5:$D$360,'Потребность профиль'!$A33,Продажи!$C$5:$C$360,"Профиль")</f>
        <v>0</v>
      </c>
      <c r="H33" s="72">
        <f>SUMIFS(Продажи!H$5:H$360,Продажи!$D$5:$D$360,'Потребность профиль'!$A33,Продажи!$C$5:$C$360,"Профиль")</f>
        <v>0</v>
      </c>
      <c r="I33" s="72">
        <f>SUMIFS(Продажи!I$5:I$360,Продажи!$D$5:$D$360,'Потребность профиль'!$A33,Продажи!$C$5:$C$360,"Профиль")</f>
        <v>0</v>
      </c>
      <c r="J33" s="72">
        <f>SUMIFS(Продажи!J$5:J$360,Продажи!$D$5:$D$360,'Потребность профиль'!$A33,Продажи!$C$5:$C$360,"Профиль")</f>
        <v>0</v>
      </c>
      <c r="K33" s="72">
        <f>SUMIFS(Продажи!K$5:K$360,Продажи!$D$5:$D$360,'Потребность профиль'!$A33,Продажи!$C$5:$C$360,"Профиль")</f>
        <v>0</v>
      </c>
      <c r="L33" s="72">
        <f>SUMIFS(Продажи!L$5:L$360,Продажи!$D$5:$D$360,'Потребность профиль'!$A33,Продажи!$C$5:$C$360,"Профиль")</f>
        <v>0</v>
      </c>
      <c r="M33" s="72">
        <f>SUMIFS(Продажи!M$5:M$360,Продажи!$D$5:$D$360,'Потребность профиль'!$A33,Продажи!$C$5:$C$360,"Профиль")</f>
        <v>0</v>
      </c>
      <c r="N33" s="72">
        <f>SUMIFS(Продажи!N$5:N$360,Продажи!$D$5:$D$360,'Потребность профиль'!$A33,Продажи!$C$5:$C$360,"Профиль")</f>
        <v>0</v>
      </c>
      <c r="O33" s="72">
        <f>SUMIFS(Продажи!O$5:O$360,Продажи!$D$5:$D$360,'Потребность профиль'!$A33,Продажи!$C$5:$C$360,"Профиль")</f>
        <v>0</v>
      </c>
      <c r="P33" s="72">
        <f>SUMIFS(Продажи!P$5:P$360,Продажи!$D$5:$D$360,'Потребность профиль'!$A33,Продажи!$C$5:$C$360,"Профиль")</f>
        <v>0</v>
      </c>
      <c r="Q33" s="72">
        <f>SUMIFS(Продажи!Q$5:Q$360,Продажи!$D$5:$D$360,'Потребность профиль'!$A33,Продажи!$C$5:$C$360,"Профиль")</f>
        <v>0</v>
      </c>
      <c r="R33" s="73">
        <f t="array" ref="R33">SUMIFS(Конструкторы!I$35:I$1191,Конструкторы!$C$35:$C$1191,$A33)</f>
        <v>0</v>
      </c>
      <c r="S33" s="73">
        <f t="array" ref="S33">SUMIFS(Конструкторы!J$35:J$1191,Конструкторы!$C$35:$C$1191,$A33)</f>
        <v>0</v>
      </c>
      <c r="T33" s="73">
        <f t="array" ref="T33">SUMIFS(Конструкторы!K$35:K$1191,Конструкторы!$C$35:$C$1191,$A33)</f>
        <v>0</v>
      </c>
      <c r="U33" s="73">
        <f t="array" ref="U33">SUMIFS(Конструкторы!L$35:L$1191,Конструкторы!$C$35:$C$1191,$A33)</f>
        <v>0</v>
      </c>
      <c r="V33" s="73">
        <f t="array" ref="V33">SUMIFS(Конструкторы!M$35:M$1191,Конструкторы!$C$35:$C$1191,$A33)</f>
        <v>0</v>
      </c>
      <c r="W33" s="73">
        <f t="array" ref="W33">SUMIFS(Конструкторы!N$35:N$1191,Конструкторы!$C$35:$C$1191,$A33)</f>
        <v>0</v>
      </c>
      <c r="X33" s="73">
        <f t="array" ref="X33">SUMIFS(Конструкторы!O$35:O$1191,Конструкторы!$C$35:$C$1191,$A33)</f>
        <v>0</v>
      </c>
      <c r="Y33" s="73">
        <f t="array" ref="Y33">SUMIFS(Конструкторы!P$35:P$1191,Конструкторы!$C$35:$C$1191,$A33)</f>
        <v>0</v>
      </c>
      <c r="Z33" s="73">
        <f t="array" ref="Z33">SUMIFS(Конструкторы!Q$35:Q$1191,Конструкторы!$C$35:$C$1191,$A33)</f>
        <v>0</v>
      </c>
      <c r="AA33" s="73">
        <f t="array" ref="AA33">SUMIFS(Конструкторы!R$35:R$1191,Конструкторы!$C$35:$C$1191,$A33)</f>
        <v>0</v>
      </c>
      <c r="AB33" s="73">
        <f t="array" ref="AB33">SUMIFS(Конструкторы!S$35:S$1191,Конструкторы!$C$35:$C$1191,$A33)</f>
        <v>0</v>
      </c>
      <c r="AC33" s="73">
        <f t="array" ref="AC33">SUMIFS(Конструкторы!T$35:T$1191,Конструкторы!$C$35:$C$1191,$A33)</f>
        <v>0</v>
      </c>
      <c r="AD33" s="76">
        <f t="array" ref="AD33">SUMIFS(Конструкторы!I$6:I$33,Конструкторы!$C$6:$C$33,$A33)</f>
        <v>0</v>
      </c>
      <c r="AE33" s="76">
        <f t="array" ref="AE33">SUMIFS(Конструкторы!J$6:J$33,Конструкторы!$C$6:$C$33,$A33)</f>
        <v>6952.5</v>
      </c>
      <c r="AF33" s="76">
        <f t="array" ref="AF33">SUMIFS(Конструкторы!K$6:K$33,Конструкторы!$C$6:$C$33,$A33)</f>
        <v>0</v>
      </c>
      <c r="AG33" s="76">
        <f t="array" ref="AG33">SUMIFS(Конструкторы!L$6:L$33,Конструкторы!$C$6:$C$33,$A33)</f>
        <v>0</v>
      </c>
      <c r="AH33" s="76">
        <f t="array" ref="AH33">SUMIFS(Конструкторы!M$6:M$33,Конструкторы!$C$6:$C$33,$A33)</f>
        <v>0</v>
      </c>
      <c r="AI33" s="76">
        <f t="array" ref="AI33">SUMIFS(Конструкторы!N$6:N$33,Конструкторы!$C$6:$C$33,$A33)</f>
        <v>0</v>
      </c>
      <c r="AJ33" s="76">
        <f t="array" ref="AJ33">SUMIFS(Конструкторы!O$6:O$33,Конструкторы!$C$6:$C$33,$A33)</f>
        <v>0</v>
      </c>
      <c r="AK33" s="76">
        <f t="array" ref="AK33">SUMIFS(Конструкторы!P$6:P$33,Конструкторы!$C$6:$C$33,$A33)</f>
        <v>0</v>
      </c>
      <c r="AL33" s="76">
        <f t="array" ref="AL33">SUMIFS(Конструкторы!Q$6:Q$33,Конструкторы!$C$6:$C$33,$A33)</f>
        <v>0</v>
      </c>
      <c r="AM33" s="76">
        <f t="array" ref="AM33">SUMIFS(Конструкторы!R$6:R$33,Конструкторы!$C$6:$C$33,$A33)</f>
        <v>0</v>
      </c>
      <c r="AN33" s="76">
        <f t="array" ref="AN33">SUMIFS(Конструкторы!S$6:S$33,Конструкторы!$C$6:$C$33,$A33)</f>
        <v>0</v>
      </c>
      <c r="AO33" s="76">
        <f t="array" ref="AO33">SUMIFS(Конструкторы!T$6:T$33,Конструкторы!$C$6:$C$33,$A33)</f>
        <v>0</v>
      </c>
      <c r="AP33" s="75">
        <f t="array" ref="AP33">SUMIFS(Конструкторы!I$1192:I$1277,Конструкторы!$C$1192:$C$1277,$A33)</f>
        <v>0</v>
      </c>
      <c r="AQ33" s="75">
        <f t="array" ref="AQ33">SUMIFS(Конструкторы!J$1192:J$1277,Конструкторы!$C$1192:$C$1277,$A33)</f>
        <v>0</v>
      </c>
      <c r="AR33" s="75">
        <f t="array" ref="AR33">SUMIFS(Конструкторы!K$1192:K$1277,Конструкторы!$C$1192:$C$1277,$A33)</f>
        <v>0</v>
      </c>
      <c r="AS33" s="75">
        <f t="array" ref="AS33">SUMIFS(Конструкторы!L$1192:L$1277,Конструкторы!$C$1192:$C$1277,$A33)</f>
        <v>1938.3259911894272</v>
      </c>
      <c r="AT33" s="75">
        <f t="array" ref="AT33">SUMIFS(Конструкторы!M$1192:M$1277,Конструкторы!$C$1192:$C$1277,$A33)</f>
        <v>2298.9447802479253</v>
      </c>
      <c r="AU33" s="75">
        <f t="array" ref="AU33">SUMIFS(Конструкторы!N$1192:N$1277,Конструкторы!$C$1192:$C$1277,$A33)</f>
        <v>2073.558037086364</v>
      </c>
      <c r="AV33" s="75">
        <f t="array" ref="AV33">SUMIFS(Конструкторы!O$1192:O$1277,Конструкторы!$C$1192:$C$1277,$A33)</f>
        <v>2073.558037086364</v>
      </c>
      <c r="AW33" s="75">
        <f t="array" ref="AW33">SUMIFS(Конструкторы!P$1192:P$1277,Конструкторы!$C$1192:$C$1277,$A33)</f>
        <v>2073.558037086364</v>
      </c>
      <c r="AX33" s="75">
        <f t="array" ref="AX33">SUMIFS(Конструкторы!Q$1192:Q$1277,Конструкторы!$C$1192:$C$1277,$A33)</f>
        <v>2073.558037086364</v>
      </c>
      <c r="AY33" s="75">
        <f t="array" ref="AY33">SUMIFS(Конструкторы!R$1192:R$1277,Конструкторы!$C$1192:$C$1277,$A33)</f>
        <v>2073.558037086364</v>
      </c>
      <c r="AZ33" s="75">
        <f t="array" ref="AZ33">SUMIFS(Конструкторы!S$1192:S$1277,Конструкторы!$C$1192:$C$1277,$A33)</f>
        <v>2073.558037086364</v>
      </c>
      <c r="BA33" s="75">
        <f t="array" ref="BA33">SUMIFS(Конструкторы!T$1192:T$1277,Конструкторы!$C$1192:$C$1277,$A33)</f>
        <v>2073.558037086364</v>
      </c>
      <c r="BB33" s="80">
        <f t="shared" si="12"/>
        <v>241.16399999999999</v>
      </c>
      <c r="BC33" s="80">
        <f t="shared" si="18"/>
        <v>6653.5424999999996</v>
      </c>
      <c r="BD33" s="80">
        <f t="shared" si="19"/>
        <v>1938.3259911894272</v>
      </c>
      <c r="BE33" s="80">
        <f t="shared" si="20"/>
        <v>2298.9447802479253</v>
      </c>
      <c r="BF33" s="80">
        <f t="shared" si="21"/>
        <v>2073.558037086364</v>
      </c>
      <c r="BG33" s="80">
        <f t="shared" si="22"/>
        <v>2073.558037086364</v>
      </c>
      <c r="BH33" s="80">
        <f t="shared" si="23"/>
        <v>2073.558037086364</v>
      </c>
      <c r="BI33" s="80">
        <f t="shared" si="24"/>
        <v>2073.558037086364</v>
      </c>
      <c r="BJ33" s="80">
        <f t="shared" si="25"/>
        <v>2073.558037086364</v>
      </c>
      <c r="BK33" s="80">
        <f t="shared" si="26"/>
        <v>2073.558037086364</v>
      </c>
      <c r="BL33" s="80">
        <f t="shared" si="27"/>
        <v>2073.558037086364</v>
      </c>
      <c r="BM33" s="80">
        <f t="shared" si="28"/>
        <v>2073.558037086364</v>
      </c>
      <c r="BN33" s="84">
        <f t="shared" si="13"/>
        <v>252</v>
      </c>
      <c r="BO33" s="84">
        <f t="shared" si="29"/>
        <v>6952.5</v>
      </c>
      <c r="BP33" s="84">
        <f t="shared" si="30"/>
        <v>2025.4190085573953</v>
      </c>
      <c r="BQ33" s="84">
        <f t="shared" si="31"/>
        <v>2402.2411496843524</v>
      </c>
      <c r="BR33" s="84">
        <f t="shared" si="32"/>
        <v>2166.7273114800041</v>
      </c>
      <c r="BS33" s="84">
        <f t="shared" si="33"/>
        <v>2166.7273114800041</v>
      </c>
      <c r="BT33" s="84">
        <f t="shared" si="14"/>
        <v>2166.7273114800041</v>
      </c>
      <c r="BU33" s="84">
        <f t="shared" si="6"/>
        <v>2166.7273114800041</v>
      </c>
      <c r="BV33" s="84">
        <f t="shared" si="7"/>
        <v>2166.7273114800041</v>
      </c>
      <c r="BW33" s="84">
        <f t="shared" si="8"/>
        <v>2166.7273114800041</v>
      </c>
      <c r="BX33" s="84">
        <f t="shared" si="9"/>
        <v>2166.7273114800041</v>
      </c>
      <c r="BY33" s="83">
        <f t="shared" si="15"/>
        <v>2166.7273114800041</v>
      </c>
      <c r="BZ33" s="79">
        <f t="shared" si="16"/>
        <v>6</v>
      </c>
      <c r="CA33" s="79">
        <f t="shared" si="34"/>
        <v>165.53571428571428</v>
      </c>
      <c r="CB33" s="79">
        <f t="shared" si="34"/>
        <v>48.224262108509414</v>
      </c>
      <c r="CC33" s="79">
        <f t="shared" si="34"/>
        <v>57.196217849627438</v>
      </c>
      <c r="CD33" s="79">
        <f t="shared" si="34"/>
        <v>51.588745511428669</v>
      </c>
      <c r="CE33" s="79">
        <f t="shared" si="34"/>
        <v>51.588745511428669</v>
      </c>
      <c r="CF33" s="79">
        <f t="shared" si="34"/>
        <v>51.588745511428669</v>
      </c>
      <c r="CG33" s="79">
        <f t="shared" si="34"/>
        <v>51.588745511428669</v>
      </c>
      <c r="CH33" s="79">
        <f t="shared" si="34"/>
        <v>51.588745511428669</v>
      </c>
      <c r="CI33" s="79">
        <f t="shared" si="34"/>
        <v>51.588745511428669</v>
      </c>
      <c r="CJ33" s="79">
        <f t="shared" si="34"/>
        <v>51.588745511428669</v>
      </c>
      <c r="CK33" s="79">
        <f t="shared" si="17"/>
        <v>51.588745511428669</v>
      </c>
    </row>
    <row r="34" spans="1:89" x14ac:dyDescent="0.25">
      <c r="A34" s="42" t="s">
        <v>42</v>
      </c>
      <c r="B34" s="70">
        <f t="array" ref="B34">INDEX(Технологи!$E$5:$E$552,MATCH(A34&amp;$A$1,Технологи!$B$5:$B$552&amp;Технологи!$C$5:$C$552,0))</f>
        <v>0.82199999999999995</v>
      </c>
      <c r="C34" s="14">
        <v>1018</v>
      </c>
      <c r="D34" s="71">
        <v>6.5</v>
      </c>
      <c r="E34" s="71">
        <v>21</v>
      </c>
      <c r="F34" s="72">
        <f>SUMIFS(Продажи!F$5:F$360,Продажи!$D$5:$D$360,'Потребность профиль'!$A34,Продажи!$C$5:$C$360,"Профиль")</f>
        <v>0</v>
      </c>
      <c r="G34" s="72">
        <f>SUMIFS(Продажи!G$5:G$360,Продажи!$D$5:$D$360,'Потребность профиль'!$A34,Продажи!$C$5:$C$360,"Профиль")</f>
        <v>2502</v>
      </c>
      <c r="H34" s="72">
        <f>SUMIFS(Продажи!H$5:H$360,Продажи!$D$5:$D$360,'Потребность профиль'!$A34,Продажи!$C$5:$C$360,"Профиль")</f>
        <v>2700</v>
      </c>
      <c r="I34" s="72">
        <f>SUMIFS(Продажи!I$5:I$360,Продажи!$D$5:$D$360,'Потребность профиль'!$A34,Продажи!$C$5:$C$360,"Профиль")</f>
        <v>2502</v>
      </c>
      <c r="J34" s="72">
        <f>SUMIFS(Продажи!J$5:J$360,Продажи!$D$5:$D$360,'Потребность профиль'!$A34,Продажи!$C$5:$C$360,"Профиль")</f>
        <v>2502</v>
      </c>
      <c r="K34" s="72">
        <f>SUMIFS(Продажи!K$5:K$360,Продажи!$D$5:$D$360,'Потребность профиль'!$A34,Продажи!$C$5:$C$360,"Профиль")</f>
        <v>2502</v>
      </c>
      <c r="L34" s="72">
        <f>SUMIFS(Продажи!L$5:L$360,Продажи!$D$5:$D$360,'Потребность профиль'!$A34,Продажи!$C$5:$C$360,"Профиль")</f>
        <v>2502</v>
      </c>
      <c r="M34" s="72">
        <f>SUMIFS(Продажи!M$5:M$360,Продажи!$D$5:$D$360,'Потребность профиль'!$A34,Продажи!$C$5:$C$360,"Профиль")</f>
        <v>2502</v>
      </c>
      <c r="N34" s="72">
        <f>SUMIFS(Продажи!N$5:N$360,Продажи!$D$5:$D$360,'Потребность профиль'!$A34,Продажи!$C$5:$C$360,"Профиль")</f>
        <v>2502</v>
      </c>
      <c r="O34" s="72">
        <f>SUMIFS(Продажи!O$5:O$360,Продажи!$D$5:$D$360,'Потребность профиль'!$A34,Продажи!$C$5:$C$360,"Профиль")</f>
        <v>2502</v>
      </c>
      <c r="P34" s="72">
        <f>SUMIFS(Продажи!P$5:P$360,Продажи!$D$5:$D$360,'Потребность профиль'!$A34,Продажи!$C$5:$C$360,"Профиль")</f>
        <v>2502</v>
      </c>
      <c r="Q34" s="72">
        <f>SUMIFS(Продажи!Q$5:Q$360,Продажи!$D$5:$D$360,'Потребность профиль'!$A34,Продажи!$C$5:$C$360,"Профиль")</f>
        <v>2502</v>
      </c>
      <c r="R34" s="73">
        <f t="array" ref="R34">SUMIFS(Конструкторы!I$35:I$1191,Конструкторы!$C$35:$C$1191,$A34)</f>
        <v>0</v>
      </c>
      <c r="S34" s="73">
        <f t="array" ref="S34">SUMIFS(Конструкторы!J$35:J$1191,Конструкторы!$C$35:$C$1191,$A34)</f>
        <v>0</v>
      </c>
      <c r="T34" s="73">
        <f t="array" ref="T34">SUMIFS(Конструкторы!K$35:K$1191,Конструкторы!$C$35:$C$1191,$A34)</f>
        <v>0</v>
      </c>
      <c r="U34" s="73">
        <f t="array" ref="U34">SUMIFS(Конструкторы!L$35:L$1191,Конструкторы!$C$35:$C$1191,$A34)</f>
        <v>0</v>
      </c>
      <c r="V34" s="73">
        <f t="array" ref="V34">SUMIFS(Конструкторы!M$35:M$1191,Конструкторы!$C$35:$C$1191,$A34)</f>
        <v>0</v>
      </c>
      <c r="W34" s="73">
        <f t="array" ref="W34">SUMIFS(Конструкторы!N$35:N$1191,Конструкторы!$C$35:$C$1191,$A34)</f>
        <v>0</v>
      </c>
      <c r="X34" s="73">
        <f t="array" ref="X34">SUMIFS(Конструкторы!O$35:O$1191,Конструкторы!$C$35:$C$1191,$A34)</f>
        <v>0</v>
      </c>
      <c r="Y34" s="73">
        <f t="array" ref="Y34">SUMIFS(Конструкторы!P$35:P$1191,Конструкторы!$C$35:$C$1191,$A34)</f>
        <v>0</v>
      </c>
      <c r="Z34" s="73">
        <f t="array" ref="Z34">SUMIFS(Конструкторы!Q$35:Q$1191,Конструкторы!$C$35:$C$1191,$A34)</f>
        <v>0</v>
      </c>
      <c r="AA34" s="73">
        <f t="array" ref="AA34">SUMIFS(Конструкторы!R$35:R$1191,Конструкторы!$C$35:$C$1191,$A34)</f>
        <v>0</v>
      </c>
      <c r="AB34" s="73">
        <f t="array" ref="AB34">SUMIFS(Конструкторы!S$35:S$1191,Конструкторы!$C$35:$C$1191,$A34)</f>
        <v>0</v>
      </c>
      <c r="AC34" s="73">
        <f t="array" ref="AC34">SUMIFS(Конструкторы!T$35:T$1191,Конструкторы!$C$35:$C$1191,$A34)</f>
        <v>0</v>
      </c>
      <c r="AD34" s="76">
        <f t="array" ref="AD34">SUMIFS(Конструкторы!I$6:I$33,Конструкторы!$C$6:$C$33,$A34)</f>
        <v>0</v>
      </c>
      <c r="AE34" s="76">
        <f t="array" ref="AE34">SUMIFS(Конструкторы!J$6:J$33,Конструкторы!$C$6:$C$33,$A34)</f>
        <v>0</v>
      </c>
      <c r="AF34" s="76">
        <f t="array" ref="AF34">SUMIFS(Конструкторы!K$6:K$33,Конструкторы!$C$6:$C$33,$A34)</f>
        <v>0</v>
      </c>
      <c r="AG34" s="76">
        <f t="array" ref="AG34">SUMIFS(Конструкторы!L$6:L$33,Конструкторы!$C$6:$C$33,$A34)</f>
        <v>0</v>
      </c>
      <c r="AH34" s="76">
        <f t="array" ref="AH34">SUMIFS(Конструкторы!M$6:M$33,Конструкторы!$C$6:$C$33,$A34)</f>
        <v>0</v>
      </c>
      <c r="AI34" s="76">
        <f t="array" ref="AI34">SUMIFS(Конструкторы!N$6:N$33,Конструкторы!$C$6:$C$33,$A34)</f>
        <v>0</v>
      </c>
      <c r="AJ34" s="76">
        <f t="array" ref="AJ34">SUMIFS(Конструкторы!O$6:O$33,Конструкторы!$C$6:$C$33,$A34)</f>
        <v>0</v>
      </c>
      <c r="AK34" s="76">
        <f t="array" ref="AK34">SUMIFS(Конструкторы!P$6:P$33,Конструкторы!$C$6:$C$33,$A34)</f>
        <v>0</v>
      </c>
      <c r="AL34" s="76">
        <f t="array" ref="AL34">SUMIFS(Конструкторы!Q$6:Q$33,Конструкторы!$C$6:$C$33,$A34)</f>
        <v>0</v>
      </c>
      <c r="AM34" s="76">
        <f t="array" ref="AM34">SUMIFS(Конструкторы!R$6:R$33,Конструкторы!$C$6:$C$33,$A34)</f>
        <v>0</v>
      </c>
      <c r="AN34" s="76">
        <f t="array" ref="AN34">SUMIFS(Конструкторы!S$6:S$33,Конструкторы!$C$6:$C$33,$A34)</f>
        <v>0</v>
      </c>
      <c r="AO34" s="76">
        <f t="array" ref="AO34">SUMIFS(Конструкторы!T$6:T$33,Конструкторы!$C$6:$C$33,$A34)</f>
        <v>0</v>
      </c>
      <c r="AP34" s="75">
        <f t="array" ref="AP34">SUMIFS(Конструкторы!I$1192:I$1277,Конструкторы!$C$1192:$C$1277,$A34)</f>
        <v>0</v>
      </c>
      <c r="AQ34" s="75">
        <f t="array" ref="AQ34">SUMIFS(Конструкторы!J$1192:J$1277,Конструкторы!$C$1192:$C$1277,$A34)</f>
        <v>0</v>
      </c>
      <c r="AR34" s="75">
        <f t="array" ref="AR34">SUMIFS(Конструкторы!K$1192:K$1277,Конструкторы!$C$1192:$C$1277,$A34)</f>
        <v>0</v>
      </c>
      <c r="AS34" s="75">
        <f t="array" ref="AS34">SUMIFS(Конструкторы!L$1192:L$1277,Конструкторы!$C$1192:$C$1277,$A34)</f>
        <v>0</v>
      </c>
      <c r="AT34" s="75">
        <f t="array" ref="AT34">SUMIFS(Конструкторы!M$1192:M$1277,Конструкторы!$C$1192:$C$1277,$A34)</f>
        <v>0</v>
      </c>
      <c r="AU34" s="75">
        <f t="array" ref="AU34">SUMIFS(Конструкторы!N$1192:N$1277,Конструкторы!$C$1192:$C$1277,$A34)</f>
        <v>0</v>
      </c>
      <c r="AV34" s="75">
        <f t="array" ref="AV34">SUMIFS(Конструкторы!O$1192:O$1277,Конструкторы!$C$1192:$C$1277,$A34)</f>
        <v>0</v>
      </c>
      <c r="AW34" s="75">
        <f t="array" ref="AW34">SUMIFS(Конструкторы!P$1192:P$1277,Конструкторы!$C$1192:$C$1277,$A34)</f>
        <v>0</v>
      </c>
      <c r="AX34" s="75">
        <f t="array" ref="AX34">SUMIFS(Конструкторы!Q$1192:Q$1277,Конструкторы!$C$1192:$C$1277,$A34)</f>
        <v>0</v>
      </c>
      <c r="AY34" s="75">
        <f t="array" ref="AY34">SUMIFS(Конструкторы!R$1192:R$1277,Конструкторы!$C$1192:$C$1277,$A34)</f>
        <v>0</v>
      </c>
      <c r="AZ34" s="75">
        <f t="array" ref="AZ34">SUMIFS(Конструкторы!S$1192:S$1277,Конструкторы!$C$1192:$C$1277,$A34)</f>
        <v>0</v>
      </c>
      <c r="BA34" s="75">
        <f t="array" ref="BA34">SUMIFS(Конструкторы!T$1192:T$1277,Конструкторы!$C$1192:$C$1277,$A34)</f>
        <v>0</v>
      </c>
      <c r="BB34" s="80">
        <f t="shared" si="12"/>
        <v>0</v>
      </c>
      <c r="BC34" s="80">
        <f t="shared" si="18"/>
        <v>2056.6439999999998</v>
      </c>
      <c r="BD34" s="80">
        <f t="shared" si="19"/>
        <v>2219.4</v>
      </c>
      <c r="BE34" s="80">
        <f t="shared" si="20"/>
        <v>2056.6439999999998</v>
      </c>
      <c r="BF34" s="80">
        <f t="shared" si="21"/>
        <v>2056.6439999999998</v>
      </c>
      <c r="BG34" s="80">
        <f t="shared" si="22"/>
        <v>2056.6439999999998</v>
      </c>
      <c r="BH34" s="80">
        <f t="shared" si="23"/>
        <v>2056.6439999999998</v>
      </c>
      <c r="BI34" s="80">
        <f t="shared" si="24"/>
        <v>2056.6439999999998</v>
      </c>
      <c r="BJ34" s="80">
        <f t="shared" si="25"/>
        <v>2056.6439999999998</v>
      </c>
      <c r="BK34" s="80">
        <f t="shared" si="26"/>
        <v>2056.6439999999998</v>
      </c>
      <c r="BL34" s="80">
        <f t="shared" si="27"/>
        <v>2056.6439999999998</v>
      </c>
      <c r="BM34" s="80">
        <f t="shared" si="28"/>
        <v>2056.6439999999998</v>
      </c>
      <c r="BN34" s="84">
        <f t="shared" si="13"/>
        <v>0</v>
      </c>
      <c r="BO34" s="84">
        <f t="shared" si="29"/>
        <v>2502</v>
      </c>
      <c r="BP34" s="84">
        <f t="shared" si="30"/>
        <v>2700</v>
      </c>
      <c r="BQ34" s="84">
        <f t="shared" si="31"/>
        <v>2502</v>
      </c>
      <c r="BR34" s="84">
        <f t="shared" si="32"/>
        <v>2502</v>
      </c>
      <c r="BS34" s="84">
        <f t="shared" si="33"/>
        <v>2502</v>
      </c>
      <c r="BT34" s="84">
        <f t="shared" si="14"/>
        <v>2502</v>
      </c>
      <c r="BU34" s="84">
        <f t="shared" si="6"/>
        <v>2502</v>
      </c>
      <c r="BV34" s="84">
        <f t="shared" si="7"/>
        <v>2502</v>
      </c>
      <c r="BW34" s="84">
        <f t="shared" si="8"/>
        <v>2502</v>
      </c>
      <c r="BX34" s="84">
        <f t="shared" si="9"/>
        <v>2502</v>
      </c>
      <c r="BY34" s="83">
        <f t="shared" si="15"/>
        <v>2502</v>
      </c>
      <c r="BZ34" s="79">
        <f t="shared" si="16"/>
        <v>0</v>
      </c>
      <c r="CA34" s="79">
        <f t="shared" si="34"/>
        <v>119.14285714285714</v>
      </c>
      <c r="CB34" s="79">
        <f t="shared" si="34"/>
        <v>128.57142857142858</v>
      </c>
      <c r="CC34" s="79">
        <f t="shared" si="34"/>
        <v>119.14285714285714</v>
      </c>
      <c r="CD34" s="79">
        <f t="shared" si="34"/>
        <v>119.14285714285714</v>
      </c>
      <c r="CE34" s="79">
        <f t="shared" si="34"/>
        <v>119.14285714285714</v>
      </c>
      <c r="CF34" s="79">
        <f t="shared" si="34"/>
        <v>119.14285714285714</v>
      </c>
      <c r="CG34" s="79">
        <f t="shared" si="34"/>
        <v>119.14285714285714</v>
      </c>
      <c r="CH34" s="79">
        <f t="shared" si="34"/>
        <v>119.14285714285714</v>
      </c>
      <c r="CI34" s="79">
        <f t="shared" si="34"/>
        <v>119.14285714285714</v>
      </c>
      <c r="CJ34" s="79">
        <f t="shared" si="34"/>
        <v>119.14285714285714</v>
      </c>
      <c r="CK34" s="79">
        <f t="shared" si="17"/>
        <v>119.14285714285714</v>
      </c>
    </row>
    <row r="35" spans="1:89" x14ac:dyDescent="0.25">
      <c r="A35" s="42" t="s">
        <v>44</v>
      </c>
      <c r="B35" s="70">
        <f t="array" ref="B35">INDEX(Технологи!$E$5:$E$552,MATCH(A35&amp;$A$1,Технологи!$B$5:$B$552&amp;Технологи!$C$5:$C$552,0))</f>
        <v>1.1789999999999998</v>
      </c>
      <c r="C35" s="14">
        <v>1018</v>
      </c>
      <c r="D35" s="71">
        <v>6.5</v>
      </c>
      <c r="E35" s="71">
        <v>21</v>
      </c>
      <c r="F35" s="72">
        <f>SUMIFS(Продажи!F$5:F$360,Продажи!$D$5:$D$360,'Потребность профиль'!$A35,Продажи!$C$5:$C$360,"Профиль")</f>
        <v>0</v>
      </c>
      <c r="G35" s="72">
        <f>SUMIFS(Продажи!G$5:G$360,Продажи!$D$5:$D$360,'Потребность профиль'!$A35,Продажи!$C$5:$C$360,"Профиль")</f>
        <v>504</v>
      </c>
      <c r="H35" s="72">
        <f>SUMIFS(Продажи!H$5:H$360,Продажи!$D$5:$D$360,'Потребность профиль'!$A35,Продажи!$C$5:$C$360,"Профиль")</f>
        <v>504</v>
      </c>
      <c r="I35" s="72">
        <f>SUMIFS(Продажи!I$5:I$360,Продажи!$D$5:$D$360,'Потребность профиль'!$A35,Продажи!$C$5:$C$360,"Профиль")</f>
        <v>504</v>
      </c>
      <c r="J35" s="72">
        <f>SUMIFS(Продажи!J$5:J$360,Продажи!$D$5:$D$360,'Потребность профиль'!$A35,Продажи!$C$5:$C$360,"Профиль")</f>
        <v>504</v>
      </c>
      <c r="K35" s="72">
        <f>SUMIFS(Продажи!K$5:K$360,Продажи!$D$5:$D$360,'Потребность профиль'!$A35,Продажи!$C$5:$C$360,"Профиль")</f>
        <v>504</v>
      </c>
      <c r="L35" s="72">
        <f>SUMIFS(Продажи!L$5:L$360,Продажи!$D$5:$D$360,'Потребность профиль'!$A35,Продажи!$C$5:$C$360,"Профиль")</f>
        <v>504</v>
      </c>
      <c r="M35" s="72">
        <f>SUMIFS(Продажи!M$5:M$360,Продажи!$D$5:$D$360,'Потребность профиль'!$A35,Продажи!$C$5:$C$360,"Профиль")</f>
        <v>504</v>
      </c>
      <c r="N35" s="72">
        <f>SUMIFS(Продажи!N$5:N$360,Продажи!$D$5:$D$360,'Потребность профиль'!$A35,Продажи!$C$5:$C$360,"Профиль")</f>
        <v>504</v>
      </c>
      <c r="O35" s="72">
        <f>SUMIFS(Продажи!O$5:O$360,Продажи!$D$5:$D$360,'Потребность профиль'!$A35,Продажи!$C$5:$C$360,"Профиль")</f>
        <v>504</v>
      </c>
      <c r="P35" s="72">
        <f>SUMIFS(Продажи!P$5:P$360,Продажи!$D$5:$D$360,'Потребность профиль'!$A35,Продажи!$C$5:$C$360,"Профиль")</f>
        <v>504</v>
      </c>
      <c r="Q35" s="72">
        <f>SUMIFS(Продажи!Q$5:Q$360,Продажи!$D$5:$D$360,'Потребность профиль'!$A35,Продажи!$C$5:$C$360,"Профиль")</f>
        <v>504</v>
      </c>
      <c r="R35" s="73">
        <f t="array" ref="R35">SUMIFS(Конструкторы!I$35:I$1191,Конструкторы!$C$35:$C$1191,$A35)</f>
        <v>0</v>
      </c>
      <c r="S35" s="73">
        <f t="array" ref="S35">SUMIFS(Конструкторы!J$35:J$1191,Конструкторы!$C$35:$C$1191,$A35)</f>
        <v>0</v>
      </c>
      <c r="T35" s="73">
        <f t="array" ref="T35">SUMIFS(Конструкторы!K$35:K$1191,Конструкторы!$C$35:$C$1191,$A35)</f>
        <v>0</v>
      </c>
      <c r="U35" s="73">
        <f t="array" ref="U35">SUMIFS(Конструкторы!L$35:L$1191,Конструкторы!$C$35:$C$1191,$A35)</f>
        <v>0</v>
      </c>
      <c r="V35" s="73">
        <f t="array" ref="V35">SUMIFS(Конструкторы!M$35:M$1191,Конструкторы!$C$35:$C$1191,$A35)</f>
        <v>0</v>
      </c>
      <c r="W35" s="73">
        <f t="array" ref="W35">SUMIFS(Конструкторы!N$35:N$1191,Конструкторы!$C$35:$C$1191,$A35)</f>
        <v>0</v>
      </c>
      <c r="X35" s="73">
        <f t="array" ref="X35">SUMIFS(Конструкторы!O$35:O$1191,Конструкторы!$C$35:$C$1191,$A35)</f>
        <v>0</v>
      </c>
      <c r="Y35" s="73">
        <f t="array" ref="Y35">SUMIFS(Конструкторы!P$35:P$1191,Конструкторы!$C$35:$C$1191,$A35)</f>
        <v>0</v>
      </c>
      <c r="Z35" s="73">
        <f t="array" ref="Z35">SUMIFS(Конструкторы!Q$35:Q$1191,Конструкторы!$C$35:$C$1191,$A35)</f>
        <v>0</v>
      </c>
      <c r="AA35" s="73">
        <f t="array" ref="AA35">SUMIFS(Конструкторы!R$35:R$1191,Конструкторы!$C$35:$C$1191,$A35)</f>
        <v>0</v>
      </c>
      <c r="AB35" s="73">
        <f t="array" ref="AB35">SUMIFS(Конструкторы!S$35:S$1191,Конструкторы!$C$35:$C$1191,$A35)</f>
        <v>0</v>
      </c>
      <c r="AC35" s="73">
        <f t="array" ref="AC35">SUMIFS(Конструкторы!T$35:T$1191,Конструкторы!$C$35:$C$1191,$A35)</f>
        <v>0</v>
      </c>
      <c r="AD35" s="76">
        <f t="array" ref="AD35">SUMIFS(Конструкторы!I$6:I$33,Конструкторы!$C$6:$C$33,$A35)</f>
        <v>0</v>
      </c>
      <c r="AE35" s="76">
        <f t="array" ref="AE35">SUMIFS(Конструкторы!J$6:J$33,Конструкторы!$C$6:$C$33,$A35)</f>
        <v>0</v>
      </c>
      <c r="AF35" s="76">
        <f t="array" ref="AF35">SUMIFS(Конструкторы!K$6:K$33,Конструкторы!$C$6:$C$33,$A35)</f>
        <v>0</v>
      </c>
      <c r="AG35" s="76">
        <f t="array" ref="AG35">SUMIFS(Конструкторы!L$6:L$33,Конструкторы!$C$6:$C$33,$A35)</f>
        <v>0</v>
      </c>
      <c r="AH35" s="76">
        <f t="array" ref="AH35">SUMIFS(Конструкторы!M$6:M$33,Конструкторы!$C$6:$C$33,$A35)</f>
        <v>0</v>
      </c>
      <c r="AI35" s="76">
        <f t="array" ref="AI35">SUMIFS(Конструкторы!N$6:N$33,Конструкторы!$C$6:$C$33,$A35)</f>
        <v>0</v>
      </c>
      <c r="AJ35" s="76">
        <f t="array" ref="AJ35">SUMIFS(Конструкторы!O$6:O$33,Конструкторы!$C$6:$C$33,$A35)</f>
        <v>0</v>
      </c>
      <c r="AK35" s="76">
        <f t="array" ref="AK35">SUMIFS(Конструкторы!P$6:P$33,Конструкторы!$C$6:$C$33,$A35)</f>
        <v>0</v>
      </c>
      <c r="AL35" s="76">
        <f t="array" ref="AL35">SUMIFS(Конструкторы!Q$6:Q$33,Конструкторы!$C$6:$C$33,$A35)</f>
        <v>0</v>
      </c>
      <c r="AM35" s="76">
        <f t="array" ref="AM35">SUMIFS(Конструкторы!R$6:R$33,Конструкторы!$C$6:$C$33,$A35)</f>
        <v>0</v>
      </c>
      <c r="AN35" s="76">
        <f t="array" ref="AN35">SUMIFS(Конструкторы!S$6:S$33,Конструкторы!$C$6:$C$33,$A35)</f>
        <v>0</v>
      </c>
      <c r="AO35" s="76">
        <f t="array" ref="AO35">SUMIFS(Конструкторы!T$6:T$33,Конструкторы!$C$6:$C$33,$A35)</f>
        <v>0</v>
      </c>
      <c r="AP35" s="75">
        <f t="array" ref="AP35">SUMIFS(Конструкторы!I$1192:I$1277,Конструкторы!$C$1192:$C$1277,$A35)</f>
        <v>0</v>
      </c>
      <c r="AQ35" s="75">
        <f t="array" ref="AQ35">SUMIFS(Конструкторы!J$1192:J$1277,Конструкторы!$C$1192:$C$1277,$A35)</f>
        <v>0</v>
      </c>
      <c r="AR35" s="75">
        <f t="array" ref="AR35">SUMIFS(Конструкторы!K$1192:K$1277,Конструкторы!$C$1192:$C$1277,$A35)</f>
        <v>0</v>
      </c>
      <c r="AS35" s="75">
        <f t="array" ref="AS35">SUMIFS(Конструкторы!L$1192:L$1277,Конструкторы!$C$1192:$C$1277,$A35)</f>
        <v>0</v>
      </c>
      <c r="AT35" s="75">
        <f t="array" ref="AT35">SUMIFS(Конструкторы!M$1192:M$1277,Конструкторы!$C$1192:$C$1277,$A35)</f>
        <v>0</v>
      </c>
      <c r="AU35" s="75">
        <f t="array" ref="AU35">SUMIFS(Конструкторы!N$1192:N$1277,Конструкторы!$C$1192:$C$1277,$A35)</f>
        <v>0</v>
      </c>
      <c r="AV35" s="75">
        <f t="array" ref="AV35">SUMIFS(Конструкторы!O$1192:O$1277,Конструкторы!$C$1192:$C$1277,$A35)</f>
        <v>0</v>
      </c>
      <c r="AW35" s="75">
        <f t="array" ref="AW35">SUMIFS(Конструкторы!P$1192:P$1277,Конструкторы!$C$1192:$C$1277,$A35)</f>
        <v>0</v>
      </c>
      <c r="AX35" s="75">
        <f t="array" ref="AX35">SUMIFS(Конструкторы!Q$1192:Q$1277,Конструкторы!$C$1192:$C$1277,$A35)</f>
        <v>0</v>
      </c>
      <c r="AY35" s="75">
        <f t="array" ref="AY35">SUMIFS(Конструкторы!R$1192:R$1277,Конструкторы!$C$1192:$C$1277,$A35)</f>
        <v>0</v>
      </c>
      <c r="AZ35" s="75">
        <f t="array" ref="AZ35">SUMIFS(Конструкторы!S$1192:S$1277,Конструкторы!$C$1192:$C$1277,$A35)</f>
        <v>0</v>
      </c>
      <c r="BA35" s="75">
        <f t="array" ref="BA35">SUMIFS(Конструкторы!T$1192:T$1277,Конструкторы!$C$1192:$C$1277,$A35)</f>
        <v>0</v>
      </c>
      <c r="BB35" s="80">
        <f t="shared" si="12"/>
        <v>0</v>
      </c>
      <c r="BC35" s="80">
        <f t="shared" si="18"/>
        <v>594.21599999999989</v>
      </c>
      <c r="BD35" s="80">
        <f t="shared" si="19"/>
        <v>594.21599999999989</v>
      </c>
      <c r="BE35" s="80">
        <f t="shared" si="20"/>
        <v>594.21599999999989</v>
      </c>
      <c r="BF35" s="80">
        <f t="shared" si="21"/>
        <v>594.21599999999989</v>
      </c>
      <c r="BG35" s="80">
        <f t="shared" si="22"/>
        <v>594.21599999999989</v>
      </c>
      <c r="BH35" s="80">
        <f t="shared" si="23"/>
        <v>594.21599999999989</v>
      </c>
      <c r="BI35" s="80">
        <f t="shared" si="24"/>
        <v>594.21599999999989</v>
      </c>
      <c r="BJ35" s="80">
        <f t="shared" si="25"/>
        <v>594.21599999999989</v>
      </c>
      <c r="BK35" s="80">
        <f t="shared" si="26"/>
        <v>594.21599999999989</v>
      </c>
      <c r="BL35" s="80">
        <f t="shared" si="27"/>
        <v>594.21599999999989</v>
      </c>
      <c r="BM35" s="80">
        <f t="shared" si="28"/>
        <v>594.21599999999989</v>
      </c>
      <c r="BN35" s="84">
        <f t="shared" si="13"/>
        <v>0</v>
      </c>
      <c r="BO35" s="84">
        <f t="shared" si="29"/>
        <v>504</v>
      </c>
      <c r="BP35" s="84">
        <f t="shared" si="30"/>
        <v>504</v>
      </c>
      <c r="BQ35" s="84">
        <f t="shared" si="31"/>
        <v>504</v>
      </c>
      <c r="BR35" s="84">
        <f t="shared" si="32"/>
        <v>504</v>
      </c>
      <c r="BS35" s="84">
        <f t="shared" si="33"/>
        <v>504</v>
      </c>
      <c r="BT35" s="84">
        <f t="shared" si="14"/>
        <v>504</v>
      </c>
      <c r="BU35" s="84">
        <f t="shared" si="6"/>
        <v>504</v>
      </c>
      <c r="BV35" s="84">
        <f t="shared" si="7"/>
        <v>504</v>
      </c>
      <c r="BW35" s="84">
        <f t="shared" si="8"/>
        <v>504</v>
      </c>
      <c r="BX35" s="84">
        <f t="shared" si="9"/>
        <v>504</v>
      </c>
      <c r="BY35" s="83">
        <f t="shared" si="15"/>
        <v>504</v>
      </c>
      <c r="BZ35" s="79">
        <f t="shared" si="16"/>
        <v>0</v>
      </c>
      <c r="CA35" s="79">
        <f t="shared" si="34"/>
        <v>24</v>
      </c>
      <c r="CB35" s="79">
        <f t="shared" si="34"/>
        <v>24</v>
      </c>
      <c r="CC35" s="79">
        <f t="shared" si="34"/>
        <v>24</v>
      </c>
      <c r="CD35" s="79">
        <f t="shared" si="34"/>
        <v>24</v>
      </c>
      <c r="CE35" s="79">
        <f t="shared" si="34"/>
        <v>24</v>
      </c>
      <c r="CF35" s="79">
        <f t="shared" si="34"/>
        <v>24</v>
      </c>
      <c r="CG35" s="79">
        <f t="shared" si="34"/>
        <v>24</v>
      </c>
      <c r="CH35" s="79">
        <f t="shared" si="34"/>
        <v>24</v>
      </c>
      <c r="CI35" s="79">
        <f t="shared" si="34"/>
        <v>24</v>
      </c>
      <c r="CJ35" s="79">
        <f t="shared" si="34"/>
        <v>24</v>
      </c>
      <c r="CK35" s="79">
        <f t="shared" si="17"/>
        <v>24</v>
      </c>
    </row>
    <row r="36" spans="1:89" x14ac:dyDescent="0.25">
      <c r="A36" s="42" t="s">
        <v>48</v>
      </c>
      <c r="B36" s="70">
        <f t="array" ref="B36">INDEX(Технологи!$E$5:$E$552,MATCH(A36&amp;$A$1,Технологи!$B$5:$B$552&amp;Технологи!$C$5:$C$552,0))</f>
        <v>0.67900000000000005</v>
      </c>
      <c r="C36" s="14">
        <v>1018</v>
      </c>
      <c r="D36" s="71">
        <v>4</v>
      </c>
      <c r="E36" s="71">
        <v>21</v>
      </c>
      <c r="F36" s="72">
        <f>SUMIFS(Продажи!F$5:F$360,Продажи!$D$5:$D$360,'Потребность профиль'!$A36,Продажи!$C$5:$C$360,"Профиль")</f>
        <v>250.8</v>
      </c>
      <c r="G36" s="72">
        <f>SUMIFS(Продажи!G$5:G$360,Продажи!$D$5:$D$360,'Потребность профиль'!$A36,Продажи!$C$5:$C$360,"Профиль")</f>
        <v>0</v>
      </c>
      <c r="H36" s="72">
        <f>SUMIFS(Продажи!H$5:H$360,Продажи!$D$5:$D$360,'Потребность профиль'!$A36,Продажи!$C$5:$C$360,"Профиль")</f>
        <v>0</v>
      </c>
      <c r="I36" s="72">
        <f>SUMIFS(Продажи!I$5:I$360,Продажи!$D$5:$D$360,'Потребность профиль'!$A36,Продажи!$C$5:$C$360,"Профиль")</f>
        <v>0</v>
      </c>
      <c r="J36" s="72">
        <f>SUMIFS(Продажи!J$5:J$360,Продажи!$D$5:$D$360,'Потребность профиль'!$A36,Продажи!$C$5:$C$360,"Профиль")</f>
        <v>0</v>
      </c>
      <c r="K36" s="72">
        <f>SUMIFS(Продажи!K$5:K$360,Продажи!$D$5:$D$360,'Потребность профиль'!$A36,Продажи!$C$5:$C$360,"Профиль")</f>
        <v>0</v>
      </c>
      <c r="L36" s="72">
        <f>SUMIFS(Продажи!L$5:L$360,Продажи!$D$5:$D$360,'Потребность профиль'!$A36,Продажи!$C$5:$C$360,"Профиль")</f>
        <v>0</v>
      </c>
      <c r="M36" s="72">
        <f>SUMIFS(Продажи!M$5:M$360,Продажи!$D$5:$D$360,'Потребность профиль'!$A36,Продажи!$C$5:$C$360,"Профиль")</f>
        <v>0</v>
      </c>
      <c r="N36" s="72">
        <f>SUMIFS(Продажи!N$5:N$360,Продажи!$D$5:$D$360,'Потребность профиль'!$A36,Продажи!$C$5:$C$360,"Профиль")</f>
        <v>0</v>
      </c>
      <c r="O36" s="72">
        <f>SUMIFS(Продажи!O$5:O$360,Продажи!$D$5:$D$360,'Потребность профиль'!$A36,Продажи!$C$5:$C$360,"Профиль")</f>
        <v>0</v>
      </c>
      <c r="P36" s="72">
        <f>SUMIFS(Продажи!P$5:P$360,Продажи!$D$5:$D$360,'Потребность профиль'!$A36,Продажи!$C$5:$C$360,"Профиль")</f>
        <v>0</v>
      </c>
      <c r="Q36" s="72">
        <f>SUMIFS(Продажи!Q$5:Q$360,Продажи!$D$5:$D$360,'Потребность профиль'!$A36,Продажи!$C$5:$C$360,"Профиль")</f>
        <v>0</v>
      </c>
      <c r="R36" s="73">
        <f t="array" ref="R36">SUMIFS(Конструкторы!I$35:I$1191,Конструкторы!$C$35:$C$1191,$A36)</f>
        <v>0</v>
      </c>
      <c r="S36" s="73">
        <f t="array" ref="S36">SUMIFS(Конструкторы!J$35:J$1191,Конструкторы!$C$35:$C$1191,$A36)</f>
        <v>0</v>
      </c>
      <c r="T36" s="73">
        <f t="array" ref="T36">SUMIFS(Конструкторы!K$35:K$1191,Конструкторы!$C$35:$C$1191,$A36)</f>
        <v>0</v>
      </c>
      <c r="U36" s="73">
        <f t="array" ref="U36">SUMIFS(Конструкторы!L$35:L$1191,Конструкторы!$C$35:$C$1191,$A36)</f>
        <v>0</v>
      </c>
      <c r="V36" s="73">
        <f t="array" ref="V36">SUMIFS(Конструкторы!M$35:M$1191,Конструкторы!$C$35:$C$1191,$A36)</f>
        <v>0</v>
      </c>
      <c r="W36" s="73">
        <f t="array" ref="W36">SUMIFS(Конструкторы!N$35:N$1191,Конструкторы!$C$35:$C$1191,$A36)</f>
        <v>0</v>
      </c>
      <c r="X36" s="73">
        <f t="array" ref="X36">SUMIFS(Конструкторы!O$35:O$1191,Конструкторы!$C$35:$C$1191,$A36)</f>
        <v>0</v>
      </c>
      <c r="Y36" s="73">
        <f t="array" ref="Y36">SUMIFS(Конструкторы!P$35:P$1191,Конструкторы!$C$35:$C$1191,$A36)</f>
        <v>0</v>
      </c>
      <c r="Z36" s="73">
        <f t="array" ref="Z36">SUMIFS(Конструкторы!Q$35:Q$1191,Конструкторы!$C$35:$C$1191,$A36)</f>
        <v>0</v>
      </c>
      <c r="AA36" s="73">
        <f t="array" ref="AA36">SUMIFS(Конструкторы!R$35:R$1191,Конструкторы!$C$35:$C$1191,$A36)</f>
        <v>0</v>
      </c>
      <c r="AB36" s="73">
        <f t="array" ref="AB36">SUMIFS(Конструкторы!S$35:S$1191,Конструкторы!$C$35:$C$1191,$A36)</f>
        <v>0</v>
      </c>
      <c r="AC36" s="73">
        <f t="array" ref="AC36">SUMIFS(Конструкторы!T$35:T$1191,Конструкторы!$C$35:$C$1191,$A36)</f>
        <v>0</v>
      </c>
      <c r="AD36" s="76">
        <f t="array" ref="AD36">SUMIFS(Конструкторы!I$6:I$33,Конструкторы!$C$6:$C$33,$A36)</f>
        <v>0</v>
      </c>
      <c r="AE36" s="76">
        <f t="array" ref="AE36">SUMIFS(Конструкторы!J$6:J$33,Конструкторы!$C$6:$C$33,$A36)</f>
        <v>0</v>
      </c>
      <c r="AF36" s="76">
        <f t="array" ref="AF36">SUMIFS(Конструкторы!K$6:K$33,Конструкторы!$C$6:$C$33,$A36)</f>
        <v>0</v>
      </c>
      <c r="AG36" s="76">
        <f t="array" ref="AG36">SUMIFS(Конструкторы!L$6:L$33,Конструкторы!$C$6:$C$33,$A36)</f>
        <v>0</v>
      </c>
      <c r="AH36" s="76">
        <f t="array" ref="AH36">SUMIFS(Конструкторы!M$6:M$33,Конструкторы!$C$6:$C$33,$A36)</f>
        <v>0</v>
      </c>
      <c r="AI36" s="76">
        <f t="array" ref="AI36">SUMIFS(Конструкторы!N$6:N$33,Конструкторы!$C$6:$C$33,$A36)</f>
        <v>0</v>
      </c>
      <c r="AJ36" s="76">
        <f t="array" ref="AJ36">SUMIFS(Конструкторы!O$6:O$33,Конструкторы!$C$6:$C$33,$A36)</f>
        <v>0</v>
      </c>
      <c r="AK36" s="76">
        <f t="array" ref="AK36">SUMIFS(Конструкторы!P$6:P$33,Конструкторы!$C$6:$C$33,$A36)</f>
        <v>0</v>
      </c>
      <c r="AL36" s="76">
        <f t="array" ref="AL36">SUMIFS(Конструкторы!Q$6:Q$33,Конструкторы!$C$6:$C$33,$A36)</f>
        <v>0</v>
      </c>
      <c r="AM36" s="76">
        <f t="array" ref="AM36">SUMIFS(Конструкторы!R$6:R$33,Конструкторы!$C$6:$C$33,$A36)</f>
        <v>0</v>
      </c>
      <c r="AN36" s="76">
        <f t="array" ref="AN36">SUMIFS(Конструкторы!S$6:S$33,Конструкторы!$C$6:$C$33,$A36)</f>
        <v>0</v>
      </c>
      <c r="AO36" s="76">
        <f t="array" ref="AO36">SUMIFS(Конструкторы!T$6:T$33,Конструкторы!$C$6:$C$33,$A36)</f>
        <v>0</v>
      </c>
      <c r="AP36" s="75">
        <f t="array" ref="AP36">SUMIFS(Конструкторы!I$1192:I$1277,Конструкторы!$C$1192:$C$1277,$A36)</f>
        <v>0</v>
      </c>
      <c r="AQ36" s="75">
        <f t="array" ref="AQ36">SUMIFS(Конструкторы!J$1192:J$1277,Конструкторы!$C$1192:$C$1277,$A36)</f>
        <v>0</v>
      </c>
      <c r="AR36" s="75">
        <f t="array" ref="AR36">SUMIFS(Конструкторы!K$1192:K$1277,Конструкторы!$C$1192:$C$1277,$A36)</f>
        <v>0</v>
      </c>
      <c r="AS36" s="75">
        <f t="array" ref="AS36">SUMIFS(Конструкторы!L$1192:L$1277,Конструкторы!$C$1192:$C$1277,$A36)</f>
        <v>0</v>
      </c>
      <c r="AT36" s="75">
        <f t="array" ref="AT36">SUMIFS(Конструкторы!M$1192:M$1277,Конструкторы!$C$1192:$C$1277,$A36)</f>
        <v>0</v>
      </c>
      <c r="AU36" s="75">
        <f t="array" ref="AU36">SUMIFS(Конструкторы!N$1192:N$1277,Конструкторы!$C$1192:$C$1277,$A36)</f>
        <v>0</v>
      </c>
      <c r="AV36" s="75">
        <f t="array" ref="AV36">SUMIFS(Конструкторы!O$1192:O$1277,Конструкторы!$C$1192:$C$1277,$A36)</f>
        <v>0</v>
      </c>
      <c r="AW36" s="75">
        <f t="array" ref="AW36">SUMIFS(Конструкторы!P$1192:P$1277,Конструкторы!$C$1192:$C$1277,$A36)</f>
        <v>0</v>
      </c>
      <c r="AX36" s="75">
        <f t="array" ref="AX36">SUMIFS(Конструкторы!Q$1192:Q$1277,Конструкторы!$C$1192:$C$1277,$A36)</f>
        <v>0</v>
      </c>
      <c r="AY36" s="75">
        <f t="array" ref="AY36">SUMIFS(Конструкторы!R$1192:R$1277,Конструкторы!$C$1192:$C$1277,$A36)</f>
        <v>0</v>
      </c>
      <c r="AZ36" s="75">
        <f t="array" ref="AZ36">SUMIFS(Конструкторы!S$1192:S$1277,Конструкторы!$C$1192:$C$1277,$A36)</f>
        <v>0</v>
      </c>
      <c r="BA36" s="75">
        <f t="array" ref="BA36">SUMIFS(Конструкторы!T$1192:T$1277,Конструкторы!$C$1192:$C$1277,$A36)</f>
        <v>0</v>
      </c>
      <c r="BB36" s="80">
        <f t="shared" si="12"/>
        <v>170.29320000000001</v>
      </c>
      <c r="BC36" s="80">
        <f t="shared" si="18"/>
        <v>0</v>
      </c>
      <c r="BD36" s="80">
        <f t="shared" si="19"/>
        <v>0</v>
      </c>
      <c r="BE36" s="80">
        <f t="shared" si="20"/>
        <v>0</v>
      </c>
      <c r="BF36" s="80">
        <f t="shared" si="21"/>
        <v>0</v>
      </c>
      <c r="BG36" s="80">
        <f t="shared" si="22"/>
        <v>0</v>
      </c>
      <c r="BH36" s="80">
        <f t="shared" si="23"/>
        <v>0</v>
      </c>
      <c r="BI36" s="80">
        <f t="shared" si="24"/>
        <v>0</v>
      </c>
      <c r="BJ36" s="80">
        <f t="shared" si="25"/>
        <v>0</v>
      </c>
      <c r="BK36" s="80">
        <f t="shared" si="26"/>
        <v>0</v>
      </c>
      <c r="BL36" s="80">
        <f t="shared" si="27"/>
        <v>0</v>
      </c>
      <c r="BM36" s="80">
        <f t="shared" si="28"/>
        <v>0</v>
      </c>
      <c r="BN36" s="84">
        <f t="shared" si="13"/>
        <v>250.8</v>
      </c>
      <c r="BO36" s="84">
        <f t="shared" si="29"/>
        <v>0</v>
      </c>
      <c r="BP36" s="84">
        <f t="shared" si="30"/>
        <v>0</v>
      </c>
      <c r="BQ36" s="84">
        <f t="shared" si="31"/>
        <v>0</v>
      </c>
      <c r="BR36" s="84">
        <f t="shared" si="32"/>
        <v>0</v>
      </c>
      <c r="BS36" s="84">
        <f t="shared" si="33"/>
        <v>0</v>
      </c>
      <c r="BT36" s="84">
        <f t="shared" si="14"/>
        <v>0</v>
      </c>
      <c r="BU36" s="84">
        <f t="shared" si="6"/>
        <v>0</v>
      </c>
      <c r="BV36" s="84">
        <f t="shared" si="7"/>
        <v>0</v>
      </c>
      <c r="BW36" s="84">
        <f t="shared" si="8"/>
        <v>0</v>
      </c>
      <c r="BX36" s="84">
        <f t="shared" si="9"/>
        <v>0</v>
      </c>
      <c r="BY36" s="83">
        <f t="shared" si="15"/>
        <v>0</v>
      </c>
      <c r="BZ36" s="79">
        <f t="shared" si="16"/>
        <v>11.942857142857143</v>
      </c>
      <c r="CA36" s="79">
        <f t="shared" si="34"/>
        <v>0</v>
      </c>
      <c r="CB36" s="79">
        <f t="shared" si="34"/>
        <v>0</v>
      </c>
      <c r="CC36" s="79">
        <f t="shared" si="34"/>
        <v>0</v>
      </c>
      <c r="CD36" s="79">
        <f t="shared" si="34"/>
        <v>0</v>
      </c>
      <c r="CE36" s="79">
        <f t="shared" si="34"/>
        <v>0</v>
      </c>
      <c r="CF36" s="79">
        <f t="shared" si="34"/>
        <v>0</v>
      </c>
      <c r="CG36" s="79">
        <f t="shared" si="34"/>
        <v>0</v>
      </c>
      <c r="CH36" s="79">
        <f t="shared" si="34"/>
        <v>0</v>
      </c>
      <c r="CI36" s="79">
        <f t="shared" si="34"/>
        <v>0</v>
      </c>
      <c r="CJ36" s="79">
        <f t="shared" si="34"/>
        <v>0</v>
      </c>
      <c r="CK36" s="79">
        <f t="shared" si="17"/>
        <v>0</v>
      </c>
    </row>
    <row r="37" spans="1:89" x14ac:dyDescent="0.25">
      <c r="A37" s="42" t="s">
        <v>28</v>
      </c>
      <c r="B37" s="70">
        <f t="array" ref="B37">INDEX(Технологи!$E$5:$E$552,MATCH(A37&amp;$A$1,Технологи!$B$5:$B$552&amp;Технологи!$C$5:$C$552,0))</f>
        <v>1.1779999999999999</v>
      </c>
      <c r="C37" s="14">
        <v>1018</v>
      </c>
      <c r="D37" s="71">
        <v>7</v>
      </c>
      <c r="E37" s="71">
        <v>18</v>
      </c>
      <c r="F37" s="72">
        <f>SUMIFS(Продажи!F$5:F$360,Продажи!$D$5:$D$360,'Потребность профиль'!$A37,Продажи!$C$5:$C$360,"Профиль")</f>
        <v>0</v>
      </c>
      <c r="G37" s="72">
        <f>SUMIFS(Продажи!G$5:G$360,Продажи!$D$5:$D$360,'Потребность профиль'!$A37,Продажи!$C$5:$C$360,"Профиль")</f>
        <v>0</v>
      </c>
      <c r="H37" s="72">
        <f>SUMIFS(Продажи!H$5:H$360,Продажи!$D$5:$D$360,'Потребность профиль'!$A37,Продажи!$C$5:$C$360,"Профиль")</f>
        <v>0</v>
      </c>
      <c r="I37" s="72">
        <f>SUMIFS(Продажи!I$5:I$360,Продажи!$D$5:$D$360,'Потребность профиль'!$A37,Продажи!$C$5:$C$360,"Профиль")</f>
        <v>0</v>
      </c>
      <c r="J37" s="72">
        <f>SUMIFS(Продажи!J$5:J$360,Продажи!$D$5:$D$360,'Потребность профиль'!$A37,Продажи!$C$5:$C$360,"Профиль")</f>
        <v>0</v>
      </c>
      <c r="K37" s="72">
        <f>SUMIFS(Продажи!K$5:K$360,Продажи!$D$5:$D$360,'Потребность профиль'!$A37,Продажи!$C$5:$C$360,"Профиль")</f>
        <v>0</v>
      </c>
      <c r="L37" s="72">
        <f>SUMIFS(Продажи!L$5:L$360,Продажи!$D$5:$D$360,'Потребность профиль'!$A37,Продажи!$C$5:$C$360,"Профиль")</f>
        <v>0</v>
      </c>
      <c r="M37" s="72">
        <f>SUMIFS(Продажи!M$5:M$360,Продажи!$D$5:$D$360,'Потребность профиль'!$A37,Продажи!$C$5:$C$360,"Профиль")</f>
        <v>0</v>
      </c>
      <c r="N37" s="72">
        <f>SUMIFS(Продажи!N$5:N$360,Продажи!$D$5:$D$360,'Потребность профиль'!$A37,Продажи!$C$5:$C$360,"Профиль")</f>
        <v>0</v>
      </c>
      <c r="O37" s="72">
        <f>SUMIFS(Продажи!O$5:O$360,Продажи!$D$5:$D$360,'Потребность профиль'!$A37,Продажи!$C$5:$C$360,"Профиль")</f>
        <v>0</v>
      </c>
      <c r="P37" s="72">
        <f>SUMIFS(Продажи!P$5:P$360,Продажи!$D$5:$D$360,'Потребность профиль'!$A37,Продажи!$C$5:$C$360,"Профиль")</f>
        <v>0</v>
      </c>
      <c r="Q37" s="72">
        <f>SUMIFS(Продажи!Q$5:Q$360,Продажи!$D$5:$D$360,'Потребность профиль'!$A37,Продажи!$C$5:$C$360,"Профиль")</f>
        <v>0</v>
      </c>
      <c r="R37" s="73">
        <f t="array" ref="R37">SUMIFS(Конструкторы!I$35:I$1191,Конструкторы!$C$35:$C$1191,$A37)</f>
        <v>0</v>
      </c>
      <c r="S37" s="73">
        <f t="array" ref="S37">SUMIFS(Конструкторы!J$35:J$1191,Конструкторы!$C$35:$C$1191,$A37)</f>
        <v>0</v>
      </c>
      <c r="T37" s="73">
        <f t="array" ref="T37">SUMIFS(Конструкторы!K$35:K$1191,Конструкторы!$C$35:$C$1191,$A37)</f>
        <v>0</v>
      </c>
      <c r="U37" s="73">
        <f t="array" ref="U37">SUMIFS(Конструкторы!L$35:L$1191,Конструкторы!$C$35:$C$1191,$A37)</f>
        <v>0</v>
      </c>
      <c r="V37" s="73">
        <f t="array" ref="V37">SUMIFS(Конструкторы!M$35:M$1191,Конструкторы!$C$35:$C$1191,$A37)</f>
        <v>0</v>
      </c>
      <c r="W37" s="73">
        <f t="array" ref="W37">SUMIFS(Конструкторы!N$35:N$1191,Конструкторы!$C$35:$C$1191,$A37)</f>
        <v>0</v>
      </c>
      <c r="X37" s="73">
        <f t="array" ref="X37">SUMIFS(Конструкторы!O$35:O$1191,Конструкторы!$C$35:$C$1191,$A37)</f>
        <v>0</v>
      </c>
      <c r="Y37" s="73">
        <f t="array" ref="Y37">SUMIFS(Конструкторы!P$35:P$1191,Конструкторы!$C$35:$C$1191,$A37)</f>
        <v>0</v>
      </c>
      <c r="Z37" s="73">
        <f t="array" ref="Z37">SUMIFS(Конструкторы!Q$35:Q$1191,Конструкторы!$C$35:$C$1191,$A37)</f>
        <v>0</v>
      </c>
      <c r="AA37" s="73">
        <f t="array" ref="AA37">SUMIFS(Конструкторы!R$35:R$1191,Конструкторы!$C$35:$C$1191,$A37)</f>
        <v>0</v>
      </c>
      <c r="AB37" s="73">
        <f t="array" ref="AB37">SUMIFS(Конструкторы!S$35:S$1191,Конструкторы!$C$35:$C$1191,$A37)</f>
        <v>0</v>
      </c>
      <c r="AC37" s="73">
        <f t="array" ref="AC37">SUMIFS(Конструкторы!T$35:T$1191,Конструкторы!$C$35:$C$1191,$A37)</f>
        <v>0</v>
      </c>
      <c r="AD37" s="76">
        <f t="array" ref="AD37">SUMIFS(Конструкторы!I$6:I$33,Конструкторы!$C$6:$C$33,$A37)</f>
        <v>0</v>
      </c>
      <c r="AE37" s="76">
        <f t="array" ref="AE37">SUMIFS(Конструкторы!J$6:J$33,Конструкторы!$C$6:$C$33,$A37)</f>
        <v>0</v>
      </c>
      <c r="AF37" s="76">
        <f t="array" ref="AF37">SUMIFS(Конструкторы!K$6:K$33,Конструкторы!$C$6:$C$33,$A37)</f>
        <v>0</v>
      </c>
      <c r="AG37" s="76">
        <f t="array" ref="AG37">SUMIFS(Конструкторы!L$6:L$33,Конструкторы!$C$6:$C$33,$A37)</f>
        <v>0</v>
      </c>
      <c r="AH37" s="76">
        <f t="array" ref="AH37">SUMIFS(Конструкторы!M$6:M$33,Конструкторы!$C$6:$C$33,$A37)</f>
        <v>0</v>
      </c>
      <c r="AI37" s="76">
        <f t="array" ref="AI37">SUMIFS(Конструкторы!N$6:N$33,Конструкторы!$C$6:$C$33,$A37)</f>
        <v>0</v>
      </c>
      <c r="AJ37" s="76">
        <f t="array" ref="AJ37">SUMIFS(Конструкторы!O$6:O$33,Конструкторы!$C$6:$C$33,$A37)</f>
        <v>0</v>
      </c>
      <c r="AK37" s="76">
        <f t="array" ref="AK37">SUMIFS(Конструкторы!P$6:P$33,Конструкторы!$C$6:$C$33,$A37)</f>
        <v>0</v>
      </c>
      <c r="AL37" s="76">
        <f t="array" ref="AL37">SUMIFS(Конструкторы!Q$6:Q$33,Конструкторы!$C$6:$C$33,$A37)</f>
        <v>0</v>
      </c>
      <c r="AM37" s="76">
        <f t="array" ref="AM37">SUMIFS(Конструкторы!R$6:R$33,Конструкторы!$C$6:$C$33,$A37)</f>
        <v>0</v>
      </c>
      <c r="AN37" s="76">
        <f t="array" ref="AN37">SUMIFS(Конструкторы!S$6:S$33,Конструкторы!$C$6:$C$33,$A37)</f>
        <v>0</v>
      </c>
      <c r="AO37" s="76">
        <f t="array" ref="AO37">SUMIFS(Конструкторы!T$6:T$33,Конструкторы!$C$6:$C$33,$A37)</f>
        <v>0</v>
      </c>
      <c r="AP37" s="75">
        <f t="array" ref="AP37">SUMIFS(Конструкторы!I$1192:I$1277,Конструкторы!$C$1192:$C$1277,$A37)</f>
        <v>0</v>
      </c>
      <c r="AQ37" s="75">
        <f t="array" ref="AQ37">SUMIFS(Конструкторы!J$1192:J$1277,Конструкторы!$C$1192:$C$1277,$A37)</f>
        <v>0</v>
      </c>
      <c r="AR37" s="75">
        <f t="array" ref="AR37">SUMIFS(Конструкторы!K$1192:K$1277,Конструкторы!$C$1192:$C$1277,$A37)</f>
        <v>0</v>
      </c>
      <c r="AS37" s="75">
        <f t="array" ref="AS37">SUMIFS(Конструкторы!L$1192:L$1277,Конструкторы!$C$1192:$C$1277,$A37)</f>
        <v>0</v>
      </c>
      <c r="AT37" s="75">
        <f t="array" ref="AT37">SUMIFS(Конструкторы!M$1192:M$1277,Конструкторы!$C$1192:$C$1277,$A37)</f>
        <v>0</v>
      </c>
      <c r="AU37" s="75">
        <f t="array" ref="AU37">SUMIFS(Конструкторы!N$1192:N$1277,Конструкторы!$C$1192:$C$1277,$A37)</f>
        <v>0</v>
      </c>
      <c r="AV37" s="75">
        <f t="array" ref="AV37">SUMIFS(Конструкторы!O$1192:O$1277,Конструкторы!$C$1192:$C$1277,$A37)</f>
        <v>0</v>
      </c>
      <c r="AW37" s="75">
        <f t="array" ref="AW37">SUMIFS(Конструкторы!P$1192:P$1277,Конструкторы!$C$1192:$C$1277,$A37)</f>
        <v>0</v>
      </c>
      <c r="AX37" s="75">
        <f t="array" ref="AX37">SUMIFS(Конструкторы!Q$1192:Q$1277,Конструкторы!$C$1192:$C$1277,$A37)</f>
        <v>0</v>
      </c>
      <c r="AY37" s="75">
        <f t="array" ref="AY37">SUMIFS(Конструкторы!R$1192:R$1277,Конструкторы!$C$1192:$C$1277,$A37)</f>
        <v>0</v>
      </c>
      <c r="AZ37" s="75">
        <f t="array" ref="AZ37">SUMIFS(Конструкторы!S$1192:S$1277,Конструкторы!$C$1192:$C$1277,$A37)</f>
        <v>0</v>
      </c>
      <c r="BA37" s="75">
        <f t="array" ref="BA37">SUMIFS(Конструкторы!T$1192:T$1277,Конструкторы!$C$1192:$C$1277,$A37)</f>
        <v>0</v>
      </c>
      <c r="BB37" s="80">
        <f t="shared" si="12"/>
        <v>0</v>
      </c>
      <c r="BC37" s="80">
        <f t="shared" si="18"/>
        <v>0</v>
      </c>
      <c r="BD37" s="80">
        <f t="shared" si="19"/>
        <v>0</v>
      </c>
      <c r="BE37" s="80">
        <f t="shared" si="20"/>
        <v>0</v>
      </c>
      <c r="BF37" s="80">
        <f t="shared" si="21"/>
        <v>0</v>
      </c>
      <c r="BG37" s="80">
        <f t="shared" si="22"/>
        <v>0</v>
      </c>
      <c r="BH37" s="80">
        <f t="shared" si="23"/>
        <v>0</v>
      </c>
      <c r="BI37" s="80">
        <f t="shared" si="24"/>
        <v>0</v>
      </c>
      <c r="BJ37" s="80">
        <f t="shared" si="25"/>
        <v>0</v>
      </c>
      <c r="BK37" s="80">
        <f t="shared" si="26"/>
        <v>0</v>
      </c>
      <c r="BL37" s="80">
        <f t="shared" si="27"/>
        <v>0</v>
      </c>
      <c r="BM37" s="80">
        <f t="shared" si="28"/>
        <v>0</v>
      </c>
      <c r="BN37" s="84">
        <f t="shared" si="13"/>
        <v>0</v>
      </c>
      <c r="BO37" s="84">
        <f t="shared" si="29"/>
        <v>0</v>
      </c>
      <c r="BP37" s="84">
        <f t="shared" si="30"/>
        <v>0</v>
      </c>
      <c r="BQ37" s="84">
        <f t="shared" si="31"/>
        <v>0</v>
      </c>
      <c r="BR37" s="84">
        <f t="shared" si="32"/>
        <v>0</v>
      </c>
      <c r="BS37" s="84">
        <f t="shared" si="33"/>
        <v>0</v>
      </c>
      <c r="BT37" s="84">
        <f t="shared" si="14"/>
        <v>0</v>
      </c>
      <c r="BU37" s="84">
        <f t="shared" si="6"/>
        <v>0</v>
      </c>
      <c r="BV37" s="84">
        <f t="shared" si="7"/>
        <v>0</v>
      </c>
      <c r="BW37" s="84">
        <f t="shared" si="8"/>
        <v>0</v>
      </c>
      <c r="BX37" s="84">
        <f t="shared" si="9"/>
        <v>0</v>
      </c>
      <c r="BY37" s="83">
        <f t="shared" si="15"/>
        <v>0</v>
      </c>
      <c r="BZ37" s="79">
        <f t="shared" si="16"/>
        <v>0</v>
      </c>
      <c r="CA37" s="79">
        <f t="shared" si="34"/>
        <v>0</v>
      </c>
      <c r="CB37" s="79">
        <f t="shared" si="34"/>
        <v>0</v>
      </c>
      <c r="CC37" s="79">
        <f t="shared" si="34"/>
        <v>0</v>
      </c>
      <c r="CD37" s="79">
        <f t="shared" si="34"/>
        <v>0</v>
      </c>
      <c r="CE37" s="79">
        <f t="shared" si="34"/>
        <v>0</v>
      </c>
      <c r="CF37" s="79">
        <f t="shared" si="34"/>
        <v>0</v>
      </c>
      <c r="CG37" s="79">
        <f t="shared" si="34"/>
        <v>0</v>
      </c>
      <c r="CH37" s="79">
        <f t="shared" si="34"/>
        <v>0</v>
      </c>
      <c r="CI37" s="79">
        <f t="shared" si="34"/>
        <v>0</v>
      </c>
      <c r="CJ37" s="79">
        <f t="shared" si="34"/>
        <v>0</v>
      </c>
      <c r="CK37" s="79">
        <f t="shared" si="17"/>
        <v>0</v>
      </c>
    </row>
    <row r="38" spans="1:89" x14ac:dyDescent="0.25">
      <c r="A38" s="42" t="s">
        <v>27</v>
      </c>
      <c r="B38" s="70">
        <f t="array" ref="B38">INDEX(Технологи!$E$5:$E$552,MATCH(A38&amp;$A$1,Технологи!$B$5:$B$552&amp;Технологи!$C$5:$C$552,0))</f>
        <v>1.357</v>
      </c>
      <c r="C38" s="14">
        <v>1018</v>
      </c>
      <c r="D38" s="71">
        <v>7</v>
      </c>
      <c r="E38" s="71">
        <v>18</v>
      </c>
      <c r="F38" s="72">
        <f>SUMIFS(Продажи!F$5:F$360,Продажи!$D$5:$D$360,'Потребность профиль'!$A38,Продажи!$C$5:$C$360,"Профиль")</f>
        <v>0</v>
      </c>
      <c r="G38" s="72">
        <f>SUMIFS(Продажи!G$5:G$360,Продажи!$D$5:$D$360,'Потребность профиль'!$A38,Продажи!$C$5:$C$360,"Профиль")</f>
        <v>0</v>
      </c>
      <c r="H38" s="72">
        <f>SUMIFS(Продажи!H$5:H$360,Продажи!$D$5:$D$360,'Потребность профиль'!$A38,Продажи!$C$5:$C$360,"Профиль")</f>
        <v>0</v>
      </c>
      <c r="I38" s="72">
        <f>SUMIFS(Продажи!I$5:I$360,Продажи!$D$5:$D$360,'Потребность профиль'!$A38,Продажи!$C$5:$C$360,"Профиль")</f>
        <v>0</v>
      </c>
      <c r="J38" s="72">
        <f>SUMIFS(Продажи!J$5:J$360,Продажи!$D$5:$D$360,'Потребность профиль'!$A38,Продажи!$C$5:$C$360,"Профиль")</f>
        <v>0</v>
      </c>
      <c r="K38" s="72">
        <f>SUMIFS(Продажи!K$5:K$360,Продажи!$D$5:$D$360,'Потребность профиль'!$A38,Продажи!$C$5:$C$360,"Профиль")</f>
        <v>0</v>
      </c>
      <c r="L38" s="72">
        <f>SUMIFS(Продажи!L$5:L$360,Продажи!$D$5:$D$360,'Потребность профиль'!$A38,Продажи!$C$5:$C$360,"Профиль")</f>
        <v>0</v>
      </c>
      <c r="M38" s="72">
        <f>SUMIFS(Продажи!M$5:M$360,Продажи!$D$5:$D$360,'Потребность профиль'!$A38,Продажи!$C$5:$C$360,"Профиль")</f>
        <v>0</v>
      </c>
      <c r="N38" s="72">
        <f>SUMIFS(Продажи!N$5:N$360,Продажи!$D$5:$D$360,'Потребность профиль'!$A38,Продажи!$C$5:$C$360,"Профиль")</f>
        <v>0</v>
      </c>
      <c r="O38" s="72">
        <f>SUMIFS(Продажи!O$5:O$360,Продажи!$D$5:$D$360,'Потребность профиль'!$A38,Продажи!$C$5:$C$360,"Профиль")</f>
        <v>0</v>
      </c>
      <c r="P38" s="72">
        <f>SUMIFS(Продажи!P$5:P$360,Продажи!$D$5:$D$360,'Потребность профиль'!$A38,Продажи!$C$5:$C$360,"Профиль")</f>
        <v>0</v>
      </c>
      <c r="Q38" s="72">
        <f>SUMIFS(Продажи!Q$5:Q$360,Продажи!$D$5:$D$360,'Потребность профиль'!$A38,Продажи!$C$5:$C$360,"Профиль")</f>
        <v>0</v>
      </c>
      <c r="R38" s="73">
        <f t="array" ref="R38">SUMIFS(Конструкторы!I$35:I$1191,Конструкторы!$C$35:$C$1191,$A38)</f>
        <v>0</v>
      </c>
      <c r="S38" s="73">
        <f t="array" ref="S38">SUMIFS(Конструкторы!J$35:J$1191,Конструкторы!$C$35:$C$1191,$A38)</f>
        <v>0</v>
      </c>
      <c r="T38" s="73">
        <f t="array" ref="T38">SUMIFS(Конструкторы!K$35:K$1191,Конструкторы!$C$35:$C$1191,$A38)</f>
        <v>0</v>
      </c>
      <c r="U38" s="73">
        <f t="array" ref="U38">SUMIFS(Конструкторы!L$35:L$1191,Конструкторы!$C$35:$C$1191,$A38)</f>
        <v>0</v>
      </c>
      <c r="V38" s="73">
        <f t="array" ref="V38">SUMIFS(Конструкторы!M$35:M$1191,Конструкторы!$C$35:$C$1191,$A38)</f>
        <v>0</v>
      </c>
      <c r="W38" s="73">
        <f t="array" ref="W38">SUMIFS(Конструкторы!N$35:N$1191,Конструкторы!$C$35:$C$1191,$A38)</f>
        <v>0</v>
      </c>
      <c r="X38" s="73">
        <f t="array" ref="X38">SUMIFS(Конструкторы!O$35:O$1191,Конструкторы!$C$35:$C$1191,$A38)</f>
        <v>0</v>
      </c>
      <c r="Y38" s="73">
        <f t="array" ref="Y38">SUMIFS(Конструкторы!P$35:P$1191,Конструкторы!$C$35:$C$1191,$A38)</f>
        <v>0</v>
      </c>
      <c r="Z38" s="73">
        <f t="array" ref="Z38">SUMIFS(Конструкторы!Q$35:Q$1191,Конструкторы!$C$35:$C$1191,$A38)</f>
        <v>0</v>
      </c>
      <c r="AA38" s="73">
        <f t="array" ref="AA38">SUMIFS(Конструкторы!R$35:R$1191,Конструкторы!$C$35:$C$1191,$A38)</f>
        <v>0</v>
      </c>
      <c r="AB38" s="73">
        <f t="array" ref="AB38">SUMIFS(Конструкторы!S$35:S$1191,Конструкторы!$C$35:$C$1191,$A38)</f>
        <v>0</v>
      </c>
      <c r="AC38" s="73">
        <f t="array" ref="AC38">SUMIFS(Конструкторы!T$35:T$1191,Конструкторы!$C$35:$C$1191,$A38)</f>
        <v>0</v>
      </c>
      <c r="AD38" s="76">
        <f t="array" ref="AD38">SUMIFS(Конструкторы!I$6:I$33,Конструкторы!$C$6:$C$33,$A38)</f>
        <v>0</v>
      </c>
      <c r="AE38" s="76">
        <f t="array" ref="AE38">SUMIFS(Конструкторы!J$6:J$33,Конструкторы!$C$6:$C$33,$A38)</f>
        <v>0</v>
      </c>
      <c r="AF38" s="76">
        <f t="array" ref="AF38">SUMIFS(Конструкторы!K$6:K$33,Конструкторы!$C$6:$C$33,$A38)</f>
        <v>0</v>
      </c>
      <c r="AG38" s="76">
        <f t="array" ref="AG38">SUMIFS(Конструкторы!L$6:L$33,Конструкторы!$C$6:$C$33,$A38)</f>
        <v>0</v>
      </c>
      <c r="AH38" s="76">
        <f t="array" ref="AH38">SUMIFS(Конструкторы!M$6:M$33,Конструкторы!$C$6:$C$33,$A38)</f>
        <v>0</v>
      </c>
      <c r="AI38" s="76">
        <f t="array" ref="AI38">SUMIFS(Конструкторы!N$6:N$33,Конструкторы!$C$6:$C$33,$A38)</f>
        <v>0</v>
      </c>
      <c r="AJ38" s="76">
        <f t="array" ref="AJ38">SUMIFS(Конструкторы!O$6:O$33,Конструкторы!$C$6:$C$33,$A38)</f>
        <v>0</v>
      </c>
      <c r="AK38" s="76">
        <f t="array" ref="AK38">SUMIFS(Конструкторы!P$6:P$33,Конструкторы!$C$6:$C$33,$A38)</f>
        <v>0</v>
      </c>
      <c r="AL38" s="76">
        <f t="array" ref="AL38">SUMIFS(Конструкторы!Q$6:Q$33,Конструкторы!$C$6:$C$33,$A38)</f>
        <v>0</v>
      </c>
      <c r="AM38" s="76">
        <f t="array" ref="AM38">SUMIFS(Конструкторы!R$6:R$33,Конструкторы!$C$6:$C$33,$A38)</f>
        <v>0</v>
      </c>
      <c r="AN38" s="76">
        <f t="array" ref="AN38">SUMIFS(Конструкторы!S$6:S$33,Конструкторы!$C$6:$C$33,$A38)</f>
        <v>0</v>
      </c>
      <c r="AO38" s="76">
        <f t="array" ref="AO38">SUMIFS(Конструкторы!T$6:T$33,Конструкторы!$C$6:$C$33,$A38)</f>
        <v>0</v>
      </c>
      <c r="AP38" s="75">
        <f t="array" ref="AP38">SUMIFS(Конструкторы!I$1192:I$1277,Конструкторы!$C$1192:$C$1277,$A38)</f>
        <v>0</v>
      </c>
      <c r="AQ38" s="75">
        <f t="array" ref="AQ38">SUMIFS(Конструкторы!J$1192:J$1277,Конструкторы!$C$1192:$C$1277,$A38)</f>
        <v>2000</v>
      </c>
      <c r="AR38" s="75">
        <f t="array" ref="AR38">SUMIFS(Конструкторы!K$1192:K$1277,Конструкторы!$C$1192:$C$1277,$A38)</f>
        <v>2190</v>
      </c>
      <c r="AS38" s="75">
        <f t="array" ref="AS38">SUMIFS(Конструкторы!L$1192:L$1277,Конструкторы!$C$1192:$C$1277,$A38)</f>
        <v>0</v>
      </c>
      <c r="AT38" s="75">
        <f t="array" ref="AT38">SUMIFS(Конструкторы!M$1192:M$1277,Конструкторы!$C$1192:$C$1277,$A38)</f>
        <v>0</v>
      </c>
      <c r="AU38" s="75">
        <f t="array" ref="AU38">SUMIFS(Конструкторы!N$1192:N$1277,Конструкторы!$C$1192:$C$1277,$A38)</f>
        <v>0</v>
      </c>
      <c r="AV38" s="75">
        <f t="array" ref="AV38">SUMIFS(Конструкторы!O$1192:O$1277,Конструкторы!$C$1192:$C$1277,$A38)</f>
        <v>0</v>
      </c>
      <c r="AW38" s="75">
        <f t="array" ref="AW38">SUMIFS(Конструкторы!P$1192:P$1277,Конструкторы!$C$1192:$C$1277,$A38)</f>
        <v>0</v>
      </c>
      <c r="AX38" s="75">
        <f t="array" ref="AX38">SUMIFS(Конструкторы!Q$1192:Q$1277,Конструкторы!$C$1192:$C$1277,$A38)</f>
        <v>0</v>
      </c>
      <c r="AY38" s="75">
        <f t="array" ref="AY38">SUMIFS(Конструкторы!R$1192:R$1277,Конструкторы!$C$1192:$C$1277,$A38)</f>
        <v>0</v>
      </c>
      <c r="AZ38" s="75">
        <f t="array" ref="AZ38">SUMIFS(Конструкторы!S$1192:S$1277,Конструкторы!$C$1192:$C$1277,$A38)</f>
        <v>0</v>
      </c>
      <c r="BA38" s="75">
        <f t="array" ref="BA38">SUMIFS(Конструкторы!T$1192:T$1277,Конструкторы!$C$1192:$C$1277,$A38)</f>
        <v>0</v>
      </c>
      <c r="BB38" s="80">
        <f t="shared" si="12"/>
        <v>2000</v>
      </c>
      <c r="BC38" s="80">
        <f t="shared" si="18"/>
        <v>2190</v>
      </c>
      <c r="BD38" s="80">
        <f t="shared" si="19"/>
        <v>0</v>
      </c>
      <c r="BE38" s="80">
        <f t="shared" si="20"/>
        <v>0</v>
      </c>
      <c r="BF38" s="80">
        <f t="shared" si="21"/>
        <v>0</v>
      </c>
      <c r="BG38" s="80">
        <f t="shared" si="22"/>
        <v>0</v>
      </c>
      <c r="BH38" s="80">
        <f t="shared" si="23"/>
        <v>0</v>
      </c>
      <c r="BI38" s="80">
        <f t="shared" si="24"/>
        <v>0</v>
      </c>
      <c r="BJ38" s="80">
        <f t="shared" si="25"/>
        <v>0</v>
      </c>
      <c r="BK38" s="80">
        <f t="shared" si="26"/>
        <v>0</v>
      </c>
      <c r="BL38" s="80">
        <f t="shared" si="27"/>
        <v>0</v>
      </c>
      <c r="BM38" s="80">
        <f t="shared" si="28"/>
        <v>0</v>
      </c>
      <c r="BN38" s="84">
        <f t="shared" si="13"/>
        <v>1473.8393515106854</v>
      </c>
      <c r="BO38" s="84">
        <f t="shared" si="29"/>
        <v>1613.8540899042005</v>
      </c>
      <c r="BP38" s="84">
        <f t="shared" si="30"/>
        <v>0</v>
      </c>
      <c r="BQ38" s="84">
        <f t="shared" si="31"/>
        <v>0</v>
      </c>
      <c r="BR38" s="84">
        <f t="shared" si="32"/>
        <v>0</v>
      </c>
      <c r="BS38" s="84">
        <f t="shared" si="33"/>
        <v>0</v>
      </c>
      <c r="BT38" s="84">
        <f t="shared" si="14"/>
        <v>0</v>
      </c>
      <c r="BU38" s="84">
        <f t="shared" si="6"/>
        <v>0</v>
      </c>
      <c r="BV38" s="84">
        <f t="shared" si="7"/>
        <v>0</v>
      </c>
      <c r="BW38" s="84">
        <f t="shared" si="8"/>
        <v>0</v>
      </c>
      <c r="BX38" s="84">
        <f t="shared" si="9"/>
        <v>0</v>
      </c>
      <c r="BY38" s="83">
        <f t="shared" si="15"/>
        <v>0</v>
      </c>
      <c r="BZ38" s="79">
        <f t="shared" si="16"/>
        <v>81.879963972815858</v>
      </c>
      <c r="CA38" s="79">
        <f t="shared" si="34"/>
        <v>89.658560550233361</v>
      </c>
      <c r="CB38" s="79">
        <f t="shared" si="34"/>
        <v>0</v>
      </c>
      <c r="CC38" s="79">
        <f t="shared" si="34"/>
        <v>0</v>
      </c>
      <c r="CD38" s="79">
        <f t="shared" si="34"/>
        <v>0</v>
      </c>
      <c r="CE38" s="79">
        <f t="shared" si="34"/>
        <v>0</v>
      </c>
      <c r="CF38" s="79">
        <f t="shared" si="34"/>
        <v>0</v>
      </c>
      <c r="CG38" s="79">
        <f t="shared" si="34"/>
        <v>0</v>
      </c>
      <c r="CH38" s="79">
        <f t="shared" si="34"/>
        <v>0</v>
      </c>
      <c r="CI38" s="79">
        <f t="shared" si="34"/>
        <v>0</v>
      </c>
      <c r="CJ38" s="79">
        <f t="shared" si="34"/>
        <v>0</v>
      </c>
      <c r="CK38" s="79">
        <f t="shared" si="17"/>
        <v>0</v>
      </c>
    </row>
    <row r="39" spans="1:89" x14ac:dyDescent="0.25">
      <c r="A39" s="42" t="s">
        <v>10</v>
      </c>
      <c r="B39" s="70">
        <f t="array" ref="B39">INDEX(Технологи!$E$5:$E$552,MATCH(A39&amp;$A$1,Технологи!$B$5:$B$552&amp;Технологи!$C$5:$C$552,0))</f>
        <v>0.26300000000000001</v>
      </c>
      <c r="C39" s="14">
        <v>1018</v>
      </c>
      <c r="D39" s="71">
        <v>4</v>
      </c>
      <c r="E39" s="71">
        <v>21</v>
      </c>
      <c r="F39" s="72">
        <f>SUMIFS(Продажи!F$5:F$360,Продажи!$D$5:$D$360,'Потребность профиль'!$A39,Продажи!$C$5:$C$360,"Профиль")</f>
        <v>0</v>
      </c>
      <c r="G39" s="72">
        <f>SUMIFS(Продажи!G$5:G$360,Продажи!$D$5:$D$360,'Потребность профиль'!$A39,Продажи!$C$5:$C$360,"Профиль")</f>
        <v>0</v>
      </c>
      <c r="H39" s="72">
        <f>SUMIFS(Продажи!H$5:H$360,Продажи!$D$5:$D$360,'Потребность профиль'!$A39,Продажи!$C$5:$C$360,"Профиль")</f>
        <v>0</v>
      </c>
      <c r="I39" s="72">
        <f>SUMIFS(Продажи!I$5:I$360,Продажи!$D$5:$D$360,'Потребность профиль'!$A39,Продажи!$C$5:$C$360,"Профиль")</f>
        <v>0</v>
      </c>
      <c r="J39" s="72">
        <f>SUMIFS(Продажи!J$5:J$360,Продажи!$D$5:$D$360,'Потребность профиль'!$A39,Продажи!$C$5:$C$360,"Профиль")</f>
        <v>0</v>
      </c>
      <c r="K39" s="72">
        <f>SUMIFS(Продажи!K$5:K$360,Продажи!$D$5:$D$360,'Потребность профиль'!$A39,Продажи!$C$5:$C$360,"Профиль")</f>
        <v>0</v>
      </c>
      <c r="L39" s="72">
        <f>SUMIFS(Продажи!L$5:L$360,Продажи!$D$5:$D$360,'Потребность профиль'!$A39,Продажи!$C$5:$C$360,"Профиль")</f>
        <v>0</v>
      </c>
      <c r="M39" s="72">
        <f>SUMIFS(Продажи!M$5:M$360,Продажи!$D$5:$D$360,'Потребность профиль'!$A39,Продажи!$C$5:$C$360,"Профиль")</f>
        <v>0</v>
      </c>
      <c r="N39" s="72">
        <f>SUMIFS(Продажи!N$5:N$360,Продажи!$D$5:$D$360,'Потребность профиль'!$A39,Продажи!$C$5:$C$360,"Профиль")</f>
        <v>0</v>
      </c>
      <c r="O39" s="72">
        <f>SUMIFS(Продажи!O$5:O$360,Продажи!$D$5:$D$360,'Потребность профиль'!$A39,Продажи!$C$5:$C$360,"Профиль")</f>
        <v>0</v>
      </c>
      <c r="P39" s="72">
        <f>SUMIFS(Продажи!P$5:P$360,Продажи!$D$5:$D$360,'Потребность профиль'!$A39,Продажи!$C$5:$C$360,"Профиль")</f>
        <v>0</v>
      </c>
      <c r="Q39" s="72">
        <f>SUMIFS(Продажи!Q$5:Q$360,Продажи!$D$5:$D$360,'Потребность профиль'!$A39,Продажи!$C$5:$C$360,"Профиль")</f>
        <v>0</v>
      </c>
      <c r="R39" s="73">
        <f t="array" ref="R39">SUMIFS(Конструкторы!I$35:I$1191,Конструкторы!$C$35:$C$1191,$A39)</f>
        <v>0</v>
      </c>
      <c r="S39" s="73">
        <f t="array" ref="S39">SUMIFS(Конструкторы!J$35:J$1191,Конструкторы!$C$35:$C$1191,$A39)</f>
        <v>0</v>
      </c>
      <c r="T39" s="73">
        <f t="array" ref="T39">SUMIFS(Конструкторы!K$35:K$1191,Конструкторы!$C$35:$C$1191,$A39)</f>
        <v>0</v>
      </c>
      <c r="U39" s="73">
        <f t="array" ref="U39">SUMIFS(Конструкторы!L$35:L$1191,Конструкторы!$C$35:$C$1191,$A39)</f>
        <v>0</v>
      </c>
      <c r="V39" s="73">
        <f t="array" ref="V39">SUMIFS(Конструкторы!M$35:M$1191,Конструкторы!$C$35:$C$1191,$A39)</f>
        <v>0</v>
      </c>
      <c r="W39" s="73">
        <f t="array" ref="W39">SUMIFS(Конструкторы!N$35:N$1191,Конструкторы!$C$35:$C$1191,$A39)</f>
        <v>0</v>
      </c>
      <c r="X39" s="73">
        <f t="array" ref="X39">SUMIFS(Конструкторы!O$35:O$1191,Конструкторы!$C$35:$C$1191,$A39)</f>
        <v>0</v>
      </c>
      <c r="Y39" s="73">
        <f t="array" ref="Y39">SUMIFS(Конструкторы!P$35:P$1191,Конструкторы!$C$35:$C$1191,$A39)</f>
        <v>0</v>
      </c>
      <c r="Z39" s="73">
        <f t="array" ref="Z39">SUMIFS(Конструкторы!Q$35:Q$1191,Конструкторы!$C$35:$C$1191,$A39)</f>
        <v>0</v>
      </c>
      <c r="AA39" s="73">
        <f t="array" ref="AA39">SUMIFS(Конструкторы!R$35:R$1191,Конструкторы!$C$35:$C$1191,$A39)</f>
        <v>0</v>
      </c>
      <c r="AB39" s="73">
        <f t="array" ref="AB39">SUMIFS(Конструкторы!S$35:S$1191,Конструкторы!$C$35:$C$1191,$A39)</f>
        <v>0</v>
      </c>
      <c r="AC39" s="73">
        <f t="array" ref="AC39">SUMIFS(Конструкторы!T$35:T$1191,Конструкторы!$C$35:$C$1191,$A39)</f>
        <v>0</v>
      </c>
      <c r="AD39" s="76">
        <f t="array" ref="AD39">SUMIFS(Конструкторы!I$6:I$33,Конструкторы!$C$6:$C$33,$A39)</f>
        <v>0</v>
      </c>
      <c r="AE39" s="76">
        <f t="array" ref="AE39">SUMIFS(Конструкторы!J$6:J$33,Конструкторы!$C$6:$C$33,$A39)</f>
        <v>0</v>
      </c>
      <c r="AF39" s="76">
        <f t="array" ref="AF39">SUMIFS(Конструкторы!K$6:K$33,Конструкторы!$C$6:$C$33,$A39)</f>
        <v>0</v>
      </c>
      <c r="AG39" s="76">
        <f t="array" ref="AG39">SUMIFS(Конструкторы!L$6:L$33,Конструкторы!$C$6:$C$33,$A39)</f>
        <v>0</v>
      </c>
      <c r="AH39" s="76">
        <f t="array" ref="AH39">SUMIFS(Конструкторы!M$6:M$33,Конструкторы!$C$6:$C$33,$A39)</f>
        <v>0</v>
      </c>
      <c r="AI39" s="76">
        <f t="array" ref="AI39">SUMIFS(Конструкторы!N$6:N$33,Конструкторы!$C$6:$C$33,$A39)</f>
        <v>0</v>
      </c>
      <c r="AJ39" s="76">
        <f t="array" ref="AJ39">SUMIFS(Конструкторы!O$6:O$33,Конструкторы!$C$6:$C$33,$A39)</f>
        <v>0</v>
      </c>
      <c r="AK39" s="76">
        <f t="array" ref="AK39">SUMIFS(Конструкторы!P$6:P$33,Конструкторы!$C$6:$C$33,$A39)</f>
        <v>0</v>
      </c>
      <c r="AL39" s="76">
        <f t="array" ref="AL39">SUMIFS(Конструкторы!Q$6:Q$33,Конструкторы!$C$6:$C$33,$A39)</f>
        <v>0</v>
      </c>
      <c r="AM39" s="76">
        <f t="array" ref="AM39">SUMIFS(Конструкторы!R$6:R$33,Конструкторы!$C$6:$C$33,$A39)</f>
        <v>0</v>
      </c>
      <c r="AN39" s="76">
        <f t="array" ref="AN39">SUMIFS(Конструкторы!S$6:S$33,Конструкторы!$C$6:$C$33,$A39)</f>
        <v>0</v>
      </c>
      <c r="AO39" s="76">
        <f t="array" ref="AO39">SUMIFS(Конструкторы!T$6:T$33,Конструкторы!$C$6:$C$33,$A39)</f>
        <v>0</v>
      </c>
      <c r="AP39" s="75">
        <f t="array" ref="AP39">SUMIFS(Конструкторы!I$1192:I$1277,Конструкторы!$C$1192:$C$1277,$A39)</f>
        <v>0</v>
      </c>
      <c r="AQ39" s="75">
        <f t="array" ref="AQ39">SUMIFS(Конструкторы!J$1192:J$1277,Конструкторы!$C$1192:$C$1277,$A39)</f>
        <v>0</v>
      </c>
      <c r="AR39" s="75">
        <f t="array" ref="AR39">SUMIFS(Конструкторы!K$1192:K$1277,Конструкторы!$C$1192:$C$1277,$A39)</f>
        <v>0</v>
      </c>
      <c r="AS39" s="75">
        <f t="array" ref="AS39">SUMIFS(Конструкторы!L$1192:L$1277,Конструкторы!$C$1192:$C$1277,$A39)</f>
        <v>0</v>
      </c>
      <c r="AT39" s="75">
        <f t="array" ref="AT39">SUMIFS(Конструкторы!M$1192:M$1277,Конструкторы!$C$1192:$C$1277,$A39)</f>
        <v>0</v>
      </c>
      <c r="AU39" s="75">
        <f t="array" ref="AU39">SUMIFS(Конструкторы!N$1192:N$1277,Конструкторы!$C$1192:$C$1277,$A39)</f>
        <v>0</v>
      </c>
      <c r="AV39" s="75">
        <f t="array" ref="AV39">SUMIFS(Конструкторы!O$1192:O$1277,Конструкторы!$C$1192:$C$1277,$A39)</f>
        <v>0</v>
      </c>
      <c r="AW39" s="75">
        <f t="array" ref="AW39">SUMIFS(Конструкторы!P$1192:P$1277,Конструкторы!$C$1192:$C$1277,$A39)</f>
        <v>0</v>
      </c>
      <c r="AX39" s="75">
        <f t="array" ref="AX39">SUMIFS(Конструкторы!Q$1192:Q$1277,Конструкторы!$C$1192:$C$1277,$A39)</f>
        <v>0</v>
      </c>
      <c r="AY39" s="75">
        <f t="array" ref="AY39">SUMIFS(Конструкторы!R$1192:R$1277,Конструкторы!$C$1192:$C$1277,$A39)</f>
        <v>0</v>
      </c>
      <c r="AZ39" s="75">
        <f t="array" ref="AZ39">SUMIFS(Конструкторы!S$1192:S$1277,Конструкторы!$C$1192:$C$1277,$A39)</f>
        <v>0</v>
      </c>
      <c r="BA39" s="75">
        <f t="array" ref="BA39">SUMIFS(Конструкторы!T$1192:T$1277,Конструкторы!$C$1192:$C$1277,$A39)</f>
        <v>0</v>
      </c>
      <c r="BB39" s="80">
        <f t="shared" si="12"/>
        <v>0</v>
      </c>
      <c r="BC39" s="80">
        <f t="shared" si="18"/>
        <v>0</v>
      </c>
      <c r="BD39" s="80">
        <f t="shared" si="19"/>
        <v>0</v>
      </c>
      <c r="BE39" s="80">
        <f t="shared" si="20"/>
        <v>0</v>
      </c>
      <c r="BF39" s="80">
        <f t="shared" si="21"/>
        <v>0</v>
      </c>
      <c r="BG39" s="80">
        <f t="shared" si="22"/>
        <v>0</v>
      </c>
      <c r="BH39" s="80">
        <f t="shared" si="23"/>
        <v>0</v>
      </c>
      <c r="BI39" s="80">
        <f t="shared" si="24"/>
        <v>0</v>
      </c>
      <c r="BJ39" s="80">
        <f t="shared" si="25"/>
        <v>0</v>
      </c>
      <c r="BK39" s="80">
        <f t="shared" si="26"/>
        <v>0</v>
      </c>
      <c r="BL39" s="80">
        <f t="shared" si="27"/>
        <v>0</v>
      </c>
      <c r="BM39" s="80">
        <f t="shared" si="28"/>
        <v>0</v>
      </c>
      <c r="BN39" s="84">
        <f t="shared" si="13"/>
        <v>0</v>
      </c>
      <c r="BO39" s="84">
        <f t="shared" si="29"/>
        <v>0</v>
      </c>
      <c r="BP39" s="84">
        <f t="shared" si="30"/>
        <v>0</v>
      </c>
      <c r="BQ39" s="84">
        <f t="shared" si="31"/>
        <v>0</v>
      </c>
      <c r="BR39" s="84">
        <f t="shared" si="32"/>
        <v>0</v>
      </c>
      <c r="BS39" s="84">
        <f t="shared" si="33"/>
        <v>0</v>
      </c>
      <c r="BT39" s="84">
        <f t="shared" si="14"/>
        <v>0</v>
      </c>
      <c r="BU39" s="84">
        <f t="shared" si="6"/>
        <v>0</v>
      </c>
      <c r="BV39" s="84">
        <f t="shared" si="7"/>
        <v>0</v>
      </c>
      <c r="BW39" s="84">
        <f t="shared" si="8"/>
        <v>0</v>
      </c>
      <c r="BX39" s="84">
        <f t="shared" si="9"/>
        <v>0</v>
      </c>
      <c r="BY39" s="83">
        <f t="shared" si="15"/>
        <v>0</v>
      </c>
      <c r="BZ39" s="79">
        <f t="shared" si="16"/>
        <v>0</v>
      </c>
      <c r="CA39" s="79">
        <f t="shared" si="34"/>
        <v>0</v>
      </c>
      <c r="CB39" s="79">
        <f t="shared" si="34"/>
        <v>0</v>
      </c>
      <c r="CC39" s="79">
        <f t="shared" si="34"/>
        <v>0</v>
      </c>
      <c r="CD39" s="79">
        <f t="shared" si="34"/>
        <v>0</v>
      </c>
      <c r="CE39" s="79">
        <f t="shared" si="34"/>
        <v>0</v>
      </c>
      <c r="CF39" s="79">
        <f t="shared" si="34"/>
        <v>0</v>
      </c>
      <c r="CG39" s="79">
        <f t="shared" si="34"/>
        <v>0</v>
      </c>
      <c r="CH39" s="79">
        <f t="shared" si="34"/>
        <v>0</v>
      </c>
      <c r="CI39" s="79">
        <f t="shared" si="34"/>
        <v>0</v>
      </c>
      <c r="CJ39" s="79">
        <f t="shared" si="34"/>
        <v>0</v>
      </c>
      <c r="CK39" s="79">
        <f t="shared" si="17"/>
        <v>0</v>
      </c>
    </row>
    <row r="40" spans="1:89" x14ac:dyDescent="0.25">
      <c r="A40" s="42" t="s">
        <v>24</v>
      </c>
      <c r="B40" s="70">
        <f t="array" ref="B40">INDEX(Технологи!$E$5:$E$552,MATCH(A40&amp;$A$1,Технологи!$B$5:$B$552&amp;Технологи!$C$5:$C$552,0))</f>
        <v>1.0459999999999998</v>
      </c>
      <c r="C40" s="14">
        <v>1018</v>
      </c>
      <c r="D40" s="71">
        <v>5.5</v>
      </c>
      <c r="E40" s="71">
        <v>21</v>
      </c>
      <c r="F40" s="72">
        <f>SUMIFS(Продажи!F$5:F$360,Продажи!$D$5:$D$360,'Потребность профиль'!$A40,Продажи!$C$5:$C$360,"Профиль")</f>
        <v>0</v>
      </c>
      <c r="G40" s="72">
        <f>SUMIFS(Продажи!G$5:G$360,Продажи!$D$5:$D$360,'Потребность профиль'!$A40,Продажи!$C$5:$C$360,"Профиль")</f>
        <v>0</v>
      </c>
      <c r="H40" s="72">
        <f>SUMIFS(Продажи!H$5:H$360,Продажи!$D$5:$D$360,'Потребность профиль'!$A40,Продажи!$C$5:$C$360,"Профиль")</f>
        <v>7206</v>
      </c>
      <c r="I40" s="72">
        <f>SUMIFS(Продажи!I$5:I$360,Продажи!$D$5:$D$360,'Потребность профиль'!$A40,Продажи!$C$5:$C$360,"Профиль")</f>
        <v>0</v>
      </c>
      <c r="J40" s="72">
        <f>SUMIFS(Продажи!J$5:J$360,Продажи!$D$5:$D$360,'Потребность профиль'!$A40,Продажи!$C$5:$C$360,"Профиль")</f>
        <v>0</v>
      </c>
      <c r="K40" s="72">
        <f>SUMIFS(Продажи!K$5:K$360,Продажи!$D$5:$D$360,'Потребность профиль'!$A40,Продажи!$C$5:$C$360,"Профиль")</f>
        <v>0</v>
      </c>
      <c r="L40" s="72">
        <f>SUMIFS(Продажи!L$5:L$360,Продажи!$D$5:$D$360,'Потребность профиль'!$A40,Продажи!$C$5:$C$360,"Профиль")</f>
        <v>0</v>
      </c>
      <c r="M40" s="72">
        <f>SUMIFS(Продажи!M$5:M$360,Продажи!$D$5:$D$360,'Потребность профиль'!$A40,Продажи!$C$5:$C$360,"Профиль")</f>
        <v>0</v>
      </c>
      <c r="N40" s="72">
        <f>SUMIFS(Продажи!N$5:N$360,Продажи!$D$5:$D$360,'Потребность профиль'!$A40,Продажи!$C$5:$C$360,"Профиль")</f>
        <v>0</v>
      </c>
      <c r="O40" s="72">
        <f>SUMIFS(Продажи!O$5:O$360,Продажи!$D$5:$D$360,'Потребность профиль'!$A40,Продажи!$C$5:$C$360,"Профиль")</f>
        <v>0</v>
      </c>
      <c r="P40" s="72">
        <f>SUMIFS(Продажи!P$5:P$360,Продажи!$D$5:$D$360,'Потребность профиль'!$A40,Продажи!$C$5:$C$360,"Профиль")</f>
        <v>0</v>
      </c>
      <c r="Q40" s="72">
        <f>SUMIFS(Продажи!Q$5:Q$360,Продажи!$D$5:$D$360,'Потребность профиль'!$A40,Продажи!$C$5:$C$360,"Профиль")</f>
        <v>0</v>
      </c>
      <c r="R40" s="73">
        <f t="array" ref="R40">SUMIFS(Конструкторы!I$35:I$1191,Конструкторы!$C$35:$C$1191,$A40)</f>
        <v>0</v>
      </c>
      <c r="S40" s="73">
        <f t="array" ref="S40">SUMIFS(Конструкторы!J$35:J$1191,Конструкторы!$C$35:$C$1191,$A40)</f>
        <v>0</v>
      </c>
      <c r="T40" s="73">
        <f t="array" ref="T40">SUMIFS(Конструкторы!K$35:K$1191,Конструкторы!$C$35:$C$1191,$A40)</f>
        <v>0</v>
      </c>
      <c r="U40" s="73">
        <f t="array" ref="U40">SUMIFS(Конструкторы!L$35:L$1191,Конструкторы!$C$35:$C$1191,$A40)</f>
        <v>0</v>
      </c>
      <c r="V40" s="73">
        <f t="array" ref="V40">SUMIFS(Конструкторы!M$35:M$1191,Конструкторы!$C$35:$C$1191,$A40)</f>
        <v>0</v>
      </c>
      <c r="W40" s="73">
        <f t="array" ref="W40">SUMIFS(Конструкторы!N$35:N$1191,Конструкторы!$C$35:$C$1191,$A40)</f>
        <v>0</v>
      </c>
      <c r="X40" s="73">
        <f t="array" ref="X40">SUMIFS(Конструкторы!O$35:O$1191,Конструкторы!$C$35:$C$1191,$A40)</f>
        <v>0</v>
      </c>
      <c r="Y40" s="73">
        <f t="array" ref="Y40">SUMIFS(Конструкторы!P$35:P$1191,Конструкторы!$C$35:$C$1191,$A40)</f>
        <v>0</v>
      </c>
      <c r="Z40" s="73">
        <f t="array" ref="Z40">SUMIFS(Конструкторы!Q$35:Q$1191,Конструкторы!$C$35:$C$1191,$A40)</f>
        <v>0</v>
      </c>
      <c r="AA40" s="73">
        <f t="array" ref="AA40">SUMIFS(Конструкторы!R$35:R$1191,Конструкторы!$C$35:$C$1191,$A40)</f>
        <v>0</v>
      </c>
      <c r="AB40" s="73">
        <f t="array" ref="AB40">SUMIFS(Конструкторы!S$35:S$1191,Конструкторы!$C$35:$C$1191,$A40)</f>
        <v>0</v>
      </c>
      <c r="AC40" s="73">
        <f t="array" ref="AC40">SUMIFS(Конструкторы!T$35:T$1191,Конструкторы!$C$35:$C$1191,$A40)</f>
        <v>0</v>
      </c>
      <c r="AD40" s="76">
        <f t="array" ref="AD40">SUMIFS(Конструкторы!I$6:I$33,Конструкторы!$C$6:$C$33,$A40)</f>
        <v>0</v>
      </c>
      <c r="AE40" s="76">
        <f t="array" ref="AE40">SUMIFS(Конструкторы!J$6:J$33,Конструкторы!$C$6:$C$33,$A40)</f>
        <v>0</v>
      </c>
      <c r="AF40" s="76">
        <f t="array" ref="AF40">SUMIFS(Конструкторы!K$6:K$33,Конструкторы!$C$6:$C$33,$A40)</f>
        <v>0</v>
      </c>
      <c r="AG40" s="76">
        <f t="array" ref="AG40">SUMIFS(Конструкторы!L$6:L$33,Конструкторы!$C$6:$C$33,$A40)</f>
        <v>0</v>
      </c>
      <c r="AH40" s="76">
        <f t="array" ref="AH40">SUMIFS(Конструкторы!M$6:M$33,Конструкторы!$C$6:$C$33,$A40)</f>
        <v>0</v>
      </c>
      <c r="AI40" s="76">
        <f t="array" ref="AI40">SUMIFS(Конструкторы!N$6:N$33,Конструкторы!$C$6:$C$33,$A40)</f>
        <v>0</v>
      </c>
      <c r="AJ40" s="76">
        <f t="array" ref="AJ40">SUMIFS(Конструкторы!O$6:O$33,Конструкторы!$C$6:$C$33,$A40)</f>
        <v>0</v>
      </c>
      <c r="AK40" s="76">
        <f t="array" ref="AK40">SUMIFS(Конструкторы!P$6:P$33,Конструкторы!$C$6:$C$33,$A40)</f>
        <v>0</v>
      </c>
      <c r="AL40" s="76">
        <f t="array" ref="AL40">SUMIFS(Конструкторы!Q$6:Q$33,Конструкторы!$C$6:$C$33,$A40)</f>
        <v>0</v>
      </c>
      <c r="AM40" s="76">
        <f t="array" ref="AM40">SUMIFS(Конструкторы!R$6:R$33,Конструкторы!$C$6:$C$33,$A40)</f>
        <v>0</v>
      </c>
      <c r="AN40" s="76">
        <f t="array" ref="AN40">SUMIFS(Конструкторы!S$6:S$33,Конструкторы!$C$6:$C$33,$A40)</f>
        <v>0</v>
      </c>
      <c r="AO40" s="76">
        <f t="array" ref="AO40">SUMIFS(Конструкторы!T$6:T$33,Конструкторы!$C$6:$C$33,$A40)</f>
        <v>0</v>
      </c>
      <c r="AP40" s="75">
        <f t="array" ref="AP40">SUMIFS(Конструкторы!I$1192:I$1277,Конструкторы!$C$1192:$C$1277,$A40)</f>
        <v>0</v>
      </c>
      <c r="AQ40" s="75">
        <f t="array" ref="AQ40">SUMIFS(Конструкторы!J$1192:J$1277,Конструкторы!$C$1192:$C$1277,$A40)</f>
        <v>0</v>
      </c>
      <c r="AR40" s="75">
        <f t="array" ref="AR40">SUMIFS(Конструкторы!K$1192:K$1277,Конструкторы!$C$1192:$C$1277,$A40)</f>
        <v>0</v>
      </c>
      <c r="AS40" s="75">
        <f t="array" ref="AS40">SUMIFS(Конструкторы!L$1192:L$1277,Конструкторы!$C$1192:$C$1277,$A40)</f>
        <v>0</v>
      </c>
      <c r="AT40" s="75">
        <f t="array" ref="AT40">SUMIFS(Конструкторы!M$1192:M$1277,Конструкторы!$C$1192:$C$1277,$A40)</f>
        <v>0</v>
      </c>
      <c r="AU40" s="75">
        <f t="array" ref="AU40">SUMIFS(Конструкторы!N$1192:N$1277,Конструкторы!$C$1192:$C$1277,$A40)</f>
        <v>0</v>
      </c>
      <c r="AV40" s="75">
        <f t="array" ref="AV40">SUMIFS(Конструкторы!O$1192:O$1277,Конструкторы!$C$1192:$C$1277,$A40)</f>
        <v>0</v>
      </c>
      <c r="AW40" s="75">
        <f t="array" ref="AW40">SUMIFS(Конструкторы!P$1192:P$1277,Конструкторы!$C$1192:$C$1277,$A40)</f>
        <v>0</v>
      </c>
      <c r="AX40" s="75">
        <f t="array" ref="AX40">SUMIFS(Конструкторы!Q$1192:Q$1277,Конструкторы!$C$1192:$C$1277,$A40)</f>
        <v>0</v>
      </c>
      <c r="AY40" s="75">
        <f t="array" ref="AY40">SUMIFS(Конструкторы!R$1192:R$1277,Конструкторы!$C$1192:$C$1277,$A40)</f>
        <v>0</v>
      </c>
      <c r="AZ40" s="75">
        <f t="array" ref="AZ40">SUMIFS(Конструкторы!S$1192:S$1277,Конструкторы!$C$1192:$C$1277,$A40)</f>
        <v>0</v>
      </c>
      <c r="BA40" s="75">
        <f t="array" ref="BA40">SUMIFS(Конструкторы!T$1192:T$1277,Конструкторы!$C$1192:$C$1277,$A40)</f>
        <v>0</v>
      </c>
      <c r="BB40" s="80">
        <f t="shared" si="12"/>
        <v>0</v>
      </c>
      <c r="BC40" s="80">
        <f t="shared" si="18"/>
        <v>0</v>
      </c>
      <c r="BD40" s="80">
        <f t="shared" si="19"/>
        <v>7537.4759999999987</v>
      </c>
      <c r="BE40" s="80">
        <f t="shared" si="20"/>
        <v>0</v>
      </c>
      <c r="BF40" s="80">
        <f t="shared" si="21"/>
        <v>0</v>
      </c>
      <c r="BG40" s="80">
        <f t="shared" si="22"/>
        <v>0</v>
      </c>
      <c r="BH40" s="80">
        <f t="shared" si="23"/>
        <v>0</v>
      </c>
      <c r="BI40" s="80">
        <f t="shared" si="24"/>
        <v>0</v>
      </c>
      <c r="BJ40" s="80">
        <f t="shared" si="25"/>
        <v>0</v>
      </c>
      <c r="BK40" s="80">
        <f t="shared" si="26"/>
        <v>0</v>
      </c>
      <c r="BL40" s="80">
        <f t="shared" si="27"/>
        <v>0</v>
      </c>
      <c r="BM40" s="80">
        <f t="shared" si="28"/>
        <v>0</v>
      </c>
      <c r="BN40" s="84">
        <f t="shared" si="13"/>
        <v>0</v>
      </c>
      <c r="BO40" s="84">
        <f t="shared" si="29"/>
        <v>0</v>
      </c>
      <c r="BP40" s="84">
        <f t="shared" si="30"/>
        <v>7206</v>
      </c>
      <c r="BQ40" s="84">
        <f t="shared" si="31"/>
        <v>0</v>
      </c>
      <c r="BR40" s="84">
        <f t="shared" si="32"/>
        <v>0</v>
      </c>
      <c r="BS40" s="84">
        <f t="shared" si="33"/>
        <v>0</v>
      </c>
      <c r="BT40" s="84">
        <f t="shared" si="14"/>
        <v>0</v>
      </c>
      <c r="BU40" s="84">
        <f t="shared" si="6"/>
        <v>0</v>
      </c>
      <c r="BV40" s="84">
        <f t="shared" si="7"/>
        <v>0</v>
      </c>
      <c r="BW40" s="84">
        <f t="shared" si="8"/>
        <v>0</v>
      </c>
      <c r="BX40" s="84">
        <f t="shared" si="9"/>
        <v>0</v>
      </c>
      <c r="BY40" s="83">
        <f t="shared" si="15"/>
        <v>0</v>
      </c>
      <c r="BZ40" s="79">
        <f t="shared" si="16"/>
        <v>0</v>
      </c>
      <c r="CA40" s="79">
        <f t="shared" si="34"/>
        <v>0</v>
      </c>
      <c r="CB40" s="79">
        <f t="shared" si="34"/>
        <v>343.14285714285717</v>
      </c>
      <c r="CC40" s="79">
        <f t="shared" si="34"/>
        <v>0</v>
      </c>
      <c r="CD40" s="79">
        <f t="shared" si="34"/>
        <v>0</v>
      </c>
      <c r="CE40" s="79">
        <f t="shared" si="34"/>
        <v>0</v>
      </c>
      <c r="CF40" s="79">
        <f t="shared" si="34"/>
        <v>0</v>
      </c>
      <c r="CG40" s="79">
        <f t="shared" si="34"/>
        <v>0</v>
      </c>
      <c r="CH40" s="79">
        <f t="shared" si="34"/>
        <v>0</v>
      </c>
      <c r="CI40" s="79">
        <f t="shared" si="34"/>
        <v>0</v>
      </c>
      <c r="CJ40" s="79">
        <f t="shared" si="34"/>
        <v>0</v>
      </c>
      <c r="CK40" s="79">
        <f t="shared" si="17"/>
        <v>0</v>
      </c>
    </row>
    <row r="41" spans="1:89" x14ac:dyDescent="0.25">
      <c r="A41" s="42" t="s">
        <v>25</v>
      </c>
      <c r="B41" s="70">
        <f t="array" ref="B41">INDEX(Технологи!$E$5:$E$552,MATCH(A41&amp;$A$1,Технологи!$B$5:$B$552&amp;Технологи!$C$5:$C$552,0))</f>
        <v>1.121</v>
      </c>
      <c r="C41" s="14">
        <v>1018</v>
      </c>
      <c r="D41" s="71">
        <v>6</v>
      </c>
      <c r="E41" s="71">
        <v>21</v>
      </c>
      <c r="F41" s="72">
        <f>SUMIFS(Продажи!F$5:F$360,Продажи!$D$5:$D$360,'Потребность профиль'!$A41,Продажи!$C$5:$C$360,"Профиль")</f>
        <v>1692</v>
      </c>
      <c r="G41" s="72">
        <f>SUMIFS(Продажи!G$5:G$360,Продажи!$D$5:$D$360,'Потребность профиль'!$A41,Продажи!$C$5:$C$360,"Профиль")</f>
        <v>0</v>
      </c>
      <c r="H41" s="72">
        <f>SUMIFS(Продажи!H$5:H$360,Продажи!$D$5:$D$360,'Потребность профиль'!$A41,Продажи!$C$5:$C$360,"Профиль")</f>
        <v>0</v>
      </c>
      <c r="I41" s="72">
        <f>SUMIFS(Продажи!I$5:I$360,Продажи!$D$5:$D$360,'Потребность профиль'!$A41,Продажи!$C$5:$C$360,"Профиль")</f>
        <v>0</v>
      </c>
      <c r="J41" s="72">
        <f>SUMIFS(Продажи!J$5:J$360,Продажи!$D$5:$D$360,'Потребность профиль'!$A41,Продажи!$C$5:$C$360,"Профиль")</f>
        <v>0</v>
      </c>
      <c r="K41" s="72">
        <f>SUMIFS(Продажи!K$5:K$360,Продажи!$D$5:$D$360,'Потребность профиль'!$A41,Продажи!$C$5:$C$360,"Профиль")</f>
        <v>0</v>
      </c>
      <c r="L41" s="72">
        <f>SUMIFS(Продажи!L$5:L$360,Продажи!$D$5:$D$360,'Потребность профиль'!$A41,Продажи!$C$5:$C$360,"Профиль")</f>
        <v>0</v>
      </c>
      <c r="M41" s="72">
        <f>SUMIFS(Продажи!M$5:M$360,Продажи!$D$5:$D$360,'Потребность профиль'!$A41,Продажи!$C$5:$C$360,"Профиль")</f>
        <v>0</v>
      </c>
      <c r="N41" s="72">
        <f>SUMIFS(Продажи!N$5:N$360,Продажи!$D$5:$D$360,'Потребность профиль'!$A41,Продажи!$C$5:$C$360,"Профиль")</f>
        <v>0</v>
      </c>
      <c r="O41" s="72">
        <f>SUMIFS(Продажи!O$5:O$360,Продажи!$D$5:$D$360,'Потребность профиль'!$A41,Продажи!$C$5:$C$360,"Профиль")</f>
        <v>0</v>
      </c>
      <c r="P41" s="72">
        <f>SUMIFS(Продажи!P$5:P$360,Продажи!$D$5:$D$360,'Потребность профиль'!$A41,Продажи!$C$5:$C$360,"Профиль")</f>
        <v>0</v>
      </c>
      <c r="Q41" s="72">
        <f>SUMIFS(Продажи!Q$5:Q$360,Продажи!$D$5:$D$360,'Потребность профиль'!$A41,Продажи!$C$5:$C$360,"Профиль")</f>
        <v>0</v>
      </c>
      <c r="R41" s="73">
        <f t="array" ref="R41">SUMIFS(Конструкторы!I$35:I$1191,Конструкторы!$C$35:$C$1191,$A41)</f>
        <v>0</v>
      </c>
      <c r="S41" s="73">
        <f t="array" ref="S41">SUMIFS(Конструкторы!J$35:J$1191,Конструкторы!$C$35:$C$1191,$A41)</f>
        <v>0</v>
      </c>
      <c r="T41" s="73">
        <f t="array" ref="T41">SUMIFS(Конструкторы!K$35:K$1191,Конструкторы!$C$35:$C$1191,$A41)</f>
        <v>0</v>
      </c>
      <c r="U41" s="73">
        <f t="array" ref="U41">SUMIFS(Конструкторы!L$35:L$1191,Конструкторы!$C$35:$C$1191,$A41)</f>
        <v>0</v>
      </c>
      <c r="V41" s="73">
        <f t="array" ref="V41">SUMIFS(Конструкторы!M$35:M$1191,Конструкторы!$C$35:$C$1191,$A41)</f>
        <v>0</v>
      </c>
      <c r="W41" s="73">
        <f t="array" ref="W41">SUMIFS(Конструкторы!N$35:N$1191,Конструкторы!$C$35:$C$1191,$A41)</f>
        <v>0</v>
      </c>
      <c r="X41" s="73">
        <f t="array" ref="X41">SUMIFS(Конструкторы!O$35:O$1191,Конструкторы!$C$35:$C$1191,$A41)</f>
        <v>0</v>
      </c>
      <c r="Y41" s="73">
        <f t="array" ref="Y41">SUMIFS(Конструкторы!P$35:P$1191,Конструкторы!$C$35:$C$1191,$A41)</f>
        <v>0</v>
      </c>
      <c r="Z41" s="73">
        <f t="array" ref="Z41">SUMIFS(Конструкторы!Q$35:Q$1191,Конструкторы!$C$35:$C$1191,$A41)</f>
        <v>0</v>
      </c>
      <c r="AA41" s="73">
        <f t="array" ref="AA41">SUMIFS(Конструкторы!R$35:R$1191,Конструкторы!$C$35:$C$1191,$A41)</f>
        <v>0</v>
      </c>
      <c r="AB41" s="73">
        <f t="array" ref="AB41">SUMIFS(Конструкторы!S$35:S$1191,Конструкторы!$C$35:$C$1191,$A41)</f>
        <v>0</v>
      </c>
      <c r="AC41" s="73">
        <f t="array" ref="AC41">SUMIFS(Конструкторы!T$35:T$1191,Конструкторы!$C$35:$C$1191,$A41)</f>
        <v>0</v>
      </c>
      <c r="AD41" s="76">
        <f t="array" ref="AD41">SUMIFS(Конструкторы!I$6:I$33,Конструкторы!$C$6:$C$33,$A41)</f>
        <v>0</v>
      </c>
      <c r="AE41" s="76">
        <f t="array" ref="AE41">SUMIFS(Конструкторы!J$6:J$33,Конструкторы!$C$6:$C$33,$A41)</f>
        <v>0</v>
      </c>
      <c r="AF41" s="76">
        <f t="array" ref="AF41">SUMIFS(Конструкторы!K$6:K$33,Конструкторы!$C$6:$C$33,$A41)</f>
        <v>0</v>
      </c>
      <c r="AG41" s="76">
        <f t="array" ref="AG41">SUMIFS(Конструкторы!L$6:L$33,Конструкторы!$C$6:$C$33,$A41)</f>
        <v>0</v>
      </c>
      <c r="AH41" s="76">
        <f t="array" ref="AH41">SUMIFS(Конструкторы!M$6:M$33,Конструкторы!$C$6:$C$33,$A41)</f>
        <v>0</v>
      </c>
      <c r="AI41" s="76">
        <f t="array" ref="AI41">SUMIFS(Конструкторы!N$6:N$33,Конструкторы!$C$6:$C$33,$A41)</f>
        <v>0</v>
      </c>
      <c r="AJ41" s="76">
        <f t="array" ref="AJ41">SUMIFS(Конструкторы!O$6:O$33,Конструкторы!$C$6:$C$33,$A41)</f>
        <v>0</v>
      </c>
      <c r="AK41" s="76">
        <f t="array" ref="AK41">SUMIFS(Конструкторы!P$6:P$33,Конструкторы!$C$6:$C$33,$A41)</f>
        <v>0</v>
      </c>
      <c r="AL41" s="76">
        <f t="array" ref="AL41">SUMIFS(Конструкторы!Q$6:Q$33,Конструкторы!$C$6:$C$33,$A41)</f>
        <v>0</v>
      </c>
      <c r="AM41" s="76">
        <f t="array" ref="AM41">SUMIFS(Конструкторы!R$6:R$33,Конструкторы!$C$6:$C$33,$A41)</f>
        <v>0</v>
      </c>
      <c r="AN41" s="76">
        <f t="array" ref="AN41">SUMIFS(Конструкторы!S$6:S$33,Конструкторы!$C$6:$C$33,$A41)</f>
        <v>0</v>
      </c>
      <c r="AO41" s="76">
        <f t="array" ref="AO41">SUMIFS(Конструкторы!T$6:T$33,Конструкторы!$C$6:$C$33,$A41)</f>
        <v>0</v>
      </c>
      <c r="AP41" s="75">
        <f t="array" ref="AP41">SUMIFS(Конструкторы!I$1192:I$1277,Конструкторы!$C$1192:$C$1277,$A41)</f>
        <v>0</v>
      </c>
      <c r="AQ41" s="75">
        <f t="array" ref="AQ41">SUMIFS(Конструкторы!J$1192:J$1277,Конструкторы!$C$1192:$C$1277,$A41)</f>
        <v>910</v>
      </c>
      <c r="AR41" s="75">
        <f t="array" ref="AR41">SUMIFS(Конструкторы!K$1192:K$1277,Конструкторы!$C$1192:$C$1277,$A41)</f>
        <v>300</v>
      </c>
      <c r="AS41" s="75">
        <f t="array" ref="AS41">SUMIFS(Конструкторы!L$1192:L$1277,Конструкторы!$C$1192:$C$1277,$A41)</f>
        <v>801.76211453744497</v>
      </c>
      <c r="AT41" s="75">
        <f t="array" ref="AT41">SUMIFS(Конструкторы!M$1192:M$1277,Конструкторы!$C$1192:$C$1277,$A41)</f>
        <v>950.92715910255106</v>
      </c>
      <c r="AU41" s="75">
        <f t="array" ref="AU41">SUMIFS(Конструкторы!N$1192:N$1277,Конструкторы!$C$1192:$C$1277,$A41)</f>
        <v>857.69900624935974</v>
      </c>
      <c r="AV41" s="75">
        <f t="array" ref="AV41">SUMIFS(Конструкторы!O$1192:O$1277,Конструкторы!$C$1192:$C$1277,$A41)</f>
        <v>857.69900624935974</v>
      </c>
      <c r="AW41" s="75">
        <f t="array" ref="AW41">SUMIFS(Конструкторы!P$1192:P$1277,Конструкторы!$C$1192:$C$1277,$A41)</f>
        <v>857.69900624935974</v>
      </c>
      <c r="AX41" s="75">
        <f t="array" ref="AX41">SUMIFS(Конструкторы!Q$1192:Q$1277,Конструкторы!$C$1192:$C$1277,$A41)</f>
        <v>857.69900624935974</v>
      </c>
      <c r="AY41" s="75">
        <f t="array" ref="AY41">SUMIFS(Конструкторы!R$1192:R$1277,Конструкторы!$C$1192:$C$1277,$A41)</f>
        <v>857.69900624935974</v>
      </c>
      <c r="AZ41" s="75">
        <f t="array" ref="AZ41">SUMIFS(Конструкторы!S$1192:S$1277,Конструкторы!$C$1192:$C$1277,$A41)</f>
        <v>857.69900624935974</v>
      </c>
      <c r="BA41" s="75">
        <f t="array" ref="BA41">SUMIFS(Конструкторы!T$1192:T$1277,Конструкторы!$C$1192:$C$1277,$A41)</f>
        <v>857.69900624935974</v>
      </c>
      <c r="BB41" s="80">
        <f t="shared" si="12"/>
        <v>2806.732</v>
      </c>
      <c r="BC41" s="80">
        <f t="shared" si="18"/>
        <v>300</v>
      </c>
      <c r="BD41" s="80">
        <f t="shared" si="19"/>
        <v>801.76211453744497</v>
      </c>
      <c r="BE41" s="80">
        <f t="shared" si="20"/>
        <v>950.92715910255106</v>
      </c>
      <c r="BF41" s="80">
        <f t="shared" si="21"/>
        <v>857.69900624935974</v>
      </c>
      <c r="BG41" s="80">
        <f t="shared" si="22"/>
        <v>857.69900624935974</v>
      </c>
      <c r="BH41" s="80">
        <f t="shared" si="23"/>
        <v>857.69900624935974</v>
      </c>
      <c r="BI41" s="80">
        <f t="shared" si="24"/>
        <v>857.69900624935974</v>
      </c>
      <c r="BJ41" s="80">
        <f t="shared" si="25"/>
        <v>857.69900624935974</v>
      </c>
      <c r="BK41" s="80">
        <f t="shared" si="26"/>
        <v>857.69900624935974</v>
      </c>
      <c r="BL41" s="80">
        <f t="shared" si="27"/>
        <v>857.69900624935974</v>
      </c>
      <c r="BM41" s="80">
        <f t="shared" si="28"/>
        <v>857.69900624935974</v>
      </c>
      <c r="BN41" s="84">
        <f t="shared" si="13"/>
        <v>2503.7752007136487</v>
      </c>
      <c r="BO41" s="84">
        <f t="shared" si="29"/>
        <v>267.61819803746653</v>
      </c>
      <c r="BP41" s="84">
        <f t="shared" si="30"/>
        <v>715.22044115739959</v>
      </c>
      <c r="BQ41" s="84">
        <f t="shared" si="31"/>
        <v>848.28470927970659</v>
      </c>
      <c r="BR41" s="84">
        <f t="shared" si="32"/>
        <v>765.11954170326476</v>
      </c>
      <c r="BS41" s="84">
        <f t="shared" si="33"/>
        <v>765.11954170326476</v>
      </c>
      <c r="BT41" s="84">
        <f t="shared" si="14"/>
        <v>765.11954170326476</v>
      </c>
      <c r="BU41" s="84">
        <f t="shared" si="6"/>
        <v>765.11954170326476</v>
      </c>
      <c r="BV41" s="84">
        <f t="shared" si="7"/>
        <v>765.11954170326476</v>
      </c>
      <c r="BW41" s="84">
        <f t="shared" si="8"/>
        <v>765.11954170326476</v>
      </c>
      <c r="BX41" s="84">
        <f t="shared" si="9"/>
        <v>765.11954170326476</v>
      </c>
      <c r="BY41" s="83">
        <f t="shared" si="15"/>
        <v>765.11954170326476</v>
      </c>
      <c r="BZ41" s="79">
        <f t="shared" si="16"/>
        <v>119.22739051017375</v>
      </c>
      <c r="CA41" s="79">
        <f t="shared" si="34"/>
        <v>12.743723716069834</v>
      </c>
      <c r="CB41" s="79">
        <f t="shared" si="34"/>
        <v>34.058116245590455</v>
      </c>
      <c r="CC41" s="79">
        <f t="shared" si="34"/>
        <v>40.394509965700315</v>
      </c>
      <c r="CD41" s="79">
        <f t="shared" si="34"/>
        <v>36.434263890631655</v>
      </c>
      <c r="CE41" s="79">
        <f t="shared" si="34"/>
        <v>36.434263890631655</v>
      </c>
      <c r="CF41" s="79">
        <f t="shared" si="34"/>
        <v>36.434263890631655</v>
      </c>
      <c r="CG41" s="79">
        <f t="shared" si="34"/>
        <v>36.434263890631655</v>
      </c>
      <c r="CH41" s="79">
        <f t="shared" si="34"/>
        <v>36.434263890631655</v>
      </c>
      <c r="CI41" s="79">
        <f t="shared" si="34"/>
        <v>36.434263890631655</v>
      </c>
      <c r="CJ41" s="79">
        <f t="shared" si="34"/>
        <v>36.434263890631655</v>
      </c>
      <c r="CK41" s="79">
        <f t="shared" si="17"/>
        <v>36.434263890631655</v>
      </c>
    </row>
    <row r="42" spans="1:89" x14ac:dyDescent="0.25">
      <c r="A42" s="42" t="s">
        <v>26</v>
      </c>
      <c r="B42" s="70">
        <f t="array" ref="B42">INDEX(Технологи!$E$5:$E$552,MATCH(A42&amp;$A$1,Технологи!$B$5:$B$552&amp;Технологи!$C$5:$C$552,0))</f>
        <v>1.5999999999999999</v>
      </c>
      <c r="C42" s="14">
        <v>1018</v>
      </c>
      <c r="D42" s="71">
        <v>6.5</v>
      </c>
      <c r="E42" s="71">
        <v>21</v>
      </c>
      <c r="F42" s="72">
        <f>SUMIFS(Продажи!F$5:F$360,Продажи!$D$5:$D$360,'Потребность профиль'!$A42,Продажи!$C$5:$C$360,"Профиль")</f>
        <v>0</v>
      </c>
      <c r="G42" s="72">
        <f>SUMIFS(Продажи!G$5:G$360,Продажи!$D$5:$D$360,'Потребность профиль'!$A42,Продажи!$C$5:$C$360,"Профиль")</f>
        <v>0</v>
      </c>
      <c r="H42" s="72">
        <f>SUMIFS(Продажи!H$5:H$360,Продажи!$D$5:$D$360,'Потребность профиль'!$A42,Продажи!$C$5:$C$360,"Профиль")</f>
        <v>0</v>
      </c>
      <c r="I42" s="72">
        <f>SUMIFS(Продажи!I$5:I$360,Продажи!$D$5:$D$360,'Потребность профиль'!$A42,Продажи!$C$5:$C$360,"Профиль")</f>
        <v>0</v>
      </c>
      <c r="J42" s="72">
        <f>SUMIFS(Продажи!J$5:J$360,Продажи!$D$5:$D$360,'Потребность профиль'!$A42,Продажи!$C$5:$C$360,"Профиль")</f>
        <v>0</v>
      </c>
      <c r="K42" s="72">
        <f>SUMIFS(Продажи!K$5:K$360,Продажи!$D$5:$D$360,'Потребность профиль'!$A42,Продажи!$C$5:$C$360,"Профиль")</f>
        <v>0</v>
      </c>
      <c r="L42" s="72">
        <f>SUMIFS(Продажи!L$5:L$360,Продажи!$D$5:$D$360,'Потребность профиль'!$A42,Продажи!$C$5:$C$360,"Профиль")</f>
        <v>0</v>
      </c>
      <c r="M42" s="72">
        <f>SUMIFS(Продажи!M$5:M$360,Продажи!$D$5:$D$360,'Потребность профиль'!$A42,Продажи!$C$5:$C$360,"Профиль")</f>
        <v>0</v>
      </c>
      <c r="N42" s="72">
        <f>SUMIFS(Продажи!N$5:N$360,Продажи!$D$5:$D$360,'Потребность профиль'!$A42,Продажи!$C$5:$C$360,"Профиль")</f>
        <v>0</v>
      </c>
      <c r="O42" s="72">
        <f>SUMIFS(Продажи!O$5:O$360,Продажи!$D$5:$D$360,'Потребность профиль'!$A42,Продажи!$C$5:$C$360,"Профиль")</f>
        <v>0</v>
      </c>
      <c r="P42" s="72">
        <f>SUMIFS(Продажи!P$5:P$360,Продажи!$D$5:$D$360,'Потребность профиль'!$A42,Продажи!$C$5:$C$360,"Профиль")</f>
        <v>0</v>
      </c>
      <c r="Q42" s="72">
        <f>SUMIFS(Продажи!Q$5:Q$360,Продажи!$D$5:$D$360,'Потребность профиль'!$A42,Продажи!$C$5:$C$360,"Профиль")</f>
        <v>0</v>
      </c>
      <c r="R42" s="73">
        <f t="array" ref="R42">SUMIFS(Конструкторы!I$35:I$1191,Конструкторы!$C$35:$C$1191,$A42)</f>
        <v>0</v>
      </c>
      <c r="S42" s="73">
        <f t="array" ref="S42">SUMIFS(Конструкторы!J$35:J$1191,Конструкторы!$C$35:$C$1191,$A42)</f>
        <v>0</v>
      </c>
      <c r="T42" s="73">
        <f t="array" ref="T42">SUMIFS(Конструкторы!K$35:K$1191,Конструкторы!$C$35:$C$1191,$A42)</f>
        <v>0</v>
      </c>
      <c r="U42" s="73">
        <f t="array" ref="U42">SUMIFS(Конструкторы!L$35:L$1191,Конструкторы!$C$35:$C$1191,$A42)</f>
        <v>0</v>
      </c>
      <c r="V42" s="73">
        <f t="array" ref="V42">SUMIFS(Конструкторы!M$35:M$1191,Конструкторы!$C$35:$C$1191,$A42)</f>
        <v>0</v>
      </c>
      <c r="W42" s="73">
        <f t="array" ref="W42">SUMIFS(Конструкторы!N$35:N$1191,Конструкторы!$C$35:$C$1191,$A42)</f>
        <v>0</v>
      </c>
      <c r="X42" s="73">
        <f t="array" ref="X42">SUMIFS(Конструкторы!O$35:O$1191,Конструкторы!$C$35:$C$1191,$A42)</f>
        <v>0</v>
      </c>
      <c r="Y42" s="73">
        <f t="array" ref="Y42">SUMIFS(Конструкторы!P$35:P$1191,Конструкторы!$C$35:$C$1191,$A42)</f>
        <v>0</v>
      </c>
      <c r="Z42" s="73">
        <f t="array" ref="Z42">SUMIFS(Конструкторы!Q$35:Q$1191,Конструкторы!$C$35:$C$1191,$A42)</f>
        <v>0</v>
      </c>
      <c r="AA42" s="73">
        <f t="array" ref="AA42">SUMIFS(Конструкторы!R$35:R$1191,Конструкторы!$C$35:$C$1191,$A42)</f>
        <v>0</v>
      </c>
      <c r="AB42" s="73">
        <f t="array" ref="AB42">SUMIFS(Конструкторы!S$35:S$1191,Конструкторы!$C$35:$C$1191,$A42)</f>
        <v>0</v>
      </c>
      <c r="AC42" s="73">
        <f t="array" ref="AC42">SUMIFS(Конструкторы!T$35:T$1191,Конструкторы!$C$35:$C$1191,$A42)</f>
        <v>0</v>
      </c>
      <c r="AD42" s="76">
        <f t="array" ref="AD42">SUMIFS(Конструкторы!I$6:I$33,Конструкторы!$C$6:$C$33,$A42)</f>
        <v>0</v>
      </c>
      <c r="AE42" s="76">
        <f t="array" ref="AE42">SUMIFS(Конструкторы!J$6:J$33,Конструкторы!$C$6:$C$33,$A42)</f>
        <v>0</v>
      </c>
      <c r="AF42" s="76">
        <f t="array" ref="AF42">SUMIFS(Конструкторы!K$6:K$33,Конструкторы!$C$6:$C$33,$A42)</f>
        <v>0</v>
      </c>
      <c r="AG42" s="76">
        <f t="array" ref="AG42">SUMIFS(Конструкторы!L$6:L$33,Конструкторы!$C$6:$C$33,$A42)</f>
        <v>0</v>
      </c>
      <c r="AH42" s="76">
        <f t="array" ref="AH42">SUMIFS(Конструкторы!M$6:M$33,Конструкторы!$C$6:$C$33,$A42)</f>
        <v>0</v>
      </c>
      <c r="AI42" s="76">
        <f t="array" ref="AI42">SUMIFS(Конструкторы!N$6:N$33,Конструкторы!$C$6:$C$33,$A42)</f>
        <v>0</v>
      </c>
      <c r="AJ42" s="76">
        <f t="array" ref="AJ42">SUMIFS(Конструкторы!O$6:O$33,Конструкторы!$C$6:$C$33,$A42)</f>
        <v>0</v>
      </c>
      <c r="AK42" s="76">
        <f t="array" ref="AK42">SUMIFS(Конструкторы!P$6:P$33,Конструкторы!$C$6:$C$33,$A42)</f>
        <v>0</v>
      </c>
      <c r="AL42" s="76">
        <f t="array" ref="AL42">SUMIFS(Конструкторы!Q$6:Q$33,Конструкторы!$C$6:$C$33,$A42)</f>
        <v>0</v>
      </c>
      <c r="AM42" s="76">
        <f t="array" ref="AM42">SUMIFS(Конструкторы!R$6:R$33,Конструкторы!$C$6:$C$33,$A42)</f>
        <v>0</v>
      </c>
      <c r="AN42" s="76">
        <f t="array" ref="AN42">SUMIFS(Конструкторы!S$6:S$33,Конструкторы!$C$6:$C$33,$A42)</f>
        <v>0</v>
      </c>
      <c r="AO42" s="76">
        <f t="array" ref="AO42">SUMIFS(Конструкторы!T$6:T$33,Конструкторы!$C$6:$C$33,$A42)</f>
        <v>0</v>
      </c>
      <c r="AP42" s="75">
        <f t="array" ref="AP42">SUMIFS(Конструкторы!I$1192:I$1277,Конструкторы!$C$1192:$C$1277,$A42)</f>
        <v>0</v>
      </c>
      <c r="AQ42" s="75">
        <f t="array" ref="AQ42">SUMIFS(Конструкторы!J$1192:J$1277,Конструкторы!$C$1192:$C$1277,$A42)</f>
        <v>0</v>
      </c>
      <c r="AR42" s="75">
        <f t="array" ref="AR42">SUMIFS(Конструкторы!K$1192:K$1277,Конструкторы!$C$1192:$C$1277,$A42)</f>
        <v>20</v>
      </c>
      <c r="AS42" s="75">
        <f t="array" ref="AS42">SUMIFS(Конструкторы!L$1192:L$1277,Конструкторы!$C$1192:$C$1277,$A42)</f>
        <v>0</v>
      </c>
      <c r="AT42" s="75">
        <f t="array" ref="AT42">SUMIFS(Конструкторы!M$1192:M$1277,Конструкторы!$C$1192:$C$1277,$A42)</f>
        <v>0</v>
      </c>
      <c r="AU42" s="75">
        <f t="array" ref="AU42">SUMIFS(Конструкторы!N$1192:N$1277,Конструкторы!$C$1192:$C$1277,$A42)</f>
        <v>0</v>
      </c>
      <c r="AV42" s="75">
        <f t="array" ref="AV42">SUMIFS(Конструкторы!O$1192:O$1277,Конструкторы!$C$1192:$C$1277,$A42)</f>
        <v>0</v>
      </c>
      <c r="AW42" s="75">
        <f t="array" ref="AW42">SUMIFS(Конструкторы!P$1192:P$1277,Конструкторы!$C$1192:$C$1277,$A42)</f>
        <v>0</v>
      </c>
      <c r="AX42" s="75">
        <f t="array" ref="AX42">SUMIFS(Конструкторы!Q$1192:Q$1277,Конструкторы!$C$1192:$C$1277,$A42)</f>
        <v>0</v>
      </c>
      <c r="AY42" s="75">
        <f t="array" ref="AY42">SUMIFS(Конструкторы!R$1192:R$1277,Конструкторы!$C$1192:$C$1277,$A42)</f>
        <v>0</v>
      </c>
      <c r="AZ42" s="75">
        <f t="array" ref="AZ42">SUMIFS(Конструкторы!S$1192:S$1277,Конструкторы!$C$1192:$C$1277,$A42)</f>
        <v>0</v>
      </c>
      <c r="BA42" s="75">
        <f t="array" ref="BA42">SUMIFS(Конструкторы!T$1192:T$1277,Конструкторы!$C$1192:$C$1277,$A42)</f>
        <v>0</v>
      </c>
      <c r="BB42" s="80">
        <f t="shared" si="12"/>
        <v>0</v>
      </c>
      <c r="BC42" s="80">
        <f t="shared" si="18"/>
        <v>20</v>
      </c>
      <c r="BD42" s="80">
        <f t="shared" si="19"/>
        <v>0</v>
      </c>
      <c r="BE42" s="80">
        <f t="shared" si="20"/>
        <v>0</v>
      </c>
      <c r="BF42" s="80">
        <f t="shared" si="21"/>
        <v>0</v>
      </c>
      <c r="BG42" s="80">
        <f t="shared" si="22"/>
        <v>0</v>
      </c>
      <c r="BH42" s="80">
        <f t="shared" si="23"/>
        <v>0</v>
      </c>
      <c r="BI42" s="80">
        <f t="shared" si="24"/>
        <v>0</v>
      </c>
      <c r="BJ42" s="80">
        <f t="shared" si="25"/>
        <v>0</v>
      </c>
      <c r="BK42" s="80">
        <f t="shared" si="26"/>
        <v>0</v>
      </c>
      <c r="BL42" s="80">
        <f t="shared" si="27"/>
        <v>0</v>
      </c>
      <c r="BM42" s="80">
        <f t="shared" si="28"/>
        <v>0</v>
      </c>
      <c r="BN42" s="84">
        <f t="shared" si="13"/>
        <v>0</v>
      </c>
      <c r="BO42" s="84">
        <f t="shared" si="29"/>
        <v>12.500000000000002</v>
      </c>
      <c r="BP42" s="84">
        <f t="shared" si="30"/>
        <v>0</v>
      </c>
      <c r="BQ42" s="84">
        <f t="shared" si="31"/>
        <v>0</v>
      </c>
      <c r="BR42" s="84">
        <f t="shared" si="32"/>
        <v>0</v>
      </c>
      <c r="BS42" s="84">
        <f t="shared" si="33"/>
        <v>0</v>
      </c>
      <c r="BT42" s="84">
        <f t="shared" si="14"/>
        <v>0</v>
      </c>
      <c r="BU42" s="84">
        <f t="shared" si="6"/>
        <v>0</v>
      </c>
      <c r="BV42" s="84">
        <f t="shared" si="7"/>
        <v>0</v>
      </c>
      <c r="BW42" s="84">
        <f t="shared" si="8"/>
        <v>0</v>
      </c>
      <c r="BX42" s="84">
        <f t="shared" si="9"/>
        <v>0</v>
      </c>
      <c r="BY42" s="83">
        <f t="shared" si="15"/>
        <v>0</v>
      </c>
      <c r="BZ42" s="79">
        <f t="shared" si="16"/>
        <v>0</v>
      </c>
      <c r="CA42" s="79">
        <f t="shared" si="34"/>
        <v>0.59523809523809534</v>
      </c>
      <c r="CB42" s="79">
        <f t="shared" si="34"/>
        <v>0</v>
      </c>
      <c r="CC42" s="79">
        <f t="shared" si="34"/>
        <v>0</v>
      </c>
      <c r="CD42" s="79">
        <f t="shared" si="34"/>
        <v>0</v>
      </c>
      <c r="CE42" s="79">
        <f t="shared" si="34"/>
        <v>0</v>
      </c>
      <c r="CF42" s="79">
        <f t="shared" si="34"/>
        <v>0</v>
      </c>
      <c r="CG42" s="79">
        <f t="shared" si="34"/>
        <v>0</v>
      </c>
      <c r="CH42" s="79">
        <f t="shared" si="34"/>
        <v>0</v>
      </c>
      <c r="CI42" s="79">
        <f t="shared" si="34"/>
        <v>0</v>
      </c>
      <c r="CJ42" s="79">
        <f t="shared" si="34"/>
        <v>0</v>
      </c>
      <c r="CK42" s="79">
        <f t="shared" si="17"/>
        <v>0</v>
      </c>
    </row>
    <row r="43" spans="1:89" x14ac:dyDescent="0.25">
      <c r="A43" s="42" t="s">
        <v>30</v>
      </c>
      <c r="B43" s="70">
        <f t="array" ref="B43">INDEX(Технологи!$E$5:$E$552,MATCH(A43&amp;$A$1,Технологи!$B$5:$B$552&amp;Технологи!$C$5:$C$552,0))</f>
        <v>2.093</v>
      </c>
      <c r="C43" s="14">
        <v>1018</v>
      </c>
      <c r="D43" s="71">
        <v>7.5</v>
      </c>
      <c r="E43" s="71">
        <v>18</v>
      </c>
      <c r="F43" s="72">
        <f>SUMIFS(Продажи!F$5:F$360,Продажи!$D$5:$D$360,'Потребность профиль'!$A43,Продажи!$C$5:$C$360,"Профиль")</f>
        <v>0</v>
      </c>
      <c r="G43" s="72">
        <f>SUMIFS(Продажи!G$5:G$360,Продажи!$D$5:$D$360,'Потребность профиль'!$A43,Продажи!$C$5:$C$360,"Профиль")</f>
        <v>0</v>
      </c>
      <c r="H43" s="72">
        <f>SUMIFS(Продажи!H$5:H$360,Продажи!$D$5:$D$360,'Потребность профиль'!$A43,Продажи!$C$5:$C$360,"Профиль")</f>
        <v>0</v>
      </c>
      <c r="I43" s="72">
        <f>SUMIFS(Продажи!I$5:I$360,Продажи!$D$5:$D$360,'Потребность профиль'!$A43,Продажи!$C$5:$C$360,"Профиль")</f>
        <v>0</v>
      </c>
      <c r="J43" s="72">
        <f>SUMIFS(Продажи!J$5:J$360,Продажи!$D$5:$D$360,'Потребность профиль'!$A43,Продажи!$C$5:$C$360,"Профиль")</f>
        <v>0</v>
      </c>
      <c r="K43" s="72">
        <f>SUMIFS(Продажи!K$5:K$360,Продажи!$D$5:$D$360,'Потребность профиль'!$A43,Продажи!$C$5:$C$360,"Профиль")</f>
        <v>0</v>
      </c>
      <c r="L43" s="72">
        <f>SUMIFS(Продажи!L$5:L$360,Продажи!$D$5:$D$360,'Потребность профиль'!$A43,Продажи!$C$5:$C$360,"Профиль")</f>
        <v>0</v>
      </c>
      <c r="M43" s="72">
        <f>SUMIFS(Продажи!M$5:M$360,Продажи!$D$5:$D$360,'Потребность профиль'!$A43,Продажи!$C$5:$C$360,"Профиль")</f>
        <v>0</v>
      </c>
      <c r="N43" s="72">
        <f>SUMIFS(Продажи!N$5:N$360,Продажи!$D$5:$D$360,'Потребность профиль'!$A43,Продажи!$C$5:$C$360,"Профиль")</f>
        <v>0</v>
      </c>
      <c r="O43" s="72">
        <f>SUMIFS(Продажи!O$5:O$360,Продажи!$D$5:$D$360,'Потребность профиль'!$A43,Продажи!$C$5:$C$360,"Профиль")</f>
        <v>0</v>
      </c>
      <c r="P43" s="72">
        <f>SUMIFS(Продажи!P$5:P$360,Продажи!$D$5:$D$360,'Потребность профиль'!$A43,Продажи!$C$5:$C$360,"Профиль")</f>
        <v>0</v>
      </c>
      <c r="Q43" s="72">
        <f>SUMIFS(Продажи!Q$5:Q$360,Продажи!$D$5:$D$360,'Потребность профиль'!$A43,Продажи!$C$5:$C$360,"Профиль")</f>
        <v>0</v>
      </c>
      <c r="R43" s="73">
        <f t="array" ref="R43">SUMIFS(Конструкторы!I$35:I$1191,Конструкторы!$C$35:$C$1191,$A43)</f>
        <v>0</v>
      </c>
      <c r="S43" s="73">
        <f t="array" ref="S43">SUMIFS(Конструкторы!J$35:J$1191,Конструкторы!$C$35:$C$1191,$A43)</f>
        <v>0</v>
      </c>
      <c r="T43" s="73">
        <f t="array" ref="T43">SUMIFS(Конструкторы!K$35:K$1191,Конструкторы!$C$35:$C$1191,$A43)</f>
        <v>0</v>
      </c>
      <c r="U43" s="73">
        <f t="array" ref="U43">SUMIFS(Конструкторы!L$35:L$1191,Конструкторы!$C$35:$C$1191,$A43)</f>
        <v>0</v>
      </c>
      <c r="V43" s="73">
        <f t="array" ref="V43">SUMIFS(Конструкторы!M$35:M$1191,Конструкторы!$C$35:$C$1191,$A43)</f>
        <v>0</v>
      </c>
      <c r="W43" s="73">
        <f t="array" ref="W43">SUMIFS(Конструкторы!N$35:N$1191,Конструкторы!$C$35:$C$1191,$A43)</f>
        <v>0</v>
      </c>
      <c r="X43" s="73">
        <f t="array" ref="X43">SUMIFS(Конструкторы!O$35:O$1191,Конструкторы!$C$35:$C$1191,$A43)</f>
        <v>0</v>
      </c>
      <c r="Y43" s="73">
        <f t="array" ref="Y43">SUMIFS(Конструкторы!P$35:P$1191,Конструкторы!$C$35:$C$1191,$A43)</f>
        <v>0</v>
      </c>
      <c r="Z43" s="73">
        <f t="array" ref="Z43">SUMIFS(Конструкторы!Q$35:Q$1191,Конструкторы!$C$35:$C$1191,$A43)</f>
        <v>0</v>
      </c>
      <c r="AA43" s="73">
        <f t="array" ref="AA43">SUMIFS(Конструкторы!R$35:R$1191,Конструкторы!$C$35:$C$1191,$A43)</f>
        <v>0</v>
      </c>
      <c r="AB43" s="73">
        <f t="array" ref="AB43">SUMIFS(Конструкторы!S$35:S$1191,Конструкторы!$C$35:$C$1191,$A43)</f>
        <v>0</v>
      </c>
      <c r="AC43" s="73">
        <f t="array" ref="AC43">SUMIFS(Конструкторы!T$35:T$1191,Конструкторы!$C$35:$C$1191,$A43)</f>
        <v>0</v>
      </c>
      <c r="AD43" s="76">
        <f t="array" ref="AD43">SUMIFS(Конструкторы!I$6:I$33,Конструкторы!$C$6:$C$33,$A43)</f>
        <v>0</v>
      </c>
      <c r="AE43" s="76">
        <f t="array" ref="AE43">SUMIFS(Конструкторы!J$6:J$33,Конструкторы!$C$6:$C$33,$A43)</f>
        <v>0</v>
      </c>
      <c r="AF43" s="76">
        <f t="array" ref="AF43">SUMIFS(Конструкторы!K$6:K$33,Конструкторы!$C$6:$C$33,$A43)</f>
        <v>0</v>
      </c>
      <c r="AG43" s="76">
        <f t="array" ref="AG43">SUMIFS(Конструкторы!L$6:L$33,Конструкторы!$C$6:$C$33,$A43)</f>
        <v>0</v>
      </c>
      <c r="AH43" s="76">
        <f t="array" ref="AH43">SUMIFS(Конструкторы!M$6:M$33,Конструкторы!$C$6:$C$33,$A43)</f>
        <v>0</v>
      </c>
      <c r="AI43" s="76">
        <f t="array" ref="AI43">SUMIFS(Конструкторы!N$6:N$33,Конструкторы!$C$6:$C$33,$A43)</f>
        <v>0</v>
      </c>
      <c r="AJ43" s="76">
        <f t="array" ref="AJ43">SUMIFS(Конструкторы!O$6:O$33,Конструкторы!$C$6:$C$33,$A43)</f>
        <v>0</v>
      </c>
      <c r="AK43" s="76">
        <f t="array" ref="AK43">SUMIFS(Конструкторы!P$6:P$33,Конструкторы!$C$6:$C$33,$A43)</f>
        <v>0</v>
      </c>
      <c r="AL43" s="76">
        <f t="array" ref="AL43">SUMIFS(Конструкторы!Q$6:Q$33,Конструкторы!$C$6:$C$33,$A43)</f>
        <v>0</v>
      </c>
      <c r="AM43" s="76">
        <f t="array" ref="AM43">SUMIFS(Конструкторы!R$6:R$33,Конструкторы!$C$6:$C$33,$A43)</f>
        <v>0</v>
      </c>
      <c r="AN43" s="76">
        <f t="array" ref="AN43">SUMIFS(Конструкторы!S$6:S$33,Конструкторы!$C$6:$C$33,$A43)</f>
        <v>0</v>
      </c>
      <c r="AO43" s="76">
        <f t="array" ref="AO43">SUMIFS(Конструкторы!T$6:T$33,Конструкторы!$C$6:$C$33,$A43)</f>
        <v>0</v>
      </c>
      <c r="AP43" s="75">
        <f t="array" ref="AP43">SUMIFS(Конструкторы!I$1192:I$1277,Конструкторы!$C$1192:$C$1277,$A43)</f>
        <v>0</v>
      </c>
      <c r="AQ43" s="75">
        <f t="array" ref="AQ43">SUMIFS(Конструкторы!J$1192:J$1277,Конструкторы!$C$1192:$C$1277,$A43)</f>
        <v>50</v>
      </c>
      <c r="AR43" s="75">
        <f t="array" ref="AR43">SUMIFS(Конструкторы!K$1192:K$1277,Конструкторы!$C$1192:$C$1277,$A43)</f>
        <v>0</v>
      </c>
      <c r="AS43" s="75">
        <f t="array" ref="AS43">SUMIFS(Конструкторы!L$1192:L$1277,Конструкторы!$C$1192:$C$1277,$A43)</f>
        <v>44.052863436123346</v>
      </c>
      <c r="AT43" s="75">
        <f t="array" ref="AT43">SUMIFS(Конструкторы!M$1192:M$1277,Конструкторы!$C$1192:$C$1277,$A43)</f>
        <v>52.248745005634667</v>
      </c>
      <c r="AU43" s="75">
        <f t="array" ref="AU43">SUMIFS(Конструкторы!N$1192:N$1277,Конструкторы!$C$1192:$C$1277,$A43)</f>
        <v>47.12631902469009</v>
      </c>
      <c r="AV43" s="75">
        <f t="array" ref="AV43">SUMIFS(Конструкторы!O$1192:O$1277,Конструкторы!$C$1192:$C$1277,$A43)</f>
        <v>47.12631902469009</v>
      </c>
      <c r="AW43" s="75">
        <f t="array" ref="AW43">SUMIFS(Конструкторы!P$1192:P$1277,Конструкторы!$C$1192:$C$1277,$A43)</f>
        <v>47.12631902469009</v>
      </c>
      <c r="AX43" s="75">
        <f t="array" ref="AX43">SUMIFS(Конструкторы!Q$1192:Q$1277,Конструкторы!$C$1192:$C$1277,$A43)</f>
        <v>47.12631902469009</v>
      </c>
      <c r="AY43" s="75">
        <f t="array" ref="AY43">SUMIFS(Конструкторы!R$1192:R$1277,Конструкторы!$C$1192:$C$1277,$A43)</f>
        <v>47.12631902469009</v>
      </c>
      <c r="AZ43" s="75">
        <f t="array" ref="AZ43">SUMIFS(Конструкторы!S$1192:S$1277,Конструкторы!$C$1192:$C$1277,$A43)</f>
        <v>47.12631902469009</v>
      </c>
      <c r="BA43" s="75">
        <f t="array" ref="BA43">SUMIFS(Конструкторы!T$1192:T$1277,Конструкторы!$C$1192:$C$1277,$A43)</f>
        <v>47.12631902469009</v>
      </c>
      <c r="BB43" s="80">
        <f t="shared" si="12"/>
        <v>50</v>
      </c>
      <c r="BC43" s="80">
        <f t="shared" si="18"/>
        <v>0</v>
      </c>
      <c r="BD43" s="80">
        <f t="shared" si="19"/>
        <v>44.052863436123346</v>
      </c>
      <c r="BE43" s="80">
        <f t="shared" si="20"/>
        <v>52.248745005634667</v>
      </c>
      <c r="BF43" s="80">
        <f t="shared" si="21"/>
        <v>47.12631902469009</v>
      </c>
      <c r="BG43" s="80">
        <f t="shared" si="22"/>
        <v>47.12631902469009</v>
      </c>
      <c r="BH43" s="80">
        <f t="shared" si="23"/>
        <v>47.12631902469009</v>
      </c>
      <c r="BI43" s="80">
        <f t="shared" si="24"/>
        <v>47.12631902469009</v>
      </c>
      <c r="BJ43" s="80">
        <f t="shared" si="25"/>
        <v>47.12631902469009</v>
      </c>
      <c r="BK43" s="80">
        <f t="shared" si="26"/>
        <v>47.12631902469009</v>
      </c>
      <c r="BL43" s="80">
        <f t="shared" si="27"/>
        <v>47.12631902469009</v>
      </c>
      <c r="BM43" s="80">
        <f t="shared" si="28"/>
        <v>47.12631902469009</v>
      </c>
      <c r="BN43" s="84">
        <f t="shared" si="13"/>
        <v>23.889154323936932</v>
      </c>
      <c r="BO43" s="84">
        <f t="shared" si="29"/>
        <v>0</v>
      </c>
      <c r="BP43" s="84">
        <f t="shared" si="30"/>
        <v>21.047713060737383</v>
      </c>
      <c r="BQ43" s="84">
        <f t="shared" si="31"/>
        <v>24.963566653432714</v>
      </c>
      <c r="BR43" s="84">
        <f t="shared" si="32"/>
        <v>22.516158157998131</v>
      </c>
      <c r="BS43" s="84">
        <f t="shared" si="33"/>
        <v>22.516158157998131</v>
      </c>
      <c r="BT43" s="84">
        <f t="shared" si="14"/>
        <v>22.516158157998131</v>
      </c>
      <c r="BU43" s="84">
        <f t="shared" si="6"/>
        <v>22.516158157998131</v>
      </c>
      <c r="BV43" s="84">
        <f t="shared" si="7"/>
        <v>22.516158157998131</v>
      </c>
      <c r="BW43" s="84">
        <f t="shared" si="8"/>
        <v>22.516158157998131</v>
      </c>
      <c r="BX43" s="84">
        <f t="shared" si="9"/>
        <v>22.516158157998131</v>
      </c>
      <c r="BY43" s="83">
        <f t="shared" si="15"/>
        <v>22.516158157998131</v>
      </c>
      <c r="BZ43" s="79">
        <f t="shared" si="16"/>
        <v>1.3271752402187185</v>
      </c>
      <c r="CA43" s="79">
        <f t="shared" ref="CA43:CJ46" si="35">BO43/$E43</f>
        <v>0</v>
      </c>
      <c r="CB43" s="79">
        <f t="shared" si="35"/>
        <v>1.1693173922631879</v>
      </c>
      <c r="CC43" s="79">
        <f t="shared" si="35"/>
        <v>1.3868648140795952</v>
      </c>
      <c r="CD43" s="79">
        <f t="shared" si="35"/>
        <v>1.2508976754443406</v>
      </c>
      <c r="CE43" s="79">
        <f t="shared" si="35"/>
        <v>1.2508976754443406</v>
      </c>
      <c r="CF43" s="79">
        <f t="shared" si="35"/>
        <v>1.2508976754443406</v>
      </c>
      <c r="CG43" s="79">
        <f t="shared" si="35"/>
        <v>1.2508976754443406</v>
      </c>
      <c r="CH43" s="79">
        <f t="shared" si="35"/>
        <v>1.2508976754443406</v>
      </c>
      <c r="CI43" s="79">
        <f t="shared" si="35"/>
        <v>1.2508976754443406</v>
      </c>
      <c r="CJ43" s="79">
        <f t="shared" si="35"/>
        <v>1.2508976754443406</v>
      </c>
      <c r="CK43" s="79">
        <f t="shared" si="17"/>
        <v>1.2508976754443406</v>
      </c>
    </row>
    <row r="44" spans="1:89" x14ac:dyDescent="0.25">
      <c r="A44" s="42" t="s">
        <v>31</v>
      </c>
      <c r="B44" s="70">
        <f t="array" ref="B44">INDEX(Технологи!$E$5:$E$552,MATCH(A44&amp;$A$1,Технологи!$B$5:$B$552&amp;Технологи!$C$5:$C$552,0))</f>
        <v>4.0650000000000004</v>
      </c>
      <c r="C44" s="14">
        <v>1018</v>
      </c>
      <c r="D44" s="71">
        <v>11</v>
      </c>
      <c r="E44" s="71">
        <v>12</v>
      </c>
      <c r="F44" s="72">
        <f>SUMIFS(Продажи!F$5:F$360,Продажи!$D$5:$D$360,'Потребность профиль'!$A44,Продажи!$C$5:$C$360,"Профиль")</f>
        <v>0</v>
      </c>
      <c r="G44" s="72">
        <f>SUMIFS(Продажи!G$5:G$360,Продажи!$D$5:$D$360,'Потребность профиль'!$A44,Продажи!$C$5:$C$360,"Профиль")</f>
        <v>0</v>
      </c>
      <c r="H44" s="72">
        <f>SUMIFS(Продажи!H$5:H$360,Продажи!$D$5:$D$360,'Потребность профиль'!$A44,Продажи!$C$5:$C$360,"Профиль")</f>
        <v>0</v>
      </c>
      <c r="I44" s="72">
        <f>SUMIFS(Продажи!I$5:I$360,Продажи!$D$5:$D$360,'Потребность профиль'!$A44,Продажи!$C$5:$C$360,"Профиль")</f>
        <v>0</v>
      </c>
      <c r="J44" s="72">
        <f>SUMIFS(Продажи!J$5:J$360,Продажи!$D$5:$D$360,'Потребность профиль'!$A44,Продажи!$C$5:$C$360,"Профиль")</f>
        <v>0</v>
      </c>
      <c r="K44" s="72">
        <f>SUMIFS(Продажи!K$5:K$360,Продажи!$D$5:$D$360,'Потребность профиль'!$A44,Продажи!$C$5:$C$360,"Профиль")</f>
        <v>0</v>
      </c>
      <c r="L44" s="72">
        <f>SUMIFS(Продажи!L$5:L$360,Продажи!$D$5:$D$360,'Потребность профиль'!$A44,Продажи!$C$5:$C$360,"Профиль")</f>
        <v>0</v>
      </c>
      <c r="M44" s="72">
        <f>SUMIFS(Продажи!M$5:M$360,Продажи!$D$5:$D$360,'Потребность профиль'!$A44,Продажи!$C$5:$C$360,"Профиль")</f>
        <v>0</v>
      </c>
      <c r="N44" s="72">
        <f>SUMIFS(Продажи!N$5:N$360,Продажи!$D$5:$D$360,'Потребность профиль'!$A44,Продажи!$C$5:$C$360,"Профиль")</f>
        <v>0</v>
      </c>
      <c r="O44" s="72">
        <f>SUMIFS(Продажи!O$5:O$360,Продажи!$D$5:$D$360,'Потребность профиль'!$A44,Продажи!$C$5:$C$360,"Профиль")</f>
        <v>0</v>
      </c>
      <c r="P44" s="72">
        <f>SUMIFS(Продажи!P$5:P$360,Продажи!$D$5:$D$360,'Потребность профиль'!$A44,Продажи!$C$5:$C$360,"Профиль")</f>
        <v>0</v>
      </c>
      <c r="Q44" s="72">
        <f>SUMIFS(Продажи!Q$5:Q$360,Продажи!$D$5:$D$360,'Потребность профиль'!$A44,Продажи!$C$5:$C$360,"Профиль")</f>
        <v>0</v>
      </c>
      <c r="R44" s="73">
        <f t="array" ref="R44">SUMIFS(Конструкторы!I$35:I$1191,Конструкторы!$C$35:$C$1191,$A44)</f>
        <v>0</v>
      </c>
      <c r="S44" s="73">
        <f t="array" ref="S44">SUMIFS(Конструкторы!J$35:J$1191,Конструкторы!$C$35:$C$1191,$A44)</f>
        <v>0</v>
      </c>
      <c r="T44" s="73">
        <f t="array" ref="T44">SUMIFS(Конструкторы!K$35:K$1191,Конструкторы!$C$35:$C$1191,$A44)</f>
        <v>0</v>
      </c>
      <c r="U44" s="73">
        <f t="array" ref="U44">SUMIFS(Конструкторы!L$35:L$1191,Конструкторы!$C$35:$C$1191,$A44)</f>
        <v>0</v>
      </c>
      <c r="V44" s="73">
        <f t="array" ref="V44">SUMIFS(Конструкторы!M$35:M$1191,Конструкторы!$C$35:$C$1191,$A44)</f>
        <v>0</v>
      </c>
      <c r="W44" s="73">
        <f t="array" ref="W44">SUMIFS(Конструкторы!N$35:N$1191,Конструкторы!$C$35:$C$1191,$A44)</f>
        <v>0</v>
      </c>
      <c r="X44" s="73">
        <f t="array" ref="X44">SUMIFS(Конструкторы!O$35:O$1191,Конструкторы!$C$35:$C$1191,$A44)</f>
        <v>0</v>
      </c>
      <c r="Y44" s="73">
        <f t="array" ref="Y44">SUMIFS(Конструкторы!P$35:P$1191,Конструкторы!$C$35:$C$1191,$A44)</f>
        <v>0</v>
      </c>
      <c r="Z44" s="73">
        <f t="array" ref="Z44">SUMIFS(Конструкторы!Q$35:Q$1191,Конструкторы!$C$35:$C$1191,$A44)</f>
        <v>0</v>
      </c>
      <c r="AA44" s="73">
        <f t="array" ref="AA44">SUMIFS(Конструкторы!R$35:R$1191,Конструкторы!$C$35:$C$1191,$A44)</f>
        <v>0</v>
      </c>
      <c r="AB44" s="73">
        <f t="array" ref="AB44">SUMIFS(Конструкторы!S$35:S$1191,Конструкторы!$C$35:$C$1191,$A44)</f>
        <v>0</v>
      </c>
      <c r="AC44" s="73">
        <f t="array" ref="AC44">SUMIFS(Конструкторы!T$35:T$1191,Конструкторы!$C$35:$C$1191,$A44)</f>
        <v>0</v>
      </c>
      <c r="AD44" s="76">
        <f t="array" ref="AD44">SUMIFS(Конструкторы!I$6:I$33,Конструкторы!$C$6:$C$33,$A44)</f>
        <v>0</v>
      </c>
      <c r="AE44" s="76">
        <f t="array" ref="AE44">SUMIFS(Конструкторы!J$6:J$33,Конструкторы!$C$6:$C$33,$A44)</f>
        <v>0</v>
      </c>
      <c r="AF44" s="76">
        <f t="array" ref="AF44">SUMIFS(Конструкторы!K$6:K$33,Конструкторы!$C$6:$C$33,$A44)</f>
        <v>0</v>
      </c>
      <c r="AG44" s="76">
        <f t="array" ref="AG44">SUMIFS(Конструкторы!L$6:L$33,Конструкторы!$C$6:$C$33,$A44)</f>
        <v>0</v>
      </c>
      <c r="AH44" s="76">
        <f t="array" ref="AH44">SUMIFS(Конструкторы!M$6:M$33,Конструкторы!$C$6:$C$33,$A44)</f>
        <v>0</v>
      </c>
      <c r="AI44" s="76">
        <f t="array" ref="AI44">SUMIFS(Конструкторы!N$6:N$33,Конструкторы!$C$6:$C$33,$A44)</f>
        <v>0</v>
      </c>
      <c r="AJ44" s="76">
        <f t="array" ref="AJ44">SUMIFS(Конструкторы!O$6:O$33,Конструкторы!$C$6:$C$33,$A44)</f>
        <v>0</v>
      </c>
      <c r="AK44" s="76">
        <f t="array" ref="AK44">SUMIFS(Конструкторы!P$6:P$33,Конструкторы!$C$6:$C$33,$A44)</f>
        <v>0</v>
      </c>
      <c r="AL44" s="76">
        <f t="array" ref="AL44">SUMIFS(Конструкторы!Q$6:Q$33,Конструкторы!$C$6:$C$33,$A44)</f>
        <v>0</v>
      </c>
      <c r="AM44" s="76">
        <f t="array" ref="AM44">SUMIFS(Конструкторы!R$6:R$33,Конструкторы!$C$6:$C$33,$A44)</f>
        <v>0</v>
      </c>
      <c r="AN44" s="76">
        <f t="array" ref="AN44">SUMIFS(Конструкторы!S$6:S$33,Конструкторы!$C$6:$C$33,$A44)</f>
        <v>0</v>
      </c>
      <c r="AO44" s="76">
        <f t="array" ref="AO44">SUMIFS(Конструкторы!T$6:T$33,Конструкторы!$C$6:$C$33,$A44)</f>
        <v>0</v>
      </c>
      <c r="AP44" s="75">
        <f t="array" ref="AP44">SUMIFS(Конструкторы!I$1192:I$1277,Конструкторы!$C$1192:$C$1277,$A44)</f>
        <v>0</v>
      </c>
      <c r="AQ44" s="75">
        <f t="array" ref="AQ44">SUMIFS(Конструкторы!J$1192:J$1277,Конструкторы!$C$1192:$C$1277,$A44)</f>
        <v>100</v>
      </c>
      <c r="AR44" s="75">
        <f t="array" ref="AR44">SUMIFS(Конструкторы!K$1192:K$1277,Конструкторы!$C$1192:$C$1277,$A44)</f>
        <v>40</v>
      </c>
      <c r="AS44" s="75">
        <f t="array" ref="AS44">SUMIFS(Конструкторы!L$1192:L$1277,Конструкторы!$C$1192:$C$1277,$A44)</f>
        <v>28079.29515418502</v>
      </c>
      <c r="AT44" s="75">
        <f t="array" ref="AT44">SUMIFS(Конструкторы!M$1192:M$1277,Конструкторы!$C$1192:$C$1277,$A44)</f>
        <v>33303.350066591534</v>
      </c>
      <c r="AU44" s="75">
        <f t="array" ref="AU44">SUMIFS(Конструкторы!N$1192:N$1277,Конструкторы!$C$1192:$C$1277,$A44)</f>
        <v>30038.315746337463</v>
      </c>
      <c r="AV44" s="75">
        <f t="array" ref="AV44">SUMIFS(Конструкторы!O$1192:O$1277,Конструкторы!$C$1192:$C$1277,$A44)</f>
        <v>30038.315746337463</v>
      </c>
      <c r="AW44" s="75">
        <f t="array" ref="AW44">SUMIFS(Конструкторы!P$1192:P$1277,Конструкторы!$C$1192:$C$1277,$A44)</f>
        <v>30038.315746337463</v>
      </c>
      <c r="AX44" s="75">
        <f t="array" ref="AX44">SUMIFS(Конструкторы!Q$1192:Q$1277,Конструкторы!$C$1192:$C$1277,$A44)</f>
        <v>30038.315746337463</v>
      </c>
      <c r="AY44" s="75">
        <f t="array" ref="AY44">SUMIFS(Конструкторы!R$1192:R$1277,Конструкторы!$C$1192:$C$1277,$A44)</f>
        <v>30038.315746337463</v>
      </c>
      <c r="AZ44" s="75">
        <f t="array" ref="AZ44">SUMIFS(Конструкторы!S$1192:S$1277,Конструкторы!$C$1192:$C$1277,$A44)</f>
        <v>30038.315746337463</v>
      </c>
      <c r="BA44" s="75">
        <f t="array" ref="BA44">SUMIFS(Конструкторы!T$1192:T$1277,Конструкторы!$C$1192:$C$1277,$A44)</f>
        <v>30038.315746337463</v>
      </c>
      <c r="BB44" s="80">
        <f t="shared" si="12"/>
        <v>100</v>
      </c>
      <c r="BC44" s="80">
        <f t="shared" si="18"/>
        <v>40</v>
      </c>
      <c r="BD44" s="80">
        <f t="shared" si="19"/>
        <v>28079.29515418502</v>
      </c>
      <c r="BE44" s="80">
        <f t="shared" si="20"/>
        <v>33303.350066591534</v>
      </c>
      <c r="BF44" s="80">
        <f t="shared" si="21"/>
        <v>30038.315746337463</v>
      </c>
      <c r="BG44" s="80">
        <f t="shared" si="22"/>
        <v>30038.315746337463</v>
      </c>
      <c r="BH44" s="80">
        <f t="shared" si="23"/>
        <v>30038.315746337463</v>
      </c>
      <c r="BI44" s="80">
        <f t="shared" si="24"/>
        <v>30038.315746337463</v>
      </c>
      <c r="BJ44" s="80">
        <f t="shared" si="25"/>
        <v>30038.315746337463</v>
      </c>
      <c r="BK44" s="80">
        <f t="shared" si="26"/>
        <v>30038.315746337463</v>
      </c>
      <c r="BL44" s="80">
        <f t="shared" si="27"/>
        <v>30038.315746337463</v>
      </c>
      <c r="BM44" s="80">
        <f t="shared" si="28"/>
        <v>30038.315746337463</v>
      </c>
      <c r="BN44" s="84">
        <f t="shared" si="13"/>
        <v>24.600246002460022</v>
      </c>
      <c r="BO44" s="84">
        <f t="shared" si="29"/>
        <v>9.840098400984008</v>
      </c>
      <c r="BP44" s="84">
        <f t="shared" si="30"/>
        <v>6907.5756836863511</v>
      </c>
      <c r="BQ44" s="84">
        <f t="shared" si="31"/>
        <v>8192.7060434419509</v>
      </c>
      <c r="BR44" s="84">
        <f t="shared" si="32"/>
        <v>7389.4995685947015</v>
      </c>
      <c r="BS44" s="84">
        <f t="shared" si="33"/>
        <v>7389.4995685947015</v>
      </c>
      <c r="BT44" s="84">
        <f t="shared" si="14"/>
        <v>7389.4995685947015</v>
      </c>
      <c r="BU44" s="84">
        <f t="shared" si="6"/>
        <v>7389.4995685947015</v>
      </c>
      <c r="BV44" s="84">
        <f t="shared" si="7"/>
        <v>7389.4995685947015</v>
      </c>
      <c r="BW44" s="84">
        <f t="shared" si="8"/>
        <v>7389.4995685947015</v>
      </c>
      <c r="BX44" s="84">
        <f t="shared" si="9"/>
        <v>7389.4995685947015</v>
      </c>
      <c r="BY44" s="83">
        <f t="shared" si="15"/>
        <v>7389.4995685947015</v>
      </c>
      <c r="BZ44" s="79">
        <f t="shared" si="16"/>
        <v>2.0500205002050018</v>
      </c>
      <c r="CA44" s="79">
        <f t="shared" si="35"/>
        <v>0.8200082000820007</v>
      </c>
      <c r="CB44" s="79">
        <f t="shared" si="35"/>
        <v>575.63130697386259</v>
      </c>
      <c r="CC44" s="79">
        <f t="shared" si="35"/>
        <v>682.72550362016261</v>
      </c>
      <c r="CD44" s="79">
        <f t="shared" si="35"/>
        <v>615.79163071622509</v>
      </c>
      <c r="CE44" s="79">
        <f t="shared" si="35"/>
        <v>615.79163071622509</v>
      </c>
      <c r="CF44" s="79">
        <f t="shared" si="35"/>
        <v>615.79163071622509</v>
      </c>
      <c r="CG44" s="79">
        <f t="shared" si="35"/>
        <v>615.79163071622509</v>
      </c>
      <c r="CH44" s="79">
        <f t="shared" si="35"/>
        <v>615.79163071622509</v>
      </c>
      <c r="CI44" s="79">
        <f t="shared" si="35"/>
        <v>615.79163071622509</v>
      </c>
      <c r="CJ44" s="79">
        <f t="shared" si="35"/>
        <v>615.79163071622509</v>
      </c>
      <c r="CK44" s="79">
        <f t="shared" si="17"/>
        <v>615.79163071622509</v>
      </c>
    </row>
    <row r="45" spans="1:89" x14ac:dyDescent="0.25">
      <c r="A45" s="42" t="s">
        <v>32</v>
      </c>
      <c r="B45" s="70">
        <f t="array" ref="B45">INDEX(Технологи!$E$5:$E$552,MATCH(A45&amp;$A$1,Технологи!$B$5:$B$552&amp;Технологи!$C$5:$C$552,0))</f>
        <v>7.0369999999999999</v>
      </c>
      <c r="C45" s="14">
        <v>1018</v>
      </c>
      <c r="D45" s="71">
        <v>18</v>
      </c>
      <c r="E45" s="71">
        <v>9</v>
      </c>
      <c r="F45" s="72">
        <f>SUMIFS(Продажи!F$5:F$360,Продажи!$D$5:$D$360,'Потребность профиль'!$A45,Продажи!$C$5:$C$360,"Профиль")</f>
        <v>0</v>
      </c>
      <c r="G45" s="72">
        <f>SUMIFS(Продажи!G$5:G$360,Продажи!$D$5:$D$360,'Потребность профиль'!$A45,Продажи!$C$5:$C$360,"Профиль")</f>
        <v>0</v>
      </c>
      <c r="H45" s="72">
        <f>SUMIFS(Продажи!H$5:H$360,Продажи!$D$5:$D$360,'Потребность профиль'!$A45,Продажи!$C$5:$C$360,"Профиль")</f>
        <v>0</v>
      </c>
      <c r="I45" s="72">
        <f>SUMIFS(Продажи!I$5:I$360,Продажи!$D$5:$D$360,'Потребность профиль'!$A45,Продажи!$C$5:$C$360,"Профиль")</f>
        <v>0</v>
      </c>
      <c r="J45" s="72">
        <f>SUMIFS(Продажи!J$5:J$360,Продажи!$D$5:$D$360,'Потребность профиль'!$A45,Продажи!$C$5:$C$360,"Профиль")</f>
        <v>0</v>
      </c>
      <c r="K45" s="72">
        <f>SUMIFS(Продажи!K$5:K$360,Продажи!$D$5:$D$360,'Потребность профиль'!$A45,Продажи!$C$5:$C$360,"Профиль")</f>
        <v>0</v>
      </c>
      <c r="L45" s="72">
        <f>SUMIFS(Продажи!L$5:L$360,Продажи!$D$5:$D$360,'Потребность профиль'!$A45,Продажи!$C$5:$C$360,"Профиль")</f>
        <v>0</v>
      </c>
      <c r="M45" s="72">
        <f>SUMIFS(Продажи!M$5:M$360,Продажи!$D$5:$D$360,'Потребность профиль'!$A45,Продажи!$C$5:$C$360,"Профиль")</f>
        <v>0</v>
      </c>
      <c r="N45" s="72">
        <f>SUMIFS(Продажи!N$5:N$360,Продажи!$D$5:$D$360,'Потребность профиль'!$A45,Продажи!$C$5:$C$360,"Профиль")</f>
        <v>0</v>
      </c>
      <c r="O45" s="72">
        <f>SUMIFS(Продажи!O$5:O$360,Продажи!$D$5:$D$360,'Потребность профиль'!$A45,Продажи!$C$5:$C$360,"Профиль")</f>
        <v>0</v>
      </c>
      <c r="P45" s="72">
        <f>SUMIFS(Продажи!P$5:P$360,Продажи!$D$5:$D$360,'Потребность профиль'!$A45,Продажи!$C$5:$C$360,"Профиль")</f>
        <v>0</v>
      </c>
      <c r="Q45" s="72">
        <f>SUMIFS(Продажи!Q$5:Q$360,Продажи!$D$5:$D$360,'Потребность профиль'!$A45,Продажи!$C$5:$C$360,"Профиль")</f>
        <v>0</v>
      </c>
      <c r="R45" s="73">
        <f t="array" ref="R45">SUMIFS(Конструкторы!I$35:I$1191,Конструкторы!$C$35:$C$1191,$A45)</f>
        <v>0</v>
      </c>
      <c r="S45" s="73">
        <f t="array" ref="S45">SUMIFS(Конструкторы!J$35:J$1191,Конструкторы!$C$35:$C$1191,$A45)</f>
        <v>0</v>
      </c>
      <c r="T45" s="73">
        <f t="array" ref="T45">SUMIFS(Конструкторы!K$35:K$1191,Конструкторы!$C$35:$C$1191,$A45)</f>
        <v>0</v>
      </c>
      <c r="U45" s="73">
        <f t="array" ref="U45">SUMIFS(Конструкторы!L$35:L$1191,Конструкторы!$C$35:$C$1191,$A45)</f>
        <v>0</v>
      </c>
      <c r="V45" s="73">
        <f t="array" ref="V45">SUMIFS(Конструкторы!M$35:M$1191,Конструкторы!$C$35:$C$1191,$A45)</f>
        <v>0</v>
      </c>
      <c r="W45" s="73">
        <f t="array" ref="W45">SUMIFS(Конструкторы!N$35:N$1191,Конструкторы!$C$35:$C$1191,$A45)</f>
        <v>0</v>
      </c>
      <c r="X45" s="73">
        <f t="array" ref="X45">SUMIFS(Конструкторы!O$35:O$1191,Конструкторы!$C$35:$C$1191,$A45)</f>
        <v>0</v>
      </c>
      <c r="Y45" s="73">
        <f t="array" ref="Y45">SUMIFS(Конструкторы!P$35:P$1191,Конструкторы!$C$35:$C$1191,$A45)</f>
        <v>0</v>
      </c>
      <c r="Z45" s="73">
        <f t="array" ref="Z45">SUMIFS(Конструкторы!Q$35:Q$1191,Конструкторы!$C$35:$C$1191,$A45)</f>
        <v>0</v>
      </c>
      <c r="AA45" s="73">
        <f t="array" ref="AA45">SUMIFS(Конструкторы!R$35:R$1191,Конструкторы!$C$35:$C$1191,$A45)</f>
        <v>0</v>
      </c>
      <c r="AB45" s="73">
        <f t="array" ref="AB45">SUMIFS(Конструкторы!S$35:S$1191,Конструкторы!$C$35:$C$1191,$A45)</f>
        <v>0</v>
      </c>
      <c r="AC45" s="73">
        <f t="array" ref="AC45">SUMIFS(Конструкторы!T$35:T$1191,Конструкторы!$C$35:$C$1191,$A45)</f>
        <v>0</v>
      </c>
      <c r="AD45" s="76">
        <f t="array" ref="AD45">SUMIFS(Конструкторы!I$6:I$33,Конструкторы!$C$6:$C$33,$A45)</f>
        <v>0</v>
      </c>
      <c r="AE45" s="76">
        <f t="array" ref="AE45">SUMIFS(Конструкторы!J$6:J$33,Конструкторы!$C$6:$C$33,$A45)</f>
        <v>0</v>
      </c>
      <c r="AF45" s="76">
        <f t="array" ref="AF45">SUMIFS(Конструкторы!K$6:K$33,Конструкторы!$C$6:$C$33,$A45)</f>
        <v>0</v>
      </c>
      <c r="AG45" s="76">
        <f t="array" ref="AG45">SUMIFS(Конструкторы!L$6:L$33,Конструкторы!$C$6:$C$33,$A45)</f>
        <v>0</v>
      </c>
      <c r="AH45" s="76">
        <f t="array" ref="AH45">SUMIFS(Конструкторы!M$6:M$33,Конструкторы!$C$6:$C$33,$A45)</f>
        <v>0</v>
      </c>
      <c r="AI45" s="76">
        <f t="array" ref="AI45">SUMIFS(Конструкторы!N$6:N$33,Конструкторы!$C$6:$C$33,$A45)</f>
        <v>0</v>
      </c>
      <c r="AJ45" s="76">
        <f t="array" ref="AJ45">SUMIFS(Конструкторы!O$6:O$33,Конструкторы!$C$6:$C$33,$A45)</f>
        <v>0</v>
      </c>
      <c r="AK45" s="76">
        <f t="array" ref="AK45">SUMIFS(Конструкторы!P$6:P$33,Конструкторы!$C$6:$C$33,$A45)</f>
        <v>0</v>
      </c>
      <c r="AL45" s="76">
        <f t="array" ref="AL45">SUMIFS(Конструкторы!Q$6:Q$33,Конструкторы!$C$6:$C$33,$A45)</f>
        <v>0</v>
      </c>
      <c r="AM45" s="76">
        <f t="array" ref="AM45">SUMIFS(Конструкторы!R$6:R$33,Конструкторы!$C$6:$C$33,$A45)</f>
        <v>0</v>
      </c>
      <c r="AN45" s="76">
        <f t="array" ref="AN45">SUMIFS(Конструкторы!S$6:S$33,Конструкторы!$C$6:$C$33,$A45)</f>
        <v>0</v>
      </c>
      <c r="AO45" s="76">
        <f t="array" ref="AO45">SUMIFS(Конструкторы!T$6:T$33,Конструкторы!$C$6:$C$33,$A45)</f>
        <v>0</v>
      </c>
      <c r="AP45" s="75">
        <f t="array" ref="AP45">SUMIFS(Конструкторы!I$1192:I$1277,Конструкторы!$C$1192:$C$1277,$A45)</f>
        <v>0</v>
      </c>
      <c r="AQ45" s="75">
        <f t="array" ref="AQ45">SUMIFS(Конструкторы!J$1192:J$1277,Конструкторы!$C$1192:$C$1277,$A45)</f>
        <v>29870</v>
      </c>
      <c r="AR45" s="75">
        <f t="array" ref="AR45">SUMIFS(Конструкторы!K$1192:K$1277,Конструкторы!$C$1192:$C$1277,$A45)</f>
        <v>14550</v>
      </c>
      <c r="AS45" s="75">
        <f t="array" ref="AS45">SUMIFS(Конструкторы!L$1192:L$1277,Конструкторы!$C$1192:$C$1277,$A45)</f>
        <v>88.105726872246692</v>
      </c>
      <c r="AT45" s="75">
        <f t="array" ref="AT45">SUMIFS(Конструкторы!M$1192:M$1277,Конструкторы!$C$1192:$C$1277,$A45)</f>
        <v>104.49749001126933</v>
      </c>
      <c r="AU45" s="75">
        <f t="array" ref="AU45">SUMIFS(Конструкторы!N$1192:N$1277,Конструкторы!$C$1192:$C$1277,$A45)</f>
        <v>94.252638049380181</v>
      </c>
      <c r="AV45" s="75">
        <f t="array" ref="AV45">SUMIFS(Конструкторы!O$1192:O$1277,Конструкторы!$C$1192:$C$1277,$A45)</f>
        <v>94.252638049380181</v>
      </c>
      <c r="AW45" s="75">
        <f t="array" ref="AW45">SUMIFS(Конструкторы!P$1192:P$1277,Конструкторы!$C$1192:$C$1277,$A45)</f>
        <v>94.252638049380181</v>
      </c>
      <c r="AX45" s="75">
        <f t="array" ref="AX45">SUMIFS(Конструкторы!Q$1192:Q$1277,Конструкторы!$C$1192:$C$1277,$A45)</f>
        <v>94.252638049380181</v>
      </c>
      <c r="AY45" s="75">
        <f t="array" ref="AY45">SUMIFS(Конструкторы!R$1192:R$1277,Конструкторы!$C$1192:$C$1277,$A45)</f>
        <v>94.252638049380181</v>
      </c>
      <c r="AZ45" s="75">
        <f t="array" ref="AZ45">SUMIFS(Конструкторы!S$1192:S$1277,Конструкторы!$C$1192:$C$1277,$A45)</f>
        <v>94.252638049380181</v>
      </c>
      <c r="BA45" s="75">
        <f t="array" ref="BA45">SUMIFS(Конструкторы!T$1192:T$1277,Конструкторы!$C$1192:$C$1277,$A45)</f>
        <v>94.252638049380181</v>
      </c>
      <c r="BB45" s="80">
        <f t="shared" si="12"/>
        <v>29870</v>
      </c>
      <c r="BC45" s="80">
        <f t="shared" si="18"/>
        <v>14550</v>
      </c>
      <c r="BD45" s="80">
        <f t="shared" si="19"/>
        <v>88.105726872246692</v>
      </c>
      <c r="BE45" s="80">
        <f t="shared" si="20"/>
        <v>104.49749001126933</v>
      </c>
      <c r="BF45" s="80">
        <f t="shared" si="21"/>
        <v>94.252638049380181</v>
      </c>
      <c r="BG45" s="80">
        <f t="shared" si="22"/>
        <v>94.252638049380181</v>
      </c>
      <c r="BH45" s="80">
        <f t="shared" si="23"/>
        <v>94.252638049380181</v>
      </c>
      <c r="BI45" s="80">
        <f t="shared" si="24"/>
        <v>94.252638049380181</v>
      </c>
      <c r="BJ45" s="80">
        <f t="shared" si="25"/>
        <v>94.252638049380181</v>
      </c>
      <c r="BK45" s="80">
        <f t="shared" si="26"/>
        <v>94.252638049380181</v>
      </c>
      <c r="BL45" s="80">
        <f t="shared" si="27"/>
        <v>94.252638049380181</v>
      </c>
      <c r="BM45" s="80">
        <f t="shared" si="28"/>
        <v>94.252638049380181</v>
      </c>
      <c r="BN45" s="84">
        <f t="shared" si="13"/>
        <v>4244.7065510871107</v>
      </c>
      <c r="BO45" s="84">
        <f t="shared" si="29"/>
        <v>2067.642461276112</v>
      </c>
      <c r="BP45" s="84">
        <f t="shared" si="30"/>
        <v>12.520353399495054</v>
      </c>
      <c r="BQ45" s="84">
        <f t="shared" si="31"/>
        <v>14.849721473819715</v>
      </c>
      <c r="BR45" s="84">
        <f t="shared" si="32"/>
        <v>13.393866427366801</v>
      </c>
      <c r="BS45" s="84">
        <f t="shared" si="33"/>
        <v>13.393866427366801</v>
      </c>
      <c r="BT45" s="84">
        <f t="shared" si="14"/>
        <v>13.393866427366801</v>
      </c>
      <c r="BU45" s="84">
        <f t="shared" si="6"/>
        <v>13.393866427366801</v>
      </c>
      <c r="BV45" s="84">
        <f t="shared" si="7"/>
        <v>13.393866427366801</v>
      </c>
      <c r="BW45" s="84">
        <f t="shared" si="8"/>
        <v>13.393866427366801</v>
      </c>
      <c r="BX45" s="84">
        <f t="shared" si="9"/>
        <v>13.393866427366801</v>
      </c>
      <c r="BY45" s="83">
        <f t="shared" si="15"/>
        <v>13.393866427366801</v>
      </c>
      <c r="BZ45" s="79">
        <f t="shared" si="16"/>
        <v>471.63406123190117</v>
      </c>
      <c r="CA45" s="79">
        <f t="shared" si="35"/>
        <v>229.73805125290133</v>
      </c>
      <c r="CB45" s="79">
        <f t="shared" si="35"/>
        <v>1.3911503777216727</v>
      </c>
      <c r="CC45" s="79">
        <f t="shared" si="35"/>
        <v>1.6499690526466351</v>
      </c>
      <c r="CD45" s="79">
        <f t="shared" si="35"/>
        <v>1.4882073808185334</v>
      </c>
      <c r="CE45" s="79">
        <f t="shared" si="35"/>
        <v>1.4882073808185334</v>
      </c>
      <c r="CF45" s="79">
        <f t="shared" si="35"/>
        <v>1.4882073808185334</v>
      </c>
      <c r="CG45" s="79">
        <f t="shared" si="35"/>
        <v>1.4882073808185334</v>
      </c>
      <c r="CH45" s="79">
        <f t="shared" si="35"/>
        <v>1.4882073808185334</v>
      </c>
      <c r="CI45" s="79">
        <f t="shared" si="35"/>
        <v>1.4882073808185334</v>
      </c>
      <c r="CJ45" s="79">
        <f t="shared" si="35"/>
        <v>1.4882073808185334</v>
      </c>
      <c r="CK45" s="79">
        <f t="shared" si="17"/>
        <v>1.4882073808185334</v>
      </c>
    </row>
    <row r="46" spans="1:89" x14ac:dyDescent="0.25">
      <c r="A46" s="42" t="s">
        <v>29</v>
      </c>
      <c r="B46" s="70">
        <f t="array" ref="B46">INDEX(Технологи!$E$5:$E$552,MATCH(A46&amp;$A$1,Технологи!$B$5:$B$552&amp;Технологи!$C$5:$C$552,0))</f>
        <v>0.83</v>
      </c>
      <c r="C46" s="14">
        <v>1018</v>
      </c>
      <c r="D46" s="71">
        <v>6</v>
      </c>
      <c r="E46" s="71">
        <v>21</v>
      </c>
      <c r="F46" s="72">
        <f>SUMIFS(Продажи!F$5:F$360,Продажи!$D$5:$D$360,'Потребность профиль'!$A46,Продажи!$C$5:$C$360,"Профиль")</f>
        <v>0</v>
      </c>
      <c r="G46" s="72">
        <f>SUMIFS(Продажи!G$5:G$360,Продажи!$D$5:$D$360,'Потребность профиль'!$A46,Продажи!$C$5:$C$360,"Профиль")</f>
        <v>0</v>
      </c>
      <c r="H46" s="72">
        <f>SUMIFS(Продажи!H$5:H$360,Продажи!$D$5:$D$360,'Потребность профиль'!$A46,Продажи!$C$5:$C$360,"Профиль")</f>
        <v>0</v>
      </c>
      <c r="I46" s="72">
        <f>SUMIFS(Продажи!I$5:I$360,Продажи!$D$5:$D$360,'Потребность профиль'!$A46,Продажи!$C$5:$C$360,"Профиль")</f>
        <v>0</v>
      </c>
      <c r="J46" s="72">
        <f>SUMIFS(Продажи!J$5:J$360,Продажи!$D$5:$D$360,'Потребность профиль'!$A46,Продажи!$C$5:$C$360,"Профиль")</f>
        <v>0</v>
      </c>
      <c r="K46" s="72">
        <f>SUMIFS(Продажи!K$5:K$360,Продажи!$D$5:$D$360,'Потребность профиль'!$A46,Продажи!$C$5:$C$360,"Профиль")</f>
        <v>0</v>
      </c>
      <c r="L46" s="72">
        <f>SUMIFS(Продажи!L$5:L$360,Продажи!$D$5:$D$360,'Потребность профиль'!$A46,Продажи!$C$5:$C$360,"Профиль")</f>
        <v>0</v>
      </c>
      <c r="M46" s="72">
        <f>SUMIFS(Продажи!M$5:M$360,Продажи!$D$5:$D$360,'Потребность профиль'!$A46,Продажи!$C$5:$C$360,"Профиль")</f>
        <v>0</v>
      </c>
      <c r="N46" s="72">
        <f>SUMIFS(Продажи!N$5:N$360,Продажи!$D$5:$D$360,'Потребность профиль'!$A46,Продажи!$C$5:$C$360,"Профиль")</f>
        <v>0</v>
      </c>
      <c r="O46" s="72">
        <f>SUMIFS(Продажи!O$5:O$360,Продажи!$D$5:$D$360,'Потребность профиль'!$A46,Продажи!$C$5:$C$360,"Профиль")</f>
        <v>0</v>
      </c>
      <c r="P46" s="72">
        <f>SUMIFS(Продажи!P$5:P$360,Продажи!$D$5:$D$360,'Потребность профиль'!$A46,Продажи!$C$5:$C$360,"Профиль")</f>
        <v>0</v>
      </c>
      <c r="Q46" s="72">
        <f>SUMIFS(Продажи!Q$5:Q$360,Продажи!$D$5:$D$360,'Потребность профиль'!$A46,Продажи!$C$5:$C$360,"Профиль")</f>
        <v>0</v>
      </c>
      <c r="R46" s="73">
        <f t="array" ref="R46">SUMIFS(Конструкторы!I$35:I$1191,Конструкторы!$C$35:$C$1191,$A46)</f>
        <v>0</v>
      </c>
      <c r="S46" s="73">
        <f t="array" ref="S46">SUMIFS(Конструкторы!J$35:J$1191,Конструкторы!$C$35:$C$1191,$A46)</f>
        <v>0</v>
      </c>
      <c r="T46" s="73">
        <f t="array" ref="T46">SUMIFS(Конструкторы!K$35:K$1191,Конструкторы!$C$35:$C$1191,$A46)</f>
        <v>0</v>
      </c>
      <c r="U46" s="73">
        <f t="array" ref="U46">SUMIFS(Конструкторы!L$35:L$1191,Конструкторы!$C$35:$C$1191,$A46)</f>
        <v>0</v>
      </c>
      <c r="V46" s="73">
        <f t="array" ref="V46">SUMIFS(Конструкторы!M$35:M$1191,Конструкторы!$C$35:$C$1191,$A46)</f>
        <v>0</v>
      </c>
      <c r="W46" s="73">
        <f t="array" ref="W46">SUMIFS(Конструкторы!N$35:N$1191,Конструкторы!$C$35:$C$1191,$A46)</f>
        <v>0</v>
      </c>
      <c r="X46" s="73">
        <f t="array" ref="X46">SUMIFS(Конструкторы!O$35:O$1191,Конструкторы!$C$35:$C$1191,$A46)</f>
        <v>0</v>
      </c>
      <c r="Y46" s="73">
        <f t="array" ref="Y46">SUMIFS(Конструкторы!P$35:P$1191,Конструкторы!$C$35:$C$1191,$A46)</f>
        <v>0</v>
      </c>
      <c r="Z46" s="73">
        <f t="array" ref="Z46">SUMIFS(Конструкторы!Q$35:Q$1191,Конструкторы!$C$35:$C$1191,$A46)</f>
        <v>0</v>
      </c>
      <c r="AA46" s="73">
        <f t="array" ref="AA46">SUMIFS(Конструкторы!R$35:R$1191,Конструкторы!$C$35:$C$1191,$A46)</f>
        <v>0</v>
      </c>
      <c r="AB46" s="73">
        <f t="array" ref="AB46">SUMIFS(Конструкторы!S$35:S$1191,Конструкторы!$C$35:$C$1191,$A46)</f>
        <v>0</v>
      </c>
      <c r="AC46" s="73">
        <f t="array" ref="AC46">SUMIFS(Конструкторы!T$35:T$1191,Конструкторы!$C$35:$C$1191,$A46)</f>
        <v>0</v>
      </c>
      <c r="AD46" s="76">
        <f t="array" ref="AD46">SUMIFS(Конструкторы!I$6:I$33,Конструкторы!$C$6:$C$33,$A46)</f>
        <v>0</v>
      </c>
      <c r="AE46" s="76">
        <f t="array" ref="AE46">SUMIFS(Конструкторы!J$6:J$33,Конструкторы!$C$6:$C$33,$A46)</f>
        <v>0</v>
      </c>
      <c r="AF46" s="76">
        <f t="array" ref="AF46">SUMIFS(Конструкторы!K$6:K$33,Конструкторы!$C$6:$C$33,$A46)</f>
        <v>0</v>
      </c>
      <c r="AG46" s="76">
        <f t="array" ref="AG46">SUMIFS(Конструкторы!L$6:L$33,Конструкторы!$C$6:$C$33,$A46)</f>
        <v>0</v>
      </c>
      <c r="AH46" s="76">
        <f t="array" ref="AH46">SUMIFS(Конструкторы!M$6:M$33,Конструкторы!$C$6:$C$33,$A46)</f>
        <v>0</v>
      </c>
      <c r="AI46" s="76">
        <f t="array" ref="AI46">SUMIFS(Конструкторы!N$6:N$33,Конструкторы!$C$6:$C$33,$A46)</f>
        <v>0</v>
      </c>
      <c r="AJ46" s="76">
        <f t="array" ref="AJ46">SUMIFS(Конструкторы!O$6:O$33,Конструкторы!$C$6:$C$33,$A46)</f>
        <v>0</v>
      </c>
      <c r="AK46" s="76">
        <f t="array" ref="AK46">SUMIFS(Конструкторы!P$6:P$33,Конструкторы!$C$6:$C$33,$A46)</f>
        <v>0</v>
      </c>
      <c r="AL46" s="76">
        <f t="array" ref="AL46">SUMIFS(Конструкторы!Q$6:Q$33,Конструкторы!$C$6:$C$33,$A46)</f>
        <v>0</v>
      </c>
      <c r="AM46" s="76">
        <f t="array" ref="AM46">SUMIFS(Конструкторы!R$6:R$33,Конструкторы!$C$6:$C$33,$A46)</f>
        <v>0</v>
      </c>
      <c r="AN46" s="76">
        <f t="array" ref="AN46">SUMIFS(Конструкторы!S$6:S$33,Конструкторы!$C$6:$C$33,$A46)</f>
        <v>0</v>
      </c>
      <c r="AO46" s="76">
        <f t="array" ref="AO46">SUMIFS(Конструкторы!T$6:T$33,Конструкторы!$C$6:$C$33,$A46)</f>
        <v>0</v>
      </c>
      <c r="AP46" s="75">
        <f t="array" ref="AP46">SUMIFS(Конструкторы!I$1192:I$1277,Конструкторы!$C$1192:$C$1277,$A46)</f>
        <v>0</v>
      </c>
      <c r="AQ46" s="75">
        <f t="array" ref="AQ46">SUMIFS(Конструкторы!J$1192:J$1277,Конструкторы!$C$1192:$C$1277,$A46)</f>
        <v>0</v>
      </c>
      <c r="AR46" s="75">
        <f t="array" ref="AR46">SUMIFS(Конструкторы!K$1192:K$1277,Конструкторы!$C$1192:$C$1277,$A46)</f>
        <v>0</v>
      </c>
      <c r="AS46" s="75">
        <f t="array" ref="AS46">SUMIFS(Конструкторы!L$1192:L$1277,Конструкторы!$C$1192:$C$1277,$A46)</f>
        <v>0</v>
      </c>
      <c r="AT46" s="75">
        <f t="array" ref="AT46">SUMIFS(Конструкторы!M$1192:M$1277,Конструкторы!$C$1192:$C$1277,$A46)</f>
        <v>0</v>
      </c>
      <c r="AU46" s="75">
        <f t="array" ref="AU46">SUMIFS(Конструкторы!N$1192:N$1277,Конструкторы!$C$1192:$C$1277,$A46)</f>
        <v>0</v>
      </c>
      <c r="AV46" s="75">
        <f t="array" ref="AV46">SUMIFS(Конструкторы!O$1192:O$1277,Конструкторы!$C$1192:$C$1277,$A46)</f>
        <v>0</v>
      </c>
      <c r="AW46" s="75">
        <f t="array" ref="AW46">SUMIFS(Конструкторы!P$1192:P$1277,Конструкторы!$C$1192:$C$1277,$A46)</f>
        <v>0</v>
      </c>
      <c r="AX46" s="75">
        <f t="array" ref="AX46">SUMIFS(Конструкторы!Q$1192:Q$1277,Конструкторы!$C$1192:$C$1277,$A46)</f>
        <v>0</v>
      </c>
      <c r="AY46" s="75">
        <f t="array" ref="AY46">SUMIFS(Конструкторы!R$1192:R$1277,Конструкторы!$C$1192:$C$1277,$A46)</f>
        <v>0</v>
      </c>
      <c r="AZ46" s="75">
        <f t="array" ref="AZ46">SUMIFS(Конструкторы!S$1192:S$1277,Конструкторы!$C$1192:$C$1277,$A46)</f>
        <v>0</v>
      </c>
      <c r="BA46" s="75">
        <f t="array" ref="BA46">SUMIFS(Конструкторы!T$1192:T$1277,Конструкторы!$C$1192:$C$1277,$A46)</f>
        <v>0</v>
      </c>
      <c r="BB46" s="80">
        <f>(F46+R46+AD46)*$B46+AQ46</f>
        <v>0</v>
      </c>
      <c r="BC46" s="80">
        <f t="shared" si="18"/>
        <v>0</v>
      </c>
      <c r="BD46" s="80">
        <f t="shared" si="19"/>
        <v>0</v>
      </c>
      <c r="BE46" s="80">
        <f t="shared" si="20"/>
        <v>0</v>
      </c>
      <c r="BF46" s="80">
        <f t="shared" si="21"/>
        <v>0</v>
      </c>
      <c r="BG46" s="80">
        <f t="shared" si="22"/>
        <v>0</v>
      </c>
      <c r="BH46" s="80">
        <f t="shared" si="23"/>
        <v>0</v>
      </c>
      <c r="BI46" s="80">
        <f t="shared" si="24"/>
        <v>0</v>
      </c>
      <c r="BJ46" s="80">
        <f t="shared" si="25"/>
        <v>0</v>
      </c>
      <c r="BK46" s="80">
        <f t="shared" si="26"/>
        <v>0</v>
      </c>
      <c r="BL46" s="80">
        <f t="shared" si="27"/>
        <v>0</v>
      </c>
      <c r="BM46" s="80">
        <f t="shared" si="28"/>
        <v>0</v>
      </c>
      <c r="BN46" s="84">
        <f t="shared" si="13"/>
        <v>0</v>
      </c>
      <c r="BO46" s="84">
        <f t="shared" si="29"/>
        <v>0</v>
      </c>
      <c r="BP46" s="84">
        <f t="shared" si="30"/>
        <v>0</v>
      </c>
      <c r="BQ46" s="84">
        <f t="shared" si="31"/>
        <v>0</v>
      </c>
      <c r="BR46" s="84">
        <f t="shared" si="32"/>
        <v>0</v>
      </c>
      <c r="BS46" s="84">
        <f t="shared" si="33"/>
        <v>0</v>
      </c>
      <c r="BT46" s="84">
        <f t="shared" si="14"/>
        <v>0</v>
      </c>
      <c r="BU46" s="84">
        <f t="shared" si="6"/>
        <v>0</v>
      </c>
      <c r="BV46" s="84">
        <f t="shared" si="7"/>
        <v>0</v>
      </c>
      <c r="BW46" s="84">
        <f t="shared" si="8"/>
        <v>0</v>
      </c>
      <c r="BX46" s="84">
        <f t="shared" si="9"/>
        <v>0</v>
      </c>
      <c r="BY46" s="83">
        <f t="shared" si="15"/>
        <v>0</v>
      </c>
      <c r="BZ46" s="79">
        <f t="shared" si="16"/>
        <v>0</v>
      </c>
      <c r="CA46" s="79">
        <f t="shared" si="35"/>
        <v>0</v>
      </c>
      <c r="CB46" s="79">
        <f t="shared" si="35"/>
        <v>0</v>
      </c>
      <c r="CC46" s="79">
        <f t="shared" si="35"/>
        <v>0</v>
      </c>
      <c r="CD46" s="79">
        <f t="shared" si="35"/>
        <v>0</v>
      </c>
      <c r="CE46" s="79">
        <f t="shared" si="35"/>
        <v>0</v>
      </c>
      <c r="CF46" s="79">
        <f t="shared" si="35"/>
        <v>0</v>
      </c>
      <c r="CG46" s="79">
        <f t="shared" si="35"/>
        <v>0</v>
      </c>
      <c r="CH46" s="79">
        <f t="shared" si="35"/>
        <v>0</v>
      </c>
      <c r="CI46" s="79">
        <f t="shared" si="35"/>
        <v>0</v>
      </c>
      <c r="CJ46" s="79">
        <f t="shared" si="35"/>
        <v>0</v>
      </c>
      <c r="CK46" s="79">
        <f t="shared" si="17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D35"/>
  <sheetViews>
    <sheetView workbookViewId="0">
      <selection activeCell="C22" sqref="C22"/>
    </sheetView>
  </sheetViews>
  <sheetFormatPr defaultRowHeight="15" x14ac:dyDescent="0.25"/>
  <cols>
    <col min="2" max="2" width="51.85546875" customWidth="1"/>
    <col min="3" max="3" width="37" customWidth="1"/>
    <col min="4" max="4" width="85" customWidth="1"/>
  </cols>
  <sheetData>
    <row r="2" spans="2:4" x14ac:dyDescent="0.25">
      <c r="B2" s="53" t="s">
        <v>53</v>
      </c>
      <c r="C2" s="53" t="s">
        <v>25</v>
      </c>
      <c r="D2" s="271" t="s">
        <v>541</v>
      </c>
    </row>
    <row r="3" spans="2:4" x14ac:dyDescent="0.25">
      <c r="B3" s="53" t="s">
        <v>33</v>
      </c>
      <c r="C3" s="53" t="s">
        <v>34</v>
      </c>
      <c r="D3" s="272" t="s">
        <v>518</v>
      </c>
    </row>
    <row r="4" spans="2:4" x14ac:dyDescent="0.25">
      <c r="C4" s="53" t="s">
        <v>27</v>
      </c>
      <c r="D4" s="272" t="s">
        <v>542</v>
      </c>
    </row>
    <row r="5" spans="2:4" x14ac:dyDescent="0.25">
      <c r="B5" s="53" t="s">
        <v>56</v>
      </c>
      <c r="C5" s="53" t="s">
        <v>26</v>
      </c>
      <c r="D5" s="272" t="s">
        <v>520</v>
      </c>
    </row>
    <row r="6" spans="2:4" x14ac:dyDescent="0.25">
      <c r="B6" s="53" t="s">
        <v>57</v>
      </c>
      <c r="C6" s="53" t="s">
        <v>31</v>
      </c>
      <c r="D6" s="272" t="s">
        <v>543</v>
      </c>
    </row>
    <row r="7" spans="2:4" x14ac:dyDescent="0.25">
      <c r="B7" s="53" t="s">
        <v>58</v>
      </c>
      <c r="C7" s="53" t="s">
        <v>32</v>
      </c>
      <c r="D7" s="272" t="s">
        <v>516</v>
      </c>
    </row>
    <row r="8" spans="2:4" x14ac:dyDescent="0.25">
      <c r="B8" s="53" t="s">
        <v>59</v>
      </c>
      <c r="C8" s="53" t="s">
        <v>46</v>
      </c>
      <c r="D8" s="272" t="s">
        <v>544</v>
      </c>
    </row>
    <row r="9" spans="2:4" x14ac:dyDescent="0.25">
      <c r="B9" s="53" t="s">
        <v>60</v>
      </c>
      <c r="C9" s="25" t="s">
        <v>466</v>
      </c>
      <c r="D9" s="272" t="s">
        <v>545</v>
      </c>
    </row>
    <row r="10" spans="2:4" x14ac:dyDescent="0.25">
      <c r="B10" s="53" t="s">
        <v>61</v>
      </c>
      <c r="C10" s="53" t="s">
        <v>35</v>
      </c>
      <c r="D10" s="272" t="s">
        <v>470</v>
      </c>
    </row>
    <row r="11" spans="2:4" x14ac:dyDescent="0.25">
      <c r="B11" s="53" t="s">
        <v>62</v>
      </c>
      <c r="C11" s="53" t="s">
        <v>55</v>
      </c>
      <c r="D11" s="272" t="s">
        <v>546</v>
      </c>
    </row>
    <row r="12" spans="2:4" x14ac:dyDescent="0.25">
      <c r="B12" s="53" t="s">
        <v>63</v>
      </c>
    </row>
    <row r="13" spans="2:4" x14ac:dyDescent="0.25">
      <c r="B13" s="53" t="s">
        <v>64</v>
      </c>
    </row>
    <row r="14" spans="2:4" x14ac:dyDescent="0.25">
      <c r="B14" s="53" t="s">
        <v>54</v>
      </c>
    </row>
    <row r="15" spans="2:4" x14ac:dyDescent="0.25">
      <c r="B15" s="53" t="s">
        <v>52</v>
      </c>
    </row>
    <row r="16" spans="2:4" x14ac:dyDescent="0.25">
      <c r="B16" s="53" t="s">
        <v>50</v>
      </c>
      <c r="D16" s="53" t="s">
        <v>29</v>
      </c>
    </row>
    <row r="17" spans="2:4" x14ac:dyDescent="0.25">
      <c r="B17" s="53" t="s">
        <v>51</v>
      </c>
      <c r="D17" s="53" t="s">
        <v>30</v>
      </c>
    </row>
    <row r="18" spans="2:4" x14ac:dyDescent="0.25">
      <c r="B18" s="53" t="s">
        <v>49</v>
      </c>
    </row>
    <row r="20" spans="2:4" x14ac:dyDescent="0.25">
      <c r="B20" s="53" t="s">
        <v>47</v>
      </c>
    </row>
    <row r="21" spans="2:4" x14ac:dyDescent="0.25">
      <c r="B21" s="53" t="s">
        <v>36</v>
      </c>
    </row>
    <row r="22" spans="2:4" x14ac:dyDescent="0.25">
      <c r="B22" s="53" t="s">
        <v>37</v>
      </c>
    </row>
    <row r="23" spans="2:4" x14ac:dyDescent="0.25">
      <c r="B23" s="53" t="s">
        <v>38</v>
      </c>
    </row>
    <row r="24" spans="2:4" x14ac:dyDescent="0.25">
      <c r="B24" s="53" t="s">
        <v>45</v>
      </c>
    </row>
    <row r="25" spans="2:4" x14ac:dyDescent="0.25">
      <c r="B25" s="53" t="s">
        <v>39</v>
      </c>
    </row>
    <row r="26" spans="2:4" x14ac:dyDescent="0.25">
      <c r="B26" s="53" t="s">
        <v>40</v>
      </c>
    </row>
    <row r="27" spans="2:4" x14ac:dyDescent="0.25">
      <c r="B27" s="53" t="s">
        <v>41</v>
      </c>
    </row>
    <row r="28" spans="2:4" x14ac:dyDescent="0.25">
      <c r="B28" s="53" t="s">
        <v>43</v>
      </c>
    </row>
    <row r="29" spans="2:4" x14ac:dyDescent="0.25">
      <c r="B29" s="53" t="s">
        <v>42</v>
      </c>
    </row>
    <row r="30" spans="2:4" x14ac:dyDescent="0.25">
      <c r="B30" s="53" t="s">
        <v>44</v>
      </c>
    </row>
    <row r="31" spans="2:4" x14ac:dyDescent="0.25">
      <c r="B31" s="53" t="s">
        <v>48</v>
      </c>
    </row>
    <row r="32" spans="2:4" x14ac:dyDescent="0.25">
      <c r="B32" s="53" t="s">
        <v>28</v>
      </c>
    </row>
    <row r="34" spans="2:2" x14ac:dyDescent="0.25">
      <c r="B34" s="53" t="s">
        <v>10</v>
      </c>
    </row>
    <row r="35" spans="2:2" x14ac:dyDescent="0.25">
      <c r="B35" s="53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Продажи</vt:lpstr>
      <vt:lpstr>Конструкторы</vt:lpstr>
      <vt:lpstr>Производство</vt:lpstr>
      <vt:lpstr>Технологи</vt:lpstr>
      <vt:lpstr>Обеспечение</vt:lpstr>
      <vt:lpstr>Потребность профиль</vt:lpstr>
      <vt:lpstr>Лист1</vt:lpstr>
      <vt:lpstr>Обеспечение!Критерии</vt:lpstr>
      <vt:lpstr>Продукция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</dc:creator>
  <cp:lastModifiedBy>Admin</cp:lastModifiedBy>
  <dcterms:created xsi:type="dcterms:W3CDTF">2016-05-31T12:56:25Z</dcterms:created>
  <dcterms:modified xsi:type="dcterms:W3CDTF">2016-10-25T13:55:19Z</dcterms:modified>
</cp:coreProperties>
</file>